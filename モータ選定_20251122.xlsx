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08h\Documents\"/>
    </mc:Choice>
  </mc:AlternateContent>
  <xr:revisionPtr revIDLastSave="0" documentId="13_ncr:1_{31FF1A61-DFAC-4C2B-8A9F-0E2DC5F34378}" xr6:coauthVersionLast="47" xr6:coauthVersionMax="47" xr10:uidLastSave="{00000000-0000-0000-0000-000000000000}"/>
  <bookViews>
    <workbookView xWindow="300" yWindow="0" windowWidth="16860" windowHeight="15585" xr2:uid="{8674E832-FAA7-418F-9FFE-44C6427DD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G11" i="1"/>
  <c r="G18" i="1"/>
  <c r="F13" i="1"/>
  <c r="G13" i="1" s="1"/>
  <c r="G23" i="1"/>
  <c r="E12" i="1"/>
  <c r="G25" i="1" s="1"/>
  <c r="J25" i="1" s="1"/>
  <c r="E8" i="1"/>
  <c r="E10" i="1" s="1"/>
  <c r="F10" i="1" s="1"/>
  <c r="G10" i="1" s="1"/>
  <c r="G36" i="1" s="1"/>
  <c r="G26" i="1"/>
  <c r="E9" i="1"/>
  <c r="F9" i="1" s="1"/>
  <c r="G9" i="1" s="1"/>
  <c r="G35" i="1" s="1"/>
  <c r="E6" i="1"/>
  <c r="F6" i="1" s="1"/>
  <c r="G6" i="1" s="1"/>
  <c r="G32" i="1" s="1"/>
  <c r="G34" i="1" l="1"/>
  <c r="F12" i="1"/>
  <c r="G12" i="1" s="1"/>
  <c r="G27" i="1"/>
  <c r="E14" i="1"/>
  <c r="E15" i="1" l="1"/>
  <c r="F15" i="1" s="1"/>
  <c r="G15" i="1" s="1"/>
  <c r="F14" i="1"/>
  <c r="G14" i="1" s="1"/>
  <c r="G33" i="1"/>
  <c r="G39" i="1" l="1"/>
  <c r="G37" i="1"/>
  <c r="G38" i="1" s="1"/>
</calcChain>
</file>

<file path=xl/sharedStrings.xml><?xml version="1.0" encoding="utf-8"?>
<sst xmlns="http://schemas.openxmlformats.org/spreadsheetml/2006/main" count="179" uniqueCount="72">
  <si>
    <t>ターンテーブルを動かすための必要トルク</t>
    <rPh sb="8" eb="9">
      <t>ウゴ</t>
    </rPh>
    <rPh sb="14" eb="16">
      <t>ヒツヨウ</t>
    </rPh>
    <phoneticPr fontId="1"/>
  </si>
  <si>
    <t>ターンテーブル</t>
    <phoneticPr fontId="1"/>
  </si>
  <si>
    <t>半径</t>
    <rPh sb="0" eb="2">
      <t>ハンケイ</t>
    </rPh>
    <phoneticPr fontId="1"/>
  </si>
  <si>
    <t>質量</t>
    <rPh sb="0" eb="2">
      <t>シツリョウ</t>
    </rPh>
    <phoneticPr fontId="1"/>
  </si>
  <si>
    <t>単位</t>
    <rPh sb="0" eb="2">
      <t>タンイ</t>
    </rPh>
    <phoneticPr fontId="1"/>
  </si>
  <si>
    <t>m</t>
    <phoneticPr fontId="1"/>
  </si>
  <si>
    <t>kg</t>
    <phoneticPr fontId="1"/>
  </si>
  <si>
    <t>イナーシャ</t>
    <phoneticPr fontId="1"/>
  </si>
  <si>
    <t>kgm2</t>
    <phoneticPr fontId="1"/>
  </si>
  <si>
    <t>動摩擦係数</t>
    <rPh sb="0" eb="3">
      <t>ドウマサツ</t>
    </rPh>
    <rPh sb="3" eb="5">
      <t>ケイスウ</t>
    </rPh>
    <phoneticPr fontId="1"/>
  </si>
  <si>
    <t>静止摩擦係数</t>
    <rPh sb="0" eb="2">
      <t>セイシ</t>
    </rPh>
    <rPh sb="2" eb="6">
      <t>マサツケイスウ</t>
    </rPh>
    <phoneticPr fontId="1"/>
  </si>
  <si>
    <t>ー</t>
    <phoneticPr fontId="1"/>
  </si>
  <si>
    <t>減速機</t>
    <rPh sb="0" eb="3">
      <t>ゲンソクキ</t>
    </rPh>
    <phoneticPr fontId="1"/>
  </si>
  <si>
    <t>動摩擦係トルク</t>
    <rPh sb="0" eb="3">
      <t>ドウマサツ</t>
    </rPh>
    <rPh sb="3" eb="4">
      <t>ガカリ</t>
    </rPh>
    <phoneticPr fontId="1"/>
  </si>
  <si>
    <t>静止摩擦トルク</t>
    <rPh sb="0" eb="2">
      <t>セイシ</t>
    </rPh>
    <rPh sb="2" eb="4">
      <t>マサツ</t>
    </rPh>
    <phoneticPr fontId="1"/>
  </si>
  <si>
    <t>Nm</t>
    <phoneticPr fontId="1"/>
  </si>
  <si>
    <t>モータ</t>
    <phoneticPr fontId="1"/>
  </si>
  <si>
    <t>減速比</t>
    <rPh sb="0" eb="3">
      <t>ゲンソクヒ</t>
    </rPh>
    <phoneticPr fontId="1"/>
  </si>
  <si>
    <t>負荷軸</t>
    <rPh sb="0" eb="3">
      <t>フカジク</t>
    </rPh>
    <phoneticPr fontId="1"/>
  </si>
  <si>
    <t>減速機軸</t>
    <rPh sb="0" eb="3">
      <t>ゲンソクキ</t>
    </rPh>
    <rPh sb="3" eb="4">
      <t>ジク</t>
    </rPh>
    <phoneticPr fontId="1"/>
  </si>
  <si>
    <t>モータ軸</t>
    <rPh sb="3" eb="4">
      <t>ジク</t>
    </rPh>
    <phoneticPr fontId="1"/>
  </si>
  <si>
    <t>角速度</t>
    <rPh sb="0" eb="3">
      <t>カクソクド</t>
    </rPh>
    <phoneticPr fontId="1"/>
  </si>
  <si>
    <t>rad/s</t>
    <phoneticPr fontId="1"/>
  </si>
  <si>
    <t>rad/s2</t>
    <phoneticPr fontId="1"/>
  </si>
  <si>
    <t>角加速度</t>
    <rPh sb="0" eb="1">
      <t>カド</t>
    </rPh>
    <rPh sb="1" eb="4">
      <t>カソクド</t>
    </rPh>
    <phoneticPr fontId="1"/>
  </si>
  <si>
    <t>加速時間</t>
    <rPh sb="0" eb="2">
      <t>カソク</t>
    </rPh>
    <rPh sb="2" eb="4">
      <t>ジカン</t>
    </rPh>
    <phoneticPr fontId="1"/>
  </si>
  <si>
    <t>s</t>
    <phoneticPr fontId="1"/>
  </si>
  <si>
    <t>総合</t>
    <rPh sb="0" eb="2">
      <t>ソウゴウ</t>
    </rPh>
    <phoneticPr fontId="1"/>
  </si>
  <si>
    <t>加速トルク</t>
    <rPh sb="0" eb="2">
      <t>カソク</t>
    </rPh>
    <phoneticPr fontId="1"/>
  </si>
  <si>
    <t>粘性トルク</t>
    <rPh sb="0" eb="2">
      <t>ネンセイ</t>
    </rPh>
    <phoneticPr fontId="1"/>
  </si>
  <si>
    <t>計算結果</t>
    <rPh sb="0" eb="4">
      <t>ケイサンケッカ</t>
    </rPh>
    <phoneticPr fontId="1"/>
  </si>
  <si>
    <t>設定値</t>
    <rPh sb="0" eb="2">
      <t>セッテイ</t>
    </rPh>
    <rPh sb="2" eb="3">
      <t>チ</t>
    </rPh>
    <phoneticPr fontId="1"/>
  </si>
  <si>
    <t>rpm</t>
    <phoneticPr fontId="1"/>
  </si>
  <si>
    <t>←</t>
    <phoneticPr fontId="1"/>
  </si>
  <si>
    <t>0.5～1.5(一般的な値)</t>
    <rPh sb="8" eb="11">
      <t>イッパンテキ</t>
    </rPh>
    <rPh sb="12" eb="13">
      <t>アタイ</t>
    </rPh>
    <phoneticPr fontId="1"/>
  </si>
  <si>
    <t>0.7～3(一般的な値)</t>
    <rPh sb="6" eb="9">
      <t>イッパンテキ</t>
    </rPh>
    <rPh sb="10" eb="11">
      <t>アタイ</t>
    </rPh>
    <phoneticPr fontId="1"/>
  </si>
  <si>
    <t>Nm/(rad/s)</t>
    <phoneticPr fontId="1"/>
  </si>
  <si>
    <t>0.0001～0.0005(一般的な値)</t>
    <rPh sb="14" eb="17">
      <t>イッパンテキ</t>
    </rPh>
    <rPh sb="18" eb="19">
      <t>アタイ</t>
    </rPh>
    <phoneticPr fontId="1"/>
  </si>
  <si>
    <t>最大速度到達時のトルク</t>
    <rPh sb="0" eb="2">
      <t>サイダイ</t>
    </rPh>
    <rPh sb="2" eb="4">
      <t>ソクド</t>
    </rPh>
    <rPh sb="4" eb="7">
      <t>トウタツジ</t>
    </rPh>
    <phoneticPr fontId="1"/>
  </si>
  <si>
    <t>ターンテーブル＋減速機＋モータ</t>
    <rPh sb="8" eb="11">
      <t>ゲンソクキ</t>
    </rPh>
    <phoneticPr fontId="1"/>
  </si>
  <si>
    <t>総合イナーシャ</t>
    <rPh sb="0" eb="2">
      <t>ソウゴウ</t>
    </rPh>
    <phoneticPr fontId="1"/>
  </si>
  <si>
    <t>総合イナーシャｘ角加速度</t>
    <rPh sb="0" eb="2">
      <t>ソウゴウ</t>
    </rPh>
    <rPh sb="8" eb="9">
      <t>カク</t>
    </rPh>
    <rPh sb="9" eb="12">
      <t>カソクド</t>
    </rPh>
    <phoneticPr fontId="1"/>
  </si>
  <si>
    <t>→</t>
    <phoneticPr fontId="1"/>
  </si>
  <si>
    <t>粘性係数</t>
    <rPh sb="0" eb="2">
      <t>ネンセイ</t>
    </rPh>
    <rPh sb="2" eb="4">
      <t>ケイスウ</t>
    </rPh>
    <phoneticPr fontId="1"/>
  </si>
  <si>
    <t>粘性係数</t>
    <rPh sb="0" eb="4">
      <t>ネンセイケイスウ</t>
    </rPh>
    <phoneticPr fontId="1"/>
  </si>
  <si>
    <t>0.0002～0.0004(一般的な値)</t>
    <rPh sb="14" eb="17">
      <t>イッパンテキ</t>
    </rPh>
    <rPh sb="18" eb="19">
      <t>アタイ</t>
    </rPh>
    <phoneticPr fontId="1"/>
  </si>
  <si>
    <t>0.000015～0.00008(一般的な値、モータ軸換算)</t>
    <rPh sb="17" eb="20">
      <t>イッパンテキ</t>
    </rPh>
    <rPh sb="21" eb="22">
      <t>アタイ</t>
    </rPh>
    <rPh sb="26" eb="27">
      <t>ジク</t>
    </rPh>
    <rPh sb="27" eb="29">
      <t>カンサン</t>
    </rPh>
    <phoneticPr fontId="1"/>
  </si>
  <si>
    <t>減速機＋モータ</t>
    <rPh sb="0" eb="3">
      <t>ゲンソクキ</t>
    </rPh>
    <phoneticPr fontId="1"/>
  </si>
  <si>
    <t>最大速度到達時の電力</t>
    <rPh sb="0" eb="2">
      <t>サイダイ</t>
    </rPh>
    <rPh sb="2" eb="4">
      <t>ソクド</t>
    </rPh>
    <rPh sb="4" eb="7">
      <t>トウタツジ</t>
    </rPh>
    <rPh sb="8" eb="10">
      <t>デンリョク</t>
    </rPh>
    <phoneticPr fontId="1"/>
  </si>
  <si>
    <t>W</t>
    <phoneticPr fontId="1"/>
  </si>
  <si>
    <t>効率</t>
    <rPh sb="0" eb="2">
      <t>コウリツ</t>
    </rPh>
    <phoneticPr fontId="1"/>
  </si>
  <si>
    <t>0.9～0.94</t>
    <phoneticPr fontId="1"/>
  </si>
  <si>
    <t>温度</t>
    <rPh sb="0" eb="2">
      <t>オンド</t>
    </rPh>
    <phoneticPr fontId="1"/>
  </si>
  <si>
    <t>℃</t>
    <phoneticPr fontId="1"/>
  </si>
  <si>
    <t>倍率</t>
    <rPh sb="0" eb="2">
      <t>バイリツ</t>
    </rPh>
    <phoneticPr fontId="1"/>
  </si>
  <si>
    <t>40度基準</t>
    <rPh sb="2" eb="3">
      <t>ド</t>
    </rPh>
    <rPh sb="3" eb="5">
      <t>キジュン</t>
    </rPh>
    <phoneticPr fontId="1"/>
  </si>
  <si>
    <t>グリース</t>
    <phoneticPr fontId="1"/>
  </si>
  <si>
    <t>低温対応油=1000、鉱物油=1500</t>
    <rPh sb="0" eb="2">
      <t>テイオン</t>
    </rPh>
    <rPh sb="2" eb="4">
      <t>タイオウ</t>
    </rPh>
    <rPh sb="4" eb="5">
      <t>アブラ</t>
    </rPh>
    <rPh sb="11" eb="13">
      <t>コウブツ</t>
    </rPh>
    <rPh sb="13" eb="14">
      <t>ユ</t>
    </rPh>
    <phoneticPr fontId="1"/>
  </si>
  <si>
    <t>ボールベアリング＋予圧あり＋シールなし
0.002～0.004</t>
    <rPh sb="9" eb="11">
      <t>ヨアツ</t>
    </rPh>
    <phoneticPr fontId="1"/>
  </si>
  <si>
    <t>大項目</t>
    <rPh sb="0" eb="3">
      <t>ダイコウモク</t>
    </rPh>
    <phoneticPr fontId="1"/>
  </si>
  <si>
    <t>小項目</t>
    <rPh sb="0" eb="3">
      <t>ショウコウモク</t>
    </rPh>
    <phoneticPr fontId="1"/>
  </si>
  <si>
    <t>説明</t>
    <rPh sb="0" eb="2">
      <t>セツメイ</t>
    </rPh>
    <phoneticPr fontId="1"/>
  </si>
  <si>
    <t>速度換算</t>
    <rPh sb="0" eb="2">
      <t>ソクド</t>
    </rPh>
    <rPh sb="2" eb="4">
      <t>カンザン</t>
    </rPh>
    <phoneticPr fontId="1"/>
  </si>
  <si>
    <t>ターンテーブル/減速機</t>
    <rPh sb="8" eb="11">
      <t>ゲンソクキ</t>
    </rPh>
    <phoneticPr fontId="1"/>
  </si>
  <si>
    <t>減速機/モータ</t>
    <rPh sb="0" eb="3">
      <t>ゲンソクキ</t>
    </rPh>
    <phoneticPr fontId="1"/>
  </si>
  <si>
    <t>動摩擦係数の2倍に設定(参考)</t>
    <rPh sb="0" eb="3">
      <t>ドウマサツ</t>
    </rPh>
    <rPh sb="3" eb="5">
      <t>ケイスウ</t>
    </rPh>
    <rPh sb="7" eb="8">
      <t>バイ</t>
    </rPh>
    <rPh sb="9" eb="11">
      <t>セッテイ</t>
    </rPh>
    <rPh sb="12" eb="14">
      <t>サンコウ</t>
    </rPh>
    <phoneticPr fontId="1"/>
  </si>
  <si>
    <t>動摩擦トルクの2倍に設定(参考)</t>
    <rPh sb="0" eb="3">
      <t>ドウマサツ</t>
    </rPh>
    <rPh sb="8" eb="9">
      <t>バイ</t>
    </rPh>
    <rPh sb="10" eb="12">
      <t>セッテイ</t>
    </rPh>
    <rPh sb="13" eb="15">
      <t>サンコウ</t>
    </rPh>
    <phoneticPr fontId="1"/>
  </si>
  <si>
    <t>定格トルク</t>
    <rPh sb="0" eb="2">
      <t>テイカク</t>
    </rPh>
    <phoneticPr fontId="1"/>
  </si>
  <si>
    <t>定格回転数</t>
    <rPh sb="0" eb="2">
      <t>テイカク</t>
    </rPh>
    <rPh sb="2" eb="5">
      <t>カイテンスウ</t>
    </rPh>
    <phoneticPr fontId="1"/>
  </si>
  <si>
    <t>動摩擦トルク</t>
    <rPh sb="0" eb="3">
      <t>ドウマサツ</t>
    </rPh>
    <phoneticPr fontId="1"/>
  </si>
  <si>
    <t>0.92～0.94(参考)</t>
    <rPh sb="10" eb="12">
      <t>サンコウ</t>
    </rPh>
    <phoneticPr fontId="1"/>
  </si>
  <si>
    <t>始動時トルク</t>
    <rPh sb="0" eb="3">
      <t>シドウジ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</si>
</sst>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32CD-E1A9-4808-ADD6-502EEEFA616B}">
  <dimension ref="A1:K42"/>
  <sheetViews>
    <sheetView tabSelected="1" zoomScale="70" zoomScaleNormal="70" workbookViewId="0">
      <selection activeCell="G11" sqref="G11"/>
    </sheetView>
  </sheetViews>
  <sheetFormatPr defaultRowHeight="18.75" x14ac:dyDescent="0.4"/>
  <cols>
    <col min="1" max="1" width="3.625" customWidth="1"/>
    <col min="2" max="2" width="14.875" bestFit="1" customWidth="1"/>
    <col min="3" max="3" width="23.875" bestFit="1" customWidth="1"/>
    <col min="4" max="4" width="12.125" bestFit="1" customWidth="1"/>
    <col min="5" max="5" width="14.25" bestFit="1" customWidth="1"/>
    <col min="6" max="6" width="12.75" bestFit="1" customWidth="1"/>
    <col min="7" max="7" width="14.5" bestFit="1" customWidth="1"/>
    <col min="8" max="8" width="45" bestFit="1" customWidth="1"/>
    <col min="9" max="9" width="3.75" style="4" bestFit="1" customWidth="1"/>
    <col min="10" max="10" width="6.375" style="4" bestFit="1" customWidth="1"/>
    <col min="11" max="11" width="5.125" style="4" bestFit="1" customWidth="1"/>
  </cols>
  <sheetData>
    <row r="1" spans="1:11" x14ac:dyDescent="0.4">
      <c r="A1" t="s">
        <v>0</v>
      </c>
    </row>
    <row r="3" spans="1:11" x14ac:dyDescent="0.4">
      <c r="B3" t="s">
        <v>59</v>
      </c>
      <c r="C3" t="s">
        <v>60</v>
      </c>
      <c r="D3" t="s">
        <v>4</v>
      </c>
      <c r="E3" t="s">
        <v>18</v>
      </c>
      <c r="F3" t="s">
        <v>19</v>
      </c>
      <c r="G3" t="s">
        <v>20</v>
      </c>
      <c r="H3" t="s">
        <v>61</v>
      </c>
      <c r="I3" s="8" t="s">
        <v>62</v>
      </c>
      <c r="J3" s="8"/>
      <c r="K3" s="8"/>
    </row>
    <row r="4" spans="1:11" x14ac:dyDescent="0.4">
      <c r="B4" s="7" t="s">
        <v>1</v>
      </c>
      <c r="C4" t="s">
        <v>2</v>
      </c>
      <c r="D4" t="s">
        <v>5</v>
      </c>
      <c r="E4">
        <v>2</v>
      </c>
      <c r="F4" t="s">
        <v>11</v>
      </c>
      <c r="G4" t="s">
        <v>11</v>
      </c>
    </row>
    <row r="5" spans="1:11" x14ac:dyDescent="0.4">
      <c r="B5" s="7"/>
      <c r="C5" t="s">
        <v>3</v>
      </c>
      <c r="D5" t="s">
        <v>6</v>
      </c>
      <c r="E5">
        <v>2000</v>
      </c>
      <c r="F5" t="s">
        <v>11</v>
      </c>
      <c r="G5" t="s">
        <v>11</v>
      </c>
    </row>
    <row r="6" spans="1:11" x14ac:dyDescent="0.4">
      <c r="B6" s="7"/>
      <c r="C6" t="s">
        <v>7</v>
      </c>
      <c r="D6" t="s">
        <v>8</v>
      </c>
      <c r="E6">
        <f>E5*E4^2/2</f>
        <v>4000</v>
      </c>
      <c r="F6">
        <f>E6/$E$28^2</f>
        <v>17.777777777777779</v>
      </c>
      <c r="G6">
        <f>F6/$E$29^2</f>
        <v>4.4444444444444446E-2</v>
      </c>
      <c r="H6" t="s">
        <v>30</v>
      </c>
    </row>
    <row r="7" spans="1:11" ht="37.5" x14ac:dyDescent="0.4">
      <c r="B7" s="7"/>
      <c r="C7" t="s">
        <v>9</v>
      </c>
      <c r="D7" t="s">
        <v>11</v>
      </c>
      <c r="E7">
        <v>4.0000000000000001E-3</v>
      </c>
      <c r="F7" t="s">
        <v>11</v>
      </c>
      <c r="G7" t="s">
        <v>11</v>
      </c>
      <c r="H7" s="6" t="s">
        <v>58</v>
      </c>
    </row>
    <row r="8" spans="1:11" x14ac:dyDescent="0.4">
      <c r="B8" s="7"/>
      <c r="C8" t="s">
        <v>10</v>
      </c>
      <c r="D8" t="s">
        <v>11</v>
      </c>
      <c r="E8">
        <f>2*E7</f>
        <v>8.0000000000000002E-3</v>
      </c>
      <c r="F8" t="s">
        <v>11</v>
      </c>
      <c r="G8" t="s">
        <v>11</v>
      </c>
      <c r="H8" t="s">
        <v>65</v>
      </c>
    </row>
    <row r="9" spans="1:11" x14ac:dyDescent="0.4">
      <c r="B9" s="7"/>
      <c r="C9" t="s">
        <v>13</v>
      </c>
      <c r="D9" t="s">
        <v>15</v>
      </c>
      <c r="E9">
        <f>E5*9.8*E4*E7</f>
        <v>156.80000000000001</v>
      </c>
      <c r="F9">
        <f>E9/$E$28</f>
        <v>10.453333333333335</v>
      </c>
      <c r="G9">
        <f>F9/$E$29</f>
        <v>0.52266666666666672</v>
      </c>
      <c r="H9" t="s">
        <v>30</v>
      </c>
    </row>
    <row r="10" spans="1:11" x14ac:dyDescent="0.4">
      <c r="B10" s="7"/>
      <c r="C10" t="s">
        <v>14</v>
      </c>
      <c r="D10" t="s">
        <v>15</v>
      </c>
      <c r="E10">
        <f>E5*9.8*E4*E8</f>
        <v>313.60000000000002</v>
      </c>
      <c r="F10">
        <f>E10/$E$28</f>
        <v>20.90666666666667</v>
      </c>
      <c r="G10">
        <f>F10/$E$29</f>
        <v>1.0453333333333334</v>
      </c>
      <c r="H10" t="s">
        <v>30</v>
      </c>
    </row>
    <row r="11" spans="1:11" x14ac:dyDescent="0.4">
      <c r="B11" s="7"/>
      <c r="C11" t="s">
        <v>50</v>
      </c>
      <c r="D11" t="s">
        <v>11</v>
      </c>
      <c r="E11" t="s">
        <v>11</v>
      </c>
      <c r="F11" s="1">
        <v>0.9</v>
      </c>
      <c r="G11" s="2">
        <f>G20</f>
        <v>0.92</v>
      </c>
      <c r="H11" t="s">
        <v>51</v>
      </c>
    </row>
    <row r="12" spans="1:11" x14ac:dyDescent="0.4">
      <c r="B12" s="7"/>
      <c r="C12" t="s">
        <v>21</v>
      </c>
      <c r="D12" t="s">
        <v>22</v>
      </c>
      <c r="E12">
        <f>J12/30*PI()</f>
        <v>0.62831853071795862</v>
      </c>
      <c r="F12">
        <f>E12*$E$28</f>
        <v>9.4247779607693793</v>
      </c>
      <c r="G12">
        <f>F12*$E$29</f>
        <v>188.49555921538757</v>
      </c>
      <c r="H12" t="s">
        <v>31</v>
      </c>
      <c r="I12" s="5" t="s">
        <v>33</v>
      </c>
      <c r="J12" s="4">
        <v>6</v>
      </c>
      <c r="K12" s="4" t="s">
        <v>32</v>
      </c>
    </row>
    <row r="13" spans="1:11" x14ac:dyDescent="0.4">
      <c r="B13" s="7"/>
      <c r="C13" t="s">
        <v>25</v>
      </c>
      <c r="D13" t="s">
        <v>26</v>
      </c>
      <c r="E13">
        <v>2.5</v>
      </c>
      <c r="F13">
        <f>E13</f>
        <v>2.5</v>
      </c>
      <c r="G13">
        <f>F13</f>
        <v>2.5</v>
      </c>
      <c r="H13" t="s">
        <v>31</v>
      </c>
    </row>
    <row r="14" spans="1:11" x14ac:dyDescent="0.4">
      <c r="B14" s="7"/>
      <c r="C14" t="s">
        <v>24</v>
      </c>
      <c r="D14" t="s">
        <v>23</v>
      </c>
      <c r="E14">
        <f>E12/E13</f>
        <v>0.25132741228718347</v>
      </c>
      <c r="F14">
        <f>E14*$E$28</f>
        <v>3.7699111843077522</v>
      </c>
      <c r="G14">
        <f>F14*$E$29</f>
        <v>75.398223686155049</v>
      </c>
      <c r="H14" t="s">
        <v>30</v>
      </c>
    </row>
    <row r="15" spans="1:11" x14ac:dyDescent="0.4">
      <c r="B15" s="7"/>
      <c r="C15" t="s">
        <v>28</v>
      </c>
      <c r="D15" t="s">
        <v>15</v>
      </c>
      <c r="E15">
        <f>E6*E14</f>
        <v>1005.3096491487339</v>
      </c>
      <c r="F15">
        <f>E15/$E$28</f>
        <v>67.020643276582263</v>
      </c>
      <c r="G15">
        <f>F15/$E$29</f>
        <v>3.351032163829113</v>
      </c>
      <c r="H15" t="s">
        <v>30</v>
      </c>
    </row>
    <row r="16" spans="1:11" x14ac:dyDescent="0.4">
      <c r="B16" s="7" t="s">
        <v>12</v>
      </c>
      <c r="C16" t="s">
        <v>7</v>
      </c>
      <c r="D16" t="s">
        <v>8</v>
      </c>
      <c r="E16" t="s">
        <v>11</v>
      </c>
      <c r="F16" t="s">
        <v>11</v>
      </c>
      <c r="G16">
        <v>3.0000000000000001E-5</v>
      </c>
      <c r="H16" t="s">
        <v>46</v>
      </c>
    </row>
    <row r="17" spans="2:11" x14ac:dyDescent="0.4">
      <c r="B17" s="7"/>
      <c r="C17" t="s">
        <v>13</v>
      </c>
      <c r="D17" t="s">
        <v>15</v>
      </c>
      <c r="E17" t="s">
        <v>11</v>
      </c>
      <c r="F17" t="s">
        <v>11</v>
      </c>
      <c r="G17">
        <v>0.5</v>
      </c>
      <c r="H17" t="s">
        <v>34</v>
      </c>
    </row>
    <row r="18" spans="2:11" x14ac:dyDescent="0.4">
      <c r="B18" s="7"/>
      <c r="C18" t="s">
        <v>14</v>
      </c>
      <c r="D18" t="s">
        <v>15</v>
      </c>
      <c r="E18" t="s">
        <v>11</v>
      </c>
      <c r="F18" t="s">
        <v>11</v>
      </c>
      <c r="G18">
        <f>2*G17</f>
        <v>1</v>
      </c>
      <c r="H18" t="s">
        <v>35</v>
      </c>
    </row>
    <row r="19" spans="2:11" x14ac:dyDescent="0.4">
      <c r="B19" s="7"/>
      <c r="C19" t="s">
        <v>44</v>
      </c>
      <c r="D19" t="s">
        <v>36</v>
      </c>
      <c r="E19" t="s">
        <v>11</v>
      </c>
      <c r="F19" t="s">
        <v>11</v>
      </c>
      <c r="G19" s="3">
        <v>2.9999999999999997E-4</v>
      </c>
      <c r="H19" t="s">
        <v>45</v>
      </c>
    </row>
    <row r="20" spans="2:11" x14ac:dyDescent="0.4">
      <c r="B20" s="7"/>
      <c r="C20" t="s">
        <v>50</v>
      </c>
      <c r="D20" t="s">
        <v>11</v>
      </c>
      <c r="E20" t="s">
        <v>11</v>
      </c>
      <c r="F20" t="s">
        <v>11</v>
      </c>
      <c r="G20" s="2">
        <v>0.92</v>
      </c>
      <c r="H20" t="s">
        <v>70</v>
      </c>
    </row>
    <row r="21" spans="2:11" x14ac:dyDescent="0.4">
      <c r="B21" s="7" t="s">
        <v>16</v>
      </c>
      <c r="C21" t="s">
        <v>7</v>
      </c>
      <c r="D21" t="s">
        <v>8</v>
      </c>
      <c r="E21" t="s">
        <v>11</v>
      </c>
      <c r="F21" t="s">
        <v>11</v>
      </c>
      <c r="G21">
        <v>5.0000000000000002E-5</v>
      </c>
    </row>
    <row r="22" spans="2:11" x14ac:dyDescent="0.4">
      <c r="B22" s="7"/>
      <c r="C22" t="s">
        <v>13</v>
      </c>
      <c r="D22" t="s">
        <v>15</v>
      </c>
      <c r="E22" t="s">
        <v>11</v>
      </c>
      <c r="F22" t="s">
        <v>11</v>
      </c>
      <c r="G22">
        <v>0.02</v>
      </c>
    </row>
    <row r="23" spans="2:11" x14ac:dyDescent="0.4">
      <c r="B23" s="7"/>
      <c r="C23" t="s">
        <v>14</v>
      </c>
      <c r="D23" t="s">
        <v>15</v>
      </c>
      <c r="E23" t="s">
        <v>11</v>
      </c>
      <c r="F23" t="s">
        <v>11</v>
      </c>
      <c r="G23">
        <f>2*G22</f>
        <v>0.04</v>
      </c>
      <c r="H23" t="s">
        <v>66</v>
      </c>
    </row>
    <row r="24" spans="2:11" x14ac:dyDescent="0.4">
      <c r="B24" s="7"/>
      <c r="C24" t="s">
        <v>43</v>
      </c>
      <c r="D24" t="s">
        <v>36</v>
      </c>
      <c r="E24" t="s">
        <v>11</v>
      </c>
      <c r="F24" t="s">
        <v>11</v>
      </c>
      <c r="G24" s="3">
        <v>2.9999999999999997E-4</v>
      </c>
      <c r="H24" t="s">
        <v>37</v>
      </c>
    </row>
    <row r="25" spans="2:11" x14ac:dyDescent="0.4">
      <c r="B25" s="7"/>
      <c r="C25" t="s">
        <v>21</v>
      </c>
      <c r="D25" t="s">
        <v>22</v>
      </c>
      <c r="E25" t="s">
        <v>11</v>
      </c>
      <c r="F25" t="s">
        <v>11</v>
      </c>
      <c r="G25">
        <f>E12*E28*E29</f>
        <v>188.49555921538757</v>
      </c>
      <c r="I25" s="5" t="s">
        <v>42</v>
      </c>
      <c r="J25" s="4">
        <f>G25*30/PI()</f>
        <v>1800</v>
      </c>
      <c r="K25" s="4" t="s">
        <v>32</v>
      </c>
    </row>
    <row r="26" spans="2:11" x14ac:dyDescent="0.4">
      <c r="B26" s="7"/>
      <c r="C26" t="s">
        <v>25</v>
      </c>
      <c r="D26" t="s">
        <v>26</v>
      </c>
      <c r="E26" t="s">
        <v>11</v>
      </c>
      <c r="F26" t="s">
        <v>11</v>
      </c>
      <c r="G26">
        <f>E13</f>
        <v>2.5</v>
      </c>
    </row>
    <row r="27" spans="2:11" x14ac:dyDescent="0.4">
      <c r="B27" s="7"/>
      <c r="C27" t="s">
        <v>24</v>
      </c>
      <c r="D27" t="s">
        <v>23</v>
      </c>
      <c r="E27" t="s">
        <v>11</v>
      </c>
      <c r="F27" t="s">
        <v>11</v>
      </c>
      <c r="G27">
        <f>G25/G26</f>
        <v>75.398223686155035</v>
      </c>
    </row>
    <row r="28" spans="2:11" x14ac:dyDescent="0.4">
      <c r="B28" s="7" t="s">
        <v>17</v>
      </c>
      <c r="C28" t="s">
        <v>63</v>
      </c>
      <c r="D28" t="s">
        <v>11</v>
      </c>
      <c r="E28">
        <v>15</v>
      </c>
      <c r="F28" t="s">
        <v>11</v>
      </c>
      <c r="G28" t="s">
        <v>11</v>
      </c>
    </row>
    <row r="29" spans="2:11" x14ac:dyDescent="0.4">
      <c r="B29" s="7"/>
      <c r="C29" t="s">
        <v>64</v>
      </c>
      <c r="D29" t="s">
        <v>11</v>
      </c>
      <c r="E29">
        <v>20</v>
      </c>
      <c r="F29" t="s">
        <v>11</v>
      </c>
      <c r="G29" t="s">
        <v>11</v>
      </c>
    </row>
    <row r="30" spans="2:11" x14ac:dyDescent="0.4">
      <c r="B30" s="7" t="s">
        <v>56</v>
      </c>
      <c r="C30" t="s">
        <v>52</v>
      </c>
      <c r="D30" t="s">
        <v>53</v>
      </c>
      <c r="E30">
        <v>-40</v>
      </c>
      <c r="F30" t="s">
        <v>11</v>
      </c>
      <c r="G30" t="s">
        <v>11</v>
      </c>
      <c r="H30" t="s">
        <v>55</v>
      </c>
    </row>
    <row r="31" spans="2:11" x14ac:dyDescent="0.4">
      <c r="B31" s="7"/>
      <c r="C31" t="s">
        <v>54</v>
      </c>
      <c r="D31" t="s">
        <v>11</v>
      </c>
      <c r="E31">
        <f>EXP(1500*(1/(273+E30)-1/313))</f>
        <v>5.1832691745113104</v>
      </c>
      <c r="F31" t="s">
        <v>11</v>
      </c>
      <c r="G31" t="s">
        <v>11</v>
      </c>
      <c r="H31" t="s">
        <v>57</v>
      </c>
    </row>
    <row r="32" spans="2:11" x14ac:dyDescent="0.4">
      <c r="B32" s="7" t="s">
        <v>27</v>
      </c>
      <c r="C32" t="s">
        <v>40</v>
      </c>
      <c r="D32" t="s">
        <v>8</v>
      </c>
      <c r="E32" t="s">
        <v>11</v>
      </c>
      <c r="F32" t="s">
        <v>11</v>
      </c>
      <c r="G32">
        <f>G6/F11/G11+G16/G20+G21</f>
        <v>5.3759473966720338E-2</v>
      </c>
      <c r="H32" t="s">
        <v>39</v>
      </c>
    </row>
    <row r="33" spans="2:8" x14ac:dyDescent="0.4">
      <c r="B33" s="7"/>
      <c r="C33" t="s">
        <v>28</v>
      </c>
      <c r="D33" t="s">
        <v>15</v>
      </c>
      <c r="E33" t="s">
        <v>11</v>
      </c>
      <c r="F33" t="s">
        <v>11</v>
      </c>
      <c r="G33">
        <f>G27*G32</f>
        <v>4.0533688433928079</v>
      </c>
      <c r="H33" t="s">
        <v>41</v>
      </c>
    </row>
    <row r="34" spans="2:8" x14ac:dyDescent="0.4">
      <c r="B34" s="7"/>
      <c r="C34" t="s">
        <v>29</v>
      </c>
      <c r="D34" t="s">
        <v>15</v>
      </c>
      <c r="E34" t="s">
        <v>11</v>
      </c>
      <c r="F34" t="s">
        <v>11</v>
      </c>
      <c r="G34">
        <f>G24*(G19+G25)*E31</f>
        <v>0.29310743297824265</v>
      </c>
      <c r="H34" t="s">
        <v>47</v>
      </c>
    </row>
    <row r="35" spans="2:8" x14ac:dyDescent="0.4">
      <c r="B35" s="7"/>
      <c r="C35" t="s">
        <v>69</v>
      </c>
      <c r="D35" t="s">
        <v>15</v>
      </c>
      <c r="E35" t="s">
        <v>11</v>
      </c>
      <c r="F35" t="s">
        <v>11</v>
      </c>
      <c r="G35">
        <f>G9/F11/G11+G17+G22</f>
        <v>1.1512399355877618</v>
      </c>
    </row>
    <row r="36" spans="2:8" x14ac:dyDescent="0.4">
      <c r="B36" s="7"/>
      <c r="C36" t="s">
        <v>14</v>
      </c>
      <c r="D36" t="s">
        <v>15</v>
      </c>
      <c r="E36" t="s">
        <v>11</v>
      </c>
      <c r="F36" t="s">
        <v>11</v>
      </c>
      <c r="G36">
        <f>G10/F11/G11+G18+G23</f>
        <v>2.3024798711755237</v>
      </c>
    </row>
    <row r="37" spans="2:8" x14ac:dyDescent="0.4">
      <c r="B37" s="7"/>
      <c r="C37" t="s">
        <v>38</v>
      </c>
      <c r="D37" t="s">
        <v>15</v>
      </c>
      <c r="E37" t="s">
        <v>11</v>
      </c>
      <c r="F37" t="s">
        <v>11</v>
      </c>
      <c r="G37">
        <f>G33+G34+G35</f>
        <v>5.4977162119588119</v>
      </c>
    </row>
    <row r="38" spans="2:8" x14ac:dyDescent="0.4">
      <c r="B38" s="7"/>
      <c r="C38" t="s">
        <v>48</v>
      </c>
      <c r="D38" t="s">
        <v>49</v>
      </c>
      <c r="E38" t="s">
        <v>11</v>
      </c>
      <c r="F38" t="s">
        <v>11</v>
      </c>
      <c r="G38">
        <f>G37*G25</f>
        <v>1036.2950917806784</v>
      </c>
    </row>
    <row r="39" spans="2:8" x14ac:dyDescent="0.4">
      <c r="B39" s="7"/>
      <c r="C39" t="s">
        <v>71</v>
      </c>
      <c r="D39" t="s">
        <v>15</v>
      </c>
      <c r="E39" t="s">
        <v>11</v>
      </c>
      <c r="F39" t="s">
        <v>11</v>
      </c>
      <c r="G39">
        <f>G33+G36</f>
        <v>6.3558487145683316</v>
      </c>
    </row>
    <row r="41" spans="2:8" x14ac:dyDescent="0.4">
      <c r="B41" s="7" t="s">
        <v>16</v>
      </c>
      <c r="C41" t="s">
        <v>67</v>
      </c>
      <c r="D41" t="s">
        <v>15</v>
      </c>
      <c r="E41" t="s">
        <v>11</v>
      </c>
      <c r="F41" t="s">
        <v>11</v>
      </c>
      <c r="G41">
        <v>8</v>
      </c>
    </row>
    <row r="42" spans="2:8" x14ac:dyDescent="0.4">
      <c r="B42" s="7"/>
      <c r="C42" t="s">
        <v>68</v>
      </c>
      <c r="D42" t="s">
        <v>32</v>
      </c>
      <c r="E42" t="s">
        <v>11</v>
      </c>
      <c r="F42" t="s">
        <v>11</v>
      </c>
      <c r="G42">
        <v>2000</v>
      </c>
    </row>
  </sheetData>
  <mergeCells count="8">
    <mergeCell ref="B41:B42"/>
    <mergeCell ref="I3:K3"/>
    <mergeCell ref="B4:B15"/>
    <mergeCell ref="B16:B20"/>
    <mergeCell ref="B21:B27"/>
    <mergeCell ref="B28:B29"/>
    <mergeCell ref="B30:B31"/>
    <mergeCell ref="B32:B3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一裕 向井</dc:creator>
  <cp:lastModifiedBy>一裕 向井</cp:lastModifiedBy>
  <dcterms:created xsi:type="dcterms:W3CDTF">2025-11-22T05:30:33Z</dcterms:created>
  <dcterms:modified xsi:type="dcterms:W3CDTF">2025-11-22T12:53:51Z</dcterms:modified>
</cp:coreProperties>
</file>