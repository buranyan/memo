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08h\Documents\GitHub\memo\DDモータ_コルモーゲン\"/>
    </mc:Choice>
  </mc:AlternateContent>
  <xr:revisionPtr revIDLastSave="0" documentId="13_ncr:1_{F4C3F0CE-4131-42FA-9D69-D58CC5DD6517}" xr6:coauthVersionLast="47" xr6:coauthVersionMax="47" xr10:uidLastSave="{00000000-0000-0000-0000-000000000000}"/>
  <bookViews>
    <workbookView xWindow="75" yWindow="0" windowWidth="12660" windowHeight="15435" activeTab="1" xr2:uid="{00000000-000D-0000-FFFF-FFFF00000000}"/>
  </bookViews>
  <sheets>
    <sheet name="入力条件" sheetId="1" r:id="rId1"/>
    <sheet name="計算詳細" sheetId="2" r:id="rId2"/>
    <sheet name="結果概要" sheetId="3" r:id="rId3"/>
    <sheet name="グラフ" sheetId="4" r:id="rId4"/>
    <sheet name="導出メモ" sheetId="5" r:id="rId5"/>
    <sheet name="定義整理" sheetId="6" r:id="rId6"/>
    <sheet name="Kollmorgen定義対応表" sheetId="7" r:id="rId7"/>
    <sheet name="Kollmorgen定義対応表_詳細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8" l="1"/>
  <c r="E106" i="8"/>
  <c r="E105" i="8"/>
  <c r="E94" i="8"/>
  <c r="E57" i="8"/>
  <c r="E27" i="8"/>
  <c r="E26" i="8"/>
  <c r="E24" i="8"/>
  <c r="E23" i="8"/>
  <c r="E22" i="8"/>
  <c r="E21" i="8"/>
  <c r="E20" i="8"/>
  <c r="E19" i="8"/>
  <c r="E18" i="8"/>
  <c r="E17" i="8"/>
  <c r="E16" i="8"/>
  <c r="E15" i="8"/>
  <c r="E14" i="8"/>
  <c r="E56" i="7"/>
  <c r="E55" i="7"/>
  <c r="E54" i="7"/>
  <c r="E24" i="7"/>
  <c r="E23" i="7"/>
  <c r="E22" i="7"/>
  <c r="E21" i="7"/>
  <c r="E20" i="7"/>
  <c r="E19" i="7"/>
  <c r="E18" i="7"/>
  <c r="E17" i="7"/>
  <c r="C10" i="6"/>
  <c r="C9" i="6"/>
  <c r="C8" i="6"/>
  <c r="C7" i="6"/>
  <c r="C5" i="6"/>
  <c r="C4" i="6"/>
  <c r="B5" i="4"/>
  <c r="B4" i="4"/>
  <c r="B4" i="3"/>
  <c r="E77" i="8" s="1"/>
  <c r="D62" i="2"/>
  <c r="D63" i="2" s="1"/>
  <c r="D60" i="2"/>
  <c r="B36" i="3" s="1"/>
  <c r="H58" i="2"/>
  <c r="H57" i="2"/>
  <c r="D42" i="2"/>
  <c r="E65" i="8" s="1"/>
  <c r="D39" i="2"/>
  <c r="D40" i="2" s="1"/>
  <c r="E64" i="8" s="1"/>
  <c r="D38" i="2"/>
  <c r="E62" i="8" s="1"/>
  <c r="D35" i="2"/>
  <c r="B20" i="3" s="1"/>
  <c r="E93" i="8" s="1"/>
  <c r="D33" i="2"/>
  <c r="D34" i="2" s="1"/>
  <c r="D27" i="2"/>
  <c r="E51" i="8" s="1"/>
  <c r="D9" i="2"/>
  <c r="E35" i="8" s="1"/>
  <c r="D8" i="2"/>
  <c r="E34" i="8" s="1"/>
  <c r="D7" i="2"/>
  <c r="E33" i="8" s="1"/>
  <c r="D6" i="2"/>
  <c r="E32" i="8" s="1"/>
  <c r="D5" i="2"/>
  <c r="D4" i="2"/>
  <c r="D69" i="2" s="1"/>
  <c r="D70" i="2" s="1"/>
  <c r="B16" i="1"/>
  <c r="E29" i="8" s="1"/>
  <c r="B15" i="1"/>
  <c r="E28" i="8" s="1"/>
  <c r="B19" i="3" l="1"/>
  <c r="E92" i="8" s="1"/>
  <c r="D36" i="2"/>
  <c r="E60" i="8" s="1"/>
  <c r="E58" i="8"/>
  <c r="B9" i="4"/>
  <c r="E110" i="8"/>
  <c r="E58" i="7"/>
  <c r="E113" i="8"/>
  <c r="E60" i="7"/>
  <c r="B40" i="3"/>
  <c r="B5" i="3"/>
  <c r="E78" i="8" s="1"/>
  <c r="D43" i="2"/>
  <c r="B6" i="3"/>
  <c r="E79" i="8" s="1"/>
  <c r="C6" i="6"/>
  <c r="D61" i="2"/>
  <c r="E57" i="7"/>
  <c r="B11" i="4"/>
  <c r="D10" i="2"/>
  <c r="B10" i="4"/>
  <c r="D14" i="2"/>
  <c r="D49" i="2"/>
  <c r="E59" i="8"/>
  <c r="B12" i="4"/>
  <c r="C11" i="6"/>
  <c r="E25" i="7"/>
  <c r="E41" i="7"/>
  <c r="E108" i="8"/>
  <c r="E26" i="7"/>
  <c r="E42" i="7"/>
  <c r="E27" i="7"/>
  <c r="E30" i="8"/>
  <c r="E28" i="7"/>
  <c r="E31" i="8"/>
  <c r="E63" i="8"/>
  <c r="D20" i="2"/>
  <c r="B7" i="3"/>
  <c r="E80" i="8" l="1"/>
  <c r="E43" i="7"/>
  <c r="E66" i="8"/>
  <c r="D44" i="2"/>
  <c r="E45" i="8"/>
  <c r="E34" i="7"/>
  <c r="D15" i="2"/>
  <c r="D64" i="2"/>
  <c r="E40" i="8"/>
  <c r="E33" i="7"/>
  <c r="D37" i="2"/>
  <c r="C15" i="6"/>
  <c r="B22" i="4"/>
  <c r="E72" i="8"/>
  <c r="B24" i="3"/>
  <c r="E95" i="8" s="1"/>
  <c r="E29" i="7"/>
  <c r="C12" i="6"/>
  <c r="D11" i="2"/>
  <c r="B8" i="3"/>
  <c r="E36" i="8"/>
  <c r="B37" i="3"/>
  <c r="E109" i="8"/>
  <c r="E61" i="8" l="1"/>
  <c r="B21" i="3"/>
  <c r="D17" i="2"/>
  <c r="D16" i="2"/>
  <c r="E41" i="8"/>
  <c r="D66" i="2"/>
  <c r="D65" i="2"/>
  <c r="D67" i="2" s="1"/>
  <c r="E112" i="8" s="1"/>
  <c r="E81" i="8"/>
  <c r="E44" i="7"/>
  <c r="E30" i="7"/>
  <c r="D12" i="2"/>
  <c r="E37" i="8"/>
  <c r="E67" i="8"/>
  <c r="B25" i="3"/>
  <c r="E96" i="8" s="1"/>
  <c r="D45" i="2"/>
  <c r="D48" i="2"/>
  <c r="D47" i="2"/>
  <c r="E70" i="8" s="1"/>
  <c r="E31" i="7" l="1"/>
  <c r="D13" i="2"/>
  <c r="B9" i="3"/>
  <c r="E38" i="8"/>
  <c r="D71" i="2"/>
  <c r="B41" i="3" s="1"/>
  <c r="B38" i="3"/>
  <c r="E111" i="8"/>
  <c r="D68" i="2"/>
  <c r="B39" i="3" s="1"/>
  <c r="E115" i="8" s="1"/>
  <c r="E59" i="7"/>
  <c r="B27" i="3"/>
  <c r="E98" i="8" s="1"/>
  <c r="E71" i="8"/>
  <c r="B13" i="3"/>
  <c r="E86" i="8" s="1"/>
  <c r="E43" i="8"/>
  <c r="B10" i="3"/>
  <c r="D50" i="2"/>
  <c r="D46" i="2"/>
  <c r="E69" i="8" s="1"/>
  <c r="B26" i="3"/>
  <c r="E97" i="8" s="1"/>
  <c r="E68" i="8"/>
  <c r="E49" i="7"/>
  <c r="D18" i="2"/>
  <c r="E42" i="8"/>
  <c r="E83" i="8" l="1"/>
  <c r="E46" i="7"/>
  <c r="E114" i="8"/>
  <c r="E61" i="7"/>
  <c r="D51" i="2"/>
  <c r="B28" i="3"/>
  <c r="E99" i="8" s="1"/>
  <c r="E73" i="8"/>
  <c r="E50" i="7"/>
  <c r="D52" i="2"/>
  <c r="B14" i="3"/>
  <c r="E87" i="8" s="1"/>
  <c r="E44" i="8"/>
  <c r="B16" i="4"/>
  <c r="E36" i="7"/>
  <c r="E82" i="8"/>
  <c r="E45" i="7"/>
  <c r="C13" i="6"/>
  <c r="E32" i="7"/>
  <c r="E39" i="8"/>
  <c r="D28" i="2"/>
  <c r="D21" i="2"/>
  <c r="E75" i="8" l="1"/>
  <c r="D58" i="2"/>
  <c r="B34" i="3" s="1"/>
  <c r="E35" i="7"/>
  <c r="E46" i="8"/>
  <c r="D22" i="2"/>
  <c r="C16" i="6"/>
  <c r="B23" i="4"/>
  <c r="E74" i="8"/>
  <c r="D53" i="2"/>
  <c r="E52" i="8"/>
  <c r="D29" i="2"/>
  <c r="C17" i="6" l="1"/>
  <c r="B24" i="4"/>
  <c r="E76" i="8"/>
  <c r="B29" i="3"/>
  <c r="E100" i="8" s="1"/>
  <c r="D23" i="2"/>
  <c r="E47" i="8"/>
  <c r="D24" i="2"/>
  <c r="D31" i="2"/>
  <c r="D30" i="2"/>
  <c r="E53" i="8"/>
  <c r="E54" i="8" l="1"/>
  <c r="D32" i="2"/>
  <c r="B17" i="3"/>
  <c r="E90" i="8" s="1"/>
  <c r="B12" i="3"/>
  <c r="E39" i="7"/>
  <c r="E55" i="8"/>
  <c r="E48" i="8"/>
  <c r="D25" i="2"/>
  <c r="E49" i="8"/>
  <c r="B15" i="3"/>
  <c r="E88" i="8" s="1"/>
  <c r="B11" i="3"/>
  <c r="E37" i="7"/>
  <c r="E47" i="7" l="1"/>
  <c r="E84" i="8"/>
  <c r="E50" i="8"/>
  <c r="B16" i="3"/>
  <c r="E89" i="8" s="1"/>
  <c r="B17" i="4"/>
  <c r="E38" i="7"/>
  <c r="E48" i="7"/>
  <c r="B29" i="1"/>
  <c r="E85" i="8"/>
  <c r="B18" i="3"/>
  <c r="E91" i="8" s="1"/>
  <c r="B18" i="4"/>
  <c r="E40" i="7"/>
  <c r="E56" i="8"/>
  <c r="B27" i="4" l="1"/>
  <c r="D55" i="2"/>
  <c r="D54" i="2"/>
  <c r="E25" i="8"/>
  <c r="B28" i="4" l="1"/>
  <c r="C18" i="6"/>
  <c r="D56" i="2"/>
  <c r="B32" i="3" s="1"/>
  <c r="E103" i="8" s="1"/>
  <c r="B30" i="3"/>
  <c r="E101" i="8" s="1"/>
  <c r="C19" i="6"/>
  <c r="D57" i="2"/>
  <c r="B33" i="3" s="1"/>
  <c r="E104" i="8" s="1"/>
  <c r="B31" i="3"/>
  <c r="E102" i="8" s="1"/>
  <c r="B29" i="4"/>
</calcChain>
</file>

<file path=xl/sharedStrings.xml><?xml version="1.0" encoding="utf-8"?>
<sst xmlns="http://schemas.openxmlformats.org/spreadsheetml/2006/main" count="2570" uniqueCount="1227">
  <si>
    <t>入力項目</t>
  </si>
  <si>
    <t>値</t>
  </si>
  <si>
    <t>単位</t>
  </si>
  <si>
    <t>備考</t>
  </si>
  <si>
    <t>インバータ設計設定</t>
  </si>
  <si>
    <t>変調方式</t>
  </si>
  <si>
    <t>SVPWM</t>
  </si>
  <si>
    <t>-</t>
  </si>
  <si>
    <t>ここを SPWM / SVPWM で切替</t>
  </si>
  <si>
    <t>線間基本波rms / Vdc 係数 k_mod</t>
  </si>
  <si>
    <t>SPWM: 0.612, SVPWM: 0.707</t>
  </si>
  <si>
    <t>相基本波peak / Vdc 係数 k_ph,max</t>
  </si>
  <si>
    <t>SPWM: 0.500, SVPWM: 0.577</t>
  </si>
  <si>
    <t>DCバス換算の採用式</t>
  </si>
  <si>
    <t>相peak基準版と線間rms基準版は同値</t>
  </si>
  <si>
    <t>計算前提</t>
  </si>
  <si>
    <t>内容</t>
  </si>
  <si>
    <t>モータモデル</t>
  </si>
  <si>
    <t>3相PMSM相当</t>
  </si>
  <si>
    <t>制御前提</t>
  </si>
  <si>
    <t>正弦波電流、id = 0制御</t>
  </si>
  <si>
    <t>発熱の扱い</t>
  </si>
  <si>
    <t>巻線の銅損を発熱量として計算</t>
  </si>
  <si>
    <t>効率の扱い</t>
  </si>
  <si>
    <t>機械出力 / (機械出力 + 銅損)</t>
  </si>
  <si>
    <t>回生制動（停止時）入力</t>
  </si>
  <si>
    <t>慣性モーメント J</t>
  </si>
  <si>
    <t>kg·m²</t>
  </si>
  <si>
    <t>停止前の等価慣性モーメント</t>
  </si>
  <si>
    <t>減速時間 t_dec</t>
  </si>
  <si>
    <t>s</t>
  </si>
  <si>
    <t>10 rpm → 0 rpm を1 sで停止</t>
  </si>
  <si>
    <t>DCバス容量 C_dc</t>
  </si>
  <si>
    <t>F</t>
  </si>
  <si>
    <t>回生電圧上昇予測に必要（初期値: 10 mF、適宜変更）</t>
  </si>
  <si>
    <t>回生開始DCバス電圧 Vdc_init</t>
  </si>
  <si>
    <t>V</t>
  </si>
  <si>
    <t>初期値は推奨最小DCバス。実機のDCバス公称値へ上書き可</t>
  </si>
  <si>
    <t>回生計算の前提</t>
  </si>
  <si>
    <t>運動エネルギー→DCコンデンサ。理想版と銅損考慮版を併記</t>
  </si>
  <si>
    <t>理想版: 全慣性エネルギーがC_dcへ流入 / 実効版: 銅損を差し引く</t>
  </si>
  <si>
    <t>項目</t>
  </si>
  <si>
    <t>一般式</t>
  </si>
  <si>
    <t>Excel式（文字列）</t>
  </si>
  <si>
    <t>計算結果</t>
  </si>
  <si>
    <t>式の説明</t>
  </si>
  <si>
    <t>補足</t>
  </si>
  <si>
    <t>導出メモ</t>
  </si>
  <si>
    <t>回生制動（停止時）の計算</t>
  </si>
  <si>
    <t>回生開始機械角速度 ω_m,reg,start</t>
  </si>
  <si>
    <t>n_ss × 2π / 60</t>
  </si>
  <si>
    <t>入力条件!B9×2π/60</t>
  </si>
  <si>
    <t>rad/s</t>
  </si>
  <si>
    <t>停止直前の機械角速度。定常時回転速度から計算。</t>
  </si>
  <si>
    <t>停止前速度は定常時10 rpmを使用</t>
  </si>
  <si>
    <t>停止開始時の運動エネルギー計算の起点。</t>
  </si>
  <si>
    <t>減速度絶対値 |α_dec|</t>
  </si>
  <si>
    <t>ω_m,reg,start / t_dec</t>
  </si>
  <si>
    <t>D42/入力条件!B27</t>
  </si>
  <si>
    <t>rad/s²</t>
  </si>
  <si>
    <t>一定減速度で 10 rpm → 0 rpm と仮定。</t>
  </si>
  <si>
    <t>符号は負だが、ここでは大きさで表示</t>
  </si>
  <si>
    <t>ω(t)=ω0(1-t/t_dec) と置くと α=-ω0/t_dec。</t>
  </si>
  <si>
    <t>必要減速トルク |T_regen|</t>
  </si>
  <si>
    <t>J × |α_dec|</t>
  </si>
  <si>
    <t>入力条件!B26×D43</t>
  </si>
  <si>
    <t>Nm</t>
  </si>
  <si>
    <t>慣性モーメントと減速度から必要制動トルクを算出。</t>
  </si>
  <si>
    <t>負トルクだが、ここでは大きさで表示</t>
  </si>
  <si>
    <t>運動方程式 T=Jα。</t>
  </si>
  <si>
    <t>必要回生電流 |I_regen,rms|</t>
  </si>
  <si>
    <t>|T_regen| / Kt</t>
  </si>
  <si>
    <t>D44/入力条件!B6</t>
  </si>
  <si>
    <t>Arms</t>
  </si>
  <si>
    <t>Kt[Nm/Arms] より必要な相電流実効値を計算。</t>
  </si>
  <si>
    <t>電流極性は負側（回生）</t>
  </si>
  <si>
    <t>電流の大きさだけを表示し、回生方向は補足で示す。</t>
  </si>
  <si>
    <t>必要回生電流 |I_regen,peak|</t>
  </si>
  <si>
    <t>√2 × |I_regen,rms|</t>
  </si>
  <si>
    <t>SQRT(2)×D45</t>
  </si>
  <si>
    <t>Apeak</t>
  </si>
  <si>
    <t>dq式で用いるピーク値へ換算。</t>
  </si>
  <si>
    <t>I_peak=√2 I_rms。</t>
  </si>
  <si>
    <t>停止開始時の機械回生電力 P_mech,start</t>
  </si>
  <si>
    <t>|T_regen| × ω_m,reg,start</t>
  </si>
  <si>
    <t>D44×D42</t>
  </si>
  <si>
    <t>W</t>
  </si>
  <si>
    <t>停止開始瞬間の機械側回生電力。</t>
  </si>
  <si>
    <t>停止に伴い0まで線形に低下</t>
  </si>
  <si>
    <t>一定トルク減速なら P=Tω。</t>
  </si>
  <si>
    <t>平均機械回生電力 P_mech,avg</t>
  </si>
  <si>
    <t>0.5 × |T_regen| × ω_m,reg,start</t>
  </si>
  <si>
    <t>0.5×D44×D42</t>
  </si>
  <si>
    <t>一定減速度なら速度が線形に下がるため平均は開始時の1/2。</t>
  </si>
  <si>
    <t>E_k/t_dec と同値。</t>
  </si>
  <si>
    <t>停止前慣性エネルギー E_k</t>
  </si>
  <si>
    <t>0.5 × J × ω_m,reg,start²</t>
  </si>
  <si>
    <t>0.5×入力条件!B26×D42^2</t>
  </si>
  <si>
    <t>J</t>
  </si>
  <si>
    <t>停止前に機械系へ蓄えられている運動エネルギー。</t>
  </si>
  <si>
    <t>この値が回生で取り出せる理想上限。</t>
  </si>
  <si>
    <t>平均DCバス回生電力 P_bus,avg</t>
  </si>
  <si>
    <t>P_mech,avg - P_cu,regen</t>
  </si>
  <si>
    <t>D48-D50</t>
  </si>
  <si>
    <t>機械回生電力から銅損を差し引いた、DCバスへ戻り得る平均電力。</t>
  </si>
  <si>
    <t>負ならDCバス上昇なし</t>
  </si>
  <si>
    <t>源が回生吸収できず、かつこの値が正ならコンデンサ電圧が上昇。</t>
  </si>
  <si>
    <t>DCバス回収可能エネルギー E_bus</t>
  </si>
  <si>
    <t>MAX(E_k - E_cu, 0)</t>
  </si>
  <si>
    <t>MAX(D49-D51,0)</t>
  </si>
  <si>
    <t>DCバスに実際に蓄積できる正味エネルギー。</t>
  </si>
  <si>
    <t>負値は0に丸める</t>
  </si>
  <si>
    <t>銅損が運動エネルギーを上回る場合、電圧上昇は生じない。</t>
  </si>
  <si>
    <t>回生後DCバス電圧 Vdc,final,ideal</t>
  </si>
  <si>
    <t>√(Vdc_init² + 2E_k/C_dc)</t>
  </si>
  <si>
    <t>IF(入力条件!B28&gt;0,SQRT(入力条件!B29^2+2*D49/入力条件!B28),NA())</t>
  </si>
  <si>
    <t>理想ケース: 全慣性エネルギーがDCコンデンサへ流入すると仮定。</t>
  </si>
  <si>
    <t>電源・抵抗・インバータ損失無視</t>
  </si>
  <si>
    <t>コンデンサエネルギー 0.5CV² を用いる。</t>
  </si>
  <si>
    <t>回生後DCバス電圧 Vdc,final,net</t>
  </si>
  <si>
    <t>√(Vdc_init² + 2E_bus/C_dc)</t>
  </si>
  <si>
    <t>IF(入力条件!B28&gt;0,SQRT(入力条件!B29^2+2*D53/入力条件!B28),NA())</t>
  </si>
  <si>
    <t>実効ケース: 銅損を差し引いた正味回生エネルギーのみを充電に反映。</t>
  </si>
  <si>
    <t>簡易予測値</t>
  </si>
  <si>
    <t>負の正味エネルギーは0として扱う。</t>
  </si>
  <si>
    <t>理想回生の電圧上昇 ΔV_ideal</t>
  </si>
  <si>
    <t>Vdc,final,ideal - Vdc_init</t>
  </si>
  <si>
    <t>D54-入力条件!B29</t>
  </si>
  <si>
    <t>理想条件でのDCバス上昇量。</t>
  </si>
  <si>
    <t>電圧上昇最大の上限評価。</t>
  </si>
  <si>
    <t>実効回生の電圧上昇 ΔV_net</t>
  </si>
  <si>
    <t>Vdc,final,net - Vdc_init</t>
  </si>
  <si>
    <t>D55-入力条件!B29</t>
  </si>
  <si>
    <t>銅損考慮時のDCバス上昇量。</t>
  </si>
  <si>
    <t>0 Vなら上昇なし</t>
  </si>
  <si>
    <t>回生成立判定</t>
  </si>
  <si>
    <t>IF(D52&gt;0,"DCバス上昇あり","銅損が上回るためDCバス上昇なし")</t>
  </si>
  <si>
    <t>平均正味回生電力が正かどうかで簡易判定。</t>
  </si>
  <si>
    <t>指標</t>
  </si>
  <si>
    <t>説明</t>
  </si>
  <si>
    <t>グラフ</t>
  </si>
  <si>
    <t>状態</t>
  </si>
  <si>
    <t>相電流 [Arms]</t>
  </si>
  <si>
    <t>起動時</t>
  </si>
  <si>
    <t>定常時</t>
  </si>
  <si>
    <t>電力 [W]</t>
  </si>
  <si>
    <t>定常時機械出力</t>
  </si>
  <si>
    <t>定常時発熱量</t>
  </si>
  <si>
    <t>起動時銅損</t>
  </si>
  <si>
    <t>加速中平均発熱</t>
  </si>
  <si>
    <t>必要DCバス [V]</t>
  </si>
  <si>
    <t>加速ワースト</t>
  </si>
  <si>
    <t>エネルギー [J]</t>
  </si>
  <si>
    <t>停止前慣性エネルギー</t>
  </si>
  <si>
    <t>回生時銅損エネルギー</t>
  </si>
  <si>
    <t>DCバス回収可能エネルギー</t>
  </si>
  <si>
    <t>電圧 [V]</t>
  </si>
  <si>
    <t>回生開始DCバス</t>
  </si>
  <si>
    <t>回生後DCバス（理想）</t>
  </si>
  <si>
    <t>回生後DCバス（銅損考慮）</t>
  </si>
  <si>
    <t>テーマ</t>
  </si>
  <si>
    <t>式 / 要点</t>
  </si>
  <si>
    <t>3. 変調方式の係数</t>
  </si>
  <si>
    <t>4. q軸電圧式</t>
  </si>
  <si>
    <t>5. d軸電圧式</t>
  </si>
  <si>
    <t>6. DCバスの整合チェック</t>
  </si>
  <si>
    <t>7. 出力・損失</t>
  </si>
  <si>
    <t>機械出力</t>
  </si>
  <si>
    <t>P_out = T ω_m</t>
  </si>
  <si>
    <t>機械角速度を使う。</t>
  </si>
  <si>
    <t>効率</t>
  </si>
  <si>
    <t>η = P_out / (P_out + P_cu)</t>
  </si>
  <si>
    <t>今回は銅損のみ考慮。</t>
  </si>
  <si>
    <t>起動中6 Arms一定 → P_heat,avg = P_cu,start</t>
  </si>
  <si>
    <t>発熱エネルギーは Q=P×t。</t>
  </si>
  <si>
    <t>8. 回生制動の基本式</t>
  </si>
  <si>
    <t>必要減速トルク</t>
  </si>
  <si>
    <t>|T_regen| = J × |α_dec|</t>
  </si>
  <si>
    <t>一定減速度なら α=-ω0/t_dec。ここでは大きさで整理する。</t>
  </si>
  <si>
    <t>E_k = 0.5 J ω0²</t>
  </si>
  <si>
    <t>停止前に機械系が持つ運動エネルギー。</t>
  </si>
  <si>
    <t>平均機械回生電力</t>
  </si>
  <si>
    <t>P_mech,avg = E_k / t_dec = 0.5 T_regen ω0</t>
  </si>
  <si>
    <t>一定トルク減速なら開始時の回生電力の1/2。</t>
  </si>
  <si>
    <t>正味回生エネルギー</t>
  </si>
  <si>
    <t>E_bus = MAX(E_k - P_cu,regen t_dec, 0)</t>
  </si>
  <si>
    <t>この値が正のときのみDCバス上昇が起こり得る。</t>
  </si>
  <si>
    <t>DCバス上昇</t>
  </si>
  <si>
    <t>V_final = √(V_init² + 2E/C_dc)</t>
  </si>
  <si>
    <t>DCコンデンサの蓄積エネルギー 0.5CV² を利用。</t>
  </si>
  <si>
    <t>式</t>
  </si>
  <si>
    <t>現在値</t>
  </si>
  <si>
    <t>実効回生後DCバス</t>
  </si>
  <si>
    <t>√(V_init²+2E_bus/C)</t>
  </si>
  <si>
    <t>DDモータ計算シート（Kollmorgen白書準拠・SPWM/SVPWM切替対応）</t>
  </si>
  <si>
    <t>黄色セル=定義照合/主要計算確認対象</t>
  </si>
  <si>
    <t>線間巻線抵抗 R_ll</t>
  </si>
  <si>
    <t>Ω</t>
  </si>
  <si>
    <t>Kollmorgen表記・line-line</t>
  </si>
  <si>
    <t>線間インダクタンス L_ll</t>
  </si>
  <si>
    <t>H</t>
  </si>
  <si>
    <t>トルク定数 Kt</t>
  </si>
  <si>
    <t>Nm/Arms</t>
  </si>
  <si>
    <t>正弦波通電・Y結線では線RMS=相RMS</t>
  </si>
  <si>
    <t>起動時電流 I_start</t>
  </si>
  <si>
    <t>Y結線では線RMS=相RMS</t>
  </si>
  <si>
    <t>定常時電流 I_ss</t>
  </si>
  <si>
    <t>定常時回転速度 n_ss</t>
  </si>
  <si>
    <t>rpm</t>
  </si>
  <si>
    <t>加速時間 t_acc</t>
  </si>
  <si>
    <t>0 rpm → 10 rpm</t>
  </si>
  <si>
    <t>極ペア数 p</t>
  </si>
  <si>
    <t>Ke上書き Ke_ll,rms（任意）</t>
  </si>
  <si>
    <t>Vrms/krpm</t>
  </si>
  <si>
    <t>空欄ならKtから推定（Kollmorgen白書: line-line rms）</t>
  </si>
  <si>
    <t>Vdc = Vll,rms / k_mod = Vph,peak / k_ph,max</t>
  </si>
  <si>
    <t>起動過渡（L·di/dt）入力</t>
  </si>
  <si>
    <t>起動電流立上り時間 t_I,start</t>
  </si>
  <si>
    <t>ms</t>
  </si>
  <si>
    <t>0→I_start までの目標時間</t>
  </si>
  <si>
    <t>電流ループ帯域 f_ci（参考）</t>
  </si>
  <si>
    <t>Hz</t>
  </si>
  <si>
    <t>small-signal補正余裕の参考</t>
  </si>
  <si>
    <t>電流誤差割合 ε_ci（参考）</t>
  </si>
  <si>
    <t>例: 0.1 = 10%</t>
  </si>
  <si>
    <t>起動L·di/dtモデル</t>
  </si>
  <si>
    <t>立上り時間基準を主計算 / 帯域基準は参考</t>
  </si>
  <si>
    <t>KollmorgenのL-Rモデルに寄せた簡易近似</t>
  </si>
  <si>
    <t>計算詳細（Kollmorgen白書準拠・Y結線・SPWM/SVPWM切替対応）</t>
  </si>
  <si>
    <t>起動時電流ピーク値 I_start,peak</t>
  </si>
  <si>
    <t>√2 × I_start</t>
  </si>
  <si>
    <t>SQRT(2)×'入力条件'!B7</t>
  </si>
  <si>
    <t>RMS電流をピーク値へ変換。</t>
  </si>
  <si>
    <t>dq式で使用</t>
  </si>
  <si>
    <t>定常時電流ピーク値 I_ss,peak</t>
  </si>
  <si>
    <t>√2 × I_ss</t>
  </si>
  <si>
    <t>SQRT(2)×'入力条件'!B8</t>
  </si>
  <si>
    <t>同上。</t>
  </si>
  <si>
    <t>定常時機械角速度 ω_m,ss</t>
  </si>
  <si>
    <t>'入力条件'!B9×2π/60</t>
  </si>
  <si>
    <t>回転速度[rpm]を機械角速度へ変換。</t>
  </si>
  <si>
    <t>ω_m=n×2π/60。</t>
  </si>
  <si>
    <t>定常時電気角速度 ω_e,ss</t>
  </si>
  <si>
    <t>p × ω_m,ss</t>
  </si>
  <si>
    <t>'入力条件'!B11×D6</t>
  </si>
  <si>
    <t>d軸電圧の誘導項計算に使用。</t>
  </si>
  <si>
    <t>ω_e=pω_m。</t>
  </si>
  <si>
    <t>Ke推定（線間rms / 機械rad/s）</t>
  </si>
  <si>
    <t>Kt / √2</t>
  </si>
  <si>
    <t>('入力条件'!B6)/SQRT(2)</t>
  </si>
  <si>
    <t>V/(rad/s)</t>
  </si>
  <si>
    <t>Kollmorgen白書: line-line crest Ke = Kt なので、rms は /√2。</t>
  </si>
  <si>
    <t>正弦波・Y結線前提</t>
  </si>
  <si>
    <t>Ke_ll,crest[V/(rad/s)] = Kt[Nm/Arms], したがって Ke_ll,rms = Kt/√2。</t>
  </si>
  <si>
    <t>Ke推定（線間rms / krpm）</t>
  </si>
  <si>
    <t>Ke_rms × 1000×2π/60</t>
  </si>
  <si>
    <t>D8×(1000×2π/60)</t>
  </si>
  <si>
    <t>Kollmorgenカタログ表記へ換算。</t>
  </si>
  <si>
    <t>1000 rpm = 1000×2π/60 rad/s。</t>
  </si>
  <si>
    <t>Ke有効（線間rms / krpm）</t>
  </si>
  <si>
    <t>IF(override, override, Ke_est)</t>
  </si>
  <si>
    <t>IF('入力条件'!B12="",D9,'入力条件'!B12)</t>
  </si>
  <si>
    <t>Ke上書き入力があれば優先。</t>
  </si>
  <si>
    <t>空欄ならKtからの推定値。</t>
  </si>
  <si>
    <t>Ke有効（線間rms / 機械rad/s）</t>
  </si>
  <si>
    <t>Ke_active / (1000×2π/60)</t>
  </si>
  <si>
    <t>D10/(1000×2π/60)</t>
  </si>
  <si>
    <t>計算に使う有効Ke（line-line rms）。</t>
  </si>
  <si>
    <t>SVPWM最低DCバス計算で使用。</t>
  </si>
  <si>
    <t>定常時逆起電力 E_ll,rms,ss</t>
  </si>
  <si>
    <t>Ke_active × ω_m,ss</t>
  </si>
  <si>
    <t>D11×D6</t>
  </si>
  <si>
    <t>Vrms</t>
  </si>
  <si>
    <t>線間rms基準の逆起電力。</t>
  </si>
  <si>
    <t>Kollmorgenカタログの Ke_ll,rms と同じ基準。</t>
  </si>
  <si>
    <t>定常時逆起電力 E_ph,peak,ss</t>
  </si>
  <si>
    <t>E_ll,rms × √(2/3)</t>
  </si>
  <si>
    <t>D12×SQRT(2/3)</t>
  </si>
  <si>
    <t>Vpeak</t>
  </si>
  <si>
    <t>相peak基準へ換算。</t>
  </si>
  <si>
    <t>dq式のq軸で使用</t>
  </si>
  <si>
    <t>Vll,rms=√(3/2)Vph,peak。</t>
  </si>
  <si>
    <t>起動時 q軸電圧 v_q,start</t>
  </si>
  <si>
    <t>R_phase × I_start,peak</t>
  </si>
  <si>
    <t>('入力条件'!B4/2)×D4</t>
  </si>
  <si>
    <t>起動瞬間は逆起電力0。</t>
  </si>
  <si>
    <t>R_phase=R_ll/2</t>
  </si>
  <si>
    <t>Y結線の相抵抗を使用。</t>
  </si>
  <si>
    <t>起動時必要相電圧 V_ph,peak,start</t>
  </si>
  <si>
    <t>|v_q,start|</t>
  </si>
  <si>
    <t>ABS(D14)</t>
  </si>
  <si>
    <t>相peak基準の必要電圧。</t>
  </si>
  <si>
    <t>起動時は d軸成分0。</t>
  </si>
  <si>
    <t>起動時必要線間電圧 V_ll,rms,start</t>
  </si>
  <si>
    <t>√(3/2) × V_ph,peak,start</t>
  </si>
  <si>
    <t>SQRT(3/2)×D15</t>
  </si>
  <si>
    <t>線間rms基準へ換算。</t>
  </si>
  <si>
    <t>起動時必要DCバス（相peak基準）</t>
  </si>
  <si>
    <t>V_ph,peak,start / k_ph,max</t>
  </si>
  <si>
    <t>D15/'入力条件'!B16</t>
  </si>
  <si>
    <t>Vdc</t>
  </si>
  <si>
    <t>相peak基準でのDCバス式。</t>
  </si>
  <si>
    <t>SPWM/SVPWM切替対応</t>
  </si>
  <si>
    <t>SVPWMでは Vph,peak,max=Vdc/√3。</t>
  </si>
  <si>
    <t>起動時必要DCバス（線間rms基準）</t>
  </si>
  <si>
    <t>V_ll,rms,start / k_mod</t>
  </si>
  <si>
    <t>D16/'入力条件'!B15</t>
  </si>
  <si>
    <t>線間rms基準でのDCバス式。</t>
  </si>
  <si>
    <t>SVPWMでは Vll,rms,max=0.707Vdc。</t>
  </si>
  <si>
    <t>定常時 d軸電圧 v_d,ss</t>
  </si>
  <si>
    <t>-ω_e × L_phase × I_ss,peak</t>
  </si>
  <si>
    <t>-D7×('入力条件'!B5/2)×D5</t>
  </si>
  <si>
    <t>インダクタンスによる誘導項。</t>
  </si>
  <si>
    <t>L_phase=L_ll/2</t>
  </si>
  <si>
    <t>定常時 q軸電圧 v_q,ss</t>
  </si>
  <si>
    <t>R_phase × I_ss,peak + E_ph,peak,ss</t>
  </si>
  <si>
    <t>('入力条件'!B4/2)×D5 + D13</t>
  </si>
  <si>
    <t>抵抗降下と逆起電力の和。</t>
  </si>
  <si>
    <t>KollmorgenのKe_ll,rmsを相peakへ換算して使用。</t>
  </si>
  <si>
    <t>定常時必要相電圧 V_ph,peak,ss</t>
  </si>
  <si>
    <t>√(v_d,ss² + v_q,ss²)</t>
  </si>
  <si>
    <t>SQRT(D20^2 + D21^2)</t>
  </si>
  <si>
    <t>dqベクトルの大きさ。</t>
  </si>
  <si>
    <t>定常時必要線間電圧 V_ll,rms,ss</t>
  </si>
  <si>
    <t>√(3/2) × V_ph,peak,ss</t>
  </si>
  <si>
    <t>SQRT(3/2)×D22</t>
  </si>
  <si>
    <t>定常時必要DCバス（相peak基準）</t>
  </si>
  <si>
    <t>V_ph,peak,ss / k_ph,max</t>
  </si>
  <si>
    <t>D22/'入力条件'!B16</t>
  </si>
  <si>
    <t>相peak基準版。</t>
  </si>
  <si>
    <t>定常時必要DCバス（線間rms基準）</t>
  </si>
  <si>
    <t>V_ll,rms,ss / k_mod</t>
  </si>
  <si>
    <t>D23/'入力条件'!B15</t>
  </si>
  <si>
    <t>線間rms基準版。</t>
  </si>
  <si>
    <t>加速ワースト d軸電圧 v_d,acc</t>
  </si>
  <si>
    <t>-ω_e × L_phase × I_start,peak</t>
  </si>
  <si>
    <t>-D7×('入力条件'!B5/2)×D4</t>
  </si>
  <si>
    <t>起動電流一定のワースト条件。</t>
  </si>
  <si>
    <t>加速ワースト q軸電圧 v_q,acc</t>
  </si>
  <si>
    <t>R_phase × I_start,peak + E_ph,peak,ss</t>
  </si>
  <si>
    <t>('入力条件'!B4/2)×D4 + D13</t>
  </si>
  <si>
    <t>加速ワースト必要相電圧 V_ph,peak,acc</t>
  </si>
  <si>
    <t>√(v_d,acc² + v_q,acc²)</t>
  </si>
  <si>
    <t>SQRT(D27^2 + D28^2)</t>
  </si>
  <si>
    <t>起動区間全体の設計支配条件。</t>
  </si>
  <si>
    <t>加速ワースト必要線間電圧 V_ll,rms,acc</t>
  </si>
  <si>
    <t>√(3/2) × V_ph,peak,acc</t>
  </si>
  <si>
    <t>SQRT(3/2)×D29</t>
  </si>
  <si>
    <t>加速ワースト必要DCバス（相peak基準）</t>
  </si>
  <si>
    <t>V_ph,peak,acc / k_ph,max</t>
  </si>
  <si>
    <t>D29/'入力条件'!B16</t>
  </si>
  <si>
    <t>加速ワースト必要DCバス（線間rms基準）</t>
  </si>
  <si>
    <t>V_ll,rms,acc / k_mod</t>
  </si>
  <si>
    <t>D30/'入力条件'!B15</t>
  </si>
  <si>
    <t>定常時トルク T_ss</t>
  </si>
  <si>
    <t>Kt × I_ss</t>
  </si>
  <si>
    <t>'入力条件'!B6×'入力条件'!B8</t>
  </si>
  <si>
    <t>KtがNm/ArmsなのでRMS電流をそのまま掛ける。</t>
  </si>
  <si>
    <t>定常時機械出力 P_out,ss</t>
  </si>
  <si>
    <t>T_ss × ω_m,ss</t>
  </si>
  <si>
    <t>D33×D6</t>
  </si>
  <si>
    <t>機械出力 = トルク × 機械角速度。</t>
  </si>
  <si>
    <t>定常時銅損 P_cu,ss</t>
  </si>
  <si>
    <t>3 × I_ss² × R_phase</t>
  </si>
  <si>
    <t>3×('入力条件'!B8^2)×('入力条件'!B4/2)</t>
  </si>
  <si>
    <t>3相巻線のジュール損。</t>
  </si>
  <si>
    <t>P_cu=3I_rms^2R_phase。</t>
  </si>
  <si>
    <t>定常時電気入力 P_in,ss</t>
  </si>
  <si>
    <t>P_out,ss + P_cu,ss</t>
  </si>
  <si>
    <t>D34+D35</t>
  </si>
  <si>
    <t>銅損のみを考慮した簡易入力電力。</t>
  </si>
  <si>
    <t>定常時効率 η_ss</t>
  </si>
  <si>
    <t>P_out,ss / P_in,ss</t>
  </si>
  <si>
    <t>D34/D36</t>
  </si>
  <si>
    <t>銅損のみ考慮した簡易効率。</t>
  </si>
  <si>
    <t>起動時銅損 P_cu,start</t>
  </si>
  <si>
    <t>3 × I_start² × R_phase</t>
  </si>
  <si>
    <t>3×('入力条件'!B7^2)×('入力条件'!B4/2)</t>
  </si>
  <si>
    <t>起動時の銅損。</t>
  </si>
  <si>
    <t>加速中平均発熱 P_heat,avg</t>
  </si>
  <si>
    <t>P_cu,start</t>
  </si>
  <si>
    <t>D38</t>
  </si>
  <si>
    <t>起動電流一定のため起動時銅損と同じ。</t>
  </si>
  <si>
    <t>加速中発熱エネルギー Q_acc</t>
  </si>
  <si>
    <t>P_heat,avg × t_acc</t>
  </si>
  <si>
    <t>D39×'入力条件'!B10</t>
  </si>
  <si>
    <t>加速中に発生する総熱量。</t>
  </si>
  <si>
    <t>回生時銅損 P_cu,regen</t>
  </si>
  <si>
    <t>3 × I_regen,rms² × R_phase</t>
  </si>
  <si>
    <t>3×D45^2×('入力条件'!B4/2)</t>
  </si>
  <si>
    <t>回生制動中の巻線銅損。</t>
  </si>
  <si>
    <t>R_phase=R_ll/2 を使用。</t>
  </si>
  <si>
    <t>回生時銅損エネルギー E_cu,regen</t>
  </si>
  <si>
    <t>P_cu,regen × t_dec</t>
  </si>
  <si>
    <t>D50×'入力条件'!B27</t>
  </si>
  <si>
    <t>減速1回あたりの熱損失。</t>
  </si>
  <si>
    <t>停止に伴う発熱量。</t>
  </si>
  <si>
    <t>起動過渡 L·di/dt の追加評価</t>
  </si>
  <si>
    <t>電気時定数 τ_e</t>
  </si>
  <si>
    <t>L_phase / R_phase = L_ll / R_ll</t>
  </si>
  <si>
    <t>IF('入力条件'!B4&gt;0,'入力条件'!B5/'入力条件'!B4,NA())</t>
  </si>
  <si>
    <t>巻線の自然な時定数。Y結線では1/2換算が相殺される。</t>
  </si>
  <si>
    <t>Kollmorgenのline-line値から直接計算可</t>
  </si>
  <si>
    <t>τ_e=L/R。Y結線では L_phase/R_phase=(L_ll/2)/(R_ll/2)=L_ll/R_ll。</t>
  </si>
  <si>
    <t>巻線目安帯域 f_RL</t>
  </si>
  <si>
    <t>1 / (2π × τ_e)</t>
  </si>
  <si>
    <t>IF(D60&gt;0,1/(2*PI()*D60),NA())</t>
  </si>
  <si>
    <t>巻線一次遅れの自然帯域の目安。</t>
  </si>
  <si>
    <t>ドライブ設定帯域そのものではない</t>
  </si>
  <si>
    <t>f_RL=1/(2πτ_e)。</t>
  </si>
  <si>
    <t>t_input / 1000</t>
  </si>
  <si>
    <t>'入力条件'!B32/1000</t>
  </si>
  <si>
    <t>入力した ms を秒へ換算。</t>
  </si>
  <si>
    <t>大信号起動過渡の目標時間。</t>
  </si>
  <si>
    <t>起動過渡 L·di/dt 項 V_L,start</t>
  </si>
  <si>
    <t>L_phase × I_start,peak / t_I,start</t>
  </si>
  <si>
    <t>IF(D62&gt;0,('入力条件'!B5/2)*D4/D62,NA())</t>
  </si>
  <si>
    <t>0→I_start の立上り時間ベースの追加電圧。</t>
  </si>
  <si>
    <t>0 rpm 起動なので逆起電力は0</t>
  </si>
  <si>
    <t>V=L di/dt, di/dt≈I_start,peak/t_I,start。</t>
  </si>
  <si>
    <t>起動過渡必要相電圧 V_ph,peak,start,tr</t>
  </si>
  <si>
    <t>V_q,start + V_L,start</t>
  </si>
  <si>
    <t>D14+D63</t>
  </si>
  <si>
    <t>起動静的評価に L·di/dt 項を加えた相peak必要電圧。</t>
  </si>
  <si>
    <t>0 rpm 起動では q軸抵抗項 + 過渡L項。</t>
  </si>
  <si>
    <t>起動過渡必要線間電圧 V_ll,rms,start,tr</t>
  </si>
  <si>
    <t>√(3/2) × V_ph,peak,start,tr</t>
  </si>
  <si>
    <t>SQRT(3/2)*D64</t>
  </si>
  <si>
    <t>起動過渡必要DCバス（相peak基準）</t>
  </si>
  <si>
    <t>V_ph,peak,start,tr / k_ph,max</t>
  </si>
  <si>
    <t>D64/'入力条件'!B16</t>
  </si>
  <si>
    <t>相peak基準での起動過渡DCバス。</t>
  </si>
  <si>
    <t>Vdc = Vph,peak / k_ph,max。</t>
  </si>
  <si>
    <t>起動過渡必要DCバス（線間rms基準）</t>
  </si>
  <si>
    <t>V_ll,rms,start,tr / k_mod</t>
  </si>
  <si>
    <t>D65/'入力条件'!B15</t>
  </si>
  <si>
    <t>線間rms基準での起動過渡DCバス。</t>
  </si>
  <si>
    <t>Vdc = Vll,rms / k_mod。</t>
  </si>
  <si>
    <t>起動過渡追加効果 ΔVdc_start</t>
  </si>
  <si>
    <t>起動過渡DCバス - 起動静的DCバス</t>
  </si>
  <si>
    <t>MAX(D66,D67)-MAX(D17,D18)</t>
  </si>
  <si>
    <t>L·di/dt を加えたことで増える必要DCバス分。</t>
  </si>
  <si>
    <t>静的起動値との差。</t>
  </si>
  <si>
    <t>電流補正誤差ピーク ΔI_corr,peak</t>
  </si>
  <si>
    <t>ε_ci × I_start,peak</t>
  </si>
  <si>
    <t>'入力条件'!B34*D4</t>
  </si>
  <si>
    <t>帯域参考計算に使う補正電流誤差。</t>
  </si>
  <si>
    <t>small-signalの参考量</t>
  </si>
  <si>
    <t>ΔI_corr,peak = ε_ci I_start,peak。</t>
  </si>
  <si>
    <t>帯域参考 L·di/dt 項 V_L,bw,ref</t>
  </si>
  <si>
    <t>L_phase × 2π × f_ci × ΔI_corr,peak</t>
  </si>
  <si>
    <t>('入力条件'!B5/2)*2*PI()*'入力条件'!B33*D69</t>
  </si>
  <si>
    <t>電流ループ帯域ベースの補正余裕の参考。</t>
  </si>
  <si>
    <t>フルスケール起動ステップとは区別</t>
  </si>
  <si>
    <t>KollmorgenのIL.BWとL-R modelの考え方に寄せた参考式。</t>
  </si>
  <si>
    <t>起動過渡支配判定</t>
  </si>
  <si>
    <t>IF(過渡&gt;静的, 増加, 同等)</t>
  </si>
  <si>
    <t>IF(OR(ISNA(D66),ISNA(D67)),"入力条件要確認",IF(MAX(D66,D67)&gt;MAX(D17,D18),"起動過渡で必要電圧増加","起動静的評価と同等"))</t>
  </si>
  <si>
    <t>起動過渡が静的起動値を上回るかの簡易判定。</t>
  </si>
  <si>
    <t>設計初期の見落とし防止用。</t>
  </si>
  <si>
    <t>結果概要（Kollmorgen白書準拠）</t>
  </si>
  <si>
    <t>選択中の変調方式</t>
  </si>
  <si>
    <t>入力条件シートの切替セルに連動</t>
  </si>
  <si>
    <t>SPWM:0.612 / SVPWM:0.707</t>
  </si>
  <si>
    <t>SPWM:0.500 / SVPWM:0.577</t>
  </si>
  <si>
    <t>Ke推定（線間rms）</t>
  </si>
  <si>
    <t>Kollmorgen白書: Ktから推定した line-line rms 値</t>
  </si>
  <si>
    <t>Ke有効（線間rms）</t>
  </si>
  <si>
    <t>上書き入力があればその値を使用</t>
  </si>
  <si>
    <t>無負荷理想最低DCバス</t>
  </si>
  <si>
    <t>Vdc_min = √2 × E_ll,rms = line-line crest 逆起電力</t>
  </si>
  <si>
    <t>起動時必要DCバス最低電圧</t>
  </si>
  <si>
    <t>Kollmorgen定義 + 選択変調方式</t>
  </si>
  <si>
    <t>定常時必要DCバス最低電圧</t>
  </si>
  <si>
    <t>起動区間を含む推奨最小DCバス</t>
  </si>
  <si>
    <t>起動電流一定で10 rpmまで加速したワースト条件</t>
  </si>
  <si>
    <t>起動時DCバス（相peak基準）</t>
  </si>
  <si>
    <t>Vph,peak / k_ph,max</t>
  </si>
  <si>
    <t>起動時DCバス（線間rms基準）</t>
  </si>
  <si>
    <t>Vll,rms / k_mod</t>
  </si>
  <si>
    <t>定常時DCバス（相peak基準）</t>
  </si>
  <si>
    <t>定常時DCバス（線間rms基準）</t>
  </si>
  <si>
    <t>加速ワーストDCバス（相peak基準）</t>
  </si>
  <si>
    <t>加速ワーストDCバス（線間rms基準）</t>
  </si>
  <si>
    <t>トルク × 機械角速度</t>
  </si>
  <si>
    <t>定常時発熱量（銅損）</t>
  </si>
  <si>
    <t>巻線ジュール損（R_phase使用）</t>
  </si>
  <si>
    <t>定常時効率</t>
  </si>
  <si>
    <t>%</t>
  </si>
  <si>
    <t>銅損のみ考慮した簡易効率</t>
  </si>
  <si>
    <t>回生制動（停止時）結果</t>
  </si>
  <si>
    <t>停止前に蓄えられた運動エネルギー</t>
  </si>
  <si>
    <t>1 sで停止するための制動トルク（大きさ）</t>
  </si>
  <si>
    <t>必要回生電流</t>
  </si>
  <si>
    <t>回生方向の相電流実効値（大きさ）</t>
  </si>
  <si>
    <t>減速1回の平均機械側回生電力</t>
  </si>
  <si>
    <t>回生時銅損</t>
  </si>
  <si>
    <t>回生制動中の巻線銅損（R_phase使用）</t>
  </si>
  <si>
    <t>銅損を差し引いた正味回生エネルギー</t>
  </si>
  <si>
    <t>回生後DCバス電圧（理想）</t>
  </si>
  <si>
    <t>全慣性エネルギーがC_dcへ入る上限値</t>
  </si>
  <si>
    <t>回生後DCバス電圧（銅損考慮）</t>
  </si>
  <si>
    <t>銅損考慮後の簡易予測値</t>
  </si>
  <si>
    <t>回生電圧上昇 ΔV（理想）</t>
  </si>
  <si>
    <t>上限評価</t>
  </si>
  <si>
    <t>回生電圧上昇 ΔV（銅損考慮）</t>
  </si>
  <si>
    <t>実効評価</t>
  </si>
  <si>
    <t>正味回生電力が正ならDCバス上昇あり</t>
  </si>
  <si>
    <t>起動過渡 L·di/dt 追加評価</t>
  </si>
  <si>
    <t>Y結線では τ_e = L_ll / R_ll</t>
  </si>
  <si>
    <t>1 / (2π τ_e)</t>
  </si>
  <si>
    <t>起動過渡必要DCバス最低電圧</t>
  </si>
  <si>
    <t>0→I_start の立上り時間を考慮した起動過渡評価</t>
  </si>
  <si>
    <t>起動過渡追加効果 ΔVdc</t>
  </si>
  <si>
    <t>起動静的評価との差分</t>
  </si>
  <si>
    <t>帯域参考 L·di/dt 項</t>
  </si>
  <si>
    <t>small-signal 補正余裕の目安</t>
  </si>
  <si>
    <t>起動過渡が静的起動値を上回るかの簡易判定</t>
  </si>
  <si>
    <t>導出メモ（Kollmorgen白書準拠）</t>
  </si>
  <si>
    <t>1. Kt と Ke の関係</t>
  </si>
  <si>
    <t>Kollmorgen白書の定義</t>
  </si>
  <si>
    <t>Ke_ll,crest [V/(rad/s)] = Kt [Nm/Arms]</t>
  </si>
  <si>
    <t>正弦波通電・Y結線前提。Ktと等しいのは line-line crest 値。</t>
  </si>
  <si>
    <t>実計算で使う rms 値</t>
  </si>
  <si>
    <t>Ke_ll,rms [V/(rad/s)] = Kt / √2</t>
  </si>
  <si>
    <t>カタログの Vrms/krpm や SVPWM最低DCバス計算はこの rms 値を使う。</t>
  </si>
  <si>
    <t>カタログ表記への換算</t>
  </si>
  <si>
    <t>Ke_ll,rms [Vrms/krpm] = (Kt/√2) × 1000×2π/60</t>
  </si>
  <si>
    <t>Vrms/krpm は Kollmorgenカタログでよく使う表記。</t>
  </si>
  <si>
    <t>換算式</t>
  </si>
  <si>
    <t>Vll,rms = √(3/2) × Vph,peak</t>
  </si>
  <si>
    <t>相peak基準版と線間rms基準版はこの式で相互変換できる。</t>
  </si>
  <si>
    <t>SPWM</t>
  </si>
  <si>
    <t>k_mod = 0.612, k_ph,max = 0.500</t>
  </si>
  <si>
    <t>Vdc = Vll,rms / 0.612 = Vph,peak / 0.5</t>
  </si>
  <si>
    <t>k_mod = 1/√2 ≒ 0.707, k_ph,max = 1/√3 ≒ 0.577</t>
  </si>
  <si>
    <t>Vdc = Vll,rms / 0.707 = Vph,peak / 0.577</t>
  </si>
  <si>
    <t>v_q,start = R_phase I_start,peak</t>
  </si>
  <si>
    <t>KollmorgenのRはline-lineなので R_phase = R_ll/2。</t>
  </si>
  <si>
    <t>v_q,ss = R_phase I_ss,peak + E_ph,peak,ss</t>
  </si>
  <si>
    <t>Keは line-line rms で保持し、dq式では相peakへ換算して使う。</t>
  </si>
  <si>
    <t>定常時 / 加速時</t>
  </si>
  <si>
    <t>v_d = -ω_e L_phase I_peak</t>
  </si>
  <si>
    <t>KollmorgenのLはline-lineなので L_phase = L_ll/2。</t>
  </si>
  <si>
    <t>チェック式</t>
  </si>
  <si>
    <t>Vph,peak / k_ph,max と Vll,rms / k_mod は同値</t>
  </si>
  <si>
    <t>SPWM/SVPWMどちらでも換算整合する。</t>
  </si>
  <si>
    <t>銅損</t>
  </si>
  <si>
    <t>P_cu = 3 I_rms^2 R_phase</t>
  </si>
  <si>
    <t>R_phase = R_ll/2 を使う。</t>
  </si>
  <si>
    <t>|I_regen| = |T_regen| / Kt</t>
  </si>
  <si>
    <t>Kt が Nm/Arms のため、RMS電流の大きさで直接求まる。</t>
  </si>
  <si>
    <t>P_cu,regen = 3 I_regen² R_phase</t>
  </si>
  <si>
    <t>回生中でも巻線銅損は必ず発生する。</t>
  </si>
  <si>
    <t>9. 起動過渡 L·di/dt の追加</t>
  </si>
  <si>
    <t>電気時定数</t>
  </si>
  <si>
    <t>τ_e = L_phase / R_phase = L_ll / R_ll</t>
  </si>
  <si>
    <t>Y結線では1/2換算が相殺されるため、line-line値から直接求まる。</t>
  </si>
  <si>
    <t>巻線目安帯域</t>
  </si>
  <si>
    <t>f_RL = 1 / (2π τ_e)</t>
  </si>
  <si>
    <t>巻線一次遅れの自然帯域の目安。ドライブ設定帯域そのものではない。</t>
  </si>
  <si>
    <t>起動過渡のL·di/dt項</t>
  </si>
  <si>
    <t>V_L,start = L_phase × I_start,peak / t_I,start</t>
  </si>
  <si>
    <t>0→I_start の立上り時間基準。0 rpm 起動なので逆起電力は0。</t>
  </si>
  <si>
    <t>起動過渡必要相電圧</t>
  </si>
  <si>
    <t>V_ph,peak,start,tr = R_phase I_start,peak + V_L,start</t>
  </si>
  <si>
    <t>起動静的評価に L·di/dt 項を足したもの。</t>
  </si>
  <si>
    <t>起動過渡必要DCバス</t>
  </si>
  <si>
    <t>Vdc_min,start,tr = max(V_ph,peak / k_ph,max, V_ll,rms / k_mod)</t>
  </si>
  <si>
    <t>相peak基準版と線間rms基準版の整合を確認する。</t>
  </si>
  <si>
    <t>帯域参考項</t>
  </si>
  <si>
    <t>V_L,bw,ref = L_phase · 2π f_ci · ΔI_corr,peak</t>
  </si>
  <si>
    <t>small-signal の補正余裕チェック用。フルスケール起動ステップとは区別する。</t>
  </si>
  <si>
    <t>Kollmorgen資料との関係</t>
  </si>
  <si>
    <t>AKD2Gの current loop gain と Smith predictor は L-R model と IL.BW を用いる</t>
  </si>
  <si>
    <t>本シートの追加項目は、その考え方に寄せた実務向け簡易近似。</t>
  </si>
  <si>
    <t>定義整理・整合チェック（Kollmorgen白書準拠）</t>
  </si>
  <si>
    <t>'入力条件'!B14</t>
  </si>
  <si>
    <t>SPWM / SVPWM 切替セル</t>
  </si>
  <si>
    <t>設計用</t>
  </si>
  <si>
    <t>k_mod（線間rms / Vdc）</t>
  </si>
  <si>
    <t>'入力条件'!B15</t>
  </si>
  <si>
    <t>Vdc = Vll,rms / k_mod</t>
  </si>
  <si>
    <t>k_ph,max（相peak / Vdc）</t>
  </si>
  <si>
    <t>'入力条件'!B16</t>
  </si>
  <si>
    <t>Vdc = Vph,peak / k_ph,max</t>
  </si>
  <si>
    <t>R_phase</t>
  </si>
  <si>
    <t>R_ll / 2</t>
  </si>
  <si>
    <t>Y結線の相抵抗</t>
  </si>
  <si>
    <t>KollmorgenのRはline-line</t>
  </si>
  <si>
    <t>L_phase</t>
  </si>
  <si>
    <t>L_ll / 2</t>
  </si>
  <si>
    <t>Y結線の相インダクタンス</t>
  </si>
  <si>
    <t>KollmorgenのLはline-line</t>
  </si>
  <si>
    <t>Ke推定（線間crest）</t>
  </si>
  <si>
    <t>Kt</t>
  </si>
  <si>
    <t>Kollmorgen白書の等価関係</t>
  </si>
  <si>
    <t>Ke_ll,crest = Kt</t>
  </si>
  <si>
    <t>実計算で使う line-line rms 値</t>
  </si>
  <si>
    <t>SVPWM/DCバス計算に使用</t>
  </si>
  <si>
    <t>換算</t>
  </si>
  <si>
    <t>Ktからの推定値</t>
  </si>
  <si>
    <t>カタログ表記</t>
  </si>
  <si>
    <t>override優先</t>
  </si>
  <si>
    <t>空欄なら推定値</t>
  </si>
  <si>
    <t>入力条件!B12で上書き可</t>
  </si>
  <si>
    <t>√2 × E_ll,rms</t>
  </si>
  <si>
    <t>SVPWM/線形領域の理想値</t>
  </si>
  <si>
    <t>Vdc_min = line-line crest 逆起電力</t>
  </si>
  <si>
    <t>0.5 J ω0²</t>
  </si>
  <si>
    <t>機械側の理想回生上限</t>
  </si>
  <si>
    <t>今回条件では低速のため値は小さい</t>
  </si>
  <si>
    <t>回生時銅損 E_cu,regen</t>
  </si>
  <si>
    <t>P_cu,regen t_dec</t>
  </si>
  <si>
    <t>巻線で熱に変わる分</t>
  </si>
  <si>
    <t>E_k より大きいとDCバス上昇なし</t>
  </si>
  <si>
    <t>正味回生エネルギー E_bus</t>
  </si>
  <si>
    <t>MAX(E_k-E_cu,0)</t>
  </si>
  <si>
    <t>コンデンサへ入る正味エネルギー</t>
  </si>
  <si>
    <t>0ならバス上昇予測なし</t>
  </si>
  <si>
    <t>理想回生後DCバス</t>
  </si>
  <si>
    <t>√(V_init²+2E_k/C)</t>
  </si>
  <si>
    <t>抵抗・損失・吸収負荷を無視</t>
  </si>
  <si>
    <t>銅損考慮の簡易評価</t>
  </si>
  <si>
    <t>負の正味エネルギーは0扱い</t>
  </si>
  <si>
    <t>Kollmorgen定義対応表（セル番地トレーサビリティ）</t>
  </si>
  <si>
    <t>使い方</t>
  </si>
  <si>
    <t>このシートは、改訂版Excelの主要セルがどの定義・資料に対応しているかを一覧化したものです。「参照元ID」は下の資料一覧に対応します。青系=Kollmorgen公式定義、橙系=変調方式/TI、灰系=一般式/ユーザー入力です。</t>
  </si>
  <si>
    <t>参照元ID</t>
  </si>
  <si>
    <t>資料種別</t>
  </si>
  <si>
    <t>資料名 / 役割</t>
  </si>
  <si>
    <t>確認したい定義</t>
  </si>
  <si>
    <t>URL</t>
  </si>
  <si>
    <t>KM-1</t>
  </si>
  <si>
    <t>Kollmorgen公式</t>
  </si>
  <si>
    <t>Motor Data Legend</t>
  </si>
  <si>
    <t>KTrms, KErms, R20, L の基本定義</t>
  </si>
  <si>
    <t>https://www.kollmorgen.com/en-us/developer-network/motor-data-legend</t>
  </si>
  <si>
    <t>用語集。まず最初に照合する資料</t>
  </si>
  <si>
    <t>KM-2</t>
  </si>
  <si>
    <t>Servomotor Parameters and their Proper Conversions for Servo Drive Utilization and Comparison</t>
  </si>
  <si>
    <t>Kt↔Ke/Kb, Y結線での line-line / line-neutral 換算, R/Lの1/2換算</t>
  </si>
  <si>
    <t>https://www.kollmorgen.com/sites/default/files/public_downloads/Servomotor_Parameters_and_Conversions_10_15A_FINALDOC.pdf</t>
  </si>
  <si>
    <t>今回のKe修正の基準資料</t>
  </si>
  <si>
    <t>KM-3</t>
  </si>
  <si>
    <t>TBM2G Frameless Motor Selection Guide</t>
  </si>
  <si>
    <t>DDモータ実カタログ表記: Nm/Arms, Vrms/krpm, Resistance(line-line), Inductance(line-line)</t>
  </si>
  <si>
    <t>https://www.kollmorgen.com/sites/default/files/TBM2G-KM_SG_00396_RevA_EN.pdf</t>
  </si>
  <si>
    <t>DDモータの実表記確認用</t>
  </si>
  <si>
    <t>TI-1</t>
  </si>
  <si>
    <t>TI公式</t>
  </si>
  <si>
    <t>TIDUCY7 / DesignDRIVE Position Manager Tech Ref</t>
  </si>
  <si>
    <t>SVPWMの線間基本波rms / Vdc係数 0.707</t>
  </si>
  <si>
    <t>https://www.ti.com/jp/lit/ug/tiducy7/tiducy7.pdf</t>
  </si>
  <si>
    <t>変調方式の係数確認用</t>
  </si>
  <si>
    <t>GEN-1</t>
  </si>
  <si>
    <t>PMSM / Y結線の一般式</t>
  </si>
  <si>
    <t>Vll,rms=√(3/2)Vph,peak, dq式, Pcu=3Irms^2R_phase など</t>
  </si>
  <si>
    <t>—</t>
  </si>
  <si>
    <t>Kollmorgen定義に整合させて使う一般式</t>
  </si>
  <si>
    <t>USR-1</t>
  </si>
  <si>
    <t>ユーザー入力</t>
  </si>
  <si>
    <t>設計条件入力</t>
  </si>
  <si>
    <t>回転数, トルク, 極ペア数, J, t_acc, t_dec など</t>
  </si>
  <si>
    <t>メーカー定義ではなく使用条件</t>
  </si>
  <si>
    <t>KM-4</t>
  </si>
  <si>
    <t>AKD2G User Manual / Current Loop Gain</t>
  </si>
  <si>
    <t>電流ループ帯域 IL.BW と line-line インダクタンス LQLL の関係</t>
  </si>
  <si>
    <t>https://webhelp.kollmorgen.com/akd2g/english/Content/AKD2G_User_Manual/Current_Loop_Gain.htm</t>
  </si>
  <si>
    <t>IL.KP = 2π·LQLL·IL.BW</t>
  </si>
  <si>
    <t>KM-5</t>
  </si>
  <si>
    <t>Tuning Delay Time Compensation / Smith Predictor</t>
  </si>
  <si>
    <t>電流制御を L-R model + dead time で扱う考え方</t>
  </si>
  <si>
    <t>https://www.kollmorgen.com/en-us/developer-network/tuning-delay-time-compensation-smith-predictor</t>
  </si>
  <si>
    <t>L·di/dt 追加の背景確認用</t>
  </si>
  <si>
    <t>区分</t>
  </si>
  <si>
    <t>シート名</t>
  </si>
  <si>
    <t>セル番地</t>
  </si>
  <si>
    <t>項目名</t>
  </si>
  <si>
    <t>現在値(リンク)</t>
  </si>
  <si>
    <t>資料対応</t>
  </si>
  <si>
    <t>確認ポイント</t>
  </si>
  <si>
    <t>一致判定</t>
  </si>
  <si>
    <t>入力</t>
  </si>
  <si>
    <t>入力条件</t>
  </si>
  <si>
    <t>B4</t>
  </si>
  <si>
    <t>phase-phase / line-line の巻線抵抗</t>
  </si>
  <si>
    <t>KM-1 / KM-2 / KM-3</t>
  </si>
  <si>
    <t>Kollmorgenでは R は line-line 表記</t>
  </si>
  <si>
    <t>一致</t>
  </si>
  <si>
    <t>dq式へ入れるときは R_phase = R_ll / 2</t>
  </si>
  <si>
    <t>B5</t>
  </si>
  <si>
    <t>phase-phase / line-line の巻線インダクタンス</t>
  </si>
  <si>
    <t>Kollmorgenでは L は line-line 表記</t>
  </si>
  <si>
    <t>dq式へ入れるときは L_phase = L_ll / 2</t>
  </si>
  <si>
    <t>B6</t>
  </si>
  <si>
    <t>KTrms = Nm/Arms</t>
  </si>
  <si>
    <t>正弦波通電の RMS 電流基準</t>
  </si>
  <si>
    <t>B7</t>
  </si>
  <si>
    <t>メーカー定義ではなく用途条件</t>
  </si>
  <si>
    <t>対象外</t>
  </si>
  <si>
    <t>Ktとの積/換算に使う</t>
  </si>
  <si>
    <t>B8</t>
  </si>
  <si>
    <t>B9</t>
  </si>
  <si>
    <t>Keと組み合わせて逆起電力を計算</t>
  </si>
  <si>
    <t>B11</t>
  </si>
  <si>
    <t>メーカー定義ではなくモータ仕様入力</t>
  </si>
  <si>
    <t>ωe = p ωm</t>
  </si>
  <si>
    <t>B12</t>
  </si>
  <si>
    <t>Ke上書き Ke_ll,rms</t>
  </si>
  <si>
    <t>line-line rms の逆起電力定数</t>
  </si>
  <si>
    <t>Kollmorgenカタログの Vrms/krpm に合わせる</t>
  </si>
  <si>
    <t>空欄ならKtから推定</t>
  </si>
  <si>
    <t>B15</t>
  </si>
  <si>
    <t>k_mod</t>
  </si>
  <si>
    <t>Vll,rms / Vdc 係数</t>
  </si>
  <si>
    <t>SVPWM=0.707, SPWM=0.612</t>
  </si>
  <si>
    <t>Kollmorgen定義ではなくインバータ定義</t>
  </si>
  <si>
    <t>B16</t>
  </si>
  <si>
    <t>k_ph,max</t>
  </si>
  <si>
    <t>Vph,peak / Vdc 係数</t>
  </si>
  <si>
    <t>SVPWM=1/√3, SPWM=0.5</t>
  </si>
  <si>
    <t>相peak版DCバス式で使用</t>
  </si>
  <si>
    <t>計算詳細</t>
  </si>
  <si>
    <t>D8</t>
  </si>
  <si>
    <t>Ke_ll,rms = Kt / √2</t>
  </si>
  <si>
    <t>Ktと直接等しいのは crest。rms は /√2</t>
  </si>
  <si>
    <t>今回の白書準拠修正の中心</t>
  </si>
  <si>
    <t>D9</t>
  </si>
  <si>
    <t>Vrms/krpm への換算</t>
  </si>
  <si>
    <t>KM-2 / KM-3</t>
  </si>
  <si>
    <t>カタログの Ke 表記に合わせる</t>
  </si>
  <si>
    <t>DDモータカタログ照合用</t>
  </si>
  <si>
    <t>D10</t>
  </si>
  <si>
    <t>override優先 / 推定値フォールバック</t>
  </si>
  <si>
    <t>Ke入力時も必ず line-line rms 基準で扱う</t>
  </si>
  <si>
    <t>入力条件!B12 を優先</t>
  </si>
  <si>
    <t>D11</t>
  </si>
  <si>
    <t>計算用 Ke_active</t>
  </si>
  <si>
    <t>内部計算用に rad/s 基準へ戻した値</t>
  </si>
  <si>
    <t>逆起電力計算に使用</t>
  </si>
  <si>
    <t>D12</t>
  </si>
  <si>
    <t>E_ll,rms = Ke_active × ωm</t>
  </si>
  <si>
    <t>KM-1 / KM-2</t>
  </si>
  <si>
    <t>Kollmorgenの Ke は 2端子間・rms 基準</t>
  </si>
  <si>
    <t>SVPWM最低DCバス式へ直結</t>
  </si>
  <si>
    <t>D13</t>
  </si>
  <si>
    <t>線間rms → 相peak 換算</t>
  </si>
  <si>
    <t>dq式へ入れるための一般換算</t>
  </si>
  <si>
    <t>整合</t>
  </si>
  <si>
    <t>Kollmorgen定義値を一般式へ接続</t>
  </si>
  <si>
    <t>D14</t>
  </si>
  <si>
    <t>KM-2 / GEN-1</t>
  </si>
  <si>
    <t>R_phase = R_ll / 2 を適用</t>
  </si>
  <si>
    <t>起動時は逆起電力0と仮定</t>
  </si>
  <si>
    <t>D20</t>
  </si>
  <si>
    <t>-ωe × L_phase × I_ss,peak</t>
  </si>
  <si>
    <t>L_phase = L_ll / 2 を適用</t>
  </si>
  <si>
    <t>KollmorgenのL定義を一般dq式へ適用</t>
  </si>
  <si>
    <t>D21</t>
  </si>
  <si>
    <t>R_phase I + E_ph,peak</t>
  </si>
  <si>
    <t>RとKeの定義を合わせた q軸電圧式</t>
  </si>
  <si>
    <t>id=0 前提</t>
  </si>
  <si>
    <t>DCバス</t>
  </si>
  <si>
    <t>D18</t>
  </si>
  <si>
    <t>KM-2 / TI-1</t>
  </si>
  <si>
    <t>Kollmorgenの line-line rms 定義と SVPWM係数の組合せ</t>
  </si>
  <si>
    <t>線間rms基準の主式</t>
  </si>
  <si>
    <t>D24</t>
  </si>
  <si>
    <t>KM-2 / TI-1 / GEN-1</t>
  </si>
  <si>
    <t>相peak版。線間rms版と同値チェック用</t>
  </si>
  <si>
    <t>D25と一致することを確認</t>
  </si>
  <si>
    <t>D25</t>
  </si>
  <si>
    <t>Kollmorgenの Ke 定義に最も直接的</t>
  </si>
  <si>
    <t>推奨の読み方</t>
  </si>
  <si>
    <t>D31</t>
  </si>
  <si>
    <t>起動区間全体の支配条件を相peakで評価</t>
  </si>
  <si>
    <t>D32と整合</t>
  </si>
  <si>
    <t>D32</t>
  </si>
  <si>
    <t>推奨最小DCバスの主出力</t>
  </si>
  <si>
    <t>結果概要!B12 に反映</t>
  </si>
  <si>
    <t>トルク</t>
  </si>
  <si>
    <t>D33</t>
  </si>
  <si>
    <t>T = Kt × I_rms</t>
  </si>
  <si>
    <t>Kt が Nm/Arms なので RMS 電流を直接使用</t>
  </si>
  <si>
    <t>Y結線で線RMS=相RMS</t>
  </si>
  <si>
    <t>損失</t>
  </si>
  <si>
    <t>D35</t>
  </si>
  <si>
    <t>R_phase = R_ll/2 を適用</t>
  </si>
  <si>
    <t>Rの定義が合わないと銅損がずれる</t>
  </si>
  <si>
    <t>結果</t>
  </si>
  <si>
    <t>結果概要</t>
  </si>
  <si>
    <t>D9のサマリ表示</t>
  </si>
  <si>
    <t>カタログ照合の主要セル</t>
  </si>
  <si>
    <t>まずここでKeの桁を確認</t>
  </si>
  <si>
    <t>D10のサマリ表示</t>
  </si>
  <si>
    <t>上書き時はここが変わる</t>
  </si>
  <si>
    <t>実際の採用値</t>
  </si>
  <si>
    <t>Vdc_min = √2 × E_ll,rms</t>
  </si>
  <si>
    <t>line-line rms の逆起電力を使用</t>
  </si>
  <si>
    <t>旧版より 1/√2 低下する主因</t>
  </si>
  <si>
    <t>B10</t>
  </si>
  <si>
    <t>起動条件の必要DCバス</t>
  </si>
  <si>
    <t>Kollmorgen定義 + 変調係数で算出</t>
  </si>
  <si>
    <t>起動条件用</t>
  </si>
  <si>
    <t>定常条件の必要DCバス</t>
  </si>
  <si>
    <t>連続運転条件用</t>
  </si>
  <si>
    <t>ワースト条件の設計推奨値</t>
  </si>
  <si>
    <t>現シートでの設計採用値</t>
  </si>
  <si>
    <t>通常はこの値を採用</t>
  </si>
  <si>
    <t>回生</t>
  </si>
  <si>
    <t>D45</t>
  </si>
  <si>
    <t>|I| = |T| / Kt</t>
  </si>
  <si>
    <t>Kt が Nm/Arms なので RMS 電流で直接算出</t>
  </si>
  <si>
    <t>回生方向は符号ではなく大きさ表示</t>
  </si>
  <si>
    <t>D50</t>
  </si>
  <si>
    <t>3 I_rms^2 R_phase</t>
  </si>
  <si>
    <t>R_phase の定義をそのまま適用</t>
  </si>
  <si>
    <t>回生でもRの定義は同じ</t>
  </si>
  <si>
    <t>確認のしかた：① まず KM-2 の Ke/Kb 換算を確認 → ② 入力条件!B4/B5/B6/B12 の単位を確認 → ③ 結果概要!B7:B12 が期待どおりか確認。Kollmorgen定義から外れるのは主に変調係数(k_mod, k_ph,max)だけです。</t>
  </si>
  <si>
    <t>B32</t>
  </si>
  <si>
    <t>大信号起動過渡の目標時間</t>
  </si>
  <si>
    <t>L·di/dt 項の主計算入力</t>
  </si>
  <si>
    <t>B33</t>
  </si>
  <si>
    <t>current loop bandwidth の参考設定</t>
  </si>
  <si>
    <t>KM-4 / USR-1</t>
  </si>
  <si>
    <t>small-signal 補正余裕の参考</t>
  </si>
  <si>
    <t>起動ワースト主計算ではなく参考</t>
  </si>
  <si>
    <t>B34</t>
  </si>
  <si>
    <t>補正誤差割合</t>
  </si>
  <si>
    <t>ΔI_corr,peak = ε_ci I_start,peak</t>
  </si>
  <si>
    <t>追加</t>
  </si>
  <si>
    <t>D60</t>
  </si>
  <si>
    <t>τ_e = L_ll / R_ll</t>
  </si>
  <si>
    <t>GEN-1 / KM-2</t>
  </si>
  <si>
    <t>Y結線の1/2換算相殺後の時定数</t>
  </si>
  <si>
    <t>巻線の自然時定数</t>
  </si>
  <si>
    <t>D63</t>
  </si>
  <si>
    <t>GEN-1 / USR-1</t>
  </si>
  <si>
    <t>大信号起動過渡の追加項</t>
  </si>
  <si>
    <t>0 rpm 起動なので E=0</t>
  </si>
  <si>
    <t>D66</t>
  </si>
  <si>
    <t>GEN-1 / TI-1</t>
  </si>
  <si>
    <t>起動静的式にL·di/dt を追加</t>
  </si>
  <si>
    <t>D67の線間rms基準と一致</t>
  </si>
  <si>
    <t>D70</t>
  </si>
  <si>
    <t>L_phase·2πf_ci·ΔI_corr,peak</t>
  </si>
  <si>
    <t>GEN-1 / KM-4</t>
  </si>
  <si>
    <t>フルスケール起動ステップではない</t>
  </si>
  <si>
    <t>B38</t>
  </si>
  <si>
    <t>追加結果の要約</t>
  </si>
  <si>
    <t>起動瞬間のL·di/dt反映結果</t>
  </si>
  <si>
    <t>静的起動値との差を確認</t>
  </si>
  <si>
    <t>Kollmorgen定義対応表_詳細（セル番地・出典ページ/行・式メモ付き）</t>
  </si>
  <si>
    <t>目的: 改訂版Excelの主要セルについて、Kollmorgen公式定義/TI資料/一般式のどれに基づくかを、セル番地・現在値・ページ/行・式メモ付きで追えるようにした詳細対応表です。黄色マーキングした原シート側の重要セルと対応します。</t>
  </si>
  <si>
    <t>主要定義</t>
  </si>
  <si>
    <t>ページ/行・式メモ</t>
  </si>
  <si>
    <t>KTrms, KE, R20, L の基本定義</t>
  </si>
  <si>
    <t>HTML L253-L267: I0rms, KTrms, KE, R20, L</t>
  </si>
  <si>
    <t>用語定義の起点。KEは2端子間のeffective sinusoidal value / 1000 rpm。</t>
  </si>
  <si>
    <t>Kt↔Ke/Kb換算, Y結線 line-line/line-neutral, R/Lの1/2換算</t>
  </si>
  <si>
    <t>p.3 L207-L212: Kb=Ke/√2; p.3 L241-L242: Y結線で線電流=相電流; p.4 L309-L317: Kt=A-rms, Kb=Vrms/kRPM, Rm_φ=Rm(L-L)/2</t>
  </si>
  <si>
    <t>https://www.kollmorgen.com/sites/default/files/uploaded/Service_and_Support/Knowledge_Center/White_Papers/ServoUnits__10_15A_FINALDOC.pdf</t>
  </si>
  <si>
    <t>今回のKe修正とY結線換算の最重要資料。</t>
  </si>
  <si>
    <t>p.10 L394-L409: sinusoidal commutation, Kt, Ke; p.34 L1695-L1701: Ke, Resistance(line-line), Inductance Q-Axis(line-line)</t>
  </si>
  <si>
    <t>DDモータ系カタログの実表記確認用。</t>
  </si>
  <si>
    <t>TIDUCY7 / Current Sensing With &lt;1-µs Settling...</t>
  </si>
  <si>
    <t>SVPWMの線間基本波rms / Vdc 係数 0.707</t>
  </si>
  <si>
    <t>p.11 L549-L552: maximum RMS line-to-line voltage = 0.707 × Vdc</t>
  </si>
  <si>
    <t>https://www.ti.com/lit/ug/tiducy7/tiducy7.pdf</t>
  </si>
  <si>
    <t>インバータ側の変調係数確認用。</t>
  </si>
  <si>
    <t>Vll,rms=√(3/2)Vph,peak, Pcu=3Irms²Rphase, dq式</t>
  </si>
  <si>
    <t>式メモ: Vll,rms=√(3/2)Vph,peak; Rphase=Rll/2; Lphase=Lll/2; Pcu=3Irms²Rphase</t>
  </si>
  <si>
    <t>Kollmorgen定義値をd-q式/電圧換算へ接続する一般式。</t>
  </si>
  <si>
    <t>回転数, トルク, 極ペア数, J, t_acc, t_dec, C_dc など</t>
  </si>
  <si>
    <t>ユーザーが指定した仕様値</t>
  </si>
  <si>
    <t>メーカー定義ではなく設計条件。</t>
  </si>
  <si>
    <t>凡例: 青系=Kollmorgen公式, 橙系=TI/SVPWM, 灰系=一般式, 黄緑系=ユーザー条件。列Iは該当ページ/行または式メモ、列Mの Yes は原シートで黄色マーキング済みです。</t>
  </si>
  <si>
    <t>入力/Excel式・内容</t>
  </si>
  <si>
    <t>定義/意味</t>
  </si>
  <si>
    <t>公式URL</t>
  </si>
  <si>
    <t>黄色マーキング</t>
  </si>
  <si>
    <t>Kollmorgenの抵抗はphase-phase / line-line</t>
  </si>
  <si>
    <t>KM-1 HTML L266; KM-2 p.4 L314-L317; KM-3 p.34 L1700-L1701</t>
  </si>
  <si>
    <t>https://www.kollmorgen.com/en-us/developer-network/motor-data-legend | https://www.kollmorgen.com/sites/default/files/uploaded/Service_and_Support/Knowledge_Center/White_Papers/ServoUnits__10_15A_FINALDOC.pdf | https://www.kollmorgen.com/sites/default/files/TBM2G-KM_SG_00396_RevA_EN.pdf</t>
  </si>
  <si>
    <t>d-q式では R_phase = R_ll / 2</t>
  </si>
  <si>
    <t>Yes</t>
  </si>
  <si>
    <t>Kollmorgenのインダクタンスはphase-phase / line-line</t>
  </si>
  <si>
    <t>KM-1 HTML L267; KM-2 p.4 L314-L317(抵抗換算と同流儀); KM-3 p.34-35 L1700-L1701</t>
  </si>
  <si>
    <t>d-q式では L_phase = L_ll / 2</t>
  </si>
  <si>
    <t>KM-1 HTML L258-L260; KM-2 p.4 L309-L311; KM-3 p.10 L402-L409</t>
  </si>
  <si>
    <t>正弦波通電。Y結線では線RMS=相RMS</t>
  </si>
  <si>
    <t>ユーザー指定値</t>
  </si>
  <si>
    <t>Ktと掛けてトルク計算</t>
  </si>
  <si>
    <t>Keと掛けて逆起電力計算</t>
  </si>
  <si>
    <t>加速ワースト計算用</t>
  </si>
  <si>
    <t>ωe = p·ωm</t>
  </si>
  <si>
    <t>B26</t>
  </si>
  <si>
    <t>回生/減速計算用</t>
  </si>
  <si>
    <t>B27</t>
  </si>
  <si>
    <t>B28</t>
  </si>
  <si>
    <t>回生電圧上昇計算用</t>
  </si>
  <si>
    <t>B29</t>
  </si>
  <si>
    <t>回生後Vdc計算用</t>
  </si>
  <si>
    <t>Kollmorgenカタログ基準の line-line rms Vrms/krpm</t>
  </si>
  <si>
    <t>KM-1 HTML L260; KM-2 p.3 L207-L212; KM-3 p.10 L408-L409</t>
  </si>
  <si>
    <t>B13</t>
  </si>
  <si>
    <t>SPWM / SVPWM 切替</t>
  </si>
  <si>
    <t>インバータ定義</t>
  </si>
  <si>
    <t>TI-1 p.11 L549-L552</t>
  </si>
  <si>
    <t>Kollmorgen定義ではなくインバータ側条件</t>
  </si>
  <si>
    <t>TI-1 p.11 L549-L552: VLL_RMS,max = 0.707·Vdc</t>
  </si>
  <si>
    <t>SVPWM計算の主係数</t>
  </si>
  <si>
    <t>TI-1 / GEN-1</t>
  </si>
  <si>
    <t>TI-1の0.707と Vll,rms=√(3/2)Vph,peak から導出</t>
  </si>
  <si>
    <t>相peak版と線間rms版の同値確認用</t>
  </si>
  <si>
    <t>D4</t>
  </si>
  <si>
    <t>SQRT(2)×I_start</t>
  </si>
  <si>
    <t>RMS→peak換算</t>
  </si>
  <si>
    <t>式メモ: I_peak=√2·I_rms</t>
  </si>
  <si>
    <t>D5</t>
  </si>
  <si>
    <t>SQRT(2)×I_ss</t>
  </si>
  <si>
    <t>D6</t>
  </si>
  <si>
    <t>n_ss×2π/60</t>
  </si>
  <si>
    <t>回転速度[rpm]→機械角速度</t>
  </si>
  <si>
    <t>式メモ: ωm=n·2π/60</t>
  </si>
  <si>
    <t>機械速度基準</t>
  </si>
  <si>
    <t>D7</t>
  </si>
  <si>
    <t>p×ω_m</t>
  </si>
  <si>
    <t>電気角速度</t>
  </si>
  <si>
    <t>式メモ: ωe=p·ωm</t>
  </si>
  <si>
    <t>極ペア数を反映</t>
  </si>
  <si>
    <t>Kt/√2</t>
  </si>
  <si>
    <t>Kollmorgen白書準拠のKe_ll,rms推定</t>
  </si>
  <si>
    <t>p.3 L207-L212: Kb(Vrms/rad/s)=Ke(V/rad/s)/√2</t>
  </si>
  <si>
    <t>Ktと直接等しいのはcrest側</t>
  </si>
  <si>
    <t>D8×1000×2π/60</t>
  </si>
  <si>
    <t>カタログ表記 Vrms/krpm へ換算</t>
  </si>
  <si>
    <t>KM-2 p.3 L210-L212; KM-3 p.10 L408-L409</t>
  </si>
  <si>
    <t>https://www.kollmorgen.com/sites/default/files/uploaded/Service_and_Support/Knowledge_Center/White_Papers/ServoUnits__10_15A_FINALDOC.pdf | https://www.kollmorgen.com/sites/default/files/TBM2G-KM_SG_00396_RevA_EN.pdf</t>
  </si>
  <si>
    <t>TBM2G表記と同じ単位</t>
  </si>
  <si>
    <t>IF(override, B12, D9)</t>
  </si>
  <si>
    <t>上書き優先の採用Ke</t>
  </si>
  <si>
    <t>白書のKb単位 + カタログのKe単位</t>
  </si>
  <si>
    <t>B12空欄なら推定値</t>
  </si>
  <si>
    <t>内部計算用Ke_active</t>
  </si>
  <si>
    <t>p.3 L207-L212 の逆換算</t>
  </si>
  <si>
    <t>逆起電力計算で使用</t>
  </si>
  <si>
    <t>D11×ωm</t>
  </si>
  <si>
    <t>線間rms基準の逆起電力</t>
  </si>
  <si>
    <t>KM-1 HTML L260; KM-2 p.3 L207-L212</t>
  </si>
  <si>
    <t>https://www.kollmorgen.com/en-us/developer-network/motor-data-legend | https://www.kollmorgen.com/sites/default/files/uploaded/Service_and_Support/Knowledge_Center/White_Papers/ServoUnits__10_15A_FINALDOC.pdf</t>
  </si>
  <si>
    <t>KollmorgenのKErmsと同基準</t>
  </si>
  <si>
    <t>E_ll,rms×√(2/3)</t>
  </si>
  <si>
    <t>線間rms→相peak換算</t>
  </si>
  <si>
    <t>式メモ: Vll,rms=√(3/2)Vph,peak</t>
  </si>
  <si>
    <t>dq式のq軸へ接続</t>
  </si>
  <si>
    <t>電圧</t>
  </si>
  <si>
    <t>(R_ll/2)×I_start,peak</t>
  </si>
  <si>
    <t>起動瞬間の抵抗降下</t>
  </si>
  <si>
    <t>KM-2 p.4 L314-L317: Rm_φ=Rm(L-L)/2</t>
  </si>
  <si>
    <t>起動時は逆起電力0</t>
  </si>
  <si>
    <t>D15</t>
  </si>
  <si>
    <t>ABS(v_q,start)</t>
  </si>
  <si>
    <t>起動時必要相電圧</t>
  </si>
  <si>
    <t>式メモ: 起動時はd軸成分0</t>
  </si>
  <si>
    <t>相peak基準</t>
  </si>
  <si>
    <t>D16</t>
  </si>
  <si>
    <t>√(3/2)×V_ph,peak,start</t>
  </si>
  <si>
    <t>相peak→線間rms換算</t>
  </si>
  <si>
    <t>線間rms基準</t>
  </si>
  <si>
    <t>D17</t>
  </si>
  <si>
    <t>Vph,peak/k_ph,max</t>
  </si>
  <si>
    <t>相peak基準のDCバス式</t>
  </si>
  <si>
    <t>TI-1 p.11 L549-L552 と一般換算から導出</t>
  </si>
  <si>
    <t>D18と同値になる</t>
  </si>
  <si>
    <t>Vll,rms/k_mod</t>
  </si>
  <si>
    <t>線間rms基準のDCバス式</t>
  </si>
  <si>
    <t>p.11 L549-L552: VLL_RMS,max = 0.707·Vdc</t>
  </si>
  <si>
    <t>SVPWM主式</t>
  </si>
  <si>
    <t>-ωe×(L_ll/2)×I_ss,peak</t>
  </si>
  <si>
    <t>インダクタンス誘導項</t>
  </si>
  <si>
    <t>KM-2のL/L→相換算流儀 + d軸一般式</t>
  </si>
  <si>
    <t>L_phase使用</t>
  </si>
  <si>
    <t>(R_ll/2)×I_ss,peak + E_ph,peak</t>
  </si>
  <si>
    <t>抵抗降下 + 逆起電力</t>
  </si>
  <si>
    <t>KM-2 p.4 L314-L317 + 一般dq式</t>
  </si>
  <si>
    <t>id=0前提</t>
  </si>
  <si>
    <t>D22</t>
  </si>
  <si>
    <t>√(vd²+vq²)</t>
  </si>
  <si>
    <t>dq電圧ベクトルの大きさ</t>
  </si>
  <si>
    <t>式メモ: Vreq=√(vd²+vq²)</t>
  </si>
  <si>
    <t>D23</t>
  </si>
  <si>
    <t>√(3/2)×V_ph,peak</t>
  </si>
  <si>
    <t>相peak版DCバス</t>
  </si>
  <si>
    <t>TI-1 0.707係数と一般換算から同値</t>
  </si>
  <si>
    <t>D25と一致確認用</t>
  </si>
  <si>
    <t>線間rms版DCバス</t>
  </si>
  <si>
    <t>p.11 L549-L552</t>
  </si>
  <si>
    <t>KollmorgenのKe表記に最も直接</t>
  </si>
  <si>
    <t>D27</t>
  </si>
  <si>
    <t>-ωe×(L_ll/2)×I_start,peak</t>
  </si>
  <si>
    <t>加速ワースト時の誘導項</t>
  </si>
  <si>
    <t>L_phase = L_ll/2</t>
  </si>
  <si>
    <t>起動電流一定仮定</t>
  </si>
  <si>
    <t>D28</t>
  </si>
  <si>
    <t>(R_ll/2)×I_start,peak + E_ph,peak</t>
  </si>
  <si>
    <t>加速ワースト時のq軸電圧</t>
  </si>
  <si>
    <t>R_phase = R_ll/2</t>
  </si>
  <si>
    <t>起動〜定常のワースト</t>
  </si>
  <si>
    <t>D29</t>
  </si>
  <si>
    <t>ワースト必要相電圧</t>
  </si>
  <si>
    <t>dqベクトル大きさ</t>
  </si>
  <si>
    <t>設計支配条件</t>
  </si>
  <si>
    <t>D30</t>
  </si>
  <si>
    <t>Vll,rms=√(3/2)Vph,peak</t>
  </si>
  <si>
    <t>D31/D32へ接続</t>
  </si>
  <si>
    <t>相peak版ワーストDCバス</t>
  </si>
  <si>
    <t>0.707係数と一般換算から同値</t>
  </si>
  <si>
    <t>D32と一致確認用</t>
  </si>
  <si>
    <t>線間rms版ワーストDCバス</t>
  </si>
  <si>
    <t>推奨最小DCバス主出力</t>
  </si>
  <si>
    <t>Kt×I_ss</t>
  </si>
  <si>
    <t>KTrms×Arms</t>
  </si>
  <si>
    <t>KM-1 HTML L258-L260; KM-2 p.4 L309-L311</t>
  </si>
  <si>
    <t>出力</t>
  </si>
  <si>
    <t>D34</t>
  </si>
  <si>
    <t>T×ωm</t>
  </si>
  <si>
    <t>式メモ: P=T·ωm</t>
  </si>
  <si>
    <t>一般機械式</t>
  </si>
  <si>
    <t>3×I_ss²×R_phase</t>
  </si>
  <si>
    <t>銅損計算</t>
  </si>
  <si>
    <t>KM-2 p.4 L314-L317 + Pcu=3Irms²Rphase</t>
  </si>
  <si>
    <t>R定義がズレると誤差大</t>
  </si>
  <si>
    <t>入力電力</t>
  </si>
  <si>
    <t>D36</t>
  </si>
  <si>
    <t>P_out+P_cu</t>
  </si>
  <si>
    <t>簡易入力電力</t>
  </si>
  <si>
    <t>式メモ: 銅損のみ考慮</t>
  </si>
  <si>
    <t>補助指標</t>
  </si>
  <si>
    <t>D37</t>
  </si>
  <si>
    <t>P_out/P_in</t>
  </si>
  <si>
    <t>簡易効率</t>
  </si>
  <si>
    <t>式メモ: η=P_out/P_in</t>
  </si>
  <si>
    <t>3×I_start²×R_phase</t>
  </si>
  <si>
    <t>加速発熱へ接続</t>
  </si>
  <si>
    <t>発熱</t>
  </si>
  <si>
    <t>D39</t>
  </si>
  <si>
    <t>=P_cu,start</t>
  </si>
  <si>
    <t>USR-1 / GEN-1</t>
  </si>
  <si>
    <t>設計仮定</t>
  </si>
  <si>
    <t>使用条件依存</t>
  </si>
  <si>
    <t>D40</t>
  </si>
  <si>
    <t>P_heat,avg×t_acc</t>
  </si>
  <si>
    <t>発熱エネルギー</t>
  </si>
  <si>
    <t>D42</t>
  </si>
  <si>
    <t>停止前速度の角速度換算</t>
  </si>
  <si>
    <t>回生計算起点</t>
  </si>
  <si>
    <t>D43</t>
  </si>
  <si>
    <t>ω_start/t_dec</t>
  </si>
  <si>
    <t>減速度</t>
  </si>
  <si>
    <t>式メモ: α=Δω/Δt</t>
  </si>
  <si>
    <t>停止条件依存</t>
  </si>
  <si>
    <t>D44</t>
  </si>
  <si>
    <t>J×|α_dec|</t>
  </si>
  <si>
    <t>減速トルク</t>
  </si>
  <si>
    <t>式メモ: T=Jα</t>
  </si>
  <si>
    <t>|T_regen|/Kt</t>
  </si>
  <si>
    <t>KTrmsから必要電流算出</t>
  </si>
  <si>
    <t>回生方向の大きさ</t>
  </si>
  <si>
    <t>D46</t>
  </si>
  <si>
    <t>√2×|I_regen,rms|</t>
  </si>
  <si>
    <t>I_peak=√2I_rms</t>
  </si>
  <si>
    <t>dq式用</t>
  </si>
  <si>
    <t>D47</t>
  </si>
  <si>
    <t>停止開始時の機械回生エネルギー E_kin,start</t>
  </si>
  <si>
    <t>0.5×J×ω²</t>
  </si>
  <si>
    <t>運動エネルギー</t>
  </si>
  <si>
    <t>式メモ: E=1/2·J·ω²</t>
  </si>
  <si>
    <t>D48</t>
  </si>
  <si>
    <t>平均機械回生電力 P_reg,mech,avg</t>
  </si>
  <si>
    <t>E_kin/t_dec</t>
  </si>
  <si>
    <t>式メモ: P=E/t</t>
  </si>
  <si>
    <t>D49</t>
  </si>
  <si>
    <t>3×I_regen²×R_phase</t>
  </si>
  <si>
    <t>回生中の銅損</t>
  </si>
  <si>
    <t>R定義依存</t>
  </si>
  <si>
    <t>DCバスへ戻る正味エネルギー E_bus,net</t>
  </si>
  <si>
    <t>(P_reg-P_cu)×t_dec</t>
  </si>
  <si>
    <t>理想回生から銅損差引き</t>
  </si>
  <si>
    <t>補助評価</t>
  </si>
  <si>
    <t>D51</t>
  </si>
  <si>
    <t>回生後DCバス電圧 Vdc_after,ideal</t>
  </si>
  <si>
    <t>√(Vinit²+2E/C)</t>
  </si>
  <si>
    <t>理想回生後Vdc</t>
  </si>
  <si>
    <t>式メモ: E=1/2CV² を使用</t>
  </si>
  <si>
    <t>C_dc依存</t>
  </si>
  <si>
    <t>D52</t>
  </si>
  <si>
    <t>回生後DCバス電圧 Vdc_after,net</t>
  </si>
  <si>
    <t>√(Vinit²+2E_net/C)</t>
  </si>
  <si>
    <t>銅損考慮後Vdc</t>
  </si>
  <si>
    <t>D53</t>
  </si>
  <si>
    <t>IF(E_net&gt;0,上昇,減少)</t>
  </si>
  <si>
    <t>回生可否の簡易判定</t>
  </si>
  <si>
    <t>補助表示</t>
  </si>
  <si>
    <t>入力条件!B13</t>
  </si>
  <si>
    <t>切替状態のサマリ</t>
  </si>
  <si>
    <t>変調方式の確認</t>
  </si>
  <si>
    <t>SVPWM/SPWMの確認用</t>
  </si>
  <si>
    <t>入力条件!B15</t>
  </si>
  <si>
    <t>線間rms/Vdc係数</t>
  </si>
  <si>
    <t>SVPWMなら0.707</t>
  </si>
  <si>
    <t>入力条件!B16</t>
  </si>
  <si>
    <t>相peak/Vdc係数</t>
  </si>
  <si>
    <t>0.707係数と一般換算から導出</t>
  </si>
  <si>
    <t>SVPWMなら1/√3</t>
  </si>
  <si>
    <t>計算詳細!D9</t>
  </si>
  <si>
    <t>Ktから推定したKe</t>
  </si>
  <si>
    <t>KM-2 p.3 L207-L212; KM-3 p.10 L408-L409</t>
  </si>
  <si>
    <t>カタログ照合の主セル</t>
  </si>
  <si>
    <t>計算詳細!D10</t>
  </si>
  <si>
    <t>採用Ke</t>
  </si>
  <si>
    <t>上書き入力時はここが変わる</t>
  </si>
  <si>
    <t>実際の使用値</t>
  </si>
  <si>
    <t>√2×E_ll,rms</t>
  </si>
  <si>
    <t>SVPWM最小Vdc（無負荷）</t>
  </si>
  <si>
    <t>Keはrms、VdcはTIの0.707係数で算出</t>
  </si>
  <si>
    <t>https://www.kollmorgen.com/sites/default/files/uploaded/Service_and_Support/Knowledge_Center/White_Papers/ServoUnits__10_15A_FINALDOC.pdf | https://www.ti.com/lit/ug/tiducy7/tiducy7.pdf</t>
  </si>
  <si>
    <t>旧版との差が最も大きい</t>
  </si>
  <si>
    <t>計算詳細!D18</t>
  </si>
  <si>
    <t>起動時の必要Vdc</t>
  </si>
  <si>
    <t>線間rms版の主式</t>
  </si>
  <si>
    <t>計算詳細!D25</t>
  </si>
  <si>
    <t>定常時の必要Vdc</t>
  </si>
  <si>
    <t>定常条件用</t>
  </si>
  <si>
    <t>計算詳細!D32</t>
  </si>
  <si>
    <t>設計支配条件のVdc</t>
  </si>
  <si>
    <t>線間rms版ワースト値</t>
  </si>
  <si>
    <t>推奨最小Vdc</t>
  </si>
  <si>
    <t>計算詳細!D17</t>
  </si>
  <si>
    <t>相peak版</t>
  </si>
  <si>
    <t>D14-D18と対応</t>
  </si>
  <si>
    <t>D14と同値</t>
  </si>
  <si>
    <t>B14</t>
  </si>
  <si>
    <t>線間rms版</t>
  </si>
  <si>
    <t>推奨読み</t>
  </si>
  <si>
    <t>計算詳細!D24</t>
  </si>
  <si>
    <t>D22-D25と対応</t>
  </si>
  <si>
    <t>D16と同値</t>
  </si>
  <si>
    <t>B17</t>
  </si>
  <si>
    <t>計算詳細!D31</t>
  </si>
  <si>
    <t>D29-D32と対応</t>
  </si>
  <si>
    <t>D18と同値</t>
  </si>
  <si>
    <t>B18</t>
  </si>
  <si>
    <t>B19</t>
  </si>
  <si>
    <t>計算詳細!D34</t>
  </si>
  <si>
    <t>P=Tω</t>
  </si>
  <si>
    <t>B20</t>
  </si>
  <si>
    <t>計算詳細!D35</t>
  </si>
  <si>
    <t>Pcu=3Irms²Rphase</t>
  </si>
  <si>
    <t>R定義要確認</t>
  </si>
  <si>
    <t>B23</t>
  </si>
  <si>
    <t>計算詳細!D47</t>
  </si>
  <si>
    <t>回生開始時の運動エネルギー</t>
  </si>
  <si>
    <t>E=1/2Jω²</t>
  </si>
  <si>
    <t>B24</t>
  </si>
  <si>
    <t>計算詳細!D44</t>
  </si>
  <si>
    <t>Jα</t>
  </si>
  <si>
    <t>T=Jα</t>
  </si>
  <si>
    <t>B25</t>
  </si>
  <si>
    <t>計算詳細!D45</t>
  </si>
  <si>
    <t>T/Kt</t>
  </si>
  <si>
    <t>KTrms定義を使用</t>
  </si>
  <si>
    <t>Kt基準確認セル</t>
  </si>
  <si>
    <t>計算詳細!D48</t>
  </si>
  <si>
    <t>E/t</t>
  </si>
  <si>
    <t>P=E/t</t>
  </si>
  <si>
    <t>計算詳細!D49</t>
  </si>
  <si>
    <t>3Irms²Rphase</t>
  </si>
  <si>
    <t>計算詳細!D50</t>
  </si>
  <si>
    <t>P_net×t</t>
  </si>
  <si>
    <t>計算詳細!D51</t>
  </si>
  <si>
    <t>√(V²+2E/C)</t>
  </si>
  <si>
    <t>式メモ: E=1/2CV²</t>
  </si>
  <si>
    <t>B30</t>
  </si>
  <si>
    <t>計算詳細!D52</t>
  </si>
  <si>
    <t>√(V²+2E_net/C)</t>
  </si>
  <si>
    <t>B31</t>
  </si>
  <si>
    <t>結果差分</t>
  </si>
  <si>
    <t>V_after,ideal - V_init</t>
  </si>
  <si>
    <t>コンデンサエネルギー式</t>
  </si>
  <si>
    <t>V_after,net - V_init</t>
  </si>
  <si>
    <t>計算詳細!D53</t>
  </si>
  <si>
    <t>簡易判定</t>
  </si>
  <si>
    <t>ユーザー入力（ms）</t>
  </si>
  <si>
    <t>0→I_start の目標時間</t>
  </si>
  <si>
    <t>AKD2G Current Loop Gain: IL.KP = 2π·LQLL·IL.BW</t>
  </si>
  <si>
    <t>ユーザー入力（比率）</t>
  </si>
  <si>
    <t>ΔI_corr,peak = ε_ci·I_start,peak</t>
  </si>
  <si>
    <t>'L_ll / R_ll</t>
  </si>
  <si>
    <t>Y結線での巻線自然時定数</t>
  </si>
  <si>
    <t>τ_e=(L_ll/2)/(R_ll/2)=L_ll/R_ll</t>
  </si>
  <si>
    <t>相値1/2換算が相殺される</t>
  </si>
  <si>
    <t>D61</t>
  </si>
  <si>
    <t>'1/(2π τ_e)</t>
  </si>
  <si>
    <t>巻線一次遅れの自然帯域の目安</t>
  </si>
  <si>
    <t>式メモ: f_RL = 1/(2π τ_e)</t>
  </si>
  <si>
    <t>'L_phase·I_start,peak / t_I,start</t>
  </si>
  <si>
    <t>大信号起動過渡の追加電圧</t>
  </si>
  <si>
    <t>V=L di/dt, di/dt≈I_start,peak/t_I,start</t>
  </si>
  <si>
    <t>0 rpm 起動なので逆起電力0</t>
  </si>
  <si>
    <t>'V_ph,peak,start,tr / k_ph,max</t>
  </si>
  <si>
    <t>起動過渡の相peak基準DCバス</t>
  </si>
  <si>
    <t>D67</t>
  </si>
  <si>
    <t>'V_ll,rms,start,tr / k_mod</t>
  </si>
  <si>
    <t>起動過渡の線間rms基準DCバス</t>
  </si>
  <si>
    <t>D66と整合確認用</t>
  </si>
  <si>
    <t>'L_phase·2π·f_ci·ΔI_corr,peak</t>
  </si>
  <si>
    <t>small-signal 補正余裕の参考電圧</t>
  </si>
  <si>
    <t>KM-4 / KM-5 / GEN-1</t>
  </si>
  <si>
    <t>IL.BW と L-R model を用いた参考式</t>
  </si>
  <si>
    <t>https://webhelp.kollmorgen.com/akd2g/english/Content/AKD2G_User_Manual/Current_Loop_Gain.htm | https://www.kollmorgen.com/en-us/developer-network/tuning-delay-time-compensation-smith-predictor</t>
  </si>
  <si>
    <t>B39</t>
  </si>
  <si>
    <t>'ΔVdc = Vdc_transient - Vdc_static</t>
  </si>
  <si>
    <t>L·di/dt で増える必要DCバス分</t>
  </si>
  <si>
    <t>式メモ: ΔVdc = Vdc_transient - Vdc_static</t>
  </si>
  <si>
    <t>設計余裕の初期判断に有用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</si>
</sst>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rgb="FFFFFFFF"/>
      <name val="Carlito"/>
    </font>
    <font>
      <sz val="10"/>
      <color rgb="FF404040"/>
      <name val="Carlito"/>
    </font>
    <font>
      <b/>
      <sz val="10"/>
      <color rgb="FF404040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0F766E"/>
      </patternFill>
    </fill>
    <fill>
      <patternFill patternType="solid">
        <fgColor rgb="FFFCE7C8"/>
      </patternFill>
    </fill>
    <fill>
      <patternFill patternType="solid">
        <fgColor rgb="FFF3F4F6"/>
      </patternFill>
    </fill>
    <fill>
      <patternFill patternType="solid">
        <fgColor rgb="FF1D3557"/>
      </patternFill>
    </fill>
    <fill>
      <patternFill patternType="solid">
        <fgColor rgb="FFE8F3FB"/>
      </patternFill>
    </fill>
    <fill>
      <patternFill patternType="solid">
        <fgColor rgb="FFFFF1E6"/>
      </patternFill>
    </fill>
    <fill>
      <patternFill patternType="solid">
        <fgColor rgb="FFFEF3C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F9FBE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2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vertical="center" wrapText="1"/>
    </xf>
    <xf numFmtId="0" fontId="0" fillId="5" borderId="0" xfId="1" applyFont="1" applyFill="1" applyAlignment="1">
      <alignment horizontal="right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176" fontId="0" fillId="5" borderId="0" xfId="1" applyNumberFormat="1" applyFont="1" applyFill="1" applyAlignment="1">
      <alignment horizontal="right"/>
    </xf>
    <xf numFmtId="0" fontId="2" fillId="3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wrapText="1"/>
    </xf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3" fillId="0" borderId="9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0" fillId="0" borderId="11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5" xfId="1" applyFont="1" applyBorder="1" applyAlignment="1">
      <alignment wrapText="1"/>
    </xf>
    <xf numFmtId="0" fontId="5" fillId="0" borderId="8" xfId="1" applyFont="1" applyBorder="1" applyAlignment="1">
      <alignment wrapText="1"/>
    </xf>
    <xf numFmtId="0" fontId="5" fillId="0" borderId="9" xfId="1" applyFont="1" applyBorder="1" applyAlignment="1">
      <alignment wrapText="1"/>
    </xf>
    <xf numFmtId="0" fontId="5" fillId="0" borderId="10" xfId="1" applyFont="1" applyBorder="1" applyAlignment="1">
      <alignment wrapText="1"/>
    </xf>
    <xf numFmtId="0" fontId="5" fillId="0" borderId="11" xfId="1" applyFont="1" applyBorder="1" applyAlignment="1">
      <alignment wrapText="1"/>
    </xf>
    <xf numFmtId="0" fontId="0" fillId="0" borderId="9" xfId="1" applyFont="1" applyBorder="1" applyAlignment="1">
      <alignment horizontal="center" wrapText="1"/>
    </xf>
    <xf numFmtId="0" fontId="0" fillId="0" borderId="10" xfId="1" applyFont="1" applyBorder="1" applyAlignment="1">
      <alignment horizontal="center" wrapText="1"/>
    </xf>
    <xf numFmtId="0" fontId="0" fillId="0" borderId="11" xfId="1" applyFont="1" applyBorder="1" applyAlignment="1">
      <alignment horizontal="center" wrapText="1"/>
    </xf>
    <xf numFmtId="0" fontId="5" fillId="0" borderId="2" xfId="1" applyFont="1" applyBorder="1" applyAlignment="1">
      <alignment wrapText="1"/>
    </xf>
    <xf numFmtId="0" fontId="5" fillId="0" borderId="0" xfId="1" applyFont="1" applyAlignment="1">
      <alignment wrapText="1"/>
    </xf>
    <xf numFmtId="0" fontId="5" fillId="0" borderId="7" xfId="1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5" fillId="0" borderId="4" xfId="1" applyFont="1" applyBorder="1" applyAlignment="1">
      <alignment wrapText="1"/>
    </xf>
    <xf numFmtId="0" fontId="5" fillId="0" borderId="6" xfId="1" applyFont="1" applyBorder="1" applyAlignment="1">
      <alignment wrapText="1"/>
    </xf>
    <xf numFmtId="49" fontId="0" fillId="0" borderId="11" xfId="1" applyNumberFormat="1" applyFont="1" applyBorder="1" applyAlignment="1">
      <alignment wrapText="1"/>
    </xf>
    <xf numFmtId="0" fontId="2" fillId="7" borderId="12" xfId="1" applyFont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176" fontId="0" fillId="0" borderId="11" xfId="1" applyNumberFormat="1" applyFont="1" applyBorder="1" applyAlignment="1">
      <alignment wrapText="1"/>
    </xf>
    <xf numFmtId="0" fontId="2" fillId="7" borderId="14" xfId="1" applyFont="1" applyFill="1" applyBorder="1" applyAlignment="1">
      <alignment horizontal="center" vertical="center" wrapText="1"/>
    </xf>
    <xf numFmtId="0" fontId="6" fillId="7" borderId="13" xfId="1" applyFont="1" applyFill="1" applyBorder="1" applyAlignment="1">
      <alignment horizontal="center" vertical="center" wrapText="1"/>
    </xf>
    <xf numFmtId="0" fontId="6" fillId="7" borderId="12" xfId="1" applyFont="1" applyFill="1" applyBorder="1" applyAlignment="1">
      <alignment horizontal="center" vertical="center" wrapText="1"/>
    </xf>
    <xf numFmtId="0" fontId="2" fillId="7" borderId="15" xfId="1" applyFont="1" applyFill="1" applyBorder="1" applyAlignment="1">
      <alignment horizontal="center" vertical="center"/>
    </xf>
    <xf numFmtId="176" fontId="0" fillId="5" borderId="0" xfId="0" applyNumberFormat="1" applyFill="1" applyAlignment="1">
      <alignment horizontal="right"/>
    </xf>
    <xf numFmtId="176" fontId="0" fillId="0" borderId="0" xfId="0" applyNumberFormat="1" applyAlignment="1">
      <alignment wrapText="1"/>
    </xf>
    <xf numFmtId="176" fontId="0" fillId="0" borderId="0" xfId="0" applyNumberFormat="1"/>
    <xf numFmtId="176" fontId="0" fillId="5" borderId="0" xfId="0" applyNumberFormat="1" applyFill="1" applyAlignment="1">
      <alignment horizontal="right" vertical="center" wrapText="1"/>
    </xf>
    <xf numFmtId="176" fontId="2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horizontal="right" vertical="center" wrapText="1"/>
    </xf>
    <xf numFmtId="176" fontId="0" fillId="0" borderId="0" xfId="0" applyNumberFormat="1" applyAlignment="1">
      <alignment horizontal="right" vertical="center" wrapText="1"/>
    </xf>
    <xf numFmtId="176" fontId="0" fillId="0" borderId="0" xfId="0" applyNumberFormat="1" applyAlignment="1">
      <alignment horizontal="right"/>
    </xf>
    <xf numFmtId="176" fontId="2" fillId="3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right" vertical="center"/>
    </xf>
    <xf numFmtId="176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0" fontId="0" fillId="9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3" fillId="9" borderId="0" xfId="0" applyFont="1" applyFill="1" applyAlignment="1">
      <alignment wrapText="1"/>
    </xf>
    <xf numFmtId="0" fontId="2" fillId="11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176" fontId="0" fillId="15" borderId="0" xfId="0" applyNumberFormat="1" applyFill="1" applyAlignment="1">
      <alignment wrapText="1"/>
    </xf>
    <xf numFmtId="176" fontId="0" fillId="13" borderId="0" xfId="0" applyNumberFormat="1" applyFill="1" applyAlignment="1">
      <alignment wrapText="1"/>
    </xf>
    <xf numFmtId="176" fontId="0" fillId="16" borderId="0" xfId="0" applyNumberFormat="1" applyFill="1" applyAlignment="1">
      <alignment wrapText="1"/>
    </xf>
    <xf numFmtId="0" fontId="2" fillId="20" borderId="0" xfId="0" applyFont="1" applyFill="1" applyAlignment="1">
      <alignment horizontal="center" wrapText="1"/>
    </xf>
    <xf numFmtId="0" fontId="0" fillId="22" borderId="0" xfId="0" applyFill="1" applyAlignment="1">
      <alignment vertical="top" wrapText="1"/>
    </xf>
    <xf numFmtId="0" fontId="0" fillId="23" borderId="0" xfId="0" applyFill="1" applyAlignment="1">
      <alignment vertical="top" wrapText="1"/>
    </xf>
    <xf numFmtId="0" fontId="0" fillId="24" borderId="0" xfId="0" applyFill="1" applyAlignment="1">
      <alignment vertical="top" wrapText="1"/>
    </xf>
    <xf numFmtId="0" fontId="0" fillId="25" borderId="0" xfId="0" applyFill="1" applyAlignment="1">
      <alignment vertical="top" wrapText="1"/>
    </xf>
    <xf numFmtId="0" fontId="0" fillId="26" borderId="0" xfId="0" applyFill="1" applyAlignment="1">
      <alignment horizontal="center" vertical="top" wrapText="1"/>
    </xf>
    <xf numFmtId="0" fontId="2" fillId="26" borderId="0" xfId="0" applyFont="1" applyFill="1" applyAlignment="1">
      <alignment horizontal="center" vertical="center"/>
    </xf>
    <xf numFmtId="176" fontId="3" fillId="26" borderId="0" xfId="0" applyNumberFormat="1" applyFont="1" applyFill="1" applyAlignment="1">
      <alignment horizontal="right"/>
    </xf>
    <xf numFmtId="176" fontId="3" fillId="26" borderId="0" xfId="0" applyNumberFormat="1" applyFont="1" applyFill="1"/>
    <xf numFmtId="0" fontId="3" fillId="26" borderId="0" xfId="0" applyFont="1" applyFill="1" applyAlignment="1">
      <alignment horizontal="right"/>
    </xf>
    <xf numFmtId="176" fontId="3" fillId="26" borderId="0" xfId="0" applyNumberFormat="1" applyFont="1" applyFill="1" applyAlignment="1">
      <alignment wrapText="1"/>
    </xf>
    <xf numFmtId="49" fontId="3" fillId="26" borderId="0" xfId="0" applyNumberFormat="1" applyFont="1" applyFill="1" applyAlignment="1">
      <alignment horizontal="right"/>
    </xf>
    <xf numFmtId="0" fontId="3" fillId="26" borderId="0" xfId="0" applyFont="1" applyFill="1" applyAlignment="1">
      <alignment wrapText="1"/>
    </xf>
    <xf numFmtId="0" fontId="3" fillId="27" borderId="0" xfId="0" applyFont="1" applyFill="1"/>
    <xf numFmtId="176" fontId="3" fillId="27" borderId="0" xfId="0" applyNumberFormat="1" applyFont="1" applyFill="1"/>
    <xf numFmtId="0" fontId="1" fillId="2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3" fillId="17" borderId="0" xfId="0" applyFont="1" applyFill="1" applyAlignment="1">
      <alignment vertical="center" wrapText="1"/>
    </xf>
    <xf numFmtId="0" fontId="1" fillId="18" borderId="0" xfId="0" applyFont="1" applyFill="1" applyAlignment="1">
      <alignment horizontal="center"/>
    </xf>
    <xf numFmtId="0" fontId="0" fillId="19" borderId="0" xfId="0" applyFill="1" applyAlignment="1">
      <alignment wrapText="1"/>
    </xf>
    <xf numFmtId="0" fontId="0" fillId="21" borderId="0" xfId="0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5">
    <dxf>
      <font>
        <b/>
        <color rgb="FF4B5563"/>
      </font>
      <fill>
        <patternFill>
          <bgColor rgb="FFF3F4F6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電流比較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相電流 [Arms]</c:v>
          </c:tx>
          <c:invertIfNegative val="1"/>
          <c:cat>
            <c:strRef>
              <c:f>グラフ!$A$4:$A$5</c:f>
              <c:strCache>
                <c:ptCount val="2"/>
                <c:pt idx="0">
                  <c:v>起動時</c:v>
                </c:pt>
                <c:pt idx="1">
                  <c:v>定常時</c:v>
                </c:pt>
              </c:strCache>
            </c:strRef>
          </c:cat>
          <c:val>
            <c:numRef>
              <c:f>グラフ!$B$4:$B$5</c:f>
              <c:numCache>
                <c:formatCode>0.000</c:formatCode>
                <c:ptCount val="2"/>
                <c:pt idx="0">
                  <c:v>6.8094701240135294</c:v>
                </c:pt>
                <c:pt idx="1">
                  <c:v>3.4047350620067647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9-4F4D-A451-43241A4D8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損失・出力比較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電力 [W]</c:v>
          </c:tx>
          <c:invertIfNegative val="1"/>
          <c:cat>
            <c:strRef>
              <c:f>グラフ!$A$9:$A$12</c:f>
              <c:strCache>
                <c:ptCount val="4"/>
                <c:pt idx="0">
                  <c:v>定常時機械出力</c:v>
                </c:pt>
                <c:pt idx="1">
                  <c:v>定常時発熱量</c:v>
                </c:pt>
                <c:pt idx="2">
                  <c:v>起動時銅損</c:v>
                </c:pt>
                <c:pt idx="3">
                  <c:v>加速中平均発熱</c:v>
                </c:pt>
              </c:strCache>
            </c:strRef>
          </c:cat>
          <c:val>
            <c:numRef>
              <c:f>グラフ!$B$9:$B$12</c:f>
              <c:numCache>
                <c:formatCode>0.000</c:formatCode>
                <c:ptCount val="4"/>
                <c:pt idx="0">
                  <c:v>31.625366046137248</c:v>
                </c:pt>
                <c:pt idx="1">
                  <c:v>108.85095371068257</c:v>
                </c:pt>
                <c:pt idx="2">
                  <c:v>435.4038148427303</c:v>
                </c:pt>
                <c:pt idx="3">
                  <c:v>435.4038148427303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5-44F8-A8F2-E49A2F02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必要DCバス比較（選択方式）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必要DCバス [V]</c:v>
          </c:tx>
          <c:invertIfNegative val="1"/>
          <c:cat>
            <c:strRef>
              <c:f>グラフ!$A$16:$A$18</c:f>
              <c:strCache>
                <c:ptCount val="3"/>
                <c:pt idx="0">
                  <c:v>起動時</c:v>
                </c:pt>
                <c:pt idx="1">
                  <c:v>定常時</c:v>
                </c:pt>
                <c:pt idx="2">
                  <c:v>加速ワースト</c:v>
                </c:pt>
              </c:strCache>
            </c:strRef>
          </c:cat>
          <c:val>
            <c:numRef>
              <c:f>グラフ!$B$16:$B$18</c:f>
              <c:numCache>
                <c:formatCode>0.000</c:formatCode>
                <c:ptCount val="3"/>
                <c:pt idx="0">
                  <c:v>52.20754620661166</c:v>
                </c:pt>
                <c:pt idx="1">
                  <c:v>35.538041078825607</c:v>
                </c:pt>
                <c:pt idx="2">
                  <c:v>61.83120884105471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3-4097-8E61-C290B125D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t>回生時DCバス電圧比較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電圧 [V]</c:v>
          </c:tx>
          <c:invertIfNegative val="1"/>
          <c:cat>
            <c:strRef>
              <c:f>グラフ!$A$27:$A$29</c:f>
              <c:strCache>
                <c:ptCount val="3"/>
                <c:pt idx="0">
                  <c:v>回生開始DCバス</c:v>
                </c:pt>
                <c:pt idx="1">
                  <c:v>回生後DCバス（理想）</c:v>
                </c:pt>
                <c:pt idx="2">
                  <c:v>回生後DCバス（銅損考慮）</c:v>
                </c:pt>
              </c:strCache>
            </c:strRef>
          </c:cat>
          <c:val>
            <c:numRef>
              <c:f>グラフ!$B$27:$B$29</c:f>
              <c:numCache>
                <c:formatCode>0.000</c:formatCode>
                <c:ptCount val="3"/>
                <c:pt idx="0">
                  <c:v>61.83120884105471</c:v>
                </c:pt>
                <c:pt idx="1">
                  <c:v>64.436675892815629</c:v>
                </c:pt>
                <c:pt idx="2">
                  <c:v>62.581945889096296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D-405F-B72E-D3886E0B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2" workbookViewId="0">
      <selection activeCell="B30" sqref="B30"/>
    </sheetView>
  </sheetViews>
  <sheetFormatPr defaultColWidth="8.875" defaultRowHeight="14.25"/>
  <cols>
    <col min="1" max="1" width="24" customWidth="1"/>
    <col min="2" max="2" width="18" customWidth="1"/>
    <col min="3" max="3" width="12" customWidth="1"/>
    <col min="4" max="4" width="42" customWidth="1"/>
  </cols>
  <sheetData>
    <row r="1" spans="1:4" ht="18">
      <c r="A1" s="83" t="s">
        <v>194</v>
      </c>
      <c r="B1" s="83" t="s">
        <v>194</v>
      </c>
      <c r="C1" s="83" t="s">
        <v>194</v>
      </c>
      <c r="D1" s="83" t="s">
        <v>194</v>
      </c>
    </row>
    <row r="2" spans="1:4" ht="15">
      <c r="D2" s="80" t="s">
        <v>195</v>
      </c>
    </row>
    <row r="3" spans="1:4" ht="15">
      <c r="A3" s="1" t="s">
        <v>0</v>
      </c>
      <c r="B3" s="1" t="s">
        <v>1</v>
      </c>
      <c r="C3" s="1" t="s">
        <v>2</v>
      </c>
      <c r="D3" s="1" t="s">
        <v>3</v>
      </c>
    </row>
    <row r="4" spans="1:4" ht="15">
      <c r="A4" s="2" t="s">
        <v>196</v>
      </c>
      <c r="B4" s="75">
        <v>6.26</v>
      </c>
      <c r="C4" s="5" t="s">
        <v>197</v>
      </c>
      <c r="D4" s="5" t="s">
        <v>198</v>
      </c>
    </row>
    <row r="5" spans="1:4" ht="15">
      <c r="A5" s="2" t="s">
        <v>199</v>
      </c>
      <c r="B5" s="75">
        <v>2.3E-2</v>
      </c>
      <c r="C5" s="5" t="s">
        <v>200</v>
      </c>
      <c r="D5" s="5" t="s">
        <v>198</v>
      </c>
    </row>
    <row r="6" spans="1:4" ht="15">
      <c r="A6" s="2" t="s">
        <v>201</v>
      </c>
      <c r="B6" s="75">
        <v>8.8699999999999992</v>
      </c>
      <c r="C6" s="5" t="s">
        <v>202</v>
      </c>
      <c r="D6" s="5" t="s">
        <v>203</v>
      </c>
    </row>
    <row r="7" spans="1:4" ht="15">
      <c r="A7" s="2" t="s">
        <v>204</v>
      </c>
      <c r="B7" s="75">
        <v>6.8094701240135294</v>
      </c>
      <c r="C7" s="5" t="s">
        <v>73</v>
      </c>
      <c r="D7" s="5" t="s">
        <v>205</v>
      </c>
    </row>
    <row r="8" spans="1:4" ht="15">
      <c r="A8" s="2" t="s">
        <v>206</v>
      </c>
      <c r="B8" s="75">
        <v>3.4047350620067647</v>
      </c>
      <c r="C8" s="5" t="s">
        <v>73</v>
      </c>
      <c r="D8" s="5" t="s">
        <v>205</v>
      </c>
    </row>
    <row r="9" spans="1:4" ht="15">
      <c r="A9" s="2" t="s">
        <v>207</v>
      </c>
      <c r="B9" s="75">
        <v>10</v>
      </c>
      <c r="C9" s="5" t="s">
        <v>208</v>
      </c>
      <c r="D9" s="5"/>
    </row>
    <row r="10" spans="1:4" ht="15">
      <c r="A10" s="2" t="s">
        <v>209</v>
      </c>
      <c r="B10" s="75">
        <v>1</v>
      </c>
      <c r="C10" s="5" t="s">
        <v>30</v>
      </c>
      <c r="D10" s="5" t="s">
        <v>210</v>
      </c>
    </row>
    <row r="11" spans="1:4" ht="15">
      <c r="A11" s="2" t="s">
        <v>211</v>
      </c>
      <c r="B11" s="75">
        <v>32</v>
      </c>
      <c r="C11" s="5" t="s">
        <v>7</v>
      </c>
      <c r="D11" s="5"/>
    </row>
    <row r="12" spans="1:4" ht="15">
      <c r="A12" t="s">
        <v>212</v>
      </c>
      <c r="B12" s="76"/>
      <c r="C12" t="s">
        <v>213</v>
      </c>
      <c r="D12" t="s">
        <v>214</v>
      </c>
    </row>
    <row r="13" spans="1:4" ht="15">
      <c r="A13" s="1" t="s">
        <v>4</v>
      </c>
      <c r="B13" s="74"/>
      <c r="C13" s="1"/>
      <c r="D13" s="1"/>
    </row>
    <row r="14" spans="1:4" ht="15">
      <c r="A14" s="2" t="s">
        <v>5</v>
      </c>
      <c r="B14" s="77" t="s">
        <v>6</v>
      </c>
      <c r="C14" s="5" t="s">
        <v>7</v>
      </c>
      <c r="D14" s="5" t="s">
        <v>8</v>
      </c>
    </row>
    <row r="15" spans="1:4" ht="30">
      <c r="A15" s="2" t="s">
        <v>9</v>
      </c>
      <c r="B15" s="75">
        <f>IF(B14="SPWM",0.612372435695794,1/SQRT(2))</f>
        <v>0.70710678118654746</v>
      </c>
      <c r="C15" s="5" t="s">
        <v>7</v>
      </c>
      <c r="D15" s="5" t="s">
        <v>10</v>
      </c>
    </row>
    <row r="16" spans="1:4" ht="30">
      <c r="A16" s="2" t="s">
        <v>11</v>
      </c>
      <c r="B16" s="75">
        <f>IF(B14="SPWM",0.5,1/SQRT(3))</f>
        <v>0.57735026918962584</v>
      </c>
      <c r="C16" s="5" t="s">
        <v>7</v>
      </c>
      <c r="D16" s="5" t="s">
        <v>12</v>
      </c>
    </row>
    <row r="17" spans="1:4" ht="34.700000000000003" customHeight="1">
      <c r="A17" s="2" t="s">
        <v>13</v>
      </c>
      <c r="B17" s="3" t="s">
        <v>215</v>
      </c>
      <c r="C17" s="5" t="s">
        <v>7</v>
      </c>
      <c r="D17" s="5" t="s">
        <v>14</v>
      </c>
    </row>
    <row r="19" spans="1:4" ht="15">
      <c r="A19" s="1" t="s">
        <v>15</v>
      </c>
      <c r="B19" s="1" t="s">
        <v>16</v>
      </c>
      <c r="C19" s="1"/>
      <c r="D19" s="1"/>
    </row>
    <row r="20" spans="1:4" ht="34.700000000000003" customHeight="1">
      <c r="A20" s="2" t="s">
        <v>17</v>
      </c>
      <c r="B20" s="5" t="s">
        <v>18</v>
      </c>
      <c r="C20" s="5"/>
      <c r="D20" s="5"/>
    </row>
    <row r="21" spans="1:4" ht="34.700000000000003" customHeight="1">
      <c r="A21" s="2" t="s">
        <v>19</v>
      </c>
      <c r="B21" s="5" t="s">
        <v>20</v>
      </c>
      <c r="C21" s="5"/>
      <c r="D21" s="5"/>
    </row>
    <row r="22" spans="1:4" ht="34.700000000000003" customHeight="1">
      <c r="A22" s="2" t="s">
        <v>21</v>
      </c>
      <c r="B22" s="5" t="s">
        <v>22</v>
      </c>
      <c r="C22" s="5"/>
      <c r="D22" s="5"/>
    </row>
    <row r="23" spans="1:4" ht="34.700000000000003" customHeight="1">
      <c r="A23" s="2" t="s">
        <v>23</v>
      </c>
      <c r="B23" s="5" t="s">
        <v>24</v>
      </c>
      <c r="C23" s="5"/>
      <c r="D23" s="5"/>
    </row>
    <row r="25" spans="1:4" ht="22.7" customHeight="1">
      <c r="A25" s="84" t="s">
        <v>25</v>
      </c>
      <c r="B25" s="84"/>
      <c r="C25" s="84"/>
      <c r="D25" s="84"/>
    </row>
    <row r="26" spans="1:4" ht="22.7" customHeight="1">
      <c r="A26" s="16" t="s">
        <v>26</v>
      </c>
      <c r="B26" s="78">
        <v>3</v>
      </c>
      <c r="C26" s="26" t="s">
        <v>27</v>
      </c>
      <c r="D26" s="23" t="s">
        <v>28</v>
      </c>
    </row>
    <row r="27" spans="1:4" ht="22.7" customHeight="1">
      <c r="A27" s="17" t="s">
        <v>29</v>
      </c>
      <c r="B27" s="78">
        <v>1</v>
      </c>
      <c r="C27" s="27" t="s">
        <v>30</v>
      </c>
      <c r="D27" s="24" t="s">
        <v>31</v>
      </c>
    </row>
    <row r="28" spans="1:4" ht="45.6" customHeight="1">
      <c r="A28" s="17" t="s">
        <v>32</v>
      </c>
      <c r="B28" s="78">
        <v>0.01</v>
      </c>
      <c r="C28" s="27" t="s">
        <v>33</v>
      </c>
      <c r="D28" s="24" t="s">
        <v>34</v>
      </c>
    </row>
    <row r="29" spans="1:4" ht="45.6" customHeight="1">
      <c r="A29" s="17" t="s">
        <v>35</v>
      </c>
      <c r="B29" s="78">
        <f>結果概要!B12</f>
        <v>61.83120884105471</v>
      </c>
      <c r="C29" s="27" t="s">
        <v>36</v>
      </c>
      <c r="D29" s="24" t="s">
        <v>37</v>
      </c>
    </row>
    <row r="30" spans="1:4" ht="57.75">
      <c r="A30" s="18" t="s">
        <v>38</v>
      </c>
      <c r="B30" s="19" t="s">
        <v>39</v>
      </c>
      <c r="C30" s="28" t="s">
        <v>7</v>
      </c>
      <c r="D30" s="25" t="s">
        <v>40</v>
      </c>
    </row>
    <row r="31" spans="1:4">
      <c r="A31" t="s">
        <v>216</v>
      </c>
      <c r="D31" s="56"/>
    </row>
    <row r="32" spans="1:4" ht="15">
      <c r="A32" t="s">
        <v>217</v>
      </c>
      <c r="B32" s="82">
        <v>10</v>
      </c>
      <c r="C32" t="s">
        <v>218</v>
      </c>
      <c r="D32" s="56" t="s">
        <v>219</v>
      </c>
    </row>
    <row r="33" spans="1:4" ht="15">
      <c r="A33" t="s">
        <v>220</v>
      </c>
      <c r="B33" s="82">
        <v>1000</v>
      </c>
      <c r="C33" t="s">
        <v>221</v>
      </c>
      <c r="D33" s="56" t="s">
        <v>222</v>
      </c>
    </row>
    <row r="34" spans="1:4" ht="15">
      <c r="A34" t="s">
        <v>223</v>
      </c>
      <c r="B34" s="82">
        <v>0.1</v>
      </c>
      <c r="C34" t="s">
        <v>7</v>
      </c>
      <c r="D34" s="56" t="s">
        <v>224</v>
      </c>
    </row>
    <row r="35" spans="1:4">
      <c r="A35" t="s">
        <v>225</v>
      </c>
      <c r="B35" t="s">
        <v>226</v>
      </c>
      <c r="C35" t="s">
        <v>7</v>
      </c>
      <c r="D35" s="56" t="s">
        <v>227</v>
      </c>
    </row>
  </sheetData>
  <mergeCells count="2">
    <mergeCell ref="A1:D1"/>
    <mergeCell ref="A25:D25"/>
  </mergeCells>
  <phoneticPr fontId="8"/>
  <dataValidations count="1">
    <dataValidation type="list" sqref="B14" xr:uid="{00000000-0002-0000-0000-000000000000}">
      <formula1>"SVPWM,SPWM"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tabSelected="1" topLeftCell="A58" workbookViewId="0">
      <selection activeCell="D74" sqref="D74"/>
    </sheetView>
  </sheetViews>
  <sheetFormatPr defaultColWidth="8.875" defaultRowHeight="14.25"/>
  <cols>
    <col min="1" max="1" width="28" customWidth="1"/>
    <col min="2" max="2" width="22" customWidth="1"/>
    <col min="3" max="3" width="24" customWidth="1"/>
    <col min="4" max="4" width="14" customWidth="1"/>
    <col min="5" max="5" width="10" customWidth="1"/>
    <col min="6" max="6" width="28" customWidth="1"/>
    <col min="7" max="7" width="20" customWidth="1"/>
    <col min="8" max="8" width="34" customWidth="1"/>
  </cols>
  <sheetData>
    <row r="1" spans="1:8" ht="18">
      <c r="A1" s="83" t="s">
        <v>228</v>
      </c>
      <c r="B1" s="83" t="s">
        <v>228</v>
      </c>
      <c r="C1" s="83" t="s">
        <v>228</v>
      </c>
      <c r="D1" s="83" t="s">
        <v>228</v>
      </c>
      <c r="E1" s="83" t="s">
        <v>228</v>
      </c>
      <c r="F1" s="83" t="s">
        <v>228</v>
      </c>
      <c r="G1" s="83" t="s">
        <v>228</v>
      </c>
      <c r="H1" s="83" t="s">
        <v>228</v>
      </c>
    </row>
    <row r="2" spans="1:8" ht="30">
      <c r="H2" s="80" t="s">
        <v>195</v>
      </c>
    </row>
    <row r="3" spans="1:8" ht="15">
      <c r="A3" s="1" t="s">
        <v>41</v>
      </c>
      <c r="B3" s="1" t="s">
        <v>42</v>
      </c>
      <c r="C3" s="1" t="s">
        <v>43</v>
      </c>
      <c r="D3" s="1" t="s">
        <v>44</v>
      </c>
      <c r="E3" s="1" t="s">
        <v>2</v>
      </c>
      <c r="F3" s="1" t="s">
        <v>45</v>
      </c>
      <c r="G3" s="1" t="s">
        <v>46</v>
      </c>
      <c r="H3" s="1" t="s">
        <v>47</v>
      </c>
    </row>
    <row r="4" spans="1:8" ht="30">
      <c r="A4" s="2" t="s">
        <v>229</v>
      </c>
      <c r="B4" s="5" t="s">
        <v>230</v>
      </c>
      <c r="C4" s="5" t="s">
        <v>231</v>
      </c>
      <c r="D4" s="75">
        <f>SQRT(2)*入力条件!B7</f>
        <v>9.6300450019543362</v>
      </c>
      <c r="E4" s="5" t="s">
        <v>80</v>
      </c>
      <c r="F4" s="5" t="s">
        <v>232</v>
      </c>
      <c r="G4" s="5" t="s">
        <v>233</v>
      </c>
      <c r="H4" s="5" t="s">
        <v>82</v>
      </c>
    </row>
    <row r="5" spans="1:8" ht="30">
      <c r="A5" s="2" t="s">
        <v>234</v>
      </c>
      <c r="B5" s="5" t="s">
        <v>235</v>
      </c>
      <c r="C5" s="5" t="s">
        <v>236</v>
      </c>
      <c r="D5" s="75">
        <f>SQRT(2)*入力条件!B8</f>
        <v>4.8150225009771681</v>
      </c>
      <c r="E5" s="5" t="s">
        <v>80</v>
      </c>
      <c r="F5" s="5" t="s">
        <v>232</v>
      </c>
      <c r="G5" s="5"/>
      <c r="H5" s="5" t="s">
        <v>237</v>
      </c>
    </row>
    <row r="6" spans="1:8" ht="28.5">
      <c r="A6" s="2" t="s">
        <v>238</v>
      </c>
      <c r="B6" s="5" t="s">
        <v>50</v>
      </c>
      <c r="C6" s="5" t="s">
        <v>239</v>
      </c>
      <c r="D6" s="75">
        <f>入力条件!B9*2*PI()/60</f>
        <v>1.0471975511965976</v>
      </c>
      <c r="E6" s="5" t="s">
        <v>52</v>
      </c>
      <c r="F6" s="5" t="s">
        <v>240</v>
      </c>
      <c r="G6" s="5"/>
      <c r="H6" s="5" t="s">
        <v>241</v>
      </c>
    </row>
    <row r="7" spans="1:8" ht="15">
      <c r="A7" s="2" t="s">
        <v>242</v>
      </c>
      <c r="B7" s="5" t="s">
        <v>243</v>
      </c>
      <c r="C7" s="5" t="s">
        <v>244</v>
      </c>
      <c r="D7" s="75">
        <f>入力条件!B11*D6</f>
        <v>33.510321638291124</v>
      </c>
      <c r="E7" s="5" t="s">
        <v>52</v>
      </c>
      <c r="F7" s="5" t="s">
        <v>245</v>
      </c>
      <c r="G7" s="5"/>
      <c r="H7" s="5" t="s">
        <v>246</v>
      </c>
    </row>
    <row r="8" spans="1:8" ht="30">
      <c r="A8" s="2" t="s">
        <v>247</v>
      </c>
      <c r="B8" s="5" t="s">
        <v>248</v>
      </c>
      <c r="C8" s="5" t="s">
        <v>249</v>
      </c>
      <c r="D8" s="75">
        <f>入力条件!B6/SQRT(2)</f>
        <v>6.2720371491246754</v>
      </c>
      <c r="E8" s="5" t="s">
        <v>250</v>
      </c>
      <c r="F8" s="5" t="s">
        <v>251</v>
      </c>
      <c r="G8" s="5" t="s">
        <v>252</v>
      </c>
      <c r="H8" s="5" t="s">
        <v>253</v>
      </c>
    </row>
    <row r="9" spans="1:8" ht="28.5">
      <c r="A9" s="2" t="s">
        <v>254</v>
      </c>
      <c r="B9" s="5" t="s">
        <v>255</v>
      </c>
      <c r="C9" s="5" t="s">
        <v>256</v>
      </c>
      <c r="D9" s="75">
        <f>D8*(1000*2*PI()/60)</f>
        <v>656.80619435774497</v>
      </c>
      <c r="E9" s="5" t="s">
        <v>213</v>
      </c>
      <c r="F9" s="5" t="s">
        <v>257</v>
      </c>
      <c r="G9" s="5"/>
      <c r="H9" s="5" t="s">
        <v>258</v>
      </c>
    </row>
    <row r="10" spans="1:8" ht="28.5">
      <c r="A10" s="2" t="s">
        <v>259</v>
      </c>
      <c r="B10" s="5" t="s">
        <v>260</v>
      </c>
      <c r="C10" s="5" t="s">
        <v>261</v>
      </c>
      <c r="D10" s="75">
        <f>IF(入力条件!B12="",D9,入力条件!B12)</f>
        <v>656.80619435774497</v>
      </c>
      <c r="E10" s="5" t="s">
        <v>213</v>
      </c>
      <c r="F10" s="5" t="s">
        <v>262</v>
      </c>
      <c r="G10" s="5"/>
      <c r="H10" s="5" t="s">
        <v>263</v>
      </c>
    </row>
    <row r="11" spans="1:8" ht="30">
      <c r="A11" s="2" t="s">
        <v>264</v>
      </c>
      <c r="B11" s="5" t="s">
        <v>265</v>
      </c>
      <c r="C11" s="5" t="s">
        <v>266</v>
      </c>
      <c r="D11" s="75">
        <f>D10/(1000*2*PI()/60)</f>
        <v>6.2720371491246754</v>
      </c>
      <c r="E11" s="5" t="s">
        <v>250</v>
      </c>
      <c r="F11" s="5" t="s">
        <v>267</v>
      </c>
      <c r="G11" s="5"/>
      <c r="H11" s="5" t="s">
        <v>268</v>
      </c>
    </row>
    <row r="12" spans="1:8" ht="28.5">
      <c r="A12" s="2" t="s">
        <v>269</v>
      </c>
      <c r="B12" s="5" t="s">
        <v>270</v>
      </c>
      <c r="C12" s="5" t="s">
        <v>271</v>
      </c>
      <c r="D12" s="75">
        <f>D11*D6</f>
        <v>6.5680619435774492</v>
      </c>
      <c r="E12" s="5" t="s">
        <v>272</v>
      </c>
      <c r="F12" s="5" t="s">
        <v>273</v>
      </c>
      <c r="G12" s="5"/>
      <c r="H12" s="5" t="s">
        <v>274</v>
      </c>
    </row>
    <row r="13" spans="1:8" ht="15">
      <c r="A13" s="2" t="s">
        <v>275</v>
      </c>
      <c r="B13" s="5" t="s">
        <v>276</v>
      </c>
      <c r="C13" s="5" t="s">
        <v>277</v>
      </c>
      <c r="D13" s="75">
        <f>D12*SQRT(2/3)</f>
        <v>5.3628001202525022</v>
      </c>
      <c r="E13" s="5" t="s">
        <v>278</v>
      </c>
      <c r="F13" s="5" t="s">
        <v>279</v>
      </c>
      <c r="G13" s="5" t="s">
        <v>280</v>
      </c>
      <c r="H13" s="5" t="s">
        <v>281</v>
      </c>
    </row>
    <row r="14" spans="1:8" ht="15">
      <c r="A14" s="2" t="s">
        <v>282</v>
      </c>
      <c r="B14" s="5" t="s">
        <v>283</v>
      </c>
      <c r="C14" s="5" t="s">
        <v>284</v>
      </c>
      <c r="D14" s="75">
        <f>(入力条件!B4/2)*D4</f>
        <v>30.14204085611707</v>
      </c>
      <c r="E14" s="5" t="s">
        <v>278</v>
      </c>
      <c r="F14" s="5" t="s">
        <v>285</v>
      </c>
      <c r="G14" s="5" t="s">
        <v>286</v>
      </c>
      <c r="H14" s="5" t="s">
        <v>287</v>
      </c>
    </row>
    <row r="15" spans="1:8" ht="30">
      <c r="A15" s="2" t="s">
        <v>288</v>
      </c>
      <c r="B15" s="5" t="s">
        <v>289</v>
      </c>
      <c r="C15" s="5" t="s">
        <v>290</v>
      </c>
      <c r="D15" s="75">
        <f>ABS(D14)</f>
        <v>30.14204085611707</v>
      </c>
      <c r="E15" s="5" t="s">
        <v>278</v>
      </c>
      <c r="F15" s="5" t="s">
        <v>291</v>
      </c>
      <c r="G15" s="5"/>
      <c r="H15" s="5" t="s">
        <v>292</v>
      </c>
    </row>
    <row r="16" spans="1:8" ht="30">
      <c r="A16" s="2" t="s">
        <v>293</v>
      </c>
      <c r="B16" s="5" t="s">
        <v>294</v>
      </c>
      <c r="C16" s="5" t="s">
        <v>295</v>
      </c>
      <c r="D16" s="75">
        <f>SQRT(3/2)*D15</f>
        <v>36.916309951805118</v>
      </c>
      <c r="E16" s="5" t="s">
        <v>272</v>
      </c>
      <c r="F16" s="5" t="s">
        <v>296</v>
      </c>
      <c r="G16" s="5"/>
      <c r="H16" s="5" t="s">
        <v>281</v>
      </c>
    </row>
    <row r="17" spans="1:8" ht="30">
      <c r="A17" s="2" t="s">
        <v>297</v>
      </c>
      <c r="B17" s="5" t="s">
        <v>298</v>
      </c>
      <c r="C17" s="5" t="s">
        <v>299</v>
      </c>
      <c r="D17" s="75">
        <f>D15/入力条件!B16</f>
        <v>52.20754620661166</v>
      </c>
      <c r="E17" s="5" t="s">
        <v>300</v>
      </c>
      <c r="F17" s="5" t="s">
        <v>301</v>
      </c>
      <c r="G17" s="5" t="s">
        <v>302</v>
      </c>
      <c r="H17" s="5" t="s">
        <v>303</v>
      </c>
    </row>
    <row r="18" spans="1:8" ht="30">
      <c r="A18" s="2" t="s">
        <v>304</v>
      </c>
      <c r="B18" s="5" t="s">
        <v>305</v>
      </c>
      <c r="C18" s="5" t="s">
        <v>306</v>
      </c>
      <c r="D18" s="75">
        <f>D16/入力条件!B15</f>
        <v>52.20754620661166</v>
      </c>
      <c r="E18" s="5" t="s">
        <v>300</v>
      </c>
      <c r="F18" s="5" t="s">
        <v>307</v>
      </c>
      <c r="G18" s="5" t="s">
        <v>302</v>
      </c>
      <c r="H18" s="5" t="s">
        <v>308</v>
      </c>
    </row>
    <row r="19" spans="1:8" ht="15">
      <c r="A19" s="2"/>
      <c r="B19" s="5"/>
      <c r="C19" s="5"/>
      <c r="D19" s="6"/>
      <c r="E19" s="5"/>
      <c r="F19" s="5"/>
      <c r="G19" s="5"/>
      <c r="H19" s="5"/>
    </row>
    <row r="20" spans="1:8" ht="28.5">
      <c r="A20" s="2" t="s">
        <v>309</v>
      </c>
      <c r="B20" s="5" t="s">
        <v>310</v>
      </c>
      <c r="C20" s="5" t="s">
        <v>311</v>
      </c>
      <c r="D20" s="75">
        <f>-D7*(入力条件!B5/2)*D5</f>
        <v>-1.855558956088569</v>
      </c>
      <c r="E20" s="5" t="s">
        <v>278</v>
      </c>
      <c r="F20" s="5" t="s">
        <v>312</v>
      </c>
      <c r="G20" s="5" t="s">
        <v>313</v>
      </c>
      <c r="H20" s="5" t="s">
        <v>246</v>
      </c>
    </row>
    <row r="21" spans="1:8" ht="28.5">
      <c r="A21" s="2" t="s">
        <v>314</v>
      </c>
      <c r="B21" s="5" t="s">
        <v>315</v>
      </c>
      <c r="C21" s="5" t="s">
        <v>316</v>
      </c>
      <c r="D21" s="75">
        <f>(入力条件!B4/2)*D5 + D13</f>
        <v>20.433820548311036</v>
      </c>
      <c r="E21" s="5" t="s">
        <v>278</v>
      </c>
      <c r="F21" s="5" t="s">
        <v>317</v>
      </c>
      <c r="G21" s="5"/>
      <c r="H21" s="5" t="s">
        <v>318</v>
      </c>
    </row>
    <row r="22" spans="1:8" ht="30">
      <c r="A22" s="2" t="s">
        <v>319</v>
      </c>
      <c r="B22" s="5" t="s">
        <v>320</v>
      </c>
      <c r="C22" s="5" t="s">
        <v>321</v>
      </c>
      <c r="D22" s="75">
        <f>SQRT(D20^2 + D21^2)</f>
        <v>20.517897583331944</v>
      </c>
      <c r="E22" s="5" t="s">
        <v>278</v>
      </c>
      <c r="F22" s="5" t="s">
        <v>291</v>
      </c>
      <c r="G22" s="5"/>
      <c r="H22" s="5" t="s">
        <v>322</v>
      </c>
    </row>
    <row r="23" spans="1:8" ht="30">
      <c r="A23" s="2" t="s">
        <v>323</v>
      </c>
      <c r="B23" s="5" t="s">
        <v>324</v>
      </c>
      <c r="C23" s="5" t="s">
        <v>325</v>
      </c>
      <c r="D23" s="75">
        <f>SQRT(3/2)*D22</f>
        <v>25.129189836923675</v>
      </c>
      <c r="E23" s="5" t="s">
        <v>272</v>
      </c>
      <c r="F23" s="5" t="s">
        <v>296</v>
      </c>
      <c r="G23" s="5"/>
      <c r="H23" s="5"/>
    </row>
    <row r="24" spans="1:8" ht="30">
      <c r="A24" s="2" t="s">
        <v>326</v>
      </c>
      <c r="B24" s="5" t="s">
        <v>327</v>
      </c>
      <c r="C24" s="5" t="s">
        <v>328</v>
      </c>
      <c r="D24" s="75">
        <f>D22/入力条件!B16</f>
        <v>35.538041078825607</v>
      </c>
      <c r="E24" s="5" t="s">
        <v>300</v>
      </c>
      <c r="F24" s="5" t="s">
        <v>329</v>
      </c>
      <c r="G24" s="5"/>
      <c r="H24" s="5"/>
    </row>
    <row r="25" spans="1:8" ht="30">
      <c r="A25" s="2" t="s">
        <v>330</v>
      </c>
      <c r="B25" s="5" t="s">
        <v>331</v>
      </c>
      <c r="C25" s="5" t="s">
        <v>332</v>
      </c>
      <c r="D25" s="75">
        <f>D23/入力条件!B15</f>
        <v>35.538041078825607</v>
      </c>
      <c r="E25" s="5" t="s">
        <v>300</v>
      </c>
      <c r="F25" s="5" t="s">
        <v>333</v>
      </c>
      <c r="G25" s="5"/>
      <c r="H25" s="5"/>
    </row>
    <row r="26" spans="1:8" ht="15">
      <c r="A26" s="2"/>
      <c r="B26" s="5"/>
      <c r="C26" s="5"/>
      <c r="D26" s="43"/>
      <c r="E26" s="5"/>
      <c r="F26" s="5"/>
      <c r="G26" s="5"/>
      <c r="H26" s="5"/>
    </row>
    <row r="27" spans="1:8" ht="30">
      <c r="A27" s="2" t="s">
        <v>334</v>
      </c>
      <c r="B27" s="5" t="s">
        <v>335</v>
      </c>
      <c r="C27" s="5" t="s">
        <v>336</v>
      </c>
      <c r="D27" s="75">
        <f>-D7*(入力条件!B5/2)*D4</f>
        <v>-3.711117912177138</v>
      </c>
      <c r="E27" s="5" t="s">
        <v>278</v>
      </c>
      <c r="F27" s="5" t="s">
        <v>337</v>
      </c>
      <c r="G27" s="5" t="s">
        <v>313</v>
      </c>
      <c r="H27" s="5"/>
    </row>
    <row r="28" spans="1:8" ht="30">
      <c r="A28" s="2" t="s">
        <v>338</v>
      </c>
      <c r="B28" s="5" t="s">
        <v>339</v>
      </c>
      <c r="C28" s="5" t="s">
        <v>340</v>
      </c>
      <c r="D28" s="75">
        <f>(入力条件!B4/2)*D4 + D13</f>
        <v>35.504840976369572</v>
      </c>
      <c r="E28" s="5" t="s">
        <v>278</v>
      </c>
      <c r="F28" s="5" t="s">
        <v>337</v>
      </c>
      <c r="G28" s="5" t="s">
        <v>286</v>
      </c>
      <c r="H28" s="5"/>
    </row>
    <row r="29" spans="1:8" ht="30">
      <c r="A29" s="2" t="s">
        <v>341</v>
      </c>
      <c r="B29" s="5" t="s">
        <v>342</v>
      </c>
      <c r="C29" s="5" t="s">
        <v>343</v>
      </c>
      <c r="D29" s="75">
        <f>SQRT(D27^2 + D28^2)</f>
        <v>35.698265068702902</v>
      </c>
      <c r="E29" s="5" t="s">
        <v>278</v>
      </c>
      <c r="F29" s="5" t="s">
        <v>344</v>
      </c>
      <c r="G29" s="5"/>
      <c r="H29" s="5"/>
    </row>
    <row r="30" spans="1:8" ht="30">
      <c r="A30" s="2" t="s">
        <v>345</v>
      </c>
      <c r="B30" s="5" t="s">
        <v>346</v>
      </c>
      <c r="C30" s="5" t="s">
        <v>347</v>
      </c>
      <c r="D30" s="75">
        <f>SQRT(3/2)*D29</f>
        <v>43.721267060471391</v>
      </c>
      <c r="E30" s="5" t="s">
        <v>272</v>
      </c>
      <c r="F30" s="5" t="s">
        <v>296</v>
      </c>
      <c r="G30" s="5"/>
      <c r="H30" s="5"/>
    </row>
    <row r="31" spans="1:8" ht="30">
      <c r="A31" s="2" t="s">
        <v>348</v>
      </c>
      <c r="B31" s="5" t="s">
        <v>349</v>
      </c>
      <c r="C31" s="5" t="s">
        <v>350</v>
      </c>
      <c r="D31" s="75">
        <f>D29/入力条件!B16</f>
        <v>61.831208841054696</v>
      </c>
      <c r="E31" s="5" t="s">
        <v>300</v>
      </c>
      <c r="F31" s="5" t="s">
        <v>329</v>
      </c>
      <c r="G31" s="5"/>
      <c r="H31" s="5"/>
    </row>
    <row r="32" spans="1:8" ht="30">
      <c r="A32" s="2" t="s">
        <v>351</v>
      </c>
      <c r="B32" s="5" t="s">
        <v>352</v>
      </c>
      <c r="C32" s="5" t="s">
        <v>353</v>
      </c>
      <c r="D32" s="75">
        <f>D30/入力条件!B15</f>
        <v>61.83120884105471</v>
      </c>
      <c r="E32" s="5" t="s">
        <v>300</v>
      </c>
      <c r="F32" s="5" t="s">
        <v>333</v>
      </c>
      <c r="G32" s="5"/>
      <c r="H32" s="5"/>
    </row>
    <row r="33" spans="1:8" ht="28.5">
      <c r="A33" s="2" t="s">
        <v>354</v>
      </c>
      <c r="B33" s="5" t="s">
        <v>355</v>
      </c>
      <c r="C33" s="5" t="s">
        <v>356</v>
      </c>
      <c r="D33" s="75">
        <f>入力条件!B6*入力条件!B8</f>
        <v>30.2</v>
      </c>
      <c r="E33" s="5" t="s">
        <v>66</v>
      </c>
      <c r="F33" s="5" t="s">
        <v>357</v>
      </c>
      <c r="G33" s="5"/>
      <c r="H33" s="5"/>
    </row>
    <row r="34" spans="1:8" ht="28.5">
      <c r="A34" s="2" t="s">
        <v>358</v>
      </c>
      <c r="B34" s="5" t="s">
        <v>359</v>
      </c>
      <c r="C34" s="5" t="s">
        <v>360</v>
      </c>
      <c r="D34" s="75">
        <f>D33*D6</f>
        <v>31.625366046137248</v>
      </c>
      <c r="E34" s="5" t="s">
        <v>86</v>
      </c>
      <c r="F34" s="5" t="s">
        <v>361</v>
      </c>
      <c r="G34" s="5"/>
      <c r="H34" s="5"/>
    </row>
    <row r="35" spans="1:8" ht="28.5">
      <c r="A35" s="2" t="s">
        <v>362</v>
      </c>
      <c r="B35" s="5" t="s">
        <v>363</v>
      </c>
      <c r="C35" s="5" t="s">
        <v>364</v>
      </c>
      <c r="D35" s="75">
        <f>3*(入力条件!B8^2)*(入力条件!B4/2)</f>
        <v>108.85095371068257</v>
      </c>
      <c r="E35" s="5" t="s">
        <v>86</v>
      </c>
      <c r="F35" s="5" t="s">
        <v>365</v>
      </c>
      <c r="G35" s="5" t="s">
        <v>286</v>
      </c>
      <c r="H35" s="5" t="s">
        <v>366</v>
      </c>
    </row>
    <row r="36" spans="1:8" ht="28.5">
      <c r="A36" s="2" t="s">
        <v>367</v>
      </c>
      <c r="B36" s="5" t="s">
        <v>368</v>
      </c>
      <c r="C36" s="5" t="s">
        <v>369</v>
      </c>
      <c r="D36" s="75">
        <f>D34+D35</f>
        <v>140.47631975681983</v>
      </c>
      <c r="E36" s="5" t="s">
        <v>86</v>
      </c>
      <c r="F36" s="5" t="s">
        <v>370</v>
      </c>
      <c r="G36" s="5"/>
      <c r="H36" s="5"/>
    </row>
    <row r="37" spans="1:8" ht="15">
      <c r="A37" s="2" t="s">
        <v>371</v>
      </c>
      <c r="B37" s="5" t="s">
        <v>372</v>
      </c>
      <c r="C37" s="5" t="s">
        <v>373</v>
      </c>
      <c r="D37" s="75">
        <f>D34/D36</f>
        <v>0.22512951720890953</v>
      </c>
      <c r="E37" s="5" t="s">
        <v>7</v>
      </c>
      <c r="F37" s="5" t="s">
        <v>374</v>
      </c>
      <c r="G37" s="5"/>
      <c r="H37" s="5"/>
    </row>
    <row r="38" spans="1:8" ht="28.5">
      <c r="A38" s="2" t="s">
        <v>375</v>
      </c>
      <c r="B38" s="5" t="s">
        <v>376</v>
      </c>
      <c r="C38" s="5" t="s">
        <v>377</v>
      </c>
      <c r="D38" s="75">
        <f>3*(入力条件!B7^2)*(入力条件!B4/2)</f>
        <v>435.4038148427303</v>
      </c>
      <c r="E38" s="5" t="s">
        <v>86</v>
      </c>
      <c r="F38" s="5" t="s">
        <v>378</v>
      </c>
      <c r="G38" s="5" t="s">
        <v>286</v>
      </c>
      <c r="H38" s="5"/>
    </row>
    <row r="39" spans="1:8" ht="28.5">
      <c r="A39" s="2" t="s">
        <v>379</v>
      </c>
      <c r="B39" s="5" t="s">
        <v>380</v>
      </c>
      <c r="C39" s="5" t="s">
        <v>381</v>
      </c>
      <c r="D39" s="75">
        <f>D38</f>
        <v>435.4038148427303</v>
      </c>
      <c r="E39" s="5" t="s">
        <v>86</v>
      </c>
      <c r="F39" s="5" t="s">
        <v>382</v>
      </c>
      <c r="G39" s="5"/>
      <c r="H39" s="5"/>
    </row>
    <row r="40" spans="1:8" ht="15">
      <c r="A40" t="s">
        <v>383</v>
      </c>
      <c r="B40" t="s">
        <v>384</v>
      </c>
      <c r="C40" t="s">
        <v>385</v>
      </c>
      <c r="D40" s="76">
        <f>D39*入力条件!B10</f>
        <v>435.4038148427303</v>
      </c>
      <c r="E40" t="s">
        <v>98</v>
      </c>
      <c r="F40" t="s">
        <v>386</v>
      </c>
    </row>
    <row r="41" spans="1:8" ht="22.7" customHeight="1">
      <c r="A41" s="84" t="s">
        <v>48</v>
      </c>
      <c r="B41" s="84"/>
      <c r="C41" s="84"/>
      <c r="D41" s="84"/>
      <c r="E41" s="84"/>
      <c r="F41" s="84"/>
      <c r="G41" s="84"/>
      <c r="H41" s="84"/>
    </row>
    <row r="42" spans="1:8" ht="68.25" customHeight="1">
      <c r="A42" s="16" t="s">
        <v>49</v>
      </c>
      <c r="B42" s="8" t="s">
        <v>50</v>
      </c>
      <c r="C42" s="10" t="s">
        <v>51</v>
      </c>
      <c r="D42" s="78">
        <f>入力条件!B9*2*PI()/60</f>
        <v>1.0471975511965976</v>
      </c>
      <c r="E42" s="26" t="s">
        <v>52</v>
      </c>
      <c r="F42" s="32" t="s">
        <v>53</v>
      </c>
      <c r="G42" s="29" t="s">
        <v>54</v>
      </c>
      <c r="H42" s="20" t="s">
        <v>55</v>
      </c>
    </row>
    <row r="43" spans="1:8" ht="68.25" customHeight="1">
      <c r="A43" s="17" t="s">
        <v>56</v>
      </c>
      <c r="B43" s="11" t="s">
        <v>57</v>
      </c>
      <c r="C43" s="12" t="s">
        <v>58</v>
      </c>
      <c r="D43" s="78">
        <f>D42/入力条件!B27</f>
        <v>1.0471975511965976</v>
      </c>
      <c r="E43" s="27" t="s">
        <v>59</v>
      </c>
      <c r="F43" s="33" t="s">
        <v>60</v>
      </c>
      <c r="G43" s="30" t="s">
        <v>61</v>
      </c>
      <c r="H43" s="21" t="s">
        <v>62</v>
      </c>
    </row>
    <row r="44" spans="1:8" ht="68.25" customHeight="1">
      <c r="A44" s="17" t="s">
        <v>63</v>
      </c>
      <c r="B44" s="11" t="s">
        <v>64</v>
      </c>
      <c r="C44" s="12" t="s">
        <v>65</v>
      </c>
      <c r="D44" s="78">
        <f>入力条件!B26*D43</f>
        <v>3.1415926535897931</v>
      </c>
      <c r="E44" s="27" t="s">
        <v>66</v>
      </c>
      <c r="F44" s="33" t="s">
        <v>67</v>
      </c>
      <c r="G44" s="30" t="s">
        <v>68</v>
      </c>
      <c r="H44" s="21" t="s">
        <v>69</v>
      </c>
    </row>
    <row r="45" spans="1:8" ht="68.25" customHeight="1">
      <c r="A45" s="17" t="s">
        <v>70</v>
      </c>
      <c r="B45" s="11" t="s">
        <v>71</v>
      </c>
      <c r="C45" s="12" t="s">
        <v>72</v>
      </c>
      <c r="D45" s="78">
        <f>D44/入力条件!B6</f>
        <v>0.35418180987483577</v>
      </c>
      <c r="E45" s="27" t="s">
        <v>73</v>
      </c>
      <c r="F45" s="33" t="s">
        <v>74</v>
      </c>
      <c r="G45" s="30" t="s">
        <v>75</v>
      </c>
      <c r="H45" s="21" t="s">
        <v>76</v>
      </c>
    </row>
    <row r="46" spans="1:8" ht="45.6" customHeight="1">
      <c r="A46" s="17" t="s">
        <v>77</v>
      </c>
      <c r="B46" s="11" t="s">
        <v>78</v>
      </c>
      <c r="C46" s="12" t="s">
        <v>79</v>
      </c>
      <c r="D46" s="78">
        <f>SQRT(2)*D45</f>
        <v>0.50088871907084176</v>
      </c>
      <c r="E46" s="27" t="s">
        <v>80</v>
      </c>
      <c r="F46" s="33" t="s">
        <v>81</v>
      </c>
      <c r="G46" s="30"/>
      <c r="H46" s="21" t="s">
        <v>82</v>
      </c>
    </row>
    <row r="47" spans="1:8" ht="45.6" customHeight="1">
      <c r="A47" s="17" t="s">
        <v>83</v>
      </c>
      <c r="B47" s="11" t="s">
        <v>84</v>
      </c>
      <c r="C47" s="12" t="s">
        <v>85</v>
      </c>
      <c r="D47" s="78">
        <f>D44*D42</f>
        <v>3.2898681336964524</v>
      </c>
      <c r="E47" s="27" t="s">
        <v>86</v>
      </c>
      <c r="F47" s="33" t="s">
        <v>87</v>
      </c>
      <c r="G47" s="30" t="s">
        <v>88</v>
      </c>
      <c r="H47" s="21" t="s">
        <v>89</v>
      </c>
    </row>
    <row r="48" spans="1:8" ht="68.25" customHeight="1">
      <c r="A48" s="17" t="s">
        <v>90</v>
      </c>
      <c r="B48" s="11" t="s">
        <v>91</v>
      </c>
      <c r="C48" s="12" t="s">
        <v>92</v>
      </c>
      <c r="D48" s="78">
        <f>0.5*D44*D42</f>
        <v>1.6449340668482262</v>
      </c>
      <c r="E48" s="27" t="s">
        <v>86</v>
      </c>
      <c r="F48" s="33" t="s">
        <v>93</v>
      </c>
      <c r="G48" s="30"/>
      <c r="H48" s="21" t="s">
        <v>94</v>
      </c>
    </row>
    <row r="49" spans="1:8" ht="68.25" customHeight="1">
      <c r="A49" s="17" t="s">
        <v>95</v>
      </c>
      <c r="B49" s="11" t="s">
        <v>96</v>
      </c>
      <c r="C49" s="12" t="s">
        <v>97</v>
      </c>
      <c r="D49" s="78">
        <f>0.5*入力条件!B26*D42^2</f>
        <v>1.6449340668482262</v>
      </c>
      <c r="E49" s="27" t="s">
        <v>98</v>
      </c>
      <c r="F49" s="33" t="s">
        <v>99</v>
      </c>
      <c r="G49" s="30"/>
      <c r="H49" s="21" t="s">
        <v>100</v>
      </c>
    </row>
    <row r="50" spans="1:8" ht="45.6" customHeight="1">
      <c r="A50" s="17" t="s">
        <v>387</v>
      </c>
      <c r="B50" s="11" t="s">
        <v>388</v>
      </c>
      <c r="C50" s="12" t="s">
        <v>389</v>
      </c>
      <c r="D50" s="78">
        <f>3*D45^2*(入力条件!B4/2)</f>
        <v>1.1779262442499523</v>
      </c>
      <c r="E50" s="27" t="s">
        <v>86</v>
      </c>
      <c r="F50" s="33" t="s">
        <v>390</v>
      </c>
      <c r="G50" s="30"/>
      <c r="H50" s="21" t="s">
        <v>391</v>
      </c>
    </row>
    <row r="51" spans="1:8" ht="45.6" customHeight="1">
      <c r="A51" s="17" t="s">
        <v>392</v>
      </c>
      <c r="B51" s="11" t="s">
        <v>393</v>
      </c>
      <c r="C51" s="12" t="s">
        <v>394</v>
      </c>
      <c r="D51" s="78">
        <f>D50*入力条件!B27</f>
        <v>1.1779262442499523</v>
      </c>
      <c r="E51" s="27" t="s">
        <v>98</v>
      </c>
      <c r="F51" s="33" t="s">
        <v>395</v>
      </c>
      <c r="G51" s="30"/>
      <c r="H51" s="21" t="s">
        <v>396</v>
      </c>
    </row>
    <row r="52" spans="1:8" ht="68.25" customHeight="1">
      <c r="A52" s="17" t="s">
        <v>101</v>
      </c>
      <c r="B52" s="11" t="s">
        <v>102</v>
      </c>
      <c r="C52" s="12" t="s">
        <v>103</v>
      </c>
      <c r="D52" s="78">
        <f>D48-D50</f>
        <v>0.46700782259827389</v>
      </c>
      <c r="E52" s="27" t="s">
        <v>86</v>
      </c>
      <c r="F52" s="33" t="s">
        <v>104</v>
      </c>
      <c r="G52" s="30" t="s">
        <v>105</v>
      </c>
      <c r="H52" s="21" t="s">
        <v>106</v>
      </c>
    </row>
    <row r="53" spans="1:8" ht="45.6" customHeight="1">
      <c r="A53" s="17" t="s">
        <v>107</v>
      </c>
      <c r="B53" s="11" t="s">
        <v>108</v>
      </c>
      <c r="C53" s="12" t="s">
        <v>109</v>
      </c>
      <c r="D53" s="78">
        <f>MAX(D49-D51,0)</f>
        <v>0.46700782259827389</v>
      </c>
      <c r="E53" s="27" t="s">
        <v>98</v>
      </c>
      <c r="F53" s="33" t="s">
        <v>110</v>
      </c>
      <c r="G53" s="30" t="s">
        <v>111</v>
      </c>
      <c r="H53" s="21" t="s">
        <v>112</v>
      </c>
    </row>
    <row r="54" spans="1:8" ht="91.35" customHeight="1">
      <c r="A54" s="17" t="s">
        <v>113</v>
      </c>
      <c r="B54" s="11" t="s">
        <v>114</v>
      </c>
      <c r="C54" s="12" t="s">
        <v>115</v>
      </c>
      <c r="D54" s="44">
        <f>IF(入力条件!B28&gt;0,SQRT(入力条件!B29^2+2*D49/入力条件!B28),NA())</f>
        <v>64.436675892815629</v>
      </c>
      <c r="E54" s="27" t="s">
        <v>36</v>
      </c>
      <c r="F54" s="33" t="s">
        <v>116</v>
      </c>
      <c r="G54" s="30" t="s">
        <v>117</v>
      </c>
      <c r="H54" s="21" t="s">
        <v>118</v>
      </c>
    </row>
    <row r="55" spans="1:8" ht="91.35" customHeight="1">
      <c r="A55" s="17" t="s">
        <v>119</v>
      </c>
      <c r="B55" s="11" t="s">
        <v>120</v>
      </c>
      <c r="C55" s="12" t="s">
        <v>121</v>
      </c>
      <c r="D55" s="44">
        <f>IF(入力条件!B28&gt;0,SQRT(入力条件!B29^2+2*D53/入力条件!B28),NA())</f>
        <v>62.581945889096296</v>
      </c>
      <c r="E55" s="27" t="s">
        <v>36</v>
      </c>
      <c r="F55" s="33" t="s">
        <v>122</v>
      </c>
      <c r="G55" s="30" t="s">
        <v>123</v>
      </c>
      <c r="H55" s="21" t="s">
        <v>124</v>
      </c>
    </row>
    <row r="56" spans="1:8" ht="45.6" customHeight="1">
      <c r="A56" s="17" t="s">
        <v>125</v>
      </c>
      <c r="B56" s="11" t="s">
        <v>126</v>
      </c>
      <c r="C56" s="12" t="s">
        <v>127</v>
      </c>
      <c r="D56" s="44">
        <f>D54-入力条件!B29</f>
        <v>2.6054670517609182</v>
      </c>
      <c r="E56" s="27" t="s">
        <v>36</v>
      </c>
      <c r="F56" s="33" t="s">
        <v>128</v>
      </c>
      <c r="G56" s="30"/>
      <c r="H56" s="21" t="s">
        <v>129</v>
      </c>
    </row>
    <row r="57" spans="1:8" ht="45.6" customHeight="1">
      <c r="A57" s="17" t="s">
        <v>130</v>
      </c>
      <c r="B57" s="11" t="s">
        <v>131</v>
      </c>
      <c r="C57" s="12" t="s">
        <v>132</v>
      </c>
      <c r="D57" s="44">
        <f>D55-入力条件!B29</f>
        <v>0.75073704804158581</v>
      </c>
      <c r="E57" s="27" t="s">
        <v>36</v>
      </c>
      <c r="F57" s="33" t="s">
        <v>133</v>
      </c>
      <c r="G57" s="30" t="s">
        <v>134</v>
      </c>
      <c r="H57" s="21">
        <f>SQRT(2)*入力条件!B7</f>
        <v>9.6300450019543362</v>
      </c>
    </row>
    <row r="58" spans="1:8" ht="91.35" customHeight="1">
      <c r="A58" s="18" t="s">
        <v>135</v>
      </c>
      <c r="B58" s="13" t="s">
        <v>136</v>
      </c>
      <c r="C58" s="15" t="s">
        <v>136</v>
      </c>
      <c r="D58" s="35" t="str">
        <f>IF(D52&gt;0,"DCバス上昇あり","銅損が上回るためDCバス上昇なし")</f>
        <v>DCバス上昇あり</v>
      </c>
      <c r="E58" s="28" t="s">
        <v>7</v>
      </c>
      <c r="F58" s="34" t="s">
        <v>137</v>
      </c>
      <c r="G58" s="31"/>
      <c r="H58" s="22">
        <f>SQRT(2)*2</f>
        <v>2.8284271247461903</v>
      </c>
    </row>
    <row r="59" spans="1:8">
      <c r="A59" t="s">
        <v>397</v>
      </c>
      <c r="F59" s="56"/>
      <c r="G59" s="56"/>
      <c r="H59" s="56"/>
    </row>
    <row r="60" spans="1:8" ht="43.5">
      <c r="A60" t="s">
        <v>398</v>
      </c>
      <c r="B60" t="s">
        <v>399</v>
      </c>
      <c r="C60" t="s">
        <v>400</v>
      </c>
      <c r="D60" s="82">
        <f>IF(入力条件!B4&gt;0,入力条件!B5/入力条件!B4,NA())</f>
        <v>3.6741214057507987E-3</v>
      </c>
      <c r="E60" t="s">
        <v>30</v>
      </c>
      <c r="F60" s="56" t="s">
        <v>401</v>
      </c>
      <c r="G60" s="56" t="s">
        <v>402</v>
      </c>
      <c r="H60" s="56" t="s">
        <v>403</v>
      </c>
    </row>
    <row r="61" spans="1:8" ht="29.25">
      <c r="A61" t="s">
        <v>404</v>
      </c>
      <c r="B61" t="s">
        <v>405</v>
      </c>
      <c r="C61" t="s">
        <v>406</v>
      </c>
      <c r="D61" s="82">
        <f>IF(D60&gt;0,1/(2*PI()*D60),NA())</f>
        <v>43.317823641533252</v>
      </c>
      <c r="E61" t="s">
        <v>221</v>
      </c>
      <c r="F61" s="56" t="s">
        <v>407</v>
      </c>
      <c r="G61" s="56" t="s">
        <v>408</v>
      </c>
      <c r="H61" s="56" t="s">
        <v>409</v>
      </c>
    </row>
    <row r="62" spans="1:8" ht="15">
      <c r="A62" t="s">
        <v>217</v>
      </c>
      <c r="B62" t="s">
        <v>410</v>
      </c>
      <c r="C62" t="s">
        <v>411</v>
      </c>
      <c r="D62" s="82">
        <f>入力条件!B32/1000</f>
        <v>0.01</v>
      </c>
      <c r="E62" t="s">
        <v>30</v>
      </c>
      <c r="F62" s="56" t="s">
        <v>412</v>
      </c>
      <c r="G62" s="56"/>
      <c r="H62" s="56" t="s">
        <v>413</v>
      </c>
    </row>
    <row r="63" spans="1:8" ht="29.25">
      <c r="A63" t="s">
        <v>414</v>
      </c>
      <c r="B63" t="s">
        <v>415</v>
      </c>
      <c r="C63" t="s">
        <v>416</v>
      </c>
      <c r="D63" s="82">
        <f>IF(D62&gt;0,(入力条件!B5/2)*D4/D62,NA())</f>
        <v>11.074551752247487</v>
      </c>
      <c r="E63" t="s">
        <v>278</v>
      </c>
      <c r="F63" s="56" t="s">
        <v>417</v>
      </c>
      <c r="G63" s="56" t="s">
        <v>418</v>
      </c>
      <c r="H63" s="56" t="s">
        <v>419</v>
      </c>
    </row>
    <row r="64" spans="1:8" ht="29.25">
      <c r="A64" t="s">
        <v>420</v>
      </c>
      <c r="B64" t="s">
        <v>421</v>
      </c>
      <c r="C64" t="s">
        <v>422</v>
      </c>
      <c r="D64" s="82">
        <f>D14+D63</f>
        <v>41.216592608364557</v>
      </c>
      <c r="E64" t="s">
        <v>278</v>
      </c>
      <c r="F64" s="56" t="s">
        <v>423</v>
      </c>
      <c r="G64" s="56"/>
      <c r="H64" s="56" t="s">
        <v>424</v>
      </c>
    </row>
    <row r="65" spans="1:8" ht="15">
      <c r="A65" t="s">
        <v>425</v>
      </c>
      <c r="B65" t="s">
        <v>426</v>
      </c>
      <c r="C65" t="s">
        <v>427</v>
      </c>
      <c r="D65" s="82">
        <f>SQRT(3/2)*D64</f>
        <v>50.479810413330966</v>
      </c>
      <c r="E65" t="s">
        <v>272</v>
      </c>
      <c r="F65" s="56" t="s">
        <v>296</v>
      </c>
      <c r="G65" s="56"/>
      <c r="H65" s="56" t="s">
        <v>281</v>
      </c>
    </row>
    <row r="66" spans="1:8" ht="29.25">
      <c r="A66" t="s">
        <v>428</v>
      </c>
      <c r="B66" t="s">
        <v>429</v>
      </c>
      <c r="C66" t="s">
        <v>430</v>
      </c>
      <c r="D66" s="82">
        <f>D64/入力条件!B16</f>
        <v>71.389232512555239</v>
      </c>
      <c r="E66" t="s">
        <v>300</v>
      </c>
      <c r="F66" s="56" t="s">
        <v>431</v>
      </c>
      <c r="G66" s="56" t="s">
        <v>302</v>
      </c>
      <c r="H66" s="56" t="s">
        <v>432</v>
      </c>
    </row>
    <row r="67" spans="1:8" ht="29.25">
      <c r="A67" t="s">
        <v>433</v>
      </c>
      <c r="B67" t="s">
        <v>434</v>
      </c>
      <c r="C67" t="s">
        <v>435</v>
      </c>
      <c r="D67" s="82">
        <f>D65/入力条件!B15</f>
        <v>71.389232512555253</v>
      </c>
      <c r="E67" t="s">
        <v>300</v>
      </c>
      <c r="F67" s="56" t="s">
        <v>436</v>
      </c>
      <c r="G67" s="56" t="s">
        <v>302</v>
      </c>
      <c r="H67" s="56" t="s">
        <v>437</v>
      </c>
    </row>
    <row r="68" spans="1:8" ht="29.25">
      <c r="A68" t="s">
        <v>438</v>
      </c>
      <c r="B68" t="s">
        <v>439</v>
      </c>
      <c r="C68" t="s">
        <v>440</v>
      </c>
      <c r="D68" s="82">
        <f>MAX(D66,D67)-MAX(D17,D18)</f>
        <v>19.181686305943593</v>
      </c>
      <c r="E68" t="s">
        <v>36</v>
      </c>
      <c r="F68" s="56" t="s">
        <v>441</v>
      </c>
      <c r="G68" s="56"/>
      <c r="H68" s="56" t="s">
        <v>442</v>
      </c>
    </row>
    <row r="69" spans="1:8" ht="29.25">
      <c r="A69" t="s">
        <v>443</v>
      </c>
      <c r="B69" t="s">
        <v>444</v>
      </c>
      <c r="C69" t="s">
        <v>445</v>
      </c>
      <c r="D69" s="82">
        <f>入力条件!B34*D4</f>
        <v>0.96300450019543371</v>
      </c>
      <c r="E69" t="s">
        <v>80</v>
      </c>
      <c r="F69" s="56" t="s">
        <v>446</v>
      </c>
      <c r="G69" s="56" t="s">
        <v>447</v>
      </c>
      <c r="H69" s="56" t="s">
        <v>448</v>
      </c>
    </row>
    <row r="70" spans="1:8" ht="29.25">
      <c r="A70" t="s">
        <v>449</v>
      </c>
      <c r="B70" t="s">
        <v>450</v>
      </c>
      <c r="C70" t="s">
        <v>451</v>
      </c>
      <c r="D70" s="82">
        <f>(入力条件!B5/2)*2*PI()*入力条件!B33*D69</f>
        <v>69.583460853321355</v>
      </c>
      <c r="E70" t="s">
        <v>278</v>
      </c>
      <c r="F70" s="56" t="s">
        <v>452</v>
      </c>
      <c r="G70" s="56" t="s">
        <v>453</v>
      </c>
      <c r="H70" s="56" t="s">
        <v>454</v>
      </c>
    </row>
    <row r="71" spans="1:8" ht="29.25">
      <c r="A71" t="s">
        <v>455</v>
      </c>
      <c r="B71" t="s">
        <v>456</v>
      </c>
      <c r="C71" t="s">
        <v>457</v>
      </c>
      <c r="D71" s="81" t="str">
        <f>IF(OR(ISNA(D66),ISNA(D67)),"入力条件要確認",IF(MAX(D66,D67)&gt;MAX(D17,D18),"起動過渡で必要電圧増加","起動静的評価と同等"))</f>
        <v>起動過渡で必要電圧増加</v>
      </c>
      <c r="E71" t="s">
        <v>7</v>
      </c>
      <c r="F71" s="56" t="s">
        <v>458</v>
      </c>
      <c r="G71" s="56"/>
      <c r="H71" s="56" t="s">
        <v>459</v>
      </c>
    </row>
  </sheetData>
  <mergeCells count="2">
    <mergeCell ref="A1:H1"/>
    <mergeCell ref="A41:H41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ColWidth="8.875" defaultRowHeight="14.25"/>
  <cols>
    <col min="1" max="1" width="24" customWidth="1"/>
    <col min="2" max="2" width="16" customWidth="1"/>
    <col min="3" max="3" width="10" customWidth="1"/>
    <col min="4" max="4" width="36" customWidth="1"/>
  </cols>
  <sheetData>
    <row r="1" spans="1:4" ht="18">
      <c r="A1" s="83" t="s">
        <v>460</v>
      </c>
      <c r="B1" s="83" t="s">
        <v>460</v>
      </c>
      <c r="C1" s="83" t="s">
        <v>460</v>
      </c>
      <c r="D1" s="83" t="s">
        <v>460</v>
      </c>
    </row>
    <row r="2" spans="1:4" ht="30">
      <c r="D2" s="80" t="s">
        <v>195</v>
      </c>
    </row>
    <row r="3" spans="1:4" ht="15">
      <c r="A3" s="1" t="s">
        <v>138</v>
      </c>
      <c r="B3" s="1" t="s">
        <v>1</v>
      </c>
      <c r="C3" s="1" t="s">
        <v>2</v>
      </c>
      <c r="D3" s="1" t="s">
        <v>139</v>
      </c>
    </row>
    <row r="4" spans="1:4" ht="29.25" customHeight="1">
      <c r="A4" s="2" t="s">
        <v>461</v>
      </c>
      <c r="B4" s="79" t="str">
        <f>入力条件!B14</f>
        <v>SVPWM</v>
      </c>
      <c r="C4" s="5" t="s">
        <v>7</v>
      </c>
      <c r="D4" s="5" t="s">
        <v>462</v>
      </c>
    </row>
    <row r="5" spans="1:4" ht="29.25" customHeight="1">
      <c r="A5" s="2" t="s">
        <v>9</v>
      </c>
      <c r="B5" s="75">
        <f>入力条件!B15</f>
        <v>0.70710678118654746</v>
      </c>
      <c r="C5" s="5" t="s">
        <v>7</v>
      </c>
      <c r="D5" s="5" t="s">
        <v>463</v>
      </c>
    </row>
    <row r="6" spans="1:4" ht="29.25" customHeight="1">
      <c r="A6" s="2" t="s">
        <v>11</v>
      </c>
      <c r="B6" s="75">
        <f>入力条件!B16</f>
        <v>0.57735026918962584</v>
      </c>
      <c r="C6" s="5" t="s">
        <v>7</v>
      </c>
      <c r="D6" s="5" t="s">
        <v>464</v>
      </c>
    </row>
    <row r="7" spans="1:4" ht="37.35" customHeight="1">
      <c r="A7" s="2" t="s">
        <v>465</v>
      </c>
      <c r="B7" s="75">
        <f>計算詳細!D9</f>
        <v>656.80619435774497</v>
      </c>
      <c r="C7" s="5" t="s">
        <v>213</v>
      </c>
      <c r="D7" s="5" t="s">
        <v>466</v>
      </c>
    </row>
    <row r="8" spans="1:4" ht="37.35" customHeight="1">
      <c r="A8" s="2" t="s">
        <v>467</v>
      </c>
      <c r="B8" s="75">
        <f>計算詳細!D10</f>
        <v>656.80619435774497</v>
      </c>
      <c r="C8" s="5" t="s">
        <v>213</v>
      </c>
      <c r="D8" s="5" t="s">
        <v>468</v>
      </c>
    </row>
    <row r="9" spans="1:4" ht="37.35" customHeight="1">
      <c r="A9" s="2" t="s">
        <v>469</v>
      </c>
      <c r="B9" s="75">
        <f>SQRT(2)*計算詳細!D12</f>
        <v>9.2886422791138195</v>
      </c>
      <c r="C9" s="5" t="s">
        <v>36</v>
      </c>
      <c r="D9" s="5" t="s">
        <v>470</v>
      </c>
    </row>
    <row r="10" spans="1:4" ht="37.35" customHeight="1">
      <c r="A10" s="2" t="s">
        <v>471</v>
      </c>
      <c r="B10" s="75">
        <f>MAX(計算詳細!D17,計算詳細!D18)</f>
        <v>52.20754620661166</v>
      </c>
      <c r="C10" s="5" t="s">
        <v>36</v>
      </c>
      <c r="D10" s="5" t="s">
        <v>472</v>
      </c>
    </row>
    <row r="11" spans="1:4" ht="37.35" customHeight="1">
      <c r="A11" s="2" t="s">
        <v>473</v>
      </c>
      <c r="B11" s="75">
        <f>MAX(計算詳細!D24,計算詳細!D25)</f>
        <v>35.538041078825607</v>
      </c>
      <c r="C11" s="5" t="s">
        <v>36</v>
      </c>
      <c r="D11" s="5" t="s">
        <v>472</v>
      </c>
    </row>
    <row r="12" spans="1:4" ht="37.35" customHeight="1">
      <c r="A12" s="2" t="s">
        <v>474</v>
      </c>
      <c r="B12" s="75">
        <f>MAX(計算詳細!D31,計算詳細!D32)</f>
        <v>61.83120884105471</v>
      </c>
      <c r="C12" s="5" t="s">
        <v>36</v>
      </c>
      <c r="D12" s="5" t="s">
        <v>475</v>
      </c>
    </row>
    <row r="13" spans="1:4" ht="37.35" customHeight="1">
      <c r="A13" s="2" t="s">
        <v>476</v>
      </c>
      <c r="B13" s="75">
        <f>計算詳細!D17</f>
        <v>52.20754620661166</v>
      </c>
      <c r="C13" s="5" t="s">
        <v>36</v>
      </c>
      <c r="D13" s="5" t="s">
        <v>477</v>
      </c>
    </row>
    <row r="14" spans="1:4" ht="37.35" customHeight="1">
      <c r="A14" s="2" t="s">
        <v>478</v>
      </c>
      <c r="B14" s="75">
        <f>計算詳細!D18</f>
        <v>52.20754620661166</v>
      </c>
      <c r="C14" s="5" t="s">
        <v>36</v>
      </c>
      <c r="D14" s="5" t="s">
        <v>479</v>
      </c>
    </row>
    <row r="15" spans="1:4" ht="37.35" customHeight="1">
      <c r="A15" s="2" t="s">
        <v>480</v>
      </c>
      <c r="B15" s="75">
        <f>計算詳細!D24</f>
        <v>35.538041078825607</v>
      </c>
      <c r="C15" s="5" t="s">
        <v>36</v>
      </c>
      <c r="D15" s="5" t="s">
        <v>477</v>
      </c>
    </row>
    <row r="16" spans="1:4" ht="29.25" customHeight="1">
      <c r="A16" s="2" t="s">
        <v>481</v>
      </c>
      <c r="B16" s="75">
        <f>計算詳細!D25</f>
        <v>35.538041078825607</v>
      </c>
      <c r="C16" s="5" t="s">
        <v>36</v>
      </c>
      <c r="D16" s="5" t="s">
        <v>479</v>
      </c>
    </row>
    <row r="17" spans="1:4" ht="29.25" customHeight="1">
      <c r="A17" s="2" t="s">
        <v>482</v>
      </c>
      <c r="B17" s="75">
        <f>計算詳細!D31</f>
        <v>61.831208841054696</v>
      </c>
      <c r="C17" s="5" t="s">
        <v>36</v>
      </c>
      <c r="D17" s="5" t="s">
        <v>477</v>
      </c>
    </row>
    <row r="18" spans="1:4" ht="29.25" customHeight="1">
      <c r="A18" s="2" t="s">
        <v>483</v>
      </c>
      <c r="B18" s="75">
        <f>計算詳細!D32</f>
        <v>61.83120884105471</v>
      </c>
      <c r="C18" s="5" t="s">
        <v>36</v>
      </c>
      <c r="D18" s="5" t="s">
        <v>479</v>
      </c>
    </row>
    <row r="19" spans="1:4" ht="29.25" customHeight="1">
      <c r="A19" s="2" t="s">
        <v>146</v>
      </c>
      <c r="B19" s="75">
        <f>計算詳細!D34</f>
        <v>31.625366046137248</v>
      </c>
      <c r="C19" s="5" t="s">
        <v>86</v>
      </c>
      <c r="D19" s="5" t="s">
        <v>484</v>
      </c>
    </row>
    <row r="20" spans="1:4" ht="29.25" customHeight="1">
      <c r="A20" s="2" t="s">
        <v>485</v>
      </c>
      <c r="B20" s="75">
        <f>計算詳細!D35</f>
        <v>108.85095371068257</v>
      </c>
      <c r="C20" s="5" t="s">
        <v>86</v>
      </c>
      <c r="D20" s="5" t="s">
        <v>486</v>
      </c>
    </row>
    <row r="21" spans="1:4" ht="29.25" customHeight="1">
      <c r="A21" s="2" t="s">
        <v>487</v>
      </c>
      <c r="B21" s="43">
        <f>計算詳細!D37*100</f>
        <v>22.512951720890953</v>
      </c>
      <c r="C21" s="5" t="s">
        <v>488</v>
      </c>
      <c r="D21" s="5" t="s">
        <v>489</v>
      </c>
    </row>
    <row r="23" spans="1:4" ht="22.7" customHeight="1">
      <c r="A23" s="84" t="s">
        <v>490</v>
      </c>
      <c r="B23" s="85"/>
      <c r="C23" s="84"/>
      <c r="D23" s="84"/>
    </row>
    <row r="24" spans="1:4" ht="45.6" customHeight="1">
      <c r="A24" s="16" t="s">
        <v>153</v>
      </c>
      <c r="B24" s="78">
        <f>計算詳細!D49</f>
        <v>1.6449340668482262</v>
      </c>
      <c r="C24" s="26" t="s">
        <v>98</v>
      </c>
      <c r="D24" s="23" t="s">
        <v>491</v>
      </c>
    </row>
    <row r="25" spans="1:4" ht="68.25" customHeight="1">
      <c r="A25" s="17" t="s">
        <v>176</v>
      </c>
      <c r="B25" s="78">
        <f>計算詳細!D44</f>
        <v>3.1415926535897931</v>
      </c>
      <c r="C25" s="27" t="s">
        <v>66</v>
      </c>
      <c r="D25" s="24" t="s">
        <v>492</v>
      </c>
    </row>
    <row r="26" spans="1:4" ht="45.6" customHeight="1">
      <c r="A26" s="17" t="s">
        <v>493</v>
      </c>
      <c r="B26" s="78">
        <f>計算詳細!D45</f>
        <v>0.35418180987483577</v>
      </c>
      <c r="C26" s="27" t="s">
        <v>73</v>
      </c>
      <c r="D26" s="24" t="s">
        <v>494</v>
      </c>
    </row>
    <row r="27" spans="1:4" ht="22.7" customHeight="1">
      <c r="A27" s="17" t="s">
        <v>181</v>
      </c>
      <c r="B27" s="78">
        <f>計算詳細!D48</f>
        <v>1.6449340668482262</v>
      </c>
      <c r="C27" s="27" t="s">
        <v>86</v>
      </c>
      <c r="D27" s="24" t="s">
        <v>495</v>
      </c>
    </row>
    <row r="28" spans="1:4" ht="22.7" customHeight="1">
      <c r="A28" s="17" t="s">
        <v>496</v>
      </c>
      <c r="B28" s="78">
        <f>計算詳細!D50</f>
        <v>1.1779262442499523</v>
      </c>
      <c r="C28" s="27" t="s">
        <v>86</v>
      </c>
      <c r="D28" s="24" t="s">
        <v>497</v>
      </c>
    </row>
    <row r="29" spans="1:4" ht="45.6" customHeight="1">
      <c r="A29" s="17" t="s">
        <v>155</v>
      </c>
      <c r="B29" s="78">
        <f>計算詳細!D53</f>
        <v>0.46700782259827389</v>
      </c>
      <c r="C29" s="27" t="s">
        <v>98</v>
      </c>
      <c r="D29" s="24" t="s">
        <v>498</v>
      </c>
    </row>
    <row r="30" spans="1:4" ht="45.6" customHeight="1">
      <c r="A30" s="17" t="s">
        <v>499</v>
      </c>
      <c r="B30" s="78">
        <f>計算詳細!D54</f>
        <v>64.436675892815629</v>
      </c>
      <c r="C30" s="27" t="s">
        <v>36</v>
      </c>
      <c r="D30" s="24" t="s">
        <v>500</v>
      </c>
    </row>
    <row r="31" spans="1:4" ht="45.6" customHeight="1">
      <c r="A31" s="17" t="s">
        <v>501</v>
      </c>
      <c r="B31" s="78">
        <f>計算詳細!D55</f>
        <v>62.581945889096296</v>
      </c>
      <c r="C31" s="27" t="s">
        <v>36</v>
      </c>
      <c r="D31" s="24" t="s">
        <v>502</v>
      </c>
    </row>
    <row r="32" spans="1:4" ht="22.7" customHeight="1">
      <c r="A32" s="17" t="s">
        <v>503</v>
      </c>
      <c r="B32" s="78">
        <f>計算詳細!D56</f>
        <v>2.6054670517609182</v>
      </c>
      <c r="C32" s="27" t="s">
        <v>36</v>
      </c>
      <c r="D32" s="24" t="s">
        <v>504</v>
      </c>
    </row>
    <row r="33" spans="1:4" ht="22.7" customHeight="1">
      <c r="A33" s="17" t="s">
        <v>505</v>
      </c>
      <c r="B33" s="78">
        <f>計算詳細!D57</f>
        <v>0.75073704804158581</v>
      </c>
      <c r="C33" s="27" t="s">
        <v>36</v>
      </c>
      <c r="D33" s="24" t="s">
        <v>506</v>
      </c>
    </row>
    <row r="34" spans="1:4" ht="45.6" customHeight="1">
      <c r="A34" s="18" t="s">
        <v>135</v>
      </c>
      <c r="B34" s="48" t="str">
        <f>計算詳細!D58</f>
        <v>DCバス上昇あり</v>
      </c>
      <c r="C34" s="28" t="s">
        <v>7</v>
      </c>
      <c r="D34" s="25" t="s">
        <v>507</v>
      </c>
    </row>
    <row r="35" spans="1:4">
      <c r="A35" t="s">
        <v>508</v>
      </c>
      <c r="D35" s="56"/>
    </row>
    <row r="36" spans="1:4" ht="15">
      <c r="A36" t="s">
        <v>398</v>
      </c>
      <c r="B36" s="82">
        <f>計算詳細!D60</f>
        <v>3.6741214057507987E-3</v>
      </c>
      <c r="C36" t="s">
        <v>30</v>
      </c>
      <c r="D36" s="56" t="s">
        <v>509</v>
      </c>
    </row>
    <row r="37" spans="1:4" ht="15">
      <c r="A37" t="s">
        <v>404</v>
      </c>
      <c r="B37" s="82">
        <f>計算詳細!D61</f>
        <v>43.317823641533252</v>
      </c>
      <c r="C37" t="s">
        <v>221</v>
      </c>
      <c r="D37" s="56" t="s">
        <v>510</v>
      </c>
    </row>
    <row r="38" spans="1:4" ht="29.25">
      <c r="A38" t="s">
        <v>511</v>
      </c>
      <c r="B38" s="82">
        <f>MAX(計算詳細!D66,計算詳細!D67)</f>
        <v>71.389232512555253</v>
      </c>
      <c r="C38" t="s">
        <v>36</v>
      </c>
      <c r="D38" s="56" t="s">
        <v>512</v>
      </c>
    </row>
    <row r="39" spans="1:4" ht="15">
      <c r="A39" t="s">
        <v>513</v>
      </c>
      <c r="B39" s="82">
        <f>計算詳細!D68</f>
        <v>19.181686305943593</v>
      </c>
      <c r="C39" t="s">
        <v>36</v>
      </c>
      <c r="D39" s="56" t="s">
        <v>514</v>
      </c>
    </row>
    <row r="40" spans="1:4" ht="15">
      <c r="A40" t="s">
        <v>515</v>
      </c>
      <c r="B40" s="82">
        <f>計算詳細!D70</f>
        <v>69.583460853321355</v>
      </c>
      <c r="C40" t="s">
        <v>278</v>
      </c>
      <c r="D40" s="56" t="s">
        <v>516</v>
      </c>
    </row>
    <row r="41" spans="1:4" ht="29.25">
      <c r="A41" t="s">
        <v>455</v>
      </c>
      <c r="B41" s="81" t="str">
        <f>計算詳細!D71</f>
        <v>起動過渡で必要電圧増加</v>
      </c>
      <c r="C41" t="s">
        <v>7</v>
      </c>
      <c r="D41" s="56" t="s">
        <v>517</v>
      </c>
    </row>
  </sheetData>
  <mergeCells count="2">
    <mergeCell ref="A1:D1"/>
    <mergeCell ref="A23:D23"/>
  </mergeCells>
  <phoneticPr fontId="8"/>
  <conditionalFormatting sqref="B33">
    <cfRule type="cellIs" dxfId="4" priority="1" operator="greaterThan">
      <formula>0</formula>
    </cfRule>
  </conditionalFormatting>
  <conditionalFormatting sqref="B34">
    <cfRule type="expression" dxfId="3" priority="2">
      <formula>B34="DCバス上昇あり"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/>
  </sheetViews>
  <sheetFormatPr defaultColWidth="8.875" defaultRowHeight="14.25"/>
  <cols>
    <col min="1" max="1" width="24" customWidth="1"/>
    <col min="2" max="2" width="18" customWidth="1"/>
  </cols>
  <sheetData>
    <row r="1" spans="1:4" ht="18">
      <c r="A1" s="83" t="s">
        <v>140</v>
      </c>
      <c r="B1" s="83" t="s">
        <v>140</v>
      </c>
      <c r="C1" s="83" t="s">
        <v>140</v>
      </c>
      <c r="D1" s="83" t="s">
        <v>140</v>
      </c>
    </row>
    <row r="3" spans="1:4" ht="15">
      <c r="A3" s="7" t="s">
        <v>141</v>
      </c>
      <c r="B3" s="49" t="s">
        <v>142</v>
      </c>
    </row>
    <row r="4" spans="1:4">
      <c r="A4" s="5" t="s">
        <v>143</v>
      </c>
      <c r="B4" s="50">
        <f>入力条件!B7</f>
        <v>6.8094701240135294</v>
      </c>
    </row>
    <row r="5" spans="1:4">
      <c r="A5" s="5" t="s">
        <v>144</v>
      </c>
      <c r="B5" s="50">
        <f>入力条件!B8</f>
        <v>3.4047350620067647</v>
      </c>
    </row>
    <row r="6" spans="1:4">
      <c r="B6" s="51"/>
    </row>
    <row r="7" spans="1:4">
      <c r="B7" s="51"/>
    </row>
    <row r="8" spans="1:4" ht="15">
      <c r="A8" s="7" t="s">
        <v>41</v>
      </c>
      <c r="B8" s="52" t="s">
        <v>145</v>
      </c>
    </row>
    <row r="9" spans="1:4">
      <c r="A9" s="5" t="s">
        <v>146</v>
      </c>
      <c r="B9" s="50">
        <f>計算詳細!D34</f>
        <v>31.625366046137248</v>
      </c>
    </row>
    <row r="10" spans="1:4">
      <c r="A10" s="5" t="s">
        <v>147</v>
      </c>
      <c r="B10" s="50">
        <f>計算詳細!D35</f>
        <v>108.85095371068257</v>
      </c>
    </row>
    <row r="11" spans="1:4">
      <c r="A11" s="5" t="s">
        <v>148</v>
      </c>
      <c r="B11" s="50">
        <f>計算詳細!D38</f>
        <v>435.4038148427303</v>
      </c>
    </row>
    <row r="12" spans="1:4">
      <c r="A12" s="5" t="s">
        <v>149</v>
      </c>
      <c r="B12" s="50">
        <f>計算詳細!D39</f>
        <v>435.4038148427303</v>
      </c>
    </row>
    <row r="13" spans="1:4">
      <c r="B13" s="51"/>
    </row>
    <row r="14" spans="1:4">
      <c r="B14" s="51"/>
    </row>
    <row r="15" spans="1:4" ht="15">
      <c r="A15" s="7" t="s">
        <v>141</v>
      </c>
      <c r="B15" s="52" t="s">
        <v>150</v>
      </c>
    </row>
    <row r="16" spans="1:4">
      <c r="A16" s="5" t="s">
        <v>143</v>
      </c>
      <c r="B16" s="50">
        <f>計算詳細!D18</f>
        <v>52.20754620661166</v>
      </c>
    </row>
    <row r="17" spans="1:2">
      <c r="A17" s="5" t="s">
        <v>144</v>
      </c>
      <c r="B17" s="50">
        <f>計算詳細!D25</f>
        <v>35.538041078825607</v>
      </c>
    </row>
    <row r="18" spans="1:2">
      <c r="A18" s="5" t="s">
        <v>151</v>
      </c>
      <c r="B18" s="50">
        <f>計算詳細!D32</f>
        <v>61.83120884105471</v>
      </c>
    </row>
    <row r="19" spans="1:2">
      <c r="B19" s="53"/>
    </row>
    <row r="20" spans="1:2">
      <c r="B20" s="53"/>
    </row>
    <row r="21" spans="1:2" ht="15">
      <c r="A21" s="36" t="s">
        <v>41</v>
      </c>
      <c r="B21" s="54" t="s">
        <v>152</v>
      </c>
    </row>
    <row r="22" spans="1:2" ht="15">
      <c r="A22" s="16" t="s">
        <v>153</v>
      </c>
      <c r="B22" s="55">
        <f>計算詳細!D49</f>
        <v>1.6449340668482262</v>
      </c>
    </row>
    <row r="23" spans="1:2" ht="15">
      <c r="A23" s="17" t="s">
        <v>154</v>
      </c>
      <c r="B23" s="55">
        <f>計算詳細!D51</f>
        <v>1.1779262442499523</v>
      </c>
    </row>
    <row r="24" spans="1:2" ht="30">
      <c r="A24" s="18" t="s">
        <v>155</v>
      </c>
      <c r="B24" s="55">
        <f>計算詳細!D53</f>
        <v>0.46700782259827389</v>
      </c>
    </row>
    <row r="25" spans="1:2">
      <c r="B25" s="53"/>
    </row>
    <row r="26" spans="1:2" ht="15">
      <c r="A26" s="36" t="s">
        <v>41</v>
      </c>
      <c r="B26" s="54" t="s">
        <v>156</v>
      </c>
    </row>
    <row r="27" spans="1:2" ht="15">
      <c r="A27" s="16" t="s">
        <v>157</v>
      </c>
      <c r="B27" s="55">
        <f>入力条件!B29</f>
        <v>61.83120884105471</v>
      </c>
    </row>
    <row r="28" spans="1:2" ht="15">
      <c r="A28" s="17" t="s">
        <v>158</v>
      </c>
      <c r="B28" s="55">
        <f>計算詳細!D54</f>
        <v>64.436675892815629</v>
      </c>
    </row>
    <row r="29" spans="1:2" ht="30">
      <c r="A29" s="18" t="s">
        <v>159</v>
      </c>
      <c r="B29" s="55">
        <f>計算詳細!D55</f>
        <v>62.581945889096296</v>
      </c>
    </row>
  </sheetData>
  <mergeCells count="1">
    <mergeCell ref="A1:D1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workbookViewId="0"/>
  </sheetViews>
  <sheetFormatPr defaultColWidth="8.875" defaultRowHeight="14.25"/>
  <cols>
    <col min="1" max="1" width="20" customWidth="1"/>
    <col min="2" max="2" width="28" customWidth="1"/>
    <col min="3" max="3" width="42" customWidth="1"/>
  </cols>
  <sheetData>
    <row r="1" spans="1:3" ht="18">
      <c r="A1" s="83" t="s">
        <v>518</v>
      </c>
      <c r="B1" s="83" t="s">
        <v>518</v>
      </c>
      <c r="C1" s="83" t="s">
        <v>518</v>
      </c>
    </row>
    <row r="3" spans="1:3" ht="15">
      <c r="A3" s="1" t="s">
        <v>160</v>
      </c>
      <c r="B3" s="1" t="s">
        <v>161</v>
      </c>
      <c r="C3" s="1" t="s">
        <v>139</v>
      </c>
    </row>
    <row r="4" spans="1:3" ht="15">
      <c r="A4" s="2" t="s">
        <v>519</v>
      </c>
      <c r="B4" s="5"/>
      <c r="C4" s="5"/>
    </row>
    <row r="5" spans="1:3" ht="30">
      <c r="A5" s="2" t="s">
        <v>520</v>
      </c>
      <c r="B5" s="5" t="s">
        <v>521</v>
      </c>
      <c r="C5" s="5" t="s">
        <v>522</v>
      </c>
    </row>
    <row r="6" spans="1:3" ht="28.5">
      <c r="A6" s="2" t="s">
        <v>523</v>
      </c>
      <c r="B6" s="5" t="s">
        <v>524</v>
      </c>
      <c r="C6" s="5" t="s">
        <v>525</v>
      </c>
    </row>
    <row r="7" spans="1:3" ht="30">
      <c r="A7" s="2" t="s">
        <v>526</v>
      </c>
      <c r="B7" s="5" t="s">
        <v>527</v>
      </c>
      <c r="C7" s="5" t="s">
        <v>528</v>
      </c>
    </row>
    <row r="8" spans="1:3" ht="28.5">
      <c r="A8" s="2" t="s">
        <v>529</v>
      </c>
      <c r="B8" s="5" t="s">
        <v>530</v>
      </c>
      <c r="C8" s="5" t="s">
        <v>531</v>
      </c>
    </row>
    <row r="9" spans="1:3" ht="15">
      <c r="A9" s="2" t="s">
        <v>162</v>
      </c>
      <c r="B9" s="5"/>
      <c r="C9" s="5"/>
    </row>
    <row r="10" spans="1:3" ht="28.5">
      <c r="A10" s="2" t="s">
        <v>532</v>
      </c>
      <c r="B10" s="5" t="s">
        <v>533</v>
      </c>
      <c r="C10" s="5" t="s">
        <v>534</v>
      </c>
    </row>
    <row r="11" spans="1:3" ht="28.5">
      <c r="A11" s="2" t="s">
        <v>6</v>
      </c>
      <c r="B11" s="5" t="s">
        <v>535</v>
      </c>
      <c r="C11" s="5" t="s">
        <v>536</v>
      </c>
    </row>
    <row r="12" spans="1:3" ht="15">
      <c r="A12" s="2" t="s">
        <v>163</v>
      </c>
      <c r="B12" s="5"/>
      <c r="C12" s="5"/>
    </row>
    <row r="13" spans="1:3" ht="28.5">
      <c r="A13" s="2" t="s">
        <v>143</v>
      </c>
      <c r="B13" s="5" t="s">
        <v>537</v>
      </c>
      <c r="C13" s="5" t="s">
        <v>538</v>
      </c>
    </row>
    <row r="14" spans="1:3" ht="28.5">
      <c r="A14" s="2" t="s">
        <v>144</v>
      </c>
      <c r="B14" s="5" t="s">
        <v>539</v>
      </c>
      <c r="C14" s="5" t="s">
        <v>540</v>
      </c>
    </row>
    <row r="15" spans="1:3" ht="15">
      <c r="A15" s="2" t="s">
        <v>164</v>
      </c>
      <c r="B15" s="5"/>
      <c r="C15" s="5"/>
    </row>
    <row r="16" spans="1:3" ht="28.5">
      <c r="A16" s="2" t="s">
        <v>541</v>
      </c>
      <c r="B16" s="5" t="s">
        <v>542</v>
      </c>
      <c r="C16" s="5" t="s">
        <v>543</v>
      </c>
    </row>
    <row r="17" spans="1:3" ht="30">
      <c r="A17" s="2" t="s">
        <v>165</v>
      </c>
      <c r="B17" s="5"/>
      <c r="C17" s="5"/>
    </row>
    <row r="18" spans="1:3" ht="28.5">
      <c r="A18" s="2" t="s">
        <v>544</v>
      </c>
      <c r="B18" s="5" t="s">
        <v>545</v>
      </c>
      <c r="C18" s="5" t="s">
        <v>546</v>
      </c>
    </row>
    <row r="19" spans="1:3" ht="15">
      <c r="A19" s="2" t="s">
        <v>166</v>
      </c>
      <c r="B19" s="5"/>
      <c r="C19" s="5"/>
    </row>
    <row r="20" spans="1:3" ht="15">
      <c r="A20" s="2" t="s">
        <v>167</v>
      </c>
      <c r="B20" s="5" t="s">
        <v>168</v>
      </c>
      <c r="C20" s="5" t="s">
        <v>169</v>
      </c>
    </row>
    <row r="21" spans="1:3" ht="15">
      <c r="A21" s="2" t="s">
        <v>547</v>
      </c>
      <c r="B21" s="5" t="s">
        <v>548</v>
      </c>
      <c r="C21" s="5" t="s">
        <v>549</v>
      </c>
    </row>
    <row r="22" spans="1:3" ht="15">
      <c r="A22" s="2" t="s">
        <v>170</v>
      </c>
      <c r="B22" s="5" t="s">
        <v>171</v>
      </c>
      <c r="C22" s="5" t="s">
        <v>172</v>
      </c>
    </row>
    <row r="23" spans="1:3" ht="28.5">
      <c r="A23" s="2" t="s">
        <v>149</v>
      </c>
      <c r="B23" s="5" t="s">
        <v>173</v>
      </c>
      <c r="C23" s="5" t="s">
        <v>174</v>
      </c>
    </row>
    <row r="25" spans="1:3" ht="15">
      <c r="A25" s="39" t="s">
        <v>175</v>
      </c>
      <c r="B25" s="41"/>
      <c r="C25" s="40"/>
    </row>
    <row r="26" spans="1:3" ht="26.25">
      <c r="A26" s="17" t="s">
        <v>176</v>
      </c>
      <c r="B26" s="33" t="s">
        <v>177</v>
      </c>
      <c r="C26" s="21" t="s">
        <v>178</v>
      </c>
    </row>
    <row r="27" spans="1:3" ht="26.25">
      <c r="A27" s="17" t="s">
        <v>493</v>
      </c>
      <c r="B27" s="33" t="s">
        <v>550</v>
      </c>
      <c r="C27" s="21" t="s">
        <v>551</v>
      </c>
    </row>
    <row r="28" spans="1:3" ht="30">
      <c r="A28" s="17" t="s">
        <v>153</v>
      </c>
      <c r="B28" s="33" t="s">
        <v>179</v>
      </c>
      <c r="C28" s="21" t="s">
        <v>180</v>
      </c>
    </row>
    <row r="29" spans="1:3" ht="26.25">
      <c r="A29" s="17" t="s">
        <v>181</v>
      </c>
      <c r="B29" s="33" t="s">
        <v>182</v>
      </c>
      <c r="C29" s="21" t="s">
        <v>183</v>
      </c>
    </row>
    <row r="30" spans="1:3" ht="15">
      <c r="A30" s="17" t="s">
        <v>496</v>
      </c>
      <c r="B30" s="33" t="s">
        <v>552</v>
      </c>
      <c r="C30" s="21" t="s">
        <v>553</v>
      </c>
    </row>
    <row r="31" spans="1:3" ht="26.25">
      <c r="A31" s="17" t="s">
        <v>184</v>
      </c>
      <c r="B31" s="33" t="s">
        <v>185</v>
      </c>
      <c r="C31" s="21" t="s">
        <v>186</v>
      </c>
    </row>
    <row r="32" spans="1:3" ht="15">
      <c r="A32" s="18" t="s">
        <v>187</v>
      </c>
      <c r="B32" s="34" t="s">
        <v>188</v>
      </c>
      <c r="C32" s="22" t="s">
        <v>189</v>
      </c>
    </row>
    <row r="33" spans="1:3" ht="28.5">
      <c r="A33" s="56" t="s">
        <v>554</v>
      </c>
      <c r="B33" s="56"/>
      <c r="C33" s="56"/>
    </row>
    <row r="34" spans="1:3" ht="28.5">
      <c r="A34" s="56" t="s">
        <v>555</v>
      </c>
      <c r="B34" s="56" t="s">
        <v>556</v>
      </c>
      <c r="C34" s="56" t="s">
        <v>557</v>
      </c>
    </row>
    <row r="35" spans="1:3" ht="28.5">
      <c r="A35" s="56" t="s">
        <v>558</v>
      </c>
      <c r="B35" s="56" t="s">
        <v>559</v>
      </c>
      <c r="C35" s="56" t="s">
        <v>560</v>
      </c>
    </row>
    <row r="36" spans="1:3" ht="28.5">
      <c r="A36" s="56" t="s">
        <v>561</v>
      </c>
      <c r="B36" s="56" t="s">
        <v>562</v>
      </c>
      <c r="C36" s="56" t="s">
        <v>563</v>
      </c>
    </row>
    <row r="37" spans="1:3" ht="28.5">
      <c r="A37" s="56" t="s">
        <v>564</v>
      </c>
      <c r="B37" s="56" t="s">
        <v>565</v>
      </c>
      <c r="C37" s="56" t="s">
        <v>566</v>
      </c>
    </row>
    <row r="38" spans="1:3" ht="42.75">
      <c r="A38" s="56" t="s">
        <v>567</v>
      </c>
      <c r="B38" s="56" t="s">
        <v>568</v>
      </c>
      <c r="C38" s="56" t="s">
        <v>569</v>
      </c>
    </row>
    <row r="39" spans="1:3" ht="28.5">
      <c r="A39" s="56" t="s">
        <v>570</v>
      </c>
      <c r="B39" s="56" t="s">
        <v>571</v>
      </c>
      <c r="C39" s="56" t="s">
        <v>572</v>
      </c>
    </row>
    <row r="40" spans="1:3" ht="42.75">
      <c r="A40" s="56" t="s">
        <v>573</v>
      </c>
      <c r="B40" s="56" t="s">
        <v>574</v>
      </c>
      <c r="C40" s="56" t="s">
        <v>575</v>
      </c>
    </row>
  </sheetData>
  <mergeCells count="1">
    <mergeCell ref="A1:C1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ColWidth="8.875" defaultRowHeight="14.25"/>
  <cols>
    <col min="1" max="2" width="22" customWidth="1"/>
    <col min="3" max="3" width="14" customWidth="1"/>
    <col min="4" max="4" width="10" customWidth="1"/>
    <col min="5" max="5" width="24" customWidth="1"/>
    <col min="6" max="6" width="26" customWidth="1"/>
  </cols>
  <sheetData>
    <row r="1" spans="1:6" ht="18">
      <c r="A1" s="83" t="s">
        <v>576</v>
      </c>
      <c r="B1" s="83" t="s">
        <v>576</v>
      </c>
      <c r="C1" s="83" t="s">
        <v>576</v>
      </c>
      <c r="D1" s="83" t="s">
        <v>576</v>
      </c>
      <c r="E1" s="83" t="s">
        <v>576</v>
      </c>
      <c r="F1" s="83" t="s">
        <v>576</v>
      </c>
    </row>
    <row r="3" spans="1:6" ht="15">
      <c r="A3" s="1" t="s">
        <v>41</v>
      </c>
      <c r="B3" s="1" t="s">
        <v>190</v>
      </c>
      <c r="C3" s="1" t="s">
        <v>191</v>
      </c>
      <c r="D3" s="1" t="s">
        <v>2</v>
      </c>
      <c r="E3" s="1" t="s">
        <v>139</v>
      </c>
      <c r="F3" s="1" t="s">
        <v>3</v>
      </c>
    </row>
    <row r="4" spans="1:6" ht="15">
      <c r="A4" s="2" t="s">
        <v>461</v>
      </c>
      <c r="B4" s="5" t="s">
        <v>577</v>
      </c>
      <c r="C4" s="46" t="str">
        <f>入力条件!B14</f>
        <v>SVPWM</v>
      </c>
      <c r="D4" s="5" t="s">
        <v>7</v>
      </c>
      <c r="E4" s="5" t="s">
        <v>578</v>
      </c>
      <c r="F4" s="5" t="s">
        <v>579</v>
      </c>
    </row>
    <row r="5" spans="1:6" ht="30">
      <c r="A5" s="2" t="s">
        <v>580</v>
      </c>
      <c r="B5" s="5" t="s">
        <v>581</v>
      </c>
      <c r="C5" s="46">
        <f>入力条件!B15</f>
        <v>0.70710678118654746</v>
      </c>
      <c r="D5" s="5" t="s">
        <v>7</v>
      </c>
      <c r="E5" s="5" t="s">
        <v>463</v>
      </c>
      <c r="F5" s="5" t="s">
        <v>582</v>
      </c>
    </row>
    <row r="6" spans="1:6" ht="30">
      <c r="A6" s="2" t="s">
        <v>583</v>
      </c>
      <c r="B6" s="5" t="s">
        <v>584</v>
      </c>
      <c r="C6" s="46">
        <f>入力条件!B16</f>
        <v>0.57735026918962584</v>
      </c>
      <c r="D6" s="5" t="s">
        <v>7</v>
      </c>
      <c r="E6" s="5" t="s">
        <v>464</v>
      </c>
      <c r="F6" s="5" t="s">
        <v>585</v>
      </c>
    </row>
    <row r="7" spans="1:6" ht="15">
      <c r="A7" s="2" t="s">
        <v>586</v>
      </c>
      <c r="B7" s="5" t="s">
        <v>587</v>
      </c>
      <c r="C7" s="46">
        <f>入力条件!B4/2</f>
        <v>3.13</v>
      </c>
      <c r="D7" s="5" t="s">
        <v>197</v>
      </c>
      <c r="E7" s="5" t="s">
        <v>588</v>
      </c>
      <c r="F7" s="5" t="s">
        <v>589</v>
      </c>
    </row>
    <row r="8" spans="1:6" ht="15">
      <c r="A8" s="2" t="s">
        <v>590</v>
      </c>
      <c r="B8" s="5" t="s">
        <v>591</v>
      </c>
      <c r="C8" s="46">
        <f>入力条件!B5/2</f>
        <v>1.15E-2</v>
      </c>
      <c r="D8" s="5" t="s">
        <v>200</v>
      </c>
      <c r="E8" s="5" t="s">
        <v>592</v>
      </c>
      <c r="F8" s="5" t="s">
        <v>593</v>
      </c>
    </row>
    <row r="9" spans="1:6" ht="15">
      <c r="A9" s="2" t="s">
        <v>594</v>
      </c>
      <c r="B9" s="5" t="s">
        <v>595</v>
      </c>
      <c r="C9" s="46">
        <f>入力条件!B6</f>
        <v>8.8699999999999992</v>
      </c>
      <c r="D9" s="5" t="s">
        <v>250</v>
      </c>
      <c r="E9" s="5" t="s">
        <v>596</v>
      </c>
      <c r="F9" s="5" t="s">
        <v>597</v>
      </c>
    </row>
    <row r="10" spans="1:6" ht="28.5">
      <c r="A10" s="2" t="s">
        <v>465</v>
      </c>
      <c r="B10" s="5" t="s">
        <v>248</v>
      </c>
      <c r="C10" s="46">
        <f>入力条件!B6/SQRT(2)</f>
        <v>6.2720371491246754</v>
      </c>
      <c r="D10" s="5" t="s">
        <v>250</v>
      </c>
      <c r="E10" s="5" t="s">
        <v>598</v>
      </c>
      <c r="F10" s="5" t="s">
        <v>599</v>
      </c>
    </row>
    <row r="11" spans="1:6" ht="15">
      <c r="A11" s="2" t="s">
        <v>465</v>
      </c>
      <c r="B11" s="5" t="s">
        <v>600</v>
      </c>
      <c r="C11" s="46">
        <f>計算詳細!D9</f>
        <v>656.80619435774497</v>
      </c>
      <c r="D11" s="5" t="s">
        <v>213</v>
      </c>
      <c r="E11" s="5" t="s">
        <v>601</v>
      </c>
      <c r="F11" s="5" t="s">
        <v>602</v>
      </c>
    </row>
    <row r="12" spans="1:6" ht="15">
      <c r="A12" s="2" t="s">
        <v>467</v>
      </c>
      <c r="B12" s="5" t="s">
        <v>603</v>
      </c>
      <c r="C12" s="46">
        <f>計算詳細!D10</f>
        <v>656.80619435774497</v>
      </c>
      <c r="D12" s="5" t="s">
        <v>213</v>
      </c>
      <c r="E12" s="5" t="s">
        <v>604</v>
      </c>
      <c r="F12" s="5" t="s">
        <v>605</v>
      </c>
    </row>
    <row r="13" spans="1:6" ht="30">
      <c r="A13" s="2" t="s">
        <v>469</v>
      </c>
      <c r="B13" s="5" t="s">
        <v>606</v>
      </c>
      <c r="C13" s="46">
        <f>結果概要!B9</f>
        <v>9.2886422791138195</v>
      </c>
      <c r="D13" s="5" t="s">
        <v>36</v>
      </c>
      <c r="E13" s="5" t="s">
        <v>607</v>
      </c>
      <c r="F13" s="5" t="s">
        <v>608</v>
      </c>
    </row>
    <row r="14" spans="1:6">
      <c r="C14" s="45"/>
    </row>
    <row r="15" spans="1:6" ht="15">
      <c r="A15" s="36" t="s">
        <v>95</v>
      </c>
      <c r="B15" s="42" t="s">
        <v>609</v>
      </c>
      <c r="C15" s="47">
        <f>計算詳細!D49</f>
        <v>1.6449340668482262</v>
      </c>
      <c r="D15" s="42" t="s">
        <v>98</v>
      </c>
      <c r="E15" s="42" t="s">
        <v>610</v>
      </c>
      <c r="F15" s="37" t="s">
        <v>611</v>
      </c>
    </row>
    <row r="16" spans="1:6" ht="29.25">
      <c r="A16" s="16" t="s">
        <v>612</v>
      </c>
      <c r="B16" s="9" t="s">
        <v>613</v>
      </c>
      <c r="C16" s="44">
        <f>計算詳細!D51</f>
        <v>1.1779262442499523</v>
      </c>
      <c r="D16" s="9" t="s">
        <v>98</v>
      </c>
      <c r="E16" s="9" t="s">
        <v>614</v>
      </c>
      <c r="F16" s="10" t="s">
        <v>615</v>
      </c>
    </row>
    <row r="17" spans="1:6" ht="30">
      <c r="A17" s="17" t="s">
        <v>616</v>
      </c>
      <c r="B17" s="4" t="s">
        <v>617</v>
      </c>
      <c r="C17" s="44">
        <f>計算詳細!D53</f>
        <v>0.46700782259827389</v>
      </c>
      <c r="D17" s="4" t="s">
        <v>98</v>
      </c>
      <c r="E17" s="4" t="s">
        <v>618</v>
      </c>
      <c r="F17" s="12" t="s">
        <v>619</v>
      </c>
    </row>
    <row r="18" spans="1:6" ht="29.25">
      <c r="A18" s="17" t="s">
        <v>620</v>
      </c>
      <c r="B18" s="4" t="s">
        <v>621</v>
      </c>
      <c r="C18" s="44">
        <f>計算詳細!D54</f>
        <v>64.436675892815629</v>
      </c>
      <c r="D18" s="4" t="s">
        <v>36</v>
      </c>
      <c r="E18" s="4" t="s">
        <v>504</v>
      </c>
      <c r="F18" s="12" t="s">
        <v>622</v>
      </c>
    </row>
    <row r="19" spans="1:6" ht="15">
      <c r="A19" s="17" t="s">
        <v>192</v>
      </c>
      <c r="B19" s="4" t="s">
        <v>193</v>
      </c>
      <c r="C19" s="44">
        <f>計算詳細!D55</f>
        <v>62.581945889096296</v>
      </c>
      <c r="D19" s="4" t="s">
        <v>36</v>
      </c>
      <c r="E19" s="4" t="s">
        <v>623</v>
      </c>
      <c r="F19" s="12" t="s">
        <v>624</v>
      </c>
    </row>
    <row r="20" spans="1:6" ht="15">
      <c r="A20" s="18" t="s">
        <v>192</v>
      </c>
      <c r="B20" s="14" t="s">
        <v>193</v>
      </c>
      <c r="C20" s="38"/>
      <c r="D20" s="14"/>
      <c r="E20" s="14"/>
      <c r="F20" s="15"/>
    </row>
  </sheetData>
  <mergeCells count="1">
    <mergeCell ref="A1:F1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0"/>
  <sheetViews>
    <sheetView workbookViewId="0"/>
  </sheetViews>
  <sheetFormatPr defaultRowHeight="14.25"/>
  <cols>
    <col min="1" max="1" width="12" customWidth="1"/>
    <col min="2" max="2" width="16" customWidth="1"/>
    <col min="3" max="3" width="28" customWidth="1"/>
    <col min="4" max="4" width="34" customWidth="1"/>
    <col min="5" max="5" width="38" customWidth="1"/>
    <col min="6" max="6" width="26" customWidth="1"/>
    <col min="7" max="7" width="14" customWidth="1"/>
    <col min="8" max="8" width="28" customWidth="1"/>
    <col min="9" max="9" width="10" customWidth="1"/>
    <col min="10" max="10" width="30" customWidth="1"/>
  </cols>
  <sheetData>
    <row r="1" spans="1:10" ht="24" customHeight="1">
      <c r="A1" s="86" t="s">
        <v>625</v>
      </c>
      <c r="B1" s="86"/>
      <c r="C1" s="86"/>
      <c r="D1" s="86"/>
      <c r="E1" s="86"/>
      <c r="F1" s="86"/>
      <c r="G1" s="86"/>
      <c r="H1" s="86"/>
      <c r="I1" s="86"/>
      <c r="J1" s="86"/>
    </row>
    <row r="2" spans="1:10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ht="15">
      <c r="A3" s="62" t="s">
        <v>626</v>
      </c>
      <c r="B3" s="87" t="s">
        <v>627</v>
      </c>
      <c r="C3" s="87"/>
      <c r="D3" s="87"/>
      <c r="E3" s="87"/>
      <c r="F3" s="87"/>
      <c r="G3" s="87"/>
      <c r="H3" s="87"/>
      <c r="I3" s="87"/>
      <c r="J3" s="87"/>
    </row>
    <row r="4" spans="1:10" ht="15">
      <c r="A4" s="62"/>
      <c r="B4" s="87"/>
      <c r="C4" s="87"/>
      <c r="D4" s="87"/>
      <c r="E4" s="87"/>
      <c r="F4" s="87"/>
      <c r="G4" s="87"/>
      <c r="H4" s="87"/>
      <c r="I4" s="87"/>
      <c r="J4" s="87"/>
    </row>
    <row r="5" spans="1:10" ht="15">
      <c r="A5" s="62"/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56"/>
      <c r="B6" s="56"/>
      <c r="C6" s="56"/>
      <c r="D6" s="56"/>
      <c r="E6" s="56"/>
      <c r="F6" s="56"/>
      <c r="G6" s="56"/>
      <c r="H6" s="56"/>
      <c r="I6" s="56"/>
      <c r="J6" s="56"/>
    </row>
    <row r="7" spans="1:10" ht="15">
      <c r="A7" s="63" t="s">
        <v>628</v>
      </c>
      <c r="B7" s="63" t="s">
        <v>629</v>
      </c>
      <c r="C7" s="63" t="s">
        <v>630</v>
      </c>
      <c r="D7" s="63" t="s">
        <v>631</v>
      </c>
      <c r="E7" s="63" t="s">
        <v>632</v>
      </c>
      <c r="F7" s="63" t="s">
        <v>3</v>
      </c>
      <c r="G7" s="56"/>
      <c r="H7" s="56"/>
      <c r="I7" s="56"/>
      <c r="J7" s="56"/>
    </row>
    <row r="8" spans="1:10" ht="28.5">
      <c r="A8" s="57" t="s">
        <v>633</v>
      </c>
      <c r="B8" s="56" t="s">
        <v>634</v>
      </c>
      <c r="C8" s="56" t="s">
        <v>635</v>
      </c>
      <c r="D8" s="56" t="s">
        <v>636</v>
      </c>
      <c r="E8" s="56" t="s">
        <v>637</v>
      </c>
      <c r="F8" s="56" t="s">
        <v>638</v>
      </c>
      <c r="G8" s="56"/>
      <c r="H8" s="56"/>
      <c r="I8" s="56"/>
      <c r="J8" s="56"/>
    </row>
    <row r="9" spans="1:10" ht="42.75">
      <c r="A9" s="57" t="s">
        <v>639</v>
      </c>
      <c r="B9" s="56" t="s">
        <v>634</v>
      </c>
      <c r="C9" s="56" t="s">
        <v>640</v>
      </c>
      <c r="D9" s="56" t="s">
        <v>641</v>
      </c>
      <c r="E9" s="56" t="s">
        <v>642</v>
      </c>
      <c r="F9" s="56" t="s">
        <v>643</v>
      </c>
      <c r="G9" s="56"/>
      <c r="H9" s="56"/>
      <c r="I9" s="56"/>
      <c r="J9" s="56"/>
    </row>
    <row r="10" spans="1:10" ht="42.75">
      <c r="A10" s="57" t="s">
        <v>644</v>
      </c>
      <c r="B10" s="56" t="s">
        <v>634</v>
      </c>
      <c r="C10" s="56" t="s">
        <v>645</v>
      </c>
      <c r="D10" s="56" t="s">
        <v>646</v>
      </c>
      <c r="E10" s="56" t="s">
        <v>647</v>
      </c>
      <c r="F10" s="56" t="s">
        <v>648</v>
      </c>
      <c r="G10" s="56"/>
      <c r="H10" s="56"/>
      <c r="I10" s="56"/>
      <c r="J10" s="56"/>
    </row>
    <row r="11" spans="1:10" ht="28.5">
      <c r="A11" s="58" t="s">
        <v>649</v>
      </c>
      <c r="B11" s="56" t="s">
        <v>650</v>
      </c>
      <c r="C11" s="56" t="s">
        <v>651</v>
      </c>
      <c r="D11" s="56" t="s">
        <v>652</v>
      </c>
      <c r="E11" s="56" t="s">
        <v>653</v>
      </c>
      <c r="F11" s="56" t="s">
        <v>654</v>
      </c>
      <c r="G11" s="56"/>
      <c r="H11" s="56"/>
      <c r="I11" s="56"/>
      <c r="J11" s="56"/>
    </row>
    <row r="12" spans="1:10" ht="28.5">
      <c r="A12" s="59" t="s">
        <v>655</v>
      </c>
      <c r="B12" s="56" t="s">
        <v>42</v>
      </c>
      <c r="C12" s="56" t="s">
        <v>656</v>
      </c>
      <c r="D12" s="56" t="s">
        <v>657</v>
      </c>
      <c r="E12" s="56" t="s">
        <v>658</v>
      </c>
      <c r="F12" s="56" t="s">
        <v>659</v>
      </c>
      <c r="G12" s="56"/>
      <c r="H12" s="56"/>
      <c r="I12" s="56"/>
      <c r="J12" s="56"/>
    </row>
    <row r="13" spans="1:10" ht="28.5">
      <c r="A13" s="59" t="s">
        <v>660</v>
      </c>
      <c r="B13" s="56" t="s">
        <v>661</v>
      </c>
      <c r="C13" s="56" t="s">
        <v>662</v>
      </c>
      <c r="D13" s="56" t="s">
        <v>663</v>
      </c>
      <c r="E13" s="56" t="s">
        <v>658</v>
      </c>
      <c r="F13" s="56" t="s">
        <v>664</v>
      </c>
      <c r="G13" s="56"/>
      <c r="H13" s="56"/>
      <c r="I13" s="56"/>
      <c r="J13" s="56"/>
    </row>
    <row r="14" spans="1:10" ht="42.75">
      <c r="A14" s="56" t="s">
        <v>665</v>
      </c>
      <c r="B14" s="56" t="s">
        <v>634</v>
      </c>
      <c r="C14" s="56" t="s">
        <v>666</v>
      </c>
      <c r="D14" s="56" t="s">
        <v>667</v>
      </c>
      <c r="E14" s="56" t="s">
        <v>668</v>
      </c>
      <c r="F14" s="56" t="s">
        <v>669</v>
      </c>
      <c r="G14" s="56"/>
      <c r="H14" s="56"/>
      <c r="I14" s="56"/>
      <c r="J14" s="56"/>
    </row>
    <row r="15" spans="1:10" ht="42.75">
      <c r="A15" s="56" t="s">
        <v>670</v>
      </c>
      <c r="B15" s="56" t="s">
        <v>634</v>
      </c>
      <c r="C15" s="56" t="s">
        <v>671</v>
      </c>
      <c r="D15" s="56" t="s">
        <v>672</v>
      </c>
      <c r="E15" s="56" t="s">
        <v>673</v>
      </c>
      <c r="F15" s="56" t="s">
        <v>674</v>
      </c>
      <c r="G15" s="56"/>
      <c r="H15" s="56"/>
      <c r="I15" s="56"/>
      <c r="J15" s="56"/>
    </row>
    <row r="16" spans="1:10" ht="15">
      <c r="A16" s="64" t="s">
        <v>675</v>
      </c>
      <c r="B16" s="64" t="s">
        <v>676</v>
      </c>
      <c r="C16" s="64" t="s">
        <v>677</v>
      </c>
      <c r="D16" s="64" t="s">
        <v>678</v>
      </c>
      <c r="E16" s="64" t="s">
        <v>679</v>
      </c>
      <c r="F16" s="64" t="s">
        <v>680</v>
      </c>
      <c r="G16" s="64" t="s">
        <v>628</v>
      </c>
      <c r="H16" s="64" t="s">
        <v>681</v>
      </c>
      <c r="I16" s="64" t="s">
        <v>682</v>
      </c>
      <c r="J16" s="64" t="s">
        <v>46</v>
      </c>
    </row>
    <row r="17" spans="1:10" ht="29.25">
      <c r="A17" s="60" t="s">
        <v>683</v>
      </c>
      <c r="B17" s="60" t="s">
        <v>684</v>
      </c>
      <c r="C17" s="60" t="s">
        <v>685</v>
      </c>
      <c r="D17" s="60" t="s">
        <v>196</v>
      </c>
      <c r="E17" s="65">
        <f>入力条件!B4</f>
        <v>6.26</v>
      </c>
      <c r="F17" s="60" t="s">
        <v>686</v>
      </c>
      <c r="G17" s="60" t="s">
        <v>687</v>
      </c>
      <c r="H17" s="60" t="s">
        <v>688</v>
      </c>
      <c r="I17" s="60" t="s">
        <v>689</v>
      </c>
      <c r="J17" s="60" t="s">
        <v>690</v>
      </c>
    </row>
    <row r="18" spans="1:10" ht="29.25">
      <c r="A18" s="60" t="s">
        <v>683</v>
      </c>
      <c r="B18" s="60" t="s">
        <v>684</v>
      </c>
      <c r="C18" s="60" t="s">
        <v>691</v>
      </c>
      <c r="D18" s="60" t="s">
        <v>199</v>
      </c>
      <c r="E18" s="65">
        <f>入力条件!B5</f>
        <v>2.3E-2</v>
      </c>
      <c r="F18" s="60" t="s">
        <v>692</v>
      </c>
      <c r="G18" s="60" t="s">
        <v>687</v>
      </c>
      <c r="H18" s="60" t="s">
        <v>693</v>
      </c>
      <c r="I18" s="60" t="s">
        <v>689</v>
      </c>
      <c r="J18" s="60" t="s">
        <v>694</v>
      </c>
    </row>
    <row r="19" spans="1:10" ht="29.25">
      <c r="A19" s="60" t="s">
        <v>683</v>
      </c>
      <c r="B19" s="60" t="s">
        <v>684</v>
      </c>
      <c r="C19" s="60" t="s">
        <v>695</v>
      </c>
      <c r="D19" s="60" t="s">
        <v>201</v>
      </c>
      <c r="E19" s="65">
        <f>入力条件!B6</f>
        <v>8.8699999999999992</v>
      </c>
      <c r="F19" s="60" t="s">
        <v>696</v>
      </c>
      <c r="G19" s="60" t="s">
        <v>687</v>
      </c>
      <c r="H19" s="60" t="s">
        <v>697</v>
      </c>
      <c r="I19" s="60" t="s">
        <v>689</v>
      </c>
      <c r="J19" s="60" t="s">
        <v>205</v>
      </c>
    </row>
    <row r="20" spans="1:10" ht="29.25">
      <c r="A20" s="59" t="s">
        <v>683</v>
      </c>
      <c r="B20" s="59" t="s">
        <v>684</v>
      </c>
      <c r="C20" s="59" t="s">
        <v>698</v>
      </c>
      <c r="D20" s="59" t="s">
        <v>204</v>
      </c>
      <c r="E20" s="66">
        <f>入力条件!B7</f>
        <v>6.8094701240135294</v>
      </c>
      <c r="F20" s="59" t="s">
        <v>662</v>
      </c>
      <c r="G20" s="59" t="s">
        <v>660</v>
      </c>
      <c r="H20" s="59" t="s">
        <v>699</v>
      </c>
      <c r="I20" s="59" t="s">
        <v>700</v>
      </c>
      <c r="J20" s="59" t="s">
        <v>701</v>
      </c>
    </row>
    <row r="21" spans="1:10" ht="29.25">
      <c r="A21" s="59" t="s">
        <v>683</v>
      </c>
      <c r="B21" s="59" t="s">
        <v>684</v>
      </c>
      <c r="C21" s="59" t="s">
        <v>702</v>
      </c>
      <c r="D21" s="59" t="s">
        <v>206</v>
      </c>
      <c r="E21" s="66">
        <f>入力条件!B8</f>
        <v>3.4047350620067647</v>
      </c>
      <c r="F21" s="59" t="s">
        <v>662</v>
      </c>
      <c r="G21" s="59" t="s">
        <v>660</v>
      </c>
      <c r="H21" s="59" t="s">
        <v>699</v>
      </c>
      <c r="I21" s="59" t="s">
        <v>700</v>
      </c>
      <c r="J21" s="59" t="s">
        <v>701</v>
      </c>
    </row>
    <row r="22" spans="1:10" ht="29.25">
      <c r="A22" s="59" t="s">
        <v>683</v>
      </c>
      <c r="B22" s="59" t="s">
        <v>684</v>
      </c>
      <c r="C22" s="59" t="s">
        <v>703</v>
      </c>
      <c r="D22" s="59" t="s">
        <v>207</v>
      </c>
      <c r="E22" s="66">
        <f>入力条件!B9</f>
        <v>10</v>
      </c>
      <c r="F22" s="59" t="s">
        <v>662</v>
      </c>
      <c r="G22" s="59" t="s">
        <v>660</v>
      </c>
      <c r="H22" s="59" t="s">
        <v>699</v>
      </c>
      <c r="I22" s="59" t="s">
        <v>700</v>
      </c>
      <c r="J22" s="59" t="s">
        <v>704</v>
      </c>
    </row>
    <row r="23" spans="1:10" ht="29.25">
      <c r="A23" s="59" t="s">
        <v>683</v>
      </c>
      <c r="B23" s="59" t="s">
        <v>684</v>
      </c>
      <c r="C23" s="59" t="s">
        <v>705</v>
      </c>
      <c r="D23" s="59" t="s">
        <v>211</v>
      </c>
      <c r="E23" s="66">
        <f>入力条件!B11</f>
        <v>32</v>
      </c>
      <c r="F23" s="59" t="s">
        <v>662</v>
      </c>
      <c r="G23" s="59" t="s">
        <v>660</v>
      </c>
      <c r="H23" s="59" t="s">
        <v>706</v>
      </c>
      <c r="I23" s="59" t="s">
        <v>700</v>
      </c>
      <c r="J23" s="59" t="s">
        <v>707</v>
      </c>
    </row>
    <row r="24" spans="1:10" ht="29.25">
      <c r="A24" s="60" t="s">
        <v>683</v>
      </c>
      <c r="B24" s="60" t="s">
        <v>684</v>
      </c>
      <c r="C24" s="60" t="s">
        <v>708</v>
      </c>
      <c r="D24" s="60" t="s">
        <v>709</v>
      </c>
      <c r="E24" s="65" t="str">
        <f>IF(入力条件!B12="","",入力条件!B12)</f>
        <v/>
      </c>
      <c r="F24" s="60" t="s">
        <v>710</v>
      </c>
      <c r="G24" s="60" t="s">
        <v>687</v>
      </c>
      <c r="H24" s="60" t="s">
        <v>711</v>
      </c>
      <c r="I24" s="60" t="s">
        <v>689</v>
      </c>
      <c r="J24" s="60" t="s">
        <v>712</v>
      </c>
    </row>
    <row r="25" spans="1:10" ht="29.25">
      <c r="A25" s="61" t="s">
        <v>683</v>
      </c>
      <c r="B25" s="61" t="s">
        <v>684</v>
      </c>
      <c r="C25" s="61" t="s">
        <v>713</v>
      </c>
      <c r="D25" s="61" t="s">
        <v>714</v>
      </c>
      <c r="E25" s="67">
        <f>入力条件!B15</f>
        <v>0.70710678118654746</v>
      </c>
      <c r="F25" s="61" t="s">
        <v>715</v>
      </c>
      <c r="G25" s="61" t="s">
        <v>649</v>
      </c>
      <c r="H25" s="61" t="s">
        <v>716</v>
      </c>
      <c r="I25" s="61" t="s">
        <v>689</v>
      </c>
      <c r="J25" s="61" t="s">
        <v>717</v>
      </c>
    </row>
    <row r="26" spans="1:10" ht="15">
      <c r="A26" s="61" t="s">
        <v>683</v>
      </c>
      <c r="B26" s="61" t="s">
        <v>684</v>
      </c>
      <c r="C26" s="61" t="s">
        <v>718</v>
      </c>
      <c r="D26" s="61" t="s">
        <v>719</v>
      </c>
      <c r="E26" s="67">
        <f>入力条件!B16</f>
        <v>0.57735026918962584</v>
      </c>
      <c r="F26" s="61" t="s">
        <v>720</v>
      </c>
      <c r="G26" s="61" t="s">
        <v>649</v>
      </c>
      <c r="H26" s="61" t="s">
        <v>721</v>
      </c>
      <c r="I26" s="61" t="s">
        <v>689</v>
      </c>
      <c r="J26" s="61" t="s">
        <v>722</v>
      </c>
    </row>
    <row r="27" spans="1:10" ht="29.25">
      <c r="A27" s="60" t="s">
        <v>600</v>
      </c>
      <c r="B27" s="60" t="s">
        <v>723</v>
      </c>
      <c r="C27" s="60" t="s">
        <v>724</v>
      </c>
      <c r="D27" s="60" t="s">
        <v>247</v>
      </c>
      <c r="E27" s="65">
        <f>計算詳細!D8</f>
        <v>6.2720371491246754</v>
      </c>
      <c r="F27" s="60" t="s">
        <v>725</v>
      </c>
      <c r="G27" s="60" t="s">
        <v>639</v>
      </c>
      <c r="H27" s="60" t="s">
        <v>726</v>
      </c>
      <c r="I27" s="60" t="s">
        <v>689</v>
      </c>
      <c r="J27" s="60" t="s">
        <v>727</v>
      </c>
    </row>
    <row r="28" spans="1:10" ht="15">
      <c r="A28" s="60" t="s">
        <v>600</v>
      </c>
      <c r="B28" s="60" t="s">
        <v>723</v>
      </c>
      <c r="C28" s="60" t="s">
        <v>728</v>
      </c>
      <c r="D28" s="60" t="s">
        <v>254</v>
      </c>
      <c r="E28" s="65">
        <f>計算詳細!D9</f>
        <v>656.80619435774497</v>
      </c>
      <c r="F28" s="60" t="s">
        <v>729</v>
      </c>
      <c r="G28" s="60" t="s">
        <v>730</v>
      </c>
      <c r="H28" s="60" t="s">
        <v>731</v>
      </c>
      <c r="I28" s="60" t="s">
        <v>689</v>
      </c>
      <c r="J28" s="60" t="s">
        <v>732</v>
      </c>
    </row>
    <row r="29" spans="1:10" ht="29.25">
      <c r="A29" s="60" t="s">
        <v>600</v>
      </c>
      <c r="B29" s="60" t="s">
        <v>723</v>
      </c>
      <c r="C29" s="60" t="s">
        <v>733</v>
      </c>
      <c r="D29" s="60" t="s">
        <v>259</v>
      </c>
      <c r="E29" s="65">
        <f>計算詳細!D10</f>
        <v>656.80619435774497</v>
      </c>
      <c r="F29" s="60" t="s">
        <v>734</v>
      </c>
      <c r="G29" s="60" t="s">
        <v>730</v>
      </c>
      <c r="H29" s="60" t="s">
        <v>735</v>
      </c>
      <c r="I29" s="60" t="s">
        <v>689</v>
      </c>
      <c r="J29" s="60" t="s">
        <v>736</v>
      </c>
    </row>
    <row r="30" spans="1:10" ht="29.25">
      <c r="A30" s="60" t="s">
        <v>600</v>
      </c>
      <c r="B30" s="60" t="s">
        <v>723</v>
      </c>
      <c r="C30" s="60" t="s">
        <v>737</v>
      </c>
      <c r="D30" s="60" t="s">
        <v>264</v>
      </c>
      <c r="E30" s="65">
        <f>計算詳細!D11</f>
        <v>6.2720371491246754</v>
      </c>
      <c r="F30" s="60" t="s">
        <v>738</v>
      </c>
      <c r="G30" s="60" t="s">
        <v>639</v>
      </c>
      <c r="H30" s="60" t="s">
        <v>739</v>
      </c>
      <c r="I30" s="60" t="s">
        <v>689</v>
      </c>
      <c r="J30" s="60" t="s">
        <v>740</v>
      </c>
    </row>
    <row r="31" spans="1:10" ht="29.25">
      <c r="A31" s="60" t="s">
        <v>600</v>
      </c>
      <c r="B31" s="60" t="s">
        <v>723</v>
      </c>
      <c r="C31" s="60" t="s">
        <v>741</v>
      </c>
      <c r="D31" s="60" t="s">
        <v>269</v>
      </c>
      <c r="E31" s="65">
        <f>計算詳細!D12</f>
        <v>6.5680619435774492</v>
      </c>
      <c r="F31" s="60" t="s">
        <v>742</v>
      </c>
      <c r="G31" s="60" t="s">
        <v>743</v>
      </c>
      <c r="H31" s="60" t="s">
        <v>744</v>
      </c>
      <c r="I31" s="60" t="s">
        <v>689</v>
      </c>
      <c r="J31" s="60" t="s">
        <v>745</v>
      </c>
    </row>
    <row r="32" spans="1:10" ht="15">
      <c r="A32" s="59" t="s">
        <v>600</v>
      </c>
      <c r="B32" s="59" t="s">
        <v>723</v>
      </c>
      <c r="C32" s="59" t="s">
        <v>746</v>
      </c>
      <c r="D32" s="59" t="s">
        <v>275</v>
      </c>
      <c r="E32" s="66">
        <f>計算詳細!D13</f>
        <v>5.3628001202525022</v>
      </c>
      <c r="F32" s="59" t="s">
        <v>747</v>
      </c>
      <c r="G32" s="59" t="s">
        <v>655</v>
      </c>
      <c r="H32" s="59" t="s">
        <v>748</v>
      </c>
      <c r="I32" s="59" t="s">
        <v>749</v>
      </c>
      <c r="J32" s="59" t="s">
        <v>750</v>
      </c>
    </row>
    <row r="33" spans="1:10" ht="15">
      <c r="A33" s="60" t="s">
        <v>600</v>
      </c>
      <c r="B33" s="60" t="s">
        <v>723</v>
      </c>
      <c r="C33" s="60" t="s">
        <v>751</v>
      </c>
      <c r="D33" s="60" t="s">
        <v>282</v>
      </c>
      <c r="E33" s="65">
        <f>計算詳細!D14</f>
        <v>30.14204085611707</v>
      </c>
      <c r="F33" s="60" t="s">
        <v>283</v>
      </c>
      <c r="G33" s="60" t="s">
        <v>752</v>
      </c>
      <c r="H33" s="60" t="s">
        <v>753</v>
      </c>
      <c r="I33" s="60" t="s">
        <v>689</v>
      </c>
      <c r="J33" s="60" t="s">
        <v>754</v>
      </c>
    </row>
    <row r="34" spans="1:10" ht="29.25">
      <c r="A34" s="60" t="s">
        <v>600</v>
      </c>
      <c r="B34" s="60" t="s">
        <v>723</v>
      </c>
      <c r="C34" s="60" t="s">
        <v>755</v>
      </c>
      <c r="D34" s="60" t="s">
        <v>309</v>
      </c>
      <c r="E34" s="65">
        <f>計算詳細!D20</f>
        <v>-1.855558956088569</v>
      </c>
      <c r="F34" s="60" t="s">
        <v>756</v>
      </c>
      <c r="G34" s="60" t="s">
        <v>752</v>
      </c>
      <c r="H34" s="60" t="s">
        <v>757</v>
      </c>
      <c r="I34" s="60" t="s">
        <v>689</v>
      </c>
      <c r="J34" s="60" t="s">
        <v>758</v>
      </c>
    </row>
    <row r="35" spans="1:10" ht="29.25">
      <c r="A35" s="60" t="s">
        <v>600</v>
      </c>
      <c r="B35" s="60" t="s">
        <v>723</v>
      </c>
      <c r="C35" s="60" t="s">
        <v>759</v>
      </c>
      <c r="D35" s="60" t="s">
        <v>314</v>
      </c>
      <c r="E35" s="65">
        <f>計算詳細!D21</f>
        <v>20.433820548311036</v>
      </c>
      <c r="F35" s="60" t="s">
        <v>760</v>
      </c>
      <c r="G35" s="60" t="s">
        <v>752</v>
      </c>
      <c r="H35" s="60" t="s">
        <v>761</v>
      </c>
      <c r="I35" s="60" t="s">
        <v>689</v>
      </c>
      <c r="J35" s="60" t="s">
        <v>762</v>
      </c>
    </row>
    <row r="36" spans="1:10" ht="29.25">
      <c r="A36" s="60" t="s">
        <v>763</v>
      </c>
      <c r="B36" s="60" t="s">
        <v>723</v>
      </c>
      <c r="C36" s="60" t="s">
        <v>764</v>
      </c>
      <c r="D36" s="60" t="s">
        <v>304</v>
      </c>
      <c r="E36" s="65">
        <f>計算詳細!D18</f>
        <v>52.20754620661166</v>
      </c>
      <c r="F36" s="60" t="s">
        <v>582</v>
      </c>
      <c r="G36" s="60" t="s">
        <v>765</v>
      </c>
      <c r="H36" s="60" t="s">
        <v>766</v>
      </c>
      <c r="I36" s="60" t="s">
        <v>689</v>
      </c>
      <c r="J36" s="60" t="s">
        <v>767</v>
      </c>
    </row>
    <row r="37" spans="1:10" ht="29.25">
      <c r="A37" s="60" t="s">
        <v>763</v>
      </c>
      <c r="B37" s="60" t="s">
        <v>723</v>
      </c>
      <c r="C37" s="60" t="s">
        <v>768</v>
      </c>
      <c r="D37" s="60" t="s">
        <v>326</v>
      </c>
      <c r="E37" s="65">
        <f>計算詳細!D24</f>
        <v>35.538041078825607</v>
      </c>
      <c r="F37" s="60" t="s">
        <v>585</v>
      </c>
      <c r="G37" s="60" t="s">
        <v>769</v>
      </c>
      <c r="H37" s="60" t="s">
        <v>770</v>
      </c>
      <c r="I37" s="60" t="s">
        <v>689</v>
      </c>
      <c r="J37" s="60" t="s">
        <v>771</v>
      </c>
    </row>
    <row r="38" spans="1:10" ht="29.25">
      <c r="A38" s="60" t="s">
        <v>763</v>
      </c>
      <c r="B38" s="60" t="s">
        <v>723</v>
      </c>
      <c r="C38" s="60" t="s">
        <v>772</v>
      </c>
      <c r="D38" s="60" t="s">
        <v>330</v>
      </c>
      <c r="E38" s="65">
        <f>計算詳細!D25</f>
        <v>35.538041078825607</v>
      </c>
      <c r="F38" s="60" t="s">
        <v>582</v>
      </c>
      <c r="G38" s="60" t="s">
        <v>765</v>
      </c>
      <c r="H38" s="60" t="s">
        <v>773</v>
      </c>
      <c r="I38" s="60" t="s">
        <v>689</v>
      </c>
      <c r="J38" s="60" t="s">
        <v>774</v>
      </c>
    </row>
    <row r="39" spans="1:10" ht="29.25">
      <c r="A39" s="60" t="s">
        <v>763</v>
      </c>
      <c r="B39" s="60" t="s">
        <v>723</v>
      </c>
      <c r="C39" s="60" t="s">
        <v>775</v>
      </c>
      <c r="D39" s="60" t="s">
        <v>348</v>
      </c>
      <c r="E39" s="65">
        <f>計算詳細!D31</f>
        <v>61.831208841054696</v>
      </c>
      <c r="F39" s="60" t="s">
        <v>585</v>
      </c>
      <c r="G39" s="60" t="s">
        <v>769</v>
      </c>
      <c r="H39" s="60" t="s">
        <v>776</v>
      </c>
      <c r="I39" s="60" t="s">
        <v>689</v>
      </c>
      <c r="J39" s="60" t="s">
        <v>777</v>
      </c>
    </row>
    <row r="40" spans="1:10" ht="29.25">
      <c r="A40" s="60" t="s">
        <v>763</v>
      </c>
      <c r="B40" s="60" t="s">
        <v>723</v>
      </c>
      <c r="C40" s="60" t="s">
        <v>778</v>
      </c>
      <c r="D40" s="60" t="s">
        <v>351</v>
      </c>
      <c r="E40" s="65">
        <f>計算詳細!D32</f>
        <v>61.83120884105471</v>
      </c>
      <c r="F40" s="60" t="s">
        <v>582</v>
      </c>
      <c r="G40" s="60" t="s">
        <v>765</v>
      </c>
      <c r="H40" s="60" t="s">
        <v>779</v>
      </c>
      <c r="I40" s="60" t="s">
        <v>689</v>
      </c>
      <c r="J40" s="60" t="s">
        <v>780</v>
      </c>
    </row>
    <row r="41" spans="1:10" ht="29.25">
      <c r="A41" s="60" t="s">
        <v>781</v>
      </c>
      <c r="B41" s="60" t="s">
        <v>723</v>
      </c>
      <c r="C41" s="60" t="s">
        <v>782</v>
      </c>
      <c r="D41" s="60" t="s">
        <v>354</v>
      </c>
      <c r="E41" s="65">
        <f>計算詳細!D33</f>
        <v>30.2</v>
      </c>
      <c r="F41" s="60" t="s">
        <v>783</v>
      </c>
      <c r="G41" s="60" t="s">
        <v>743</v>
      </c>
      <c r="H41" s="60" t="s">
        <v>784</v>
      </c>
      <c r="I41" s="60" t="s">
        <v>689</v>
      </c>
      <c r="J41" s="60" t="s">
        <v>785</v>
      </c>
    </row>
    <row r="42" spans="1:10" ht="29.25">
      <c r="A42" s="60" t="s">
        <v>786</v>
      </c>
      <c r="B42" s="60" t="s">
        <v>723</v>
      </c>
      <c r="C42" s="60" t="s">
        <v>787</v>
      </c>
      <c r="D42" s="60" t="s">
        <v>362</v>
      </c>
      <c r="E42" s="65">
        <f>計算詳細!D35</f>
        <v>108.85095371068257</v>
      </c>
      <c r="F42" s="60" t="s">
        <v>548</v>
      </c>
      <c r="G42" s="60" t="s">
        <v>752</v>
      </c>
      <c r="H42" s="60" t="s">
        <v>788</v>
      </c>
      <c r="I42" s="60" t="s">
        <v>689</v>
      </c>
      <c r="J42" s="60" t="s">
        <v>789</v>
      </c>
    </row>
    <row r="43" spans="1:10" ht="15">
      <c r="A43" s="60" t="s">
        <v>790</v>
      </c>
      <c r="B43" s="60" t="s">
        <v>791</v>
      </c>
      <c r="C43" s="60" t="s">
        <v>698</v>
      </c>
      <c r="D43" s="60" t="s">
        <v>465</v>
      </c>
      <c r="E43" s="65">
        <f>結果概要!B7</f>
        <v>656.80619435774497</v>
      </c>
      <c r="F43" s="60" t="s">
        <v>792</v>
      </c>
      <c r="G43" s="60" t="s">
        <v>730</v>
      </c>
      <c r="H43" s="60" t="s">
        <v>793</v>
      </c>
      <c r="I43" s="60" t="s">
        <v>689</v>
      </c>
      <c r="J43" s="60" t="s">
        <v>794</v>
      </c>
    </row>
    <row r="44" spans="1:10" ht="15">
      <c r="A44" s="60" t="s">
        <v>790</v>
      </c>
      <c r="B44" s="60" t="s">
        <v>791</v>
      </c>
      <c r="C44" s="60" t="s">
        <v>702</v>
      </c>
      <c r="D44" s="60" t="s">
        <v>467</v>
      </c>
      <c r="E44" s="65">
        <f>結果概要!B8</f>
        <v>656.80619435774497</v>
      </c>
      <c r="F44" s="60" t="s">
        <v>795</v>
      </c>
      <c r="G44" s="60" t="s">
        <v>730</v>
      </c>
      <c r="H44" s="60" t="s">
        <v>796</v>
      </c>
      <c r="I44" s="60" t="s">
        <v>689</v>
      </c>
      <c r="J44" s="60" t="s">
        <v>797</v>
      </c>
    </row>
    <row r="45" spans="1:10" ht="15">
      <c r="A45" s="60" t="s">
        <v>790</v>
      </c>
      <c r="B45" s="60" t="s">
        <v>791</v>
      </c>
      <c r="C45" s="60" t="s">
        <v>703</v>
      </c>
      <c r="D45" s="60" t="s">
        <v>469</v>
      </c>
      <c r="E45" s="65">
        <f>結果概要!B9</f>
        <v>9.2886422791138195</v>
      </c>
      <c r="F45" s="60" t="s">
        <v>798</v>
      </c>
      <c r="G45" s="60" t="s">
        <v>765</v>
      </c>
      <c r="H45" s="60" t="s">
        <v>799</v>
      </c>
      <c r="I45" s="60" t="s">
        <v>689</v>
      </c>
      <c r="J45" s="60" t="s">
        <v>800</v>
      </c>
    </row>
    <row r="46" spans="1:10" ht="29.25">
      <c r="A46" s="60" t="s">
        <v>790</v>
      </c>
      <c r="B46" s="60" t="s">
        <v>791</v>
      </c>
      <c r="C46" s="60" t="s">
        <v>801</v>
      </c>
      <c r="D46" s="60" t="s">
        <v>471</v>
      </c>
      <c r="E46" s="65">
        <f>結果概要!B10</f>
        <v>52.20754620661166</v>
      </c>
      <c r="F46" s="60" t="s">
        <v>802</v>
      </c>
      <c r="G46" s="60" t="s">
        <v>769</v>
      </c>
      <c r="H46" s="60" t="s">
        <v>803</v>
      </c>
      <c r="I46" s="60" t="s">
        <v>689</v>
      </c>
      <c r="J46" s="60" t="s">
        <v>804</v>
      </c>
    </row>
    <row r="47" spans="1:10" ht="29.25">
      <c r="A47" s="60" t="s">
        <v>790</v>
      </c>
      <c r="B47" s="60" t="s">
        <v>791</v>
      </c>
      <c r="C47" s="60" t="s">
        <v>705</v>
      </c>
      <c r="D47" s="60" t="s">
        <v>473</v>
      </c>
      <c r="E47" s="65">
        <f>結果概要!B11</f>
        <v>35.538041078825607</v>
      </c>
      <c r="F47" s="60" t="s">
        <v>805</v>
      </c>
      <c r="G47" s="60" t="s">
        <v>769</v>
      </c>
      <c r="H47" s="60" t="s">
        <v>803</v>
      </c>
      <c r="I47" s="60" t="s">
        <v>689</v>
      </c>
      <c r="J47" s="60" t="s">
        <v>806</v>
      </c>
    </row>
    <row r="48" spans="1:10" ht="29.25">
      <c r="A48" s="60" t="s">
        <v>790</v>
      </c>
      <c r="B48" s="60" t="s">
        <v>791</v>
      </c>
      <c r="C48" s="60" t="s">
        <v>708</v>
      </c>
      <c r="D48" s="60" t="s">
        <v>474</v>
      </c>
      <c r="E48" s="65">
        <f>結果概要!B12</f>
        <v>61.83120884105471</v>
      </c>
      <c r="F48" s="60" t="s">
        <v>807</v>
      </c>
      <c r="G48" s="60" t="s">
        <v>769</v>
      </c>
      <c r="H48" s="60" t="s">
        <v>808</v>
      </c>
      <c r="I48" s="60" t="s">
        <v>689</v>
      </c>
      <c r="J48" s="60" t="s">
        <v>809</v>
      </c>
    </row>
    <row r="49" spans="1:10" ht="29.25">
      <c r="A49" s="60" t="s">
        <v>810</v>
      </c>
      <c r="B49" s="60" t="s">
        <v>723</v>
      </c>
      <c r="C49" s="60" t="s">
        <v>811</v>
      </c>
      <c r="D49" s="60" t="s">
        <v>70</v>
      </c>
      <c r="E49" s="65">
        <f>計算詳細!D45</f>
        <v>0.35418180987483577</v>
      </c>
      <c r="F49" s="60" t="s">
        <v>812</v>
      </c>
      <c r="G49" s="60" t="s">
        <v>743</v>
      </c>
      <c r="H49" s="60" t="s">
        <v>813</v>
      </c>
      <c r="I49" s="60" t="s">
        <v>689</v>
      </c>
      <c r="J49" s="60" t="s">
        <v>814</v>
      </c>
    </row>
    <row r="50" spans="1:10" ht="29.25">
      <c r="A50" s="60" t="s">
        <v>810</v>
      </c>
      <c r="B50" s="60" t="s">
        <v>723</v>
      </c>
      <c r="C50" s="60" t="s">
        <v>815</v>
      </c>
      <c r="D50" s="60" t="s">
        <v>387</v>
      </c>
      <c r="E50" s="65">
        <f>計算詳細!D50</f>
        <v>1.1779262442499523</v>
      </c>
      <c r="F50" s="60" t="s">
        <v>816</v>
      </c>
      <c r="G50" s="60" t="s">
        <v>752</v>
      </c>
      <c r="H50" s="60" t="s">
        <v>817</v>
      </c>
      <c r="I50" s="60" t="s">
        <v>689</v>
      </c>
      <c r="J50" s="60" t="s">
        <v>818</v>
      </c>
    </row>
    <row r="51" spans="1:10">
      <c r="A51" s="56"/>
      <c r="B51" s="56"/>
      <c r="C51" s="56"/>
      <c r="D51" s="56"/>
      <c r="E51" s="56"/>
      <c r="F51" s="56"/>
      <c r="G51" s="56"/>
      <c r="H51" s="56"/>
      <c r="I51" s="56"/>
      <c r="J51" s="56"/>
    </row>
    <row r="52" spans="1:10">
      <c r="A52" s="56"/>
      <c r="B52" s="56"/>
      <c r="C52" s="56"/>
      <c r="D52" s="56"/>
      <c r="E52" s="56"/>
      <c r="F52" s="56"/>
      <c r="G52" s="56"/>
      <c r="H52" s="56"/>
      <c r="I52" s="56"/>
      <c r="J52" s="56"/>
    </row>
    <row r="53" spans="1:10">
      <c r="A53" s="88" t="s">
        <v>819</v>
      </c>
      <c r="B53" s="88"/>
      <c r="C53" s="88"/>
      <c r="D53" s="88"/>
      <c r="E53" s="88"/>
      <c r="F53" s="88"/>
      <c r="G53" s="88"/>
      <c r="H53" s="88"/>
      <c r="I53" s="88"/>
      <c r="J53" s="88"/>
    </row>
    <row r="54" spans="1:10">
      <c r="A54" s="88" t="s">
        <v>683</v>
      </c>
      <c r="B54" s="88" t="s">
        <v>684</v>
      </c>
      <c r="C54" s="88" t="s">
        <v>820</v>
      </c>
      <c r="D54" s="88" t="s">
        <v>217</v>
      </c>
      <c r="E54" s="88">
        <f>入力条件!B32</f>
        <v>10</v>
      </c>
      <c r="F54" s="88" t="s">
        <v>662</v>
      </c>
      <c r="G54" s="88" t="s">
        <v>660</v>
      </c>
      <c r="H54" s="88" t="s">
        <v>821</v>
      </c>
      <c r="I54" s="88" t="s">
        <v>700</v>
      </c>
      <c r="J54" s="88" t="s">
        <v>822</v>
      </c>
    </row>
    <row r="55" spans="1:10" ht="28.5">
      <c r="A55" s="56" t="s">
        <v>683</v>
      </c>
      <c r="B55" s="56" t="s">
        <v>684</v>
      </c>
      <c r="C55" s="56" t="s">
        <v>823</v>
      </c>
      <c r="D55" s="56" t="s">
        <v>220</v>
      </c>
      <c r="E55" s="56">
        <f>入力条件!B33</f>
        <v>1000</v>
      </c>
      <c r="F55" s="56" t="s">
        <v>824</v>
      </c>
      <c r="G55" s="56" t="s">
        <v>825</v>
      </c>
      <c r="H55" s="56" t="s">
        <v>826</v>
      </c>
      <c r="I55" s="56" t="s">
        <v>749</v>
      </c>
      <c r="J55" s="56" t="s">
        <v>827</v>
      </c>
    </row>
    <row r="56" spans="1:10">
      <c r="A56" s="56" t="s">
        <v>683</v>
      </c>
      <c r="B56" s="56" t="s">
        <v>684</v>
      </c>
      <c r="C56" s="56" t="s">
        <v>828</v>
      </c>
      <c r="D56" s="56" t="s">
        <v>223</v>
      </c>
      <c r="E56" s="56">
        <f>入力条件!B34</f>
        <v>0.1</v>
      </c>
      <c r="F56" s="56" t="s">
        <v>662</v>
      </c>
      <c r="G56" s="56" t="s">
        <v>660</v>
      </c>
      <c r="H56" s="56" t="s">
        <v>829</v>
      </c>
      <c r="I56" s="56" t="s">
        <v>700</v>
      </c>
      <c r="J56" s="56" t="s">
        <v>830</v>
      </c>
    </row>
    <row r="57" spans="1:10" ht="28.5">
      <c r="A57" s="56" t="s">
        <v>831</v>
      </c>
      <c r="B57" s="56" t="s">
        <v>723</v>
      </c>
      <c r="C57" s="56" t="s">
        <v>832</v>
      </c>
      <c r="D57" s="56" t="s">
        <v>398</v>
      </c>
      <c r="E57" s="56">
        <f>計算詳細!D60</f>
        <v>3.6741214057507987E-3</v>
      </c>
      <c r="F57" s="56" t="s">
        <v>833</v>
      </c>
      <c r="G57" s="56" t="s">
        <v>834</v>
      </c>
      <c r="H57" s="56" t="s">
        <v>835</v>
      </c>
      <c r="I57" s="56" t="s">
        <v>749</v>
      </c>
      <c r="J57" s="56" t="s">
        <v>836</v>
      </c>
    </row>
    <row r="58" spans="1:10" ht="28.5">
      <c r="A58" s="56" t="s">
        <v>831</v>
      </c>
      <c r="B58" s="56" t="s">
        <v>723</v>
      </c>
      <c r="C58" s="56" t="s">
        <v>837</v>
      </c>
      <c r="D58" s="56" t="s">
        <v>414</v>
      </c>
      <c r="E58" s="56">
        <f>計算詳細!D63</f>
        <v>11.074551752247487</v>
      </c>
      <c r="F58" s="56" t="s">
        <v>415</v>
      </c>
      <c r="G58" s="56" t="s">
        <v>838</v>
      </c>
      <c r="H58" s="56" t="s">
        <v>839</v>
      </c>
      <c r="I58" s="56" t="s">
        <v>749</v>
      </c>
      <c r="J58" s="56" t="s">
        <v>840</v>
      </c>
    </row>
    <row r="59" spans="1:10">
      <c r="A59" s="56" t="s">
        <v>831</v>
      </c>
      <c r="B59" s="56" t="s">
        <v>723</v>
      </c>
      <c r="C59" s="56" t="s">
        <v>841</v>
      </c>
      <c r="D59" s="56" t="s">
        <v>428</v>
      </c>
      <c r="E59" s="56">
        <f>計算詳細!D66</f>
        <v>71.389232512555239</v>
      </c>
      <c r="F59" s="56" t="s">
        <v>429</v>
      </c>
      <c r="G59" s="56" t="s">
        <v>842</v>
      </c>
      <c r="H59" s="56" t="s">
        <v>843</v>
      </c>
      <c r="I59" s="56" t="s">
        <v>749</v>
      </c>
      <c r="J59" s="56" t="s">
        <v>844</v>
      </c>
    </row>
    <row r="60" spans="1:10" ht="28.5">
      <c r="A60" s="56" t="s">
        <v>831</v>
      </c>
      <c r="B60" s="56" t="s">
        <v>723</v>
      </c>
      <c r="C60" s="56" t="s">
        <v>845</v>
      </c>
      <c r="D60" s="56" t="s">
        <v>515</v>
      </c>
      <c r="E60" s="56">
        <f>計算詳細!D70</f>
        <v>69.583460853321355</v>
      </c>
      <c r="F60" s="56" t="s">
        <v>846</v>
      </c>
      <c r="G60" s="56" t="s">
        <v>847</v>
      </c>
      <c r="H60" s="56" t="s">
        <v>516</v>
      </c>
      <c r="I60" s="56" t="s">
        <v>749</v>
      </c>
      <c r="J60" s="56" t="s">
        <v>848</v>
      </c>
    </row>
    <row r="61" spans="1:10">
      <c r="A61" s="56" t="s">
        <v>831</v>
      </c>
      <c r="B61" s="56" t="s">
        <v>791</v>
      </c>
      <c r="C61" s="56" t="s">
        <v>849</v>
      </c>
      <c r="D61" s="56" t="s">
        <v>511</v>
      </c>
      <c r="E61" s="56">
        <f>結果概要!B38</f>
        <v>71.389232512555253</v>
      </c>
      <c r="F61" s="56" t="s">
        <v>850</v>
      </c>
      <c r="G61" s="56" t="s">
        <v>842</v>
      </c>
      <c r="H61" s="56" t="s">
        <v>851</v>
      </c>
      <c r="I61" s="56" t="s">
        <v>749</v>
      </c>
      <c r="J61" s="56" t="s">
        <v>852</v>
      </c>
    </row>
    <row r="62" spans="1:10">
      <c r="A62" s="56"/>
      <c r="B62" s="56"/>
      <c r="C62" s="56"/>
      <c r="D62" s="56"/>
      <c r="E62" s="56"/>
      <c r="F62" s="56"/>
      <c r="G62" s="56"/>
      <c r="H62" s="56"/>
      <c r="I62" s="56"/>
      <c r="J62" s="56"/>
    </row>
    <row r="63" spans="1:10">
      <c r="A63" s="56"/>
      <c r="B63" s="56"/>
      <c r="C63" s="56"/>
      <c r="D63" s="56"/>
      <c r="E63" s="56"/>
      <c r="F63" s="56"/>
      <c r="G63" s="56"/>
      <c r="H63" s="56"/>
      <c r="I63" s="56"/>
      <c r="J63" s="56"/>
    </row>
    <row r="64" spans="1:10">
      <c r="A64" s="56"/>
      <c r="B64" s="56"/>
      <c r="C64" s="56"/>
      <c r="D64" s="56"/>
      <c r="E64" s="56"/>
      <c r="F64" s="56"/>
      <c r="G64" s="56"/>
      <c r="H64" s="56"/>
      <c r="I64" s="56"/>
      <c r="J64" s="56"/>
    </row>
    <row r="65" spans="1:10">
      <c r="A65" s="56"/>
      <c r="B65" s="56"/>
      <c r="C65" s="56"/>
      <c r="D65" s="56"/>
      <c r="E65" s="56"/>
      <c r="F65" s="56"/>
      <c r="G65" s="56"/>
      <c r="H65" s="56"/>
      <c r="I65" s="56"/>
      <c r="J65" s="56"/>
    </row>
    <row r="66" spans="1:10">
      <c r="A66" s="56"/>
      <c r="B66" s="56"/>
      <c r="C66" s="56"/>
      <c r="D66" s="56"/>
      <c r="E66" s="56"/>
      <c r="F66" s="56"/>
      <c r="G66" s="56"/>
      <c r="H66" s="56"/>
      <c r="I66" s="56"/>
      <c r="J66" s="56"/>
    </row>
    <row r="67" spans="1:10">
      <c r="A67" s="56"/>
      <c r="B67" s="56"/>
      <c r="C67" s="56"/>
      <c r="D67" s="56"/>
      <c r="E67" s="56"/>
      <c r="F67" s="56"/>
      <c r="G67" s="56"/>
      <c r="H67" s="56"/>
      <c r="I67" s="56"/>
      <c r="J67" s="56"/>
    </row>
    <row r="68" spans="1:10">
      <c r="A68" s="56"/>
      <c r="B68" s="56"/>
      <c r="C68" s="56"/>
      <c r="D68" s="56"/>
      <c r="E68" s="56"/>
      <c r="F68" s="56"/>
      <c r="G68" s="56"/>
      <c r="H68" s="56"/>
      <c r="I68" s="56"/>
      <c r="J68" s="56"/>
    </row>
    <row r="69" spans="1:10">
      <c r="A69" s="56"/>
      <c r="B69" s="56"/>
      <c r="C69" s="56"/>
      <c r="D69" s="56"/>
      <c r="E69" s="56"/>
      <c r="F69" s="56"/>
      <c r="G69" s="56"/>
      <c r="H69" s="56"/>
      <c r="I69" s="56"/>
      <c r="J69" s="56"/>
    </row>
    <row r="70" spans="1:10">
      <c r="A70" s="56"/>
      <c r="B70" s="56"/>
      <c r="C70" s="56"/>
      <c r="D70" s="56"/>
      <c r="E70" s="56"/>
      <c r="F70" s="56"/>
      <c r="G70" s="56"/>
      <c r="H70" s="56"/>
      <c r="I70" s="56"/>
      <c r="J70" s="56"/>
    </row>
    <row r="71" spans="1:10">
      <c r="A71" s="56"/>
      <c r="B71" s="56"/>
      <c r="C71" s="56"/>
      <c r="D71" s="56"/>
      <c r="E71" s="56"/>
      <c r="F71" s="56"/>
      <c r="G71" s="56"/>
      <c r="H71" s="56"/>
      <c r="I71" s="56"/>
      <c r="J71" s="56"/>
    </row>
    <row r="72" spans="1:10">
      <c r="A72" s="56"/>
      <c r="B72" s="56"/>
      <c r="C72" s="56"/>
      <c r="D72" s="56"/>
      <c r="E72" s="56"/>
      <c r="F72" s="56"/>
      <c r="G72" s="56"/>
      <c r="H72" s="56"/>
      <c r="I72" s="56"/>
      <c r="J72" s="56"/>
    </row>
    <row r="73" spans="1:10">
      <c r="A73" s="56"/>
      <c r="B73" s="56"/>
      <c r="C73" s="56"/>
      <c r="D73" s="56"/>
      <c r="E73" s="56"/>
      <c r="F73" s="56"/>
      <c r="G73" s="56"/>
      <c r="H73" s="56"/>
      <c r="I73" s="56"/>
      <c r="J73" s="56"/>
    </row>
    <row r="74" spans="1:10">
      <c r="A74" s="56"/>
      <c r="B74" s="56"/>
      <c r="C74" s="56"/>
      <c r="D74" s="56"/>
      <c r="E74" s="56"/>
      <c r="F74" s="56"/>
      <c r="G74" s="56"/>
      <c r="H74" s="56"/>
      <c r="I74" s="56"/>
      <c r="J74" s="56"/>
    </row>
    <row r="75" spans="1:10">
      <c r="A75" s="56"/>
      <c r="B75" s="56"/>
      <c r="C75" s="56"/>
      <c r="D75" s="56"/>
      <c r="E75" s="56"/>
      <c r="F75" s="56"/>
      <c r="G75" s="56"/>
      <c r="H75" s="56"/>
      <c r="I75" s="56"/>
      <c r="J75" s="56"/>
    </row>
    <row r="76" spans="1:10">
      <c r="A76" s="56"/>
      <c r="B76" s="56"/>
      <c r="C76" s="56"/>
      <c r="D76" s="56"/>
      <c r="E76" s="56"/>
      <c r="F76" s="56"/>
      <c r="G76" s="56"/>
      <c r="H76" s="56"/>
      <c r="I76" s="56"/>
      <c r="J76" s="56"/>
    </row>
    <row r="77" spans="1:10">
      <c r="A77" s="56"/>
      <c r="B77" s="56"/>
      <c r="C77" s="56"/>
      <c r="D77" s="56"/>
      <c r="E77" s="56"/>
      <c r="F77" s="56"/>
      <c r="G77" s="56"/>
      <c r="H77" s="56"/>
      <c r="I77" s="56"/>
      <c r="J77" s="56"/>
    </row>
    <row r="78" spans="1:10">
      <c r="A78" s="56"/>
      <c r="B78" s="56"/>
      <c r="C78" s="56"/>
      <c r="D78" s="56"/>
      <c r="E78" s="56"/>
      <c r="F78" s="56"/>
      <c r="G78" s="56"/>
      <c r="H78" s="56"/>
      <c r="I78" s="56"/>
      <c r="J78" s="56"/>
    </row>
    <row r="79" spans="1:10">
      <c r="A79" s="56"/>
      <c r="B79" s="56"/>
      <c r="C79" s="56"/>
      <c r="D79" s="56"/>
      <c r="E79" s="56"/>
      <c r="F79" s="56"/>
      <c r="G79" s="56"/>
      <c r="H79" s="56"/>
      <c r="I79" s="56"/>
      <c r="J79" s="56"/>
    </row>
    <row r="80" spans="1:10">
      <c r="A80" s="56"/>
      <c r="B80" s="56"/>
      <c r="C80" s="56"/>
      <c r="D80" s="56"/>
      <c r="E80" s="56"/>
      <c r="F80" s="56"/>
      <c r="G80" s="56"/>
      <c r="H80" s="56"/>
      <c r="I80" s="56"/>
      <c r="J80" s="56"/>
    </row>
    <row r="81" spans="1:10">
      <c r="A81" s="56"/>
      <c r="B81" s="56"/>
      <c r="C81" s="56"/>
      <c r="D81" s="56"/>
      <c r="E81" s="56"/>
      <c r="F81" s="56"/>
      <c r="G81" s="56"/>
      <c r="H81" s="56"/>
      <c r="I81" s="56"/>
      <c r="J81" s="56"/>
    </row>
    <row r="82" spans="1:10">
      <c r="A82" s="56"/>
      <c r="B82" s="56"/>
      <c r="C82" s="56"/>
      <c r="D82" s="56"/>
      <c r="E82" s="56"/>
      <c r="F82" s="56"/>
      <c r="G82" s="56"/>
      <c r="H82" s="56"/>
      <c r="I82" s="56"/>
      <c r="J82" s="56"/>
    </row>
    <row r="83" spans="1:10">
      <c r="A83" s="56"/>
      <c r="B83" s="56"/>
      <c r="C83" s="56"/>
      <c r="D83" s="56"/>
      <c r="E83" s="56"/>
      <c r="F83" s="56"/>
      <c r="G83" s="56"/>
      <c r="H83" s="56"/>
      <c r="I83" s="56"/>
      <c r="J83" s="56"/>
    </row>
    <row r="84" spans="1:10">
      <c r="A84" s="56"/>
      <c r="B84" s="56"/>
      <c r="C84" s="56"/>
      <c r="D84" s="56"/>
      <c r="E84" s="56"/>
      <c r="F84" s="56"/>
      <c r="G84" s="56"/>
      <c r="H84" s="56"/>
      <c r="I84" s="56"/>
      <c r="J84" s="56"/>
    </row>
    <row r="85" spans="1:10">
      <c r="A85" s="56"/>
      <c r="B85" s="56"/>
      <c r="C85" s="56"/>
      <c r="D85" s="56"/>
      <c r="E85" s="56"/>
      <c r="F85" s="56"/>
      <c r="G85" s="56"/>
      <c r="H85" s="56"/>
      <c r="I85" s="56"/>
      <c r="J85" s="56"/>
    </row>
    <row r="86" spans="1:10">
      <c r="A86" s="56"/>
      <c r="B86" s="56"/>
      <c r="C86" s="56"/>
      <c r="D86" s="56"/>
      <c r="E86" s="56"/>
      <c r="F86" s="56"/>
      <c r="G86" s="56"/>
      <c r="H86" s="56"/>
      <c r="I86" s="56"/>
      <c r="J86" s="56"/>
    </row>
    <row r="87" spans="1:10">
      <c r="A87" s="56"/>
      <c r="B87" s="56"/>
      <c r="C87" s="56"/>
      <c r="D87" s="56"/>
      <c r="E87" s="56"/>
      <c r="F87" s="56"/>
      <c r="G87" s="56"/>
      <c r="H87" s="56"/>
      <c r="I87" s="56"/>
      <c r="J87" s="56"/>
    </row>
    <row r="88" spans="1:10">
      <c r="A88" s="56"/>
      <c r="B88" s="56"/>
      <c r="C88" s="56"/>
      <c r="D88" s="56"/>
      <c r="E88" s="56"/>
      <c r="F88" s="56"/>
      <c r="G88" s="56"/>
      <c r="H88" s="56"/>
      <c r="I88" s="56"/>
      <c r="J88" s="56"/>
    </row>
    <row r="89" spans="1:10">
      <c r="A89" s="56"/>
      <c r="B89" s="56"/>
      <c r="C89" s="56"/>
      <c r="D89" s="56"/>
      <c r="E89" s="56"/>
      <c r="F89" s="56"/>
      <c r="G89" s="56"/>
      <c r="H89" s="56"/>
      <c r="I89" s="56"/>
      <c r="J89" s="56"/>
    </row>
    <row r="90" spans="1:10">
      <c r="A90" s="56"/>
      <c r="B90" s="56"/>
      <c r="C90" s="56"/>
      <c r="D90" s="56"/>
      <c r="E90" s="56"/>
      <c r="F90" s="56"/>
      <c r="G90" s="56"/>
      <c r="H90" s="56"/>
      <c r="I90" s="56"/>
      <c r="J90" s="56"/>
    </row>
  </sheetData>
  <mergeCells count="3">
    <mergeCell ref="A1:J1"/>
    <mergeCell ref="B3:J5"/>
    <mergeCell ref="A53:J54"/>
  </mergeCells>
  <phoneticPr fontId="8"/>
  <conditionalFormatting sqref="I17:I50">
    <cfRule type="expression" dxfId="2" priority="1">
      <formula>I17="一致"</formula>
    </cfRule>
    <cfRule type="expression" dxfId="1" priority="2">
      <formula>I17="整合"</formula>
    </cfRule>
    <cfRule type="expression" dxfId="0" priority="3">
      <formula>I17="対象外"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5"/>
  <sheetViews>
    <sheetView workbookViewId="0"/>
  </sheetViews>
  <sheetFormatPr defaultRowHeight="14.25"/>
  <cols>
    <col min="1" max="1" width="10" customWidth="1"/>
    <col min="2" max="2" width="12" customWidth="1"/>
    <col min="3" max="3" width="9" customWidth="1"/>
    <col min="4" max="4" width="28" customWidth="1"/>
    <col min="5" max="5" width="14" customWidth="1"/>
    <col min="6" max="6" width="28" customWidth="1"/>
    <col min="7" max="7" width="26" customWidth="1"/>
    <col min="8" max="8" width="14" customWidth="1"/>
    <col min="9" max="9" width="34" customWidth="1"/>
    <col min="10" max="10" width="38" customWidth="1"/>
    <col min="11" max="11" width="10" customWidth="1"/>
    <col min="12" max="12" width="22" customWidth="1"/>
    <col min="13" max="13" width="10" customWidth="1"/>
  </cols>
  <sheetData>
    <row r="1" spans="1:13" ht="18">
      <c r="A1" s="89" t="s">
        <v>853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3" spans="1:13">
      <c r="A3" s="90" t="s">
        <v>854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5" spans="1:13" ht="30">
      <c r="A5" s="68" t="s">
        <v>628</v>
      </c>
      <c r="B5" s="68" t="s">
        <v>629</v>
      </c>
      <c r="C5" s="68" t="s">
        <v>630</v>
      </c>
      <c r="D5" s="68" t="s">
        <v>855</v>
      </c>
      <c r="E5" s="68" t="s">
        <v>856</v>
      </c>
      <c r="F5" s="68" t="s">
        <v>632</v>
      </c>
      <c r="G5" s="68" t="s">
        <v>46</v>
      </c>
    </row>
    <row r="6" spans="1:13" ht="57">
      <c r="A6" s="56" t="s">
        <v>633</v>
      </c>
      <c r="B6" s="56" t="s">
        <v>634</v>
      </c>
      <c r="C6" s="56" t="s">
        <v>635</v>
      </c>
      <c r="D6" s="56" t="s">
        <v>857</v>
      </c>
      <c r="E6" s="56" t="s">
        <v>858</v>
      </c>
      <c r="F6" s="56" t="s">
        <v>637</v>
      </c>
      <c r="G6" s="56" t="s">
        <v>859</v>
      </c>
    </row>
    <row r="7" spans="1:13" ht="199.5">
      <c r="A7" s="56" t="s">
        <v>639</v>
      </c>
      <c r="B7" s="56" t="s">
        <v>634</v>
      </c>
      <c r="C7" s="56" t="s">
        <v>640</v>
      </c>
      <c r="D7" s="56" t="s">
        <v>860</v>
      </c>
      <c r="E7" s="56" t="s">
        <v>861</v>
      </c>
      <c r="F7" s="56" t="s">
        <v>862</v>
      </c>
      <c r="G7" s="56" t="s">
        <v>863</v>
      </c>
    </row>
    <row r="8" spans="1:13" ht="128.25">
      <c r="A8" s="56" t="s">
        <v>644</v>
      </c>
      <c r="B8" s="56" t="s">
        <v>634</v>
      </c>
      <c r="C8" s="56" t="s">
        <v>645</v>
      </c>
      <c r="D8" s="56" t="s">
        <v>646</v>
      </c>
      <c r="E8" s="56" t="s">
        <v>864</v>
      </c>
      <c r="F8" s="56" t="s">
        <v>647</v>
      </c>
      <c r="G8" s="56" t="s">
        <v>865</v>
      </c>
    </row>
    <row r="9" spans="1:13" ht="85.5">
      <c r="A9" s="56" t="s">
        <v>649</v>
      </c>
      <c r="B9" s="56" t="s">
        <v>650</v>
      </c>
      <c r="C9" s="56" t="s">
        <v>866</v>
      </c>
      <c r="D9" s="56" t="s">
        <v>867</v>
      </c>
      <c r="E9" s="56" t="s">
        <v>868</v>
      </c>
      <c r="F9" s="56" t="s">
        <v>869</v>
      </c>
      <c r="G9" s="56" t="s">
        <v>870</v>
      </c>
    </row>
    <row r="10" spans="1:13" ht="99.75">
      <c r="A10" s="56" t="s">
        <v>655</v>
      </c>
      <c r="B10" s="56" t="s">
        <v>42</v>
      </c>
      <c r="C10" s="56" t="s">
        <v>656</v>
      </c>
      <c r="D10" s="56" t="s">
        <v>871</v>
      </c>
      <c r="E10" s="56" t="s">
        <v>872</v>
      </c>
      <c r="F10" s="56" t="s">
        <v>658</v>
      </c>
      <c r="G10" s="56" t="s">
        <v>873</v>
      </c>
    </row>
    <row r="11" spans="1:13" ht="28.5">
      <c r="A11" s="56" t="s">
        <v>660</v>
      </c>
      <c r="B11" s="56" t="s">
        <v>661</v>
      </c>
      <c r="C11" s="56" t="s">
        <v>662</v>
      </c>
      <c r="D11" s="56" t="s">
        <v>874</v>
      </c>
      <c r="E11" s="56" t="s">
        <v>875</v>
      </c>
      <c r="F11" s="56" t="s">
        <v>658</v>
      </c>
      <c r="G11" s="56" t="s">
        <v>876</v>
      </c>
    </row>
    <row r="12" spans="1:13">
      <c r="A12" s="91" t="s">
        <v>877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</row>
    <row r="13" spans="1:13" ht="30">
      <c r="A13" s="68" t="s">
        <v>675</v>
      </c>
      <c r="B13" s="68" t="s">
        <v>676</v>
      </c>
      <c r="C13" s="68" t="s">
        <v>677</v>
      </c>
      <c r="D13" s="68" t="s">
        <v>678</v>
      </c>
      <c r="E13" s="68" t="s">
        <v>679</v>
      </c>
      <c r="F13" s="68" t="s">
        <v>878</v>
      </c>
      <c r="G13" s="68" t="s">
        <v>879</v>
      </c>
      <c r="H13" s="68" t="s">
        <v>628</v>
      </c>
      <c r="I13" s="68" t="s">
        <v>856</v>
      </c>
      <c r="J13" s="68" t="s">
        <v>880</v>
      </c>
      <c r="K13" s="68" t="s">
        <v>682</v>
      </c>
      <c r="L13" s="68" t="s">
        <v>46</v>
      </c>
      <c r="M13" s="68" t="s">
        <v>881</v>
      </c>
    </row>
    <row r="14" spans="1:13" ht="114">
      <c r="A14" s="69" t="s">
        <v>683</v>
      </c>
      <c r="B14" s="69" t="s">
        <v>684</v>
      </c>
      <c r="C14" s="69" t="s">
        <v>685</v>
      </c>
      <c r="D14" s="69" t="s">
        <v>196</v>
      </c>
      <c r="E14" s="69">
        <f>入力条件!B4</f>
        <v>6.26</v>
      </c>
      <c r="F14" s="69" t="s">
        <v>661</v>
      </c>
      <c r="G14" s="69" t="s">
        <v>882</v>
      </c>
      <c r="H14" s="69" t="s">
        <v>687</v>
      </c>
      <c r="I14" s="69" t="s">
        <v>883</v>
      </c>
      <c r="J14" s="69" t="s">
        <v>884</v>
      </c>
      <c r="K14" s="69" t="s">
        <v>689</v>
      </c>
      <c r="L14" s="69" t="s">
        <v>885</v>
      </c>
      <c r="M14" s="73" t="s">
        <v>886</v>
      </c>
    </row>
    <row r="15" spans="1:13" ht="114">
      <c r="A15" s="69" t="s">
        <v>683</v>
      </c>
      <c r="B15" s="69" t="s">
        <v>684</v>
      </c>
      <c r="C15" s="69" t="s">
        <v>691</v>
      </c>
      <c r="D15" s="69" t="s">
        <v>199</v>
      </c>
      <c r="E15" s="69">
        <f>入力条件!B5</f>
        <v>2.3E-2</v>
      </c>
      <c r="F15" s="69" t="s">
        <v>661</v>
      </c>
      <c r="G15" s="69" t="s">
        <v>887</v>
      </c>
      <c r="H15" s="69" t="s">
        <v>687</v>
      </c>
      <c r="I15" s="69" t="s">
        <v>888</v>
      </c>
      <c r="J15" s="69" t="s">
        <v>884</v>
      </c>
      <c r="K15" s="69" t="s">
        <v>689</v>
      </c>
      <c r="L15" s="69" t="s">
        <v>889</v>
      </c>
      <c r="M15" s="73" t="s">
        <v>886</v>
      </c>
    </row>
    <row r="16" spans="1:13" ht="114">
      <c r="A16" s="69" t="s">
        <v>683</v>
      </c>
      <c r="B16" s="69" t="s">
        <v>684</v>
      </c>
      <c r="C16" s="69" t="s">
        <v>695</v>
      </c>
      <c r="D16" s="69" t="s">
        <v>201</v>
      </c>
      <c r="E16" s="69">
        <f>入力条件!B6</f>
        <v>8.8699999999999992</v>
      </c>
      <c r="F16" s="69" t="s">
        <v>661</v>
      </c>
      <c r="G16" s="69" t="s">
        <v>696</v>
      </c>
      <c r="H16" s="69" t="s">
        <v>687</v>
      </c>
      <c r="I16" s="69" t="s">
        <v>890</v>
      </c>
      <c r="J16" s="69" t="s">
        <v>884</v>
      </c>
      <c r="K16" s="69" t="s">
        <v>689</v>
      </c>
      <c r="L16" s="69" t="s">
        <v>891</v>
      </c>
      <c r="M16" s="73" t="s">
        <v>886</v>
      </c>
    </row>
    <row r="17" spans="1:13" ht="28.5">
      <c r="A17" s="70" t="s">
        <v>683</v>
      </c>
      <c r="B17" s="70" t="s">
        <v>684</v>
      </c>
      <c r="C17" s="70" t="s">
        <v>698</v>
      </c>
      <c r="D17" s="70" t="s">
        <v>204</v>
      </c>
      <c r="E17" s="70">
        <f>入力条件!B7</f>
        <v>6.8094701240135294</v>
      </c>
      <c r="F17" s="70" t="s">
        <v>661</v>
      </c>
      <c r="G17" s="70" t="s">
        <v>662</v>
      </c>
      <c r="H17" s="70" t="s">
        <v>660</v>
      </c>
      <c r="I17" s="70" t="s">
        <v>892</v>
      </c>
      <c r="J17" s="70" t="s">
        <v>658</v>
      </c>
      <c r="K17" s="70" t="s">
        <v>700</v>
      </c>
      <c r="L17" s="70" t="s">
        <v>664</v>
      </c>
      <c r="M17" s="73" t="s">
        <v>886</v>
      </c>
    </row>
    <row r="18" spans="1:13">
      <c r="A18" s="70" t="s">
        <v>683</v>
      </c>
      <c r="B18" s="70" t="s">
        <v>684</v>
      </c>
      <c r="C18" s="70" t="s">
        <v>702</v>
      </c>
      <c r="D18" s="70" t="s">
        <v>206</v>
      </c>
      <c r="E18" s="70">
        <f>入力条件!B8</f>
        <v>3.4047350620067647</v>
      </c>
      <c r="F18" s="70" t="s">
        <v>661</v>
      </c>
      <c r="G18" s="70" t="s">
        <v>662</v>
      </c>
      <c r="H18" s="70" t="s">
        <v>660</v>
      </c>
      <c r="I18" s="70" t="s">
        <v>892</v>
      </c>
      <c r="J18" s="70" t="s">
        <v>658</v>
      </c>
      <c r="K18" s="70" t="s">
        <v>700</v>
      </c>
      <c r="L18" s="70" t="s">
        <v>893</v>
      </c>
      <c r="M18" s="73" t="s">
        <v>886</v>
      </c>
    </row>
    <row r="19" spans="1:13" ht="28.5">
      <c r="A19" s="70" t="s">
        <v>683</v>
      </c>
      <c r="B19" s="70" t="s">
        <v>684</v>
      </c>
      <c r="C19" s="70" t="s">
        <v>703</v>
      </c>
      <c r="D19" s="70" t="s">
        <v>207</v>
      </c>
      <c r="E19" s="70">
        <f>入力条件!B9</f>
        <v>10</v>
      </c>
      <c r="F19" s="70" t="s">
        <v>661</v>
      </c>
      <c r="G19" s="70" t="s">
        <v>662</v>
      </c>
      <c r="H19" s="70" t="s">
        <v>660</v>
      </c>
      <c r="I19" s="70" t="s">
        <v>892</v>
      </c>
      <c r="J19" s="70" t="s">
        <v>658</v>
      </c>
      <c r="K19" s="70" t="s">
        <v>700</v>
      </c>
      <c r="L19" s="70" t="s">
        <v>894</v>
      </c>
      <c r="M19" s="73" t="s">
        <v>886</v>
      </c>
    </row>
    <row r="20" spans="1:13">
      <c r="A20" s="70" t="s">
        <v>683</v>
      </c>
      <c r="B20" s="70" t="s">
        <v>684</v>
      </c>
      <c r="C20" s="70" t="s">
        <v>801</v>
      </c>
      <c r="D20" s="70" t="s">
        <v>209</v>
      </c>
      <c r="E20" s="70">
        <f>入力条件!B10</f>
        <v>1</v>
      </c>
      <c r="F20" s="70" t="s">
        <v>661</v>
      </c>
      <c r="G20" s="70" t="s">
        <v>662</v>
      </c>
      <c r="H20" s="70" t="s">
        <v>660</v>
      </c>
      <c r="I20" s="70" t="s">
        <v>892</v>
      </c>
      <c r="J20" s="70" t="s">
        <v>658</v>
      </c>
      <c r="K20" s="70" t="s">
        <v>700</v>
      </c>
      <c r="L20" s="70" t="s">
        <v>895</v>
      </c>
      <c r="M20" s="73" t="s">
        <v>886</v>
      </c>
    </row>
    <row r="21" spans="1:13">
      <c r="A21" s="70" t="s">
        <v>683</v>
      </c>
      <c r="B21" s="70" t="s">
        <v>684</v>
      </c>
      <c r="C21" s="70" t="s">
        <v>705</v>
      </c>
      <c r="D21" s="70" t="s">
        <v>211</v>
      </c>
      <c r="E21" s="70">
        <f>入力条件!B11</f>
        <v>32</v>
      </c>
      <c r="F21" s="70" t="s">
        <v>661</v>
      </c>
      <c r="G21" s="70" t="s">
        <v>662</v>
      </c>
      <c r="H21" s="70" t="s">
        <v>660</v>
      </c>
      <c r="I21" s="70" t="s">
        <v>892</v>
      </c>
      <c r="J21" s="70" t="s">
        <v>658</v>
      </c>
      <c r="K21" s="70" t="s">
        <v>700</v>
      </c>
      <c r="L21" s="70" t="s">
        <v>896</v>
      </c>
      <c r="M21" s="73" t="s">
        <v>886</v>
      </c>
    </row>
    <row r="22" spans="1:13">
      <c r="A22" s="70" t="s">
        <v>683</v>
      </c>
      <c r="B22" s="70" t="s">
        <v>684</v>
      </c>
      <c r="C22" s="70" t="s">
        <v>897</v>
      </c>
      <c r="D22" s="70" t="s">
        <v>26</v>
      </c>
      <c r="E22" s="70">
        <f>入力条件!B26</f>
        <v>3</v>
      </c>
      <c r="F22" s="70" t="s">
        <v>661</v>
      </c>
      <c r="G22" s="70" t="s">
        <v>662</v>
      </c>
      <c r="H22" s="70" t="s">
        <v>660</v>
      </c>
      <c r="I22" s="70" t="s">
        <v>892</v>
      </c>
      <c r="J22" s="70" t="s">
        <v>658</v>
      </c>
      <c r="K22" s="70" t="s">
        <v>700</v>
      </c>
      <c r="L22" s="70" t="s">
        <v>898</v>
      </c>
      <c r="M22" s="73" t="s">
        <v>886</v>
      </c>
    </row>
    <row r="23" spans="1:13">
      <c r="A23" s="70" t="s">
        <v>683</v>
      </c>
      <c r="B23" s="70" t="s">
        <v>684</v>
      </c>
      <c r="C23" s="70" t="s">
        <v>899</v>
      </c>
      <c r="D23" s="70" t="s">
        <v>29</v>
      </c>
      <c r="E23" s="70">
        <f>入力条件!B27</f>
        <v>1</v>
      </c>
      <c r="F23" s="70" t="s">
        <v>661</v>
      </c>
      <c r="G23" s="70" t="s">
        <v>662</v>
      </c>
      <c r="H23" s="70" t="s">
        <v>660</v>
      </c>
      <c r="I23" s="70" t="s">
        <v>892</v>
      </c>
      <c r="J23" s="70" t="s">
        <v>658</v>
      </c>
      <c r="K23" s="70" t="s">
        <v>700</v>
      </c>
      <c r="L23" s="70" t="s">
        <v>898</v>
      </c>
      <c r="M23" s="73" t="s">
        <v>886</v>
      </c>
    </row>
    <row r="24" spans="1:13">
      <c r="A24" s="70" t="s">
        <v>683</v>
      </c>
      <c r="B24" s="70" t="s">
        <v>684</v>
      </c>
      <c r="C24" s="70" t="s">
        <v>900</v>
      </c>
      <c r="D24" s="70" t="s">
        <v>32</v>
      </c>
      <c r="E24" s="70">
        <f>入力条件!B28</f>
        <v>0.01</v>
      </c>
      <c r="F24" s="70" t="s">
        <v>661</v>
      </c>
      <c r="G24" s="70" t="s">
        <v>662</v>
      </c>
      <c r="H24" s="70" t="s">
        <v>660</v>
      </c>
      <c r="I24" s="70" t="s">
        <v>892</v>
      </c>
      <c r="J24" s="70" t="s">
        <v>658</v>
      </c>
      <c r="K24" s="70" t="s">
        <v>700</v>
      </c>
      <c r="L24" s="70" t="s">
        <v>901</v>
      </c>
      <c r="M24" s="73" t="s">
        <v>886</v>
      </c>
    </row>
    <row r="25" spans="1:13">
      <c r="A25" s="70" t="s">
        <v>683</v>
      </c>
      <c r="B25" s="70" t="s">
        <v>684</v>
      </c>
      <c r="C25" s="70" t="s">
        <v>902</v>
      </c>
      <c r="D25" s="70" t="s">
        <v>35</v>
      </c>
      <c r="E25" s="70">
        <f>入力条件!B29</f>
        <v>61.83120884105471</v>
      </c>
      <c r="F25" s="70" t="s">
        <v>661</v>
      </c>
      <c r="G25" s="70" t="s">
        <v>662</v>
      </c>
      <c r="H25" s="70" t="s">
        <v>660</v>
      </c>
      <c r="I25" s="70" t="s">
        <v>892</v>
      </c>
      <c r="J25" s="70" t="s">
        <v>658</v>
      </c>
      <c r="K25" s="70" t="s">
        <v>700</v>
      </c>
      <c r="L25" s="70" t="s">
        <v>903</v>
      </c>
      <c r="M25" s="73" t="s">
        <v>886</v>
      </c>
    </row>
    <row r="26" spans="1:13" ht="114">
      <c r="A26" s="69" t="s">
        <v>683</v>
      </c>
      <c r="B26" s="69" t="s">
        <v>684</v>
      </c>
      <c r="C26" s="69" t="s">
        <v>708</v>
      </c>
      <c r="D26" s="69" t="s">
        <v>709</v>
      </c>
      <c r="E26" s="69">
        <f>入力条件!B12</f>
        <v>0</v>
      </c>
      <c r="F26" s="69" t="s">
        <v>661</v>
      </c>
      <c r="G26" s="69" t="s">
        <v>904</v>
      </c>
      <c r="H26" s="69" t="s">
        <v>687</v>
      </c>
      <c r="I26" s="69" t="s">
        <v>905</v>
      </c>
      <c r="J26" s="69" t="s">
        <v>884</v>
      </c>
      <c r="K26" s="69" t="s">
        <v>689</v>
      </c>
      <c r="L26" s="69" t="s">
        <v>712</v>
      </c>
      <c r="M26" s="73" t="s">
        <v>886</v>
      </c>
    </row>
    <row r="27" spans="1:13" ht="28.5">
      <c r="A27" s="71" t="s">
        <v>683</v>
      </c>
      <c r="B27" s="71" t="s">
        <v>684</v>
      </c>
      <c r="C27" s="71" t="s">
        <v>906</v>
      </c>
      <c r="D27" s="71" t="s">
        <v>5</v>
      </c>
      <c r="E27" s="71">
        <f>入力条件!B13</f>
        <v>0</v>
      </c>
      <c r="F27" s="71" t="s">
        <v>907</v>
      </c>
      <c r="G27" s="71" t="s">
        <v>908</v>
      </c>
      <c r="H27" s="71" t="s">
        <v>649</v>
      </c>
      <c r="I27" s="71" t="s">
        <v>909</v>
      </c>
      <c r="J27" s="71" t="s">
        <v>869</v>
      </c>
      <c r="K27" s="71" t="s">
        <v>749</v>
      </c>
      <c r="L27" s="71" t="s">
        <v>910</v>
      </c>
      <c r="M27" s="73" t="s">
        <v>886</v>
      </c>
    </row>
    <row r="28" spans="1:13" ht="28.5">
      <c r="A28" s="71" t="s">
        <v>683</v>
      </c>
      <c r="B28" s="71" t="s">
        <v>684</v>
      </c>
      <c r="C28" s="71" t="s">
        <v>713</v>
      </c>
      <c r="D28" s="71" t="s">
        <v>9</v>
      </c>
      <c r="E28" s="71">
        <f>入力条件!B15</f>
        <v>0.70710678118654746</v>
      </c>
      <c r="F28" s="71" t="s">
        <v>716</v>
      </c>
      <c r="G28" s="71" t="s">
        <v>715</v>
      </c>
      <c r="H28" s="71" t="s">
        <v>649</v>
      </c>
      <c r="I28" s="71" t="s">
        <v>911</v>
      </c>
      <c r="J28" s="71" t="s">
        <v>869</v>
      </c>
      <c r="K28" s="71" t="s">
        <v>689</v>
      </c>
      <c r="L28" s="71" t="s">
        <v>912</v>
      </c>
      <c r="M28" s="73" t="s">
        <v>886</v>
      </c>
    </row>
    <row r="29" spans="1:13" ht="28.5">
      <c r="A29" s="71" t="s">
        <v>683</v>
      </c>
      <c r="B29" s="71" t="s">
        <v>684</v>
      </c>
      <c r="C29" s="71" t="s">
        <v>718</v>
      </c>
      <c r="D29" s="71" t="s">
        <v>11</v>
      </c>
      <c r="E29" s="71">
        <f>入力条件!B16</f>
        <v>0.57735026918962584</v>
      </c>
      <c r="F29" s="71" t="s">
        <v>721</v>
      </c>
      <c r="G29" s="71" t="s">
        <v>720</v>
      </c>
      <c r="H29" s="71" t="s">
        <v>913</v>
      </c>
      <c r="I29" s="71" t="s">
        <v>914</v>
      </c>
      <c r="J29" s="71" t="s">
        <v>869</v>
      </c>
      <c r="K29" s="71" t="s">
        <v>749</v>
      </c>
      <c r="L29" s="71" t="s">
        <v>915</v>
      </c>
      <c r="M29" s="73" t="s">
        <v>886</v>
      </c>
    </row>
    <row r="30" spans="1:13" ht="28.5">
      <c r="A30" s="72" t="s">
        <v>600</v>
      </c>
      <c r="B30" s="72" t="s">
        <v>723</v>
      </c>
      <c r="C30" s="72" t="s">
        <v>916</v>
      </c>
      <c r="D30" s="72" t="s">
        <v>229</v>
      </c>
      <c r="E30" s="72">
        <f>計算詳細!D4</f>
        <v>9.6300450019543362</v>
      </c>
      <c r="F30" s="72" t="s">
        <v>917</v>
      </c>
      <c r="G30" s="72" t="s">
        <v>918</v>
      </c>
      <c r="H30" s="72" t="s">
        <v>655</v>
      </c>
      <c r="I30" s="72" t="s">
        <v>919</v>
      </c>
      <c r="J30" s="72" t="s">
        <v>658</v>
      </c>
      <c r="K30" s="72" t="s">
        <v>749</v>
      </c>
      <c r="L30" s="72" t="s">
        <v>233</v>
      </c>
      <c r="M30" s="73" t="s">
        <v>886</v>
      </c>
    </row>
    <row r="31" spans="1:13">
      <c r="A31" s="72" t="s">
        <v>600</v>
      </c>
      <c r="B31" s="72" t="s">
        <v>723</v>
      </c>
      <c r="C31" s="72" t="s">
        <v>920</v>
      </c>
      <c r="D31" s="72" t="s">
        <v>234</v>
      </c>
      <c r="E31" s="72">
        <f>計算詳細!D5</f>
        <v>4.8150225009771681</v>
      </c>
      <c r="F31" s="72" t="s">
        <v>921</v>
      </c>
      <c r="G31" s="72" t="s">
        <v>918</v>
      </c>
      <c r="H31" s="72" t="s">
        <v>655</v>
      </c>
      <c r="I31" s="72" t="s">
        <v>919</v>
      </c>
      <c r="J31" s="72" t="s">
        <v>658</v>
      </c>
      <c r="K31" s="72" t="s">
        <v>749</v>
      </c>
      <c r="L31" s="72" t="s">
        <v>233</v>
      </c>
      <c r="M31" s="73" t="s">
        <v>886</v>
      </c>
    </row>
    <row r="32" spans="1:13">
      <c r="A32" s="72" t="s">
        <v>600</v>
      </c>
      <c r="B32" s="72" t="s">
        <v>723</v>
      </c>
      <c r="C32" s="72" t="s">
        <v>922</v>
      </c>
      <c r="D32" s="72" t="s">
        <v>238</v>
      </c>
      <c r="E32" s="72">
        <f>計算詳細!D6</f>
        <v>1.0471975511965976</v>
      </c>
      <c r="F32" s="72" t="s">
        <v>923</v>
      </c>
      <c r="G32" s="72" t="s">
        <v>924</v>
      </c>
      <c r="H32" s="72" t="s">
        <v>655</v>
      </c>
      <c r="I32" s="72" t="s">
        <v>925</v>
      </c>
      <c r="J32" s="72" t="s">
        <v>658</v>
      </c>
      <c r="K32" s="72" t="s">
        <v>749</v>
      </c>
      <c r="L32" s="72" t="s">
        <v>926</v>
      </c>
      <c r="M32" s="73" t="s">
        <v>886</v>
      </c>
    </row>
    <row r="33" spans="1:13">
      <c r="A33" s="72" t="s">
        <v>600</v>
      </c>
      <c r="B33" s="72" t="s">
        <v>723</v>
      </c>
      <c r="C33" s="72" t="s">
        <v>927</v>
      </c>
      <c r="D33" s="72" t="s">
        <v>242</v>
      </c>
      <c r="E33" s="72">
        <f>計算詳細!D7</f>
        <v>33.510321638291124</v>
      </c>
      <c r="F33" s="72" t="s">
        <v>928</v>
      </c>
      <c r="G33" s="72" t="s">
        <v>929</v>
      </c>
      <c r="H33" s="72" t="s">
        <v>838</v>
      </c>
      <c r="I33" s="72" t="s">
        <v>930</v>
      </c>
      <c r="J33" s="72" t="s">
        <v>658</v>
      </c>
      <c r="K33" s="72" t="s">
        <v>749</v>
      </c>
      <c r="L33" s="72" t="s">
        <v>931</v>
      </c>
      <c r="M33" s="73" t="s">
        <v>886</v>
      </c>
    </row>
    <row r="34" spans="1:13" ht="57">
      <c r="A34" s="69" t="s">
        <v>600</v>
      </c>
      <c r="B34" s="69" t="s">
        <v>723</v>
      </c>
      <c r="C34" s="69" t="s">
        <v>724</v>
      </c>
      <c r="D34" s="69" t="s">
        <v>247</v>
      </c>
      <c r="E34" s="69">
        <f>計算詳細!D8</f>
        <v>6.2720371491246754</v>
      </c>
      <c r="F34" s="69" t="s">
        <v>932</v>
      </c>
      <c r="G34" s="69" t="s">
        <v>933</v>
      </c>
      <c r="H34" s="69" t="s">
        <v>639</v>
      </c>
      <c r="I34" s="69" t="s">
        <v>934</v>
      </c>
      <c r="J34" s="69" t="s">
        <v>862</v>
      </c>
      <c r="K34" s="69" t="s">
        <v>689</v>
      </c>
      <c r="L34" s="69" t="s">
        <v>935</v>
      </c>
      <c r="M34" s="73" t="s">
        <v>886</v>
      </c>
    </row>
    <row r="35" spans="1:13" ht="85.5">
      <c r="A35" s="69" t="s">
        <v>600</v>
      </c>
      <c r="B35" s="69" t="s">
        <v>723</v>
      </c>
      <c r="C35" s="69" t="s">
        <v>728</v>
      </c>
      <c r="D35" s="69" t="s">
        <v>254</v>
      </c>
      <c r="E35" s="69">
        <f>計算詳細!D9</f>
        <v>656.80619435774497</v>
      </c>
      <c r="F35" s="69" t="s">
        <v>936</v>
      </c>
      <c r="G35" s="69" t="s">
        <v>937</v>
      </c>
      <c r="H35" s="69" t="s">
        <v>730</v>
      </c>
      <c r="I35" s="69" t="s">
        <v>938</v>
      </c>
      <c r="J35" s="69" t="s">
        <v>939</v>
      </c>
      <c r="K35" s="69" t="s">
        <v>689</v>
      </c>
      <c r="L35" s="69" t="s">
        <v>940</v>
      </c>
      <c r="M35" s="73" t="s">
        <v>886</v>
      </c>
    </row>
    <row r="36" spans="1:13" ht="85.5">
      <c r="A36" s="69" t="s">
        <v>600</v>
      </c>
      <c r="B36" s="69" t="s">
        <v>723</v>
      </c>
      <c r="C36" s="69" t="s">
        <v>733</v>
      </c>
      <c r="D36" s="69" t="s">
        <v>259</v>
      </c>
      <c r="E36" s="69">
        <f>計算詳細!D10</f>
        <v>656.80619435774497</v>
      </c>
      <c r="F36" s="69" t="s">
        <v>941</v>
      </c>
      <c r="G36" s="69" t="s">
        <v>942</v>
      </c>
      <c r="H36" s="69" t="s">
        <v>730</v>
      </c>
      <c r="I36" s="69" t="s">
        <v>943</v>
      </c>
      <c r="J36" s="69" t="s">
        <v>939</v>
      </c>
      <c r="K36" s="69" t="s">
        <v>689</v>
      </c>
      <c r="L36" s="69" t="s">
        <v>944</v>
      </c>
      <c r="M36" s="73" t="s">
        <v>886</v>
      </c>
    </row>
    <row r="37" spans="1:13" ht="57">
      <c r="A37" s="69" t="s">
        <v>600</v>
      </c>
      <c r="B37" s="69" t="s">
        <v>723</v>
      </c>
      <c r="C37" s="69" t="s">
        <v>737</v>
      </c>
      <c r="D37" s="69" t="s">
        <v>264</v>
      </c>
      <c r="E37" s="69">
        <f>計算詳細!D11</f>
        <v>6.2720371491246754</v>
      </c>
      <c r="F37" s="69" t="s">
        <v>266</v>
      </c>
      <c r="G37" s="69" t="s">
        <v>945</v>
      </c>
      <c r="H37" s="69" t="s">
        <v>639</v>
      </c>
      <c r="I37" s="69" t="s">
        <v>946</v>
      </c>
      <c r="J37" s="69" t="s">
        <v>862</v>
      </c>
      <c r="K37" s="69" t="s">
        <v>689</v>
      </c>
      <c r="L37" s="69" t="s">
        <v>947</v>
      </c>
      <c r="M37" s="73" t="s">
        <v>886</v>
      </c>
    </row>
    <row r="38" spans="1:13" ht="85.5">
      <c r="A38" s="69" t="s">
        <v>600</v>
      </c>
      <c r="B38" s="69" t="s">
        <v>723</v>
      </c>
      <c r="C38" s="69" t="s">
        <v>741</v>
      </c>
      <c r="D38" s="69" t="s">
        <v>269</v>
      </c>
      <c r="E38" s="69">
        <f>計算詳細!D12</f>
        <v>6.5680619435774492</v>
      </c>
      <c r="F38" s="69" t="s">
        <v>948</v>
      </c>
      <c r="G38" s="69" t="s">
        <v>949</v>
      </c>
      <c r="H38" s="69" t="s">
        <v>743</v>
      </c>
      <c r="I38" s="69" t="s">
        <v>950</v>
      </c>
      <c r="J38" s="69" t="s">
        <v>951</v>
      </c>
      <c r="K38" s="69" t="s">
        <v>689</v>
      </c>
      <c r="L38" s="69" t="s">
        <v>952</v>
      </c>
      <c r="M38" s="73" t="s">
        <v>886</v>
      </c>
    </row>
    <row r="39" spans="1:13">
      <c r="A39" s="72" t="s">
        <v>600</v>
      </c>
      <c r="B39" s="72" t="s">
        <v>723</v>
      </c>
      <c r="C39" s="72" t="s">
        <v>746</v>
      </c>
      <c r="D39" s="72" t="s">
        <v>275</v>
      </c>
      <c r="E39" s="72">
        <f>計算詳細!D13</f>
        <v>5.3628001202525022</v>
      </c>
      <c r="F39" s="72" t="s">
        <v>953</v>
      </c>
      <c r="G39" s="72" t="s">
        <v>954</v>
      </c>
      <c r="H39" s="72" t="s">
        <v>655</v>
      </c>
      <c r="I39" s="72" t="s">
        <v>955</v>
      </c>
      <c r="J39" s="72" t="s">
        <v>658</v>
      </c>
      <c r="K39" s="72" t="s">
        <v>749</v>
      </c>
      <c r="L39" s="72" t="s">
        <v>956</v>
      </c>
      <c r="M39" s="73" t="s">
        <v>886</v>
      </c>
    </row>
    <row r="40" spans="1:13" ht="57">
      <c r="A40" s="69" t="s">
        <v>957</v>
      </c>
      <c r="B40" s="69" t="s">
        <v>723</v>
      </c>
      <c r="C40" s="69" t="s">
        <v>751</v>
      </c>
      <c r="D40" s="69" t="s">
        <v>282</v>
      </c>
      <c r="E40" s="69">
        <f>計算詳細!D14</f>
        <v>30.14204085611707</v>
      </c>
      <c r="F40" s="69" t="s">
        <v>958</v>
      </c>
      <c r="G40" s="69" t="s">
        <v>959</v>
      </c>
      <c r="H40" s="69" t="s">
        <v>752</v>
      </c>
      <c r="I40" s="69" t="s">
        <v>960</v>
      </c>
      <c r="J40" s="69" t="s">
        <v>862</v>
      </c>
      <c r="K40" s="69" t="s">
        <v>689</v>
      </c>
      <c r="L40" s="69" t="s">
        <v>961</v>
      </c>
      <c r="M40" s="73" t="s">
        <v>886</v>
      </c>
    </row>
    <row r="41" spans="1:13" ht="28.5">
      <c r="A41" s="72" t="s">
        <v>957</v>
      </c>
      <c r="B41" s="72" t="s">
        <v>723</v>
      </c>
      <c r="C41" s="72" t="s">
        <v>962</v>
      </c>
      <c r="D41" s="72" t="s">
        <v>288</v>
      </c>
      <c r="E41" s="72">
        <f>計算詳細!D15</f>
        <v>30.14204085611707</v>
      </c>
      <c r="F41" s="72" t="s">
        <v>963</v>
      </c>
      <c r="G41" s="72" t="s">
        <v>964</v>
      </c>
      <c r="H41" s="72" t="s">
        <v>655</v>
      </c>
      <c r="I41" s="72" t="s">
        <v>965</v>
      </c>
      <c r="J41" s="72" t="s">
        <v>658</v>
      </c>
      <c r="K41" s="72" t="s">
        <v>749</v>
      </c>
      <c r="L41" s="72" t="s">
        <v>966</v>
      </c>
      <c r="M41" s="73" t="s">
        <v>886</v>
      </c>
    </row>
    <row r="42" spans="1:13" ht="28.5">
      <c r="A42" s="72" t="s">
        <v>957</v>
      </c>
      <c r="B42" s="72" t="s">
        <v>723</v>
      </c>
      <c r="C42" s="72" t="s">
        <v>967</v>
      </c>
      <c r="D42" s="72" t="s">
        <v>293</v>
      </c>
      <c r="E42" s="72">
        <f>計算詳細!D16</f>
        <v>36.916309951805118</v>
      </c>
      <c r="F42" s="72" t="s">
        <v>968</v>
      </c>
      <c r="G42" s="72" t="s">
        <v>969</v>
      </c>
      <c r="H42" s="72" t="s">
        <v>655</v>
      </c>
      <c r="I42" s="72" t="s">
        <v>955</v>
      </c>
      <c r="J42" s="72" t="s">
        <v>658</v>
      </c>
      <c r="K42" s="72" t="s">
        <v>749</v>
      </c>
      <c r="L42" s="72" t="s">
        <v>970</v>
      </c>
      <c r="M42" s="73" t="s">
        <v>886</v>
      </c>
    </row>
    <row r="43" spans="1:13" ht="28.5">
      <c r="A43" s="71" t="s">
        <v>763</v>
      </c>
      <c r="B43" s="71" t="s">
        <v>723</v>
      </c>
      <c r="C43" s="71" t="s">
        <v>971</v>
      </c>
      <c r="D43" s="71" t="s">
        <v>297</v>
      </c>
      <c r="E43" s="71">
        <f>計算詳細!D17</f>
        <v>52.20754620661166</v>
      </c>
      <c r="F43" s="71" t="s">
        <v>972</v>
      </c>
      <c r="G43" s="71" t="s">
        <v>973</v>
      </c>
      <c r="H43" s="71" t="s">
        <v>913</v>
      </c>
      <c r="I43" s="71" t="s">
        <v>974</v>
      </c>
      <c r="J43" s="71" t="s">
        <v>869</v>
      </c>
      <c r="K43" s="71" t="s">
        <v>749</v>
      </c>
      <c r="L43" s="71" t="s">
        <v>975</v>
      </c>
      <c r="M43" s="73" t="s">
        <v>886</v>
      </c>
    </row>
    <row r="44" spans="1:13" ht="28.5">
      <c r="A44" s="71" t="s">
        <v>763</v>
      </c>
      <c r="B44" s="71" t="s">
        <v>723</v>
      </c>
      <c r="C44" s="71" t="s">
        <v>764</v>
      </c>
      <c r="D44" s="71" t="s">
        <v>304</v>
      </c>
      <c r="E44" s="71">
        <f>計算詳細!D18</f>
        <v>52.20754620661166</v>
      </c>
      <c r="F44" s="71" t="s">
        <v>976</v>
      </c>
      <c r="G44" s="71" t="s">
        <v>977</v>
      </c>
      <c r="H44" s="71" t="s">
        <v>649</v>
      </c>
      <c r="I44" s="71" t="s">
        <v>978</v>
      </c>
      <c r="J44" s="71" t="s">
        <v>869</v>
      </c>
      <c r="K44" s="71" t="s">
        <v>689</v>
      </c>
      <c r="L44" s="71" t="s">
        <v>979</v>
      </c>
      <c r="M44" s="73" t="s">
        <v>886</v>
      </c>
    </row>
    <row r="45" spans="1:13" ht="57">
      <c r="A45" s="69" t="s">
        <v>957</v>
      </c>
      <c r="B45" s="69" t="s">
        <v>723</v>
      </c>
      <c r="C45" s="69" t="s">
        <v>755</v>
      </c>
      <c r="D45" s="69" t="s">
        <v>309</v>
      </c>
      <c r="E45" s="69">
        <f>計算詳細!D20</f>
        <v>-1.855558956088569</v>
      </c>
      <c r="F45" s="69" t="s">
        <v>980</v>
      </c>
      <c r="G45" s="69" t="s">
        <v>981</v>
      </c>
      <c r="H45" s="69" t="s">
        <v>752</v>
      </c>
      <c r="I45" s="69" t="s">
        <v>982</v>
      </c>
      <c r="J45" s="69" t="s">
        <v>862</v>
      </c>
      <c r="K45" s="69" t="s">
        <v>749</v>
      </c>
      <c r="L45" s="69" t="s">
        <v>983</v>
      </c>
      <c r="M45" s="73" t="s">
        <v>886</v>
      </c>
    </row>
    <row r="46" spans="1:13" ht="57">
      <c r="A46" s="69" t="s">
        <v>957</v>
      </c>
      <c r="B46" s="69" t="s">
        <v>723</v>
      </c>
      <c r="C46" s="69" t="s">
        <v>759</v>
      </c>
      <c r="D46" s="69" t="s">
        <v>314</v>
      </c>
      <c r="E46" s="69">
        <f>計算詳細!D21</f>
        <v>20.433820548311036</v>
      </c>
      <c r="F46" s="69" t="s">
        <v>984</v>
      </c>
      <c r="G46" s="69" t="s">
        <v>985</v>
      </c>
      <c r="H46" s="69" t="s">
        <v>752</v>
      </c>
      <c r="I46" s="69" t="s">
        <v>986</v>
      </c>
      <c r="J46" s="69" t="s">
        <v>862</v>
      </c>
      <c r="K46" s="69" t="s">
        <v>749</v>
      </c>
      <c r="L46" s="69" t="s">
        <v>987</v>
      </c>
      <c r="M46" s="73" t="s">
        <v>886</v>
      </c>
    </row>
    <row r="47" spans="1:13" ht="28.5">
      <c r="A47" s="72" t="s">
        <v>957</v>
      </c>
      <c r="B47" s="72" t="s">
        <v>723</v>
      </c>
      <c r="C47" s="72" t="s">
        <v>988</v>
      </c>
      <c r="D47" s="72" t="s">
        <v>319</v>
      </c>
      <c r="E47" s="72">
        <f>計算詳細!D22</f>
        <v>20.517897583331944</v>
      </c>
      <c r="F47" s="72" t="s">
        <v>989</v>
      </c>
      <c r="G47" s="72" t="s">
        <v>990</v>
      </c>
      <c r="H47" s="72" t="s">
        <v>655</v>
      </c>
      <c r="I47" s="72" t="s">
        <v>991</v>
      </c>
      <c r="J47" s="72" t="s">
        <v>658</v>
      </c>
      <c r="K47" s="72" t="s">
        <v>749</v>
      </c>
      <c r="L47" s="72" t="s">
        <v>966</v>
      </c>
      <c r="M47" s="73" t="s">
        <v>886</v>
      </c>
    </row>
    <row r="48" spans="1:13" ht="28.5">
      <c r="A48" s="72" t="s">
        <v>957</v>
      </c>
      <c r="B48" s="72" t="s">
        <v>723</v>
      </c>
      <c r="C48" s="72" t="s">
        <v>992</v>
      </c>
      <c r="D48" s="72" t="s">
        <v>323</v>
      </c>
      <c r="E48" s="72">
        <f>計算詳細!D23</f>
        <v>25.129189836923675</v>
      </c>
      <c r="F48" s="72" t="s">
        <v>993</v>
      </c>
      <c r="G48" s="72" t="s">
        <v>969</v>
      </c>
      <c r="H48" s="72" t="s">
        <v>655</v>
      </c>
      <c r="I48" s="72" t="s">
        <v>955</v>
      </c>
      <c r="J48" s="72" t="s">
        <v>658</v>
      </c>
      <c r="K48" s="72" t="s">
        <v>749</v>
      </c>
      <c r="L48" s="72" t="s">
        <v>970</v>
      </c>
      <c r="M48" s="73" t="s">
        <v>886</v>
      </c>
    </row>
    <row r="49" spans="1:13" ht="28.5">
      <c r="A49" s="71" t="s">
        <v>763</v>
      </c>
      <c r="B49" s="71" t="s">
        <v>723</v>
      </c>
      <c r="C49" s="71" t="s">
        <v>768</v>
      </c>
      <c r="D49" s="71" t="s">
        <v>326</v>
      </c>
      <c r="E49" s="71">
        <f>計算詳細!D24</f>
        <v>35.538041078825607</v>
      </c>
      <c r="F49" s="71" t="s">
        <v>972</v>
      </c>
      <c r="G49" s="71" t="s">
        <v>994</v>
      </c>
      <c r="H49" s="71" t="s">
        <v>913</v>
      </c>
      <c r="I49" s="71" t="s">
        <v>995</v>
      </c>
      <c r="J49" s="71" t="s">
        <v>869</v>
      </c>
      <c r="K49" s="71" t="s">
        <v>749</v>
      </c>
      <c r="L49" s="71" t="s">
        <v>996</v>
      </c>
      <c r="M49" s="73" t="s">
        <v>886</v>
      </c>
    </row>
    <row r="50" spans="1:13" ht="28.5">
      <c r="A50" s="71" t="s">
        <v>763</v>
      </c>
      <c r="B50" s="71" t="s">
        <v>723</v>
      </c>
      <c r="C50" s="71" t="s">
        <v>772</v>
      </c>
      <c r="D50" s="71" t="s">
        <v>330</v>
      </c>
      <c r="E50" s="71">
        <f>計算詳細!D25</f>
        <v>35.538041078825607</v>
      </c>
      <c r="F50" s="71" t="s">
        <v>976</v>
      </c>
      <c r="G50" s="71" t="s">
        <v>997</v>
      </c>
      <c r="H50" s="71" t="s">
        <v>649</v>
      </c>
      <c r="I50" s="71" t="s">
        <v>998</v>
      </c>
      <c r="J50" s="71" t="s">
        <v>869</v>
      </c>
      <c r="K50" s="71" t="s">
        <v>689</v>
      </c>
      <c r="L50" s="71" t="s">
        <v>999</v>
      </c>
      <c r="M50" s="73" t="s">
        <v>886</v>
      </c>
    </row>
    <row r="51" spans="1:13" ht="57">
      <c r="A51" s="69" t="s">
        <v>957</v>
      </c>
      <c r="B51" s="69" t="s">
        <v>723</v>
      </c>
      <c r="C51" s="69" t="s">
        <v>1000</v>
      </c>
      <c r="D51" s="69" t="s">
        <v>334</v>
      </c>
      <c r="E51" s="69">
        <f>計算詳細!D27</f>
        <v>-3.711117912177138</v>
      </c>
      <c r="F51" s="69" t="s">
        <v>1001</v>
      </c>
      <c r="G51" s="69" t="s">
        <v>1002</v>
      </c>
      <c r="H51" s="69" t="s">
        <v>752</v>
      </c>
      <c r="I51" s="69" t="s">
        <v>1003</v>
      </c>
      <c r="J51" s="69" t="s">
        <v>862</v>
      </c>
      <c r="K51" s="69" t="s">
        <v>749</v>
      </c>
      <c r="L51" s="69" t="s">
        <v>1004</v>
      </c>
      <c r="M51" s="73" t="s">
        <v>886</v>
      </c>
    </row>
    <row r="52" spans="1:13" ht="57">
      <c r="A52" s="69" t="s">
        <v>957</v>
      </c>
      <c r="B52" s="69" t="s">
        <v>723</v>
      </c>
      <c r="C52" s="69" t="s">
        <v>1005</v>
      </c>
      <c r="D52" s="69" t="s">
        <v>338</v>
      </c>
      <c r="E52" s="69">
        <f>計算詳細!D28</f>
        <v>35.504840976369572</v>
      </c>
      <c r="F52" s="69" t="s">
        <v>1006</v>
      </c>
      <c r="G52" s="69" t="s">
        <v>1007</v>
      </c>
      <c r="H52" s="69" t="s">
        <v>752</v>
      </c>
      <c r="I52" s="69" t="s">
        <v>1008</v>
      </c>
      <c r="J52" s="69" t="s">
        <v>862</v>
      </c>
      <c r="K52" s="69" t="s">
        <v>749</v>
      </c>
      <c r="L52" s="69" t="s">
        <v>1009</v>
      </c>
      <c r="M52" s="73" t="s">
        <v>886</v>
      </c>
    </row>
    <row r="53" spans="1:13" ht="28.5">
      <c r="A53" s="72" t="s">
        <v>957</v>
      </c>
      <c r="B53" s="72" t="s">
        <v>723</v>
      </c>
      <c r="C53" s="72" t="s">
        <v>1010</v>
      </c>
      <c r="D53" s="72" t="s">
        <v>341</v>
      </c>
      <c r="E53" s="72">
        <f>計算詳細!D29</f>
        <v>35.698265068702902</v>
      </c>
      <c r="F53" s="72" t="s">
        <v>989</v>
      </c>
      <c r="G53" s="72" t="s">
        <v>1011</v>
      </c>
      <c r="H53" s="72" t="s">
        <v>655</v>
      </c>
      <c r="I53" s="72" t="s">
        <v>1012</v>
      </c>
      <c r="J53" s="72" t="s">
        <v>658</v>
      </c>
      <c r="K53" s="72" t="s">
        <v>749</v>
      </c>
      <c r="L53" s="72" t="s">
        <v>1013</v>
      </c>
      <c r="M53" s="73" t="s">
        <v>886</v>
      </c>
    </row>
    <row r="54" spans="1:13" ht="28.5">
      <c r="A54" s="72" t="s">
        <v>957</v>
      </c>
      <c r="B54" s="72" t="s">
        <v>723</v>
      </c>
      <c r="C54" s="72" t="s">
        <v>1014</v>
      </c>
      <c r="D54" s="72" t="s">
        <v>345</v>
      </c>
      <c r="E54" s="72">
        <f>計算詳細!D30</f>
        <v>43.721267060471391</v>
      </c>
      <c r="F54" s="72" t="s">
        <v>993</v>
      </c>
      <c r="G54" s="72" t="s">
        <v>969</v>
      </c>
      <c r="H54" s="72" t="s">
        <v>655</v>
      </c>
      <c r="I54" s="72" t="s">
        <v>1015</v>
      </c>
      <c r="J54" s="72" t="s">
        <v>658</v>
      </c>
      <c r="K54" s="72" t="s">
        <v>749</v>
      </c>
      <c r="L54" s="72" t="s">
        <v>1016</v>
      </c>
      <c r="M54" s="73" t="s">
        <v>886</v>
      </c>
    </row>
    <row r="55" spans="1:13" ht="28.5">
      <c r="A55" s="71" t="s">
        <v>763</v>
      </c>
      <c r="B55" s="71" t="s">
        <v>723</v>
      </c>
      <c r="C55" s="71" t="s">
        <v>775</v>
      </c>
      <c r="D55" s="71" t="s">
        <v>348</v>
      </c>
      <c r="E55" s="71">
        <f>計算詳細!D31</f>
        <v>61.831208841054696</v>
      </c>
      <c r="F55" s="71" t="s">
        <v>972</v>
      </c>
      <c r="G55" s="71" t="s">
        <v>1017</v>
      </c>
      <c r="H55" s="71" t="s">
        <v>913</v>
      </c>
      <c r="I55" s="71" t="s">
        <v>1018</v>
      </c>
      <c r="J55" s="71" t="s">
        <v>869</v>
      </c>
      <c r="K55" s="71" t="s">
        <v>749</v>
      </c>
      <c r="L55" s="71" t="s">
        <v>1019</v>
      </c>
      <c r="M55" s="73" t="s">
        <v>886</v>
      </c>
    </row>
    <row r="56" spans="1:13" ht="28.5">
      <c r="A56" s="71" t="s">
        <v>763</v>
      </c>
      <c r="B56" s="71" t="s">
        <v>723</v>
      </c>
      <c r="C56" s="71" t="s">
        <v>778</v>
      </c>
      <c r="D56" s="71" t="s">
        <v>351</v>
      </c>
      <c r="E56" s="71">
        <f>計算詳細!D32</f>
        <v>61.83120884105471</v>
      </c>
      <c r="F56" s="71" t="s">
        <v>976</v>
      </c>
      <c r="G56" s="71" t="s">
        <v>1020</v>
      </c>
      <c r="H56" s="71" t="s">
        <v>649</v>
      </c>
      <c r="I56" s="71" t="s">
        <v>998</v>
      </c>
      <c r="J56" s="71" t="s">
        <v>869</v>
      </c>
      <c r="K56" s="71" t="s">
        <v>689</v>
      </c>
      <c r="L56" s="71" t="s">
        <v>1021</v>
      </c>
      <c r="M56" s="73" t="s">
        <v>886</v>
      </c>
    </row>
    <row r="57" spans="1:13" ht="85.5">
      <c r="A57" s="69" t="s">
        <v>781</v>
      </c>
      <c r="B57" s="69" t="s">
        <v>723</v>
      </c>
      <c r="C57" s="69" t="s">
        <v>782</v>
      </c>
      <c r="D57" s="69" t="s">
        <v>354</v>
      </c>
      <c r="E57" s="69">
        <f>計算詳細!D33</f>
        <v>30.2</v>
      </c>
      <c r="F57" s="69" t="s">
        <v>1022</v>
      </c>
      <c r="G57" s="69" t="s">
        <v>1023</v>
      </c>
      <c r="H57" s="69" t="s">
        <v>743</v>
      </c>
      <c r="I57" s="69" t="s">
        <v>1024</v>
      </c>
      <c r="J57" s="69" t="s">
        <v>951</v>
      </c>
      <c r="K57" s="69" t="s">
        <v>689</v>
      </c>
      <c r="L57" s="69" t="s">
        <v>205</v>
      </c>
      <c r="M57" s="73" t="s">
        <v>886</v>
      </c>
    </row>
    <row r="58" spans="1:13">
      <c r="A58" s="72" t="s">
        <v>1025</v>
      </c>
      <c r="B58" s="72" t="s">
        <v>723</v>
      </c>
      <c r="C58" s="72" t="s">
        <v>1026</v>
      </c>
      <c r="D58" s="72" t="s">
        <v>358</v>
      </c>
      <c r="E58" s="72">
        <f>計算詳細!D34</f>
        <v>31.625366046137248</v>
      </c>
      <c r="F58" s="72" t="s">
        <v>1027</v>
      </c>
      <c r="G58" s="72" t="s">
        <v>167</v>
      </c>
      <c r="H58" s="72" t="s">
        <v>655</v>
      </c>
      <c r="I58" s="72" t="s">
        <v>1028</v>
      </c>
      <c r="J58" s="72" t="s">
        <v>658</v>
      </c>
      <c r="K58" s="72" t="s">
        <v>749</v>
      </c>
      <c r="L58" s="72" t="s">
        <v>1029</v>
      </c>
      <c r="M58" s="73" t="s">
        <v>886</v>
      </c>
    </row>
    <row r="59" spans="1:13" ht="57">
      <c r="A59" s="69" t="s">
        <v>786</v>
      </c>
      <c r="B59" s="69" t="s">
        <v>723</v>
      </c>
      <c r="C59" s="69" t="s">
        <v>787</v>
      </c>
      <c r="D59" s="69" t="s">
        <v>362</v>
      </c>
      <c r="E59" s="69">
        <f>計算詳細!D35</f>
        <v>108.85095371068257</v>
      </c>
      <c r="F59" s="69" t="s">
        <v>1030</v>
      </c>
      <c r="G59" s="69" t="s">
        <v>1031</v>
      </c>
      <c r="H59" s="69" t="s">
        <v>752</v>
      </c>
      <c r="I59" s="69" t="s">
        <v>1032</v>
      </c>
      <c r="J59" s="69" t="s">
        <v>862</v>
      </c>
      <c r="K59" s="69" t="s">
        <v>689</v>
      </c>
      <c r="L59" s="69" t="s">
        <v>1033</v>
      </c>
      <c r="M59" s="73" t="s">
        <v>886</v>
      </c>
    </row>
    <row r="60" spans="1:13">
      <c r="A60" s="72" t="s">
        <v>1034</v>
      </c>
      <c r="B60" s="72" t="s">
        <v>723</v>
      </c>
      <c r="C60" s="72" t="s">
        <v>1035</v>
      </c>
      <c r="D60" s="72" t="s">
        <v>367</v>
      </c>
      <c r="E60" s="72">
        <f>計算詳細!D36</f>
        <v>140.47631975681983</v>
      </c>
      <c r="F60" s="72" t="s">
        <v>1036</v>
      </c>
      <c r="G60" s="72" t="s">
        <v>1037</v>
      </c>
      <c r="H60" s="72" t="s">
        <v>655</v>
      </c>
      <c r="I60" s="72" t="s">
        <v>1038</v>
      </c>
      <c r="J60" s="72" t="s">
        <v>658</v>
      </c>
      <c r="K60" s="72" t="s">
        <v>749</v>
      </c>
      <c r="L60" s="72" t="s">
        <v>1039</v>
      </c>
      <c r="M60" s="73" t="s">
        <v>886</v>
      </c>
    </row>
    <row r="61" spans="1:13">
      <c r="A61" s="72" t="s">
        <v>170</v>
      </c>
      <c r="B61" s="72" t="s">
        <v>723</v>
      </c>
      <c r="C61" s="72" t="s">
        <v>1040</v>
      </c>
      <c r="D61" s="72" t="s">
        <v>371</v>
      </c>
      <c r="E61" s="72">
        <f>計算詳細!D37</f>
        <v>0.22512951720890953</v>
      </c>
      <c r="F61" s="72" t="s">
        <v>1041</v>
      </c>
      <c r="G61" s="72" t="s">
        <v>1042</v>
      </c>
      <c r="H61" s="72" t="s">
        <v>655</v>
      </c>
      <c r="I61" s="72" t="s">
        <v>1043</v>
      </c>
      <c r="J61" s="72" t="s">
        <v>658</v>
      </c>
      <c r="K61" s="72" t="s">
        <v>749</v>
      </c>
      <c r="L61" s="72" t="s">
        <v>1039</v>
      </c>
      <c r="M61" s="73" t="s">
        <v>886</v>
      </c>
    </row>
    <row r="62" spans="1:13" ht="57">
      <c r="A62" s="69" t="s">
        <v>786</v>
      </c>
      <c r="B62" s="69" t="s">
        <v>723</v>
      </c>
      <c r="C62" s="69" t="s">
        <v>381</v>
      </c>
      <c r="D62" s="69" t="s">
        <v>375</v>
      </c>
      <c r="E62" s="69">
        <f>計算詳細!D38</f>
        <v>435.4038148427303</v>
      </c>
      <c r="F62" s="69" t="s">
        <v>1044</v>
      </c>
      <c r="G62" s="69" t="s">
        <v>148</v>
      </c>
      <c r="H62" s="69" t="s">
        <v>752</v>
      </c>
      <c r="I62" s="69" t="s">
        <v>1008</v>
      </c>
      <c r="J62" s="69" t="s">
        <v>862</v>
      </c>
      <c r="K62" s="69" t="s">
        <v>689</v>
      </c>
      <c r="L62" s="69" t="s">
        <v>1045</v>
      </c>
      <c r="M62" s="73" t="s">
        <v>886</v>
      </c>
    </row>
    <row r="63" spans="1:13">
      <c r="A63" s="72" t="s">
        <v>1046</v>
      </c>
      <c r="B63" s="72" t="s">
        <v>723</v>
      </c>
      <c r="C63" s="72" t="s">
        <v>1047</v>
      </c>
      <c r="D63" s="72" t="s">
        <v>379</v>
      </c>
      <c r="E63" s="72">
        <f>計算詳細!D39</f>
        <v>435.4038148427303</v>
      </c>
      <c r="F63" s="72" t="s">
        <v>1048</v>
      </c>
      <c r="G63" s="72" t="s">
        <v>1004</v>
      </c>
      <c r="H63" s="72" t="s">
        <v>1049</v>
      </c>
      <c r="I63" s="72" t="s">
        <v>1050</v>
      </c>
      <c r="J63" s="72" t="s">
        <v>658</v>
      </c>
      <c r="K63" s="72" t="s">
        <v>700</v>
      </c>
      <c r="L63" s="72" t="s">
        <v>1051</v>
      </c>
      <c r="M63" s="73" t="s">
        <v>886</v>
      </c>
    </row>
    <row r="64" spans="1:13">
      <c r="A64" s="72" t="s">
        <v>1046</v>
      </c>
      <c r="B64" s="72" t="s">
        <v>723</v>
      </c>
      <c r="C64" s="72" t="s">
        <v>1052</v>
      </c>
      <c r="D64" s="72" t="s">
        <v>383</v>
      </c>
      <c r="E64" s="72">
        <f>計算詳細!D40</f>
        <v>435.4038148427303</v>
      </c>
      <c r="F64" s="72" t="s">
        <v>1053</v>
      </c>
      <c r="G64" s="72" t="s">
        <v>1054</v>
      </c>
      <c r="H64" s="72" t="s">
        <v>1049</v>
      </c>
      <c r="I64" s="72" t="s">
        <v>1050</v>
      </c>
      <c r="J64" s="72" t="s">
        <v>658</v>
      </c>
      <c r="K64" s="72" t="s">
        <v>700</v>
      </c>
      <c r="L64" s="72" t="s">
        <v>1051</v>
      </c>
      <c r="M64" s="73" t="s">
        <v>886</v>
      </c>
    </row>
    <row r="65" spans="1:13" ht="28.5">
      <c r="A65" s="72" t="s">
        <v>810</v>
      </c>
      <c r="B65" s="72" t="s">
        <v>723</v>
      </c>
      <c r="C65" s="72" t="s">
        <v>1055</v>
      </c>
      <c r="D65" s="72" t="s">
        <v>49</v>
      </c>
      <c r="E65" s="72">
        <f>計算詳細!D42</f>
        <v>1.0471975511965976</v>
      </c>
      <c r="F65" s="72" t="s">
        <v>923</v>
      </c>
      <c r="G65" s="72" t="s">
        <v>1056</v>
      </c>
      <c r="H65" s="72" t="s">
        <v>1049</v>
      </c>
      <c r="I65" s="72" t="s">
        <v>925</v>
      </c>
      <c r="J65" s="72" t="s">
        <v>658</v>
      </c>
      <c r="K65" s="72" t="s">
        <v>700</v>
      </c>
      <c r="L65" s="72" t="s">
        <v>1057</v>
      </c>
      <c r="M65" s="73" t="s">
        <v>886</v>
      </c>
    </row>
    <row r="66" spans="1:13">
      <c r="A66" s="72" t="s">
        <v>810</v>
      </c>
      <c r="B66" s="72" t="s">
        <v>723</v>
      </c>
      <c r="C66" s="72" t="s">
        <v>1058</v>
      </c>
      <c r="D66" s="72" t="s">
        <v>56</v>
      </c>
      <c r="E66" s="72">
        <f>計算詳細!D43</f>
        <v>1.0471975511965976</v>
      </c>
      <c r="F66" s="72" t="s">
        <v>1059</v>
      </c>
      <c r="G66" s="72" t="s">
        <v>1060</v>
      </c>
      <c r="H66" s="72" t="s">
        <v>1049</v>
      </c>
      <c r="I66" s="72" t="s">
        <v>1061</v>
      </c>
      <c r="J66" s="72" t="s">
        <v>658</v>
      </c>
      <c r="K66" s="72" t="s">
        <v>700</v>
      </c>
      <c r="L66" s="72" t="s">
        <v>1062</v>
      </c>
      <c r="M66" s="73" t="s">
        <v>886</v>
      </c>
    </row>
    <row r="67" spans="1:13">
      <c r="A67" s="72" t="s">
        <v>810</v>
      </c>
      <c r="B67" s="72" t="s">
        <v>723</v>
      </c>
      <c r="C67" s="72" t="s">
        <v>1063</v>
      </c>
      <c r="D67" s="72" t="s">
        <v>63</v>
      </c>
      <c r="E67" s="72">
        <f>計算詳細!D44</f>
        <v>3.1415926535897931</v>
      </c>
      <c r="F67" s="72" t="s">
        <v>1064</v>
      </c>
      <c r="G67" s="72" t="s">
        <v>1065</v>
      </c>
      <c r="H67" s="72" t="s">
        <v>1049</v>
      </c>
      <c r="I67" s="72" t="s">
        <v>1066</v>
      </c>
      <c r="J67" s="72" t="s">
        <v>658</v>
      </c>
      <c r="K67" s="72" t="s">
        <v>700</v>
      </c>
      <c r="L67" s="72" t="s">
        <v>1062</v>
      </c>
      <c r="M67" s="73" t="s">
        <v>886</v>
      </c>
    </row>
    <row r="68" spans="1:13" ht="85.5">
      <c r="A68" s="69" t="s">
        <v>810</v>
      </c>
      <c r="B68" s="69" t="s">
        <v>723</v>
      </c>
      <c r="C68" s="69" t="s">
        <v>811</v>
      </c>
      <c r="D68" s="69" t="s">
        <v>70</v>
      </c>
      <c r="E68" s="69">
        <f>計算詳細!D45</f>
        <v>0.35418180987483577</v>
      </c>
      <c r="F68" s="69" t="s">
        <v>1067</v>
      </c>
      <c r="G68" s="69" t="s">
        <v>1068</v>
      </c>
      <c r="H68" s="69" t="s">
        <v>743</v>
      </c>
      <c r="I68" s="69" t="s">
        <v>1024</v>
      </c>
      <c r="J68" s="69" t="s">
        <v>951</v>
      </c>
      <c r="K68" s="69" t="s">
        <v>689</v>
      </c>
      <c r="L68" s="69" t="s">
        <v>1069</v>
      </c>
      <c r="M68" s="73" t="s">
        <v>886</v>
      </c>
    </row>
    <row r="69" spans="1:13">
      <c r="A69" s="72" t="s">
        <v>810</v>
      </c>
      <c r="B69" s="72" t="s">
        <v>723</v>
      </c>
      <c r="C69" s="72" t="s">
        <v>1070</v>
      </c>
      <c r="D69" s="72" t="s">
        <v>77</v>
      </c>
      <c r="E69" s="72">
        <f>計算詳細!D46</f>
        <v>0.50088871907084176</v>
      </c>
      <c r="F69" s="72" t="s">
        <v>1071</v>
      </c>
      <c r="G69" s="72" t="s">
        <v>918</v>
      </c>
      <c r="H69" s="72" t="s">
        <v>655</v>
      </c>
      <c r="I69" s="72" t="s">
        <v>1072</v>
      </c>
      <c r="J69" s="72" t="s">
        <v>658</v>
      </c>
      <c r="K69" s="72" t="s">
        <v>749</v>
      </c>
      <c r="L69" s="72" t="s">
        <v>1073</v>
      </c>
      <c r="M69" s="73" t="s">
        <v>886</v>
      </c>
    </row>
    <row r="70" spans="1:13" ht="28.5">
      <c r="A70" s="72" t="s">
        <v>810</v>
      </c>
      <c r="B70" s="72" t="s">
        <v>723</v>
      </c>
      <c r="C70" s="72" t="s">
        <v>1074</v>
      </c>
      <c r="D70" s="72" t="s">
        <v>1075</v>
      </c>
      <c r="E70" s="72">
        <f>計算詳細!D47</f>
        <v>3.2898681336964524</v>
      </c>
      <c r="F70" s="72" t="s">
        <v>1076</v>
      </c>
      <c r="G70" s="72" t="s">
        <v>1077</v>
      </c>
      <c r="H70" s="72" t="s">
        <v>1049</v>
      </c>
      <c r="I70" s="72" t="s">
        <v>1078</v>
      </c>
      <c r="J70" s="72" t="s">
        <v>658</v>
      </c>
      <c r="K70" s="72" t="s">
        <v>700</v>
      </c>
      <c r="L70" s="72" t="s">
        <v>1029</v>
      </c>
      <c r="M70" s="73" t="s">
        <v>886</v>
      </c>
    </row>
    <row r="71" spans="1:13" ht="28.5">
      <c r="A71" s="72" t="s">
        <v>810</v>
      </c>
      <c r="B71" s="72" t="s">
        <v>723</v>
      </c>
      <c r="C71" s="72" t="s">
        <v>1079</v>
      </c>
      <c r="D71" s="72" t="s">
        <v>1080</v>
      </c>
      <c r="E71" s="72">
        <f>計算詳細!D48</f>
        <v>1.6449340668482262</v>
      </c>
      <c r="F71" s="72" t="s">
        <v>1081</v>
      </c>
      <c r="G71" s="72" t="s">
        <v>181</v>
      </c>
      <c r="H71" s="72" t="s">
        <v>1049</v>
      </c>
      <c r="I71" s="72" t="s">
        <v>1082</v>
      </c>
      <c r="J71" s="72" t="s">
        <v>658</v>
      </c>
      <c r="K71" s="72" t="s">
        <v>700</v>
      </c>
      <c r="L71" s="72" t="s">
        <v>1062</v>
      </c>
      <c r="M71" s="73" t="s">
        <v>886</v>
      </c>
    </row>
    <row r="72" spans="1:13" ht="57">
      <c r="A72" s="69" t="s">
        <v>810</v>
      </c>
      <c r="B72" s="69" t="s">
        <v>723</v>
      </c>
      <c r="C72" s="69" t="s">
        <v>1083</v>
      </c>
      <c r="D72" s="69" t="s">
        <v>387</v>
      </c>
      <c r="E72" s="69">
        <f>計算詳細!D49</f>
        <v>1.6449340668482262</v>
      </c>
      <c r="F72" s="69" t="s">
        <v>1084</v>
      </c>
      <c r="G72" s="69" t="s">
        <v>1085</v>
      </c>
      <c r="H72" s="69" t="s">
        <v>752</v>
      </c>
      <c r="I72" s="69" t="s">
        <v>1008</v>
      </c>
      <c r="J72" s="69" t="s">
        <v>862</v>
      </c>
      <c r="K72" s="69" t="s">
        <v>689</v>
      </c>
      <c r="L72" s="69" t="s">
        <v>1086</v>
      </c>
      <c r="M72" s="73" t="s">
        <v>886</v>
      </c>
    </row>
    <row r="73" spans="1:13" ht="28.5">
      <c r="A73" s="72" t="s">
        <v>810</v>
      </c>
      <c r="B73" s="72" t="s">
        <v>723</v>
      </c>
      <c r="C73" s="72" t="s">
        <v>815</v>
      </c>
      <c r="D73" s="72" t="s">
        <v>1087</v>
      </c>
      <c r="E73" s="72">
        <f>計算詳細!D50</f>
        <v>1.1779262442499523</v>
      </c>
      <c r="F73" s="72" t="s">
        <v>1088</v>
      </c>
      <c r="G73" s="72" t="s">
        <v>184</v>
      </c>
      <c r="H73" s="72" t="s">
        <v>1049</v>
      </c>
      <c r="I73" s="72" t="s">
        <v>1089</v>
      </c>
      <c r="J73" s="72" t="s">
        <v>658</v>
      </c>
      <c r="K73" s="72" t="s">
        <v>700</v>
      </c>
      <c r="L73" s="72" t="s">
        <v>1090</v>
      </c>
      <c r="M73" s="73" t="s">
        <v>886</v>
      </c>
    </row>
    <row r="74" spans="1:13" ht="28.5">
      <c r="A74" s="72" t="s">
        <v>810</v>
      </c>
      <c r="B74" s="72" t="s">
        <v>723</v>
      </c>
      <c r="C74" s="72" t="s">
        <v>1091</v>
      </c>
      <c r="D74" s="72" t="s">
        <v>1092</v>
      </c>
      <c r="E74" s="72">
        <f>計算詳細!D51</f>
        <v>1.1779262442499523</v>
      </c>
      <c r="F74" s="72" t="s">
        <v>1093</v>
      </c>
      <c r="G74" s="72" t="s">
        <v>1094</v>
      </c>
      <c r="H74" s="72" t="s">
        <v>1049</v>
      </c>
      <c r="I74" s="72" t="s">
        <v>1095</v>
      </c>
      <c r="J74" s="72" t="s">
        <v>658</v>
      </c>
      <c r="K74" s="72" t="s">
        <v>700</v>
      </c>
      <c r="L74" s="72" t="s">
        <v>1096</v>
      </c>
      <c r="M74" s="73" t="s">
        <v>886</v>
      </c>
    </row>
    <row r="75" spans="1:13" ht="28.5">
      <c r="A75" s="72" t="s">
        <v>810</v>
      </c>
      <c r="B75" s="72" t="s">
        <v>723</v>
      </c>
      <c r="C75" s="72" t="s">
        <v>1097</v>
      </c>
      <c r="D75" s="72" t="s">
        <v>1098</v>
      </c>
      <c r="E75" s="72">
        <f>計算詳細!D52</f>
        <v>0.46700782259827389</v>
      </c>
      <c r="F75" s="72" t="s">
        <v>1099</v>
      </c>
      <c r="G75" s="72" t="s">
        <v>1100</v>
      </c>
      <c r="H75" s="72" t="s">
        <v>1049</v>
      </c>
      <c r="I75" s="72" t="s">
        <v>1095</v>
      </c>
      <c r="J75" s="72" t="s">
        <v>658</v>
      </c>
      <c r="K75" s="72" t="s">
        <v>700</v>
      </c>
      <c r="L75" s="72" t="s">
        <v>1096</v>
      </c>
      <c r="M75" s="73" t="s">
        <v>886</v>
      </c>
    </row>
    <row r="76" spans="1:13">
      <c r="A76" s="70" t="s">
        <v>810</v>
      </c>
      <c r="B76" s="70" t="s">
        <v>723</v>
      </c>
      <c r="C76" s="70" t="s">
        <v>1101</v>
      </c>
      <c r="D76" s="70" t="s">
        <v>135</v>
      </c>
      <c r="E76" s="70">
        <f>計算詳細!D53</f>
        <v>0.46700782259827389</v>
      </c>
      <c r="F76" s="70" t="s">
        <v>1102</v>
      </c>
      <c r="G76" s="70" t="s">
        <v>1103</v>
      </c>
      <c r="H76" s="70" t="s">
        <v>660</v>
      </c>
      <c r="I76" s="70" t="s">
        <v>1050</v>
      </c>
      <c r="J76" s="70" t="s">
        <v>658</v>
      </c>
      <c r="K76" s="70" t="s">
        <v>700</v>
      </c>
      <c r="L76" s="70" t="s">
        <v>1104</v>
      </c>
      <c r="M76" s="73" t="s">
        <v>886</v>
      </c>
    </row>
    <row r="77" spans="1:13">
      <c r="A77" s="71" t="s">
        <v>790</v>
      </c>
      <c r="B77" s="71" t="s">
        <v>791</v>
      </c>
      <c r="C77" s="71" t="s">
        <v>685</v>
      </c>
      <c r="D77" s="71" t="s">
        <v>461</v>
      </c>
      <c r="E77" s="71" t="str">
        <f>結果概要!B4</f>
        <v>SVPWM</v>
      </c>
      <c r="F77" s="71" t="s">
        <v>1105</v>
      </c>
      <c r="G77" s="71" t="s">
        <v>1106</v>
      </c>
      <c r="H77" s="71" t="s">
        <v>649</v>
      </c>
      <c r="I77" s="71" t="s">
        <v>1107</v>
      </c>
      <c r="J77" s="71" t="s">
        <v>869</v>
      </c>
      <c r="K77" s="71" t="s">
        <v>749</v>
      </c>
      <c r="L77" s="71" t="s">
        <v>1108</v>
      </c>
      <c r="M77" s="73" t="s">
        <v>886</v>
      </c>
    </row>
    <row r="78" spans="1:13">
      <c r="A78" s="71" t="s">
        <v>790</v>
      </c>
      <c r="B78" s="71" t="s">
        <v>791</v>
      </c>
      <c r="C78" s="71" t="s">
        <v>691</v>
      </c>
      <c r="D78" s="71" t="s">
        <v>714</v>
      </c>
      <c r="E78" s="71">
        <f>結果概要!B5</f>
        <v>0.70710678118654746</v>
      </c>
      <c r="F78" s="71" t="s">
        <v>1109</v>
      </c>
      <c r="G78" s="71" t="s">
        <v>1110</v>
      </c>
      <c r="H78" s="71" t="s">
        <v>649</v>
      </c>
      <c r="I78" s="71" t="s">
        <v>998</v>
      </c>
      <c r="J78" s="71" t="s">
        <v>869</v>
      </c>
      <c r="K78" s="71" t="s">
        <v>689</v>
      </c>
      <c r="L78" s="71" t="s">
        <v>1111</v>
      </c>
      <c r="M78" s="73" t="s">
        <v>886</v>
      </c>
    </row>
    <row r="79" spans="1:13">
      <c r="A79" s="71" t="s">
        <v>790</v>
      </c>
      <c r="B79" s="71" t="s">
        <v>791</v>
      </c>
      <c r="C79" s="71" t="s">
        <v>695</v>
      </c>
      <c r="D79" s="71" t="s">
        <v>719</v>
      </c>
      <c r="E79" s="71">
        <f>結果概要!B6</f>
        <v>0.57735026918962584</v>
      </c>
      <c r="F79" s="71" t="s">
        <v>1112</v>
      </c>
      <c r="G79" s="71" t="s">
        <v>1113</v>
      </c>
      <c r="H79" s="71" t="s">
        <v>913</v>
      </c>
      <c r="I79" s="71" t="s">
        <v>1114</v>
      </c>
      <c r="J79" s="71" t="s">
        <v>869</v>
      </c>
      <c r="K79" s="71" t="s">
        <v>749</v>
      </c>
      <c r="L79" s="71" t="s">
        <v>1115</v>
      </c>
      <c r="M79" s="73" t="s">
        <v>886</v>
      </c>
    </row>
    <row r="80" spans="1:13" ht="85.5">
      <c r="A80" s="69" t="s">
        <v>790</v>
      </c>
      <c r="B80" s="69" t="s">
        <v>791</v>
      </c>
      <c r="C80" s="69" t="s">
        <v>698</v>
      </c>
      <c r="D80" s="69" t="s">
        <v>465</v>
      </c>
      <c r="E80" s="69">
        <f>結果概要!B7</f>
        <v>656.80619435774497</v>
      </c>
      <c r="F80" s="69" t="s">
        <v>1116</v>
      </c>
      <c r="G80" s="69" t="s">
        <v>1117</v>
      </c>
      <c r="H80" s="69" t="s">
        <v>730</v>
      </c>
      <c r="I80" s="69" t="s">
        <v>1118</v>
      </c>
      <c r="J80" s="69" t="s">
        <v>939</v>
      </c>
      <c r="K80" s="69" t="s">
        <v>689</v>
      </c>
      <c r="L80" s="69" t="s">
        <v>1119</v>
      </c>
      <c r="M80" s="73" t="s">
        <v>886</v>
      </c>
    </row>
    <row r="81" spans="1:13" ht="85.5">
      <c r="A81" s="69" t="s">
        <v>790</v>
      </c>
      <c r="B81" s="69" t="s">
        <v>791</v>
      </c>
      <c r="C81" s="69" t="s">
        <v>702</v>
      </c>
      <c r="D81" s="69" t="s">
        <v>467</v>
      </c>
      <c r="E81" s="69">
        <f>結果概要!B8</f>
        <v>656.80619435774497</v>
      </c>
      <c r="F81" s="69" t="s">
        <v>1120</v>
      </c>
      <c r="G81" s="69" t="s">
        <v>1121</v>
      </c>
      <c r="H81" s="69" t="s">
        <v>730</v>
      </c>
      <c r="I81" s="69" t="s">
        <v>1122</v>
      </c>
      <c r="J81" s="69" t="s">
        <v>939</v>
      </c>
      <c r="K81" s="69" t="s">
        <v>689</v>
      </c>
      <c r="L81" s="69" t="s">
        <v>1123</v>
      </c>
      <c r="M81" s="73" t="s">
        <v>886</v>
      </c>
    </row>
    <row r="82" spans="1:13" ht="71.25">
      <c r="A82" s="69" t="s">
        <v>790</v>
      </c>
      <c r="B82" s="69" t="s">
        <v>791</v>
      </c>
      <c r="C82" s="69" t="s">
        <v>703</v>
      </c>
      <c r="D82" s="69" t="s">
        <v>469</v>
      </c>
      <c r="E82" s="69">
        <f>結果概要!B9</f>
        <v>9.2886422791138195</v>
      </c>
      <c r="F82" s="69" t="s">
        <v>1124</v>
      </c>
      <c r="G82" s="69" t="s">
        <v>1125</v>
      </c>
      <c r="H82" s="69" t="s">
        <v>765</v>
      </c>
      <c r="I82" s="69" t="s">
        <v>1126</v>
      </c>
      <c r="J82" s="69" t="s">
        <v>1127</v>
      </c>
      <c r="K82" s="69" t="s">
        <v>689</v>
      </c>
      <c r="L82" s="69" t="s">
        <v>1128</v>
      </c>
      <c r="M82" s="73" t="s">
        <v>886</v>
      </c>
    </row>
    <row r="83" spans="1:13" ht="71.25">
      <c r="A83" s="69" t="s">
        <v>790</v>
      </c>
      <c r="B83" s="69" t="s">
        <v>791</v>
      </c>
      <c r="C83" s="69" t="s">
        <v>801</v>
      </c>
      <c r="D83" s="69" t="s">
        <v>471</v>
      </c>
      <c r="E83" s="69">
        <f>結果概要!B10</f>
        <v>52.20754620661166</v>
      </c>
      <c r="F83" s="69" t="s">
        <v>1129</v>
      </c>
      <c r="G83" s="69" t="s">
        <v>1130</v>
      </c>
      <c r="H83" s="69" t="s">
        <v>769</v>
      </c>
      <c r="I83" s="69" t="s">
        <v>1131</v>
      </c>
      <c r="J83" s="69" t="s">
        <v>1127</v>
      </c>
      <c r="K83" s="69" t="s">
        <v>689</v>
      </c>
      <c r="L83" s="69" t="s">
        <v>804</v>
      </c>
      <c r="M83" s="73" t="s">
        <v>886</v>
      </c>
    </row>
    <row r="84" spans="1:13" ht="71.25">
      <c r="A84" s="69" t="s">
        <v>790</v>
      </c>
      <c r="B84" s="69" t="s">
        <v>791</v>
      </c>
      <c r="C84" s="69" t="s">
        <v>705</v>
      </c>
      <c r="D84" s="69" t="s">
        <v>473</v>
      </c>
      <c r="E84" s="69">
        <f>結果概要!B11</f>
        <v>35.538041078825607</v>
      </c>
      <c r="F84" s="69" t="s">
        <v>1132</v>
      </c>
      <c r="G84" s="69" t="s">
        <v>1133</v>
      </c>
      <c r="H84" s="69" t="s">
        <v>769</v>
      </c>
      <c r="I84" s="69" t="s">
        <v>1131</v>
      </c>
      <c r="J84" s="69" t="s">
        <v>1127</v>
      </c>
      <c r="K84" s="69" t="s">
        <v>689</v>
      </c>
      <c r="L84" s="69" t="s">
        <v>1134</v>
      </c>
      <c r="M84" s="73" t="s">
        <v>886</v>
      </c>
    </row>
    <row r="85" spans="1:13" ht="71.25">
      <c r="A85" s="69" t="s">
        <v>790</v>
      </c>
      <c r="B85" s="69" t="s">
        <v>791</v>
      </c>
      <c r="C85" s="69" t="s">
        <v>708</v>
      </c>
      <c r="D85" s="69" t="s">
        <v>474</v>
      </c>
      <c r="E85" s="69">
        <f>結果概要!B12</f>
        <v>61.83120884105471</v>
      </c>
      <c r="F85" s="69" t="s">
        <v>1135</v>
      </c>
      <c r="G85" s="69" t="s">
        <v>1136</v>
      </c>
      <c r="H85" s="69" t="s">
        <v>769</v>
      </c>
      <c r="I85" s="69" t="s">
        <v>1137</v>
      </c>
      <c r="J85" s="69" t="s">
        <v>1127</v>
      </c>
      <c r="K85" s="69" t="s">
        <v>689</v>
      </c>
      <c r="L85" s="69" t="s">
        <v>1138</v>
      </c>
      <c r="M85" s="73" t="s">
        <v>886</v>
      </c>
    </row>
    <row r="86" spans="1:13">
      <c r="A86" s="71" t="s">
        <v>790</v>
      </c>
      <c r="B86" s="71" t="s">
        <v>791</v>
      </c>
      <c r="C86" s="71" t="s">
        <v>906</v>
      </c>
      <c r="D86" s="71" t="s">
        <v>476</v>
      </c>
      <c r="E86" s="71">
        <f>結果概要!B13</f>
        <v>52.20754620661166</v>
      </c>
      <c r="F86" s="71" t="s">
        <v>1139</v>
      </c>
      <c r="G86" s="71" t="s">
        <v>1140</v>
      </c>
      <c r="H86" s="71" t="s">
        <v>913</v>
      </c>
      <c r="I86" s="71" t="s">
        <v>1141</v>
      </c>
      <c r="J86" s="71" t="s">
        <v>869</v>
      </c>
      <c r="K86" s="71" t="s">
        <v>749</v>
      </c>
      <c r="L86" s="71" t="s">
        <v>1142</v>
      </c>
      <c r="M86" s="73" t="s">
        <v>886</v>
      </c>
    </row>
    <row r="87" spans="1:13" ht="28.5">
      <c r="A87" s="71" t="s">
        <v>790</v>
      </c>
      <c r="B87" s="71" t="s">
        <v>791</v>
      </c>
      <c r="C87" s="71" t="s">
        <v>1143</v>
      </c>
      <c r="D87" s="71" t="s">
        <v>478</v>
      </c>
      <c r="E87" s="71">
        <f>結果概要!B14</f>
        <v>52.20754620661166</v>
      </c>
      <c r="F87" s="71" t="s">
        <v>1129</v>
      </c>
      <c r="G87" s="71" t="s">
        <v>1144</v>
      </c>
      <c r="H87" s="71" t="s">
        <v>649</v>
      </c>
      <c r="I87" s="71" t="s">
        <v>998</v>
      </c>
      <c r="J87" s="71" t="s">
        <v>869</v>
      </c>
      <c r="K87" s="71" t="s">
        <v>689</v>
      </c>
      <c r="L87" s="71" t="s">
        <v>1145</v>
      </c>
      <c r="M87" s="73" t="s">
        <v>886</v>
      </c>
    </row>
    <row r="88" spans="1:13">
      <c r="A88" s="71" t="s">
        <v>790</v>
      </c>
      <c r="B88" s="71" t="s">
        <v>791</v>
      </c>
      <c r="C88" s="71" t="s">
        <v>713</v>
      </c>
      <c r="D88" s="71" t="s">
        <v>480</v>
      </c>
      <c r="E88" s="71">
        <f>結果概要!B15</f>
        <v>35.538041078825607</v>
      </c>
      <c r="F88" s="71" t="s">
        <v>1146</v>
      </c>
      <c r="G88" s="71" t="s">
        <v>1140</v>
      </c>
      <c r="H88" s="71" t="s">
        <v>913</v>
      </c>
      <c r="I88" s="71" t="s">
        <v>1147</v>
      </c>
      <c r="J88" s="71" t="s">
        <v>869</v>
      </c>
      <c r="K88" s="71" t="s">
        <v>749</v>
      </c>
      <c r="L88" s="71" t="s">
        <v>1148</v>
      </c>
      <c r="M88" s="73" t="s">
        <v>886</v>
      </c>
    </row>
    <row r="89" spans="1:13" ht="28.5">
      <c r="A89" s="71" t="s">
        <v>790</v>
      </c>
      <c r="B89" s="71" t="s">
        <v>791</v>
      </c>
      <c r="C89" s="71" t="s">
        <v>718</v>
      </c>
      <c r="D89" s="71" t="s">
        <v>481</v>
      </c>
      <c r="E89" s="71">
        <f>結果概要!B16</f>
        <v>35.538041078825607</v>
      </c>
      <c r="F89" s="71" t="s">
        <v>1132</v>
      </c>
      <c r="G89" s="71" t="s">
        <v>1144</v>
      </c>
      <c r="H89" s="71" t="s">
        <v>649</v>
      </c>
      <c r="I89" s="71" t="s">
        <v>998</v>
      </c>
      <c r="J89" s="71" t="s">
        <v>869</v>
      </c>
      <c r="K89" s="71" t="s">
        <v>689</v>
      </c>
      <c r="L89" s="71" t="s">
        <v>1145</v>
      </c>
      <c r="M89" s="73" t="s">
        <v>886</v>
      </c>
    </row>
    <row r="90" spans="1:13" ht="28.5">
      <c r="A90" s="71" t="s">
        <v>790</v>
      </c>
      <c r="B90" s="71" t="s">
        <v>791</v>
      </c>
      <c r="C90" s="71" t="s">
        <v>1149</v>
      </c>
      <c r="D90" s="71" t="s">
        <v>482</v>
      </c>
      <c r="E90" s="71">
        <f>結果概要!B17</f>
        <v>61.831208841054696</v>
      </c>
      <c r="F90" s="71" t="s">
        <v>1150</v>
      </c>
      <c r="G90" s="71" t="s">
        <v>1140</v>
      </c>
      <c r="H90" s="71" t="s">
        <v>913</v>
      </c>
      <c r="I90" s="71" t="s">
        <v>1151</v>
      </c>
      <c r="J90" s="71" t="s">
        <v>869</v>
      </c>
      <c r="K90" s="71" t="s">
        <v>749</v>
      </c>
      <c r="L90" s="71" t="s">
        <v>1152</v>
      </c>
      <c r="M90" s="73" t="s">
        <v>886</v>
      </c>
    </row>
    <row r="91" spans="1:13" ht="28.5">
      <c r="A91" s="71" t="s">
        <v>790</v>
      </c>
      <c r="B91" s="71" t="s">
        <v>791</v>
      </c>
      <c r="C91" s="71" t="s">
        <v>1153</v>
      </c>
      <c r="D91" s="71" t="s">
        <v>483</v>
      </c>
      <c r="E91" s="71">
        <f>結果概要!B18</f>
        <v>61.83120884105471</v>
      </c>
      <c r="F91" s="71" t="s">
        <v>1135</v>
      </c>
      <c r="G91" s="71" t="s">
        <v>1144</v>
      </c>
      <c r="H91" s="71" t="s">
        <v>649</v>
      </c>
      <c r="I91" s="71" t="s">
        <v>998</v>
      </c>
      <c r="J91" s="71" t="s">
        <v>869</v>
      </c>
      <c r="K91" s="71" t="s">
        <v>689</v>
      </c>
      <c r="L91" s="71" t="s">
        <v>1145</v>
      </c>
      <c r="M91" s="73" t="s">
        <v>886</v>
      </c>
    </row>
    <row r="92" spans="1:13">
      <c r="A92" s="72" t="s">
        <v>790</v>
      </c>
      <c r="B92" s="72" t="s">
        <v>791</v>
      </c>
      <c r="C92" s="72" t="s">
        <v>1154</v>
      </c>
      <c r="D92" s="72" t="s">
        <v>146</v>
      </c>
      <c r="E92" s="72">
        <f>結果概要!B19</f>
        <v>31.625366046137248</v>
      </c>
      <c r="F92" s="72" t="s">
        <v>1155</v>
      </c>
      <c r="G92" s="72" t="s">
        <v>1156</v>
      </c>
      <c r="H92" s="72" t="s">
        <v>655</v>
      </c>
      <c r="I92" s="72" t="s">
        <v>1029</v>
      </c>
      <c r="J92" s="72" t="s">
        <v>658</v>
      </c>
      <c r="K92" s="72" t="s">
        <v>749</v>
      </c>
      <c r="L92" s="72" t="s">
        <v>1039</v>
      </c>
      <c r="M92" s="73" t="s">
        <v>886</v>
      </c>
    </row>
    <row r="93" spans="1:13" ht="57">
      <c r="A93" s="69" t="s">
        <v>790</v>
      </c>
      <c r="B93" s="69" t="s">
        <v>791</v>
      </c>
      <c r="C93" s="69" t="s">
        <v>1157</v>
      </c>
      <c r="D93" s="69" t="s">
        <v>485</v>
      </c>
      <c r="E93" s="69">
        <f>結果概要!B20</f>
        <v>108.85095371068257</v>
      </c>
      <c r="F93" s="69" t="s">
        <v>1158</v>
      </c>
      <c r="G93" s="69" t="s">
        <v>1159</v>
      </c>
      <c r="H93" s="69" t="s">
        <v>752</v>
      </c>
      <c r="I93" s="69" t="s">
        <v>1008</v>
      </c>
      <c r="J93" s="69" t="s">
        <v>862</v>
      </c>
      <c r="K93" s="69" t="s">
        <v>689</v>
      </c>
      <c r="L93" s="69" t="s">
        <v>1160</v>
      </c>
      <c r="M93" s="73" t="s">
        <v>886</v>
      </c>
    </row>
    <row r="94" spans="1:13" ht="28.5">
      <c r="A94" s="72" t="s">
        <v>790</v>
      </c>
      <c r="B94" s="72" t="s">
        <v>791</v>
      </c>
      <c r="C94" s="72" t="s">
        <v>1161</v>
      </c>
      <c r="D94" s="72" t="s">
        <v>153</v>
      </c>
      <c r="E94" s="72">
        <f>結果概要!B23</f>
        <v>0</v>
      </c>
      <c r="F94" s="72" t="s">
        <v>1162</v>
      </c>
      <c r="G94" s="72" t="s">
        <v>1163</v>
      </c>
      <c r="H94" s="72" t="s">
        <v>1049</v>
      </c>
      <c r="I94" s="72" t="s">
        <v>1164</v>
      </c>
      <c r="J94" s="72" t="s">
        <v>658</v>
      </c>
      <c r="K94" s="72" t="s">
        <v>700</v>
      </c>
      <c r="L94" s="72" t="s">
        <v>1051</v>
      </c>
      <c r="M94" s="73" t="s">
        <v>886</v>
      </c>
    </row>
    <row r="95" spans="1:13">
      <c r="A95" s="72" t="s">
        <v>790</v>
      </c>
      <c r="B95" s="72" t="s">
        <v>791</v>
      </c>
      <c r="C95" s="72" t="s">
        <v>1165</v>
      </c>
      <c r="D95" s="72" t="s">
        <v>176</v>
      </c>
      <c r="E95" s="72">
        <f>結果概要!B24</f>
        <v>1.6449340668482262</v>
      </c>
      <c r="F95" s="72" t="s">
        <v>1166</v>
      </c>
      <c r="G95" s="72" t="s">
        <v>1167</v>
      </c>
      <c r="H95" s="72" t="s">
        <v>1049</v>
      </c>
      <c r="I95" s="72" t="s">
        <v>1168</v>
      </c>
      <c r="J95" s="72" t="s">
        <v>658</v>
      </c>
      <c r="K95" s="72" t="s">
        <v>700</v>
      </c>
      <c r="L95" s="72" t="s">
        <v>1051</v>
      </c>
      <c r="M95" s="73" t="s">
        <v>886</v>
      </c>
    </row>
    <row r="96" spans="1:13" ht="85.5">
      <c r="A96" s="69" t="s">
        <v>790</v>
      </c>
      <c r="B96" s="69" t="s">
        <v>791</v>
      </c>
      <c r="C96" s="69" t="s">
        <v>1169</v>
      </c>
      <c r="D96" s="69" t="s">
        <v>493</v>
      </c>
      <c r="E96" s="69">
        <f>結果概要!B25</f>
        <v>3.1415926535897931</v>
      </c>
      <c r="F96" s="69" t="s">
        <v>1170</v>
      </c>
      <c r="G96" s="69" t="s">
        <v>1171</v>
      </c>
      <c r="H96" s="69" t="s">
        <v>743</v>
      </c>
      <c r="I96" s="69" t="s">
        <v>1172</v>
      </c>
      <c r="J96" s="69" t="s">
        <v>951</v>
      </c>
      <c r="K96" s="69" t="s">
        <v>689</v>
      </c>
      <c r="L96" s="69" t="s">
        <v>1173</v>
      </c>
      <c r="M96" s="73" t="s">
        <v>886</v>
      </c>
    </row>
    <row r="97" spans="1:13">
      <c r="A97" s="72" t="s">
        <v>790</v>
      </c>
      <c r="B97" s="72" t="s">
        <v>791</v>
      </c>
      <c r="C97" s="72" t="s">
        <v>897</v>
      </c>
      <c r="D97" s="72" t="s">
        <v>181</v>
      </c>
      <c r="E97" s="72">
        <f>結果概要!B26</f>
        <v>0.35418180987483577</v>
      </c>
      <c r="F97" s="72" t="s">
        <v>1174</v>
      </c>
      <c r="G97" s="72" t="s">
        <v>1175</v>
      </c>
      <c r="H97" s="72" t="s">
        <v>1049</v>
      </c>
      <c r="I97" s="72" t="s">
        <v>1176</v>
      </c>
      <c r="J97" s="72" t="s">
        <v>658</v>
      </c>
      <c r="K97" s="72" t="s">
        <v>700</v>
      </c>
      <c r="L97" s="72" t="s">
        <v>1051</v>
      </c>
      <c r="M97" s="73" t="s">
        <v>886</v>
      </c>
    </row>
    <row r="98" spans="1:13" ht="57">
      <c r="A98" s="69" t="s">
        <v>790</v>
      </c>
      <c r="B98" s="69" t="s">
        <v>791</v>
      </c>
      <c r="C98" s="69" t="s">
        <v>899</v>
      </c>
      <c r="D98" s="69" t="s">
        <v>496</v>
      </c>
      <c r="E98" s="69">
        <f>結果概要!B27</f>
        <v>1.6449340668482262</v>
      </c>
      <c r="F98" s="69" t="s">
        <v>1177</v>
      </c>
      <c r="G98" s="69" t="s">
        <v>1178</v>
      </c>
      <c r="H98" s="69" t="s">
        <v>752</v>
      </c>
      <c r="I98" s="69" t="s">
        <v>1008</v>
      </c>
      <c r="J98" s="69" t="s">
        <v>862</v>
      </c>
      <c r="K98" s="69" t="s">
        <v>689</v>
      </c>
      <c r="L98" s="69" t="s">
        <v>1160</v>
      </c>
      <c r="M98" s="73" t="s">
        <v>886</v>
      </c>
    </row>
    <row r="99" spans="1:13">
      <c r="A99" s="72" t="s">
        <v>790</v>
      </c>
      <c r="B99" s="72" t="s">
        <v>791</v>
      </c>
      <c r="C99" s="72" t="s">
        <v>900</v>
      </c>
      <c r="D99" s="72" t="s">
        <v>155</v>
      </c>
      <c r="E99" s="72">
        <f>結果概要!B28</f>
        <v>1.1779262442499523</v>
      </c>
      <c r="F99" s="72" t="s">
        <v>1179</v>
      </c>
      <c r="G99" s="72" t="s">
        <v>1180</v>
      </c>
      <c r="H99" s="72" t="s">
        <v>1049</v>
      </c>
      <c r="I99" s="72" t="s">
        <v>1089</v>
      </c>
      <c r="J99" s="72" t="s">
        <v>658</v>
      </c>
      <c r="K99" s="72" t="s">
        <v>700</v>
      </c>
      <c r="L99" s="72" t="s">
        <v>1051</v>
      </c>
      <c r="M99" s="73" t="s">
        <v>886</v>
      </c>
    </row>
    <row r="100" spans="1:13">
      <c r="A100" s="72" t="s">
        <v>790</v>
      </c>
      <c r="B100" s="72" t="s">
        <v>791</v>
      </c>
      <c r="C100" s="72" t="s">
        <v>902</v>
      </c>
      <c r="D100" s="72" t="s">
        <v>499</v>
      </c>
      <c r="E100" s="72">
        <f>結果概要!B29</f>
        <v>0.46700782259827389</v>
      </c>
      <c r="F100" s="72" t="s">
        <v>1181</v>
      </c>
      <c r="G100" s="72" t="s">
        <v>1182</v>
      </c>
      <c r="H100" s="72" t="s">
        <v>1049</v>
      </c>
      <c r="I100" s="72" t="s">
        <v>1183</v>
      </c>
      <c r="J100" s="72" t="s">
        <v>658</v>
      </c>
      <c r="K100" s="72" t="s">
        <v>700</v>
      </c>
      <c r="L100" s="72" t="s">
        <v>1096</v>
      </c>
      <c r="M100" s="73" t="s">
        <v>886</v>
      </c>
    </row>
    <row r="101" spans="1:13" ht="28.5">
      <c r="A101" s="72" t="s">
        <v>790</v>
      </c>
      <c r="B101" s="72" t="s">
        <v>791</v>
      </c>
      <c r="C101" s="72" t="s">
        <v>1184</v>
      </c>
      <c r="D101" s="72" t="s">
        <v>501</v>
      </c>
      <c r="E101" s="72">
        <f>結果概要!B30</f>
        <v>64.436675892815629</v>
      </c>
      <c r="F101" s="72" t="s">
        <v>1185</v>
      </c>
      <c r="G101" s="72" t="s">
        <v>1186</v>
      </c>
      <c r="H101" s="72" t="s">
        <v>1049</v>
      </c>
      <c r="I101" s="72" t="s">
        <v>1183</v>
      </c>
      <c r="J101" s="72" t="s">
        <v>658</v>
      </c>
      <c r="K101" s="72" t="s">
        <v>700</v>
      </c>
      <c r="L101" s="72" t="s">
        <v>1096</v>
      </c>
      <c r="M101" s="73" t="s">
        <v>886</v>
      </c>
    </row>
    <row r="102" spans="1:13">
      <c r="A102" s="72" t="s">
        <v>790</v>
      </c>
      <c r="B102" s="72" t="s">
        <v>791</v>
      </c>
      <c r="C102" s="72" t="s">
        <v>1187</v>
      </c>
      <c r="D102" s="72" t="s">
        <v>503</v>
      </c>
      <c r="E102" s="72">
        <f>結果概要!B31</f>
        <v>62.581945889096296</v>
      </c>
      <c r="F102" s="72" t="s">
        <v>1188</v>
      </c>
      <c r="G102" s="72" t="s">
        <v>1189</v>
      </c>
      <c r="H102" s="72" t="s">
        <v>1049</v>
      </c>
      <c r="I102" s="72" t="s">
        <v>1190</v>
      </c>
      <c r="J102" s="72" t="s">
        <v>658</v>
      </c>
      <c r="K102" s="72" t="s">
        <v>700</v>
      </c>
      <c r="L102" s="72" t="s">
        <v>1104</v>
      </c>
      <c r="M102" s="73" t="s">
        <v>886</v>
      </c>
    </row>
    <row r="103" spans="1:13">
      <c r="A103" s="72" t="s">
        <v>790</v>
      </c>
      <c r="B103" s="72" t="s">
        <v>791</v>
      </c>
      <c r="C103" s="72" t="s">
        <v>820</v>
      </c>
      <c r="D103" s="72" t="s">
        <v>505</v>
      </c>
      <c r="E103" s="72">
        <f>結果概要!B32</f>
        <v>2.6054670517609182</v>
      </c>
      <c r="F103" s="72" t="s">
        <v>1188</v>
      </c>
      <c r="G103" s="72" t="s">
        <v>1191</v>
      </c>
      <c r="H103" s="72" t="s">
        <v>1049</v>
      </c>
      <c r="I103" s="72" t="s">
        <v>1190</v>
      </c>
      <c r="J103" s="72" t="s">
        <v>658</v>
      </c>
      <c r="K103" s="72" t="s">
        <v>700</v>
      </c>
      <c r="L103" s="72" t="s">
        <v>1104</v>
      </c>
      <c r="M103" s="73" t="s">
        <v>886</v>
      </c>
    </row>
    <row r="104" spans="1:13">
      <c r="A104" s="70" t="s">
        <v>790</v>
      </c>
      <c r="B104" s="70" t="s">
        <v>791</v>
      </c>
      <c r="C104" s="70" t="s">
        <v>823</v>
      </c>
      <c r="D104" s="70" t="s">
        <v>135</v>
      </c>
      <c r="E104" s="70">
        <f>結果概要!B33</f>
        <v>0.75073704804158581</v>
      </c>
      <c r="F104" s="70" t="s">
        <v>1192</v>
      </c>
      <c r="G104" s="70" t="s">
        <v>1193</v>
      </c>
      <c r="H104" s="70" t="s">
        <v>660</v>
      </c>
      <c r="I104" s="70" t="s">
        <v>1050</v>
      </c>
      <c r="J104" s="70" t="s">
        <v>658</v>
      </c>
      <c r="K104" s="70" t="s">
        <v>700</v>
      </c>
      <c r="L104" s="70" t="s">
        <v>1104</v>
      </c>
      <c r="M104" s="73" t="s">
        <v>886</v>
      </c>
    </row>
    <row r="105" spans="1:13">
      <c r="A105" t="s">
        <v>683</v>
      </c>
      <c r="B105" t="s">
        <v>684</v>
      </c>
      <c r="C105" t="s">
        <v>820</v>
      </c>
      <c r="D105" t="s">
        <v>217</v>
      </c>
      <c r="E105">
        <f>入力条件!B32</f>
        <v>10</v>
      </c>
      <c r="F105" t="s">
        <v>661</v>
      </c>
      <c r="G105" t="s">
        <v>662</v>
      </c>
      <c r="H105" t="s">
        <v>660</v>
      </c>
      <c r="I105" t="s">
        <v>1194</v>
      </c>
      <c r="J105" t="s">
        <v>658</v>
      </c>
      <c r="K105" t="s">
        <v>700</v>
      </c>
      <c r="L105" t="s">
        <v>1195</v>
      </c>
      <c r="M105" t="s">
        <v>886</v>
      </c>
    </row>
    <row r="106" spans="1:13">
      <c r="A106" t="s">
        <v>683</v>
      </c>
      <c r="B106" t="s">
        <v>684</v>
      </c>
      <c r="C106" t="s">
        <v>823</v>
      </c>
      <c r="D106" t="s">
        <v>220</v>
      </c>
      <c r="E106">
        <f>入力条件!B33</f>
        <v>1000</v>
      </c>
      <c r="F106" t="s">
        <v>661</v>
      </c>
      <c r="G106" t="s">
        <v>824</v>
      </c>
      <c r="H106" t="s">
        <v>825</v>
      </c>
      <c r="I106" t="s">
        <v>1196</v>
      </c>
      <c r="J106" t="s">
        <v>668</v>
      </c>
      <c r="K106" t="s">
        <v>749</v>
      </c>
      <c r="L106" t="s">
        <v>222</v>
      </c>
      <c r="M106" t="s">
        <v>886</v>
      </c>
    </row>
    <row r="107" spans="1:13">
      <c r="A107" t="s">
        <v>683</v>
      </c>
      <c r="B107" t="s">
        <v>684</v>
      </c>
      <c r="C107" t="s">
        <v>828</v>
      </c>
      <c r="D107" t="s">
        <v>223</v>
      </c>
      <c r="E107">
        <f>入力条件!B34</f>
        <v>0.1</v>
      </c>
      <c r="F107" t="s">
        <v>661</v>
      </c>
      <c r="G107" t="s">
        <v>829</v>
      </c>
      <c r="H107" t="s">
        <v>660</v>
      </c>
      <c r="I107" t="s">
        <v>1197</v>
      </c>
      <c r="J107" t="s">
        <v>658</v>
      </c>
      <c r="K107" t="s">
        <v>700</v>
      </c>
      <c r="L107" t="s">
        <v>1198</v>
      </c>
      <c r="M107" t="s">
        <v>886</v>
      </c>
    </row>
    <row r="108" spans="1:13">
      <c r="A108" t="s">
        <v>831</v>
      </c>
      <c r="B108" t="s">
        <v>723</v>
      </c>
      <c r="C108" t="s">
        <v>832</v>
      </c>
      <c r="D108" t="s">
        <v>398</v>
      </c>
      <c r="E108">
        <f>計算詳細!D60</f>
        <v>3.6741214057507987E-3</v>
      </c>
      <c r="F108" t="s">
        <v>1199</v>
      </c>
      <c r="G108" t="s">
        <v>1200</v>
      </c>
      <c r="H108" t="s">
        <v>834</v>
      </c>
      <c r="I108" t="s">
        <v>1201</v>
      </c>
      <c r="J108" t="s">
        <v>862</v>
      </c>
      <c r="K108" t="s">
        <v>749</v>
      </c>
      <c r="L108" t="s">
        <v>1202</v>
      </c>
      <c r="M108" t="s">
        <v>886</v>
      </c>
    </row>
    <row r="109" spans="1:13">
      <c r="A109" t="s">
        <v>831</v>
      </c>
      <c r="B109" t="s">
        <v>723</v>
      </c>
      <c r="C109" t="s">
        <v>1203</v>
      </c>
      <c r="D109" t="s">
        <v>404</v>
      </c>
      <c r="E109">
        <f>計算詳細!D61</f>
        <v>43.317823641533252</v>
      </c>
      <c r="F109" t="s">
        <v>1204</v>
      </c>
      <c r="G109" t="s">
        <v>1205</v>
      </c>
      <c r="H109" t="s">
        <v>655</v>
      </c>
      <c r="I109" t="s">
        <v>1206</v>
      </c>
      <c r="J109" t="s">
        <v>658</v>
      </c>
      <c r="K109" t="s">
        <v>749</v>
      </c>
      <c r="L109" t="s">
        <v>408</v>
      </c>
      <c r="M109" t="s">
        <v>886</v>
      </c>
    </row>
    <row r="110" spans="1:13">
      <c r="A110" t="s">
        <v>831</v>
      </c>
      <c r="B110" t="s">
        <v>723</v>
      </c>
      <c r="C110" t="s">
        <v>837</v>
      </c>
      <c r="D110" t="s">
        <v>414</v>
      </c>
      <c r="E110">
        <f>計算詳細!D63</f>
        <v>11.074551752247487</v>
      </c>
      <c r="F110" t="s">
        <v>1207</v>
      </c>
      <c r="G110" t="s">
        <v>1208</v>
      </c>
      <c r="H110" t="s">
        <v>838</v>
      </c>
      <c r="I110" t="s">
        <v>1209</v>
      </c>
      <c r="J110" t="s">
        <v>658</v>
      </c>
      <c r="K110" t="s">
        <v>749</v>
      </c>
      <c r="L110" t="s">
        <v>1210</v>
      </c>
      <c r="M110" t="s">
        <v>886</v>
      </c>
    </row>
    <row r="111" spans="1:13">
      <c r="A111" t="s">
        <v>831</v>
      </c>
      <c r="B111" t="s">
        <v>723</v>
      </c>
      <c r="C111" t="s">
        <v>841</v>
      </c>
      <c r="D111" t="s">
        <v>428</v>
      </c>
      <c r="E111">
        <f>計算詳細!D66</f>
        <v>71.389232512555239</v>
      </c>
      <c r="F111" t="s">
        <v>1211</v>
      </c>
      <c r="G111" t="s">
        <v>1212</v>
      </c>
      <c r="H111" t="s">
        <v>842</v>
      </c>
      <c r="I111" t="s">
        <v>585</v>
      </c>
      <c r="J111" t="s">
        <v>869</v>
      </c>
      <c r="K111" t="s">
        <v>749</v>
      </c>
      <c r="L111" t="s">
        <v>844</v>
      </c>
      <c r="M111" t="s">
        <v>886</v>
      </c>
    </row>
    <row r="112" spans="1:13">
      <c r="A112" t="s">
        <v>831</v>
      </c>
      <c r="B112" t="s">
        <v>723</v>
      </c>
      <c r="C112" t="s">
        <v>1213</v>
      </c>
      <c r="D112" t="s">
        <v>433</v>
      </c>
      <c r="E112">
        <f>計算詳細!D67</f>
        <v>71.389232512555253</v>
      </c>
      <c r="F112" t="s">
        <v>1214</v>
      </c>
      <c r="G112" t="s">
        <v>1215</v>
      </c>
      <c r="H112" t="s">
        <v>842</v>
      </c>
      <c r="I112" t="s">
        <v>582</v>
      </c>
      <c r="J112" t="s">
        <v>869</v>
      </c>
      <c r="K112" t="s">
        <v>749</v>
      </c>
      <c r="L112" t="s">
        <v>1216</v>
      </c>
      <c r="M112" t="s">
        <v>886</v>
      </c>
    </row>
    <row r="113" spans="1:13">
      <c r="A113" t="s">
        <v>831</v>
      </c>
      <c r="B113" t="s">
        <v>723</v>
      </c>
      <c r="C113" t="s">
        <v>845</v>
      </c>
      <c r="D113" t="s">
        <v>515</v>
      </c>
      <c r="E113">
        <f>計算詳細!D70</f>
        <v>69.583460853321355</v>
      </c>
      <c r="F113" t="s">
        <v>1217</v>
      </c>
      <c r="G113" t="s">
        <v>1218</v>
      </c>
      <c r="H113" t="s">
        <v>1219</v>
      </c>
      <c r="I113" t="s">
        <v>1220</v>
      </c>
      <c r="J113" t="s">
        <v>1221</v>
      </c>
      <c r="K113" t="s">
        <v>749</v>
      </c>
      <c r="L113" t="s">
        <v>453</v>
      </c>
      <c r="M113" t="s">
        <v>886</v>
      </c>
    </row>
    <row r="114" spans="1:13">
      <c r="A114" t="s">
        <v>831</v>
      </c>
      <c r="B114" t="s">
        <v>791</v>
      </c>
      <c r="C114" t="s">
        <v>849</v>
      </c>
      <c r="D114" t="s">
        <v>511</v>
      </c>
      <c r="E114">
        <f>結果概要!B38</f>
        <v>71.389232512555253</v>
      </c>
      <c r="F114" t="s">
        <v>850</v>
      </c>
      <c r="G114" t="s">
        <v>850</v>
      </c>
      <c r="H114" t="s">
        <v>842</v>
      </c>
      <c r="I114" t="s">
        <v>851</v>
      </c>
      <c r="J114" t="s">
        <v>869</v>
      </c>
      <c r="K114" t="s">
        <v>749</v>
      </c>
      <c r="L114" t="s">
        <v>852</v>
      </c>
      <c r="M114" t="s">
        <v>886</v>
      </c>
    </row>
    <row r="115" spans="1:13">
      <c r="A115" t="s">
        <v>831</v>
      </c>
      <c r="B115" t="s">
        <v>791</v>
      </c>
      <c r="C115" t="s">
        <v>1222</v>
      </c>
      <c r="D115" t="s">
        <v>513</v>
      </c>
      <c r="E115">
        <f>結果概要!B39</f>
        <v>19.181686305943593</v>
      </c>
      <c r="F115" t="s">
        <v>1223</v>
      </c>
      <c r="G115" t="s">
        <v>1224</v>
      </c>
      <c r="H115" t="s">
        <v>655</v>
      </c>
      <c r="I115" t="s">
        <v>1225</v>
      </c>
      <c r="J115" t="s">
        <v>658</v>
      </c>
      <c r="K115" t="s">
        <v>749</v>
      </c>
      <c r="L115" t="s">
        <v>1226</v>
      </c>
      <c r="M115" t="s">
        <v>886</v>
      </c>
    </row>
  </sheetData>
  <mergeCells count="3">
    <mergeCell ref="A1:M1"/>
    <mergeCell ref="A3:M3"/>
    <mergeCell ref="A12:M12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入力条件</vt:lpstr>
      <vt:lpstr>計算詳細</vt:lpstr>
      <vt:lpstr>結果概要</vt:lpstr>
      <vt:lpstr>グラフ</vt:lpstr>
      <vt:lpstr>導出メモ</vt:lpstr>
      <vt:lpstr>定義整理</vt:lpstr>
      <vt:lpstr>Kollmorgen定義対応表</vt:lpstr>
      <vt:lpstr>Kollmorgen定義対応表_詳細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一裕 向井</cp:lastModifiedBy>
  <dcterms:modified xsi:type="dcterms:W3CDTF">2026-04-19T09:26:10Z</dcterms:modified>
</cp:coreProperties>
</file>