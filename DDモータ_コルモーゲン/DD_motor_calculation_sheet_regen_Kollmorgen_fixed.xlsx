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99ad31dcd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条件" sheetId="1" r:id="R95449e495e984ae4"/>
    <x:sheet xmlns:r="http://schemas.openxmlformats.org/officeDocument/2006/relationships" name="計算詳細" sheetId="2" r:id="Rd6f819af6cfa4455"/>
    <x:sheet xmlns:r="http://schemas.openxmlformats.org/officeDocument/2006/relationships" name="結果概要" sheetId="3" r:id="R99b3b0764094477b"/>
    <x:sheet xmlns:r="http://schemas.openxmlformats.org/officeDocument/2006/relationships" name="グラフ" sheetId="4" r:id="R32d28723e7bb4c76"/>
    <x:sheet xmlns:r="http://schemas.openxmlformats.org/officeDocument/2006/relationships" name="導出メモ" sheetId="5" r:id="Rde630de768e74db6"/>
    <x:sheet xmlns:r="http://schemas.openxmlformats.org/officeDocument/2006/relationships" name="定義整理" sheetId="6" r:id="Ra2a6c57878b54830"/>
  </x:sheets>
</x:workbook>
</file>

<file path=xl/sharedStrings.xml><?xml version="1.0" encoding="utf-8"?>
<x:sst xmlns:x="http://schemas.openxmlformats.org/spreadsheetml/2006/main">
  <x:si>
    <x:t xml:space="preserve">入力項目</x:t>
  </x:si>
  <x:si>
    <x:t xml:space="preserve">値</x:t>
  </x:si>
  <x:si>
    <x:t xml:space="preserve">単位</x:t>
  </x:si>
  <x:si>
    <x:t xml:space="preserve">備考</x:t>
  </x:si>
  <x:si>
    <x:t xml:space="preserve">インバータ設計設定</x:t>
  </x:si>
  <x:si>
    <x:t xml:space="preserve">変調方式</x:t>
  </x:si>
  <x:si>
    <x:t xml:space="preserve">SVPWM</x:t>
  </x:si>
  <x:si>
    <x:t xml:space="preserve">-</x:t>
  </x:si>
  <x:si>
    <x:t xml:space="preserve">ここを SPWM / SVPWM で切替</x:t>
  </x:si>
  <x:si>
    <x:t xml:space="preserve">線間基本波rms / Vdc 係数 k_mod</x:t>
  </x:si>
  <x:si>
    <x:t xml:space="preserve">SPWM: 0.612, SVPWM: 0.707</x:t>
  </x:si>
  <x:si>
    <x:t xml:space="preserve">相基本波peak / Vdc 係数 k_ph,max</x:t>
  </x:si>
  <x:si>
    <x:t xml:space="preserve">SPWM: 0.500, SVPWM: 0.577</x:t>
  </x:si>
  <x:si>
    <x:t xml:space="preserve">DCバス換算の採用式</x:t>
  </x:si>
  <x:si>
    <x:t xml:space="preserve">相peak基準版と線間rms基準版は同値</x:t>
  </x:si>
  <x:si>
    <x:t xml:space="preserve">計算前提</x:t>
  </x:si>
  <x:si>
    <x:t xml:space="preserve">内容</x:t>
  </x:si>
  <x:si>
    <x:t xml:space="preserve">モータモデル</x:t>
  </x:si>
  <x:si>
    <x:t xml:space="preserve">3相PMSM相当</x:t>
  </x:si>
  <x:si>
    <x:t xml:space="preserve">制御前提</x:t>
  </x:si>
  <x:si>
    <x:t xml:space="preserve">正弦波電流、id = 0制御</x:t>
  </x:si>
  <x:si>
    <x:t xml:space="preserve">発熱の扱い</x:t>
  </x:si>
  <x:si>
    <x:t xml:space="preserve">巻線の銅損を発熱量として計算</x:t>
  </x:si>
  <x:si>
    <x:t xml:space="preserve">効率の扱い</x:t>
  </x:si>
  <x:si>
    <x:t xml:space="preserve">機械出力 / (機械出力 + 銅損)</x:t>
  </x:si>
  <x:si>
    <x:t xml:space="preserve">回生制動（停止時）入力</x:t>
  </x:si>
  <x:si>
    <x:t xml:space="preserve">慣性モーメント J</x:t>
  </x:si>
  <x:si>
    <x:t xml:space="preserve">kg·m²</x:t>
  </x:si>
  <x:si>
    <x:t xml:space="preserve">停止前の等価慣性モーメント</x:t>
  </x:si>
  <x:si>
    <x:t xml:space="preserve">減速時間 t_dec</x:t>
  </x:si>
  <x:si>
    <x:t xml:space="preserve">s</x:t>
  </x:si>
  <x:si>
    <x:t xml:space="preserve">10 rpm → 0 rpm を1 sで停止</x:t>
  </x:si>
  <x:si>
    <x:t xml:space="preserve">DCバス容量 C_dc</x:t>
  </x:si>
  <x:si>
    <x:t xml:space="preserve">F</x:t>
  </x:si>
  <x:si>
    <x:t xml:space="preserve">回生電圧上昇予測に必要（初期値: 10 mF、適宜変更）</x:t>
  </x:si>
  <x:si>
    <x:t xml:space="preserve">回生開始DCバス電圧 Vdc_init</x:t>
  </x:si>
  <x:si>
    <x:t xml:space="preserve">V</x:t>
  </x:si>
  <x:si>
    <x:t xml:space="preserve">初期値は推奨最小DCバス。実機のDCバス公称値へ上書き可</x:t>
  </x:si>
  <x:si>
    <x:t xml:space="preserve">回生計算の前提</x:t>
  </x:si>
  <x:si>
    <x:t xml:space="preserve">運動エネルギー→DCコンデンサ。理想版と銅損考慮版を併記</x:t>
  </x:si>
  <x:si>
    <x:t xml:space="preserve">理想版: 全慣性エネルギーがC_dcへ流入 / 実効版: 銅損を差し引く</x:t>
  </x:si>
  <x:si>
    <x:t xml:space="preserve">項目</x:t>
  </x:si>
  <x:si>
    <x:t xml:space="preserve">一般式</x:t>
  </x:si>
  <x:si>
    <x:t xml:space="preserve">Excel式（文字列）</x:t>
  </x:si>
  <x:si>
    <x:t xml:space="preserve">計算結果</x:t>
  </x:si>
  <x:si>
    <x:t xml:space="preserve">式の説明</x:t>
  </x:si>
  <x:si>
    <x:t xml:space="preserve">補足</x:t>
  </x:si>
  <x:si>
    <x:t xml:space="preserve">導出メモ</x:t>
  </x:si>
  <x:si>
    <x:t xml:space="preserve">回生制動（停止時）の計算</x:t>
  </x:si>
  <x:si>
    <x:t xml:space="preserve">回生開始機械角速度 ω_m,reg,start</x:t>
  </x:si>
  <x:si>
    <x:t xml:space="preserve">n_ss × 2π / 60</x:t>
  </x:si>
  <x:si>
    <x:t xml:space="preserve">入力条件!B9×2π/60</x:t>
  </x:si>
  <x:si>
    <x:t xml:space="preserve">rad/s</x:t>
  </x:si>
  <x:si>
    <x:t xml:space="preserve">停止直前の機械角速度。定常時回転速度から計算。</x:t>
  </x:si>
  <x:si>
    <x:t xml:space="preserve">停止前速度は定常時10 rpmを使用</x:t>
  </x:si>
  <x:si>
    <x:t xml:space="preserve">停止開始時の運動エネルギー計算の起点。</x:t>
  </x:si>
  <x:si>
    <x:t xml:space="preserve">減速度絶対値 |α_dec|</x:t>
  </x:si>
  <x:si>
    <x:t xml:space="preserve">ω_m,reg,start / t_dec</x:t>
  </x:si>
  <x:si>
    <x:t xml:space="preserve">D42/入力条件!B27</x:t>
  </x:si>
  <x:si>
    <x:t xml:space="preserve">rad/s²</x:t>
  </x:si>
  <x:si>
    <x:t xml:space="preserve">一定減速度で 10 rpm → 0 rpm と仮定。</x:t>
  </x:si>
  <x:si>
    <x:t xml:space="preserve">符号は負だが、ここでは大きさで表示</x:t>
  </x:si>
  <x:si>
    <x:t xml:space="preserve">ω(t)=ω0(1-t/t_dec) と置くと α=-ω0/t_dec。</x:t>
  </x:si>
  <x:si>
    <x:t xml:space="preserve">必要減速トルク |T_regen|</x:t>
  </x:si>
  <x:si>
    <x:t xml:space="preserve">J × |α_dec|</x:t>
  </x:si>
  <x:si>
    <x:t xml:space="preserve">入力条件!B26×D43</x:t>
  </x:si>
  <x:si>
    <x:t xml:space="preserve">Nm</x:t>
  </x:si>
  <x:si>
    <x:t xml:space="preserve">慣性モーメントと減速度から必要制動トルクを算出。</x:t>
  </x:si>
  <x:si>
    <x:t xml:space="preserve">負トルクだが、ここでは大きさで表示</x:t>
  </x:si>
  <x:si>
    <x:t xml:space="preserve">運動方程式 T=Jα。</x:t>
  </x:si>
  <x:si>
    <x:t xml:space="preserve">必要回生電流 |I_regen,rms|</x:t>
  </x:si>
  <x:si>
    <x:t xml:space="preserve">|T_regen| / Kt</x:t>
  </x:si>
  <x:si>
    <x:t xml:space="preserve">D44/入力条件!B6</x:t>
  </x:si>
  <x:si>
    <x:t xml:space="preserve">Arms</x:t>
  </x:si>
  <x:si>
    <x:t xml:space="preserve">Kt[Nm/Arms] より必要な相電流実効値を計算。</x:t>
  </x:si>
  <x:si>
    <x:t xml:space="preserve">電流極性は負側（回生）</x:t>
  </x:si>
  <x:si>
    <x:t xml:space="preserve">電流の大きさだけを表示し、回生方向は補足で示す。</x:t>
  </x:si>
  <x:si>
    <x:t xml:space="preserve">必要回生電流 |I_regen,peak|</x:t>
  </x:si>
  <x:si>
    <x:t xml:space="preserve">√2 × |I_regen,rms|</x:t>
  </x:si>
  <x:si>
    <x:t xml:space="preserve">SQRT(2)×D45</x:t>
  </x:si>
  <x:si>
    <x:t xml:space="preserve">Apeak</x:t>
  </x:si>
  <x:si>
    <x:t xml:space="preserve">dq式で用いるピーク値へ換算。</x:t>
  </x:si>
  <x:si>
    <x:t xml:space="preserve">I_peak=√2 I_rms。</x:t>
  </x:si>
  <x:si>
    <x:t xml:space="preserve">停止開始時の機械回生電力 P_mech,start</x:t>
  </x:si>
  <x:si>
    <x:t xml:space="preserve">|T_regen| × ω_m,reg,start</x:t>
  </x:si>
  <x:si>
    <x:t xml:space="preserve">D44×D42</x:t>
  </x:si>
  <x:si>
    <x:t xml:space="preserve">W</x:t>
  </x:si>
  <x:si>
    <x:t xml:space="preserve">停止開始瞬間の機械側回生電力。</x:t>
  </x:si>
  <x:si>
    <x:t xml:space="preserve">停止に伴い0まで線形に低下</x:t>
  </x:si>
  <x:si>
    <x:t xml:space="preserve">一定トルク減速なら P=Tω。</x:t>
  </x:si>
  <x:si>
    <x:t xml:space="preserve">平均機械回生電力 P_mech,avg</x:t>
  </x:si>
  <x:si>
    <x:t xml:space="preserve">0.5 × |T_regen| × ω_m,reg,start</x:t>
  </x:si>
  <x:si>
    <x:t xml:space="preserve">0.5×D44×D42</x:t>
  </x:si>
  <x:si>
    <x:t xml:space="preserve">一定減速度なら速度が線形に下がるため平均は開始時の1/2。</x:t>
  </x:si>
  <x:si>
    <x:t xml:space="preserve">E_k/t_dec と同値。</x:t>
  </x:si>
  <x:si>
    <x:t xml:space="preserve">停止前慣性エネルギー E_k</x:t>
  </x:si>
  <x:si>
    <x:t xml:space="preserve">0.5 × J × ω_m,reg,start²</x:t>
  </x:si>
  <x:si>
    <x:t xml:space="preserve">0.5×入力条件!B26×D42^2</x:t>
  </x:si>
  <x:si>
    <x:t xml:space="preserve">J</x:t>
  </x:si>
  <x:si>
    <x:t xml:space="preserve">停止前に機械系へ蓄えられている運動エネルギー。</x:t>
  </x:si>
  <x:si>
    <x:t xml:space="preserve">この値が回生で取り出せる理想上限。</x:t>
  </x:si>
  <x:si>
    <x:t xml:space="preserve">平均DCバス回生電力 P_bus,avg</x:t>
  </x:si>
  <x:si>
    <x:t xml:space="preserve">P_mech,avg - P_cu,regen</x:t>
  </x:si>
  <x:si>
    <x:t xml:space="preserve">D48-D50</x:t>
  </x:si>
  <x:si>
    <x:t xml:space="preserve">機械回生電力から銅損を差し引いた、DCバスへ戻り得る平均電力。</x:t>
  </x:si>
  <x:si>
    <x:t xml:space="preserve">負ならDCバス上昇なし</x:t>
  </x:si>
  <x:si>
    <x:t xml:space="preserve">源が回生吸収できず、かつこの値が正ならコンデンサ電圧が上昇。</x:t>
  </x:si>
  <x:si>
    <x:t xml:space="preserve">DCバス回収可能エネルギー E_bus</x:t>
  </x:si>
  <x:si>
    <x:t xml:space="preserve">MAX(E_k - E_cu, 0)</x:t>
  </x:si>
  <x:si>
    <x:t xml:space="preserve">MAX(D49-D51,0)</x:t>
  </x:si>
  <x:si>
    <x:t xml:space="preserve">DCバスに実際に蓄積できる正味エネルギー。</x:t>
  </x:si>
  <x:si>
    <x:t xml:space="preserve">負値は0に丸める</x:t>
  </x:si>
  <x:si>
    <x:t xml:space="preserve">銅損が運動エネルギーを上回る場合、電圧上昇は生じない。</x:t>
  </x:si>
  <x:si>
    <x:t xml:space="preserve">回生後DCバス電圧 Vdc,final,ideal</x:t>
  </x:si>
  <x:si>
    <x:t xml:space="preserve">√(Vdc_init² + 2E_k/C_dc)</x:t>
  </x:si>
  <x:si>
    <x:t xml:space="preserve">IF(入力条件!B28&gt;0,SQRT(入力条件!B29^2+2*D49/入力条件!B28),NA())</x:t>
  </x:si>
  <x:si>
    <x:t xml:space="preserve">理想ケース: 全慣性エネルギーがDCコンデンサへ流入すると仮定。</x:t>
  </x:si>
  <x:si>
    <x:t xml:space="preserve">電源・抵抗・インバータ損失無視</x:t>
  </x:si>
  <x:si>
    <x:t xml:space="preserve">コンデンサエネルギー 0.5CV² を用いる。</x:t>
  </x:si>
  <x:si>
    <x:t xml:space="preserve">回生後DCバス電圧 Vdc,final,net</x:t>
  </x:si>
  <x:si>
    <x:t xml:space="preserve">√(Vdc_init² + 2E_bus/C_dc)</x:t>
  </x:si>
  <x:si>
    <x:t xml:space="preserve">IF(入力条件!B28&gt;0,SQRT(入力条件!B29^2+2*D53/入力条件!B28),NA())</x:t>
  </x:si>
  <x:si>
    <x:t xml:space="preserve">実効ケース: 銅損を差し引いた正味回生エネルギーのみを充電に反映。</x:t>
  </x:si>
  <x:si>
    <x:t xml:space="preserve">簡易予測値</x:t>
  </x:si>
  <x:si>
    <x:t xml:space="preserve">負の正味エネルギーは0として扱う。</x:t>
  </x:si>
  <x:si>
    <x:t xml:space="preserve">理想回生の電圧上昇 ΔV_ideal</x:t>
  </x:si>
  <x:si>
    <x:t xml:space="preserve">Vdc,final,ideal - Vdc_init</x:t>
  </x:si>
  <x:si>
    <x:t xml:space="preserve">D54-入力条件!B29</x:t>
  </x:si>
  <x:si>
    <x:t xml:space="preserve">理想条件でのDCバス上昇量。</x:t>
  </x:si>
  <x:si>
    <x:t xml:space="preserve">電圧上昇最大の上限評価。</x:t>
  </x:si>
  <x:si>
    <x:t xml:space="preserve">実効回生の電圧上昇 ΔV_net</x:t>
  </x:si>
  <x:si>
    <x:t xml:space="preserve">Vdc,final,net - Vdc_init</x:t>
  </x:si>
  <x:si>
    <x:t xml:space="preserve">D55-入力条件!B29</x:t>
  </x:si>
  <x:si>
    <x:t xml:space="preserve">銅損考慮時のDCバス上昇量。</x:t>
  </x:si>
  <x:si>
    <x:t xml:space="preserve">0 Vなら上昇なし</x:t>
  </x:si>
  <x:si>
    <x:t xml:space="preserve">回生成立判定</x:t>
  </x:si>
  <x:si>
    <x:t xml:space="preserve">IF(D52&gt;0,"DCバス上昇あり","銅損が上回るためDCバス上昇なし")</x:t>
  </x:si>
  <x:si>
    <x:t xml:space="preserve">平均正味回生電力が正かどうかで簡易判定。</x:t>
  </x:si>
  <x:si>
    <x:t xml:space="preserve">指標</x:t>
  </x:si>
  <x:si>
    <x:t xml:space="preserve">説明</x:t>
  </x:si>
  <x:si>
    <x:t xml:space="preserve">グラフ</x:t>
  </x:si>
  <x:si>
    <x:t xml:space="preserve">状態</x:t>
  </x:si>
  <x:si>
    <x:t xml:space="preserve">相電流 [Arms]</x:t>
  </x:si>
  <x:si>
    <x:t xml:space="preserve">起動時</x:t>
  </x:si>
  <x:si>
    <x:t xml:space="preserve">定常時</x:t>
  </x:si>
  <x:si>
    <x:t xml:space="preserve">電力 [W]</x:t>
  </x:si>
  <x:si>
    <x:t xml:space="preserve">定常時機械出力</x:t>
  </x:si>
  <x:si>
    <x:t xml:space="preserve">定常時発熱量</x:t>
  </x:si>
  <x:si>
    <x:t xml:space="preserve">起動時銅損</x:t>
  </x:si>
  <x:si>
    <x:t xml:space="preserve">加速中平均発熱</x:t>
  </x:si>
  <x:si>
    <x:t xml:space="preserve">必要DCバス [V]</x:t>
  </x:si>
  <x:si>
    <x:t xml:space="preserve">加速ワースト</x:t>
  </x:si>
  <x:si>
    <x:t xml:space="preserve">エネルギー [J]</x:t>
  </x:si>
  <x:si>
    <x:t xml:space="preserve">停止前慣性エネルギー</x:t>
  </x:si>
  <x:si>
    <x:t xml:space="preserve">回生時銅損エネルギー</x:t>
  </x:si>
  <x:si>
    <x:t xml:space="preserve">DCバス回収可能エネルギー</x:t>
  </x:si>
  <x:si>
    <x:t xml:space="preserve">電圧 [V]</x:t>
  </x:si>
  <x:si>
    <x:t xml:space="preserve">回生開始DCバス</x:t>
  </x:si>
  <x:si>
    <x:t xml:space="preserve">回生後DCバス（理想）</x:t>
  </x:si>
  <x:si>
    <x:t xml:space="preserve">回生後DCバス（銅損考慮）</x:t>
  </x:si>
  <x:si>
    <x:t xml:space="preserve">テーマ</x:t>
  </x:si>
  <x:si>
    <x:t xml:space="preserve">式 / 要点</x:t>
  </x:si>
  <x:si>
    <x:t xml:space="preserve">2. 相電圧と線間電圧</x:t>
  </x:si>
  <x:si>
    <x:t xml:space="preserve">3. 変調方式の係数</x:t>
  </x:si>
  <x:si>
    <x:t xml:space="preserve">4. q軸電圧式</x:t>
  </x:si>
  <x:si>
    <x:t xml:space="preserve">5. d軸電圧式</x:t>
  </x:si>
  <x:si>
    <x:t xml:space="preserve">6. DCバスの整合チェック</x:t>
  </x:si>
  <x:si>
    <x:t xml:space="preserve">7. 出力・損失</x:t>
  </x:si>
  <x:si>
    <x:t xml:space="preserve">機械出力</x:t>
  </x:si>
  <x:si>
    <x:t xml:space="preserve">P_out = T ω_m</x:t>
  </x:si>
  <x:si>
    <x:t xml:space="preserve">機械角速度を使う。</x:t>
  </x:si>
  <x:si>
    <x:t xml:space="preserve">効率</x:t>
  </x:si>
  <x:si>
    <x:t xml:space="preserve">η = P_out / (P_out + P_cu)</x:t>
  </x:si>
  <x:si>
    <x:t xml:space="preserve">今回は銅損のみ考慮。</x:t>
  </x:si>
  <x:si>
    <x:t xml:space="preserve">起動中6 Arms一定 → P_heat,avg = P_cu,start</x:t>
  </x:si>
  <x:si>
    <x:t xml:space="preserve">発熱エネルギーは Q=P×t。</x:t>
  </x:si>
  <x:si>
    <x:t xml:space="preserve">8. 回生制動の基本式</x:t>
  </x:si>
  <x:si>
    <x:t xml:space="preserve">必要減速トルク</x:t>
  </x:si>
  <x:si>
    <x:t xml:space="preserve">|T_regen| = J × |α_dec|</x:t>
  </x:si>
  <x:si>
    <x:t xml:space="preserve">一定減速度なら α=-ω0/t_dec。ここでは大きさで整理する。</x:t>
  </x:si>
  <x:si>
    <x:t xml:space="preserve">E_k = 0.5 J ω0²</x:t>
  </x:si>
  <x:si>
    <x:t xml:space="preserve">停止前に機械系が持つ運動エネルギー。</x:t>
  </x:si>
  <x:si>
    <x:t xml:space="preserve">平均機械回生電力</x:t>
  </x:si>
  <x:si>
    <x:t xml:space="preserve">P_mech,avg = E_k / t_dec = 0.5 T_regen ω0</x:t>
  </x:si>
  <x:si>
    <x:t xml:space="preserve">一定トルク減速なら開始時の回生電力の1/2。</x:t>
  </x:si>
  <x:si>
    <x:t xml:space="preserve">正味回生エネルギー</x:t>
  </x:si>
  <x:si>
    <x:t xml:space="preserve">E_bus = MAX(E_k - P_cu,regen t_dec, 0)</x:t>
  </x:si>
  <x:si>
    <x:t xml:space="preserve">この値が正のときのみDCバス上昇が起こり得る。</x:t>
  </x:si>
  <x:si>
    <x:t xml:space="preserve">DCバス上昇</x:t>
  </x:si>
  <x:si>
    <x:t xml:space="preserve">V_final = √(V_init² + 2E/C_dc)</x:t>
  </x:si>
  <x:si>
    <x:t xml:space="preserve">DCコンデンサの蓄積エネルギー 0.5CV² を利用。</x:t>
  </x:si>
  <x:si>
    <x:t xml:space="preserve">式</x:t>
  </x:si>
  <x:si>
    <x:t xml:space="preserve">現在値</x:t>
  </x:si>
  <x:si>
    <x:t xml:space="preserve">実効回生後DCバス</x:t>
  </x:si>
  <x:si>
    <x:t xml:space="preserve">√(V_init²+2E_bus/C)</x:t>
  </x:si>
</x:sst>
</file>

<file path=xl/styles.xml><?xml version="1.0" encoding="utf-8"?>
<x:styleSheet xmlns:x="http://schemas.openxmlformats.org/spreadsheetml/2006/main">
  <x:numFmts count="4">
    <x:numFmt numFmtId="176" formatCode="0.000"/>
    <x:numFmt numFmtId="177" formatCode="0.0%"/>
    <x:numFmt numFmtId="178" formatCode="0.0000"/>
    <x:numFmt numFmtId="200" formatCode="@"/>
  </x:numFmts>
  <x:fonts count="9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2"/>
      <x:color rgb="FFFFFF"/>
      <x:name val="Carlito"/>
    </x:font>
    <x:font>
      <x:sz val="10"/>
      <x:color rgb="404040"/>
      <x:name val="Carlito"/>
    </x:font>
    <x:font>
      <x:b/>
      <x:sz val="10"/>
      <x:color rgb="404040"/>
      <x:name val="Carlito"/>
    </x:font>
    <x:font>
      <x:sz val="11"/>
      <x:name val="Carlito"/>
    </x:font>
    <x:font>
      <x:sz val="6"/>
      <x:name val="Tsukushi A Round Gothic Bold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D9E2F3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16"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2">
    <x:xf numFmtId="0" fontId="0" fillId="0" borderId="0"/>
    <x:xf numFmtId="0" fontId="7" fillId="0" borderId="0"/>
  </x:cellStyleXfs>
  <x:cellXfs count="69">
    <x:xf numFmtId="0" fontId="0" fillId="0" borderId="0" xfId="0"/>
    <x:xf numFmtId="0" fontId="2" fillId="3" borderId="0" xfId="1" applyFont="1" applyFill="1" applyAlignment="1">
      <x:alignment horizontal="center" vertical="center"/>
    </x:xf>
    <x:xf numFmtId="0" fontId="3" fillId="4" borderId="0" xfId="1" applyFont="1" applyFill="1" applyAlignment="1">
      <x:alignment vertical="center" wrapText="1"/>
    </x:xf>
    <x:xf numFmtId="0" fontId="0" fillId="5" borderId="0" xfId="1" applyFont="1" applyFill="1" applyAlignment="1">
      <x:alignment horizontal="right"/>
    </x:xf>
    <x:xf numFmtId="0" fontId="0" fillId="0" borderId="0" xfId="1" applyFont="1" applyAlignment="1">
      <x:alignment wrapText="1"/>
    </x:xf>
    <x:xf numFmtId="0" fontId="0" fillId="0" borderId="0" xfId="1" applyFont="1" applyAlignment="1">
      <x:alignment vertical="center" wrapText="1"/>
    </x:xf>
    <x:xf numFmtId="176" fontId="0" fillId="5" borderId="0" xfId="1" applyNumberFormat="1" applyFont="1" applyFill="1" applyAlignment="1">
      <x:alignment horizontal="right"/>
    </x:xf>
    <x:xf numFmtId="177" fontId="0" fillId="5" borderId="0" xfId="1" applyNumberFormat="1" applyFont="1" applyFill="1" applyAlignment="1">
      <x:alignment horizontal="right"/>
    </x:xf>
    <x:xf numFmtId="0" fontId="2" fillId="3" borderId="0" xfId="1" applyFont="1" applyFill="1" applyAlignment="1">
      <x:alignment horizontal="center" vertical="center" wrapText="1"/>
    </x:xf>
    <x:xf numFmtId="176" fontId="0" fillId="0" borderId="0" xfId="1" applyNumberFormat="1" applyFont="1" applyAlignment="1">
      <x:alignment vertical="center" wrapText="1"/>
    </x:xf>
    <x:xf numFmtId="176" fontId="0" fillId="0" borderId="0" xfId="1" applyNumberFormat="1" applyFont="1"/>
    <x:xf numFmtId="176" fontId="2" fillId="3" borderId="0" xfId="1" applyNumberFormat="1" applyFont="1" applyFill="1" applyAlignment="1">
      <x:alignment horizontal="center" vertical="center" wrapText="1"/>
    </x:xf>
    <x:xf numFmtId="0" fontId="0" fillId="5" borderId="0" xfId="1" applyFont="1" applyFill="1" applyAlignment="1">
      <x:alignment horizontal="right" vertical="center" wrapText="1"/>
    </x:xf>
    <x:xf numFmtId="176" fontId="0" fillId="5" borderId="0" xfId="1" applyNumberFormat="1" applyFont="1" applyFill="1" applyAlignment="1">
      <x:alignment horizontal="right" vertical="center"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0" fillId="0" borderId="3" xfId="1" applyFont="1" applyBorder="1" applyAlignment="1">
      <x:alignment wrapText="1"/>
    </x:xf>
    <x:xf numFmtId="0" fontId="0" fillId="0" borderId="4" xfId="1" applyFont="1" applyBorder="1" applyAlignment="1">
      <x:alignment wrapText="1"/>
    </x:xf>
    <x:xf numFmtId="0" fontId="0" fillId="0" borderId="5" xfId="1" applyFont="1" applyBorder="1" applyAlignment="1">
      <x:alignment wrapText="1"/>
    </x:xf>
    <x:xf numFmtId="0" fontId="0" fillId="0" borderId="6" xfId="1" applyFont="1" applyBorder="1" applyAlignment="1">
      <x:alignment wrapText="1"/>
    </x:xf>
    <x:xf numFmtId="0" fontId="0" fillId="0" borderId="7" xfId="1" applyFont="1" applyBorder="1" applyAlignment="1">
      <x:alignment wrapText="1"/>
    </x:xf>
    <x:xf numFmtId="0" fontId="0" fillId="0" borderId="8" xfId="1" applyFont="1" applyBorder="1" applyAlignment="1">
      <x:alignment wrapText="1"/>
    </x:xf>
    <x:xf numFmtId="0" fontId="3" fillId="0" borderId="9" xfId="1" applyFont="1" applyBorder="1" applyAlignment="1">
      <x:alignment wrapText="1"/>
    </x:xf>
    <x:xf numFmtId="0" fontId="3" fillId="0" borderId="10" xfId="1" applyFont="1" applyBorder="1" applyAlignment="1">
      <x:alignment wrapText="1"/>
    </x:xf>
    <x:xf numFmtId="0" fontId="3" fillId="0" borderId="11" xfId="1" applyFont="1" applyBorder="1" applyAlignment="1">
      <x:alignment wrapText="1"/>
    </x:xf>
    <x:xf numFmtId="0" fontId="0" fillId="0" borderId="11" xfId="1" applyFont="1" applyBorder="1" applyAlignment="1">
      <x:alignment wrapText="1"/>
    </x:xf>
    <x:xf numFmtId="0" fontId="5" fillId="0" borderId="3" xfId="1" applyFont="1" applyBorder="1" applyAlignment="1">
      <x:alignment wrapText="1"/>
    </x:xf>
    <x:xf numFmtId="0" fontId="5" fillId="0" borderId="5" xfId="1" applyFont="1" applyBorder="1" applyAlignment="1">
      <x:alignment wrapText="1"/>
    </x:xf>
    <x:xf numFmtId="0" fontId="5" fillId="0" borderId="8" xfId="1" applyFont="1" applyBorder="1" applyAlignment="1">
      <x:alignment wrapText="1"/>
    </x:xf>
    <x:xf numFmtId="0" fontId="5" fillId="0" borderId="9" xfId="1" applyFont="1" applyBorder="1" applyAlignment="1">
      <x:alignment wrapText="1"/>
    </x:xf>
    <x:xf numFmtId="0" fontId="5" fillId="0" borderId="10" xfId="1" applyFont="1" applyBorder="1" applyAlignment="1">
      <x:alignment wrapText="1"/>
    </x:xf>
    <x:xf numFmtId="0" fontId="5" fillId="0" borderId="11" xfId="1" applyFont="1" applyBorder="1" applyAlignment="1">
      <x:alignment wrapText="1"/>
    </x:xf>
    <x:xf numFmtId="0" fontId="0" fillId="0" borderId="9" xfId="1" applyFont="1" applyBorder="1" applyAlignment="1">
      <x:alignment horizontal="center" wrapText="1"/>
    </x:xf>
    <x:xf numFmtId="0" fontId="0" fillId="0" borderId="10" xfId="1" applyFont="1" applyBorder="1" applyAlignment="1">
      <x:alignment horizontal="center" wrapText="1"/>
    </x:xf>
    <x:xf numFmtId="0" fontId="0" fillId="0" borderId="11" xfId="1" applyFont="1" applyBorder="1" applyAlignment="1">
      <x:alignment horizontal="center" wrapText="1"/>
    </x:xf>
    <x:xf numFmtId="176" fontId="0" fillId="0" borderId="9" xfId="1" applyNumberFormat="1" applyFont="1" applyBorder="1" applyAlignment="1">
      <x:alignment wrapText="1"/>
    </x:xf>
    <x:xf numFmtId="176" fontId="0" fillId="0" borderId="10" xfId="1" applyNumberFormat="1" applyFont="1" applyBorder="1" applyAlignment="1">
      <x:alignment wrapText="1"/>
    </x:xf>
    <x:xf numFmtId="178" fontId="0" fillId="0" borderId="10" xfId="1" applyNumberFormat="1" applyFont="1" applyBorder="1" applyAlignment="1">
      <x:alignment wrapText="1"/>
    </x:xf>
    <x:xf numFmtId="0" fontId="5" fillId="0" borderId="2" xfId="1" applyFont="1" applyBorder="1" applyAlignment="1">
      <x:alignment wrapText="1"/>
    </x:xf>
    <x:xf numFmtId="0" fontId="5" fillId="0" borderId="0" xfId="1" applyFont="1" applyAlignment="1">
      <x:alignment wrapText="1"/>
    </x:xf>
    <x:xf numFmtId="0" fontId="5" fillId="0" borderId="7" xfId="1" applyFont="1" applyBorder="1" applyAlignment="1">
      <x:alignment wrapText="1"/>
    </x:xf>
    <x:xf numFmtId="0" fontId="5" fillId="0" borderId="1" xfId="1" applyFont="1" applyBorder="1" applyAlignment="1">
      <x:alignment wrapText="1"/>
    </x:xf>
    <x:xf numFmtId="0" fontId="5" fillId="0" borderId="4" xfId="1" applyFont="1" applyBorder="1" applyAlignment="1">
      <x:alignment wrapText="1"/>
    </x:xf>
    <x:xf numFmtId="0" fontId="5" fillId="0" borderId="6" xfId="1" applyFont="1" applyBorder="1" applyAlignment="1">
      <x:alignment wrapText="1"/>
    </x:xf>
    <x:xf numFmtId="49" fontId="0" fillId="0" borderId="11" xfId="1" applyNumberFormat="1" applyFont="1" applyBorder="1" applyAlignment="1">
      <x:alignment wrapText="1"/>
    </x:xf>
    <x:xf numFmtId="0" fontId="2" fillId="7" borderId="12" xfId="1" applyFont="1" applyFill="1" applyBorder="1" applyAlignment="1">
      <x:alignment horizontal="center" vertical="center"/>
    </x:xf>
    <x:xf numFmtId="0" fontId="2" fillId="7" borderId="13" xfId="1" applyFont="1" applyFill="1" applyBorder="1" applyAlignment="1">
      <x:alignment horizontal="center" vertical="center"/>
    </x:xf>
    <x:xf numFmtId="176" fontId="0" fillId="0" borderId="11" xfId="1" applyNumberFormat="1" applyFont="1" applyBorder="1" applyAlignment="1">
      <x:alignment wrapText="1"/>
    </x:xf>
    <x:xf numFmtId="0" fontId="2" fillId="7" borderId="14" xfId="1" applyFont="1" applyFill="1" applyBorder="1" applyAlignment="1">
      <x:alignment horizontal="center" vertical="center" wrapText="1"/>
    </x:xf>
    <x:xf numFmtId="0" fontId="6" fillId="7" borderId="13" xfId="1" applyFont="1" applyFill="1" applyBorder="1" applyAlignment="1">
      <x:alignment horizontal="center" vertical="center" wrapText="1"/>
    </x:xf>
    <x:xf numFmtId="0" fontId="6" fillId="7" borderId="12" xfId="1" applyFont="1" applyFill="1" applyBorder="1" applyAlignment="1">
      <x:alignment horizontal="center" vertical="center" wrapText="1"/>
    </x:xf>
    <x:xf numFmtId="0" fontId="2" fillId="7" borderId="15" xfId="1" applyFont="1" applyFill="1" applyBorder="1" applyAlignment="1">
      <x:alignment horizontal="center" vertical="center"/>
    </x:xf>
    <x:xf numFmtId="0" fontId="1" fillId="2" borderId="0" xfId="1" applyFont="1" applyFill="1" applyAlignment="1">
      <x:alignment horizontal="center" vertical="center"/>
    </x:xf>
    <x:xf numFmtId="0" fontId="4" fillId="6" borderId="0" xfId="1" applyFont="1" applyFill="1" applyAlignment="1">
      <x:alignment horizontal="center" vertical="center"/>
    </x:xf>
    <x:xf numFmtId="176" fontId="0" fillId="5" borderId="0" xfId="0" applyNumberFormat="1" applyFont="1" applyFill="1" applyBorder="1" applyAlignment="1">
      <x:alignment horizontal="right"/>
    </x:xf>
    <x:xf numFmtId="176" fontId="0" fillId="0" borderId="0" xfId="0" applyNumberFormat="1" applyFont="1" applyFill="1" applyBorder="1" applyAlignment="1">
      <x:alignment wrapText="1"/>
    </x:xf>
    <x:xf numFmtId="176" fontId="0" fillId="0" borderId="0" xfId="0" applyNumberFormat="1" applyFont="1" applyFill="1" applyBorder="1" applyAlignment="1">
      <x:alignment vertical="center" wrapText="1"/>
    </x:xf>
    <x:xf numFmtId="176" fontId="0" fillId="0" borderId="0" xfId="0" applyNumberFormat="1" applyFont="1" applyFill="1" applyBorder="1"/>
    <x:xf numFmtId="176" fontId="0" fillId="5" borderId="0" xfId="0" applyNumberFormat="1" applyFont="1" applyFill="1" applyBorder="1" applyAlignment="1">
      <x:alignment horizontal="right" vertical="center" wrapText="1"/>
    </x:xf>
    <x:xf numFmtId="176" fontId="2" fillId="3" borderId="0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176" fontId="0" fillId="0" borderId="0" xfId="0" applyNumberFormat="1" applyFont="1" applyFill="1" applyBorder="1" applyAlignment="1">
      <x:alignment horizontal="right" vertical="center" wrapText="1"/>
    </x:xf>
    <x:xf numFmtId="176" fontId="0" fillId="0" borderId="0" xfId="0" applyNumberFormat="1" applyFont="1" applyFill="1" applyBorder="1" applyAlignment="1">
      <x:alignment horizontal="right"/>
    </x:xf>
    <x:xf numFmtId="176" fontId="2" fillId="3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176" fontId="0" fillId="0" borderId="0" xfId="0" applyNumberFormat="1" applyFont="1" applyFill="1" applyBorder="1" applyAlignment="1">
      <x:alignment horizontal="right" wrapText="1"/>
    </x:xf>
  </x:cellXfs>
  <x:cellStyles count="2">
    <x:cellStyle name="Normal" xfId="1"/>
    <x:cellStyle name="標準" xfId="0"/>
  </x:cellStyles>
  <x:dxfs count="2"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15a0e90bc421f" /><Relationship Type="http://schemas.openxmlformats.org/officeDocument/2006/relationships/theme" Target="/xl/theme/theme1.xml" Id="Rf9cece1e26c3475f" /><Relationship Type="http://schemas.openxmlformats.org/officeDocument/2006/relationships/sharedStrings" Target="/xl/sharedStrings.xml" Id="R6305203e86a24a18" /><Relationship Type="http://schemas.openxmlformats.org/officeDocument/2006/relationships/worksheet" Target="/xl/worksheets/sheet1.xml" Id="R95449e495e984ae4" /><Relationship Type="http://schemas.openxmlformats.org/officeDocument/2006/relationships/worksheet" Target="/xl/worksheets/sheet2.xml" Id="Rd6f819af6cfa4455" /><Relationship Type="http://schemas.openxmlformats.org/officeDocument/2006/relationships/worksheet" Target="/xl/worksheets/sheet3.xml" Id="R99b3b0764094477b" /><Relationship Type="http://schemas.openxmlformats.org/officeDocument/2006/relationships/worksheet" Target="/xl/worksheets/sheet4.xml" Id="R32d28723e7bb4c76" /><Relationship Type="http://schemas.openxmlformats.org/officeDocument/2006/relationships/worksheet" Target="/xl/worksheets/sheet5.xml" Id="Rde630de768e74db6" /><Relationship Type="http://schemas.openxmlformats.org/officeDocument/2006/relationships/worksheet" Target="/xl/worksheets/sheet6.xml" Id="Ra2a6c57878b548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33955e3dac4fce" /><Relationship Type="http://schemas.openxmlformats.org/officeDocument/2006/relationships/chart" Target="/xl/drawings/charts/chart2.xml" Id="R93399bc10be5406f" /><Relationship Type="http://schemas.openxmlformats.org/officeDocument/2006/relationships/chart" Target="/xl/drawings/charts/chart3.xml" Id="Rce18c5cd2bc44966" /><Relationship Type="http://schemas.openxmlformats.org/officeDocument/2006/relationships/chart" Target="/xl/drawings/charts/chart4.xml" Id="R1830dea0697346fa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電流比較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相電流 [Arms]</c:v>
          </c:tx>
          <c:cat>
            <c:strRef>
              <c:f>グラフ!$A$4:$A$5</c:f>
              <c:strCache>
                <c:ptCount val="2"/>
                <c:pt idx="0">
                  <c:v>起動時</c:v>
                </c:pt>
                <c:pt idx="1">
                  <c:v>定常時</c:v>
                </c:pt>
              </c:strCache>
            </c:strRef>
          </c:cat>
          <c:val>
            <c:numRef>
              <c:f>グラフ!$B$4:$B$5</c:f>
              <c:numCache>
                <c:formatCode>0.000</c:formatCode>
                <c:ptCount val="2"/>
                <c:pt idx="0">
                  <c:v>6.809470124013529</c:v>
                </c:pt>
                <c:pt idx="1">
                  <c:v>3.4047350620067647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損失・出力比較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電力 [W]</c:v>
          </c:tx>
          <c:cat>
            <c:strRef>
              <c:f>グラフ!$A$9:$A$12</c:f>
              <c:strCache>
                <c:ptCount val="4"/>
                <c:pt idx="0">
                  <c:v>定常時機械出力</c:v>
                </c:pt>
                <c:pt idx="1">
                  <c:v>定常時発熱量</c:v>
                </c:pt>
                <c:pt idx="2">
                  <c:v>起動時銅損</c:v>
                </c:pt>
                <c:pt idx="3">
                  <c:v>加速中平均発熱</c:v>
                </c:pt>
              </c:strCache>
            </c:strRef>
          </c:cat>
          <c:val>
            <c:numRef>
              <c:f>グラフ!$B$9:$B$12</c:f>
              <c:numCache>
                <c:formatCode>0.000</c:formatCode>
                <c:ptCount val="4"/>
                <c:pt idx="0">
                  <c:v>31.62536604613725</c:v>
                </c:pt>
                <c:pt idx="1">
                  <c:v>108.85095371068257</c:v>
                </c:pt>
                <c:pt idx="2">
                  <c:v>435.4038148427303</c:v>
                </c:pt>
                <c:pt idx="3">
                  <c:v>435.4038148427303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必要DCバス比較（選択方式）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必要DCバス [V]</c:v>
          </c:tx>
          <c:cat>
            <c:strRef>
              <c:f>グラフ!$A$16:$A$18</c:f>
              <c:strCache>
                <c:ptCount val="3"/>
                <c:pt idx="0">
                  <c:v>起動時</c:v>
                </c:pt>
                <c:pt idx="1">
                  <c:v>定常時</c:v>
                </c:pt>
                <c:pt idx="2">
                  <c:v>加速ワースト</c:v>
                </c:pt>
              </c:strCache>
            </c:strRef>
          </c:cat>
          <c:val>
            <c:numRef>
              <c:f>グラフ!$B$16:$B$18</c:f>
              <c:numCache>
                <c:formatCode>0.000</c:formatCode>
                <c:ptCount val="3"/>
                <c:pt idx="0">
                  <c:v>52.20754620661166</c:v>
                </c:pt>
                <c:pt idx="1">
                  <c:v>33.84087913315246</c:v>
                </c:pt>
                <c:pt idx="2">
                  <c:v>60.13620777405717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回生時DCバス電圧比較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電圧 [V]</c:v>
          </c:tx>
          <c:cat>
            <c:strRef>
              <c:f>グラフ!$A$27:$A$29</c:f>
              <c:strCache>
                <c:ptCount val="3"/>
                <c:pt idx="0">
                  <c:v>回生開始DCバス</c:v>
                </c:pt>
                <c:pt idx="1">
                  <c:v>回生後DCバス（理想）</c:v>
                </c:pt>
                <c:pt idx="2">
                  <c:v>回生後DCバス（銅損考慮）</c:v>
                </c:pt>
              </c:strCache>
            </c:strRef>
          </c:cat>
          <c:val>
            <c:numRef>
              <c:f>グラフ!$B$27:$B$29</c:f>
              <c:numCache>
                <c:formatCode>0.000</c:formatCode>
                <c:ptCount val="3"/>
                <c:pt idx="0">
                  <c:v>60.13620777405717</c:v>
                </c:pt>
                <c:pt idx="1">
                  <c:v>62.81202352109204</c:v>
                </c:pt>
                <c:pt idx="2">
                  <c:v>60.90784062798671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33955e3dac4fce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399bc10be5406f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18c5cd2bc44966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30dea0697346f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6fd9110a4c44db6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18" customWidth="1"/>
    <x:col min="3" max="3" width="12" customWidth="1"/>
    <x:col min="4" max="4" width="42" customWidth="1"/>
  </x:cols>
  <x:sheetData>
    <x:row r="1" ht="18">
      <x:c r="A1" s="52" t="str">
        <x:v>DDモータ計算シート（Kollmorgen定義・SPWM/SVPWM切替対応）</x:v>
      </x:c>
      <x:c r="B1" s="52" t="str">
        <x:v>DDモータ計算シート（Kollmorgen定義・SPWM/SVPWM切替対応）</x:v>
      </x:c>
      <x:c r="C1" s="52" t="str">
        <x:v>DDモータ計算シート（Kollmorgen定義・SPWM/SVPWM切替対応）</x:v>
      </x:c>
      <x:c r="D1" s="52" t="str">
        <x:v>DDモータ計算シート（Kollmorgen定義・SPWM/SVPWM切替対応）</x:v>
      </x:c>
    </x:row>
    <x:row r="3" ht="15">
      <x:c r="A3" s="1" t="s">
        <x:v>0</x:v>
      </x:c>
      <x:c r="B3" s="1" t="s">
        <x:v>1</x:v>
      </x:c>
      <x:c r="C3" s="1" t="s">
        <x:v>2</x:v>
      </x:c>
      <x:c r="D3" s="1" t="s">
        <x:v>3</x:v>
      </x:c>
    </x:row>
    <x:row r="4" ht="16">
      <x:c r="A4" s="2" t="str">
        <x:v>線間巻線抵抗 R_ll</x:v>
      </x:c>
      <x:c r="B4" s="54" t="n">
        <x:v>6.26</x:v>
      </x:c>
      <x:c r="C4" s="5" t="str">
        <x:v>Ω</x:v>
      </x:c>
      <x:c r="D4" s="5" t="str">
        <x:v>Kollmorgen表記・line-line</x:v>
      </x:c>
    </x:row>
    <x:row r="5" ht="16">
      <x:c r="A5" s="2" t="str">
        <x:v>線間インダクタンス L_ll</x:v>
      </x:c>
      <x:c r="B5" s="54" t="n">
        <x:v>0.023</x:v>
      </x:c>
      <x:c r="C5" s="5" t="str">
        <x:v>H</x:v>
      </x:c>
      <x:c r="D5" s="5" t="str">
        <x:v>Kollmorgen表記・line-line</x:v>
      </x:c>
    </x:row>
    <x:row r="6" ht="16">
      <x:c r="A6" s="2" t="str">
        <x:v>トルク定数 Kt</x:v>
      </x:c>
      <x:c r="B6" s="54" t="n">
        <x:v>8.87</x:v>
      </x:c>
      <x:c r="C6" s="5" t="str">
        <x:v>Nm/Arms</x:v>
      </x:c>
      <x:c r="D6" s="5" t="str">
        <x:v>正弦波通電・Y結線では線RMS=相RMS</x:v>
      </x:c>
    </x:row>
    <x:row r="7" ht="16">
      <x:c r="A7" s="2" t="str">
        <x:v>起動時電流 I_start</x:v>
      </x:c>
      <x:c r="B7" s="54" t="n">
        <x:v>6.809470124013529</x:v>
      </x:c>
      <x:c r="C7" s="5" t="str">
        <x:v>Arms</x:v>
      </x:c>
      <x:c r="D7" s="5" t="str">
        <x:v>Y結線では線RMS=相RMS</x:v>
      </x:c>
    </x:row>
    <x:row r="8" ht="16">
      <x:c r="A8" s="2" t="str">
        <x:v>定常時電流 I_ss</x:v>
      </x:c>
      <x:c r="B8" s="54" t="n">
        <x:v>3.4047350620067647</x:v>
      </x:c>
      <x:c r="C8" s="5" t="str">
        <x:v>Arms</x:v>
      </x:c>
      <x:c r="D8" s="5" t="str">
        <x:v>Y結線では線RMS=相RMS</x:v>
      </x:c>
    </x:row>
    <x:row r="9" ht="16">
      <x:c r="A9" s="2" t="str">
        <x:v>定常時回転速度 n_ss</x:v>
      </x:c>
      <x:c r="B9" s="54" t="n">
        <x:v>10</x:v>
      </x:c>
      <x:c r="C9" s="5" t="str">
        <x:v>rpm</x:v>
      </x:c>
      <x:c r="D9" s="5"/>
    </x:row>
    <x:row r="10" ht="16">
      <x:c r="A10" s="2" t="str">
        <x:v>加速時間 t_acc</x:v>
      </x:c>
      <x:c r="B10" s="54" t="n">
        <x:v>1</x:v>
      </x:c>
      <x:c r="C10" s="5" t="str">
        <x:v>s</x:v>
      </x:c>
      <x:c r="D10" s="5" t="str">
        <x:v>0 rpm → 10 rpm</x:v>
      </x:c>
    </x:row>
    <x:row r="11" ht="16">
      <x:c r="A11" s="2" t="str">
        <x:v>極ペア数 p</x:v>
      </x:c>
      <x:c r="B11" s="54" t="n">
        <x:v>32</x:v>
      </x:c>
      <x:c r="C11" s="5" t="str">
        <x:v>-</x:v>
      </x:c>
      <x:c r="D11" s="5"/>
    </x:row>
    <x:row r="12">
      <x:c r="A12" t="str">
        <x:v>Ke上書き Ke_ll,rms（任意）</x:v>
      </x:c>
      <x:c r="B12" s="57"/>
      <x:c r="C12" t="str">
        <x:v>Vrms/krpm</x:v>
      </x:c>
      <x:c r="D12" t="str">
        <x:v>空欄ならKtから推定値を使用</x:v>
      </x:c>
    </x:row>
    <x:row r="13" ht="15">
      <x:c r="A13" s="1" t="s">
        <x:v>4</x:v>
      </x:c>
      <x:c r="B13" s="1"/>
      <x:c r="C13" s="1"/>
      <x:c r="D13" s="1"/>
    </x:row>
    <x:row r="14" ht="16">
      <x:c r="A14" s="2" t="s">
        <x:v>5</x:v>
      </x:c>
      <x:c r="B14" s="3" t="s">
        <x:v>6</x:v>
      </x:c>
      <x:c r="C14" s="5" t="s">
        <x:v>7</x:v>
      </x:c>
      <x:c r="D14" s="5" t="s">
        <x:v>8</x:v>
      </x:c>
    </x:row>
    <x:row r="15" ht="32">
      <x:c r="A15" s="2" t="s">
        <x:v>9</x:v>
      </x:c>
      <x:c r="B15" s="54" t="n">
        <x:f>IF(B14="SPWM",0.6123724356957945,1/SQRT(2))</x:f>
        <x:v>0.7071067811865475</x:v>
      </x:c>
      <x:c r="C15" s="5" t="s">
        <x:v>7</x:v>
      </x:c>
      <x:c r="D15" s="5" t="s">
        <x:v>10</x:v>
      </x:c>
    </x:row>
    <x:row r="16" ht="32">
      <x:c r="A16" s="2" t="s">
        <x:v>11</x:v>
      </x:c>
      <x:c r="B16" s="54" t="n">
        <x:f>IF(B14="SPWM",0.5,1/SQRT(3))</x:f>
        <x:v>0.5773502691896258</x:v>
      </x:c>
      <x:c r="C16" s="5" t="s">
        <x:v>7</x:v>
      </x:c>
      <x:c r="D16" s="5" t="s">
        <x:v>12</x:v>
      </x:c>
    </x:row>
    <x:row r="17" ht="34.75" customHeight="1">
      <x:c r="A17" s="2" t="s">
        <x:v>13</x:v>
      </x:c>
      <x:c r="B17" s="3" t="str">
        <x:v>Vdc = Vll,rms / k_mod = Vph,peak / k_ph,max</x:v>
      </x:c>
      <x:c r="C17" s="5" t="s">
        <x:v>7</x:v>
      </x:c>
      <x:c r="D17" s="5" t="s">
        <x:v>14</x:v>
      </x:c>
    </x:row>
    <x:row r="19" ht="15">
      <x:c r="A19" s="1" t="s">
        <x:v>15</x:v>
      </x:c>
      <x:c r="B19" s="1" t="s">
        <x:v>16</x:v>
      </x:c>
      <x:c r="C19" s="1"/>
      <x:c r="D19" s="1"/>
    </x:row>
    <x:row r="20" ht="34.75" customHeight="1">
      <x:c r="A20" s="2" t="s">
        <x:v>17</x:v>
      </x:c>
      <x:c r="B20" s="5" t="s">
        <x:v>18</x:v>
      </x:c>
      <x:c r="C20" s="5"/>
      <x:c r="D20" s="5"/>
    </x:row>
    <x:row r="21" ht="34.75" customHeight="1">
      <x:c r="A21" s="2" t="s">
        <x:v>19</x:v>
      </x:c>
      <x:c r="B21" s="5" t="s">
        <x:v>20</x:v>
      </x:c>
      <x:c r="C21" s="5"/>
      <x:c r="D21" s="5"/>
    </x:row>
    <x:row r="22" ht="34.75" customHeight="1">
      <x:c r="A22" s="2" t="s">
        <x:v>21</x:v>
      </x:c>
      <x:c r="B22" s="5" t="s">
        <x:v>22</x:v>
      </x:c>
      <x:c r="C22" s="5"/>
      <x:c r="D22" s="5"/>
    </x:row>
    <x:row r="23" ht="34.75" customHeight="1">
      <x:c r="A23" s="2" t="s">
        <x:v>23</x:v>
      </x:c>
      <x:c r="B23" s="5" t="s">
        <x:v>24</x:v>
      </x:c>
      <x:c r="C23" s="5"/>
      <x:c r="D23" s="5"/>
    </x:row>
    <x:row r="25" ht="22.75" customHeight="1">
      <x:c r="A25" s="53" t="s">
        <x:v>25</x:v>
      </x:c>
      <x:c r="B25" s="53"/>
      <x:c r="C25" s="53"/>
      <x:c r="D25" s="53"/>
    </x:row>
    <x:row r="26" ht="22.75" customHeight="1">
      <x:c r="A26" s="22" t="s">
        <x:v>26</x:v>
      </x:c>
      <x:c r="B26" s="55">
        <x:v>3</x:v>
      </x:c>
      <x:c r="C26" s="32" t="s">
        <x:v>27</x:v>
      </x:c>
      <x:c r="D26" s="29" t="s">
        <x:v>28</x:v>
      </x:c>
    </x:row>
    <x:row r="27" ht="22.75" customHeight="1">
      <x:c r="A27" s="23" t="s">
        <x:v>29</x:v>
      </x:c>
      <x:c r="B27" s="55">
        <x:v>1</x:v>
      </x:c>
      <x:c r="C27" s="33" t="s">
        <x:v>30</x:v>
      </x:c>
      <x:c r="D27" s="30" t="s">
        <x:v>31</x:v>
      </x:c>
    </x:row>
    <x:row r="28" ht="45.5" customHeight="1">
      <x:c r="A28" s="23" t="s">
        <x:v>32</x:v>
      </x:c>
      <x:c r="B28" s="55">
        <x:v>0.01</x:v>
      </x:c>
      <x:c r="C28" s="33" t="s">
        <x:v>33</x:v>
      </x:c>
      <x:c r="D28" s="30" t="s">
        <x:v>34</x:v>
      </x:c>
    </x:row>
    <x:row r="29" ht="45.5" customHeight="1">
      <x:c r="A29" s="23" t="s">
        <x:v>35</x:v>
      </x:c>
      <x:c r="B29" s="55" t="n">
        <x:f>'結果概要'!B12</x:f>
        <x:v>65.6590619015932</x:v>
      </x:c>
      <x:c r="C29" s="33" t="s">
        <x:v>36</x:v>
      </x:c>
      <x:c r="D29" s="30" t="s">
        <x:v>37</x:v>
      </x:c>
    </x:row>
    <x:row r="30" ht="91.25" customHeight="1">
      <x:c r="A30" s="24" t="s">
        <x:v>38</x:v>
      </x:c>
      <x:c r="B30" s="25" t="s">
        <x:v>39</x:v>
      </x:c>
      <x:c r="C30" s="34" t="s">
        <x:v>7</x:v>
      </x:c>
      <x:c r="D30" s="31" t="s">
        <x:v>40</x:v>
      </x:c>
    </x:row>
  </x:sheetData>
  <x:mergeCells>
    <x:mergeCell ref="A1:D1"/>
    <x:mergeCell ref="A25:D25"/>
  </x:mergeCells>
  <x:dataValidations count="1">
    <x:dataValidation type="list" sqref="B14">
      <x:formula1>"SVPWM,SPWM"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2" customWidth="1"/>
    <x:col min="3" max="3" width="24" customWidth="1"/>
    <x:col min="4" max="4" width="14" customWidth="1"/>
    <x:col min="5" max="5" width="10" customWidth="1"/>
    <x:col min="6" max="6" width="28" customWidth="1"/>
    <x:col min="7" max="7" width="20" customWidth="1"/>
    <x:col min="8" max="8" width="34" customWidth="1"/>
  </x:cols>
  <x:sheetData>
    <x:row r="1" ht="18">
      <x:c r="A1" s="52" t="str">
        <x:v>計算詳細（Kollmorgen定義・Y結線・SPWM/SVPWM切替対応）</x:v>
      </x:c>
      <x:c r="B1" s="52" t="str">
        <x:v>計算詳細（Kollmorgen定義・Y結線・SPWM/SVPWM切替対応）</x:v>
      </x:c>
      <x:c r="C1" s="52" t="str">
        <x:v>計算詳細（Kollmorgen定義・Y結線・SPWM/SVPWM切替対応）</x:v>
      </x:c>
      <x:c r="D1" s="52" t="str">
        <x:v>計算詳細（Kollmorgen定義・Y結線・SPWM/SVPWM切替対応）</x:v>
      </x:c>
      <x:c r="E1" s="52" t="str">
        <x:v>計算詳細（Kollmorgen定義・Y結線・SPWM/SVPWM切替対応）</x:v>
      </x:c>
      <x:c r="F1" s="52" t="str">
        <x:v>計算詳細（Kollmorgen定義・Y結線・SPWM/SVPWM切替対応）</x:v>
      </x:c>
      <x:c r="G1" s="52" t="str">
        <x:v>計算詳細（Kollmorgen定義・Y結線・SPWM/SVPWM切替対応）</x:v>
      </x:c>
      <x:c r="H1" s="52" t="str">
        <x:v>計算詳細（Kollmorgen定義・Y結線・SPWM/SVPWM切替対応）</x:v>
      </x:c>
    </x:row>
    <x:row r="3" ht="15">
      <x:c r="A3" s="1" t="s">
        <x:v>41</x:v>
      </x:c>
      <x:c r="B3" s="1" t="s">
        <x:v>42</x:v>
      </x:c>
      <x:c r="C3" s="1" t="s">
        <x:v>43</x:v>
      </x:c>
      <x:c r="D3" s="1" t="s">
        <x:v>44</x:v>
      </x:c>
      <x:c r="E3" s="1" t="s">
        <x:v>2</x:v>
      </x:c>
      <x:c r="F3" s="1" t="s">
        <x:v>45</x:v>
      </x:c>
      <x:c r="G3" s="1" t="s">
        <x:v>46</x:v>
      </x:c>
      <x:c r="H3" s="1" t="s">
        <x:v>47</x:v>
      </x:c>
    </x:row>
    <x:row r="4" ht="45">
      <x:c r="A4" s="2" t="str">
        <x:v>起動時電流ピーク値 I_start,peak</x:v>
      </x:c>
      <x:c r="B4" s="5" t="str">
        <x:v>√2 × I_start</x:v>
      </x:c>
      <x:c r="C4" s="5" t="str">
        <x:v>SQRT(2)×'入力条件'!B7</x:v>
      </x:c>
      <x:c r="D4" s="54" t="n">
        <x:f>SQRT(2)*'入力条件'!B7</x:f>
        <x:v>9.630045001954336</x:v>
      </x:c>
      <x:c r="E4" s="5" t="str">
        <x:v>Apeak</x:v>
      </x:c>
      <x:c r="F4" s="5" t="str">
        <x:v>RMS電流をピーク値へ変換。</x:v>
      </x:c>
      <x:c r="G4" s="5" t="str">
        <x:v>dq式で使用</x:v>
      </x:c>
      <x:c r="H4" s="5" t="str">
        <x:v>I_peak=√2 I_rms。</x:v>
      </x:c>
    </x:row>
    <x:row r="5" ht="30">
      <x:c r="A5" s="2" t="str">
        <x:v>定常時電流ピーク値 I_ss,peak</x:v>
      </x:c>
      <x:c r="B5" s="5" t="str">
        <x:v>√2 × I_ss</x:v>
      </x:c>
      <x:c r="C5" s="5" t="str">
        <x:v>SQRT(2)×'入力条件'!B8</x:v>
      </x:c>
      <x:c r="D5" s="54" t="n">
        <x:f>SQRT(2)*'入力条件'!B8</x:f>
        <x:v>4.815022500977168</x:v>
      </x:c>
      <x:c r="E5" s="5" t="str">
        <x:v>Apeak</x:v>
      </x:c>
      <x:c r="F5" s="5" t="str">
        <x:v>RMS電流をピーク値へ変換。</x:v>
      </x:c>
      <x:c r="G5" s="5"/>
      <x:c r="H5" s="5" t="str">
        <x:v>同上。</x:v>
      </x:c>
    </x:row>
    <x:row r="6" ht="30">
      <x:c r="A6" s="2" t="str">
        <x:v>定常時機械角速度 ω_m,ss</x:v>
      </x:c>
      <x:c r="B6" s="5" t="str">
        <x:v>n_ss × 2π / 60</x:v>
      </x:c>
      <x:c r="C6" s="5" t="str">
        <x:v>'入力条件'!B9×2π/60</x:v>
      </x:c>
      <x:c r="D6" s="54" t="n">
        <x:f>'入力条件'!B9*2*PI()/60</x:f>
        <x:v>1.0471975511965976</x:v>
      </x:c>
      <x:c r="E6" s="5" t="str">
        <x:v>rad/s</x:v>
      </x:c>
      <x:c r="F6" s="5" t="str">
        <x:v>回転速度[rpm]を機械角速度へ変換。</x:v>
      </x:c>
      <x:c r="G6" s="5"/>
      <x:c r="H6" s="5" t="str">
        <x:v>ω_m=n×2π/60。</x:v>
      </x:c>
    </x:row>
    <x:row r="7" ht="16">
      <x:c r="A7" s="2" t="str">
        <x:v>定常時電気角速度 ω_e,ss</x:v>
      </x:c>
      <x:c r="B7" s="5" t="str">
        <x:v>p × ω_m,ss</x:v>
      </x:c>
      <x:c r="C7" s="5" t="str">
        <x:v>'入力条件'!B11×D6</x:v>
      </x:c>
      <x:c r="D7" s="54" t="n">
        <x:f>'入力条件'!B11*D6</x:f>
        <x:v>33.510321638291124</x:v>
      </x:c>
      <x:c r="E7" s="5" t="str">
        <x:v>rad/s</x:v>
      </x:c>
      <x:c r="F7" s="5" t="str">
        <x:v>d軸電圧の誘導項計算に使用。</x:v>
      </x:c>
      <x:c r="G7" s="5"/>
      <x:c r="H7" s="5" t="str">
        <x:v>ω_e=pω_m。</x:v>
      </x:c>
    </x:row>
    <x:row r="8" ht="30">
      <x:c r="A8" s="2" t="str">
        <x:v>Ke推定（線間rms / 機械rad/s）</x:v>
      </x:c>
      <x:c r="B8" s="5" t="str">
        <x:v>≈ Kt</x:v>
      </x:c>
      <x:c r="C8" s="5" t="str">
        <x:v>'入力条件'!B6</x:v>
      </x:c>
      <x:c r="D8" s="54" t="n">
        <x:f>'入力条件'!B6</x:f>
        <x:v>8.87</x:v>
      </x:c>
      <x:c r="E8" s="5" t="str">
        <x:v>V/(rad/s)</x:v>
      </x:c>
      <x:c r="F8" s="5" t="str">
        <x:v>Kollmorgen定義の近似。</x:v>
      </x:c>
      <x:c r="G8" s="5" t="str">
        <x:v>正弦波・Y結線前提</x:v>
      </x:c>
      <x:c r="H8" s="5" t="str">
        <x:v>SI換算では Ke_ll,rms ≈ Kt。</x:v>
      </x:c>
    </x:row>
    <x:row r="9" ht="45">
      <x:c r="A9" s="2" t="str">
        <x:v>Ke推定（線間rms / krpm）</x:v>
      </x:c>
      <x:c r="B9" s="5" t="str">
        <x:v>Ke_est × 1000×2π/60</x:v>
      </x:c>
      <x:c r="C9" s="5" t="str">
        <x:v>D8×(1000×2π/60)</x:v>
      </x:c>
      <x:c r="D9" s="54" t="n">
        <x:f>D8*(1000*2*PI()/60)</x:f>
        <x:v>928.864227911382</x:v>
      </x:c>
      <x:c r="E9" s="5" t="str">
        <x:v>Vrms/krpm</x:v>
      </x:c>
      <x:c r="F9" s="5" t="str">
        <x:v>Kollmorgenカタログ表記へ換算。</x:v>
      </x:c>
      <x:c r="G9" s="5"/>
      <x:c r="H9" s="5" t="str">
        <x:v>1000 rpm を rad/s に換算。</x:v>
      </x:c>
    </x:row>
    <x:row r="10" ht="16">
      <x:c r="A10" s="2" t="str">
        <x:v>Ke有効（線間rms / krpm）</x:v>
      </x:c>
      <x:c r="B10" s="5" t="str">
        <x:v>IF(override, override, Ke_est)</x:v>
      </x:c>
      <x:c r="C10" s="5" t="str">
        <x:v>IF('入力条件'!B12="",D9,'入力条件'!B12)</x:v>
      </x:c>
      <x:c r="D10" s="54" t="n">
        <x:f>IF('入力条件'!B12="",D9,'入力条件'!B12)</x:f>
        <x:v>928.864227911382</x:v>
      </x:c>
      <x:c r="E10" s="5" t="str">
        <x:v>Vrms/krpm</x:v>
      </x:c>
      <x:c r="F10" s="5" t="str">
        <x:v>Ke上書き入力があれば優先。</x:v>
      </x:c>
      <x:c r="G10" s="5"/>
      <x:c r="H10" s="5" t="str">
        <x:v>空欄ならKtからの推定値。</x:v>
      </x:c>
    </x:row>
    <x:row r="11" ht="30">
      <x:c r="A11" s="2" t="str">
        <x:v>Ke有効（線間rms / 機械rad/s）</x:v>
      </x:c>
      <x:c r="B11" s="5" t="str">
        <x:v>Ke_active / (1000×2π/60)</x:v>
      </x:c>
      <x:c r="C11" s="5" t="str">
        <x:v>D10/(1000×2π/60)</x:v>
      </x:c>
      <x:c r="D11" s="54" t="n">
        <x:f>D10/(1000*2*PI()/60)</x:f>
        <x:v>8.87</x:v>
      </x:c>
      <x:c r="E11" s="5" t="str">
        <x:v>V/(rad/s)</x:v>
      </x:c>
      <x:c r="F11" s="5" t="str">
        <x:v>計算に使う有効Ke。</x:v>
      </x:c>
      <x:c r="G11" s="5"/>
      <x:c r="H11" s="5" t="str">
        <x:v>SVPWM最低DCバス計算で使用。</x:v>
      </x:c>
    </x:row>
    <x:row r="12" ht="30">
      <x:c r="A12" s="2" t="str">
        <x:v>定常時逆起電力 E_ll,rms,ss</x:v>
      </x:c>
      <x:c r="B12" s="5" t="str">
        <x:v>Ke_active × ω_m,ss</x:v>
      </x:c>
      <x:c r="C12" s="5" t="str">
        <x:v>D11×D6</x:v>
      </x:c>
      <x:c r="D12" s="54" t="n">
        <x:f>D11*D6</x:f>
        <x:v>9.28864227911382</x:v>
      </x:c>
      <x:c r="E12" s="5" t="str">
        <x:v>Vrms</x:v>
      </x:c>
      <x:c r="F12" s="5" t="str">
        <x:v>線間rms基準の逆起電力。</x:v>
      </x:c>
      <x:c r="G12" s="5"/>
      <x:c r="H12" s="5" t="str">
        <x:v>KollmorgenのKe表記と同じ基準。</x:v>
      </x:c>
    </x:row>
    <x:row r="13" ht="32">
      <x:c r="A13" s="2" t="str">
        <x:v>定常時逆起電力 E_ph,peak,ss</x:v>
      </x:c>
      <x:c r="B13" s="5" t="str">
        <x:v>E_ll,rms × √(2/3)</x:v>
      </x:c>
      <x:c r="C13" s="5" t="str">
        <x:v>D12×SQRT(2/3)</x:v>
      </x:c>
      <x:c r="D13" s="54" t="n">
        <x:f>D12*SQRT(2/3)</x:f>
        <x:v>7.584144662357154</x:v>
      </x:c>
      <x:c r="E13" s="5" t="str">
        <x:v>Vpeak</x:v>
      </x:c>
      <x:c r="F13" s="5" t="str">
        <x:v>相peak基準へ換算。</x:v>
      </x:c>
      <x:c r="G13" s="5" t="str">
        <x:v>dq式のq軸で使用</x:v>
      </x:c>
      <x:c r="H13" s="5" t="str">
        <x:v>Vll,rms=√(3/2)Vph,peak。</x:v>
      </x:c>
    </x:row>
    <x:row r="14" ht="32">
      <x:c r="A14" s="2" t="str">
        <x:v>起動時 q軸電圧 v_q,start</x:v>
      </x:c>
      <x:c r="B14" s="5" t="str">
        <x:v>R_phase × I_start,peak</x:v>
      </x:c>
      <x:c r="C14" s="5" t="str">
        <x:v>('入力条件'!B4/2)×D4</x:v>
      </x:c>
      <x:c r="D14" s="54" t="n">
        <x:f>('入力条件'!B4/2)*D4</x:f>
        <x:v>30.14204085611707</x:v>
      </x:c>
      <x:c r="E14" s="5" t="str">
        <x:v>Vpeak</x:v>
      </x:c>
      <x:c r="F14" s="5" t="str">
        <x:v>起動瞬間は逆起電力0。</x:v>
      </x:c>
      <x:c r="G14" s="5" t="str">
        <x:v>R_phase=R_ll/2</x:v>
      </x:c>
      <x:c r="H14" s="5" t="str">
        <x:v>Y結線の相抵抗を使用。</x:v>
      </x:c>
    </x:row>
    <x:row r="15" ht="32">
      <x:c r="A15" s="2" t="str">
        <x:v>起動時必要相電圧 V_ph,peak,start</x:v>
      </x:c>
      <x:c r="B15" s="5" t="str">
        <x:v>|v_q,start|</x:v>
      </x:c>
      <x:c r="C15" s="5" t="str">
        <x:v>ABS(D14)</x:v>
      </x:c>
      <x:c r="D15" s="54" t="n">
        <x:f>ABS(D14)</x:f>
        <x:v>30.14204085611707</x:v>
      </x:c>
      <x:c r="E15" s="5" t="str">
        <x:v>Vpeak</x:v>
      </x:c>
      <x:c r="F15" s="5" t="str">
        <x:v>相peak基準の必要電圧。</x:v>
      </x:c>
      <x:c r="G15" s="5"/>
      <x:c r="H15" s="5" t="str">
        <x:v>起動時は d軸成分0。</x:v>
      </x:c>
    </x:row>
    <x:row r="16" ht="32">
      <x:c r="A16" s="2" t="str">
        <x:v>起動時必要線間電圧 V_ll,rms,start</x:v>
      </x:c>
      <x:c r="B16" s="5" t="str">
        <x:v>√(3/2) × V_ph,peak,start</x:v>
      </x:c>
      <x:c r="C16" s="5" t="str">
        <x:v>SQRT(3/2)×D15</x:v>
      </x:c>
      <x:c r="D16" s="54" t="n">
        <x:f>SQRT(3/2)*D15</x:f>
        <x:v>36.91630995180512</x:v>
      </x:c>
      <x:c r="E16" s="5" t="str">
        <x:v>Vrms</x:v>
      </x:c>
      <x:c r="F16" s="5" t="str">
        <x:v>線間rms基準へ換算。</x:v>
      </x:c>
      <x:c r="G16" s="5"/>
      <x:c r="H16" s="5" t="str">
        <x:v>Vll,rms=√(3/2)Vph,peak。</x:v>
      </x:c>
    </x:row>
    <x:row r="17" ht="16">
      <x:c r="A17" s="2" t="str">
        <x:v>起動時必要DCバス（相peak基準）</x:v>
      </x:c>
      <x:c r="B17" s="5" t="str">
        <x:v>V_ph,peak,start / k_ph,max</x:v>
      </x:c>
      <x:c r="C17" s="5" t="str">
        <x:v>D15/'入力条件'!B16</x:v>
      </x:c>
      <x:c r="D17" s="54" t="n">
        <x:f>D15/'入力条件'!B16</x:f>
        <x:v>52.20754620661166</x:v>
      </x:c>
      <x:c r="E17" s="5" t="str">
        <x:v>Vdc</x:v>
      </x:c>
      <x:c r="F17" s="5" t="str">
        <x:v>相peak基準でのDCバス式。</x:v>
      </x:c>
      <x:c r="G17" s="5" t="str">
        <x:v>SPWM/SVPWM切替対応</x:v>
      </x:c>
      <x:c r="H17" s="5" t="str">
        <x:v>SVPWMでは Vph,peak,max=Vdc/√3。</x:v>
      </x:c>
    </x:row>
    <x:row r="18" ht="30">
      <x:c r="A18" s="2" t="str">
        <x:v>起動時必要DCバス（線間rms基準）</x:v>
      </x:c>
      <x:c r="B18" s="5" t="str">
        <x:v>V_ll,rms,start / k_mod</x:v>
      </x:c>
      <x:c r="C18" s="5" t="str">
        <x:v>D16/'入力条件'!B15</x:v>
      </x:c>
      <x:c r="D18" s="54" t="n">
        <x:f>D16/'入力条件'!B15</x:f>
        <x:v>52.20754620661166</x:v>
      </x:c>
      <x:c r="E18" s="5" t="str">
        <x:v>Vdc</x:v>
      </x:c>
      <x:c r="F18" s="5" t="str">
        <x:v>線間rms基準でのDCバス式。</x:v>
      </x:c>
      <x:c r="G18" s="5" t="str">
        <x:v>SPWM/SVPWM切替対応</x:v>
      </x:c>
      <x:c r="H18" s="5" t="str">
        <x:v>SVPWMでは Vll,rms,max=0.707Vdc。</x:v>
      </x:c>
    </x:row>
    <x:row r="19" ht="30">
      <x:c r="A19" s="2" t="str"/>
      <x:c r="B19" s="5" t="str"/>
      <x:c r="C19" s="5" t="str"/>
      <x:c r="D19" s="6"/>
      <x:c r="E19" s="5" t="str"/>
      <x:c r="F19" s="5" t="str"/>
      <x:c r="G19" s="5" t="str"/>
      <x:c r="H19" s="5" t="str"/>
    </x:row>
    <x:row r="20" ht="16">
      <x:c r="A20" s="2" t="str">
        <x:v>定常時 d軸電圧 v_d,ss</x:v>
      </x:c>
      <x:c r="B20" s="5" t="str">
        <x:v>-ω_e × L_phase × I_ss,peak</x:v>
      </x:c>
      <x:c r="C20" s="5" t="str">
        <x:v>-D7×('入力条件'!B5/2)×D5</x:v>
      </x:c>
      <x:c r="D20" s="54" t="n">
        <x:f>-D7*('入力条件'!B5/2)*D5</x:f>
        <x:v>-1.855558956088569</x:v>
      </x:c>
      <x:c r="E20" s="5" t="str">
        <x:v>Vpeak</x:v>
      </x:c>
      <x:c r="F20" s="5" t="str">
        <x:v>インダクタンスによる誘導項。</x:v>
      </x:c>
      <x:c r="G20" s="5" t="str">
        <x:v>L_phase=L_ll/2</x:v>
      </x:c>
      <x:c r="H20" s="5" t="str">
        <x:v>ω_e=pω_m。</x:v>
      </x:c>
    </x:row>
    <x:row r="21" ht="16">
      <x:c r="A21" s="2" t="str">
        <x:v>定常時 q軸電圧 v_q,ss</x:v>
      </x:c>
      <x:c r="B21" s="5" t="str">
        <x:v>R_phase × I_ss,peak + E_ph,peak,ss</x:v>
      </x:c>
      <x:c r="C21" s="5" t="str">
        <x:v>('入力条件'!B4/2)×D5 + D13</x:v>
      </x:c>
      <x:c r="D21" s="54" t="n">
        <x:f>('入力条件'!B4/2)*D5 + D13</x:f>
        <x:v>22.65516509041569</x:v>
      </x:c>
      <x:c r="E21" s="5" t="str">
        <x:v>Vpeak</x:v>
      </x:c>
      <x:c r="F21" s="5" t="str">
        <x:v>抵抗降下と逆起電力の和。</x:v>
      </x:c>
      <x:c r="G21" s="5"/>
      <x:c r="H21" s="5" t="str">
        <x:v>KollmorgenのKe表記を相peakへ換算して使用。</x:v>
      </x:c>
    </x:row>
    <x:row r="22" ht="32">
      <x:c r="A22" s="2" t="str">
        <x:v>定常時必要相電圧 V_ph,peak,ss</x:v>
      </x:c>
      <x:c r="B22" s="5" t="str">
        <x:v>√(v_d,ss² + v_q,ss²)</x:v>
      </x:c>
      <x:c r="C22" s="5" t="str">
        <x:v>SQRT(D20^2 + D21^2)</x:v>
      </x:c>
      <x:c r="D22" s="54" t="n">
        <x:f>SQRT(D20^2 + D21^2)</x:f>
        <x:v>22.731027348395635</x:v>
      </x:c>
      <x:c r="E22" s="5" t="str">
        <x:v>Vpeak</x:v>
      </x:c>
      <x:c r="F22" s="5" t="str">
        <x:v>相peak基準の必要電圧。</x:v>
      </x:c>
      <x:c r="G22" s="5"/>
      <x:c r="H22" s="5" t="str">
        <x:v>dqベクトルの大きさ。</x:v>
      </x:c>
    </x:row>
    <x:row r="23" ht="32">
      <x:c r="A23" s="2" t="str">
        <x:v>定常時必要線間電圧 V_ll,rms,ss</x:v>
      </x:c>
      <x:c r="B23" s="5" t="str">
        <x:v>√(3/2) × V_ph,peak,ss</x:v>
      </x:c>
      <x:c r="C23" s="5" t="str">
        <x:v>SQRT(3/2)×D22</x:v>
      </x:c>
      <x:c r="D23" s="54" t="n">
        <x:f>SQRT(3/2)*D22</x:f>
        <x:v>27.839709166409502</x:v>
      </x:c>
      <x:c r="E23" s="5" t="str">
        <x:v>Vrms</x:v>
      </x:c>
      <x:c r="F23" s="5" t="str">
        <x:v>線間rms基準へ換算。</x:v>
      </x:c>
      <x:c r="G23" s="5"/>
      <x:c r="H23" s="5"/>
    </x:row>
    <x:row r="24" ht="16">
      <x:c r="A24" s="2" t="str">
        <x:v>定常時必要DCバス（相peak基準）</x:v>
      </x:c>
      <x:c r="B24" s="5" t="str">
        <x:v>V_ph,peak,ss / k_ph,max</x:v>
      </x:c>
      <x:c r="C24" s="5" t="str">
        <x:v>D22/'入力条件'!B16</x:v>
      </x:c>
      <x:c r="D24" s="54" t="n">
        <x:f>D22/'入力条件'!B16</x:f>
        <x:v>39.37129427565889</x:v>
      </x:c>
      <x:c r="E24" s="5" t="str">
        <x:v>Vdc</x:v>
      </x:c>
      <x:c r="F24" s="5" t="str">
        <x:v>相peak基準版。</x:v>
      </x:c>
      <x:c r="G24" s="5"/>
      <x:c r="H24" s="5"/>
    </x:row>
    <x:row r="25" ht="30">
      <x:c r="A25" s="2" t="str">
        <x:v>定常時必要DCバス（線間rms基準）</x:v>
      </x:c>
      <x:c r="B25" s="5" t="str">
        <x:v>V_ll,rms,ss / k_mod</x:v>
      </x:c>
      <x:c r="C25" s="5" t="str">
        <x:v>D23/'入力条件'!B15</x:v>
      </x:c>
      <x:c r="D25" s="54" t="n">
        <x:f>D23/'入力条件'!B15</x:f>
        <x:v>39.3712942756589</x:v>
      </x:c>
      <x:c r="E25" s="5" t="str">
        <x:v>Vdc</x:v>
      </x:c>
      <x:c r="F25" s="5" t="str">
        <x:v>線間rms基準版。</x:v>
      </x:c>
      <x:c r="G25" s="5"/>
      <x:c r="H25" s="5"/>
    </x:row>
    <x:row r="26" ht="30">
      <x:c r="A26" s="2" t="str"/>
      <x:c r="B26" s="5" t="str"/>
      <x:c r="C26" s="5" t="str"/>
      <x:c r="D26" s="54"/>
      <x:c r="E26" s="5" t="str"/>
      <x:c r="F26" s="5" t="str"/>
      <x:c r="G26" s="5" t="str"/>
      <x:c r="H26" s="5" t="str"/>
    </x:row>
    <x:row r="27" ht="32">
      <x:c r="A27" s="2" t="str">
        <x:v>加速ワースト d軸電圧 v_d,acc</x:v>
      </x:c>
      <x:c r="B27" s="5" t="str">
        <x:v>-ω_e × L_phase × I_start,peak</x:v>
      </x:c>
      <x:c r="C27" s="5" t="str">
        <x:v>-D7×('入力条件'!B5/2)×D4</x:v>
      </x:c>
      <x:c r="D27" s="54" t="n">
        <x:f>-D7*('入力条件'!B5/2)*D4</x:f>
        <x:v>-3.711117912177138</x:v>
      </x:c>
      <x:c r="E27" s="5" t="str">
        <x:v>Vpeak</x:v>
      </x:c>
      <x:c r="F27" s="5" t="str">
        <x:v>起動電流一定のワースト条件。</x:v>
      </x:c>
      <x:c r="G27" s="5" t="str">
        <x:v>L_phase=L_ll/2</x:v>
      </x:c>
      <x:c r="H27" s="5"/>
    </x:row>
    <x:row r="28" ht="32">
      <x:c r="A28" s="2" t="str">
        <x:v>加速ワースト q軸電圧 v_q,acc</x:v>
      </x:c>
      <x:c r="B28" s="5" t="str">
        <x:v>R_phase × I_start,peak + E_ph,peak,ss</x:v>
      </x:c>
      <x:c r="C28" s="5" t="str">
        <x:v>('入力条件'!B4/2)×D4 + D13</x:v>
      </x:c>
      <x:c r="D28" s="54" t="n">
        <x:f>('入力条件'!B4/2)*D4 + D13</x:f>
        <x:v>37.726185518474225</x:v>
      </x:c>
      <x:c r="E28" s="5" t="str">
        <x:v>Vpeak</x:v>
      </x:c>
      <x:c r="F28" s="5" t="str">
        <x:v>起動電流一定のワースト条件。</x:v>
      </x:c>
      <x:c r="G28" s="5" t="str">
        <x:v>R_phase=R_ll/2</x:v>
      </x:c>
      <x:c r="H28" s="5"/>
    </x:row>
    <x:row r="29" ht="32">
      <x:c r="A29" s="2" t="str">
        <x:v>加速ワースト必要相電圧 V_ph,peak,acc</x:v>
      </x:c>
      <x:c r="B29" s="5" t="str">
        <x:v>√(v_d,acc² + v_q,acc²)</x:v>
      </x:c>
      <x:c r="C29" s="5" t="str">
        <x:v>SQRT(D27^2 + D28^2)</x:v>
      </x:c>
      <x:c r="D29" s="54" t="n">
        <x:f>SQRT(D27^2 + D28^2)</x:f>
        <x:v>37.90827706362314</x:v>
      </x:c>
      <x:c r="E29" s="5" t="str">
        <x:v>Vpeak</x:v>
      </x:c>
      <x:c r="F29" s="5" t="str">
        <x:v>起動区間全体の設計支配条件。</x:v>
      </x:c>
      <x:c r="G29" s="5"/>
      <x:c r="H29" s="5"/>
    </x:row>
    <x:row r="30" ht="32">
      <x:c r="A30" s="2" t="str">
        <x:v>加速ワースト必要線間電圧 V_ll,rms,acc</x:v>
      </x:c>
      <x:c r="B30" s="5" t="str">
        <x:v>√(3/2) × V_ph,peak,acc</x:v>
      </x:c>
      <x:c r="C30" s="5" t="str">
        <x:v>SQRT(3/2)×D29</x:v>
      </x:c>
      <x:c r="D30" s="54" t="n">
        <x:f>SQRT(3/2)*D29</x:f>
        <x:v>46.427967916963844</x:v>
      </x:c>
      <x:c r="E30" s="5" t="str">
        <x:v>Vrms</x:v>
      </x:c>
      <x:c r="F30" s="5" t="str">
        <x:v>線間rms基準へ換算。</x:v>
      </x:c>
      <x:c r="G30" s="5"/>
      <x:c r="H30" s="5"/>
    </x:row>
    <x:row r="31" ht="32">
      <x:c r="A31" s="2" t="str">
        <x:v>加速ワースト必要DCバス（相peak基準）</x:v>
      </x:c>
      <x:c r="B31" s="5" t="str">
        <x:v>V_ph,peak,acc / k_ph,max</x:v>
      </x:c>
      <x:c r="C31" s="5" t="str">
        <x:v>D29/'入力条件'!B16</x:v>
      </x:c>
      <x:c r="D31" s="54" t="n">
        <x:f>D29/'入力条件'!B16</x:f>
        <x:v>65.65906190159319</x:v>
      </x:c>
      <x:c r="E31" s="5" t="str">
        <x:v>Vdc</x:v>
      </x:c>
      <x:c r="F31" s="5" t="str">
        <x:v>相peak基準版。</x:v>
      </x:c>
      <x:c r="G31" s="5"/>
      <x:c r="H31" s="5"/>
    </x:row>
    <x:row r="32" ht="30">
      <x:c r="A32" s="2" t="str">
        <x:v>加速ワースト必要DCバス（線間rms基準）</x:v>
      </x:c>
      <x:c r="B32" s="5" t="str">
        <x:v>V_ll,rms,acc / k_mod</x:v>
      </x:c>
      <x:c r="C32" s="5" t="str">
        <x:v>D30/'入力条件'!B15</x:v>
      </x:c>
      <x:c r="D32" s="54" t="n">
        <x:f>D30/'入力条件'!B15</x:f>
        <x:v>65.6590619015932</x:v>
      </x:c>
      <x:c r="E32" s="5" t="str">
        <x:v>Vdc</x:v>
      </x:c>
      <x:c r="F32" s="5" t="str">
        <x:v>線間rms基準版。</x:v>
      </x:c>
      <x:c r="G32" s="5"/>
      <x:c r="H32" s="5"/>
    </x:row>
    <x:row r="33" ht="30">
      <x:c r="A33" s="2" t="str">
        <x:v>定常時トルク T_ss</x:v>
      </x:c>
      <x:c r="B33" s="5" t="str">
        <x:v>Kt × I_ss</x:v>
      </x:c>
      <x:c r="C33" s="5" t="str">
        <x:v>'入力条件'!B6×'入力条件'!B8</x:v>
      </x:c>
      <x:c r="D33" s="54" t="n">
        <x:f>'入力条件'!B6*'入力条件'!B8</x:f>
        <x:v>30.2</x:v>
      </x:c>
      <x:c r="E33" s="5" t="str">
        <x:v>Nm</x:v>
      </x:c>
      <x:c r="F33" s="5" t="str">
        <x:v>KtがNm/ArmsなのでRMS電流をそのまま掛ける。</x:v>
      </x:c>
      <x:c r="G33" s="5"/>
      <x:c r="H33" s="5"/>
    </x:row>
    <x:row r="34" ht="30">
      <x:c r="A34" s="2" t="str">
        <x:v>定常時機械出力 P_out,ss</x:v>
      </x:c>
      <x:c r="B34" s="5" t="str">
        <x:v>T_ss × ω_m,ss</x:v>
      </x:c>
      <x:c r="C34" s="5" t="str">
        <x:v>D33×D6</x:v>
      </x:c>
      <x:c r="D34" s="54" t="n">
        <x:f>D33*D6</x:f>
        <x:v>31.62536604613725</x:v>
      </x:c>
      <x:c r="E34" s="5" t="str">
        <x:v>W</x:v>
      </x:c>
      <x:c r="F34" s="5" t="str">
        <x:v>機械出力 = トルク × 機械角速度。</x:v>
      </x:c>
      <x:c r="G34" s="5"/>
      <x:c r="H34" s="5"/>
    </x:row>
    <x:row r="35" ht="30">
      <x:c r="A35" s="2" t="str">
        <x:v>定常時銅損 P_cu,ss</x:v>
      </x:c>
      <x:c r="B35" s="5" t="str">
        <x:v>3 × I_ss² × R_phase</x:v>
      </x:c>
      <x:c r="C35" s="5" t="str">
        <x:v>3×('入力条件'!B8^2)×('入力条件'!B4/2)</x:v>
      </x:c>
      <x:c r="D35" s="54" t="n">
        <x:f>3*('入力条件'!B8^2)*('入力条件'!B4/2)</x:f>
        <x:v>108.85095371068257</x:v>
      </x:c>
      <x:c r="E35" s="5" t="str">
        <x:v>W</x:v>
      </x:c>
      <x:c r="F35" s="5" t="str">
        <x:v>3相巻線のジュール損。</x:v>
      </x:c>
      <x:c r="G35" s="5" t="str">
        <x:v>R_phase=R_ll/2</x:v>
      </x:c>
      <x:c r="H35" s="5" t="str">
        <x:v>P_cu=3I_rms^2R_phase。</x:v>
      </x:c>
    </x:row>
    <x:row r="36" ht="16">
      <x:c r="A36" s="2" t="str">
        <x:v>定常時電気入力 P_in,ss</x:v>
      </x:c>
      <x:c r="B36" s="5" t="str">
        <x:v>P_out,ss + P_cu,ss</x:v>
      </x:c>
      <x:c r="C36" s="5" t="str">
        <x:v>D34+D35</x:v>
      </x:c>
      <x:c r="D36" s="54" t="n">
        <x:f>D34+D35</x:f>
        <x:v>140.47631975681983</x:v>
      </x:c>
      <x:c r="E36" s="5" t="str">
        <x:v>W</x:v>
      </x:c>
      <x:c r="F36" s="5" t="str">
        <x:v>銅損のみを考慮した簡易入力電力。</x:v>
      </x:c>
      <x:c r="G36" s="5"/>
      <x:c r="H36" s="5"/>
    </x:row>
    <x:row r="37" ht="30">
      <x:c r="A37" s="2" t="str">
        <x:v>定常時効率 η_ss</x:v>
      </x:c>
      <x:c r="B37" s="5" t="str">
        <x:v>P_out,ss / P_in,ss</x:v>
      </x:c>
      <x:c r="C37" s="5" t="str">
        <x:v>D34/D36</x:v>
      </x:c>
      <x:c r="D37" s="54" t="n">
        <x:f>D34/D36</x:f>
        <x:v>0.22512951720890953</x:v>
      </x:c>
      <x:c r="E37" s="5" t="str">
        <x:v>-</x:v>
      </x:c>
      <x:c r="F37" s="5" t="str">
        <x:v>銅損のみ考慮した簡易効率。</x:v>
      </x:c>
      <x:c r="G37" s="5"/>
      <x:c r="H37" s="5"/>
    </x:row>
    <x:row r="38" ht="30">
      <x:c r="A38" s="2" t="str">
        <x:v>起動時銅損 P_cu,start</x:v>
      </x:c>
      <x:c r="B38" s="5" t="str">
        <x:v>3 × I_start² × R_phase</x:v>
      </x:c>
      <x:c r="C38" s="5" t="str">
        <x:v>3×('入力条件'!B7^2)×('入力条件'!B4/2)</x:v>
      </x:c>
      <x:c r="D38" s="54" t="n">
        <x:f>3*('入力条件'!B7^2)*('入力条件'!B4/2)</x:f>
        <x:v>435.4038148427303</x:v>
      </x:c>
      <x:c r="E38" s="5" t="str">
        <x:v>W</x:v>
      </x:c>
      <x:c r="F38" s="5" t="str">
        <x:v>起動時の銅損。</x:v>
      </x:c>
      <x:c r="G38" s="5" t="str">
        <x:v>R_phase=R_ll/2</x:v>
      </x:c>
      <x:c r="H38" s="5"/>
    </x:row>
    <x:row r="39" ht="16">
      <x:c r="A39" s="2" t="str">
        <x:v>加速中平均発熱 P_heat,avg</x:v>
      </x:c>
      <x:c r="B39" s="5" t="str">
        <x:v>P_cu,start</x:v>
      </x:c>
      <x:c r="C39" s="5" t="str">
        <x:v>D38</x:v>
      </x:c>
      <x:c r="D39" s="54" t="n">
        <x:f>D38</x:f>
        <x:v>435.4038148427303</x:v>
      </x:c>
      <x:c r="E39" s="5" t="str">
        <x:v>W</x:v>
      </x:c>
      <x:c r="F39" s="5" t="str">
        <x:v>起動電流一定のため起動時銅損と同じ。</x:v>
      </x:c>
      <x:c r="G39" s="5"/>
      <x:c r="H39" s="5"/>
    </x:row>
    <x:row r="40">
      <x:c r="A40" t="str">
        <x:v>加速中発熱エネルギー Q_acc</x:v>
      </x:c>
      <x:c r="B40" t="str">
        <x:v>P_heat,avg × t_acc</x:v>
      </x:c>
      <x:c r="C40" t="str">
        <x:v>D39×'入力条件'!B10</x:v>
      </x:c>
      <x:c r="D40" s="57" t="n">
        <x:f>D39*'入力条件'!B10</x:f>
        <x:v>435.4038148427303</x:v>
      </x:c>
      <x:c r="E40" t="str">
        <x:v>J</x:v>
      </x:c>
      <x:c r="F40" t="str">
        <x:v>加速中に発生する総熱量。</x:v>
      </x:c>
      <x:c r="G40"/>
      <x:c r="H40"/>
    </x:row>
    <x:row r="41" ht="22.75" customHeight="1">
      <x:c r="A41" s="53" t="s">
        <x:v>48</x:v>
      </x:c>
      <x:c r="B41" s="53"/>
      <x:c r="C41" s="53"/>
      <x:c r="D41" s="53"/>
      <x:c r="E41" s="53"/>
      <x:c r="F41" s="53"/>
      <x:c r="G41" s="53"/>
      <x:c r="H41" s="53"/>
    </x:row>
    <x:row r="42" ht="68.25" customHeight="1">
      <x:c r="A42" s="22" t="s">
        <x:v>49</x:v>
      </x:c>
      <x:c r="B42" s="14" t="s">
        <x:v>50</x:v>
      </x:c>
      <x:c r="C42" s="16" t="s">
        <x:v>51</x:v>
      </x:c>
      <x:c r="D42" s="55" t="n">
        <x:f>'入力条件'!B9*2*PI()/60</x:f>
        <x:v>1.0471975511965976</x:v>
      </x:c>
      <x:c r="E42" s="32" t="s">
        <x:v>52</x:v>
      </x:c>
      <x:c r="F42" s="41" t="s">
        <x:v>53</x:v>
      </x:c>
      <x:c r="G42" s="38" t="s">
        <x:v>54</x:v>
      </x:c>
      <x:c r="H42" s="26" t="s">
        <x:v>55</x:v>
      </x:c>
    </x:row>
    <x:row r="43" ht="68.25" customHeight="1">
      <x:c r="A43" s="23" t="s">
        <x:v>56</x:v>
      </x:c>
      <x:c r="B43" s="17" t="s">
        <x:v>57</x:v>
      </x:c>
      <x:c r="C43" s="18" t="s">
        <x:v>58</x:v>
      </x:c>
      <x:c r="D43" s="55" t="n">
        <x:f>D42/'入力条件'!B27</x:f>
        <x:v>1.0471975511965976</x:v>
      </x:c>
      <x:c r="E43" s="33" t="s">
        <x:v>59</x:v>
      </x:c>
      <x:c r="F43" s="42" t="s">
        <x:v>60</x:v>
      </x:c>
      <x:c r="G43" s="39" t="s">
        <x:v>61</x:v>
      </x:c>
      <x:c r="H43" s="27" t="s">
        <x:v>62</x:v>
      </x:c>
    </x:row>
    <x:row r="44" ht="68.25" customHeight="1">
      <x:c r="A44" s="23" t="s">
        <x:v>63</x:v>
      </x:c>
      <x:c r="B44" s="17" t="s">
        <x:v>64</x:v>
      </x:c>
      <x:c r="C44" s="18" t="s">
        <x:v>65</x:v>
      </x:c>
      <x:c r="D44" s="55" t="n">
        <x:f>'入力条件'!B26*D43</x:f>
        <x:v>3.141592653589793</x:v>
      </x:c>
      <x:c r="E44" s="33" t="s">
        <x:v>66</x:v>
      </x:c>
      <x:c r="F44" s="42" t="s">
        <x:v>67</x:v>
      </x:c>
      <x:c r="G44" s="39" t="s">
        <x:v>68</x:v>
      </x:c>
      <x:c r="H44" s="27" t="s">
        <x:v>69</x:v>
      </x:c>
    </x:row>
    <x:row r="45" ht="68.25" customHeight="1">
      <x:c r="A45" s="23" t="s">
        <x:v>70</x:v>
      </x:c>
      <x:c r="B45" s="17" t="s">
        <x:v>71</x:v>
      </x:c>
      <x:c r="C45" s="18" t="s">
        <x:v>72</x:v>
      </x:c>
      <x:c r="D45" s="55" t="n">
        <x:f>D44/'入力条件'!B6</x:f>
        <x:v>0.3541818098748358</x:v>
      </x:c>
      <x:c r="E45" s="33" t="s">
        <x:v>73</x:v>
      </x:c>
      <x:c r="F45" s="42" t="s">
        <x:v>74</x:v>
      </x:c>
      <x:c r="G45" s="39" t="s">
        <x:v>75</x:v>
      </x:c>
      <x:c r="H45" s="27" t="s">
        <x:v>76</x:v>
      </x:c>
    </x:row>
    <x:row r="46" ht="45.5" customHeight="1">
      <x:c r="A46" s="23" t="s">
        <x:v>77</x:v>
      </x:c>
      <x:c r="B46" s="17" t="s">
        <x:v>78</x:v>
      </x:c>
      <x:c r="C46" s="18" t="s">
        <x:v>79</x:v>
      </x:c>
      <x:c r="D46" s="55" t="n">
        <x:f>SQRT(2)*D45</x:f>
        <x:v>0.5008887190708418</x:v>
      </x:c>
      <x:c r="E46" s="33" t="s">
        <x:v>80</x:v>
      </x:c>
      <x:c r="F46" s="42" t="s">
        <x:v>81</x:v>
      </x:c>
      <x:c r="G46" s="39"/>
      <x:c r="H46" s="27" t="s">
        <x:v>82</x:v>
      </x:c>
    </x:row>
    <x:row r="47" ht="45.5" customHeight="1">
      <x:c r="A47" s="23" t="s">
        <x:v>83</x:v>
      </x:c>
      <x:c r="B47" s="17" t="s">
        <x:v>84</x:v>
      </x:c>
      <x:c r="C47" s="18" t="s">
        <x:v>85</x:v>
      </x:c>
      <x:c r="D47" s="55" t="n">
        <x:f>D44*D42</x:f>
        <x:v>3.2898681336964524</x:v>
      </x:c>
      <x:c r="E47" s="33" t="s">
        <x:v>86</x:v>
      </x:c>
      <x:c r="F47" s="42" t="s">
        <x:v>87</x:v>
      </x:c>
      <x:c r="G47" s="39" t="s">
        <x:v>88</x:v>
      </x:c>
      <x:c r="H47" s="27" t="s">
        <x:v>89</x:v>
      </x:c>
    </x:row>
    <x:row r="48" ht="68.25" customHeight="1">
      <x:c r="A48" s="23" t="s">
        <x:v>90</x:v>
      </x:c>
      <x:c r="B48" s="17" t="s">
        <x:v>91</x:v>
      </x:c>
      <x:c r="C48" s="18" t="s">
        <x:v>92</x:v>
      </x:c>
      <x:c r="D48" s="55" t="n">
        <x:f>0.5*D44*D42</x:f>
        <x:v>1.6449340668482262</x:v>
      </x:c>
      <x:c r="E48" s="33" t="s">
        <x:v>86</x:v>
      </x:c>
      <x:c r="F48" s="42" t="s">
        <x:v>93</x:v>
      </x:c>
      <x:c r="G48" s="39"/>
      <x:c r="H48" s="27" t="s">
        <x:v>94</x:v>
      </x:c>
    </x:row>
    <x:row r="49" ht="68.25" customHeight="1">
      <x:c r="A49" s="23" t="s">
        <x:v>95</x:v>
      </x:c>
      <x:c r="B49" s="17" t="s">
        <x:v>96</x:v>
      </x:c>
      <x:c r="C49" s="18" t="s">
        <x:v>97</x:v>
      </x:c>
      <x:c r="D49" s="55" t="n">
        <x:f>0.5*'入力条件'!B26*D42^2</x:f>
        <x:v>1.6449340668482262</x:v>
      </x:c>
      <x:c r="E49" s="33" t="s">
        <x:v>98</x:v>
      </x:c>
      <x:c r="F49" s="42" t="s">
        <x:v>99</x:v>
      </x:c>
      <x:c r="G49" s="39"/>
      <x:c r="H49" s="27" t="s">
        <x:v>100</x:v>
      </x:c>
    </x:row>
    <x:row r="50" ht="45.5" customHeight="1">
      <x:c r="A50" s="23" t="str">
        <x:v>回生時銅損 P_cu,regen</x:v>
      </x:c>
      <x:c r="B50" s="17" t="str">
        <x:v>3 × I_regen,rms² × R_phase</x:v>
      </x:c>
      <x:c r="C50" s="18" t="str">
        <x:v>3×D45^2×('入力条件'!B4/2)</x:v>
      </x:c>
      <x:c r="D50" s="55" t="n">
        <x:f>3*D45^2*('入力条件'!B4/2)</x:f>
        <x:v>1.1779262442499523</x:v>
      </x:c>
      <x:c r="E50" s="33" t="str">
        <x:v>W</x:v>
      </x:c>
      <x:c r="F50" s="42" t="str">
        <x:v>回生制動中の巻線銅損。</x:v>
      </x:c>
      <x:c r="G50" s="39"/>
      <x:c r="H50" s="27" t="str">
        <x:v>R_phase=R_ll/2 を使用。</x:v>
      </x:c>
    </x:row>
    <x:row r="51" ht="45.5" customHeight="1">
      <x:c r="A51" s="23" t="str">
        <x:v>回生時銅損エネルギー E_cu,regen</x:v>
      </x:c>
      <x:c r="B51" s="17" t="str">
        <x:v>P_cu,regen × t_dec</x:v>
      </x:c>
      <x:c r="C51" s="18" t="str">
        <x:v>D50×'入力条件'!B27</x:v>
      </x:c>
      <x:c r="D51" s="55" t="n">
        <x:f>D50*'入力条件'!B27</x:f>
        <x:v>1.1779262442499523</x:v>
      </x:c>
      <x:c r="E51" s="33" t="str">
        <x:v>J</x:v>
      </x:c>
      <x:c r="F51" s="42" t="str">
        <x:v>減速1回あたりの熱損失。</x:v>
      </x:c>
      <x:c r="G51" s="39"/>
      <x:c r="H51" s="27" t="str">
        <x:v>停止に伴う発熱量。</x:v>
      </x:c>
    </x:row>
    <x:row r="52" ht="68.25" customHeight="1">
      <x:c r="A52" s="23" t="s">
        <x:v>101</x:v>
      </x:c>
      <x:c r="B52" s="17" t="s">
        <x:v>102</x:v>
      </x:c>
      <x:c r="C52" s="18" t="s">
        <x:v>103</x:v>
      </x:c>
      <x:c r="D52" s="55" t="n">
        <x:f>D48-D50</x:f>
        <x:v>0.4670078225982739</x:v>
      </x:c>
      <x:c r="E52" s="33" t="s">
        <x:v>86</x:v>
      </x:c>
      <x:c r="F52" s="42" t="s">
        <x:v>104</x:v>
      </x:c>
      <x:c r="G52" s="39" t="s">
        <x:v>105</x:v>
      </x:c>
      <x:c r="H52" s="27" t="s">
        <x:v>106</x:v>
      </x:c>
    </x:row>
    <x:row r="53" ht="45.5" customHeight="1">
      <x:c r="A53" s="23" t="s">
        <x:v>107</x:v>
      </x:c>
      <x:c r="B53" s="17" t="s">
        <x:v>108</x:v>
      </x:c>
      <x:c r="C53" s="18" t="s">
        <x:v>109</x:v>
      </x:c>
      <x:c r="D53" s="55" t="n">
        <x:f>MAX(D49-D51,0)</x:f>
        <x:v>0.4670078225982739</x:v>
      </x:c>
      <x:c r="E53" s="33" t="s">
        <x:v>98</x:v>
      </x:c>
      <x:c r="F53" s="42" t="s">
        <x:v>110</x:v>
      </x:c>
      <x:c r="G53" s="39" t="s">
        <x:v>111</x:v>
      </x:c>
      <x:c r="H53" s="27" t="s">
        <x:v>112</x:v>
      </x:c>
    </x:row>
    <x:row r="54" ht="91.25" customHeight="1">
      <x:c r="A54" s="23" t="s">
        <x:v>113</x:v>
      </x:c>
      <x:c r="B54" s="17" t="s">
        <x:v>114</x:v>
      </x:c>
      <x:c r="C54" s="18" t="s">
        <x:v>115</x:v>
      </x:c>
      <x:c r="D54" s="55" t="n">
        <x:f>IF('入力条件'!B28&gt;0,SQRT('入力条件'!B29^2+2*D49/'入力条件'!B28),NA())</x:f>
        <x:v>68.11827378293502</x:v>
      </x:c>
      <x:c r="E54" s="33" t="s">
        <x:v>36</x:v>
      </x:c>
      <x:c r="F54" s="42" t="s">
        <x:v>116</x:v>
      </x:c>
      <x:c r="G54" s="39" t="s">
        <x:v>117</x:v>
      </x:c>
      <x:c r="H54" s="27" t="s">
        <x:v>118</x:v>
      </x:c>
    </x:row>
    <x:row r="55" ht="91.25" customHeight="1">
      <x:c r="A55" s="23" t="s">
        <x:v>119</x:v>
      </x:c>
      <x:c r="B55" s="17" t="s">
        <x:v>120</x:v>
      </x:c>
      <x:c r="C55" s="18" t="s">
        <x:v>121</x:v>
      </x:c>
      <x:c r="D55" s="55" t="n">
        <x:f>IF('入力条件'!B28&gt;0,SQRT('入力条件'!B29^2+2*D53/'入力条件'!B28),NA())</x:f>
        <x:v>66.36651244654117</x:v>
      </x:c>
      <x:c r="E55" s="33" t="s">
        <x:v>36</x:v>
      </x:c>
      <x:c r="F55" s="42" t="s">
        <x:v>122</x:v>
      </x:c>
      <x:c r="G55" s="39" t="s">
        <x:v>123</x:v>
      </x:c>
      <x:c r="H55" s="27" t="s">
        <x:v>124</x:v>
      </x:c>
    </x:row>
    <x:row r="56" ht="45.5" customHeight="1">
      <x:c r="A56" s="23" t="s">
        <x:v>125</x:v>
      </x:c>
      <x:c r="B56" s="17" t="s">
        <x:v>126</x:v>
      </x:c>
      <x:c r="C56" s="18" t="s">
        <x:v>127</x:v>
      </x:c>
      <x:c r="D56" s="55" t="n">
        <x:f>D54-'入力条件'!B29</x:f>
        <x:v>2.4592118813418153</x:v>
      </x:c>
      <x:c r="E56" s="33" t="s">
        <x:v>36</x:v>
      </x:c>
      <x:c r="F56" s="42" t="s">
        <x:v>128</x:v>
      </x:c>
      <x:c r="G56" s="39"/>
      <x:c r="H56" s="27" t="s">
        <x:v>129</x:v>
      </x:c>
    </x:row>
    <x:row r="57" ht="45.5" customHeight="1">
      <x:c r="A57" s="23" t="s">
        <x:v>130</x:v>
      </x:c>
      <x:c r="B57" s="17" t="s">
        <x:v>131</x:v>
      </x:c>
      <x:c r="C57" s="18" t="s">
        <x:v>132</x:v>
      </x:c>
      <x:c r="D57" s="55" t="n">
        <x:f>D55-'入力条件'!B29</x:f>
        <x:v>0.7074505449479602</x:v>
      </x:c>
      <x:c r="E57" s="33" t="s">
        <x:v>36</x:v>
      </x:c>
      <x:c r="F57" s="42" t="s">
        <x:v>133</x:v>
      </x:c>
      <x:c r="G57" s="39" t="s">
        <x:v>134</x:v>
      </x:c>
      <x:c r="H57" s="27" t="n">
        <x:f>SQRT(2)*'入力条件'!B7</x:f>
        <x:v>9.630045001954336</x:v>
      </x:c>
    </x:row>
    <x:row r="58" ht="91.25" customHeight="1">
      <x:c r="A58" s="24" t="s">
        <x:v>135</x:v>
      </x:c>
      <x:c r="B58" s="19" t="s">
        <x:v>136</x:v>
      </x:c>
      <x:c r="C58" s="21" t="s">
        <x:v>136</x:v>
      </x:c>
      <x:c r="D58" s="44" t="str">
        <x:f>IF(D52&gt;0,"DCバス上昇あり","銅損が上回るためDCバス上昇なし")</x:f>
        <x:v>DCバス上昇あり</x:v>
      </x:c>
      <x:c r="E58" s="34" t="s">
        <x:v>7</x:v>
      </x:c>
      <x:c r="F58" s="43" t="s">
        <x:v>137</x:v>
      </x:c>
      <x:c r="G58" s="40"/>
      <x:c r="H58" s="28" t="n">
        <x:f>SQRT(2)*2</x:f>
        <x:v>2.8284271247461903</x:v>
      </x:c>
    </x:row>
  </x:sheetData>
  <x:mergeCells>
    <x:mergeCell ref="A1:H1"/>
    <x:mergeCell ref="A41:H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16" hidden="0" customWidth="1"/>
    <x:col min="3" max="3" width="10" customWidth="1"/>
    <x:col min="4" max="4" width="36" customWidth="1"/>
  </x:cols>
  <x:sheetData>
    <x:row r="1" ht="18">
      <x:c r="A1" s="52" t="str">
        <x:v>結果概要（Kollmorgen定義）</x:v>
      </x:c>
      <x:c r="B1" s="52" t="str">
        <x:v>結果概要（Kollmorgen定義）</x:v>
      </x:c>
      <x:c r="C1" s="52" t="str">
        <x:v>結果概要（Kollmorgen定義）</x:v>
      </x:c>
      <x:c r="D1" s="52" t="str">
        <x:v>結果概要（Kollmorgen定義）</x:v>
      </x:c>
    </x:row>
    <x:row r="3" ht="15">
      <x:c r="A3" s="1" t="s">
        <x:v>138</x:v>
      </x:c>
      <x:c r="B3" s="1" t="s">
        <x:v>1</x:v>
      </x:c>
      <x:c r="C3" s="1" t="s">
        <x:v>2</x:v>
      </x:c>
      <x:c r="D3" s="1" t="s">
        <x:v>139</x:v>
      </x:c>
    </x:row>
    <x:row r="4" ht="29.25" customHeight="1">
      <x:c r="A4" s="2" t="str">
        <x:v>選択中の変調方式</x:v>
      </x:c>
      <x:c r="B4" s="60" t="str">
        <x:f>'入力条件'!B14</x:f>
        <x:v>SVPWM</x:v>
      </x:c>
      <x:c r="C4" s="5" t="str">
        <x:v>-</x:v>
      </x:c>
      <x:c r="D4" s="5" t="str">
        <x:v>入力条件シートの切替セルに連動</x:v>
      </x:c>
    </x:row>
    <x:row r="5" ht="29.25" customHeight="1">
      <x:c r="A5" s="2" t="str">
        <x:v>線間基本波rms / Vdc 係数 k_mod</x:v>
      </x:c>
      <x:c r="B5" s="54" t="n">
        <x:f>'入力条件'!B15</x:f>
        <x:v>0.7071067811865475</x:v>
      </x:c>
      <x:c r="C5" s="5" t="str">
        <x:v>-</x:v>
      </x:c>
      <x:c r="D5" s="5" t="str">
        <x:v>SPWM:0.612 / SVPWM:0.707</x:v>
      </x:c>
    </x:row>
    <x:row r="6" ht="29.25" customHeight="1">
      <x:c r="A6" s="2" t="str">
        <x:v>相基本波peak / Vdc 係数 k_ph,max</x:v>
      </x:c>
      <x:c r="B6" s="54" t="n">
        <x:f>'入力条件'!B16</x:f>
        <x:v>0.5773502691896258</x:v>
      </x:c>
      <x:c r="C6" s="5" t="str">
        <x:v>-</x:v>
      </x:c>
      <x:c r="D6" s="5" t="str">
        <x:v>SPWM:0.500 / SVPWM:0.577</x:v>
      </x:c>
    </x:row>
    <x:row r="7" ht="37.25" customHeight="1">
      <x:c r="A7" s="2" t="str">
        <x:v>Ke推定（線間rms）</x:v>
      </x:c>
      <x:c r="B7" s="54" t="n">
        <x:f>'計算詳細'!D9</x:f>
        <x:v>928.864227911382</x:v>
      </x:c>
      <x:c r="C7" s="5" t="str">
        <x:v>Vrms/krpm</x:v>
      </x:c>
      <x:c r="D7" s="5" t="str">
        <x:v>Ktからの推定値</x:v>
      </x:c>
    </x:row>
    <x:row r="8" ht="37.25" customHeight="1">
      <x:c r="A8" s="2" t="str">
        <x:v>Ke有効（線間rms）</x:v>
      </x:c>
      <x:c r="B8" s="54" t="n">
        <x:f>'計算詳細'!D10</x:f>
        <x:v>928.864227911382</x:v>
      </x:c>
      <x:c r="C8" s="5" t="str">
        <x:v>Vrms/krpm</x:v>
      </x:c>
      <x:c r="D8" s="5" t="str">
        <x:v>上書き入力があればその値を使用</x:v>
      </x:c>
    </x:row>
    <x:row r="9" ht="37.25" customHeight="1">
      <x:c r="A9" s="2" t="str">
        <x:v>無負荷理想最低DCバス</x:v>
      </x:c>
      <x:c r="B9" s="54" t="n">
        <x:f>SQRT(2)*'計算詳細'!D12</x:f>
        <x:v>13.1361238871549</x:v>
      </x:c>
      <x:c r="C9" s="5" t="str">
        <x:v>V</x:v>
      </x:c>
      <x:c r="D9" s="5" t="str">
        <x:v>Vdc_min = √2 × E_ll,rms</x:v>
      </x:c>
    </x:row>
    <x:row r="10" ht="37.25" customHeight="1">
      <x:c r="A10" s="2" t="str">
        <x:v>起動時必要DCバス最低電圧</x:v>
      </x:c>
      <x:c r="B10" s="54" t="n">
        <x:f>MAX('計算詳細'!D17,'計算詳細'!D18)</x:f>
        <x:v>52.20754620661166</x:v>
      </x:c>
      <x:c r="C10" s="5" t="str">
        <x:v>V</x:v>
      </x:c>
      <x:c r="D10" s="5" t="str">
        <x:v>Kollmorgen定義 + 選択変調方式</x:v>
      </x:c>
    </x:row>
    <x:row r="11" ht="37.25" customHeight="1">
      <x:c r="A11" s="2" t="str">
        <x:v>定常時必要DCバス最低電圧</x:v>
      </x:c>
      <x:c r="B11" s="54" t="n">
        <x:f>MAX('計算詳細'!D24,'計算詳細'!D25)</x:f>
        <x:v>39.3712942756589</x:v>
      </x:c>
      <x:c r="C11" s="5" t="str">
        <x:v>V</x:v>
      </x:c>
      <x:c r="D11" s="5" t="str">
        <x:v>Kollmorgen定義 + 選択変調方式</x:v>
      </x:c>
    </x:row>
    <x:row r="12" ht="37.25" customHeight="1">
      <x:c r="A12" s="2" t="str">
        <x:v>起動区間を含む推奨最小DCバス</x:v>
      </x:c>
      <x:c r="B12" s="54" t="n">
        <x:f>MAX('計算詳細'!D31,'計算詳細'!D32)</x:f>
        <x:v>65.6590619015932</x:v>
      </x:c>
      <x:c r="C12" s="5" t="str">
        <x:v>V</x:v>
      </x:c>
      <x:c r="D12" s="5" t="str">
        <x:v>起動電流一定で10 rpmまで加速したワースト条件</x:v>
      </x:c>
    </x:row>
    <x:row r="13" ht="37.25" customHeight="1">
      <x:c r="A13" s="2" t="str">
        <x:v>起動時DCバス（相peak基準）</x:v>
      </x:c>
      <x:c r="B13" s="54" t="n">
        <x:f>'計算詳細'!D17</x:f>
        <x:v>52.20754620661166</x:v>
      </x:c>
      <x:c r="C13" s="5" t="str">
        <x:v>V</x:v>
      </x:c>
      <x:c r="D13" s="5" t="str">
        <x:v>Vph,peak / k_ph,max</x:v>
      </x:c>
    </x:row>
    <x:row r="14" ht="37.25" customHeight="1">
      <x:c r="A14" s="2" t="str">
        <x:v>起動時DCバス（線間rms基準）</x:v>
      </x:c>
      <x:c r="B14" s="54" t="n">
        <x:f>'計算詳細'!D18</x:f>
        <x:v>52.20754620661166</x:v>
      </x:c>
      <x:c r="C14" s="5" t="str">
        <x:v>V</x:v>
      </x:c>
      <x:c r="D14" s="5" t="str">
        <x:v>Vll,rms / k_mod</x:v>
      </x:c>
    </x:row>
    <x:row r="15" ht="37.25" customHeight="1">
      <x:c r="A15" s="2" t="str">
        <x:v>定常時DCバス（相peak基準）</x:v>
      </x:c>
      <x:c r="B15" s="54" t="n">
        <x:f>'計算詳細'!D24</x:f>
        <x:v>39.37129427565889</x:v>
      </x:c>
      <x:c r="C15" s="5" t="str">
        <x:v>V</x:v>
      </x:c>
      <x:c r="D15" s="5" t="str">
        <x:v>Vph,peak / k_ph,max</x:v>
      </x:c>
    </x:row>
    <x:row r="16" ht="29.25" customHeight="1">
      <x:c r="A16" s="2" t="str">
        <x:v>定常時DCバス（線間rms基準）</x:v>
      </x:c>
      <x:c r="B16" s="54" t="n">
        <x:f>'計算詳細'!D25</x:f>
        <x:v>39.3712942756589</x:v>
      </x:c>
      <x:c r="C16" s="5" t="str">
        <x:v>V</x:v>
      </x:c>
      <x:c r="D16" s="5" t="str">
        <x:v>Vll,rms / k_mod</x:v>
      </x:c>
    </x:row>
    <x:row r="17" ht="29.25" customHeight="1">
      <x:c r="A17" s="2" t="str">
        <x:v>加速ワーストDCバス（相peak基準）</x:v>
      </x:c>
      <x:c r="B17" s="54" t="n">
        <x:f>'計算詳細'!D31</x:f>
        <x:v>65.65906190159319</x:v>
      </x:c>
      <x:c r="C17" s="5" t="str">
        <x:v>V</x:v>
      </x:c>
      <x:c r="D17" s="5" t="str">
        <x:v>Vph,peak / k_ph,max</x:v>
      </x:c>
    </x:row>
    <x:row r="18" ht="29.25" customHeight="1">
      <x:c r="A18" s="2" t="str">
        <x:v>加速ワーストDCバス（線間rms基準）</x:v>
      </x:c>
      <x:c r="B18" s="54" t="n">
        <x:f>'計算詳細'!D32</x:f>
        <x:v>65.6590619015932</x:v>
      </x:c>
      <x:c r="C18" s="5" t="str">
        <x:v>V</x:v>
      </x:c>
      <x:c r="D18" s="5" t="str">
        <x:v>Vll,rms / k_mod</x:v>
      </x:c>
    </x:row>
    <x:row r="19" ht="29.25" customHeight="1">
      <x:c r="A19" s="2" t="str">
        <x:v>定常時機械出力</x:v>
      </x:c>
      <x:c r="B19" s="54" t="n">
        <x:f>'計算詳細'!D34</x:f>
        <x:v>31.62536604613725</x:v>
      </x:c>
      <x:c r="C19" s="5" t="str">
        <x:v>W</x:v>
      </x:c>
      <x:c r="D19" s="5" t="str">
        <x:v>トルク × 機械角速度</x:v>
      </x:c>
    </x:row>
    <x:row r="20" ht="29.25" customHeight="1">
      <x:c r="A20" s="2" t="str">
        <x:v>定常時発熱量（銅損）</x:v>
      </x:c>
      <x:c r="B20" s="54" t="n">
        <x:f>'計算詳細'!D35</x:f>
        <x:v>108.85095371068257</x:v>
      </x:c>
      <x:c r="C20" s="5" t="str">
        <x:v>W</x:v>
      </x:c>
      <x:c r="D20" s="5" t="str">
        <x:v>巻線ジュール損（R_phase使用）</x:v>
      </x:c>
    </x:row>
    <x:row r="21" ht="29.25" customHeight="1">
      <x:c r="A21" s="2" t="str">
        <x:v>定常時効率</x:v>
      </x:c>
      <x:c r="B21" s="54" t="n">
        <x:f>'計算詳細'!D37*100</x:f>
        <x:v>22.512951720890953</x:v>
      </x:c>
      <x:c r="C21" s="5" t="str">
        <x:v>%</x:v>
      </x:c>
      <x:c r="D21" s="5" t="str">
        <x:v>銅損のみ考慮した簡易効率</x:v>
      </x:c>
    </x:row>
    <x:row r="22">
      <x:c r="A22"/>
      <x:c r="B22"/>
      <x:c r="C22"/>
      <x:c r="D22"/>
    </x:row>
    <x:row r="23" ht="22.75" customHeight="1">
      <x:c r="A23" s="53" t="str">
        <x:v>回生制動（停止時）結果</x:v>
      </x:c>
      <x:c r="B23" s="53"/>
      <x:c r="C23" s="53"/>
      <x:c r="D23" s="53"/>
    </x:row>
    <x:row r="24" ht="45.5" customHeight="1">
      <x:c r="A24" s="22" t="str">
        <x:v>停止前慣性エネルギー</x:v>
      </x:c>
      <x:c r="B24" s="55" t="n">
        <x:f>'計算詳細'!D49</x:f>
        <x:v>1.6449340668482262</x:v>
      </x:c>
      <x:c r="C24" s="32" t="str">
        <x:v>J</x:v>
      </x:c>
      <x:c r="D24" s="29" t="str">
        <x:v>停止前に蓄えられた運動エネルギー</x:v>
      </x:c>
    </x:row>
    <x:row r="25" ht="68.25" customHeight="1">
      <x:c r="A25" s="23" t="str">
        <x:v>必要減速トルク</x:v>
      </x:c>
      <x:c r="B25" s="55" t="n">
        <x:f>'計算詳細'!D44</x:f>
        <x:v>3.141592653589793</x:v>
      </x:c>
      <x:c r="C25" s="33" t="str">
        <x:v>Nm</x:v>
      </x:c>
      <x:c r="D25" s="30" t="str">
        <x:v>1 sで停止するための制動トルク（大きさ）</x:v>
      </x:c>
    </x:row>
    <x:row r="26" ht="45.5" customHeight="1">
      <x:c r="A26" s="23" t="str">
        <x:v>必要回生電流</x:v>
      </x:c>
      <x:c r="B26" s="55" t="n">
        <x:f>'計算詳細'!D45</x:f>
        <x:v>0.3541818098748358</x:v>
      </x:c>
      <x:c r="C26" s="33" t="str">
        <x:v>Arms</x:v>
      </x:c>
      <x:c r="D26" s="30" t="str">
        <x:v>回生方向の相電流実効値（大きさ）</x:v>
      </x:c>
    </x:row>
    <x:row r="27" ht="22.75" customHeight="1">
      <x:c r="A27" s="23" t="str">
        <x:v>平均機械回生電力</x:v>
      </x:c>
      <x:c r="B27" s="55" t="n">
        <x:f>'計算詳細'!D48</x:f>
        <x:v>1.6449340668482262</x:v>
      </x:c>
      <x:c r="C27" s="33" t="str">
        <x:v>W</x:v>
      </x:c>
      <x:c r="D27" s="30" t="str">
        <x:v>減速1回の平均機械側回生電力</x:v>
      </x:c>
    </x:row>
    <x:row r="28" ht="22.75" customHeight="1">
      <x:c r="A28" s="23" t="str">
        <x:v>回生時銅損</x:v>
      </x:c>
      <x:c r="B28" s="55" t="n">
        <x:f>'計算詳細'!D50</x:f>
        <x:v>1.1779262442499523</x:v>
      </x:c>
      <x:c r="C28" s="33" t="str">
        <x:v>W</x:v>
      </x:c>
      <x:c r="D28" s="30" t="str">
        <x:v>回生制動中の巻線銅損（R_phase使用）</x:v>
      </x:c>
    </x:row>
    <x:row r="29" ht="45.5" customHeight="1">
      <x:c r="A29" s="23" t="str">
        <x:v>DCバス回収可能エネルギー</x:v>
      </x:c>
      <x:c r="B29" s="55" t="n">
        <x:f>'計算詳細'!D53</x:f>
        <x:v>0.4670078225982739</x:v>
      </x:c>
      <x:c r="C29" s="33" t="str">
        <x:v>J</x:v>
      </x:c>
      <x:c r="D29" s="30" t="str">
        <x:v>銅損を差し引いた正味回生エネルギー</x:v>
      </x:c>
    </x:row>
    <x:row r="30" ht="45.5" customHeight="1">
      <x:c r="A30" s="23" t="str">
        <x:v>回生後DCバス電圧（理想）</x:v>
      </x:c>
      <x:c r="B30" s="55" t="n">
        <x:f>'計算詳細'!D54</x:f>
        <x:v>68.11827378293502</x:v>
      </x:c>
      <x:c r="C30" s="33" t="str">
        <x:v>V</x:v>
      </x:c>
      <x:c r="D30" s="30" t="str">
        <x:v>全慣性エネルギーがC_dcへ入る上限値</x:v>
      </x:c>
    </x:row>
    <x:row r="31" ht="45.5" customHeight="1">
      <x:c r="A31" s="23" t="str">
        <x:v>回生後DCバス電圧（銅損考慮）</x:v>
      </x:c>
      <x:c r="B31" s="55" t="n">
        <x:f>'計算詳細'!D55</x:f>
        <x:v>66.36651244654117</x:v>
      </x:c>
      <x:c r="C31" s="33" t="str">
        <x:v>V</x:v>
      </x:c>
      <x:c r="D31" s="30" t="str">
        <x:v>銅損考慮後の簡易予測値</x:v>
      </x:c>
    </x:row>
    <x:row r="32" ht="22.75" customHeight="1">
      <x:c r="A32" s="23" t="str">
        <x:v>回生電圧上昇 ΔV（理想）</x:v>
      </x:c>
      <x:c r="B32" s="55" t="n">
        <x:f>'計算詳細'!D56</x:f>
        <x:v>2.4592118813418153</x:v>
      </x:c>
      <x:c r="C32" s="33" t="str">
        <x:v>V</x:v>
      </x:c>
      <x:c r="D32" s="30" t="str">
        <x:v>上限評価</x:v>
      </x:c>
    </x:row>
    <x:row r="33" ht="22.75" customHeight="1">
      <x:c r="A33" s="23" t="str">
        <x:v>回生電圧上昇 ΔV（銅損考慮）</x:v>
      </x:c>
      <x:c r="B33" s="55" t="n">
        <x:f>'計算詳細'!D57</x:f>
        <x:v>0.7074505449479602</x:v>
      </x:c>
      <x:c r="C33" s="33" t="str">
        <x:v>V</x:v>
      </x:c>
      <x:c r="D33" s="30" t="str">
        <x:v>実効評価</x:v>
      </x:c>
    </x:row>
    <x:row r="34" ht="45.5" customHeight="1">
      <x:c r="A34" s="24" t="str">
        <x:v>回生成立判定</x:v>
      </x:c>
      <x:c r="B34" s="61" t="str">
        <x:f>'計算詳細'!D58</x:f>
        <x:v>DCバス上昇あり</x:v>
      </x:c>
      <x:c r="C34" s="34" t="str">
        <x:v>-</x:v>
      </x:c>
      <x:c r="D34" s="31" t="str">
        <x:v>正味回生電力が正ならDCバス上昇あり</x:v>
      </x:c>
    </x:row>
  </x:sheetData>
  <x:mergeCells>
    <x:mergeCell ref="A1:D1"/>
    <x:mergeCell ref="A23:D23"/>
  </x:mergeCells>
  <x:conditionalFormatting sqref="B33:B33">
    <x:cfRule type="cellIs" dxfId="1" priority="1" operator="greaterThan">
      <x:formula>0</x:formula>
    </x:cfRule>
  </x:conditionalFormatting>
  <x:conditionalFormatting sqref="B34:B34">
    <x:cfRule type="expression" dxfId="0" priority="2">
      <x:formula>B34="DCバス上昇あり"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18" hidden="0" customWidth="1"/>
  </x:cols>
  <x:sheetData>
    <x:row r="1" ht="18">
      <x:c r="A1" s="52" t="s">
        <x:v>140</x:v>
      </x:c>
      <x:c r="B1" s="52" t="s">
        <x:v>140</x:v>
      </x:c>
      <x:c r="C1" s="52" t="s">
        <x:v>140</x:v>
      </x:c>
      <x:c r="D1" s="52" t="s">
        <x:v>140</x:v>
      </x:c>
    </x:row>
    <x:row r="3" ht="16">
      <x:c r="A3" s="8" t="s">
        <x:v>141</x:v>
      </x:c>
      <x:c r="B3" s="62" t="s">
        <x:v>142</x:v>
      </x:c>
    </x:row>
    <x:row r="4" ht="15">
      <x:c r="A4" s="5" t="s">
        <x:v>143</x:v>
      </x:c>
      <x:c r="B4" s="63" t="n">
        <x:f>'入力条件'!B7</x:f>
        <x:v>6.809470124013529</x:v>
      </x:c>
    </x:row>
    <x:row r="5" ht="15">
      <x:c r="A5" s="5" t="s">
        <x:v>144</x:v>
      </x:c>
      <x:c r="B5" s="63" t="n">
        <x:f>'入力条件'!B8</x:f>
        <x:v>3.4047350620067647</x:v>
      </x:c>
    </x:row>
    <x:row r="6">
      <x:c r="B6" s="64"/>
    </x:row>
    <x:row r="7">
      <x:c r="B7" s="64"/>
    </x:row>
    <x:row r="8" ht="16">
      <x:c r="A8" s="8" t="s">
        <x:v>41</x:v>
      </x:c>
      <x:c r="B8" s="65" t="s">
        <x:v>145</x:v>
      </x:c>
    </x:row>
    <x:row r="9" ht="15">
      <x:c r="A9" s="5" t="s">
        <x:v>146</x:v>
      </x:c>
      <x:c r="B9" s="63" t="n">
        <x:f>'計算詳細'!D34</x:f>
        <x:v>31.62536604613725</x:v>
      </x:c>
    </x:row>
    <x:row r="10" ht="15">
      <x:c r="A10" s="5" t="s">
        <x:v>147</x:v>
      </x:c>
      <x:c r="B10" s="63" t="n">
        <x:f>'計算詳細'!D35</x:f>
        <x:v>108.85095371068257</x:v>
      </x:c>
    </x:row>
    <x:row r="11" ht="15">
      <x:c r="A11" s="5" t="s">
        <x:v>148</x:v>
      </x:c>
      <x:c r="B11" s="63" t="n">
        <x:f>'計算詳細'!D38</x:f>
        <x:v>435.4038148427303</x:v>
      </x:c>
    </x:row>
    <x:row r="12" ht="15">
      <x:c r="A12" s="5" t="s">
        <x:v>149</x:v>
      </x:c>
      <x:c r="B12" s="63" t="n">
        <x:f>'計算詳細'!D39</x:f>
        <x:v>435.4038148427303</x:v>
      </x:c>
    </x:row>
    <x:row r="13">
      <x:c r="B13" s="64"/>
    </x:row>
    <x:row r="14">
      <x:c r="B14" s="64"/>
    </x:row>
    <x:row r="15" ht="16">
      <x:c r="A15" s="8" t="s">
        <x:v>141</x:v>
      </x:c>
      <x:c r="B15" s="65" t="s">
        <x:v>150</x:v>
      </x:c>
    </x:row>
    <x:row r="16" ht="15">
      <x:c r="A16" s="5" t="s">
        <x:v>143</x:v>
      </x:c>
      <x:c r="B16" s="63" t="n">
        <x:f>'計算詳細'!D18</x:f>
        <x:v>52.20754620661166</x:v>
      </x:c>
    </x:row>
    <x:row r="17" ht="15">
      <x:c r="A17" s="5" t="s">
        <x:v>144</x:v>
      </x:c>
      <x:c r="B17" s="63" t="n">
        <x:f>'計算詳細'!D25</x:f>
        <x:v>39.3712942756589</x:v>
      </x:c>
    </x:row>
    <x:row r="18" ht="15">
      <x:c r="A18" s="5" t="s">
        <x:v>151</x:v>
      </x:c>
      <x:c r="B18" s="63" t="n">
        <x:f>'計算詳細'!D32</x:f>
        <x:v>65.6590619015932</x:v>
      </x:c>
    </x:row>
    <x:row r="19">
      <x:c r="B19" s="66"/>
    </x:row>
    <x:row r="20">
      <x:c r="B20" s="66"/>
    </x:row>
    <x:row r="21" ht="15">
      <x:c r="A21" s="45" t="s">
        <x:v>41</x:v>
      </x:c>
      <x:c r="B21" s="67" t="s">
        <x:v>152</x:v>
      </x:c>
    </x:row>
    <x:row r="22" ht="16">
      <x:c r="A22" s="22" t="s">
        <x:v>153</x:v>
      </x:c>
      <x:c r="B22" s="68" t="n">
        <x:f>'計算詳細'!D49</x:f>
        <x:v>1.6449340668482262</x:v>
      </x:c>
    </x:row>
    <x:row r="23" ht="16">
      <x:c r="A23" s="23" t="s">
        <x:v>154</x:v>
      </x:c>
      <x:c r="B23" s="68" t="n">
        <x:f>'計算詳細'!D51</x:f>
        <x:v>1.1779262442499523</x:v>
      </x:c>
    </x:row>
    <x:row r="24" ht="16">
      <x:c r="A24" s="24" t="s">
        <x:v>155</x:v>
      </x:c>
      <x:c r="B24" s="68" t="n">
        <x:f>'計算詳細'!D53</x:f>
        <x:v>0.4670078225982739</x:v>
      </x:c>
    </x:row>
    <x:row r="25">
      <x:c r="B25" s="66"/>
    </x:row>
    <x:row r="26" ht="15">
      <x:c r="A26" s="45" t="s">
        <x:v>41</x:v>
      </x:c>
      <x:c r="B26" s="67" t="s">
        <x:v>156</x:v>
      </x:c>
    </x:row>
    <x:row r="27" ht="16">
      <x:c r="A27" s="22" t="s">
        <x:v>157</x:v>
      </x:c>
      <x:c r="B27" s="68" t="n">
        <x:f>'入力条件'!B29</x:f>
        <x:v>65.6590619015932</x:v>
      </x:c>
    </x:row>
    <x:row r="28" ht="16">
      <x:c r="A28" s="23" t="s">
        <x:v>158</x:v>
      </x:c>
      <x:c r="B28" s="68" t="n">
        <x:f>'計算詳細'!D54</x:f>
        <x:v>68.11827378293502</x:v>
      </x:c>
    </x:row>
    <x:row r="29" ht="16">
      <x:c r="A29" s="24" t="s">
        <x:v>159</x:v>
      </x:c>
      <x:c r="B29" s="68" t="n">
        <x:f>'計算詳細'!D55</x:f>
        <x:v>66.36651244654117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c6fd9110a4c44db6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0" customWidth="1"/>
    <x:col min="2" max="2" width="28" customWidth="1"/>
    <x:col min="3" max="3" width="42" customWidth="1"/>
  </x:cols>
  <x:sheetData>
    <x:row r="1" ht="18">
      <x:c r="A1" s="52" t="str">
        <x:v>導出メモ（Kollmorgen定義）</x:v>
      </x:c>
      <x:c r="B1" s="52" t="str">
        <x:v>導出メモ（Kollmorgen定義）</x:v>
      </x:c>
      <x:c r="C1" s="52" t="str">
        <x:v>導出メモ（Kollmorgen定義）</x:v>
      </x:c>
    </x:row>
    <x:row r="3" ht="15">
      <x:c r="A3" s="1" t="s">
        <x:v>160</x:v>
      </x:c>
      <x:c r="B3" s="1" t="s">
        <x:v>161</x:v>
      </x:c>
      <x:c r="C3" s="1" t="s">
        <x:v>139</x:v>
      </x:c>
    </x:row>
    <x:row r="4" ht="16">
      <x:c r="A4" s="2" t="str">
        <x:v>1. Kt と Ke の関係</x:v>
      </x:c>
      <x:c r="B4" s="5"/>
      <x:c r="C4" s="5"/>
    </x:row>
    <x:row r="5" ht="30">
      <x:c r="A5" s="2" t="str">
        <x:v>Kollmorgen定義の近似</x:v>
      </x:c>
      <x:c r="B5" s="5" t="str">
        <x:v>Ke_ll,rms [V/(rad/s)] ≈ Kt [Nm/Arms]</x:v>
      </x:c>
      <x:c r="C5" s="5" t="str">
        <x:v>正弦波通電・Y結線前提のSI換算。</x:v>
      </x:c>
    </x:row>
    <x:row r="6" ht="16">
      <x:c r="A6" s="2" t="str">
        <x:v>カタログ表記への換算</x:v>
      </x:c>
      <x:c r="B6" s="5" t="str">
        <x:v>Ke_ll,rms [Vrms/krpm] = Ke[V/(rad/s)] × 1000×2π/60</x:v>
      </x:c>
      <x:c r="C6" s="5" t="str">
        <x:v>Vrms/krpm は Kollmorgenカタログでよく使う表記。</x:v>
      </x:c>
    </x:row>
    <x:row r="7" ht="16">
      <x:c r="A7" s="2" t="s">
        <x:v>162</x:v>
      </x:c>
      <x:c r="B7" s="5"/>
      <x:c r="C7" s="5"/>
    </x:row>
    <x:row r="8" ht="30">
      <x:c r="A8" s="2" t="str">
        <x:v>換算式</x:v>
      </x:c>
      <x:c r="B8" s="5" t="str">
        <x:v>Vll,rms = √(3/2) × Vph,peak</x:v>
      </x:c>
      <x:c r="C8" s="5" t="str">
        <x:v>相peak基準版と線間rms基準版はこの式で相互変換できる。</x:v>
      </x:c>
    </x:row>
    <x:row r="9" ht="16">
      <x:c r="A9" s="2" t="s">
        <x:v>163</x:v>
      </x:c>
      <x:c r="B9" s="5"/>
      <x:c r="C9" s="5"/>
    </x:row>
    <x:row r="10" ht="30">
      <x:c r="A10" s="2" t="str">
        <x:v>SPWM</x:v>
      </x:c>
      <x:c r="B10" s="5" t="str">
        <x:v>k_mod = 0.612, k_ph,max = 0.500</x:v>
      </x:c>
      <x:c r="C10" s="5" t="str">
        <x:v>Vdc = Vll,rms / 0.612 = Vph,peak / 0.5</x:v>
      </x:c>
    </x:row>
    <x:row r="11" ht="30">
      <x:c r="A11" s="2" t="str">
        <x:v>SVPWM</x:v>
      </x:c>
      <x:c r="B11" s="5" t="str">
        <x:v>k_mod = 1/√2 ≒ 0.707, k_ph,max = 1/√3 ≒ 0.577</x:v>
      </x:c>
      <x:c r="C11" s="5" t="str">
        <x:v>Vdc = Vll,rms / 0.707 = Vph,peak / 0.577</x:v>
      </x:c>
    </x:row>
    <x:row r="12" ht="16">
      <x:c r="A12" s="2" t="s">
        <x:v>164</x:v>
      </x:c>
      <x:c r="B12" s="5"/>
      <x:c r="C12" s="5"/>
    </x:row>
    <x:row r="13" ht="16">
      <x:c r="A13" s="2" t="str">
        <x:v>起動時</x:v>
      </x:c>
      <x:c r="B13" s="5" t="str">
        <x:v>v_q,start = R_phase I_start,peak</x:v>
      </x:c>
      <x:c r="C13" s="5" t="str">
        <x:v>KollmorgenのRはline-lineなので R_phase = R_ll/2。</x:v>
      </x:c>
    </x:row>
    <x:row r="14" ht="30">
      <x:c r="A14" s="2" t="str">
        <x:v>定常時</x:v>
      </x:c>
      <x:c r="B14" s="5" t="str">
        <x:v>v_q,ss = R_phase I_ss,peak + E_ph,peak,ss</x:v>
      </x:c>
      <x:c r="C14" s="5" t="str">
        <x:v>Keは線間rmsで保持し、dq式では相peakへ換算して使う。</x:v>
      </x:c>
    </x:row>
    <x:row r="15" ht="16">
      <x:c r="A15" s="2" t="s">
        <x:v>165</x:v>
      </x:c>
      <x:c r="B15" s="5"/>
      <x:c r="C15" s="5"/>
    </x:row>
    <x:row r="16" ht="16">
      <x:c r="A16" s="2" t="str">
        <x:v>定常時 / 加速時</x:v>
      </x:c>
      <x:c r="B16" s="5" t="str">
        <x:v>v_d = -ω_e L_phase I_peak</x:v>
      </x:c>
      <x:c r="C16" s="5" t="str">
        <x:v>KollmorgenのLはline-lineなので L_phase = L_ll/2。</x:v>
      </x:c>
    </x:row>
    <x:row r="17" ht="32">
      <x:c r="A17" s="2" t="s">
        <x:v>166</x:v>
      </x:c>
      <x:c r="B17" s="5"/>
      <x:c r="C17" s="5"/>
    </x:row>
    <x:row r="18" ht="30">
      <x:c r="A18" s="2" t="str">
        <x:v>チェック式</x:v>
      </x:c>
      <x:c r="B18" s="5" t="str">
        <x:v>Vph,peak / k_ph,max と Vll,rms / k_mod は同値</x:v>
      </x:c>
      <x:c r="C18" s="5" t="str">
        <x:v>SPWM/SVPWMどちらでも換算整合する。</x:v>
      </x:c>
    </x:row>
    <x:row r="19" ht="16">
      <x:c r="A19" s="2" t="s">
        <x:v>167</x:v>
      </x:c>
      <x:c r="B19" s="5"/>
      <x:c r="C19" s="5"/>
    </x:row>
    <x:row r="20" ht="16">
      <x:c r="A20" s="2" t="s">
        <x:v>168</x:v>
      </x:c>
      <x:c r="B20" s="5" t="s">
        <x:v>169</x:v>
      </x:c>
      <x:c r="C20" s="5" t="s">
        <x:v>170</x:v>
      </x:c>
    </x:row>
    <x:row r="21" ht="16">
      <x:c r="A21" s="2" t="str">
        <x:v>銅損</x:v>
      </x:c>
      <x:c r="B21" s="5" t="str">
        <x:v>P_cu = 3 I_rms^2 R_phase</x:v>
      </x:c>
      <x:c r="C21" s="5" t="str">
        <x:v>R_phase = R_ll/2 を使う。</x:v>
      </x:c>
    </x:row>
    <x:row r="22" ht="16">
      <x:c r="A22" s="2" t="s">
        <x:v>171</x:v>
      </x:c>
      <x:c r="B22" s="5" t="s">
        <x:v>172</x:v>
      </x:c>
      <x:c r="C22" s="5" t="s">
        <x:v>173</x:v>
      </x:c>
    </x:row>
    <x:row r="23" ht="30">
      <x:c r="A23" s="2" t="s">
        <x:v>149</x:v>
      </x:c>
      <x:c r="B23" s="5" t="s">
        <x:v>174</x:v>
      </x:c>
      <x:c r="C23" s="5" t="s">
        <x:v>175</x:v>
      </x:c>
    </x:row>
    <x:row r="25" ht="16">
      <x:c r="A25" s="48" t="s">
        <x:v>176</x:v>
      </x:c>
      <x:c r="B25" s="50"/>
      <x:c r="C25" s="49"/>
    </x:row>
    <x:row r="26" ht="29">
      <x:c r="A26" s="23" t="s">
        <x:v>177</x:v>
      </x:c>
      <x:c r="B26" s="42" t="s">
        <x:v>178</x:v>
      </x:c>
      <x:c r="C26" s="27" t="s">
        <x:v>179</x:v>
      </x:c>
    </x:row>
    <x:row r="27" ht="29">
      <x:c r="A27" s="23" t="str">
        <x:v>必要回生電流</x:v>
      </x:c>
      <x:c r="B27" s="42" t="str">
        <x:v>|I_regen| = |T_regen| / Kt</x:v>
      </x:c>
      <x:c r="C27" s="27" t="str">
        <x:v>Kt が Nm/Arms のため、RMS電流の大きさで直接求まる。</x:v>
      </x:c>
    </x:row>
    <x:row r="28" ht="16">
      <x:c r="A28" s="23" t="s">
        <x:v>153</x:v>
      </x:c>
      <x:c r="B28" s="42" t="s">
        <x:v>180</x:v>
      </x:c>
      <x:c r="C28" s="27" t="s">
        <x:v>181</x:v>
      </x:c>
    </x:row>
    <x:row r="29" ht="29">
      <x:c r="A29" s="23" t="s">
        <x:v>182</x:v>
      </x:c>
      <x:c r="B29" s="42" t="s">
        <x:v>183</x:v>
      </x:c>
      <x:c r="C29" s="27" t="s">
        <x:v>184</x:v>
      </x:c>
    </x:row>
    <x:row r="30" ht="16">
      <x:c r="A30" s="23" t="str">
        <x:v>回生時銅損</x:v>
      </x:c>
      <x:c r="B30" s="42" t="str">
        <x:v>P_cu,regen = 3 I_regen² R_phase</x:v>
      </x:c>
      <x:c r="C30" s="27" t="str">
        <x:v>回生中でも巻線銅損は必ず発生する。</x:v>
      </x:c>
    </x:row>
    <x:row r="31" ht="29">
      <x:c r="A31" s="23" t="s">
        <x:v>185</x:v>
      </x:c>
      <x:c r="B31" s="42" t="s">
        <x:v>186</x:v>
      </x:c>
      <x:c r="C31" s="27" t="s">
        <x:v>187</x:v>
      </x:c>
    </x:row>
    <x:row r="32" ht="16">
      <x:c r="A32" s="24" t="s">
        <x:v>188</x:v>
      </x:c>
      <x:c r="B32" s="43" t="s">
        <x:v>189</x:v>
      </x:c>
      <x:c r="C32" s="28" t="s">
        <x:v>190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2" width="22" customWidth="1"/>
    <x:col min="3" max="3" width="14" customWidth="1"/>
    <x:col min="4" max="4" width="10" customWidth="1"/>
    <x:col min="5" max="5" width="24" customWidth="1"/>
    <x:col min="6" max="6" width="26" customWidth="1"/>
  </x:cols>
  <x:sheetData>
    <x:row r="1" ht="18">
      <x:c r="A1" s="52" t="str">
        <x:v>定義整理・整合チェック（Kollmorgen定義）</x:v>
      </x:c>
      <x:c r="B1" s="52" t="str">
        <x:v>定義整理・整合チェック（Kollmorgen定義）</x:v>
      </x:c>
      <x:c r="C1" s="52" t="str">
        <x:v>定義整理・整合チェック（Kollmorgen定義）</x:v>
      </x:c>
      <x:c r="D1" s="52" t="str">
        <x:v>定義整理・整合チェック（Kollmorgen定義）</x:v>
      </x:c>
      <x:c r="E1" s="52" t="str">
        <x:v>定義整理・整合チェック（Kollmorgen定義）</x:v>
      </x:c>
      <x:c r="F1" s="52" t="str">
        <x:v>定義整理・整合チェック（Kollmorgen定義）</x:v>
      </x:c>
    </x:row>
    <x:row r="3" ht="15">
      <x:c r="A3" s="1" t="s">
        <x:v>41</x:v>
      </x:c>
      <x:c r="B3" s="1" t="s">
        <x:v>191</x:v>
      </x:c>
      <x:c r="C3" s="1" t="s">
        <x:v>192</x:v>
      </x:c>
      <x:c r="D3" s="1" t="s">
        <x:v>2</x:v>
      </x:c>
      <x:c r="E3" s="1" t="s">
        <x:v>139</x:v>
      </x:c>
      <x:c r="F3" s="1" t="s">
        <x:v>3</x:v>
      </x:c>
    </x:row>
    <x:row r="4" ht="16">
      <x:c r="A4" s="2" t="str">
        <x:v>選択中の変調方式</x:v>
      </x:c>
      <x:c r="B4" s="5" t="str">
        <x:v>'入力条件'!B14</x:v>
      </x:c>
      <x:c r="C4" s="58" t="str">
        <x:f>'入力条件'!B14</x:f>
        <x:v>SVPWM</x:v>
      </x:c>
      <x:c r="D4" s="5" t="str">
        <x:v>-</x:v>
      </x:c>
      <x:c r="E4" s="5" t="str">
        <x:v>SPWM / SVPWM 切替セル</x:v>
      </x:c>
      <x:c r="F4" s="5" t="str">
        <x:v>設計用</x:v>
      </x:c>
    </x:row>
    <x:row r="5" ht="32">
      <x:c r="A5" s="2" t="str">
        <x:v>k_mod（線間rms / Vdc）</x:v>
      </x:c>
      <x:c r="B5" s="5" t="str">
        <x:v>'入力条件'!B15</x:v>
      </x:c>
      <x:c r="C5" s="58" t="n">
        <x:f>'入力条件'!B15</x:f>
        <x:v>0.7071067811865475</x:v>
      </x:c>
      <x:c r="D5" s="5" t="str">
        <x:v>-</x:v>
      </x:c>
      <x:c r="E5" s="5" t="str">
        <x:v>SPWM:0.612 / SVPWM:0.707</x:v>
      </x:c>
      <x:c r="F5" s="5" t="str">
        <x:v>Vdc = Vll,rms / k_mod</x:v>
      </x:c>
    </x:row>
    <x:row r="6" ht="32">
      <x:c r="A6" s="2" t="str">
        <x:v>k_ph,max（相peak / Vdc）</x:v>
      </x:c>
      <x:c r="B6" s="5" t="str">
        <x:v>'入力条件'!B16</x:v>
      </x:c>
      <x:c r="C6" s="58" t="n">
        <x:f>'入力条件'!B16</x:f>
        <x:v>0.5773502691896258</x:v>
      </x:c>
      <x:c r="D6" s="5" t="str">
        <x:v>-</x:v>
      </x:c>
      <x:c r="E6" s="5" t="str">
        <x:v>SPWM:0.500 / SVPWM:0.577</x:v>
      </x:c>
      <x:c r="F6" s="5" t="str">
        <x:v>Vdc = Vph,peak / k_ph,max</x:v>
      </x:c>
    </x:row>
    <x:row r="7" ht="16">
      <x:c r="A7" s="2" t="str">
        <x:v>R_phase</x:v>
      </x:c>
      <x:c r="B7" s="5" t="str">
        <x:v>R_ll / 2</x:v>
      </x:c>
      <x:c r="C7" s="58" t="n">
        <x:f>'入力条件'!B4/2</x:f>
        <x:v>3.13</x:v>
      </x:c>
      <x:c r="D7" s="5" t="str">
        <x:v>Ω</x:v>
      </x:c>
      <x:c r="E7" s="5" t="str">
        <x:v>Y結線の相抵抗</x:v>
      </x:c>
      <x:c r="F7" s="5" t="str">
        <x:v>KollmorgenのRはline-line</x:v>
      </x:c>
    </x:row>
    <x:row r="8" ht="16">
      <x:c r="A8" s="2" t="str">
        <x:v>L_phase</x:v>
      </x:c>
      <x:c r="B8" s="5" t="str">
        <x:v>L_ll / 2</x:v>
      </x:c>
      <x:c r="C8" s="58" t="n">
        <x:f>'入力条件'!B5/2</x:f>
        <x:v>0.0115</x:v>
      </x:c>
      <x:c r="D8" s="5" t="str">
        <x:v>H</x:v>
      </x:c>
      <x:c r="E8" s="5" t="str">
        <x:v>Y結線の相インダクタンス</x:v>
      </x:c>
      <x:c r="F8" s="5" t="str">
        <x:v>KollmorgenのLはline-line</x:v>
      </x:c>
    </x:row>
    <x:row r="9" ht="32">
      <x:c r="A9" s="2" t="str">
        <x:v>Ke推定（線間rms）</x:v>
      </x:c>
      <x:c r="B9" s="5" t="str">
        <x:v>≈ Kt</x:v>
      </x:c>
      <x:c r="C9" s="58" t="n">
        <x:f>'入力条件'!B6</x:f>
        <x:v>8.87</x:v>
      </x:c>
      <x:c r="D9" s="5" t="str">
        <x:v>V/(rad/s)</x:v>
      </x:c>
      <x:c r="E9" s="5" t="str">
        <x:v>Kollmorgen定義の近似</x:v>
      </x:c>
      <x:c r="F9" s="5" t="str">
        <x:v>正弦波・Y結線前提</x:v>
      </x:c>
    </x:row>
    <x:row r="10" ht="32">
      <x:c r="A10" s="2" t="str">
        <x:v>Ke推定（線間rms）</x:v>
      </x:c>
      <x:c r="B10" s="5" t="str">
        <x:v>換算</x:v>
      </x:c>
      <x:c r="C10" s="58" t="n">
        <x:f>'計算詳細'!D9</x:f>
        <x:v>928.864227911382</x:v>
      </x:c>
      <x:c r="D10" s="5" t="str">
        <x:v>Vrms/krpm</x:v>
      </x:c>
      <x:c r="E10" s="5" t="str">
        <x:v>Ktからの推定値</x:v>
      </x:c>
      <x:c r="F10" s="5" t="str">
        <x:v>カタログ表記</x:v>
      </x:c>
    </x:row>
    <x:row r="11" ht="16">
      <x:c r="A11" s="2" t="str">
        <x:v>Ke有効（線間rms）</x:v>
      </x:c>
      <x:c r="B11" s="5" t="str">
        <x:v>override優先</x:v>
      </x:c>
      <x:c r="C11" s="58" t="n">
        <x:f>'計算詳細'!D10</x:f>
        <x:v>928.864227911382</x:v>
      </x:c>
      <x:c r="D11" s="5" t="str">
        <x:v>Vrms/krpm</x:v>
      </x:c>
      <x:c r="E11" s="5" t="str">
        <x:v>空欄なら推定値</x:v>
      </x:c>
      <x:c r="F11" s="5" t="str">
        <x:v>入力条件!B12で上書き可</x:v>
      </x:c>
    </x:row>
    <x:row r="12" ht="16">
      <x:c r="A12" s="2" t="str">
        <x:v>Ke有効（線間rms）</x:v>
      </x:c>
      <x:c r="B12" s="5" t="str">
        <x:v>換算</x:v>
      </x:c>
      <x:c r="C12" s="58" t="n">
        <x:f>'計算詳細'!D11</x:f>
        <x:v>8.87</x:v>
      </x:c>
      <x:c r="D12" s="5" t="str">
        <x:v>V/(rad/s)</x:v>
      </x:c>
      <x:c r="E12" s="5" t="str">
        <x:v>実計算で使用</x:v>
      </x:c>
      <x:c r="F12" s="5"/>
    </x:row>
    <x:row r="13" ht="16">
      <x:c r="A13" s="2" t="str">
        <x:v>無負荷理想最低DCバス</x:v>
      </x:c>
      <x:c r="B13" s="5" t="str">
        <x:v>√2 × E_ll,rms</x:v>
      </x:c>
      <x:c r="C13" s="58" t="n">
        <x:f>SQRT(2)*'計算詳細'!D12</x:f>
        <x:v>13.1361238871549</x:v>
      </x:c>
      <x:c r="D13" s="5" t="str">
        <x:v>V</x:v>
      </x:c>
      <x:c r="E13" s="5" t="str">
        <x:v>SVPWM/線形領域の理想値</x:v>
      </x:c>
      <x:c r="F13" s="5" t="str">
        <x:v>Vdc_min = √2 E_ll,rms</x:v>
      </x:c>
    </x:row>
    <x:row r="14">
      <x:c r="C14" s="57"/>
    </x:row>
    <x:row r="15" ht="15">
      <x:c r="A15" s="45" t="str">
        <x:v>停止前慣性エネルギー E_k</x:v>
      </x:c>
      <x:c r="B15" s="51" t="str">
        <x:v>0.5 J ω0²</x:v>
      </x:c>
      <x:c r="C15" s="59" t="n">
        <x:f>'計算詳細'!D49</x:f>
        <x:v>1.6449340668482262</x:v>
      </x:c>
      <x:c r="D15" s="51" t="str">
        <x:v>J</x:v>
      </x:c>
      <x:c r="E15" s="51" t="str">
        <x:v>機械側の理想回生上限</x:v>
      </x:c>
      <x:c r="F15" s="46" t="str">
        <x:v>今回条件では低速のため値は小さい</x:v>
      </x:c>
    </x:row>
    <x:row r="16" ht="32">
      <x:c r="A16" s="22" t="str">
        <x:v>回生時銅損 E_cu,regen</x:v>
      </x:c>
      <x:c r="B16" s="15" t="str">
        <x:v>P_cu,regen t_dec</x:v>
      </x:c>
      <x:c r="C16" s="55" t="n">
        <x:f>'計算詳細'!D51</x:f>
        <x:v>1.1779262442499523</x:v>
      </x:c>
      <x:c r="D16" s="15" t="str">
        <x:v>J</x:v>
      </x:c>
      <x:c r="E16" s="15" t="str">
        <x:v>巻線で熱に変わる分</x:v>
      </x:c>
      <x:c r="F16" s="16" t="str">
        <x:v>E_k より大きいとDCバス上昇なし</x:v>
      </x:c>
    </x:row>
    <x:row r="17" ht="31">
      <x:c r="A17" s="23" t="str">
        <x:v>正味回生エネルギー E_bus</x:v>
      </x:c>
      <x:c r="B17" s="4" t="str">
        <x:v>MAX(E_k-E_cu,0)</x:v>
      </x:c>
      <x:c r="C17" s="55" t="n">
        <x:f>'計算詳細'!D53</x:f>
        <x:v>0.4670078225982739</x:v>
      </x:c>
      <x:c r="D17" s="4" t="str">
        <x:v>J</x:v>
      </x:c>
      <x:c r="E17" s="4" t="str">
        <x:v>コンデンサへ入る正味エネルギー</x:v>
      </x:c>
      <x:c r="F17" s="18" t="str">
        <x:v>0ならバス上昇予測なし</x:v>
      </x:c>
    </x:row>
    <x:row r="18" ht="32">
      <x:c r="A18" s="23" t="str">
        <x:v>理想回生後DCバス</x:v>
      </x:c>
      <x:c r="B18" s="4" t="str">
        <x:v>√(V_init²+2E_k/C)</x:v>
      </x:c>
      <x:c r="C18" s="55" t="n">
        <x:f>'計算詳細'!D54</x:f>
        <x:v>68.11827378293502</x:v>
      </x:c>
      <x:c r="D18" s="4" t="str">
        <x:v>V</x:v>
      </x:c>
      <x:c r="E18" s="4" t="str">
        <x:v>上限評価</x:v>
      </x:c>
      <x:c r="F18" s="18" t="str">
        <x:v>抵抗・損失・吸収負荷を無視</x:v>
      </x:c>
    </x:row>
    <x:row r="19" ht="16">
      <x:c r="A19" s="23" t="str">
        <x:v>実効回生後DCバス</x:v>
      </x:c>
      <x:c r="B19" s="4" t="str">
        <x:v>√(V_init²+2E_bus/C)</x:v>
      </x:c>
      <x:c r="C19" s="55" t="n">
        <x:f>'計算詳細'!D55</x:f>
        <x:v>66.36651244654117</x:v>
      </x:c>
      <x:c r="D19" s="4" t="str">
        <x:v>V</x:v>
      </x:c>
      <x:c r="E19" s="4" t="str">
        <x:v>銅損考慮の簡易評価</x:v>
      </x:c>
      <x:c r="F19" s="18" t="str">
        <x:v>負の正味エネルギーは0扱い</x:v>
      </x:c>
    </x:row>
    <x:row r="20" ht="16">
      <x:c r="A20" s="24" t="s">
        <x:v>193</x:v>
      </x:c>
      <x:c r="B20" s="20" t="s">
        <x:v>194</x:v>
      </x:c>
      <x:c r="C20" s="47"/>
      <x:c r="D20" s="20"/>
      <x:c r="E20" s="20"/>
      <x:c r="F20" s="21"/>
    </x:row>
  </x:sheetData>
  <x:mergeCells>
    <x:mergeCell ref="A1:F1"/>
  </x:mergeCells>
  <x:pageMargins left="0.7" right="0.7" top="0.75" bottom="0.75" header="0.3" footer="0.3"/>
</x:worksheet>
</file>