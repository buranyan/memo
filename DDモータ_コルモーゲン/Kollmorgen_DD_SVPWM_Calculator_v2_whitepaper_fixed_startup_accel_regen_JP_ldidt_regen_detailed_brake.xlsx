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108h\Documents\GitHub\memo\DDモータ_コルモーゲン\"/>
    </mc:Choice>
  </mc:AlternateContent>
  <xr:revisionPtr revIDLastSave="0" documentId="13_ncr:1_{49AC9463-19B2-4805-98B5-168A8EA16C17}" xr6:coauthVersionLast="47" xr6:coauthVersionMax="47" xr10:uidLastSave="{00000000-0000-0000-0000-000000000000}"/>
  <bookViews>
    <workbookView xWindow="-120" yWindow="-120" windowWidth="29040" windowHeight="15720" xr2:uid="{00000000-000D-0000-FFFF-FFFF00000000}"/>
  </bookViews>
  <sheets>
    <sheet name="Inputs" sheetId="1" r:id="rId1"/>
    <sheet name="Calculations" sheetId="2" r:id="rId2"/>
    <sheet name="No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 r="B9" i="2"/>
  <c r="B72" i="2"/>
  <c r="B71" i="2"/>
  <c r="B67" i="2"/>
  <c r="B62" i="2"/>
  <c r="B60" i="2"/>
  <c r="B61" i="2" s="1"/>
  <c r="H29" i="1" s="1"/>
  <c r="B29" i="2"/>
  <c r="B15" i="2"/>
  <c r="B14" i="2"/>
  <c r="B13" i="2"/>
  <c r="B8" i="2"/>
  <c r="B6" i="2"/>
  <c r="B4" i="2"/>
  <c r="B42" i="2" s="1"/>
  <c r="H4" i="1"/>
  <c r="B30" i="2" l="1"/>
  <c r="B43" i="2"/>
  <c r="B44" i="2" s="1"/>
  <c r="B49" i="2"/>
  <c r="H11" i="1"/>
  <c r="B31" i="2"/>
  <c r="B68" i="2" s="1"/>
  <c r="B69" i="2" s="1"/>
  <c r="H32" i="1" s="1"/>
  <c r="B10" i="2"/>
  <c r="B12" i="2" s="1"/>
  <c r="H5" i="1" s="1"/>
  <c r="B11" i="2"/>
  <c r="B16" i="2" s="1"/>
  <c r="B5" i="2"/>
  <c r="H28" i="1"/>
  <c r="B7" i="2"/>
  <c r="B19" i="2" s="1"/>
  <c r="B32" i="2" l="1"/>
  <c r="B33" i="2" s="1"/>
  <c r="B21" i="2"/>
  <c r="B35" i="2"/>
  <c r="B63" i="2"/>
  <c r="B64" i="2" s="1"/>
  <c r="B65" i="2" s="1"/>
  <c r="B20" i="2"/>
  <c r="H16" i="1"/>
  <c r="B24" i="2"/>
  <c r="H6" i="1" s="1"/>
  <c r="B17" i="2"/>
  <c r="B18" i="2" s="1"/>
  <c r="B36" i="2" s="1"/>
  <c r="B47" i="2"/>
  <c r="B45" i="2"/>
  <c r="H17" i="1"/>
  <c r="B48" i="2"/>
  <c r="H30" i="1" l="1"/>
  <c r="B66" i="2"/>
  <c r="H31" i="1" s="1"/>
  <c r="H19" i="1"/>
  <c r="B46" i="2"/>
  <c r="H18" i="1"/>
  <c r="B50" i="2"/>
  <c r="H12" i="1"/>
  <c r="B34" i="2"/>
  <c r="H13" i="1" s="1"/>
  <c r="B37" i="2"/>
  <c r="B22" i="2"/>
  <c r="B25" i="2" s="1"/>
  <c r="B23" i="2"/>
  <c r="B26" i="2" s="1"/>
  <c r="B27" i="2" l="1"/>
  <c r="H8" i="1" s="1"/>
  <c r="H7" i="1"/>
  <c r="B51" i="2"/>
  <c r="B53" i="2" s="1"/>
  <c r="H20" i="1"/>
  <c r="B38" i="2"/>
  <c r="B39" i="2"/>
  <c r="B52" i="2"/>
  <c r="H9" i="1"/>
  <c r="B28" i="2"/>
  <c r="H10" i="1" s="1"/>
  <c r="B73" i="2"/>
  <c r="B40" i="2" l="1"/>
  <c r="H15" i="1" s="1"/>
  <c r="H14" i="1"/>
  <c r="B20" i="1" s="1"/>
  <c r="B79" i="2"/>
  <c r="H39" i="1" s="1"/>
  <c r="B58" i="2"/>
  <c r="H26" i="1" s="1"/>
  <c r="B78" i="2"/>
  <c r="H38" i="1" s="1"/>
  <c r="H33" i="1"/>
  <c r="H21" i="1"/>
  <c r="B55" i="2" l="1"/>
  <c r="B54" i="2"/>
  <c r="B74" i="2"/>
  <c r="H34" i="1" l="1"/>
  <c r="B75" i="2"/>
  <c r="B56" i="2"/>
  <c r="H24" i="1" s="1"/>
  <c r="H22" i="1"/>
  <c r="B81" i="2"/>
  <c r="H41" i="1" s="1"/>
  <c r="H23" i="1"/>
  <c r="B57" i="2"/>
  <c r="H25" i="1" s="1"/>
  <c r="B77" i="2"/>
  <c r="H37" i="1" s="1"/>
  <c r="B76" i="2"/>
  <c r="H36" i="1" s="1"/>
  <c r="B80" i="2" l="1"/>
  <c r="H40" i="1" s="1"/>
  <c r="H35" i="1"/>
</calcChain>
</file>

<file path=xl/sharedStrings.xml><?xml version="1.0" encoding="utf-8"?>
<sst xmlns="http://schemas.openxmlformats.org/spreadsheetml/2006/main" count="691" uniqueCount="459">
  <si>
    <t>結果サマリー</t>
  </si>
  <si>
    <t>入力項目 / 設定</t>
  </si>
  <si>
    <t>値</t>
  </si>
  <si>
    <t>単位</t>
  </si>
  <si>
    <t>編集可否</t>
  </si>
  <si>
    <t>備考</t>
  </si>
  <si>
    <t>主要結果</t>
  </si>
  <si>
    <t>意味</t>
  </si>
  <si>
    <t>回転速度 n</t>
  </si>
  <si>
    <t>rpm</t>
  </si>
  <si>
    <t>可</t>
  </si>
  <si>
    <t>機械角速度</t>
  </si>
  <si>
    <t>I_rms</t>
  </si>
  <si>
    <t>Arms</t>
  </si>
  <si>
    <t>トルクと Kt から求めた必要RMS電流</t>
  </si>
  <si>
    <t>極対数 p</t>
  </si>
  <si>
    <t>-</t>
  </si>
  <si>
    <t>電気角速度 = p × 機械角速度</t>
  </si>
  <si>
    <t>Ke active</t>
  </si>
  <si>
    <t>Vrms/krpm</t>
  </si>
  <si>
    <t>トルク T</t>
  </si>
  <si>
    <t>Nm</t>
  </si>
  <si>
    <t>要求軸トルク</t>
  </si>
  <si>
    <t>Vdc_min no-load</t>
  </si>
  <si>
    <t>Vdc</t>
  </si>
  <si>
    <t>SVPWM と線間RMS逆起電力による理想無負荷最低値</t>
  </si>
  <si>
    <t>Kt</t>
  </si>
  <si>
    <t>Nm/Arms</t>
  </si>
  <si>
    <t>Kollmorgen の正弦波トルク定数（KTrms）</t>
  </si>
  <si>
    <t>Vdc_min load (design)</t>
  </si>
  <si>
    <t>Ke 上書き</t>
  </si>
  <si>
    <t>Vrms/krpm（線間RMS）</t>
  </si>
  <si>
    <t>任意</t>
  </si>
  <si>
    <t>空欄時は Kollmorgen 白書に基づく Kt からの推定値を使用</t>
  </si>
  <si>
    <t>Vdc_min load + margin</t>
  </si>
  <si>
    <t>ユーザー指定マージン込みの設計ケース</t>
  </si>
  <si>
    <t>R_ll</t>
  </si>
  <si>
    <t>Ohm</t>
  </si>
  <si>
    <t>Kollmorgen データシートの線間抵抗</t>
  </si>
  <si>
    <t>Vdc_min load (hot 1.525x)</t>
  </si>
  <si>
    <t>高温銅抵抗の参照ケース</t>
  </si>
  <si>
    <t>L_ll</t>
  </si>
  <si>
    <t>mH</t>
  </si>
  <si>
    <t>Kollmorgen データシートの線間インダクタンス</t>
  </si>
  <si>
    <t>Vdc_min hot + margin</t>
  </si>
  <si>
    <t>高温参照ケースにユーザー余裕を加えた値</t>
  </si>
  <si>
    <t>R倍率（設計ケース）</t>
  </si>
  <si>
    <t>x</t>
  </si>
  <si>
    <t>1.0 = データシート/基準温度</t>
  </si>
  <si>
    <t>I_start</t>
  </si>
  <si>
    <t>起動RMS電流 = 倍率 × I_rms</t>
  </si>
  <si>
    <t>SVPWMマージン</t>
  </si>
  <si>
    <t>比率</t>
  </si>
  <si>
    <t>追加のDCバス余裕。例: 0.10 = 10%</t>
  </si>
  <si>
    <t>Vdc_min startup</t>
  </si>
  <si>
    <t>ゼロ速度起動。抵抗降下のみを考慮</t>
  </si>
  <si>
    <t>結線前提</t>
  </si>
  <si>
    <t>Y</t>
  </si>
  <si>
    <t>固定</t>
  </si>
  <si>
    <t>本シートは内部Y結線を前提</t>
  </si>
  <si>
    <t>Vdc_min startup + margin</t>
  </si>
  <si>
    <t>起動ケースにユーザー余裕を加えた値</t>
  </si>
  <si>
    <t>制御前提</t>
  </si>
  <si>
    <t>正弦波 / id = 0</t>
  </si>
  <si>
    <t>Kollmorgen の正弦波通電の慣例</t>
  </si>
  <si>
    <t>Vdc_min accel worst</t>
  </si>
  <si>
    <t>起動電流倍率</t>
  </si>
  <si>
    <t>× I_rms</t>
  </si>
  <si>
    <t>初期値 2.0。起動電流 = 倍率 × I_rms</t>
  </si>
  <si>
    <t>Vdc_min accel worst + margin</t>
  </si>
  <si>
    <t>加速ワーストにユーザー余裕を加えた値</t>
  </si>
  <si>
    <t>加速ワースト前提</t>
  </si>
  <si>
    <t>I_start を目標速度まで維持</t>
  </si>
  <si>
    <t>詳細版の加速ワースト確認と対応を取るための前提</t>
  </si>
  <si>
    <t>停止前慣性エネルギー</t>
  </si>
  <si>
    <t>J</t>
  </si>
  <si>
    <t>停止前に蓄えられた運動エネルギー</t>
  </si>
  <si>
    <t>慣性モーメント J</t>
  </si>
  <si>
    <t>kg·m²</t>
  </si>
  <si>
    <t>停止前の等価慣性モーメント</t>
  </si>
  <si>
    <t>必要減速トルク</t>
  </si>
  <si>
    <t>指定減速時間で停止するための制動トルク（大きさ）</t>
  </si>
  <si>
    <t>減速時間 t_dec</t>
  </si>
  <si>
    <t>s</t>
  </si>
  <si>
    <t>定常時回転速度から 0 rpm までの停止時間</t>
  </si>
  <si>
    <t>必要回生電流</t>
  </si>
  <si>
    <t>回生方向の相電流実効値（大きさ）</t>
  </si>
  <si>
    <t>DCバス容量 C_dc</t>
  </si>
  <si>
    <t>F</t>
  </si>
  <si>
    <t>回生電圧上昇予測に使用（例: 10 mF = 0.01 F）</t>
  </si>
  <si>
    <t>平均機械回生電力</t>
  </si>
  <si>
    <t>W</t>
  </si>
  <si>
    <t>減速1回の平均機械側回生電力</t>
  </si>
  <si>
    <t>回生開始DCバス電圧 Vdc_init</t>
  </si>
  <si>
    <t>初期値は『加速ワースト最低DCバス』。実機のDCバス公称値へ上書き可</t>
  </si>
  <si>
    <t>回生時銅損</t>
  </si>
  <si>
    <t>回生制動中の巻線銅損（R_phase使用）</t>
  </si>
  <si>
    <t>回生計算の前提</t>
  </si>
  <si>
    <t>運動エネルギー→DCコンデンサ。理想版と銅損考慮版を併記</t>
  </si>
  <si>
    <t>理想版: 全慣性エネルギーがC_dcへ流入 / 実効版: 銅損を差し引く</t>
  </si>
  <si>
    <t>DCバス回収可能エネルギー</t>
  </si>
  <si>
    <t>銅損を差し引いた正味回生エネルギー</t>
  </si>
  <si>
    <t>回生後DCバス電圧（理想）</t>
  </si>
  <si>
    <t>V</t>
  </si>
  <si>
    <t>全慣性エネルギーがC_dcへ入る上限値</t>
  </si>
  <si>
    <t>起動電流立上り時間</t>
  </si>
  <si>
    <t>ms</t>
  </si>
  <si>
    <t>0→I_start までの目標立上り時間（大信号の簡易近似）</t>
  </si>
  <si>
    <t>回生後DCバス電圧（銅損考慮）</t>
  </si>
  <si>
    <t>銅損考慮後の簡易予測値</t>
  </si>
  <si>
    <t>電流ループ帯域（参考）</t>
  </si>
  <si>
    <t>Hz</t>
  </si>
  <si>
    <t>small-signal の参考値。AKD系の電流ループ補正余裕の参考計算に使用</t>
  </si>
  <si>
    <t>回生電圧上昇 ΔV（理想）</t>
  </si>
  <si>
    <t>上限評価</t>
  </si>
  <si>
    <t>電流誤差割合（参考）</t>
  </si>
  <si>
    <t>帯域ベース参考計算用。例: 0.10 = 起動ピーク電流の10%を補正</t>
  </si>
  <si>
    <t>回生電圧上昇 ΔV（銅損考慮）</t>
  </si>
  <si>
    <t>実効評価</t>
  </si>
  <si>
    <t>起動Ldi/dtモデル</t>
  </si>
  <si>
    <t>大信号：立上り時間基準 / 参考：帯域基準</t>
  </si>
  <si>
    <t>Kollmorgen資料のL-Rモデル/電流ループ帯域の考え方に寄せた簡易追加</t>
  </si>
  <si>
    <t>回生成立判定</t>
  </si>
  <si>
    <t>正味回生電力が正ならDCバス上昇あり</t>
  </si>
  <si>
    <t>チョッパ動作開始電圧 Vdc_chop_on</t>
  </si>
  <si>
    <t>ブレーキチョッパがONし始める目安電圧</t>
  </si>
  <si>
    <t>許容最大DCバス電圧 Vdc_max</t>
  </si>
  <si>
    <t>ドライブ/コンデンサの上限確認用</t>
  </si>
  <si>
    <t>τe</t>
  </si>
  <si>
    <t>巻線の電気時定数 = L/R</t>
  </si>
  <si>
    <t>判定前提</t>
  </si>
  <si>
    <t>電源は回生吸収しない</t>
  </si>
  <si>
    <t>電源回生ユニットが無い前提で、余剰エネルギーはC_dcまたは回生抵抗で吸収</t>
  </si>
  <si>
    <t>f_RL</t>
  </si>
  <si>
    <t>巻線一次遅れの目安帯域 = 1/(2πτe)</t>
  </si>
  <si>
    <t>回生抵抗目安</t>
  </si>
  <si>
    <t>Vdc_chop_on基準で算出</t>
  </si>
  <si>
    <t>必要抵抗値は『この値以下』を目安に選定し、許容パルスエネルギーも別途確認</t>
  </si>
  <si>
    <t>起動過渡Vdc+margin</t>
  </si>
  <si>
    <t>起動Ldi/dtケースにユーザー余裕を加えた値</t>
  </si>
  <si>
    <t>帯域参考V_L</t>
  </si>
  <si>
    <t>Vpeak</t>
  </si>
  <si>
    <t>帯域ベース参考。電流誤差補正に要る相電圧の目安</t>
  </si>
  <si>
    <t>正味回生電力（停止開始）</t>
  </si>
  <si>
    <t>減速開始瞬間の正味回生電力。抵抗値目安の基準</t>
  </si>
  <si>
    <t>チョッパ閾値までの吸収余裕</t>
  </si>
  <si>
    <t>C_dc が Vdc_chop_on に達するまで吸収できるエネルギー</t>
  </si>
  <si>
    <t>抵抗で吸収が必要なエネルギー</t>
  </si>
  <si>
    <t>C_dc だけでは足りない正味回生エネルギー</t>
  </si>
  <si>
    <t>チョッパ動作判定</t>
  </si>
  <si>
    <t>Vdc_final(net) と Vdc_chop_on の比較</t>
  </si>
  <si>
    <t>回生抵抗必要判定</t>
  </si>
  <si>
    <t>電源が吸収しない前提での簡易判定</t>
  </si>
  <si>
    <t>必要抵抗値の目安（上限）</t>
  </si>
  <si>
    <t>この値以下であれば、Vdc_chop_on で停止開始時の正味回生電力を吸収しやすい</t>
  </si>
  <si>
    <t>抵抗平均電力の目安</t>
  </si>
  <si>
    <t>減速1回の平均正味回生電力</t>
  </si>
  <si>
    <t>抵抗パルスエネルギー目安</t>
  </si>
  <si>
    <t>1回の減速で抵抗側に逃がす必要があるエネルギー</t>
  </si>
  <si>
    <t>DCバス上限判定</t>
  </si>
  <si>
    <t>Vdc_final(net) が Vdc_max を超えるかの確認</t>
  </si>
  <si>
    <t>Kollmorgen の定義に整合させた計算結果</t>
  </si>
  <si>
    <t>計算項目</t>
  </si>
  <si>
    <t>式 / 結果</t>
  </si>
  <si>
    <t>Kollmorgen基準</t>
  </si>
  <si>
    <t>コメント</t>
  </si>
  <si>
    <t>機械角速度 ωm</t>
  </si>
  <si>
    <t>rad/s</t>
  </si>
  <si>
    <t>電気角速度 ωe</t>
  </si>
  <si>
    <t>電気角速度</t>
  </si>
  <si>
    <t>T / Kt から求めたトルク電流</t>
  </si>
  <si>
    <t>KTrms = Nm/Arms</t>
  </si>
  <si>
    <t>I_peak</t>
  </si>
  <si>
    <t>Apeak</t>
  </si>
  <si>
    <t>ピーク相電流 = √2 × I_rms</t>
  </si>
  <si>
    <t>Ke推定 crest（Kt由来）</t>
  </si>
  <si>
    <t>V/(rad/s)</t>
  </si>
  <si>
    <t>Kt から推定した線間 crest の Ke</t>
  </si>
  <si>
    <t>Ke_crest[V/(rad/s)] = Kt[Nm/Arms]</t>
  </si>
  <si>
    <t>Kollmorgen 白書の crest 定義</t>
  </si>
  <si>
    <t>Ke推定 rms（Kt由来）</t>
  </si>
  <si>
    <t>Kt から推定した線間 RMS の Ke</t>
  </si>
  <si>
    <t>線間RMS逆起電力で使用</t>
  </si>
  <si>
    <t>RMS の V/(rad/s) を Vrms/krpm に換算</t>
  </si>
  <si>
    <t>Ke_rms × 1000rpm 相当の rad/s</t>
  </si>
  <si>
    <t>有効Ke</t>
  </si>
  <si>
    <t>Ke override が空欄のときに使用</t>
  </si>
  <si>
    <t>SI系の線間RMS有効Ke</t>
  </si>
  <si>
    <t>override は線間RMSの Vrms/krpm</t>
  </si>
  <si>
    <t>本ブックで使用する値。override があれば優先</t>
  </si>
  <si>
    <t>線間RMS / krpm</t>
  </si>
  <si>
    <t>線間RMSの Vrms/krpm</t>
  </si>
  <si>
    <t>相抵抗 R_phase（設計）</t>
  </si>
  <si>
    <t>相抵抗 = R_ll / 2 × 設計倍率</t>
  </si>
  <si>
    <t>R データシート値は線間</t>
  </si>
  <si>
    <t>相抵抗 R_phase（高温1.525x）</t>
  </si>
  <si>
    <t>相抵抗 = R_ll / 2 × 1.525</t>
  </si>
  <si>
    <t>高温銅抵抗の参照</t>
  </si>
  <si>
    <t>Kollmorgen 白書文脈の例</t>
  </si>
  <si>
    <t>相インダクタンス L_phase</t>
  </si>
  <si>
    <t>H</t>
  </si>
  <si>
    <t>相インダクタンス = L_ll / 2</t>
  </si>
  <si>
    <t>L データシート値は線間</t>
  </si>
  <si>
    <t>E_LL_rms</t>
  </si>
  <si>
    <t>Vrms</t>
  </si>
  <si>
    <t>回転時の線間逆起電力 RMS</t>
  </si>
  <si>
    <t>Ke は線間RMS</t>
  </si>
  <si>
    <t>E_phase_rms</t>
  </si>
  <si>
    <t>各相の逆起電力 RMS</t>
  </si>
  <si>
    <t>Y結線</t>
  </si>
  <si>
    <t>E_phase_peak</t>
  </si>
  <si>
    <t>各相の逆起電力 peak</t>
  </si>
  <si>
    <t>V_R_phase_peak（設計）</t>
  </si>
  <si>
    <t>設計倍率時の抵抗降下</t>
  </si>
  <si>
    <t>V_R_phase_peak（高温1.525x）</t>
  </si>
  <si>
    <t>高温時の抵抗降下</t>
  </si>
  <si>
    <t>V_L_phase_peak</t>
  </si>
  <si>
    <t>極対数 p を含むインダクタンス降下</t>
  </si>
  <si>
    <t>id = 0 近似</t>
  </si>
  <si>
    <t>ωe × L_phase × I_peak</t>
  </si>
  <si>
    <t>V_phase_peak_req（設計）</t>
  </si>
  <si>
    <t>必要相ピーク電圧（設計）</t>
  </si>
  <si>
    <t>sqrt((ωeLIpk)^2 + (Epk + RIpk)^2)</t>
  </si>
  <si>
    <t>V_phase_peak_req（高温1.525x）</t>
  </si>
  <si>
    <t>必要相ピーク電圧（高温）</t>
  </si>
  <si>
    <t>高温Rを使用</t>
  </si>
  <si>
    <t>Vdc_min no-load ideal</t>
  </si>
  <si>
    <t>SVPWM理想無負荷最低DCバス</t>
  </si>
  <si>
    <t>SVPWM 線形領域</t>
  </si>
  <si>
    <t>√2 × E_LL_rms</t>
  </si>
  <si>
    <t>Vdc_min load（設計）</t>
  </si>
  <si>
    <t>要求負荷時の最低DCバス</t>
  </si>
  <si>
    <t>√3 × V_phase_peak_req</t>
  </si>
  <si>
    <t>Vdc_min load（高温1.525x）</t>
  </si>
  <si>
    <t>高温時・要求負荷での最低DCバス</t>
  </si>
  <si>
    <t>√3 × V_phase_peak_req_hot</t>
  </si>
  <si>
    <t>Vdc_min load + margin（設計）</t>
  </si>
  <si>
    <t>ユーザー余裕込みの設計DCバス</t>
  </si>
  <si>
    <t>ユーザー余裕</t>
  </si>
  <si>
    <t>負荷ケース × (1 + margin)</t>
  </si>
  <si>
    <t>Vdc_min load + margin（高温1.525x）</t>
  </si>
  <si>
    <t>ユーザー余裕込みの高温DCバス</t>
  </si>
  <si>
    <t>高温ケース × (1 + margin)</t>
  </si>
  <si>
    <t>起動電流用のユーザー入力倍率</t>
  </si>
  <si>
    <t>Inputs シートで編集</t>
  </si>
  <si>
    <t>起動RMS電流</t>
  </si>
  <si>
    <t>I_start = 倍率 × I_rms</t>
  </si>
  <si>
    <t>I_start_peak</t>
  </si>
  <si>
    <t>起動時ピーク相電流</t>
  </si>
  <si>
    <t>√2 × I_start</t>
  </si>
  <si>
    <t>V_R_phase_peak（起動）</t>
  </si>
  <si>
    <t>ゼロ速度での抵抗降下</t>
  </si>
  <si>
    <t>R_phase(design) × I_start_peak</t>
  </si>
  <si>
    <t>ゼロ速度起動時の最低DCバス</t>
  </si>
  <si>
    <t>√3 × V_R_phase_peak(startup)</t>
  </si>
  <si>
    <t>起動ケースにユーザー余裕を加えたDCバス</t>
  </si>
  <si>
    <t>起動ケース × (1 + margin)</t>
  </si>
  <si>
    <t>V_L_phase_peak（加速ワースト）</t>
  </si>
  <si>
    <t>I_start と終速度でのインダクタンス降下</t>
  </si>
  <si>
    <t>ωe × L_phase × I_start_peak</t>
  </si>
  <si>
    <t>V_q_phase_peak（加速ワースト）</t>
  </si>
  <si>
    <t>加速ワースト時の抵抗 + 逆起電力項</t>
  </si>
  <si>
    <t>E_phase_peak + R_phase(design) × I_start_peak</t>
  </si>
  <si>
    <t>V_phase_peak_req（加速ワースト）</t>
  </si>
  <si>
    <t>加速中ワーストの必要相ピーク電圧</t>
  </si>
  <si>
    <t>詳細版対応</t>
  </si>
  <si>
    <t>sqrt(VL^2 + Vq^2)</t>
  </si>
  <si>
    <t>V_ll_rms_req（加速ワースト）</t>
  </si>
  <si>
    <t>加速中ワーストの線間RMS換算</t>
  </si>
  <si>
    <t>√(3/2) × V_phase_peak_req</t>
  </si>
  <si>
    <t>加速中ワーストの最低DCバス</t>
  </si>
  <si>
    <t>加速ワーストにユーザー余裕を加えたDCバス</t>
  </si>
  <si>
    <t>加速ワースト × (1 + margin)</t>
  </si>
  <si>
    <t>回生制動（停止時）の計算</t>
  </si>
  <si>
    <t>回生開始機械角速度 ωm,reg,start</t>
  </si>
  <si>
    <t>停止直前の機械角速度。定常時回転速度から計算</t>
  </si>
  <si>
    <t>停止前速度は入力回転速度を使用</t>
  </si>
  <si>
    <t>減速度絶対値 |α_dec|</t>
  </si>
  <si>
    <t>rad/s²</t>
  </si>
  <si>
    <t>一定減速度で n→0 rpm と仮定した減速度の大きさ</t>
  </si>
  <si>
    <t>ω0 / t_dec</t>
  </si>
  <si>
    <t>必要減速トルク |T_regen|</t>
  </si>
  <si>
    <t>慣性モーメントと減速度から必要制動トルクを算出</t>
  </si>
  <si>
    <t>運動方程式 T = Jα</t>
  </si>
  <si>
    <t>必要回生電流 |I_regen,rms|</t>
  </si>
  <si>
    <t>Kt から求めた回生RMS電流の大きさ</t>
  </si>
  <si>
    <t>回生方向だが大きさで表示</t>
  </si>
  <si>
    <t>必要回生電流 |I_regen,peak|</t>
  </si>
  <si>
    <t>dq式用のピーク電流へ換算</t>
  </si>
  <si>
    <t>I_peak = √2 × I_rms</t>
  </si>
  <si>
    <t>停止開始時の機械回生電力 P_mech,start</t>
  </si>
  <si>
    <t>停止開始瞬間の機械側回生電力</t>
  </si>
  <si>
    <t>一定トルク減速なら P = Tω</t>
  </si>
  <si>
    <t>平均機械回生電力 P_mech,avg</t>
  </si>
  <si>
    <t>一定減速度時の平均機械回生電力</t>
  </si>
  <si>
    <t>E_k / t_dec と同値</t>
  </si>
  <si>
    <t>停止前慣性エネルギー E_k</t>
  </si>
  <si>
    <t>停止前に機械系へ蓄えられている運動エネルギー</t>
  </si>
  <si>
    <t>回生で取り出せる理想上限</t>
  </si>
  <si>
    <t>回生時銅損 P_cu,regen</t>
  </si>
  <si>
    <t>回生制動中の巻線銅損</t>
  </si>
  <si>
    <t>R_phase(design) を使用</t>
  </si>
  <si>
    <t>回生時銅損エネルギー E_cu,regen</t>
  </si>
  <si>
    <t>減速1回あたりの熱損失</t>
  </si>
  <si>
    <t>停止に伴う発熱量</t>
  </si>
  <si>
    <t>平均DCバス回生電力 P_bus,avg</t>
  </si>
  <si>
    <t>機械回生電力から銅損を差し引いた正味平均電力</t>
  </si>
  <si>
    <t>負ならDCバス上昇なし</t>
  </si>
  <si>
    <t>DCバス回収可能エネルギー E_bus</t>
  </si>
  <si>
    <t>DCバスに実際に蓄積できる正味回生エネルギー</t>
  </si>
  <si>
    <t>負値は0に丸める</t>
  </si>
  <si>
    <t>回生後DCバス電圧 Vdc,final,ideal</t>
  </si>
  <si>
    <t>理想: 全慣性エネルギーが C_dc へ流入</t>
  </si>
  <si>
    <t>0.5CV² を使用</t>
  </si>
  <si>
    <t>回生後DCバス電圧 Vdc,final,net</t>
  </si>
  <si>
    <t>実効: 銅損考慮後の正味回生エネルギーのみ充電</t>
  </si>
  <si>
    <t>簡易予測値</t>
  </si>
  <si>
    <t>理想回生の電圧上昇 ΔV_ideal</t>
  </si>
  <si>
    <t>理想条件でのDCバス上昇量</t>
  </si>
  <si>
    <t>実効回生の電圧上昇 ΔV_net</t>
  </si>
  <si>
    <t>銅損考慮時のDCバス上昇量</t>
  </si>
  <si>
    <t>0Vなら上昇なし</t>
  </si>
  <si>
    <t>平均正味回生電力が正かどうかで簡易判定</t>
  </si>
  <si>
    <t>電気時定数 τe</t>
  </si>
  <si>
    <t>巻線の一次時定数 = L_phase / R_phase = L_ll / R_ll</t>
  </si>
  <si>
    <t>Y結線なら L_ll/R_ll と同値</t>
  </si>
  <si>
    <t>起動Ldi/dt見積りの基礎</t>
  </si>
  <si>
    <t>巻線目安帯域 f_RL</t>
  </si>
  <si>
    <t>一次遅れ目安帯域 = 1/(2πτe)</t>
  </si>
  <si>
    <t>モータ巻線の自然帯域の目安</t>
  </si>
  <si>
    <t>起動電流立上り時間 t_I,start</t>
  </si>
  <si>
    <t>0→I_start_peak までの目標立上り時間</t>
  </si>
  <si>
    <t>Inputs の ms 値を秒へ換算</t>
  </si>
  <si>
    <t>V_L_phase_peak（起動Ldi/dt）</t>
  </si>
  <si>
    <t>起動時のインダクタンス電圧 = L·di/dt</t>
  </si>
  <si>
    <t>大信号近似</t>
  </si>
  <si>
    <t>L_phase × I_start_peak / t_I,start</t>
  </si>
  <si>
    <t>V_phase_peak_req（起動過渡）</t>
  </si>
  <si>
    <t>起動時の必要相ピーク電圧 = R項 + Ldi/dt項</t>
  </si>
  <si>
    <t>0 rpm なので逆起電力は0</t>
  </si>
  <si>
    <t>Vdc_min startup transient</t>
  </si>
  <si>
    <t>起動Ldi/dtを含めた最低DCバス</t>
  </si>
  <si>
    <t>√3 × V_phase_peak_req(start transient)</t>
  </si>
  <si>
    <t>Vdc_min startup transient + margin</t>
  </si>
  <si>
    <t>起動Ldi/dtケースにユーザー余裕を加えたDCバス</t>
  </si>
  <si>
    <t>起動過渡ケース × (1 + margin)</t>
  </si>
  <si>
    <t>電流ループ帯域 f_ci（参考）</t>
  </si>
  <si>
    <t>small-signal current-loop bandwidth の参考値</t>
  </si>
  <si>
    <t>大信号ステップ用ではなく補正余裕の参考</t>
  </si>
  <si>
    <t>ΔI_corr_peak（参考）</t>
  </si>
  <si>
    <t>帯域ベース参考で補正したい電流誤差の peak</t>
  </si>
  <si>
    <t>起動ピーク電流 × 誤差割合</t>
  </si>
  <si>
    <t>V_L_phase_peak（帯域参考）</t>
  </si>
  <si>
    <t>帯域ベース参考の補正電圧 = L·2πf·ΔI</t>
  </si>
  <si>
    <t>small-signal 参考</t>
  </si>
  <si>
    <t>フルステップの必要電圧ではない点に注意</t>
  </si>
  <si>
    <t>起動時の本命評価は上の立上り時間基準</t>
  </si>
  <si>
    <t>帯域ベースは補正余裕の参考のみ</t>
  </si>
  <si>
    <t>チョッパ動作開始の基準電圧</t>
  </si>
  <si>
    <t>Inputs の設定値</t>
  </si>
  <si>
    <t>上限電圧の確認用</t>
  </si>
  <si>
    <t>停止開始時の正味回生電力 P_bus,start</t>
  </si>
  <si>
    <t>減速開始瞬間の正味回生電力</t>
  </si>
  <si>
    <t>簡易回生判定</t>
  </si>
  <si>
    <t>P_mech,start - P_cu,regen を0未満で丸め</t>
  </si>
  <si>
    <t>チョッパ閾値までの吸収余裕 E_cap,to_chop</t>
  </si>
  <si>
    <t>0.5*C*(V_on^2 - V_init^2) を0未満で丸め</t>
  </si>
  <si>
    <t>抵抗で吸収が必要なエネルギー E_brake</t>
  </si>
  <si>
    <t>ブレーキ抵抗目安</t>
  </si>
  <si>
    <t>E_bus - E_cap,to_chop を0未満で丸め</t>
  </si>
  <si>
    <t>Vdc_final(net) が Vdc_chop_on を超えるか</t>
  </si>
  <si>
    <t>電源が回生吸収しない簡易前提</t>
  </si>
  <si>
    <t>正味回生があり Vdc_final(net) が Vdc_chop_on を超えるか</t>
  </si>
  <si>
    <t>簡易判定。実機は電源吸収能力も確認</t>
  </si>
  <si>
    <t>Vdc_chop_on で停止開始時の正味回生電力を吸収するための上限抵抗値</t>
  </si>
  <si>
    <t>R &lt;= V^2/P</t>
  </si>
  <si>
    <t>小さいほど吸収力は大きい</t>
  </si>
  <si>
    <t>抵抗の平均電力定格確認用</t>
  </si>
  <si>
    <t>1回の減速で抵抗に逃がす必要があるエネルギー</t>
  </si>
  <si>
    <t>抵抗の許容パルスエネルギー確認用</t>
  </si>
  <si>
    <t>Vdc_final(net) が Vdc_max を超えるか</t>
  </si>
  <si>
    <t>コンデンサ/ドライブ上限の確認</t>
  </si>
  <si>
    <t>使用している前提 / 計算式</t>
  </si>
  <si>
    <t>項目</t>
  </si>
  <si>
    <t>説明</t>
  </si>
  <si>
    <t>Kollmorgen の Kt</t>
  </si>
  <si>
    <t>正弦波通電時の KTrms（Nm/Arms）として扱います。</t>
  </si>
  <si>
    <t>Kollmorgen の Ke</t>
  </si>
  <si>
    <t>本シートでは Kollmorgen 白書にある crest と RMS の定義を分けて扱います。線間の Ke_crest [V/(rad/s)] は Kt から推定し、線間の Ke_rms [V/(rad/s)] = Ke_crest / sqrt(2) とします。入力/上書きに使う Ke は線間RMSの Vrms/krpm です。</t>
  </si>
  <si>
    <t>抵抗 / インダクタンス</t>
  </si>
  <si>
    <t>Kollmorgen のデータシートでは線間値が載ることが多いため、内部Y結線を前提に R_phase = R_ll / 2、L_phase = L_ll / 2 を使います。</t>
  </si>
  <si>
    <t>電流の定義</t>
  </si>
  <si>
    <t>I_rms = T / Kt、I_peak = sqrt(2) × I_rms。</t>
  </si>
  <si>
    <t>逆起電力</t>
  </si>
  <si>
    <t>E_LL_rms = Ke_active_rms × n / 1000 = Ke_active_rms_SI × ωm。E_phase_rms = E_LL_rms / sqrt(3)。</t>
  </si>
  <si>
    <t>電圧モデル</t>
  </si>
  <si>
    <t>id = 0 近似として、V_phase_peak_req = sqrt((ωe L_phase I_peak)^2 + (E_phase_peak + R_phase I_peak)^2)。</t>
  </si>
  <si>
    <t>SVPWM 最低DCバス</t>
  </si>
  <si>
    <t>SVPWM 線形領域を仮定し、Vdc_min_no_load = sqrt(2) × E_LL_rms、Vdc_min_load = sqrt(3) × V_phase_peak_req としています。</t>
  </si>
  <si>
    <t>Kollmorgen 白書との整合</t>
  </si>
  <si>
    <t>本シートは、Kollmorgen のサーボモータ定数変換白書で使われている crest-to-RMS の区別に合わせています。</t>
  </si>
  <si>
    <t>高温参照ケース</t>
  </si>
  <si>
    <t>Kollmorgen 白書文脈の例に合わせ、R を 1.525 倍した高温銅抵抗ケースを含めています。</t>
  </si>
  <si>
    <t>安全マージン</t>
  </si>
  <si>
    <t>入力した margin に対して、負荷時の Vdc 結果へ (1 + margin) を掛けます。10%の余裕なら 0.10 を入力してください。</t>
  </si>
  <si>
    <t>注意</t>
  </si>
  <si>
    <t>これは実務向けの簡易計算シートであり、dq軸飽和や弱め界磁まで含む完全モデルではありません。データシートに検証済みの線間RMS Ke がある場合は、override セルへ入力してください。</t>
  </si>
  <si>
    <t>Inputs!B15 で編集します。初期値 2.0 は、起動RMS電流が T / Kt から得た定常 I_rms の2倍であることを意味します。</t>
  </si>
  <si>
    <t>起動 / 加速の違い</t>
  </si>
  <si>
    <t>起動はゼロ速度で抵抗降下のみを見ます。加速ワーストでは I_start を目標速度まで維持すると仮定し、終速度での逆起電力とインダクタンス降下を含めます。</t>
  </si>
  <si>
    <t>加速ワースト</t>
  </si>
  <si>
    <t>V_phase_peak,acc = sqrt((ωe·L_phase·I_start,peak)^2 + (E_phase,peak,target + R_phase·I_start,peak)^2)、Vdc_min,acc = sqrt(3) × V_phase_peak,acc。</t>
  </si>
  <si>
    <t>詳細版との対応</t>
  </si>
  <si>
    <t>このシンプル版の加速行は、詳細版のワースト概念に対応させつつ、熱・時間の追加セクションは省いています。</t>
  </si>
  <si>
    <t>回生制動入力</t>
  </si>
  <si>
    <t>Inputs!B17:B20 で、慣性モーメント J・減速時間 t_dec・DCバス容量 C_dc・回生開始DCバス電圧 Vdc_init を設定します。詳細版と同じ入力概念に合わせています。</t>
  </si>
  <si>
    <t>減速度 / 制動トルク</t>
  </si>
  <si>
    <t>一定減速度を仮定し、|α_dec| = ω0 / t_dec、|T_regen| = J × |α_dec| で必要制動トルクを求めます。</t>
  </si>
  <si>
    <t>Kollmorgen の KTrms を使い、|I_regen,rms| = |T_regen| / Kt とします。ピーク値は √2 倍です。</t>
  </si>
  <si>
    <t>E_k = 0.5 × J × ω0² です。これが回生でDCバスへ戻し得る理想上限です。</t>
  </si>
  <si>
    <t>一定減速度なら P_mech,avg = 0.5 × |T_regen| × ω0 = E_k / t_dec です。</t>
  </si>
  <si>
    <t>P_cu,regen = 3 × I_regen,rms² × R_phase とし、E_cu,regen = P_cu,regen × t_dec を減速1回の損失として扱います。</t>
  </si>
  <si>
    <t>E_bus = MAX(E_k - E_cu,regen, 0) とし、銅損を差し引いた正味エネルギーだけがDCバスへ蓄積されるとみなします。</t>
  </si>
  <si>
    <t>回生後DCバス電圧</t>
  </si>
  <si>
    <t>コンデンサエネルギー 0.5 C V² を用い、Vdc_final = √(Vdc_init² + 2E/C_dc) で理想版と銅損考慮版を計算します。</t>
  </si>
  <si>
    <t>平均正味回生電力 P_bus,avg = P_mech,avg - P_cu,regen が正なら『DCバス上昇あり』と判定します。</t>
  </si>
  <si>
    <t>回生モデルの注意</t>
  </si>
  <si>
    <t>これは慣性エネルギーと銅損に基づく簡易予測です。電源回生能力、ブレーキチョッパ、クランプ、インバータ損失、機械摩擦は含みません。</t>
  </si>
  <si>
    <t>起動Ldi/dt追加</t>
  </si>
  <si>
    <t>起動時の簡易式に、巻線インダクタンスによる大信号の L·di/dt 項を追加しています。0 rpm 起動なので逆起電力は 0 とし、V_phase_peak_req,start = R_phase·I_start,peak + L_phase·I_start,peak / t_I,start としています。</t>
  </si>
  <si>
    <t>起動立上り時間</t>
  </si>
  <si>
    <t>Inputs!B23 の『起動電流立上り時間』は 0→I_start までの目標時間です。短いほど必要電圧は大きくなります。</t>
  </si>
  <si>
    <t>電気時定数</t>
  </si>
  <si>
    <t>τe = L_phase / R_phase です。Y結線では相値換算の 1/2 が相殺されるため、τe = L_ll / R_ll と同値です。</t>
  </si>
  <si>
    <t>巻線目安帯域</t>
  </si>
  <si>
    <t>f_RL = 1/(2πτe) は巻線一次遅れの自然帯域の目安です。これはドライブ設定帯域そのものではありません。</t>
  </si>
  <si>
    <t>帯域ベース参考</t>
  </si>
  <si>
    <t>Inputs!B24 と B25 は small-signal の補正余裕を見るための参考計算です。V_L_phase_peak(bw ref) = L_phase·2πf_ci·ΔI_corr,peak とし、フルスケール起動電流ステップの必要電圧とは区別してください。</t>
  </si>
  <si>
    <t>Kollmorgen資料との関係</t>
  </si>
  <si>
    <t>Kollmorgen公式では、電流ループを L-R モデルで扱い、current loop gain をインダクタンス LQLL と IL.BW から設定します。本シートの追加項目は、その考え方に寄せた実務向け簡易近似です。</t>
  </si>
  <si>
    <t>使い分け</t>
  </si>
  <si>
    <t>起動時の最低DCバスを見たい場合は Calculations!B65/B66 を優先し、Calculations!B69 は補正余裕の目安として使ってください。</t>
  </si>
  <si>
    <t>チョッパ/回生抵抗入力</t>
  </si>
  <si>
    <t>Inputs!B27 と B28 に、チョッパ動作開始電圧 Vdc_chop_on と許容最大DCバス電圧 Vdc_max を設定します。電源が回生吸収しない前提の簡易判定です。</t>
  </si>
  <si>
    <t>E_cap,to_chop = MAX(0.5×C_dc×(Vdc_chop_on² - Vdc_init²), 0) とし、コンデンサがチョッパ開始電圧までに吸収できるエネルギーを見ます。</t>
  </si>
  <si>
    <t>E_brake = MAX(E_bus - E_cap,to_chop, 0) とし、コンデンサでは足りず抵抗側へ逃がす必要があるエネルギーを示します。</t>
  </si>
  <si>
    <t>Vdc_final(net) が Vdc_chop_on 以上なら『動作見込みあり』と表示します。</t>
  </si>
  <si>
    <t>正味回生エネルギーがあり、かつ Vdc_final(net) が Vdc_chop_on を超える場合を『必要』とする簡易判定です。電源が回生吸収できる場合は不要となることがあります。</t>
  </si>
  <si>
    <t>必要抵抗値の目安</t>
  </si>
  <si>
    <t>R_brake,max ≈ Vdc_chop_on² / P_bus,start です。これは停止開始時の正味回生電力をクランプ電圧で吸収するための上限目安で、実際はこの値以下を選び、抵抗の許容パルスエネルギーと平均電力も確認してください。</t>
  </si>
  <si>
    <t>Vdc_final(net) が Vdc_max を超える場合は、コンデンサだけでは危険で、減速条件の緩和・回生電源・ブレーキチョッパ/抵抗などの対策が必要です。</t>
  </si>
  <si>
    <r>
      <rPr>
        <sz val="11"/>
        <rFont val="ＭＳ ゴシック"/>
        <family val="3"/>
        <charset val="128"/>
      </rPr>
      <t>帯域参考は電流誤差補正用。
起動全量ステップは</t>
    </r>
    <r>
      <rPr>
        <sz val="11"/>
        <rFont val="Arial"/>
        <family val="2"/>
      </rPr>
      <t xml:space="preserve"> B64/B65 </t>
    </r>
    <r>
      <rPr>
        <sz val="11"/>
        <rFont val="ＭＳ ゴシック"/>
        <family val="3"/>
        <charset val="128"/>
      </rPr>
      <t>を参照</t>
    </r>
    <phoneticPr fontId="4"/>
  </si>
  <si>
    <r>
      <t>Ke_rms = Ke_crest / √</t>
    </r>
    <r>
      <rPr>
        <b/>
        <sz val="11"/>
        <color rgb="FFFF0000"/>
        <rFont val="Carlito"/>
        <family val="2"/>
      </rPr>
      <t>3</t>
    </r>
    <phoneticPr fontId="4"/>
  </si>
  <si>
    <r>
      <t>入力した</t>
    </r>
    <r>
      <rPr>
        <b/>
        <sz val="11"/>
        <color rgb="FFFF0000"/>
        <rFont val="Carlito"/>
        <family val="2"/>
      </rPr>
      <t>R</t>
    </r>
    <r>
      <rPr>
        <b/>
        <sz val="11"/>
        <color rgb="FFFF0000"/>
        <rFont val="Carlito"/>
      </rPr>
      <t>倍率を用いた設計ケース</t>
    </r>
  </si>
  <si>
    <t>起動電流を目標速度まで維持した加速ワースト。
終速度での逆起電力を含む</t>
    <phoneticPr fontId="4"/>
  </si>
  <si>
    <r>
      <t>起動過渡</t>
    </r>
    <r>
      <rPr>
        <b/>
        <sz val="11"/>
        <color rgb="FFFF0000"/>
        <rFont val="Carlito"/>
        <family val="2"/>
      </rPr>
      <t>Vdc_min</t>
    </r>
  </si>
  <si>
    <r>
      <t>起動時に</t>
    </r>
    <r>
      <rPr>
        <b/>
        <sz val="11"/>
        <color rgb="FFFF0000"/>
        <rFont val="Carlito"/>
        <family val="2"/>
      </rPr>
      <t>Ldi/dt</t>
    </r>
    <r>
      <rPr>
        <b/>
        <sz val="11"/>
        <color rgb="FFFF0000"/>
        <rFont val="Carlito"/>
      </rPr>
      <t>を含めた大信号最低</t>
    </r>
    <r>
      <rPr>
        <b/>
        <sz val="11"/>
        <color rgb="FFFF0000"/>
        <rFont val="Carlito"/>
        <family val="2"/>
      </rPr>
      <t>DC</t>
    </r>
    <r>
      <rPr>
        <b/>
        <sz val="11"/>
        <color rgb="FFFF0000"/>
        <rFont val="Carlito"/>
      </rPr>
      <t>バス</t>
    </r>
  </si>
  <si>
    <r>
      <rPr>
        <sz val="11"/>
        <rFont val="ＭＳ ゴシック"/>
        <family val="3"/>
        <charset val="128"/>
      </rPr>
      <t>本ブックで使用する線間</t>
    </r>
    <r>
      <rPr>
        <sz val="11"/>
        <rFont val="Arial"/>
        <family val="2"/>
      </rPr>
      <t>RMS</t>
    </r>
    <r>
      <rPr>
        <sz val="11"/>
        <rFont val="ＭＳ ゴシック"/>
        <family val="3"/>
        <charset val="128"/>
      </rPr>
      <t>の</t>
    </r>
    <r>
      <rPr>
        <sz val="11"/>
        <rFont val="Arial"/>
        <family val="2"/>
      </rPr>
      <t xml:space="preserve"> Ke</t>
    </r>
    <r>
      <rPr>
        <sz val="11"/>
        <rFont val="ＭＳ ゴシック"/>
        <family val="3"/>
        <charset val="128"/>
      </rPr>
      <t>。上書きがあればそれを優先、なければ</t>
    </r>
    <r>
      <rPr>
        <sz val="11"/>
        <rFont val="Arial"/>
        <family val="2"/>
      </rPr>
      <t xml:space="preserve"> Kt/</t>
    </r>
    <r>
      <rPr>
        <sz val="11"/>
        <rFont val="Carlito"/>
        <family val="2"/>
        <charset val="128"/>
      </rPr>
      <t>√</t>
    </r>
    <r>
      <rPr>
        <b/>
        <sz val="11"/>
        <color rgb="FFFF0000"/>
        <rFont val="Carlito"/>
        <family val="2"/>
        <charset val="128"/>
      </rPr>
      <t>3</t>
    </r>
    <r>
      <rPr>
        <b/>
        <sz val="11"/>
        <color rgb="FFFF0000"/>
        <rFont val="Arial"/>
        <family val="2"/>
      </rPr>
      <t xml:space="preserve"> </t>
    </r>
    <r>
      <rPr>
        <sz val="11"/>
        <rFont val="ＭＳ ゴシック"/>
        <family val="3"/>
        <charset val="128"/>
      </rPr>
      <t>から推定</t>
    </r>
    <phoneticPr fontId="4"/>
  </si>
  <si>
    <r>
      <t>Kollmorgen DD</t>
    </r>
    <r>
      <rPr>
        <b/>
        <sz val="14"/>
        <color rgb="FFFFFFFF"/>
        <rFont val="ＭＳ ゴシック"/>
        <family val="3"/>
        <charset val="128"/>
      </rPr>
      <t>モータ</t>
    </r>
    <r>
      <rPr>
        <b/>
        <sz val="14"/>
        <color rgb="FFFFFFFF"/>
        <rFont val="Arial"/>
        <family val="2"/>
      </rPr>
      <t xml:space="preserve"> / SVPWM </t>
    </r>
    <r>
      <rPr>
        <b/>
        <sz val="14"/>
        <color rgb="FFFFFFFF"/>
        <rFont val="ＭＳ ゴシック"/>
        <family val="3"/>
        <charset val="128"/>
      </rPr>
      <t>最低</t>
    </r>
    <r>
      <rPr>
        <b/>
        <sz val="14"/>
        <color rgb="FFFFFFFF"/>
        <rFont val="Arial"/>
        <family val="2"/>
      </rPr>
      <t>DC</t>
    </r>
    <r>
      <rPr>
        <b/>
        <sz val="14"/>
        <color rgb="FFFFFFFF"/>
        <rFont val="ＭＳ ゴシック"/>
        <family val="3"/>
        <charset val="128"/>
      </rPr>
      <t>バス電圧</t>
    </r>
    <r>
      <rPr>
        <b/>
        <sz val="14"/>
        <color rgb="FFFFFFFF"/>
        <rFont val="Arial"/>
        <family val="2"/>
      </rPr>
      <t xml:space="preserve"> </t>
    </r>
    <r>
      <rPr>
        <b/>
        <sz val="14"/>
        <color rgb="FFFFFFFF"/>
        <rFont val="ＭＳ ゴシック"/>
        <family val="3"/>
        <charset val="128"/>
      </rPr>
      <t>計算シート（白書整合版）</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</si>
</sst>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
  </numFmts>
  <fonts count="16">
    <font>
      <sz val="11"/>
      <name val="Carlito"/>
    </font>
    <font>
      <b/>
      <sz val="14"/>
      <color rgb="FFFFFFFF"/>
      <name val="Carlito"/>
    </font>
    <font>
      <b/>
      <sz val="11"/>
      <color rgb="FF12344D"/>
      <name val="Carlito"/>
    </font>
    <font>
      <sz val="11"/>
      <name val="Carlito"/>
    </font>
    <font>
      <sz val="6"/>
      <name val="ＭＳ Ｐゴシック"/>
      <family val="3"/>
      <charset val="128"/>
    </font>
    <font>
      <sz val="11"/>
      <name val="ＭＳ ゴシック"/>
      <family val="3"/>
      <charset val="128"/>
    </font>
    <font>
      <sz val="11"/>
      <name val="Arial"/>
      <family val="2"/>
    </font>
    <font>
      <sz val="11"/>
      <name val="Carlito"/>
      <family val="3"/>
      <charset val="128"/>
    </font>
    <font>
      <b/>
      <sz val="11"/>
      <color rgb="FFFF0000"/>
      <name val="Carlito"/>
      <family val="2"/>
    </font>
    <font>
      <b/>
      <sz val="11"/>
      <color rgb="FFFF0000"/>
      <name val="Carlito"/>
    </font>
    <font>
      <b/>
      <sz val="11"/>
      <color rgb="FFFF0000"/>
      <name val="ＭＳ ゴシック"/>
      <family val="3"/>
      <charset val="128"/>
    </font>
    <font>
      <sz val="11"/>
      <name val="Carlito"/>
      <family val="2"/>
      <charset val="128"/>
    </font>
    <font>
      <b/>
      <sz val="11"/>
      <color rgb="FFFF0000"/>
      <name val="Carlito"/>
      <family val="2"/>
      <charset val="128"/>
    </font>
    <font>
      <b/>
      <sz val="11"/>
      <color rgb="FFFF0000"/>
      <name val="Arial"/>
      <family val="2"/>
    </font>
    <font>
      <b/>
      <sz val="14"/>
      <color rgb="FFFFFFFF"/>
      <name val="ＭＳ ゴシック"/>
      <family val="3"/>
      <charset val="128"/>
    </font>
    <font>
      <b/>
      <sz val="14"/>
      <color rgb="FFFFFFFF"/>
      <name val="Arial"/>
      <family val="2"/>
    </font>
  </fonts>
  <fills count="8">
    <fill>
      <patternFill patternType="none"/>
    </fill>
    <fill>
      <patternFill patternType="gray125"/>
    </fill>
    <fill>
      <patternFill patternType="solid">
        <fgColor rgb="FF1F4E78"/>
      </patternFill>
    </fill>
    <fill>
      <patternFill patternType="solid">
        <fgColor rgb="FFEAF2F8"/>
      </patternFill>
    </fill>
    <fill>
      <patternFill patternType="solid">
        <fgColor rgb="FFFFF7E6"/>
      </patternFill>
    </fill>
    <fill>
      <patternFill patternType="solid">
        <fgColor rgb="FFF5F5F5"/>
      </patternFill>
    </fill>
    <fill>
      <patternFill patternType="solid">
        <fgColor rgb="FFF4FBF1"/>
      </patternFill>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26">
    <xf numFmtId="0" fontId="0" fillId="0" borderId="0" xfId="0"/>
    <xf numFmtId="0" fontId="0" fillId="0" borderId="0" xfId="1" applyFont="1" applyAlignment="1">
      <alignment wrapText="1"/>
    </xf>
    <xf numFmtId="0" fontId="2" fillId="3" borderId="0" xfId="1" applyFont="1" applyFill="1" applyAlignment="1">
      <alignment vertical="center" wrapText="1"/>
    </xf>
    <xf numFmtId="0" fontId="0" fillId="6" borderId="0" xfId="1" applyFont="1" applyFill="1" applyAlignment="1">
      <alignment wrapText="1"/>
    </xf>
    <xf numFmtId="176" fontId="0" fillId="6" borderId="0" xfId="1" applyNumberFormat="1" applyFont="1" applyFill="1" applyAlignment="1">
      <alignment wrapText="1"/>
    </xf>
    <xf numFmtId="176" fontId="0" fillId="4" borderId="0" xfId="1" applyNumberFormat="1" applyFont="1" applyFill="1" applyAlignment="1">
      <alignment horizontal="center" wrapText="1"/>
    </xf>
    <xf numFmtId="177" fontId="0" fillId="5" borderId="0" xfId="1" applyNumberFormat="1" applyFont="1" applyFill="1" applyAlignment="1">
      <alignment horizontal="center" wrapText="1"/>
    </xf>
    <xf numFmtId="0" fontId="0" fillId="5" borderId="0" xfId="1" applyFont="1" applyFill="1" applyAlignment="1">
      <alignment horizontal="center" wrapText="1"/>
    </xf>
    <xf numFmtId="176" fontId="0" fillId="0" borderId="0" xfId="1" applyNumberFormat="1" applyFont="1" applyAlignment="1">
      <alignment wrapText="1"/>
    </xf>
    <xf numFmtId="176" fontId="0" fillId="6" borderId="0" xfId="1" applyNumberFormat="1" applyFont="1" applyFill="1" applyAlignment="1">
      <alignment horizontal="right" wrapText="1"/>
    </xf>
    <xf numFmtId="176" fontId="0" fillId="0" borderId="0" xfId="1" applyNumberFormat="1" applyFont="1" applyAlignment="1">
      <alignment horizontal="right" wrapText="1"/>
    </xf>
    <xf numFmtId="0" fontId="0" fillId="0" borderId="0" xfId="1" applyFont="1" applyAlignment="1">
      <alignment horizontal="right" wrapText="1"/>
    </xf>
    <xf numFmtId="2" fontId="0" fillId="0" borderId="0" xfId="1" applyNumberFormat="1" applyFont="1" applyAlignment="1">
      <alignment wrapText="1"/>
    </xf>
    <xf numFmtId="49" fontId="0" fillId="0" borderId="0" xfId="1" applyNumberFormat="1" applyFont="1" applyAlignment="1">
      <alignment wrapText="1"/>
    </xf>
    <xf numFmtId="0" fontId="7" fillId="0" borderId="0" xfId="1" applyFont="1" applyAlignment="1">
      <alignment wrapText="1"/>
    </xf>
    <xf numFmtId="0" fontId="0" fillId="7" borderId="0" xfId="1" applyFont="1" applyFill="1" applyAlignment="1">
      <alignment wrapText="1"/>
    </xf>
    <xf numFmtId="0" fontId="1" fillId="2" borderId="0" xfId="1" applyFont="1" applyFill="1" applyAlignment="1">
      <alignment horizontal="center" vertical="center" wrapText="1"/>
    </xf>
    <xf numFmtId="176" fontId="9" fillId="0" borderId="0" xfId="1" applyNumberFormat="1" applyFont="1" applyAlignment="1">
      <alignment wrapText="1"/>
    </xf>
    <xf numFmtId="176" fontId="9" fillId="6" borderId="0" xfId="1" applyNumberFormat="1" applyFont="1" applyFill="1" applyAlignment="1">
      <alignment horizontal="right" wrapText="1"/>
    </xf>
    <xf numFmtId="176" fontId="9" fillId="0" borderId="0" xfId="1" applyNumberFormat="1" applyFont="1" applyAlignment="1">
      <alignment horizontal="right" wrapText="1"/>
    </xf>
    <xf numFmtId="0" fontId="9" fillId="0" borderId="0" xfId="1" applyFont="1" applyAlignment="1">
      <alignment horizontal="right" wrapText="1"/>
    </xf>
    <xf numFmtId="0" fontId="9" fillId="0" borderId="0" xfId="1" applyFont="1" applyAlignment="1">
      <alignment wrapText="1"/>
    </xf>
    <xf numFmtId="0" fontId="9" fillId="6" borderId="0" xfId="1" applyFont="1" applyFill="1" applyAlignment="1">
      <alignment wrapText="1"/>
    </xf>
    <xf numFmtId="176" fontId="9" fillId="6" borderId="0" xfId="1" applyNumberFormat="1" applyFont="1" applyFill="1" applyAlignment="1">
      <alignment wrapText="1"/>
    </xf>
    <xf numFmtId="0" fontId="9" fillId="0" borderId="0" xfId="1" applyFont="1" applyFill="1" applyAlignment="1">
      <alignment wrapText="1"/>
    </xf>
    <xf numFmtId="0" fontId="10" fillId="0" borderId="0" xfId="1" applyFont="1" applyAlignment="1">
      <alignment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tabSelected="1" workbookViewId="0">
      <selection sqref="A1:E1"/>
    </sheetView>
  </sheetViews>
  <sheetFormatPr defaultRowHeight="14.25"/>
  <cols>
    <col min="1" max="1" width="28" customWidth="1"/>
    <col min="2" max="2" width="16" customWidth="1"/>
    <col min="3" max="3" width="13.875" bestFit="1" customWidth="1"/>
    <col min="4" max="4" width="10" bestFit="1" customWidth="1"/>
    <col min="5" max="5" width="46.875" bestFit="1" customWidth="1"/>
    <col min="6" max="6" width="0" hidden="1" customWidth="1"/>
    <col min="7" max="7" width="29.375" bestFit="1" customWidth="1"/>
    <col min="8" max="8" width="16" customWidth="1"/>
    <col min="9" max="9" width="10.5" bestFit="1" customWidth="1"/>
    <col min="10" max="10" width="52.625" bestFit="1" customWidth="1"/>
  </cols>
  <sheetData>
    <row r="1" spans="1:10" ht="85.35" customHeight="1">
      <c r="A1" s="16" t="s">
        <v>458</v>
      </c>
      <c r="B1" s="16"/>
      <c r="C1" s="16"/>
      <c r="D1" s="16"/>
      <c r="E1" s="16"/>
      <c r="F1" s="1"/>
      <c r="G1" s="16" t="s">
        <v>0</v>
      </c>
      <c r="H1" s="16"/>
      <c r="I1" s="16"/>
      <c r="J1" s="16"/>
    </row>
    <row r="2" spans="1:10">
      <c r="A2" s="1"/>
      <c r="B2" s="1"/>
      <c r="C2" s="1"/>
      <c r="D2" s="1"/>
      <c r="E2" s="1"/>
      <c r="F2" s="1"/>
      <c r="G2" s="1"/>
      <c r="H2" s="1"/>
      <c r="I2" s="1"/>
      <c r="J2" s="1"/>
    </row>
    <row r="3" spans="1:10" ht="15">
      <c r="A3" s="2" t="s">
        <v>1</v>
      </c>
      <c r="B3" s="2" t="s">
        <v>2</v>
      </c>
      <c r="C3" s="2" t="s">
        <v>3</v>
      </c>
      <c r="D3" s="2" t="s">
        <v>4</v>
      </c>
      <c r="E3" s="2" t="s">
        <v>5</v>
      </c>
      <c r="F3" s="1"/>
      <c r="G3" s="2" t="s">
        <v>6</v>
      </c>
      <c r="H3" s="2" t="s">
        <v>2</v>
      </c>
      <c r="I3" s="2" t="s">
        <v>3</v>
      </c>
      <c r="J3" s="2" t="s">
        <v>7</v>
      </c>
    </row>
    <row r="4" spans="1:10">
      <c r="A4" s="1" t="s">
        <v>8</v>
      </c>
      <c r="B4" s="5">
        <v>10</v>
      </c>
      <c r="C4" s="1" t="s">
        <v>9</v>
      </c>
      <c r="D4" s="1" t="s">
        <v>10</v>
      </c>
      <c r="E4" s="1" t="s">
        <v>11</v>
      </c>
      <c r="F4" s="1"/>
      <c r="G4" s="3" t="s">
        <v>12</v>
      </c>
      <c r="H4" s="9">
        <f>Calculations!B6</f>
        <v>3.4047350620067647</v>
      </c>
      <c r="I4" s="1" t="s">
        <v>13</v>
      </c>
      <c r="J4" s="1" t="s">
        <v>14</v>
      </c>
    </row>
    <row r="5" spans="1:10" ht="29.25">
      <c r="A5" s="1" t="s">
        <v>15</v>
      </c>
      <c r="B5" s="5">
        <v>32</v>
      </c>
      <c r="C5" s="1" t="s">
        <v>16</v>
      </c>
      <c r="D5" s="1" t="s">
        <v>10</v>
      </c>
      <c r="E5" s="1" t="s">
        <v>17</v>
      </c>
      <c r="F5" s="1"/>
      <c r="G5" s="3" t="s">
        <v>18</v>
      </c>
      <c r="H5" s="9">
        <f>Calculations!B12</f>
        <v>536.28001202525036</v>
      </c>
      <c r="I5" s="1" t="s">
        <v>19</v>
      </c>
      <c r="J5" s="14" t="s">
        <v>457</v>
      </c>
    </row>
    <row r="6" spans="1:10" ht="28.5">
      <c r="A6" s="1" t="s">
        <v>20</v>
      </c>
      <c r="B6" s="5">
        <v>30.2</v>
      </c>
      <c r="C6" s="1" t="s">
        <v>21</v>
      </c>
      <c r="D6" s="1" t="s">
        <v>10</v>
      </c>
      <c r="E6" s="1" t="s">
        <v>22</v>
      </c>
      <c r="F6" s="1"/>
      <c r="G6" s="3" t="s">
        <v>23</v>
      </c>
      <c r="H6" s="9">
        <f>Calculations!B24</f>
        <v>7.5841446623571551</v>
      </c>
      <c r="I6" s="1" t="s">
        <v>24</v>
      </c>
      <c r="J6" s="1" t="s">
        <v>25</v>
      </c>
    </row>
    <row r="7" spans="1:10" ht="15">
      <c r="A7" s="1" t="s">
        <v>26</v>
      </c>
      <c r="B7" s="5">
        <v>8.8699999999999992</v>
      </c>
      <c r="C7" s="1" t="s">
        <v>27</v>
      </c>
      <c r="D7" s="1" t="s">
        <v>10</v>
      </c>
      <c r="E7" s="1" t="s">
        <v>28</v>
      </c>
      <c r="F7" s="1"/>
      <c r="G7" s="22" t="s">
        <v>29</v>
      </c>
      <c r="H7" s="18">
        <f>Calculations!B25</f>
        <v>33.840879133152455</v>
      </c>
      <c r="I7" s="1" t="s">
        <v>24</v>
      </c>
      <c r="J7" s="21" t="s">
        <v>453</v>
      </c>
    </row>
    <row r="8" spans="1:10" ht="28.5">
      <c r="A8" s="1" t="s">
        <v>30</v>
      </c>
      <c r="B8" s="5"/>
      <c r="C8" s="1" t="s">
        <v>31</v>
      </c>
      <c r="D8" s="1" t="s">
        <v>32</v>
      </c>
      <c r="E8" s="1" t="s">
        <v>33</v>
      </c>
      <c r="F8" s="1"/>
      <c r="G8" s="3" t="s">
        <v>34</v>
      </c>
      <c r="H8" s="9">
        <f>Calculations!B27</f>
        <v>37.224967046467704</v>
      </c>
      <c r="I8" s="1" t="s">
        <v>24</v>
      </c>
      <c r="J8" s="1" t="s">
        <v>35</v>
      </c>
    </row>
    <row r="9" spans="1:10">
      <c r="A9" s="1" t="s">
        <v>36</v>
      </c>
      <c r="B9" s="5">
        <v>6.26</v>
      </c>
      <c r="C9" s="1" t="s">
        <v>37</v>
      </c>
      <c r="D9" s="1" t="s">
        <v>10</v>
      </c>
      <c r="E9" s="1" t="s">
        <v>38</v>
      </c>
      <c r="F9" s="1"/>
      <c r="G9" s="3" t="s">
        <v>39</v>
      </c>
      <c r="H9" s="9">
        <f>Calculations!B26</f>
        <v>47.501249946033461</v>
      </c>
      <c r="I9" s="1" t="s">
        <v>24</v>
      </c>
      <c r="J9" s="1" t="s">
        <v>40</v>
      </c>
    </row>
    <row r="10" spans="1:10">
      <c r="A10" s="1" t="s">
        <v>41</v>
      </c>
      <c r="B10" s="5">
        <v>23</v>
      </c>
      <c r="C10" s="1" t="s">
        <v>42</v>
      </c>
      <c r="D10" s="1" t="s">
        <v>10</v>
      </c>
      <c r="E10" s="1" t="s">
        <v>43</v>
      </c>
      <c r="F10" s="1"/>
      <c r="G10" s="3" t="s">
        <v>44</v>
      </c>
      <c r="H10" s="9">
        <f>Calculations!B28</f>
        <v>52.251374940636808</v>
      </c>
      <c r="I10" s="1" t="s">
        <v>24</v>
      </c>
      <c r="J10" s="1" t="s">
        <v>45</v>
      </c>
    </row>
    <row r="11" spans="1:10">
      <c r="A11" s="1" t="s">
        <v>46</v>
      </c>
      <c r="B11" s="5">
        <v>1</v>
      </c>
      <c r="C11" s="1" t="s">
        <v>47</v>
      </c>
      <c r="D11" s="1" t="s">
        <v>10</v>
      </c>
      <c r="E11" s="1" t="s">
        <v>48</v>
      </c>
      <c r="F11" s="1"/>
      <c r="G11" s="1" t="s">
        <v>49</v>
      </c>
      <c r="H11" s="10">
        <f>Calculations!B30</f>
        <v>6.3810597519729431</v>
      </c>
      <c r="I11" s="1" t="s">
        <v>13</v>
      </c>
      <c r="J11" s="1" t="s">
        <v>50</v>
      </c>
    </row>
    <row r="12" spans="1:10" ht="15">
      <c r="A12" s="1" t="s">
        <v>51</v>
      </c>
      <c r="B12" s="5">
        <v>0.1</v>
      </c>
      <c r="C12" s="1" t="s">
        <v>52</v>
      </c>
      <c r="D12" s="1" t="s">
        <v>10</v>
      </c>
      <c r="E12" s="1" t="s">
        <v>53</v>
      </c>
      <c r="F12" s="1"/>
      <c r="G12" s="21" t="s">
        <v>54</v>
      </c>
      <c r="H12" s="19">
        <f>Calculations!B33</f>
        <v>48.922965485003637</v>
      </c>
      <c r="I12" s="1" t="s">
        <v>24</v>
      </c>
      <c r="J12" s="21" t="s">
        <v>55</v>
      </c>
    </row>
    <row r="13" spans="1:10">
      <c r="A13" s="1" t="s">
        <v>56</v>
      </c>
      <c r="B13" s="6" t="s">
        <v>57</v>
      </c>
      <c r="C13" s="1" t="s">
        <v>16</v>
      </c>
      <c r="D13" s="1" t="s">
        <v>58</v>
      </c>
      <c r="E13" s="1" t="s">
        <v>59</v>
      </c>
      <c r="F13" s="1"/>
      <c r="G13" s="1" t="s">
        <v>60</v>
      </c>
      <c r="H13" s="10">
        <f>Calculations!B34</f>
        <v>53.815262033504006</v>
      </c>
      <c r="I13" s="1" t="s">
        <v>24</v>
      </c>
      <c r="J13" s="1" t="s">
        <v>61</v>
      </c>
    </row>
    <row r="14" spans="1:10" ht="28.5">
      <c r="A14" s="1" t="s">
        <v>62</v>
      </c>
      <c r="B14" s="7" t="s">
        <v>63</v>
      </c>
      <c r="C14" s="1" t="s">
        <v>16</v>
      </c>
      <c r="D14" s="1" t="s">
        <v>58</v>
      </c>
      <c r="E14" s="1" t="s">
        <v>64</v>
      </c>
      <c r="F14" s="1"/>
      <c r="G14" s="21" t="s">
        <v>65</v>
      </c>
      <c r="H14" s="20">
        <f>Calculations!B39</f>
        <v>56.827241479610009</v>
      </c>
      <c r="I14" s="1" t="s">
        <v>24</v>
      </c>
      <c r="J14" s="25" t="s">
        <v>454</v>
      </c>
    </row>
    <row r="15" spans="1:10" ht="15">
      <c r="A15" s="1" t="s">
        <v>66</v>
      </c>
      <c r="B15" s="17">
        <f>56.6/30.2</f>
        <v>1.8741721854304636</v>
      </c>
      <c r="C15" s="1" t="s">
        <v>67</v>
      </c>
      <c r="D15" s="1" t="s">
        <v>10</v>
      </c>
      <c r="E15" s="1" t="s">
        <v>68</v>
      </c>
      <c r="F15" s="1"/>
      <c r="G15" s="1" t="s">
        <v>69</v>
      </c>
      <c r="H15" s="11">
        <f>Calculations!B40</f>
        <v>62.509965627571013</v>
      </c>
      <c r="I15" s="1" t="s">
        <v>24</v>
      </c>
      <c r="J15" s="1" t="s">
        <v>70</v>
      </c>
    </row>
    <row r="16" spans="1:10" ht="28.5">
      <c r="A16" s="1" t="s">
        <v>71</v>
      </c>
      <c r="B16" s="1" t="s">
        <v>72</v>
      </c>
      <c r="C16" s="1" t="s">
        <v>16</v>
      </c>
      <c r="D16" s="1" t="s">
        <v>58</v>
      </c>
      <c r="E16" s="1" t="s">
        <v>73</v>
      </c>
      <c r="F16" s="1"/>
      <c r="G16" s="1" t="s">
        <v>74</v>
      </c>
      <c r="H16" s="1">
        <f>Calculations!B49</f>
        <v>1.6449340668482262</v>
      </c>
      <c r="I16" s="1" t="s">
        <v>75</v>
      </c>
      <c r="J16" s="1" t="s">
        <v>76</v>
      </c>
    </row>
    <row r="17" spans="1:10" ht="28.5">
      <c r="A17" s="1" t="s">
        <v>77</v>
      </c>
      <c r="B17" s="1">
        <v>3</v>
      </c>
      <c r="C17" s="1" t="s">
        <v>78</v>
      </c>
      <c r="D17" s="1" t="s">
        <v>10</v>
      </c>
      <c r="E17" s="1" t="s">
        <v>79</v>
      </c>
      <c r="F17" s="1"/>
      <c r="G17" s="1" t="s">
        <v>80</v>
      </c>
      <c r="H17" s="1">
        <f>Calculations!B44</f>
        <v>3.1415926535897931</v>
      </c>
      <c r="I17" s="1" t="s">
        <v>21</v>
      </c>
      <c r="J17" s="1" t="s">
        <v>81</v>
      </c>
    </row>
    <row r="18" spans="1:10">
      <c r="A18" s="1" t="s">
        <v>82</v>
      </c>
      <c r="B18" s="1">
        <v>1</v>
      </c>
      <c r="C18" s="1" t="s">
        <v>83</v>
      </c>
      <c r="D18" s="1" t="s">
        <v>10</v>
      </c>
      <c r="E18" s="1" t="s">
        <v>84</v>
      </c>
      <c r="F18" s="1"/>
      <c r="G18" s="1" t="s">
        <v>85</v>
      </c>
      <c r="H18" s="1">
        <f>Calculations!B45</f>
        <v>0.35418180987483577</v>
      </c>
      <c r="I18" s="1" t="s">
        <v>13</v>
      </c>
      <c r="J18" s="1" t="s">
        <v>86</v>
      </c>
    </row>
    <row r="19" spans="1:10">
      <c r="A19" s="1" t="s">
        <v>87</v>
      </c>
      <c r="B19" s="1">
        <v>0.01</v>
      </c>
      <c r="C19" s="1" t="s">
        <v>88</v>
      </c>
      <c r="D19" s="1" t="s">
        <v>10</v>
      </c>
      <c r="E19" s="1" t="s">
        <v>89</v>
      </c>
      <c r="F19" s="1"/>
      <c r="G19" s="1" t="s">
        <v>90</v>
      </c>
      <c r="H19" s="1">
        <f>Calculations!B48</f>
        <v>1.6449340668482262</v>
      </c>
      <c r="I19" s="1" t="s">
        <v>91</v>
      </c>
      <c r="J19" s="1" t="s">
        <v>92</v>
      </c>
    </row>
    <row r="20" spans="1:10" ht="28.5">
      <c r="A20" s="1" t="s">
        <v>93</v>
      </c>
      <c r="B20" s="15">
        <f>H14</f>
        <v>56.827241479610009</v>
      </c>
      <c r="C20" s="1" t="s">
        <v>24</v>
      </c>
      <c r="D20" s="1" t="s">
        <v>32</v>
      </c>
      <c r="E20" s="1" t="s">
        <v>94</v>
      </c>
      <c r="F20" s="1"/>
      <c r="G20" s="1" t="s">
        <v>95</v>
      </c>
      <c r="H20" s="1">
        <f>Calculations!B50</f>
        <v>1.1779262442499523</v>
      </c>
      <c r="I20" s="1" t="s">
        <v>91</v>
      </c>
      <c r="J20" s="1" t="s">
        <v>96</v>
      </c>
    </row>
    <row r="21" spans="1:10" ht="57">
      <c r="A21" s="1" t="s">
        <v>97</v>
      </c>
      <c r="B21" s="1" t="s">
        <v>98</v>
      </c>
      <c r="C21" s="1" t="s">
        <v>16</v>
      </c>
      <c r="D21" s="1" t="s">
        <v>58</v>
      </c>
      <c r="E21" s="1" t="s">
        <v>99</v>
      </c>
      <c r="F21" s="1"/>
      <c r="G21" s="1" t="s">
        <v>100</v>
      </c>
      <c r="H21" s="1">
        <f>Calculations!B53</f>
        <v>0.46700782259827389</v>
      </c>
      <c r="I21" s="1" t="s">
        <v>75</v>
      </c>
      <c r="J21" s="1" t="s">
        <v>101</v>
      </c>
    </row>
    <row r="22" spans="1:10">
      <c r="A22" s="1"/>
      <c r="B22" s="1"/>
      <c r="C22" s="1"/>
      <c r="D22" s="1"/>
      <c r="E22" s="1"/>
      <c r="F22" s="1"/>
      <c r="G22" s="1" t="s">
        <v>102</v>
      </c>
      <c r="H22" s="1">
        <f>Calculations!B54</f>
        <v>59.651673803436175</v>
      </c>
      <c r="I22" s="1" t="s">
        <v>103</v>
      </c>
      <c r="J22" s="1" t="s">
        <v>104</v>
      </c>
    </row>
    <row r="23" spans="1:10" ht="28.5">
      <c r="A23" s="1" t="s">
        <v>105</v>
      </c>
      <c r="B23" s="1">
        <v>10</v>
      </c>
      <c r="C23" s="1" t="s">
        <v>106</v>
      </c>
      <c r="D23" s="1" t="s">
        <v>10</v>
      </c>
      <c r="E23" s="1" t="s">
        <v>107</v>
      </c>
      <c r="F23" s="1"/>
      <c r="G23" s="1" t="s">
        <v>108</v>
      </c>
      <c r="H23" s="1">
        <f>Calculations!B55</f>
        <v>57.64318640309159</v>
      </c>
      <c r="I23" s="1" t="s">
        <v>103</v>
      </c>
      <c r="J23" s="1" t="s">
        <v>109</v>
      </c>
    </row>
    <row r="24" spans="1:10" ht="28.5">
      <c r="A24" s="1" t="s">
        <v>110</v>
      </c>
      <c r="B24" s="1">
        <v>1000</v>
      </c>
      <c r="C24" s="1" t="s">
        <v>111</v>
      </c>
      <c r="D24" s="1" t="s">
        <v>10</v>
      </c>
      <c r="E24" s="1" t="s">
        <v>112</v>
      </c>
      <c r="F24" s="1"/>
      <c r="G24" s="1" t="s">
        <v>113</v>
      </c>
      <c r="H24" s="1">
        <f>Calculations!B56</f>
        <v>2.8244323238261657</v>
      </c>
      <c r="I24" s="1" t="s">
        <v>103</v>
      </c>
      <c r="J24" s="1" t="s">
        <v>114</v>
      </c>
    </row>
    <row r="25" spans="1:10" ht="28.5">
      <c r="A25" s="1" t="s">
        <v>115</v>
      </c>
      <c r="B25" s="1">
        <v>0.1</v>
      </c>
      <c r="C25" s="1" t="s">
        <v>52</v>
      </c>
      <c r="D25" s="1" t="s">
        <v>10</v>
      </c>
      <c r="E25" s="1" t="s">
        <v>116</v>
      </c>
      <c r="F25" s="1"/>
      <c r="G25" s="1" t="s">
        <v>117</v>
      </c>
      <c r="H25" s="1">
        <f>Calculations!B57</f>
        <v>0.81594492348158099</v>
      </c>
      <c r="I25" s="1" t="s">
        <v>103</v>
      </c>
      <c r="J25" s="1" t="s">
        <v>118</v>
      </c>
    </row>
    <row r="26" spans="1:10" ht="42.75">
      <c r="A26" s="1" t="s">
        <v>119</v>
      </c>
      <c r="B26" s="1" t="s">
        <v>120</v>
      </c>
      <c r="C26" s="1" t="s">
        <v>16</v>
      </c>
      <c r="D26" s="1" t="s">
        <v>58</v>
      </c>
      <c r="E26" s="1" t="s">
        <v>121</v>
      </c>
      <c r="F26" s="1"/>
      <c r="G26" s="1" t="s">
        <v>122</v>
      </c>
      <c r="H26" s="1" t="str">
        <f>Calculations!B58</f>
        <v>DCバス上昇あり</v>
      </c>
      <c r="I26" s="1" t="s">
        <v>16</v>
      </c>
      <c r="J26" s="1" t="s">
        <v>123</v>
      </c>
    </row>
    <row r="27" spans="1:10" ht="28.5">
      <c r="A27" s="1" t="s">
        <v>124</v>
      </c>
      <c r="B27" s="1">
        <v>75</v>
      </c>
      <c r="C27" s="1" t="s">
        <v>24</v>
      </c>
      <c r="D27" s="1" t="s">
        <v>10</v>
      </c>
      <c r="E27" s="1" t="s">
        <v>125</v>
      </c>
      <c r="F27" s="1"/>
      <c r="G27" s="1"/>
      <c r="H27" s="1"/>
      <c r="I27" s="1"/>
      <c r="J27" s="1"/>
    </row>
    <row r="28" spans="1:10">
      <c r="A28" s="1" t="s">
        <v>126</v>
      </c>
      <c r="B28" s="1">
        <v>80</v>
      </c>
      <c r="C28" s="1" t="s">
        <v>24</v>
      </c>
      <c r="D28" s="1" t="s">
        <v>10</v>
      </c>
      <c r="E28" s="1" t="s">
        <v>127</v>
      </c>
      <c r="F28" s="1"/>
      <c r="G28" s="1" t="s">
        <v>128</v>
      </c>
      <c r="H28" s="1">
        <f>Calculations!B60</f>
        <v>3.6741214057507987E-3</v>
      </c>
      <c r="I28" s="1" t="s">
        <v>83</v>
      </c>
      <c r="J28" s="1" t="s">
        <v>129</v>
      </c>
    </row>
    <row r="29" spans="1:10" ht="28.5">
      <c r="A29" s="1" t="s">
        <v>130</v>
      </c>
      <c r="B29" s="1" t="s">
        <v>131</v>
      </c>
      <c r="C29" s="1" t="s">
        <v>16</v>
      </c>
      <c r="D29" s="1" t="s">
        <v>58</v>
      </c>
      <c r="E29" s="1" t="s">
        <v>132</v>
      </c>
      <c r="F29" s="1"/>
      <c r="G29" s="1" t="s">
        <v>133</v>
      </c>
      <c r="H29" s="1">
        <f>Calculations!B61</f>
        <v>43.317823641533252</v>
      </c>
      <c r="I29" s="1" t="s">
        <v>111</v>
      </c>
      <c r="J29" s="1" t="s">
        <v>134</v>
      </c>
    </row>
    <row r="30" spans="1:10" ht="29.25">
      <c r="A30" s="1" t="s">
        <v>135</v>
      </c>
      <c r="B30" s="1" t="s">
        <v>136</v>
      </c>
      <c r="C30" s="1" t="s">
        <v>16</v>
      </c>
      <c r="D30" s="1" t="s">
        <v>58</v>
      </c>
      <c r="E30" s="1" t="s">
        <v>137</v>
      </c>
      <c r="F30" s="1"/>
      <c r="G30" s="21" t="s">
        <v>455</v>
      </c>
      <c r="H30" s="21">
        <f>Calculations!B65</f>
        <v>66.897856957129576</v>
      </c>
      <c r="I30" s="1" t="s">
        <v>24</v>
      </c>
      <c r="J30" s="21" t="s">
        <v>456</v>
      </c>
    </row>
    <row r="31" spans="1:10">
      <c r="A31" s="1"/>
      <c r="B31" s="1"/>
      <c r="C31" s="1"/>
      <c r="D31" s="1"/>
      <c r="E31" s="1"/>
      <c r="F31" s="1"/>
      <c r="G31" s="1" t="s">
        <v>138</v>
      </c>
      <c r="H31" s="1">
        <f>Calculations!B66</f>
        <v>73.587642652842547</v>
      </c>
      <c r="I31" s="1" t="s">
        <v>24</v>
      </c>
      <c r="J31" s="1" t="s">
        <v>139</v>
      </c>
    </row>
    <row r="32" spans="1:10" ht="28.5">
      <c r="A32" s="1"/>
      <c r="B32" s="1"/>
      <c r="C32" s="1"/>
      <c r="D32" s="1"/>
      <c r="E32" s="1"/>
      <c r="F32" s="1"/>
      <c r="G32" s="1" t="s">
        <v>140</v>
      </c>
      <c r="H32" s="1">
        <f>Calculations!B69</f>
        <v>65.205693448642194</v>
      </c>
      <c r="I32" s="1" t="s">
        <v>141</v>
      </c>
      <c r="J32" s="1" t="s">
        <v>142</v>
      </c>
    </row>
    <row r="33" spans="7:10">
      <c r="G33" s="1" t="s">
        <v>143</v>
      </c>
      <c r="H33" s="8">
        <f>Calculations!B73</f>
        <v>2.1119418894465003</v>
      </c>
      <c r="I33" s="1" t="s">
        <v>91</v>
      </c>
      <c r="J33" s="1" t="s">
        <v>144</v>
      </c>
    </row>
    <row r="34" spans="7:10">
      <c r="G34" s="1" t="s">
        <v>145</v>
      </c>
      <c r="H34" s="8">
        <f>Calculations!B74</f>
        <v>11.978323129090459</v>
      </c>
      <c r="I34" s="1" t="s">
        <v>75</v>
      </c>
      <c r="J34" s="1" t="s">
        <v>146</v>
      </c>
    </row>
    <row r="35" spans="7:10">
      <c r="G35" s="1" t="s">
        <v>147</v>
      </c>
      <c r="H35" s="8">
        <f>Calculations!B75</f>
        <v>0</v>
      </c>
      <c r="I35" s="1" t="s">
        <v>75</v>
      </c>
      <c r="J35" s="1" t="s">
        <v>148</v>
      </c>
    </row>
    <row r="36" spans="7:10">
      <c r="G36" s="1" t="s">
        <v>149</v>
      </c>
      <c r="H36" s="13" t="str">
        <f>Calculations!B76</f>
        <v>動作なし</v>
      </c>
      <c r="I36" s="1" t="s">
        <v>16</v>
      </c>
      <c r="J36" s="1" t="s">
        <v>150</v>
      </c>
    </row>
    <row r="37" spans="7:10">
      <c r="G37" s="1" t="s">
        <v>151</v>
      </c>
      <c r="H37" s="13" t="str">
        <f>Calculations!B77</f>
        <v>不要</v>
      </c>
      <c r="I37" s="1" t="s">
        <v>16</v>
      </c>
      <c r="J37" s="1" t="s">
        <v>152</v>
      </c>
    </row>
    <row r="38" spans="7:10" ht="28.5">
      <c r="G38" s="1" t="s">
        <v>153</v>
      </c>
      <c r="H38" s="8">
        <f>Calculations!B78</f>
        <v>2663.4255554608112</v>
      </c>
      <c r="I38" s="1" t="s">
        <v>37</v>
      </c>
      <c r="J38" s="1" t="s">
        <v>154</v>
      </c>
    </row>
    <row r="39" spans="7:10">
      <c r="G39" s="1" t="s">
        <v>155</v>
      </c>
      <c r="H39" s="8">
        <f>Calculations!B79</f>
        <v>0.46700782259827389</v>
      </c>
      <c r="I39" s="1" t="s">
        <v>91</v>
      </c>
      <c r="J39" s="1" t="s">
        <v>156</v>
      </c>
    </row>
    <row r="40" spans="7:10">
      <c r="G40" s="1" t="s">
        <v>157</v>
      </c>
      <c r="H40" s="8">
        <f>Calculations!B80</f>
        <v>0</v>
      </c>
      <c r="I40" s="1" t="s">
        <v>75</v>
      </c>
      <c r="J40" s="1" t="s">
        <v>158</v>
      </c>
    </row>
    <row r="41" spans="7:10">
      <c r="G41" s="1" t="s">
        <v>159</v>
      </c>
      <c r="H41" s="13" t="str">
        <f>Calculations!B81</f>
        <v>上限内</v>
      </c>
      <c r="I41" s="1" t="s">
        <v>16</v>
      </c>
      <c r="J41" s="1" t="s">
        <v>160</v>
      </c>
    </row>
  </sheetData>
  <mergeCells count="2">
    <mergeCell ref="A1:E1"/>
    <mergeCell ref="G1:J1"/>
  </mergeCells>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1"/>
  <sheetViews>
    <sheetView workbookViewId="0">
      <selection activeCell="D31" sqref="D31"/>
    </sheetView>
  </sheetViews>
  <sheetFormatPr defaultRowHeight="14.25"/>
  <cols>
    <col min="1" max="1" width="56" bestFit="1" customWidth="1"/>
    <col min="2" max="2" width="38.25" bestFit="1" customWidth="1"/>
    <col min="3" max="3" width="12" customWidth="1"/>
    <col min="4" max="4" width="68.875" bestFit="1" customWidth="1"/>
    <col min="5" max="5" width="31.625" bestFit="1" customWidth="1"/>
    <col min="6" max="6" width="45.25" bestFit="1" customWidth="1"/>
  </cols>
  <sheetData>
    <row r="1" spans="1:6" ht="18">
      <c r="A1" s="16" t="s">
        <v>161</v>
      </c>
      <c r="B1" s="16"/>
      <c r="C1" s="16"/>
      <c r="D1" s="16"/>
      <c r="E1" s="16"/>
      <c r="F1" s="16"/>
    </row>
    <row r="2" spans="1:6">
      <c r="A2" s="1"/>
      <c r="B2" s="1"/>
      <c r="C2" s="1"/>
      <c r="D2" s="1"/>
      <c r="E2" s="1"/>
      <c r="F2" s="1"/>
    </row>
    <row r="3" spans="1:6" ht="15">
      <c r="A3" s="2" t="s">
        <v>162</v>
      </c>
      <c r="B3" s="2" t="s">
        <v>163</v>
      </c>
      <c r="C3" s="2" t="s">
        <v>3</v>
      </c>
      <c r="D3" s="2" t="s">
        <v>7</v>
      </c>
      <c r="E3" s="2" t="s">
        <v>164</v>
      </c>
      <c r="F3" s="2" t="s">
        <v>165</v>
      </c>
    </row>
    <row r="4" spans="1:6">
      <c r="A4" s="1" t="s">
        <v>166</v>
      </c>
      <c r="B4" s="4">
        <f>Inputs!B4*2*PI()/60</f>
        <v>1.0471975511965976</v>
      </c>
      <c r="C4" s="1" t="s">
        <v>167</v>
      </c>
      <c r="D4" s="1" t="s">
        <v>11</v>
      </c>
      <c r="E4" s="1" t="s">
        <v>16</v>
      </c>
      <c r="F4" s="1"/>
    </row>
    <row r="5" spans="1:6">
      <c r="A5" s="1" t="s">
        <v>168</v>
      </c>
      <c r="B5" s="4">
        <f>B4*Inputs!B5</f>
        <v>33.510321638291124</v>
      </c>
      <c r="C5" s="1" t="s">
        <v>167</v>
      </c>
      <c r="D5" s="1" t="s">
        <v>169</v>
      </c>
      <c r="E5" s="1" t="s">
        <v>16</v>
      </c>
      <c r="F5" s="1"/>
    </row>
    <row r="6" spans="1:6">
      <c r="A6" s="1" t="s">
        <v>12</v>
      </c>
      <c r="B6" s="4">
        <f>Inputs!B6/Inputs!B7</f>
        <v>3.4047350620067647</v>
      </c>
      <c r="C6" s="1" t="s">
        <v>13</v>
      </c>
      <c r="D6" s="1" t="s">
        <v>170</v>
      </c>
      <c r="E6" s="1" t="s">
        <v>171</v>
      </c>
      <c r="F6" s="1"/>
    </row>
    <row r="7" spans="1:6">
      <c r="A7" s="1" t="s">
        <v>172</v>
      </c>
      <c r="B7" s="4">
        <f>SQRT(2)*B6</f>
        <v>4.8150225009771681</v>
      </c>
      <c r="C7" s="1" t="s">
        <v>173</v>
      </c>
      <c r="D7" s="1" t="s">
        <v>174</v>
      </c>
      <c r="E7" s="1" t="s">
        <v>16</v>
      </c>
      <c r="F7" s="1"/>
    </row>
    <row r="8" spans="1:6">
      <c r="A8" s="1" t="s">
        <v>175</v>
      </c>
      <c r="B8" s="4">
        <f>Inputs!B7</f>
        <v>8.8699999999999992</v>
      </c>
      <c r="C8" s="1" t="s">
        <v>176</v>
      </c>
      <c r="D8" s="1" t="s">
        <v>177</v>
      </c>
      <c r="E8" s="1" t="s">
        <v>178</v>
      </c>
      <c r="F8" s="1" t="s">
        <v>179</v>
      </c>
    </row>
    <row r="9" spans="1:6" ht="15">
      <c r="A9" s="1" t="s">
        <v>180</v>
      </c>
      <c r="B9" s="4">
        <f>B8/SQRT(3)</f>
        <v>5.12109688771198</v>
      </c>
      <c r="C9" s="1" t="s">
        <v>176</v>
      </c>
      <c r="D9" s="1" t="s">
        <v>181</v>
      </c>
      <c r="E9" s="1" t="s">
        <v>452</v>
      </c>
      <c r="F9" s="1" t="s">
        <v>182</v>
      </c>
    </row>
    <row r="10" spans="1:6">
      <c r="A10" s="1" t="s">
        <v>180</v>
      </c>
      <c r="B10" s="4">
        <f>B9*1000*2*PI()/60</f>
        <v>536.28001202525036</v>
      </c>
      <c r="C10" s="1" t="s">
        <v>19</v>
      </c>
      <c r="D10" s="1" t="s">
        <v>183</v>
      </c>
      <c r="E10" s="1" t="s">
        <v>16</v>
      </c>
      <c r="F10" s="1" t="s">
        <v>184</v>
      </c>
    </row>
    <row r="11" spans="1:6">
      <c r="A11" s="1" t="s">
        <v>185</v>
      </c>
      <c r="B11" s="4">
        <f>IF(OR(Inputs!B8="",ISBLANK(Inputs!B8)),B9,Inputs!B8*60/(1000*2*PI()))</f>
        <v>5.12109688771198</v>
      </c>
      <c r="C11" s="1" t="s">
        <v>176</v>
      </c>
      <c r="D11" s="1" t="s">
        <v>186</v>
      </c>
      <c r="E11" s="1" t="s">
        <v>187</v>
      </c>
      <c r="F11" s="1" t="s">
        <v>188</v>
      </c>
    </row>
    <row r="12" spans="1:6">
      <c r="A12" s="1" t="s">
        <v>185</v>
      </c>
      <c r="B12" s="4">
        <f>IF(OR(Inputs!B8="",ISBLANK(Inputs!B8)),B10,Inputs!B8)</f>
        <v>536.28001202525036</v>
      </c>
      <c r="C12" s="1" t="s">
        <v>19</v>
      </c>
      <c r="D12" s="1" t="s">
        <v>189</v>
      </c>
      <c r="E12" s="1" t="s">
        <v>190</v>
      </c>
      <c r="F12" s="1" t="s">
        <v>191</v>
      </c>
    </row>
    <row r="13" spans="1:6">
      <c r="A13" s="1" t="s">
        <v>192</v>
      </c>
      <c r="B13" s="4">
        <f>Inputs!B9/2*Inputs!B11</f>
        <v>3.13</v>
      </c>
      <c r="C13" s="1" t="s">
        <v>37</v>
      </c>
      <c r="D13" s="1" t="s">
        <v>193</v>
      </c>
      <c r="E13" s="1" t="s">
        <v>194</v>
      </c>
      <c r="F13" s="1"/>
    </row>
    <row r="14" spans="1:6">
      <c r="A14" s="1" t="s">
        <v>195</v>
      </c>
      <c r="B14" s="4">
        <f>Inputs!B9/2*1.525</f>
        <v>4.77325</v>
      </c>
      <c r="C14" s="1" t="s">
        <v>37</v>
      </c>
      <c r="D14" s="1" t="s">
        <v>196</v>
      </c>
      <c r="E14" s="1" t="s">
        <v>197</v>
      </c>
      <c r="F14" s="1" t="s">
        <v>198</v>
      </c>
    </row>
    <row r="15" spans="1:6">
      <c r="A15" s="1" t="s">
        <v>199</v>
      </c>
      <c r="B15" s="4">
        <f>Inputs!B10/1000/2</f>
        <v>1.15E-2</v>
      </c>
      <c r="C15" s="1" t="s">
        <v>200</v>
      </c>
      <c r="D15" s="1" t="s">
        <v>201</v>
      </c>
      <c r="E15" s="1" t="s">
        <v>202</v>
      </c>
      <c r="F15" s="1"/>
    </row>
    <row r="16" spans="1:6">
      <c r="A16" s="1" t="s">
        <v>203</v>
      </c>
      <c r="B16" s="4">
        <f>B11*B4</f>
        <v>5.3628001202525031</v>
      </c>
      <c r="C16" s="1" t="s">
        <v>204</v>
      </c>
      <c r="D16" s="1" t="s">
        <v>205</v>
      </c>
      <c r="E16" s="1" t="s">
        <v>206</v>
      </c>
      <c r="F16" s="1"/>
    </row>
    <row r="17" spans="1:6">
      <c r="A17" s="1" t="s">
        <v>207</v>
      </c>
      <c r="B17" s="4">
        <f>B16/SQRT(3)</f>
        <v>3.0962140930379403</v>
      </c>
      <c r="C17" s="1" t="s">
        <v>204</v>
      </c>
      <c r="D17" s="1" t="s">
        <v>208</v>
      </c>
      <c r="E17" s="1" t="s">
        <v>209</v>
      </c>
      <c r="F17" s="1"/>
    </row>
    <row r="18" spans="1:6">
      <c r="A18" s="1" t="s">
        <v>210</v>
      </c>
      <c r="B18" s="4">
        <f>SQRT(2)*B17</f>
        <v>4.3787079623849676</v>
      </c>
      <c r="C18" s="1" t="s">
        <v>141</v>
      </c>
      <c r="D18" s="1" t="s">
        <v>211</v>
      </c>
      <c r="E18" s="1" t="s">
        <v>16</v>
      </c>
      <c r="F18" s="1"/>
    </row>
    <row r="19" spans="1:6">
      <c r="A19" s="1" t="s">
        <v>212</v>
      </c>
      <c r="B19" s="4">
        <f>B13*B7</f>
        <v>15.071020428058535</v>
      </c>
      <c r="C19" s="1" t="s">
        <v>141</v>
      </c>
      <c r="D19" s="1" t="s">
        <v>213</v>
      </c>
      <c r="E19" s="1" t="s">
        <v>16</v>
      </c>
      <c r="F19" s="1"/>
    </row>
    <row r="20" spans="1:6">
      <c r="A20" s="1" t="s">
        <v>214</v>
      </c>
      <c r="B20" s="4">
        <f>B14*B7</f>
        <v>22.983306152789268</v>
      </c>
      <c r="C20" s="1" t="s">
        <v>141</v>
      </c>
      <c r="D20" s="1" t="s">
        <v>215</v>
      </c>
      <c r="E20" s="1" t="s">
        <v>16</v>
      </c>
      <c r="F20" s="1"/>
    </row>
    <row r="21" spans="1:6">
      <c r="A21" s="1" t="s">
        <v>216</v>
      </c>
      <c r="B21" s="4">
        <f>B5*B15*B7</f>
        <v>1.855558956088569</v>
      </c>
      <c r="C21" s="1" t="s">
        <v>141</v>
      </c>
      <c r="D21" s="1" t="s">
        <v>217</v>
      </c>
      <c r="E21" s="1" t="s">
        <v>218</v>
      </c>
      <c r="F21" s="1" t="s">
        <v>219</v>
      </c>
    </row>
    <row r="22" spans="1:6">
      <c r="A22" s="1" t="s">
        <v>220</v>
      </c>
      <c r="B22" s="4">
        <f>SQRT(B21^2+(B18+B19)^2)</f>
        <v>19.538040677139161</v>
      </c>
      <c r="C22" s="1" t="s">
        <v>141</v>
      </c>
      <c r="D22" s="1" t="s">
        <v>221</v>
      </c>
      <c r="E22" s="1" t="s">
        <v>218</v>
      </c>
      <c r="F22" s="1" t="s">
        <v>222</v>
      </c>
    </row>
    <row r="23" spans="1:6">
      <c r="A23" s="1" t="s">
        <v>223</v>
      </c>
      <c r="B23" s="4">
        <f>SQRT(B21^2+(B18+B20)^2)</f>
        <v>27.424859443186115</v>
      </c>
      <c r="C23" s="1" t="s">
        <v>141</v>
      </c>
      <c r="D23" s="1" t="s">
        <v>224</v>
      </c>
      <c r="E23" s="1" t="s">
        <v>218</v>
      </c>
      <c r="F23" s="1" t="s">
        <v>225</v>
      </c>
    </row>
    <row r="24" spans="1:6">
      <c r="A24" s="1" t="s">
        <v>226</v>
      </c>
      <c r="B24" s="4">
        <f>SQRT(2)*B16</f>
        <v>7.5841446623571551</v>
      </c>
      <c r="C24" s="1" t="s">
        <v>24</v>
      </c>
      <c r="D24" s="1" t="s">
        <v>227</v>
      </c>
      <c r="E24" s="1" t="s">
        <v>228</v>
      </c>
      <c r="F24" s="1" t="s">
        <v>229</v>
      </c>
    </row>
    <row r="25" spans="1:6" ht="15">
      <c r="A25" s="21" t="s">
        <v>230</v>
      </c>
      <c r="B25" s="23">
        <f>SQRT(3)*B22</f>
        <v>33.840879133152455</v>
      </c>
      <c r="C25" s="1" t="s">
        <v>24</v>
      </c>
      <c r="D25" s="1" t="s">
        <v>231</v>
      </c>
      <c r="E25" s="1" t="s">
        <v>228</v>
      </c>
      <c r="F25" s="1" t="s">
        <v>232</v>
      </c>
    </row>
    <row r="26" spans="1:6">
      <c r="A26" s="1" t="s">
        <v>233</v>
      </c>
      <c r="B26" s="4">
        <f>SQRT(3)*B23</f>
        <v>47.501249946033461</v>
      </c>
      <c r="C26" s="1" t="s">
        <v>24</v>
      </c>
      <c r="D26" s="1" t="s">
        <v>234</v>
      </c>
      <c r="E26" s="1" t="s">
        <v>228</v>
      </c>
      <c r="F26" s="1" t="s">
        <v>235</v>
      </c>
    </row>
    <row r="27" spans="1:6">
      <c r="A27" s="1" t="s">
        <v>236</v>
      </c>
      <c r="B27" s="4">
        <f>B25*(1+Inputs!B12)</f>
        <v>37.224967046467704</v>
      </c>
      <c r="C27" s="1" t="s">
        <v>24</v>
      </c>
      <c r="D27" s="1" t="s">
        <v>237</v>
      </c>
      <c r="E27" s="1" t="s">
        <v>238</v>
      </c>
      <c r="F27" s="1" t="s">
        <v>239</v>
      </c>
    </row>
    <row r="28" spans="1:6">
      <c r="A28" s="1" t="s">
        <v>240</v>
      </c>
      <c r="B28" s="8">
        <f>B26*(1+Inputs!B12)</f>
        <v>52.251374940636808</v>
      </c>
      <c r="C28" s="1" t="s">
        <v>24</v>
      </c>
      <c r="D28" s="1" t="s">
        <v>241</v>
      </c>
      <c r="E28" s="1" t="s">
        <v>238</v>
      </c>
      <c r="F28" s="1" t="s">
        <v>242</v>
      </c>
    </row>
    <row r="29" spans="1:6">
      <c r="A29" s="1" t="s">
        <v>66</v>
      </c>
      <c r="B29" s="8">
        <f>Inputs!B15</f>
        <v>1.8741721854304636</v>
      </c>
      <c r="C29" s="1" t="s">
        <v>47</v>
      </c>
      <c r="D29" s="1" t="s">
        <v>243</v>
      </c>
      <c r="E29" s="1" t="s">
        <v>16</v>
      </c>
      <c r="F29" s="1" t="s">
        <v>244</v>
      </c>
    </row>
    <row r="30" spans="1:6">
      <c r="A30" s="1" t="s">
        <v>49</v>
      </c>
      <c r="B30" s="8">
        <f>B6*B29</f>
        <v>6.3810597519729431</v>
      </c>
      <c r="C30" s="1" t="s">
        <v>13</v>
      </c>
      <c r="D30" s="1" t="s">
        <v>245</v>
      </c>
      <c r="E30" s="1" t="s">
        <v>16</v>
      </c>
      <c r="F30" s="1" t="s">
        <v>246</v>
      </c>
    </row>
    <row r="31" spans="1:6">
      <c r="A31" s="1" t="s">
        <v>247</v>
      </c>
      <c r="B31" s="8">
        <f>SQRT(2)*B30</f>
        <v>9.0241812435532349</v>
      </c>
      <c r="C31" s="1" t="s">
        <v>173</v>
      </c>
      <c r="D31" s="1" t="s">
        <v>248</v>
      </c>
      <c r="E31" s="1" t="s">
        <v>16</v>
      </c>
      <c r="F31" s="1" t="s">
        <v>249</v>
      </c>
    </row>
    <row r="32" spans="1:6">
      <c r="A32" s="1" t="s">
        <v>250</v>
      </c>
      <c r="B32" s="8">
        <f>B13*B31</f>
        <v>28.245687292321623</v>
      </c>
      <c r="C32" s="1" t="s">
        <v>141</v>
      </c>
      <c r="D32" s="1" t="s">
        <v>251</v>
      </c>
      <c r="E32" s="1" t="s">
        <v>16</v>
      </c>
      <c r="F32" s="1" t="s">
        <v>252</v>
      </c>
    </row>
    <row r="33" spans="1:6" ht="15">
      <c r="A33" s="21" t="s">
        <v>54</v>
      </c>
      <c r="B33" s="17">
        <f>SQRT(3)*B32</f>
        <v>48.922965485003637</v>
      </c>
      <c r="C33" s="1" t="s">
        <v>24</v>
      </c>
      <c r="D33" s="1" t="s">
        <v>253</v>
      </c>
      <c r="E33" s="1" t="s">
        <v>228</v>
      </c>
      <c r="F33" s="1" t="s">
        <v>254</v>
      </c>
    </row>
    <row r="34" spans="1:6">
      <c r="A34" s="1" t="s">
        <v>60</v>
      </c>
      <c r="B34" s="8">
        <f>B33*(1+Inputs!B12)</f>
        <v>53.815262033504006</v>
      </c>
      <c r="C34" s="1" t="s">
        <v>24</v>
      </c>
      <c r="D34" s="1" t="s">
        <v>255</v>
      </c>
      <c r="E34" s="1" t="s">
        <v>238</v>
      </c>
      <c r="F34" s="1" t="s">
        <v>256</v>
      </c>
    </row>
    <row r="35" spans="1:6">
      <c r="A35" s="1" t="s">
        <v>257</v>
      </c>
      <c r="B35" s="1">
        <f>B5*B15*B31</f>
        <v>3.4776369839275829</v>
      </c>
      <c r="C35" s="1" t="s">
        <v>141</v>
      </c>
      <c r="D35" s="1" t="s">
        <v>258</v>
      </c>
      <c r="E35" s="1" t="s">
        <v>218</v>
      </c>
      <c r="F35" s="1" t="s">
        <v>259</v>
      </c>
    </row>
    <row r="36" spans="1:6">
      <c r="A36" s="1" t="s">
        <v>260</v>
      </c>
      <c r="B36" s="1">
        <f>B18+B32</f>
        <v>32.624395254706592</v>
      </c>
      <c r="C36" s="1" t="s">
        <v>141</v>
      </c>
      <c r="D36" s="1" t="s">
        <v>261</v>
      </c>
      <c r="E36" s="1" t="s">
        <v>218</v>
      </c>
      <c r="F36" s="1" t="s">
        <v>262</v>
      </c>
    </row>
    <row r="37" spans="1:6">
      <c r="A37" s="1" t="s">
        <v>263</v>
      </c>
      <c r="B37" s="1">
        <f>SQRT(B35^2 + B36^2)</f>
        <v>32.809223165556709</v>
      </c>
      <c r="C37" s="1" t="s">
        <v>141</v>
      </c>
      <c r="D37" s="1" t="s">
        <v>264</v>
      </c>
      <c r="E37" s="1" t="s">
        <v>265</v>
      </c>
      <c r="F37" s="1" t="s">
        <v>266</v>
      </c>
    </row>
    <row r="38" spans="1:6">
      <c r="A38" s="1" t="s">
        <v>267</v>
      </c>
      <c r="B38" s="1">
        <f>SQRT(3/2)*B37</f>
        <v>40.182927806357689</v>
      </c>
      <c r="C38" s="1" t="s">
        <v>204</v>
      </c>
      <c r="D38" s="1" t="s">
        <v>268</v>
      </c>
      <c r="E38" s="1" t="s">
        <v>265</v>
      </c>
      <c r="F38" s="1" t="s">
        <v>269</v>
      </c>
    </row>
    <row r="39" spans="1:6" ht="15">
      <c r="A39" s="21" t="s">
        <v>65</v>
      </c>
      <c r="B39" s="24">
        <f>SQRT(3)*B37</f>
        <v>56.827241479610009</v>
      </c>
      <c r="C39" s="1" t="s">
        <v>24</v>
      </c>
      <c r="D39" s="1" t="s">
        <v>270</v>
      </c>
      <c r="E39" s="1" t="s">
        <v>228</v>
      </c>
      <c r="F39" s="1" t="s">
        <v>232</v>
      </c>
    </row>
    <row r="40" spans="1:6">
      <c r="A40" s="1" t="s">
        <v>69</v>
      </c>
      <c r="B40" s="1">
        <f>B39*(1+Inputs!$B$12)</f>
        <v>62.509965627571013</v>
      </c>
      <c r="C40" s="1" t="s">
        <v>24</v>
      </c>
      <c r="D40" s="1" t="s">
        <v>271</v>
      </c>
      <c r="E40" s="1" t="s">
        <v>238</v>
      </c>
      <c r="F40" s="1" t="s">
        <v>272</v>
      </c>
    </row>
    <row r="41" spans="1:6">
      <c r="A41" s="1" t="s">
        <v>273</v>
      </c>
      <c r="B41" s="1"/>
      <c r="C41" s="1"/>
      <c r="D41" s="1"/>
      <c r="E41" s="1"/>
      <c r="F41" s="1"/>
    </row>
    <row r="42" spans="1:6">
      <c r="A42" s="1" t="s">
        <v>274</v>
      </c>
      <c r="B42" s="1">
        <f>B4</f>
        <v>1.0471975511965976</v>
      </c>
      <c r="C42" s="1" t="s">
        <v>167</v>
      </c>
      <c r="D42" s="1" t="s">
        <v>275</v>
      </c>
      <c r="E42" s="1" t="s">
        <v>16</v>
      </c>
      <c r="F42" s="1" t="s">
        <v>276</v>
      </c>
    </row>
    <row r="43" spans="1:6">
      <c r="A43" s="1" t="s">
        <v>277</v>
      </c>
      <c r="B43" s="1">
        <f>B42/Inputs!B18</f>
        <v>1.0471975511965976</v>
      </c>
      <c r="C43" s="1" t="s">
        <v>278</v>
      </c>
      <c r="D43" s="1" t="s">
        <v>279</v>
      </c>
      <c r="E43" s="1" t="s">
        <v>16</v>
      </c>
      <c r="F43" s="1" t="s">
        <v>280</v>
      </c>
    </row>
    <row r="44" spans="1:6">
      <c r="A44" s="1" t="s">
        <v>281</v>
      </c>
      <c r="B44" s="1">
        <f>Inputs!B17*B43</f>
        <v>3.1415926535897931</v>
      </c>
      <c r="C44" s="1" t="s">
        <v>21</v>
      </c>
      <c r="D44" s="1" t="s">
        <v>282</v>
      </c>
      <c r="E44" s="1" t="s">
        <v>265</v>
      </c>
      <c r="F44" s="1" t="s">
        <v>283</v>
      </c>
    </row>
    <row r="45" spans="1:6">
      <c r="A45" s="1" t="s">
        <v>284</v>
      </c>
      <c r="B45" s="1">
        <f>B44/Inputs!B7</f>
        <v>0.35418180987483577</v>
      </c>
      <c r="C45" s="1" t="s">
        <v>13</v>
      </c>
      <c r="D45" s="1" t="s">
        <v>285</v>
      </c>
      <c r="E45" s="1" t="s">
        <v>171</v>
      </c>
      <c r="F45" s="1" t="s">
        <v>286</v>
      </c>
    </row>
    <row r="46" spans="1:6">
      <c r="A46" s="1" t="s">
        <v>287</v>
      </c>
      <c r="B46" s="1">
        <f>SQRT(2)*B45</f>
        <v>0.50088871907084176</v>
      </c>
      <c r="C46" s="1" t="s">
        <v>173</v>
      </c>
      <c r="D46" s="1" t="s">
        <v>288</v>
      </c>
      <c r="E46" s="1" t="s">
        <v>16</v>
      </c>
      <c r="F46" s="1" t="s">
        <v>289</v>
      </c>
    </row>
    <row r="47" spans="1:6">
      <c r="A47" s="1" t="s">
        <v>290</v>
      </c>
      <c r="B47" s="1">
        <f>B44*B42</f>
        <v>3.2898681336964524</v>
      </c>
      <c r="C47" s="1" t="s">
        <v>91</v>
      </c>
      <c r="D47" s="1" t="s">
        <v>291</v>
      </c>
      <c r="E47" s="1" t="s">
        <v>16</v>
      </c>
      <c r="F47" s="1" t="s">
        <v>292</v>
      </c>
    </row>
    <row r="48" spans="1:6">
      <c r="A48" s="1" t="s">
        <v>293</v>
      </c>
      <c r="B48" s="1">
        <f>0.5*B44*B42</f>
        <v>1.6449340668482262</v>
      </c>
      <c r="C48" s="1" t="s">
        <v>91</v>
      </c>
      <c r="D48" s="1" t="s">
        <v>294</v>
      </c>
      <c r="E48" s="1" t="s">
        <v>265</v>
      </c>
      <c r="F48" s="1" t="s">
        <v>295</v>
      </c>
    </row>
    <row r="49" spans="1:6">
      <c r="A49" s="1" t="s">
        <v>296</v>
      </c>
      <c r="B49" s="1">
        <f>0.5*Inputs!B17*B42^2</f>
        <v>1.6449340668482262</v>
      </c>
      <c r="C49" s="1" t="s">
        <v>75</v>
      </c>
      <c r="D49" s="1" t="s">
        <v>297</v>
      </c>
      <c r="E49" s="1" t="s">
        <v>265</v>
      </c>
      <c r="F49" s="1" t="s">
        <v>298</v>
      </c>
    </row>
    <row r="50" spans="1:6">
      <c r="A50" s="1" t="s">
        <v>299</v>
      </c>
      <c r="B50" s="1">
        <f>3*B45^2*B13</f>
        <v>1.1779262442499523</v>
      </c>
      <c r="C50" s="1" t="s">
        <v>91</v>
      </c>
      <c r="D50" s="1" t="s">
        <v>300</v>
      </c>
      <c r="E50" s="1" t="s">
        <v>16</v>
      </c>
      <c r="F50" s="1" t="s">
        <v>301</v>
      </c>
    </row>
    <row r="51" spans="1:6">
      <c r="A51" s="1" t="s">
        <v>302</v>
      </c>
      <c r="B51" s="1">
        <f>B50*Inputs!B18</f>
        <v>1.1779262442499523</v>
      </c>
      <c r="C51" s="1" t="s">
        <v>75</v>
      </c>
      <c r="D51" s="1" t="s">
        <v>303</v>
      </c>
      <c r="E51" s="1" t="s">
        <v>16</v>
      </c>
      <c r="F51" s="1" t="s">
        <v>304</v>
      </c>
    </row>
    <row r="52" spans="1:6">
      <c r="A52" s="1" t="s">
        <v>305</v>
      </c>
      <c r="B52" s="1">
        <f>B48-B50</f>
        <v>0.46700782259827389</v>
      </c>
      <c r="C52" s="1" t="s">
        <v>91</v>
      </c>
      <c r="D52" s="1" t="s">
        <v>306</v>
      </c>
      <c r="E52" s="1" t="s">
        <v>16</v>
      </c>
      <c r="F52" s="1" t="s">
        <v>307</v>
      </c>
    </row>
    <row r="53" spans="1:6">
      <c r="A53" s="1" t="s">
        <v>308</v>
      </c>
      <c r="B53" s="1">
        <f>MAX(B49-B51,0)</f>
        <v>0.46700782259827389</v>
      </c>
      <c r="C53" s="1" t="s">
        <v>75</v>
      </c>
      <c r="D53" s="1" t="s">
        <v>309</v>
      </c>
      <c r="E53" s="1" t="s">
        <v>265</v>
      </c>
      <c r="F53" s="1" t="s">
        <v>310</v>
      </c>
    </row>
    <row r="54" spans="1:6">
      <c r="A54" s="1" t="s">
        <v>311</v>
      </c>
      <c r="B54" s="1">
        <f>IF(Inputs!B19&gt;0,SQRT(Inputs!B20^2+2*B49/Inputs!B19),NA())</f>
        <v>59.651673803436175</v>
      </c>
      <c r="C54" s="1" t="s">
        <v>103</v>
      </c>
      <c r="D54" s="1" t="s">
        <v>312</v>
      </c>
      <c r="E54" s="1" t="s">
        <v>265</v>
      </c>
      <c r="F54" s="1" t="s">
        <v>313</v>
      </c>
    </row>
    <row r="55" spans="1:6">
      <c r="A55" s="1" t="s">
        <v>314</v>
      </c>
      <c r="B55" s="1">
        <f>IF(Inputs!B19&gt;0,SQRT(Inputs!B20^2+2*B53/Inputs!B19),NA())</f>
        <v>57.64318640309159</v>
      </c>
      <c r="C55" s="1" t="s">
        <v>103</v>
      </c>
      <c r="D55" s="1" t="s">
        <v>315</v>
      </c>
      <c r="E55" s="1" t="s">
        <v>265</v>
      </c>
      <c r="F55" s="1" t="s">
        <v>316</v>
      </c>
    </row>
    <row r="56" spans="1:6">
      <c r="A56" s="1" t="s">
        <v>317</v>
      </c>
      <c r="B56" s="1">
        <f>B54-Inputs!B20</f>
        <v>2.8244323238261657</v>
      </c>
      <c r="C56" s="1" t="s">
        <v>103</v>
      </c>
      <c r="D56" s="1" t="s">
        <v>318</v>
      </c>
      <c r="E56" s="1" t="s">
        <v>16</v>
      </c>
      <c r="F56" s="1" t="s">
        <v>114</v>
      </c>
    </row>
    <row r="57" spans="1:6">
      <c r="A57" s="1" t="s">
        <v>319</v>
      </c>
      <c r="B57" s="1">
        <f>B55-Inputs!B20</f>
        <v>0.81594492348158099</v>
      </c>
      <c r="C57" s="1" t="s">
        <v>103</v>
      </c>
      <c r="D57" s="1" t="s">
        <v>320</v>
      </c>
      <c r="E57" s="1" t="s">
        <v>265</v>
      </c>
      <c r="F57" s="1" t="s">
        <v>321</v>
      </c>
    </row>
    <row r="58" spans="1:6">
      <c r="A58" s="1" t="s">
        <v>122</v>
      </c>
      <c r="B58" s="1" t="str">
        <f>IF(B52&gt;0,"DCバス上昇あり","銅損が上回るためDCバス上昇なし")</f>
        <v>DCバス上昇あり</v>
      </c>
      <c r="C58" s="1" t="s">
        <v>16</v>
      </c>
      <c r="D58" s="1" t="s">
        <v>322</v>
      </c>
      <c r="E58" s="1" t="s">
        <v>265</v>
      </c>
      <c r="F58" s="1"/>
    </row>
    <row r="59" spans="1:6">
      <c r="A59" s="1"/>
      <c r="B59" s="1"/>
      <c r="C59" s="1"/>
      <c r="D59" s="1"/>
      <c r="E59" s="1"/>
      <c r="F59" s="1"/>
    </row>
    <row r="60" spans="1:6">
      <c r="A60" s="1" t="s">
        <v>323</v>
      </c>
      <c r="B60" s="1">
        <f>IF(Inputs!B9&gt;0,(Inputs!B10/1000)/Inputs!B9,NA())</f>
        <v>3.6741214057507987E-3</v>
      </c>
      <c r="C60" s="1" t="s">
        <v>83</v>
      </c>
      <c r="D60" s="1" t="s">
        <v>324</v>
      </c>
      <c r="E60" s="1" t="s">
        <v>325</v>
      </c>
      <c r="F60" s="1" t="s">
        <v>326</v>
      </c>
    </row>
    <row r="61" spans="1:6">
      <c r="A61" s="1" t="s">
        <v>327</v>
      </c>
      <c r="B61" s="1">
        <f>IF(ISNUMBER(B60),1/(2*PI()*B60),NA())</f>
        <v>43.317823641533252</v>
      </c>
      <c r="C61" s="1" t="s">
        <v>111</v>
      </c>
      <c r="D61" s="1" t="s">
        <v>328</v>
      </c>
      <c r="E61" s="1" t="s">
        <v>16</v>
      </c>
      <c r="F61" s="1" t="s">
        <v>329</v>
      </c>
    </row>
    <row r="62" spans="1:6">
      <c r="A62" s="1" t="s">
        <v>330</v>
      </c>
      <c r="B62" s="1">
        <f>Inputs!B23/1000</f>
        <v>0.01</v>
      </c>
      <c r="C62" s="1" t="s">
        <v>83</v>
      </c>
      <c r="D62" s="1" t="s">
        <v>331</v>
      </c>
      <c r="E62" s="1" t="s">
        <v>16</v>
      </c>
      <c r="F62" s="1" t="s">
        <v>332</v>
      </c>
    </row>
    <row r="63" spans="1:6">
      <c r="A63" s="1" t="s">
        <v>333</v>
      </c>
      <c r="B63" s="1">
        <f>B15*B31/B62</f>
        <v>10.377808430086221</v>
      </c>
      <c r="C63" s="1" t="s">
        <v>141</v>
      </c>
      <c r="D63" s="1" t="s">
        <v>334</v>
      </c>
      <c r="E63" s="1" t="s">
        <v>335</v>
      </c>
      <c r="F63" s="1" t="s">
        <v>336</v>
      </c>
    </row>
    <row r="64" spans="1:6">
      <c r="A64" s="1" t="s">
        <v>337</v>
      </c>
      <c r="B64" s="1">
        <f>B32+B63</f>
        <v>38.623495722407846</v>
      </c>
      <c r="C64" s="1" t="s">
        <v>141</v>
      </c>
      <c r="D64" s="1" t="s">
        <v>338</v>
      </c>
      <c r="E64" s="1" t="s">
        <v>335</v>
      </c>
      <c r="F64" s="1" t="s">
        <v>339</v>
      </c>
    </row>
    <row r="65" spans="1:6" ht="15">
      <c r="A65" s="21" t="s">
        <v>340</v>
      </c>
      <c r="B65" s="21">
        <f>SQRT(3)*B64</f>
        <v>66.897856957129576</v>
      </c>
      <c r="C65" s="1" t="s">
        <v>24</v>
      </c>
      <c r="D65" s="1" t="s">
        <v>341</v>
      </c>
      <c r="E65" s="1" t="s">
        <v>228</v>
      </c>
      <c r="F65" s="1" t="s">
        <v>342</v>
      </c>
    </row>
    <row r="66" spans="1:6">
      <c r="A66" s="1" t="s">
        <v>343</v>
      </c>
      <c r="B66" s="1">
        <f>B65*(1+Inputs!B12)</f>
        <v>73.587642652842547</v>
      </c>
      <c r="C66" s="1" t="s">
        <v>24</v>
      </c>
      <c r="D66" s="1" t="s">
        <v>344</v>
      </c>
      <c r="E66" s="1" t="s">
        <v>238</v>
      </c>
      <c r="F66" s="1" t="s">
        <v>345</v>
      </c>
    </row>
    <row r="67" spans="1:6">
      <c r="A67" s="1" t="s">
        <v>346</v>
      </c>
      <c r="B67" s="1">
        <f>Inputs!B24</f>
        <v>1000</v>
      </c>
      <c r="C67" s="1" t="s">
        <v>111</v>
      </c>
      <c r="D67" s="1" t="s">
        <v>347</v>
      </c>
      <c r="E67" s="1" t="s">
        <v>16</v>
      </c>
      <c r="F67" s="1" t="s">
        <v>348</v>
      </c>
    </row>
    <row r="68" spans="1:6">
      <c r="A68" s="1" t="s">
        <v>349</v>
      </c>
      <c r="B68" s="1">
        <f>B31*Inputs!B25</f>
        <v>0.90241812435532354</v>
      </c>
      <c r="C68" s="1" t="s">
        <v>173</v>
      </c>
      <c r="D68" s="1" t="s">
        <v>350</v>
      </c>
      <c r="E68" s="1" t="s">
        <v>16</v>
      </c>
      <c r="F68" s="1" t="s">
        <v>351</v>
      </c>
    </row>
    <row r="69" spans="1:6">
      <c r="A69" s="1" t="s">
        <v>352</v>
      </c>
      <c r="B69" s="1">
        <f>B15*2*PI()*B67*B68</f>
        <v>65.205693448642194</v>
      </c>
      <c r="C69" s="1" t="s">
        <v>141</v>
      </c>
      <c r="D69" s="1" t="s">
        <v>353</v>
      </c>
      <c r="E69" s="1" t="s">
        <v>354</v>
      </c>
      <c r="F69" s="1" t="s">
        <v>355</v>
      </c>
    </row>
    <row r="70" spans="1:6" ht="27.75">
      <c r="A70" s="1" t="s">
        <v>5</v>
      </c>
      <c r="B70" s="14" t="s">
        <v>451</v>
      </c>
      <c r="C70" s="1" t="s">
        <v>16</v>
      </c>
      <c r="D70" s="1" t="s">
        <v>356</v>
      </c>
      <c r="E70" s="1" t="s">
        <v>16</v>
      </c>
      <c r="F70" s="1" t="s">
        <v>357</v>
      </c>
    </row>
    <row r="71" spans="1:6">
      <c r="A71" s="1" t="s">
        <v>124</v>
      </c>
      <c r="B71" s="12">
        <f>Inputs!B27</f>
        <v>75</v>
      </c>
      <c r="C71" s="1" t="s">
        <v>24</v>
      </c>
      <c r="D71" s="1" t="s">
        <v>358</v>
      </c>
      <c r="E71" s="1" t="s">
        <v>16</v>
      </c>
      <c r="F71" s="1" t="s">
        <v>359</v>
      </c>
    </row>
    <row r="72" spans="1:6">
      <c r="A72" s="1" t="s">
        <v>126</v>
      </c>
      <c r="B72" s="12">
        <f>Inputs!B28</f>
        <v>80</v>
      </c>
      <c r="C72" s="1" t="s">
        <v>24</v>
      </c>
      <c r="D72" s="1" t="s">
        <v>360</v>
      </c>
      <c r="E72" s="1" t="s">
        <v>16</v>
      </c>
      <c r="F72" s="1" t="s">
        <v>359</v>
      </c>
    </row>
    <row r="73" spans="1:6">
      <c r="A73" s="1" t="s">
        <v>361</v>
      </c>
      <c r="B73" s="8">
        <f>MAX(B47-B50,0)</f>
        <v>2.1119418894465003</v>
      </c>
      <c r="C73" s="1" t="s">
        <v>91</v>
      </c>
      <c r="D73" s="1" t="s">
        <v>362</v>
      </c>
      <c r="E73" s="1" t="s">
        <v>363</v>
      </c>
      <c r="F73" s="1" t="s">
        <v>364</v>
      </c>
    </row>
    <row r="74" spans="1:6">
      <c r="A74" s="1" t="s">
        <v>365</v>
      </c>
      <c r="B74" s="8">
        <f>MAX(0,0.5*Inputs!B19*(B71^2-Inputs!B20^2))</f>
        <v>11.978323129090459</v>
      </c>
      <c r="C74" s="1" t="s">
        <v>75</v>
      </c>
      <c r="D74" s="1" t="s">
        <v>146</v>
      </c>
      <c r="E74" s="1" t="s">
        <v>16</v>
      </c>
      <c r="F74" s="1" t="s">
        <v>366</v>
      </c>
    </row>
    <row r="75" spans="1:6">
      <c r="A75" s="1" t="s">
        <v>367</v>
      </c>
      <c r="B75" s="8">
        <f>MAX(B53-B74,0)</f>
        <v>0</v>
      </c>
      <c r="C75" s="1" t="s">
        <v>75</v>
      </c>
      <c r="D75" s="1" t="s">
        <v>148</v>
      </c>
      <c r="E75" s="1" t="s">
        <v>368</v>
      </c>
      <c r="F75" s="1" t="s">
        <v>369</v>
      </c>
    </row>
    <row r="76" spans="1:6">
      <c r="A76" s="1" t="s">
        <v>149</v>
      </c>
      <c r="B76" s="8" t="str">
        <f>IF(B53&lt;=0,"動作なし",IF(B55&gt;=B71,"動作見込みあり","動作なし"))</f>
        <v>動作なし</v>
      </c>
      <c r="C76" s="1" t="s">
        <v>16</v>
      </c>
      <c r="D76" s="1" t="s">
        <v>370</v>
      </c>
      <c r="E76" s="1" t="s">
        <v>16</v>
      </c>
      <c r="F76" s="1" t="s">
        <v>371</v>
      </c>
    </row>
    <row r="77" spans="1:6">
      <c r="A77" s="1" t="s">
        <v>151</v>
      </c>
      <c r="B77" s="8" t="str">
        <f>IF(B53&lt;=0,"不要",IF(B55&gt;=B71,"必要","不要"))</f>
        <v>不要</v>
      </c>
      <c r="C77" s="1" t="s">
        <v>16</v>
      </c>
      <c r="D77" s="1" t="s">
        <v>372</v>
      </c>
      <c r="E77" s="1" t="s">
        <v>16</v>
      </c>
      <c r="F77" s="1" t="s">
        <v>373</v>
      </c>
    </row>
    <row r="78" spans="1:6">
      <c r="A78" s="1" t="s">
        <v>153</v>
      </c>
      <c r="B78" s="8">
        <f>IF(B73&gt;0,B71^2/B73,NA())</f>
        <v>2663.4255554608112</v>
      </c>
      <c r="C78" s="1" t="s">
        <v>37</v>
      </c>
      <c r="D78" s="1" t="s">
        <v>374</v>
      </c>
      <c r="E78" s="1" t="s">
        <v>375</v>
      </c>
      <c r="F78" s="1" t="s">
        <v>376</v>
      </c>
    </row>
    <row r="79" spans="1:6">
      <c r="A79" s="1" t="s">
        <v>155</v>
      </c>
      <c r="B79" s="8">
        <f>MAX(B52,0)</f>
        <v>0.46700782259827389</v>
      </c>
      <c r="C79" s="1" t="s">
        <v>91</v>
      </c>
      <c r="D79" s="1" t="s">
        <v>156</v>
      </c>
      <c r="E79" s="1" t="s">
        <v>16</v>
      </c>
      <c r="F79" s="1" t="s">
        <v>377</v>
      </c>
    </row>
    <row r="80" spans="1:6">
      <c r="A80" s="1" t="s">
        <v>157</v>
      </c>
      <c r="B80" s="8">
        <f>B75</f>
        <v>0</v>
      </c>
      <c r="C80" s="1" t="s">
        <v>75</v>
      </c>
      <c r="D80" s="1" t="s">
        <v>378</v>
      </c>
      <c r="E80" s="1" t="s">
        <v>16</v>
      </c>
      <c r="F80" s="1" t="s">
        <v>379</v>
      </c>
    </row>
    <row r="81" spans="1:6">
      <c r="A81" s="1" t="s">
        <v>159</v>
      </c>
      <c r="B81" s="1" t="str">
        <f>IF(B55&gt;B72,"上限超過",IF(B55&gt;=B71,"チョッパ領域内","上限内"))</f>
        <v>上限内</v>
      </c>
      <c r="C81" s="1" t="s">
        <v>16</v>
      </c>
      <c r="D81" s="1" t="s">
        <v>380</v>
      </c>
      <c r="E81" s="1" t="s">
        <v>16</v>
      </c>
      <c r="F81" s="1" t="s">
        <v>381</v>
      </c>
    </row>
  </sheetData>
  <mergeCells count="1">
    <mergeCell ref="A1:F1"/>
  </mergeCells>
  <phoneticPr fontId="4"/>
  <conditionalFormatting sqref="B23:B27">
    <cfRule type="dataBar" priority="1">
      <dataBar>
        <cfvo type="min"/>
        <cfvo type="max"/>
        <color rgb="FFA02B93"/>
      </dataBar>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2"/>
  <sheetViews>
    <sheetView workbookViewId="0">
      <selection activeCell="A19" sqref="A19"/>
    </sheetView>
  </sheetViews>
  <sheetFormatPr defaultRowHeight="14.25"/>
  <cols>
    <col min="1" max="1" width="22" customWidth="1"/>
    <col min="2" max="2" width="90" customWidth="1"/>
  </cols>
  <sheetData>
    <row r="1" spans="1:2" ht="34.15" customHeight="1">
      <c r="A1" s="16" t="s">
        <v>382</v>
      </c>
      <c r="B1" s="16"/>
    </row>
    <row r="2" spans="1:2">
      <c r="A2" s="1"/>
      <c r="B2" s="1"/>
    </row>
    <row r="3" spans="1:2" ht="17.100000000000001" customHeight="1">
      <c r="A3" s="2" t="s">
        <v>383</v>
      </c>
      <c r="B3" s="2" t="s">
        <v>384</v>
      </c>
    </row>
    <row r="4" spans="1:2" ht="17.100000000000001" customHeight="1">
      <c r="A4" s="1" t="s">
        <v>385</v>
      </c>
      <c r="B4" s="1" t="s">
        <v>386</v>
      </c>
    </row>
    <row r="5" spans="1:2" ht="42.75">
      <c r="A5" s="1" t="s">
        <v>387</v>
      </c>
      <c r="B5" s="1" t="s">
        <v>388</v>
      </c>
    </row>
    <row r="6" spans="1:2" ht="28.5">
      <c r="A6" s="1" t="s">
        <v>389</v>
      </c>
      <c r="B6" s="1" t="s">
        <v>390</v>
      </c>
    </row>
    <row r="7" spans="1:2">
      <c r="A7" s="1" t="s">
        <v>391</v>
      </c>
      <c r="B7" s="1" t="s">
        <v>392</v>
      </c>
    </row>
    <row r="8" spans="1:2">
      <c r="A8" s="1" t="s">
        <v>393</v>
      </c>
      <c r="B8" s="1" t="s">
        <v>394</v>
      </c>
    </row>
    <row r="9" spans="1:2" ht="28.5">
      <c r="A9" s="1" t="s">
        <v>395</v>
      </c>
      <c r="B9" s="1" t="s">
        <v>396</v>
      </c>
    </row>
    <row r="10" spans="1:2" ht="28.5">
      <c r="A10" s="1" t="s">
        <v>397</v>
      </c>
      <c r="B10" s="1" t="s">
        <v>398</v>
      </c>
    </row>
    <row r="11" spans="1:2" ht="28.5">
      <c r="A11" s="1" t="s">
        <v>399</v>
      </c>
      <c r="B11" s="1" t="s">
        <v>400</v>
      </c>
    </row>
    <row r="12" spans="1:2">
      <c r="A12" s="1" t="s">
        <v>401</v>
      </c>
      <c r="B12" s="1" t="s">
        <v>402</v>
      </c>
    </row>
    <row r="13" spans="1:2" ht="28.5">
      <c r="A13" s="1" t="s">
        <v>403</v>
      </c>
      <c r="B13" s="1" t="s">
        <v>404</v>
      </c>
    </row>
    <row r="14" spans="1:2" ht="28.5">
      <c r="A14" s="1" t="s">
        <v>405</v>
      </c>
      <c r="B14" s="1" t="s">
        <v>406</v>
      </c>
    </row>
    <row r="15" spans="1:2" ht="28.5">
      <c r="A15" s="1" t="s">
        <v>66</v>
      </c>
      <c r="B15" s="1" t="s">
        <v>407</v>
      </c>
    </row>
    <row r="16" spans="1:2" ht="28.5">
      <c r="A16" s="1" t="s">
        <v>408</v>
      </c>
      <c r="B16" s="1" t="s">
        <v>409</v>
      </c>
    </row>
    <row r="17" spans="1:2" ht="28.5">
      <c r="A17" s="1" t="s">
        <v>410</v>
      </c>
      <c r="B17" s="1" t="s">
        <v>411</v>
      </c>
    </row>
    <row r="18" spans="1:2" ht="28.5">
      <c r="A18" s="1" t="s">
        <v>412</v>
      </c>
      <c r="B18" s="1" t="s">
        <v>413</v>
      </c>
    </row>
    <row r="19" spans="1:2" ht="28.5">
      <c r="A19" s="1" t="s">
        <v>414</v>
      </c>
      <c r="B19" s="1" t="s">
        <v>415</v>
      </c>
    </row>
    <row r="20" spans="1:2">
      <c r="A20" s="1" t="s">
        <v>416</v>
      </c>
      <c r="B20" s="1" t="s">
        <v>417</v>
      </c>
    </row>
    <row r="21" spans="1:2">
      <c r="A21" s="1" t="s">
        <v>85</v>
      </c>
      <c r="B21" s="1" t="s">
        <v>418</v>
      </c>
    </row>
    <row r="22" spans="1:2">
      <c r="A22" s="1" t="s">
        <v>74</v>
      </c>
      <c r="B22" s="1" t="s">
        <v>419</v>
      </c>
    </row>
    <row r="23" spans="1:2">
      <c r="A23" s="1" t="s">
        <v>90</v>
      </c>
      <c r="B23" s="1" t="s">
        <v>420</v>
      </c>
    </row>
    <row r="24" spans="1:2" ht="28.5">
      <c r="A24" s="1" t="s">
        <v>95</v>
      </c>
      <c r="B24" s="1" t="s">
        <v>421</v>
      </c>
    </row>
    <row r="25" spans="1:2" ht="28.5">
      <c r="A25" s="1" t="s">
        <v>100</v>
      </c>
      <c r="B25" s="1" t="s">
        <v>422</v>
      </c>
    </row>
    <row r="26" spans="1:2" ht="28.5">
      <c r="A26" s="1" t="s">
        <v>423</v>
      </c>
      <c r="B26" s="1" t="s">
        <v>424</v>
      </c>
    </row>
    <row r="27" spans="1:2" ht="28.5">
      <c r="A27" s="1" t="s">
        <v>122</v>
      </c>
      <c r="B27" s="1" t="s">
        <v>425</v>
      </c>
    </row>
    <row r="28" spans="1:2" ht="28.5">
      <c r="A28" s="1" t="s">
        <v>426</v>
      </c>
      <c r="B28" s="1" t="s">
        <v>427</v>
      </c>
    </row>
    <row r="29" spans="1:2" ht="42.75">
      <c r="A29" s="1" t="s">
        <v>428</v>
      </c>
      <c r="B29" s="1" t="s">
        <v>429</v>
      </c>
    </row>
    <row r="30" spans="1:2" ht="28.5">
      <c r="A30" s="1" t="s">
        <v>430</v>
      </c>
      <c r="B30" s="1" t="s">
        <v>431</v>
      </c>
    </row>
    <row r="31" spans="1:2" ht="28.5">
      <c r="A31" s="1" t="s">
        <v>432</v>
      </c>
      <c r="B31" s="1" t="s">
        <v>433</v>
      </c>
    </row>
    <row r="32" spans="1:2" ht="28.5">
      <c r="A32" s="1" t="s">
        <v>434</v>
      </c>
      <c r="B32" s="1" t="s">
        <v>435</v>
      </c>
    </row>
    <row r="33" spans="1:2" ht="42.75">
      <c r="A33" s="1" t="s">
        <v>436</v>
      </c>
      <c r="B33" s="1" t="s">
        <v>437</v>
      </c>
    </row>
    <row r="34" spans="1:2" ht="28.5">
      <c r="A34" s="1" t="s">
        <v>438</v>
      </c>
      <c r="B34" s="1" t="s">
        <v>439</v>
      </c>
    </row>
    <row r="35" spans="1:2" ht="28.5">
      <c r="A35" s="1" t="s">
        <v>440</v>
      </c>
      <c r="B35" s="1" t="s">
        <v>441</v>
      </c>
    </row>
    <row r="36" spans="1:2" ht="28.5">
      <c r="A36" s="1" t="s">
        <v>442</v>
      </c>
      <c r="B36" s="1" t="s">
        <v>443</v>
      </c>
    </row>
    <row r="37" spans="1:2" ht="28.5">
      <c r="A37" s="1" t="s">
        <v>145</v>
      </c>
      <c r="B37" s="1" t="s">
        <v>444</v>
      </c>
    </row>
    <row r="38" spans="1:2" ht="28.5">
      <c r="A38" s="1" t="s">
        <v>147</v>
      </c>
      <c r="B38" s="1" t="s">
        <v>445</v>
      </c>
    </row>
    <row r="39" spans="1:2">
      <c r="A39" s="1" t="s">
        <v>149</v>
      </c>
      <c r="B39" s="1" t="s">
        <v>446</v>
      </c>
    </row>
    <row r="40" spans="1:2" ht="28.5">
      <c r="A40" s="1" t="s">
        <v>151</v>
      </c>
      <c r="B40" s="1" t="s">
        <v>447</v>
      </c>
    </row>
    <row r="41" spans="1:2" ht="42.75">
      <c r="A41" s="1" t="s">
        <v>448</v>
      </c>
      <c r="B41" s="1" t="s">
        <v>449</v>
      </c>
    </row>
    <row r="42" spans="1:2" ht="28.5">
      <c r="A42" s="1" t="s">
        <v>159</v>
      </c>
      <c r="B42" s="1" t="s">
        <v>450</v>
      </c>
    </row>
  </sheetData>
  <mergeCells count="1">
    <mergeCell ref="A1:B1"/>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Inputs</vt:lpstr>
      <vt:lpstr>Calculations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一裕 向井</cp:lastModifiedBy>
  <dcterms:modified xsi:type="dcterms:W3CDTF">2026-04-22T11:16:04Z</dcterms:modified>
</cp:coreProperties>
</file>