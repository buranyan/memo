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82e5527a8d4b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54e516a12df847a8"/>
    <x:sheet xmlns:r="http://schemas.openxmlformats.org/officeDocument/2006/relationships" name="Calculations" sheetId="2" r:id="R2e8aa5acc6dd48cb"/>
    <x:sheet xmlns:r="http://schemas.openxmlformats.org/officeDocument/2006/relationships" name="Notes" sheetId="3" r:id="R02ee11b7298f46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0"/>
    <x:numFmt numFmtId="202" formatCode="0.0%"/>
  </x:numFmts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12344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AF2F8"/>
      </x:patternFill>
    </x:fill>
    <x:fill>
      <x:patternFill patternType="solid">
        <x:fgColor rgb="FFF7E6"/>
      </x:patternFill>
    </x:fill>
    <x:fill>
      <x:patternFill patternType="solid">
        <x:fgColor rgb="F5F5F5"/>
      </x:patternFill>
    </x:fill>
    <x:fill>
      <x:patternFill patternType="solid">
        <x:fgColor rgb="F4FBF1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horizontal="center"/>
    </x:xf>
    <x:xf numFmtId="201" fontId="0" fillId="4" borderId="0" xfId="0" applyNumberFormat="1" applyFont="1" applyFill="1" applyBorder="1" applyAlignment="1">
      <x:alignment horizontal="center"/>
    </x:xf>
    <x:xf numFmtId="202" fontId="0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201" fontId="0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1ad29396074dc3" /><Relationship Type="http://schemas.openxmlformats.org/officeDocument/2006/relationships/theme" Target="/xl/theme/theme1.xml" Id="R1db4e94464fc4af0" /><Relationship Type="http://schemas.openxmlformats.org/officeDocument/2006/relationships/sharedStrings" Target="/xl/sharedStrings.xml" Id="R6bf6889092704cdc" /><Relationship Type="http://schemas.openxmlformats.org/officeDocument/2006/relationships/worksheet" Target="/xl/worksheets/sheet1.xml" Id="R54e516a12df847a8" /><Relationship Type="http://schemas.openxmlformats.org/officeDocument/2006/relationships/worksheet" Target="/xl/worksheets/sheet2.xml" Id="R2e8aa5acc6dd48cb" /><Relationship Type="http://schemas.openxmlformats.org/officeDocument/2006/relationships/worksheet" Target="/xl/worksheets/sheet3.xml" Id="R02ee11b7298f46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8" hidden="0" customWidth="1"/>
    <x:col min="4" max="4" width="10" hidden="0" customWidth="1"/>
    <x:col min="5" max="5" width="38" hidden="0" customWidth="1"/>
    <x:col min="7" max="7" width="24" hidden="0" customWidth="1"/>
    <x:col min="8" max="8" width="14" hidden="0" customWidth="1"/>
    <x:col min="9" max="9" width="12" hidden="0" customWidth="1"/>
    <x:col min="10" max="10" width="34" hidden="0" customWidth="1"/>
  </x:cols>
  <x:sheetData>
    <x:row r="1" ht="24" customHeight="1">
      <x:c r="A1" s="4" t="str">
        <x:v>Kollmorgen DD Motor / SVPWM Minimum DC Bus Voltage Calculator</x:v>
      </x:c>
      <x:c r="B1" s="4"/>
      <x:c r="C1" s="4"/>
      <x:c r="D1" s="4"/>
      <x:c r="E1" s="4"/>
      <x:c r="G1" s="4" t="str">
        <x:v>Quick summary</x:v>
      </x:c>
      <x:c r="H1" s="4"/>
      <x:c r="I1" s="4"/>
      <x:c r="J1" s="4"/>
    </x:row>
    <x:row r="2">
      <x:c r="A2" s="8"/>
      <x:c r="B2" s="8"/>
      <x:c r="C2" s="8"/>
      <x:c r="D2" s="8"/>
      <x:c r="E2" s="8"/>
      <x:c r="G2" s="8"/>
      <x:c r="H2" s="8"/>
      <x:c r="I2" s="8"/>
      <x:c r="J2" s="8"/>
    </x:row>
    <x:row r="3">
      <x:c r="A3" s="7" t="str">
        <x:v>Input / setting</x:v>
      </x:c>
      <x:c r="B3" s="7" t="str">
        <x:v>Value</x:v>
      </x:c>
      <x:c r="C3" s="7" t="str">
        <x:v>Unit</x:v>
      </x:c>
      <x:c r="D3" s="7" t="str">
        <x:v>Editable?</x:v>
      </x:c>
      <x:c r="E3" s="7" t="str">
        <x:v>Notes</x:v>
      </x:c>
      <x:c r="G3" s="7" t="str">
        <x:v>Key result</x:v>
      </x:c>
      <x:c r="H3" s="7" t="str">
        <x:v>Value</x:v>
      </x:c>
      <x:c r="I3" s="7" t="str">
        <x:v>Unit</x:v>
      </x:c>
      <x:c r="J3" s="7" t="str">
        <x:v>Meaning</x:v>
      </x:c>
    </x:row>
    <x:row r="4">
      <x:c r="A4" s="13" t="str">
        <x:v>Speed n</x:v>
      </x:c>
      <x:c r="B4" s="14" t="n">
        <x:v>10</x:v>
      </x:c>
      <x:c r="C4" s="8" t="str">
        <x:v>rpm</x:v>
      </x:c>
      <x:c r="D4" s="8" t="str">
        <x:v>Yes</x:v>
      </x:c>
      <x:c r="E4" s="13" t="str">
        <x:v>Mechanical speed</x:v>
      </x:c>
      <x:c r="G4" s="17" t="str">
        <x:v>I_rms</x:v>
      </x:c>
      <x:c r="H4" s="18" t="n">
        <x:f>Calculations!B6</x:f>
        <x:v>3.4047350620067647</x:v>
      </x:c>
      <x:c r="I4" s="8" t="str">
        <x:v>Arms</x:v>
      </x:c>
      <x:c r="J4" s="8" t="str">
        <x:v>Required RMS current from torque and Kt</x:v>
      </x:c>
    </x:row>
    <x:row r="5">
      <x:c r="A5" s="13" t="str">
        <x:v>Pole pairs p</x:v>
      </x:c>
      <x:c r="B5" s="14" t="n">
        <x:v>32</x:v>
      </x:c>
      <x:c r="C5" s="8" t="str">
        <x:v>-</x:v>
      </x:c>
      <x:c r="D5" s="8" t="str">
        <x:v>Yes</x:v>
      </x:c>
      <x:c r="E5" s="13" t="str">
        <x:v>Electrical speed = p × mechanical speed</x:v>
      </x:c>
      <x:c r="G5" s="17" t="str">
        <x:v>Ke active</x:v>
      </x:c>
      <x:c r="H5" s="18" t="n">
        <x:f>Calculations!B11</x:f>
        <x:v>928.864227911382</x:v>
      </x:c>
      <x:c r="I5" s="8" t="str">
        <x:v>Vrms/krpm</x:v>
      </x:c>
      <x:c r="J5" s="8" t="str">
        <x:v>Override if provided, else estimated from Kt</x:v>
      </x:c>
    </x:row>
    <x:row r="6">
      <x:c r="A6" s="13" t="str">
        <x:v>Torque T</x:v>
      </x:c>
      <x:c r="B6" s="14" t="n">
        <x:v>30.2</x:v>
      </x:c>
      <x:c r="C6" s="8" t="str">
        <x:v>Nm</x:v>
      </x:c>
      <x:c r="D6" s="8" t="str">
        <x:v>Yes</x:v>
      </x:c>
      <x:c r="E6" s="13" t="str">
        <x:v>Requested shaft torque</x:v>
      </x:c>
      <x:c r="G6" s="17" t="str">
        <x:v>Vdc_min no-load</x:v>
      </x:c>
      <x:c r="H6" s="18" t="n">
        <x:f>Calculations!B23</x:f>
        <x:v>13.1361238871549</x:v>
      </x:c>
      <x:c r="I6" s="8" t="str">
        <x:v>Vdc</x:v>
      </x:c>
      <x:c r="J6" s="8" t="str">
        <x:v>Ideal no-load minimum</x:v>
      </x:c>
    </x:row>
    <x:row r="7">
      <x:c r="A7" s="13" t="str">
        <x:v>Kt</x:v>
      </x:c>
      <x:c r="B7" s="14" t="n">
        <x:v>8.87</x:v>
      </x:c>
      <x:c r="C7" s="8" t="str">
        <x:v>Nm/Arms</x:v>
      </x:c>
      <x:c r="D7" s="8" t="str">
        <x:v>Yes</x:v>
      </x:c>
      <x:c r="E7" s="13" t="str">
        <x:v>Kollmorgen sine-wave torque constant</x:v>
      </x:c>
      <x:c r="G7" s="17" t="str">
        <x:v>Vdc_min load (design)</x:v>
      </x:c>
      <x:c r="H7" s="18" t="n">
        <x:f>Calculations!B24</x:f>
        <x:v>39.37129427565889</x:v>
      </x:c>
      <x:c r="I7" s="8" t="str">
        <x:v>Vdc</x:v>
      </x:c>
      <x:c r="J7" s="8" t="str">
        <x:v>Using R multiplier from input</x:v>
      </x:c>
    </x:row>
    <x:row r="8">
      <x:c r="A8" s="13" t="str">
        <x:v>Ke override</x:v>
      </x:c>
      <x:c r="B8" s="14"/>
      <x:c r="C8" s="8" t="str">
        <x:v>Vrms/krpm (line-line)</x:v>
      </x:c>
      <x:c r="D8" s="8" t="str">
        <x:v>Optional</x:v>
      </x:c>
      <x:c r="E8" s="13" t="str">
        <x:v>Leave blank to use Ke estimated from Kt</x:v>
      </x:c>
      <x:c r="G8" s="17" t="str">
        <x:v>Vdc_min load + margin</x:v>
      </x:c>
      <x:c r="H8" s="18" t="n">
        <x:f>Calculations!B26</x:f>
        <x:v>43.30842370322478</x:v>
      </x:c>
      <x:c r="I8" s="8" t="str">
        <x:v>Vdc</x:v>
      </x:c>
      <x:c r="J8" s="8" t="str">
        <x:v>Design case with user headroom</x:v>
      </x:c>
    </x:row>
    <x:row r="9">
      <x:c r="A9" s="13" t="str">
        <x:v>R_ll</x:v>
      </x:c>
      <x:c r="B9" s="14" t="n">
        <x:v>6.26</x:v>
      </x:c>
      <x:c r="C9" s="8" t="str">
        <x:v>Ohm</x:v>
      </x:c>
      <x:c r="D9" s="8" t="str">
        <x:v>Yes</x:v>
      </x:c>
      <x:c r="E9" s="13" t="str">
        <x:v>Line-line resistance from Kollmorgen datasheet</x:v>
      </x:c>
      <x:c r="G9" s="17" t="str">
        <x:v>Vdc_min load (hot 1.525x)</x:v>
      </x:c>
      <x:c r="H9" s="18" t="n">
        <x:f>Calculations!B25</x:f>
        <x:v>53.041836743534326</x:v>
      </x:c>
      <x:c r="I9" s="8" t="str">
        <x:v>Vdc</x:v>
      </x:c>
      <x:c r="J9" s="8" t="str">
        <x:v>Hot copper resistance reference case</x:v>
      </x:c>
    </x:row>
    <x:row r="10">
      <x:c r="A10" s="13" t="str">
        <x:v>L_ll</x:v>
      </x:c>
      <x:c r="B10" s="14" t="n">
        <x:v>23</x:v>
      </x:c>
      <x:c r="C10" s="8" t="str">
        <x:v>mH</x:v>
      </x:c>
      <x:c r="D10" s="8" t="str">
        <x:v>Yes</x:v>
      </x:c>
      <x:c r="E10" s="13" t="str">
        <x:v>Line-line inductance from Kollmorgen datasheet</x:v>
      </x:c>
      <x:c r="G10" s="17" t="str">
        <x:v>Vdc_min hot + margin</x:v>
      </x:c>
      <x:c r="H10" s="18" t="n">
        <x:f>Calculations!B27</x:f>
        <x:v>58.346020417887765</x:v>
      </x:c>
      <x:c r="I10" s="8" t="str">
        <x:v>Vdc</x:v>
      </x:c>
      <x:c r="J10" s="8" t="str">
        <x:v>Hot reference with user headroom</x:v>
      </x:c>
    </x:row>
    <x:row r="11">
      <x:c r="A11" s="13" t="str">
        <x:v>R multiplier (design case)</x:v>
      </x:c>
      <x:c r="B11" s="15" t="n">
        <x:v>1</x:v>
      </x:c>
      <x:c r="C11" s="8" t="str">
        <x:v>x</x:v>
      </x:c>
      <x:c r="D11" s="8" t="str">
        <x:v>Yes</x:v>
      </x:c>
      <x:c r="E11" s="13" t="str">
        <x:v>1.0 = datasheet/base temperature</x:v>
      </x:c>
    </x:row>
    <x:row r="12">
      <x:c r="A12" s="13" t="str">
        <x:v>SVPWM margin</x:v>
      </x:c>
      <x:c r="B12" s="15" t="n">
        <x:v>0.1</x:v>
      </x:c>
      <x:c r="C12" s="8" t="str">
        <x:v>fraction</x:v>
      </x:c>
      <x:c r="D12" s="8" t="str">
        <x:v>Yes</x:v>
      </x:c>
      <x:c r="E12" s="13" t="str">
        <x:v>Extra DC bus headroom, e.g. 0.10 = 10%</x:v>
      </x:c>
    </x:row>
    <x:row r="13">
      <x:c r="A13" s="13" t="str">
        <x:v>Connection assumption</x:v>
      </x:c>
      <x:c r="B13" s="16" t="str">
        <x:v>Y</x:v>
      </x:c>
      <x:c r="C13" s="8" t="str">
        <x:v>-</x:v>
      </x:c>
      <x:c r="D13" s="8" t="str">
        <x:v>No</x:v>
      </x:c>
      <x:c r="E13" s="13" t="str">
        <x:v>This workbook assumes internal Y connection</x:v>
      </x:c>
    </x:row>
    <x:row r="14">
      <x:c r="A14" s="13" t="str">
        <x:v>Control assumption</x:v>
      </x:c>
      <x:c r="B14" s="12" t="str">
        <x:v>Sinusoidal / id = 0</x:v>
      </x:c>
      <x:c r="C14" s="8" t="str">
        <x:v>-</x:v>
      </x:c>
      <x:c r="D14" s="8" t="str">
        <x:v>No</x:v>
      </x:c>
      <x:c r="E14" s="13" t="str">
        <x:v>Kollmorgen sine-wave commutation convention</x:v>
      </x:c>
    </x:row>
  </x:sheetData>
  <x:mergeCells>
    <x:mergeCell ref="A1:E1"/>
    <x:mergeCell ref="G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2" hidden="0" customWidth="1"/>
    <x:col min="4" max="4" width="34" hidden="0" customWidth="1"/>
    <x:col min="5" max="5" width="22" hidden="0" customWidth="1"/>
    <x:col min="6" max="6" width="34" hidden="0" customWidth="1"/>
  </x:cols>
  <x:sheetData>
    <x:row r="1" ht="24" customHeight="1">
      <x:c r="A1" s="4" t="str">
        <x:v>Calculation results aligned to Kollmorgen conventions</x:v>
      </x:c>
      <x:c r="B1" s="4"/>
      <x:c r="C1" s="4"/>
      <x:c r="D1" s="4"/>
      <x:c r="E1" s="4"/>
      <x:c r="F1" s="4"/>
    </x:row>
    <x:row r="3">
      <x:c r="A3" s="7" t="str">
        <x:v>Calculation item</x:v>
      </x:c>
      <x:c r="B3" s="7" t="str">
        <x:v>Formula/result</x:v>
      </x:c>
      <x:c r="C3" s="7" t="str">
        <x:v>Unit</x:v>
      </x:c>
      <x:c r="D3" s="7" t="str">
        <x:v>Meaning</x:v>
      </x:c>
      <x:c r="E3" s="7" t="str">
        <x:v>Kollmorgen basis</x:v>
      </x:c>
      <x:c r="F3" s="7" t="str">
        <x:v>Comment</x:v>
      </x:c>
    </x:row>
    <x:row r="4">
      <x:c r="A4" s="8" t="str">
        <x:v>ωm</x:v>
      </x:c>
      <x:c r="B4" s="18" t="n">
        <x:f>Inputs!B4*2*PI()/60</x:f>
        <x:v>1.0471975511965976</x:v>
      </x:c>
      <x:c r="C4" s="8" t="str">
        <x:v>rad/s</x:v>
      </x:c>
      <x:c r="D4" s="13" t="str">
        <x:v>Mechanical angular speed</x:v>
      </x:c>
      <x:c r="E4" s="13" t="str">
        <x:v>-</x:v>
      </x:c>
      <x:c r="F4" s="13" t="str"/>
    </x:row>
    <x:row r="5">
      <x:c r="A5" s="8" t="str">
        <x:v>ωe</x:v>
      </x:c>
      <x:c r="B5" s="18" t="n">
        <x:f>B4*Inputs!B5</x:f>
        <x:v>33.510321638291124</x:v>
      </x:c>
      <x:c r="C5" s="8" t="str">
        <x:v>rad/s</x:v>
      </x:c>
      <x:c r="D5" s="13" t="str">
        <x:v>Electrical angular speed</x:v>
      </x:c>
      <x:c r="E5" s="13" t="str">
        <x:v>-</x:v>
      </x:c>
      <x:c r="F5" s="13" t="str"/>
    </x:row>
    <x:row r="6">
      <x:c r="A6" s="8" t="str">
        <x:v>I_rms</x:v>
      </x:c>
      <x:c r="B6" s="18" t="n">
        <x:f>Inputs!B6/Inputs!B7</x:f>
        <x:v>3.4047350620067647</x:v>
      </x:c>
      <x:c r="C6" s="8" t="str">
        <x:v>Arms</x:v>
      </x:c>
      <x:c r="D6" s="13" t="str">
        <x:v>Torque current from T / Kt</x:v>
      </x:c>
      <x:c r="E6" s="13" t="str">
        <x:v>Kt = Nm/Arms</x:v>
      </x:c>
      <x:c r="F6" s="13" t="str"/>
    </x:row>
    <x:row r="7">
      <x:c r="A7" s="8" t="str">
        <x:v>I_peak</x:v>
      </x:c>
      <x:c r="B7" s="18" t="n">
        <x:f>SQRT(2)*B6</x:f>
        <x:v>4.815022500977168</x:v>
      </x:c>
      <x:c r="C7" s="8" t="str">
        <x:v>Apeak</x:v>
      </x:c>
      <x:c r="D7" s="13" t="str">
        <x:v>Peak phase current = √2 × I_rms</x:v>
      </x:c>
      <x:c r="E7" s="13" t="str">
        <x:v>-</x:v>
      </x:c>
      <x:c r="F7" s="13" t="str"/>
    </x:row>
    <x:row r="8">
      <x:c r="A8" s="8" t="str">
        <x:v>Ke est. from Kt</x:v>
      </x:c>
      <x:c r="B8" s="18" t="n">
        <x:f>Inputs!B7</x:f>
        <x:v>8.87</x:v>
      </x:c>
      <x:c r="C8" s="8" t="str">
        <x:v>V/(rad/s)</x:v>
      </x:c>
      <x:c r="D8" s="13" t="str">
        <x:v>Estimated from Kt under Kollmorgen sine-wave convention</x:v>
      </x:c>
      <x:c r="E8" s="13" t="str">
        <x:v>Ke ≈ Kt in SI</x:v>
      </x:c>
      <x:c r="F8" s="13" t="str">
        <x:v>Kollmorgen sine-wave approximation</x:v>
      </x:c>
    </x:row>
    <x:row r="9">
      <x:c r="A9" s="8" t="str">
        <x:v>Ke est. from Kt</x:v>
      </x:c>
      <x:c r="B9" s="18" t="n">
        <x:f>B8*(1000*2*PI()/60)</x:f>
        <x:v>928.864227911382</x:v>
      </x:c>
      <x:c r="C9" s="8" t="str">
        <x:v>Vrms/krpm</x:v>
      </x:c>
      <x:c r="D9" s="13" t="str">
        <x:v>Converted from V/(rad/s) to Vrms/krpm</x:v>
      </x:c>
      <x:c r="E9" s="13" t="str">
        <x:v>-</x:v>
      </x:c>
      <x:c r="F9" s="13" t="str">
        <x:v>Ke_SI × 1000 rpm in rad/s</x:v>
      </x:c>
    </x:row>
    <x:row r="10">
      <x:c r="A10" s="8" t="str">
        <x:v>Ke active</x:v>
      </x:c>
      <x:c r="B10" s="18" t="n">
        <x:f>IF(Inputs!B8="",B8,Inputs!B8/(1000*2*PI()/60))</x:f>
        <x:v>8.87</x:v>
      </x:c>
      <x:c r="C10" s="8" t="str">
        <x:v>V/(rad/s)</x:v>
      </x:c>
      <x:c r="D10" s="13" t="str">
        <x:v>Used if Ke override is blank</x:v>
      </x:c>
      <x:c r="E10" s="13" t="str">
        <x:v>Ke active in SI</x:v>
      </x:c>
      <x:c r="F10" s="13" t="str">
        <x:v>Blank override falls back to estimate</x:v>
      </x:c>
    </x:row>
    <x:row r="11">
      <x:c r="A11" s="8" t="str">
        <x:v>Ke active</x:v>
      </x:c>
      <x:c r="B11" s="18" t="n">
        <x:f>IF(Inputs!B8="",B9,Inputs!B8)</x:f>
        <x:v>928.864227911382</x:v>
      </x:c>
      <x:c r="C11" s="8" t="str">
        <x:v>Vrms/krpm</x:v>
      </x:c>
      <x:c r="D11" s="13" t="str">
        <x:v>Used in workbook: override if provided, else estimate</x:v>
      </x:c>
      <x:c r="E11" s="13" t="str">
        <x:v>Ke line-line RMS / krpm</x:v>
      </x:c>
      <x:c r="F11" s="13" t="str">
        <x:v>Vrms/krpm line-line RMS</x:v>
      </x:c>
    </x:row>
    <x:row r="12">
      <x:c r="A12" s="8" t="str">
        <x:v>R_phase (design)</x:v>
      </x:c>
      <x:c r="B12" s="18" t="n">
        <x:f>Inputs!B9/2*Inputs!B11</x:f>
        <x:v>3.13</x:v>
      </x:c>
      <x:c r="C12" s="8" t="str">
        <x:v>Ohm</x:v>
      </x:c>
      <x:c r="D12" s="13" t="str">
        <x:v>Phase resistance = R_ll / 2 × design multiplier</x:v>
      </x:c>
      <x:c r="E12" s="13" t="str">
        <x:v>R datasheet is line-line</x:v>
      </x:c>
      <x:c r="F12" s="13" t="str"/>
    </x:row>
    <x:row r="13">
      <x:c r="A13" s="8" t="str">
        <x:v>R_phase (hot 1.525x)</x:v>
      </x:c>
      <x:c r="B13" s="18" t="n">
        <x:f>Inputs!B9/2*1.525</x:f>
        <x:v>4.77325</x:v>
      </x:c>
      <x:c r="C13" s="8" t="str">
        <x:v>Ohm</x:v>
      </x:c>
      <x:c r="D13" s="13" t="str">
        <x:v>Phase resistance = R_ll / 2 × 1.525</x:v>
      </x:c>
      <x:c r="E13" s="13" t="str">
        <x:v>Hot copper reference</x:v>
      </x:c>
      <x:c r="F13" s="13" t="str">
        <x:v>Per Kollmorgen WP example</x:v>
      </x:c>
    </x:row>
    <x:row r="14">
      <x:c r="A14" s="8" t="str">
        <x:v>L_phase</x:v>
      </x:c>
      <x:c r="B14" s="18" t="n">
        <x:f>Inputs!B10/2/1000</x:f>
        <x:v>0.0115</x:v>
      </x:c>
      <x:c r="C14" s="8" t="str">
        <x:v>H</x:v>
      </x:c>
      <x:c r="D14" s="13" t="str">
        <x:v>Phase inductance = L_ll / 2</x:v>
      </x:c>
      <x:c r="E14" s="13" t="str">
        <x:v>L datasheet is line-line</x:v>
      </x:c>
      <x:c r="F14" s="13" t="str"/>
    </x:row>
    <x:row r="15">
      <x:c r="A15" s="8" t="str">
        <x:v>E_LL_rms</x:v>
      </x:c>
      <x:c r="B15" s="18" t="n">
        <x:f>B10*B4</x:f>
        <x:v>9.28864227911382</x:v>
      </x:c>
      <x:c r="C15" s="8" t="str">
        <x:v>Vrms</x:v>
      </x:c>
      <x:c r="D15" s="13" t="str">
        <x:v>Line-line back EMF RMS at speed</x:v>
      </x:c>
      <x:c r="E15" s="13" t="str">
        <x:v>Ke is line-line RMS</x:v>
      </x:c>
      <x:c r="F15" s="13" t="str"/>
    </x:row>
    <x:row r="16">
      <x:c r="A16" s="8" t="str">
        <x:v>E_phase_rms</x:v>
      </x:c>
      <x:c r="B16" s="18" t="n">
        <x:f>B15/SQRT(3)</x:f>
        <x:v>5.362800120252503</x:v>
      </x:c>
      <x:c r="C16" s="8" t="str">
        <x:v>Vrms</x:v>
      </x:c>
      <x:c r="D16" s="13" t="str">
        <x:v>Per-phase back EMF RMS</x:v>
      </x:c>
      <x:c r="E16" s="13" t="str">
        <x:v>Y connection</x:v>
      </x:c>
      <x:c r="F16" s="13" t="str"/>
    </x:row>
    <x:row r="17">
      <x:c r="A17" s="8" t="str">
        <x:v>E_phase_peak</x:v>
      </x:c>
      <x:c r="B17" s="18" t="n">
        <x:f>SQRT(2)*B16</x:f>
        <x:v>7.584144662357155</x:v>
      </x:c>
      <x:c r="C17" s="8" t="str">
        <x:v>Vpeak</x:v>
      </x:c>
      <x:c r="D17" s="13" t="str">
        <x:v>Per-phase back EMF peak</x:v>
      </x:c>
      <x:c r="E17" s="13" t="str">
        <x:v>-</x:v>
      </x:c>
      <x:c r="F17" s="13" t="str"/>
    </x:row>
    <x:row r="18">
      <x:c r="A18" s="8" t="str">
        <x:v>V_R_phase_peak (design)</x:v>
      </x:c>
      <x:c r="B18" s="18" t="n">
        <x:f>B12*B7</x:f>
        <x:v>15.071020428058535</x:v>
      </x:c>
      <x:c r="C18" s="8" t="str">
        <x:v>Vpeak</x:v>
      </x:c>
      <x:c r="D18" s="13" t="str">
        <x:v>Resistive drop at design multiplier</x:v>
      </x:c>
      <x:c r="E18" s="13" t="str">
        <x:v>-</x:v>
      </x:c>
      <x:c r="F18" s="13" t="str"/>
    </x:row>
    <x:row r="19">
      <x:c r="A19" s="8" t="str">
        <x:v>V_R_phase_peak (hot 1.525x)</x:v>
      </x:c>
      <x:c r="B19" s="18" t="n">
        <x:f>B13*B7</x:f>
        <x:v>22.983306152789268</x:v>
      </x:c>
      <x:c r="C19" s="8" t="str">
        <x:v>Vpeak</x:v>
      </x:c>
      <x:c r="D19" s="13" t="str">
        <x:v>Resistive drop at hot multiplier 1.525</x:v>
      </x:c>
      <x:c r="E19" s="13" t="str">
        <x:v>-</x:v>
      </x:c>
      <x:c r="F19" s="13" t="str"/>
    </x:row>
    <x:row r="20">
      <x:c r="A20" s="8" t="str">
        <x:v>V_L_phase_peak</x:v>
      </x:c>
      <x:c r="B20" s="18" t="n">
        <x:f>B5*B14*B7</x:f>
        <x:v>1.855558956088569</x:v>
      </x:c>
      <x:c r="C20" s="8" t="str">
        <x:v>Vpeak</x:v>
      </x:c>
      <x:c r="D20" s="13" t="str">
        <x:v>Inductive drop with p included</x:v>
      </x:c>
      <x:c r="E20" s="13" t="str">
        <x:v>id = 0 approximation</x:v>
      </x:c>
      <x:c r="F20" s="13" t="str">
        <x:v>ωe × L_phase × I_peak</x:v>
      </x:c>
    </x:row>
    <x:row r="21">
      <x:c r="A21" s="8" t="str">
        <x:v>V_phase_peak_req (design)</x:v>
      </x:c>
      <x:c r="B21" s="18" t="n">
        <x:f>SQRT(B20^2+(B17+B18)^2)</x:f>
        <x:v>22.731027348395635</x:v>
      </x:c>
      <x:c r="C21" s="8" t="str">
        <x:v>Vpeak</x:v>
      </x:c>
      <x:c r="D21" s="13" t="str">
        <x:v>Required phase peak voltage (design)</x:v>
      </x:c>
      <x:c r="E21" s="13" t="str">
        <x:v>id = 0 approximation</x:v>
      </x:c>
      <x:c r="F21" s="13" t="str">
        <x:v>sqrt((ωeLIpk)^2 + (Epk + RIpk)^2)</x:v>
      </x:c>
    </x:row>
    <x:row r="22">
      <x:c r="A22" s="8" t="str">
        <x:v>V_phase_peak_req (hot 1.525x)</x:v>
      </x:c>
      <x:c r="B22" s="18" t="n">
        <x:f>SQRT(B20^2+(B17+B19)^2)</x:f>
        <x:v>30.62371872219173</x:v>
      </x:c>
      <x:c r="C22" s="8" t="str">
        <x:v>Vpeak</x:v>
      </x:c>
      <x:c r="D22" s="13" t="str">
        <x:v>Required phase peak voltage (hot)</x:v>
      </x:c>
      <x:c r="E22" s="13" t="str">
        <x:v>id = 0 approximation</x:v>
      </x:c>
      <x:c r="F22" s="13" t="str">
        <x:v>same with hot R</x:v>
      </x:c>
    </x:row>
    <x:row r="23">
      <x:c r="A23" s="8" t="str">
        <x:v>Vdc_min no-load ideal</x:v>
      </x:c>
      <x:c r="B23" s="18" t="n">
        <x:f>SQRT(2)*B15</x:f>
        <x:v>13.1361238871549</x:v>
      </x:c>
      <x:c r="C23" s="8" t="str">
        <x:v>Vdc</x:v>
      </x:c>
      <x:c r="D23" s="13" t="str">
        <x:v>SVPWM ideal no-load minimum DC bus</x:v>
      </x:c>
      <x:c r="E23" s="13" t="str">
        <x:v>SVPWM linear region</x:v>
      </x:c>
      <x:c r="F23" s="13" t="str">
        <x:v>√2 × E_LL_rms</x:v>
      </x:c>
    </x:row>
    <x:row r="24">
      <x:c r="A24" s="8" t="str">
        <x:v>Vdc_min load (design)</x:v>
      </x:c>
      <x:c r="B24" s="18" t="n">
        <x:f>SQRT(3)*B21</x:f>
        <x:v>39.37129427565889</x:v>
      </x:c>
      <x:c r="C24" s="8" t="str">
        <x:v>Vdc</x:v>
      </x:c>
      <x:c r="D24" s="13" t="str">
        <x:v>SVPWM minimum DC bus at requested load</x:v>
      </x:c>
      <x:c r="E24" s="13" t="str">
        <x:v>SVPWM linear region</x:v>
      </x:c>
      <x:c r="F24" s="13" t="str">
        <x:v>√3 × V_phase_peak_req</x:v>
      </x:c>
    </x:row>
    <x:row r="25">
      <x:c r="A25" s="8" t="str">
        <x:v>Vdc_min load (hot 1.525x)</x:v>
      </x:c>
      <x:c r="B25" s="18" t="n">
        <x:f>SQRT(3)*B22</x:f>
        <x:v>53.041836743534326</x:v>
      </x:c>
      <x:c r="C25" s="8" t="str">
        <x:v>Vdc</x:v>
      </x:c>
      <x:c r="D25" s="13" t="str">
        <x:v>SVPWM minimum DC bus at requested load, hot</x:v>
      </x:c>
      <x:c r="E25" s="13" t="str">
        <x:v>SVPWM linear region</x:v>
      </x:c>
      <x:c r="F25" s="13" t="str">
        <x:v>√3 × V_phase_peak_req_hot</x:v>
      </x:c>
    </x:row>
    <x:row r="26">
      <x:c r="A26" s="8" t="str">
        <x:v>Vdc_min load + margin (design)</x:v>
      </x:c>
      <x:c r="B26" s="18" t="n">
        <x:f>B24*(1+Inputs!B12)</x:f>
        <x:v>43.30842370322478</x:v>
      </x:c>
      <x:c r="C26" s="8" t="str">
        <x:v>Vdc</x:v>
      </x:c>
      <x:c r="D26" s="13" t="str">
        <x:v>Design DC bus including user margin</x:v>
      </x:c>
      <x:c r="E26" s="13" t="str">
        <x:v>User headroom</x:v>
      </x:c>
      <x:c r="F26" s="13" t="str">
        <x:v>Load case × (1 + margin)</x:v>
      </x:c>
    </x:row>
    <x:row r="27">
      <x:c r="A27" s="8" t="str">
        <x:v>Vdc_min load + margin (hot 1.525x)</x:v>
      </x:c>
      <x:c r="B27" s="18" t="n">
        <x:f>B25*(1+Inputs!B12)</x:f>
        <x:v>58.346020417887765</x:v>
      </x:c>
      <x:c r="C27" s="8" t="str">
        <x:v>Vdc</x:v>
      </x:c>
      <x:c r="D27" s="13" t="str">
        <x:v>Hot DC bus including user margin</x:v>
      </x:c>
      <x:c r="E27" s="13" t="str">
        <x:v>User headroom</x:v>
      </x:c>
      <x:c r="F27" s="13" t="str">
        <x:v>Hot load case × (1 + margin)</x:v>
      </x:c>
    </x:row>
  </x:sheetData>
  <x:mergeCells>
    <x:mergeCell ref="A1:F1"/>
  </x:mergeCells>
  <x:conditionalFormatting sqref="B23:B27">
    <x:cfRule type="dataBar" priority="1">
      <x:dataBar>
        <x:cfvo type="min"/>
        <x:cfvo type="max"/>
        <x:color rgb="FFA02B93"/>
      </x:dataBar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4" t="str">
        <x:v>Conventions / formulas used</x:v>
      </x:c>
      <x:c r="B1" s="4"/>
    </x:row>
    <x:row r="2">
      <x:c r="A2" s="8"/>
      <x:c r="B2" s="8"/>
    </x:row>
    <x:row r="3">
      <x:c r="A3" s="7" t="str">
        <x:v>Topic</x:v>
      </x:c>
      <x:c r="B3" s="7" t="str">
        <x:v>Description</x:v>
      </x:c>
    </x:row>
    <x:row r="4">
      <x:c r="A4" s="8" t="str">
        <x:v>Kollmorgen Kt</x:v>
      </x:c>
      <x:c r="B4" s="13" t="str">
        <x:v>Assumed as Nm/Arms for sinusoidal commutation.</x:v>
      </x:c>
    </x:row>
    <x:row r="5">
      <x:c r="A5" s="8" t="str">
        <x:v>Kollmorgen Ke</x:v>
      </x:c>
      <x:c r="B5" s="13" t="str">
        <x:v>Active Ke is line-line RMS in Vrms/krpm. If no Ke is entered, the sheet estimates it from Kt using Ke[V/(rad/s)] ≈ Kt[Nm/Arms], then converts to Vrms/krpm.</x:v>
      </x:c>
    </x:row>
    <x:row r="6">
      <x:c r="A6" s="8" t="str">
        <x:v>Resistance / inductance</x:v>
      </x:c>
      <x:c r="B6" s="13" t="str">
        <x:v>Kollmorgen datasheets often list line-line values. For internal Y connection, this workbook uses R_phase = R_ll / 2 and L_phase = L_ll / 2.</x:v>
      </x:c>
    </x:row>
    <x:row r="7">
      <x:c r="A7" s="8" t="str">
        <x:v>Current convention</x:v>
      </x:c>
      <x:c r="B7" s="13" t="str">
        <x:v>I_rms = T / Kt, I_peak = sqrt(2) × I_rms.</x:v>
      </x:c>
    </x:row>
    <x:row r="8">
      <x:c r="A8" s="8" t="str">
        <x:v>Back EMF</x:v>
      </x:c>
      <x:c r="B8" s="13" t="str">
        <x:v>E_LL_rms = Ke_active × n / 1000 = Ke_active_SI × ωm. E_phase_rms = E_LL_rms / sqrt(3).</x:v>
      </x:c>
    </x:row>
    <x:row r="9">
      <x:c r="A9" s="8" t="str">
        <x:v>Voltage model</x:v>
      </x:c>
      <x:c r="B9" s="13" t="str">
        <x:v>For id = 0 approximation: V_phase_peak_req = sqrt((ωe L_phase I_peak)^2 + (E_phase_peak + R_phase I_peak)^2).</x:v>
      </x:c>
    </x:row>
    <x:row r="10">
      <x:c r="A10" s="8" t="str">
        <x:v>SVPWM minimum DC bus</x:v>
      </x:c>
      <x:c r="B10" s="13" t="str">
        <x:v>Linear SVPWM assumption: Vdc_min_no_load = sqrt(2) × E_LL_rms, and Vdc_min_load = sqrt(3) × V_phase_peak_req.</x:v>
      </x:c>
    </x:row>
    <x:row r="11">
      <x:c r="A11" s="8" t="str">
        <x:v>Hot reference case</x:v>
      </x:c>
      <x:c r="B11" s="13" t="str">
        <x:v>A hot copper case is included with R multiplied by 1.525, following the example discussed from Kollmorgen white paper context.</x:v>
      </x:c>
    </x:row>
    <x:row r="12">
      <x:c r="A12" s="8" t="str">
        <x:v>Safety margin</x:v>
      </x:c>
      <x:c r="B12" s="13" t="str">
        <x:v>The input margin multiplies the load-case Vdc result by (1 + margin). Enter 0.10 for 10% headroom.</x:v>
      </x:c>
    </x:row>
    <x:row r="13">
      <x:c r="A13" s="8" t="str">
        <x:v>Caution</x:v>
      </x:c>
      <x:c r="B13" s="13" t="str">
        <x:v>This is a practical engineering calculator, not a full dq-axis saturation or field-weakening model. If a verified Ke is available from the datasheet, enter it in the override cell.</x:v>
      </x:c>
    </x:row>
  </x:sheetData>
  <x:mergeCells>
    <x:mergeCell ref="A1:B1"/>
  </x:mergeCells>
  <x:pageMargins left="0.7" right="0.7" top="0.75" bottom="0.75" header="0.3" footer="0.3"/>
</x:worksheet>
</file>