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入力・概要" sheetId="1" state="visible" r:id="rId1"/>
    <sheet xmlns:r="http://schemas.openxmlformats.org/officeDocument/2006/relationships" name="3導体RLGC" sheetId="2" state="visible" r:id="rId2"/>
    <sheet xmlns:r="http://schemas.openxmlformats.org/officeDocument/2006/relationships" name="差動モデル" sheetId="3" state="visible" r:id="rId3"/>
    <sheet xmlns:r="http://schemas.openxmlformats.org/officeDocument/2006/relationships" name="同相3導体" sheetId="4" state="visible" r:id="rId4"/>
    <sheet xmlns:r="http://schemas.openxmlformats.org/officeDocument/2006/relationships" name="実測比較_差動" sheetId="5" state="visible" r:id="rId5"/>
    <sheet xmlns:r="http://schemas.openxmlformats.org/officeDocument/2006/relationships" name="実測比較_同相" sheetId="6" state="visible" r:id="rId6"/>
    <sheet xmlns:r="http://schemas.openxmlformats.org/officeDocument/2006/relationships" name="グラフ" sheetId="7" state="visible" r:id="rId7"/>
    <sheet xmlns:r="http://schemas.openxmlformats.org/officeDocument/2006/relationships" name="回路図" sheetId="8" state="visible" r:id="rId8"/>
    <sheet xmlns:r="http://schemas.openxmlformats.org/officeDocument/2006/relationships" name="技術報告書" sheetId="9" state="visible" r:id="rId9"/>
    <sheet xmlns:r="http://schemas.openxmlformats.org/officeDocument/2006/relationships" name="前提・出典" sheetId="10" state="visible" r:id="rId10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24">
    <font>
      <name val="Carlito"/>
      <sz val="11"/>
    </font>
    <font>
      <name val="Carlito"/>
      <b val="1"/>
      <color rgb="FFFFFFFF"/>
      <sz val="16"/>
    </font>
    <font>
      <name val="Carlito"/>
      <color rgb="FF404040"/>
      <sz val="11"/>
    </font>
    <font>
      <name val="Carlito"/>
      <b val="1"/>
      <color rgb="FF17365D"/>
      <sz val="11"/>
    </font>
    <font>
      <name val="Carlito"/>
      <b val="1"/>
      <sz val="11"/>
    </font>
    <font>
      <name val="Carlito"/>
      <color rgb="FF7F6000"/>
      <sz val="11"/>
    </font>
    <font>
      <name val="Carlito"/>
      <color rgb="FF666666"/>
      <sz val="11"/>
    </font>
    <font>
      <name val="Carlito"/>
      <color rgb="FF375623"/>
      <sz val="11"/>
    </font>
    <font>
      <name val="Carlito"/>
      <b val="1"/>
      <color rgb="FFFFFFFF"/>
      <sz val="11"/>
    </font>
    <font>
      <name val="Yu Gothic"/>
      <b val="1"/>
      <color rgb="FFFFFFFF"/>
      <sz val="16"/>
    </font>
    <font>
      <name val="Yu Gothic"/>
      <sz val="11"/>
    </font>
    <font>
      <name val="Yu Gothic"/>
      <color rgb="FF404040"/>
      <sz val="11"/>
    </font>
    <font>
      <name val="Yu Gothic"/>
      <b val="1"/>
      <color rgb="FF17365D"/>
      <sz val="11"/>
    </font>
    <font>
      <name val="Yu Gothic"/>
      <b val="1"/>
      <sz val="11"/>
    </font>
    <font>
      <name val="Yu Gothic"/>
      <color rgb="FF7F6000"/>
      <sz val="11"/>
    </font>
    <font>
      <name val="Yu Gothic"/>
      <color rgb="FF666666"/>
      <sz val="11"/>
    </font>
    <font>
      <name val="Yu Gothic"/>
      <color rgb="FF375623"/>
      <sz val="11"/>
    </font>
    <font>
      <name val="Yu Gothic"/>
      <b val="1"/>
      <color rgb="FFFFFFFF"/>
      <sz val="11"/>
    </font>
    <font>
      <name val="Yu Gothic"/>
    </font>
    <font>
      <name val="Yu Gothic"/>
      <b val="1"/>
      <color rgb="FFFFFFFF"/>
      <sz val="16"/>
    </font>
    <font>
      <name val="Yu Gothic"/>
      <b val="1"/>
      <color rgb="FF17365D"/>
    </font>
    <font>
      <name val="Yu Gothic"/>
      <color rgb="FF404040"/>
    </font>
    <font>
      <name val="Yu Gothic"/>
      <b val="1"/>
      <color rgb="00FFFFFF"/>
      <sz val="16"/>
    </font>
    <font>
      <name val="Yu Gothic"/>
      <color rgb="0040404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0017365D"/>
      </patternFill>
    </fill>
    <fill>
      <patternFill patternType="solid">
        <fgColor rgb="00F2F2F2"/>
      </patternFill>
    </fill>
  </fills>
  <borders count="18"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17"/>
  </cellStyleXfs>
  <cellXfs count="2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right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right"/>
    </xf>
    <xf numFmtId="0" fontId="6" fillId="0" borderId="0" pivotButton="0" quotePrefix="0" xfId="0"/>
    <xf numFmtId="0" fontId="6" fillId="0" borderId="1" pivotButton="0" quotePrefix="0" xfId="0"/>
    <xf numFmtId="164" fontId="5" fillId="5" borderId="0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165" fontId="5" fillId="5" borderId="0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1" fontId="5" fillId="5" borderId="0" applyAlignment="1" pivotButton="0" quotePrefix="0" xfId="0">
      <alignment horizontal="right"/>
    </xf>
    <xf numFmtId="1" fontId="5" fillId="5" borderId="1" applyAlignment="1" pivotButton="0" quotePrefix="0" xfId="0">
      <alignment horizontal="right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right"/>
    </xf>
    <xf numFmtId="0" fontId="0" fillId="6" borderId="1" pivotButton="0" quotePrefix="0" xfId="0"/>
    <xf numFmtId="0" fontId="7" fillId="6" borderId="1" pivotButton="0" quotePrefix="0" xfId="0"/>
    <xf numFmtId="0" fontId="7" fillId="6" borderId="1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164" fontId="7" fillId="6" borderId="1" applyAlignment="1" pivotButton="0" quotePrefix="0" xfId="0">
      <alignment horizontal="right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8" fillId="7" borderId="0" applyAlignment="1" pivotButton="0" quotePrefix="0" xfId="0">
      <alignment horizontal="center" wrapText="1"/>
    </xf>
    <xf numFmtId="0" fontId="8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wrapText="1"/>
    </xf>
    <xf numFmtId="0" fontId="8" fillId="7" borderId="1" applyAlignment="1" pivotButton="0" quotePrefix="0" xfId="0">
      <alignment horizontal="center" wrapText="1"/>
    </xf>
    <xf numFmtId="0" fontId="8" fillId="7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5" fontId="0" fillId="5" borderId="0" pivotButton="0" quotePrefix="0" xfId="0"/>
    <xf numFmtId="165" fontId="0" fillId="5" borderId="1" pivotButton="0" quotePrefix="0" xfId="0"/>
    <xf numFmtId="164" fontId="0" fillId="5" borderId="0" pivotButton="0" quotePrefix="0" xfId="0"/>
    <xf numFmtId="164" fontId="0" fillId="5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3" borderId="0" applyAlignment="1" pivotButton="0" quotePrefix="0" xfId="0">
      <alignment vertical="top" wrapText="1"/>
    </xf>
    <xf numFmtId="0" fontId="12" fillId="4" borderId="0" applyAlignment="1" pivotButton="0" quotePrefix="0" xfId="0">
      <alignment horizontal="left" vertical="center"/>
    </xf>
    <xf numFmtId="0" fontId="13" fillId="0" borderId="0" pivotButton="0" quotePrefix="0" xfId="0"/>
    <xf numFmtId="164" fontId="14" fillId="5" borderId="0" applyAlignment="1" pivotButton="0" quotePrefix="0" xfId="0">
      <alignment horizontal="right"/>
    </xf>
    <xf numFmtId="0" fontId="15" fillId="0" borderId="0" pivotButton="0" quotePrefix="0" xfId="0"/>
    <xf numFmtId="164" fontId="16" fillId="6" borderId="0" applyAlignment="1" pivotButton="0" quotePrefix="0" xfId="0">
      <alignment horizontal="right"/>
    </xf>
    <xf numFmtId="165" fontId="14" fillId="5" borderId="0" applyAlignment="1" pivotButton="0" quotePrefix="0" xfId="0">
      <alignment horizontal="right"/>
    </xf>
    <xf numFmtId="1" fontId="14" fillId="5" borderId="0" applyAlignment="1" pivotButton="0" quotePrefix="0" xfId="0">
      <alignment horizontal="right"/>
    </xf>
    <xf numFmtId="0" fontId="9" fillId="2" borderId="1" applyAlignment="1" pivotButton="0" quotePrefix="0" xfId="0">
      <alignment horizontal="left" vertical="center"/>
    </xf>
    <xf numFmtId="0" fontId="10" fillId="0" borderId="1" pivotButton="0" quotePrefix="0" xfId="0"/>
    <xf numFmtId="0" fontId="11" fillId="3" borderId="1" applyAlignment="1" pivotButton="0" quotePrefix="0" xfId="0">
      <alignment vertical="top" wrapText="1"/>
    </xf>
    <xf numFmtId="0" fontId="12" fillId="4" borderId="1" applyAlignment="1" pivotButton="0" quotePrefix="0" xfId="0">
      <alignment horizontal="left" vertical="center"/>
    </xf>
    <xf numFmtId="0" fontId="13" fillId="0" borderId="1" pivotButton="0" quotePrefix="0" xfId="0"/>
    <xf numFmtId="164" fontId="14" fillId="5" borderId="1" applyAlignment="1" pivotButton="0" quotePrefix="0" xfId="0">
      <alignment horizontal="right"/>
    </xf>
    <xf numFmtId="0" fontId="15" fillId="0" borderId="1" pivotButton="0" quotePrefix="0" xfId="0"/>
    <xf numFmtId="164" fontId="16" fillId="6" borderId="1" applyAlignment="1" pivotButton="0" quotePrefix="0" xfId="0">
      <alignment horizontal="right"/>
    </xf>
    <xf numFmtId="165" fontId="14" fillId="5" borderId="1" applyAlignment="1" pivotButton="0" quotePrefix="0" xfId="0">
      <alignment horizontal="right"/>
    </xf>
    <xf numFmtId="1" fontId="14" fillId="5" borderId="1" applyAlignment="1" pivotButton="0" quotePrefix="0" xfId="0">
      <alignment horizontal="right"/>
    </xf>
    <xf numFmtId="0" fontId="17" fillId="7" borderId="0" applyAlignment="1" pivotButton="0" quotePrefix="0" xfId="0">
      <alignment horizontal="center" vertical="center" wrapText="1"/>
    </xf>
    <xf numFmtId="164" fontId="10" fillId="0" borderId="0" pivotButton="0" quotePrefix="0" xfId="0"/>
    <xf numFmtId="0" fontId="17" fillId="7" borderId="1" applyAlignment="1" pivotButton="0" quotePrefix="0" xfId="0">
      <alignment horizontal="center" vertical="center" wrapText="1"/>
    </xf>
    <xf numFmtId="164" fontId="10" fillId="0" borderId="1" pivotButton="0" quotePrefix="0" xfId="0"/>
    <xf numFmtId="165" fontId="10" fillId="0" borderId="0" pivotButton="0" quotePrefix="0" xfId="0"/>
    <xf numFmtId="165" fontId="10" fillId="0" borderId="1" pivotButton="0" quotePrefix="0" xfId="0"/>
    <xf numFmtId="165" fontId="10" fillId="5" borderId="0" pivotButton="0" quotePrefix="0" xfId="0"/>
    <xf numFmtId="164" fontId="10" fillId="5" borderId="0" pivotButton="0" quotePrefix="0" xfId="0"/>
    <xf numFmtId="165" fontId="10" fillId="5" borderId="1" pivotButton="0" quotePrefix="0" xfId="0"/>
    <xf numFmtId="164" fontId="10" fillId="5" borderId="1" pivotButton="0" quotePrefix="0" xfId="0"/>
    <xf numFmtId="0" fontId="10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3" fillId="0" borderId="2" pivotButton="0" quotePrefix="0" xfId="0"/>
    <xf numFmtId="164" fontId="14" fillId="5" borderId="3" applyAlignment="1" pivotButton="0" quotePrefix="0" xfId="0">
      <alignment horizontal="right"/>
    </xf>
    <xf numFmtId="0" fontId="15" fillId="0" borderId="4" pivotButton="0" quotePrefix="0" xfId="0"/>
    <xf numFmtId="0" fontId="13" fillId="0" borderId="5" pivotButton="0" quotePrefix="0" xfId="0"/>
    <xf numFmtId="0" fontId="15" fillId="0" borderId="6" pivotButton="0" quotePrefix="0" xfId="0"/>
    <xf numFmtId="0" fontId="13" fillId="0" borderId="7" pivotButton="0" quotePrefix="0" xfId="0"/>
    <xf numFmtId="164" fontId="14" fillId="5" borderId="8" applyAlignment="1" pivotButton="0" quotePrefix="0" xfId="0">
      <alignment horizontal="right"/>
    </xf>
    <xf numFmtId="0" fontId="15" fillId="0" borderId="9" pivotButton="0" quotePrefix="0" xfId="0"/>
    <xf numFmtId="0" fontId="13" fillId="0" borderId="10" pivotButton="0" quotePrefix="0" xfId="0"/>
    <xf numFmtId="164" fontId="14" fillId="5" borderId="11" applyAlignment="1" pivotButton="0" quotePrefix="0" xfId="0">
      <alignment horizontal="right"/>
    </xf>
    <xf numFmtId="0" fontId="15" fillId="0" borderId="12" pivotButton="0" quotePrefix="0" xfId="0"/>
    <xf numFmtId="0" fontId="13" fillId="0" borderId="13" pivotButton="0" quotePrefix="0" xfId="0"/>
    <xf numFmtId="0" fontId="15" fillId="0" borderId="14" pivotButton="0" quotePrefix="0" xfId="0"/>
    <xf numFmtId="0" fontId="13" fillId="0" borderId="15" pivotButton="0" quotePrefix="0" xfId="0"/>
    <xf numFmtId="164" fontId="14" fillId="5" borderId="16" applyAlignment="1" pivotButton="0" quotePrefix="0" xfId="0">
      <alignment horizontal="right"/>
    </xf>
    <xf numFmtId="0" fontId="15" fillId="0" borderId="17" pivotButton="0" quotePrefix="0" xfId="0"/>
    <xf numFmtId="1" fontId="14" fillId="5" borderId="8" applyAlignment="1" pivotButton="0" quotePrefix="0" xfId="0">
      <alignment horizontal="right"/>
    </xf>
    <xf numFmtId="1" fontId="14" fillId="5" borderId="16" applyAlignment="1" pivotButton="0" quotePrefix="0" xfId="0">
      <alignment horizontal="right"/>
    </xf>
    <xf numFmtId="164" fontId="16" fillId="6" borderId="3" applyAlignment="1" pivotButton="0" quotePrefix="0" xfId="0">
      <alignment horizontal="right"/>
    </xf>
    <xf numFmtId="164" fontId="16" fillId="6" borderId="8" applyAlignment="1" pivotButton="0" quotePrefix="0" xfId="0">
      <alignment horizontal="right"/>
    </xf>
    <xf numFmtId="164" fontId="16" fillId="6" borderId="11" applyAlignment="1" pivotButton="0" quotePrefix="0" xfId="0">
      <alignment horizontal="right"/>
    </xf>
    <xf numFmtId="164" fontId="16" fillId="6" borderId="16" applyAlignment="1" pivotButton="0" quotePrefix="0" xfId="0">
      <alignment horizontal="right"/>
    </xf>
    <xf numFmtId="0" fontId="17" fillId="7" borderId="2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10" fillId="0" borderId="5" pivotButton="0" quotePrefix="0" xfId="0"/>
    <xf numFmtId="164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7" fillId="7" borderId="10" applyAlignment="1" pivotButton="0" quotePrefix="0" xfId="0">
      <alignment horizontal="center" vertical="center" wrapText="1"/>
    </xf>
    <xf numFmtId="0" fontId="17" fillId="7" borderId="11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 wrapText="1"/>
    </xf>
    <xf numFmtId="0" fontId="10" fillId="0" borderId="13" pivotButton="0" quotePrefix="0" xfId="0"/>
    <xf numFmtId="164" fontId="10" fillId="0" borderId="14" pivotButton="0" quotePrefix="0" xfId="0"/>
    <xf numFmtId="0" fontId="10" fillId="0" borderId="15" pivotButton="0" quotePrefix="0" xfId="0"/>
    <xf numFmtId="0" fontId="10" fillId="0" borderId="16" pivotButton="0" quotePrefix="0" xfId="0"/>
    <xf numFmtId="0" fontId="10" fillId="0" borderId="17" pivotButton="0" quotePrefix="0" xfId="0"/>
    <xf numFmtId="0" fontId="10" fillId="0" borderId="6" pivotButton="0" quotePrefix="0" xfId="0"/>
    <xf numFmtId="0" fontId="10" fillId="0" borderId="14" pivotButton="0" quotePrefix="0" xfId="0"/>
    <xf numFmtId="164" fontId="14" fillId="5" borderId="3" applyAlignment="1" pivotButton="0" quotePrefix="0" xfId="0">
      <alignment horizontal="right"/>
    </xf>
    <xf numFmtId="164" fontId="16" fillId="6" borderId="3" applyAlignment="1" pivotButton="0" quotePrefix="0" xfId="0">
      <alignment horizontal="right"/>
    </xf>
    <xf numFmtId="164" fontId="14" fillId="5" borderId="0" applyAlignment="1" pivotButton="0" quotePrefix="0" xfId="0">
      <alignment horizontal="right"/>
    </xf>
    <xf numFmtId="164" fontId="16" fillId="6" borderId="0" applyAlignment="1" pivotButton="0" quotePrefix="0" xfId="0">
      <alignment horizontal="right"/>
    </xf>
    <xf numFmtId="164" fontId="14" fillId="5" borderId="8" applyAlignment="1" pivotButton="0" quotePrefix="0" xfId="0">
      <alignment horizontal="right"/>
    </xf>
    <xf numFmtId="164" fontId="16" fillId="6" borderId="8" applyAlignment="1" pivotButton="0" quotePrefix="0" xfId="0">
      <alignment horizontal="right"/>
    </xf>
    <xf numFmtId="165" fontId="14" fillId="5" borderId="0" applyAlignment="1" pivotButton="0" quotePrefix="0" xfId="0">
      <alignment horizontal="right"/>
    </xf>
    <xf numFmtId="1" fontId="14" fillId="5" borderId="8" applyAlignment="1" pivotButton="0" quotePrefix="0" xfId="0">
      <alignment horizontal="right"/>
    </xf>
    <xf numFmtId="164" fontId="10" fillId="0" borderId="0" pivotButton="0" quotePrefix="0" xfId="0"/>
    <xf numFmtId="164" fontId="10" fillId="0" borderId="6" pivotButton="0" quotePrefix="0" xfId="0"/>
    <xf numFmtId="165" fontId="1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10" fillId="5" borderId="0" pivotButton="0" quotePrefix="0" xfId="0"/>
    <xf numFmtId="164" fontId="10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18" fillId="8" borderId="1" applyAlignment="1" pivotButton="0" quotePrefix="0" xfId="0">
      <alignment wrapText="1"/>
    </xf>
    <xf numFmtId="0" fontId="19" fillId="9" borderId="1" applyAlignment="1" pivotButton="0" quotePrefix="0" xfId="0">
      <alignment vertical="center"/>
    </xf>
    <xf numFmtId="0" fontId="18" fillId="8" borderId="1" applyAlignment="1" pivotButton="0" quotePrefix="0" xfId="0">
      <alignment vertical="top" wrapText="1"/>
    </xf>
    <xf numFmtId="0" fontId="20" fillId="10" borderId="1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right"/>
    </xf>
    <xf numFmtId="0" fontId="6" fillId="0" borderId="0" pivotButton="0" quotePrefix="0" xfId="0"/>
    <xf numFmtId="164" fontId="5" fillId="5" borderId="0" applyAlignment="1" pivotButton="0" quotePrefix="0" xfId="0">
      <alignment horizontal="right"/>
    </xf>
    <xf numFmtId="165" fontId="5" fillId="5" borderId="0" applyAlignment="1" pivotButton="0" quotePrefix="0" xfId="0">
      <alignment horizontal="right"/>
    </xf>
    <xf numFmtId="1" fontId="5" fillId="5" borderId="0" applyAlignment="1" pivotButton="0" quotePrefix="0" xfId="0">
      <alignment horizontal="right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8" fillId="7" borderId="0" applyAlignment="1" pivotButton="0" quotePrefix="0" xfId="0">
      <alignment horizontal="center" wrapText="1"/>
    </xf>
    <xf numFmtId="0" fontId="8" fillId="7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3" borderId="0" applyAlignment="1" pivotButton="0" quotePrefix="0" xfId="0">
      <alignment vertical="top" wrapText="1"/>
    </xf>
    <xf numFmtId="0" fontId="12" fillId="4" borderId="0" applyAlignment="1" pivotButton="0" quotePrefix="0" xfId="0">
      <alignment horizontal="left" vertical="center"/>
    </xf>
    <xf numFmtId="0" fontId="13" fillId="0" borderId="0" pivotButton="0" quotePrefix="0" xfId="0"/>
    <xf numFmtId="164" fontId="14" fillId="5" borderId="0" applyAlignment="1" pivotButton="0" quotePrefix="0" xfId="0">
      <alignment horizontal="right"/>
    </xf>
    <xf numFmtId="0" fontId="15" fillId="0" borderId="0" pivotButton="0" quotePrefix="0" xfId="0"/>
    <xf numFmtId="164" fontId="16" fillId="6" borderId="0" applyAlignment="1" pivotButton="0" quotePrefix="0" xfId="0">
      <alignment horizontal="right"/>
    </xf>
    <xf numFmtId="165" fontId="14" fillId="5" borderId="0" applyAlignment="1" pivotButton="0" quotePrefix="0" xfId="0">
      <alignment horizontal="right"/>
    </xf>
    <xf numFmtId="1" fontId="14" fillId="5" borderId="0" applyAlignment="1" pivotButton="0" quotePrefix="0" xfId="0">
      <alignment horizontal="right"/>
    </xf>
    <xf numFmtId="0" fontId="17" fillId="7" borderId="0" applyAlignment="1" pivotButton="0" quotePrefix="0" xfId="0">
      <alignment horizontal="center" vertical="center" wrapText="1"/>
    </xf>
    <xf numFmtId="164" fontId="10" fillId="0" borderId="0" pivotButton="0" quotePrefix="0" xfId="0"/>
    <xf numFmtId="165" fontId="10" fillId="0" borderId="0" pivotButton="0" quotePrefix="0" xfId="0"/>
    <xf numFmtId="165" fontId="10" fillId="5" borderId="0" pivotButton="0" quotePrefix="0" xfId="0"/>
    <xf numFmtId="164" fontId="10" fillId="5" borderId="0" pivotButton="0" quotePrefix="0" xfId="0"/>
    <xf numFmtId="0" fontId="10" fillId="0" borderId="0" applyAlignment="1" pivotButton="0" quotePrefix="0" xfId="0">
      <alignment vertical="top" wrapText="1"/>
    </xf>
    <xf numFmtId="0" fontId="18" fillId="3" borderId="0" applyAlignment="1" pivotButton="0" quotePrefix="0" xfId="0">
      <alignment wrapText="1"/>
    </xf>
    <xf numFmtId="0" fontId="9" fillId="2" borderId="0" applyAlignment="1" pivotButton="0" quotePrefix="0" xfId="0">
      <alignment vertical="center"/>
    </xf>
    <xf numFmtId="0" fontId="18" fillId="3" borderId="0" applyAlignment="1" pivotButton="0" quotePrefix="0" xfId="0">
      <alignment vertical="top" wrapText="1"/>
    </xf>
    <xf numFmtId="0" fontId="20" fillId="4" borderId="0" applyAlignment="1" pivotButton="0" quotePrefix="0" xfId="0">
      <alignment vertical="center"/>
    </xf>
    <xf numFmtId="0" fontId="18" fillId="11" borderId="0" applyAlignment="1" pivotButton="0" quotePrefix="0" xfId="0">
      <alignment vertical="top" wrapText="1"/>
    </xf>
    <xf numFmtId="0" fontId="0" fillId="11" borderId="0" pivotButton="0" quotePrefix="0" xfId="0"/>
    <xf numFmtId="0" fontId="21" fillId="11" borderId="0" applyAlignment="1" pivotButton="0" quotePrefix="0" xfId="0">
      <alignment vertical="top" wrapText="1"/>
    </xf>
    <xf numFmtId="0" fontId="11" fillId="11" borderId="0" pivotButton="0" quotePrefix="0" xfId="0"/>
    <xf numFmtId="0" fontId="11" fillId="11" borderId="0" applyAlignment="1" pivotButton="0" quotePrefix="0" xfId="0">
      <alignment wrapText="1"/>
    </xf>
    <xf numFmtId="0" fontId="11" fillId="11" borderId="0" applyAlignment="1" pivotButton="0" quotePrefix="0" xfId="0">
      <alignment vertical="top" wrapText="1"/>
    </xf>
    <xf numFmtId="0" fontId="9" fillId="2" borderId="17" applyAlignment="1" pivotButton="0" quotePrefix="0" xfId="0">
      <alignment horizontal="left" vertical="center"/>
    </xf>
    <xf numFmtId="0" fontId="0" fillId="0" borderId="17" pivotButton="0" quotePrefix="0" xfId="0"/>
    <xf numFmtId="0" fontId="11" fillId="3" borderId="17" applyAlignment="1" pivotButton="0" quotePrefix="0" xfId="0">
      <alignment vertical="top" wrapText="1"/>
    </xf>
    <xf numFmtId="0" fontId="12" fillId="4" borderId="17" applyAlignment="1" pivotButton="0" quotePrefix="0" xfId="0">
      <alignment horizontal="left" vertical="center"/>
    </xf>
    <xf numFmtId="0" fontId="18" fillId="8" borderId="17" applyAlignment="1" pivotButton="0" quotePrefix="0" xfId="0">
      <alignment wrapText="1"/>
    </xf>
    <xf numFmtId="0" fontId="22" fillId="12" borderId="17" applyAlignment="1" pivotButton="0" quotePrefix="0" xfId="0">
      <alignment vertical="center"/>
    </xf>
    <xf numFmtId="0" fontId="23" fillId="13" borderId="17" applyAlignment="1" pivotButton="0" quotePrefix="0" xfId="0">
      <alignment vertical="top" wrapText="1"/>
    </xf>
    <xf numFmtId="0" fontId="19" fillId="9" borderId="17" applyAlignment="1" pivotButton="0" quotePrefix="0" xfId="0">
      <alignment vertical="center"/>
    </xf>
    <xf numFmtId="0" fontId="20" fillId="10" borderId="17" applyAlignment="1" pivotButton="0" quotePrefix="0" xfId="0">
      <alignment vertical="center"/>
    </xf>
    <xf numFmtId="0" fontId="18" fillId="8" borderId="17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差動 |ZDM|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差動 |ZDM|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'グラフ'!$P$4:$P$804</f>
              <strCache>
                <ptCount val="0"/>
              </strCache>
            </strRef>
          </cat>
          <val>
            <numRef>
              <f>'差動モデル'!$U$4:$U$804</f>
              <numCache>
                <formatCode>"10^"0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 w="4763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周波数 [Hz]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>None</a:t>
              </a:r>
            </a:p>
          </txPr>
        </title>
        <numFmt formatCode="General" sourceLinked="0"/>
        <majorTickMark val="out"/>
        <minorTickMark val="in"/>
        <tickLblPos val="nextTo"/>
        <spPr>
          <a:ln xmlns:a="http://schemas.openxmlformats.org/drawingml/2006/main" w="9525">
            <a:solidFill>
              <a:srgbClr val="808080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  <a:r>
              <a:t>None</a:t>
            </a:r>
          </a:p>
        </txPr>
        <crossAx val="48672768"/>
        <crosses val="autoZero"/>
        <lblAlgn val="ctr"/>
        <lblOffset val="100"/>
        <tickLblSkip val="114"/>
        <tickMarkSkip val="14"/>
        <noMultiLvlLbl val="0"/>
      </catAx>
      <valAx>
        <axId val="48672768"/>
        <scaling>
          <orientation val="minMax"/>
          <max val="6"/>
          <min val="-1"/>
        </scaling>
        <delete val="0"/>
        <axPos val="l"/>
        <majorGridlines>
          <spPr>
            <a:ln xmlns:a="http://schemas.openxmlformats.org/drawingml/2006/main" w="9525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 w="4763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|Z| [Ω]（対数目盛）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>None</a:t>
              </a:r>
            </a:p>
          </txPr>
        </title>
        <numFmt formatCode="&quot;10^&quot;0" sourceLinked="0"/>
        <majorTickMark val="out"/>
        <minorTickMark val="in"/>
        <tickLblPos val="nextTo"/>
        <spPr>
          <a:ln xmlns:a="http://schemas.openxmlformats.org/drawingml/2006/main" w="9525">
            <a:solidFill>
              <a:srgbClr val="808080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  <a:r>
              <a:t>None</a:t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差動 位相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差動 位相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'グラフ'!$P$4:$P$804</f>
              <strCache>
                <ptCount val="0"/>
              </strCache>
            </strRef>
          </cat>
          <val>
            <numRef>
              <f>'差動モデル'!$S$4:$S$804</f>
              <numCache>
                <formatCode>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 w="4763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周波数 [Hz]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>None</a:t>
              </a:r>
            </a:p>
          </txPr>
        </title>
        <numFmt formatCode="General" sourceLinked="0"/>
        <majorTickMark val="out"/>
        <minorTickMark val="in"/>
        <tickLblPos val="nextTo"/>
        <spPr>
          <a:ln xmlns:a="http://schemas.openxmlformats.org/drawingml/2006/main" w="9525">
            <a:solidFill>
              <a:srgbClr val="808080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  <a:r>
              <a:t>None</a:t>
            </a:r>
          </a:p>
        </txPr>
        <crossAx val="48672768"/>
        <crosses val="autoZero"/>
        <lblAlgn val="ctr"/>
        <lblOffset val="100"/>
        <tickLblSkip val="114"/>
        <tickMarkSkip val="14"/>
        <noMultiLvlLbl val="0"/>
      </catAx>
      <valAx>
        <axId val="48672768"/>
        <scaling>
          <orientation val="minMax"/>
          <max val="180"/>
          <min val="-180"/>
        </scaling>
        <delete val="0"/>
        <axPos val="l"/>
        <majorGridlines>
          <spPr>
            <a:ln xmlns:a="http://schemas.openxmlformats.org/drawingml/2006/main" w="9525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 w="4763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位相 [deg]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>None</a:t>
              </a:r>
            </a:p>
          </txPr>
        </title>
        <numFmt formatCode="0" sourceLinked="0"/>
        <majorTickMark val="out"/>
        <minorTickMark val="in"/>
        <tickLblPos val="nextTo"/>
        <spPr>
          <a:ln xmlns:a="http://schemas.openxmlformats.org/drawingml/2006/main" w="9525">
            <a:solidFill>
              <a:srgbClr val="808080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  <a:r>
              <a:t>None</a:t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同相3導体 |ZCM|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同相3導体 |ZCM|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'グラフ'!$Q$4:$Q$804</f>
              <strCache>
                <ptCount val="0"/>
              </strCache>
            </strRef>
          </cat>
          <val>
            <numRef>
              <f>'同相3導体'!$AE$4:$AE$804</f>
              <numCache>
                <formatCode>"10^"0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 w="4763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周波数 [Hz]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>None</a:t>
              </a:r>
            </a:p>
          </txPr>
        </title>
        <numFmt formatCode="General" sourceLinked="0"/>
        <majorTickMark val="out"/>
        <minorTickMark val="in"/>
        <tickLblPos val="nextTo"/>
        <spPr>
          <a:ln xmlns:a="http://schemas.openxmlformats.org/drawingml/2006/main" w="9525">
            <a:solidFill>
              <a:srgbClr val="808080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  <a:r>
              <a:t>None</a:t>
            </a:r>
          </a:p>
        </txPr>
        <crossAx val="48672768"/>
        <crosses val="autoZero"/>
        <lblAlgn val="ctr"/>
        <lblOffset val="100"/>
        <tickLblSkip val="114"/>
        <tickMarkSkip val="14"/>
        <noMultiLvlLbl val="0"/>
      </catAx>
      <valAx>
        <axId val="48672768"/>
        <scaling>
          <orientation val="minMax"/>
          <max val="6"/>
          <min val="-1"/>
        </scaling>
        <delete val="0"/>
        <axPos val="l"/>
        <majorGridlines>
          <spPr>
            <a:ln xmlns:a="http://schemas.openxmlformats.org/drawingml/2006/main" w="9525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 w="4763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|Z| [Ω]（対数目盛）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>None</a:t>
              </a:r>
            </a:p>
          </txPr>
        </title>
        <numFmt formatCode="&quot;10^&quot;0" sourceLinked="0"/>
        <majorTickMark val="out"/>
        <minorTickMark val="in"/>
        <tickLblPos val="nextTo"/>
        <spPr>
          <a:ln xmlns:a="http://schemas.openxmlformats.org/drawingml/2006/main" w="9525">
            <a:solidFill>
              <a:srgbClr val="808080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  <a:r>
              <a:t>None</a:t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同相3導体 位相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同相3導体 位相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'グラフ'!$Q$4:$Q$804</f>
              <strCache>
                <ptCount val="0"/>
              </strCache>
            </strRef>
          </cat>
          <val>
            <numRef>
              <f>'同相3導体'!$AC$4:$AC$804</f>
              <numCache>
                <formatCode>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 w="4763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周波数 [Hz]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>None</a:t>
              </a:r>
            </a:p>
          </txPr>
        </title>
        <numFmt formatCode="General" sourceLinked="0"/>
        <majorTickMark val="out"/>
        <minorTickMark val="in"/>
        <tickLblPos val="nextTo"/>
        <spPr>
          <a:ln xmlns:a="http://schemas.openxmlformats.org/drawingml/2006/main" w="9525">
            <a:solidFill>
              <a:srgbClr val="808080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  <a:r>
              <a:t>None</a:t>
            </a:r>
          </a:p>
        </txPr>
        <crossAx val="48672768"/>
        <crosses val="autoZero"/>
        <lblAlgn val="ctr"/>
        <lblOffset val="100"/>
        <tickLblSkip val="114"/>
        <tickMarkSkip val="14"/>
        <noMultiLvlLbl val="0"/>
      </catAx>
      <valAx>
        <axId val="48672768"/>
        <scaling>
          <orientation val="minMax"/>
          <max val="180"/>
          <min val="-180"/>
        </scaling>
        <delete val="0"/>
        <axPos val="l"/>
        <majorGridlines>
          <spPr>
            <a:ln xmlns:a="http://schemas.openxmlformats.org/drawingml/2006/main" w="9525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 w="4763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位相 [deg]</a:t>
                </a:r>
              </a:p>
            </rich>
          </tx>
          <overlay val="0"/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  <a:r>
                <a:t>None</a:t>
              </a:r>
            </a:p>
          </txPr>
        </title>
        <numFmt formatCode="0" sourceLinked="0"/>
        <majorTickMark val="out"/>
        <minorTickMark val="in"/>
        <tickLblPos val="nextTo"/>
        <spPr>
          <a:ln xmlns:a="http://schemas.openxmlformats.org/drawingml/2006/main" w="9525">
            <a:solidFill>
              <a:srgbClr val="808080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  <a:r>
              <a:t>None</a:t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3</row>
      <rowOff>0</rowOff>
    </from>
    <to>
      <col>14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23</row>
      <rowOff>0</rowOff>
    </from>
    <to>
      <col>14</col>
      <colOff>0</colOff>
      <row>42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43</row>
      <rowOff>0</rowOff>
    </from>
    <to>
      <col>14</col>
      <colOff>0</colOff>
      <row>62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0</colOff>
      <row>63</row>
      <rowOff>0</rowOff>
    </from>
    <to>
      <col>14</col>
      <colOff>0</colOff>
      <row>82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14287500" cy="7762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selection activeCell="A1" sqref="A1"/>
    </sheetView>
  </sheetViews>
  <sheetFormatPr baseColWidth="8" defaultRowHeight="15"/>
  <cols>
    <col width="31" customWidth="1" style="165" min="1" max="1"/>
    <col width="15" customWidth="1" style="165" min="2" max="2"/>
    <col width="25" customWidth="1" style="165" min="3" max="3"/>
    <col width="30" customWidth="1" style="165" min="4" max="4"/>
    <col width="15" customWidth="1" style="165" min="5" max="5"/>
    <col width="18" customWidth="1" style="165" min="6" max="6"/>
  </cols>
  <sheetData>
    <row r="1" ht="30" customHeight="1" s="165">
      <c r="A1" s="227" t="inlineStr">
        <is>
          <t>MVVS 0.5sq×2芯＋UL1007 AWG20　差動／3導体同相解析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</row>
    <row r="2" ht="28" customHeight="1" s="165">
      <c r="A2" s="229" t="inlineStr">
        <is>
          <t>同相解析は、P＝2芯一括、S＝編組シールド、G＝AWG20 GND線の3物理導体モデルです。理想シールド近似により、内部モード(P-S)と外部モード(S-G)へ厳密に変換して解きます。</t>
        </is>
      </c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</row>
    <row r="3" ht="28" customHeight="1" s="165">
      <c r="A3" s="228" t="n"/>
      <c r="B3" s="228" t="n"/>
      <c r="C3" s="228" t="n"/>
      <c r="D3" s="228" t="n"/>
      <c r="E3" s="228" t="n"/>
      <c r="F3" s="228" t="n"/>
      <c r="G3" s="228" t="n"/>
      <c r="H3" s="228" t="n"/>
      <c r="I3" s="228" t="n"/>
      <c r="J3" s="228" t="n"/>
      <c r="K3" s="228" t="n"/>
      <c r="L3" s="228" t="n"/>
      <c r="M3" s="228" t="n"/>
      <c r="N3" s="228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  <c r="AA3" s="202" t="n"/>
      <c r="AB3" s="202" t="n"/>
      <c r="AC3" s="202" t="n"/>
      <c r="AD3" s="202" t="n"/>
      <c r="AE3" s="202" t="n"/>
      <c r="AF3" s="202" t="n"/>
      <c r="AG3" s="202" t="n"/>
    </row>
    <row r="4">
      <c r="A4" s="202" t="n"/>
      <c r="B4" s="202" t="n"/>
      <c r="C4" s="202" t="n"/>
      <c r="D4" s="202" t="n"/>
      <c r="E4" s="202" t="n"/>
      <c r="F4" s="202" t="n"/>
      <c r="G4" s="202" t="n"/>
      <c r="H4" s="202" t="n"/>
      <c r="I4" s="202" t="n"/>
      <c r="J4" s="202" t="n"/>
      <c r="K4" s="202" t="n"/>
      <c r="L4" s="202" t="n"/>
      <c r="M4" s="202" t="n"/>
      <c r="N4" s="202" t="n"/>
      <c r="O4" s="202" t="n"/>
      <c r="P4" s="202" t="n"/>
      <c r="Q4" s="202" t="n"/>
      <c r="R4" s="202" t="n"/>
      <c r="S4" s="202" t="n"/>
      <c r="T4" s="202" t="n"/>
      <c r="U4" s="202" t="n"/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>
      <c r="A5" s="230" t="inlineStr">
        <is>
          <t>形状・代表物性（黄色セルを変更）</t>
        </is>
      </c>
      <c r="B5" s="228" t="n"/>
      <c r="C5" s="228" t="n"/>
      <c r="D5" s="230" t="inlineStr">
        <is>
          <t>派生値</t>
        </is>
      </c>
      <c r="E5" s="228" t="n"/>
      <c r="F5" s="228" t="n"/>
      <c r="G5" s="202" t="n"/>
      <c r="H5" s="202" t="n"/>
      <c r="I5" s="202" t="n"/>
      <c r="J5" s="202" t="n"/>
      <c r="K5" s="202" t="n"/>
      <c r="L5" s="202" t="n"/>
      <c r="M5" s="202" t="n"/>
      <c r="N5" s="202" t="n"/>
      <c r="O5" s="202" t="n"/>
      <c r="P5" s="202" t="n"/>
      <c r="Q5" s="202" t="n"/>
      <c r="R5" s="202" t="n"/>
      <c r="S5" s="202" t="n"/>
      <c r="T5" s="202" t="n"/>
      <c r="U5" s="202" t="n"/>
      <c r="V5" s="202" t="n"/>
      <c r="W5" s="202" t="n"/>
      <c r="X5" s="202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</row>
    <row r="6">
      <c r="A6" s="104" t="inlineStr">
        <is>
          <t>線路長</t>
        </is>
      </c>
      <c r="B6" s="144" t="n">
        <v>6</v>
      </c>
      <c r="C6" s="106" t="inlineStr">
        <is>
          <t>m</t>
        </is>
      </c>
      <c r="D6" s="104" t="inlineStr">
        <is>
          <t>ケーブル・GND線中心間距離</t>
        </is>
      </c>
      <c r="E6" s="145">
        <f>(B7+B10)/2</f>
        <v/>
      </c>
      <c r="F6" s="106" t="inlineStr">
        <is>
          <t>mm</t>
        </is>
      </c>
      <c r="G6" s="202" t="n"/>
      <c r="H6" s="202" t="n"/>
      <c r="I6" s="202" t="n"/>
      <c r="J6" s="202" t="n"/>
      <c r="K6" s="202" t="n"/>
      <c r="L6" s="202" t="n"/>
      <c r="M6" s="202" t="n"/>
      <c r="N6" s="202" t="n"/>
      <c r="O6" s="202" t="n"/>
      <c r="P6" s="202" t="n"/>
      <c r="Q6" s="202" t="n"/>
      <c r="R6" s="202" t="n"/>
      <c r="S6" s="202" t="n"/>
      <c r="T6" s="202" t="n"/>
      <c r="U6" s="202" t="n"/>
      <c r="V6" s="202" t="n"/>
      <c r="W6" s="202" t="n"/>
      <c r="X6" s="202" t="n"/>
      <c r="Y6" s="202" t="n"/>
      <c r="Z6" s="202" t="n"/>
      <c r="AA6" s="202" t="n"/>
      <c r="AB6" s="202" t="n"/>
      <c r="AC6" s="202" t="n"/>
      <c r="AD6" s="202" t="n"/>
      <c r="AE6" s="202" t="n"/>
      <c r="AF6" s="202" t="n"/>
      <c r="AG6" s="202" t="n"/>
    </row>
    <row r="7">
      <c r="A7" s="107" t="inlineStr">
        <is>
          <t>MVVSケーブル仕上外径</t>
        </is>
      </c>
      <c r="B7" s="206" t="n">
        <v>6.2</v>
      </c>
      <c r="C7" s="108" t="inlineStr">
        <is>
          <t>mm</t>
        </is>
      </c>
      <c r="D7" s="107" t="inlineStr">
        <is>
          <t>シールド－GND導体最短距離</t>
        </is>
      </c>
      <c r="E7" s="208">
        <f>E6-B8/2-B11/2</f>
        <v/>
      </c>
      <c r="F7" s="108" t="inlineStr">
        <is>
          <t>mm</t>
        </is>
      </c>
      <c r="G7" s="202" t="n"/>
      <c r="H7" s="202" t="n"/>
      <c r="I7" s="202" t="n"/>
      <c r="J7" s="202" t="n"/>
      <c r="K7" s="202" t="n"/>
      <c r="L7" s="202" t="n"/>
      <c r="M7" s="202" t="n"/>
      <c r="N7" s="202" t="n"/>
      <c r="O7" s="202" t="n"/>
      <c r="P7" s="202" t="n"/>
      <c r="Q7" s="202" t="n"/>
      <c r="R7" s="202" t="n"/>
      <c r="S7" s="202" t="n"/>
      <c r="T7" s="202" t="n"/>
      <c r="U7" s="202" t="n"/>
      <c r="V7" s="202" t="n"/>
      <c r="W7" s="202" t="n"/>
      <c r="X7" s="202" t="n"/>
      <c r="Y7" s="202" t="n"/>
      <c r="Z7" s="202" t="n"/>
      <c r="AA7" s="202" t="n"/>
      <c r="AB7" s="202" t="n"/>
      <c r="AC7" s="202" t="n"/>
      <c r="AD7" s="202" t="n"/>
      <c r="AE7" s="202" t="n"/>
      <c r="AF7" s="202" t="n"/>
      <c r="AG7" s="202" t="n"/>
    </row>
    <row r="8">
      <c r="A8" s="107" t="inlineStr">
        <is>
          <t>MVVSシールド外径</t>
        </is>
      </c>
      <c r="B8" s="206" t="n">
        <v>4.3</v>
      </c>
      <c r="C8" s="108" t="inlineStr">
        <is>
          <t>mm</t>
        </is>
      </c>
      <c r="D8" s="107" t="inlineStr">
        <is>
          <t>外部2円柱パラメータ χ</t>
        </is>
      </c>
      <c r="E8" s="208">
        <f>ACOSH(((E6/1000)^2-(B8/2000)^2-(B11/2000)^2)/(2*(B8/2000)*(B11/2000)))</f>
        <v/>
      </c>
      <c r="F8" s="108" t="inlineStr">
        <is>
          <t>－</t>
        </is>
      </c>
      <c r="G8" s="202" t="n"/>
      <c r="H8" s="202" t="n"/>
      <c r="I8" s="202" t="n"/>
      <c r="J8" s="202" t="n"/>
      <c r="K8" s="202" t="n"/>
      <c r="L8" s="202" t="n"/>
      <c r="M8" s="202" t="n"/>
      <c r="N8" s="202" t="n"/>
      <c r="O8" s="202" t="n"/>
      <c r="P8" s="202" t="n"/>
      <c r="Q8" s="202" t="n"/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2" t="n"/>
      <c r="AF8" s="202" t="n"/>
      <c r="AG8" s="202" t="n"/>
    </row>
    <row r="9">
      <c r="A9" s="107" t="inlineStr">
        <is>
          <t>MVVS 1芯絶縁外径</t>
        </is>
      </c>
      <c r="B9" s="206" t="n">
        <v>1.9</v>
      </c>
      <c r="C9" s="108" t="inlineStr">
        <is>
          <t>mm</t>
        </is>
      </c>
      <c r="D9" s="107" t="inlineStr">
        <is>
          <t>内部モード Z01</t>
        </is>
      </c>
      <c r="E9" s="208">
        <f>1/(299792458*B13*B12*1E-12)</f>
        <v/>
      </c>
      <c r="F9" s="108" t="inlineStr">
        <is>
          <t>Ω</t>
        </is>
      </c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</row>
    <row r="10">
      <c r="A10" s="107" t="inlineStr">
        <is>
          <t>UL1007仕上外径</t>
        </is>
      </c>
      <c r="B10" s="206" t="n">
        <v>1.8</v>
      </c>
      <c r="C10" s="108" t="inlineStr">
        <is>
          <t>mm</t>
        </is>
      </c>
      <c r="D10" s="107" t="inlineStr">
        <is>
          <t>内部モード L1</t>
        </is>
      </c>
      <c r="E10" s="208">
        <f>E9/(299792458*B13)*1E9</f>
        <v/>
      </c>
      <c r="F10" s="108" t="inlineStr">
        <is>
          <t>nH/m</t>
        </is>
      </c>
      <c r="G10" s="202" t="n"/>
      <c r="H10" s="202" t="n"/>
      <c r="I10" s="202" t="n"/>
      <c r="J10" s="202" t="n"/>
      <c r="K10" s="202" t="n"/>
      <c r="L10" s="202" t="n"/>
      <c r="M10" s="202" t="n"/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202" t="n"/>
      <c r="AF10" s="202" t="n"/>
      <c r="AG10" s="202" t="n"/>
    </row>
    <row r="11">
      <c r="A11" s="107" t="inlineStr">
        <is>
          <t>UL1007導体外径</t>
        </is>
      </c>
      <c r="B11" s="206" t="n">
        <v>0.95</v>
      </c>
      <c r="C11" s="108" t="inlineStr">
        <is>
          <t>mm</t>
        </is>
      </c>
      <c r="D11" s="107" t="inlineStr">
        <is>
          <t>内部モード片道遅延</t>
        </is>
      </c>
      <c r="E11" s="208">
        <f>B6/(299792458*B13)*1E9</f>
        <v/>
      </c>
      <c r="F11" s="108" t="inlineStr">
        <is>
          <t>ns</t>
        </is>
      </c>
      <c r="G11" s="202" t="n"/>
      <c r="H11" s="202" t="n"/>
      <c r="I11" s="202" t="n"/>
      <c r="J11" s="202" t="n"/>
      <c r="K11" s="202" t="n"/>
      <c r="L11" s="202" t="n"/>
      <c r="M11" s="202" t="n"/>
      <c r="N11" s="202" t="n"/>
      <c r="O11" s="202" t="n"/>
      <c r="P11" s="202" t="n"/>
      <c r="Q11" s="202" t="n"/>
      <c r="R11" s="202" t="n"/>
      <c r="S11" s="202" t="n"/>
      <c r="T11" s="202" t="n"/>
      <c r="U11" s="202" t="n"/>
      <c r="V11" s="202" t="n"/>
      <c r="W11" s="202" t="n"/>
      <c r="X11" s="202" t="n"/>
      <c r="Y11" s="202" t="n"/>
      <c r="Z11" s="202" t="n"/>
      <c r="AA11" s="202" t="n"/>
      <c r="AB11" s="202" t="n"/>
      <c r="AC11" s="202" t="n"/>
      <c r="AD11" s="202" t="n"/>
      <c r="AE11" s="202" t="n"/>
      <c r="AF11" s="202" t="n"/>
      <c r="AG11" s="202" t="n"/>
    </row>
    <row r="12">
      <c r="A12" s="107" t="inlineStr">
        <is>
          <t>内部モード C(P-S)</t>
        </is>
      </c>
      <c r="B12" s="206" t="n">
        <v>200</v>
      </c>
      <c r="C12" s="108" t="inlineStr">
        <is>
          <t>pF/m（代表値）</t>
        </is>
      </c>
      <c r="D12" s="107" t="inlineStr">
        <is>
          <t>内部モード 1/4波長</t>
        </is>
      </c>
      <c r="E12" s="208">
        <f>1/(4*E11*1E-9)/1E6</f>
        <v/>
      </c>
      <c r="F12" s="108" t="inlineStr">
        <is>
          <t>MHz</t>
        </is>
      </c>
      <c r="G12" s="202" t="n"/>
      <c r="H12" s="202" t="n"/>
      <c r="I12" s="202" t="n"/>
      <c r="J12" s="202" t="n"/>
      <c r="K12" s="202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2" t="n"/>
      <c r="U12" s="202" t="n"/>
      <c r="V12" s="202" t="n"/>
      <c r="W12" s="202" t="n"/>
      <c r="X12" s="202" t="n"/>
      <c r="Y12" s="202" t="n"/>
      <c r="Z12" s="202" t="n"/>
      <c r="AA12" s="202" t="n"/>
      <c r="AB12" s="202" t="n"/>
      <c r="AC12" s="202" t="n"/>
      <c r="AD12" s="202" t="n"/>
      <c r="AE12" s="202" t="n"/>
      <c r="AF12" s="202" t="n"/>
      <c r="AG12" s="202" t="n"/>
    </row>
    <row r="13">
      <c r="A13" s="107" t="inlineStr">
        <is>
          <t>内部モード速度係数</t>
        </is>
      </c>
      <c r="B13" s="206" t="n">
        <v>0.62</v>
      </c>
      <c r="C13" s="108" t="inlineStr">
        <is>
          <t>－</t>
        </is>
      </c>
      <c r="D13" s="107" t="inlineStr">
        <is>
          <t>外部モード C2</t>
        </is>
      </c>
      <c r="E13" s="208">
        <f>2*PI()*8.854187817E-12*B14/E8*1E12</f>
        <v/>
      </c>
      <c r="F13" s="108" t="inlineStr">
        <is>
          <t>pF/m</t>
        </is>
      </c>
      <c r="G13" s="202" t="n"/>
      <c r="H13" s="202" t="n"/>
      <c r="I13" s="202" t="n"/>
      <c r="J13" s="202" t="n"/>
      <c r="K13" s="202" t="n"/>
      <c r="L13" s="202" t="n"/>
      <c r="M13" s="202" t="n"/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02" t="n"/>
      <c r="AB13" s="202" t="n"/>
      <c r="AC13" s="202" t="n"/>
      <c r="AD13" s="202" t="n"/>
      <c r="AE13" s="202" t="n"/>
      <c r="AF13" s="202" t="n"/>
      <c r="AG13" s="202" t="n"/>
    </row>
    <row r="14">
      <c r="A14" s="107" t="inlineStr">
        <is>
          <t>外部モード実効比誘電率</t>
        </is>
      </c>
      <c r="B14" s="206" t="n">
        <v>2.2</v>
      </c>
      <c r="C14" s="108" t="inlineStr">
        <is>
          <t>－（PVC＋空気の代表値）</t>
        </is>
      </c>
      <c r="D14" s="107" t="inlineStr">
        <is>
          <t>外部モード L2</t>
        </is>
      </c>
      <c r="E14" s="208">
        <f>4*PI()*1E-7*E8/(2*PI())*1E9</f>
        <v/>
      </c>
      <c r="F14" s="108" t="inlineStr">
        <is>
          <t>nH/m</t>
        </is>
      </c>
      <c r="G14" s="202" t="n"/>
      <c r="H14" s="202" t="n"/>
      <c r="I14" s="202" t="n"/>
      <c r="J14" s="202" t="n"/>
      <c r="K14" s="202" t="n"/>
      <c r="L14" s="202" t="n"/>
      <c r="M14" s="202" t="n"/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  <c r="AE14" s="202" t="n"/>
      <c r="AF14" s="202" t="n"/>
      <c r="AG14" s="202" t="n"/>
    </row>
    <row r="15">
      <c r="A15" s="107" t="inlineStr">
        <is>
          <t>内部誘電損失 tanδ</t>
        </is>
      </c>
      <c r="B15" s="206" t="n">
        <v>0.03</v>
      </c>
      <c r="C15" s="108" t="inlineStr">
        <is>
          <t>－</t>
        </is>
      </c>
      <c r="D15" s="107" t="inlineStr">
        <is>
          <t>外部モード Z02</t>
        </is>
      </c>
      <c r="E15" s="208">
        <f>SQRT(E14*1E-9/(E13*1E-12))</f>
        <v/>
      </c>
      <c r="F15" s="108" t="inlineStr">
        <is>
          <t>Ω</t>
        </is>
      </c>
      <c r="G15" s="202" t="n"/>
      <c r="H15" s="202" t="n"/>
      <c r="I15" s="202" t="n"/>
      <c r="J15" s="202" t="n"/>
      <c r="K15" s="202" t="n"/>
      <c r="L15" s="202" t="n"/>
      <c r="M15" s="202" t="n"/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</row>
    <row r="16">
      <c r="A16" s="107" t="inlineStr">
        <is>
          <t>外部誘電損失 tanδ</t>
        </is>
      </c>
      <c r="B16" s="206" t="n">
        <v>0.02</v>
      </c>
      <c r="C16" s="108" t="inlineStr">
        <is>
          <t>－</t>
        </is>
      </c>
      <c r="D16" s="107" t="inlineStr">
        <is>
          <t>外部モード速度係数</t>
        </is>
      </c>
      <c r="E16" s="208">
        <f>1/SQRT(B14)</f>
        <v/>
      </c>
      <c r="F16" s="108" t="inlineStr">
        <is>
          <t>－</t>
        </is>
      </c>
      <c r="G16" s="202" t="n"/>
      <c r="H16" s="202" t="n"/>
      <c r="I16" s="202" t="n"/>
      <c r="J16" s="202" t="n"/>
      <c r="K16" s="202" t="n"/>
      <c r="L16" s="202" t="n"/>
      <c r="M16" s="202" t="n"/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</row>
    <row r="17">
      <c r="A17" s="107" t="inlineStr">
        <is>
          <t>1芯導体抵抗</t>
        </is>
      </c>
      <c r="B17" s="206" t="n">
        <v>0.0378</v>
      </c>
      <c r="C17" s="108" t="inlineStr">
        <is>
          <t>Ω/m（37.8 Ω/km）</t>
        </is>
      </c>
      <c r="D17" s="107" t="inlineStr">
        <is>
          <t>外部モード片道遅延</t>
        </is>
      </c>
      <c r="E17" s="208">
        <f>B6/(299792458*E16)*1E9</f>
        <v/>
      </c>
      <c r="F17" s="108" t="inlineStr">
        <is>
          <t>ns</t>
        </is>
      </c>
      <c r="G17" s="202" t="n"/>
      <c r="H17" s="202" t="n"/>
      <c r="I17" s="202" t="n"/>
      <c r="J17" s="202" t="n"/>
      <c r="K17" s="202" t="n"/>
      <c r="L17" s="202" t="n"/>
      <c r="M17" s="202" t="n"/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</row>
    <row r="18">
      <c r="A18" s="107" t="inlineStr">
        <is>
          <t>シールド長手抵抗</t>
        </is>
      </c>
      <c r="B18" s="206" t="n">
        <v>0.025</v>
      </c>
      <c r="C18" s="108" t="inlineStr">
        <is>
          <t>Ω/m（代表値）</t>
        </is>
      </c>
      <c r="D18" s="107" t="inlineStr">
        <is>
          <t>外部モード 1/4波長</t>
        </is>
      </c>
      <c r="E18" s="208">
        <f>1/(4*E17*1E-9)/1E6</f>
        <v/>
      </c>
      <c r="F18" s="108" t="inlineStr">
        <is>
          <t>MHz</t>
        </is>
      </c>
      <c r="G18" s="202" t="n"/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</row>
    <row r="19">
      <c r="A19" s="107" t="inlineStr">
        <is>
          <t>GND線導体抵抗</t>
        </is>
      </c>
      <c r="B19" s="206" t="n">
        <v>0.035</v>
      </c>
      <c r="C19" s="108" t="inlineStr">
        <is>
          <t>Ω/m（代表値）</t>
        </is>
      </c>
      <c r="D19" s="107" t="inlineStr">
        <is>
          <t>P導体束抵抗</t>
        </is>
      </c>
      <c r="E19" s="208">
        <f>B17/2</f>
        <v/>
      </c>
      <c r="F19" s="108" t="inlineStr">
        <is>
          <t>Ω/m</t>
        </is>
      </c>
      <c r="G19" s="202" t="n"/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</row>
    <row r="20">
      <c r="A20" s="107" t="inlineStr">
        <is>
          <t>内部追加損失 k√f</t>
        </is>
      </c>
      <c r="B20" s="206" t="n">
        <v>0.003</v>
      </c>
      <c r="C20" s="108" t="inlineStr">
        <is>
          <t>Np/√MHz</t>
        </is>
      </c>
      <c r="D20" s="107" t="inlineStr">
        <is>
          <t>内部モード直流ループ抵抗</t>
        </is>
      </c>
      <c r="E20" s="208">
        <f>(E19+B18)*B6</f>
        <v/>
      </c>
      <c r="F20" s="108" t="inlineStr">
        <is>
          <t>Ω（6m）</t>
        </is>
      </c>
      <c r="G20" s="202" t="n"/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</row>
    <row r="21">
      <c r="A21" s="109" t="inlineStr">
        <is>
          <t>外部追加損失 k√f</t>
        </is>
      </c>
      <c r="B21" s="148" t="n">
        <v>0.004</v>
      </c>
      <c r="C21" s="111" t="inlineStr">
        <is>
          <t>Np/√MHz</t>
        </is>
      </c>
      <c r="D21" s="107" t="inlineStr">
        <is>
          <t>外部モード直流ループ抵抗</t>
        </is>
      </c>
      <c r="E21" s="208">
        <f>(B18+B19)*B6</f>
        <v/>
      </c>
      <c r="F21" s="108" t="inlineStr">
        <is>
          <t>Ω（6m）</t>
        </is>
      </c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</row>
    <row r="22">
      <c r="A22" s="202" t="n"/>
      <c r="B22" s="202" t="n"/>
      <c r="C22" s="202" t="n"/>
      <c r="D22" s="107" t="inlineStr">
        <is>
          <t>2個Cの低周波合成容量</t>
        </is>
      </c>
      <c r="E22" s="208">
        <f>B24+B27</f>
        <v/>
      </c>
      <c r="F22" s="108" t="inlineStr">
        <is>
          <t>µF</t>
        </is>
      </c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</row>
    <row r="23">
      <c r="A23" s="230" t="inlineStr">
        <is>
          <t>遠端負荷・差動条件</t>
        </is>
      </c>
      <c r="B23" s="228" t="n"/>
      <c r="C23" s="228" t="n"/>
      <c r="D23" s="107" t="inlineStr">
        <is>
          <t>同一値時の合成ESR</t>
        </is>
      </c>
      <c r="E23" s="208">
        <f>IF(AND(B25=B28),B25/2,NA())</f>
        <v/>
      </c>
      <c r="F23" s="108" t="inlineStr">
        <is>
          <t>Ω</t>
        </is>
      </c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</row>
    <row r="24">
      <c r="A24" s="104" t="inlineStr">
        <is>
          <t>コンデンサ1 容量</t>
        </is>
      </c>
      <c r="B24" s="144" t="n">
        <v>10</v>
      </c>
      <c r="C24" s="106" t="inlineStr">
        <is>
          <t>µF</t>
        </is>
      </c>
      <c r="D24" s="107" t="inlineStr">
        <is>
          <t>同一値時の合成ESL</t>
        </is>
      </c>
      <c r="E24" s="208">
        <f>IF(AND(B26=B29),B26/2,NA())</f>
        <v/>
      </c>
      <c r="F24" s="108" t="inlineStr">
        <is>
          <t>nH</t>
        </is>
      </c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</row>
    <row r="25">
      <c r="A25" s="107" t="inlineStr">
        <is>
          <t>コンデンサ1 ESR</t>
        </is>
      </c>
      <c r="B25" s="206" t="n">
        <v>0.05</v>
      </c>
      <c r="C25" s="108" t="inlineStr">
        <is>
          <t>Ω</t>
        </is>
      </c>
      <c r="D25" s="107" t="inlineStr">
        <is>
          <t>概算低周波直列共振</t>
        </is>
      </c>
      <c r="E25" s="208">
        <f>1/(2*PI()*SQRT(((E10+E14)*1E-9*B6+E24*1E-9)*E22*1E-6))/1E3</f>
        <v/>
      </c>
      <c r="F25" s="108" t="inlineStr">
        <is>
          <t>kHz</t>
        </is>
      </c>
      <c r="G25" s="202" t="n"/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</row>
    <row r="26">
      <c r="A26" s="107" t="inlineStr">
        <is>
          <t>コンデンサ1 ESL</t>
        </is>
      </c>
      <c r="B26" s="206" t="n">
        <v>20</v>
      </c>
      <c r="C26" s="108" t="inlineStr">
        <is>
          <t>nH</t>
        </is>
      </c>
      <c r="D26" s="107" t="inlineStr">
        <is>
          <t>差動1/4波長</t>
        </is>
      </c>
      <c r="E26" s="208">
        <f>B31*299792458/(4*B6)/1E6</f>
        <v/>
      </c>
      <c r="F26" s="108" t="inlineStr">
        <is>
          <t>MHz</t>
        </is>
      </c>
      <c r="G26" s="202" t="n"/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</row>
    <row r="27">
      <c r="A27" s="107" t="inlineStr">
        <is>
          <t>コンデンサ2 容量</t>
        </is>
      </c>
      <c r="B27" s="206" t="n">
        <v>10</v>
      </c>
      <c r="C27" s="108" t="inlineStr">
        <is>
          <t>µF</t>
        </is>
      </c>
      <c r="D27" s="109" t="inlineStr">
        <is>
          <t>差動1/2波長</t>
        </is>
      </c>
      <c r="E27" s="149">
        <f>B31*299792458/(2*B6)/1E6</f>
        <v/>
      </c>
      <c r="F27" s="111" t="inlineStr">
        <is>
          <t>MHz</t>
        </is>
      </c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</row>
    <row r="28">
      <c r="A28" s="107" t="inlineStr">
        <is>
          <t>コンデンサ2 ESR</t>
        </is>
      </c>
      <c r="B28" s="206" t="n">
        <v>0.05</v>
      </c>
      <c r="C28" s="108" t="inlineStr">
        <is>
          <t>Ω</t>
        </is>
      </c>
      <c r="D28" s="202" t="n"/>
      <c r="E28" s="202" t="n"/>
      <c r="F28" s="202" t="n"/>
      <c r="G28" s="202" t="n"/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</row>
    <row r="29">
      <c r="A29" s="107" t="inlineStr">
        <is>
          <t>コンデンサ2 ESL</t>
        </is>
      </c>
      <c r="B29" s="206" t="n">
        <v>20</v>
      </c>
      <c r="C29" s="108" t="inlineStr">
        <is>
          <t>nH</t>
        </is>
      </c>
      <c r="D29" s="230" t="inlineStr">
        <is>
          <t>3導体モデルの境界条件</t>
        </is>
      </c>
      <c r="E29" s="228" t="n"/>
      <c r="F29" s="228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</row>
    <row r="30">
      <c r="A30" s="107" t="inlineStr">
        <is>
          <t>差動特性インピーダンス Z0d</t>
        </is>
      </c>
      <c r="B30" s="206" t="n">
        <v>100</v>
      </c>
      <c r="C30" s="108" t="inlineStr">
        <is>
          <t>Ω</t>
        </is>
      </c>
      <c r="D30" s="229" t="inlineStr">
        <is>
          <t>近端：SとGはFG1で短絡 → VSG(0)=0。
遠端：Sは開放 → IS(l)=0。Pは10 µF×2の並列負荷でGへ接続。
モード電圧：v1=VP−VS（内部）、v2=VS−VG（外部）
モード電流：i1=IP、i2=IP+IS=−IG
遠端IS=0より i2(l)=i1(l)。外部モードを近端短絡線路として遠端から見たZext=Z02·tanh(γ2l)を、コンデンサ負荷へ直列加算し、内部モードを終端します。</t>
        </is>
      </c>
      <c r="E30" s="228" t="n"/>
      <c r="F30" s="228" t="n"/>
      <c r="G30" s="202" t="n"/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</row>
    <row r="31">
      <c r="A31" s="107" t="inlineStr">
        <is>
          <t>差動速度係数 VFd</t>
        </is>
      </c>
      <c r="B31" s="206" t="n">
        <v>0.64</v>
      </c>
      <c r="C31" s="108" t="inlineStr">
        <is>
          <t>－</t>
        </is>
      </c>
      <c r="D31" s="228" t="n"/>
      <c r="F31" s="228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</row>
    <row r="32">
      <c r="A32" s="107" t="inlineStr">
        <is>
          <t>差動 tanδ</t>
        </is>
      </c>
      <c r="B32" s="206" t="n">
        <v>0.025</v>
      </c>
      <c r="C32" s="108" t="inlineStr">
        <is>
          <t>－</t>
        </is>
      </c>
      <c r="D32" s="228" t="n"/>
      <c r="F32" s="228" t="n"/>
      <c r="G32" s="202" t="n"/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</row>
    <row r="33">
      <c r="A33" s="107" t="inlineStr">
        <is>
          <t>差動追加損失 k√f</t>
        </is>
      </c>
      <c r="B33" s="206" t="n">
        <v>0.003</v>
      </c>
      <c r="C33" s="108" t="inlineStr">
        <is>
          <t>Np/√MHz</t>
        </is>
      </c>
      <c r="D33" s="228" t="n"/>
      <c r="F33" s="228" t="n"/>
      <c r="G33" s="202" t="n"/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</row>
    <row r="34">
      <c r="A34" s="107" t="inlineStr">
        <is>
          <t>遠端短絡抵抗</t>
        </is>
      </c>
      <c r="B34" s="206" t="n">
        <v>0.01</v>
      </c>
      <c r="C34" s="108" t="inlineStr">
        <is>
          <t>Ω</t>
        </is>
      </c>
      <c r="D34" s="228" t="n"/>
      <c r="F34" s="228" t="n"/>
      <c r="G34" s="202" t="n"/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</row>
    <row r="35">
      <c r="A35" s="107" t="inlineStr">
        <is>
          <t>遠端短絡インダクタンス</t>
        </is>
      </c>
      <c r="B35" s="206" t="n">
        <v>10</v>
      </c>
      <c r="C35" s="108" t="inlineStr">
        <is>
          <t>nH</t>
        </is>
      </c>
      <c r="D35" s="228" t="n"/>
      <c r="F35" s="228" t="n"/>
      <c r="G35" s="202" t="n"/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</row>
    <row r="36">
      <c r="A36" s="107" t="inlineStr">
        <is>
          <t>測定治具直列抵抗</t>
        </is>
      </c>
      <c r="B36" s="206" t="n">
        <v>0</v>
      </c>
      <c r="C36" s="108" t="inlineStr">
        <is>
          <t>Ω</t>
        </is>
      </c>
      <c r="D36" s="228" t="n"/>
      <c r="F36" s="228" t="n"/>
      <c r="G36" s="202" t="n"/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</row>
    <row r="37">
      <c r="A37" s="107" t="inlineStr">
        <is>
          <t>測定治具直列インダクタンス</t>
        </is>
      </c>
      <c r="B37" s="206" t="n">
        <v>0</v>
      </c>
      <c r="C37" s="108" t="inlineStr">
        <is>
          <t>nH</t>
        </is>
      </c>
      <c r="D37" s="228" t="n"/>
      <c r="F37" s="228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</row>
    <row r="38">
      <c r="A38" s="107" t="inlineStr">
        <is>
          <t>開始周波数</t>
        </is>
      </c>
      <c r="B38" s="206" t="n">
        <v>1000</v>
      </c>
      <c r="C38" s="108" t="inlineStr">
        <is>
          <t>Hz</t>
        </is>
      </c>
      <c r="D38" s="228" t="n"/>
      <c r="F38" s="228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</row>
    <row r="39">
      <c r="A39" s="107" t="inlineStr">
        <is>
          <t>終了周波数</t>
        </is>
      </c>
      <c r="B39" s="209" t="n">
        <v>25000000</v>
      </c>
      <c r="C39" s="108" t="inlineStr">
        <is>
          <t>Hz</t>
        </is>
      </c>
      <c r="D39" s="228" t="n"/>
      <c r="F39" s="228" t="n"/>
      <c r="G39" s="202" t="n"/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</row>
    <row r="40">
      <c r="A40" s="109" t="inlineStr">
        <is>
          <t>計算点数</t>
        </is>
      </c>
      <c r="B40" s="151" t="n">
        <v>501</v>
      </c>
      <c r="C40" s="111" t="inlineStr">
        <is>
          <t>点（最大801）</t>
        </is>
      </c>
      <c r="D40" s="228" t="n"/>
      <c r="E40" s="228" t="n"/>
      <c r="F40" s="228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</row>
    <row r="41">
      <c r="A41" s="202" t="n"/>
      <c r="B41" s="202" t="n"/>
      <c r="C41" s="202" t="n"/>
      <c r="D41" s="202" t="n"/>
      <c r="E41" s="202" t="n"/>
      <c r="F41" s="202" t="n"/>
      <c r="G41" s="202" t="n"/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</row>
    <row r="42">
      <c r="A42" s="202" t="n"/>
      <c r="B42" s="202" t="n"/>
      <c r="C42" s="202" t="n"/>
      <c r="D42" s="202" t="n"/>
      <c r="E42" s="202" t="n"/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</row>
    <row r="43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</row>
    <row r="44">
      <c r="A44" s="202" t="n"/>
      <c r="B44" s="202" t="n"/>
      <c r="C44" s="202" t="n"/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</row>
    <row r="45">
      <c r="A45" s="202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</row>
    <row r="46">
      <c r="A46" s="202" t="n"/>
      <c r="B46" s="202" t="n"/>
      <c r="C46" s="202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</row>
    <row r="47">
      <c r="A47" s="202" t="n"/>
      <c r="B47" s="202" t="n"/>
      <c r="C47" s="202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</row>
    <row r="48">
      <c r="A48" s="202" t="n"/>
      <c r="B48" s="202" t="n"/>
      <c r="C48" s="202" t="n"/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</row>
    <row r="49">
      <c r="A49" s="202" t="n"/>
      <c r="B49" s="202" t="n"/>
      <c r="C49" s="202" t="n"/>
      <c r="D49" s="202" t="n"/>
      <c r="E49" s="202" t="n"/>
      <c r="F49" s="202" t="n"/>
      <c r="G49" s="202" t="n"/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</row>
    <row r="50">
      <c r="A50" s="202" t="n"/>
      <c r="B50" s="202" t="n"/>
      <c r="C50" s="202" t="n"/>
      <c r="D50" s="202" t="n"/>
      <c r="E50" s="202" t="n"/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</row>
    <row r="51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</row>
    <row r="52">
      <c r="A52" s="202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</row>
    <row r="53">
      <c r="A53" s="202" t="n"/>
      <c r="B53" s="202" t="n"/>
      <c r="C53" s="202" t="n"/>
      <c r="D53" s="202" t="n"/>
      <c r="E53" s="202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</row>
    <row r="54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</row>
    <row r="55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</row>
    <row r="56">
      <c r="A56" s="202" t="n"/>
      <c r="B56" s="202" t="n"/>
      <c r="C56" s="202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</row>
    <row r="57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</row>
    <row r="58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</row>
    <row r="59">
      <c r="A59" s="202" t="n"/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</row>
    <row r="60">
      <c r="A60" s="202" t="n"/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</row>
  </sheetData>
  <mergeCells count="7">
    <mergeCell ref="D29:F29"/>
    <mergeCell ref="D5:F5"/>
    <mergeCell ref="A5:C5"/>
    <mergeCell ref="A23:C23"/>
    <mergeCell ref="A2:N3"/>
    <mergeCell ref="D30:F40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selection activeCell="A1" sqref="A1"/>
    </sheetView>
  </sheetViews>
  <sheetFormatPr baseColWidth="8" defaultRowHeight="15"/>
  <cols>
    <col width="20" customWidth="1" style="165" min="1" max="1"/>
    <col width="15" customWidth="1" style="165" min="2" max="2"/>
    <col width="15" customWidth="1" style="165" min="3" max="3"/>
    <col width="15" customWidth="1" style="165" min="4" max="4"/>
    <col width="20" customWidth="1" style="165" min="5" max="5"/>
    <col width="15" customWidth="1" style="165" min="6" max="6"/>
    <col width="15" customWidth="1" style="165" min="7" max="7"/>
    <col width="12" customWidth="1" style="165" min="8" max="8"/>
    <col width="12" customWidth="1" style="165" min="9" max="9"/>
    <col width="12" customWidth="1" style="165" min="10" max="10"/>
  </cols>
  <sheetData>
    <row r="1">
      <c r="A1" s="227" t="inlineStr">
        <is>
          <t>3導体MTLのモード定数とRLGC行列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02" t="n"/>
      <c r="L1" s="202" t="n"/>
      <c r="M1" s="202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</row>
    <row r="2">
      <c r="A2" s="229" t="inlineStr">
        <is>
          <t>導体座標：V=[VP−VG, VS−VG]ᵀ、I=[IP, IS]ᵀ。理想シールド近似では、内部(P-S)・外部(S-G)モードへ対角化できます。</t>
        </is>
      </c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</row>
    <row r="3">
      <c r="A3" s="228" t="n"/>
      <c r="B3" s="228" t="n"/>
      <c r="C3" s="228" t="n"/>
      <c r="D3" s="228" t="n"/>
      <c r="E3" s="228" t="n"/>
      <c r="F3" s="228" t="n"/>
      <c r="G3" s="228" t="n"/>
      <c r="H3" s="228" t="n"/>
      <c r="I3" s="228" t="n"/>
      <c r="J3" s="228" t="n"/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  <c r="AA3" s="202" t="n"/>
      <c r="AB3" s="202" t="n"/>
      <c r="AC3" s="202" t="n"/>
      <c r="AD3" s="202" t="n"/>
      <c r="AE3" s="202" t="n"/>
      <c r="AF3" s="202" t="n"/>
      <c r="AG3" s="202" t="n"/>
    </row>
    <row r="4">
      <c r="A4" s="202" t="n"/>
      <c r="B4" s="202" t="n"/>
      <c r="C4" s="202" t="n"/>
      <c r="D4" s="202" t="n"/>
      <c r="E4" s="202" t="n"/>
      <c r="F4" s="202" t="n"/>
      <c r="G4" s="202" t="n"/>
      <c r="H4" s="202" t="n"/>
      <c r="I4" s="202" t="n"/>
      <c r="J4" s="202" t="n"/>
      <c r="K4" s="202" t="n"/>
      <c r="L4" s="202" t="n"/>
      <c r="M4" s="202" t="n"/>
      <c r="N4" s="202" t="n"/>
      <c r="O4" s="202" t="n"/>
      <c r="P4" s="202" t="n"/>
      <c r="Q4" s="202" t="n"/>
      <c r="R4" s="202" t="n"/>
      <c r="S4" s="202" t="n"/>
      <c r="T4" s="202" t="n"/>
      <c r="U4" s="202" t="n"/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>
      <c r="A5" s="126" t="inlineStr">
        <is>
          <t>モード</t>
        </is>
      </c>
      <c r="B5" s="127" t="inlineStr">
        <is>
          <t>Z0 [Ω]</t>
        </is>
      </c>
      <c r="C5" s="127" t="inlineStr">
        <is>
          <t>L [nH/m]</t>
        </is>
      </c>
      <c r="D5" s="128" t="inlineStr">
        <is>
          <t>C [pF/m]</t>
        </is>
      </c>
      <c r="E5" s="202" t="n"/>
      <c r="F5" s="202" t="n"/>
      <c r="G5" s="202" t="n"/>
      <c r="H5" s="202" t="n"/>
      <c r="I5" s="202" t="n"/>
      <c r="J5" s="202" t="n"/>
      <c r="K5" s="202" t="n"/>
      <c r="L5" s="202" t="n"/>
      <c r="M5" s="202" t="n"/>
      <c r="N5" s="202" t="n"/>
      <c r="O5" s="202" t="n"/>
      <c r="P5" s="202" t="n"/>
      <c r="Q5" s="202" t="n"/>
      <c r="R5" s="202" t="n"/>
      <c r="S5" s="202" t="n"/>
      <c r="T5" s="202" t="n"/>
      <c r="U5" s="202" t="n"/>
      <c r="V5" s="202" t="n"/>
      <c r="W5" s="202" t="n"/>
      <c r="X5" s="202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</row>
    <row r="6">
      <c r="A6" s="129" t="inlineStr">
        <is>
          <t>内部 P-S</t>
        </is>
      </c>
      <c r="B6" s="212">
        <f>'入力・概要'!E9</f>
        <v/>
      </c>
      <c r="C6" s="212">
        <f>'入力・概要'!E10</f>
        <v/>
      </c>
      <c r="D6" s="153">
        <f>'入力・概要'!B12</f>
        <v/>
      </c>
      <c r="E6" s="202" t="n"/>
      <c r="F6" s="202" t="n"/>
      <c r="G6" s="202" t="n"/>
      <c r="H6" s="202" t="n"/>
      <c r="I6" s="202" t="n"/>
      <c r="J6" s="202" t="n"/>
      <c r="K6" s="202" t="n"/>
      <c r="L6" s="202" t="n"/>
      <c r="M6" s="202" t="n"/>
      <c r="N6" s="202" t="n"/>
      <c r="O6" s="202" t="n"/>
      <c r="P6" s="202" t="n"/>
      <c r="Q6" s="202" t="n"/>
      <c r="R6" s="202" t="n"/>
      <c r="S6" s="202" t="n"/>
      <c r="T6" s="202" t="n"/>
      <c r="U6" s="202" t="n"/>
      <c r="V6" s="202" t="n"/>
      <c r="W6" s="202" t="n"/>
      <c r="X6" s="202" t="n"/>
      <c r="Y6" s="202" t="n"/>
      <c r="Z6" s="202" t="n"/>
      <c r="AA6" s="202" t="n"/>
      <c r="AB6" s="202" t="n"/>
      <c r="AC6" s="202" t="n"/>
      <c r="AD6" s="202" t="n"/>
      <c r="AE6" s="202" t="n"/>
      <c r="AF6" s="202" t="n"/>
      <c r="AG6" s="202" t="n"/>
    </row>
    <row r="7">
      <c r="A7" s="129" t="inlineStr">
        <is>
          <t>外部 S-G</t>
        </is>
      </c>
      <c r="B7" s="212">
        <f>'入力・概要'!E15</f>
        <v/>
      </c>
      <c r="C7" s="212">
        <f>'入力・概要'!E14</f>
        <v/>
      </c>
      <c r="D7" s="153">
        <f>'入力・概要'!E13</f>
        <v/>
      </c>
      <c r="E7" s="202" t="n"/>
      <c r="F7" s="202" t="n"/>
      <c r="G7" s="202" t="n"/>
      <c r="H7" s="202" t="n"/>
      <c r="I7" s="202" t="n"/>
      <c r="J7" s="202" t="n"/>
      <c r="K7" s="202" t="n"/>
      <c r="L7" s="202" t="n"/>
      <c r="M7" s="202" t="n"/>
      <c r="N7" s="202" t="n"/>
      <c r="O7" s="202" t="n"/>
      <c r="P7" s="202" t="n"/>
      <c r="Q7" s="202" t="n"/>
      <c r="R7" s="202" t="n"/>
      <c r="S7" s="202" t="n"/>
      <c r="T7" s="202" t="n"/>
      <c r="U7" s="202" t="n"/>
      <c r="V7" s="202" t="n"/>
      <c r="W7" s="202" t="n"/>
      <c r="X7" s="202" t="n"/>
      <c r="Y7" s="202" t="n"/>
      <c r="Z7" s="202" t="n"/>
      <c r="AA7" s="202" t="n"/>
      <c r="AB7" s="202" t="n"/>
      <c r="AC7" s="202" t="n"/>
      <c r="AD7" s="202" t="n"/>
      <c r="AE7" s="202" t="n"/>
      <c r="AF7" s="202" t="n"/>
      <c r="AG7" s="202" t="n"/>
    </row>
    <row r="8">
      <c r="A8" s="131" t="inlineStr">
        <is>
          <t>備考</t>
        </is>
      </c>
      <c r="B8" s="132" t="inlineStr">
        <is>
          <t>代表値</t>
        </is>
      </c>
      <c r="C8" s="132" t="inlineStr">
        <is>
          <t>単位長</t>
        </is>
      </c>
      <c r="D8" s="133" t="inlineStr">
        <is>
          <t>低損失近似</t>
        </is>
      </c>
      <c r="E8" s="202" t="n"/>
      <c r="F8" s="202" t="n"/>
      <c r="G8" s="202" t="n"/>
      <c r="H8" s="202" t="n"/>
      <c r="I8" s="202" t="n"/>
      <c r="J8" s="202" t="n"/>
      <c r="K8" s="202" t="n"/>
      <c r="L8" s="202" t="n"/>
      <c r="M8" s="202" t="n"/>
      <c r="N8" s="202" t="n"/>
      <c r="O8" s="202" t="n"/>
      <c r="P8" s="202" t="n"/>
      <c r="Q8" s="202" t="n"/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2" t="n"/>
      <c r="AF8" s="202" t="n"/>
      <c r="AG8" s="202" t="n"/>
    </row>
    <row r="9">
      <c r="A9" s="202" t="n"/>
      <c r="B9" s="202" t="n"/>
      <c r="C9" s="202" t="n"/>
      <c r="D9" s="202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</row>
    <row r="10">
      <c r="A10" s="202" t="n"/>
      <c r="B10" s="202" t="n"/>
      <c r="C10" s="202" t="n"/>
      <c r="D10" s="202" t="n"/>
      <c r="E10" s="202" t="n"/>
      <c r="F10" s="202" t="n"/>
      <c r="G10" s="202" t="n"/>
      <c r="H10" s="202" t="n"/>
      <c r="I10" s="202" t="n"/>
      <c r="J10" s="202" t="n"/>
      <c r="K10" s="202" t="n"/>
      <c r="L10" s="202" t="n"/>
      <c r="M10" s="202" t="n"/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202" t="n"/>
      <c r="AF10" s="202" t="n"/>
      <c r="AG10" s="202" t="n"/>
    </row>
    <row r="11">
      <c r="A11" s="126" t="inlineStr">
        <is>
          <t>L行列 [nH/m]</t>
        </is>
      </c>
      <c r="B11" s="127" t="inlineStr">
        <is>
          <t>P</t>
        </is>
      </c>
      <c r="C11" s="128" t="inlineStr">
        <is>
          <t>S</t>
        </is>
      </c>
      <c r="D11" s="202" t="n"/>
      <c r="E11" s="126" t="inlineStr">
        <is>
          <t>C行列 [pF/m]</t>
        </is>
      </c>
      <c r="F11" s="127" t="inlineStr">
        <is>
          <t>P</t>
        </is>
      </c>
      <c r="G11" s="128" t="inlineStr">
        <is>
          <t>S</t>
        </is>
      </c>
      <c r="H11" s="202" t="n"/>
      <c r="I11" s="202" t="n"/>
      <c r="J11" s="202" t="n"/>
      <c r="K11" s="202" t="n"/>
      <c r="L11" s="202" t="n"/>
      <c r="M11" s="202" t="n"/>
      <c r="N11" s="202" t="n"/>
      <c r="O11" s="202" t="n"/>
      <c r="P11" s="202" t="n"/>
      <c r="Q11" s="202" t="n"/>
      <c r="R11" s="202" t="n"/>
      <c r="S11" s="202" t="n"/>
      <c r="T11" s="202" t="n"/>
      <c r="U11" s="202" t="n"/>
      <c r="V11" s="202" t="n"/>
      <c r="W11" s="202" t="n"/>
      <c r="X11" s="202" t="n"/>
      <c r="Y11" s="202" t="n"/>
      <c r="Z11" s="202" t="n"/>
      <c r="AA11" s="202" t="n"/>
      <c r="AB11" s="202" t="n"/>
      <c r="AC11" s="202" t="n"/>
      <c r="AD11" s="202" t="n"/>
      <c r="AE11" s="202" t="n"/>
      <c r="AF11" s="202" t="n"/>
      <c r="AG11" s="202" t="n"/>
    </row>
    <row r="12">
      <c r="A12" s="129" t="inlineStr">
        <is>
          <t>P</t>
        </is>
      </c>
      <c r="B12" s="202">
        <f>'入力・概要'!E10+'入力・概要'!E14</f>
        <v/>
      </c>
      <c r="C12" s="142">
        <f>'入力・概要'!E14</f>
        <v/>
      </c>
      <c r="D12" s="202" t="n"/>
      <c r="E12" s="129" t="inlineStr">
        <is>
          <t>P</t>
        </is>
      </c>
      <c r="F12" s="202">
        <f>'入力・概要'!B12</f>
        <v/>
      </c>
      <c r="G12" s="142">
        <f>-'入力・概要'!B12</f>
        <v/>
      </c>
      <c r="H12" s="202" t="n"/>
      <c r="I12" s="202" t="n"/>
      <c r="J12" s="202" t="n"/>
      <c r="K12" s="202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2" t="n"/>
      <c r="U12" s="202" t="n"/>
      <c r="V12" s="202" t="n"/>
      <c r="W12" s="202" t="n"/>
      <c r="X12" s="202" t="n"/>
      <c r="Y12" s="202" t="n"/>
      <c r="Z12" s="202" t="n"/>
      <c r="AA12" s="202" t="n"/>
      <c r="AB12" s="202" t="n"/>
      <c r="AC12" s="202" t="n"/>
      <c r="AD12" s="202" t="n"/>
      <c r="AE12" s="202" t="n"/>
      <c r="AF12" s="202" t="n"/>
      <c r="AG12" s="202" t="n"/>
    </row>
    <row r="13">
      <c r="A13" s="129" t="inlineStr">
        <is>
          <t>S</t>
        </is>
      </c>
      <c r="B13" s="202">
        <f>'入力・概要'!E14</f>
        <v/>
      </c>
      <c r="C13" s="142">
        <f>'入力・概要'!E14</f>
        <v/>
      </c>
      <c r="D13" s="202" t="n"/>
      <c r="E13" s="129" t="inlineStr">
        <is>
          <t>S</t>
        </is>
      </c>
      <c r="F13" s="202">
        <f>-'入力・概要'!B12</f>
        <v/>
      </c>
      <c r="G13" s="142">
        <f>'入力・概要'!B12+'入力・概要'!E13</f>
        <v/>
      </c>
      <c r="H13" s="202" t="n"/>
      <c r="I13" s="202" t="n"/>
      <c r="J13" s="202" t="n"/>
      <c r="K13" s="202" t="n"/>
      <c r="L13" s="202" t="n"/>
      <c r="M13" s="202" t="n"/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02" t="n"/>
      <c r="AB13" s="202" t="n"/>
      <c r="AC13" s="202" t="n"/>
      <c r="AD13" s="202" t="n"/>
      <c r="AE13" s="202" t="n"/>
      <c r="AF13" s="202" t="n"/>
      <c r="AG13" s="202" t="n"/>
    </row>
    <row r="14">
      <c r="A14" s="131" t="inlineStr">
        <is>
          <t>変換式</t>
        </is>
      </c>
      <c r="B14" s="132" t="inlineStr">
        <is>
          <t>L11=L1+L2</t>
        </is>
      </c>
      <c r="C14" s="133" t="inlineStr">
        <is>
          <t>L12=L22=L2</t>
        </is>
      </c>
      <c r="D14" s="202" t="n"/>
      <c r="E14" s="131" t="inlineStr">
        <is>
          <t>変換式</t>
        </is>
      </c>
      <c r="F14" s="132" t="inlineStr">
        <is>
          <t>C11=C1</t>
        </is>
      </c>
      <c r="G14" s="133" t="inlineStr">
        <is>
          <t>C12=-C1, C22=C1+C2</t>
        </is>
      </c>
      <c r="H14" s="202" t="n"/>
      <c r="I14" s="202" t="n"/>
      <c r="J14" s="202" t="n"/>
      <c r="K14" s="202" t="n"/>
      <c r="L14" s="202" t="n"/>
      <c r="M14" s="202" t="n"/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  <c r="AE14" s="202" t="n"/>
      <c r="AF14" s="202" t="n"/>
      <c r="AG14" s="202" t="n"/>
    </row>
    <row r="15">
      <c r="A15" s="202" t="n"/>
      <c r="B15" s="202" t="n"/>
      <c r="C15" s="202" t="n"/>
      <c r="D15" s="202" t="n"/>
      <c r="E15" s="202" t="n"/>
      <c r="F15" s="202" t="n"/>
      <c r="G15" s="202" t="n"/>
      <c r="H15" s="202" t="n"/>
      <c r="I15" s="202" t="n"/>
      <c r="J15" s="202" t="n"/>
      <c r="K15" s="202" t="n"/>
      <c r="L15" s="202" t="n"/>
      <c r="M15" s="202" t="n"/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</row>
    <row r="16">
      <c r="A16" s="202" t="n"/>
      <c r="B16" s="202" t="n"/>
      <c r="C16" s="202" t="n"/>
      <c r="D16" s="202" t="n"/>
      <c r="E16" s="202" t="n"/>
      <c r="F16" s="202" t="n"/>
      <c r="G16" s="202" t="n"/>
      <c r="H16" s="202" t="n"/>
      <c r="I16" s="202" t="n"/>
      <c r="J16" s="202" t="n"/>
      <c r="K16" s="202" t="n"/>
      <c r="L16" s="202" t="n"/>
      <c r="M16" s="202" t="n"/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</row>
    <row r="17">
      <c r="A17" s="126" t="inlineStr">
        <is>
          <t>R行列 DC [Ω/m]</t>
        </is>
      </c>
      <c r="B17" s="127" t="inlineStr">
        <is>
          <t>P</t>
        </is>
      </c>
      <c r="C17" s="128" t="inlineStr">
        <is>
          <t>S</t>
        </is>
      </c>
      <c r="D17" s="202" t="n"/>
      <c r="E17" s="126" t="inlineStr">
        <is>
          <t>G行列 @1MHz [µS/m]</t>
        </is>
      </c>
      <c r="F17" s="127" t="inlineStr">
        <is>
          <t>P</t>
        </is>
      </c>
      <c r="G17" s="128" t="inlineStr">
        <is>
          <t>S</t>
        </is>
      </c>
      <c r="H17" s="202" t="n"/>
      <c r="I17" s="202" t="n"/>
      <c r="J17" s="202" t="n"/>
      <c r="K17" s="202" t="n"/>
      <c r="L17" s="202" t="n"/>
      <c r="M17" s="202" t="n"/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</row>
    <row r="18">
      <c r="A18" s="129" t="inlineStr">
        <is>
          <t>P</t>
        </is>
      </c>
      <c r="B18" s="202">
        <f>('入力・概要'!E19+'入力・概要'!B18)+('入力・概要'!B18+'入力・概要'!B19)</f>
        <v/>
      </c>
      <c r="C18" s="142">
        <f>('入力・概要'!B18+'入力・概要'!B19)</f>
        <v/>
      </c>
      <c r="D18" s="202" t="n"/>
      <c r="E18" s="129" t="inlineStr">
        <is>
          <t>P</t>
        </is>
      </c>
      <c r="F18" s="202">
        <f>2*PI()*1E6*'入力・概要'!B12*1E-12*'入力・概要'!B15*1E6</f>
        <v/>
      </c>
      <c r="G18" s="142">
        <f>-2*PI()*1E6*'入力・概要'!B12*1E-12*'入力・概要'!B15*1E6</f>
        <v/>
      </c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</row>
    <row r="19">
      <c r="A19" s="129" t="inlineStr">
        <is>
          <t>S</t>
        </is>
      </c>
      <c r="B19" s="202">
        <f>('入力・概要'!B18+'入力・概要'!B19)</f>
        <v/>
      </c>
      <c r="C19" s="142">
        <f>('入力・概要'!B18+'入力・概要'!B19)</f>
        <v/>
      </c>
      <c r="D19" s="202" t="n"/>
      <c r="E19" s="129" t="inlineStr">
        <is>
          <t>S</t>
        </is>
      </c>
      <c r="F19" s="202">
        <f>-2*PI()*1E6*'入力・概要'!B12*1E-12*'入力・概要'!B15*1E6</f>
        <v/>
      </c>
      <c r="G19" s="142">
        <f>2*PI()*1E6*('入力・概要'!B12*1E-12*'入力・概要'!B15+'入力・概要'!E13*1E-12*'入力・概要'!B16)*1E6</f>
        <v/>
      </c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</row>
    <row r="20">
      <c r="A20" s="131" t="inlineStr">
        <is>
          <t>変換式</t>
        </is>
      </c>
      <c r="B20" s="132" t="inlineStr">
        <is>
          <t>R11=r1+r2</t>
        </is>
      </c>
      <c r="C20" s="133" t="inlineStr">
        <is>
          <t>R12=R22=r2</t>
        </is>
      </c>
      <c r="D20" s="202" t="n"/>
      <c r="E20" s="131" t="inlineStr">
        <is>
          <t>変換式</t>
        </is>
      </c>
      <c r="F20" s="132" t="inlineStr">
        <is>
          <t>G11=g1</t>
        </is>
      </c>
      <c r="G20" s="133" t="inlineStr">
        <is>
          <t>G12=-g1, G22=g1+g2</t>
        </is>
      </c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</row>
    <row r="21">
      <c r="A21" s="202" t="n"/>
      <c r="B21" s="202" t="n"/>
      <c r="C21" s="202" t="n"/>
      <c r="D21" s="202" t="n"/>
      <c r="E21" s="202" t="n"/>
      <c r="F21" s="202" t="n"/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</row>
    <row r="22">
      <c r="A22" s="202" t="n"/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</row>
    <row r="23">
      <c r="A23" s="229" t="inlineStr">
        <is>
          <t>行列形：dV/dz=−(R+jωL)I、dI/dz=−(G+jωC)V。
本ブックの同相計算は、このRLGC行列を内部・外部の固有モードへ変換した解析解です。分割ラダー近似ではなく、理想シールド構造に対する3導体MTLのモード解になります。
ただし編組の開口による直接P-G結合、シールド移送インピーダンス、配置のねじれは含みません。</t>
        </is>
      </c>
      <c r="B23" s="228" t="n"/>
      <c r="C23" s="228" t="n"/>
      <c r="D23" s="228" t="n"/>
      <c r="E23" s="228" t="n"/>
      <c r="F23" s="228" t="n"/>
      <c r="G23" s="228" t="n"/>
      <c r="H23" s="228" t="n"/>
      <c r="I23" s="228" t="n"/>
      <c r="J23" s="228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</row>
    <row r="24">
      <c r="A24" s="228" t="n"/>
      <c r="J24" s="228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</row>
    <row r="25">
      <c r="A25" s="228" t="n"/>
      <c r="J25" s="228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</row>
    <row r="26">
      <c r="A26" s="228" t="n"/>
      <c r="J26" s="228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</row>
    <row r="27">
      <c r="A27" s="228" t="n"/>
      <c r="J27" s="228" t="n"/>
      <c r="K27" s="202" t="n"/>
      <c r="L27" s="202" t="n"/>
      <c r="M27" s="202" t="n"/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</row>
    <row r="28">
      <c r="A28" s="228" t="n"/>
      <c r="J28" s="228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</row>
    <row r="29">
      <c r="A29" s="228" t="n"/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</row>
    <row r="30">
      <c r="A30" s="202" t="n"/>
      <c r="B30" s="202" t="n"/>
      <c r="C30" s="202" t="n"/>
      <c r="D30" s="202" t="n"/>
      <c r="E30" s="202" t="n"/>
      <c r="F30" s="202" t="n"/>
      <c r="G30" s="202" t="n"/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</row>
    <row r="31">
      <c r="A31" s="202" t="n"/>
      <c r="B31" s="202" t="n"/>
      <c r="C31" s="202" t="n"/>
      <c r="D31" s="202" t="n"/>
      <c r="E31" s="202" t="n"/>
      <c r="F31" s="202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</row>
    <row r="32">
      <c r="A32" s="202" t="n"/>
      <c r="B32" s="202" t="n"/>
      <c r="C32" s="202" t="n"/>
      <c r="D32" s="202" t="n"/>
      <c r="E32" s="202" t="n"/>
      <c r="F32" s="202" t="n"/>
      <c r="G32" s="202" t="n"/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</row>
    <row r="33">
      <c r="A33" s="202" t="n"/>
      <c r="B33" s="202" t="n"/>
      <c r="C33" s="202" t="n"/>
      <c r="D33" s="202" t="n"/>
      <c r="E33" s="202" t="n"/>
      <c r="F33" s="202" t="n"/>
      <c r="G33" s="202" t="n"/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</row>
    <row r="34">
      <c r="A34" s="202" t="n"/>
      <c r="B34" s="202" t="n"/>
      <c r="C34" s="202" t="n"/>
      <c r="D34" s="202" t="n"/>
      <c r="E34" s="202" t="n"/>
      <c r="F34" s="202" t="n"/>
      <c r="G34" s="202" t="n"/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</row>
    <row r="35">
      <c r="A35" s="202" t="n"/>
      <c r="B35" s="202" t="n"/>
      <c r="C35" s="202" t="n"/>
      <c r="D35" s="202" t="n"/>
      <c r="E35" s="202" t="n"/>
      <c r="F35" s="202" t="n"/>
      <c r="G35" s="202" t="n"/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</row>
    <row r="36">
      <c r="A36" s="202" t="n"/>
      <c r="B36" s="202" t="n"/>
      <c r="C36" s="202" t="n"/>
      <c r="D36" s="202" t="n"/>
      <c r="E36" s="202" t="n"/>
      <c r="F36" s="202" t="n"/>
      <c r="G36" s="202" t="n"/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</row>
    <row r="37">
      <c r="A37" s="202" t="n"/>
      <c r="B37" s="202" t="n"/>
      <c r="C37" s="202" t="n"/>
      <c r="D37" s="202" t="n"/>
      <c r="E37" s="202" t="n"/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</row>
    <row r="38">
      <c r="A38" s="202" t="n"/>
      <c r="B38" s="202" t="n"/>
      <c r="C38" s="202" t="n"/>
      <c r="D38" s="202" t="n"/>
      <c r="E38" s="202" t="n"/>
      <c r="F38" s="202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</row>
    <row r="39">
      <c r="A39" s="202" t="n"/>
      <c r="B39" s="202" t="n"/>
      <c r="C39" s="202" t="n"/>
      <c r="D39" s="202" t="n"/>
      <c r="E39" s="202" t="n"/>
      <c r="F39" s="202" t="n"/>
      <c r="G39" s="202" t="n"/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</row>
    <row r="40">
      <c r="A40" s="202" t="n"/>
      <c r="B40" s="202" t="n"/>
      <c r="C40" s="202" t="n"/>
      <c r="D40" s="202" t="n"/>
      <c r="E40" s="202" t="n"/>
      <c r="F40" s="202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</row>
    <row r="41">
      <c r="A41" s="202" t="n"/>
      <c r="B41" s="202" t="n"/>
      <c r="C41" s="202" t="n"/>
      <c r="D41" s="202" t="n"/>
      <c r="E41" s="202" t="n"/>
      <c r="F41" s="202" t="n"/>
      <c r="G41" s="202" t="n"/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</row>
    <row r="42">
      <c r="A42" s="202" t="n"/>
      <c r="B42" s="202" t="n"/>
      <c r="C42" s="202" t="n"/>
      <c r="D42" s="202" t="n"/>
      <c r="E42" s="202" t="n"/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</row>
    <row r="43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</row>
    <row r="44">
      <c r="A44" s="202" t="n"/>
      <c r="B44" s="202" t="n"/>
      <c r="C44" s="202" t="n"/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</row>
    <row r="45">
      <c r="A45" s="202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</row>
    <row r="46">
      <c r="A46" s="202" t="n"/>
      <c r="B46" s="202" t="n"/>
      <c r="C46" s="202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</row>
    <row r="47">
      <c r="A47" s="202" t="n"/>
      <c r="B47" s="202" t="n"/>
      <c r="C47" s="202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</row>
    <row r="48">
      <c r="A48" s="202" t="n"/>
      <c r="B48" s="202" t="n"/>
      <c r="C48" s="202" t="n"/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</row>
    <row r="49">
      <c r="A49" s="202" t="n"/>
      <c r="B49" s="202" t="n"/>
      <c r="C49" s="202" t="n"/>
      <c r="D49" s="202" t="n"/>
      <c r="E49" s="202" t="n"/>
      <c r="F49" s="202" t="n"/>
      <c r="G49" s="202" t="n"/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</row>
    <row r="50">
      <c r="A50" s="202" t="n"/>
      <c r="B50" s="202" t="n"/>
      <c r="C50" s="202" t="n"/>
      <c r="D50" s="202" t="n"/>
      <c r="E50" s="202" t="n"/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</row>
    <row r="51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</row>
    <row r="52">
      <c r="A52" s="202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</row>
    <row r="53">
      <c r="A53" s="202" t="n"/>
      <c r="B53" s="202" t="n"/>
      <c r="C53" s="202" t="n"/>
      <c r="D53" s="202" t="n"/>
      <c r="E53" s="202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</row>
    <row r="54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</row>
    <row r="55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</row>
    <row r="56">
      <c r="A56" s="202" t="n"/>
      <c r="B56" s="202" t="n"/>
      <c r="C56" s="202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</row>
    <row r="57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</row>
    <row r="58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</row>
    <row r="59">
      <c r="A59" s="202" t="n"/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</row>
    <row r="60">
      <c r="A60" s="202" t="n"/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</row>
  </sheetData>
  <mergeCells count="3">
    <mergeCell ref="A1:J1"/>
    <mergeCell ref="A2:J3"/>
    <mergeCell ref="A23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04"/>
  <sheetViews>
    <sheetView workbookViewId="0">
      <selection activeCell="A1" sqref="A1"/>
    </sheetView>
  </sheetViews>
  <sheetFormatPr baseColWidth="8" defaultRowHeight="15"/>
  <cols>
    <col width="7" customWidth="1" style="165" min="1" max="1"/>
    <col width="15" customWidth="1" style="165" min="2" max="2"/>
    <col width="15" customWidth="1" style="165" min="3" max="3"/>
    <col width="12" customWidth="1" style="165" min="4" max="4"/>
    <col width="12" customWidth="1" style="165" min="5" max="5"/>
    <col width="12" customWidth="1" style="165" min="6" max="6"/>
    <col width="12" customWidth="1" style="165" min="7" max="7"/>
    <col width="13" customWidth="1" style="165" min="8" max="8"/>
    <col width="13" customWidth="1" style="165" min="9" max="9"/>
    <col width="13" customWidth="1" style="165" min="10" max="10"/>
    <col width="13" customWidth="1" style="165" min="11" max="11"/>
    <col width="13" customWidth="1" style="165" min="12" max="12"/>
    <col width="13" customWidth="1" style="165" min="13" max="13"/>
    <col width="14" customWidth="1" style="165" min="14" max="14"/>
    <col width="14" customWidth="1" style="165" min="15" max="15"/>
    <col width="14" customWidth="1" style="165" min="16" max="16"/>
    <col width="14" customWidth="1" style="165" min="17" max="17"/>
    <col width="15" customWidth="1" style="165" min="18" max="18"/>
    <col width="13" customWidth="1" style="165" min="19" max="19"/>
    <col width="12" customWidth="1" style="165" min="20" max="20"/>
    <col width="12" customWidth="1" style="165" min="21" max="21"/>
  </cols>
  <sheetData>
    <row r="1">
      <c r="A1" s="227" t="inlineStr">
        <is>
          <t>差動モード：AC115VU－AC115VN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  <c r="O1" s="228" t="n"/>
      <c r="P1" s="228" t="n"/>
      <c r="Q1" s="228" t="n"/>
      <c r="R1" s="228" t="n"/>
      <c r="S1" s="228" t="n"/>
      <c r="T1" s="228" t="n"/>
      <c r="U1" s="228" t="n"/>
      <c r="V1" s="202" t="n"/>
      <c r="W1" s="202" t="n"/>
      <c r="X1" s="202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</row>
    <row r="2">
      <c r="A2" s="202" t="n"/>
      <c r="B2" s="202" t="n"/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</row>
    <row r="3">
      <c r="A3" s="211" t="inlineStr">
        <is>
          <t>No.</t>
        </is>
      </c>
      <c r="B3" s="211" t="inlineStr">
        <is>
          <t>周波数 [Hz]</t>
        </is>
      </c>
      <c r="C3" s="211" t="inlineStr">
        <is>
          <t>ω</t>
        </is>
      </c>
      <c r="D3" s="211" t="inlineStr">
        <is>
          <t>減衰A</t>
        </is>
      </c>
      <c r="E3" s="211" t="inlineStr">
        <is>
          <t>電気角θ</t>
        </is>
      </c>
      <c r="F3" s="211" t="inlineStr">
        <is>
          <t>tanh Re</t>
        </is>
      </c>
      <c r="G3" s="211" t="inlineStr">
        <is>
          <t>tanh Im</t>
        </is>
      </c>
      <c r="H3" s="211" t="inlineStr">
        <is>
          <t>負荷 Re</t>
        </is>
      </c>
      <c r="I3" s="211" t="inlineStr">
        <is>
          <t>負荷 Im</t>
        </is>
      </c>
      <c r="J3" s="211" t="inlineStr">
        <is>
          <t>分子 Re</t>
        </is>
      </c>
      <c r="K3" s="211" t="inlineStr">
        <is>
          <t>分子 Im</t>
        </is>
      </c>
      <c r="L3" s="211" t="inlineStr">
        <is>
          <t>分母 Re</t>
        </is>
      </c>
      <c r="M3" s="211" t="inlineStr">
        <is>
          <t>分母 Im</t>
        </is>
      </c>
      <c r="N3" s="211" t="inlineStr">
        <is>
          <t>線路 Re</t>
        </is>
      </c>
      <c r="O3" s="211" t="inlineStr">
        <is>
          <t>線路 Im</t>
        </is>
      </c>
      <c r="P3" s="211" t="inlineStr">
        <is>
          <t>最終 Re</t>
        </is>
      </c>
      <c r="Q3" s="211" t="inlineStr">
        <is>
          <t>最終 Im</t>
        </is>
      </c>
      <c r="R3" s="211" t="inlineStr">
        <is>
          <t>|ZDM| [Ω]</t>
        </is>
      </c>
      <c r="S3" s="211" t="inlineStr">
        <is>
          <t>位相 [deg]</t>
        </is>
      </c>
      <c r="T3" s="211" t="inlineStr">
        <is>
          <t>log10(f)</t>
        </is>
      </c>
      <c r="U3" s="211" t="inlineStr">
        <is>
          <t>log10(|ZDM|)</t>
        </is>
      </c>
      <c r="V3" s="202" t="n"/>
      <c r="W3" s="202" t="n"/>
      <c r="X3" s="202" t="n"/>
      <c r="Y3" s="202" t="n"/>
      <c r="Z3" s="202" t="n"/>
      <c r="AA3" s="202" t="n"/>
      <c r="AB3" s="202" t="n"/>
      <c r="AC3" s="202" t="n"/>
      <c r="AD3" s="202" t="n"/>
      <c r="AE3" s="202" t="n"/>
      <c r="AF3" s="202" t="n"/>
      <c r="AG3" s="202" t="n"/>
    </row>
    <row r="4">
      <c r="A4" s="202" t="n">
        <v>1</v>
      </c>
      <c r="B4" s="213">
        <f>IF(A4&lt;='入力・概要'!$B$40,10^(LOG10('入力・概要'!$B$38)+(A4-1)*(LOG10('入力・概要'!$B$39)-LOG10('入力・概要'!$B$38))/('入力・概要'!$B$40-1)),"")</f>
        <v/>
      </c>
      <c r="C4" s="212">
        <f>IF(B4="","",2*PI()*B4)</f>
        <v/>
      </c>
      <c r="D4" s="212">
        <f>IF(B4="","",ATANH(MIN(0.999999,(2*'入力・概要'!$B$17*'入力・概要'!$B$6)/'入力・概要'!$B$30))+'入力・概要'!$B$33*SQRT(B4/1E6)+(2*PI()*B4*'入力・概要'!$B$6/(299792458*'入力・概要'!$B$31))*'入力・概要'!$B$32/2)</f>
        <v/>
      </c>
      <c r="E4" s="212">
        <f>IF(B4="","",2*PI()*B4*'入力・概要'!$B$6/(299792458*'入力・概要'!$B$31))</f>
        <v/>
      </c>
      <c r="F4" s="212">
        <f>IF(B4="","",SINH(2*D4)/(COSH(2*D4)+COS(2*E4)))</f>
        <v/>
      </c>
      <c r="G4" s="212">
        <f>IF(B4="","",SIN(2*E4)/(COSH(2*D4)+COS(2*E4)))</f>
        <v/>
      </c>
      <c r="H4" s="212">
        <f>IF(B4="","",'入力・概要'!$B$34)</f>
        <v/>
      </c>
      <c r="I4" s="212">
        <f>IF(B4="","",C4*'入力・概要'!$B$35*1E-9)</f>
        <v/>
      </c>
      <c r="J4" s="212">
        <f>IF(B4="","",H4+'入力・概要'!$B$30*F4)</f>
        <v/>
      </c>
      <c r="K4" s="212">
        <f>IF(B4="","",I4+'入力・概要'!$B$30*G4)</f>
        <v/>
      </c>
      <c r="L4" s="212">
        <f>IF(B4="","",'入力・概要'!$B$30+H4*F4-I4*G4)</f>
        <v/>
      </c>
      <c r="M4" s="212">
        <f>IF(B4="","",H4*G4+I4*F4)</f>
        <v/>
      </c>
      <c r="N4" s="212">
        <f>IF(B4="","",'入力・概要'!$B$30*(J4*L4+K4*M4)/(L4^2+M4^2))</f>
        <v/>
      </c>
      <c r="O4" s="212">
        <f>IF(B4="","",'入力・概要'!$B$30*(K4*L4-J4*M4)/(L4^2+M4^2))</f>
        <v/>
      </c>
      <c r="P4" s="212">
        <f>IF(B4="","",N4+'入力・概要'!$B$36)</f>
        <v/>
      </c>
      <c r="Q4" s="212">
        <f>IF(B4="","",O4+C4*'入力・概要'!$B$37*1E-9)</f>
        <v/>
      </c>
      <c r="R4" s="212">
        <f>IF(B4="","",SQRT(P4^2+Q4^2))</f>
        <v/>
      </c>
      <c r="S4" s="212">
        <f>IF(B4="","",IF(P4&gt;0,DEGREES(ATAN(Q4/P4)),IF(P4&lt;0,IF(Q4&gt;=0,DEGREES(ATAN(Q4/P4))+180,DEGREES(ATAN(Q4/P4))-180),IF(Q4&gt;0,90,IF(Q4&lt;0,-90,0)))))</f>
        <v/>
      </c>
      <c r="T4" s="212">
        <f>IF(B4="","",LOG10(B4))</f>
        <v/>
      </c>
      <c r="U4" s="212">
        <f>IF(R4="","",LOG10(MAX(R4,1E-12)))</f>
        <v/>
      </c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>
      <c r="A5" s="202" t="n">
        <v>2</v>
      </c>
      <c r="B5" s="213">
        <f>IF(A5&lt;='入力・概要'!$B$40,10^(LOG10('入力・概要'!$B$38)+(A5-1)*(LOG10('入力・概要'!$B$39)-LOG10('入力・概要'!$B$38))/('入力・概要'!$B$40-1)),"")</f>
        <v/>
      </c>
      <c r="C5" s="212">
        <f>IF(B5="","",2*PI()*B5)</f>
        <v/>
      </c>
      <c r="D5" s="212">
        <f>IF(B5="","",ATANH(MIN(0.999999,(2*'入力・概要'!$B$17*'入力・概要'!$B$6)/'入力・概要'!$B$30))+'入力・概要'!$B$33*SQRT(B5/1E6)+(2*PI()*B5*'入力・概要'!$B$6/(299792458*'入力・概要'!$B$31))*'入力・概要'!$B$32/2)</f>
        <v/>
      </c>
      <c r="E5" s="212">
        <f>IF(B5="","",2*PI()*B5*'入力・概要'!$B$6/(299792458*'入力・概要'!$B$31))</f>
        <v/>
      </c>
      <c r="F5" s="212">
        <f>IF(B5="","",SINH(2*D5)/(COSH(2*D5)+COS(2*E5)))</f>
        <v/>
      </c>
      <c r="G5" s="212">
        <f>IF(B5="","",SIN(2*E5)/(COSH(2*D5)+COS(2*E5)))</f>
        <v/>
      </c>
      <c r="H5" s="212">
        <f>IF(B5="","",'入力・概要'!$B$34)</f>
        <v/>
      </c>
      <c r="I5" s="212">
        <f>IF(B5="","",C5*'入力・概要'!$B$35*1E-9)</f>
        <v/>
      </c>
      <c r="J5" s="212">
        <f>IF(B5="","",H5+'入力・概要'!$B$30*F5)</f>
        <v/>
      </c>
      <c r="K5" s="212">
        <f>IF(B5="","",I5+'入力・概要'!$B$30*G5)</f>
        <v/>
      </c>
      <c r="L5" s="212">
        <f>IF(B5="","",'入力・概要'!$B$30+H5*F5-I5*G5)</f>
        <v/>
      </c>
      <c r="M5" s="212">
        <f>IF(B5="","",H5*G5+I5*F5)</f>
        <v/>
      </c>
      <c r="N5" s="212">
        <f>IF(B5="","",'入力・概要'!$B$30*(J5*L5+K5*M5)/(L5^2+M5^2))</f>
        <v/>
      </c>
      <c r="O5" s="212">
        <f>IF(B5="","",'入力・概要'!$B$30*(K5*L5-J5*M5)/(L5^2+M5^2))</f>
        <v/>
      </c>
      <c r="P5" s="212">
        <f>IF(B5="","",N5+'入力・概要'!$B$36)</f>
        <v/>
      </c>
      <c r="Q5" s="212">
        <f>IF(B5="","",O5+C5*'入力・概要'!$B$37*1E-9)</f>
        <v/>
      </c>
      <c r="R5" s="212">
        <f>IF(B5="","",SQRT(P5^2+Q5^2))</f>
        <v/>
      </c>
      <c r="S5" s="212">
        <f>IF(B5="","",IF(P5&gt;0,DEGREES(ATAN(Q5/P5)),IF(P5&lt;0,IF(Q5&gt;=0,DEGREES(ATAN(Q5/P5))+180,DEGREES(ATAN(Q5/P5))-180),IF(Q5&gt;0,90,IF(Q5&lt;0,-90,0)))))</f>
        <v/>
      </c>
      <c r="T5" s="212">
        <f>IF(B5="","",LOG10(B5))</f>
        <v/>
      </c>
      <c r="U5" s="212">
        <f>IF(R5="","",LOG10(MAX(R5,1E-12)))</f>
        <v/>
      </c>
      <c r="V5" s="202" t="n"/>
      <c r="W5" s="202" t="n"/>
      <c r="X5" s="202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</row>
    <row r="6">
      <c r="A6" s="202" t="n">
        <v>3</v>
      </c>
      <c r="B6" s="213">
        <f>IF(A6&lt;='入力・概要'!$B$40,10^(LOG10('入力・概要'!$B$38)+(A6-1)*(LOG10('入力・概要'!$B$39)-LOG10('入力・概要'!$B$38))/('入力・概要'!$B$40-1)),"")</f>
        <v/>
      </c>
      <c r="C6" s="212">
        <f>IF(B6="","",2*PI()*B6)</f>
        <v/>
      </c>
      <c r="D6" s="212">
        <f>IF(B6="","",ATANH(MIN(0.999999,(2*'入力・概要'!$B$17*'入力・概要'!$B$6)/'入力・概要'!$B$30))+'入力・概要'!$B$33*SQRT(B6/1E6)+(2*PI()*B6*'入力・概要'!$B$6/(299792458*'入力・概要'!$B$31))*'入力・概要'!$B$32/2)</f>
        <v/>
      </c>
      <c r="E6" s="212">
        <f>IF(B6="","",2*PI()*B6*'入力・概要'!$B$6/(299792458*'入力・概要'!$B$31))</f>
        <v/>
      </c>
      <c r="F6" s="212">
        <f>IF(B6="","",SINH(2*D6)/(COSH(2*D6)+COS(2*E6)))</f>
        <v/>
      </c>
      <c r="G6" s="212">
        <f>IF(B6="","",SIN(2*E6)/(COSH(2*D6)+COS(2*E6)))</f>
        <v/>
      </c>
      <c r="H6" s="212">
        <f>IF(B6="","",'入力・概要'!$B$34)</f>
        <v/>
      </c>
      <c r="I6" s="212">
        <f>IF(B6="","",C6*'入力・概要'!$B$35*1E-9)</f>
        <v/>
      </c>
      <c r="J6" s="212">
        <f>IF(B6="","",H6+'入力・概要'!$B$30*F6)</f>
        <v/>
      </c>
      <c r="K6" s="212">
        <f>IF(B6="","",I6+'入力・概要'!$B$30*G6)</f>
        <v/>
      </c>
      <c r="L6" s="212">
        <f>IF(B6="","",'入力・概要'!$B$30+H6*F6-I6*G6)</f>
        <v/>
      </c>
      <c r="M6" s="212">
        <f>IF(B6="","",H6*G6+I6*F6)</f>
        <v/>
      </c>
      <c r="N6" s="212">
        <f>IF(B6="","",'入力・概要'!$B$30*(J6*L6+K6*M6)/(L6^2+M6^2))</f>
        <v/>
      </c>
      <c r="O6" s="212">
        <f>IF(B6="","",'入力・概要'!$B$30*(K6*L6-J6*M6)/(L6^2+M6^2))</f>
        <v/>
      </c>
      <c r="P6" s="212">
        <f>IF(B6="","",N6+'入力・概要'!$B$36)</f>
        <v/>
      </c>
      <c r="Q6" s="212">
        <f>IF(B6="","",O6+C6*'入力・概要'!$B$37*1E-9)</f>
        <v/>
      </c>
      <c r="R6" s="212">
        <f>IF(B6="","",SQRT(P6^2+Q6^2))</f>
        <v/>
      </c>
      <c r="S6" s="212">
        <f>IF(B6="","",IF(P6&gt;0,DEGREES(ATAN(Q6/P6)),IF(P6&lt;0,IF(Q6&gt;=0,DEGREES(ATAN(Q6/P6))+180,DEGREES(ATAN(Q6/P6))-180),IF(Q6&gt;0,90,IF(Q6&lt;0,-90,0)))))</f>
        <v/>
      </c>
      <c r="T6" s="212">
        <f>IF(B6="","",LOG10(B6))</f>
        <v/>
      </c>
      <c r="U6" s="212">
        <f>IF(R6="","",LOG10(MAX(R6,1E-12)))</f>
        <v/>
      </c>
      <c r="V6" s="202" t="n"/>
      <c r="W6" s="202" t="n"/>
      <c r="X6" s="202" t="n"/>
      <c r="Y6" s="202" t="n"/>
      <c r="Z6" s="202" t="n"/>
      <c r="AA6" s="202" t="n"/>
      <c r="AB6" s="202" t="n"/>
      <c r="AC6" s="202" t="n"/>
      <c r="AD6" s="202" t="n"/>
      <c r="AE6" s="202" t="n"/>
      <c r="AF6" s="202" t="n"/>
      <c r="AG6" s="202" t="n"/>
    </row>
    <row r="7">
      <c r="A7" s="202" t="n">
        <v>4</v>
      </c>
      <c r="B7" s="213">
        <f>IF(A7&lt;='入力・概要'!$B$40,10^(LOG10('入力・概要'!$B$38)+(A7-1)*(LOG10('入力・概要'!$B$39)-LOG10('入力・概要'!$B$38))/('入力・概要'!$B$40-1)),"")</f>
        <v/>
      </c>
      <c r="C7" s="212">
        <f>IF(B7="","",2*PI()*B7)</f>
        <v/>
      </c>
      <c r="D7" s="212">
        <f>IF(B7="","",ATANH(MIN(0.999999,(2*'入力・概要'!$B$17*'入力・概要'!$B$6)/'入力・概要'!$B$30))+'入力・概要'!$B$33*SQRT(B7/1E6)+(2*PI()*B7*'入力・概要'!$B$6/(299792458*'入力・概要'!$B$31))*'入力・概要'!$B$32/2)</f>
        <v/>
      </c>
      <c r="E7" s="212">
        <f>IF(B7="","",2*PI()*B7*'入力・概要'!$B$6/(299792458*'入力・概要'!$B$31))</f>
        <v/>
      </c>
      <c r="F7" s="212">
        <f>IF(B7="","",SINH(2*D7)/(COSH(2*D7)+COS(2*E7)))</f>
        <v/>
      </c>
      <c r="G7" s="212">
        <f>IF(B7="","",SIN(2*E7)/(COSH(2*D7)+COS(2*E7)))</f>
        <v/>
      </c>
      <c r="H7" s="212">
        <f>IF(B7="","",'入力・概要'!$B$34)</f>
        <v/>
      </c>
      <c r="I7" s="212">
        <f>IF(B7="","",C7*'入力・概要'!$B$35*1E-9)</f>
        <v/>
      </c>
      <c r="J7" s="212">
        <f>IF(B7="","",H7+'入力・概要'!$B$30*F7)</f>
        <v/>
      </c>
      <c r="K7" s="212">
        <f>IF(B7="","",I7+'入力・概要'!$B$30*G7)</f>
        <v/>
      </c>
      <c r="L7" s="212">
        <f>IF(B7="","",'入力・概要'!$B$30+H7*F7-I7*G7)</f>
        <v/>
      </c>
      <c r="M7" s="212">
        <f>IF(B7="","",H7*G7+I7*F7)</f>
        <v/>
      </c>
      <c r="N7" s="212">
        <f>IF(B7="","",'入力・概要'!$B$30*(J7*L7+K7*M7)/(L7^2+M7^2))</f>
        <v/>
      </c>
      <c r="O7" s="212">
        <f>IF(B7="","",'入力・概要'!$B$30*(K7*L7-J7*M7)/(L7^2+M7^2))</f>
        <v/>
      </c>
      <c r="P7" s="212">
        <f>IF(B7="","",N7+'入力・概要'!$B$36)</f>
        <v/>
      </c>
      <c r="Q7" s="212">
        <f>IF(B7="","",O7+C7*'入力・概要'!$B$37*1E-9)</f>
        <v/>
      </c>
      <c r="R7" s="212">
        <f>IF(B7="","",SQRT(P7^2+Q7^2))</f>
        <v/>
      </c>
      <c r="S7" s="212">
        <f>IF(B7="","",IF(P7&gt;0,DEGREES(ATAN(Q7/P7)),IF(P7&lt;0,IF(Q7&gt;=0,DEGREES(ATAN(Q7/P7))+180,DEGREES(ATAN(Q7/P7))-180),IF(Q7&gt;0,90,IF(Q7&lt;0,-90,0)))))</f>
        <v/>
      </c>
      <c r="T7" s="212">
        <f>IF(B7="","",LOG10(B7))</f>
        <v/>
      </c>
      <c r="U7" s="212">
        <f>IF(R7="","",LOG10(MAX(R7,1E-12)))</f>
        <v/>
      </c>
      <c r="V7" s="202" t="n"/>
      <c r="W7" s="202" t="n"/>
      <c r="X7" s="202" t="n"/>
      <c r="Y7" s="202" t="n"/>
      <c r="Z7" s="202" t="n"/>
      <c r="AA7" s="202" t="n"/>
      <c r="AB7" s="202" t="n"/>
      <c r="AC7" s="202" t="n"/>
      <c r="AD7" s="202" t="n"/>
      <c r="AE7" s="202" t="n"/>
      <c r="AF7" s="202" t="n"/>
      <c r="AG7" s="202" t="n"/>
    </row>
    <row r="8">
      <c r="A8" s="202" t="n">
        <v>5</v>
      </c>
      <c r="B8" s="213">
        <f>IF(A8&lt;='入力・概要'!$B$40,10^(LOG10('入力・概要'!$B$38)+(A8-1)*(LOG10('入力・概要'!$B$39)-LOG10('入力・概要'!$B$38))/('入力・概要'!$B$40-1)),"")</f>
        <v/>
      </c>
      <c r="C8" s="212">
        <f>IF(B8="","",2*PI()*B8)</f>
        <v/>
      </c>
      <c r="D8" s="212">
        <f>IF(B8="","",ATANH(MIN(0.999999,(2*'入力・概要'!$B$17*'入力・概要'!$B$6)/'入力・概要'!$B$30))+'入力・概要'!$B$33*SQRT(B8/1E6)+(2*PI()*B8*'入力・概要'!$B$6/(299792458*'入力・概要'!$B$31))*'入力・概要'!$B$32/2)</f>
        <v/>
      </c>
      <c r="E8" s="212">
        <f>IF(B8="","",2*PI()*B8*'入力・概要'!$B$6/(299792458*'入力・概要'!$B$31))</f>
        <v/>
      </c>
      <c r="F8" s="212">
        <f>IF(B8="","",SINH(2*D8)/(COSH(2*D8)+COS(2*E8)))</f>
        <v/>
      </c>
      <c r="G8" s="212">
        <f>IF(B8="","",SIN(2*E8)/(COSH(2*D8)+COS(2*E8)))</f>
        <v/>
      </c>
      <c r="H8" s="212">
        <f>IF(B8="","",'入力・概要'!$B$34)</f>
        <v/>
      </c>
      <c r="I8" s="212">
        <f>IF(B8="","",C8*'入力・概要'!$B$35*1E-9)</f>
        <v/>
      </c>
      <c r="J8" s="212">
        <f>IF(B8="","",H8+'入力・概要'!$B$30*F8)</f>
        <v/>
      </c>
      <c r="K8" s="212">
        <f>IF(B8="","",I8+'入力・概要'!$B$30*G8)</f>
        <v/>
      </c>
      <c r="L8" s="212">
        <f>IF(B8="","",'入力・概要'!$B$30+H8*F8-I8*G8)</f>
        <v/>
      </c>
      <c r="M8" s="212">
        <f>IF(B8="","",H8*G8+I8*F8)</f>
        <v/>
      </c>
      <c r="N8" s="212">
        <f>IF(B8="","",'入力・概要'!$B$30*(J8*L8+K8*M8)/(L8^2+M8^2))</f>
        <v/>
      </c>
      <c r="O8" s="212">
        <f>IF(B8="","",'入力・概要'!$B$30*(K8*L8-J8*M8)/(L8^2+M8^2))</f>
        <v/>
      </c>
      <c r="P8" s="212">
        <f>IF(B8="","",N8+'入力・概要'!$B$36)</f>
        <v/>
      </c>
      <c r="Q8" s="212">
        <f>IF(B8="","",O8+C8*'入力・概要'!$B$37*1E-9)</f>
        <v/>
      </c>
      <c r="R8" s="212">
        <f>IF(B8="","",SQRT(P8^2+Q8^2))</f>
        <v/>
      </c>
      <c r="S8" s="212">
        <f>IF(B8="","",IF(P8&gt;0,DEGREES(ATAN(Q8/P8)),IF(P8&lt;0,IF(Q8&gt;=0,DEGREES(ATAN(Q8/P8))+180,DEGREES(ATAN(Q8/P8))-180),IF(Q8&gt;0,90,IF(Q8&lt;0,-90,0)))))</f>
        <v/>
      </c>
      <c r="T8" s="212">
        <f>IF(B8="","",LOG10(B8))</f>
        <v/>
      </c>
      <c r="U8" s="212">
        <f>IF(R8="","",LOG10(MAX(R8,1E-12)))</f>
        <v/>
      </c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2" t="n"/>
      <c r="AF8" s="202" t="n"/>
      <c r="AG8" s="202" t="n"/>
    </row>
    <row r="9">
      <c r="A9" s="202" t="n">
        <v>6</v>
      </c>
      <c r="B9" s="213">
        <f>IF(A9&lt;='入力・概要'!$B$40,10^(LOG10('入力・概要'!$B$38)+(A9-1)*(LOG10('入力・概要'!$B$39)-LOG10('入力・概要'!$B$38))/('入力・概要'!$B$40-1)),"")</f>
        <v/>
      </c>
      <c r="C9" s="212">
        <f>IF(B9="","",2*PI()*B9)</f>
        <v/>
      </c>
      <c r="D9" s="212">
        <f>IF(B9="","",ATANH(MIN(0.999999,(2*'入力・概要'!$B$17*'入力・概要'!$B$6)/'入力・概要'!$B$30))+'入力・概要'!$B$33*SQRT(B9/1E6)+(2*PI()*B9*'入力・概要'!$B$6/(299792458*'入力・概要'!$B$31))*'入力・概要'!$B$32/2)</f>
        <v/>
      </c>
      <c r="E9" s="212">
        <f>IF(B9="","",2*PI()*B9*'入力・概要'!$B$6/(299792458*'入力・概要'!$B$31))</f>
        <v/>
      </c>
      <c r="F9" s="212">
        <f>IF(B9="","",SINH(2*D9)/(COSH(2*D9)+COS(2*E9)))</f>
        <v/>
      </c>
      <c r="G9" s="212">
        <f>IF(B9="","",SIN(2*E9)/(COSH(2*D9)+COS(2*E9)))</f>
        <v/>
      </c>
      <c r="H9" s="212">
        <f>IF(B9="","",'入力・概要'!$B$34)</f>
        <v/>
      </c>
      <c r="I9" s="212">
        <f>IF(B9="","",C9*'入力・概要'!$B$35*1E-9)</f>
        <v/>
      </c>
      <c r="J9" s="212">
        <f>IF(B9="","",H9+'入力・概要'!$B$30*F9)</f>
        <v/>
      </c>
      <c r="K9" s="212">
        <f>IF(B9="","",I9+'入力・概要'!$B$30*G9)</f>
        <v/>
      </c>
      <c r="L9" s="212">
        <f>IF(B9="","",'入力・概要'!$B$30+H9*F9-I9*G9)</f>
        <v/>
      </c>
      <c r="M9" s="212">
        <f>IF(B9="","",H9*G9+I9*F9)</f>
        <v/>
      </c>
      <c r="N9" s="212">
        <f>IF(B9="","",'入力・概要'!$B$30*(J9*L9+K9*M9)/(L9^2+M9^2))</f>
        <v/>
      </c>
      <c r="O9" s="212">
        <f>IF(B9="","",'入力・概要'!$B$30*(K9*L9-J9*M9)/(L9^2+M9^2))</f>
        <v/>
      </c>
      <c r="P9" s="212">
        <f>IF(B9="","",N9+'入力・概要'!$B$36)</f>
        <v/>
      </c>
      <c r="Q9" s="212">
        <f>IF(B9="","",O9+C9*'入力・概要'!$B$37*1E-9)</f>
        <v/>
      </c>
      <c r="R9" s="212">
        <f>IF(B9="","",SQRT(P9^2+Q9^2))</f>
        <v/>
      </c>
      <c r="S9" s="212">
        <f>IF(B9="","",IF(P9&gt;0,DEGREES(ATAN(Q9/P9)),IF(P9&lt;0,IF(Q9&gt;=0,DEGREES(ATAN(Q9/P9))+180,DEGREES(ATAN(Q9/P9))-180),IF(Q9&gt;0,90,IF(Q9&lt;0,-90,0)))))</f>
        <v/>
      </c>
      <c r="T9" s="212">
        <f>IF(B9="","",LOG10(B9))</f>
        <v/>
      </c>
      <c r="U9" s="212">
        <f>IF(R9="","",LOG10(MAX(R9,1E-12)))</f>
        <v/>
      </c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</row>
    <row r="10">
      <c r="A10" s="202" t="n">
        <v>7</v>
      </c>
      <c r="B10" s="213">
        <f>IF(A10&lt;='入力・概要'!$B$40,10^(LOG10('入力・概要'!$B$38)+(A10-1)*(LOG10('入力・概要'!$B$39)-LOG10('入力・概要'!$B$38))/('入力・概要'!$B$40-1)),"")</f>
        <v/>
      </c>
      <c r="C10" s="212">
        <f>IF(B10="","",2*PI()*B10)</f>
        <v/>
      </c>
      <c r="D10" s="212">
        <f>IF(B10="","",ATANH(MIN(0.999999,(2*'入力・概要'!$B$17*'入力・概要'!$B$6)/'入力・概要'!$B$30))+'入力・概要'!$B$33*SQRT(B10/1E6)+(2*PI()*B10*'入力・概要'!$B$6/(299792458*'入力・概要'!$B$31))*'入力・概要'!$B$32/2)</f>
        <v/>
      </c>
      <c r="E10" s="212">
        <f>IF(B10="","",2*PI()*B10*'入力・概要'!$B$6/(299792458*'入力・概要'!$B$31))</f>
        <v/>
      </c>
      <c r="F10" s="212">
        <f>IF(B10="","",SINH(2*D10)/(COSH(2*D10)+COS(2*E10)))</f>
        <v/>
      </c>
      <c r="G10" s="212">
        <f>IF(B10="","",SIN(2*E10)/(COSH(2*D10)+COS(2*E10)))</f>
        <v/>
      </c>
      <c r="H10" s="212">
        <f>IF(B10="","",'入力・概要'!$B$34)</f>
        <v/>
      </c>
      <c r="I10" s="212">
        <f>IF(B10="","",C10*'入力・概要'!$B$35*1E-9)</f>
        <v/>
      </c>
      <c r="J10" s="212">
        <f>IF(B10="","",H10+'入力・概要'!$B$30*F10)</f>
        <v/>
      </c>
      <c r="K10" s="212">
        <f>IF(B10="","",I10+'入力・概要'!$B$30*G10)</f>
        <v/>
      </c>
      <c r="L10" s="212">
        <f>IF(B10="","",'入力・概要'!$B$30+H10*F10-I10*G10)</f>
        <v/>
      </c>
      <c r="M10" s="212">
        <f>IF(B10="","",H10*G10+I10*F10)</f>
        <v/>
      </c>
      <c r="N10" s="212">
        <f>IF(B10="","",'入力・概要'!$B$30*(J10*L10+K10*M10)/(L10^2+M10^2))</f>
        <v/>
      </c>
      <c r="O10" s="212">
        <f>IF(B10="","",'入力・概要'!$B$30*(K10*L10-J10*M10)/(L10^2+M10^2))</f>
        <v/>
      </c>
      <c r="P10" s="212">
        <f>IF(B10="","",N10+'入力・概要'!$B$36)</f>
        <v/>
      </c>
      <c r="Q10" s="212">
        <f>IF(B10="","",O10+C10*'入力・概要'!$B$37*1E-9)</f>
        <v/>
      </c>
      <c r="R10" s="212">
        <f>IF(B10="","",SQRT(P10^2+Q10^2))</f>
        <v/>
      </c>
      <c r="S10" s="212">
        <f>IF(B10="","",IF(P10&gt;0,DEGREES(ATAN(Q10/P10)),IF(P10&lt;0,IF(Q10&gt;=0,DEGREES(ATAN(Q10/P10))+180,DEGREES(ATAN(Q10/P10))-180),IF(Q10&gt;0,90,IF(Q10&lt;0,-90,0)))))</f>
        <v/>
      </c>
      <c r="T10" s="212">
        <f>IF(B10="","",LOG10(B10))</f>
        <v/>
      </c>
      <c r="U10" s="212">
        <f>IF(R10="","",LOG10(MAX(R10,1E-12)))</f>
        <v/>
      </c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202" t="n"/>
      <c r="AF10" s="202" t="n"/>
      <c r="AG10" s="202" t="n"/>
    </row>
    <row r="11">
      <c r="A11" s="202" t="n">
        <v>8</v>
      </c>
      <c r="B11" s="213">
        <f>IF(A11&lt;='入力・概要'!$B$40,10^(LOG10('入力・概要'!$B$38)+(A11-1)*(LOG10('入力・概要'!$B$39)-LOG10('入力・概要'!$B$38))/('入力・概要'!$B$40-1)),"")</f>
        <v/>
      </c>
      <c r="C11" s="212">
        <f>IF(B11="","",2*PI()*B11)</f>
        <v/>
      </c>
      <c r="D11" s="212">
        <f>IF(B11="","",ATANH(MIN(0.999999,(2*'入力・概要'!$B$17*'入力・概要'!$B$6)/'入力・概要'!$B$30))+'入力・概要'!$B$33*SQRT(B11/1E6)+(2*PI()*B11*'入力・概要'!$B$6/(299792458*'入力・概要'!$B$31))*'入力・概要'!$B$32/2)</f>
        <v/>
      </c>
      <c r="E11" s="212">
        <f>IF(B11="","",2*PI()*B11*'入力・概要'!$B$6/(299792458*'入力・概要'!$B$31))</f>
        <v/>
      </c>
      <c r="F11" s="212">
        <f>IF(B11="","",SINH(2*D11)/(COSH(2*D11)+COS(2*E11)))</f>
        <v/>
      </c>
      <c r="G11" s="212">
        <f>IF(B11="","",SIN(2*E11)/(COSH(2*D11)+COS(2*E11)))</f>
        <v/>
      </c>
      <c r="H11" s="212">
        <f>IF(B11="","",'入力・概要'!$B$34)</f>
        <v/>
      </c>
      <c r="I11" s="212">
        <f>IF(B11="","",C11*'入力・概要'!$B$35*1E-9)</f>
        <v/>
      </c>
      <c r="J11" s="212">
        <f>IF(B11="","",H11+'入力・概要'!$B$30*F11)</f>
        <v/>
      </c>
      <c r="K11" s="212">
        <f>IF(B11="","",I11+'入力・概要'!$B$30*G11)</f>
        <v/>
      </c>
      <c r="L11" s="212">
        <f>IF(B11="","",'入力・概要'!$B$30+H11*F11-I11*G11)</f>
        <v/>
      </c>
      <c r="M11" s="212">
        <f>IF(B11="","",H11*G11+I11*F11)</f>
        <v/>
      </c>
      <c r="N11" s="212">
        <f>IF(B11="","",'入力・概要'!$B$30*(J11*L11+K11*M11)/(L11^2+M11^2))</f>
        <v/>
      </c>
      <c r="O11" s="212">
        <f>IF(B11="","",'入力・概要'!$B$30*(K11*L11-J11*M11)/(L11^2+M11^2))</f>
        <v/>
      </c>
      <c r="P11" s="212">
        <f>IF(B11="","",N11+'入力・概要'!$B$36)</f>
        <v/>
      </c>
      <c r="Q11" s="212">
        <f>IF(B11="","",O11+C11*'入力・概要'!$B$37*1E-9)</f>
        <v/>
      </c>
      <c r="R11" s="212">
        <f>IF(B11="","",SQRT(P11^2+Q11^2))</f>
        <v/>
      </c>
      <c r="S11" s="212">
        <f>IF(B11="","",IF(P11&gt;0,DEGREES(ATAN(Q11/P11)),IF(P11&lt;0,IF(Q11&gt;=0,DEGREES(ATAN(Q11/P11))+180,DEGREES(ATAN(Q11/P11))-180),IF(Q11&gt;0,90,IF(Q11&lt;0,-90,0)))))</f>
        <v/>
      </c>
      <c r="T11" s="212">
        <f>IF(B11="","",LOG10(B11))</f>
        <v/>
      </c>
      <c r="U11" s="212">
        <f>IF(R11="","",LOG10(MAX(R11,1E-12)))</f>
        <v/>
      </c>
      <c r="V11" s="202" t="n"/>
      <c r="W11" s="202" t="n"/>
      <c r="X11" s="202" t="n"/>
      <c r="Y11" s="202" t="n"/>
      <c r="Z11" s="202" t="n"/>
      <c r="AA11" s="202" t="n"/>
      <c r="AB11" s="202" t="n"/>
      <c r="AC11" s="202" t="n"/>
      <c r="AD11" s="202" t="n"/>
      <c r="AE11" s="202" t="n"/>
      <c r="AF11" s="202" t="n"/>
      <c r="AG11" s="202" t="n"/>
    </row>
    <row r="12">
      <c r="A12" s="202" t="n">
        <v>9</v>
      </c>
      <c r="B12" s="213">
        <f>IF(A12&lt;='入力・概要'!$B$40,10^(LOG10('入力・概要'!$B$38)+(A12-1)*(LOG10('入力・概要'!$B$39)-LOG10('入力・概要'!$B$38))/('入力・概要'!$B$40-1)),"")</f>
        <v/>
      </c>
      <c r="C12" s="212">
        <f>IF(B12="","",2*PI()*B12)</f>
        <v/>
      </c>
      <c r="D12" s="212">
        <f>IF(B12="","",ATANH(MIN(0.999999,(2*'入力・概要'!$B$17*'入力・概要'!$B$6)/'入力・概要'!$B$30))+'入力・概要'!$B$33*SQRT(B12/1E6)+(2*PI()*B12*'入力・概要'!$B$6/(299792458*'入力・概要'!$B$31))*'入力・概要'!$B$32/2)</f>
        <v/>
      </c>
      <c r="E12" s="212">
        <f>IF(B12="","",2*PI()*B12*'入力・概要'!$B$6/(299792458*'入力・概要'!$B$31))</f>
        <v/>
      </c>
      <c r="F12" s="212">
        <f>IF(B12="","",SINH(2*D12)/(COSH(2*D12)+COS(2*E12)))</f>
        <v/>
      </c>
      <c r="G12" s="212">
        <f>IF(B12="","",SIN(2*E12)/(COSH(2*D12)+COS(2*E12)))</f>
        <v/>
      </c>
      <c r="H12" s="212">
        <f>IF(B12="","",'入力・概要'!$B$34)</f>
        <v/>
      </c>
      <c r="I12" s="212">
        <f>IF(B12="","",C12*'入力・概要'!$B$35*1E-9)</f>
        <v/>
      </c>
      <c r="J12" s="212">
        <f>IF(B12="","",H12+'入力・概要'!$B$30*F12)</f>
        <v/>
      </c>
      <c r="K12" s="212">
        <f>IF(B12="","",I12+'入力・概要'!$B$30*G12)</f>
        <v/>
      </c>
      <c r="L12" s="212">
        <f>IF(B12="","",'入力・概要'!$B$30+H12*F12-I12*G12)</f>
        <v/>
      </c>
      <c r="M12" s="212">
        <f>IF(B12="","",H12*G12+I12*F12)</f>
        <v/>
      </c>
      <c r="N12" s="212">
        <f>IF(B12="","",'入力・概要'!$B$30*(J12*L12+K12*M12)/(L12^2+M12^2))</f>
        <v/>
      </c>
      <c r="O12" s="212">
        <f>IF(B12="","",'入力・概要'!$B$30*(K12*L12-J12*M12)/(L12^2+M12^2))</f>
        <v/>
      </c>
      <c r="P12" s="212">
        <f>IF(B12="","",N12+'入力・概要'!$B$36)</f>
        <v/>
      </c>
      <c r="Q12" s="212">
        <f>IF(B12="","",O12+C12*'入力・概要'!$B$37*1E-9)</f>
        <v/>
      </c>
      <c r="R12" s="212">
        <f>IF(B12="","",SQRT(P12^2+Q12^2))</f>
        <v/>
      </c>
      <c r="S12" s="212">
        <f>IF(B12="","",IF(P12&gt;0,DEGREES(ATAN(Q12/P12)),IF(P12&lt;0,IF(Q12&gt;=0,DEGREES(ATAN(Q12/P12))+180,DEGREES(ATAN(Q12/P12))-180),IF(Q12&gt;0,90,IF(Q12&lt;0,-90,0)))))</f>
        <v/>
      </c>
      <c r="T12" s="212">
        <f>IF(B12="","",LOG10(B12))</f>
        <v/>
      </c>
      <c r="U12" s="212">
        <f>IF(R12="","",LOG10(MAX(R12,1E-12)))</f>
        <v/>
      </c>
      <c r="V12" s="202" t="n"/>
      <c r="W12" s="202" t="n"/>
      <c r="X12" s="202" t="n"/>
      <c r="Y12" s="202" t="n"/>
      <c r="Z12" s="202" t="n"/>
      <c r="AA12" s="202" t="n"/>
      <c r="AB12" s="202" t="n"/>
      <c r="AC12" s="202" t="n"/>
      <c r="AD12" s="202" t="n"/>
      <c r="AE12" s="202" t="n"/>
      <c r="AF12" s="202" t="n"/>
      <c r="AG12" s="202" t="n"/>
    </row>
    <row r="13">
      <c r="A13" s="202" t="n">
        <v>10</v>
      </c>
      <c r="B13" s="213">
        <f>IF(A13&lt;='入力・概要'!$B$40,10^(LOG10('入力・概要'!$B$38)+(A13-1)*(LOG10('入力・概要'!$B$39)-LOG10('入力・概要'!$B$38))/('入力・概要'!$B$40-1)),"")</f>
        <v/>
      </c>
      <c r="C13" s="212">
        <f>IF(B13="","",2*PI()*B13)</f>
        <v/>
      </c>
      <c r="D13" s="212">
        <f>IF(B13="","",ATANH(MIN(0.999999,(2*'入力・概要'!$B$17*'入力・概要'!$B$6)/'入力・概要'!$B$30))+'入力・概要'!$B$33*SQRT(B13/1E6)+(2*PI()*B13*'入力・概要'!$B$6/(299792458*'入力・概要'!$B$31))*'入力・概要'!$B$32/2)</f>
        <v/>
      </c>
      <c r="E13" s="212">
        <f>IF(B13="","",2*PI()*B13*'入力・概要'!$B$6/(299792458*'入力・概要'!$B$31))</f>
        <v/>
      </c>
      <c r="F13" s="212">
        <f>IF(B13="","",SINH(2*D13)/(COSH(2*D13)+COS(2*E13)))</f>
        <v/>
      </c>
      <c r="G13" s="212">
        <f>IF(B13="","",SIN(2*E13)/(COSH(2*D13)+COS(2*E13)))</f>
        <v/>
      </c>
      <c r="H13" s="212">
        <f>IF(B13="","",'入力・概要'!$B$34)</f>
        <v/>
      </c>
      <c r="I13" s="212">
        <f>IF(B13="","",C13*'入力・概要'!$B$35*1E-9)</f>
        <v/>
      </c>
      <c r="J13" s="212">
        <f>IF(B13="","",H13+'入力・概要'!$B$30*F13)</f>
        <v/>
      </c>
      <c r="K13" s="212">
        <f>IF(B13="","",I13+'入力・概要'!$B$30*G13)</f>
        <v/>
      </c>
      <c r="L13" s="212">
        <f>IF(B13="","",'入力・概要'!$B$30+H13*F13-I13*G13)</f>
        <v/>
      </c>
      <c r="M13" s="212">
        <f>IF(B13="","",H13*G13+I13*F13)</f>
        <v/>
      </c>
      <c r="N13" s="212">
        <f>IF(B13="","",'入力・概要'!$B$30*(J13*L13+K13*M13)/(L13^2+M13^2))</f>
        <v/>
      </c>
      <c r="O13" s="212">
        <f>IF(B13="","",'入力・概要'!$B$30*(K13*L13-J13*M13)/(L13^2+M13^2))</f>
        <v/>
      </c>
      <c r="P13" s="212">
        <f>IF(B13="","",N13+'入力・概要'!$B$36)</f>
        <v/>
      </c>
      <c r="Q13" s="212">
        <f>IF(B13="","",O13+C13*'入力・概要'!$B$37*1E-9)</f>
        <v/>
      </c>
      <c r="R13" s="212">
        <f>IF(B13="","",SQRT(P13^2+Q13^2))</f>
        <v/>
      </c>
      <c r="S13" s="212">
        <f>IF(B13="","",IF(P13&gt;0,DEGREES(ATAN(Q13/P13)),IF(P13&lt;0,IF(Q13&gt;=0,DEGREES(ATAN(Q13/P13))+180,DEGREES(ATAN(Q13/P13))-180),IF(Q13&gt;0,90,IF(Q13&lt;0,-90,0)))))</f>
        <v/>
      </c>
      <c r="T13" s="212">
        <f>IF(B13="","",LOG10(B13))</f>
        <v/>
      </c>
      <c r="U13" s="212">
        <f>IF(R13="","",LOG10(MAX(R13,1E-12)))</f>
        <v/>
      </c>
      <c r="V13" s="202" t="n"/>
      <c r="W13" s="202" t="n"/>
      <c r="X13" s="202" t="n"/>
      <c r="Y13" s="202" t="n"/>
      <c r="Z13" s="202" t="n"/>
      <c r="AA13" s="202" t="n"/>
      <c r="AB13" s="202" t="n"/>
      <c r="AC13" s="202" t="n"/>
      <c r="AD13" s="202" t="n"/>
      <c r="AE13" s="202" t="n"/>
      <c r="AF13" s="202" t="n"/>
      <c r="AG13" s="202" t="n"/>
    </row>
    <row r="14">
      <c r="A14" s="202" t="n">
        <v>11</v>
      </c>
      <c r="B14" s="213">
        <f>IF(A14&lt;='入力・概要'!$B$40,10^(LOG10('入力・概要'!$B$38)+(A14-1)*(LOG10('入力・概要'!$B$39)-LOG10('入力・概要'!$B$38))/('入力・概要'!$B$40-1)),"")</f>
        <v/>
      </c>
      <c r="C14" s="212">
        <f>IF(B14="","",2*PI()*B14)</f>
        <v/>
      </c>
      <c r="D14" s="212">
        <f>IF(B14="","",ATANH(MIN(0.999999,(2*'入力・概要'!$B$17*'入力・概要'!$B$6)/'入力・概要'!$B$30))+'入力・概要'!$B$33*SQRT(B14/1E6)+(2*PI()*B14*'入力・概要'!$B$6/(299792458*'入力・概要'!$B$31))*'入力・概要'!$B$32/2)</f>
        <v/>
      </c>
      <c r="E14" s="212">
        <f>IF(B14="","",2*PI()*B14*'入力・概要'!$B$6/(299792458*'入力・概要'!$B$31))</f>
        <v/>
      </c>
      <c r="F14" s="212">
        <f>IF(B14="","",SINH(2*D14)/(COSH(2*D14)+COS(2*E14)))</f>
        <v/>
      </c>
      <c r="G14" s="212">
        <f>IF(B14="","",SIN(2*E14)/(COSH(2*D14)+COS(2*E14)))</f>
        <v/>
      </c>
      <c r="H14" s="212">
        <f>IF(B14="","",'入力・概要'!$B$34)</f>
        <v/>
      </c>
      <c r="I14" s="212">
        <f>IF(B14="","",C14*'入力・概要'!$B$35*1E-9)</f>
        <v/>
      </c>
      <c r="J14" s="212">
        <f>IF(B14="","",H14+'入力・概要'!$B$30*F14)</f>
        <v/>
      </c>
      <c r="K14" s="212">
        <f>IF(B14="","",I14+'入力・概要'!$B$30*G14)</f>
        <v/>
      </c>
      <c r="L14" s="212">
        <f>IF(B14="","",'入力・概要'!$B$30+H14*F14-I14*G14)</f>
        <v/>
      </c>
      <c r="M14" s="212">
        <f>IF(B14="","",H14*G14+I14*F14)</f>
        <v/>
      </c>
      <c r="N14" s="212">
        <f>IF(B14="","",'入力・概要'!$B$30*(J14*L14+K14*M14)/(L14^2+M14^2))</f>
        <v/>
      </c>
      <c r="O14" s="212">
        <f>IF(B14="","",'入力・概要'!$B$30*(K14*L14-J14*M14)/(L14^2+M14^2))</f>
        <v/>
      </c>
      <c r="P14" s="212">
        <f>IF(B14="","",N14+'入力・概要'!$B$36)</f>
        <v/>
      </c>
      <c r="Q14" s="212">
        <f>IF(B14="","",O14+C14*'入力・概要'!$B$37*1E-9)</f>
        <v/>
      </c>
      <c r="R14" s="212">
        <f>IF(B14="","",SQRT(P14^2+Q14^2))</f>
        <v/>
      </c>
      <c r="S14" s="212">
        <f>IF(B14="","",IF(P14&gt;0,DEGREES(ATAN(Q14/P14)),IF(P14&lt;0,IF(Q14&gt;=0,DEGREES(ATAN(Q14/P14))+180,DEGREES(ATAN(Q14/P14))-180),IF(Q14&gt;0,90,IF(Q14&lt;0,-90,0)))))</f>
        <v/>
      </c>
      <c r="T14" s="212">
        <f>IF(B14="","",LOG10(B14))</f>
        <v/>
      </c>
      <c r="U14" s="212">
        <f>IF(R14="","",LOG10(MAX(R14,1E-12)))</f>
        <v/>
      </c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  <c r="AE14" s="202" t="n"/>
      <c r="AF14" s="202" t="n"/>
      <c r="AG14" s="202" t="n"/>
    </row>
    <row r="15">
      <c r="A15" s="202" t="n">
        <v>12</v>
      </c>
      <c r="B15" s="213">
        <f>IF(A15&lt;='入力・概要'!$B$40,10^(LOG10('入力・概要'!$B$38)+(A15-1)*(LOG10('入力・概要'!$B$39)-LOG10('入力・概要'!$B$38))/('入力・概要'!$B$40-1)),"")</f>
        <v/>
      </c>
      <c r="C15" s="212">
        <f>IF(B15="","",2*PI()*B15)</f>
        <v/>
      </c>
      <c r="D15" s="212">
        <f>IF(B15="","",ATANH(MIN(0.999999,(2*'入力・概要'!$B$17*'入力・概要'!$B$6)/'入力・概要'!$B$30))+'入力・概要'!$B$33*SQRT(B15/1E6)+(2*PI()*B15*'入力・概要'!$B$6/(299792458*'入力・概要'!$B$31))*'入力・概要'!$B$32/2)</f>
        <v/>
      </c>
      <c r="E15" s="212">
        <f>IF(B15="","",2*PI()*B15*'入力・概要'!$B$6/(299792458*'入力・概要'!$B$31))</f>
        <v/>
      </c>
      <c r="F15" s="212">
        <f>IF(B15="","",SINH(2*D15)/(COSH(2*D15)+COS(2*E15)))</f>
        <v/>
      </c>
      <c r="G15" s="212">
        <f>IF(B15="","",SIN(2*E15)/(COSH(2*D15)+COS(2*E15)))</f>
        <v/>
      </c>
      <c r="H15" s="212">
        <f>IF(B15="","",'入力・概要'!$B$34)</f>
        <v/>
      </c>
      <c r="I15" s="212">
        <f>IF(B15="","",C15*'入力・概要'!$B$35*1E-9)</f>
        <v/>
      </c>
      <c r="J15" s="212">
        <f>IF(B15="","",H15+'入力・概要'!$B$30*F15)</f>
        <v/>
      </c>
      <c r="K15" s="212">
        <f>IF(B15="","",I15+'入力・概要'!$B$30*G15)</f>
        <v/>
      </c>
      <c r="L15" s="212">
        <f>IF(B15="","",'入力・概要'!$B$30+H15*F15-I15*G15)</f>
        <v/>
      </c>
      <c r="M15" s="212">
        <f>IF(B15="","",H15*G15+I15*F15)</f>
        <v/>
      </c>
      <c r="N15" s="212">
        <f>IF(B15="","",'入力・概要'!$B$30*(J15*L15+K15*M15)/(L15^2+M15^2))</f>
        <v/>
      </c>
      <c r="O15" s="212">
        <f>IF(B15="","",'入力・概要'!$B$30*(K15*L15-J15*M15)/(L15^2+M15^2))</f>
        <v/>
      </c>
      <c r="P15" s="212">
        <f>IF(B15="","",N15+'入力・概要'!$B$36)</f>
        <v/>
      </c>
      <c r="Q15" s="212">
        <f>IF(B15="","",O15+C15*'入力・概要'!$B$37*1E-9)</f>
        <v/>
      </c>
      <c r="R15" s="212">
        <f>IF(B15="","",SQRT(P15^2+Q15^2))</f>
        <v/>
      </c>
      <c r="S15" s="212">
        <f>IF(B15="","",IF(P15&gt;0,DEGREES(ATAN(Q15/P15)),IF(P15&lt;0,IF(Q15&gt;=0,DEGREES(ATAN(Q15/P15))+180,DEGREES(ATAN(Q15/P15))-180),IF(Q15&gt;0,90,IF(Q15&lt;0,-90,0)))))</f>
        <v/>
      </c>
      <c r="T15" s="212">
        <f>IF(B15="","",LOG10(B15))</f>
        <v/>
      </c>
      <c r="U15" s="212">
        <f>IF(R15="","",LOG10(MAX(R15,1E-12)))</f>
        <v/>
      </c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</row>
    <row r="16">
      <c r="A16" s="202" t="n">
        <v>13</v>
      </c>
      <c r="B16" s="213">
        <f>IF(A16&lt;='入力・概要'!$B$40,10^(LOG10('入力・概要'!$B$38)+(A16-1)*(LOG10('入力・概要'!$B$39)-LOG10('入力・概要'!$B$38))/('入力・概要'!$B$40-1)),"")</f>
        <v/>
      </c>
      <c r="C16" s="212">
        <f>IF(B16="","",2*PI()*B16)</f>
        <v/>
      </c>
      <c r="D16" s="212">
        <f>IF(B16="","",ATANH(MIN(0.999999,(2*'入力・概要'!$B$17*'入力・概要'!$B$6)/'入力・概要'!$B$30))+'入力・概要'!$B$33*SQRT(B16/1E6)+(2*PI()*B16*'入力・概要'!$B$6/(299792458*'入力・概要'!$B$31))*'入力・概要'!$B$32/2)</f>
        <v/>
      </c>
      <c r="E16" s="212">
        <f>IF(B16="","",2*PI()*B16*'入力・概要'!$B$6/(299792458*'入力・概要'!$B$31))</f>
        <v/>
      </c>
      <c r="F16" s="212">
        <f>IF(B16="","",SINH(2*D16)/(COSH(2*D16)+COS(2*E16)))</f>
        <v/>
      </c>
      <c r="G16" s="212">
        <f>IF(B16="","",SIN(2*E16)/(COSH(2*D16)+COS(2*E16)))</f>
        <v/>
      </c>
      <c r="H16" s="212">
        <f>IF(B16="","",'入力・概要'!$B$34)</f>
        <v/>
      </c>
      <c r="I16" s="212">
        <f>IF(B16="","",C16*'入力・概要'!$B$35*1E-9)</f>
        <v/>
      </c>
      <c r="J16" s="212">
        <f>IF(B16="","",H16+'入力・概要'!$B$30*F16)</f>
        <v/>
      </c>
      <c r="K16" s="212">
        <f>IF(B16="","",I16+'入力・概要'!$B$30*G16)</f>
        <v/>
      </c>
      <c r="L16" s="212">
        <f>IF(B16="","",'入力・概要'!$B$30+H16*F16-I16*G16)</f>
        <v/>
      </c>
      <c r="M16" s="212">
        <f>IF(B16="","",H16*G16+I16*F16)</f>
        <v/>
      </c>
      <c r="N16" s="212">
        <f>IF(B16="","",'入力・概要'!$B$30*(J16*L16+K16*M16)/(L16^2+M16^2))</f>
        <v/>
      </c>
      <c r="O16" s="212">
        <f>IF(B16="","",'入力・概要'!$B$30*(K16*L16-J16*M16)/(L16^2+M16^2))</f>
        <v/>
      </c>
      <c r="P16" s="212">
        <f>IF(B16="","",N16+'入力・概要'!$B$36)</f>
        <v/>
      </c>
      <c r="Q16" s="212">
        <f>IF(B16="","",O16+C16*'入力・概要'!$B$37*1E-9)</f>
        <v/>
      </c>
      <c r="R16" s="212">
        <f>IF(B16="","",SQRT(P16^2+Q16^2))</f>
        <v/>
      </c>
      <c r="S16" s="212">
        <f>IF(B16="","",IF(P16&gt;0,DEGREES(ATAN(Q16/P16)),IF(P16&lt;0,IF(Q16&gt;=0,DEGREES(ATAN(Q16/P16))+180,DEGREES(ATAN(Q16/P16))-180),IF(Q16&gt;0,90,IF(Q16&lt;0,-90,0)))))</f>
        <v/>
      </c>
      <c r="T16" s="212">
        <f>IF(B16="","",LOG10(B16))</f>
        <v/>
      </c>
      <c r="U16" s="212">
        <f>IF(R16="","",LOG10(MAX(R16,1E-12)))</f>
        <v/>
      </c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</row>
    <row r="17">
      <c r="A17" s="202" t="n">
        <v>14</v>
      </c>
      <c r="B17" s="213">
        <f>IF(A17&lt;='入力・概要'!$B$40,10^(LOG10('入力・概要'!$B$38)+(A17-1)*(LOG10('入力・概要'!$B$39)-LOG10('入力・概要'!$B$38))/('入力・概要'!$B$40-1)),"")</f>
        <v/>
      </c>
      <c r="C17" s="212">
        <f>IF(B17="","",2*PI()*B17)</f>
        <v/>
      </c>
      <c r="D17" s="212">
        <f>IF(B17="","",ATANH(MIN(0.999999,(2*'入力・概要'!$B$17*'入力・概要'!$B$6)/'入力・概要'!$B$30))+'入力・概要'!$B$33*SQRT(B17/1E6)+(2*PI()*B17*'入力・概要'!$B$6/(299792458*'入力・概要'!$B$31))*'入力・概要'!$B$32/2)</f>
        <v/>
      </c>
      <c r="E17" s="212">
        <f>IF(B17="","",2*PI()*B17*'入力・概要'!$B$6/(299792458*'入力・概要'!$B$31))</f>
        <v/>
      </c>
      <c r="F17" s="212">
        <f>IF(B17="","",SINH(2*D17)/(COSH(2*D17)+COS(2*E17)))</f>
        <v/>
      </c>
      <c r="G17" s="212">
        <f>IF(B17="","",SIN(2*E17)/(COSH(2*D17)+COS(2*E17)))</f>
        <v/>
      </c>
      <c r="H17" s="212">
        <f>IF(B17="","",'入力・概要'!$B$34)</f>
        <v/>
      </c>
      <c r="I17" s="212">
        <f>IF(B17="","",C17*'入力・概要'!$B$35*1E-9)</f>
        <v/>
      </c>
      <c r="J17" s="212">
        <f>IF(B17="","",H17+'入力・概要'!$B$30*F17)</f>
        <v/>
      </c>
      <c r="K17" s="212">
        <f>IF(B17="","",I17+'入力・概要'!$B$30*G17)</f>
        <v/>
      </c>
      <c r="L17" s="212">
        <f>IF(B17="","",'入力・概要'!$B$30+H17*F17-I17*G17)</f>
        <v/>
      </c>
      <c r="M17" s="212">
        <f>IF(B17="","",H17*G17+I17*F17)</f>
        <v/>
      </c>
      <c r="N17" s="212">
        <f>IF(B17="","",'入力・概要'!$B$30*(J17*L17+K17*M17)/(L17^2+M17^2))</f>
        <v/>
      </c>
      <c r="O17" s="212">
        <f>IF(B17="","",'入力・概要'!$B$30*(K17*L17-J17*M17)/(L17^2+M17^2))</f>
        <v/>
      </c>
      <c r="P17" s="212">
        <f>IF(B17="","",N17+'入力・概要'!$B$36)</f>
        <v/>
      </c>
      <c r="Q17" s="212">
        <f>IF(B17="","",O17+C17*'入力・概要'!$B$37*1E-9)</f>
        <v/>
      </c>
      <c r="R17" s="212">
        <f>IF(B17="","",SQRT(P17^2+Q17^2))</f>
        <v/>
      </c>
      <c r="S17" s="212">
        <f>IF(B17="","",IF(P17&gt;0,DEGREES(ATAN(Q17/P17)),IF(P17&lt;0,IF(Q17&gt;=0,DEGREES(ATAN(Q17/P17))+180,DEGREES(ATAN(Q17/P17))-180),IF(Q17&gt;0,90,IF(Q17&lt;0,-90,0)))))</f>
        <v/>
      </c>
      <c r="T17" s="212">
        <f>IF(B17="","",LOG10(B17))</f>
        <v/>
      </c>
      <c r="U17" s="212">
        <f>IF(R17="","",LOG10(MAX(R17,1E-12)))</f>
        <v/>
      </c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</row>
    <row r="18">
      <c r="A18" s="202" t="n">
        <v>15</v>
      </c>
      <c r="B18" s="213">
        <f>IF(A18&lt;='入力・概要'!$B$40,10^(LOG10('入力・概要'!$B$38)+(A18-1)*(LOG10('入力・概要'!$B$39)-LOG10('入力・概要'!$B$38))/('入力・概要'!$B$40-1)),"")</f>
        <v/>
      </c>
      <c r="C18" s="212">
        <f>IF(B18="","",2*PI()*B18)</f>
        <v/>
      </c>
      <c r="D18" s="212">
        <f>IF(B18="","",ATANH(MIN(0.999999,(2*'入力・概要'!$B$17*'入力・概要'!$B$6)/'入力・概要'!$B$30))+'入力・概要'!$B$33*SQRT(B18/1E6)+(2*PI()*B18*'入力・概要'!$B$6/(299792458*'入力・概要'!$B$31))*'入力・概要'!$B$32/2)</f>
        <v/>
      </c>
      <c r="E18" s="212">
        <f>IF(B18="","",2*PI()*B18*'入力・概要'!$B$6/(299792458*'入力・概要'!$B$31))</f>
        <v/>
      </c>
      <c r="F18" s="212">
        <f>IF(B18="","",SINH(2*D18)/(COSH(2*D18)+COS(2*E18)))</f>
        <v/>
      </c>
      <c r="G18" s="212">
        <f>IF(B18="","",SIN(2*E18)/(COSH(2*D18)+COS(2*E18)))</f>
        <v/>
      </c>
      <c r="H18" s="212">
        <f>IF(B18="","",'入力・概要'!$B$34)</f>
        <v/>
      </c>
      <c r="I18" s="212">
        <f>IF(B18="","",C18*'入力・概要'!$B$35*1E-9)</f>
        <v/>
      </c>
      <c r="J18" s="212">
        <f>IF(B18="","",H18+'入力・概要'!$B$30*F18)</f>
        <v/>
      </c>
      <c r="K18" s="212">
        <f>IF(B18="","",I18+'入力・概要'!$B$30*G18)</f>
        <v/>
      </c>
      <c r="L18" s="212">
        <f>IF(B18="","",'入力・概要'!$B$30+H18*F18-I18*G18)</f>
        <v/>
      </c>
      <c r="M18" s="212">
        <f>IF(B18="","",H18*G18+I18*F18)</f>
        <v/>
      </c>
      <c r="N18" s="212">
        <f>IF(B18="","",'入力・概要'!$B$30*(J18*L18+K18*M18)/(L18^2+M18^2))</f>
        <v/>
      </c>
      <c r="O18" s="212">
        <f>IF(B18="","",'入力・概要'!$B$30*(K18*L18-J18*M18)/(L18^2+M18^2))</f>
        <v/>
      </c>
      <c r="P18" s="212">
        <f>IF(B18="","",N18+'入力・概要'!$B$36)</f>
        <v/>
      </c>
      <c r="Q18" s="212">
        <f>IF(B18="","",O18+C18*'入力・概要'!$B$37*1E-9)</f>
        <v/>
      </c>
      <c r="R18" s="212">
        <f>IF(B18="","",SQRT(P18^2+Q18^2))</f>
        <v/>
      </c>
      <c r="S18" s="212">
        <f>IF(B18="","",IF(P18&gt;0,DEGREES(ATAN(Q18/P18)),IF(P18&lt;0,IF(Q18&gt;=0,DEGREES(ATAN(Q18/P18))+180,DEGREES(ATAN(Q18/P18))-180),IF(Q18&gt;0,90,IF(Q18&lt;0,-90,0)))))</f>
        <v/>
      </c>
      <c r="T18" s="212">
        <f>IF(B18="","",LOG10(B18))</f>
        <v/>
      </c>
      <c r="U18" s="212">
        <f>IF(R18="","",LOG10(MAX(R18,1E-12)))</f>
        <v/>
      </c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</row>
    <row r="19">
      <c r="A19" s="202" t="n">
        <v>16</v>
      </c>
      <c r="B19" s="213">
        <f>IF(A19&lt;='入力・概要'!$B$40,10^(LOG10('入力・概要'!$B$38)+(A19-1)*(LOG10('入力・概要'!$B$39)-LOG10('入力・概要'!$B$38))/('入力・概要'!$B$40-1)),"")</f>
        <v/>
      </c>
      <c r="C19" s="212">
        <f>IF(B19="","",2*PI()*B19)</f>
        <v/>
      </c>
      <c r="D19" s="212">
        <f>IF(B19="","",ATANH(MIN(0.999999,(2*'入力・概要'!$B$17*'入力・概要'!$B$6)/'入力・概要'!$B$30))+'入力・概要'!$B$33*SQRT(B19/1E6)+(2*PI()*B19*'入力・概要'!$B$6/(299792458*'入力・概要'!$B$31))*'入力・概要'!$B$32/2)</f>
        <v/>
      </c>
      <c r="E19" s="212">
        <f>IF(B19="","",2*PI()*B19*'入力・概要'!$B$6/(299792458*'入力・概要'!$B$31))</f>
        <v/>
      </c>
      <c r="F19" s="212">
        <f>IF(B19="","",SINH(2*D19)/(COSH(2*D19)+COS(2*E19)))</f>
        <v/>
      </c>
      <c r="G19" s="212">
        <f>IF(B19="","",SIN(2*E19)/(COSH(2*D19)+COS(2*E19)))</f>
        <v/>
      </c>
      <c r="H19" s="212">
        <f>IF(B19="","",'入力・概要'!$B$34)</f>
        <v/>
      </c>
      <c r="I19" s="212">
        <f>IF(B19="","",C19*'入力・概要'!$B$35*1E-9)</f>
        <v/>
      </c>
      <c r="J19" s="212">
        <f>IF(B19="","",H19+'入力・概要'!$B$30*F19)</f>
        <v/>
      </c>
      <c r="K19" s="212">
        <f>IF(B19="","",I19+'入力・概要'!$B$30*G19)</f>
        <v/>
      </c>
      <c r="L19" s="212">
        <f>IF(B19="","",'入力・概要'!$B$30+H19*F19-I19*G19)</f>
        <v/>
      </c>
      <c r="M19" s="212">
        <f>IF(B19="","",H19*G19+I19*F19)</f>
        <v/>
      </c>
      <c r="N19" s="212">
        <f>IF(B19="","",'入力・概要'!$B$30*(J19*L19+K19*M19)/(L19^2+M19^2))</f>
        <v/>
      </c>
      <c r="O19" s="212">
        <f>IF(B19="","",'入力・概要'!$B$30*(K19*L19-J19*M19)/(L19^2+M19^2))</f>
        <v/>
      </c>
      <c r="P19" s="212">
        <f>IF(B19="","",N19+'入力・概要'!$B$36)</f>
        <v/>
      </c>
      <c r="Q19" s="212">
        <f>IF(B19="","",O19+C19*'入力・概要'!$B$37*1E-9)</f>
        <v/>
      </c>
      <c r="R19" s="212">
        <f>IF(B19="","",SQRT(P19^2+Q19^2))</f>
        <v/>
      </c>
      <c r="S19" s="212">
        <f>IF(B19="","",IF(P19&gt;0,DEGREES(ATAN(Q19/P19)),IF(P19&lt;0,IF(Q19&gt;=0,DEGREES(ATAN(Q19/P19))+180,DEGREES(ATAN(Q19/P19))-180),IF(Q19&gt;0,90,IF(Q19&lt;0,-90,0)))))</f>
        <v/>
      </c>
      <c r="T19" s="212">
        <f>IF(B19="","",LOG10(B19))</f>
        <v/>
      </c>
      <c r="U19" s="212">
        <f>IF(R19="","",LOG10(MAX(R19,1E-12)))</f>
        <v/>
      </c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</row>
    <row r="20">
      <c r="A20" s="202" t="n">
        <v>17</v>
      </c>
      <c r="B20" s="213">
        <f>IF(A20&lt;='入力・概要'!$B$40,10^(LOG10('入力・概要'!$B$38)+(A20-1)*(LOG10('入力・概要'!$B$39)-LOG10('入力・概要'!$B$38))/('入力・概要'!$B$40-1)),"")</f>
        <v/>
      </c>
      <c r="C20" s="212">
        <f>IF(B20="","",2*PI()*B20)</f>
        <v/>
      </c>
      <c r="D20" s="212">
        <f>IF(B20="","",ATANH(MIN(0.999999,(2*'入力・概要'!$B$17*'入力・概要'!$B$6)/'入力・概要'!$B$30))+'入力・概要'!$B$33*SQRT(B20/1E6)+(2*PI()*B20*'入力・概要'!$B$6/(299792458*'入力・概要'!$B$31))*'入力・概要'!$B$32/2)</f>
        <v/>
      </c>
      <c r="E20" s="212">
        <f>IF(B20="","",2*PI()*B20*'入力・概要'!$B$6/(299792458*'入力・概要'!$B$31))</f>
        <v/>
      </c>
      <c r="F20" s="212">
        <f>IF(B20="","",SINH(2*D20)/(COSH(2*D20)+COS(2*E20)))</f>
        <v/>
      </c>
      <c r="G20" s="212">
        <f>IF(B20="","",SIN(2*E20)/(COSH(2*D20)+COS(2*E20)))</f>
        <v/>
      </c>
      <c r="H20" s="212">
        <f>IF(B20="","",'入力・概要'!$B$34)</f>
        <v/>
      </c>
      <c r="I20" s="212">
        <f>IF(B20="","",C20*'入力・概要'!$B$35*1E-9)</f>
        <v/>
      </c>
      <c r="J20" s="212">
        <f>IF(B20="","",H20+'入力・概要'!$B$30*F20)</f>
        <v/>
      </c>
      <c r="K20" s="212">
        <f>IF(B20="","",I20+'入力・概要'!$B$30*G20)</f>
        <v/>
      </c>
      <c r="L20" s="212">
        <f>IF(B20="","",'入力・概要'!$B$30+H20*F20-I20*G20)</f>
        <v/>
      </c>
      <c r="M20" s="212">
        <f>IF(B20="","",H20*G20+I20*F20)</f>
        <v/>
      </c>
      <c r="N20" s="212">
        <f>IF(B20="","",'入力・概要'!$B$30*(J20*L20+K20*M20)/(L20^2+M20^2))</f>
        <v/>
      </c>
      <c r="O20" s="212">
        <f>IF(B20="","",'入力・概要'!$B$30*(K20*L20-J20*M20)/(L20^2+M20^2))</f>
        <v/>
      </c>
      <c r="P20" s="212">
        <f>IF(B20="","",N20+'入力・概要'!$B$36)</f>
        <v/>
      </c>
      <c r="Q20" s="212">
        <f>IF(B20="","",O20+C20*'入力・概要'!$B$37*1E-9)</f>
        <v/>
      </c>
      <c r="R20" s="212">
        <f>IF(B20="","",SQRT(P20^2+Q20^2))</f>
        <v/>
      </c>
      <c r="S20" s="212">
        <f>IF(B20="","",IF(P20&gt;0,DEGREES(ATAN(Q20/P20)),IF(P20&lt;0,IF(Q20&gt;=0,DEGREES(ATAN(Q20/P20))+180,DEGREES(ATAN(Q20/P20))-180),IF(Q20&gt;0,90,IF(Q20&lt;0,-90,0)))))</f>
        <v/>
      </c>
      <c r="T20" s="212">
        <f>IF(B20="","",LOG10(B20))</f>
        <v/>
      </c>
      <c r="U20" s="212">
        <f>IF(R20="","",LOG10(MAX(R20,1E-12)))</f>
        <v/>
      </c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</row>
    <row r="21">
      <c r="A21" s="202" t="n">
        <v>18</v>
      </c>
      <c r="B21" s="213">
        <f>IF(A21&lt;='入力・概要'!$B$40,10^(LOG10('入力・概要'!$B$38)+(A21-1)*(LOG10('入力・概要'!$B$39)-LOG10('入力・概要'!$B$38))/('入力・概要'!$B$40-1)),"")</f>
        <v/>
      </c>
      <c r="C21" s="212">
        <f>IF(B21="","",2*PI()*B21)</f>
        <v/>
      </c>
      <c r="D21" s="212">
        <f>IF(B21="","",ATANH(MIN(0.999999,(2*'入力・概要'!$B$17*'入力・概要'!$B$6)/'入力・概要'!$B$30))+'入力・概要'!$B$33*SQRT(B21/1E6)+(2*PI()*B21*'入力・概要'!$B$6/(299792458*'入力・概要'!$B$31))*'入力・概要'!$B$32/2)</f>
        <v/>
      </c>
      <c r="E21" s="212">
        <f>IF(B21="","",2*PI()*B21*'入力・概要'!$B$6/(299792458*'入力・概要'!$B$31))</f>
        <v/>
      </c>
      <c r="F21" s="212">
        <f>IF(B21="","",SINH(2*D21)/(COSH(2*D21)+COS(2*E21)))</f>
        <v/>
      </c>
      <c r="G21" s="212">
        <f>IF(B21="","",SIN(2*E21)/(COSH(2*D21)+COS(2*E21)))</f>
        <v/>
      </c>
      <c r="H21" s="212">
        <f>IF(B21="","",'入力・概要'!$B$34)</f>
        <v/>
      </c>
      <c r="I21" s="212">
        <f>IF(B21="","",C21*'入力・概要'!$B$35*1E-9)</f>
        <v/>
      </c>
      <c r="J21" s="212">
        <f>IF(B21="","",H21+'入力・概要'!$B$30*F21)</f>
        <v/>
      </c>
      <c r="K21" s="212">
        <f>IF(B21="","",I21+'入力・概要'!$B$30*G21)</f>
        <v/>
      </c>
      <c r="L21" s="212">
        <f>IF(B21="","",'入力・概要'!$B$30+H21*F21-I21*G21)</f>
        <v/>
      </c>
      <c r="M21" s="212">
        <f>IF(B21="","",H21*G21+I21*F21)</f>
        <v/>
      </c>
      <c r="N21" s="212">
        <f>IF(B21="","",'入力・概要'!$B$30*(J21*L21+K21*M21)/(L21^2+M21^2))</f>
        <v/>
      </c>
      <c r="O21" s="212">
        <f>IF(B21="","",'入力・概要'!$B$30*(K21*L21-J21*M21)/(L21^2+M21^2))</f>
        <v/>
      </c>
      <c r="P21" s="212">
        <f>IF(B21="","",N21+'入力・概要'!$B$36)</f>
        <v/>
      </c>
      <c r="Q21" s="212">
        <f>IF(B21="","",O21+C21*'入力・概要'!$B$37*1E-9)</f>
        <v/>
      </c>
      <c r="R21" s="212">
        <f>IF(B21="","",SQRT(P21^2+Q21^2))</f>
        <v/>
      </c>
      <c r="S21" s="212">
        <f>IF(B21="","",IF(P21&gt;0,DEGREES(ATAN(Q21/P21)),IF(P21&lt;0,IF(Q21&gt;=0,DEGREES(ATAN(Q21/P21))+180,DEGREES(ATAN(Q21/P21))-180),IF(Q21&gt;0,90,IF(Q21&lt;0,-90,0)))))</f>
        <v/>
      </c>
      <c r="T21" s="212">
        <f>IF(B21="","",LOG10(B21))</f>
        <v/>
      </c>
      <c r="U21" s="212">
        <f>IF(R21="","",LOG10(MAX(R21,1E-12)))</f>
        <v/>
      </c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</row>
    <row r="22">
      <c r="A22" s="202" t="n">
        <v>19</v>
      </c>
      <c r="B22" s="213">
        <f>IF(A22&lt;='入力・概要'!$B$40,10^(LOG10('入力・概要'!$B$38)+(A22-1)*(LOG10('入力・概要'!$B$39)-LOG10('入力・概要'!$B$38))/('入力・概要'!$B$40-1)),"")</f>
        <v/>
      </c>
      <c r="C22" s="212">
        <f>IF(B22="","",2*PI()*B22)</f>
        <v/>
      </c>
      <c r="D22" s="212">
        <f>IF(B22="","",ATANH(MIN(0.999999,(2*'入力・概要'!$B$17*'入力・概要'!$B$6)/'入力・概要'!$B$30))+'入力・概要'!$B$33*SQRT(B22/1E6)+(2*PI()*B22*'入力・概要'!$B$6/(299792458*'入力・概要'!$B$31))*'入力・概要'!$B$32/2)</f>
        <v/>
      </c>
      <c r="E22" s="212">
        <f>IF(B22="","",2*PI()*B22*'入力・概要'!$B$6/(299792458*'入力・概要'!$B$31))</f>
        <v/>
      </c>
      <c r="F22" s="212">
        <f>IF(B22="","",SINH(2*D22)/(COSH(2*D22)+COS(2*E22)))</f>
        <v/>
      </c>
      <c r="G22" s="212">
        <f>IF(B22="","",SIN(2*E22)/(COSH(2*D22)+COS(2*E22)))</f>
        <v/>
      </c>
      <c r="H22" s="212">
        <f>IF(B22="","",'入力・概要'!$B$34)</f>
        <v/>
      </c>
      <c r="I22" s="212">
        <f>IF(B22="","",C22*'入力・概要'!$B$35*1E-9)</f>
        <v/>
      </c>
      <c r="J22" s="212">
        <f>IF(B22="","",H22+'入力・概要'!$B$30*F22)</f>
        <v/>
      </c>
      <c r="K22" s="212">
        <f>IF(B22="","",I22+'入力・概要'!$B$30*G22)</f>
        <v/>
      </c>
      <c r="L22" s="212">
        <f>IF(B22="","",'入力・概要'!$B$30+H22*F22-I22*G22)</f>
        <v/>
      </c>
      <c r="M22" s="212">
        <f>IF(B22="","",H22*G22+I22*F22)</f>
        <v/>
      </c>
      <c r="N22" s="212">
        <f>IF(B22="","",'入力・概要'!$B$30*(J22*L22+K22*M22)/(L22^2+M22^2))</f>
        <v/>
      </c>
      <c r="O22" s="212">
        <f>IF(B22="","",'入力・概要'!$B$30*(K22*L22-J22*M22)/(L22^2+M22^2))</f>
        <v/>
      </c>
      <c r="P22" s="212">
        <f>IF(B22="","",N22+'入力・概要'!$B$36)</f>
        <v/>
      </c>
      <c r="Q22" s="212">
        <f>IF(B22="","",O22+C22*'入力・概要'!$B$37*1E-9)</f>
        <v/>
      </c>
      <c r="R22" s="212">
        <f>IF(B22="","",SQRT(P22^2+Q22^2))</f>
        <v/>
      </c>
      <c r="S22" s="212">
        <f>IF(B22="","",IF(P22&gt;0,DEGREES(ATAN(Q22/P22)),IF(P22&lt;0,IF(Q22&gt;=0,DEGREES(ATAN(Q22/P22))+180,DEGREES(ATAN(Q22/P22))-180),IF(Q22&gt;0,90,IF(Q22&lt;0,-90,0)))))</f>
        <v/>
      </c>
      <c r="T22" s="212">
        <f>IF(B22="","",LOG10(B22))</f>
        <v/>
      </c>
      <c r="U22" s="212">
        <f>IF(R22="","",LOG10(MAX(R22,1E-12)))</f>
        <v/>
      </c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</row>
    <row r="23">
      <c r="A23" s="202" t="n">
        <v>20</v>
      </c>
      <c r="B23" s="213">
        <f>IF(A23&lt;='入力・概要'!$B$40,10^(LOG10('入力・概要'!$B$38)+(A23-1)*(LOG10('入力・概要'!$B$39)-LOG10('入力・概要'!$B$38))/('入力・概要'!$B$40-1)),"")</f>
        <v/>
      </c>
      <c r="C23" s="212">
        <f>IF(B23="","",2*PI()*B23)</f>
        <v/>
      </c>
      <c r="D23" s="212">
        <f>IF(B23="","",ATANH(MIN(0.999999,(2*'入力・概要'!$B$17*'入力・概要'!$B$6)/'入力・概要'!$B$30))+'入力・概要'!$B$33*SQRT(B23/1E6)+(2*PI()*B23*'入力・概要'!$B$6/(299792458*'入力・概要'!$B$31))*'入力・概要'!$B$32/2)</f>
        <v/>
      </c>
      <c r="E23" s="212">
        <f>IF(B23="","",2*PI()*B23*'入力・概要'!$B$6/(299792458*'入力・概要'!$B$31))</f>
        <v/>
      </c>
      <c r="F23" s="212">
        <f>IF(B23="","",SINH(2*D23)/(COSH(2*D23)+COS(2*E23)))</f>
        <v/>
      </c>
      <c r="G23" s="212">
        <f>IF(B23="","",SIN(2*E23)/(COSH(2*D23)+COS(2*E23)))</f>
        <v/>
      </c>
      <c r="H23" s="212">
        <f>IF(B23="","",'入力・概要'!$B$34)</f>
        <v/>
      </c>
      <c r="I23" s="212">
        <f>IF(B23="","",C23*'入力・概要'!$B$35*1E-9)</f>
        <v/>
      </c>
      <c r="J23" s="212">
        <f>IF(B23="","",H23+'入力・概要'!$B$30*F23)</f>
        <v/>
      </c>
      <c r="K23" s="212">
        <f>IF(B23="","",I23+'入力・概要'!$B$30*G23)</f>
        <v/>
      </c>
      <c r="L23" s="212">
        <f>IF(B23="","",'入力・概要'!$B$30+H23*F23-I23*G23)</f>
        <v/>
      </c>
      <c r="M23" s="212">
        <f>IF(B23="","",H23*G23+I23*F23)</f>
        <v/>
      </c>
      <c r="N23" s="212">
        <f>IF(B23="","",'入力・概要'!$B$30*(J23*L23+K23*M23)/(L23^2+M23^2))</f>
        <v/>
      </c>
      <c r="O23" s="212">
        <f>IF(B23="","",'入力・概要'!$B$30*(K23*L23-J23*M23)/(L23^2+M23^2))</f>
        <v/>
      </c>
      <c r="P23" s="212">
        <f>IF(B23="","",N23+'入力・概要'!$B$36)</f>
        <v/>
      </c>
      <c r="Q23" s="212">
        <f>IF(B23="","",O23+C23*'入力・概要'!$B$37*1E-9)</f>
        <v/>
      </c>
      <c r="R23" s="212">
        <f>IF(B23="","",SQRT(P23^2+Q23^2))</f>
        <v/>
      </c>
      <c r="S23" s="212">
        <f>IF(B23="","",IF(P23&gt;0,DEGREES(ATAN(Q23/P23)),IF(P23&lt;0,IF(Q23&gt;=0,DEGREES(ATAN(Q23/P23))+180,DEGREES(ATAN(Q23/P23))-180),IF(Q23&gt;0,90,IF(Q23&lt;0,-90,0)))))</f>
        <v/>
      </c>
      <c r="T23" s="212">
        <f>IF(B23="","",LOG10(B23))</f>
        <v/>
      </c>
      <c r="U23" s="212">
        <f>IF(R23="","",LOG10(MAX(R23,1E-12)))</f>
        <v/>
      </c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</row>
    <row r="24">
      <c r="A24" s="202" t="n">
        <v>21</v>
      </c>
      <c r="B24" s="213">
        <f>IF(A24&lt;='入力・概要'!$B$40,10^(LOG10('入力・概要'!$B$38)+(A24-1)*(LOG10('入力・概要'!$B$39)-LOG10('入力・概要'!$B$38))/('入力・概要'!$B$40-1)),"")</f>
        <v/>
      </c>
      <c r="C24" s="212">
        <f>IF(B24="","",2*PI()*B24)</f>
        <v/>
      </c>
      <c r="D24" s="212">
        <f>IF(B24="","",ATANH(MIN(0.999999,(2*'入力・概要'!$B$17*'入力・概要'!$B$6)/'入力・概要'!$B$30))+'入力・概要'!$B$33*SQRT(B24/1E6)+(2*PI()*B24*'入力・概要'!$B$6/(299792458*'入力・概要'!$B$31))*'入力・概要'!$B$32/2)</f>
        <v/>
      </c>
      <c r="E24" s="212">
        <f>IF(B24="","",2*PI()*B24*'入力・概要'!$B$6/(299792458*'入力・概要'!$B$31))</f>
        <v/>
      </c>
      <c r="F24" s="212">
        <f>IF(B24="","",SINH(2*D24)/(COSH(2*D24)+COS(2*E24)))</f>
        <v/>
      </c>
      <c r="G24" s="212">
        <f>IF(B24="","",SIN(2*E24)/(COSH(2*D24)+COS(2*E24)))</f>
        <v/>
      </c>
      <c r="H24" s="212">
        <f>IF(B24="","",'入力・概要'!$B$34)</f>
        <v/>
      </c>
      <c r="I24" s="212">
        <f>IF(B24="","",C24*'入力・概要'!$B$35*1E-9)</f>
        <v/>
      </c>
      <c r="J24" s="212">
        <f>IF(B24="","",H24+'入力・概要'!$B$30*F24)</f>
        <v/>
      </c>
      <c r="K24" s="212">
        <f>IF(B24="","",I24+'入力・概要'!$B$30*G24)</f>
        <v/>
      </c>
      <c r="L24" s="212">
        <f>IF(B24="","",'入力・概要'!$B$30+H24*F24-I24*G24)</f>
        <v/>
      </c>
      <c r="M24" s="212">
        <f>IF(B24="","",H24*G24+I24*F24)</f>
        <v/>
      </c>
      <c r="N24" s="212">
        <f>IF(B24="","",'入力・概要'!$B$30*(J24*L24+K24*M24)/(L24^2+M24^2))</f>
        <v/>
      </c>
      <c r="O24" s="212">
        <f>IF(B24="","",'入力・概要'!$B$30*(K24*L24-J24*M24)/(L24^2+M24^2))</f>
        <v/>
      </c>
      <c r="P24" s="212">
        <f>IF(B24="","",N24+'入力・概要'!$B$36)</f>
        <v/>
      </c>
      <c r="Q24" s="212">
        <f>IF(B24="","",O24+C24*'入力・概要'!$B$37*1E-9)</f>
        <v/>
      </c>
      <c r="R24" s="212">
        <f>IF(B24="","",SQRT(P24^2+Q24^2))</f>
        <v/>
      </c>
      <c r="S24" s="212">
        <f>IF(B24="","",IF(P24&gt;0,DEGREES(ATAN(Q24/P24)),IF(P24&lt;0,IF(Q24&gt;=0,DEGREES(ATAN(Q24/P24))+180,DEGREES(ATAN(Q24/P24))-180),IF(Q24&gt;0,90,IF(Q24&lt;0,-90,0)))))</f>
        <v/>
      </c>
      <c r="T24" s="212">
        <f>IF(B24="","",LOG10(B24))</f>
        <v/>
      </c>
      <c r="U24" s="212">
        <f>IF(R24="","",LOG10(MAX(R24,1E-12)))</f>
        <v/>
      </c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</row>
    <row r="25">
      <c r="A25" s="202" t="n">
        <v>22</v>
      </c>
      <c r="B25" s="213">
        <f>IF(A25&lt;='入力・概要'!$B$40,10^(LOG10('入力・概要'!$B$38)+(A25-1)*(LOG10('入力・概要'!$B$39)-LOG10('入力・概要'!$B$38))/('入力・概要'!$B$40-1)),"")</f>
        <v/>
      </c>
      <c r="C25" s="212">
        <f>IF(B25="","",2*PI()*B25)</f>
        <v/>
      </c>
      <c r="D25" s="212">
        <f>IF(B25="","",ATANH(MIN(0.999999,(2*'入力・概要'!$B$17*'入力・概要'!$B$6)/'入力・概要'!$B$30))+'入力・概要'!$B$33*SQRT(B25/1E6)+(2*PI()*B25*'入力・概要'!$B$6/(299792458*'入力・概要'!$B$31))*'入力・概要'!$B$32/2)</f>
        <v/>
      </c>
      <c r="E25" s="212">
        <f>IF(B25="","",2*PI()*B25*'入力・概要'!$B$6/(299792458*'入力・概要'!$B$31))</f>
        <v/>
      </c>
      <c r="F25" s="212">
        <f>IF(B25="","",SINH(2*D25)/(COSH(2*D25)+COS(2*E25)))</f>
        <v/>
      </c>
      <c r="G25" s="212">
        <f>IF(B25="","",SIN(2*E25)/(COSH(2*D25)+COS(2*E25)))</f>
        <v/>
      </c>
      <c r="H25" s="212">
        <f>IF(B25="","",'入力・概要'!$B$34)</f>
        <v/>
      </c>
      <c r="I25" s="212">
        <f>IF(B25="","",C25*'入力・概要'!$B$35*1E-9)</f>
        <v/>
      </c>
      <c r="J25" s="212">
        <f>IF(B25="","",H25+'入力・概要'!$B$30*F25)</f>
        <v/>
      </c>
      <c r="K25" s="212">
        <f>IF(B25="","",I25+'入力・概要'!$B$30*G25)</f>
        <v/>
      </c>
      <c r="L25" s="212">
        <f>IF(B25="","",'入力・概要'!$B$30+H25*F25-I25*G25)</f>
        <v/>
      </c>
      <c r="M25" s="212">
        <f>IF(B25="","",H25*G25+I25*F25)</f>
        <v/>
      </c>
      <c r="N25" s="212">
        <f>IF(B25="","",'入力・概要'!$B$30*(J25*L25+K25*M25)/(L25^2+M25^2))</f>
        <v/>
      </c>
      <c r="O25" s="212">
        <f>IF(B25="","",'入力・概要'!$B$30*(K25*L25-J25*M25)/(L25^2+M25^2))</f>
        <v/>
      </c>
      <c r="P25" s="212">
        <f>IF(B25="","",N25+'入力・概要'!$B$36)</f>
        <v/>
      </c>
      <c r="Q25" s="212">
        <f>IF(B25="","",O25+C25*'入力・概要'!$B$37*1E-9)</f>
        <v/>
      </c>
      <c r="R25" s="212">
        <f>IF(B25="","",SQRT(P25^2+Q25^2))</f>
        <v/>
      </c>
      <c r="S25" s="212">
        <f>IF(B25="","",IF(P25&gt;0,DEGREES(ATAN(Q25/P25)),IF(P25&lt;0,IF(Q25&gt;=0,DEGREES(ATAN(Q25/P25))+180,DEGREES(ATAN(Q25/P25))-180),IF(Q25&gt;0,90,IF(Q25&lt;0,-90,0)))))</f>
        <v/>
      </c>
      <c r="T25" s="212">
        <f>IF(B25="","",LOG10(B25))</f>
        <v/>
      </c>
      <c r="U25" s="212">
        <f>IF(R25="","",LOG10(MAX(R25,1E-12)))</f>
        <v/>
      </c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</row>
    <row r="26">
      <c r="A26" s="202" t="n">
        <v>23</v>
      </c>
      <c r="B26" s="213">
        <f>IF(A26&lt;='入力・概要'!$B$40,10^(LOG10('入力・概要'!$B$38)+(A26-1)*(LOG10('入力・概要'!$B$39)-LOG10('入力・概要'!$B$38))/('入力・概要'!$B$40-1)),"")</f>
        <v/>
      </c>
      <c r="C26" s="212">
        <f>IF(B26="","",2*PI()*B26)</f>
        <v/>
      </c>
      <c r="D26" s="212">
        <f>IF(B26="","",ATANH(MIN(0.999999,(2*'入力・概要'!$B$17*'入力・概要'!$B$6)/'入力・概要'!$B$30))+'入力・概要'!$B$33*SQRT(B26/1E6)+(2*PI()*B26*'入力・概要'!$B$6/(299792458*'入力・概要'!$B$31))*'入力・概要'!$B$32/2)</f>
        <v/>
      </c>
      <c r="E26" s="212">
        <f>IF(B26="","",2*PI()*B26*'入力・概要'!$B$6/(299792458*'入力・概要'!$B$31))</f>
        <v/>
      </c>
      <c r="F26" s="212">
        <f>IF(B26="","",SINH(2*D26)/(COSH(2*D26)+COS(2*E26)))</f>
        <v/>
      </c>
      <c r="G26" s="212">
        <f>IF(B26="","",SIN(2*E26)/(COSH(2*D26)+COS(2*E26)))</f>
        <v/>
      </c>
      <c r="H26" s="212">
        <f>IF(B26="","",'入力・概要'!$B$34)</f>
        <v/>
      </c>
      <c r="I26" s="212">
        <f>IF(B26="","",C26*'入力・概要'!$B$35*1E-9)</f>
        <v/>
      </c>
      <c r="J26" s="212">
        <f>IF(B26="","",H26+'入力・概要'!$B$30*F26)</f>
        <v/>
      </c>
      <c r="K26" s="212">
        <f>IF(B26="","",I26+'入力・概要'!$B$30*G26)</f>
        <v/>
      </c>
      <c r="L26" s="212">
        <f>IF(B26="","",'入力・概要'!$B$30+H26*F26-I26*G26)</f>
        <v/>
      </c>
      <c r="M26" s="212">
        <f>IF(B26="","",H26*G26+I26*F26)</f>
        <v/>
      </c>
      <c r="N26" s="212">
        <f>IF(B26="","",'入力・概要'!$B$30*(J26*L26+K26*M26)/(L26^2+M26^2))</f>
        <v/>
      </c>
      <c r="O26" s="212">
        <f>IF(B26="","",'入力・概要'!$B$30*(K26*L26-J26*M26)/(L26^2+M26^2))</f>
        <v/>
      </c>
      <c r="P26" s="212">
        <f>IF(B26="","",N26+'入力・概要'!$B$36)</f>
        <v/>
      </c>
      <c r="Q26" s="212">
        <f>IF(B26="","",O26+C26*'入力・概要'!$B$37*1E-9)</f>
        <v/>
      </c>
      <c r="R26" s="212">
        <f>IF(B26="","",SQRT(P26^2+Q26^2))</f>
        <v/>
      </c>
      <c r="S26" s="212">
        <f>IF(B26="","",IF(P26&gt;0,DEGREES(ATAN(Q26/P26)),IF(P26&lt;0,IF(Q26&gt;=0,DEGREES(ATAN(Q26/P26))+180,DEGREES(ATAN(Q26/P26))-180),IF(Q26&gt;0,90,IF(Q26&lt;0,-90,0)))))</f>
        <v/>
      </c>
      <c r="T26" s="212">
        <f>IF(B26="","",LOG10(B26))</f>
        <v/>
      </c>
      <c r="U26" s="212">
        <f>IF(R26="","",LOG10(MAX(R26,1E-12)))</f>
        <v/>
      </c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</row>
    <row r="27">
      <c r="A27" s="202" t="n">
        <v>24</v>
      </c>
      <c r="B27" s="213">
        <f>IF(A27&lt;='入力・概要'!$B$40,10^(LOG10('入力・概要'!$B$38)+(A27-1)*(LOG10('入力・概要'!$B$39)-LOG10('入力・概要'!$B$38))/('入力・概要'!$B$40-1)),"")</f>
        <v/>
      </c>
      <c r="C27" s="212">
        <f>IF(B27="","",2*PI()*B27)</f>
        <v/>
      </c>
      <c r="D27" s="212">
        <f>IF(B27="","",ATANH(MIN(0.999999,(2*'入力・概要'!$B$17*'入力・概要'!$B$6)/'入力・概要'!$B$30))+'入力・概要'!$B$33*SQRT(B27/1E6)+(2*PI()*B27*'入力・概要'!$B$6/(299792458*'入力・概要'!$B$31))*'入力・概要'!$B$32/2)</f>
        <v/>
      </c>
      <c r="E27" s="212">
        <f>IF(B27="","",2*PI()*B27*'入力・概要'!$B$6/(299792458*'入力・概要'!$B$31))</f>
        <v/>
      </c>
      <c r="F27" s="212">
        <f>IF(B27="","",SINH(2*D27)/(COSH(2*D27)+COS(2*E27)))</f>
        <v/>
      </c>
      <c r="G27" s="212">
        <f>IF(B27="","",SIN(2*E27)/(COSH(2*D27)+COS(2*E27)))</f>
        <v/>
      </c>
      <c r="H27" s="212">
        <f>IF(B27="","",'入力・概要'!$B$34)</f>
        <v/>
      </c>
      <c r="I27" s="212">
        <f>IF(B27="","",C27*'入力・概要'!$B$35*1E-9)</f>
        <v/>
      </c>
      <c r="J27" s="212">
        <f>IF(B27="","",H27+'入力・概要'!$B$30*F27)</f>
        <v/>
      </c>
      <c r="K27" s="212">
        <f>IF(B27="","",I27+'入力・概要'!$B$30*G27)</f>
        <v/>
      </c>
      <c r="L27" s="212">
        <f>IF(B27="","",'入力・概要'!$B$30+H27*F27-I27*G27)</f>
        <v/>
      </c>
      <c r="M27" s="212">
        <f>IF(B27="","",H27*G27+I27*F27)</f>
        <v/>
      </c>
      <c r="N27" s="212">
        <f>IF(B27="","",'入力・概要'!$B$30*(J27*L27+K27*M27)/(L27^2+M27^2))</f>
        <v/>
      </c>
      <c r="O27" s="212">
        <f>IF(B27="","",'入力・概要'!$B$30*(K27*L27-J27*M27)/(L27^2+M27^2))</f>
        <v/>
      </c>
      <c r="P27" s="212">
        <f>IF(B27="","",N27+'入力・概要'!$B$36)</f>
        <v/>
      </c>
      <c r="Q27" s="212">
        <f>IF(B27="","",O27+C27*'入力・概要'!$B$37*1E-9)</f>
        <v/>
      </c>
      <c r="R27" s="212">
        <f>IF(B27="","",SQRT(P27^2+Q27^2))</f>
        <v/>
      </c>
      <c r="S27" s="212">
        <f>IF(B27="","",IF(P27&gt;0,DEGREES(ATAN(Q27/P27)),IF(P27&lt;0,IF(Q27&gt;=0,DEGREES(ATAN(Q27/P27))+180,DEGREES(ATAN(Q27/P27))-180),IF(Q27&gt;0,90,IF(Q27&lt;0,-90,0)))))</f>
        <v/>
      </c>
      <c r="T27" s="212">
        <f>IF(B27="","",LOG10(B27))</f>
        <v/>
      </c>
      <c r="U27" s="212">
        <f>IF(R27="","",LOG10(MAX(R27,1E-12)))</f>
        <v/>
      </c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</row>
    <row r="28">
      <c r="A28" s="202" t="n">
        <v>25</v>
      </c>
      <c r="B28" s="213">
        <f>IF(A28&lt;='入力・概要'!$B$40,10^(LOG10('入力・概要'!$B$38)+(A28-1)*(LOG10('入力・概要'!$B$39)-LOG10('入力・概要'!$B$38))/('入力・概要'!$B$40-1)),"")</f>
        <v/>
      </c>
      <c r="C28" s="212">
        <f>IF(B28="","",2*PI()*B28)</f>
        <v/>
      </c>
      <c r="D28" s="212">
        <f>IF(B28="","",ATANH(MIN(0.999999,(2*'入力・概要'!$B$17*'入力・概要'!$B$6)/'入力・概要'!$B$30))+'入力・概要'!$B$33*SQRT(B28/1E6)+(2*PI()*B28*'入力・概要'!$B$6/(299792458*'入力・概要'!$B$31))*'入力・概要'!$B$32/2)</f>
        <v/>
      </c>
      <c r="E28" s="212">
        <f>IF(B28="","",2*PI()*B28*'入力・概要'!$B$6/(299792458*'入力・概要'!$B$31))</f>
        <v/>
      </c>
      <c r="F28" s="212">
        <f>IF(B28="","",SINH(2*D28)/(COSH(2*D28)+COS(2*E28)))</f>
        <v/>
      </c>
      <c r="G28" s="212">
        <f>IF(B28="","",SIN(2*E28)/(COSH(2*D28)+COS(2*E28)))</f>
        <v/>
      </c>
      <c r="H28" s="212">
        <f>IF(B28="","",'入力・概要'!$B$34)</f>
        <v/>
      </c>
      <c r="I28" s="212">
        <f>IF(B28="","",C28*'入力・概要'!$B$35*1E-9)</f>
        <v/>
      </c>
      <c r="J28" s="212">
        <f>IF(B28="","",H28+'入力・概要'!$B$30*F28)</f>
        <v/>
      </c>
      <c r="K28" s="212">
        <f>IF(B28="","",I28+'入力・概要'!$B$30*G28)</f>
        <v/>
      </c>
      <c r="L28" s="212">
        <f>IF(B28="","",'入力・概要'!$B$30+H28*F28-I28*G28)</f>
        <v/>
      </c>
      <c r="M28" s="212">
        <f>IF(B28="","",H28*G28+I28*F28)</f>
        <v/>
      </c>
      <c r="N28" s="212">
        <f>IF(B28="","",'入力・概要'!$B$30*(J28*L28+K28*M28)/(L28^2+M28^2))</f>
        <v/>
      </c>
      <c r="O28" s="212">
        <f>IF(B28="","",'入力・概要'!$B$30*(K28*L28-J28*M28)/(L28^2+M28^2))</f>
        <v/>
      </c>
      <c r="P28" s="212">
        <f>IF(B28="","",N28+'入力・概要'!$B$36)</f>
        <v/>
      </c>
      <c r="Q28" s="212">
        <f>IF(B28="","",O28+C28*'入力・概要'!$B$37*1E-9)</f>
        <v/>
      </c>
      <c r="R28" s="212">
        <f>IF(B28="","",SQRT(P28^2+Q28^2))</f>
        <v/>
      </c>
      <c r="S28" s="212">
        <f>IF(B28="","",IF(P28&gt;0,DEGREES(ATAN(Q28/P28)),IF(P28&lt;0,IF(Q28&gt;=0,DEGREES(ATAN(Q28/P28))+180,DEGREES(ATAN(Q28/P28))-180),IF(Q28&gt;0,90,IF(Q28&lt;0,-90,0)))))</f>
        <v/>
      </c>
      <c r="T28" s="212">
        <f>IF(B28="","",LOG10(B28))</f>
        <v/>
      </c>
      <c r="U28" s="212">
        <f>IF(R28="","",LOG10(MAX(R28,1E-12)))</f>
        <v/>
      </c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</row>
    <row r="29">
      <c r="A29" s="202" t="n">
        <v>26</v>
      </c>
      <c r="B29" s="213">
        <f>IF(A29&lt;='入力・概要'!$B$40,10^(LOG10('入力・概要'!$B$38)+(A29-1)*(LOG10('入力・概要'!$B$39)-LOG10('入力・概要'!$B$38))/('入力・概要'!$B$40-1)),"")</f>
        <v/>
      </c>
      <c r="C29" s="212">
        <f>IF(B29="","",2*PI()*B29)</f>
        <v/>
      </c>
      <c r="D29" s="212">
        <f>IF(B29="","",ATANH(MIN(0.999999,(2*'入力・概要'!$B$17*'入力・概要'!$B$6)/'入力・概要'!$B$30))+'入力・概要'!$B$33*SQRT(B29/1E6)+(2*PI()*B29*'入力・概要'!$B$6/(299792458*'入力・概要'!$B$31))*'入力・概要'!$B$32/2)</f>
        <v/>
      </c>
      <c r="E29" s="212">
        <f>IF(B29="","",2*PI()*B29*'入力・概要'!$B$6/(299792458*'入力・概要'!$B$31))</f>
        <v/>
      </c>
      <c r="F29" s="212">
        <f>IF(B29="","",SINH(2*D29)/(COSH(2*D29)+COS(2*E29)))</f>
        <v/>
      </c>
      <c r="G29" s="212">
        <f>IF(B29="","",SIN(2*E29)/(COSH(2*D29)+COS(2*E29)))</f>
        <v/>
      </c>
      <c r="H29" s="212">
        <f>IF(B29="","",'入力・概要'!$B$34)</f>
        <v/>
      </c>
      <c r="I29" s="212">
        <f>IF(B29="","",C29*'入力・概要'!$B$35*1E-9)</f>
        <v/>
      </c>
      <c r="J29" s="212">
        <f>IF(B29="","",H29+'入力・概要'!$B$30*F29)</f>
        <v/>
      </c>
      <c r="K29" s="212">
        <f>IF(B29="","",I29+'入力・概要'!$B$30*G29)</f>
        <v/>
      </c>
      <c r="L29" s="212">
        <f>IF(B29="","",'入力・概要'!$B$30+H29*F29-I29*G29)</f>
        <v/>
      </c>
      <c r="M29" s="212">
        <f>IF(B29="","",H29*G29+I29*F29)</f>
        <v/>
      </c>
      <c r="N29" s="212">
        <f>IF(B29="","",'入力・概要'!$B$30*(J29*L29+K29*M29)/(L29^2+M29^2))</f>
        <v/>
      </c>
      <c r="O29" s="212">
        <f>IF(B29="","",'入力・概要'!$B$30*(K29*L29-J29*M29)/(L29^2+M29^2))</f>
        <v/>
      </c>
      <c r="P29" s="212">
        <f>IF(B29="","",N29+'入力・概要'!$B$36)</f>
        <v/>
      </c>
      <c r="Q29" s="212">
        <f>IF(B29="","",O29+C29*'入力・概要'!$B$37*1E-9)</f>
        <v/>
      </c>
      <c r="R29" s="212">
        <f>IF(B29="","",SQRT(P29^2+Q29^2))</f>
        <v/>
      </c>
      <c r="S29" s="212">
        <f>IF(B29="","",IF(P29&gt;0,DEGREES(ATAN(Q29/P29)),IF(P29&lt;0,IF(Q29&gt;=0,DEGREES(ATAN(Q29/P29))+180,DEGREES(ATAN(Q29/P29))-180),IF(Q29&gt;0,90,IF(Q29&lt;0,-90,0)))))</f>
        <v/>
      </c>
      <c r="T29" s="212">
        <f>IF(B29="","",LOG10(B29))</f>
        <v/>
      </c>
      <c r="U29" s="212">
        <f>IF(R29="","",LOG10(MAX(R29,1E-12)))</f>
        <v/>
      </c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</row>
    <row r="30">
      <c r="A30" s="202" t="n">
        <v>27</v>
      </c>
      <c r="B30" s="213">
        <f>IF(A30&lt;='入力・概要'!$B$40,10^(LOG10('入力・概要'!$B$38)+(A30-1)*(LOG10('入力・概要'!$B$39)-LOG10('入力・概要'!$B$38))/('入力・概要'!$B$40-1)),"")</f>
        <v/>
      </c>
      <c r="C30" s="212">
        <f>IF(B30="","",2*PI()*B30)</f>
        <v/>
      </c>
      <c r="D30" s="212">
        <f>IF(B30="","",ATANH(MIN(0.999999,(2*'入力・概要'!$B$17*'入力・概要'!$B$6)/'入力・概要'!$B$30))+'入力・概要'!$B$33*SQRT(B30/1E6)+(2*PI()*B30*'入力・概要'!$B$6/(299792458*'入力・概要'!$B$31))*'入力・概要'!$B$32/2)</f>
        <v/>
      </c>
      <c r="E30" s="212">
        <f>IF(B30="","",2*PI()*B30*'入力・概要'!$B$6/(299792458*'入力・概要'!$B$31))</f>
        <v/>
      </c>
      <c r="F30" s="212">
        <f>IF(B30="","",SINH(2*D30)/(COSH(2*D30)+COS(2*E30)))</f>
        <v/>
      </c>
      <c r="G30" s="212">
        <f>IF(B30="","",SIN(2*E30)/(COSH(2*D30)+COS(2*E30)))</f>
        <v/>
      </c>
      <c r="H30" s="212">
        <f>IF(B30="","",'入力・概要'!$B$34)</f>
        <v/>
      </c>
      <c r="I30" s="212">
        <f>IF(B30="","",C30*'入力・概要'!$B$35*1E-9)</f>
        <v/>
      </c>
      <c r="J30" s="212">
        <f>IF(B30="","",H30+'入力・概要'!$B$30*F30)</f>
        <v/>
      </c>
      <c r="K30" s="212">
        <f>IF(B30="","",I30+'入力・概要'!$B$30*G30)</f>
        <v/>
      </c>
      <c r="L30" s="212">
        <f>IF(B30="","",'入力・概要'!$B$30+H30*F30-I30*G30)</f>
        <v/>
      </c>
      <c r="M30" s="212">
        <f>IF(B30="","",H30*G30+I30*F30)</f>
        <v/>
      </c>
      <c r="N30" s="212">
        <f>IF(B30="","",'入力・概要'!$B$30*(J30*L30+K30*M30)/(L30^2+M30^2))</f>
        <v/>
      </c>
      <c r="O30" s="212">
        <f>IF(B30="","",'入力・概要'!$B$30*(K30*L30-J30*M30)/(L30^2+M30^2))</f>
        <v/>
      </c>
      <c r="P30" s="212">
        <f>IF(B30="","",N30+'入力・概要'!$B$36)</f>
        <v/>
      </c>
      <c r="Q30" s="212">
        <f>IF(B30="","",O30+C30*'入力・概要'!$B$37*1E-9)</f>
        <v/>
      </c>
      <c r="R30" s="212">
        <f>IF(B30="","",SQRT(P30^2+Q30^2))</f>
        <v/>
      </c>
      <c r="S30" s="212">
        <f>IF(B30="","",IF(P30&gt;0,DEGREES(ATAN(Q30/P30)),IF(P30&lt;0,IF(Q30&gt;=0,DEGREES(ATAN(Q30/P30))+180,DEGREES(ATAN(Q30/P30))-180),IF(Q30&gt;0,90,IF(Q30&lt;0,-90,0)))))</f>
        <v/>
      </c>
      <c r="T30" s="212">
        <f>IF(B30="","",LOG10(B30))</f>
        <v/>
      </c>
      <c r="U30" s="212">
        <f>IF(R30="","",LOG10(MAX(R30,1E-12)))</f>
        <v/>
      </c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</row>
    <row r="31">
      <c r="A31" s="202" t="n">
        <v>28</v>
      </c>
      <c r="B31" s="213">
        <f>IF(A31&lt;='入力・概要'!$B$40,10^(LOG10('入力・概要'!$B$38)+(A31-1)*(LOG10('入力・概要'!$B$39)-LOG10('入力・概要'!$B$38))/('入力・概要'!$B$40-1)),"")</f>
        <v/>
      </c>
      <c r="C31" s="212">
        <f>IF(B31="","",2*PI()*B31)</f>
        <v/>
      </c>
      <c r="D31" s="212">
        <f>IF(B31="","",ATANH(MIN(0.999999,(2*'入力・概要'!$B$17*'入力・概要'!$B$6)/'入力・概要'!$B$30))+'入力・概要'!$B$33*SQRT(B31/1E6)+(2*PI()*B31*'入力・概要'!$B$6/(299792458*'入力・概要'!$B$31))*'入力・概要'!$B$32/2)</f>
        <v/>
      </c>
      <c r="E31" s="212">
        <f>IF(B31="","",2*PI()*B31*'入力・概要'!$B$6/(299792458*'入力・概要'!$B$31))</f>
        <v/>
      </c>
      <c r="F31" s="212">
        <f>IF(B31="","",SINH(2*D31)/(COSH(2*D31)+COS(2*E31)))</f>
        <v/>
      </c>
      <c r="G31" s="212">
        <f>IF(B31="","",SIN(2*E31)/(COSH(2*D31)+COS(2*E31)))</f>
        <v/>
      </c>
      <c r="H31" s="212">
        <f>IF(B31="","",'入力・概要'!$B$34)</f>
        <v/>
      </c>
      <c r="I31" s="212">
        <f>IF(B31="","",C31*'入力・概要'!$B$35*1E-9)</f>
        <v/>
      </c>
      <c r="J31" s="212">
        <f>IF(B31="","",H31+'入力・概要'!$B$30*F31)</f>
        <v/>
      </c>
      <c r="K31" s="212">
        <f>IF(B31="","",I31+'入力・概要'!$B$30*G31)</f>
        <v/>
      </c>
      <c r="L31" s="212">
        <f>IF(B31="","",'入力・概要'!$B$30+H31*F31-I31*G31)</f>
        <v/>
      </c>
      <c r="M31" s="212">
        <f>IF(B31="","",H31*G31+I31*F31)</f>
        <v/>
      </c>
      <c r="N31" s="212">
        <f>IF(B31="","",'入力・概要'!$B$30*(J31*L31+K31*M31)/(L31^2+M31^2))</f>
        <v/>
      </c>
      <c r="O31" s="212">
        <f>IF(B31="","",'入力・概要'!$B$30*(K31*L31-J31*M31)/(L31^2+M31^2))</f>
        <v/>
      </c>
      <c r="P31" s="212">
        <f>IF(B31="","",N31+'入力・概要'!$B$36)</f>
        <v/>
      </c>
      <c r="Q31" s="212">
        <f>IF(B31="","",O31+C31*'入力・概要'!$B$37*1E-9)</f>
        <v/>
      </c>
      <c r="R31" s="212">
        <f>IF(B31="","",SQRT(P31^2+Q31^2))</f>
        <v/>
      </c>
      <c r="S31" s="212">
        <f>IF(B31="","",IF(P31&gt;0,DEGREES(ATAN(Q31/P31)),IF(P31&lt;0,IF(Q31&gt;=0,DEGREES(ATAN(Q31/P31))+180,DEGREES(ATAN(Q31/P31))-180),IF(Q31&gt;0,90,IF(Q31&lt;0,-90,0)))))</f>
        <v/>
      </c>
      <c r="T31" s="212">
        <f>IF(B31="","",LOG10(B31))</f>
        <v/>
      </c>
      <c r="U31" s="212">
        <f>IF(R31="","",LOG10(MAX(R31,1E-12)))</f>
        <v/>
      </c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</row>
    <row r="32">
      <c r="A32" s="202" t="n">
        <v>29</v>
      </c>
      <c r="B32" s="213">
        <f>IF(A32&lt;='入力・概要'!$B$40,10^(LOG10('入力・概要'!$B$38)+(A32-1)*(LOG10('入力・概要'!$B$39)-LOG10('入力・概要'!$B$38))/('入力・概要'!$B$40-1)),"")</f>
        <v/>
      </c>
      <c r="C32" s="212">
        <f>IF(B32="","",2*PI()*B32)</f>
        <v/>
      </c>
      <c r="D32" s="212">
        <f>IF(B32="","",ATANH(MIN(0.999999,(2*'入力・概要'!$B$17*'入力・概要'!$B$6)/'入力・概要'!$B$30))+'入力・概要'!$B$33*SQRT(B32/1E6)+(2*PI()*B32*'入力・概要'!$B$6/(299792458*'入力・概要'!$B$31))*'入力・概要'!$B$32/2)</f>
        <v/>
      </c>
      <c r="E32" s="212">
        <f>IF(B32="","",2*PI()*B32*'入力・概要'!$B$6/(299792458*'入力・概要'!$B$31))</f>
        <v/>
      </c>
      <c r="F32" s="212">
        <f>IF(B32="","",SINH(2*D32)/(COSH(2*D32)+COS(2*E32)))</f>
        <v/>
      </c>
      <c r="G32" s="212">
        <f>IF(B32="","",SIN(2*E32)/(COSH(2*D32)+COS(2*E32)))</f>
        <v/>
      </c>
      <c r="H32" s="212">
        <f>IF(B32="","",'入力・概要'!$B$34)</f>
        <v/>
      </c>
      <c r="I32" s="212">
        <f>IF(B32="","",C32*'入力・概要'!$B$35*1E-9)</f>
        <v/>
      </c>
      <c r="J32" s="212">
        <f>IF(B32="","",H32+'入力・概要'!$B$30*F32)</f>
        <v/>
      </c>
      <c r="K32" s="212">
        <f>IF(B32="","",I32+'入力・概要'!$B$30*G32)</f>
        <v/>
      </c>
      <c r="L32" s="212">
        <f>IF(B32="","",'入力・概要'!$B$30+H32*F32-I32*G32)</f>
        <v/>
      </c>
      <c r="M32" s="212">
        <f>IF(B32="","",H32*G32+I32*F32)</f>
        <v/>
      </c>
      <c r="N32" s="212">
        <f>IF(B32="","",'入力・概要'!$B$30*(J32*L32+K32*M32)/(L32^2+M32^2))</f>
        <v/>
      </c>
      <c r="O32" s="212">
        <f>IF(B32="","",'入力・概要'!$B$30*(K32*L32-J32*M32)/(L32^2+M32^2))</f>
        <v/>
      </c>
      <c r="P32" s="212">
        <f>IF(B32="","",N32+'入力・概要'!$B$36)</f>
        <v/>
      </c>
      <c r="Q32" s="212">
        <f>IF(B32="","",O32+C32*'入力・概要'!$B$37*1E-9)</f>
        <v/>
      </c>
      <c r="R32" s="212">
        <f>IF(B32="","",SQRT(P32^2+Q32^2))</f>
        <v/>
      </c>
      <c r="S32" s="212">
        <f>IF(B32="","",IF(P32&gt;0,DEGREES(ATAN(Q32/P32)),IF(P32&lt;0,IF(Q32&gt;=0,DEGREES(ATAN(Q32/P32))+180,DEGREES(ATAN(Q32/P32))-180),IF(Q32&gt;0,90,IF(Q32&lt;0,-90,0)))))</f>
        <v/>
      </c>
      <c r="T32" s="212">
        <f>IF(B32="","",LOG10(B32))</f>
        <v/>
      </c>
      <c r="U32" s="212">
        <f>IF(R32="","",LOG10(MAX(R32,1E-12)))</f>
        <v/>
      </c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</row>
    <row r="33">
      <c r="A33" s="202" t="n">
        <v>30</v>
      </c>
      <c r="B33" s="213">
        <f>IF(A33&lt;='入力・概要'!$B$40,10^(LOG10('入力・概要'!$B$38)+(A33-1)*(LOG10('入力・概要'!$B$39)-LOG10('入力・概要'!$B$38))/('入力・概要'!$B$40-1)),"")</f>
        <v/>
      </c>
      <c r="C33" s="212">
        <f>IF(B33="","",2*PI()*B33)</f>
        <v/>
      </c>
      <c r="D33" s="212">
        <f>IF(B33="","",ATANH(MIN(0.999999,(2*'入力・概要'!$B$17*'入力・概要'!$B$6)/'入力・概要'!$B$30))+'入力・概要'!$B$33*SQRT(B33/1E6)+(2*PI()*B33*'入力・概要'!$B$6/(299792458*'入力・概要'!$B$31))*'入力・概要'!$B$32/2)</f>
        <v/>
      </c>
      <c r="E33" s="212">
        <f>IF(B33="","",2*PI()*B33*'入力・概要'!$B$6/(299792458*'入力・概要'!$B$31))</f>
        <v/>
      </c>
      <c r="F33" s="212">
        <f>IF(B33="","",SINH(2*D33)/(COSH(2*D33)+COS(2*E33)))</f>
        <v/>
      </c>
      <c r="G33" s="212">
        <f>IF(B33="","",SIN(2*E33)/(COSH(2*D33)+COS(2*E33)))</f>
        <v/>
      </c>
      <c r="H33" s="212">
        <f>IF(B33="","",'入力・概要'!$B$34)</f>
        <v/>
      </c>
      <c r="I33" s="212">
        <f>IF(B33="","",C33*'入力・概要'!$B$35*1E-9)</f>
        <v/>
      </c>
      <c r="J33" s="212">
        <f>IF(B33="","",H33+'入力・概要'!$B$30*F33)</f>
        <v/>
      </c>
      <c r="K33" s="212">
        <f>IF(B33="","",I33+'入力・概要'!$B$30*G33)</f>
        <v/>
      </c>
      <c r="L33" s="212">
        <f>IF(B33="","",'入力・概要'!$B$30+H33*F33-I33*G33)</f>
        <v/>
      </c>
      <c r="M33" s="212">
        <f>IF(B33="","",H33*G33+I33*F33)</f>
        <v/>
      </c>
      <c r="N33" s="212">
        <f>IF(B33="","",'入力・概要'!$B$30*(J33*L33+K33*M33)/(L33^2+M33^2))</f>
        <v/>
      </c>
      <c r="O33" s="212">
        <f>IF(B33="","",'入力・概要'!$B$30*(K33*L33-J33*M33)/(L33^2+M33^2))</f>
        <v/>
      </c>
      <c r="P33" s="212">
        <f>IF(B33="","",N33+'入力・概要'!$B$36)</f>
        <v/>
      </c>
      <c r="Q33" s="212">
        <f>IF(B33="","",O33+C33*'入力・概要'!$B$37*1E-9)</f>
        <v/>
      </c>
      <c r="R33" s="212">
        <f>IF(B33="","",SQRT(P33^2+Q33^2))</f>
        <v/>
      </c>
      <c r="S33" s="212">
        <f>IF(B33="","",IF(P33&gt;0,DEGREES(ATAN(Q33/P33)),IF(P33&lt;0,IF(Q33&gt;=0,DEGREES(ATAN(Q33/P33))+180,DEGREES(ATAN(Q33/P33))-180),IF(Q33&gt;0,90,IF(Q33&lt;0,-90,0)))))</f>
        <v/>
      </c>
      <c r="T33" s="212">
        <f>IF(B33="","",LOG10(B33))</f>
        <v/>
      </c>
      <c r="U33" s="212">
        <f>IF(R33="","",LOG10(MAX(R33,1E-12)))</f>
        <v/>
      </c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</row>
    <row r="34">
      <c r="A34" s="202" t="n">
        <v>31</v>
      </c>
      <c r="B34" s="213">
        <f>IF(A34&lt;='入力・概要'!$B$40,10^(LOG10('入力・概要'!$B$38)+(A34-1)*(LOG10('入力・概要'!$B$39)-LOG10('入力・概要'!$B$38))/('入力・概要'!$B$40-1)),"")</f>
        <v/>
      </c>
      <c r="C34" s="212">
        <f>IF(B34="","",2*PI()*B34)</f>
        <v/>
      </c>
      <c r="D34" s="212">
        <f>IF(B34="","",ATANH(MIN(0.999999,(2*'入力・概要'!$B$17*'入力・概要'!$B$6)/'入力・概要'!$B$30))+'入力・概要'!$B$33*SQRT(B34/1E6)+(2*PI()*B34*'入力・概要'!$B$6/(299792458*'入力・概要'!$B$31))*'入力・概要'!$B$32/2)</f>
        <v/>
      </c>
      <c r="E34" s="212">
        <f>IF(B34="","",2*PI()*B34*'入力・概要'!$B$6/(299792458*'入力・概要'!$B$31))</f>
        <v/>
      </c>
      <c r="F34" s="212">
        <f>IF(B34="","",SINH(2*D34)/(COSH(2*D34)+COS(2*E34)))</f>
        <v/>
      </c>
      <c r="G34" s="212">
        <f>IF(B34="","",SIN(2*E34)/(COSH(2*D34)+COS(2*E34)))</f>
        <v/>
      </c>
      <c r="H34" s="212">
        <f>IF(B34="","",'入力・概要'!$B$34)</f>
        <v/>
      </c>
      <c r="I34" s="212">
        <f>IF(B34="","",C34*'入力・概要'!$B$35*1E-9)</f>
        <v/>
      </c>
      <c r="J34" s="212">
        <f>IF(B34="","",H34+'入力・概要'!$B$30*F34)</f>
        <v/>
      </c>
      <c r="K34" s="212">
        <f>IF(B34="","",I34+'入力・概要'!$B$30*G34)</f>
        <v/>
      </c>
      <c r="L34" s="212">
        <f>IF(B34="","",'入力・概要'!$B$30+H34*F34-I34*G34)</f>
        <v/>
      </c>
      <c r="M34" s="212">
        <f>IF(B34="","",H34*G34+I34*F34)</f>
        <v/>
      </c>
      <c r="N34" s="212">
        <f>IF(B34="","",'入力・概要'!$B$30*(J34*L34+K34*M34)/(L34^2+M34^2))</f>
        <v/>
      </c>
      <c r="O34" s="212">
        <f>IF(B34="","",'入力・概要'!$B$30*(K34*L34-J34*M34)/(L34^2+M34^2))</f>
        <v/>
      </c>
      <c r="P34" s="212">
        <f>IF(B34="","",N34+'入力・概要'!$B$36)</f>
        <v/>
      </c>
      <c r="Q34" s="212">
        <f>IF(B34="","",O34+C34*'入力・概要'!$B$37*1E-9)</f>
        <v/>
      </c>
      <c r="R34" s="212">
        <f>IF(B34="","",SQRT(P34^2+Q34^2))</f>
        <v/>
      </c>
      <c r="S34" s="212">
        <f>IF(B34="","",IF(P34&gt;0,DEGREES(ATAN(Q34/P34)),IF(P34&lt;0,IF(Q34&gt;=0,DEGREES(ATAN(Q34/P34))+180,DEGREES(ATAN(Q34/P34))-180),IF(Q34&gt;0,90,IF(Q34&lt;0,-90,0)))))</f>
        <v/>
      </c>
      <c r="T34" s="212">
        <f>IF(B34="","",LOG10(B34))</f>
        <v/>
      </c>
      <c r="U34" s="212">
        <f>IF(R34="","",LOG10(MAX(R34,1E-12)))</f>
        <v/>
      </c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</row>
    <row r="35">
      <c r="A35" s="202" t="n">
        <v>32</v>
      </c>
      <c r="B35" s="213">
        <f>IF(A35&lt;='入力・概要'!$B$40,10^(LOG10('入力・概要'!$B$38)+(A35-1)*(LOG10('入力・概要'!$B$39)-LOG10('入力・概要'!$B$38))/('入力・概要'!$B$40-1)),"")</f>
        <v/>
      </c>
      <c r="C35" s="212">
        <f>IF(B35="","",2*PI()*B35)</f>
        <v/>
      </c>
      <c r="D35" s="212">
        <f>IF(B35="","",ATANH(MIN(0.999999,(2*'入力・概要'!$B$17*'入力・概要'!$B$6)/'入力・概要'!$B$30))+'入力・概要'!$B$33*SQRT(B35/1E6)+(2*PI()*B35*'入力・概要'!$B$6/(299792458*'入力・概要'!$B$31))*'入力・概要'!$B$32/2)</f>
        <v/>
      </c>
      <c r="E35" s="212">
        <f>IF(B35="","",2*PI()*B35*'入力・概要'!$B$6/(299792458*'入力・概要'!$B$31))</f>
        <v/>
      </c>
      <c r="F35" s="212">
        <f>IF(B35="","",SINH(2*D35)/(COSH(2*D35)+COS(2*E35)))</f>
        <v/>
      </c>
      <c r="G35" s="212">
        <f>IF(B35="","",SIN(2*E35)/(COSH(2*D35)+COS(2*E35)))</f>
        <v/>
      </c>
      <c r="H35" s="212">
        <f>IF(B35="","",'入力・概要'!$B$34)</f>
        <v/>
      </c>
      <c r="I35" s="212">
        <f>IF(B35="","",C35*'入力・概要'!$B$35*1E-9)</f>
        <v/>
      </c>
      <c r="J35" s="212">
        <f>IF(B35="","",H35+'入力・概要'!$B$30*F35)</f>
        <v/>
      </c>
      <c r="K35" s="212">
        <f>IF(B35="","",I35+'入力・概要'!$B$30*G35)</f>
        <v/>
      </c>
      <c r="L35" s="212">
        <f>IF(B35="","",'入力・概要'!$B$30+H35*F35-I35*G35)</f>
        <v/>
      </c>
      <c r="M35" s="212">
        <f>IF(B35="","",H35*G35+I35*F35)</f>
        <v/>
      </c>
      <c r="N35" s="212">
        <f>IF(B35="","",'入力・概要'!$B$30*(J35*L35+K35*M35)/(L35^2+M35^2))</f>
        <v/>
      </c>
      <c r="O35" s="212">
        <f>IF(B35="","",'入力・概要'!$B$30*(K35*L35-J35*M35)/(L35^2+M35^2))</f>
        <v/>
      </c>
      <c r="P35" s="212">
        <f>IF(B35="","",N35+'入力・概要'!$B$36)</f>
        <v/>
      </c>
      <c r="Q35" s="212">
        <f>IF(B35="","",O35+C35*'入力・概要'!$B$37*1E-9)</f>
        <v/>
      </c>
      <c r="R35" s="212">
        <f>IF(B35="","",SQRT(P35^2+Q35^2))</f>
        <v/>
      </c>
      <c r="S35" s="212">
        <f>IF(B35="","",IF(P35&gt;0,DEGREES(ATAN(Q35/P35)),IF(P35&lt;0,IF(Q35&gt;=0,DEGREES(ATAN(Q35/P35))+180,DEGREES(ATAN(Q35/P35))-180),IF(Q35&gt;0,90,IF(Q35&lt;0,-90,0)))))</f>
        <v/>
      </c>
      <c r="T35" s="212">
        <f>IF(B35="","",LOG10(B35))</f>
        <v/>
      </c>
      <c r="U35" s="212">
        <f>IF(R35="","",LOG10(MAX(R35,1E-12)))</f>
        <v/>
      </c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</row>
    <row r="36">
      <c r="A36" s="202" t="n">
        <v>33</v>
      </c>
      <c r="B36" s="213">
        <f>IF(A36&lt;='入力・概要'!$B$40,10^(LOG10('入力・概要'!$B$38)+(A36-1)*(LOG10('入力・概要'!$B$39)-LOG10('入力・概要'!$B$38))/('入力・概要'!$B$40-1)),"")</f>
        <v/>
      </c>
      <c r="C36" s="212">
        <f>IF(B36="","",2*PI()*B36)</f>
        <v/>
      </c>
      <c r="D36" s="212">
        <f>IF(B36="","",ATANH(MIN(0.999999,(2*'入力・概要'!$B$17*'入力・概要'!$B$6)/'入力・概要'!$B$30))+'入力・概要'!$B$33*SQRT(B36/1E6)+(2*PI()*B36*'入力・概要'!$B$6/(299792458*'入力・概要'!$B$31))*'入力・概要'!$B$32/2)</f>
        <v/>
      </c>
      <c r="E36" s="212">
        <f>IF(B36="","",2*PI()*B36*'入力・概要'!$B$6/(299792458*'入力・概要'!$B$31))</f>
        <v/>
      </c>
      <c r="F36" s="212">
        <f>IF(B36="","",SINH(2*D36)/(COSH(2*D36)+COS(2*E36)))</f>
        <v/>
      </c>
      <c r="G36" s="212">
        <f>IF(B36="","",SIN(2*E36)/(COSH(2*D36)+COS(2*E36)))</f>
        <v/>
      </c>
      <c r="H36" s="212">
        <f>IF(B36="","",'入力・概要'!$B$34)</f>
        <v/>
      </c>
      <c r="I36" s="212">
        <f>IF(B36="","",C36*'入力・概要'!$B$35*1E-9)</f>
        <v/>
      </c>
      <c r="J36" s="212">
        <f>IF(B36="","",H36+'入力・概要'!$B$30*F36)</f>
        <v/>
      </c>
      <c r="K36" s="212">
        <f>IF(B36="","",I36+'入力・概要'!$B$30*G36)</f>
        <v/>
      </c>
      <c r="L36" s="212">
        <f>IF(B36="","",'入力・概要'!$B$30+H36*F36-I36*G36)</f>
        <v/>
      </c>
      <c r="M36" s="212">
        <f>IF(B36="","",H36*G36+I36*F36)</f>
        <v/>
      </c>
      <c r="N36" s="212">
        <f>IF(B36="","",'入力・概要'!$B$30*(J36*L36+K36*M36)/(L36^2+M36^2))</f>
        <v/>
      </c>
      <c r="O36" s="212">
        <f>IF(B36="","",'入力・概要'!$B$30*(K36*L36-J36*M36)/(L36^2+M36^2))</f>
        <v/>
      </c>
      <c r="P36" s="212">
        <f>IF(B36="","",N36+'入力・概要'!$B$36)</f>
        <v/>
      </c>
      <c r="Q36" s="212">
        <f>IF(B36="","",O36+C36*'入力・概要'!$B$37*1E-9)</f>
        <v/>
      </c>
      <c r="R36" s="212">
        <f>IF(B36="","",SQRT(P36^2+Q36^2))</f>
        <v/>
      </c>
      <c r="S36" s="212">
        <f>IF(B36="","",IF(P36&gt;0,DEGREES(ATAN(Q36/P36)),IF(P36&lt;0,IF(Q36&gt;=0,DEGREES(ATAN(Q36/P36))+180,DEGREES(ATAN(Q36/P36))-180),IF(Q36&gt;0,90,IF(Q36&lt;0,-90,0)))))</f>
        <v/>
      </c>
      <c r="T36" s="212">
        <f>IF(B36="","",LOG10(B36))</f>
        <v/>
      </c>
      <c r="U36" s="212">
        <f>IF(R36="","",LOG10(MAX(R36,1E-12)))</f>
        <v/>
      </c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</row>
    <row r="37">
      <c r="A37" s="202" t="n">
        <v>34</v>
      </c>
      <c r="B37" s="213">
        <f>IF(A37&lt;='入力・概要'!$B$40,10^(LOG10('入力・概要'!$B$38)+(A37-1)*(LOG10('入力・概要'!$B$39)-LOG10('入力・概要'!$B$38))/('入力・概要'!$B$40-1)),"")</f>
        <v/>
      </c>
      <c r="C37" s="212">
        <f>IF(B37="","",2*PI()*B37)</f>
        <v/>
      </c>
      <c r="D37" s="212">
        <f>IF(B37="","",ATANH(MIN(0.999999,(2*'入力・概要'!$B$17*'入力・概要'!$B$6)/'入力・概要'!$B$30))+'入力・概要'!$B$33*SQRT(B37/1E6)+(2*PI()*B37*'入力・概要'!$B$6/(299792458*'入力・概要'!$B$31))*'入力・概要'!$B$32/2)</f>
        <v/>
      </c>
      <c r="E37" s="212">
        <f>IF(B37="","",2*PI()*B37*'入力・概要'!$B$6/(299792458*'入力・概要'!$B$31))</f>
        <v/>
      </c>
      <c r="F37" s="212">
        <f>IF(B37="","",SINH(2*D37)/(COSH(2*D37)+COS(2*E37)))</f>
        <v/>
      </c>
      <c r="G37" s="212">
        <f>IF(B37="","",SIN(2*E37)/(COSH(2*D37)+COS(2*E37)))</f>
        <v/>
      </c>
      <c r="H37" s="212">
        <f>IF(B37="","",'入力・概要'!$B$34)</f>
        <v/>
      </c>
      <c r="I37" s="212">
        <f>IF(B37="","",C37*'入力・概要'!$B$35*1E-9)</f>
        <v/>
      </c>
      <c r="J37" s="212">
        <f>IF(B37="","",H37+'入力・概要'!$B$30*F37)</f>
        <v/>
      </c>
      <c r="K37" s="212">
        <f>IF(B37="","",I37+'入力・概要'!$B$30*G37)</f>
        <v/>
      </c>
      <c r="L37" s="212">
        <f>IF(B37="","",'入力・概要'!$B$30+H37*F37-I37*G37)</f>
        <v/>
      </c>
      <c r="M37" s="212">
        <f>IF(B37="","",H37*G37+I37*F37)</f>
        <v/>
      </c>
      <c r="N37" s="212">
        <f>IF(B37="","",'入力・概要'!$B$30*(J37*L37+K37*M37)/(L37^2+M37^2))</f>
        <v/>
      </c>
      <c r="O37" s="212">
        <f>IF(B37="","",'入力・概要'!$B$30*(K37*L37-J37*M37)/(L37^2+M37^2))</f>
        <v/>
      </c>
      <c r="P37" s="212">
        <f>IF(B37="","",N37+'入力・概要'!$B$36)</f>
        <v/>
      </c>
      <c r="Q37" s="212">
        <f>IF(B37="","",O37+C37*'入力・概要'!$B$37*1E-9)</f>
        <v/>
      </c>
      <c r="R37" s="212">
        <f>IF(B37="","",SQRT(P37^2+Q37^2))</f>
        <v/>
      </c>
      <c r="S37" s="212">
        <f>IF(B37="","",IF(P37&gt;0,DEGREES(ATAN(Q37/P37)),IF(P37&lt;0,IF(Q37&gt;=0,DEGREES(ATAN(Q37/P37))+180,DEGREES(ATAN(Q37/P37))-180),IF(Q37&gt;0,90,IF(Q37&lt;0,-90,0)))))</f>
        <v/>
      </c>
      <c r="T37" s="212">
        <f>IF(B37="","",LOG10(B37))</f>
        <v/>
      </c>
      <c r="U37" s="212">
        <f>IF(R37="","",LOG10(MAX(R37,1E-12)))</f>
        <v/>
      </c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</row>
    <row r="38">
      <c r="A38" s="202" t="n">
        <v>35</v>
      </c>
      <c r="B38" s="213">
        <f>IF(A38&lt;='入力・概要'!$B$40,10^(LOG10('入力・概要'!$B$38)+(A38-1)*(LOG10('入力・概要'!$B$39)-LOG10('入力・概要'!$B$38))/('入力・概要'!$B$40-1)),"")</f>
        <v/>
      </c>
      <c r="C38" s="212">
        <f>IF(B38="","",2*PI()*B38)</f>
        <v/>
      </c>
      <c r="D38" s="212">
        <f>IF(B38="","",ATANH(MIN(0.999999,(2*'入力・概要'!$B$17*'入力・概要'!$B$6)/'入力・概要'!$B$30))+'入力・概要'!$B$33*SQRT(B38/1E6)+(2*PI()*B38*'入力・概要'!$B$6/(299792458*'入力・概要'!$B$31))*'入力・概要'!$B$32/2)</f>
        <v/>
      </c>
      <c r="E38" s="212">
        <f>IF(B38="","",2*PI()*B38*'入力・概要'!$B$6/(299792458*'入力・概要'!$B$31))</f>
        <v/>
      </c>
      <c r="F38" s="212">
        <f>IF(B38="","",SINH(2*D38)/(COSH(2*D38)+COS(2*E38)))</f>
        <v/>
      </c>
      <c r="G38" s="212">
        <f>IF(B38="","",SIN(2*E38)/(COSH(2*D38)+COS(2*E38)))</f>
        <v/>
      </c>
      <c r="H38" s="212">
        <f>IF(B38="","",'入力・概要'!$B$34)</f>
        <v/>
      </c>
      <c r="I38" s="212">
        <f>IF(B38="","",C38*'入力・概要'!$B$35*1E-9)</f>
        <v/>
      </c>
      <c r="J38" s="212">
        <f>IF(B38="","",H38+'入力・概要'!$B$30*F38)</f>
        <v/>
      </c>
      <c r="K38" s="212">
        <f>IF(B38="","",I38+'入力・概要'!$B$30*G38)</f>
        <v/>
      </c>
      <c r="L38" s="212">
        <f>IF(B38="","",'入力・概要'!$B$30+H38*F38-I38*G38)</f>
        <v/>
      </c>
      <c r="M38" s="212">
        <f>IF(B38="","",H38*G38+I38*F38)</f>
        <v/>
      </c>
      <c r="N38" s="212">
        <f>IF(B38="","",'入力・概要'!$B$30*(J38*L38+K38*M38)/(L38^2+M38^2))</f>
        <v/>
      </c>
      <c r="O38" s="212">
        <f>IF(B38="","",'入力・概要'!$B$30*(K38*L38-J38*M38)/(L38^2+M38^2))</f>
        <v/>
      </c>
      <c r="P38" s="212">
        <f>IF(B38="","",N38+'入力・概要'!$B$36)</f>
        <v/>
      </c>
      <c r="Q38" s="212">
        <f>IF(B38="","",O38+C38*'入力・概要'!$B$37*1E-9)</f>
        <v/>
      </c>
      <c r="R38" s="212">
        <f>IF(B38="","",SQRT(P38^2+Q38^2))</f>
        <v/>
      </c>
      <c r="S38" s="212">
        <f>IF(B38="","",IF(P38&gt;0,DEGREES(ATAN(Q38/P38)),IF(P38&lt;0,IF(Q38&gt;=0,DEGREES(ATAN(Q38/P38))+180,DEGREES(ATAN(Q38/P38))-180),IF(Q38&gt;0,90,IF(Q38&lt;0,-90,0)))))</f>
        <v/>
      </c>
      <c r="T38" s="212">
        <f>IF(B38="","",LOG10(B38))</f>
        <v/>
      </c>
      <c r="U38" s="212">
        <f>IF(R38="","",LOG10(MAX(R38,1E-12)))</f>
        <v/>
      </c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</row>
    <row r="39">
      <c r="A39" s="202" t="n">
        <v>36</v>
      </c>
      <c r="B39" s="213">
        <f>IF(A39&lt;='入力・概要'!$B$40,10^(LOG10('入力・概要'!$B$38)+(A39-1)*(LOG10('入力・概要'!$B$39)-LOG10('入力・概要'!$B$38))/('入力・概要'!$B$40-1)),"")</f>
        <v/>
      </c>
      <c r="C39" s="212">
        <f>IF(B39="","",2*PI()*B39)</f>
        <v/>
      </c>
      <c r="D39" s="212">
        <f>IF(B39="","",ATANH(MIN(0.999999,(2*'入力・概要'!$B$17*'入力・概要'!$B$6)/'入力・概要'!$B$30))+'入力・概要'!$B$33*SQRT(B39/1E6)+(2*PI()*B39*'入力・概要'!$B$6/(299792458*'入力・概要'!$B$31))*'入力・概要'!$B$32/2)</f>
        <v/>
      </c>
      <c r="E39" s="212">
        <f>IF(B39="","",2*PI()*B39*'入力・概要'!$B$6/(299792458*'入力・概要'!$B$31))</f>
        <v/>
      </c>
      <c r="F39" s="212">
        <f>IF(B39="","",SINH(2*D39)/(COSH(2*D39)+COS(2*E39)))</f>
        <v/>
      </c>
      <c r="G39" s="212">
        <f>IF(B39="","",SIN(2*E39)/(COSH(2*D39)+COS(2*E39)))</f>
        <v/>
      </c>
      <c r="H39" s="212">
        <f>IF(B39="","",'入力・概要'!$B$34)</f>
        <v/>
      </c>
      <c r="I39" s="212">
        <f>IF(B39="","",C39*'入力・概要'!$B$35*1E-9)</f>
        <v/>
      </c>
      <c r="J39" s="212">
        <f>IF(B39="","",H39+'入力・概要'!$B$30*F39)</f>
        <v/>
      </c>
      <c r="K39" s="212">
        <f>IF(B39="","",I39+'入力・概要'!$B$30*G39)</f>
        <v/>
      </c>
      <c r="L39" s="212">
        <f>IF(B39="","",'入力・概要'!$B$30+H39*F39-I39*G39)</f>
        <v/>
      </c>
      <c r="M39" s="212">
        <f>IF(B39="","",H39*G39+I39*F39)</f>
        <v/>
      </c>
      <c r="N39" s="212">
        <f>IF(B39="","",'入力・概要'!$B$30*(J39*L39+K39*M39)/(L39^2+M39^2))</f>
        <v/>
      </c>
      <c r="O39" s="212">
        <f>IF(B39="","",'入力・概要'!$B$30*(K39*L39-J39*M39)/(L39^2+M39^2))</f>
        <v/>
      </c>
      <c r="P39" s="212">
        <f>IF(B39="","",N39+'入力・概要'!$B$36)</f>
        <v/>
      </c>
      <c r="Q39" s="212">
        <f>IF(B39="","",O39+C39*'入力・概要'!$B$37*1E-9)</f>
        <v/>
      </c>
      <c r="R39" s="212">
        <f>IF(B39="","",SQRT(P39^2+Q39^2))</f>
        <v/>
      </c>
      <c r="S39" s="212">
        <f>IF(B39="","",IF(P39&gt;0,DEGREES(ATAN(Q39/P39)),IF(P39&lt;0,IF(Q39&gt;=0,DEGREES(ATAN(Q39/P39))+180,DEGREES(ATAN(Q39/P39))-180),IF(Q39&gt;0,90,IF(Q39&lt;0,-90,0)))))</f>
        <v/>
      </c>
      <c r="T39" s="212">
        <f>IF(B39="","",LOG10(B39))</f>
        <v/>
      </c>
      <c r="U39" s="212">
        <f>IF(R39="","",LOG10(MAX(R39,1E-12)))</f>
        <v/>
      </c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</row>
    <row r="40">
      <c r="A40" s="202" t="n">
        <v>37</v>
      </c>
      <c r="B40" s="213">
        <f>IF(A40&lt;='入力・概要'!$B$40,10^(LOG10('入力・概要'!$B$38)+(A40-1)*(LOG10('入力・概要'!$B$39)-LOG10('入力・概要'!$B$38))/('入力・概要'!$B$40-1)),"")</f>
        <v/>
      </c>
      <c r="C40" s="212">
        <f>IF(B40="","",2*PI()*B40)</f>
        <v/>
      </c>
      <c r="D40" s="212">
        <f>IF(B40="","",ATANH(MIN(0.999999,(2*'入力・概要'!$B$17*'入力・概要'!$B$6)/'入力・概要'!$B$30))+'入力・概要'!$B$33*SQRT(B40/1E6)+(2*PI()*B40*'入力・概要'!$B$6/(299792458*'入力・概要'!$B$31))*'入力・概要'!$B$32/2)</f>
        <v/>
      </c>
      <c r="E40" s="212">
        <f>IF(B40="","",2*PI()*B40*'入力・概要'!$B$6/(299792458*'入力・概要'!$B$31))</f>
        <v/>
      </c>
      <c r="F40" s="212">
        <f>IF(B40="","",SINH(2*D40)/(COSH(2*D40)+COS(2*E40)))</f>
        <v/>
      </c>
      <c r="G40" s="212">
        <f>IF(B40="","",SIN(2*E40)/(COSH(2*D40)+COS(2*E40)))</f>
        <v/>
      </c>
      <c r="H40" s="212">
        <f>IF(B40="","",'入力・概要'!$B$34)</f>
        <v/>
      </c>
      <c r="I40" s="212">
        <f>IF(B40="","",C40*'入力・概要'!$B$35*1E-9)</f>
        <v/>
      </c>
      <c r="J40" s="212">
        <f>IF(B40="","",H40+'入力・概要'!$B$30*F40)</f>
        <v/>
      </c>
      <c r="K40" s="212">
        <f>IF(B40="","",I40+'入力・概要'!$B$30*G40)</f>
        <v/>
      </c>
      <c r="L40" s="212">
        <f>IF(B40="","",'入力・概要'!$B$30+H40*F40-I40*G40)</f>
        <v/>
      </c>
      <c r="M40" s="212">
        <f>IF(B40="","",H40*G40+I40*F40)</f>
        <v/>
      </c>
      <c r="N40" s="212">
        <f>IF(B40="","",'入力・概要'!$B$30*(J40*L40+K40*M40)/(L40^2+M40^2))</f>
        <v/>
      </c>
      <c r="O40" s="212">
        <f>IF(B40="","",'入力・概要'!$B$30*(K40*L40-J40*M40)/(L40^2+M40^2))</f>
        <v/>
      </c>
      <c r="P40" s="212">
        <f>IF(B40="","",N40+'入力・概要'!$B$36)</f>
        <v/>
      </c>
      <c r="Q40" s="212">
        <f>IF(B40="","",O40+C40*'入力・概要'!$B$37*1E-9)</f>
        <v/>
      </c>
      <c r="R40" s="212">
        <f>IF(B40="","",SQRT(P40^2+Q40^2))</f>
        <v/>
      </c>
      <c r="S40" s="212">
        <f>IF(B40="","",IF(P40&gt;0,DEGREES(ATAN(Q40/P40)),IF(P40&lt;0,IF(Q40&gt;=0,DEGREES(ATAN(Q40/P40))+180,DEGREES(ATAN(Q40/P40))-180),IF(Q40&gt;0,90,IF(Q40&lt;0,-90,0)))))</f>
        <v/>
      </c>
      <c r="T40" s="212">
        <f>IF(B40="","",LOG10(B40))</f>
        <v/>
      </c>
      <c r="U40" s="212">
        <f>IF(R40="","",LOG10(MAX(R40,1E-12)))</f>
        <v/>
      </c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</row>
    <row r="41">
      <c r="A41" s="202" t="n">
        <v>38</v>
      </c>
      <c r="B41" s="213">
        <f>IF(A41&lt;='入力・概要'!$B$40,10^(LOG10('入力・概要'!$B$38)+(A41-1)*(LOG10('入力・概要'!$B$39)-LOG10('入力・概要'!$B$38))/('入力・概要'!$B$40-1)),"")</f>
        <v/>
      </c>
      <c r="C41" s="212">
        <f>IF(B41="","",2*PI()*B41)</f>
        <v/>
      </c>
      <c r="D41" s="212">
        <f>IF(B41="","",ATANH(MIN(0.999999,(2*'入力・概要'!$B$17*'入力・概要'!$B$6)/'入力・概要'!$B$30))+'入力・概要'!$B$33*SQRT(B41/1E6)+(2*PI()*B41*'入力・概要'!$B$6/(299792458*'入力・概要'!$B$31))*'入力・概要'!$B$32/2)</f>
        <v/>
      </c>
      <c r="E41" s="212">
        <f>IF(B41="","",2*PI()*B41*'入力・概要'!$B$6/(299792458*'入力・概要'!$B$31))</f>
        <v/>
      </c>
      <c r="F41" s="212">
        <f>IF(B41="","",SINH(2*D41)/(COSH(2*D41)+COS(2*E41)))</f>
        <v/>
      </c>
      <c r="G41" s="212">
        <f>IF(B41="","",SIN(2*E41)/(COSH(2*D41)+COS(2*E41)))</f>
        <v/>
      </c>
      <c r="H41" s="212">
        <f>IF(B41="","",'入力・概要'!$B$34)</f>
        <v/>
      </c>
      <c r="I41" s="212">
        <f>IF(B41="","",C41*'入力・概要'!$B$35*1E-9)</f>
        <v/>
      </c>
      <c r="J41" s="212">
        <f>IF(B41="","",H41+'入力・概要'!$B$30*F41)</f>
        <v/>
      </c>
      <c r="K41" s="212">
        <f>IF(B41="","",I41+'入力・概要'!$B$30*G41)</f>
        <v/>
      </c>
      <c r="L41" s="212">
        <f>IF(B41="","",'入力・概要'!$B$30+H41*F41-I41*G41)</f>
        <v/>
      </c>
      <c r="M41" s="212">
        <f>IF(B41="","",H41*G41+I41*F41)</f>
        <v/>
      </c>
      <c r="N41" s="212">
        <f>IF(B41="","",'入力・概要'!$B$30*(J41*L41+K41*M41)/(L41^2+M41^2))</f>
        <v/>
      </c>
      <c r="O41" s="212">
        <f>IF(B41="","",'入力・概要'!$B$30*(K41*L41-J41*M41)/(L41^2+M41^2))</f>
        <v/>
      </c>
      <c r="P41" s="212">
        <f>IF(B41="","",N41+'入力・概要'!$B$36)</f>
        <v/>
      </c>
      <c r="Q41" s="212">
        <f>IF(B41="","",O41+C41*'入力・概要'!$B$37*1E-9)</f>
        <v/>
      </c>
      <c r="R41" s="212">
        <f>IF(B41="","",SQRT(P41^2+Q41^2))</f>
        <v/>
      </c>
      <c r="S41" s="212">
        <f>IF(B41="","",IF(P41&gt;0,DEGREES(ATAN(Q41/P41)),IF(P41&lt;0,IF(Q41&gt;=0,DEGREES(ATAN(Q41/P41))+180,DEGREES(ATAN(Q41/P41))-180),IF(Q41&gt;0,90,IF(Q41&lt;0,-90,0)))))</f>
        <v/>
      </c>
      <c r="T41" s="212">
        <f>IF(B41="","",LOG10(B41))</f>
        <v/>
      </c>
      <c r="U41" s="212">
        <f>IF(R41="","",LOG10(MAX(R41,1E-12)))</f>
        <v/>
      </c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</row>
    <row r="42">
      <c r="A42" s="202" t="n">
        <v>39</v>
      </c>
      <c r="B42" s="213">
        <f>IF(A42&lt;='入力・概要'!$B$40,10^(LOG10('入力・概要'!$B$38)+(A42-1)*(LOG10('入力・概要'!$B$39)-LOG10('入力・概要'!$B$38))/('入力・概要'!$B$40-1)),"")</f>
        <v/>
      </c>
      <c r="C42" s="212">
        <f>IF(B42="","",2*PI()*B42)</f>
        <v/>
      </c>
      <c r="D42" s="212">
        <f>IF(B42="","",ATANH(MIN(0.999999,(2*'入力・概要'!$B$17*'入力・概要'!$B$6)/'入力・概要'!$B$30))+'入力・概要'!$B$33*SQRT(B42/1E6)+(2*PI()*B42*'入力・概要'!$B$6/(299792458*'入力・概要'!$B$31))*'入力・概要'!$B$32/2)</f>
        <v/>
      </c>
      <c r="E42" s="212">
        <f>IF(B42="","",2*PI()*B42*'入力・概要'!$B$6/(299792458*'入力・概要'!$B$31))</f>
        <v/>
      </c>
      <c r="F42" s="212">
        <f>IF(B42="","",SINH(2*D42)/(COSH(2*D42)+COS(2*E42)))</f>
        <v/>
      </c>
      <c r="G42" s="212">
        <f>IF(B42="","",SIN(2*E42)/(COSH(2*D42)+COS(2*E42)))</f>
        <v/>
      </c>
      <c r="H42" s="212">
        <f>IF(B42="","",'入力・概要'!$B$34)</f>
        <v/>
      </c>
      <c r="I42" s="212">
        <f>IF(B42="","",C42*'入力・概要'!$B$35*1E-9)</f>
        <v/>
      </c>
      <c r="J42" s="212">
        <f>IF(B42="","",H42+'入力・概要'!$B$30*F42)</f>
        <v/>
      </c>
      <c r="K42" s="212">
        <f>IF(B42="","",I42+'入力・概要'!$B$30*G42)</f>
        <v/>
      </c>
      <c r="L42" s="212">
        <f>IF(B42="","",'入力・概要'!$B$30+H42*F42-I42*G42)</f>
        <v/>
      </c>
      <c r="M42" s="212">
        <f>IF(B42="","",H42*G42+I42*F42)</f>
        <v/>
      </c>
      <c r="N42" s="212">
        <f>IF(B42="","",'入力・概要'!$B$30*(J42*L42+K42*M42)/(L42^2+M42^2))</f>
        <v/>
      </c>
      <c r="O42" s="212">
        <f>IF(B42="","",'入力・概要'!$B$30*(K42*L42-J42*M42)/(L42^2+M42^2))</f>
        <v/>
      </c>
      <c r="P42" s="212">
        <f>IF(B42="","",N42+'入力・概要'!$B$36)</f>
        <v/>
      </c>
      <c r="Q42" s="212">
        <f>IF(B42="","",O42+C42*'入力・概要'!$B$37*1E-9)</f>
        <v/>
      </c>
      <c r="R42" s="212">
        <f>IF(B42="","",SQRT(P42^2+Q42^2))</f>
        <v/>
      </c>
      <c r="S42" s="212">
        <f>IF(B42="","",IF(P42&gt;0,DEGREES(ATAN(Q42/P42)),IF(P42&lt;0,IF(Q42&gt;=0,DEGREES(ATAN(Q42/P42))+180,DEGREES(ATAN(Q42/P42))-180),IF(Q42&gt;0,90,IF(Q42&lt;0,-90,0)))))</f>
        <v/>
      </c>
      <c r="T42" s="212">
        <f>IF(B42="","",LOG10(B42))</f>
        <v/>
      </c>
      <c r="U42" s="212">
        <f>IF(R42="","",LOG10(MAX(R42,1E-12)))</f>
        <v/>
      </c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</row>
    <row r="43">
      <c r="A43" s="202" t="n">
        <v>40</v>
      </c>
      <c r="B43" s="213">
        <f>IF(A43&lt;='入力・概要'!$B$40,10^(LOG10('入力・概要'!$B$38)+(A43-1)*(LOG10('入力・概要'!$B$39)-LOG10('入力・概要'!$B$38))/('入力・概要'!$B$40-1)),"")</f>
        <v/>
      </c>
      <c r="C43" s="212">
        <f>IF(B43="","",2*PI()*B43)</f>
        <v/>
      </c>
      <c r="D43" s="212">
        <f>IF(B43="","",ATANH(MIN(0.999999,(2*'入力・概要'!$B$17*'入力・概要'!$B$6)/'入力・概要'!$B$30))+'入力・概要'!$B$33*SQRT(B43/1E6)+(2*PI()*B43*'入力・概要'!$B$6/(299792458*'入力・概要'!$B$31))*'入力・概要'!$B$32/2)</f>
        <v/>
      </c>
      <c r="E43" s="212">
        <f>IF(B43="","",2*PI()*B43*'入力・概要'!$B$6/(299792458*'入力・概要'!$B$31))</f>
        <v/>
      </c>
      <c r="F43" s="212">
        <f>IF(B43="","",SINH(2*D43)/(COSH(2*D43)+COS(2*E43)))</f>
        <v/>
      </c>
      <c r="G43" s="212">
        <f>IF(B43="","",SIN(2*E43)/(COSH(2*D43)+COS(2*E43)))</f>
        <v/>
      </c>
      <c r="H43" s="212">
        <f>IF(B43="","",'入力・概要'!$B$34)</f>
        <v/>
      </c>
      <c r="I43" s="212">
        <f>IF(B43="","",C43*'入力・概要'!$B$35*1E-9)</f>
        <v/>
      </c>
      <c r="J43" s="212">
        <f>IF(B43="","",H43+'入力・概要'!$B$30*F43)</f>
        <v/>
      </c>
      <c r="K43" s="212">
        <f>IF(B43="","",I43+'入力・概要'!$B$30*G43)</f>
        <v/>
      </c>
      <c r="L43" s="212">
        <f>IF(B43="","",'入力・概要'!$B$30+H43*F43-I43*G43)</f>
        <v/>
      </c>
      <c r="M43" s="212">
        <f>IF(B43="","",H43*G43+I43*F43)</f>
        <v/>
      </c>
      <c r="N43" s="212">
        <f>IF(B43="","",'入力・概要'!$B$30*(J43*L43+K43*M43)/(L43^2+M43^2))</f>
        <v/>
      </c>
      <c r="O43" s="212">
        <f>IF(B43="","",'入力・概要'!$B$30*(K43*L43-J43*M43)/(L43^2+M43^2))</f>
        <v/>
      </c>
      <c r="P43" s="212">
        <f>IF(B43="","",N43+'入力・概要'!$B$36)</f>
        <v/>
      </c>
      <c r="Q43" s="212">
        <f>IF(B43="","",O43+C43*'入力・概要'!$B$37*1E-9)</f>
        <v/>
      </c>
      <c r="R43" s="212">
        <f>IF(B43="","",SQRT(P43^2+Q43^2))</f>
        <v/>
      </c>
      <c r="S43" s="212">
        <f>IF(B43="","",IF(P43&gt;0,DEGREES(ATAN(Q43/P43)),IF(P43&lt;0,IF(Q43&gt;=0,DEGREES(ATAN(Q43/P43))+180,DEGREES(ATAN(Q43/P43))-180),IF(Q43&gt;0,90,IF(Q43&lt;0,-90,0)))))</f>
        <v/>
      </c>
      <c r="T43" s="212">
        <f>IF(B43="","",LOG10(B43))</f>
        <v/>
      </c>
      <c r="U43" s="212">
        <f>IF(R43="","",LOG10(MAX(R43,1E-12)))</f>
        <v/>
      </c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</row>
    <row r="44">
      <c r="A44" s="202" t="n">
        <v>41</v>
      </c>
      <c r="B44" s="213">
        <f>IF(A44&lt;='入力・概要'!$B$40,10^(LOG10('入力・概要'!$B$38)+(A44-1)*(LOG10('入力・概要'!$B$39)-LOG10('入力・概要'!$B$38))/('入力・概要'!$B$40-1)),"")</f>
        <v/>
      </c>
      <c r="C44" s="212">
        <f>IF(B44="","",2*PI()*B44)</f>
        <v/>
      </c>
      <c r="D44" s="212">
        <f>IF(B44="","",ATANH(MIN(0.999999,(2*'入力・概要'!$B$17*'入力・概要'!$B$6)/'入力・概要'!$B$30))+'入力・概要'!$B$33*SQRT(B44/1E6)+(2*PI()*B44*'入力・概要'!$B$6/(299792458*'入力・概要'!$B$31))*'入力・概要'!$B$32/2)</f>
        <v/>
      </c>
      <c r="E44" s="212">
        <f>IF(B44="","",2*PI()*B44*'入力・概要'!$B$6/(299792458*'入力・概要'!$B$31))</f>
        <v/>
      </c>
      <c r="F44" s="212">
        <f>IF(B44="","",SINH(2*D44)/(COSH(2*D44)+COS(2*E44)))</f>
        <v/>
      </c>
      <c r="G44" s="212">
        <f>IF(B44="","",SIN(2*E44)/(COSH(2*D44)+COS(2*E44)))</f>
        <v/>
      </c>
      <c r="H44" s="212">
        <f>IF(B44="","",'入力・概要'!$B$34)</f>
        <v/>
      </c>
      <c r="I44" s="212">
        <f>IF(B44="","",C44*'入力・概要'!$B$35*1E-9)</f>
        <v/>
      </c>
      <c r="J44" s="212">
        <f>IF(B44="","",H44+'入力・概要'!$B$30*F44)</f>
        <v/>
      </c>
      <c r="K44" s="212">
        <f>IF(B44="","",I44+'入力・概要'!$B$30*G44)</f>
        <v/>
      </c>
      <c r="L44" s="212">
        <f>IF(B44="","",'入力・概要'!$B$30+H44*F44-I44*G44)</f>
        <v/>
      </c>
      <c r="M44" s="212">
        <f>IF(B44="","",H44*G44+I44*F44)</f>
        <v/>
      </c>
      <c r="N44" s="212">
        <f>IF(B44="","",'入力・概要'!$B$30*(J44*L44+K44*M44)/(L44^2+M44^2))</f>
        <v/>
      </c>
      <c r="O44" s="212">
        <f>IF(B44="","",'入力・概要'!$B$30*(K44*L44-J44*M44)/(L44^2+M44^2))</f>
        <v/>
      </c>
      <c r="P44" s="212">
        <f>IF(B44="","",N44+'入力・概要'!$B$36)</f>
        <v/>
      </c>
      <c r="Q44" s="212">
        <f>IF(B44="","",O44+C44*'入力・概要'!$B$37*1E-9)</f>
        <v/>
      </c>
      <c r="R44" s="212">
        <f>IF(B44="","",SQRT(P44^2+Q44^2))</f>
        <v/>
      </c>
      <c r="S44" s="212">
        <f>IF(B44="","",IF(P44&gt;0,DEGREES(ATAN(Q44/P44)),IF(P44&lt;0,IF(Q44&gt;=0,DEGREES(ATAN(Q44/P44))+180,DEGREES(ATAN(Q44/P44))-180),IF(Q44&gt;0,90,IF(Q44&lt;0,-90,0)))))</f>
        <v/>
      </c>
      <c r="T44" s="212">
        <f>IF(B44="","",LOG10(B44))</f>
        <v/>
      </c>
      <c r="U44" s="212">
        <f>IF(R44="","",LOG10(MAX(R44,1E-12)))</f>
        <v/>
      </c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</row>
    <row r="45">
      <c r="A45" s="202" t="n">
        <v>42</v>
      </c>
      <c r="B45" s="213">
        <f>IF(A45&lt;='入力・概要'!$B$40,10^(LOG10('入力・概要'!$B$38)+(A45-1)*(LOG10('入力・概要'!$B$39)-LOG10('入力・概要'!$B$38))/('入力・概要'!$B$40-1)),"")</f>
        <v/>
      </c>
      <c r="C45" s="212">
        <f>IF(B45="","",2*PI()*B45)</f>
        <v/>
      </c>
      <c r="D45" s="212">
        <f>IF(B45="","",ATANH(MIN(0.999999,(2*'入力・概要'!$B$17*'入力・概要'!$B$6)/'入力・概要'!$B$30))+'入力・概要'!$B$33*SQRT(B45/1E6)+(2*PI()*B45*'入力・概要'!$B$6/(299792458*'入力・概要'!$B$31))*'入力・概要'!$B$32/2)</f>
        <v/>
      </c>
      <c r="E45" s="212">
        <f>IF(B45="","",2*PI()*B45*'入力・概要'!$B$6/(299792458*'入力・概要'!$B$31))</f>
        <v/>
      </c>
      <c r="F45" s="212">
        <f>IF(B45="","",SINH(2*D45)/(COSH(2*D45)+COS(2*E45)))</f>
        <v/>
      </c>
      <c r="G45" s="212">
        <f>IF(B45="","",SIN(2*E45)/(COSH(2*D45)+COS(2*E45)))</f>
        <v/>
      </c>
      <c r="H45" s="212">
        <f>IF(B45="","",'入力・概要'!$B$34)</f>
        <v/>
      </c>
      <c r="I45" s="212">
        <f>IF(B45="","",C45*'入力・概要'!$B$35*1E-9)</f>
        <v/>
      </c>
      <c r="J45" s="212">
        <f>IF(B45="","",H45+'入力・概要'!$B$30*F45)</f>
        <v/>
      </c>
      <c r="K45" s="212">
        <f>IF(B45="","",I45+'入力・概要'!$B$30*G45)</f>
        <v/>
      </c>
      <c r="L45" s="212">
        <f>IF(B45="","",'入力・概要'!$B$30+H45*F45-I45*G45)</f>
        <v/>
      </c>
      <c r="M45" s="212">
        <f>IF(B45="","",H45*G45+I45*F45)</f>
        <v/>
      </c>
      <c r="N45" s="212">
        <f>IF(B45="","",'入力・概要'!$B$30*(J45*L45+K45*M45)/(L45^2+M45^2))</f>
        <v/>
      </c>
      <c r="O45" s="212">
        <f>IF(B45="","",'入力・概要'!$B$30*(K45*L45-J45*M45)/(L45^2+M45^2))</f>
        <v/>
      </c>
      <c r="P45" s="212">
        <f>IF(B45="","",N45+'入力・概要'!$B$36)</f>
        <v/>
      </c>
      <c r="Q45" s="212">
        <f>IF(B45="","",O45+C45*'入力・概要'!$B$37*1E-9)</f>
        <v/>
      </c>
      <c r="R45" s="212">
        <f>IF(B45="","",SQRT(P45^2+Q45^2))</f>
        <v/>
      </c>
      <c r="S45" s="212">
        <f>IF(B45="","",IF(P45&gt;0,DEGREES(ATAN(Q45/P45)),IF(P45&lt;0,IF(Q45&gt;=0,DEGREES(ATAN(Q45/P45))+180,DEGREES(ATAN(Q45/P45))-180),IF(Q45&gt;0,90,IF(Q45&lt;0,-90,0)))))</f>
        <v/>
      </c>
      <c r="T45" s="212">
        <f>IF(B45="","",LOG10(B45))</f>
        <v/>
      </c>
      <c r="U45" s="212">
        <f>IF(R45="","",LOG10(MAX(R45,1E-12)))</f>
        <v/>
      </c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</row>
    <row r="46">
      <c r="A46" s="202" t="n">
        <v>43</v>
      </c>
      <c r="B46" s="213">
        <f>IF(A46&lt;='入力・概要'!$B$40,10^(LOG10('入力・概要'!$B$38)+(A46-1)*(LOG10('入力・概要'!$B$39)-LOG10('入力・概要'!$B$38))/('入力・概要'!$B$40-1)),"")</f>
        <v/>
      </c>
      <c r="C46" s="212">
        <f>IF(B46="","",2*PI()*B46)</f>
        <v/>
      </c>
      <c r="D46" s="212">
        <f>IF(B46="","",ATANH(MIN(0.999999,(2*'入力・概要'!$B$17*'入力・概要'!$B$6)/'入力・概要'!$B$30))+'入力・概要'!$B$33*SQRT(B46/1E6)+(2*PI()*B46*'入力・概要'!$B$6/(299792458*'入力・概要'!$B$31))*'入力・概要'!$B$32/2)</f>
        <v/>
      </c>
      <c r="E46" s="212">
        <f>IF(B46="","",2*PI()*B46*'入力・概要'!$B$6/(299792458*'入力・概要'!$B$31))</f>
        <v/>
      </c>
      <c r="F46" s="212">
        <f>IF(B46="","",SINH(2*D46)/(COSH(2*D46)+COS(2*E46)))</f>
        <v/>
      </c>
      <c r="G46" s="212">
        <f>IF(B46="","",SIN(2*E46)/(COSH(2*D46)+COS(2*E46)))</f>
        <v/>
      </c>
      <c r="H46" s="212">
        <f>IF(B46="","",'入力・概要'!$B$34)</f>
        <v/>
      </c>
      <c r="I46" s="212">
        <f>IF(B46="","",C46*'入力・概要'!$B$35*1E-9)</f>
        <v/>
      </c>
      <c r="J46" s="212">
        <f>IF(B46="","",H46+'入力・概要'!$B$30*F46)</f>
        <v/>
      </c>
      <c r="K46" s="212">
        <f>IF(B46="","",I46+'入力・概要'!$B$30*G46)</f>
        <v/>
      </c>
      <c r="L46" s="212">
        <f>IF(B46="","",'入力・概要'!$B$30+H46*F46-I46*G46)</f>
        <v/>
      </c>
      <c r="M46" s="212">
        <f>IF(B46="","",H46*G46+I46*F46)</f>
        <v/>
      </c>
      <c r="N46" s="212">
        <f>IF(B46="","",'入力・概要'!$B$30*(J46*L46+K46*M46)/(L46^2+M46^2))</f>
        <v/>
      </c>
      <c r="O46" s="212">
        <f>IF(B46="","",'入力・概要'!$B$30*(K46*L46-J46*M46)/(L46^2+M46^2))</f>
        <v/>
      </c>
      <c r="P46" s="212">
        <f>IF(B46="","",N46+'入力・概要'!$B$36)</f>
        <v/>
      </c>
      <c r="Q46" s="212">
        <f>IF(B46="","",O46+C46*'入力・概要'!$B$37*1E-9)</f>
        <v/>
      </c>
      <c r="R46" s="212">
        <f>IF(B46="","",SQRT(P46^2+Q46^2))</f>
        <v/>
      </c>
      <c r="S46" s="212">
        <f>IF(B46="","",IF(P46&gt;0,DEGREES(ATAN(Q46/P46)),IF(P46&lt;0,IF(Q46&gt;=0,DEGREES(ATAN(Q46/P46))+180,DEGREES(ATAN(Q46/P46))-180),IF(Q46&gt;0,90,IF(Q46&lt;0,-90,0)))))</f>
        <v/>
      </c>
      <c r="T46" s="212">
        <f>IF(B46="","",LOG10(B46))</f>
        <v/>
      </c>
      <c r="U46" s="212">
        <f>IF(R46="","",LOG10(MAX(R46,1E-12)))</f>
        <v/>
      </c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</row>
    <row r="47">
      <c r="A47" s="202" t="n">
        <v>44</v>
      </c>
      <c r="B47" s="213">
        <f>IF(A47&lt;='入力・概要'!$B$40,10^(LOG10('入力・概要'!$B$38)+(A47-1)*(LOG10('入力・概要'!$B$39)-LOG10('入力・概要'!$B$38))/('入力・概要'!$B$40-1)),"")</f>
        <v/>
      </c>
      <c r="C47" s="212">
        <f>IF(B47="","",2*PI()*B47)</f>
        <v/>
      </c>
      <c r="D47" s="212">
        <f>IF(B47="","",ATANH(MIN(0.999999,(2*'入力・概要'!$B$17*'入力・概要'!$B$6)/'入力・概要'!$B$30))+'入力・概要'!$B$33*SQRT(B47/1E6)+(2*PI()*B47*'入力・概要'!$B$6/(299792458*'入力・概要'!$B$31))*'入力・概要'!$B$32/2)</f>
        <v/>
      </c>
      <c r="E47" s="212">
        <f>IF(B47="","",2*PI()*B47*'入力・概要'!$B$6/(299792458*'入力・概要'!$B$31))</f>
        <v/>
      </c>
      <c r="F47" s="212">
        <f>IF(B47="","",SINH(2*D47)/(COSH(2*D47)+COS(2*E47)))</f>
        <v/>
      </c>
      <c r="G47" s="212">
        <f>IF(B47="","",SIN(2*E47)/(COSH(2*D47)+COS(2*E47)))</f>
        <v/>
      </c>
      <c r="H47" s="212">
        <f>IF(B47="","",'入力・概要'!$B$34)</f>
        <v/>
      </c>
      <c r="I47" s="212">
        <f>IF(B47="","",C47*'入力・概要'!$B$35*1E-9)</f>
        <v/>
      </c>
      <c r="J47" s="212">
        <f>IF(B47="","",H47+'入力・概要'!$B$30*F47)</f>
        <v/>
      </c>
      <c r="K47" s="212">
        <f>IF(B47="","",I47+'入力・概要'!$B$30*G47)</f>
        <v/>
      </c>
      <c r="L47" s="212">
        <f>IF(B47="","",'入力・概要'!$B$30+H47*F47-I47*G47)</f>
        <v/>
      </c>
      <c r="M47" s="212">
        <f>IF(B47="","",H47*G47+I47*F47)</f>
        <v/>
      </c>
      <c r="N47" s="212">
        <f>IF(B47="","",'入力・概要'!$B$30*(J47*L47+K47*M47)/(L47^2+M47^2))</f>
        <v/>
      </c>
      <c r="O47" s="212">
        <f>IF(B47="","",'入力・概要'!$B$30*(K47*L47-J47*M47)/(L47^2+M47^2))</f>
        <v/>
      </c>
      <c r="P47" s="212">
        <f>IF(B47="","",N47+'入力・概要'!$B$36)</f>
        <v/>
      </c>
      <c r="Q47" s="212">
        <f>IF(B47="","",O47+C47*'入力・概要'!$B$37*1E-9)</f>
        <v/>
      </c>
      <c r="R47" s="212">
        <f>IF(B47="","",SQRT(P47^2+Q47^2))</f>
        <v/>
      </c>
      <c r="S47" s="212">
        <f>IF(B47="","",IF(P47&gt;0,DEGREES(ATAN(Q47/P47)),IF(P47&lt;0,IF(Q47&gt;=0,DEGREES(ATAN(Q47/P47))+180,DEGREES(ATAN(Q47/P47))-180),IF(Q47&gt;0,90,IF(Q47&lt;0,-90,0)))))</f>
        <v/>
      </c>
      <c r="T47" s="212">
        <f>IF(B47="","",LOG10(B47))</f>
        <v/>
      </c>
      <c r="U47" s="212">
        <f>IF(R47="","",LOG10(MAX(R47,1E-12)))</f>
        <v/>
      </c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</row>
    <row r="48">
      <c r="A48" s="202" t="n">
        <v>45</v>
      </c>
      <c r="B48" s="213">
        <f>IF(A48&lt;='入力・概要'!$B$40,10^(LOG10('入力・概要'!$B$38)+(A48-1)*(LOG10('入力・概要'!$B$39)-LOG10('入力・概要'!$B$38))/('入力・概要'!$B$40-1)),"")</f>
        <v/>
      </c>
      <c r="C48" s="212">
        <f>IF(B48="","",2*PI()*B48)</f>
        <v/>
      </c>
      <c r="D48" s="212">
        <f>IF(B48="","",ATANH(MIN(0.999999,(2*'入力・概要'!$B$17*'入力・概要'!$B$6)/'入力・概要'!$B$30))+'入力・概要'!$B$33*SQRT(B48/1E6)+(2*PI()*B48*'入力・概要'!$B$6/(299792458*'入力・概要'!$B$31))*'入力・概要'!$B$32/2)</f>
        <v/>
      </c>
      <c r="E48" s="212">
        <f>IF(B48="","",2*PI()*B48*'入力・概要'!$B$6/(299792458*'入力・概要'!$B$31))</f>
        <v/>
      </c>
      <c r="F48" s="212">
        <f>IF(B48="","",SINH(2*D48)/(COSH(2*D48)+COS(2*E48)))</f>
        <v/>
      </c>
      <c r="G48" s="212">
        <f>IF(B48="","",SIN(2*E48)/(COSH(2*D48)+COS(2*E48)))</f>
        <v/>
      </c>
      <c r="H48" s="212">
        <f>IF(B48="","",'入力・概要'!$B$34)</f>
        <v/>
      </c>
      <c r="I48" s="212">
        <f>IF(B48="","",C48*'入力・概要'!$B$35*1E-9)</f>
        <v/>
      </c>
      <c r="J48" s="212">
        <f>IF(B48="","",H48+'入力・概要'!$B$30*F48)</f>
        <v/>
      </c>
      <c r="K48" s="212">
        <f>IF(B48="","",I48+'入力・概要'!$B$30*G48)</f>
        <v/>
      </c>
      <c r="L48" s="212">
        <f>IF(B48="","",'入力・概要'!$B$30+H48*F48-I48*G48)</f>
        <v/>
      </c>
      <c r="M48" s="212">
        <f>IF(B48="","",H48*G48+I48*F48)</f>
        <v/>
      </c>
      <c r="N48" s="212">
        <f>IF(B48="","",'入力・概要'!$B$30*(J48*L48+K48*M48)/(L48^2+M48^2))</f>
        <v/>
      </c>
      <c r="O48" s="212">
        <f>IF(B48="","",'入力・概要'!$B$30*(K48*L48-J48*M48)/(L48^2+M48^2))</f>
        <v/>
      </c>
      <c r="P48" s="212">
        <f>IF(B48="","",N48+'入力・概要'!$B$36)</f>
        <v/>
      </c>
      <c r="Q48" s="212">
        <f>IF(B48="","",O48+C48*'入力・概要'!$B$37*1E-9)</f>
        <v/>
      </c>
      <c r="R48" s="212">
        <f>IF(B48="","",SQRT(P48^2+Q48^2))</f>
        <v/>
      </c>
      <c r="S48" s="212">
        <f>IF(B48="","",IF(P48&gt;0,DEGREES(ATAN(Q48/P48)),IF(P48&lt;0,IF(Q48&gt;=0,DEGREES(ATAN(Q48/P48))+180,DEGREES(ATAN(Q48/P48))-180),IF(Q48&gt;0,90,IF(Q48&lt;0,-90,0)))))</f>
        <v/>
      </c>
      <c r="T48" s="212">
        <f>IF(B48="","",LOG10(B48))</f>
        <v/>
      </c>
      <c r="U48" s="212">
        <f>IF(R48="","",LOG10(MAX(R48,1E-12)))</f>
        <v/>
      </c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</row>
    <row r="49">
      <c r="A49" s="202" t="n">
        <v>46</v>
      </c>
      <c r="B49" s="213">
        <f>IF(A49&lt;='入力・概要'!$B$40,10^(LOG10('入力・概要'!$B$38)+(A49-1)*(LOG10('入力・概要'!$B$39)-LOG10('入力・概要'!$B$38))/('入力・概要'!$B$40-1)),"")</f>
        <v/>
      </c>
      <c r="C49" s="212">
        <f>IF(B49="","",2*PI()*B49)</f>
        <v/>
      </c>
      <c r="D49" s="212">
        <f>IF(B49="","",ATANH(MIN(0.999999,(2*'入力・概要'!$B$17*'入力・概要'!$B$6)/'入力・概要'!$B$30))+'入力・概要'!$B$33*SQRT(B49/1E6)+(2*PI()*B49*'入力・概要'!$B$6/(299792458*'入力・概要'!$B$31))*'入力・概要'!$B$32/2)</f>
        <v/>
      </c>
      <c r="E49" s="212">
        <f>IF(B49="","",2*PI()*B49*'入力・概要'!$B$6/(299792458*'入力・概要'!$B$31))</f>
        <v/>
      </c>
      <c r="F49" s="212">
        <f>IF(B49="","",SINH(2*D49)/(COSH(2*D49)+COS(2*E49)))</f>
        <v/>
      </c>
      <c r="G49" s="212">
        <f>IF(B49="","",SIN(2*E49)/(COSH(2*D49)+COS(2*E49)))</f>
        <v/>
      </c>
      <c r="H49" s="212">
        <f>IF(B49="","",'入力・概要'!$B$34)</f>
        <v/>
      </c>
      <c r="I49" s="212">
        <f>IF(B49="","",C49*'入力・概要'!$B$35*1E-9)</f>
        <v/>
      </c>
      <c r="J49" s="212">
        <f>IF(B49="","",H49+'入力・概要'!$B$30*F49)</f>
        <v/>
      </c>
      <c r="K49" s="212">
        <f>IF(B49="","",I49+'入力・概要'!$B$30*G49)</f>
        <v/>
      </c>
      <c r="L49" s="212">
        <f>IF(B49="","",'入力・概要'!$B$30+H49*F49-I49*G49)</f>
        <v/>
      </c>
      <c r="M49" s="212">
        <f>IF(B49="","",H49*G49+I49*F49)</f>
        <v/>
      </c>
      <c r="N49" s="212">
        <f>IF(B49="","",'入力・概要'!$B$30*(J49*L49+K49*M49)/(L49^2+M49^2))</f>
        <v/>
      </c>
      <c r="O49" s="212">
        <f>IF(B49="","",'入力・概要'!$B$30*(K49*L49-J49*M49)/(L49^2+M49^2))</f>
        <v/>
      </c>
      <c r="P49" s="212">
        <f>IF(B49="","",N49+'入力・概要'!$B$36)</f>
        <v/>
      </c>
      <c r="Q49" s="212">
        <f>IF(B49="","",O49+C49*'入力・概要'!$B$37*1E-9)</f>
        <v/>
      </c>
      <c r="R49" s="212">
        <f>IF(B49="","",SQRT(P49^2+Q49^2))</f>
        <v/>
      </c>
      <c r="S49" s="212">
        <f>IF(B49="","",IF(P49&gt;0,DEGREES(ATAN(Q49/P49)),IF(P49&lt;0,IF(Q49&gt;=0,DEGREES(ATAN(Q49/P49))+180,DEGREES(ATAN(Q49/P49))-180),IF(Q49&gt;0,90,IF(Q49&lt;0,-90,0)))))</f>
        <v/>
      </c>
      <c r="T49" s="212">
        <f>IF(B49="","",LOG10(B49))</f>
        <v/>
      </c>
      <c r="U49" s="212">
        <f>IF(R49="","",LOG10(MAX(R49,1E-12)))</f>
        <v/>
      </c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</row>
    <row r="50">
      <c r="A50" s="202" t="n">
        <v>47</v>
      </c>
      <c r="B50" s="213">
        <f>IF(A50&lt;='入力・概要'!$B$40,10^(LOG10('入力・概要'!$B$38)+(A50-1)*(LOG10('入力・概要'!$B$39)-LOG10('入力・概要'!$B$38))/('入力・概要'!$B$40-1)),"")</f>
        <v/>
      </c>
      <c r="C50" s="212">
        <f>IF(B50="","",2*PI()*B50)</f>
        <v/>
      </c>
      <c r="D50" s="212">
        <f>IF(B50="","",ATANH(MIN(0.999999,(2*'入力・概要'!$B$17*'入力・概要'!$B$6)/'入力・概要'!$B$30))+'入力・概要'!$B$33*SQRT(B50/1E6)+(2*PI()*B50*'入力・概要'!$B$6/(299792458*'入力・概要'!$B$31))*'入力・概要'!$B$32/2)</f>
        <v/>
      </c>
      <c r="E50" s="212">
        <f>IF(B50="","",2*PI()*B50*'入力・概要'!$B$6/(299792458*'入力・概要'!$B$31))</f>
        <v/>
      </c>
      <c r="F50" s="212">
        <f>IF(B50="","",SINH(2*D50)/(COSH(2*D50)+COS(2*E50)))</f>
        <v/>
      </c>
      <c r="G50" s="212">
        <f>IF(B50="","",SIN(2*E50)/(COSH(2*D50)+COS(2*E50)))</f>
        <v/>
      </c>
      <c r="H50" s="212">
        <f>IF(B50="","",'入力・概要'!$B$34)</f>
        <v/>
      </c>
      <c r="I50" s="212">
        <f>IF(B50="","",C50*'入力・概要'!$B$35*1E-9)</f>
        <v/>
      </c>
      <c r="J50" s="212">
        <f>IF(B50="","",H50+'入力・概要'!$B$30*F50)</f>
        <v/>
      </c>
      <c r="K50" s="212">
        <f>IF(B50="","",I50+'入力・概要'!$B$30*G50)</f>
        <v/>
      </c>
      <c r="L50" s="212">
        <f>IF(B50="","",'入力・概要'!$B$30+H50*F50-I50*G50)</f>
        <v/>
      </c>
      <c r="M50" s="212">
        <f>IF(B50="","",H50*G50+I50*F50)</f>
        <v/>
      </c>
      <c r="N50" s="212">
        <f>IF(B50="","",'入力・概要'!$B$30*(J50*L50+K50*M50)/(L50^2+M50^2))</f>
        <v/>
      </c>
      <c r="O50" s="212">
        <f>IF(B50="","",'入力・概要'!$B$30*(K50*L50-J50*M50)/(L50^2+M50^2))</f>
        <v/>
      </c>
      <c r="P50" s="212">
        <f>IF(B50="","",N50+'入力・概要'!$B$36)</f>
        <v/>
      </c>
      <c r="Q50" s="212">
        <f>IF(B50="","",O50+C50*'入力・概要'!$B$37*1E-9)</f>
        <v/>
      </c>
      <c r="R50" s="212">
        <f>IF(B50="","",SQRT(P50^2+Q50^2))</f>
        <v/>
      </c>
      <c r="S50" s="212">
        <f>IF(B50="","",IF(P50&gt;0,DEGREES(ATAN(Q50/P50)),IF(P50&lt;0,IF(Q50&gt;=0,DEGREES(ATAN(Q50/P50))+180,DEGREES(ATAN(Q50/P50))-180),IF(Q50&gt;0,90,IF(Q50&lt;0,-90,0)))))</f>
        <v/>
      </c>
      <c r="T50" s="212">
        <f>IF(B50="","",LOG10(B50))</f>
        <v/>
      </c>
      <c r="U50" s="212">
        <f>IF(R50="","",LOG10(MAX(R50,1E-12)))</f>
        <v/>
      </c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</row>
    <row r="51">
      <c r="A51" s="202" t="n">
        <v>48</v>
      </c>
      <c r="B51" s="213">
        <f>IF(A51&lt;='入力・概要'!$B$40,10^(LOG10('入力・概要'!$B$38)+(A51-1)*(LOG10('入力・概要'!$B$39)-LOG10('入力・概要'!$B$38))/('入力・概要'!$B$40-1)),"")</f>
        <v/>
      </c>
      <c r="C51" s="212">
        <f>IF(B51="","",2*PI()*B51)</f>
        <v/>
      </c>
      <c r="D51" s="212">
        <f>IF(B51="","",ATANH(MIN(0.999999,(2*'入力・概要'!$B$17*'入力・概要'!$B$6)/'入力・概要'!$B$30))+'入力・概要'!$B$33*SQRT(B51/1E6)+(2*PI()*B51*'入力・概要'!$B$6/(299792458*'入力・概要'!$B$31))*'入力・概要'!$B$32/2)</f>
        <v/>
      </c>
      <c r="E51" s="212">
        <f>IF(B51="","",2*PI()*B51*'入力・概要'!$B$6/(299792458*'入力・概要'!$B$31))</f>
        <v/>
      </c>
      <c r="F51" s="212">
        <f>IF(B51="","",SINH(2*D51)/(COSH(2*D51)+COS(2*E51)))</f>
        <v/>
      </c>
      <c r="G51" s="212">
        <f>IF(B51="","",SIN(2*E51)/(COSH(2*D51)+COS(2*E51)))</f>
        <v/>
      </c>
      <c r="H51" s="212">
        <f>IF(B51="","",'入力・概要'!$B$34)</f>
        <v/>
      </c>
      <c r="I51" s="212">
        <f>IF(B51="","",C51*'入力・概要'!$B$35*1E-9)</f>
        <v/>
      </c>
      <c r="J51" s="212">
        <f>IF(B51="","",H51+'入力・概要'!$B$30*F51)</f>
        <v/>
      </c>
      <c r="K51" s="212">
        <f>IF(B51="","",I51+'入力・概要'!$B$30*G51)</f>
        <v/>
      </c>
      <c r="L51" s="212">
        <f>IF(B51="","",'入力・概要'!$B$30+H51*F51-I51*G51)</f>
        <v/>
      </c>
      <c r="M51" s="212">
        <f>IF(B51="","",H51*G51+I51*F51)</f>
        <v/>
      </c>
      <c r="N51" s="212">
        <f>IF(B51="","",'入力・概要'!$B$30*(J51*L51+K51*M51)/(L51^2+M51^2))</f>
        <v/>
      </c>
      <c r="O51" s="212">
        <f>IF(B51="","",'入力・概要'!$B$30*(K51*L51-J51*M51)/(L51^2+M51^2))</f>
        <v/>
      </c>
      <c r="P51" s="212">
        <f>IF(B51="","",N51+'入力・概要'!$B$36)</f>
        <v/>
      </c>
      <c r="Q51" s="212">
        <f>IF(B51="","",O51+C51*'入力・概要'!$B$37*1E-9)</f>
        <v/>
      </c>
      <c r="R51" s="212">
        <f>IF(B51="","",SQRT(P51^2+Q51^2))</f>
        <v/>
      </c>
      <c r="S51" s="212">
        <f>IF(B51="","",IF(P51&gt;0,DEGREES(ATAN(Q51/P51)),IF(P51&lt;0,IF(Q51&gt;=0,DEGREES(ATAN(Q51/P51))+180,DEGREES(ATAN(Q51/P51))-180),IF(Q51&gt;0,90,IF(Q51&lt;0,-90,0)))))</f>
        <v/>
      </c>
      <c r="T51" s="212">
        <f>IF(B51="","",LOG10(B51))</f>
        <v/>
      </c>
      <c r="U51" s="212">
        <f>IF(R51="","",LOG10(MAX(R51,1E-12)))</f>
        <v/>
      </c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</row>
    <row r="52">
      <c r="A52" s="202" t="n">
        <v>49</v>
      </c>
      <c r="B52" s="213">
        <f>IF(A52&lt;='入力・概要'!$B$40,10^(LOG10('入力・概要'!$B$38)+(A52-1)*(LOG10('入力・概要'!$B$39)-LOG10('入力・概要'!$B$38))/('入力・概要'!$B$40-1)),"")</f>
        <v/>
      </c>
      <c r="C52" s="212">
        <f>IF(B52="","",2*PI()*B52)</f>
        <v/>
      </c>
      <c r="D52" s="212">
        <f>IF(B52="","",ATANH(MIN(0.999999,(2*'入力・概要'!$B$17*'入力・概要'!$B$6)/'入力・概要'!$B$30))+'入力・概要'!$B$33*SQRT(B52/1E6)+(2*PI()*B52*'入力・概要'!$B$6/(299792458*'入力・概要'!$B$31))*'入力・概要'!$B$32/2)</f>
        <v/>
      </c>
      <c r="E52" s="212">
        <f>IF(B52="","",2*PI()*B52*'入力・概要'!$B$6/(299792458*'入力・概要'!$B$31))</f>
        <v/>
      </c>
      <c r="F52" s="212">
        <f>IF(B52="","",SINH(2*D52)/(COSH(2*D52)+COS(2*E52)))</f>
        <v/>
      </c>
      <c r="G52" s="212">
        <f>IF(B52="","",SIN(2*E52)/(COSH(2*D52)+COS(2*E52)))</f>
        <v/>
      </c>
      <c r="H52" s="212">
        <f>IF(B52="","",'入力・概要'!$B$34)</f>
        <v/>
      </c>
      <c r="I52" s="212">
        <f>IF(B52="","",C52*'入力・概要'!$B$35*1E-9)</f>
        <v/>
      </c>
      <c r="J52" s="212">
        <f>IF(B52="","",H52+'入力・概要'!$B$30*F52)</f>
        <v/>
      </c>
      <c r="K52" s="212">
        <f>IF(B52="","",I52+'入力・概要'!$B$30*G52)</f>
        <v/>
      </c>
      <c r="L52" s="212">
        <f>IF(B52="","",'入力・概要'!$B$30+H52*F52-I52*G52)</f>
        <v/>
      </c>
      <c r="M52" s="212">
        <f>IF(B52="","",H52*G52+I52*F52)</f>
        <v/>
      </c>
      <c r="N52" s="212">
        <f>IF(B52="","",'入力・概要'!$B$30*(J52*L52+K52*M52)/(L52^2+M52^2))</f>
        <v/>
      </c>
      <c r="O52" s="212">
        <f>IF(B52="","",'入力・概要'!$B$30*(K52*L52-J52*M52)/(L52^2+M52^2))</f>
        <v/>
      </c>
      <c r="P52" s="212">
        <f>IF(B52="","",N52+'入力・概要'!$B$36)</f>
        <v/>
      </c>
      <c r="Q52" s="212">
        <f>IF(B52="","",O52+C52*'入力・概要'!$B$37*1E-9)</f>
        <v/>
      </c>
      <c r="R52" s="212">
        <f>IF(B52="","",SQRT(P52^2+Q52^2))</f>
        <v/>
      </c>
      <c r="S52" s="212">
        <f>IF(B52="","",IF(P52&gt;0,DEGREES(ATAN(Q52/P52)),IF(P52&lt;0,IF(Q52&gt;=0,DEGREES(ATAN(Q52/P52))+180,DEGREES(ATAN(Q52/P52))-180),IF(Q52&gt;0,90,IF(Q52&lt;0,-90,0)))))</f>
        <v/>
      </c>
      <c r="T52" s="212">
        <f>IF(B52="","",LOG10(B52))</f>
        <v/>
      </c>
      <c r="U52" s="212">
        <f>IF(R52="","",LOG10(MAX(R52,1E-12)))</f>
        <v/>
      </c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</row>
    <row r="53">
      <c r="A53" s="202" t="n">
        <v>50</v>
      </c>
      <c r="B53" s="213">
        <f>IF(A53&lt;='入力・概要'!$B$40,10^(LOG10('入力・概要'!$B$38)+(A53-1)*(LOG10('入力・概要'!$B$39)-LOG10('入力・概要'!$B$38))/('入力・概要'!$B$40-1)),"")</f>
        <v/>
      </c>
      <c r="C53" s="212">
        <f>IF(B53="","",2*PI()*B53)</f>
        <v/>
      </c>
      <c r="D53" s="212">
        <f>IF(B53="","",ATANH(MIN(0.999999,(2*'入力・概要'!$B$17*'入力・概要'!$B$6)/'入力・概要'!$B$30))+'入力・概要'!$B$33*SQRT(B53/1E6)+(2*PI()*B53*'入力・概要'!$B$6/(299792458*'入力・概要'!$B$31))*'入力・概要'!$B$32/2)</f>
        <v/>
      </c>
      <c r="E53" s="212">
        <f>IF(B53="","",2*PI()*B53*'入力・概要'!$B$6/(299792458*'入力・概要'!$B$31))</f>
        <v/>
      </c>
      <c r="F53" s="212">
        <f>IF(B53="","",SINH(2*D53)/(COSH(2*D53)+COS(2*E53)))</f>
        <v/>
      </c>
      <c r="G53" s="212">
        <f>IF(B53="","",SIN(2*E53)/(COSH(2*D53)+COS(2*E53)))</f>
        <v/>
      </c>
      <c r="H53" s="212">
        <f>IF(B53="","",'入力・概要'!$B$34)</f>
        <v/>
      </c>
      <c r="I53" s="212">
        <f>IF(B53="","",C53*'入力・概要'!$B$35*1E-9)</f>
        <v/>
      </c>
      <c r="J53" s="212">
        <f>IF(B53="","",H53+'入力・概要'!$B$30*F53)</f>
        <v/>
      </c>
      <c r="K53" s="212">
        <f>IF(B53="","",I53+'入力・概要'!$B$30*G53)</f>
        <v/>
      </c>
      <c r="L53" s="212">
        <f>IF(B53="","",'入力・概要'!$B$30+H53*F53-I53*G53)</f>
        <v/>
      </c>
      <c r="M53" s="212">
        <f>IF(B53="","",H53*G53+I53*F53)</f>
        <v/>
      </c>
      <c r="N53" s="212">
        <f>IF(B53="","",'入力・概要'!$B$30*(J53*L53+K53*M53)/(L53^2+M53^2))</f>
        <v/>
      </c>
      <c r="O53" s="212">
        <f>IF(B53="","",'入力・概要'!$B$30*(K53*L53-J53*M53)/(L53^2+M53^2))</f>
        <v/>
      </c>
      <c r="P53" s="212">
        <f>IF(B53="","",N53+'入力・概要'!$B$36)</f>
        <v/>
      </c>
      <c r="Q53" s="212">
        <f>IF(B53="","",O53+C53*'入力・概要'!$B$37*1E-9)</f>
        <v/>
      </c>
      <c r="R53" s="212">
        <f>IF(B53="","",SQRT(P53^2+Q53^2))</f>
        <v/>
      </c>
      <c r="S53" s="212">
        <f>IF(B53="","",IF(P53&gt;0,DEGREES(ATAN(Q53/P53)),IF(P53&lt;0,IF(Q53&gt;=0,DEGREES(ATAN(Q53/P53))+180,DEGREES(ATAN(Q53/P53))-180),IF(Q53&gt;0,90,IF(Q53&lt;0,-90,0)))))</f>
        <v/>
      </c>
      <c r="T53" s="212">
        <f>IF(B53="","",LOG10(B53))</f>
        <v/>
      </c>
      <c r="U53" s="212">
        <f>IF(R53="","",LOG10(MAX(R53,1E-12)))</f>
        <v/>
      </c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</row>
    <row r="54">
      <c r="A54" s="202" t="n">
        <v>51</v>
      </c>
      <c r="B54" s="213">
        <f>IF(A54&lt;='入力・概要'!$B$40,10^(LOG10('入力・概要'!$B$38)+(A54-1)*(LOG10('入力・概要'!$B$39)-LOG10('入力・概要'!$B$38))/('入力・概要'!$B$40-1)),"")</f>
        <v/>
      </c>
      <c r="C54" s="212">
        <f>IF(B54="","",2*PI()*B54)</f>
        <v/>
      </c>
      <c r="D54" s="212">
        <f>IF(B54="","",ATANH(MIN(0.999999,(2*'入力・概要'!$B$17*'入力・概要'!$B$6)/'入力・概要'!$B$30))+'入力・概要'!$B$33*SQRT(B54/1E6)+(2*PI()*B54*'入力・概要'!$B$6/(299792458*'入力・概要'!$B$31))*'入力・概要'!$B$32/2)</f>
        <v/>
      </c>
      <c r="E54" s="212">
        <f>IF(B54="","",2*PI()*B54*'入力・概要'!$B$6/(299792458*'入力・概要'!$B$31))</f>
        <v/>
      </c>
      <c r="F54" s="212">
        <f>IF(B54="","",SINH(2*D54)/(COSH(2*D54)+COS(2*E54)))</f>
        <v/>
      </c>
      <c r="G54" s="212">
        <f>IF(B54="","",SIN(2*E54)/(COSH(2*D54)+COS(2*E54)))</f>
        <v/>
      </c>
      <c r="H54" s="212">
        <f>IF(B54="","",'入力・概要'!$B$34)</f>
        <v/>
      </c>
      <c r="I54" s="212">
        <f>IF(B54="","",C54*'入力・概要'!$B$35*1E-9)</f>
        <v/>
      </c>
      <c r="J54" s="212">
        <f>IF(B54="","",H54+'入力・概要'!$B$30*F54)</f>
        <v/>
      </c>
      <c r="K54" s="212">
        <f>IF(B54="","",I54+'入力・概要'!$B$30*G54)</f>
        <v/>
      </c>
      <c r="L54" s="212">
        <f>IF(B54="","",'入力・概要'!$B$30+H54*F54-I54*G54)</f>
        <v/>
      </c>
      <c r="M54" s="212">
        <f>IF(B54="","",H54*G54+I54*F54)</f>
        <v/>
      </c>
      <c r="N54" s="212">
        <f>IF(B54="","",'入力・概要'!$B$30*(J54*L54+K54*M54)/(L54^2+M54^2))</f>
        <v/>
      </c>
      <c r="O54" s="212">
        <f>IF(B54="","",'入力・概要'!$B$30*(K54*L54-J54*M54)/(L54^2+M54^2))</f>
        <v/>
      </c>
      <c r="P54" s="212">
        <f>IF(B54="","",N54+'入力・概要'!$B$36)</f>
        <v/>
      </c>
      <c r="Q54" s="212">
        <f>IF(B54="","",O54+C54*'入力・概要'!$B$37*1E-9)</f>
        <v/>
      </c>
      <c r="R54" s="212">
        <f>IF(B54="","",SQRT(P54^2+Q54^2))</f>
        <v/>
      </c>
      <c r="S54" s="212">
        <f>IF(B54="","",IF(P54&gt;0,DEGREES(ATAN(Q54/P54)),IF(P54&lt;0,IF(Q54&gt;=0,DEGREES(ATAN(Q54/P54))+180,DEGREES(ATAN(Q54/P54))-180),IF(Q54&gt;0,90,IF(Q54&lt;0,-90,0)))))</f>
        <v/>
      </c>
      <c r="T54" s="212">
        <f>IF(B54="","",LOG10(B54))</f>
        <v/>
      </c>
      <c r="U54" s="212">
        <f>IF(R54="","",LOG10(MAX(R54,1E-12)))</f>
        <v/>
      </c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</row>
    <row r="55">
      <c r="A55" s="202" t="n">
        <v>52</v>
      </c>
      <c r="B55" s="213">
        <f>IF(A55&lt;='入力・概要'!$B$40,10^(LOG10('入力・概要'!$B$38)+(A55-1)*(LOG10('入力・概要'!$B$39)-LOG10('入力・概要'!$B$38))/('入力・概要'!$B$40-1)),"")</f>
        <v/>
      </c>
      <c r="C55" s="212">
        <f>IF(B55="","",2*PI()*B55)</f>
        <v/>
      </c>
      <c r="D55" s="212">
        <f>IF(B55="","",ATANH(MIN(0.999999,(2*'入力・概要'!$B$17*'入力・概要'!$B$6)/'入力・概要'!$B$30))+'入力・概要'!$B$33*SQRT(B55/1E6)+(2*PI()*B55*'入力・概要'!$B$6/(299792458*'入力・概要'!$B$31))*'入力・概要'!$B$32/2)</f>
        <v/>
      </c>
      <c r="E55" s="212">
        <f>IF(B55="","",2*PI()*B55*'入力・概要'!$B$6/(299792458*'入力・概要'!$B$31))</f>
        <v/>
      </c>
      <c r="F55" s="212">
        <f>IF(B55="","",SINH(2*D55)/(COSH(2*D55)+COS(2*E55)))</f>
        <v/>
      </c>
      <c r="G55" s="212">
        <f>IF(B55="","",SIN(2*E55)/(COSH(2*D55)+COS(2*E55)))</f>
        <v/>
      </c>
      <c r="H55" s="212">
        <f>IF(B55="","",'入力・概要'!$B$34)</f>
        <v/>
      </c>
      <c r="I55" s="212">
        <f>IF(B55="","",C55*'入力・概要'!$B$35*1E-9)</f>
        <v/>
      </c>
      <c r="J55" s="212">
        <f>IF(B55="","",H55+'入力・概要'!$B$30*F55)</f>
        <v/>
      </c>
      <c r="K55" s="212">
        <f>IF(B55="","",I55+'入力・概要'!$B$30*G55)</f>
        <v/>
      </c>
      <c r="L55" s="212">
        <f>IF(B55="","",'入力・概要'!$B$30+H55*F55-I55*G55)</f>
        <v/>
      </c>
      <c r="M55" s="212">
        <f>IF(B55="","",H55*G55+I55*F55)</f>
        <v/>
      </c>
      <c r="N55" s="212">
        <f>IF(B55="","",'入力・概要'!$B$30*(J55*L55+K55*M55)/(L55^2+M55^2))</f>
        <v/>
      </c>
      <c r="O55" s="212">
        <f>IF(B55="","",'入力・概要'!$B$30*(K55*L55-J55*M55)/(L55^2+M55^2))</f>
        <v/>
      </c>
      <c r="P55" s="212">
        <f>IF(B55="","",N55+'入力・概要'!$B$36)</f>
        <v/>
      </c>
      <c r="Q55" s="212">
        <f>IF(B55="","",O55+C55*'入力・概要'!$B$37*1E-9)</f>
        <v/>
      </c>
      <c r="R55" s="212">
        <f>IF(B55="","",SQRT(P55^2+Q55^2))</f>
        <v/>
      </c>
      <c r="S55" s="212">
        <f>IF(B55="","",IF(P55&gt;0,DEGREES(ATAN(Q55/P55)),IF(P55&lt;0,IF(Q55&gt;=0,DEGREES(ATAN(Q55/P55))+180,DEGREES(ATAN(Q55/P55))-180),IF(Q55&gt;0,90,IF(Q55&lt;0,-90,0)))))</f>
        <v/>
      </c>
      <c r="T55" s="212">
        <f>IF(B55="","",LOG10(B55))</f>
        <v/>
      </c>
      <c r="U55" s="212">
        <f>IF(R55="","",LOG10(MAX(R55,1E-12)))</f>
        <v/>
      </c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</row>
    <row r="56">
      <c r="A56" s="202" t="n">
        <v>53</v>
      </c>
      <c r="B56" s="213">
        <f>IF(A56&lt;='入力・概要'!$B$40,10^(LOG10('入力・概要'!$B$38)+(A56-1)*(LOG10('入力・概要'!$B$39)-LOG10('入力・概要'!$B$38))/('入力・概要'!$B$40-1)),"")</f>
        <v/>
      </c>
      <c r="C56" s="212">
        <f>IF(B56="","",2*PI()*B56)</f>
        <v/>
      </c>
      <c r="D56" s="212">
        <f>IF(B56="","",ATANH(MIN(0.999999,(2*'入力・概要'!$B$17*'入力・概要'!$B$6)/'入力・概要'!$B$30))+'入力・概要'!$B$33*SQRT(B56/1E6)+(2*PI()*B56*'入力・概要'!$B$6/(299792458*'入力・概要'!$B$31))*'入力・概要'!$B$32/2)</f>
        <v/>
      </c>
      <c r="E56" s="212">
        <f>IF(B56="","",2*PI()*B56*'入力・概要'!$B$6/(299792458*'入力・概要'!$B$31))</f>
        <v/>
      </c>
      <c r="F56" s="212">
        <f>IF(B56="","",SINH(2*D56)/(COSH(2*D56)+COS(2*E56)))</f>
        <v/>
      </c>
      <c r="G56" s="212">
        <f>IF(B56="","",SIN(2*E56)/(COSH(2*D56)+COS(2*E56)))</f>
        <v/>
      </c>
      <c r="H56" s="212">
        <f>IF(B56="","",'入力・概要'!$B$34)</f>
        <v/>
      </c>
      <c r="I56" s="212">
        <f>IF(B56="","",C56*'入力・概要'!$B$35*1E-9)</f>
        <v/>
      </c>
      <c r="J56" s="212">
        <f>IF(B56="","",H56+'入力・概要'!$B$30*F56)</f>
        <v/>
      </c>
      <c r="K56" s="212">
        <f>IF(B56="","",I56+'入力・概要'!$B$30*G56)</f>
        <v/>
      </c>
      <c r="L56" s="212">
        <f>IF(B56="","",'入力・概要'!$B$30+H56*F56-I56*G56)</f>
        <v/>
      </c>
      <c r="M56" s="212">
        <f>IF(B56="","",H56*G56+I56*F56)</f>
        <v/>
      </c>
      <c r="N56" s="212">
        <f>IF(B56="","",'入力・概要'!$B$30*(J56*L56+K56*M56)/(L56^2+M56^2))</f>
        <v/>
      </c>
      <c r="O56" s="212">
        <f>IF(B56="","",'入力・概要'!$B$30*(K56*L56-J56*M56)/(L56^2+M56^2))</f>
        <v/>
      </c>
      <c r="P56" s="212">
        <f>IF(B56="","",N56+'入力・概要'!$B$36)</f>
        <v/>
      </c>
      <c r="Q56" s="212">
        <f>IF(B56="","",O56+C56*'入力・概要'!$B$37*1E-9)</f>
        <v/>
      </c>
      <c r="R56" s="212">
        <f>IF(B56="","",SQRT(P56^2+Q56^2))</f>
        <v/>
      </c>
      <c r="S56" s="212">
        <f>IF(B56="","",IF(P56&gt;0,DEGREES(ATAN(Q56/P56)),IF(P56&lt;0,IF(Q56&gt;=0,DEGREES(ATAN(Q56/P56))+180,DEGREES(ATAN(Q56/P56))-180),IF(Q56&gt;0,90,IF(Q56&lt;0,-90,0)))))</f>
        <v/>
      </c>
      <c r="T56" s="212">
        <f>IF(B56="","",LOG10(B56))</f>
        <v/>
      </c>
      <c r="U56" s="212">
        <f>IF(R56="","",LOG10(MAX(R56,1E-12)))</f>
        <v/>
      </c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</row>
    <row r="57">
      <c r="A57" s="202" t="n">
        <v>54</v>
      </c>
      <c r="B57" s="213">
        <f>IF(A57&lt;='入力・概要'!$B$40,10^(LOG10('入力・概要'!$B$38)+(A57-1)*(LOG10('入力・概要'!$B$39)-LOG10('入力・概要'!$B$38))/('入力・概要'!$B$40-1)),"")</f>
        <v/>
      </c>
      <c r="C57" s="212">
        <f>IF(B57="","",2*PI()*B57)</f>
        <v/>
      </c>
      <c r="D57" s="212">
        <f>IF(B57="","",ATANH(MIN(0.999999,(2*'入力・概要'!$B$17*'入力・概要'!$B$6)/'入力・概要'!$B$30))+'入力・概要'!$B$33*SQRT(B57/1E6)+(2*PI()*B57*'入力・概要'!$B$6/(299792458*'入力・概要'!$B$31))*'入力・概要'!$B$32/2)</f>
        <v/>
      </c>
      <c r="E57" s="212">
        <f>IF(B57="","",2*PI()*B57*'入力・概要'!$B$6/(299792458*'入力・概要'!$B$31))</f>
        <v/>
      </c>
      <c r="F57" s="212">
        <f>IF(B57="","",SINH(2*D57)/(COSH(2*D57)+COS(2*E57)))</f>
        <v/>
      </c>
      <c r="G57" s="212">
        <f>IF(B57="","",SIN(2*E57)/(COSH(2*D57)+COS(2*E57)))</f>
        <v/>
      </c>
      <c r="H57" s="212">
        <f>IF(B57="","",'入力・概要'!$B$34)</f>
        <v/>
      </c>
      <c r="I57" s="212">
        <f>IF(B57="","",C57*'入力・概要'!$B$35*1E-9)</f>
        <v/>
      </c>
      <c r="J57" s="212">
        <f>IF(B57="","",H57+'入力・概要'!$B$30*F57)</f>
        <v/>
      </c>
      <c r="K57" s="212">
        <f>IF(B57="","",I57+'入力・概要'!$B$30*G57)</f>
        <v/>
      </c>
      <c r="L57" s="212">
        <f>IF(B57="","",'入力・概要'!$B$30+H57*F57-I57*G57)</f>
        <v/>
      </c>
      <c r="M57" s="212">
        <f>IF(B57="","",H57*G57+I57*F57)</f>
        <v/>
      </c>
      <c r="N57" s="212">
        <f>IF(B57="","",'入力・概要'!$B$30*(J57*L57+K57*M57)/(L57^2+M57^2))</f>
        <v/>
      </c>
      <c r="O57" s="212">
        <f>IF(B57="","",'入力・概要'!$B$30*(K57*L57-J57*M57)/(L57^2+M57^2))</f>
        <v/>
      </c>
      <c r="P57" s="212">
        <f>IF(B57="","",N57+'入力・概要'!$B$36)</f>
        <v/>
      </c>
      <c r="Q57" s="212">
        <f>IF(B57="","",O57+C57*'入力・概要'!$B$37*1E-9)</f>
        <v/>
      </c>
      <c r="R57" s="212">
        <f>IF(B57="","",SQRT(P57^2+Q57^2))</f>
        <v/>
      </c>
      <c r="S57" s="212">
        <f>IF(B57="","",IF(P57&gt;0,DEGREES(ATAN(Q57/P57)),IF(P57&lt;0,IF(Q57&gt;=0,DEGREES(ATAN(Q57/P57))+180,DEGREES(ATAN(Q57/P57))-180),IF(Q57&gt;0,90,IF(Q57&lt;0,-90,0)))))</f>
        <v/>
      </c>
      <c r="T57" s="212">
        <f>IF(B57="","",LOG10(B57))</f>
        <v/>
      </c>
      <c r="U57" s="212">
        <f>IF(R57="","",LOG10(MAX(R57,1E-12)))</f>
        <v/>
      </c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</row>
    <row r="58">
      <c r="A58" s="202" t="n">
        <v>55</v>
      </c>
      <c r="B58" s="213">
        <f>IF(A58&lt;='入力・概要'!$B$40,10^(LOG10('入力・概要'!$B$38)+(A58-1)*(LOG10('入力・概要'!$B$39)-LOG10('入力・概要'!$B$38))/('入力・概要'!$B$40-1)),"")</f>
        <v/>
      </c>
      <c r="C58" s="212">
        <f>IF(B58="","",2*PI()*B58)</f>
        <v/>
      </c>
      <c r="D58" s="212">
        <f>IF(B58="","",ATANH(MIN(0.999999,(2*'入力・概要'!$B$17*'入力・概要'!$B$6)/'入力・概要'!$B$30))+'入力・概要'!$B$33*SQRT(B58/1E6)+(2*PI()*B58*'入力・概要'!$B$6/(299792458*'入力・概要'!$B$31))*'入力・概要'!$B$32/2)</f>
        <v/>
      </c>
      <c r="E58" s="212">
        <f>IF(B58="","",2*PI()*B58*'入力・概要'!$B$6/(299792458*'入力・概要'!$B$31))</f>
        <v/>
      </c>
      <c r="F58" s="212">
        <f>IF(B58="","",SINH(2*D58)/(COSH(2*D58)+COS(2*E58)))</f>
        <v/>
      </c>
      <c r="G58" s="212">
        <f>IF(B58="","",SIN(2*E58)/(COSH(2*D58)+COS(2*E58)))</f>
        <v/>
      </c>
      <c r="H58" s="212">
        <f>IF(B58="","",'入力・概要'!$B$34)</f>
        <v/>
      </c>
      <c r="I58" s="212">
        <f>IF(B58="","",C58*'入力・概要'!$B$35*1E-9)</f>
        <v/>
      </c>
      <c r="J58" s="212">
        <f>IF(B58="","",H58+'入力・概要'!$B$30*F58)</f>
        <v/>
      </c>
      <c r="K58" s="212">
        <f>IF(B58="","",I58+'入力・概要'!$B$30*G58)</f>
        <v/>
      </c>
      <c r="L58" s="212">
        <f>IF(B58="","",'入力・概要'!$B$30+H58*F58-I58*G58)</f>
        <v/>
      </c>
      <c r="M58" s="212">
        <f>IF(B58="","",H58*G58+I58*F58)</f>
        <v/>
      </c>
      <c r="N58" s="212">
        <f>IF(B58="","",'入力・概要'!$B$30*(J58*L58+K58*M58)/(L58^2+M58^2))</f>
        <v/>
      </c>
      <c r="O58" s="212">
        <f>IF(B58="","",'入力・概要'!$B$30*(K58*L58-J58*M58)/(L58^2+M58^2))</f>
        <v/>
      </c>
      <c r="P58" s="212">
        <f>IF(B58="","",N58+'入力・概要'!$B$36)</f>
        <v/>
      </c>
      <c r="Q58" s="212">
        <f>IF(B58="","",O58+C58*'入力・概要'!$B$37*1E-9)</f>
        <v/>
      </c>
      <c r="R58" s="212">
        <f>IF(B58="","",SQRT(P58^2+Q58^2))</f>
        <v/>
      </c>
      <c r="S58" s="212">
        <f>IF(B58="","",IF(P58&gt;0,DEGREES(ATAN(Q58/P58)),IF(P58&lt;0,IF(Q58&gt;=0,DEGREES(ATAN(Q58/P58))+180,DEGREES(ATAN(Q58/P58))-180),IF(Q58&gt;0,90,IF(Q58&lt;0,-90,0)))))</f>
        <v/>
      </c>
      <c r="T58" s="212">
        <f>IF(B58="","",LOG10(B58))</f>
        <v/>
      </c>
      <c r="U58" s="212">
        <f>IF(R58="","",LOG10(MAX(R58,1E-12)))</f>
        <v/>
      </c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</row>
    <row r="59">
      <c r="A59" s="202" t="n">
        <v>56</v>
      </c>
      <c r="B59" s="213">
        <f>IF(A59&lt;='入力・概要'!$B$40,10^(LOG10('入力・概要'!$B$38)+(A59-1)*(LOG10('入力・概要'!$B$39)-LOG10('入力・概要'!$B$38))/('入力・概要'!$B$40-1)),"")</f>
        <v/>
      </c>
      <c r="C59" s="212">
        <f>IF(B59="","",2*PI()*B59)</f>
        <v/>
      </c>
      <c r="D59" s="212">
        <f>IF(B59="","",ATANH(MIN(0.999999,(2*'入力・概要'!$B$17*'入力・概要'!$B$6)/'入力・概要'!$B$30))+'入力・概要'!$B$33*SQRT(B59/1E6)+(2*PI()*B59*'入力・概要'!$B$6/(299792458*'入力・概要'!$B$31))*'入力・概要'!$B$32/2)</f>
        <v/>
      </c>
      <c r="E59" s="212">
        <f>IF(B59="","",2*PI()*B59*'入力・概要'!$B$6/(299792458*'入力・概要'!$B$31))</f>
        <v/>
      </c>
      <c r="F59" s="212">
        <f>IF(B59="","",SINH(2*D59)/(COSH(2*D59)+COS(2*E59)))</f>
        <v/>
      </c>
      <c r="G59" s="212">
        <f>IF(B59="","",SIN(2*E59)/(COSH(2*D59)+COS(2*E59)))</f>
        <v/>
      </c>
      <c r="H59" s="212">
        <f>IF(B59="","",'入力・概要'!$B$34)</f>
        <v/>
      </c>
      <c r="I59" s="212">
        <f>IF(B59="","",C59*'入力・概要'!$B$35*1E-9)</f>
        <v/>
      </c>
      <c r="J59" s="212">
        <f>IF(B59="","",H59+'入力・概要'!$B$30*F59)</f>
        <v/>
      </c>
      <c r="K59" s="212">
        <f>IF(B59="","",I59+'入力・概要'!$B$30*G59)</f>
        <v/>
      </c>
      <c r="L59" s="212">
        <f>IF(B59="","",'入力・概要'!$B$30+H59*F59-I59*G59)</f>
        <v/>
      </c>
      <c r="M59" s="212">
        <f>IF(B59="","",H59*G59+I59*F59)</f>
        <v/>
      </c>
      <c r="N59" s="212">
        <f>IF(B59="","",'入力・概要'!$B$30*(J59*L59+K59*M59)/(L59^2+M59^2))</f>
        <v/>
      </c>
      <c r="O59" s="212">
        <f>IF(B59="","",'入力・概要'!$B$30*(K59*L59-J59*M59)/(L59^2+M59^2))</f>
        <v/>
      </c>
      <c r="P59" s="212">
        <f>IF(B59="","",N59+'入力・概要'!$B$36)</f>
        <v/>
      </c>
      <c r="Q59" s="212">
        <f>IF(B59="","",O59+C59*'入力・概要'!$B$37*1E-9)</f>
        <v/>
      </c>
      <c r="R59" s="212">
        <f>IF(B59="","",SQRT(P59^2+Q59^2))</f>
        <v/>
      </c>
      <c r="S59" s="212">
        <f>IF(B59="","",IF(P59&gt;0,DEGREES(ATAN(Q59/P59)),IF(P59&lt;0,IF(Q59&gt;=0,DEGREES(ATAN(Q59/P59))+180,DEGREES(ATAN(Q59/P59))-180),IF(Q59&gt;0,90,IF(Q59&lt;0,-90,0)))))</f>
        <v/>
      </c>
      <c r="T59" s="212">
        <f>IF(B59="","",LOG10(B59))</f>
        <v/>
      </c>
      <c r="U59" s="212">
        <f>IF(R59="","",LOG10(MAX(R59,1E-12)))</f>
        <v/>
      </c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</row>
    <row r="60">
      <c r="A60" s="202" t="n">
        <v>57</v>
      </c>
      <c r="B60" s="213">
        <f>IF(A60&lt;='入力・概要'!$B$40,10^(LOG10('入力・概要'!$B$38)+(A60-1)*(LOG10('入力・概要'!$B$39)-LOG10('入力・概要'!$B$38))/('入力・概要'!$B$40-1)),"")</f>
        <v/>
      </c>
      <c r="C60" s="212">
        <f>IF(B60="","",2*PI()*B60)</f>
        <v/>
      </c>
      <c r="D60" s="212">
        <f>IF(B60="","",ATANH(MIN(0.999999,(2*'入力・概要'!$B$17*'入力・概要'!$B$6)/'入力・概要'!$B$30))+'入力・概要'!$B$33*SQRT(B60/1E6)+(2*PI()*B60*'入力・概要'!$B$6/(299792458*'入力・概要'!$B$31))*'入力・概要'!$B$32/2)</f>
        <v/>
      </c>
      <c r="E60" s="212">
        <f>IF(B60="","",2*PI()*B60*'入力・概要'!$B$6/(299792458*'入力・概要'!$B$31))</f>
        <v/>
      </c>
      <c r="F60" s="212">
        <f>IF(B60="","",SINH(2*D60)/(COSH(2*D60)+COS(2*E60)))</f>
        <v/>
      </c>
      <c r="G60" s="212">
        <f>IF(B60="","",SIN(2*E60)/(COSH(2*D60)+COS(2*E60)))</f>
        <v/>
      </c>
      <c r="H60" s="212">
        <f>IF(B60="","",'入力・概要'!$B$34)</f>
        <v/>
      </c>
      <c r="I60" s="212">
        <f>IF(B60="","",C60*'入力・概要'!$B$35*1E-9)</f>
        <v/>
      </c>
      <c r="J60" s="212">
        <f>IF(B60="","",H60+'入力・概要'!$B$30*F60)</f>
        <v/>
      </c>
      <c r="K60" s="212">
        <f>IF(B60="","",I60+'入力・概要'!$B$30*G60)</f>
        <v/>
      </c>
      <c r="L60" s="212">
        <f>IF(B60="","",'入力・概要'!$B$30+H60*F60-I60*G60)</f>
        <v/>
      </c>
      <c r="M60" s="212">
        <f>IF(B60="","",H60*G60+I60*F60)</f>
        <v/>
      </c>
      <c r="N60" s="212">
        <f>IF(B60="","",'入力・概要'!$B$30*(J60*L60+K60*M60)/(L60^2+M60^2))</f>
        <v/>
      </c>
      <c r="O60" s="212">
        <f>IF(B60="","",'入力・概要'!$B$30*(K60*L60-J60*M60)/(L60^2+M60^2))</f>
        <v/>
      </c>
      <c r="P60" s="212">
        <f>IF(B60="","",N60+'入力・概要'!$B$36)</f>
        <v/>
      </c>
      <c r="Q60" s="212">
        <f>IF(B60="","",O60+C60*'入力・概要'!$B$37*1E-9)</f>
        <v/>
      </c>
      <c r="R60" s="212">
        <f>IF(B60="","",SQRT(P60^2+Q60^2))</f>
        <v/>
      </c>
      <c r="S60" s="212">
        <f>IF(B60="","",IF(P60&gt;0,DEGREES(ATAN(Q60/P60)),IF(P60&lt;0,IF(Q60&gt;=0,DEGREES(ATAN(Q60/P60))+180,DEGREES(ATAN(Q60/P60))-180),IF(Q60&gt;0,90,IF(Q60&lt;0,-90,0)))))</f>
        <v/>
      </c>
      <c r="T60" s="212">
        <f>IF(B60="","",LOG10(B60))</f>
        <v/>
      </c>
      <c r="U60" s="212">
        <f>IF(R60="","",LOG10(MAX(R60,1E-12)))</f>
        <v/>
      </c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</row>
    <row r="61">
      <c r="A61" t="n">
        <v>58</v>
      </c>
      <c r="B61" s="196">
        <f>IF(A61&lt;='入力・概要'!$B$40,10^(LOG10('入力・概要'!$B$38)+(A61-1)*(LOG10('入力・概要'!$B$39)-LOG10('入力・概要'!$B$38))/('入力・概要'!$B$40-1)),"")</f>
        <v/>
      </c>
      <c r="C61" s="195">
        <f>IF(B61="","",2*PI()*B61)</f>
        <v/>
      </c>
      <c r="D61" s="195">
        <f>IF(B61="","",ATANH(MIN(0.999999,(2*'入力・概要'!$B$17*'入力・概要'!$B$6)/'入力・概要'!$B$30))+'入力・概要'!$B$33*SQRT(B61/1E6)+(2*PI()*B61*'入力・概要'!$B$6/(299792458*'入力・概要'!$B$31))*'入力・概要'!$B$32/2)</f>
        <v/>
      </c>
      <c r="E61" s="195">
        <f>IF(B61="","",2*PI()*B61*'入力・概要'!$B$6/(299792458*'入力・概要'!$B$31))</f>
        <v/>
      </c>
      <c r="F61" s="195">
        <f>IF(B61="","",SINH(2*D61)/(COSH(2*D61)+COS(2*E61)))</f>
        <v/>
      </c>
      <c r="G61" s="195">
        <f>IF(B61="","",SIN(2*E61)/(COSH(2*D61)+COS(2*E61)))</f>
        <v/>
      </c>
      <c r="H61" s="195">
        <f>IF(B61="","",'入力・概要'!$B$34)</f>
        <v/>
      </c>
      <c r="I61" s="195">
        <f>IF(B61="","",C61*'入力・概要'!$B$35*1E-9)</f>
        <v/>
      </c>
      <c r="J61" s="195">
        <f>IF(B61="","",H61+'入力・概要'!$B$30*F61)</f>
        <v/>
      </c>
      <c r="K61" s="195">
        <f>IF(B61="","",I61+'入力・概要'!$B$30*G61)</f>
        <v/>
      </c>
      <c r="L61" s="195">
        <f>IF(B61="","",'入力・概要'!$B$30+H61*F61-I61*G61)</f>
        <v/>
      </c>
      <c r="M61" s="195">
        <f>IF(B61="","",H61*G61+I61*F61)</f>
        <v/>
      </c>
      <c r="N61" s="195">
        <f>IF(B61="","",'入力・概要'!$B$30*(J61*L61+K61*M61)/(L61^2+M61^2))</f>
        <v/>
      </c>
      <c r="O61" s="195">
        <f>IF(B61="","",'入力・概要'!$B$30*(K61*L61-J61*M61)/(L61^2+M61^2))</f>
        <v/>
      </c>
      <c r="P61" s="195">
        <f>IF(B61="","",N61+'入力・概要'!$B$36)</f>
        <v/>
      </c>
      <c r="Q61" s="195">
        <f>IF(B61="","",O61+C61*'入力・概要'!$B$37*1E-9)</f>
        <v/>
      </c>
      <c r="R61" s="195">
        <f>IF(B61="","",SQRT(P61^2+Q61^2))</f>
        <v/>
      </c>
      <c r="S61" s="195">
        <f>IF(B61="","",IF(P61&gt;0,DEGREES(ATAN(Q61/P61)),IF(P61&lt;0,IF(Q61&gt;=0,DEGREES(ATAN(Q61/P61))+180,DEGREES(ATAN(Q61/P61))-180),IF(Q61&gt;0,90,IF(Q61&lt;0,-90,0)))))</f>
        <v/>
      </c>
      <c r="T61" s="195">
        <f>IF(B61="","",LOG10(B61))</f>
        <v/>
      </c>
      <c r="U61" s="195">
        <f>IF(R61="","",LOG10(MAX(R61,1E-12)))</f>
        <v/>
      </c>
    </row>
    <row r="62">
      <c r="A62" t="n">
        <v>59</v>
      </c>
      <c r="B62" s="196">
        <f>IF(A62&lt;='入力・概要'!$B$40,10^(LOG10('入力・概要'!$B$38)+(A62-1)*(LOG10('入力・概要'!$B$39)-LOG10('入力・概要'!$B$38))/('入力・概要'!$B$40-1)),"")</f>
        <v/>
      </c>
      <c r="C62" s="195">
        <f>IF(B62="","",2*PI()*B62)</f>
        <v/>
      </c>
      <c r="D62" s="195">
        <f>IF(B62="","",ATANH(MIN(0.999999,(2*'入力・概要'!$B$17*'入力・概要'!$B$6)/'入力・概要'!$B$30))+'入力・概要'!$B$33*SQRT(B62/1E6)+(2*PI()*B62*'入力・概要'!$B$6/(299792458*'入力・概要'!$B$31))*'入力・概要'!$B$32/2)</f>
        <v/>
      </c>
      <c r="E62" s="195">
        <f>IF(B62="","",2*PI()*B62*'入力・概要'!$B$6/(299792458*'入力・概要'!$B$31))</f>
        <v/>
      </c>
      <c r="F62" s="195">
        <f>IF(B62="","",SINH(2*D62)/(COSH(2*D62)+COS(2*E62)))</f>
        <v/>
      </c>
      <c r="G62" s="195">
        <f>IF(B62="","",SIN(2*E62)/(COSH(2*D62)+COS(2*E62)))</f>
        <v/>
      </c>
      <c r="H62" s="195">
        <f>IF(B62="","",'入力・概要'!$B$34)</f>
        <v/>
      </c>
      <c r="I62" s="195">
        <f>IF(B62="","",C62*'入力・概要'!$B$35*1E-9)</f>
        <v/>
      </c>
      <c r="J62" s="195">
        <f>IF(B62="","",H62+'入力・概要'!$B$30*F62)</f>
        <v/>
      </c>
      <c r="K62" s="195">
        <f>IF(B62="","",I62+'入力・概要'!$B$30*G62)</f>
        <v/>
      </c>
      <c r="L62" s="195">
        <f>IF(B62="","",'入力・概要'!$B$30+H62*F62-I62*G62)</f>
        <v/>
      </c>
      <c r="M62" s="195">
        <f>IF(B62="","",H62*G62+I62*F62)</f>
        <v/>
      </c>
      <c r="N62" s="195">
        <f>IF(B62="","",'入力・概要'!$B$30*(J62*L62+K62*M62)/(L62^2+M62^2))</f>
        <v/>
      </c>
      <c r="O62" s="195">
        <f>IF(B62="","",'入力・概要'!$B$30*(K62*L62-J62*M62)/(L62^2+M62^2))</f>
        <v/>
      </c>
      <c r="P62" s="195">
        <f>IF(B62="","",N62+'入力・概要'!$B$36)</f>
        <v/>
      </c>
      <c r="Q62" s="195">
        <f>IF(B62="","",O62+C62*'入力・概要'!$B$37*1E-9)</f>
        <v/>
      </c>
      <c r="R62" s="195">
        <f>IF(B62="","",SQRT(P62^2+Q62^2))</f>
        <v/>
      </c>
      <c r="S62" s="195">
        <f>IF(B62="","",IF(P62&gt;0,DEGREES(ATAN(Q62/P62)),IF(P62&lt;0,IF(Q62&gt;=0,DEGREES(ATAN(Q62/P62))+180,DEGREES(ATAN(Q62/P62))-180),IF(Q62&gt;0,90,IF(Q62&lt;0,-90,0)))))</f>
        <v/>
      </c>
      <c r="T62" s="195">
        <f>IF(B62="","",LOG10(B62))</f>
        <v/>
      </c>
      <c r="U62" s="195">
        <f>IF(R62="","",LOG10(MAX(R62,1E-12)))</f>
        <v/>
      </c>
    </row>
    <row r="63">
      <c r="A63" t="n">
        <v>60</v>
      </c>
      <c r="B63" s="196">
        <f>IF(A63&lt;='入力・概要'!$B$40,10^(LOG10('入力・概要'!$B$38)+(A63-1)*(LOG10('入力・概要'!$B$39)-LOG10('入力・概要'!$B$38))/('入力・概要'!$B$40-1)),"")</f>
        <v/>
      </c>
      <c r="C63" s="195">
        <f>IF(B63="","",2*PI()*B63)</f>
        <v/>
      </c>
      <c r="D63" s="195">
        <f>IF(B63="","",ATANH(MIN(0.999999,(2*'入力・概要'!$B$17*'入力・概要'!$B$6)/'入力・概要'!$B$30))+'入力・概要'!$B$33*SQRT(B63/1E6)+(2*PI()*B63*'入力・概要'!$B$6/(299792458*'入力・概要'!$B$31))*'入力・概要'!$B$32/2)</f>
        <v/>
      </c>
      <c r="E63" s="195">
        <f>IF(B63="","",2*PI()*B63*'入力・概要'!$B$6/(299792458*'入力・概要'!$B$31))</f>
        <v/>
      </c>
      <c r="F63" s="195">
        <f>IF(B63="","",SINH(2*D63)/(COSH(2*D63)+COS(2*E63)))</f>
        <v/>
      </c>
      <c r="G63" s="195">
        <f>IF(B63="","",SIN(2*E63)/(COSH(2*D63)+COS(2*E63)))</f>
        <v/>
      </c>
      <c r="H63" s="195">
        <f>IF(B63="","",'入力・概要'!$B$34)</f>
        <v/>
      </c>
      <c r="I63" s="195">
        <f>IF(B63="","",C63*'入力・概要'!$B$35*1E-9)</f>
        <v/>
      </c>
      <c r="J63" s="195">
        <f>IF(B63="","",H63+'入力・概要'!$B$30*F63)</f>
        <v/>
      </c>
      <c r="K63" s="195">
        <f>IF(B63="","",I63+'入力・概要'!$B$30*G63)</f>
        <v/>
      </c>
      <c r="L63" s="195">
        <f>IF(B63="","",'入力・概要'!$B$30+H63*F63-I63*G63)</f>
        <v/>
      </c>
      <c r="M63" s="195">
        <f>IF(B63="","",H63*G63+I63*F63)</f>
        <v/>
      </c>
      <c r="N63" s="195">
        <f>IF(B63="","",'入力・概要'!$B$30*(J63*L63+K63*M63)/(L63^2+M63^2))</f>
        <v/>
      </c>
      <c r="O63" s="195">
        <f>IF(B63="","",'入力・概要'!$B$30*(K63*L63-J63*M63)/(L63^2+M63^2))</f>
        <v/>
      </c>
      <c r="P63" s="195">
        <f>IF(B63="","",N63+'入力・概要'!$B$36)</f>
        <v/>
      </c>
      <c r="Q63" s="195">
        <f>IF(B63="","",O63+C63*'入力・概要'!$B$37*1E-9)</f>
        <v/>
      </c>
      <c r="R63" s="195">
        <f>IF(B63="","",SQRT(P63^2+Q63^2))</f>
        <v/>
      </c>
      <c r="S63" s="195">
        <f>IF(B63="","",IF(P63&gt;0,DEGREES(ATAN(Q63/P63)),IF(P63&lt;0,IF(Q63&gt;=0,DEGREES(ATAN(Q63/P63))+180,DEGREES(ATAN(Q63/P63))-180),IF(Q63&gt;0,90,IF(Q63&lt;0,-90,0)))))</f>
        <v/>
      </c>
      <c r="T63" s="195">
        <f>IF(B63="","",LOG10(B63))</f>
        <v/>
      </c>
      <c r="U63" s="195">
        <f>IF(R63="","",LOG10(MAX(R63,1E-12)))</f>
        <v/>
      </c>
    </row>
    <row r="64">
      <c r="A64" t="n">
        <v>61</v>
      </c>
      <c r="B64" s="196">
        <f>IF(A64&lt;='入力・概要'!$B$40,10^(LOG10('入力・概要'!$B$38)+(A64-1)*(LOG10('入力・概要'!$B$39)-LOG10('入力・概要'!$B$38))/('入力・概要'!$B$40-1)),"")</f>
        <v/>
      </c>
      <c r="C64" s="195">
        <f>IF(B64="","",2*PI()*B64)</f>
        <v/>
      </c>
      <c r="D64" s="195">
        <f>IF(B64="","",ATANH(MIN(0.999999,(2*'入力・概要'!$B$17*'入力・概要'!$B$6)/'入力・概要'!$B$30))+'入力・概要'!$B$33*SQRT(B64/1E6)+(2*PI()*B64*'入力・概要'!$B$6/(299792458*'入力・概要'!$B$31))*'入力・概要'!$B$32/2)</f>
        <v/>
      </c>
      <c r="E64" s="195">
        <f>IF(B64="","",2*PI()*B64*'入力・概要'!$B$6/(299792458*'入力・概要'!$B$31))</f>
        <v/>
      </c>
      <c r="F64" s="195">
        <f>IF(B64="","",SINH(2*D64)/(COSH(2*D64)+COS(2*E64)))</f>
        <v/>
      </c>
      <c r="G64" s="195">
        <f>IF(B64="","",SIN(2*E64)/(COSH(2*D64)+COS(2*E64)))</f>
        <v/>
      </c>
      <c r="H64" s="195">
        <f>IF(B64="","",'入力・概要'!$B$34)</f>
        <v/>
      </c>
      <c r="I64" s="195">
        <f>IF(B64="","",C64*'入力・概要'!$B$35*1E-9)</f>
        <v/>
      </c>
      <c r="J64" s="195">
        <f>IF(B64="","",H64+'入力・概要'!$B$30*F64)</f>
        <v/>
      </c>
      <c r="K64" s="195">
        <f>IF(B64="","",I64+'入力・概要'!$B$30*G64)</f>
        <v/>
      </c>
      <c r="L64" s="195">
        <f>IF(B64="","",'入力・概要'!$B$30+H64*F64-I64*G64)</f>
        <v/>
      </c>
      <c r="M64" s="195">
        <f>IF(B64="","",H64*G64+I64*F64)</f>
        <v/>
      </c>
      <c r="N64" s="195">
        <f>IF(B64="","",'入力・概要'!$B$30*(J64*L64+K64*M64)/(L64^2+M64^2))</f>
        <v/>
      </c>
      <c r="O64" s="195">
        <f>IF(B64="","",'入力・概要'!$B$30*(K64*L64-J64*M64)/(L64^2+M64^2))</f>
        <v/>
      </c>
      <c r="P64" s="195">
        <f>IF(B64="","",N64+'入力・概要'!$B$36)</f>
        <v/>
      </c>
      <c r="Q64" s="195">
        <f>IF(B64="","",O64+C64*'入力・概要'!$B$37*1E-9)</f>
        <v/>
      </c>
      <c r="R64" s="195">
        <f>IF(B64="","",SQRT(P64^2+Q64^2))</f>
        <v/>
      </c>
      <c r="S64" s="195">
        <f>IF(B64="","",IF(P64&gt;0,DEGREES(ATAN(Q64/P64)),IF(P64&lt;0,IF(Q64&gt;=0,DEGREES(ATAN(Q64/P64))+180,DEGREES(ATAN(Q64/P64))-180),IF(Q64&gt;0,90,IF(Q64&lt;0,-90,0)))))</f>
        <v/>
      </c>
      <c r="T64" s="195">
        <f>IF(B64="","",LOG10(B64))</f>
        <v/>
      </c>
      <c r="U64" s="195">
        <f>IF(R64="","",LOG10(MAX(R64,1E-12)))</f>
        <v/>
      </c>
    </row>
    <row r="65">
      <c r="A65" t="n">
        <v>62</v>
      </c>
      <c r="B65" s="196">
        <f>IF(A65&lt;='入力・概要'!$B$40,10^(LOG10('入力・概要'!$B$38)+(A65-1)*(LOG10('入力・概要'!$B$39)-LOG10('入力・概要'!$B$38))/('入力・概要'!$B$40-1)),"")</f>
        <v/>
      </c>
      <c r="C65" s="195">
        <f>IF(B65="","",2*PI()*B65)</f>
        <v/>
      </c>
      <c r="D65" s="195">
        <f>IF(B65="","",ATANH(MIN(0.999999,(2*'入力・概要'!$B$17*'入力・概要'!$B$6)/'入力・概要'!$B$30))+'入力・概要'!$B$33*SQRT(B65/1E6)+(2*PI()*B65*'入力・概要'!$B$6/(299792458*'入力・概要'!$B$31))*'入力・概要'!$B$32/2)</f>
        <v/>
      </c>
      <c r="E65" s="195">
        <f>IF(B65="","",2*PI()*B65*'入力・概要'!$B$6/(299792458*'入力・概要'!$B$31))</f>
        <v/>
      </c>
      <c r="F65" s="195">
        <f>IF(B65="","",SINH(2*D65)/(COSH(2*D65)+COS(2*E65)))</f>
        <v/>
      </c>
      <c r="G65" s="195">
        <f>IF(B65="","",SIN(2*E65)/(COSH(2*D65)+COS(2*E65)))</f>
        <v/>
      </c>
      <c r="H65" s="195">
        <f>IF(B65="","",'入力・概要'!$B$34)</f>
        <v/>
      </c>
      <c r="I65" s="195">
        <f>IF(B65="","",C65*'入力・概要'!$B$35*1E-9)</f>
        <v/>
      </c>
      <c r="J65" s="195">
        <f>IF(B65="","",H65+'入力・概要'!$B$30*F65)</f>
        <v/>
      </c>
      <c r="K65" s="195">
        <f>IF(B65="","",I65+'入力・概要'!$B$30*G65)</f>
        <v/>
      </c>
      <c r="L65" s="195">
        <f>IF(B65="","",'入力・概要'!$B$30+H65*F65-I65*G65)</f>
        <v/>
      </c>
      <c r="M65" s="195">
        <f>IF(B65="","",H65*G65+I65*F65)</f>
        <v/>
      </c>
      <c r="N65" s="195">
        <f>IF(B65="","",'入力・概要'!$B$30*(J65*L65+K65*M65)/(L65^2+M65^2))</f>
        <v/>
      </c>
      <c r="O65" s="195">
        <f>IF(B65="","",'入力・概要'!$B$30*(K65*L65-J65*M65)/(L65^2+M65^2))</f>
        <v/>
      </c>
      <c r="P65" s="195">
        <f>IF(B65="","",N65+'入力・概要'!$B$36)</f>
        <v/>
      </c>
      <c r="Q65" s="195">
        <f>IF(B65="","",O65+C65*'入力・概要'!$B$37*1E-9)</f>
        <v/>
      </c>
      <c r="R65" s="195">
        <f>IF(B65="","",SQRT(P65^2+Q65^2))</f>
        <v/>
      </c>
      <c r="S65" s="195">
        <f>IF(B65="","",IF(P65&gt;0,DEGREES(ATAN(Q65/P65)),IF(P65&lt;0,IF(Q65&gt;=0,DEGREES(ATAN(Q65/P65))+180,DEGREES(ATAN(Q65/P65))-180),IF(Q65&gt;0,90,IF(Q65&lt;0,-90,0)))))</f>
        <v/>
      </c>
      <c r="T65" s="195">
        <f>IF(B65="","",LOG10(B65))</f>
        <v/>
      </c>
      <c r="U65" s="195">
        <f>IF(R65="","",LOG10(MAX(R65,1E-12)))</f>
        <v/>
      </c>
    </row>
    <row r="66">
      <c r="A66" t="n">
        <v>63</v>
      </c>
      <c r="B66" s="196">
        <f>IF(A66&lt;='入力・概要'!$B$40,10^(LOG10('入力・概要'!$B$38)+(A66-1)*(LOG10('入力・概要'!$B$39)-LOG10('入力・概要'!$B$38))/('入力・概要'!$B$40-1)),"")</f>
        <v/>
      </c>
      <c r="C66" s="195">
        <f>IF(B66="","",2*PI()*B66)</f>
        <v/>
      </c>
      <c r="D66" s="195">
        <f>IF(B66="","",ATANH(MIN(0.999999,(2*'入力・概要'!$B$17*'入力・概要'!$B$6)/'入力・概要'!$B$30))+'入力・概要'!$B$33*SQRT(B66/1E6)+(2*PI()*B66*'入力・概要'!$B$6/(299792458*'入力・概要'!$B$31))*'入力・概要'!$B$32/2)</f>
        <v/>
      </c>
      <c r="E66" s="195">
        <f>IF(B66="","",2*PI()*B66*'入力・概要'!$B$6/(299792458*'入力・概要'!$B$31))</f>
        <v/>
      </c>
      <c r="F66" s="195">
        <f>IF(B66="","",SINH(2*D66)/(COSH(2*D66)+COS(2*E66)))</f>
        <v/>
      </c>
      <c r="G66" s="195">
        <f>IF(B66="","",SIN(2*E66)/(COSH(2*D66)+COS(2*E66)))</f>
        <v/>
      </c>
      <c r="H66" s="195">
        <f>IF(B66="","",'入力・概要'!$B$34)</f>
        <v/>
      </c>
      <c r="I66" s="195">
        <f>IF(B66="","",C66*'入力・概要'!$B$35*1E-9)</f>
        <v/>
      </c>
      <c r="J66" s="195">
        <f>IF(B66="","",H66+'入力・概要'!$B$30*F66)</f>
        <v/>
      </c>
      <c r="K66" s="195">
        <f>IF(B66="","",I66+'入力・概要'!$B$30*G66)</f>
        <v/>
      </c>
      <c r="L66" s="195">
        <f>IF(B66="","",'入力・概要'!$B$30+H66*F66-I66*G66)</f>
        <v/>
      </c>
      <c r="M66" s="195">
        <f>IF(B66="","",H66*G66+I66*F66)</f>
        <v/>
      </c>
      <c r="N66" s="195">
        <f>IF(B66="","",'入力・概要'!$B$30*(J66*L66+K66*M66)/(L66^2+M66^2))</f>
        <v/>
      </c>
      <c r="O66" s="195">
        <f>IF(B66="","",'入力・概要'!$B$30*(K66*L66-J66*M66)/(L66^2+M66^2))</f>
        <v/>
      </c>
      <c r="P66" s="195">
        <f>IF(B66="","",N66+'入力・概要'!$B$36)</f>
        <v/>
      </c>
      <c r="Q66" s="195">
        <f>IF(B66="","",O66+C66*'入力・概要'!$B$37*1E-9)</f>
        <v/>
      </c>
      <c r="R66" s="195">
        <f>IF(B66="","",SQRT(P66^2+Q66^2))</f>
        <v/>
      </c>
      <c r="S66" s="195">
        <f>IF(B66="","",IF(P66&gt;0,DEGREES(ATAN(Q66/P66)),IF(P66&lt;0,IF(Q66&gt;=0,DEGREES(ATAN(Q66/P66))+180,DEGREES(ATAN(Q66/P66))-180),IF(Q66&gt;0,90,IF(Q66&lt;0,-90,0)))))</f>
        <v/>
      </c>
      <c r="T66" s="195">
        <f>IF(B66="","",LOG10(B66))</f>
        <v/>
      </c>
      <c r="U66" s="195">
        <f>IF(R66="","",LOG10(MAX(R66,1E-12)))</f>
        <v/>
      </c>
    </row>
    <row r="67">
      <c r="A67" t="n">
        <v>64</v>
      </c>
      <c r="B67" s="196">
        <f>IF(A67&lt;='入力・概要'!$B$40,10^(LOG10('入力・概要'!$B$38)+(A67-1)*(LOG10('入力・概要'!$B$39)-LOG10('入力・概要'!$B$38))/('入力・概要'!$B$40-1)),"")</f>
        <v/>
      </c>
      <c r="C67" s="195">
        <f>IF(B67="","",2*PI()*B67)</f>
        <v/>
      </c>
      <c r="D67" s="195">
        <f>IF(B67="","",ATANH(MIN(0.999999,(2*'入力・概要'!$B$17*'入力・概要'!$B$6)/'入力・概要'!$B$30))+'入力・概要'!$B$33*SQRT(B67/1E6)+(2*PI()*B67*'入力・概要'!$B$6/(299792458*'入力・概要'!$B$31))*'入力・概要'!$B$32/2)</f>
        <v/>
      </c>
      <c r="E67" s="195">
        <f>IF(B67="","",2*PI()*B67*'入力・概要'!$B$6/(299792458*'入力・概要'!$B$31))</f>
        <v/>
      </c>
      <c r="F67" s="195">
        <f>IF(B67="","",SINH(2*D67)/(COSH(2*D67)+COS(2*E67)))</f>
        <v/>
      </c>
      <c r="G67" s="195">
        <f>IF(B67="","",SIN(2*E67)/(COSH(2*D67)+COS(2*E67)))</f>
        <v/>
      </c>
      <c r="H67" s="195">
        <f>IF(B67="","",'入力・概要'!$B$34)</f>
        <v/>
      </c>
      <c r="I67" s="195">
        <f>IF(B67="","",C67*'入力・概要'!$B$35*1E-9)</f>
        <v/>
      </c>
      <c r="J67" s="195">
        <f>IF(B67="","",H67+'入力・概要'!$B$30*F67)</f>
        <v/>
      </c>
      <c r="K67" s="195">
        <f>IF(B67="","",I67+'入力・概要'!$B$30*G67)</f>
        <v/>
      </c>
      <c r="L67" s="195">
        <f>IF(B67="","",'入力・概要'!$B$30+H67*F67-I67*G67)</f>
        <v/>
      </c>
      <c r="M67" s="195">
        <f>IF(B67="","",H67*G67+I67*F67)</f>
        <v/>
      </c>
      <c r="N67" s="195">
        <f>IF(B67="","",'入力・概要'!$B$30*(J67*L67+K67*M67)/(L67^2+M67^2))</f>
        <v/>
      </c>
      <c r="O67" s="195">
        <f>IF(B67="","",'入力・概要'!$B$30*(K67*L67-J67*M67)/(L67^2+M67^2))</f>
        <v/>
      </c>
      <c r="P67" s="195">
        <f>IF(B67="","",N67+'入力・概要'!$B$36)</f>
        <v/>
      </c>
      <c r="Q67" s="195">
        <f>IF(B67="","",O67+C67*'入力・概要'!$B$37*1E-9)</f>
        <v/>
      </c>
      <c r="R67" s="195">
        <f>IF(B67="","",SQRT(P67^2+Q67^2))</f>
        <v/>
      </c>
      <c r="S67" s="195">
        <f>IF(B67="","",IF(P67&gt;0,DEGREES(ATAN(Q67/P67)),IF(P67&lt;0,IF(Q67&gt;=0,DEGREES(ATAN(Q67/P67))+180,DEGREES(ATAN(Q67/P67))-180),IF(Q67&gt;0,90,IF(Q67&lt;0,-90,0)))))</f>
        <v/>
      </c>
      <c r="T67" s="195">
        <f>IF(B67="","",LOG10(B67))</f>
        <v/>
      </c>
      <c r="U67" s="195">
        <f>IF(R67="","",LOG10(MAX(R67,1E-12)))</f>
        <v/>
      </c>
    </row>
    <row r="68">
      <c r="A68" t="n">
        <v>65</v>
      </c>
      <c r="B68" s="196">
        <f>IF(A68&lt;='入力・概要'!$B$40,10^(LOG10('入力・概要'!$B$38)+(A68-1)*(LOG10('入力・概要'!$B$39)-LOG10('入力・概要'!$B$38))/('入力・概要'!$B$40-1)),"")</f>
        <v/>
      </c>
      <c r="C68" s="195">
        <f>IF(B68="","",2*PI()*B68)</f>
        <v/>
      </c>
      <c r="D68" s="195">
        <f>IF(B68="","",ATANH(MIN(0.999999,(2*'入力・概要'!$B$17*'入力・概要'!$B$6)/'入力・概要'!$B$30))+'入力・概要'!$B$33*SQRT(B68/1E6)+(2*PI()*B68*'入力・概要'!$B$6/(299792458*'入力・概要'!$B$31))*'入力・概要'!$B$32/2)</f>
        <v/>
      </c>
      <c r="E68" s="195">
        <f>IF(B68="","",2*PI()*B68*'入力・概要'!$B$6/(299792458*'入力・概要'!$B$31))</f>
        <v/>
      </c>
      <c r="F68" s="195">
        <f>IF(B68="","",SINH(2*D68)/(COSH(2*D68)+COS(2*E68)))</f>
        <v/>
      </c>
      <c r="G68" s="195">
        <f>IF(B68="","",SIN(2*E68)/(COSH(2*D68)+COS(2*E68)))</f>
        <v/>
      </c>
      <c r="H68" s="195">
        <f>IF(B68="","",'入力・概要'!$B$34)</f>
        <v/>
      </c>
      <c r="I68" s="195">
        <f>IF(B68="","",C68*'入力・概要'!$B$35*1E-9)</f>
        <v/>
      </c>
      <c r="J68" s="195">
        <f>IF(B68="","",H68+'入力・概要'!$B$30*F68)</f>
        <v/>
      </c>
      <c r="K68" s="195">
        <f>IF(B68="","",I68+'入力・概要'!$B$30*G68)</f>
        <v/>
      </c>
      <c r="L68" s="195">
        <f>IF(B68="","",'入力・概要'!$B$30+H68*F68-I68*G68)</f>
        <v/>
      </c>
      <c r="M68" s="195">
        <f>IF(B68="","",H68*G68+I68*F68)</f>
        <v/>
      </c>
      <c r="N68" s="195">
        <f>IF(B68="","",'入力・概要'!$B$30*(J68*L68+K68*M68)/(L68^2+M68^2))</f>
        <v/>
      </c>
      <c r="O68" s="195">
        <f>IF(B68="","",'入力・概要'!$B$30*(K68*L68-J68*M68)/(L68^2+M68^2))</f>
        <v/>
      </c>
      <c r="P68" s="195">
        <f>IF(B68="","",N68+'入力・概要'!$B$36)</f>
        <v/>
      </c>
      <c r="Q68" s="195">
        <f>IF(B68="","",O68+C68*'入力・概要'!$B$37*1E-9)</f>
        <v/>
      </c>
      <c r="R68" s="195">
        <f>IF(B68="","",SQRT(P68^2+Q68^2))</f>
        <v/>
      </c>
      <c r="S68" s="195">
        <f>IF(B68="","",IF(P68&gt;0,DEGREES(ATAN(Q68/P68)),IF(P68&lt;0,IF(Q68&gt;=0,DEGREES(ATAN(Q68/P68))+180,DEGREES(ATAN(Q68/P68))-180),IF(Q68&gt;0,90,IF(Q68&lt;0,-90,0)))))</f>
        <v/>
      </c>
      <c r="T68" s="195">
        <f>IF(B68="","",LOG10(B68))</f>
        <v/>
      </c>
      <c r="U68" s="195">
        <f>IF(R68="","",LOG10(MAX(R68,1E-12)))</f>
        <v/>
      </c>
    </row>
    <row r="69">
      <c r="A69" t="n">
        <v>66</v>
      </c>
      <c r="B69" s="196">
        <f>IF(A69&lt;='入力・概要'!$B$40,10^(LOG10('入力・概要'!$B$38)+(A69-1)*(LOG10('入力・概要'!$B$39)-LOG10('入力・概要'!$B$38))/('入力・概要'!$B$40-1)),"")</f>
        <v/>
      </c>
      <c r="C69" s="195">
        <f>IF(B69="","",2*PI()*B69)</f>
        <v/>
      </c>
      <c r="D69" s="195">
        <f>IF(B69="","",ATANH(MIN(0.999999,(2*'入力・概要'!$B$17*'入力・概要'!$B$6)/'入力・概要'!$B$30))+'入力・概要'!$B$33*SQRT(B69/1E6)+(2*PI()*B69*'入力・概要'!$B$6/(299792458*'入力・概要'!$B$31))*'入力・概要'!$B$32/2)</f>
        <v/>
      </c>
      <c r="E69" s="195">
        <f>IF(B69="","",2*PI()*B69*'入力・概要'!$B$6/(299792458*'入力・概要'!$B$31))</f>
        <v/>
      </c>
      <c r="F69" s="195">
        <f>IF(B69="","",SINH(2*D69)/(COSH(2*D69)+COS(2*E69)))</f>
        <v/>
      </c>
      <c r="G69" s="195">
        <f>IF(B69="","",SIN(2*E69)/(COSH(2*D69)+COS(2*E69)))</f>
        <v/>
      </c>
      <c r="H69" s="195">
        <f>IF(B69="","",'入力・概要'!$B$34)</f>
        <v/>
      </c>
      <c r="I69" s="195">
        <f>IF(B69="","",C69*'入力・概要'!$B$35*1E-9)</f>
        <v/>
      </c>
      <c r="J69" s="195">
        <f>IF(B69="","",H69+'入力・概要'!$B$30*F69)</f>
        <v/>
      </c>
      <c r="K69" s="195">
        <f>IF(B69="","",I69+'入力・概要'!$B$30*G69)</f>
        <v/>
      </c>
      <c r="L69" s="195">
        <f>IF(B69="","",'入力・概要'!$B$30+H69*F69-I69*G69)</f>
        <v/>
      </c>
      <c r="M69" s="195">
        <f>IF(B69="","",H69*G69+I69*F69)</f>
        <v/>
      </c>
      <c r="N69" s="195">
        <f>IF(B69="","",'入力・概要'!$B$30*(J69*L69+K69*M69)/(L69^2+M69^2))</f>
        <v/>
      </c>
      <c r="O69" s="195">
        <f>IF(B69="","",'入力・概要'!$B$30*(K69*L69-J69*M69)/(L69^2+M69^2))</f>
        <v/>
      </c>
      <c r="P69" s="195">
        <f>IF(B69="","",N69+'入力・概要'!$B$36)</f>
        <v/>
      </c>
      <c r="Q69" s="195">
        <f>IF(B69="","",O69+C69*'入力・概要'!$B$37*1E-9)</f>
        <v/>
      </c>
      <c r="R69" s="195">
        <f>IF(B69="","",SQRT(P69^2+Q69^2))</f>
        <v/>
      </c>
      <c r="S69" s="195">
        <f>IF(B69="","",IF(P69&gt;0,DEGREES(ATAN(Q69/P69)),IF(P69&lt;0,IF(Q69&gt;=0,DEGREES(ATAN(Q69/P69))+180,DEGREES(ATAN(Q69/P69))-180),IF(Q69&gt;0,90,IF(Q69&lt;0,-90,0)))))</f>
        <v/>
      </c>
      <c r="T69" s="195">
        <f>IF(B69="","",LOG10(B69))</f>
        <v/>
      </c>
      <c r="U69" s="195">
        <f>IF(R69="","",LOG10(MAX(R69,1E-12)))</f>
        <v/>
      </c>
    </row>
    <row r="70">
      <c r="A70" t="n">
        <v>67</v>
      </c>
      <c r="B70" s="196">
        <f>IF(A70&lt;='入力・概要'!$B$40,10^(LOG10('入力・概要'!$B$38)+(A70-1)*(LOG10('入力・概要'!$B$39)-LOG10('入力・概要'!$B$38))/('入力・概要'!$B$40-1)),"")</f>
        <v/>
      </c>
      <c r="C70" s="195">
        <f>IF(B70="","",2*PI()*B70)</f>
        <v/>
      </c>
      <c r="D70" s="195">
        <f>IF(B70="","",ATANH(MIN(0.999999,(2*'入力・概要'!$B$17*'入力・概要'!$B$6)/'入力・概要'!$B$30))+'入力・概要'!$B$33*SQRT(B70/1E6)+(2*PI()*B70*'入力・概要'!$B$6/(299792458*'入力・概要'!$B$31))*'入力・概要'!$B$32/2)</f>
        <v/>
      </c>
      <c r="E70" s="195">
        <f>IF(B70="","",2*PI()*B70*'入力・概要'!$B$6/(299792458*'入力・概要'!$B$31))</f>
        <v/>
      </c>
      <c r="F70" s="195">
        <f>IF(B70="","",SINH(2*D70)/(COSH(2*D70)+COS(2*E70)))</f>
        <v/>
      </c>
      <c r="G70" s="195">
        <f>IF(B70="","",SIN(2*E70)/(COSH(2*D70)+COS(2*E70)))</f>
        <v/>
      </c>
      <c r="H70" s="195">
        <f>IF(B70="","",'入力・概要'!$B$34)</f>
        <v/>
      </c>
      <c r="I70" s="195">
        <f>IF(B70="","",C70*'入力・概要'!$B$35*1E-9)</f>
        <v/>
      </c>
      <c r="J70" s="195">
        <f>IF(B70="","",H70+'入力・概要'!$B$30*F70)</f>
        <v/>
      </c>
      <c r="K70" s="195">
        <f>IF(B70="","",I70+'入力・概要'!$B$30*G70)</f>
        <v/>
      </c>
      <c r="L70" s="195">
        <f>IF(B70="","",'入力・概要'!$B$30+H70*F70-I70*G70)</f>
        <v/>
      </c>
      <c r="M70" s="195">
        <f>IF(B70="","",H70*G70+I70*F70)</f>
        <v/>
      </c>
      <c r="N70" s="195">
        <f>IF(B70="","",'入力・概要'!$B$30*(J70*L70+K70*M70)/(L70^2+M70^2))</f>
        <v/>
      </c>
      <c r="O70" s="195">
        <f>IF(B70="","",'入力・概要'!$B$30*(K70*L70-J70*M70)/(L70^2+M70^2))</f>
        <v/>
      </c>
      <c r="P70" s="195">
        <f>IF(B70="","",N70+'入力・概要'!$B$36)</f>
        <v/>
      </c>
      <c r="Q70" s="195">
        <f>IF(B70="","",O70+C70*'入力・概要'!$B$37*1E-9)</f>
        <v/>
      </c>
      <c r="R70" s="195">
        <f>IF(B70="","",SQRT(P70^2+Q70^2))</f>
        <v/>
      </c>
      <c r="S70" s="195">
        <f>IF(B70="","",IF(P70&gt;0,DEGREES(ATAN(Q70/P70)),IF(P70&lt;0,IF(Q70&gt;=0,DEGREES(ATAN(Q70/P70))+180,DEGREES(ATAN(Q70/P70))-180),IF(Q70&gt;0,90,IF(Q70&lt;0,-90,0)))))</f>
        <v/>
      </c>
      <c r="T70" s="195">
        <f>IF(B70="","",LOG10(B70))</f>
        <v/>
      </c>
      <c r="U70" s="195">
        <f>IF(R70="","",LOG10(MAX(R70,1E-12)))</f>
        <v/>
      </c>
    </row>
    <row r="71">
      <c r="A71" t="n">
        <v>68</v>
      </c>
      <c r="B71" s="196">
        <f>IF(A71&lt;='入力・概要'!$B$40,10^(LOG10('入力・概要'!$B$38)+(A71-1)*(LOG10('入力・概要'!$B$39)-LOG10('入力・概要'!$B$38))/('入力・概要'!$B$40-1)),"")</f>
        <v/>
      </c>
      <c r="C71" s="195">
        <f>IF(B71="","",2*PI()*B71)</f>
        <v/>
      </c>
      <c r="D71" s="195">
        <f>IF(B71="","",ATANH(MIN(0.999999,(2*'入力・概要'!$B$17*'入力・概要'!$B$6)/'入力・概要'!$B$30))+'入力・概要'!$B$33*SQRT(B71/1E6)+(2*PI()*B71*'入力・概要'!$B$6/(299792458*'入力・概要'!$B$31))*'入力・概要'!$B$32/2)</f>
        <v/>
      </c>
      <c r="E71" s="195">
        <f>IF(B71="","",2*PI()*B71*'入力・概要'!$B$6/(299792458*'入力・概要'!$B$31))</f>
        <v/>
      </c>
      <c r="F71" s="195">
        <f>IF(B71="","",SINH(2*D71)/(COSH(2*D71)+COS(2*E71)))</f>
        <v/>
      </c>
      <c r="G71" s="195">
        <f>IF(B71="","",SIN(2*E71)/(COSH(2*D71)+COS(2*E71)))</f>
        <v/>
      </c>
      <c r="H71" s="195">
        <f>IF(B71="","",'入力・概要'!$B$34)</f>
        <v/>
      </c>
      <c r="I71" s="195">
        <f>IF(B71="","",C71*'入力・概要'!$B$35*1E-9)</f>
        <v/>
      </c>
      <c r="J71" s="195">
        <f>IF(B71="","",H71+'入力・概要'!$B$30*F71)</f>
        <v/>
      </c>
      <c r="K71" s="195">
        <f>IF(B71="","",I71+'入力・概要'!$B$30*G71)</f>
        <v/>
      </c>
      <c r="L71" s="195">
        <f>IF(B71="","",'入力・概要'!$B$30+H71*F71-I71*G71)</f>
        <v/>
      </c>
      <c r="M71" s="195">
        <f>IF(B71="","",H71*G71+I71*F71)</f>
        <v/>
      </c>
      <c r="N71" s="195">
        <f>IF(B71="","",'入力・概要'!$B$30*(J71*L71+K71*M71)/(L71^2+M71^2))</f>
        <v/>
      </c>
      <c r="O71" s="195">
        <f>IF(B71="","",'入力・概要'!$B$30*(K71*L71-J71*M71)/(L71^2+M71^2))</f>
        <v/>
      </c>
      <c r="P71" s="195">
        <f>IF(B71="","",N71+'入力・概要'!$B$36)</f>
        <v/>
      </c>
      <c r="Q71" s="195">
        <f>IF(B71="","",O71+C71*'入力・概要'!$B$37*1E-9)</f>
        <v/>
      </c>
      <c r="R71" s="195">
        <f>IF(B71="","",SQRT(P71^2+Q71^2))</f>
        <v/>
      </c>
      <c r="S71" s="195">
        <f>IF(B71="","",IF(P71&gt;0,DEGREES(ATAN(Q71/P71)),IF(P71&lt;0,IF(Q71&gt;=0,DEGREES(ATAN(Q71/P71))+180,DEGREES(ATAN(Q71/P71))-180),IF(Q71&gt;0,90,IF(Q71&lt;0,-90,0)))))</f>
        <v/>
      </c>
      <c r="T71" s="195">
        <f>IF(B71="","",LOG10(B71))</f>
        <v/>
      </c>
      <c r="U71" s="195">
        <f>IF(R71="","",LOG10(MAX(R71,1E-12)))</f>
        <v/>
      </c>
    </row>
    <row r="72">
      <c r="A72" t="n">
        <v>69</v>
      </c>
      <c r="B72" s="196">
        <f>IF(A72&lt;='入力・概要'!$B$40,10^(LOG10('入力・概要'!$B$38)+(A72-1)*(LOG10('入力・概要'!$B$39)-LOG10('入力・概要'!$B$38))/('入力・概要'!$B$40-1)),"")</f>
        <v/>
      </c>
      <c r="C72" s="195">
        <f>IF(B72="","",2*PI()*B72)</f>
        <v/>
      </c>
      <c r="D72" s="195">
        <f>IF(B72="","",ATANH(MIN(0.999999,(2*'入力・概要'!$B$17*'入力・概要'!$B$6)/'入力・概要'!$B$30))+'入力・概要'!$B$33*SQRT(B72/1E6)+(2*PI()*B72*'入力・概要'!$B$6/(299792458*'入力・概要'!$B$31))*'入力・概要'!$B$32/2)</f>
        <v/>
      </c>
      <c r="E72" s="195">
        <f>IF(B72="","",2*PI()*B72*'入力・概要'!$B$6/(299792458*'入力・概要'!$B$31))</f>
        <v/>
      </c>
      <c r="F72" s="195">
        <f>IF(B72="","",SINH(2*D72)/(COSH(2*D72)+COS(2*E72)))</f>
        <v/>
      </c>
      <c r="G72" s="195">
        <f>IF(B72="","",SIN(2*E72)/(COSH(2*D72)+COS(2*E72)))</f>
        <v/>
      </c>
      <c r="H72" s="195">
        <f>IF(B72="","",'入力・概要'!$B$34)</f>
        <v/>
      </c>
      <c r="I72" s="195">
        <f>IF(B72="","",C72*'入力・概要'!$B$35*1E-9)</f>
        <v/>
      </c>
      <c r="J72" s="195">
        <f>IF(B72="","",H72+'入力・概要'!$B$30*F72)</f>
        <v/>
      </c>
      <c r="K72" s="195">
        <f>IF(B72="","",I72+'入力・概要'!$B$30*G72)</f>
        <v/>
      </c>
      <c r="L72" s="195">
        <f>IF(B72="","",'入力・概要'!$B$30+H72*F72-I72*G72)</f>
        <v/>
      </c>
      <c r="M72" s="195">
        <f>IF(B72="","",H72*G72+I72*F72)</f>
        <v/>
      </c>
      <c r="N72" s="195">
        <f>IF(B72="","",'入力・概要'!$B$30*(J72*L72+K72*M72)/(L72^2+M72^2))</f>
        <v/>
      </c>
      <c r="O72" s="195">
        <f>IF(B72="","",'入力・概要'!$B$30*(K72*L72-J72*M72)/(L72^2+M72^2))</f>
        <v/>
      </c>
      <c r="P72" s="195">
        <f>IF(B72="","",N72+'入力・概要'!$B$36)</f>
        <v/>
      </c>
      <c r="Q72" s="195">
        <f>IF(B72="","",O72+C72*'入力・概要'!$B$37*1E-9)</f>
        <v/>
      </c>
      <c r="R72" s="195">
        <f>IF(B72="","",SQRT(P72^2+Q72^2))</f>
        <v/>
      </c>
      <c r="S72" s="195">
        <f>IF(B72="","",IF(P72&gt;0,DEGREES(ATAN(Q72/P72)),IF(P72&lt;0,IF(Q72&gt;=0,DEGREES(ATAN(Q72/P72))+180,DEGREES(ATAN(Q72/P72))-180),IF(Q72&gt;0,90,IF(Q72&lt;0,-90,0)))))</f>
        <v/>
      </c>
      <c r="T72" s="195">
        <f>IF(B72="","",LOG10(B72))</f>
        <v/>
      </c>
      <c r="U72" s="195">
        <f>IF(R72="","",LOG10(MAX(R72,1E-12)))</f>
        <v/>
      </c>
    </row>
    <row r="73">
      <c r="A73" t="n">
        <v>70</v>
      </c>
      <c r="B73" s="196">
        <f>IF(A73&lt;='入力・概要'!$B$40,10^(LOG10('入力・概要'!$B$38)+(A73-1)*(LOG10('入力・概要'!$B$39)-LOG10('入力・概要'!$B$38))/('入力・概要'!$B$40-1)),"")</f>
        <v/>
      </c>
      <c r="C73" s="195">
        <f>IF(B73="","",2*PI()*B73)</f>
        <v/>
      </c>
      <c r="D73" s="195">
        <f>IF(B73="","",ATANH(MIN(0.999999,(2*'入力・概要'!$B$17*'入力・概要'!$B$6)/'入力・概要'!$B$30))+'入力・概要'!$B$33*SQRT(B73/1E6)+(2*PI()*B73*'入力・概要'!$B$6/(299792458*'入力・概要'!$B$31))*'入力・概要'!$B$32/2)</f>
        <v/>
      </c>
      <c r="E73" s="195">
        <f>IF(B73="","",2*PI()*B73*'入力・概要'!$B$6/(299792458*'入力・概要'!$B$31))</f>
        <v/>
      </c>
      <c r="F73" s="195">
        <f>IF(B73="","",SINH(2*D73)/(COSH(2*D73)+COS(2*E73)))</f>
        <v/>
      </c>
      <c r="G73" s="195">
        <f>IF(B73="","",SIN(2*E73)/(COSH(2*D73)+COS(2*E73)))</f>
        <v/>
      </c>
      <c r="H73" s="195">
        <f>IF(B73="","",'入力・概要'!$B$34)</f>
        <v/>
      </c>
      <c r="I73" s="195">
        <f>IF(B73="","",C73*'入力・概要'!$B$35*1E-9)</f>
        <v/>
      </c>
      <c r="J73" s="195">
        <f>IF(B73="","",H73+'入力・概要'!$B$30*F73)</f>
        <v/>
      </c>
      <c r="K73" s="195">
        <f>IF(B73="","",I73+'入力・概要'!$B$30*G73)</f>
        <v/>
      </c>
      <c r="L73" s="195">
        <f>IF(B73="","",'入力・概要'!$B$30+H73*F73-I73*G73)</f>
        <v/>
      </c>
      <c r="M73" s="195">
        <f>IF(B73="","",H73*G73+I73*F73)</f>
        <v/>
      </c>
      <c r="N73" s="195">
        <f>IF(B73="","",'入力・概要'!$B$30*(J73*L73+K73*M73)/(L73^2+M73^2))</f>
        <v/>
      </c>
      <c r="O73" s="195">
        <f>IF(B73="","",'入力・概要'!$B$30*(K73*L73-J73*M73)/(L73^2+M73^2))</f>
        <v/>
      </c>
      <c r="P73" s="195">
        <f>IF(B73="","",N73+'入力・概要'!$B$36)</f>
        <v/>
      </c>
      <c r="Q73" s="195">
        <f>IF(B73="","",O73+C73*'入力・概要'!$B$37*1E-9)</f>
        <v/>
      </c>
      <c r="R73" s="195">
        <f>IF(B73="","",SQRT(P73^2+Q73^2))</f>
        <v/>
      </c>
      <c r="S73" s="195">
        <f>IF(B73="","",IF(P73&gt;0,DEGREES(ATAN(Q73/P73)),IF(P73&lt;0,IF(Q73&gt;=0,DEGREES(ATAN(Q73/P73))+180,DEGREES(ATAN(Q73/P73))-180),IF(Q73&gt;0,90,IF(Q73&lt;0,-90,0)))))</f>
        <v/>
      </c>
      <c r="T73" s="195">
        <f>IF(B73="","",LOG10(B73))</f>
        <v/>
      </c>
      <c r="U73" s="195">
        <f>IF(R73="","",LOG10(MAX(R73,1E-12)))</f>
        <v/>
      </c>
    </row>
    <row r="74">
      <c r="A74" t="n">
        <v>71</v>
      </c>
      <c r="B74" s="196">
        <f>IF(A74&lt;='入力・概要'!$B$40,10^(LOG10('入力・概要'!$B$38)+(A74-1)*(LOG10('入力・概要'!$B$39)-LOG10('入力・概要'!$B$38))/('入力・概要'!$B$40-1)),"")</f>
        <v/>
      </c>
      <c r="C74" s="195">
        <f>IF(B74="","",2*PI()*B74)</f>
        <v/>
      </c>
      <c r="D74" s="195">
        <f>IF(B74="","",ATANH(MIN(0.999999,(2*'入力・概要'!$B$17*'入力・概要'!$B$6)/'入力・概要'!$B$30))+'入力・概要'!$B$33*SQRT(B74/1E6)+(2*PI()*B74*'入力・概要'!$B$6/(299792458*'入力・概要'!$B$31))*'入力・概要'!$B$32/2)</f>
        <v/>
      </c>
      <c r="E74" s="195">
        <f>IF(B74="","",2*PI()*B74*'入力・概要'!$B$6/(299792458*'入力・概要'!$B$31))</f>
        <v/>
      </c>
      <c r="F74" s="195">
        <f>IF(B74="","",SINH(2*D74)/(COSH(2*D74)+COS(2*E74)))</f>
        <v/>
      </c>
      <c r="G74" s="195">
        <f>IF(B74="","",SIN(2*E74)/(COSH(2*D74)+COS(2*E74)))</f>
        <v/>
      </c>
      <c r="H74" s="195">
        <f>IF(B74="","",'入力・概要'!$B$34)</f>
        <v/>
      </c>
      <c r="I74" s="195">
        <f>IF(B74="","",C74*'入力・概要'!$B$35*1E-9)</f>
        <v/>
      </c>
      <c r="J74" s="195">
        <f>IF(B74="","",H74+'入力・概要'!$B$30*F74)</f>
        <v/>
      </c>
      <c r="K74" s="195">
        <f>IF(B74="","",I74+'入力・概要'!$B$30*G74)</f>
        <v/>
      </c>
      <c r="L74" s="195">
        <f>IF(B74="","",'入力・概要'!$B$30+H74*F74-I74*G74)</f>
        <v/>
      </c>
      <c r="M74" s="195">
        <f>IF(B74="","",H74*G74+I74*F74)</f>
        <v/>
      </c>
      <c r="N74" s="195">
        <f>IF(B74="","",'入力・概要'!$B$30*(J74*L74+K74*M74)/(L74^2+M74^2))</f>
        <v/>
      </c>
      <c r="O74" s="195">
        <f>IF(B74="","",'入力・概要'!$B$30*(K74*L74-J74*M74)/(L74^2+M74^2))</f>
        <v/>
      </c>
      <c r="P74" s="195">
        <f>IF(B74="","",N74+'入力・概要'!$B$36)</f>
        <v/>
      </c>
      <c r="Q74" s="195">
        <f>IF(B74="","",O74+C74*'入力・概要'!$B$37*1E-9)</f>
        <v/>
      </c>
      <c r="R74" s="195">
        <f>IF(B74="","",SQRT(P74^2+Q74^2))</f>
        <v/>
      </c>
      <c r="S74" s="195">
        <f>IF(B74="","",IF(P74&gt;0,DEGREES(ATAN(Q74/P74)),IF(P74&lt;0,IF(Q74&gt;=0,DEGREES(ATAN(Q74/P74))+180,DEGREES(ATAN(Q74/P74))-180),IF(Q74&gt;0,90,IF(Q74&lt;0,-90,0)))))</f>
        <v/>
      </c>
      <c r="T74" s="195">
        <f>IF(B74="","",LOG10(B74))</f>
        <v/>
      </c>
      <c r="U74" s="195">
        <f>IF(R74="","",LOG10(MAX(R74,1E-12)))</f>
        <v/>
      </c>
    </row>
    <row r="75">
      <c r="A75" t="n">
        <v>72</v>
      </c>
      <c r="B75" s="196">
        <f>IF(A75&lt;='入力・概要'!$B$40,10^(LOG10('入力・概要'!$B$38)+(A75-1)*(LOG10('入力・概要'!$B$39)-LOG10('入力・概要'!$B$38))/('入力・概要'!$B$40-1)),"")</f>
        <v/>
      </c>
      <c r="C75" s="195">
        <f>IF(B75="","",2*PI()*B75)</f>
        <v/>
      </c>
      <c r="D75" s="195">
        <f>IF(B75="","",ATANH(MIN(0.999999,(2*'入力・概要'!$B$17*'入力・概要'!$B$6)/'入力・概要'!$B$30))+'入力・概要'!$B$33*SQRT(B75/1E6)+(2*PI()*B75*'入力・概要'!$B$6/(299792458*'入力・概要'!$B$31))*'入力・概要'!$B$32/2)</f>
        <v/>
      </c>
      <c r="E75" s="195">
        <f>IF(B75="","",2*PI()*B75*'入力・概要'!$B$6/(299792458*'入力・概要'!$B$31))</f>
        <v/>
      </c>
      <c r="F75" s="195">
        <f>IF(B75="","",SINH(2*D75)/(COSH(2*D75)+COS(2*E75)))</f>
        <v/>
      </c>
      <c r="G75" s="195">
        <f>IF(B75="","",SIN(2*E75)/(COSH(2*D75)+COS(2*E75)))</f>
        <v/>
      </c>
      <c r="H75" s="195">
        <f>IF(B75="","",'入力・概要'!$B$34)</f>
        <v/>
      </c>
      <c r="I75" s="195">
        <f>IF(B75="","",C75*'入力・概要'!$B$35*1E-9)</f>
        <v/>
      </c>
      <c r="J75" s="195">
        <f>IF(B75="","",H75+'入力・概要'!$B$30*F75)</f>
        <v/>
      </c>
      <c r="K75" s="195">
        <f>IF(B75="","",I75+'入力・概要'!$B$30*G75)</f>
        <v/>
      </c>
      <c r="L75" s="195">
        <f>IF(B75="","",'入力・概要'!$B$30+H75*F75-I75*G75)</f>
        <v/>
      </c>
      <c r="M75" s="195">
        <f>IF(B75="","",H75*G75+I75*F75)</f>
        <v/>
      </c>
      <c r="N75" s="195">
        <f>IF(B75="","",'入力・概要'!$B$30*(J75*L75+K75*M75)/(L75^2+M75^2))</f>
        <v/>
      </c>
      <c r="O75" s="195">
        <f>IF(B75="","",'入力・概要'!$B$30*(K75*L75-J75*M75)/(L75^2+M75^2))</f>
        <v/>
      </c>
      <c r="P75" s="195">
        <f>IF(B75="","",N75+'入力・概要'!$B$36)</f>
        <v/>
      </c>
      <c r="Q75" s="195">
        <f>IF(B75="","",O75+C75*'入力・概要'!$B$37*1E-9)</f>
        <v/>
      </c>
      <c r="R75" s="195">
        <f>IF(B75="","",SQRT(P75^2+Q75^2))</f>
        <v/>
      </c>
      <c r="S75" s="195">
        <f>IF(B75="","",IF(P75&gt;0,DEGREES(ATAN(Q75/P75)),IF(P75&lt;0,IF(Q75&gt;=0,DEGREES(ATAN(Q75/P75))+180,DEGREES(ATAN(Q75/P75))-180),IF(Q75&gt;0,90,IF(Q75&lt;0,-90,0)))))</f>
        <v/>
      </c>
      <c r="T75" s="195">
        <f>IF(B75="","",LOG10(B75))</f>
        <v/>
      </c>
      <c r="U75" s="195">
        <f>IF(R75="","",LOG10(MAX(R75,1E-12)))</f>
        <v/>
      </c>
    </row>
    <row r="76">
      <c r="A76" t="n">
        <v>73</v>
      </c>
      <c r="B76" s="196">
        <f>IF(A76&lt;='入力・概要'!$B$40,10^(LOG10('入力・概要'!$B$38)+(A76-1)*(LOG10('入力・概要'!$B$39)-LOG10('入力・概要'!$B$38))/('入力・概要'!$B$40-1)),"")</f>
        <v/>
      </c>
      <c r="C76" s="195">
        <f>IF(B76="","",2*PI()*B76)</f>
        <v/>
      </c>
      <c r="D76" s="195">
        <f>IF(B76="","",ATANH(MIN(0.999999,(2*'入力・概要'!$B$17*'入力・概要'!$B$6)/'入力・概要'!$B$30))+'入力・概要'!$B$33*SQRT(B76/1E6)+(2*PI()*B76*'入力・概要'!$B$6/(299792458*'入力・概要'!$B$31))*'入力・概要'!$B$32/2)</f>
        <v/>
      </c>
      <c r="E76" s="195">
        <f>IF(B76="","",2*PI()*B76*'入力・概要'!$B$6/(299792458*'入力・概要'!$B$31))</f>
        <v/>
      </c>
      <c r="F76" s="195">
        <f>IF(B76="","",SINH(2*D76)/(COSH(2*D76)+COS(2*E76)))</f>
        <v/>
      </c>
      <c r="G76" s="195">
        <f>IF(B76="","",SIN(2*E76)/(COSH(2*D76)+COS(2*E76)))</f>
        <v/>
      </c>
      <c r="H76" s="195">
        <f>IF(B76="","",'入力・概要'!$B$34)</f>
        <v/>
      </c>
      <c r="I76" s="195">
        <f>IF(B76="","",C76*'入力・概要'!$B$35*1E-9)</f>
        <v/>
      </c>
      <c r="J76" s="195">
        <f>IF(B76="","",H76+'入力・概要'!$B$30*F76)</f>
        <v/>
      </c>
      <c r="K76" s="195">
        <f>IF(B76="","",I76+'入力・概要'!$B$30*G76)</f>
        <v/>
      </c>
      <c r="L76" s="195">
        <f>IF(B76="","",'入力・概要'!$B$30+H76*F76-I76*G76)</f>
        <v/>
      </c>
      <c r="M76" s="195">
        <f>IF(B76="","",H76*G76+I76*F76)</f>
        <v/>
      </c>
      <c r="N76" s="195">
        <f>IF(B76="","",'入力・概要'!$B$30*(J76*L76+K76*M76)/(L76^2+M76^2))</f>
        <v/>
      </c>
      <c r="O76" s="195">
        <f>IF(B76="","",'入力・概要'!$B$30*(K76*L76-J76*M76)/(L76^2+M76^2))</f>
        <v/>
      </c>
      <c r="P76" s="195">
        <f>IF(B76="","",N76+'入力・概要'!$B$36)</f>
        <v/>
      </c>
      <c r="Q76" s="195">
        <f>IF(B76="","",O76+C76*'入力・概要'!$B$37*1E-9)</f>
        <v/>
      </c>
      <c r="R76" s="195">
        <f>IF(B76="","",SQRT(P76^2+Q76^2))</f>
        <v/>
      </c>
      <c r="S76" s="195">
        <f>IF(B76="","",IF(P76&gt;0,DEGREES(ATAN(Q76/P76)),IF(P76&lt;0,IF(Q76&gt;=0,DEGREES(ATAN(Q76/P76))+180,DEGREES(ATAN(Q76/P76))-180),IF(Q76&gt;0,90,IF(Q76&lt;0,-90,0)))))</f>
        <v/>
      </c>
      <c r="T76" s="195">
        <f>IF(B76="","",LOG10(B76))</f>
        <v/>
      </c>
      <c r="U76" s="195">
        <f>IF(R76="","",LOG10(MAX(R76,1E-12)))</f>
        <v/>
      </c>
    </row>
    <row r="77">
      <c r="A77" t="n">
        <v>74</v>
      </c>
      <c r="B77" s="196">
        <f>IF(A77&lt;='入力・概要'!$B$40,10^(LOG10('入力・概要'!$B$38)+(A77-1)*(LOG10('入力・概要'!$B$39)-LOG10('入力・概要'!$B$38))/('入力・概要'!$B$40-1)),"")</f>
        <v/>
      </c>
      <c r="C77" s="195">
        <f>IF(B77="","",2*PI()*B77)</f>
        <v/>
      </c>
      <c r="D77" s="195">
        <f>IF(B77="","",ATANH(MIN(0.999999,(2*'入力・概要'!$B$17*'入力・概要'!$B$6)/'入力・概要'!$B$30))+'入力・概要'!$B$33*SQRT(B77/1E6)+(2*PI()*B77*'入力・概要'!$B$6/(299792458*'入力・概要'!$B$31))*'入力・概要'!$B$32/2)</f>
        <v/>
      </c>
      <c r="E77" s="195">
        <f>IF(B77="","",2*PI()*B77*'入力・概要'!$B$6/(299792458*'入力・概要'!$B$31))</f>
        <v/>
      </c>
      <c r="F77" s="195">
        <f>IF(B77="","",SINH(2*D77)/(COSH(2*D77)+COS(2*E77)))</f>
        <v/>
      </c>
      <c r="G77" s="195">
        <f>IF(B77="","",SIN(2*E77)/(COSH(2*D77)+COS(2*E77)))</f>
        <v/>
      </c>
      <c r="H77" s="195">
        <f>IF(B77="","",'入力・概要'!$B$34)</f>
        <v/>
      </c>
      <c r="I77" s="195">
        <f>IF(B77="","",C77*'入力・概要'!$B$35*1E-9)</f>
        <v/>
      </c>
      <c r="J77" s="195">
        <f>IF(B77="","",H77+'入力・概要'!$B$30*F77)</f>
        <v/>
      </c>
      <c r="K77" s="195">
        <f>IF(B77="","",I77+'入力・概要'!$B$30*G77)</f>
        <v/>
      </c>
      <c r="L77" s="195">
        <f>IF(B77="","",'入力・概要'!$B$30+H77*F77-I77*G77)</f>
        <v/>
      </c>
      <c r="M77" s="195">
        <f>IF(B77="","",H77*G77+I77*F77)</f>
        <v/>
      </c>
      <c r="N77" s="195">
        <f>IF(B77="","",'入力・概要'!$B$30*(J77*L77+K77*M77)/(L77^2+M77^2))</f>
        <v/>
      </c>
      <c r="O77" s="195">
        <f>IF(B77="","",'入力・概要'!$B$30*(K77*L77-J77*M77)/(L77^2+M77^2))</f>
        <v/>
      </c>
      <c r="P77" s="195">
        <f>IF(B77="","",N77+'入力・概要'!$B$36)</f>
        <v/>
      </c>
      <c r="Q77" s="195">
        <f>IF(B77="","",O77+C77*'入力・概要'!$B$37*1E-9)</f>
        <v/>
      </c>
      <c r="R77" s="195">
        <f>IF(B77="","",SQRT(P77^2+Q77^2))</f>
        <v/>
      </c>
      <c r="S77" s="195">
        <f>IF(B77="","",IF(P77&gt;0,DEGREES(ATAN(Q77/P77)),IF(P77&lt;0,IF(Q77&gt;=0,DEGREES(ATAN(Q77/P77))+180,DEGREES(ATAN(Q77/P77))-180),IF(Q77&gt;0,90,IF(Q77&lt;0,-90,0)))))</f>
        <v/>
      </c>
      <c r="T77" s="195">
        <f>IF(B77="","",LOG10(B77))</f>
        <v/>
      </c>
      <c r="U77" s="195">
        <f>IF(R77="","",LOG10(MAX(R77,1E-12)))</f>
        <v/>
      </c>
    </row>
    <row r="78">
      <c r="A78" t="n">
        <v>75</v>
      </c>
      <c r="B78" s="196">
        <f>IF(A78&lt;='入力・概要'!$B$40,10^(LOG10('入力・概要'!$B$38)+(A78-1)*(LOG10('入力・概要'!$B$39)-LOG10('入力・概要'!$B$38))/('入力・概要'!$B$40-1)),"")</f>
        <v/>
      </c>
      <c r="C78" s="195">
        <f>IF(B78="","",2*PI()*B78)</f>
        <v/>
      </c>
      <c r="D78" s="195">
        <f>IF(B78="","",ATANH(MIN(0.999999,(2*'入力・概要'!$B$17*'入力・概要'!$B$6)/'入力・概要'!$B$30))+'入力・概要'!$B$33*SQRT(B78/1E6)+(2*PI()*B78*'入力・概要'!$B$6/(299792458*'入力・概要'!$B$31))*'入力・概要'!$B$32/2)</f>
        <v/>
      </c>
      <c r="E78" s="195">
        <f>IF(B78="","",2*PI()*B78*'入力・概要'!$B$6/(299792458*'入力・概要'!$B$31))</f>
        <v/>
      </c>
      <c r="F78" s="195">
        <f>IF(B78="","",SINH(2*D78)/(COSH(2*D78)+COS(2*E78)))</f>
        <v/>
      </c>
      <c r="G78" s="195">
        <f>IF(B78="","",SIN(2*E78)/(COSH(2*D78)+COS(2*E78)))</f>
        <v/>
      </c>
      <c r="H78" s="195">
        <f>IF(B78="","",'入力・概要'!$B$34)</f>
        <v/>
      </c>
      <c r="I78" s="195">
        <f>IF(B78="","",C78*'入力・概要'!$B$35*1E-9)</f>
        <v/>
      </c>
      <c r="J78" s="195">
        <f>IF(B78="","",H78+'入力・概要'!$B$30*F78)</f>
        <v/>
      </c>
      <c r="K78" s="195">
        <f>IF(B78="","",I78+'入力・概要'!$B$30*G78)</f>
        <v/>
      </c>
      <c r="L78" s="195">
        <f>IF(B78="","",'入力・概要'!$B$30+H78*F78-I78*G78)</f>
        <v/>
      </c>
      <c r="M78" s="195">
        <f>IF(B78="","",H78*G78+I78*F78)</f>
        <v/>
      </c>
      <c r="N78" s="195">
        <f>IF(B78="","",'入力・概要'!$B$30*(J78*L78+K78*M78)/(L78^2+M78^2))</f>
        <v/>
      </c>
      <c r="O78" s="195">
        <f>IF(B78="","",'入力・概要'!$B$30*(K78*L78-J78*M78)/(L78^2+M78^2))</f>
        <v/>
      </c>
      <c r="P78" s="195">
        <f>IF(B78="","",N78+'入力・概要'!$B$36)</f>
        <v/>
      </c>
      <c r="Q78" s="195">
        <f>IF(B78="","",O78+C78*'入力・概要'!$B$37*1E-9)</f>
        <v/>
      </c>
      <c r="R78" s="195">
        <f>IF(B78="","",SQRT(P78^2+Q78^2))</f>
        <v/>
      </c>
      <c r="S78" s="195">
        <f>IF(B78="","",IF(P78&gt;0,DEGREES(ATAN(Q78/P78)),IF(P78&lt;0,IF(Q78&gt;=0,DEGREES(ATAN(Q78/P78))+180,DEGREES(ATAN(Q78/P78))-180),IF(Q78&gt;0,90,IF(Q78&lt;0,-90,0)))))</f>
        <v/>
      </c>
      <c r="T78" s="195">
        <f>IF(B78="","",LOG10(B78))</f>
        <v/>
      </c>
      <c r="U78" s="195">
        <f>IF(R78="","",LOG10(MAX(R78,1E-12)))</f>
        <v/>
      </c>
    </row>
    <row r="79">
      <c r="A79" t="n">
        <v>76</v>
      </c>
      <c r="B79" s="196">
        <f>IF(A79&lt;='入力・概要'!$B$40,10^(LOG10('入力・概要'!$B$38)+(A79-1)*(LOG10('入力・概要'!$B$39)-LOG10('入力・概要'!$B$38))/('入力・概要'!$B$40-1)),"")</f>
        <v/>
      </c>
      <c r="C79" s="195">
        <f>IF(B79="","",2*PI()*B79)</f>
        <v/>
      </c>
      <c r="D79" s="195">
        <f>IF(B79="","",ATANH(MIN(0.999999,(2*'入力・概要'!$B$17*'入力・概要'!$B$6)/'入力・概要'!$B$30))+'入力・概要'!$B$33*SQRT(B79/1E6)+(2*PI()*B79*'入力・概要'!$B$6/(299792458*'入力・概要'!$B$31))*'入力・概要'!$B$32/2)</f>
        <v/>
      </c>
      <c r="E79" s="195">
        <f>IF(B79="","",2*PI()*B79*'入力・概要'!$B$6/(299792458*'入力・概要'!$B$31))</f>
        <v/>
      </c>
      <c r="F79" s="195">
        <f>IF(B79="","",SINH(2*D79)/(COSH(2*D79)+COS(2*E79)))</f>
        <v/>
      </c>
      <c r="G79" s="195">
        <f>IF(B79="","",SIN(2*E79)/(COSH(2*D79)+COS(2*E79)))</f>
        <v/>
      </c>
      <c r="H79" s="195">
        <f>IF(B79="","",'入力・概要'!$B$34)</f>
        <v/>
      </c>
      <c r="I79" s="195">
        <f>IF(B79="","",C79*'入力・概要'!$B$35*1E-9)</f>
        <v/>
      </c>
      <c r="J79" s="195">
        <f>IF(B79="","",H79+'入力・概要'!$B$30*F79)</f>
        <v/>
      </c>
      <c r="K79" s="195">
        <f>IF(B79="","",I79+'入力・概要'!$B$30*G79)</f>
        <v/>
      </c>
      <c r="L79" s="195">
        <f>IF(B79="","",'入力・概要'!$B$30+H79*F79-I79*G79)</f>
        <v/>
      </c>
      <c r="M79" s="195">
        <f>IF(B79="","",H79*G79+I79*F79)</f>
        <v/>
      </c>
      <c r="N79" s="195">
        <f>IF(B79="","",'入力・概要'!$B$30*(J79*L79+K79*M79)/(L79^2+M79^2))</f>
        <v/>
      </c>
      <c r="O79" s="195">
        <f>IF(B79="","",'入力・概要'!$B$30*(K79*L79-J79*M79)/(L79^2+M79^2))</f>
        <v/>
      </c>
      <c r="P79" s="195">
        <f>IF(B79="","",N79+'入力・概要'!$B$36)</f>
        <v/>
      </c>
      <c r="Q79" s="195">
        <f>IF(B79="","",O79+C79*'入力・概要'!$B$37*1E-9)</f>
        <v/>
      </c>
      <c r="R79" s="195">
        <f>IF(B79="","",SQRT(P79^2+Q79^2))</f>
        <v/>
      </c>
      <c r="S79" s="195">
        <f>IF(B79="","",IF(P79&gt;0,DEGREES(ATAN(Q79/P79)),IF(P79&lt;0,IF(Q79&gt;=0,DEGREES(ATAN(Q79/P79))+180,DEGREES(ATAN(Q79/P79))-180),IF(Q79&gt;0,90,IF(Q79&lt;0,-90,0)))))</f>
        <v/>
      </c>
      <c r="T79" s="195">
        <f>IF(B79="","",LOG10(B79))</f>
        <v/>
      </c>
      <c r="U79" s="195">
        <f>IF(R79="","",LOG10(MAX(R79,1E-12)))</f>
        <v/>
      </c>
    </row>
    <row r="80">
      <c r="A80" t="n">
        <v>77</v>
      </c>
      <c r="B80" s="196">
        <f>IF(A80&lt;='入力・概要'!$B$40,10^(LOG10('入力・概要'!$B$38)+(A80-1)*(LOG10('入力・概要'!$B$39)-LOG10('入力・概要'!$B$38))/('入力・概要'!$B$40-1)),"")</f>
        <v/>
      </c>
      <c r="C80" s="195">
        <f>IF(B80="","",2*PI()*B80)</f>
        <v/>
      </c>
      <c r="D80" s="195">
        <f>IF(B80="","",ATANH(MIN(0.999999,(2*'入力・概要'!$B$17*'入力・概要'!$B$6)/'入力・概要'!$B$30))+'入力・概要'!$B$33*SQRT(B80/1E6)+(2*PI()*B80*'入力・概要'!$B$6/(299792458*'入力・概要'!$B$31))*'入力・概要'!$B$32/2)</f>
        <v/>
      </c>
      <c r="E80" s="195">
        <f>IF(B80="","",2*PI()*B80*'入力・概要'!$B$6/(299792458*'入力・概要'!$B$31))</f>
        <v/>
      </c>
      <c r="F80" s="195">
        <f>IF(B80="","",SINH(2*D80)/(COSH(2*D80)+COS(2*E80)))</f>
        <v/>
      </c>
      <c r="G80" s="195">
        <f>IF(B80="","",SIN(2*E80)/(COSH(2*D80)+COS(2*E80)))</f>
        <v/>
      </c>
      <c r="H80" s="195">
        <f>IF(B80="","",'入力・概要'!$B$34)</f>
        <v/>
      </c>
      <c r="I80" s="195">
        <f>IF(B80="","",C80*'入力・概要'!$B$35*1E-9)</f>
        <v/>
      </c>
      <c r="J80" s="195">
        <f>IF(B80="","",H80+'入力・概要'!$B$30*F80)</f>
        <v/>
      </c>
      <c r="K80" s="195">
        <f>IF(B80="","",I80+'入力・概要'!$B$30*G80)</f>
        <v/>
      </c>
      <c r="L80" s="195">
        <f>IF(B80="","",'入力・概要'!$B$30+H80*F80-I80*G80)</f>
        <v/>
      </c>
      <c r="M80" s="195">
        <f>IF(B80="","",H80*G80+I80*F80)</f>
        <v/>
      </c>
      <c r="N80" s="195">
        <f>IF(B80="","",'入力・概要'!$B$30*(J80*L80+K80*M80)/(L80^2+M80^2))</f>
        <v/>
      </c>
      <c r="O80" s="195">
        <f>IF(B80="","",'入力・概要'!$B$30*(K80*L80-J80*M80)/(L80^2+M80^2))</f>
        <v/>
      </c>
      <c r="P80" s="195">
        <f>IF(B80="","",N80+'入力・概要'!$B$36)</f>
        <v/>
      </c>
      <c r="Q80" s="195">
        <f>IF(B80="","",O80+C80*'入力・概要'!$B$37*1E-9)</f>
        <v/>
      </c>
      <c r="R80" s="195">
        <f>IF(B80="","",SQRT(P80^2+Q80^2))</f>
        <v/>
      </c>
      <c r="S80" s="195">
        <f>IF(B80="","",IF(P80&gt;0,DEGREES(ATAN(Q80/P80)),IF(P80&lt;0,IF(Q80&gt;=0,DEGREES(ATAN(Q80/P80))+180,DEGREES(ATAN(Q80/P80))-180),IF(Q80&gt;0,90,IF(Q80&lt;0,-90,0)))))</f>
        <v/>
      </c>
      <c r="T80" s="195">
        <f>IF(B80="","",LOG10(B80))</f>
        <v/>
      </c>
      <c r="U80" s="195">
        <f>IF(R80="","",LOG10(MAX(R80,1E-12)))</f>
        <v/>
      </c>
    </row>
    <row r="81">
      <c r="A81" t="n">
        <v>78</v>
      </c>
      <c r="B81" s="196">
        <f>IF(A81&lt;='入力・概要'!$B$40,10^(LOG10('入力・概要'!$B$38)+(A81-1)*(LOG10('入力・概要'!$B$39)-LOG10('入力・概要'!$B$38))/('入力・概要'!$B$40-1)),"")</f>
        <v/>
      </c>
      <c r="C81" s="195">
        <f>IF(B81="","",2*PI()*B81)</f>
        <v/>
      </c>
      <c r="D81" s="195">
        <f>IF(B81="","",ATANH(MIN(0.999999,(2*'入力・概要'!$B$17*'入力・概要'!$B$6)/'入力・概要'!$B$30))+'入力・概要'!$B$33*SQRT(B81/1E6)+(2*PI()*B81*'入力・概要'!$B$6/(299792458*'入力・概要'!$B$31))*'入力・概要'!$B$32/2)</f>
        <v/>
      </c>
      <c r="E81" s="195">
        <f>IF(B81="","",2*PI()*B81*'入力・概要'!$B$6/(299792458*'入力・概要'!$B$31))</f>
        <v/>
      </c>
      <c r="F81" s="195">
        <f>IF(B81="","",SINH(2*D81)/(COSH(2*D81)+COS(2*E81)))</f>
        <v/>
      </c>
      <c r="G81" s="195">
        <f>IF(B81="","",SIN(2*E81)/(COSH(2*D81)+COS(2*E81)))</f>
        <v/>
      </c>
      <c r="H81" s="195">
        <f>IF(B81="","",'入力・概要'!$B$34)</f>
        <v/>
      </c>
      <c r="I81" s="195">
        <f>IF(B81="","",C81*'入力・概要'!$B$35*1E-9)</f>
        <v/>
      </c>
      <c r="J81" s="195">
        <f>IF(B81="","",H81+'入力・概要'!$B$30*F81)</f>
        <v/>
      </c>
      <c r="K81" s="195">
        <f>IF(B81="","",I81+'入力・概要'!$B$30*G81)</f>
        <v/>
      </c>
      <c r="L81" s="195">
        <f>IF(B81="","",'入力・概要'!$B$30+H81*F81-I81*G81)</f>
        <v/>
      </c>
      <c r="M81" s="195">
        <f>IF(B81="","",H81*G81+I81*F81)</f>
        <v/>
      </c>
      <c r="N81" s="195">
        <f>IF(B81="","",'入力・概要'!$B$30*(J81*L81+K81*M81)/(L81^2+M81^2))</f>
        <v/>
      </c>
      <c r="O81" s="195">
        <f>IF(B81="","",'入力・概要'!$B$30*(K81*L81-J81*M81)/(L81^2+M81^2))</f>
        <v/>
      </c>
      <c r="P81" s="195">
        <f>IF(B81="","",N81+'入力・概要'!$B$36)</f>
        <v/>
      </c>
      <c r="Q81" s="195">
        <f>IF(B81="","",O81+C81*'入力・概要'!$B$37*1E-9)</f>
        <v/>
      </c>
      <c r="R81" s="195">
        <f>IF(B81="","",SQRT(P81^2+Q81^2))</f>
        <v/>
      </c>
      <c r="S81" s="195">
        <f>IF(B81="","",IF(P81&gt;0,DEGREES(ATAN(Q81/P81)),IF(P81&lt;0,IF(Q81&gt;=0,DEGREES(ATAN(Q81/P81))+180,DEGREES(ATAN(Q81/P81))-180),IF(Q81&gt;0,90,IF(Q81&lt;0,-90,0)))))</f>
        <v/>
      </c>
      <c r="T81" s="195">
        <f>IF(B81="","",LOG10(B81))</f>
        <v/>
      </c>
      <c r="U81" s="195">
        <f>IF(R81="","",LOG10(MAX(R81,1E-12)))</f>
        <v/>
      </c>
    </row>
    <row r="82">
      <c r="A82" t="n">
        <v>79</v>
      </c>
      <c r="B82" s="196">
        <f>IF(A82&lt;='入力・概要'!$B$40,10^(LOG10('入力・概要'!$B$38)+(A82-1)*(LOG10('入力・概要'!$B$39)-LOG10('入力・概要'!$B$38))/('入力・概要'!$B$40-1)),"")</f>
        <v/>
      </c>
      <c r="C82" s="195">
        <f>IF(B82="","",2*PI()*B82)</f>
        <v/>
      </c>
      <c r="D82" s="195">
        <f>IF(B82="","",ATANH(MIN(0.999999,(2*'入力・概要'!$B$17*'入力・概要'!$B$6)/'入力・概要'!$B$30))+'入力・概要'!$B$33*SQRT(B82/1E6)+(2*PI()*B82*'入力・概要'!$B$6/(299792458*'入力・概要'!$B$31))*'入力・概要'!$B$32/2)</f>
        <v/>
      </c>
      <c r="E82" s="195">
        <f>IF(B82="","",2*PI()*B82*'入力・概要'!$B$6/(299792458*'入力・概要'!$B$31))</f>
        <v/>
      </c>
      <c r="F82" s="195">
        <f>IF(B82="","",SINH(2*D82)/(COSH(2*D82)+COS(2*E82)))</f>
        <v/>
      </c>
      <c r="G82" s="195">
        <f>IF(B82="","",SIN(2*E82)/(COSH(2*D82)+COS(2*E82)))</f>
        <v/>
      </c>
      <c r="H82" s="195">
        <f>IF(B82="","",'入力・概要'!$B$34)</f>
        <v/>
      </c>
      <c r="I82" s="195">
        <f>IF(B82="","",C82*'入力・概要'!$B$35*1E-9)</f>
        <v/>
      </c>
      <c r="J82" s="195">
        <f>IF(B82="","",H82+'入力・概要'!$B$30*F82)</f>
        <v/>
      </c>
      <c r="K82" s="195">
        <f>IF(B82="","",I82+'入力・概要'!$B$30*G82)</f>
        <v/>
      </c>
      <c r="L82" s="195">
        <f>IF(B82="","",'入力・概要'!$B$30+H82*F82-I82*G82)</f>
        <v/>
      </c>
      <c r="M82" s="195">
        <f>IF(B82="","",H82*G82+I82*F82)</f>
        <v/>
      </c>
      <c r="N82" s="195">
        <f>IF(B82="","",'入力・概要'!$B$30*(J82*L82+K82*M82)/(L82^2+M82^2))</f>
        <v/>
      </c>
      <c r="O82" s="195">
        <f>IF(B82="","",'入力・概要'!$B$30*(K82*L82-J82*M82)/(L82^2+M82^2))</f>
        <v/>
      </c>
      <c r="P82" s="195">
        <f>IF(B82="","",N82+'入力・概要'!$B$36)</f>
        <v/>
      </c>
      <c r="Q82" s="195">
        <f>IF(B82="","",O82+C82*'入力・概要'!$B$37*1E-9)</f>
        <v/>
      </c>
      <c r="R82" s="195">
        <f>IF(B82="","",SQRT(P82^2+Q82^2))</f>
        <v/>
      </c>
      <c r="S82" s="195">
        <f>IF(B82="","",IF(P82&gt;0,DEGREES(ATAN(Q82/P82)),IF(P82&lt;0,IF(Q82&gt;=0,DEGREES(ATAN(Q82/P82))+180,DEGREES(ATAN(Q82/P82))-180),IF(Q82&gt;0,90,IF(Q82&lt;0,-90,0)))))</f>
        <v/>
      </c>
      <c r="T82" s="195">
        <f>IF(B82="","",LOG10(B82))</f>
        <v/>
      </c>
      <c r="U82" s="195">
        <f>IF(R82="","",LOG10(MAX(R82,1E-12)))</f>
        <v/>
      </c>
    </row>
    <row r="83">
      <c r="A83" t="n">
        <v>80</v>
      </c>
      <c r="B83" s="196">
        <f>IF(A83&lt;='入力・概要'!$B$40,10^(LOG10('入力・概要'!$B$38)+(A83-1)*(LOG10('入力・概要'!$B$39)-LOG10('入力・概要'!$B$38))/('入力・概要'!$B$40-1)),"")</f>
        <v/>
      </c>
      <c r="C83" s="195">
        <f>IF(B83="","",2*PI()*B83)</f>
        <v/>
      </c>
      <c r="D83" s="195">
        <f>IF(B83="","",ATANH(MIN(0.999999,(2*'入力・概要'!$B$17*'入力・概要'!$B$6)/'入力・概要'!$B$30))+'入力・概要'!$B$33*SQRT(B83/1E6)+(2*PI()*B83*'入力・概要'!$B$6/(299792458*'入力・概要'!$B$31))*'入力・概要'!$B$32/2)</f>
        <v/>
      </c>
      <c r="E83" s="195">
        <f>IF(B83="","",2*PI()*B83*'入力・概要'!$B$6/(299792458*'入力・概要'!$B$31))</f>
        <v/>
      </c>
      <c r="F83" s="195">
        <f>IF(B83="","",SINH(2*D83)/(COSH(2*D83)+COS(2*E83)))</f>
        <v/>
      </c>
      <c r="G83" s="195">
        <f>IF(B83="","",SIN(2*E83)/(COSH(2*D83)+COS(2*E83)))</f>
        <v/>
      </c>
      <c r="H83" s="195">
        <f>IF(B83="","",'入力・概要'!$B$34)</f>
        <v/>
      </c>
      <c r="I83" s="195">
        <f>IF(B83="","",C83*'入力・概要'!$B$35*1E-9)</f>
        <v/>
      </c>
      <c r="J83" s="195">
        <f>IF(B83="","",H83+'入力・概要'!$B$30*F83)</f>
        <v/>
      </c>
      <c r="K83" s="195">
        <f>IF(B83="","",I83+'入力・概要'!$B$30*G83)</f>
        <v/>
      </c>
      <c r="L83" s="195">
        <f>IF(B83="","",'入力・概要'!$B$30+H83*F83-I83*G83)</f>
        <v/>
      </c>
      <c r="M83" s="195">
        <f>IF(B83="","",H83*G83+I83*F83)</f>
        <v/>
      </c>
      <c r="N83" s="195">
        <f>IF(B83="","",'入力・概要'!$B$30*(J83*L83+K83*M83)/(L83^2+M83^2))</f>
        <v/>
      </c>
      <c r="O83" s="195">
        <f>IF(B83="","",'入力・概要'!$B$30*(K83*L83-J83*M83)/(L83^2+M83^2))</f>
        <v/>
      </c>
      <c r="P83" s="195">
        <f>IF(B83="","",N83+'入力・概要'!$B$36)</f>
        <v/>
      </c>
      <c r="Q83" s="195">
        <f>IF(B83="","",O83+C83*'入力・概要'!$B$37*1E-9)</f>
        <v/>
      </c>
      <c r="R83" s="195">
        <f>IF(B83="","",SQRT(P83^2+Q83^2))</f>
        <v/>
      </c>
      <c r="S83" s="195">
        <f>IF(B83="","",IF(P83&gt;0,DEGREES(ATAN(Q83/P83)),IF(P83&lt;0,IF(Q83&gt;=0,DEGREES(ATAN(Q83/P83))+180,DEGREES(ATAN(Q83/P83))-180),IF(Q83&gt;0,90,IF(Q83&lt;0,-90,0)))))</f>
        <v/>
      </c>
      <c r="T83" s="195">
        <f>IF(B83="","",LOG10(B83))</f>
        <v/>
      </c>
      <c r="U83" s="195">
        <f>IF(R83="","",LOG10(MAX(R83,1E-12)))</f>
        <v/>
      </c>
    </row>
    <row r="84">
      <c r="A84" t="n">
        <v>81</v>
      </c>
      <c r="B84" s="196">
        <f>IF(A84&lt;='入力・概要'!$B$40,10^(LOG10('入力・概要'!$B$38)+(A84-1)*(LOG10('入力・概要'!$B$39)-LOG10('入力・概要'!$B$38))/('入力・概要'!$B$40-1)),"")</f>
        <v/>
      </c>
      <c r="C84" s="195">
        <f>IF(B84="","",2*PI()*B84)</f>
        <v/>
      </c>
      <c r="D84" s="195">
        <f>IF(B84="","",ATANH(MIN(0.999999,(2*'入力・概要'!$B$17*'入力・概要'!$B$6)/'入力・概要'!$B$30))+'入力・概要'!$B$33*SQRT(B84/1E6)+(2*PI()*B84*'入力・概要'!$B$6/(299792458*'入力・概要'!$B$31))*'入力・概要'!$B$32/2)</f>
        <v/>
      </c>
      <c r="E84" s="195">
        <f>IF(B84="","",2*PI()*B84*'入力・概要'!$B$6/(299792458*'入力・概要'!$B$31))</f>
        <v/>
      </c>
      <c r="F84" s="195">
        <f>IF(B84="","",SINH(2*D84)/(COSH(2*D84)+COS(2*E84)))</f>
        <v/>
      </c>
      <c r="G84" s="195">
        <f>IF(B84="","",SIN(2*E84)/(COSH(2*D84)+COS(2*E84)))</f>
        <v/>
      </c>
      <c r="H84" s="195">
        <f>IF(B84="","",'入力・概要'!$B$34)</f>
        <v/>
      </c>
      <c r="I84" s="195">
        <f>IF(B84="","",C84*'入力・概要'!$B$35*1E-9)</f>
        <v/>
      </c>
      <c r="J84" s="195">
        <f>IF(B84="","",H84+'入力・概要'!$B$30*F84)</f>
        <v/>
      </c>
      <c r="K84" s="195">
        <f>IF(B84="","",I84+'入力・概要'!$B$30*G84)</f>
        <v/>
      </c>
      <c r="L84" s="195">
        <f>IF(B84="","",'入力・概要'!$B$30+H84*F84-I84*G84)</f>
        <v/>
      </c>
      <c r="M84" s="195">
        <f>IF(B84="","",H84*G84+I84*F84)</f>
        <v/>
      </c>
      <c r="N84" s="195">
        <f>IF(B84="","",'入力・概要'!$B$30*(J84*L84+K84*M84)/(L84^2+M84^2))</f>
        <v/>
      </c>
      <c r="O84" s="195">
        <f>IF(B84="","",'入力・概要'!$B$30*(K84*L84-J84*M84)/(L84^2+M84^2))</f>
        <v/>
      </c>
      <c r="P84" s="195">
        <f>IF(B84="","",N84+'入力・概要'!$B$36)</f>
        <v/>
      </c>
      <c r="Q84" s="195">
        <f>IF(B84="","",O84+C84*'入力・概要'!$B$37*1E-9)</f>
        <v/>
      </c>
      <c r="R84" s="195">
        <f>IF(B84="","",SQRT(P84^2+Q84^2))</f>
        <v/>
      </c>
      <c r="S84" s="195">
        <f>IF(B84="","",IF(P84&gt;0,DEGREES(ATAN(Q84/P84)),IF(P84&lt;0,IF(Q84&gt;=0,DEGREES(ATAN(Q84/P84))+180,DEGREES(ATAN(Q84/P84))-180),IF(Q84&gt;0,90,IF(Q84&lt;0,-90,0)))))</f>
        <v/>
      </c>
      <c r="T84" s="195">
        <f>IF(B84="","",LOG10(B84))</f>
        <v/>
      </c>
      <c r="U84" s="195">
        <f>IF(R84="","",LOG10(MAX(R84,1E-12)))</f>
        <v/>
      </c>
    </row>
    <row r="85">
      <c r="A85" t="n">
        <v>82</v>
      </c>
      <c r="B85" s="196">
        <f>IF(A85&lt;='入力・概要'!$B$40,10^(LOG10('入力・概要'!$B$38)+(A85-1)*(LOG10('入力・概要'!$B$39)-LOG10('入力・概要'!$B$38))/('入力・概要'!$B$40-1)),"")</f>
        <v/>
      </c>
      <c r="C85" s="195">
        <f>IF(B85="","",2*PI()*B85)</f>
        <v/>
      </c>
      <c r="D85" s="195">
        <f>IF(B85="","",ATANH(MIN(0.999999,(2*'入力・概要'!$B$17*'入力・概要'!$B$6)/'入力・概要'!$B$30))+'入力・概要'!$B$33*SQRT(B85/1E6)+(2*PI()*B85*'入力・概要'!$B$6/(299792458*'入力・概要'!$B$31))*'入力・概要'!$B$32/2)</f>
        <v/>
      </c>
      <c r="E85" s="195">
        <f>IF(B85="","",2*PI()*B85*'入力・概要'!$B$6/(299792458*'入力・概要'!$B$31))</f>
        <v/>
      </c>
      <c r="F85" s="195">
        <f>IF(B85="","",SINH(2*D85)/(COSH(2*D85)+COS(2*E85)))</f>
        <v/>
      </c>
      <c r="G85" s="195">
        <f>IF(B85="","",SIN(2*E85)/(COSH(2*D85)+COS(2*E85)))</f>
        <v/>
      </c>
      <c r="H85" s="195">
        <f>IF(B85="","",'入力・概要'!$B$34)</f>
        <v/>
      </c>
      <c r="I85" s="195">
        <f>IF(B85="","",C85*'入力・概要'!$B$35*1E-9)</f>
        <v/>
      </c>
      <c r="J85" s="195">
        <f>IF(B85="","",H85+'入力・概要'!$B$30*F85)</f>
        <v/>
      </c>
      <c r="K85" s="195">
        <f>IF(B85="","",I85+'入力・概要'!$B$30*G85)</f>
        <v/>
      </c>
      <c r="L85" s="195">
        <f>IF(B85="","",'入力・概要'!$B$30+H85*F85-I85*G85)</f>
        <v/>
      </c>
      <c r="M85" s="195">
        <f>IF(B85="","",H85*G85+I85*F85)</f>
        <v/>
      </c>
      <c r="N85" s="195">
        <f>IF(B85="","",'入力・概要'!$B$30*(J85*L85+K85*M85)/(L85^2+M85^2))</f>
        <v/>
      </c>
      <c r="O85" s="195">
        <f>IF(B85="","",'入力・概要'!$B$30*(K85*L85-J85*M85)/(L85^2+M85^2))</f>
        <v/>
      </c>
      <c r="P85" s="195">
        <f>IF(B85="","",N85+'入力・概要'!$B$36)</f>
        <v/>
      </c>
      <c r="Q85" s="195">
        <f>IF(B85="","",O85+C85*'入力・概要'!$B$37*1E-9)</f>
        <v/>
      </c>
      <c r="R85" s="195">
        <f>IF(B85="","",SQRT(P85^2+Q85^2))</f>
        <v/>
      </c>
      <c r="S85" s="195">
        <f>IF(B85="","",IF(P85&gt;0,DEGREES(ATAN(Q85/P85)),IF(P85&lt;0,IF(Q85&gt;=0,DEGREES(ATAN(Q85/P85))+180,DEGREES(ATAN(Q85/P85))-180),IF(Q85&gt;0,90,IF(Q85&lt;0,-90,0)))))</f>
        <v/>
      </c>
      <c r="T85" s="195">
        <f>IF(B85="","",LOG10(B85))</f>
        <v/>
      </c>
      <c r="U85" s="195">
        <f>IF(R85="","",LOG10(MAX(R85,1E-12)))</f>
        <v/>
      </c>
    </row>
    <row r="86">
      <c r="A86" t="n">
        <v>83</v>
      </c>
      <c r="B86" s="196">
        <f>IF(A86&lt;='入力・概要'!$B$40,10^(LOG10('入力・概要'!$B$38)+(A86-1)*(LOG10('入力・概要'!$B$39)-LOG10('入力・概要'!$B$38))/('入力・概要'!$B$40-1)),"")</f>
        <v/>
      </c>
      <c r="C86" s="195">
        <f>IF(B86="","",2*PI()*B86)</f>
        <v/>
      </c>
      <c r="D86" s="195">
        <f>IF(B86="","",ATANH(MIN(0.999999,(2*'入力・概要'!$B$17*'入力・概要'!$B$6)/'入力・概要'!$B$30))+'入力・概要'!$B$33*SQRT(B86/1E6)+(2*PI()*B86*'入力・概要'!$B$6/(299792458*'入力・概要'!$B$31))*'入力・概要'!$B$32/2)</f>
        <v/>
      </c>
      <c r="E86" s="195">
        <f>IF(B86="","",2*PI()*B86*'入力・概要'!$B$6/(299792458*'入力・概要'!$B$31))</f>
        <v/>
      </c>
      <c r="F86" s="195">
        <f>IF(B86="","",SINH(2*D86)/(COSH(2*D86)+COS(2*E86)))</f>
        <v/>
      </c>
      <c r="G86" s="195">
        <f>IF(B86="","",SIN(2*E86)/(COSH(2*D86)+COS(2*E86)))</f>
        <v/>
      </c>
      <c r="H86" s="195">
        <f>IF(B86="","",'入力・概要'!$B$34)</f>
        <v/>
      </c>
      <c r="I86" s="195">
        <f>IF(B86="","",C86*'入力・概要'!$B$35*1E-9)</f>
        <v/>
      </c>
      <c r="J86" s="195">
        <f>IF(B86="","",H86+'入力・概要'!$B$30*F86)</f>
        <v/>
      </c>
      <c r="K86" s="195">
        <f>IF(B86="","",I86+'入力・概要'!$B$30*G86)</f>
        <v/>
      </c>
      <c r="L86" s="195">
        <f>IF(B86="","",'入力・概要'!$B$30+H86*F86-I86*G86)</f>
        <v/>
      </c>
      <c r="M86" s="195">
        <f>IF(B86="","",H86*G86+I86*F86)</f>
        <v/>
      </c>
      <c r="N86" s="195">
        <f>IF(B86="","",'入力・概要'!$B$30*(J86*L86+K86*M86)/(L86^2+M86^2))</f>
        <v/>
      </c>
      <c r="O86" s="195">
        <f>IF(B86="","",'入力・概要'!$B$30*(K86*L86-J86*M86)/(L86^2+M86^2))</f>
        <v/>
      </c>
      <c r="P86" s="195">
        <f>IF(B86="","",N86+'入力・概要'!$B$36)</f>
        <v/>
      </c>
      <c r="Q86" s="195">
        <f>IF(B86="","",O86+C86*'入力・概要'!$B$37*1E-9)</f>
        <v/>
      </c>
      <c r="R86" s="195">
        <f>IF(B86="","",SQRT(P86^2+Q86^2))</f>
        <v/>
      </c>
      <c r="S86" s="195">
        <f>IF(B86="","",IF(P86&gt;0,DEGREES(ATAN(Q86/P86)),IF(P86&lt;0,IF(Q86&gt;=0,DEGREES(ATAN(Q86/P86))+180,DEGREES(ATAN(Q86/P86))-180),IF(Q86&gt;0,90,IF(Q86&lt;0,-90,0)))))</f>
        <v/>
      </c>
      <c r="T86" s="195">
        <f>IF(B86="","",LOG10(B86))</f>
        <v/>
      </c>
      <c r="U86" s="195">
        <f>IF(R86="","",LOG10(MAX(R86,1E-12)))</f>
        <v/>
      </c>
    </row>
    <row r="87">
      <c r="A87" t="n">
        <v>84</v>
      </c>
      <c r="B87" s="196">
        <f>IF(A87&lt;='入力・概要'!$B$40,10^(LOG10('入力・概要'!$B$38)+(A87-1)*(LOG10('入力・概要'!$B$39)-LOG10('入力・概要'!$B$38))/('入力・概要'!$B$40-1)),"")</f>
        <v/>
      </c>
      <c r="C87" s="195">
        <f>IF(B87="","",2*PI()*B87)</f>
        <v/>
      </c>
      <c r="D87" s="195">
        <f>IF(B87="","",ATANH(MIN(0.999999,(2*'入力・概要'!$B$17*'入力・概要'!$B$6)/'入力・概要'!$B$30))+'入力・概要'!$B$33*SQRT(B87/1E6)+(2*PI()*B87*'入力・概要'!$B$6/(299792458*'入力・概要'!$B$31))*'入力・概要'!$B$32/2)</f>
        <v/>
      </c>
      <c r="E87" s="195">
        <f>IF(B87="","",2*PI()*B87*'入力・概要'!$B$6/(299792458*'入力・概要'!$B$31))</f>
        <v/>
      </c>
      <c r="F87" s="195">
        <f>IF(B87="","",SINH(2*D87)/(COSH(2*D87)+COS(2*E87)))</f>
        <v/>
      </c>
      <c r="G87" s="195">
        <f>IF(B87="","",SIN(2*E87)/(COSH(2*D87)+COS(2*E87)))</f>
        <v/>
      </c>
      <c r="H87" s="195">
        <f>IF(B87="","",'入力・概要'!$B$34)</f>
        <v/>
      </c>
      <c r="I87" s="195">
        <f>IF(B87="","",C87*'入力・概要'!$B$35*1E-9)</f>
        <v/>
      </c>
      <c r="J87" s="195">
        <f>IF(B87="","",H87+'入力・概要'!$B$30*F87)</f>
        <v/>
      </c>
      <c r="K87" s="195">
        <f>IF(B87="","",I87+'入力・概要'!$B$30*G87)</f>
        <v/>
      </c>
      <c r="L87" s="195">
        <f>IF(B87="","",'入力・概要'!$B$30+H87*F87-I87*G87)</f>
        <v/>
      </c>
      <c r="M87" s="195">
        <f>IF(B87="","",H87*G87+I87*F87)</f>
        <v/>
      </c>
      <c r="N87" s="195">
        <f>IF(B87="","",'入力・概要'!$B$30*(J87*L87+K87*M87)/(L87^2+M87^2))</f>
        <v/>
      </c>
      <c r="O87" s="195">
        <f>IF(B87="","",'入力・概要'!$B$30*(K87*L87-J87*M87)/(L87^2+M87^2))</f>
        <v/>
      </c>
      <c r="P87" s="195">
        <f>IF(B87="","",N87+'入力・概要'!$B$36)</f>
        <v/>
      </c>
      <c r="Q87" s="195">
        <f>IF(B87="","",O87+C87*'入力・概要'!$B$37*1E-9)</f>
        <v/>
      </c>
      <c r="R87" s="195">
        <f>IF(B87="","",SQRT(P87^2+Q87^2))</f>
        <v/>
      </c>
      <c r="S87" s="195">
        <f>IF(B87="","",IF(P87&gt;0,DEGREES(ATAN(Q87/P87)),IF(P87&lt;0,IF(Q87&gt;=0,DEGREES(ATAN(Q87/P87))+180,DEGREES(ATAN(Q87/P87))-180),IF(Q87&gt;0,90,IF(Q87&lt;0,-90,0)))))</f>
        <v/>
      </c>
      <c r="T87" s="195">
        <f>IF(B87="","",LOG10(B87))</f>
        <v/>
      </c>
      <c r="U87" s="195">
        <f>IF(R87="","",LOG10(MAX(R87,1E-12)))</f>
        <v/>
      </c>
    </row>
    <row r="88">
      <c r="A88" t="n">
        <v>85</v>
      </c>
      <c r="B88" s="196">
        <f>IF(A88&lt;='入力・概要'!$B$40,10^(LOG10('入力・概要'!$B$38)+(A88-1)*(LOG10('入力・概要'!$B$39)-LOG10('入力・概要'!$B$38))/('入力・概要'!$B$40-1)),"")</f>
        <v/>
      </c>
      <c r="C88" s="195">
        <f>IF(B88="","",2*PI()*B88)</f>
        <v/>
      </c>
      <c r="D88" s="195">
        <f>IF(B88="","",ATANH(MIN(0.999999,(2*'入力・概要'!$B$17*'入力・概要'!$B$6)/'入力・概要'!$B$30))+'入力・概要'!$B$33*SQRT(B88/1E6)+(2*PI()*B88*'入力・概要'!$B$6/(299792458*'入力・概要'!$B$31))*'入力・概要'!$B$32/2)</f>
        <v/>
      </c>
      <c r="E88" s="195">
        <f>IF(B88="","",2*PI()*B88*'入力・概要'!$B$6/(299792458*'入力・概要'!$B$31))</f>
        <v/>
      </c>
      <c r="F88" s="195">
        <f>IF(B88="","",SINH(2*D88)/(COSH(2*D88)+COS(2*E88)))</f>
        <v/>
      </c>
      <c r="G88" s="195">
        <f>IF(B88="","",SIN(2*E88)/(COSH(2*D88)+COS(2*E88)))</f>
        <v/>
      </c>
      <c r="H88" s="195">
        <f>IF(B88="","",'入力・概要'!$B$34)</f>
        <v/>
      </c>
      <c r="I88" s="195">
        <f>IF(B88="","",C88*'入力・概要'!$B$35*1E-9)</f>
        <v/>
      </c>
      <c r="J88" s="195">
        <f>IF(B88="","",H88+'入力・概要'!$B$30*F88)</f>
        <v/>
      </c>
      <c r="K88" s="195">
        <f>IF(B88="","",I88+'入力・概要'!$B$30*G88)</f>
        <v/>
      </c>
      <c r="L88" s="195">
        <f>IF(B88="","",'入力・概要'!$B$30+H88*F88-I88*G88)</f>
        <v/>
      </c>
      <c r="M88" s="195">
        <f>IF(B88="","",H88*G88+I88*F88)</f>
        <v/>
      </c>
      <c r="N88" s="195">
        <f>IF(B88="","",'入力・概要'!$B$30*(J88*L88+K88*M88)/(L88^2+M88^2))</f>
        <v/>
      </c>
      <c r="O88" s="195">
        <f>IF(B88="","",'入力・概要'!$B$30*(K88*L88-J88*M88)/(L88^2+M88^2))</f>
        <v/>
      </c>
      <c r="P88" s="195">
        <f>IF(B88="","",N88+'入力・概要'!$B$36)</f>
        <v/>
      </c>
      <c r="Q88" s="195">
        <f>IF(B88="","",O88+C88*'入力・概要'!$B$37*1E-9)</f>
        <v/>
      </c>
      <c r="R88" s="195">
        <f>IF(B88="","",SQRT(P88^2+Q88^2))</f>
        <v/>
      </c>
      <c r="S88" s="195">
        <f>IF(B88="","",IF(P88&gt;0,DEGREES(ATAN(Q88/P88)),IF(P88&lt;0,IF(Q88&gt;=0,DEGREES(ATAN(Q88/P88))+180,DEGREES(ATAN(Q88/P88))-180),IF(Q88&gt;0,90,IF(Q88&lt;0,-90,0)))))</f>
        <v/>
      </c>
      <c r="T88" s="195">
        <f>IF(B88="","",LOG10(B88))</f>
        <v/>
      </c>
      <c r="U88" s="195">
        <f>IF(R88="","",LOG10(MAX(R88,1E-12)))</f>
        <v/>
      </c>
    </row>
    <row r="89">
      <c r="A89" t="n">
        <v>86</v>
      </c>
      <c r="B89" s="196">
        <f>IF(A89&lt;='入力・概要'!$B$40,10^(LOG10('入力・概要'!$B$38)+(A89-1)*(LOG10('入力・概要'!$B$39)-LOG10('入力・概要'!$B$38))/('入力・概要'!$B$40-1)),"")</f>
        <v/>
      </c>
      <c r="C89" s="195">
        <f>IF(B89="","",2*PI()*B89)</f>
        <v/>
      </c>
      <c r="D89" s="195">
        <f>IF(B89="","",ATANH(MIN(0.999999,(2*'入力・概要'!$B$17*'入力・概要'!$B$6)/'入力・概要'!$B$30))+'入力・概要'!$B$33*SQRT(B89/1E6)+(2*PI()*B89*'入力・概要'!$B$6/(299792458*'入力・概要'!$B$31))*'入力・概要'!$B$32/2)</f>
        <v/>
      </c>
      <c r="E89" s="195">
        <f>IF(B89="","",2*PI()*B89*'入力・概要'!$B$6/(299792458*'入力・概要'!$B$31))</f>
        <v/>
      </c>
      <c r="F89" s="195">
        <f>IF(B89="","",SINH(2*D89)/(COSH(2*D89)+COS(2*E89)))</f>
        <v/>
      </c>
      <c r="G89" s="195">
        <f>IF(B89="","",SIN(2*E89)/(COSH(2*D89)+COS(2*E89)))</f>
        <v/>
      </c>
      <c r="H89" s="195">
        <f>IF(B89="","",'入力・概要'!$B$34)</f>
        <v/>
      </c>
      <c r="I89" s="195">
        <f>IF(B89="","",C89*'入力・概要'!$B$35*1E-9)</f>
        <v/>
      </c>
      <c r="J89" s="195">
        <f>IF(B89="","",H89+'入力・概要'!$B$30*F89)</f>
        <v/>
      </c>
      <c r="K89" s="195">
        <f>IF(B89="","",I89+'入力・概要'!$B$30*G89)</f>
        <v/>
      </c>
      <c r="L89" s="195">
        <f>IF(B89="","",'入力・概要'!$B$30+H89*F89-I89*G89)</f>
        <v/>
      </c>
      <c r="M89" s="195">
        <f>IF(B89="","",H89*G89+I89*F89)</f>
        <v/>
      </c>
      <c r="N89" s="195">
        <f>IF(B89="","",'入力・概要'!$B$30*(J89*L89+K89*M89)/(L89^2+M89^2))</f>
        <v/>
      </c>
      <c r="O89" s="195">
        <f>IF(B89="","",'入力・概要'!$B$30*(K89*L89-J89*M89)/(L89^2+M89^2))</f>
        <v/>
      </c>
      <c r="P89" s="195">
        <f>IF(B89="","",N89+'入力・概要'!$B$36)</f>
        <v/>
      </c>
      <c r="Q89" s="195">
        <f>IF(B89="","",O89+C89*'入力・概要'!$B$37*1E-9)</f>
        <v/>
      </c>
      <c r="R89" s="195">
        <f>IF(B89="","",SQRT(P89^2+Q89^2))</f>
        <v/>
      </c>
      <c r="S89" s="195">
        <f>IF(B89="","",IF(P89&gt;0,DEGREES(ATAN(Q89/P89)),IF(P89&lt;0,IF(Q89&gt;=0,DEGREES(ATAN(Q89/P89))+180,DEGREES(ATAN(Q89/P89))-180),IF(Q89&gt;0,90,IF(Q89&lt;0,-90,0)))))</f>
        <v/>
      </c>
      <c r="T89" s="195">
        <f>IF(B89="","",LOG10(B89))</f>
        <v/>
      </c>
      <c r="U89" s="195">
        <f>IF(R89="","",LOG10(MAX(R89,1E-12)))</f>
        <v/>
      </c>
    </row>
    <row r="90">
      <c r="A90" t="n">
        <v>87</v>
      </c>
      <c r="B90" s="196">
        <f>IF(A90&lt;='入力・概要'!$B$40,10^(LOG10('入力・概要'!$B$38)+(A90-1)*(LOG10('入力・概要'!$B$39)-LOG10('入力・概要'!$B$38))/('入力・概要'!$B$40-1)),"")</f>
        <v/>
      </c>
      <c r="C90" s="195">
        <f>IF(B90="","",2*PI()*B90)</f>
        <v/>
      </c>
      <c r="D90" s="195">
        <f>IF(B90="","",ATANH(MIN(0.999999,(2*'入力・概要'!$B$17*'入力・概要'!$B$6)/'入力・概要'!$B$30))+'入力・概要'!$B$33*SQRT(B90/1E6)+(2*PI()*B90*'入力・概要'!$B$6/(299792458*'入力・概要'!$B$31))*'入力・概要'!$B$32/2)</f>
        <v/>
      </c>
      <c r="E90" s="195">
        <f>IF(B90="","",2*PI()*B90*'入力・概要'!$B$6/(299792458*'入力・概要'!$B$31))</f>
        <v/>
      </c>
      <c r="F90" s="195">
        <f>IF(B90="","",SINH(2*D90)/(COSH(2*D90)+COS(2*E90)))</f>
        <v/>
      </c>
      <c r="G90" s="195">
        <f>IF(B90="","",SIN(2*E90)/(COSH(2*D90)+COS(2*E90)))</f>
        <v/>
      </c>
      <c r="H90" s="195">
        <f>IF(B90="","",'入力・概要'!$B$34)</f>
        <v/>
      </c>
      <c r="I90" s="195">
        <f>IF(B90="","",C90*'入力・概要'!$B$35*1E-9)</f>
        <v/>
      </c>
      <c r="J90" s="195">
        <f>IF(B90="","",H90+'入力・概要'!$B$30*F90)</f>
        <v/>
      </c>
      <c r="K90" s="195">
        <f>IF(B90="","",I90+'入力・概要'!$B$30*G90)</f>
        <v/>
      </c>
      <c r="L90" s="195">
        <f>IF(B90="","",'入力・概要'!$B$30+H90*F90-I90*G90)</f>
        <v/>
      </c>
      <c r="M90" s="195">
        <f>IF(B90="","",H90*G90+I90*F90)</f>
        <v/>
      </c>
      <c r="N90" s="195">
        <f>IF(B90="","",'入力・概要'!$B$30*(J90*L90+K90*M90)/(L90^2+M90^2))</f>
        <v/>
      </c>
      <c r="O90" s="195">
        <f>IF(B90="","",'入力・概要'!$B$30*(K90*L90-J90*M90)/(L90^2+M90^2))</f>
        <v/>
      </c>
      <c r="P90" s="195">
        <f>IF(B90="","",N90+'入力・概要'!$B$36)</f>
        <v/>
      </c>
      <c r="Q90" s="195">
        <f>IF(B90="","",O90+C90*'入力・概要'!$B$37*1E-9)</f>
        <v/>
      </c>
      <c r="R90" s="195">
        <f>IF(B90="","",SQRT(P90^2+Q90^2))</f>
        <v/>
      </c>
      <c r="S90" s="195">
        <f>IF(B90="","",IF(P90&gt;0,DEGREES(ATAN(Q90/P90)),IF(P90&lt;0,IF(Q90&gt;=0,DEGREES(ATAN(Q90/P90))+180,DEGREES(ATAN(Q90/P90))-180),IF(Q90&gt;0,90,IF(Q90&lt;0,-90,0)))))</f>
        <v/>
      </c>
      <c r="T90" s="195">
        <f>IF(B90="","",LOG10(B90))</f>
        <v/>
      </c>
      <c r="U90" s="195">
        <f>IF(R90="","",LOG10(MAX(R90,1E-12)))</f>
        <v/>
      </c>
    </row>
    <row r="91">
      <c r="A91" t="n">
        <v>88</v>
      </c>
      <c r="B91" s="196">
        <f>IF(A91&lt;='入力・概要'!$B$40,10^(LOG10('入力・概要'!$B$38)+(A91-1)*(LOG10('入力・概要'!$B$39)-LOG10('入力・概要'!$B$38))/('入力・概要'!$B$40-1)),"")</f>
        <v/>
      </c>
      <c r="C91" s="195">
        <f>IF(B91="","",2*PI()*B91)</f>
        <v/>
      </c>
      <c r="D91" s="195">
        <f>IF(B91="","",ATANH(MIN(0.999999,(2*'入力・概要'!$B$17*'入力・概要'!$B$6)/'入力・概要'!$B$30))+'入力・概要'!$B$33*SQRT(B91/1E6)+(2*PI()*B91*'入力・概要'!$B$6/(299792458*'入力・概要'!$B$31))*'入力・概要'!$B$32/2)</f>
        <v/>
      </c>
      <c r="E91" s="195">
        <f>IF(B91="","",2*PI()*B91*'入力・概要'!$B$6/(299792458*'入力・概要'!$B$31))</f>
        <v/>
      </c>
      <c r="F91" s="195">
        <f>IF(B91="","",SINH(2*D91)/(COSH(2*D91)+COS(2*E91)))</f>
        <v/>
      </c>
      <c r="G91" s="195">
        <f>IF(B91="","",SIN(2*E91)/(COSH(2*D91)+COS(2*E91)))</f>
        <v/>
      </c>
      <c r="H91" s="195">
        <f>IF(B91="","",'入力・概要'!$B$34)</f>
        <v/>
      </c>
      <c r="I91" s="195">
        <f>IF(B91="","",C91*'入力・概要'!$B$35*1E-9)</f>
        <v/>
      </c>
      <c r="J91" s="195">
        <f>IF(B91="","",H91+'入力・概要'!$B$30*F91)</f>
        <v/>
      </c>
      <c r="K91" s="195">
        <f>IF(B91="","",I91+'入力・概要'!$B$30*G91)</f>
        <v/>
      </c>
      <c r="L91" s="195">
        <f>IF(B91="","",'入力・概要'!$B$30+H91*F91-I91*G91)</f>
        <v/>
      </c>
      <c r="M91" s="195">
        <f>IF(B91="","",H91*G91+I91*F91)</f>
        <v/>
      </c>
      <c r="N91" s="195">
        <f>IF(B91="","",'入力・概要'!$B$30*(J91*L91+K91*M91)/(L91^2+M91^2))</f>
        <v/>
      </c>
      <c r="O91" s="195">
        <f>IF(B91="","",'入力・概要'!$B$30*(K91*L91-J91*M91)/(L91^2+M91^2))</f>
        <v/>
      </c>
      <c r="P91" s="195">
        <f>IF(B91="","",N91+'入力・概要'!$B$36)</f>
        <v/>
      </c>
      <c r="Q91" s="195">
        <f>IF(B91="","",O91+C91*'入力・概要'!$B$37*1E-9)</f>
        <v/>
      </c>
      <c r="R91" s="195">
        <f>IF(B91="","",SQRT(P91^2+Q91^2))</f>
        <v/>
      </c>
      <c r="S91" s="195">
        <f>IF(B91="","",IF(P91&gt;0,DEGREES(ATAN(Q91/P91)),IF(P91&lt;0,IF(Q91&gt;=0,DEGREES(ATAN(Q91/P91))+180,DEGREES(ATAN(Q91/P91))-180),IF(Q91&gt;0,90,IF(Q91&lt;0,-90,0)))))</f>
        <v/>
      </c>
      <c r="T91" s="195">
        <f>IF(B91="","",LOG10(B91))</f>
        <v/>
      </c>
      <c r="U91" s="195">
        <f>IF(R91="","",LOG10(MAX(R91,1E-12)))</f>
        <v/>
      </c>
    </row>
    <row r="92">
      <c r="A92" t="n">
        <v>89</v>
      </c>
      <c r="B92" s="196">
        <f>IF(A92&lt;='入力・概要'!$B$40,10^(LOG10('入力・概要'!$B$38)+(A92-1)*(LOG10('入力・概要'!$B$39)-LOG10('入力・概要'!$B$38))/('入力・概要'!$B$40-1)),"")</f>
        <v/>
      </c>
      <c r="C92" s="195">
        <f>IF(B92="","",2*PI()*B92)</f>
        <v/>
      </c>
      <c r="D92" s="195">
        <f>IF(B92="","",ATANH(MIN(0.999999,(2*'入力・概要'!$B$17*'入力・概要'!$B$6)/'入力・概要'!$B$30))+'入力・概要'!$B$33*SQRT(B92/1E6)+(2*PI()*B92*'入力・概要'!$B$6/(299792458*'入力・概要'!$B$31))*'入力・概要'!$B$32/2)</f>
        <v/>
      </c>
      <c r="E92" s="195">
        <f>IF(B92="","",2*PI()*B92*'入力・概要'!$B$6/(299792458*'入力・概要'!$B$31))</f>
        <v/>
      </c>
      <c r="F92" s="195">
        <f>IF(B92="","",SINH(2*D92)/(COSH(2*D92)+COS(2*E92)))</f>
        <v/>
      </c>
      <c r="G92" s="195">
        <f>IF(B92="","",SIN(2*E92)/(COSH(2*D92)+COS(2*E92)))</f>
        <v/>
      </c>
      <c r="H92" s="195">
        <f>IF(B92="","",'入力・概要'!$B$34)</f>
        <v/>
      </c>
      <c r="I92" s="195">
        <f>IF(B92="","",C92*'入力・概要'!$B$35*1E-9)</f>
        <v/>
      </c>
      <c r="J92" s="195">
        <f>IF(B92="","",H92+'入力・概要'!$B$30*F92)</f>
        <v/>
      </c>
      <c r="K92" s="195">
        <f>IF(B92="","",I92+'入力・概要'!$B$30*G92)</f>
        <v/>
      </c>
      <c r="L92" s="195">
        <f>IF(B92="","",'入力・概要'!$B$30+H92*F92-I92*G92)</f>
        <v/>
      </c>
      <c r="M92" s="195">
        <f>IF(B92="","",H92*G92+I92*F92)</f>
        <v/>
      </c>
      <c r="N92" s="195">
        <f>IF(B92="","",'入力・概要'!$B$30*(J92*L92+K92*M92)/(L92^2+M92^2))</f>
        <v/>
      </c>
      <c r="O92" s="195">
        <f>IF(B92="","",'入力・概要'!$B$30*(K92*L92-J92*M92)/(L92^2+M92^2))</f>
        <v/>
      </c>
      <c r="P92" s="195">
        <f>IF(B92="","",N92+'入力・概要'!$B$36)</f>
        <v/>
      </c>
      <c r="Q92" s="195">
        <f>IF(B92="","",O92+C92*'入力・概要'!$B$37*1E-9)</f>
        <v/>
      </c>
      <c r="R92" s="195">
        <f>IF(B92="","",SQRT(P92^2+Q92^2))</f>
        <v/>
      </c>
      <c r="S92" s="195">
        <f>IF(B92="","",IF(P92&gt;0,DEGREES(ATAN(Q92/P92)),IF(P92&lt;0,IF(Q92&gt;=0,DEGREES(ATAN(Q92/P92))+180,DEGREES(ATAN(Q92/P92))-180),IF(Q92&gt;0,90,IF(Q92&lt;0,-90,0)))))</f>
        <v/>
      </c>
      <c r="T92" s="195">
        <f>IF(B92="","",LOG10(B92))</f>
        <v/>
      </c>
      <c r="U92" s="195">
        <f>IF(R92="","",LOG10(MAX(R92,1E-12)))</f>
        <v/>
      </c>
    </row>
    <row r="93">
      <c r="A93" t="n">
        <v>90</v>
      </c>
      <c r="B93" s="196">
        <f>IF(A93&lt;='入力・概要'!$B$40,10^(LOG10('入力・概要'!$B$38)+(A93-1)*(LOG10('入力・概要'!$B$39)-LOG10('入力・概要'!$B$38))/('入力・概要'!$B$40-1)),"")</f>
        <v/>
      </c>
      <c r="C93" s="195">
        <f>IF(B93="","",2*PI()*B93)</f>
        <v/>
      </c>
      <c r="D93" s="195">
        <f>IF(B93="","",ATANH(MIN(0.999999,(2*'入力・概要'!$B$17*'入力・概要'!$B$6)/'入力・概要'!$B$30))+'入力・概要'!$B$33*SQRT(B93/1E6)+(2*PI()*B93*'入力・概要'!$B$6/(299792458*'入力・概要'!$B$31))*'入力・概要'!$B$32/2)</f>
        <v/>
      </c>
      <c r="E93" s="195">
        <f>IF(B93="","",2*PI()*B93*'入力・概要'!$B$6/(299792458*'入力・概要'!$B$31))</f>
        <v/>
      </c>
      <c r="F93" s="195">
        <f>IF(B93="","",SINH(2*D93)/(COSH(2*D93)+COS(2*E93)))</f>
        <v/>
      </c>
      <c r="G93" s="195">
        <f>IF(B93="","",SIN(2*E93)/(COSH(2*D93)+COS(2*E93)))</f>
        <v/>
      </c>
      <c r="H93" s="195">
        <f>IF(B93="","",'入力・概要'!$B$34)</f>
        <v/>
      </c>
      <c r="I93" s="195">
        <f>IF(B93="","",C93*'入力・概要'!$B$35*1E-9)</f>
        <v/>
      </c>
      <c r="J93" s="195">
        <f>IF(B93="","",H93+'入力・概要'!$B$30*F93)</f>
        <v/>
      </c>
      <c r="K93" s="195">
        <f>IF(B93="","",I93+'入力・概要'!$B$30*G93)</f>
        <v/>
      </c>
      <c r="L93" s="195">
        <f>IF(B93="","",'入力・概要'!$B$30+H93*F93-I93*G93)</f>
        <v/>
      </c>
      <c r="M93" s="195">
        <f>IF(B93="","",H93*G93+I93*F93)</f>
        <v/>
      </c>
      <c r="N93" s="195">
        <f>IF(B93="","",'入力・概要'!$B$30*(J93*L93+K93*M93)/(L93^2+M93^2))</f>
        <v/>
      </c>
      <c r="O93" s="195">
        <f>IF(B93="","",'入力・概要'!$B$30*(K93*L93-J93*M93)/(L93^2+M93^2))</f>
        <v/>
      </c>
      <c r="P93" s="195">
        <f>IF(B93="","",N93+'入力・概要'!$B$36)</f>
        <v/>
      </c>
      <c r="Q93" s="195">
        <f>IF(B93="","",O93+C93*'入力・概要'!$B$37*1E-9)</f>
        <v/>
      </c>
      <c r="R93" s="195">
        <f>IF(B93="","",SQRT(P93^2+Q93^2))</f>
        <v/>
      </c>
      <c r="S93" s="195">
        <f>IF(B93="","",IF(P93&gt;0,DEGREES(ATAN(Q93/P93)),IF(P93&lt;0,IF(Q93&gt;=0,DEGREES(ATAN(Q93/P93))+180,DEGREES(ATAN(Q93/P93))-180),IF(Q93&gt;0,90,IF(Q93&lt;0,-90,0)))))</f>
        <v/>
      </c>
      <c r="T93" s="195">
        <f>IF(B93="","",LOG10(B93))</f>
        <v/>
      </c>
      <c r="U93" s="195">
        <f>IF(R93="","",LOG10(MAX(R93,1E-12)))</f>
        <v/>
      </c>
    </row>
    <row r="94">
      <c r="A94" t="n">
        <v>91</v>
      </c>
      <c r="B94" s="196">
        <f>IF(A94&lt;='入力・概要'!$B$40,10^(LOG10('入力・概要'!$B$38)+(A94-1)*(LOG10('入力・概要'!$B$39)-LOG10('入力・概要'!$B$38))/('入力・概要'!$B$40-1)),"")</f>
        <v/>
      </c>
      <c r="C94" s="195">
        <f>IF(B94="","",2*PI()*B94)</f>
        <v/>
      </c>
      <c r="D94" s="195">
        <f>IF(B94="","",ATANH(MIN(0.999999,(2*'入力・概要'!$B$17*'入力・概要'!$B$6)/'入力・概要'!$B$30))+'入力・概要'!$B$33*SQRT(B94/1E6)+(2*PI()*B94*'入力・概要'!$B$6/(299792458*'入力・概要'!$B$31))*'入力・概要'!$B$32/2)</f>
        <v/>
      </c>
      <c r="E94" s="195">
        <f>IF(B94="","",2*PI()*B94*'入力・概要'!$B$6/(299792458*'入力・概要'!$B$31))</f>
        <v/>
      </c>
      <c r="F94" s="195">
        <f>IF(B94="","",SINH(2*D94)/(COSH(2*D94)+COS(2*E94)))</f>
        <v/>
      </c>
      <c r="G94" s="195">
        <f>IF(B94="","",SIN(2*E94)/(COSH(2*D94)+COS(2*E94)))</f>
        <v/>
      </c>
      <c r="H94" s="195">
        <f>IF(B94="","",'入力・概要'!$B$34)</f>
        <v/>
      </c>
      <c r="I94" s="195">
        <f>IF(B94="","",C94*'入力・概要'!$B$35*1E-9)</f>
        <v/>
      </c>
      <c r="J94" s="195">
        <f>IF(B94="","",H94+'入力・概要'!$B$30*F94)</f>
        <v/>
      </c>
      <c r="K94" s="195">
        <f>IF(B94="","",I94+'入力・概要'!$B$30*G94)</f>
        <v/>
      </c>
      <c r="L94" s="195">
        <f>IF(B94="","",'入力・概要'!$B$30+H94*F94-I94*G94)</f>
        <v/>
      </c>
      <c r="M94" s="195">
        <f>IF(B94="","",H94*G94+I94*F94)</f>
        <v/>
      </c>
      <c r="N94" s="195">
        <f>IF(B94="","",'入力・概要'!$B$30*(J94*L94+K94*M94)/(L94^2+M94^2))</f>
        <v/>
      </c>
      <c r="O94" s="195">
        <f>IF(B94="","",'入力・概要'!$B$30*(K94*L94-J94*M94)/(L94^2+M94^2))</f>
        <v/>
      </c>
      <c r="P94" s="195">
        <f>IF(B94="","",N94+'入力・概要'!$B$36)</f>
        <v/>
      </c>
      <c r="Q94" s="195">
        <f>IF(B94="","",O94+C94*'入力・概要'!$B$37*1E-9)</f>
        <v/>
      </c>
      <c r="R94" s="195">
        <f>IF(B94="","",SQRT(P94^2+Q94^2))</f>
        <v/>
      </c>
      <c r="S94" s="195">
        <f>IF(B94="","",IF(P94&gt;0,DEGREES(ATAN(Q94/P94)),IF(P94&lt;0,IF(Q94&gt;=0,DEGREES(ATAN(Q94/P94))+180,DEGREES(ATAN(Q94/P94))-180),IF(Q94&gt;0,90,IF(Q94&lt;0,-90,0)))))</f>
        <v/>
      </c>
      <c r="T94" s="195">
        <f>IF(B94="","",LOG10(B94))</f>
        <v/>
      </c>
      <c r="U94" s="195">
        <f>IF(R94="","",LOG10(MAX(R94,1E-12)))</f>
        <v/>
      </c>
    </row>
    <row r="95">
      <c r="A95" t="n">
        <v>92</v>
      </c>
      <c r="B95" s="196">
        <f>IF(A95&lt;='入力・概要'!$B$40,10^(LOG10('入力・概要'!$B$38)+(A95-1)*(LOG10('入力・概要'!$B$39)-LOG10('入力・概要'!$B$38))/('入力・概要'!$B$40-1)),"")</f>
        <v/>
      </c>
      <c r="C95" s="195">
        <f>IF(B95="","",2*PI()*B95)</f>
        <v/>
      </c>
      <c r="D95" s="195">
        <f>IF(B95="","",ATANH(MIN(0.999999,(2*'入力・概要'!$B$17*'入力・概要'!$B$6)/'入力・概要'!$B$30))+'入力・概要'!$B$33*SQRT(B95/1E6)+(2*PI()*B95*'入力・概要'!$B$6/(299792458*'入力・概要'!$B$31))*'入力・概要'!$B$32/2)</f>
        <v/>
      </c>
      <c r="E95" s="195">
        <f>IF(B95="","",2*PI()*B95*'入力・概要'!$B$6/(299792458*'入力・概要'!$B$31))</f>
        <v/>
      </c>
      <c r="F95" s="195">
        <f>IF(B95="","",SINH(2*D95)/(COSH(2*D95)+COS(2*E95)))</f>
        <v/>
      </c>
      <c r="G95" s="195">
        <f>IF(B95="","",SIN(2*E95)/(COSH(2*D95)+COS(2*E95)))</f>
        <v/>
      </c>
      <c r="H95" s="195">
        <f>IF(B95="","",'入力・概要'!$B$34)</f>
        <v/>
      </c>
      <c r="I95" s="195">
        <f>IF(B95="","",C95*'入力・概要'!$B$35*1E-9)</f>
        <v/>
      </c>
      <c r="J95" s="195">
        <f>IF(B95="","",H95+'入力・概要'!$B$30*F95)</f>
        <v/>
      </c>
      <c r="K95" s="195">
        <f>IF(B95="","",I95+'入力・概要'!$B$30*G95)</f>
        <v/>
      </c>
      <c r="L95" s="195">
        <f>IF(B95="","",'入力・概要'!$B$30+H95*F95-I95*G95)</f>
        <v/>
      </c>
      <c r="M95" s="195">
        <f>IF(B95="","",H95*G95+I95*F95)</f>
        <v/>
      </c>
      <c r="N95" s="195">
        <f>IF(B95="","",'入力・概要'!$B$30*(J95*L95+K95*M95)/(L95^2+M95^2))</f>
        <v/>
      </c>
      <c r="O95" s="195">
        <f>IF(B95="","",'入力・概要'!$B$30*(K95*L95-J95*M95)/(L95^2+M95^2))</f>
        <v/>
      </c>
      <c r="P95" s="195">
        <f>IF(B95="","",N95+'入力・概要'!$B$36)</f>
        <v/>
      </c>
      <c r="Q95" s="195">
        <f>IF(B95="","",O95+C95*'入力・概要'!$B$37*1E-9)</f>
        <v/>
      </c>
      <c r="R95" s="195">
        <f>IF(B95="","",SQRT(P95^2+Q95^2))</f>
        <v/>
      </c>
      <c r="S95" s="195">
        <f>IF(B95="","",IF(P95&gt;0,DEGREES(ATAN(Q95/P95)),IF(P95&lt;0,IF(Q95&gt;=0,DEGREES(ATAN(Q95/P95))+180,DEGREES(ATAN(Q95/P95))-180),IF(Q95&gt;0,90,IF(Q95&lt;0,-90,0)))))</f>
        <v/>
      </c>
      <c r="T95" s="195">
        <f>IF(B95="","",LOG10(B95))</f>
        <v/>
      </c>
      <c r="U95" s="195">
        <f>IF(R95="","",LOG10(MAX(R95,1E-12)))</f>
        <v/>
      </c>
    </row>
    <row r="96">
      <c r="A96" t="n">
        <v>93</v>
      </c>
      <c r="B96" s="196">
        <f>IF(A96&lt;='入力・概要'!$B$40,10^(LOG10('入力・概要'!$B$38)+(A96-1)*(LOG10('入力・概要'!$B$39)-LOG10('入力・概要'!$B$38))/('入力・概要'!$B$40-1)),"")</f>
        <v/>
      </c>
      <c r="C96" s="195">
        <f>IF(B96="","",2*PI()*B96)</f>
        <v/>
      </c>
      <c r="D96" s="195">
        <f>IF(B96="","",ATANH(MIN(0.999999,(2*'入力・概要'!$B$17*'入力・概要'!$B$6)/'入力・概要'!$B$30))+'入力・概要'!$B$33*SQRT(B96/1E6)+(2*PI()*B96*'入力・概要'!$B$6/(299792458*'入力・概要'!$B$31))*'入力・概要'!$B$32/2)</f>
        <v/>
      </c>
      <c r="E96" s="195">
        <f>IF(B96="","",2*PI()*B96*'入力・概要'!$B$6/(299792458*'入力・概要'!$B$31))</f>
        <v/>
      </c>
      <c r="F96" s="195">
        <f>IF(B96="","",SINH(2*D96)/(COSH(2*D96)+COS(2*E96)))</f>
        <v/>
      </c>
      <c r="G96" s="195">
        <f>IF(B96="","",SIN(2*E96)/(COSH(2*D96)+COS(2*E96)))</f>
        <v/>
      </c>
      <c r="H96" s="195">
        <f>IF(B96="","",'入力・概要'!$B$34)</f>
        <v/>
      </c>
      <c r="I96" s="195">
        <f>IF(B96="","",C96*'入力・概要'!$B$35*1E-9)</f>
        <v/>
      </c>
      <c r="J96" s="195">
        <f>IF(B96="","",H96+'入力・概要'!$B$30*F96)</f>
        <v/>
      </c>
      <c r="K96" s="195">
        <f>IF(B96="","",I96+'入力・概要'!$B$30*G96)</f>
        <v/>
      </c>
      <c r="L96" s="195">
        <f>IF(B96="","",'入力・概要'!$B$30+H96*F96-I96*G96)</f>
        <v/>
      </c>
      <c r="M96" s="195">
        <f>IF(B96="","",H96*G96+I96*F96)</f>
        <v/>
      </c>
      <c r="N96" s="195">
        <f>IF(B96="","",'入力・概要'!$B$30*(J96*L96+K96*M96)/(L96^2+M96^2))</f>
        <v/>
      </c>
      <c r="O96" s="195">
        <f>IF(B96="","",'入力・概要'!$B$30*(K96*L96-J96*M96)/(L96^2+M96^2))</f>
        <v/>
      </c>
      <c r="P96" s="195">
        <f>IF(B96="","",N96+'入力・概要'!$B$36)</f>
        <v/>
      </c>
      <c r="Q96" s="195">
        <f>IF(B96="","",O96+C96*'入力・概要'!$B$37*1E-9)</f>
        <v/>
      </c>
      <c r="R96" s="195">
        <f>IF(B96="","",SQRT(P96^2+Q96^2))</f>
        <v/>
      </c>
      <c r="S96" s="195">
        <f>IF(B96="","",IF(P96&gt;0,DEGREES(ATAN(Q96/P96)),IF(P96&lt;0,IF(Q96&gt;=0,DEGREES(ATAN(Q96/P96))+180,DEGREES(ATAN(Q96/P96))-180),IF(Q96&gt;0,90,IF(Q96&lt;0,-90,0)))))</f>
        <v/>
      </c>
      <c r="T96" s="195">
        <f>IF(B96="","",LOG10(B96))</f>
        <v/>
      </c>
      <c r="U96" s="195">
        <f>IF(R96="","",LOG10(MAX(R96,1E-12)))</f>
        <v/>
      </c>
    </row>
    <row r="97">
      <c r="A97" t="n">
        <v>94</v>
      </c>
      <c r="B97" s="196">
        <f>IF(A97&lt;='入力・概要'!$B$40,10^(LOG10('入力・概要'!$B$38)+(A97-1)*(LOG10('入力・概要'!$B$39)-LOG10('入力・概要'!$B$38))/('入力・概要'!$B$40-1)),"")</f>
        <v/>
      </c>
      <c r="C97" s="195">
        <f>IF(B97="","",2*PI()*B97)</f>
        <v/>
      </c>
      <c r="D97" s="195">
        <f>IF(B97="","",ATANH(MIN(0.999999,(2*'入力・概要'!$B$17*'入力・概要'!$B$6)/'入力・概要'!$B$30))+'入力・概要'!$B$33*SQRT(B97/1E6)+(2*PI()*B97*'入力・概要'!$B$6/(299792458*'入力・概要'!$B$31))*'入力・概要'!$B$32/2)</f>
        <v/>
      </c>
      <c r="E97" s="195">
        <f>IF(B97="","",2*PI()*B97*'入力・概要'!$B$6/(299792458*'入力・概要'!$B$31))</f>
        <v/>
      </c>
      <c r="F97" s="195">
        <f>IF(B97="","",SINH(2*D97)/(COSH(2*D97)+COS(2*E97)))</f>
        <v/>
      </c>
      <c r="G97" s="195">
        <f>IF(B97="","",SIN(2*E97)/(COSH(2*D97)+COS(2*E97)))</f>
        <v/>
      </c>
      <c r="H97" s="195">
        <f>IF(B97="","",'入力・概要'!$B$34)</f>
        <v/>
      </c>
      <c r="I97" s="195">
        <f>IF(B97="","",C97*'入力・概要'!$B$35*1E-9)</f>
        <v/>
      </c>
      <c r="J97" s="195">
        <f>IF(B97="","",H97+'入力・概要'!$B$30*F97)</f>
        <v/>
      </c>
      <c r="K97" s="195">
        <f>IF(B97="","",I97+'入力・概要'!$B$30*G97)</f>
        <v/>
      </c>
      <c r="L97" s="195">
        <f>IF(B97="","",'入力・概要'!$B$30+H97*F97-I97*G97)</f>
        <v/>
      </c>
      <c r="M97" s="195">
        <f>IF(B97="","",H97*G97+I97*F97)</f>
        <v/>
      </c>
      <c r="N97" s="195">
        <f>IF(B97="","",'入力・概要'!$B$30*(J97*L97+K97*M97)/(L97^2+M97^2))</f>
        <v/>
      </c>
      <c r="O97" s="195">
        <f>IF(B97="","",'入力・概要'!$B$30*(K97*L97-J97*M97)/(L97^2+M97^2))</f>
        <v/>
      </c>
      <c r="P97" s="195">
        <f>IF(B97="","",N97+'入力・概要'!$B$36)</f>
        <v/>
      </c>
      <c r="Q97" s="195">
        <f>IF(B97="","",O97+C97*'入力・概要'!$B$37*1E-9)</f>
        <v/>
      </c>
      <c r="R97" s="195">
        <f>IF(B97="","",SQRT(P97^2+Q97^2))</f>
        <v/>
      </c>
      <c r="S97" s="195">
        <f>IF(B97="","",IF(P97&gt;0,DEGREES(ATAN(Q97/P97)),IF(P97&lt;0,IF(Q97&gt;=0,DEGREES(ATAN(Q97/P97))+180,DEGREES(ATAN(Q97/P97))-180),IF(Q97&gt;0,90,IF(Q97&lt;0,-90,0)))))</f>
        <v/>
      </c>
      <c r="T97" s="195">
        <f>IF(B97="","",LOG10(B97))</f>
        <v/>
      </c>
      <c r="U97" s="195">
        <f>IF(R97="","",LOG10(MAX(R97,1E-12)))</f>
        <v/>
      </c>
    </row>
    <row r="98">
      <c r="A98" t="n">
        <v>95</v>
      </c>
      <c r="B98" s="196">
        <f>IF(A98&lt;='入力・概要'!$B$40,10^(LOG10('入力・概要'!$B$38)+(A98-1)*(LOG10('入力・概要'!$B$39)-LOG10('入力・概要'!$B$38))/('入力・概要'!$B$40-1)),"")</f>
        <v/>
      </c>
      <c r="C98" s="195">
        <f>IF(B98="","",2*PI()*B98)</f>
        <v/>
      </c>
      <c r="D98" s="195">
        <f>IF(B98="","",ATANH(MIN(0.999999,(2*'入力・概要'!$B$17*'入力・概要'!$B$6)/'入力・概要'!$B$30))+'入力・概要'!$B$33*SQRT(B98/1E6)+(2*PI()*B98*'入力・概要'!$B$6/(299792458*'入力・概要'!$B$31))*'入力・概要'!$B$32/2)</f>
        <v/>
      </c>
      <c r="E98" s="195">
        <f>IF(B98="","",2*PI()*B98*'入力・概要'!$B$6/(299792458*'入力・概要'!$B$31))</f>
        <v/>
      </c>
      <c r="F98" s="195">
        <f>IF(B98="","",SINH(2*D98)/(COSH(2*D98)+COS(2*E98)))</f>
        <v/>
      </c>
      <c r="G98" s="195">
        <f>IF(B98="","",SIN(2*E98)/(COSH(2*D98)+COS(2*E98)))</f>
        <v/>
      </c>
      <c r="H98" s="195">
        <f>IF(B98="","",'入力・概要'!$B$34)</f>
        <v/>
      </c>
      <c r="I98" s="195">
        <f>IF(B98="","",C98*'入力・概要'!$B$35*1E-9)</f>
        <v/>
      </c>
      <c r="J98" s="195">
        <f>IF(B98="","",H98+'入力・概要'!$B$30*F98)</f>
        <v/>
      </c>
      <c r="K98" s="195">
        <f>IF(B98="","",I98+'入力・概要'!$B$30*G98)</f>
        <v/>
      </c>
      <c r="L98" s="195">
        <f>IF(B98="","",'入力・概要'!$B$30+H98*F98-I98*G98)</f>
        <v/>
      </c>
      <c r="M98" s="195">
        <f>IF(B98="","",H98*G98+I98*F98)</f>
        <v/>
      </c>
      <c r="N98" s="195">
        <f>IF(B98="","",'入力・概要'!$B$30*(J98*L98+K98*M98)/(L98^2+M98^2))</f>
        <v/>
      </c>
      <c r="O98" s="195">
        <f>IF(B98="","",'入力・概要'!$B$30*(K98*L98-J98*M98)/(L98^2+M98^2))</f>
        <v/>
      </c>
      <c r="P98" s="195">
        <f>IF(B98="","",N98+'入力・概要'!$B$36)</f>
        <v/>
      </c>
      <c r="Q98" s="195">
        <f>IF(B98="","",O98+C98*'入力・概要'!$B$37*1E-9)</f>
        <v/>
      </c>
      <c r="R98" s="195">
        <f>IF(B98="","",SQRT(P98^2+Q98^2))</f>
        <v/>
      </c>
      <c r="S98" s="195">
        <f>IF(B98="","",IF(P98&gt;0,DEGREES(ATAN(Q98/P98)),IF(P98&lt;0,IF(Q98&gt;=0,DEGREES(ATAN(Q98/P98))+180,DEGREES(ATAN(Q98/P98))-180),IF(Q98&gt;0,90,IF(Q98&lt;0,-90,0)))))</f>
        <v/>
      </c>
      <c r="T98" s="195">
        <f>IF(B98="","",LOG10(B98))</f>
        <v/>
      </c>
      <c r="U98" s="195">
        <f>IF(R98="","",LOG10(MAX(R98,1E-12)))</f>
        <v/>
      </c>
    </row>
    <row r="99">
      <c r="A99" t="n">
        <v>96</v>
      </c>
      <c r="B99" s="196">
        <f>IF(A99&lt;='入力・概要'!$B$40,10^(LOG10('入力・概要'!$B$38)+(A99-1)*(LOG10('入力・概要'!$B$39)-LOG10('入力・概要'!$B$38))/('入力・概要'!$B$40-1)),"")</f>
        <v/>
      </c>
      <c r="C99" s="195">
        <f>IF(B99="","",2*PI()*B99)</f>
        <v/>
      </c>
      <c r="D99" s="195">
        <f>IF(B99="","",ATANH(MIN(0.999999,(2*'入力・概要'!$B$17*'入力・概要'!$B$6)/'入力・概要'!$B$30))+'入力・概要'!$B$33*SQRT(B99/1E6)+(2*PI()*B99*'入力・概要'!$B$6/(299792458*'入力・概要'!$B$31))*'入力・概要'!$B$32/2)</f>
        <v/>
      </c>
      <c r="E99" s="195">
        <f>IF(B99="","",2*PI()*B99*'入力・概要'!$B$6/(299792458*'入力・概要'!$B$31))</f>
        <v/>
      </c>
      <c r="F99" s="195">
        <f>IF(B99="","",SINH(2*D99)/(COSH(2*D99)+COS(2*E99)))</f>
        <v/>
      </c>
      <c r="G99" s="195">
        <f>IF(B99="","",SIN(2*E99)/(COSH(2*D99)+COS(2*E99)))</f>
        <v/>
      </c>
      <c r="H99" s="195">
        <f>IF(B99="","",'入力・概要'!$B$34)</f>
        <v/>
      </c>
      <c r="I99" s="195">
        <f>IF(B99="","",C99*'入力・概要'!$B$35*1E-9)</f>
        <v/>
      </c>
      <c r="J99" s="195">
        <f>IF(B99="","",H99+'入力・概要'!$B$30*F99)</f>
        <v/>
      </c>
      <c r="K99" s="195">
        <f>IF(B99="","",I99+'入力・概要'!$B$30*G99)</f>
        <v/>
      </c>
      <c r="L99" s="195">
        <f>IF(B99="","",'入力・概要'!$B$30+H99*F99-I99*G99)</f>
        <v/>
      </c>
      <c r="M99" s="195">
        <f>IF(B99="","",H99*G99+I99*F99)</f>
        <v/>
      </c>
      <c r="N99" s="195">
        <f>IF(B99="","",'入力・概要'!$B$30*(J99*L99+K99*M99)/(L99^2+M99^2))</f>
        <v/>
      </c>
      <c r="O99" s="195">
        <f>IF(B99="","",'入力・概要'!$B$30*(K99*L99-J99*M99)/(L99^2+M99^2))</f>
        <v/>
      </c>
      <c r="P99" s="195">
        <f>IF(B99="","",N99+'入力・概要'!$B$36)</f>
        <v/>
      </c>
      <c r="Q99" s="195">
        <f>IF(B99="","",O99+C99*'入力・概要'!$B$37*1E-9)</f>
        <v/>
      </c>
      <c r="R99" s="195">
        <f>IF(B99="","",SQRT(P99^2+Q99^2))</f>
        <v/>
      </c>
      <c r="S99" s="195">
        <f>IF(B99="","",IF(P99&gt;0,DEGREES(ATAN(Q99/P99)),IF(P99&lt;0,IF(Q99&gt;=0,DEGREES(ATAN(Q99/P99))+180,DEGREES(ATAN(Q99/P99))-180),IF(Q99&gt;0,90,IF(Q99&lt;0,-90,0)))))</f>
        <v/>
      </c>
      <c r="T99" s="195">
        <f>IF(B99="","",LOG10(B99))</f>
        <v/>
      </c>
      <c r="U99" s="195">
        <f>IF(R99="","",LOG10(MAX(R99,1E-12)))</f>
        <v/>
      </c>
    </row>
    <row r="100">
      <c r="A100" t="n">
        <v>97</v>
      </c>
      <c r="B100" s="196">
        <f>IF(A100&lt;='入力・概要'!$B$40,10^(LOG10('入力・概要'!$B$38)+(A100-1)*(LOG10('入力・概要'!$B$39)-LOG10('入力・概要'!$B$38))/('入力・概要'!$B$40-1)),"")</f>
        <v/>
      </c>
      <c r="C100" s="195">
        <f>IF(B100="","",2*PI()*B100)</f>
        <v/>
      </c>
      <c r="D100" s="195">
        <f>IF(B100="","",ATANH(MIN(0.999999,(2*'入力・概要'!$B$17*'入力・概要'!$B$6)/'入力・概要'!$B$30))+'入力・概要'!$B$33*SQRT(B100/1E6)+(2*PI()*B100*'入力・概要'!$B$6/(299792458*'入力・概要'!$B$31))*'入力・概要'!$B$32/2)</f>
        <v/>
      </c>
      <c r="E100" s="195">
        <f>IF(B100="","",2*PI()*B100*'入力・概要'!$B$6/(299792458*'入力・概要'!$B$31))</f>
        <v/>
      </c>
      <c r="F100" s="195">
        <f>IF(B100="","",SINH(2*D100)/(COSH(2*D100)+COS(2*E100)))</f>
        <v/>
      </c>
      <c r="G100" s="195">
        <f>IF(B100="","",SIN(2*E100)/(COSH(2*D100)+COS(2*E100)))</f>
        <v/>
      </c>
      <c r="H100" s="195">
        <f>IF(B100="","",'入力・概要'!$B$34)</f>
        <v/>
      </c>
      <c r="I100" s="195">
        <f>IF(B100="","",C100*'入力・概要'!$B$35*1E-9)</f>
        <v/>
      </c>
      <c r="J100" s="195">
        <f>IF(B100="","",H100+'入力・概要'!$B$30*F100)</f>
        <v/>
      </c>
      <c r="K100" s="195">
        <f>IF(B100="","",I100+'入力・概要'!$B$30*G100)</f>
        <v/>
      </c>
      <c r="L100" s="195">
        <f>IF(B100="","",'入力・概要'!$B$30+H100*F100-I100*G100)</f>
        <v/>
      </c>
      <c r="M100" s="195">
        <f>IF(B100="","",H100*G100+I100*F100)</f>
        <v/>
      </c>
      <c r="N100" s="195">
        <f>IF(B100="","",'入力・概要'!$B$30*(J100*L100+K100*M100)/(L100^2+M100^2))</f>
        <v/>
      </c>
      <c r="O100" s="195">
        <f>IF(B100="","",'入力・概要'!$B$30*(K100*L100-J100*M100)/(L100^2+M100^2))</f>
        <v/>
      </c>
      <c r="P100" s="195">
        <f>IF(B100="","",N100+'入力・概要'!$B$36)</f>
        <v/>
      </c>
      <c r="Q100" s="195">
        <f>IF(B100="","",O100+C100*'入力・概要'!$B$37*1E-9)</f>
        <v/>
      </c>
      <c r="R100" s="195">
        <f>IF(B100="","",SQRT(P100^2+Q100^2))</f>
        <v/>
      </c>
      <c r="S100" s="195">
        <f>IF(B100="","",IF(P100&gt;0,DEGREES(ATAN(Q100/P100)),IF(P100&lt;0,IF(Q100&gt;=0,DEGREES(ATAN(Q100/P100))+180,DEGREES(ATAN(Q100/P100))-180),IF(Q100&gt;0,90,IF(Q100&lt;0,-90,0)))))</f>
        <v/>
      </c>
      <c r="T100" s="195">
        <f>IF(B100="","",LOG10(B100))</f>
        <v/>
      </c>
      <c r="U100" s="195">
        <f>IF(R100="","",LOG10(MAX(R100,1E-12)))</f>
        <v/>
      </c>
    </row>
    <row r="101">
      <c r="A101" t="n">
        <v>98</v>
      </c>
      <c r="B101" s="196">
        <f>IF(A101&lt;='入力・概要'!$B$40,10^(LOG10('入力・概要'!$B$38)+(A101-1)*(LOG10('入力・概要'!$B$39)-LOG10('入力・概要'!$B$38))/('入力・概要'!$B$40-1)),"")</f>
        <v/>
      </c>
      <c r="C101" s="195">
        <f>IF(B101="","",2*PI()*B101)</f>
        <v/>
      </c>
      <c r="D101" s="195">
        <f>IF(B101="","",ATANH(MIN(0.999999,(2*'入力・概要'!$B$17*'入力・概要'!$B$6)/'入力・概要'!$B$30))+'入力・概要'!$B$33*SQRT(B101/1E6)+(2*PI()*B101*'入力・概要'!$B$6/(299792458*'入力・概要'!$B$31))*'入力・概要'!$B$32/2)</f>
        <v/>
      </c>
      <c r="E101" s="195">
        <f>IF(B101="","",2*PI()*B101*'入力・概要'!$B$6/(299792458*'入力・概要'!$B$31))</f>
        <v/>
      </c>
      <c r="F101" s="195">
        <f>IF(B101="","",SINH(2*D101)/(COSH(2*D101)+COS(2*E101)))</f>
        <v/>
      </c>
      <c r="G101" s="195">
        <f>IF(B101="","",SIN(2*E101)/(COSH(2*D101)+COS(2*E101)))</f>
        <v/>
      </c>
      <c r="H101" s="195">
        <f>IF(B101="","",'入力・概要'!$B$34)</f>
        <v/>
      </c>
      <c r="I101" s="195">
        <f>IF(B101="","",C101*'入力・概要'!$B$35*1E-9)</f>
        <v/>
      </c>
      <c r="J101" s="195">
        <f>IF(B101="","",H101+'入力・概要'!$B$30*F101)</f>
        <v/>
      </c>
      <c r="K101" s="195">
        <f>IF(B101="","",I101+'入力・概要'!$B$30*G101)</f>
        <v/>
      </c>
      <c r="L101" s="195">
        <f>IF(B101="","",'入力・概要'!$B$30+H101*F101-I101*G101)</f>
        <v/>
      </c>
      <c r="M101" s="195">
        <f>IF(B101="","",H101*G101+I101*F101)</f>
        <v/>
      </c>
      <c r="N101" s="195">
        <f>IF(B101="","",'入力・概要'!$B$30*(J101*L101+K101*M101)/(L101^2+M101^2))</f>
        <v/>
      </c>
      <c r="O101" s="195">
        <f>IF(B101="","",'入力・概要'!$B$30*(K101*L101-J101*M101)/(L101^2+M101^2))</f>
        <v/>
      </c>
      <c r="P101" s="195">
        <f>IF(B101="","",N101+'入力・概要'!$B$36)</f>
        <v/>
      </c>
      <c r="Q101" s="195">
        <f>IF(B101="","",O101+C101*'入力・概要'!$B$37*1E-9)</f>
        <v/>
      </c>
      <c r="R101" s="195">
        <f>IF(B101="","",SQRT(P101^2+Q101^2))</f>
        <v/>
      </c>
      <c r="S101" s="195">
        <f>IF(B101="","",IF(P101&gt;0,DEGREES(ATAN(Q101/P101)),IF(P101&lt;0,IF(Q101&gt;=0,DEGREES(ATAN(Q101/P101))+180,DEGREES(ATAN(Q101/P101))-180),IF(Q101&gt;0,90,IF(Q101&lt;0,-90,0)))))</f>
        <v/>
      </c>
      <c r="T101" s="195">
        <f>IF(B101="","",LOG10(B101))</f>
        <v/>
      </c>
      <c r="U101" s="195">
        <f>IF(R101="","",LOG10(MAX(R101,1E-12)))</f>
        <v/>
      </c>
    </row>
    <row r="102">
      <c r="A102" t="n">
        <v>99</v>
      </c>
      <c r="B102" s="196">
        <f>IF(A102&lt;='入力・概要'!$B$40,10^(LOG10('入力・概要'!$B$38)+(A102-1)*(LOG10('入力・概要'!$B$39)-LOG10('入力・概要'!$B$38))/('入力・概要'!$B$40-1)),"")</f>
        <v/>
      </c>
      <c r="C102" s="195">
        <f>IF(B102="","",2*PI()*B102)</f>
        <v/>
      </c>
      <c r="D102" s="195">
        <f>IF(B102="","",ATANH(MIN(0.999999,(2*'入力・概要'!$B$17*'入力・概要'!$B$6)/'入力・概要'!$B$30))+'入力・概要'!$B$33*SQRT(B102/1E6)+(2*PI()*B102*'入力・概要'!$B$6/(299792458*'入力・概要'!$B$31))*'入力・概要'!$B$32/2)</f>
        <v/>
      </c>
      <c r="E102" s="195">
        <f>IF(B102="","",2*PI()*B102*'入力・概要'!$B$6/(299792458*'入力・概要'!$B$31))</f>
        <v/>
      </c>
      <c r="F102" s="195">
        <f>IF(B102="","",SINH(2*D102)/(COSH(2*D102)+COS(2*E102)))</f>
        <v/>
      </c>
      <c r="G102" s="195">
        <f>IF(B102="","",SIN(2*E102)/(COSH(2*D102)+COS(2*E102)))</f>
        <v/>
      </c>
      <c r="H102" s="195">
        <f>IF(B102="","",'入力・概要'!$B$34)</f>
        <v/>
      </c>
      <c r="I102" s="195">
        <f>IF(B102="","",C102*'入力・概要'!$B$35*1E-9)</f>
        <v/>
      </c>
      <c r="J102" s="195">
        <f>IF(B102="","",H102+'入力・概要'!$B$30*F102)</f>
        <v/>
      </c>
      <c r="K102" s="195">
        <f>IF(B102="","",I102+'入力・概要'!$B$30*G102)</f>
        <v/>
      </c>
      <c r="L102" s="195">
        <f>IF(B102="","",'入力・概要'!$B$30+H102*F102-I102*G102)</f>
        <v/>
      </c>
      <c r="M102" s="195">
        <f>IF(B102="","",H102*G102+I102*F102)</f>
        <v/>
      </c>
      <c r="N102" s="195">
        <f>IF(B102="","",'入力・概要'!$B$30*(J102*L102+K102*M102)/(L102^2+M102^2))</f>
        <v/>
      </c>
      <c r="O102" s="195">
        <f>IF(B102="","",'入力・概要'!$B$30*(K102*L102-J102*M102)/(L102^2+M102^2))</f>
        <v/>
      </c>
      <c r="P102" s="195">
        <f>IF(B102="","",N102+'入力・概要'!$B$36)</f>
        <v/>
      </c>
      <c r="Q102" s="195">
        <f>IF(B102="","",O102+C102*'入力・概要'!$B$37*1E-9)</f>
        <v/>
      </c>
      <c r="R102" s="195">
        <f>IF(B102="","",SQRT(P102^2+Q102^2))</f>
        <v/>
      </c>
      <c r="S102" s="195">
        <f>IF(B102="","",IF(P102&gt;0,DEGREES(ATAN(Q102/P102)),IF(P102&lt;0,IF(Q102&gt;=0,DEGREES(ATAN(Q102/P102))+180,DEGREES(ATAN(Q102/P102))-180),IF(Q102&gt;0,90,IF(Q102&lt;0,-90,0)))))</f>
        <v/>
      </c>
      <c r="T102" s="195">
        <f>IF(B102="","",LOG10(B102))</f>
        <v/>
      </c>
      <c r="U102" s="195">
        <f>IF(R102="","",LOG10(MAX(R102,1E-12)))</f>
        <v/>
      </c>
    </row>
    <row r="103">
      <c r="A103" t="n">
        <v>100</v>
      </c>
      <c r="B103" s="196">
        <f>IF(A103&lt;='入力・概要'!$B$40,10^(LOG10('入力・概要'!$B$38)+(A103-1)*(LOG10('入力・概要'!$B$39)-LOG10('入力・概要'!$B$38))/('入力・概要'!$B$40-1)),"")</f>
        <v/>
      </c>
      <c r="C103" s="195">
        <f>IF(B103="","",2*PI()*B103)</f>
        <v/>
      </c>
      <c r="D103" s="195">
        <f>IF(B103="","",ATANH(MIN(0.999999,(2*'入力・概要'!$B$17*'入力・概要'!$B$6)/'入力・概要'!$B$30))+'入力・概要'!$B$33*SQRT(B103/1E6)+(2*PI()*B103*'入力・概要'!$B$6/(299792458*'入力・概要'!$B$31))*'入力・概要'!$B$32/2)</f>
        <v/>
      </c>
      <c r="E103" s="195">
        <f>IF(B103="","",2*PI()*B103*'入力・概要'!$B$6/(299792458*'入力・概要'!$B$31))</f>
        <v/>
      </c>
      <c r="F103" s="195">
        <f>IF(B103="","",SINH(2*D103)/(COSH(2*D103)+COS(2*E103)))</f>
        <v/>
      </c>
      <c r="G103" s="195">
        <f>IF(B103="","",SIN(2*E103)/(COSH(2*D103)+COS(2*E103)))</f>
        <v/>
      </c>
      <c r="H103" s="195">
        <f>IF(B103="","",'入力・概要'!$B$34)</f>
        <v/>
      </c>
      <c r="I103" s="195">
        <f>IF(B103="","",C103*'入力・概要'!$B$35*1E-9)</f>
        <v/>
      </c>
      <c r="J103" s="195">
        <f>IF(B103="","",H103+'入力・概要'!$B$30*F103)</f>
        <v/>
      </c>
      <c r="K103" s="195">
        <f>IF(B103="","",I103+'入力・概要'!$B$30*G103)</f>
        <v/>
      </c>
      <c r="L103" s="195">
        <f>IF(B103="","",'入力・概要'!$B$30+H103*F103-I103*G103)</f>
        <v/>
      </c>
      <c r="M103" s="195">
        <f>IF(B103="","",H103*G103+I103*F103)</f>
        <v/>
      </c>
      <c r="N103" s="195">
        <f>IF(B103="","",'入力・概要'!$B$30*(J103*L103+K103*M103)/(L103^2+M103^2))</f>
        <v/>
      </c>
      <c r="O103" s="195">
        <f>IF(B103="","",'入力・概要'!$B$30*(K103*L103-J103*M103)/(L103^2+M103^2))</f>
        <v/>
      </c>
      <c r="P103" s="195">
        <f>IF(B103="","",N103+'入力・概要'!$B$36)</f>
        <v/>
      </c>
      <c r="Q103" s="195">
        <f>IF(B103="","",O103+C103*'入力・概要'!$B$37*1E-9)</f>
        <v/>
      </c>
      <c r="R103" s="195">
        <f>IF(B103="","",SQRT(P103^2+Q103^2))</f>
        <v/>
      </c>
      <c r="S103" s="195">
        <f>IF(B103="","",IF(P103&gt;0,DEGREES(ATAN(Q103/P103)),IF(P103&lt;0,IF(Q103&gt;=0,DEGREES(ATAN(Q103/P103))+180,DEGREES(ATAN(Q103/P103))-180),IF(Q103&gt;0,90,IF(Q103&lt;0,-90,0)))))</f>
        <v/>
      </c>
      <c r="T103" s="195">
        <f>IF(B103="","",LOG10(B103))</f>
        <v/>
      </c>
      <c r="U103" s="195">
        <f>IF(R103="","",LOG10(MAX(R103,1E-12)))</f>
        <v/>
      </c>
    </row>
    <row r="104">
      <c r="A104" t="n">
        <v>101</v>
      </c>
      <c r="B104" s="196">
        <f>IF(A104&lt;='入力・概要'!$B$40,10^(LOG10('入力・概要'!$B$38)+(A104-1)*(LOG10('入力・概要'!$B$39)-LOG10('入力・概要'!$B$38))/('入力・概要'!$B$40-1)),"")</f>
        <v/>
      </c>
      <c r="C104" s="195">
        <f>IF(B104="","",2*PI()*B104)</f>
        <v/>
      </c>
      <c r="D104" s="195">
        <f>IF(B104="","",ATANH(MIN(0.999999,(2*'入力・概要'!$B$17*'入力・概要'!$B$6)/'入力・概要'!$B$30))+'入力・概要'!$B$33*SQRT(B104/1E6)+(2*PI()*B104*'入力・概要'!$B$6/(299792458*'入力・概要'!$B$31))*'入力・概要'!$B$32/2)</f>
        <v/>
      </c>
      <c r="E104" s="195">
        <f>IF(B104="","",2*PI()*B104*'入力・概要'!$B$6/(299792458*'入力・概要'!$B$31))</f>
        <v/>
      </c>
      <c r="F104" s="195">
        <f>IF(B104="","",SINH(2*D104)/(COSH(2*D104)+COS(2*E104)))</f>
        <v/>
      </c>
      <c r="G104" s="195">
        <f>IF(B104="","",SIN(2*E104)/(COSH(2*D104)+COS(2*E104)))</f>
        <v/>
      </c>
      <c r="H104" s="195">
        <f>IF(B104="","",'入力・概要'!$B$34)</f>
        <v/>
      </c>
      <c r="I104" s="195">
        <f>IF(B104="","",C104*'入力・概要'!$B$35*1E-9)</f>
        <v/>
      </c>
      <c r="J104" s="195">
        <f>IF(B104="","",H104+'入力・概要'!$B$30*F104)</f>
        <v/>
      </c>
      <c r="K104" s="195">
        <f>IF(B104="","",I104+'入力・概要'!$B$30*G104)</f>
        <v/>
      </c>
      <c r="L104" s="195">
        <f>IF(B104="","",'入力・概要'!$B$30+H104*F104-I104*G104)</f>
        <v/>
      </c>
      <c r="M104" s="195">
        <f>IF(B104="","",H104*G104+I104*F104)</f>
        <v/>
      </c>
      <c r="N104" s="195">
        <f>IF(B104="","",'入力・概要'!$B$30*(J104*L104+K104*M104)/(L104^2+M104^2))</f>
        <v/>
      </c>
      <c r="O104" s="195">
        <f>IF(B104="","",'入力・概要'!$B$30*(K104*L104-J104*M104)/(L104^2+M104^2))</f>
        <v/>
      </c>
      <c r="P104" s="195">
        <f>IF(B104="","",N104+'入力・概要'!$B$36)</f>
        <v/>
      </c>
      <c r="Q104" s="195">
        <f>IF(B104="","",O104+C104*'入力・概要'!$B$37*1E-9)</f>
        <v/>
      </c>
      <c r="R104" s="195">
        <f>IF(B104="","",SQRT(P104^2+Q104^2))</f>
        <v/>
      </c>
      <c r="S104" s="195">
        <f>IF(B104="","",IF(P104&gt;0,DEGREES(ATAN(Q104/P104)),IF(P104&lt;0,IF(Q104&gt;=0,DEGREES(ATAN(Q104/P104))+180,DEGREES(ATAN(Q104/P104))-180),IF(Q104&gt;0,90,IF(Q104&lt;0,-90,0)))))</f>
        <v/>
      </c>
      <c r="T104" s="195">
        <f>IF(B104="","",LOG10(B104))</f>
        <v/>
      </c>
      <c r="U104" s="195">
        <f>IF(R104="","",LOG10(MAX(R104,1E-12)))</f>
        <v/>
      </c>
    </row>
    <row r="105">
      <c r="A105" t="n">
        <v>102</v>
      </c>
      <c r="B105" s="196">
        <f>IF(A105&lt;='入力・概要'!$B$40,10^(LOG10('入力・概要'!$B$38)+(A105-1)*(LOG10('入力・概要'!$B$39)-LOG10('入力・概要'!$B$38))/('入力・概要'!$B$40-1)),"")</f>
        <v/>
      </c>
      <c r="C105" s="195">
        <f>IF(B105="","",2*PI()*B105)</f>
        <v/>
      </c>
      <c r="D105" s="195">
        <f>IF(B105="","",ATANH(MIN(0.999999,(2*'入力・概要'!$B$17*'入力・概要'!$B$6)/'入力・概要'!$B$30))+'入力・概要'!$B$33*SQRT(B105/1E6)+(2*PI()*B105*'入力・概要'!$B$6/(299792458*'入力・概要'!$B$31))*'入力・概要'!$B$32/2)</f>
        <v/>
      </c>
      <c r="E105" s="195">
        <f>IF(B105="","",2*PI()*B105*'入力・概要'!$B$6/(299792458*'入力・概要'!$B$31))</f>
        <v/>
      </c>
      <c r="F105" s="195">
        <f>IF(B105="","",SINH(2*D105)/(COSH(2*D105)+COS(2*E105)))</f>
        <v/>
      </c>
      <c r="G105" s="195">
        <f>IF(B105="","",SIN(2*E105)/(COSH(2*D105)+COS(2*E105)))</f>
        <v/>
      </c>
      <c r="H105" s="195">
        <f>IF(B105="","",'入力・概要'!$B$34)</f>
        <v/>
      </c>
      <c r="I105" s="195">
        <f>IF(B105="","",C105*'入力・概要'!$B$35*1E-9)</f>
        <v/>
      </c>
      <c r="J105" s="195">
        <f>IF(B105="","",H105+'入力・概要'!$B$30*F105)</f>
        <v/>
      </c>
      <c r="K105" s="195">
        <f>IF(B105="","",I105+'入力・概要'!$B$30*G105)</f>
        <v/>
      </c>
      <c r="L105" s="195">
        <f>IF(B105="","",'入力・概要'!$B$30+H105*F105-I105*G105)</f>
        <v/>
      </c>
      <c r="M105" s="195">
        <f>IF(B105="","",H105*G105+I105*F105)</f>
        <v/>
      </c>
      <c r="N105" s="195">
        <f>IF(B105="","",'入力・概要'!$B$30*(J105*L105+K105*M105)/(L105^2+M105^2))</f>
        <v/>
      </c>
      <c r="O105" s="195">
        <f>IF(B105="","",'入力・概要'!$B$30*(K105*L105-J105*M105)/(L105^2+M105^2))</f>
        <v/>
      </c>
      <c r="P105" s="195">
        <f>IF(B105="","",N105+'入力・概要'!$B$36)</f>
        <v/>
      </c>
      <c r="Q105" s="195">
        <f>IF(B105="","",O105+C105*'入力・概要'!$B$37*1E-9)</f>
        <v/>
      </c>
      <c r="R105" s="195">
        <f>IF(B105="","",SQRT(P105^2+Q105^2))</f>
        <v/>
      </c>
      <c r="S105" s="195">
        <f>IF(B105="","",IF(P105&gt;0,DEGREES(ATAN(Q105/P105)),IF(P105&lt;0,IF(Q105&gt;=0,DEGREES(ATAN(Q105/P105))+180,DEGREES(ATAN(Q105/P105))-180),IF(Q105&gt;0,90,IF(Q105&lt;0,-90,0)))))</f>
        <v/>
      </c>
      <c r="T105" s="195">
        <f>IF(B105="","",LOG10(B105))</f>
        <v/>
      </c>
      <c r="U105" s="195">
        <f>IF(R105="","",LOG10(MAX(R105,1E-12)))</f>
        <v/>
      </c>
    </row>
    <row r="106">
      <c r="A106" t="n">
        <v>103</v>
      </c>
      <c r="B106" s="196">
        <f>IF(A106&lt;='入力・概要'!$B$40,10^(LOG10('入力・概要'!$B$38)+(A106-1)*(LOG10('入力・概要'!$B$39)-LOG10('入力・概要'!$B$38))/('入力・概要'!$B$40-1)),"")</f>
        <v/>
      </c>
      <c r="C106" s="195">
        <f>IF(B106="","",2*PI()*B106)</f>
        <v/>
      </c>
      <c r="D106" s="195">
        <f>IF(B106="","",ATANH(MIN(0.999999,(2*'入力・概要'!$B$17*'入力・概要'!$B$6)/'入力・概要'!$B$30))+'入力・概要'!$B$33*SQRT(B106/1E6)+(2*PI()*B106*'入力・概要'!$B$6/(299792458*'入力・概要'!$B$31))*'入力・概要'!$B$32/2)</f>
        <v/>
      </c>
      <c r="E106" s="195">
        <f>IF(B106="","",2*PI()*B106*'入力・概要'!$B$6/(299792458*'入力・概要'!$B$31))</f>
        <v/>
      </c>
      <c r="F106" s="195">
        <f>IF(B106="","",SINH(2*D106)/(COSH(2*D106)+COS(2*E106)))</f>
        <v/>
      </c>
      <c r="G106" s="195">
        <f>IF(B106="","",SIN(2*E106)/(COSH(2*D106)+COS(2*E106)))</f>
        <v/>
      </c>
      <c r="H106" s="195">
        <f>IF(B106="","",'入力・概要'!$B$34)</f>
        <v/>
      </c>
      <c r="I106" s="195">
        <f>IF(B106="","",C106*'入力・概要'!$B$35*1E-9)</f>
        <v/>
      </c>
      <c r="J106" s="195">
        <f>IF(B106="","",H106+'入力・概要'!$B$30*F106)</f>
        <v/>
      </c>
      <c r="K106" s="195">
        <f>IF(B106="","",I106+'入力・概要'!$B$30*G106)</f>
        <v/>
      </c>
      <c r="L106" s="195">
        <f>IF(B106="","",'入力・概要'!$B$30+H106*F106-I106*G106)</f>
        <v/>
      </c>
      <c r="M106" s="195">
        <f>IF(B106="","",H106*G106+I106*F106)</f>
        <v/>
      </c>
      <c r="N106" s="195">
        <f>IF(B106="","",'入力・概要'!$B$30*(J106*L106+K106*M106)/(L106^2+M106^2))</f>
        <v/>
      </c>
      <c r="O106" s="195">
        <f>IF(B106="","",'入力・概要'!$B$30*(K106*L106-J106*M106)/(L106^2+M106^2))</f>
        <v/>
      </c>
      <c r="P106" s="195">
        <f>IF(B106="","",N106+'入力・概要'!$B$36)</f>
        <v/>
      </c>
      <c r="Q106" s="195">
        <f>IF(B106="","",O106+C106*'入力・概要'!$B$37*1E-9)</f>
        <v/>
      </c>
      <c r="R106" s="195">
        <f>IF(B106="","",SQRT(P106^2+Q106^2))</f>
        <v/>
      </c>
      <c r="S106" s="195">
        <f>IF(B106="","",IF(P106&gt;0,DEGREES(ATAN(Q106/P106)),IF(P106&lt;0,IF(Q106&gt;=0,DEGREES(ATAN(Q106/P106))+180,DEGREES(ATAN(Q106/P106))-180),IF(Q106&gt;0,90,IF(Q106&lt;0,-90,0)))))</f>
        <v/>
      </c>
      <c r="T106" s="195">
        <f>IF(B106="","",LOG10(B106))</f>
        <v/>
      </c>
      <c r="U106" s="195">
        <f>IF(R106="","",LOG10(MAX(R106,1E-12)))</f>
        <v/>
      </c>
    </row>
    <row r="107">
      <c r="A107" t="n">
        <v>104</v>
      </c>
      <c r="B107" s="196">
        <f>IF(A107&lt;='入力・概要'!$B$40,10^(LOG10('入力・概要'!$B$38)+(A107-1)*(LOG10('入力・概要'!$B$39)-LOG10('入力・概要'!$B$38))/('入力・概要'!$B$40-1)),"")</f>
        <v/>
      </c>
      <c r="C107" s="195">
        <f>IF(B107="","",2*PI()*B107)</f>
        <v/>
      </c>
      <c r="D107" s="195">
        <f>IF(B107="","",ATANH(MIN(0.999999,(2*'入力・概要'!$B$17*'入力・概要'!$B$6)/'入力・概要'!$B$30))+'入力・概要'!$B$33*SQRT(B107/1E6)+(2*PI()*B107*'入力・概要'!$B$6/(299792458*'入力・概要'!$B$31))*'入力・概要'!$B$32/2)</f>
        <v/>
      </c>
      <c r="E107" s="195">
        <f>IF(B107="","",2*PI()*B107*'入力・概要'!$B$6/(299792458*'入力・概要'!$B$31))</f>
        <v/>
      </c>
      <c r="F107" s="195">
        <f>IF(B107="","",SINH(2*D107)/(COSH(2*D107)+COS(2*E107)))</f>
        <v/>
      </c>
      <c r="G107" s="195">
        <f>IF(B107="","",SIN(2*E107)/(COSH(2*D107)+COS(2*E107)))</f>
        <v/>
      </c>
      <c r="H107" s="195">
        <f>IF(B107="","",'入力・概要'!$B$34)</f>
        <v/>
      </c>
      <c r="I107" s="195">
        <f>IF(B107="","",C107*'入力・概要'!$B$35*1E-9)</f>
        <v/>
      </c>
      <c r="J107" s="195">
        <f>IF(B107="","",H107+'入力・概要'!$B$30*F107)</f>
        <v/>
      </c>
      <c r="K107" s="195">
        <f>IF(B107="","",I107+'入力・概要'!$B$30*G107)</f>
        <v/>
      </c>
      <c r="L107" s="195">
        <f>IF(B107="","",'入力・概要'!$B$30+H107*F107-I107*G107)</f>
        <v/>
      </c>
      <c r="M107" s="195">
        <f>IF(B107="","",H107*G107+I107*F107)</f>
        <v/>
      </c>
      <c r="N107" s="195">
        <f>IF(B107="","",'入力・概要'!$B$30*(J107*L107+K107*M107)/(L107^2+M107^2))</f>
        <v/>
      </c>
      <c r="O107" s="195">
        <f>IF(B107="","",'入力・概要'!$B$30*(K107*L107-J107*M107)/(L107^2+M107^2))</f>
        <v/>
      </c>
      <c r="P107" s="195">
        <f>IF(B107="","",N107+'入力・概要'!$B$36)</f>
        <v/>
      </c>
      <c r="Q107" s="195">
        <f>IF(B107="","",O107+C107*'入力・概要'!$B$37*1E-9)</f>
        <v/>
      </c>
      <c r="R107" s="195">
        <f>IF(B107="","",SQRT(P107^2+Q107^2))</f>
        <v/>
      </c>
      <c r="S107" s="195">
        <f>IF(B107="","",IF(P107&gt;0,DEGREES(ATAN(Q107/P107)),IF(P107&lt;0,IF(Q107&gt;=0,DEGREES(ATAN(Q107/P107))+180,DEGREES(ATAN(Q107/P107))-180),IF(Q107&gt;0,90,IF(Q107&lt;0,-90,0)))))</f>
        <v/>
      </c>
      <c r="T107" s="195">
        <f>IF(B107="","",LOG10(B107))</f>
        <v/>
      </c>
      <c r="U107" s="195">
        <f>IF(R107="","",LOG10(MAX(R107,1E-12)))</f>
        <v/>
      </c>
    </row>
    <row r="108">
      <c r="A108" t="n">
        <v>105</v>
      </c>
      <c r="B108" s="196">
        <f>IF(A108&lt;='入力・概要'!$B$40,10^(LOG10('入力・概要'!$B$38)+(A108-1)*(LOG10('入力・概要'!$B$39)-LOG10('入力・概要'!$B$38))/('入力・概要'!$B$40-1)),"")</f>
        <v/>
      </c>
      <c r="C108" s="195">
        <f>IF(B108="","",2*PI()*B108)</f>
        <v/>
      </c>
      <c r="D108" s="195">
        <f>IF(B108="","",ATANH(MIN(0.999999,(2*'入力・概要'!$B$17*'入力・概要'!$B$6)/'入力・概要'!$B$30))+'入力・概要'!$B$33*SQRT(B108/1E6)+(2*PI()*B108*'入力・概要'!$B$6/(299792458*'入力・概要'!$B$31))*'入力・概要'!$B$32/2)</f>
        <v/>
      </c>
      <c r="E108" s="195">
        <f>IF(B108="","",2*PI()*B108*'入力・概要'!$B$6/(299792458*'入力・概要'!$B$31))</f>
        <v/>
      </c>
      <c r="F108" s="195">
        <f>IF(B108="","",SINH(2*D108)/(COSH(2*D108)+COS(2*E108)))</f>
        <v/>
      </c>
      <c r="G108" s="195">
        <f>IF(B108="","",SIN(2*E108)/(COSH(2*D108)+COS(2*E108)))</f>
        <v/>
      </c>
      <c r="H108" s="195">
        <f>IF(B108="","",'入力・概要'!$B$34)</f>
        <v/>
      </c>
      <c r="I108" s="195">
        <f>IF(B108="","",C108*'入力・概要'!$B$35*1E-9)</f>
        <v/>
      </c>
      <c r="J108" s="195">
        <f>IF(B108="","",H108+'入力・概要'!$B$30*F108)</f>
        <v/>
      </c>
      <c r="K108" s="195">
        <f>IF(B108="","",I108+'入力・概要'!$B$30*G108)</f>
        <v/>
      </c>
      <c r="L108" s="195">
        <f>IF(B108="","",'入力・概要'!$B$30+H108*F108-I108*G108)</f>
        <v/>
      </c>
      <c r="M108" s="195">
        <f>IF(B108="","",H108*G108+I108*F108)</f>
        <v/>
      </c>
      <c r="N108" s="195">
        <f>IF(B108="","",'入力・概要'!$B$30*(J108*L108+K108*M108)/(L108^2+M108^2))</f>
        <v/>
      </c>
      <c r="O108" s="195">
        <f>IF(B108="","",'入力・概要'!$B$30*(K108*L108-J108*M108)/(L108^2+M108^2))</f>
        <v/>
      </c>
      <c r="P108" s="195">
        <f>IF(B108="","",N108+'入力・概要'!$B$36)</f>
        <v/>
      </c>
      <c r="Q108" s="195">
        <f>IF(B108="","",O108+C108*'入力・概要'!$B$37*1E-9)</f>
        <v/>
      </c>
      <c r="R108" s="195">
        <f>IF(B108="","",SQRT(P108^2+Q108^2))</f>
        <v/>
      </c>
      <c r="S108" s="195">
        <f>IF(B108="","",IF(P108&gt;0,DEGREES(ATAN(Q108/P108)),IF(P108&lt;0,IF(Q108&gt;=0,DEGREES(ATAN(Q108/P108))+180,DEGREES(ATAN(Q108/P108))-180),IF(Q108&gt;0,90,IF(Q108&lt;0,-90,0)))))</f>
        <v/>
      </c>
      <c r="T108" s="195">
        <f>IF(B108="","",LOG10(B108))</f>
        <v/>
      </c>
      <c r="U108" s="195">
        <f>IF(R108="","",LOG10(MAX(R108,1E-12)))</f>
        <v/>
      </c>
    </row>
    <row r="109">
      <c r="A109" t="n">
        <v>106</v>
      </c>
      <c r="B109" s="196">
        <f>IF(A109&lt;='入力・概要'!$B$40,10^(LOG10('入力・概要'!$B$38)+(A109-1)*(LOG10('入力・概要'!$B$39)-LOG10('入力・概要'!$B$38))/('入力・概要'!$B$40-1)),"")</f>
        <v/>
      </c>
      <c r="C109" s="195">
        <f>IF(B109="","",2*PI()*B109)</f>
        <v/>
      </c>
      <c r="D109" s="195">
        <f>IF(B109="","",ATANH(MIN(0.999999,(2*'入力・概要'!$B$17*'入力・概要'!$B$6)/'入力・概要'!$B$30))+'入力・概要'!$B$33*SQRT(B109/1E6)+(2*PI()*B109*'入力・概要'!$B$6/(299792458*'入力・概要'!$B$31))*'入力・概要'!$B$32/2)</f>
        <v/>
      </c>
      <c r="E109" s="195">
        <f>IF(B109="","",2*PI()*B109*'入力・概要'!$B$6/(299792458*'入力・概要'!$B$31))</f>
        <v/>
      </c>
      <c r="F109" s="195">
        <f>IF(B109="","",SINH(2*D109)/(COSH(2*D109)+COS(2*E109)))</f>
        <v/>
      </c>
      <c r="G109" s="195">
        <f>IF(B109="","",SIN(2*E109)/(COSH(2*D109)+COS(2*E109)))</f>
        <v/>
      </c>
      <c r="H109" s="195">
        <f>IF(B109="","",'入力・概要'!$B$34)</f>
        <v/>
      </c>
      <c r="I109" s="195">
        <f>IF(B109="","",C109*'入力・概要'!$B$35*1E-9)</f>
        <v/>
      </c>
      <c r="J109" s="195">
        <f>IF(B109="","",H109+'入力・概要'!$B$30*F109)</f>
        <v/>
      </c>
      <c r="K109" s="195">
        <f>IF(B109="","",I109+'入力・概要'!$B$30*G109)</f>
        <v/>
      </c>
      <c r="L109" s="195">
        <f>IF(B109="","",'入力・概要'!$B$30+H109*F109-I109*G109)</f>
        <v/>
      </c>
      <c r="M109" s="195">
        <f>IF(B109="","",H109*G109+I109*F109)</f>
        <v/>
      </c>
      <c r="N109" s="195">
        <f>IF(B109="","",'入力・概要'!$B$30*(J109*L109+K109*M109)/(L109^2+M109^2))</f>
        <v/>
      </c>
      <c r="O109" s="195">
        <f>IF(B109="","",'入力・概要'!$B$30*(K109*L109-J109*M109)/(L109^2+M109^2))</f>
        <v/>
      </c>
      <c r="P109" s="195">
        <f>IF(B109="","",N109+'入力・概要'!$B$36)</f>
        <v/>
      </c>
      <c r="Q109" s="195">
        <f>IF(B109="","",O109+C109*'入力・概要'!$B$37*1E-9)</f>
        <v/>
      </c>
      <c r="R109" s="195">
        <f>IF(B109="","",SQRT(P109^2+Q109^2))</f>
        <v/>
      </c>
      <c r="S109" s="195">
        <f>IF(B109="","",IF(P109&gt;0,DEGREES(ATAN(Q109/P109)),IF(P109&lt;0,IF(Q109&gt;=0,DEGREES(ATAN(Q109/P109))+180,DEGREES(ATAN(Q109/P109))-180),IF(Q109&gt;0,90,IF(Q109&lt;0,-90,0)))))</f>
        <v/>
      </c>
      <c r="T109" s="195">
        <f>IF(B109="","",LOG10(B109))</f>
        <v/>
      </c>
      <c r="U109" s="195">
        <f>IF(R109="","",LOG10(MAX(R109,1E-12)))</f>
        <v/>
      </c>
    </row>
    <row r="110">
      <c r="A110" t="n">
        <v>107</v>
      </c>
      <c r="B110" s="196">
        <f>IF(A110&lt;='入力・概要'!$B$40,10^(LOG10('入力・概要'!$B$38)+(A110-1)*(LOG10('入力・概要'!$B$39)-LOG10('入力・概要'!$B$38))/('入力・概要'!$B$40-1)),"")</f>
        <v/>
      </c>
      <c r="C110" s="195">
        <f>IF(B110="","",2*PI()*B110)</f>
        <v/>
      </c>
      <c r="D110" s="195">
        <f>IF(B110="","",ATANH(MIN(0.999999,(2*'入力・概要'!$B$17*'入力・概要'!$B$6)/'入力・概要'!$B$30))+'入力・概要'!$B$33*SQRT(B110/1E6)+(2*PI()*B110*'入力・概要'!$B$6/(299792458*'入力・概要'!$B$31))*'入力・概要'!$B$32/2)</f>
        <v/>
      </c>
      <c r="E110" s="195">
        <f>IF(B110="","",2*PI()*B110*'入力・概要'!$B$6/(299792458*'入力・概要'!$B$31))</f>
        <v/>
      </c>
      <c r="F110" s="195">
        <f>IF(B110="","",SINH(2*D110)/(COSH(2*D110)+COS(2*E110)))</f>
        <v/>
      </c>
      <c r="G110" s="195">
        <f>IF(B110="","",SIN(2*E110)/(COSH(2*D110)+COS(2*E110)))</f>
        <v/>
      </c>
      <c r="H110" s="195">
        <f>IF(B110="","",'入力・概要'!$B$34)</f>
        <v/>
      </c>
      <c r="I110" s="195">
        <f>IF(B110="","",C110*'入力・概要'!$B$35*1E-9)</f>
        <v/>
      </c>
      <c r="J110" s="195">
        <f>IF(B110="","",H110+'入力・概要'!$B$30*F110)</f>
        <v/>
      </c>
      <c r="K110" s="195">
        <f>IF(B110="","",I110+'入力・概要'!$B$30*G110)</f>
        <v/>
      </c>
      <c r="L110" s="195">
        <f>IF(B110="","",'入力・概要'!$B$30+H110*F110-I110*G110)</f>
        <v/>
      </c>
      <c r="M110" s="195">
        <f>IF(B110="","",H110*G110+I110*F110)</f>
        <v/>
      </c>
      <c r="N110" s="195">
        <f>IF(B110="","",'入力・概要'!$B$30*(J110*L110+K110*M110)/(L110^2+M110^2))</f>
        <v/>
      </c>
      <c r="O110" s="195">
        <f>IF(B110="","",'入力・概要'!$B$30*(K110*L110-J110*M110)/(L110^2+M110^2))</f>
        <v/>
      </c>
      <c r="P110" s="195">
        <f>IF(B110="","",N110+'入力・概要'!$B$36)</f>
        <v/>
      </c>
      <c r="Q110" s="195">
        <f>IF(B110="","",O110+C110*'入力・概要'!$B$37*1E-9)</f>
        <v/>
      </c>
      <c r="R110" s="195">
        <f>IF(B110="","",SQRT(P110^2+Q110^2))</f>
        <v/>
      </c>
      <c r="S110" s="195">
        <f>IF(B110="","",IF(P110&gt;0,DEGREES(ATAN(Q110/P110)),IF(P110&lt;0,IF(Q110&gt;=0,DEGREES(ATAN(Q110/P110))+180,DEGREES(ATAN(Q110/P110))-180),IF(Q110&gt;0,90,IF(Q110&lt;0,-90,0)))))</f>
        <v/>
      </c>
      <c r="T110" s="195">
        <f>IF(B110="","",LOG10(B110))</f>
        <v/>
      </c>
      <c r="U110" s="195">
        <f>IF(R110="","",LOG10(MAX(R110,1E-12)))</f>
        <v/>
      </c>
    </row>
    <row r="111">
      <c r="A111" t="n">
        <v>108</v>
      </c>
      <c r="B111" s="196">
        <f>IF(A111&lt;='入力・概要'!$B$40,10^(LOG10('入力・概要'!$B$38)+(A111-1)*(LOG10('入力・概要'!$B$39)-LOG10('入力・概要'!$B$38))/('入力・概要'!$B$40-1)),"")</f>
        <v/>
      </c>
      <c r="C111" s="195">
        <f>IF(B111="","",2*PI()*B111)</f>
        <v/>
      </c>
      <c r="D111" s="195">
        <f>IF(B111="","",ATANH(MIN(0.999999,(2*'入力・概要'!$B$17*'入力・概要'!$B$6)/'入力・概要'!$B$30))+'入力・概要'!$B$33*SQRT(B111/1E6)+(2*PI()*B111*'入力・概要'!$B$6/(299792458*'入力・概要'!$B$31))*'入力・概要'!$B$32/2)</f>
        <v/>
      </c>
      <c r="E111" s="195">
        <f>IF(B111="","",2*PI()*B111*'入力・概要'!$B$6/(299792458*'入力・概要'!$B$31))</f>
        <v/>
      </c>
      <c r="F111" s="195">
        <f>IF(B111="","",SINH(2*D111)/(COSH(2*D111)+COS(2*E111)))</f>
        <v/>
      </c>
      <c r="G111" s="195">
        <f>IF(B111="","",SIN(2*E111)/(COSH(2*D111)+COS(2*E111)))</f>
        <v/>
      </c>
      <c r="H111" s="195">
        <f>IF(B111="","",'入力・概要'!$B$34)</f>
        <v/>
      </c>
      <c r="I111" s="195">
        <f>IF(B111="","",C111*'入力・概要'!$B$35*1E-9)</f>
        <v/>
      </c>
      <c r="J111" s="195">
        <f>IF(B111="","",H111+'入力・概要'!$B$30*F111)</f>
        <v/>
      </c>
      <c r="K111" s="195">
        <f>IF(B111="","",I111+'入力・概要'!$B$30*G111)</f>
        <v/>
      </c>
      <c r="L111" s="195">
        <f>IF(B111="","",'入力・概要'!$B$30+H111*F111-I111*G111)</f>
        <v/>
      </c>
      <c r="M111" s="195">
        <f>IF(B111="","",H111*G111+I111*F111)</f>
        <v/>
      </c>
      <c r="N111" s="195">
        <f>IF(B111="","",'入力・概要'!$B$30*(J111*L111+K111*M111)/(L111^2+M111^2))</f>
        <v/>
      </c>
      <c r="O111" s="195">
        <f>IF(B111="","",'入力・概要'!$B$30*(K111*L111-J111*M111)/(L111^2+M111^2))</f>
        <v/>
      </c>
      <c r="P111" s="195">
        <f>IF(B111="","",N111+'入力・概要'!$B$36)</f>
        <v/>
      </c>
      <c r="Q111" s="195">
        <f>IF(B111="","",O111+C111*'入力・概要'!$B$37*1E-9)</f>
        <v/>
      </c>
      <c r="R111" s="195">
        <f>IF(B111="","",SQRT(P111^2+Q111^2))</f>
        <v/>
      </c>
      <c r="S111" s="195">
        <f>IF(B111="","",IF(P111&gt;0,DEGREES(ATAN(Q111/P111)),IF(P111&lt;0,IF(Q111&gt;=0,DEGREES(ATAN(Q111/P111))+180,DEGREES(ATAN(Q111/P111))-180),IF(Q111&gt;0,90,IF(Q111&lt;0,-90,0)))))</f>
        <v/>
      </c>
      <c r="T111" s="195">
        <f>IF(B111="","",LOG10(B111))</f>
        <v/>
      </c>
      <c r="U111" s="195">
        <f>IF(R111="","",LOG10(MAX(R111,1E-12)))</f>
        <v/>
      </c>
    </row>
    <row r="112">
      <c r="A112" t="n">
        <v>109</v>
      </c>
      <c r="B112" s="196">
        <f>IF(A112&lt;='入力・概要'!$B$40,10^(LOG10('入力・概要'!$B$38)+(A112-1)*(LOG10('入力・概要'!$B$39)-LOG10('入力・概要'!$B$38))/('入力・概要'!$B$40-1)),"")</f>
        <v/>
      </c>
      <c r="C112" s="195">
        <f>IF(B112="","",2*PI()*B112)</f>
        <v/>
      </c>
      <c r="D112" s="195">
        <f>IF(B112="","",ATANH(MIN(0.999999,(2*'入力・概要'!$B$17*'入力・概要'!$B$6)/'入力・概要'!$B$30))+'入力・概要'!$B$33*SQRT(B112/1E6)+(2*PI()*B112*'入力・概要'!$B$6/(299792458*'入力・概要'!$B$31))*'入力・概要'!$B$32/2)</f>
        <v/>
      </c>
      <c r="E112" s="195">
        <f>IF(B112="","",2*PI()*B112*'入力・概要'!$B$6/(299792458*'入力・概要'!$B$31))</f>
        <v/>
      </c>
      <c r="F112" s="195">
        <f>IF(B112="","",SINH(2*D112)/(COSH(2*D112)+COS(2*E112)))</f>
        <v/>
      </c>
      <c r="G112" s="195">
        <f>IF(B112="","",SIN(2*E112)/(COSH(2*D112)+COS(2*E112)))</f>
        <v/>
      </c>
      <c r="H112" s="195">
        <f>IF(B112="","",'入力・概要'!$B$34)</f>
        <v/>
      </c>
      <c r="I112" s="195">
        <f>IF(B112="","",C112*'入力・概要'!$B$35*1E-9)</f>
        <v/>
      </c>
      <c r="J112" s="195">
        <f>IF(B112="","",H112+'入力・概要'!$B$30*F112)</f>
        <v/>
      </c>
      <c r="K112" s="195">
        <f>IF(B112="","",I112+'入力・概要'!$B$30*G112)</f>
        <v/>
      </c>
      <c r="L112" s="195">
        <f>IF(B112="","",'入力・概要'!$B$30+H112*F112-I112*G112)</f>
        <v/>
      </c>
      <c r="M112" s="195">
        <f>IF(B112="","",H112*G112+I112*F112)</f>
        <v/>
      </c>
      <c r="N112" s="195">
        <f>IF(B112="","",'入力・概要'!$B$30*(J112*L112+K112*M112)/(L112^2+M112^2))</f>
        <v/>
      </c>
      <c r="O112" s="195">
        <f>IF(B112="","",'入力・概要'!$B$30*(K112*L112-J112*M112)/(L112^2+M112^2))</f>
        <v/>
      </c>
      <c r="P112" s="195">
        <f>IF(B112="","",N112+'入力・概要'!$B$36)</f>
        <v/>
      </c>
      <c r="Q112" s="195">
        <f>IF(B112="","",O112+C112*'入力・概要'!$B$37*1E-9)</f>
        <v/>
      </c>
      <c r="R112" s="195">
        <f>IF(B112="","",SQRT(P112^2+Q112^2))</f>
        <v/>
      </c>
      <c r="S112" s="195">
        <f>IF(B112="","",IF(P112&gt;0,DEGREES(ATAN(Q112/P112)),IF(P112&lt;0,IF(Q112&gt;=0,DEGREES(ATAN(Q112/P112))+180,DEGREES(ATAN(Q112/P112))-180),IF(Q112&gt;0,90,IF(Q112&lt;0,-90,0)))))</f>
        <v/>
      </c>
      <c r="T112" s="195">
        <f>IF(B112="","",LOG10(B112))</f>
        <v/>
      </c>
      <c r="U112" s="195">
        <f>IF(R112="","",LOG10(MAX(R112,1E-12)))</f>
        <v/>
      </c>
    </row>
    <row r="113">
      <c r="A113" t="n">
        <v>110</v>
      </c>
      <c r="B113" s="196">
        <f>IF(A113&lt;='入力・概要'!$B$40,10^(LOG10('入力・概要'!$B$38)+(A113-1)*(LOG10('入力・概要'!$B$39)-LOG10('入力・概要'!$B$38))/('入力・概要'!$B$40-1)),"")</f>
        <v/>
      </c>
      <c r="C113" s="195">
        <f>IF(B113="","",2*PI()*B113)</f>
        <v/>
      </c>
      <c r="D113" s="195">
        <f>IF(B113="","",ATANH(MIN(0.999999,(2*'入力・概要'!$B$17*'入力・概要'!$B$6)/'入力・概要'!$B$30))+'入力・概要'!$B$33*SQRT(B113/1E6)+(2*PI()*B113*'入力・概要'!$B$6/(299792458*'入力・概要'!$B$31))*'入力・概要'!$B$32/2)</f>
        <v/>
      </c>
      <c r="E113" s="195">
        <f>IF(B113="","",2*PI()*B113*'入力・概要'!$B$6/(299792458*'入力・概要'!$B$31))</f>
        <v/>
      </c>
      <c r="F113" s="195">
        <f>IF(B113="","",SINH(2*D113)/(COSH(2*D113)+COS(2*E113)))</f>
        <v/>
      </c>
      <c r="G113" s="195">
        <f>IF(B113="","",SIN(2*E113)/(COSH(2*D113)+COS(2*E113)))</f>
        <v/>
      </c>
      <c r="H113" s="195">
        <f>IF(B113="","",'入力・概要'!$B$34)</f>
        <v/>
      </c>
      <c r="I113" s="195">
        <f>IF(B113="","",C113*'入力・概要'!$B$35*1E-9)</f>
        <v/>
      </c>
      <c r="J113" s="195">
        <f>IF(B113="","",H113+'入力・概要'!$B$30*F113)</f>
        <v/>
      </c>
      <c r="K113" s="195">
        <f>IF(B113="","",I113+'入力・概要'!$B$30*G113)</f>
        <v/>
      </c>
      <c r="L113" s="195">
        <f>IF(B113="","",'入力・概要'!$B$30+H113*F113-I113*G113)</f>
        <v/>
      </c>
      <c r="M113" s="195">
        <f>IF(B113="","",H113*G113+I113*F113)</f>
        <v/>
      </c>
      <c r="N113" s="195">
        <f>IF(B113="","",'入力・概要'!$B$30*(J113*L113+K113*M113)/(L113^2+M113^2))</f>
        <v/>
      </c>
      <c r="O113" s="195">
        <f>IF(B113="","",'入力・概要'!$B$30*(K113*L113-J113*M113)/(L113^2+M113^2))</f>
        <v/>
      </c>
      <c r="P113" s="195">
        <f>IF(B113="","",N113+'入力・概要'!$B$36)</f>
        <v/>
      </c>
      <c r="Q113" s="195">
        <f>IF(B113="","",O113+C113*'入力・概要'!$B$37*1E-9)</f>
        <v/>
      </c>
      <c r="R113" s="195">
        <f>IF(B113="","",SQRT(P113^2+Q113^2))</f>
        <v/>
      </c>
      <c r="S113" s="195">
        <f>IF(B113="","",IF(P113&gt;0,DEGREES(ATAN(Q113/P113)),IF(P113&lt;0,IF(Q113&gt;=0,DEGREES(ATAN(Q113/P113))+180,DEGREES(ATAN(Q113/P113))-180),IF(Q113&gt;0,90,IF(Q113&lt;0,-90,0)))))</f>
        <v/>
      </c>
      <c r="T113" s="195">
        <f>IF(B113="","",LOG10(B113))</f>
        <v/>
      </c>
      <c r="U113" s="195">
        <f>IF(R113="","",LOG10(MAX(R113,1E-12)))</f>
        <v/>
      </c>
    </row>
    <row r="114">
      <c r="A114" t="n">
        <v>111</v>
      </c>
      <c r="B114" s="196">
        <f>IF(A114&lt;='入力・概要'!$B$40,10^(LOG10('入力・概要'!$B$38)+(A114-1)*(LOG10('入力・概要'!$B$39)-LOG10('入力・概要'!$B$38))/('入力・概要'!$B$40-1)),"")</f>
        <v/>
      </c>
      <c r="C114" s="195">
        <f>IF(B114="","",2*PI()*B114)</f>
        <v/>
      </c>
      <c r="D114" s="195">
        <f>IF(B114="","",ATANH(MIN(0.999999,(2*'入力・概要'!$B$17*'入力・概要'!$B$6)/'入力・概要'!$B$30))+'入力・概要'!$B$33*SQRT(B114/1E6)+(2*PI()*B114*'入力・概要'!$B$6/(299792458*'入力・概要'!$B$31))*'入力・概要'!$B$32/2)</f>
        <v/>
      </c>
      <c r="E114" s="195">
        <f>IF(B114="","",2*PI()*B114*'入力・概要'!$B$6/(299792458*'入力・概要'!$B$31))</f>
        <v/>
      </c>
      <c r="F114" s="195">
        <f>IF(B114="","",SINH(2*D114)/(COSH(2*D114)+COS(2*E114)))</f>
        <v/>
      </c>
      <c r="G114" s="195">
        <f>IF(B114="","",SIN(2*E114)/(COSH(2*D114)+COS(2*E114)))</f>
        <v/>
      </c>
      <c r="H114" s="195">
        <f>IF(B114="","",'入力・概要'!$B$34)</f>
        <v/>
      </c>
      <c r="I114" s="195">
        <f>IF(B114="","",C114*'入力・概要'!$B$35*1E-9)</f>
        <v/>
      </c>
      <c r="J114" s="195">
        <f>IF(B114="","",H114+'入力・概要'!$B$30*F114)</f>
        <v/>
      </c>
      <c r="K114" s="195">
        <f>IF(B114="","",I114+'入力・概要'!$B$30*G114)</f>
        <v/>
      </c>
      <c r="L114" s="195">
        <f>IF(B114="","",'入力・概要'!$B$30+H114*F114-I114*G114)</f>
        <v/>
      </c>
      <c r="M114" s="195">
        <f>IF(B114="","",H114*G114+I114*F114)</f>
        <v/>
      </c>
      <c r="N114" s="195">
        <f>IF(B114="","",'入力・概要'!$B$30*(J114*L114+K114*M114)/(L114^2+M114^2))</f>
        <v/>
      </c>
      <c r="O114" s="195">
        <f>IF(B114="","",'入力・概要'!$B$30*(K114*L114-J114*M114)/(L114^2+M114^2))</f>
        <v/>
      </c>
      <c r="P114" s="195">
        <f>IF(B114="","",N114+'入力・概要'!$B$36)</f>
        <v/>
      </c>
      <c r="Q114" s="195">
        <f>IF(B114="","",O114+C114*'入力・概要'!$B$37*1E-9)</f>
        <v/>
      </c>
      <c r="R114" s="195">
        <f>IF(B114="","",SQRT(P114^2+Q114^2))</f>
        <v/>
      </c>
      <c r="S114" s="195">
        <f>IF(B114="","",IF(P114&gt;0,DEGREES(ATAN(Q114/P114)),IF(P114&lt;0,IF(Q114&gt;=0,DEGREES(ATAN(Q114/P114))+180,DEGREES(ATAN(Q114/P114))-180),IF(Q114&gt;0,90,IF(Q114&lt;0,-90,0)))))</f>
        <v/>
      </c>
      <c r="T114" s="195">
        <f>IF(B114="","",LOG10(B114))</f>
        <v/>
      </c>
      <c r="U114" s="195">
        <f>IF(R114="","",LOG10(MAX(R114,1E-12)))</f>
        <v/>
      </c>
    </row>
    <row r="115">
      <c r="A115" t="n">
        <v>112</v>
      </c>
      <c r="B115" s="196">
        <f>IF(A115&lt;='入力・概要'!$B$40,10^(LOG10('入力・概要'!$B$38)+(A115-1)*(LOG10('入力・概要'!$B$39)-LOG10('入力・概要'!$B$38))/('入力・概要'!$B$40-1)),"")</f>
        <v/>
      </c>
      <c r="C115" s="195">
        <f>IF(B115="","",2*PI()*B115)</f>
        <v/>
      </c>
      <c r="D115" s="195">
        <f>IF(B115="","",ATANH(MIN(0.999999,(2*'入力・概要'!$B$17*'入力・概要'!$B$6)/'入力・概要'!$B$30))+'入力・概要'!$B$33*SQRT(B115/1E6)+(2*PI()*B115*'入力・概要'!$B$6/(299792458*'入力・概要'!$B$31))*'入力・概要'!$B$32/2)</f>
        <v/>
      </c>
      <c r="E115" s="195">
        <f>IF(B115="","",2*PI()*B115*'入力・概要'!$B$6/(299792458*'入力・概要'!$B$31))</f>
        <v/>
      </c>
      <c r="F115" s="195">
        <f>IF(B115="","",SINH(2*D115)/(COSH(2*D115)+COS(2*E115)))</f>
        <v/>
      </c>
      <c r="G115" s="195">
        <f>IF(B115="","",SIN(2*E115)/(COSH(2*D115)+COS(2*E115)))</f>
        <v/>
      </c>
      <c r="H115" s="195">
        <f>IF(B115="","",'入力・概要'!$B$34)</f>
        <v/>
      </c>
      <c r="I115" s="195">
        <f>IF(B115="","",C115*'入力・概要'!$B$35*1E-9)</f>
        <v/>
      </c>
      <c r="J115" s="195">
        <f>IF(B115="","",H115+'入力・概要'!$B$30*F115)</f>
        <v/>
      </c>
      <c r="K115" s="195">
        <f>IF(B115="","",I115+'入力・概要'!$B$30*G115)</f>
        <v/>
      </c>
      <c r="L115" s="195">
        <f>IF(B115="","",'入力・概要'!$B$30+H115*F115-I115*G115)</f>
        <v/>
      </c>
      <c r="M115" s="195">
        <f>IF(B115="","",H115*G115+I115*F115)</f>
        <v/>
      </c>
      <c r="N115" s="195">
        <f>IF(B115="","",'入力・概要'!$B$30*(J115*L115+K115*M115)/(L115^2+M115^2))</f>
        <v/>
      </c>
      <c r="O115" s="195">
        <f>IF(B115="","",'入力・概要'!$B$30*(K115*L115-J115*M115)/(L115^2+M115^2))</f>
        <v/>
      </c>
      <c r="P115" s="195">
        <f>IF(B115="","",N115+'入力・概要'!$B$36)</f>
        <v/>
      </c>
      <c r="Q115" s="195">
        <f>IF(B115="","",O115+C115*'入力・概要'!$B$37*1E-9)</f>
        <v/>
      </c>
      <c r="R115" s="195">
        <f>IF(B115="","",SQRT(P115^2+Q115^2))</f>
        <v/>
      </c>
      <c r="S115" s="195">
        <f>IF(B115="","",IF(P115&gt;0,DEGREES(ATAN(Q115/P115)),IF(P115&lt;0,IF(Q115&gt;=0,DEGREES(ATAN(Q115/P115))+180,DEGREES(ATAN(Q115/P115))-180),IF(Q115&gt;0,90,IF(Q115&lt;0,-90,0)))))</f>
        <v/>
      </c>
      <c r="T115" s="195">
        <f>IF(B115="","",LOG10(B115))</f>
        <v/>
      </c>
      <c r="U115" s="195">
        <f>IF(R115="","",LOG10(MAX(R115,1E-12)))</f>
        <v/>
      </c>
    </row>
    <row r="116">
      <c r="A116" t="n">
        <v>113</v>
      </c>
      <c r="B116" s="196">
        <f>IF(A116&lt;='入力・概要'!$B$40,10^(LOG10('入力・概要'!$B$38)+(A116-1)*(LOG10('入力・概要'!$B$39)-LOG10('入力・概要'!$B$38))/('入力・概要'!$B$40-1)),"")</f>
        <v/>
      </c>
      <c r="C116" s="195">
        <f>IF(B116="","",2*PI()*B116)</f>
        <v/>
      </c>
      <c r="D116" s="195">
        <f>IF(B116="","",ATANH(MIN(0.999999,(2*'入力・概要'!$B$17*'入力・概要'!$B$6)/'入力・概要'!$B$30))+'入力・概要'!$B$33*SQRT(B116/1E6)+(2*PI()*B116*'入力・概要'!$B$6/(299792458*'入力・概要'!$B$31))*'入力・概要'!$B$32/2)</f>
        <v/>
      </c>
      <c r="E116" s="195">
        <f>IF(B116="","",2*PI()*B116*'入力・概要'!$B$6/(299792458*'入力・概要'!$B$31))</f>
        <v/>
      </c>
      <c r="F116" s="195">
        <f>IF(B116="","",SINH(2*D116)/(COSH(2*D116)+COS(2*E116)))</f>
        <v/>
      </c>
      <c r="G116" s="195">
        <f>IF(B116="","",SIN(2*E116)/(COSH(2*D116)+COS(2*E116)))</f>
        <v/>
      </c>
      <c r="H116" s="195">
        <f>IF(B116="","",'入力・概要'!$B$34)</f>
        <v/>
      </c>
      <c r="I116" s="195">
        <f>IF(B116="","",C116*'入力・概要'!$B$35*1E-9)</f>
        <v/>
      </c>
      <c r="J116" s="195">
        <f>IF(B116="","",H116+'入力・概要'!$B$30*F116)</f>
        <v/>
      </c>
      <c r="K116" s="195">
        <f>IF(B116="","",I116+'入力・概要'!$B$30*G116)</f>
        <v/>
      </c>
      <c r="L116" s="195">
        <f>IF(B116="","",'入力・概要'!$B$30+H116*F116-I116*G116)</f>
        <v/>
      </c>
      <c r="M116" s="195">
        <f>IF(B116="","",H116*G116+I116*F116)</f>
        <v/>
      </c>
      <c r="N116" s="195">
        <f>IF(B116="","",'入力・概要'!$B$30*(J116*L116+K116*M116)/(L116^2+M116^2))</f>
        <v/>
      </c>
      <c r="O116" s="195">
        <f>IF(B116="","",'入力・概要'!$B$30*(K116*L116-J116*M116)/(L116^2+M116^2))</f>
        <v/>
      </c>
      <c r="P116" s="195">
        <f>IF(B116="","",N116+'入力・概要'!$B$36)</f>
        <v/>
      </c>
      <c r="Q116" s="195">
        <f>IF(B116="","",O116+C116*'入力・概要'!$B$37*1E-9)</f>
        <v/>
      </c>
      <c r="R116" s="195">
        <f>IF(B116="","",SQRT(P116^2+Q116^2))</f>
        <v/>
      </c>
      <c r="S116" s="195">
        <f>IF(B116="","",IF(P116&gt;0,DEGREES(ATAN(Q116/P116)),IF(P116&lt;0,IF(Q116&gt;=0,DEGREES(ATAN(Q116/P116))+180,DEGREES(ATAN(Q116/P116))-180),IF(Q116&gt;0,90,IF(Q116&lt;0,-90,0)))))</f>
        <v/>
      </c>
      <c r="T116" s="195">
        <f>IF(B116="","",LOG10(B116))</f>
        <v/>
      </c>
      <c r="U116" s="195">
        <f>IF(R116="","",LOG10(MAX(R116,1E-12)))</f>
        <v/>
      </c>
    </row>
    <row r="117">
      <c r="A117" t="n">
        <v>114</v>
      </c>
      <c r="B117" s="196">
        <f>IF(A117&lt;='入力・概要'!$B$40,10^(LOG10('入力・概要'!$B$38)+(A117-1)*(LOG10('入力・概要'!$B$39)-LOG10('入力・概要'!$B$38))/('入力・概要'!$B$40-1)),"")</f>
        <v/>
      </c>
      <c r="C117" s="195">
        <f>IF(B117="","",2*PI()*B117)</f>
        <v/>
      </c>
      <c r="D117" s="195">
        <f>IF(B117="","",ATANH(MIN(0.999999,(2*'入力・概要'!$B$17*'入力・概要'!$B$6)/'入力・概要'!$B$30))+'入力・概要'!$B$33*SQRT(B117/1E6)+(2*PI()*B117*'入力・概要'!$B$6/(299792458*'入力・概要'!$B$31))*'入力・概要'!$B$32/2)</f>
        <v/>
      </c>
      <c r="E117" s="195">
        <f>IF(B117="","",2*PI()*B117*'入力・概要'!$B$6/(299792458*'入力・概要'!$B$31))</f>
        <v/>
      </c>
      <c r="F117" s="195">
        <f>IF(B117="","",SINH(2*D117)/(COSH(2*D117)+COS(2*E117)))</f>
        <v/>
      </c>
      <c r="G117" s="195">
        <f>IF(B117="","",SIN(2*E117)/(COSH(2*D117)+COS(2*E117)))</f>
        <v/>
      </c>
      <c r="H117" s="195">
        <f>IF(B117="","",'入力・概要'!$B$34)</f>
        <v/>
      </c>
      <c r="I117" s="195">
        <f>IF(B117="","",C117*'入力・概要'!$B$35*1E-9)</f>
        <v/>
      </c>
      <c r="J117" s="195">
        <f>IF(B117="","",H117+'入力・概要'!$B$30*F117)</f>
        <v/>
      </c>
      <c r="K117" s="195">
        <f>IF(B117="","",I117+'入力・概要'!$B$30*G117)</f>
        <v/>
      </c>
      <c r="L117" s="195">
        <f>IF(B117="","",'入力・概要'!$B$30+H117*F117-I117*G117)</f>
        <v/>
      </c>
      <c r="M117" s="195">
        <f>IF(B117="","",H117*G117+I117*F117)</f>
        <v/>
      </c>
      <c r="N117" s="195">
        <f>IF(B117="","",'入力・概要'!$B$30*(J117*L117+K117*M117)/(L117^2+M117^2))</f>
        <v/>
      </c>
      <c r="O117" s="195">
        <f>IF(B117="","",'入力・概要'!$B$30*(K117*L117-J117*M117)/(L117^2+M117^2))</f>
        <v/>
      </c>
      <c r="P117" s="195">
        <f>IF(B117="","",N117+'入力・概要'!$B$36)</f>
        <v/>
      </c>
      <c r="Q117" s="195">
        <f>IF(B117="","",O117+C117*'入力・概要'!$B$37*1E-9)</f>
        <v/>
      </c>
      <c r="R117" s="195">
        <f>IF(B117="","",SQRT(P117^2+Q117^2))</f>
        <v/>
      </c>
      <c r="S117" s="195">
        <f>IF(B117="","",IF(P117&gt;0,DEGREES(ATAN(Q117/P117)),IF(P117&lt;0,IF(Q117&gt;=0,DEGREES(ATAN(Q117/P117))+180,DEGREES(ATAN(Q117/P117))-180),IF(Q117&gt;0,90,IF(Q117&lt;0,-90,0)))))</f>
        <v/>
      </c>
      <c r="T117" s="195">
        <f>IF(B117="","",LOG10(B117))</f>
        <v/>
      </c>
      <c r="U117" s="195">
        <f>IF(R117="","",LOG10(MAX(R117,1E-12)))</f>
        <v/>
      </c>
    </row>
    <row r="118">
      <c r="A118" t="n">
        <v>115</v>
      </c>
      <c r="B118" s="196">
        <f>IF(A118&lt;='入力・概要'!$B$40,10^(LOG10('入力・概要'!$B$38)+(A118-1)*(LOG10('入力・概要'!$B$39)-LOG10('入力・概要'!$B$38))/('入力・概要'!$B$40-1)),"")</f>
        <v/>
      </c>
      <c r="C118" s="195">
        <f>IF(B118="","",2*PI()*B118)</f>
        <v/>
      </c>
      <c r="D118" s="195">
        <f>IF(B118="","",ATANH(MIN(0.999999,(2*'入力・概要'!$B$17*'入力・概要'!$B$6)/'入力・概要'!$B$30))+'入力・概要'!$B$33*SQRT(B118/1E6)+(2*PI()*B118*'入力・概要'!$B$6/(299792458*'入力・概要'!$B$31))*'入力・概要'!$B$32/2)</f>
        <v/>
      </c>
      <c r="E118" s="195">
        <f>IF(B118="","",2*PI()*B118*'入力・概要'!$B$6/(299792458*'入力・概要'!$B$31))</f>
        <v/>
      </c>
      <c r="F118" s="195">
        <f>IF(B118="","",SINH(2*D118)/(COSH(2*D118)+COS(2*E118)))</f>
        <v/>
      </c>
      <c r="G118" s="195">
        <f>IF(B118="","",SIN(2*E118)/(COSH(2*D118)+COS(2*E118)))</f>
        <v/>
      </c>
      <c r="H118" s="195">
        <f>IF(B118="","",'入力・概要'!$B$34)</f>
        <v/>
      </c>
      <c r="I118" s="195">
        <f>IF(B118="","",C118*'入力・概要'!$B$35*1E-9)</f>
        <v/>
      </c>
      <c r="J118" s="195">
        <f>IF(B118="","",H118+'入力・概要'!$B$30*F118)</f>
        <v/>
      </c>
      <c r="K118" s="195">
        <f>IF(B118="","",I118+'入力・概要'!$B$30*G118)</f>
        <v/>
      </c>
      <c r="L118" s="195">
        <f>IF(B118="","",'入力・概要'!$B$30+H118*F118-I118*G118)</f>
        <v/>
      </c>
      <c r="M118" s="195">
        <f>IF(B118="","",H118*G118+I118*F118)</f>
        <v/>
      </c>
      <c r="N118" s="195">
        <f>IF(B118="","",'入力・概要'!$B$30*(J118*L118+K118*M118)/(L118^2+M118^2))</f>
        <v/>
      </c>
      <c r="O118" s="195">
        <f>IF(B118="","",'入力・概要'!$B$30*(K118*L118-J118*M118)/(L118^2+M118^2))</f>
        <v/>
      </c>
      <c r="P118" s="195">
        <f>IF(B118="","",N118+'入力・概要'!$B$36)</f>
        <v/>
      </c>
      <c r="Q118" s="195">
        <f>IF(B118="","",O118+C118*'入力・概要'!$B$37*1E-9)</f>
        <v/>
      </c>
      <c r="R118" s="195">
        <f>IF(B118="","",SQRT(P118^2+Q118^2))</f>
        <v/>
      </c>
      <c r="S118" s="195">
        <f>IF(B118="","",IF(P118&gt;0,DEGREES(ATAN(Q118/P118)),IF(P118&lt;0,IF(Q118&gt;=0,DEGREES(ATAN(Q118/P118))+180,DEGREES(ATAN(Q118/P118))-180),IF(Q118&gt;0,90,IF(Q118&lt;0,-90,0)))))</f>
        <v/>
      </c>
      <c r="T118" s="195">
        <f>IF(B118="","",LOG10(B118))</f>
        <v/>
      </c>
      <c r="U118" s="195">
        <f>IF(R118="","",LOG10(MAX(R118,1E-12)))</f>
        <v/>
      </c>
    </row>
    <row r="119">
      <c r="A119" t="n">
        <v>116</v>
      </c>
      <c r="B119" s="196">
        <f>IF(A119&lt;='入力・概要'!$B$40,10^(LOG10('入力・概要'!$B$38)+(A119-1)*(LOG10('入力・概要'!$B$39)-LOG10('入力・概要'!$B$38))/('入力・概要'!$B$40-1)),"")</f>
        <v/>
      </c>
      <c r="C119" s="195">
        <f>IF(B119="","",2*PI()*B119)</f>
        <v/>
      </c>
      <c r="D119" s="195">
        <f>IF(B119="","",ATANH(MIN(0.999999,(2*'入力・概要'!$B$17*'入力・概要'!$B$6)/'入力・概要'!$B$30))+'入力・概要'!$B$33*SQRT(B119/1E6)+(2*PI()*B119*'入力・概要'!$B$6/(299792458*'入力・概要'!$B$31))*'入力・概要'!$B$32/2)</f>
        <v/>
      </c>
      <c r="E119" s="195">
        <f>IF(B119="","",2*PI()*B119*'入力・概要'!$B$6/(299792458*'入力・概要'!$B$31))</f>
        <v/>
      </c>
      <c r="F119" s="195">
        <f>IF(B119="","",SINH(2*D119)/(COSH(2*D119)+COS(2*E119)))</f>
        <v/>
      </c>
      <c r="G119" s="195">
        <f>IF(B119="","",SIN(2*E119)/(COSH(2*D119)+COS(2*E119)))</f>
        <v/>
      </c>
      <c r="H119" s="195">
        <f>IF(B119="","",'入力・概要'!$B$34)</f>
        <v/>
      </c>
      <c r="I119" s="195">
        <f>IF(B119="","",C119*'入力・概要'!$B$35*1E-9)</f>
        <v/>
      </c>
      <c r="J119" s="195">
        <f>IF(B119="","",H119+'入力・概要'!$B$30*F119)</f>
        <v/>
      </c>
      <c r="K119" s="195">
        <f>IF(B119="","",I119+'入力・概要'!$B$30*G119)</f>
        <v/>
      </c>
      <c r="L119" s="195">
        <f>IF(B119="","",'入力・概要'!$B$30+H119*F119-I119*G119)</f>
        <v/>
      </c>
      <c r="M119" s="195">
        <f>IF(B119="","",H119*G119+I119*F119)</f>
        <v/>
      </c>
      <c r="N119" s="195">
        <f>IF(B119="","",'入力・概要'!$B$30*(J119*L119+K119*M119)/(L119^2+M119^2))</f>
        <v/>
      </c>
      <c r="O119" s="195">
        <f>IF(B119="","",'入力・概要'!$B$30*(K119*L119-J119*M119)/(L119^2+M119^2))</f>
        <v/>
      </c>
      <c r="P119" s="195">
        <f>IF(B119="","",N119+'入力・概要'!$B$36)</f>
        <v/>
      </c>
      <c r="Q119" s="195">
        <f>IF(B119="","",O119+C119*'入力・概要'!$B$37*1E-9)</f>
        <v/>
      </c>
      <c r="R119" s="195">
        <f>IF(B119="","",SQRT(P119^2+Q119^2))</f>
        <v/>
      </c>
      <c r="S119" s="195">
        <f>IF(B119="","",IF(P119&gt;0,DEGREES(ATAN(Q119/P119)),IF(P119&lt;0,IF(Q119&gt;=0,DEGREES(ATAN(Q119/P119))+180,DEGREES(ATAN(Q119/P119))-180),IF(Q119&gt;0,90,IF(Q119&lt;0,-90,0)))))</f>
        <v/>
      </c>
      <c r="T119" s="195">
        <f>IF(B119="","",LOG10(B119))</f>
        <v/>
      </c>
      <c r="U119" s="195">
        <f>IF(R119="","",LOG10(MAX(R119,1E-12)))</f>
        <v/>
      </c>
    </row>
    <row r="120">
      <c r="A120" t="n">
        <v>117</v>
      </c>
      <c r="B120" s="196">
        <f>IF(A120&lt;='入力・概要'!$B$40,10^(LOG10('入力・概要'!$B$38)+(A120-1)*(LOG10('入力・概要'!$B$39)-LOG10('入力・概要'!$B$38))/('入力・概要'!$B$40-1)),"")</f>
        <v/>
      </c>
      <c r="C120" s="195">
        <f>IF(B120="","",2*PI()*B120)</f>
        <v/>
      </c>
      <c r="D120" s="195">
        <f>IF(B120="","",ATANH(MIN(0.999999,(2*'入力・概要'!$B$17*'入力・概要'!$B$6)/'入力・概要'!$B$30))+'入力・概要'!$B$33*SQRT(B120/1E6)+(2*PI()*B120*'入力・概要'!$B$6/(299792458*'入力・概要'!$B$31))*'入力・概要'!$B$32/2)</f>
        <v/>
      </c>
      <c r="E120" s="195">
        <f>IF(B120="","",2*PI()*B120*'入力・概要'!$B$6/(299792458*'入力・概要'!$B$31))</f>
        <v/>
      </c>
      <c r="F120" s="195">
        <f>IF(B120="","",SINH(2*D120)/(COSH(2*D120)+COS(2*E120)))</f>
        <v/>
      </c>
      <c r="G120" s="195">
        <f>IF(B120="","",SIN(2*E120)/(COSH(2*D120)+COS(2*E120)))</f>
        <v/>
      </c>
      <c r="H120" s="195">
        <f>IF(B120="","",'入力・概要'!$B$34)</f>
        <v/>
      </c>
      <c r="I120" s="195">
        <f>IF(B120="","",C120*'入力・概要'!$B$35*1E-9)</f>
        <v/>
      </c>
      <c r="J120" s="195">
        <f>IF(B120="","",H120+'入力・概要'!$B$30*F120)</f>
        <v/>
      </c>
      <c r="K120" s="195">
        <f>IF(B120="","",I120+'入力・概要'!$B$30*G120)</f>
        <v/>
      </c>
      <c r="L120" s="195">
        <f>IF(B120="","",'入力・概要'!$B$30+H120*F120-I120*G120)</f>
        <v/>
      </c>
      <c r="M120" s="195">
        <f>IF(B120="","",H120*G120+I120*F120)</f>
        <v/>
      </c>
      <c r="N120" s="195">
        <f>IF(B120="","",'入力・概要'!$B$30*(J120*L120+K120*M120)/(L120^2+M120^2))</f>
        <v/>
      </c>
      <c r="O120" s="195">
        <f>IF(B120="","",'入力・概要'!$B$30*(K120*L120-J120*M120)/(L120^2+M120^2))</f>
        <v/>
      </c>
      <c r="P120" s="195">
        <f>IF(B120="","",N120+'入力・概要'!$B$36)</f>
        <v/>
      </c>
      <c r="Q120" s="195">
        <f>IF(B120="","",O120+C120*'入力・概要'!$B$37*1E-9)</f>
        <v/>
      </c>
      <c r="R120" s="195">
        <f>IF(B120="","",SQRT(P120^2+Q120^2))</f>
        <v/>
      </c>
      <c r="S120" s="195">
        <f>IF(B120="","",IF(P120&gt;0,DEGREES(ATAN(Q120/P120)),IF(P120&lt;0,IF(Q120&gt;=0,DEGREES(ATAN(Q120/P120))+180,DEGREES(ATAN(Q120/P120))-180),IF(Q120&gt;0,90,IF(Q120&lt;0,-90,0)))))</f>
        <v/>
      </c>
      <c r="T120" s="195">
        <f>IF(B120="","",LOG10(B120))</f>
        <v/>
      </c>
      <c r="U120" s="195">
        <f>IF(R120="","",LOG10(MAX(R120,1E-12)))</f>
        <v/>
      </c>
    </row>
    <row r="121">
      <c r="A121" t="n">
        <v>118</v>
      </c>
      <c r="B121" s="196">
        <f>IF(A121&lt;='入力・概要'!$B$40,10^(LOG10('入力・概要'!$B$38)+(A121-1)*(LOG10('入力・概要'!$B$39)-LOG10('入力・概要'!$B$38))/('入力・概要'!$B$40-1)),"")</f>
        <v/>
      </c>
      <c r="C121" s="195">
        <f>IF(B121="","",2*PI()*B121)</f>
        <v/>
      </c>
      <c r="D121" s="195">
        <f>IF(B121="","",ATANH(MIN(0.999999,(2*'入力・概要'!$B$17*'入力・概要'!$B$6)/'入力・概要'!$B$30))+'入力・概要'!$B$33*SQRT(B121/1E6)+(2*PI()*B121*'入力・概要'!$B$6/(299792458*'入力・概要'!$B$31))*'入力・概要'!$B$32/2)</f>
        <v/>
      </c>
      <c r="E121" s="195">
        <f>IF(B121="","",2*PI()*B121*'入力・概要'!$B$6/(299792458*'入力・概要'!$B$31))</f>
        <v/>
      </c>
      <c r="F121" s="195">
        <f>IF(B121="","",SINH(2*D121)/(COSH(2*D121)+COS(2*E121)))</f>
        <v/>
      </c>
      <c r="G121" s="195">
        <f>IF(B121="","",SIN(2*E121)/(COSH(2*D121)+COS(2*E121)))</f>
        <v/>
      </c>
      <c r="H121" s="195">
        <f>IF(B121="","",'入力・概要'!$B$34)</f>
        <v/>
      </c>
      <c r="I121" s="195">
        <f>IF(B121="","",C121*'入力・概要'!$B$35*1E-9)</f>
        <v/>
      </c>
      <c r="J121" s="195">
        <f>IF(B121="","",H121+'入力・概要'!$B$30*F121)</f>
        <v/>
      </c>
      <c r="K121" s="195">
        <f>IF(B121="","",I121+'入力・概要'!$B$30*G121)</f>
        <v/>
      </c>
      <c r="L121" s="195">
        <f>IF(B121="","",'入力・概要'!$B$30+H121*F121-I121*G121)</f>
        <v/>
      </c>
      <c r="M121" s="195">
        <f>IF(B121="","",H121*G121+I121*F121)</f>
        <v/>
      </c>
      <c r="N121" s="195">
        <f>IF(B121="","",'入力・概要'!$B$30*(J121*L121+K121*M121)/(L121^2+M121^2))</f>
        <v/>
      </c>
      <c r="O121" s="195">
        <f>IF(B121="","",'入力・概要'!$B$30*(K121*L121-J121*M121)/(L121^2+M121^2))</f>
        <v/>
      </c>
      <c r="P121" s="195">
        <f>IF(B121="","",N121+'入力・概要'!$B$36)</f>
        <v/>
      </c>
      <c r="Q121" s="195">
        <f>IF(B121="","",O121+C121*'入力・概要'!$B$37*1E-9)</f>
        <v/>
      </c>
      <c r="R121" s="195">
        <f>IF(B121="","",SQRT(P121^2+Q121^2))</f>
        <v/>
      </c>
      <c r="S121" s="195">
        <f>IF(B121="","",IF(P121&gt;0,DEGREES(ATAN(Q121/P121)),IF(P121&lt;0,IF(Q121&gt;=0,DEGREES(ATAN(Q121/P121))+180,DEGREES(ATAN(Q121/P121))-180),IF(Q121&gt;0,90,IF(Q121&lt;0,-90,0)))))</f>
        <v/>
      </c>
      <c r="T121" s="195">
        <f>IF(B121="","",LOG10(B121))</f>
        <v/>
      </c>
      <c r="U121" s="195">
        <f>IF(R121="","",LOG10(MAX(R121,1E-12)))</f>
        <v/>
      </c>
    </row>
    <row r="122">
      <c r="A122" t="n">
        <v>119</v>
      </c>
      <c r="B122" s="196">
        <f>IF(A122&lt;='入力・概要'!$B$40,10^(LOG10('入力・概要'!$B$38)+(A122-1)*(LOG10('入力・概要'!$B$39)-LOG10('入力・概要'!$B$38))/('入力・概要'!$B$40-1)),"")</f>
        <v/>
      </c>
      <c r="C122" s="195">
        <f>IF(B122="","",2*PI()*B122)</f>
        <v/>
      </c>
      <c r="D122" s="195">
        <f>IF(B122="","",ATANH(MIN(0.999999,(2*'入力・概要'!$B$17*'入力・概要'!$B$6)/'入力・概要'!$B$30))+'入力・概要'!$B$33*SQRT(B122/1E6)+(2*PI()*B122*'入力・概要'!$B$6/(299792458*'入力・概要'!$B$31))*'入力・概要'!$B$32/2)</f>
        <v/>
      </c>
      <c r="E122" s="195">
        <f>IF(B122="","",2*PI()*B122*'入力・概要'!$B$6/(299792458*'入力・概要'!$B$31))</f>
        <v/>
      </c>
      <c r="F122" s="195">
        <f>IF(B122="","",SINH(2*D122)/(COSH(2*D122)+COS(2*E122)))</f>
        <v/>
      </c>
      <c r="G122" s="195">
        <f>IF(B122="","",SIN(2*E122)/(COSH(2*D122)+COS(2*E122)))</f>
        <v/>
      </c>
      <c r="H122" s="195">
        <f>IF(B122="","",'入力・概要'!$B$34)</f>
        <v/>
      </c>
      <c r="I122" s="195">
        <f>IF(B122="","",C122*'入力・概要'!$B$35*1E-9)</f>
        <v/>
      </c>
      <c r="J122" s="195">
        <f>IF(B122="","",H122+'入力・概要'!$B$30*F122)</f>
        <v/>
      </c>
      <c r="K122" s="195">
        <f>IF(B122="","",I122+'入力・概要'!$B$30*G122)</f>
        <v/>
      </c>
      <c r="L122" s="195">
        <f>IF(B122="","",'入力・概要'!$B$30+H122*F122-I122*G122)</f>
        <v/>
      </c>
      <c r="M122" s="195">
        <f>IF(B122="","",H122*G122+I122*F122)</f>
        <v/>
      </c>
      <c r="N122" s="195">
        <f>IF(B122="","",'入力・概要'!$B$30*(J122*L122+K122*M122)/(L122^2+M122^2))</f>
        <v/>
      </c>
      <c r="O122" s="195">
        <f>IF(B122="","",'入力・概要'!$B$30*(K122*L122-J122*M122)/(L122^2+M122^2))</f>
        <v/>
      </c>
      <c r="P122" s="195">
        <f>IF(B122="","",N122+'入力・概要'!$B$36)</f>
        <v/>
      </c>
      <c r="Q122" s="195">
        <f>IF(B122="","",O122+C122*'入力・概要'!$B$37*1E-9)</f>
        <v/>
      </c>
      <c r="R122" s="195">
        <f>IF(B122="","",SQRT(P122^2+Q122^2))</f>
        <v/>
      </c>
      <c r="S122" s="195">
        <f>IF(B122="","",IF(P122&gt;0,DEGREES(ATAN(Q122/P122)),IF(P122&lt;0,IF(Q122&gt;=0,DEGREES(ATAN(Q122/P122))+180,DEGREES(ATAN(Q122/P122))-180),IF(Q122&gt;0,90,IF(Q122&lt;0,-90,0)))))</f>
        <v/>
      </c>
      <c r="T122" s="195">
        <f>IF(B122="","",LOG10(B122))</f>
        <v/>
      </c>
      <c r="U122" s="195">
        <f>IF(R122="","",LOG10(MAX(R122,1E-12)))</f>
        <v/>
      </c>
    </row>
    <row r="123">
      <c r="A123" t="n">
        <v>120</v>
      </c>
      <c r="B123" s="196">
        <f>IF(A123&lt;='入力・概要'!$B$40,10^(LOG10('入力・概要'!$B$38)+(A123-1)*(LOG10('入力・概要'!$B$39)-LOG10('入力・概要'!$B$38))/('入力・概要'!$B$40-1)),"")</f>
        <v/>
      </c>
      <c r="C123" s="195">
        <f>IF(B123="","",2*PI()*B123)</f>
        <v/>
      </c>
      <c r="D123" s="195">
        <f>IF(B123="","",ATANH(MIN(0.999999,(2*'入力・概要'!$B$17*'入力・概要'!$B$6)/'入力・概要'!$B$30))+'入力・概要'!$B$33*SQRT(B123/1E6)+(2*PI()*B123*'入力・概要'!$B$6/(299792458*'入力・概要'!$B$31))*'入力・概要'!$B$32/2)</f>
        <v/>
      </c>
      <c r="E123" s="195">
        <f>IF(B123="","",2*PI()*B123*'入力・概要'!$B$6/(299792458*'入力・概要'!$B$31))</f>
        <v/>
      </c>
      <c r="F123" s="195">
        <f>IF(B123="","",SINH(2*D123)/(COSH(2*D123)+COS(2*E123)))</f>
        <v/>
      </c>
      <c r="G123" s="195">
        <f>IF(B123="","",SIN(2*E123)/(COSH(2*D123)+COS(2*E123)))</f>
        <v/>
      </c>
      <c r="H123" s="195">
        <f>IF(B123="","",'入力・概要'!$B$34)</f>
        <v/>
      </c>
      <c r="I123" s="195">
        <f>IF(B123="","",C123*'入力・概要'!$B$35*1E-9)</f>
        <v/>
      </c>
      <c r="J123" s="195">
        <f>IF(B123="","",H123+'入力・概要'!$B$30*F123)</f>
        <v/>
      </c>
      <c r="K123" s="195">
        <f>IF(B123="","",I123+'入力・概要'!$B$30*G123)</f>
        <v/>
      </c>
      <c r="L123" s="195">
        <f>IF(B123="","",'入力・概要'!$B$30+H123*F123-I123*G123)</f>
        <v/>
      </c>
      <c r="M123" s="195">
        <f>IF(B123="","",H123*G123+I123*F123)</f>
        <v/>
      </c>
      <c r="N123" s="195">
        <f>IF(B123="","",'入力・概要'!$B$30*(J123*L123+K123*M123)/(L123^2+M123^2))</f>
        <v/>
      </c>
      <c r="O123" s="195">
        <f>IF(B123="","",'入力・概要'!$B$30*(K123*L123-J123*M123)/(L123^2+M123^2))</f>
        <v/>
      </c>
      <c r="P123" s="195">
        <f>IF(B123="","",N123+'入力・概要'!$B$36)</f>
        <v/>
      </c>
      <c r="Q123" s="195">
        <f>IF(B123="","",O123+C123*'入力・概要'!$B$37*1E-9)</f>
        <v/>
      </c>
      <c r="R123" s="195">
        <f>IF(B123="","",SQRT(P123^2+Q123^2))</f>
        <v/>
      </c>
      <c r="S123" s="195">
        <f>IF(B123="","",IF(P123&gt;0,DEGREES(ATAN(Q123/P123)),IF(P123&lt;0,IF(Q123&gt;=0,DEGREES(ATAN(Q123/P123))+180,DEGREES(ATAN(Q123/P123))-180),IF(Q123&gt;0,90,IF(Q123&lt;0,-90,0)))))</f>
        <v/>
      </c>
      <c r="T123" s="195">
        <f>IF(B123="","",LOG10(B123))</f>
        <v/>
      </c>
      <c r="U123" s="195">
        <f>IF(R123="","",LOG10(MAX(R123,1E-12)))</f>
        <v/>
      </c>
    </row>
    <row r="124">
      <c r="A124" t="n">
        <v>121</v>
      </c>
      <c r="B124" s="196">
        <f>IF(A124&lt;='入力・概要'!$B$40,10^(LOG10('入力・概要'!$B$38)+(A124-1)*(LOG10('入力・概要'!$B$39)-LOG10('入力・概要'!$B$38))/('入力・概要'!$B$40-1)),"")</f>
        <v/>
      </c>
      <c r="C124" s="195">
        <f>IF(B124="","",2*PI()*B124)</f>
        <v/>
      </c>
      <c r="D124" s="195">
        <f>IF(B124="","",ATANH(MIN(0.999999,(2*'入力・概要'!$B$17*'入力・概要'!$B$6)/'入力・概要'!$B$30))+'入力・概要'!$B$33*SQRT(B124/1E6)+(2*PI()*B124*'入力・概要'!$B$6/(299792458*'入力・概要'!$B$31))*'入力・概要'!$B$32/2)</f>
        <v/>
      </c>
      <c r="E124" s="195">
        <f>IF(B124="","",2*PI()*B124*'入力・概要'!$B$6/(299792458*'入力・概要'!$B$31))</f>
        <v/>
      </c>
      <c r="F124" s="195">
        <f>IF(B124="","",SINH(2*D124)/(COSH(2*D124)+COS(2*E124)))</f>
        <v/>
      </c>
      <c r="G124" s="195">
        <f>IF(B124="","",SIN(2*E124)/(COSH(2*D124)+COS(2*E124)))</f>
        <v/>
      </c>
      <c r="H124" s="195">
        <f>IF(B124="","",'入力・概要'!$B$34)</f>
        <v/>
      </c>
      <c r="I124" s="195">
        <f>IF(B124="","",C124*'入力・概要'!$B$35*1E-9)</f>
        <v/>
      </c>
      <c r="J124" s="195">
        <f>IF(B124="","",H124+'入力・概要'!$B$30*F124)</f>
        <v/>
      </c>
      <c r="K124" s="195">
        <f>IF(B124="","",I124+'入力・概要'!$B$30*G124)</f>
        <v/>
      </c>
      <c r="L124" s="195">
        <f>IF(B124="","",'入力・概要'!$B$30+H124*F124-I124*G124)</f>
        <v/>
      </c>
      <c r="M124" s="195">
        <f>IF(B124="","",H124*G124+I124*F124)</f>
        <v/>
      </c>
      <c r="N124" s="195">
        <f>IF(B124="","",'入力・概要'!$B$30*(J124*L124+K124*M124)/(L124^2+M124^2))</f>
        <v/>
      </c>
      <c r="O124" s="195">
        <f>IF(B124="","",'入力・概要'!$B$30*(K124*L124-J124*M124)/(L124^2+M124^2))</f>
        <v/>
      </c>
      <c r="P124" s="195">
        <f>IF(B124="","",N124+'入力・概要'!$B$36)</f>
        <v/>
      </c>
      <c r="Q124" s="195">
        <f>IF(B124="","",O124+C124*'入力・概要'!$B$37*1E-9)</f>
        <v/>
      </c>
      <c r="R124" s="195">
        <f>IF(B124="","",SQRT(P124^2+Q124^2))</f>
        <v/>
      </c>
      <c r="S124" s="195">
        <f>IF(B124="","",IF(P124&gt;0,DEGREES(ATAN(Q124/P124)),IF(P124&lt;0,IF(Q124&gt;=0,DEGREES(ATAN(Q124/P124))+180,DEGREES(ATAN(Q124/P124))-180),IF(Q124&gt;0,90,IF(Q124&lt;0,-90,0)))))</f>
        <v/>
      </c>
      <c r="T124" s="195">
        <f>IF(B124="","",LOG10(B124))</f>
        <v/>
      </c>
      <c r="U124" s="195">
        <f>IF(R124="","",LOG10(MAX(R124,1E-12)))</f>
        <v/>
      </c>
    </row>
    <row r="125">
      <c r="A125" t="n">
        <v>122</v>
      </c>
      <c r="B125" s="196">
        <f>IF(A125&lt;='入力・概要'!$B$40,10^(LOG10('入力・概要'!$B$38)+(A125-1)*(LOG10('入力・概要'!$B$39)-LOG10('入力・概要'!$B$38))/('入力・概要'!$B$40-1)),"")</f>
        <v/>
      </c>
      <c r="C125" s="195">
        <f>IF(B125="","",2*PI()*B125)</f>
        <v/>
      </c>
      <c r="D125" s="195">
        <f>IF(B125="","",ATANH(MIN(0.999999,(2*'入力・概要'!$B$17*'入力・概要'!$B$6)/'入力・概要'!$B$30))+'入力・概要'!$B$33*SQRT(B125/1E6)+(2*PI()*B125*'入力・概要'!$B$6/(299792458*'入力・概要'!$B$31))*'入力・概要'!$B$32/2)</f>
        <v/>
      </c>
      <c r="E125" s="195">
        <f>IF(B125="","",2*PI()*B125*'入力・概要'!$B$6/(299792458*'入力・概要'!$B$31))</f>
        <v/>
      </c>
      <c r="F125" s="195">
        <f>IF(B125="","",SINH(2*D125)/(COSH(2*D125)+COS(2*E125)))</f>
        <v/>
      </c>
      <c r="G125" s="195">
        <f>IF(B125="","",SIN(2*E125)/(COSH(2*D125)+COS(2*E125)))</f>
        <v/>
      </c>
      <c r="H125" s="195">
        <f>IF(B125="","",'入力・概要'!$B$34)</f>
        <v/>
      </c>
      <c r="I125" s="195">
        <f>IF(B125="","",C125*'入力・概要'!$B$35*1E-9)</f>
        <v/>
      </c>
      <c r="J125" s="195">
        <f>IF(B125="","",H125+'入力・概要'!$B$30*F125)</f>
        <v/>
      </c>
      <c r="K125" s="195">
        <f>IF(B125="","",I125+'入力・概要'!$B$30*G125)</f>
        <v/>
      </c>
      <c r="L125" s="195">
        <f>IF(B125="","",'入力・概要'!$B$30+H125*F125-I125*G125)</f>
        <v/>
      </c>
      <c r="M125" s="195">
        <f>IF(B125="","",H125*G125+I125*F125)</f>
        <v/>
      </c>
      <c r="N125" s="195">
        <f>IF(B125="","",'入力・概要'!$B$30*(J125*L125+K125*M125)/(L125^2+M125^2))</f>
        <v/>
      </c>
      <c r="O125" s="195">
        <f>IF(B125="","",'入力・概要'!$B$30*(K125*L125-J125*M125)/(L125^2+M125^2))</f>
        <v/>
      </c>
      <c r="P125" s="195">
        <f>IF(B125="","",N125+'入力・概要'!$B$36)</f>
        <v/>
      </c>
      <c r="Q125" s="195">
        <f>IF(B125="","",O125+C125*'入力・概要'!$B$37*1E-9)</f>
        <v/>
      </c>
      <c r="R125" s="195">
        <f>IF(B125="","",SQRT(P125^2+Q125^2))</f>
        <v/>
      </c>
      <c r="S125" s="195">
        <f>IF(B125="","",IF(P125&gt;0,DEGREES(ATAN(Q125/P125)),IF(P125&lt;0,IF(Q125&gt;=0,DEGREES(ATAN(Q125/P125))+180,DEGREES(ATAN(Q125/P125))-180),IF(Q125&gt;0,90,IF(Q125&lt;0,-90,0)))))</f>
        <v/>
      </c>
      <c r="T125" s="195">
        <f>IF(B125="","",LOG10(B125))</f>
        <v/>
      </c>
      <c r="U125" s="195">
        <f>IF(R125="","",LOG10(MAX(R125,1E-12)))</f>
        <v/>
      </c>
    </row>
    <row r="126">
      <c r="A126" t="n">
        <v>123</v>
      </c>
      <c r="B126" s="196">
        <f>IF(A126&lt;='入力・概要'!$B$40,10^(LOG10('入力・概要'!$B$38)+(A126-1)*(LOG10('入力・概要'!$B$39)-LOG10('入力・概要'!$B$38))/('入力・概要'!$B$40-1)),"")</f>
        <v/>
      </c>
      <c r="C126" s="195">
        <f>IF(B126="","",2*PI()*B126)</f>
        <v/>
      </c>
      <c r="D126" s="195">
        <f>IF(B126="","",ATANH(MIN(0.999999,(2*'入力・概要'!$B$17*'入力・概要'!$B$6)/'入力・概要'!$B$30))+'入力・概要'!$B$33*SQRT(B126/1E6)+(2*PI()*B126*'入力・概要'!$B$6/(299792458*'入力・概要'!$B$31))*'入力・概要'!$B$32/2)</f>
        <v/>
      </c>
      <c r="E126" s="195">
        <f>IF(B126="","",2*PI()*B126*'入力・概要'!$B$6/(299792458*'入力・概要'!$B$31))</f>
        <v/>
      </c>
      <c r="F126" s="195">
        <f>IF(B126="","",SINH(2*D126)/(COSH(2*D126)+COS(2*E126)))</f>
        <v/>
      </c>
      <c r="G126" s="195">
        <f>IF(B126="","",SIN(2*E126)/(COSH(2*D126)+COS(2*E126)))</f>
        <v/>
      </c>
      <c r="H126" s="195">
        <f>IF(B126="","",'入力・概要'!$B$34)</f>
        <v/>
      </c>
      <c r="I126" s="195">
        <f>IF(B126="","",C126*'入力・概要'!$B$35*1E-9)</f>
        <v/>
      </c>
      <c r="J126" s="195">
        <f>IF(B126="","",H126+'入力・概要'!$B$30*F126)</f>
        <v/>
      </c>
      <c r="K126" s="195">
        <f>IF(B126="","",I126+'入力・概要'!$B$30*G126)</f>
        <v/>
      </c>
      <c r="L126" s="195">
        <f>IF(B126="","",'入力・概要'!$B$30+H126*F126-I126*G126)</f>
        <v/>
      </c>
      <c r="M126" s="195">
        <f>IF(B126="","",H126*G126+I126*F126)</f>
        <v/>
      </c>
      <c r="N126" s="195">
        <f>IF(B126="","",'入力・概要'!$B$30*(J126*L126+K126*M126)/(L126^2+M126^2))</f>
        <v/>
      </c>
      <c r="O126" s="195">
        <f>IF(B126="","",'入力・概要'!$B$30*(K126*L126-J126*M126)/(L126^2+M126^2))</f>
        <v/>
      </c>
      <c r="P126" s="195">
        <f>IF(B126="","",N126+'入力・概要'!$B$36)</f>
        <v/>
      </c>
      <c r="Q126" s="195">
        <f>IF(B126="","",O126+C126*'入力・概要'!$B$37*1E-9)</f>
        <v/>
      </c>
      <c r="R126" s="195">
        <f>IF(B126="","",SQRT(P126^2+Q126^2))</f>
        <v/>
      </c>
      <c r="S126" s="195">
        <f>IF(B126="","",IF(P126&gt;0,DEGREES(ATAN(Q126/P126)),IF(P126&lt;0,IF(Q126&gt;=0,DEGREES(ATAN(Q126/P126))+180,DEGREES(ATAN(Q126/P126))-180),IF(Q126&gt;0,90,IF(Q126&lt;0,-90,0)))))</f>
        <v/>
      </c>
      <c r="T126" s="195">
        <f>IF(B126="","",LOG10(B126))</f>
        <v/>
      </c>
      <c r="U126" s="195">
        <f>IF(R126="","",LOG10(MAX(R126,1E-12)))</f>
        <v/>
      </c>
    </row>
    <row r="127">
      <c r="A127" t="n">
        <v>124</v>
      </c>
      <c r="B127" s="196">
        <f>IF(A127&lt;='入力・概要'!$B$40,10^(LOG10('入力・概要'!$B$38)+(A127-1)*(LOG10('入力・概要'!$B$39)-LOG10('入力・概要'!$B$38))/('入力・概要'!$B$40-1)),"")</f>
        <v/>
      </c>
      <c r="C127" s="195">
        <f>IF(B127="","",2*PI()*B127)</f>
        <v/>
      </c>
      <c r="D127" s="195">
        <f>IF(B127="","",ATANH(MIN(0.999999,(2*'入力・概要'!$B$17*'入力・概要'!$B$6)/'入力・概要'!$B$30))+'入力・概要'!$B$33*SQRT(B127/1E6)+(2*PI()*B127*'入力・概要'!$B$6/(299792458*'入力・概要'!$B$31))*'入力・概要'!$B$32/2)</f>
        <v/>
      </c>
      <c r="E127" s="195">
        <f>IF(B127="","",2*PI()*B127*'入力・概要'!$B$6/(299792458*'入力・概要'!$B$31))</f>
        <v/>
      </c>
      <c r="F127" s="195">
        <f>IF(B127="","",SINH(2*D127)/(COSH(2*D127)+COS(2*E127)))</f>
        <v/>
      </c>
      <c r="G127" s="195">
        <f>IF(B127="","",SIN(2*E127)/(COSH(2*D127)+COS(2*E127)))</f>
        <v/>
      </c>
      <c r="H127" s="195">
        <f>IF(B127="","",'入力・概要'!$B$34)</f>
        <v/>
      </c>
      <c r="I127" s="195">
        <f>IF(B127="","",C127*'入力・概要'!$B$35*1E-9)</f>
        <v/>
      </c>
      <c r="J127" s="195">
        <f>IF(B127="","",H127+'入力・概要'!$B$30*F127)</f>
        <v/>
      </c>
      <c r="K127" s="195">
        <f>IF(B127="","",I127+'入力・概要'!$B$30*G127)</f>
        <v/>
      </c>
      <c r="L127" s="195">
        <f>IF(B127="","",'入力・概要'!$B$30+H127*F127-I127*G127)</f>
        <v/>
      </c>
      <c r="M127" s="195">
        <f>IF(B127="","",H127*G127+I127*F127)</f>
        <v/>
      </c>
      <c r="N127" s="195">
        <f>IF(B127="","",'入力・概要'!$B$30*(J127*L127+K127*M127)/(L127^2+M127^2))</f>
        <v/>
      </c>
      <c r="O127" s="195">
        <f>IF(B127="","",'入力・概要'!$B$30*(K127*L127-J127*M127)/(L127^2+M127^2))</f>
        <v/>
      </c>
      <c r="P127" s="195">
        <f>IF(B127="","",N127+'入力・概要'!$B$36)</f>
        <v/>
      </c>
      <c r="Q127" s="195">
        <f>IF(B127="","",O127+C127*'入力・概要'!$B$37*1E-9)</f>
        <v/>
      </c>
      <c r="R127" s="195">
        <f>IF(B127="","",SQRT(P127^2+Q127^2))</f>
        <v/>
      </c>
      <c r="S127" s="195">
        <f>IF(B127="","",IF(P127&gt;0,DEGREES(ATAN(Q127/P127)),IF(P127&lt;0,IF(Q127&gt;=0,DEGREES(ATAN(Q127/P127))+180,DEGREES(ATAN(Q127/P127))-180),IF(Q127&gt;0,90,IF(Q127&lt;0,-90,0)))))</f>
        <v/>
      </c>
      <c r="T127" s="195">
        <f>IF(B127="","",LOG10(B127))</f>
        <v/>
      </c>
      <c r="U127" s="195">
        <f>IF(R127="","",LOG10(MAX(R127,1E-12)))</f>
        <v/>
      </c>
    </row>
    <row r="128">
      <c r="A128" t="n">
        <v>125</v>
      </c>
      <c r="B128" s="196">
        <f>IF(A128&lt;='入力・概要'!$B$40,10^(LOG10('入力・概要'!$B$38)+(A128-1)*(LOG10('入力・概要'!$B$39)-LOG10('入力・概要'!$B$38))/('入力・概要'!$B$40-1)),"")</f>
        <v/>
      </c>
      <c r="C128" s="195">
        <f>IF(B128="","",2*PI()*B128)</f>
        <v/>
      </c>
      <c r="D128" s="195">
        <f>IF(B128="","",ATANH(MIN(0.999999,(2*'入力・概要'!$B$17*'入力・概要'!$B$6)/'入力・概要'!$B$30))+'入力・概要'!$B$33*SQRT(B128/1E6)+(2*PI()*B128*'入力・概要'!$B$6/(299792458*'入力・概要'!$B$31))*'入力・概要'!$B$32/2)</f>
        <v/>
      </c>
      <c r="E128" s="195">
        <f>IF(B128="","",2*PI()*B128*'入力・概要'!$B$6/(299792458*'入力・概要'!$B$31))</f>
        <v/>
      </c>
      <c r="F128" s="195">
        <f>IF(B128="","",SINH(2*D128)/(COSH(2*D128)+COS(2*E128)))</f>
        <v/>
      </c>
      <c r="G128" s="195">
        <f>IF(B128="","",SIN(2*E128)/(COSH(2*D128)+COS(2*E128)))</f>
        <v/>
      </c>
      <c r="H128" s="195">
        <f>IF(B128="","",'入力・概要'!$B$34)</f>
        <v/>
      </c>
      <c r="I128" s="195">
        <f>IF(B128="","",C128*'入力・概要'!$B$35*1E-9)</f>
        <v/>
      </c>
      <c r="J128" s="195">
        <f>IF(B128="","",H128+'入力・概要'!$B$30*F128)</f>
        <v/>
      </c>
      <c r="K128" s="195">
        <f>IF(B128="","",I128+'入力・概要'!$B$30*G128)</f>
        <v/>
      </c>
      <c r="L128" s="195">
        <f>IF(B128="","",'入力・概要'!$B$30+H128*F128-I128*G128)</f>
        <v/>
      </c>
      <c r="M128" s="195">
        <f>IF(B128="","",H128*G128+I128*F128)</f>
        <v/>
      </c>
      <c r="N128" s="195">
        <f>IF(B128="","",'入力・概要'!$B$30*(J128*L128+K128*M128)/(L128^2+M128^2))</f>
        <v/>
      </c>
      <c r="O128" s="195">
        <f>IF(B128="","",'入力・概要'!$B$30*(K128*L128-J128*M128)/(L128^2+M128^2))</f>
        <v/>
      </c>
      <c r="P128" s="195">
        <f>IF(B128="","",N128+'入力・概要'!$B$36)</f>
        <v/>
      </c>
      <c r="Q128" s="195">
        <f>IF(B128="","",O128+C128*'入力・概要'!$B$37*1E-9)</f>
        <v/>
      </c>
      <c r="R128" s="195">
        <f>IF(B128="","",SQRT(P128^2+Q128^2))</f>
        <v/>
      </c>
      <c r="S128" s="195">
        <f>IF(B128="","",IF(P128&gt;0,DEGREES(ATAN(Q128/P128)),IF(P128&lt;0,IF(Q128&gt;=0,DEGREES(ATAN(Q128/P128))+180,DEGREES(ATAN(Q128/P128))-180),IF(Q128&gt;0,90,IF(Q128&lt;0,-90,0)))))</f>
        <v/>
      </c>
      <c r="T128" s="195">
        <f>IF(B128="","",LOG10(B128))</f>
        <v/>
      </c>
      <c r="U128" s="195">
        <f>IF(R128="","",LOG10(MAX(R128,1E-12)))</f>
        <v/>
      </c>
    </row>
    <row r="129">
      <c r="A129" t="n">
        <v>126</v>
      </c>
      <c r="B129" s="196">
        <f>IF(A129&lt;='入力・概要'!$B$40,10^(LOG10('入力・概要'!$B$38)+(A129-1)*(LOG10('入力・概要'!$B$39)-LOG10('入力・概要'!$B$38))/('入力・概要'!$B$40-1)),"")</f>
        <v/>
      </c>
      <c r="C129" s="195">
        <f>IF(B129="","",2*PI()*B129)</f>
        <v/>
      </c>
      <c r="D129" s="195">
        <f>IF(B129="","",ATANH(MIN(0.999999,(2*'入力・概要'!$B$17*'入力・概要'!$B$6)/'入力・概要'!$B$30))+'入力・概要'!$B$33*SQRT(B129/1E6)+(2*PI()*B129*'入力・概要'!$B$6/(299792458*'入力・概要'!$B$31))*'入力・概要'!$B$32/2)</f>
        <v/>
      </c>
      <c r="E129" s="195">
        <f>IF(B129="","",2*PI()*B129*'入力・概要'!$B$6/(299792458*'入力・概要'!$B$31))</f>
        <v/>
      </c>
      <c r="F129" s="195">
        <f>IF(B129="","",SINH(2*D129)/(COSH(2*D129)+COS(2*E129)))</f>
        <v/>
      </c>
      <c r="G129" s="195">
        <f>IF(B129="","",SIN(2*E129)/(COSH(2*D129)+COS(2*E129)))</f>
        <v/>
      </c>
      <c r="H129" s="195">
        <f>IF(B129="","",'入力・概要'!$B$34)</f>
        <v/>
      </c>
      <c r="I129" s="195">
        <f>IF(B129="","",C129*'入力・概要'!$B$35*1E-9)</f>
        <v/>
      </c>
      <c r="J129" s="195">
        <f>IF(B129="","",H129+'入力・概要'!$B$30*F129)</f>
        <v/>
      </c>
      <c r="K129" s="195">
        <f>IF(B129="","",I129+'入力・概要'!$B$30*G129)</f>
        <v/>
      </c>
      <c r="L129" s="195">
        <f>IF(B129="","",'入力・概要'!$B$30+H129*F129-I129*G129)</f>
        <v/>
      </c>
      <c r="M129" s="195">
        <f>IF(B129="","",H129*G129+I129*F129)</f>
        <v/>
      </c>
      <c r="N129" s="195">
        <f>IF(B129="","",'入力・概要'!$B$30*(J129*L129+K129*M129)/(L129^2+M129^2))</f>
        <v/>
      </c>
      <c r="O129" s="195">
        <f>IF(B129="","",'入力・概要'!$B$30*(K129*L129-J129*M129)/(L129^2+M129^2))</f>
        <v/>
      </c>
      <c r="P129" s="195">
        <f>IF(B129="","",N129+'入力・概要'!$B$36)</f>
        <v/>
      </c>
      <c r="Q129" s="195">
        <f>IF(B129="","",O129+C129*'入力・概要'!$B$37*1E-9)</f>
        <v/>
      </c>
      <c r="R129" s="195">
        <f>IF(B129="","",SQRT(P129^2+Q129^2))</f>
        <v/>
      </c>
      <c r="S129" s="195">
        <f>IF(B129="","",IF(P129&gt;0,DEGREES(ATAN(Q129/P129)),IF(P129&lt;0,IF(Q129&gt;=0,DEGREES(ATAN(Q129/P129))+180,DEGREES(ATAN(Q129/P129))-180),IF(Q129&gt;0,90,IF(Q129&lt;0,-90,0)))))</f>
        <v/>
      </c>
      <c r="T129" s="195">
        <f>IF(B129="","",LOG10(B129))</f>
        <v/>
      </c>
      <c r="U129" s="195">
        <f>IF(R129="","",LOG10(MAX(R129,1E-12)))</f>
        <v/>
      </c>
    </row>
    <row r="130">
      <c r="A130" t="n">
        <v>127</v>
      </c>
      <c r="B130" s="196">
        <f>IF(A130&lt;='入力・概要'!$B$40,10^(LOG10('入力・概要'!$B$38)+(A130-1)*(LOG10('入力・概要'!$B$39)-LOG10('入力・概要'!$B$38))/('入力・概要'!$B$40-1)),"")</f>
        <v/>
      </c>
      <c r="C130" s="195">
        <f>IF(B130="","",2*PI()*B130)</f>
        <v/>
      </c>
      <c r="D130" s="195">
        <f>IF(B130="","",ATANH(MIN(0.999999,(2*'入力・概要'!$B$17*'入力・概要'!$B$6)/'入力・概要'!$B$30))+'入力・概要'!$B$33*SQRT(B130/1E6)+(2*PI()*B130*'入力・概要'!$B$6/(299792458*'入力・概要'!$B$31))*'入力・概要'!$B$32/2)</f>
        <v/>
      </c>
      <c r="E130" s="195">
        <f>IF(B130="","",2*PI()*B130*'入力・概要'!$B$6/(299792458*'入力・概要'!$B$31))</f>
        <v/>
      </c>
      <c r="F130" s="195">
        <f>IF(B130="","",SINH(2*D130)/(COSH(2*D130)+COS(2*E130)))</f>
        <v/>
      </c>
      <c r="G130" s="195">
        <f>IF(B130="","",SIN(2*E130)/(COSH(2*D130)+COS(2*E130)))</f>
        <v/>
      </c>
      <c r="H130" s="195">
        <f>IF(B130="","",'入力・概要'!$B$34)</f>
        <v/>
      </c>
      <c r="I130" s="195">
        <f>IF(B130="","",C130*'入力・概要'!$B$35*1E-9)</f>
        <v/>
      </c>
      <c r="J130" s="195">
        <f>IF(B130="","",H130+'入力・概要'!$B$30*F130)</f>
        <v/>
      </c>
      <c r="K130" s="195">
        <f>IF(B130="","",I130+'入力・概要'!$B$30*G130)</f>
        <v/>
      </c>
      <c r="L130" s="195">
        <f>IF(B130="","",'入力・概要'!$B$30+H130*F130-I130*G130)</f>
        <v/>
      </c>
      <c r="M130" s="195">
        <f>IF(B130="","",H130*G130+I130*F130)</f>
        <v/>
      </c>
      <c r="N130" s="195">
        <f>IF(B130="","",'入力・概要'!$B$30*(J130*L130+K130*M130)/(L130^2+M130^2))</f>
        <v/>
      </c>
      <c r="O130" s="195">
        <f>IF(B130="","",'入力・概要'!$B$30*(K130*L130-J130*M130)/(L130^2+M130^2))</f>
        <v/>
      </c>
      <c r="P130" s="195">
        <f>IF(B130="","",N130+'入力・概要'!$B$36)</f>
        <v/>
      </c>
      <c r="Q130" s="195">
        <f>IF(B130="","",O130+C130*'入力・概要'!$B$37*1E-9)</f>
        <v/>
      </c>
      <c r="R130" s="195">
        <f>IF(B130="","",SQRT(P130^2+Q130^2))</f>
        <v/>
      </c>
      <c r="S130" s="195">
        <f>IF(B130="","",IF(P130&gt;0,DEGREES(ATAN(Q130/P130)),IF(P130&lt;0,IF(Q130&gt;=0,DEGREES(ATAN(Q130/P130))+180,DEGREES(ATAN(Q130/P130))-180),IF(Q130&gt;0,90,IF(Q130&lt;0,-90,0)))))</f>
        <v/>
      </c>
      <c r="T130" s="195">
        <f>IF(B130="","",LOG10(B130))</f>
        <v/>
      </c>
      <c r="U130" s="195">
        <f>IF(R130="","",LOG10(MAX(R130,1E-12)))</f>
        <v/>
      </c>
    </row>
    <row r="131">
      <c r="A131" t="n">
        <v>128</v>
      </c>
      <c r="B131" s="196">
        <f>IF(A131&lt;='入力・概要'!$B$40,10^(LOG10('入力・概要'!$B$38)+(A131-1)*(LOG10('入力・概要'!$B$39)-LOG10('入力・概要'!$B$38))/('入力・概要'!$B$40-1)),"")</f>
        <v/>
      </c>
      <c r="C131" s="195">
        <f>IF(B131="","",2*PI()*B131)</f>
        <v/>
      </c>
      <c r="D131" s="195">
        <f>IF(B131="","",ATANH(MIN(0.999999,(2*'入力・概要'!$B$17*'入力・概要'!$B$6)/'入力・概要'!$B$30))+'入力・概要'!$B$33*SQRT(B131/1E6)+(2*PI()*B131*'入力・概要'!$B$6/(299792458*'入力・概要'!$B$31))*'入力・概要'!$B$32/2)</f>
        <v/>
      </c>
      <c r="E131" s="195">
        <f>IF(B131="","",2*PI()*B131*'入力・概要'!$B$6/(299792458*'入力・概要'!$B$31))</f>
        <v/>
      </c>
      <c r="F131" s="195">
        <f>IF(B131="","",SINH(2*D131)/(COSH(2*D131)+COS(2*E131)))</f>
        <v/>
      </c>
      <c r="G131" s="195">
        <f>IF(B131="","",SIN(2*E131)/(COSH(2*D131)+COS(2*E131)))</f>
        <v/>
      </c>
      <c r="H131" s="195">
        <f>IF(B131="","",'入力・概要'!$B$34)</f>
        <v/>
      </c>
      <c r="I131" s="195">
        <f>IF(B131="","",C131*'入力・概要'!$B$35*1E-9)</f>
        <v/>
      </c>
      <c r="J131" s="195">
        <f>IF(B131="","",H131+'入力・概要'!$B$30*F131)</f>
        <v/>
      </c>
      <c r="K131" s="195">
        <f>IF(B131="","",I131+'入力・概要'!$B$30*G131)</f>
        <v/>
      </c>
      <c r="L131" s="195">
        <f>IF(B131="","",'入力・概要'!$B$30+H131*F131-I131*G131)</f>
        <v/>
      </c>
      <c r="M131" s="195">
        <f>IF(B131="","",H131*G131+I131*F131)</f>
        <v/>
      </c>
      <c r="N131" s="195">
        <f>IF(B131="","",'入力・概要'!$B$30*(J131*L131+K131*M131)/(L131^2+M131^2))</f>
        <v/>
      </c>
      <c r="O131" s="195">
        <f>IF(B131="","",'入力・概要'!$B$30*(K131*L131-J131*M131)/(L131^2+M131^2))</f>
        <v/>
      </c>
      <c r="P131" s="195">
        <f>IF(B131="","",N131+'入力・概要'!$B$36)</f>
        <v/>
      </c>
      <c r="Q131" s="195">
        <f>IF(B131="","",O131+C131*'入力・概要'!$B$37*1E-9)</f>
        <v/>
      </c>
      <c r="R131" s="195">
        <f>IF(B131="","",SQRT(P131^2+Q131^2))</f>
        <v/>
      </c>
      <c r="S131" s="195">
        <f>IF(B131="","",IF(P131&gt;0,DEGREES(ATAN(Q131/P131)),IF(P131&lt;0,IF(Q131&gt;=0,DEGREES(ATAN(Q131/P131))+180,DEGREES(ATAN(Q131/P131))-180),IF(Q131&gt;0,90,IF(Q131&lt;0,-90,0)))))</f>
        <v/>
      </c>
      <c r="T131" s="195">
        <f>IF(B131="","",LOG10(B131))</f>
        <v/>
      </c>
      <c r="U131" s="195">
        <f>IF(R131="","",LOG10(MAX(R131,1E-12)))</f>
        <v/>
      </c>
    </row>
    <row r="132">
      <c r="A132" t="n">
        <v>129</v>
      </c>
      <c r="B132" s="196">
        <f>IF(A132&lt;='入力・概要'!$B$40,10^(LOG10('入力・概要'!$B$38)+(A132-1)*(LOG10('入力・概要'!$B$39)-LOG10('入力・概要'!$B$38))/('入力・概要'!$B$40-1)),"")</f>
        <v/>
      </c>
      <c r="C132" s="195">
        <f>IF(B132="","",2*PI()*B132)</f>
        <v/>
      </c>
      <c r="D132" s="195">
        <f>IF(B132="","",ATANH(MIN(0.999999,(2*'入力・概要'!$B$17*'入力・概要'!$B$6)/'入力・概要'!$B$30))+'入力・概要'!$B$33*SQRT(B132/1E6)+(2*PI()*B132*'入力・概要'!$B$6/(299792458*'入力・概要'!$B$31))*'入力・概要'!$B$32/2)</f>
        <v/>
      </c>
      <c r="E132" s="195">
        <f>IF(B132="","",2*PI()*B132*'入力・概要'!$B$6/(299792458*'入力・概要'!$B$31))</f>
        <v/>
      </c>
      <c r="F132" s="195">
        <f>IF(B132="","",SINH(2*D132)/(COSH(2*D132)+COS(2*E132)))</f>
        <v/>
      </c>
      <c r="G132" s="195">
        <f>IF(B132="","",SIN(2*E132)/(COSH(2*D132)+COS(2*E132)))</f>
        <v/>
      </c>
      <c r="H132" s="195">
        <f>IF(B132="","",'入力・概要'!$B$34)</f>
        <v/>
      </c>
      <c r="I132" s="195">
        <f>IF(B132="","",C132*'入力・概要'!$B$35*1E-9)</f>
        <v/>
      </c>
      <c r="J132" s="195">
        <f>IF(B132="","",H132+'入力・概要'!$B$30*F132)</f>
        <v/>
      </c>
      <c r="K132" s="195">
        <f>IF(B132="","",I132+'入力・概要'!$B$30*G132)</f>
        <v/>
      </c>
      <c r="L132" s="195">
        <f>IF(B132="","",'入力・概要'!$B$30+H132*F132-I132*G132)</f>
        <v/>
      </c>
      <c r="M132" s="195">
        <f>IF(B132="","",H132*G132+I132*F132)</f>
        <v/>
      </c>
      <c r="N132" s="195">
        <f>IF(B132="","",'入力・概要'!$B$30*(J132*L132+K132*M132)/(L132^2+M132^2))</f>
        <v/>
      </c>
      <c r="O132" s="195">
        <f>IF(B132="","",'入力・概要'!$B$30*(K132*L132-J132*M132)/(L132^2+M132^2))</f>
        <v/>
      </c>
      <c r="P132" s="195">
        <f>IF(B132="","",N132+'入力・概要'!$B$36)</f>
        <v/>
      </c>
      <c r="Q132" s="195">
        <f>IF(B132="","",O132+C132*'入力・概要'!$B$37*1E-9)</f>
        <v/>
      </c>
      <c r="R132" s="195">
        <f>IF(B132="","",SQRT(P132^2+Q132^2))</f>
        <v/>
      </c>
      <c r="S132" s="195">
        <f>IF(B132="","",IF(P132&gt;0,DEGREES(ATAN(Q132/P132)),IF(P132&lt;0,IF(Q132&gt;=0,DEGREES(ATAN(Q132/P132))+180,DEGREES(ATAN(Q132/P132))-180),IF(Q132&gt;0,90,IF(Q132&lt;0,-90,0)))))</f>
        <v/>
      </c>
      <c r="T132" s="195">
        <f>IF(B132="","",LOG10(B132))</f>
        <v/>
      </c>
      <c r="U132" s="195">
        <f>IF(R132="","",LOG10(MAX(R132,1E-12)))</f>
        <v/>
      </c>
    </row>
    <row r="133">
      <c r="A133" t="n">
        <v>130</v>
      </c>
      <c r="B133" s="196">
        <f>IF(A133&lt;='入力・概要'!$B$40,10^(LOG10('入力・概要'!$B$38)+(A133-1)*(LOG10('入力・概要'!$B$39)-LOG10('入力・概要'!$B$38))/('入力・概要'!$B$40-1)),"")</f>
        <v/>
      </c>
      <c r="C133" s="195">
        <f>IF(B133="","",2*PI()*B133)</f>
        <v/>
      </c>
      <c r="D133" s="195">
        <f>IF(B133="","",ATANH(MIN(0.999999,(2*'入力・概要'!$B$17*'入力・概要'!$B$6)/'入力・概要'!$B$30))+'入力・概要'!$B$33*SQRT(B133/1E6)+(2*PI()*B133*'入力・概要'!$B$6/(299792458*'入力・概要'!$B$31))*'入力・概要'!$B$32/2)</f>
        <v/>
      </c>
      <c r="E133" s="195">
        <f>IF(B133="","",2*PI()*B133*'入力・概要'!$B$6/(299792458*'入力・概要'!$B$31))</f>
        <v/>
      </c>
      <c r="F133" s="195">
        <f>IF(B133="","",SINH(2*D133)/(COSH(2*D133)+COS(2*E133)))</f>
        <v/>
      </c>
      <c r="G133" s="195">
        <f>IF(B133="","",SIN(2*E133)/(COSH(2*D133)+COS(2*E133)))</f>
        <v/>
      </c>
      <c r="H133" s="195">
        <f>IF(B133="","",'入力・概要'!$B$34)</f>
        <v/>
      </c>
      <c r="I133" s="195">
        <f>IF(B133="","",C133*'入力・概要'!$B$35*1E-9)</f>
        <v/>
      </c>
      <c r="J133" s="195">
        <f>IF(B133="","",H133+'入力・概要'!$B$30*F133)</f>
        <v/>
      </c>
      <c r="K133" s="195">
        <f>IF(B133="","",I133+'入力・概要'!$B$30*G133)</f>
        <v/>
      </c>
      <c r="L133" s="195">
        <f>IF(B133="","",'入力・概要'!$B$30+H133*F133-I133*G133)</f>
        <v/>
      </c>
      <c r="M133" s="195">
        <f>IF(B133="","",H133*G133+I133*F133)</f>
        <v/>
      </c>
      <c r="N133" s="195">
        <f>IF(B133="","",'入力・概要'!$B$30*(J133*L133+K133*M133)/(L133^2+M133^2))</f>
        <v/>
      </c>
      <c r="O133" s="195">
        <f>IF(B133="","",'入力・概要'!$B$30*(K133*L133-J133*M133)/(L133^2+M133^2))</f>
        <v/>
      </c>
      <c r="P133" s="195">
        <f>IF(B133="","",N133+'入力・概要'!$B$36)</f>
        <v/>
      </c>
      <c r="Q133" s="195">
        <f>IF(B133="","",O133+C133*'入力・概要'!$B$37*1E-9)</f>
        <v/>
      </c>
      <c r="R133" s="195">
        <f>IF(B133="","",SQRT(P133^2+Q133^2))</f>
        <v/>
      </c>
      <c r="S133" s="195">
        <f>IF(B133="","",IF(P133&gt;0,DEGREES(ATAN(Q133/P133)),IF(P133&lt;0,IF(Q133&gt;=0,DEGREES(ATAN(Q133/P133))+180,DEGREES(ATAN(Q133/P133))-180),IF(Q133&gt;0,90,IF(Q133&lt;0,-90,0)))))</f>
        <v/>
      </c>
      <c r="T133" s="195">
        <f>IF(B133="","",LOG10(B133))</f>
        <v/>
      </c>
      <c r="U133" s="195">
        <f>IF(R133="","",LOG10(MAX(R133,1E-12)))</f>
        <v/>
      </c>
    </row>
    <row r="134">
      <c r="A134" t="n">
        <v>131</v>
      </c>
      <c r="B134" s="196">
        <f>IF(A134&lt;='入力・概要'!$B$40,10^(LOG10('入力・概要'!$B$38)+(A134-1)*(LOG10('入力・概要'!$B$39)-LOG10('入力・概要'!$B$38))/('入力・概要'!$B$40-1)),"")</f>
        <v/>
      </c>
      <c r="C134" s="195">
        <f>IF(B134="","",2*PI()*B134)</f>
        <v/>
      </c>
      <c r="D134" s="195">
        <f>IF(B134="","",ATANH(MIN(0.999999,(2*'入力・概要'!$B$17*'入力・概要'!$B$6)/'入力・概要'!$B$30))+'入力・概要'!$B$33*SQRT(B134/1E6)+(2*PI()*B134*'入力・概要'!$B$6/(299792458*'入力・概要'!$B$31))*'入力・概要'!$B$32/2)</f>
        <v/>
      </c>
      <c r="E134" s="195">
        <f>IF(B134="","",2*PI()*B134*'入力・概要'!$B$6/(299792458*'入力・概要'!$B$31))</f>
        <v/>
      </c>
      <c r="F134" s="195">
        <f>IF(B134="","",SINH(2*D134)/(COSH(2*D134)+COS(2*E134)))</f>
        <v/>
      </c>
      <c r="G134" s="195">
        <f>IF(B134="","",SIN(2*E134)/(COSH(2*D134)+COS(2*E134)))</f>
        <v/>
      </c>
      <c r="H134" s="195">
        <f>IF(B134="","",'入力・概要'!$B$34)</f>
        <v/>
      </c>
      <c r="I134" s="195">
        <f>IF(B134="","",C134*'入力・概要'!$B$35*1E-9)</f>
        <v/>
      </c>
      <c r="J134" s="195">
        <f>IF(B134="","",H134+'入力・概要'!$B$30*F134)</f>
        <v/>
      </c>
      <c r="K134" s="195">
        <f>IF(B134="","",I134+'入力・概要'!$B$30*G134)</f>
        <v/>
      </c>
      <c r="L134" s="195">
        <f>IF(B134="","",'入力・概要'!$B$30+H134*F134-I134*G134)</f>
        <v/>
      </c>
      <c r="M134" s="195">
        <f>IF(B134="","",H134*G134+I134*F134)</f>
        <v/>
      </c>
      <c r="N134" s="195">
        <f>IF(B134="","",'入力・概要'!$B$30*(J134*L134+K134*M134)/(L134^2+M134^2))</f>
        <v/>
      </c>
      <c r="O134" s="195">
        <f>IF(B134="","",'入力・概要'!$B$30*(K134*L134-J134*M134)/(L134^2+M134^2))</f>
        <v/>
      </c>
      <c r="P134" s="195">
        <f>IF(B134="","",N134+'入力・概要'!$B$36)</f>
        <v/>
      </c>
      <c r="Q134" s="195">
        <f>IF(B134="","",O134+C134*'入力・概要'!$B$37*1E-9)</f>
        <v/>
      </c>
      <c r="R134" s="195">
        <f>IF(B134="","",SQRT(P134^2+Q134^2))</f>
        <v/>
      </c>
      <c r="S134" s="195">
        <f>IF(B134="","",IF(P134&gt;0,DEGREES(ATAN(Q134/P134)),IF(P134&lt;0,IF(Q134&gt;=0,DEGREES(ATAN(Q134/P134))+180,DEGREES(ATAN(Q134/P134))-180),IF(Q134&gt;0,90,IF(Q134&lt;0,-90,0)))))</f>
        <v/>
      </c>
      <c r="T134" s="195">
        <f>IF(B134="","",LOG10(B134))</f>
        <v/>
      </c>
      <c r="U134" s="195">
        <f>IF(R134="","",LOG10(MAX(R134,1E-12)))</f>
        <v/>
      </c>
    </row>
    <row r="135">
      <c r="A135" t="n">
        <v>132</v>
      </c>
      <c r="B135" s="196">
        <f>IF(A135&lt;='入力・概要'!$B$40,10^(LOG10('入力・概要'!$B$38)+(A135-1)*(LOG10('入力・概要'!$B$39)-LOG10('入力・概要'!$B$38))/('入力・概要'!$B$40-1)),"")</f>
        <v/>
      </c>
      <c r="C135" s="195">
        <f>IF(B135="","",2*PI()*B135)</f>
        <v/>
      </c>
      <c r="D135" s="195">
        <f>IF(B135="","",ATANH(MIN(0.999999,(2*'入力・概要'!$B$17*'入力・概要'!$B$6)/'入力・概要'!$B$30))+'入力・概要'!$B$33*SQRT(B135/1E6)+(2*PI()*B135*'入力・概要'!$B$6/(299792458*'入力・概要'!$B$31))*'入力・概要'!$B$32/2)</f>
        <v/>
      </c>
      <c r="E135" s="195">
        <f>IF(B135="","",2*PI()*B135*'入力・概要'!$B$6/(299792458*'入力・概要'!$B$31))</f>
        <v/>
      </c>
      <c r="F135" s="195">
        <f>IF(B135="","",SINH(2*D135)/(COSH(2*D135)+COS(2*E135)))</f>
        <v/>
      </c>
      <c r="G135" s="195">
        <f>IF(B135="","",SIN(2*E135)/(COSH(2*D135)+COS(2*E135)))</f>
        <v/>
      </c>
      <c r="H135" s="195">
        <f>IF(B135="","",'入力・概要'!$B$34)</f>
        <v/>
      </c>
      <c r="I135" s="195">
        <f>IF(B135="","",C135*'入力・概要'!$B$35*1E-9)</f>
        <v/>
      </c>
      <c r="J135" s="195">
        <f>IF(B135="","",H135+'入力・概要'!$B$30*F135)</f>
        <v/>
      </c>
      <c r="K135" s="195">
        <f>IF(B135="","",I135+'入力・概要'!$B$30*G135)</f>
        <v/>
      </c>
      <c r="L135" s="195">
        <f>IF(B135="","",'入力・概要'!$B$30+H135*F135-I135*G135)</f>
        <v/>
      </c>
      <c r="M135" s="195">
        <f>IF(B135="","",H135*G135+I135*F135)</f>
        <v/>
      </c>
      <c r="N135" s="195">
        <f>IF(B135="","",'入力・概要'!$B$30*(J135*L135+K135*M135)/(L135^2+M135^2))</f>
        <v/>
      </c>
      <c r="O135" s="195">
        <f>IF(B135="","",'入力・概要'!$B$30*(K135*L135-J135*M135)/(L135^2+M135^2))</f>
        <v/>
      </c>
      <c r="P135" s="195">
        <f>IF(B135="","",N135+'入力・概要'!$B$36)</f>
        <v/>
      </c>
      <c r="Q135" s="195">
        <f>IF(B135="","",O135+C135*'入力・概要'!$B$37*1E-9)</f>
        <v/>
      </c>
      <c r="R135" s="195">
        <f>IF(B135="","",SQRT(P135^2+Q135^2))</f>
        <v/>
      </c>
      <c r="S135" s="195">
        <f>IF(B135="","",IF(P135&gt;0,DEGREES(ATAN(Q135/P135)),IF(P135&lt;0,IF(Q135&gt;=0,DEGREES(ATAN(Q135/P135))+180,DEGREES(ATAN(Q135/P135))-180),IF(Q135&gt;0,90,IF(Q135&lt;0,-90,0)))))</f>
        <v/>
      </c>
      <c r="T135" s="195">
        <f>IF(B135="","",LOG10(B135))</f>
        <v/>
      </c>
      <c r="U135" s="195">
        <f>IF(R135="","",LOG10(MAX(R135,1E-12)))</f>
        <v/>
      </c>
    </row>
    <row r="136">
      <c r="A136" t="n">
        <v>133</v>
      </c>
      <c r="B136" s="196">
        <f>IF(A136&lt;='入力・概要'!$B$40,10^(LOG10('入力・概要'!$B$38)+(A136-1)*(LOG10('入力・概要'!$B$39)-LOG10('入力・概要'!$B$38))/('入力・概要'!$B$40-1)),"")</f>
        <v/>
      </c>
      <c r="C136" s="195">
        <f>IF(B136="","",2*PI()*B136)</f>
        <v/>
      </c>
      <c r="D136" s="195">
        <f>IF(B136="","",ATANH(MIN(0.999999,(2*'入力・概要'!$B$17*'入力・概要'!$B$6)/'入力・概要'!$B$30))+'入力・概要'!$B$33*SQRT(B136/1E6)+(2*PI()*B136*'入力・概要'!$B$6/(299792458*'入力・概要'!$B$31))*'入力・概要'!$B$32/2)</f>
        <v/>
      </c>
      <c r="E136" s="195">
        <f>IF(B136="","",2*PI()*B136*'入力・概要'!$B$6/(299792458*'入力・概要'!$B$31))</f>
        <v/>
      </c>
      <c r="F136" s="195">
        <f>IF(B136="","",SINH(2*D136)/(COSH(2*D136)+COS(2*E136)))</f>
        <v/>
      </c>
      <c r="G136" s="195">
        <f>IF(B136="","",SIN(2*E136)/(COSH(2*D136)+COS(2*E136)))</f>
        <v/>
      </c>
      <c r="H136" s="195">
        <f>IF(B136="","",'入力・概要'!$B$34)</f>
        <v/>
      </c>
      <c r="I136" s="195">
        <f>IF(B136="","",C136*'入力・概要'!$B$35*1E-9)</f>
        <v/>
      </c>
      <c r="J136" s="195">
        <f>IF(B136="","",H136+'入力・概要'!$B$30*F136)</f>
        <v/>
      </c>
      <c r="K136" s="195">
        <f>IF(B136="","",I136+'入力・概要'!$B$30*G136)</f>
        <v/>
      </c>
      <c r="L136" s="195">
        <f>IF(B136="","",'入力・概要'!$B$30+H136*F136-I136*G136)</f>
        <v/>
      </c>
      <c r="M136" s="195">
        <f>IF(B136="","",H136*G136+I136*F136)</f>
        <v/>
      </c>
      <c r="N136" s="195">
        <f>IF(B136="","",'入力・概要'!$B$30*(J136*L136+K136*M136)/(L136^2+M136^2))</f>
        <v/>
      </c>
      <c r="O136" s="195">
        <f>IF(B136="","",'入力・概要'!$B$30*(K136*L136-J136*M136)/(L136^2+M136^2))</f>
        <v/>
      </c>
      <c r="P136" s="195">
        <f>IF(B136="","",N136+'入力・概要'!$B$36)</f>
        <v/>
      </c>
      <c r="Q136" s="195">
        <f>IF(B136="","",O136+C136*'入力・概要'!$B$37*1E-9)</f>
        <v/>
      </c>
      <c r="R136" s="195">
        <f>IF(B136="","",SQRT(P136^2+Q136^2))</f>
        <v/>
      </c>
      <c r="S136" s="195">
        <f>IF(B136="","",IF(P136&gt;0,DEGREES(ATAN(Q136/P136)),IF(P136&lt;0,IF(Q136&gt;=0,DEGREES(ATAN(Q136/P136))+180,DEGREES(ATAN(Q136/P136))-180),IF(Q136&gt;0,90,IF(Q136&lt;0,-90,0)))))</f>
        <v/>
      </c>
      <c r="T136" s="195">
        <f>IF(B136="","",LOG10(B136))</f>
        <v/>
      </c>
      <c r="U136" s="195">
        <f>IF(R136="","",LOG10(MAX(R136,1E-12)))</f>
        <v/>
      </c>
    </row>
    <row r="137">
      <c r="A137" t="n">
        <v>134</v>
      </c>
      <c r="B137" s="196">
        <f>IF(A137&lt;='入力・概要'!$B$40,10^(LOG10('入力・概要'!$B$38)+(A137-1)*(LOG10('入力・概要'!$B$39)-LOG10('入力・概要'!$B$38))/('入力・概要'!$B$40-1)),"")</f>
        <v/>
      </c>
      <c r="C137" s="195">
        <f>IF(B137="","",2*PI()*B137)</f>
        <v/>
      </c>
      <c r="D137" s="195">
        <f>IF(B137="","",ATANH(MIN(0.999999,(2*'入力・概要'!$B$17*'入力・概要'!$B$6)/'入力・概要'!$B$30))+'入力・概要'!$B$33*SQRT(B137/1E6)+(2*PI()*B137*'入力・概要'!$B$6/(299792458*'入力・概要'!$B$31))*'入力・概要'!$B$32/2)</f>
        <v/>
      </c>
      <c r="E137" s="195">
        <f>IF(B137="","",2*PI()*B137*'入力・概要'!$B$6/(299792458*'入力・概要'!$B$31))</f>
        <v/>
      </c>
      <c r="F137" s="195">
        <f>IF(B137="","",SINH(2*D137)/(COSH(2*D137)+COS(2*E137)))</f>
        <v/>
      </c>
      <c r="G137" s="195">
        <f>IF(B137="","",SIN(2*E137)/(COSH(2*D137)+COS(2*E137)))</f>
        <v/>
      </c>
      <c r="H137" s="195">
        <f>IF(B137="","",'入力・概要'!$B$34)</f>
        <v/>
      </c>
      <c r="I137" s="195">
        <f>IF(B137="","",C137*'入力・概要'!$B$35*1E-9)</f>
        <v/>
      </c>
      <c r="J137" s="195">
        <f>IF(B137="","",H137+'入力・概要'!$B$30*F137)</f>
        <v/>
      </c>
      <c r="K137" s="195">
        <f>IF(B137="","",I137+'入力・概要'!$B$30*G137)</f>
        <v/>
      </c>
      <c r="L137" s="195">
        <f>IF(B137="","",'入力・概要'!$B$30+H137*F137-I137*G137)</f>
        <v/>
      </c>
      <c r="M137" s="195">
        <f>IF(B137="","",H137*G137+I137*F137)</f>
        <v/>
      </c>
      <c r="N137" s="195">
        <f>IF(B137="","",'入力・概要'!$B$30*(J137*L137+K137*M137)/(L137^2+M137^2))</f>
        <v/>
      </c>
      <c r="O137" s="195">
        <f>IF(B137="","",'入力・概要'!$B$30*(K137*L137-J137*M137)/(L137^2+M137^2))</f>
        <v/>
      </c>
      <c r="P137" s="195">
        <f>IF(B137="","",N137+'入力・概要'!$B$36)</f>
        <v/>
      </c>
      <c r="Q137" s="195">
        <f>IF(B137="","",O137+C137*'入力・概要'!$B$37*1E-9)</f>
        <v/>
      </c>
      <c r="R137" s="195">
        <f>IF(B137="","",SQRT(P137^2+Q137^2))</f>
        <v/>
      </c>
      <c r="S137" s="195">
        <f>IF(B137="","",IF(P137&gt;0,DEGREES(ATAN(Q137/P137)),IF(P137&lt;0,IF(Q137&gt;=0,DEGREES(ATAN(Q137/P137))+180,DEGREES(ATAN(Q137/P137))-180),IF(Q137&gt;0,90,IF(Q137&lt;0,-90,0)))))</f>
        <v/>
      </c>
      <c r="T137" s="195">
        <f>IF(B137="","",LOG10(B137))</f>
        <v/>
      </c>
      <c r="U137" s="195">
        <f>IF(R137="","",LOG10(MAX(R137,1E-12)))</f>
        <v/>
      </c>
    </row>
    <row r="138">
      <c r="A138" t="n">
        <v>135</v>
      </c>
      <c r="B138" s="196">
        <f>IF(A138&lt;='入力・概要'!$B$40,10^(LOG10('入力・概要'!$B$38)+(A138-1)*(LOG10('入力・概要'!$B$39)-LOG10('入力・概要'!$B$38))/('入力・概要'!$B$40-1)),"")</f>
        <v/>
      </c>
      <c r="C138" s="195">
        <f>IF(B138="","",2*PI()*B138)</f>
        <v/>
      </c>
      <c r="D138" s="195">
        <f>IF(B138="","",ATANH(MIN(0.999999,(2*'入力・概要'!$B$17*'入力・概要'!$B$6)/'入力・概要'!$B$30))+'入力・概要'!$B$33*SQRT(B138/1E6)+(2*PI()*B138*'入力・概要'!$B$6/(299792458*'入力・概要'!$B$31))*'入力・概要'!$B$32/2)</f>
        <v/>
      </c>
      <c r="E138" s="195">
        <f>IF(B138="","",2*PI()*B138*'入力・概要'!$B$6/(299792458*'入力・概要'!$B$31))</f>
        <v/>
      </c>
      <c r="F138" s="195">
        <f>IF(B138="","",SINH(2*D138)/(COSH(2*D138)+COS(2*E138)))</f>
        <v/>
      </c>
      <c r="G138" s="195">
        <f>IF(B138="","",SIN(2*E138)/(COSH(2*D138)+COS(2*E138)))</f>
        <v/>
      </c>
      <c r="H138" s="195">
        <f>IF(B138="","",'入力・概要'!$B$34)</f>
        <v/>
      </c>
      <c r="I138" s="195">
        <f>IF(B138="","",C138*'入力・概要'!$B$35*1E-9)</f>
        <v/>
      </c>
      <c r="J138" s="195">
        <f>IF(B138="","",H138+'入力・概要'!$B$30*F138)</f>
        <v/>
      </c>
      <c r="K138" s="195">
        <f>IF(B138="","",I138+'入力・概要'!$B$30*G138)</f>
        <v/>
      </c>
      <c r="L138" s="195">
        <f>IF(B138="","",'入力・概要'!$B$30+H138*F138-I138*G138)</f>
        <v/>
      </c>
      <c r="M138" s="195">
        <f>IF(B138="","",H138*G138+I138*F138)</f>
        <v/>
      </c>
      <c r="N138" s="195">
        <f>IF(B138="","",'入力・概要'!$B$30*(J138*L138+K138*M138)/(L138^2+M138^2))</f>
        <v/>
      </c>
      <c r="O138" s="195">
        <f>IF(B138="","",'入力・概要'!$B$30*(K138*L138-J138*M138)/(L138^2+M138^2))</f>
        <v/>
      </c>
      <c r="P138" s="195">
        <f>IF(B138="","",N138+'入力・概要'!$B$36)</f>
        <v/>
      </c>
      <c r="Q138" s="195">
        <f>IF(B138="","",O138+C138*'入力・概要'!$B$37*1E-9)</f>
        <v/>
      </c>
      <c r="R138" s="195">
        <f>IF(B138="","",SQRT(P138^2+Q138^2))</f>
        <v/>
      </c>
      <c r="S138" s="195">
        <f>IF(B138="","",IF(P138&gt;0,DEGREES(ATAN(Q138/P138)),IF(P138&lt;0,IF(Q138&gt;=0,DEGREES(ATAN(Q138/P138))+180,DEGREES(ATAN(Q138/P138))-180),IF(Q138&gt;0,90,IF(Q138&lt;0,-90,0)))))</f>
        <v/>
      </c>
      <c r="T138" s="195">
        <f>IF(B138="","",LOG10(B138))</f>
        <v/>
      </c>
      <c r="U138" s="195">
        <f>IF(R138="","",LOG10(MAX(R138,1E-12)))</f>
        <v/>
      </c>
    </row>
    <row r="139">
      <c r="A139" t="n">
        <v>136</v>
      </c>
      <c r="B139" s="196">
        <f>IF(A139&lt;='入力・概要'!$B$40,10^(LOG10('入力・概要'!$B$38)+(A139-1)*(LOG10('入力・概要'!$B$39)-LOG10('入力・概要'!$B$38))/('入力・概要'!$B$40-1)),"")</f>
        <v/>
      </c>
      <c r="C139" s="195">
        <f>IF(B139="","",2*PI()*B139)</f>
        <v/>
      </c>
      <c r="D139" s="195">
        <f>IF(B139="","",ATANH(MIN(0.999999,(2*'入力・概要'!$B$17*'入力・概要'!$B$6)/'入力・概要'!$B$30))+'入力・概要'!$B$33*SQRT(B139/1E6)+(2*PI()*B139*'入力・概要'!$B$6/(299792458*'入力・概要'!$B$31))*'入力・概要'!$B$32/2)</f>
        <v/>
      </c>
      <c r="E139" s="195">
        <f>IF(B139="","",2*PI()*B139*'入力・概要'!$B$6/(299792458*'入力・概要'!$B$31))</f>
        <v/>
      </c>
      <c r="F139" s="195">
        <f>IF(B139="","",SINH(2*D139)/(COSH(2*D139)+COS(2*E139)))</f>
        <v/>
      </c>
      <c r="G139" s="195">
        <f>IF(B139="","",SIN(2*E139)/(COSH(2*D139)+COS(2*E139)))</f>
        <v/>
      </c>
      <c r="H139" s="195">
        <f>IF(B139="","",'入力・概要'!$B$34)</f>
        <v/>
      </c>
      <c r="I139" s="195">
        <f>IF(B139="","",C139*'入力・概要'!$B$35*1E-9)</f>
        <v/>
      </c>
      <c r="J139" s="195">
        <f>IF(B139="","",H139+'入力・概要'!$B$30*F139)</f>
        <v/>
      </c>
      <c r="K139" s="195">
        <f>IF(B139="","",I139+'入力・概要'!$B$30*G139)</f>
        <v/>
      </c>
      <c r="L139" s="195">
        <f>IF(B139="","",'入力・概要'!$B$30+H139*F139-I139*G139)</f>
        <v/>
      </c>
      <c r="M139" s="195">
        <f>IF(B139="","",H139*G139+I139*F139)</f>
        <v/>
      </c>
      <c r="N139" s="195">
        <f>IF(B139="","",'入力・概要'!$B$30*(J139*L139+K139*M139)/(L139^2+M139^2))</f>
        <v/>
      </c>
      <c r="O139" s="195">
        <f>IF(B139="","",'入力・概要'!$B$30*(K139*L139-J139*M139)/(L139^2+M139^2))</f>
        <v/>
      </c>
      <c r="P139" s="195">
        <f>IF(B139="","",N139+'入力・概要'!$B$36)</f>
        <v/>
      </c>
      <c r="Q139" s="195">
        <f>IF(B139="","",O139+C139*'入力・概要'!$B$37*1E-9)</f>
        <v/>
      </c>
      <c r="R139" s="195">
        <f>IF(B139="","",SQRT(P139^2+Q139^2))</f>
        <v/>
      </c>
      <c r="S139" s="195">
        <f>IF(B139="","",IF(P139&gt;0,DEGREES(ATAN(Q139/P139)),IF(P139&lt;0,IF(Q139&gt;=0,DEGREES(ATAN(Q139/P139))+180,DEGREES(ATAN(Q139/P139))-180),IF(Q139&gt;0,90,IF(Q139&lt;0,-90,0)))))</f>
        <v/>
      </c>
      <c r="T139" s="195">
        <f>IF(B139="","",LOG10(B139))</f>
        <v/>
      </c>
      <c r="U139" s="195">
        <f>IF(R139="","",LOG10(MAX(R139,1E-12)))</f>
        <v/>
      </c>
    </row>
    <row r="140">
      <c r="A140" t="n">
        <v>137</v>
      </c>
      <c r="B140" s="196">
        <f>IF(A140&lt;='入力・概要'!$B$40,10^(LOG10('入力・概要'!$B$38)+(A140-1)*(LOG10('入力・概要'!$B$39)-LOG10('入力・概要'!$B$38))/('入力・概要'!$B$40-1)),"")</f>
        <v/>
      </c>
      <c r="C140" s="195">
        <f>IF(B140="","",2*PI()*B140)</f>
        <v/>
      </c>
      <c r="D140" s="195">
        <f>IF(B140="","",ATANH(MIN(0.999999,(2*'入力・概要'!$B$17*'入力・概要'!$B$6)/'入力・概要'!$B$30))+'入力・概要'!$B$33*SQRT(B140/1E6)+(2*PI()*B140*'入力・概要'!$B$6/(299792458*'入力・概要'!$B$31))*'入力・概要'!$B$32/2)</f>
        <v/>
      </c>
      <c r="E140" s="195">
        <f>IF(B140="","",2*PI()*B140*'入力・概要'!$B$6/(299792458*'入力・概要'!$B$31))</f>
        <v/>
      </c>
      <c r="F140" s="195">
        <f>IF(B140="","",SINH(2*D140)/(COSH(2*D140)+COS(2*E140)))</f>
        <v/>
      </c>
      <c r="G140" s="195">
        <f>IF(B140="","",SIN(2*E140)/(COSH(2*D140)+COS(2*E140)))</f>
        <v/>
      </c>
      <c r="H140" s="195">
        <f>IF(B140="","",'入力・概要'!$B$34)</f>
        <v/>
      </c>
      <c r="I140" s="195">
        <f>IF(B140="","",C140*'入力・概要'!$B$35*1E-9)</f>
        <v/>
      </c>
      <c r="J140" s="195">
        <f>IF(B140="","",H140+'入力・概要'!$B$30*F140)</f>
        <v/>
      </c>
      <c r="K140" s="195">
        <f>IF(B140="","",I140+'入力・概要'!$B$30*G140)</f>
        <v/>
      </c>
      <c r="L140" s="195">
        <f>IF(B140="","",'入力・概要'!$B$30+H140*F140-I140*G140)</f>
        <v/>
      </c>
      <c r="M140" s="195">
        <f>IF(B140="","",H140*G140+I140*F140)</f>
        <v/>
      </c>
      <c r="N140" s="195">
        <f>IF(B140="","",'入力・概要'!$B$30*(J140*L140+K140*M140)/(L140^2+M140^2))</f>
        <v/>
      </c>
      <c r="O140" s="195">
        <f>IF(B140="","",'入力・概要'!$B$30*(K140*L140-J140*M140)/(L140^2+M140^2))</f>
        <v/>
      </c>
      <c r="P140" s="195">
        <f>IF(B140="","",N140+'入力・概要'!$B$36)</f>
        <v/>
      </c>
      <c r="Q140" s="195">
        <f>IF(B140="","",O140+C140*'入力・概要'!$B$37*1E-9)</f>
        <v/>
      </c>
      <c r="R140" s="195">
        <f>IF(B140="","",SQRT(P140^2+Q140^2))</f>
        <v/>
      </c>
      <c r="S140" s="195">
        <f>IF(B140="","",IF(P140&gt;0,DEGREES(ATAN(Q140/P140)),IF(P140&lt;0,IF(Q140&gt;=0,DEGREES(ATAN(Q140/P140))+180,DEGREES(ATAN(Q140/P140))-180),IF(Q140&gt;0,90,IF(Q140&lt;0,-90,0)))))</f>
        <v/>
      </c>
      <c r="T140" s="195">
        <f>IF(B140="","",LOG10(B140))</f>
        <v/>
      </c>
      <c r="U140" s="195">
        <f>IF(R140="","",LOG10(MAX(R140,1E-12)))</f>
        <v/>
      </c>
    </row>
    <row r="141">
      <c r="A141" t="n">
        <v>138</v>
      </c>
      <c r="B141" s="196">
        <f>IF(A141&lt;='入力・概要'!$B$40,10^(LOG10('入力・概要'!$B$38)+(A141-1)*(LOG10('入力・概要'!$B$39)-LOG10('入力・概要'!$B$38))/('入力・概要'!$B$40-1)),"")</f>
        <v/>
      </c>
      <c r="C141" s="195">
        <f>IF(B141="","",2*PI()*B141)</f>
        <v/>
      </c>
      <c r="D141" s="195">
        <f>IF(B141="","",ATANH(MIN(0.999999,(2*'入力・概要'!$B$17*'入力・概要'!$B$6)/'入力・概要'!$B$30))+'入力・概要'!$B$33*SQRT(B141/1E6)+(2*PI()*B141*'入力・概要'!$B$6/(299792458*'入力・概要'!$B$31))*'入力・概要'!$B$32/2)</f>
        <v/>
      </c>
      <c r="E141" s="195">
        <f>IF(B141="","",2*PI()*B141*'入力・概要'!$B$6/(299792458*'入力・概要'!$B$31))</f>
        <v/>
      </c>
      <c r="F141" s="195">
        <f>IF(B141="","",SINH(2*D141)/(COSH(2*D141)+COS(2*E141)))</f>
        <v/>
      </c>
      <c r="G141" s="195">
        <f>IF(B141="","",SIN(2*E141)/(COSH(2*D141)+COS(2*E141)))</f>
        <v/>
      </c>
      <c r="H141" s="195">
        <f>IF(B141="","",'入力・概要'!$B$34)</f>
        <v/>
      </c>
      <c r="I141" s="195">
        <f>IF(B141="","",C141*'入力・概要'!$B$35*1E-9)</f>
        <v/>
      </c>
      <c r="J141" s="195">
        <f>IF(B141="","",H141+'入力・概要'!$B$30*F141)</f>
        <v/>
      </c>
      <c r="K141" s="195">
        <f>IF(B141="","",I141+'入力・概要'!$B$30*G141)</f>
        <v/>
      </c>
      <c r="L141" s="195">
        <f>IF(B141="","",'入力・概要'!$B$30+H141*F141-I141*G141)</f>
        <v/>
      </c>
      <c r="M141" s="195">
        <f>IF(B141="","",H141*G141+I141*F141)</f>
        <v/>
      </c>
      <c r="N141" s="195">
        <f>IF(B141="","",'入力・概要'!$B$30*(J141*L141+K141*M141)/(L141^2+M141^2))</f>
        <v/>
      </c>
      <c r="O141" s="195">
        <f>IF(B141="","",'入力・概要'!$B$30*(K141*L141-J141*M141)/(L141^2+M141^2))</f>
        <v/>
      </c>
      <c r="P141" s="195">
        <f>IF(B141="","",N141+'入力・概要'!$B$36)</f>
        <v/>
      </c>
      <c r="Q141" s="195">
        <f>IF(B141="","",O141+C141*'入力・概要'!$B$37*1E-9)</f>
        <v/>
      </c>
      <c r="R141" s="195">
        <f>IF(B141="","",SQRT(P141^2+Q141^2))</f>
        <v/>
      </c>
      <c r="S141" s="195">
        <f>IF(B141="","",IF(P141&gt;0,DEGREES(ATAN(Q141/P141)),IF(P141&lt;0,IF(Q141&gt;=0,DEGREES(ATAN(Q141/P141))+180,DEGREES(ATAN(Q141/P141))-180),IF(Q141&gt;0,90,IF(Q141&lt;0,-90,0)))))</f>
        <v/>
      </c>
      <c r="T141" s="195">
        <f>IF(B141="","",LOG10(B141))</f>
        <v/>
      </c>
      <c r="U141" s="195">
        <f>IF(R141="","",LOG10(MAX(R141,1E-12)))</f>
        <v/>
      </c>
    </row>
    <row r="142">
      <c r="A142" t="n">
        <v>139</v>
      </c>
      <c r="B142" s="196">
        <f>IF(A142&lt;='入力・概要'!$B$40,10^(LOG10('入力・概要'!$B$38)+(A142-1)*(LOG10('入力・概要'!$B$39)-LOG10('入力・概要'!$B$38))/('入力・概要'!$B$40-1)),"")</f>
        <v/>
      </c>
      <c r="C142" s="195">
        <f>IF(B142="","",2*PI()*B142)</f>
        <v/>
      </c>
      <c r="D142" s="195">
        <f>IF(B142="","",ATANH(MIN(0.999999,(2*'入力・概要'!$B$17*'入力・概要'!$B$6)/'入力・概要'!$B$30))+'入力・概要'!$B$33*SQRT(B142/1E6)+(2*PI()*B142*'入力・概要'!$B$6/(299792458*'入力・概要'!$B$31))*'入力・概要'!$B$32/2)</f>
        <v/>
      </c>
      <c r="E142" s="195">
        <f>IF(B142="","",2*PI()*B142*'入力・概要'!$B$6/(299792458*'入力・概要'!$B$31))</f>
        <v/>
      </c>
      <c r="F142" s="195">
        <f>IF(B142="","",SINH(2*D142)/(COSH(2*D142)+COS(2*E142)))</f>
        <v/>
      </c>
      <c r="G142" s="195">
        <f>IF(B142="","",SIN(2*E142)/(COSH(2*D142)+COS(2*E142)))</f>
        <v/>
      </c>
      <c r="H142" s="195">
        <f>IF(B142="","",'入力・概要'!$B$34)</f>
        <v/>
      </c>
      <c r="I142" s="195">
        <f>IF(B142="","",C142*'入力・概要'!$B$35*1E-9)</f>
        <v/>
      </c>
      <c r="J142" s="195">
        <f>IF(B142="","",H142+'入力・概要'!$B$30*F142)</f>
        <v/>
      </c>
      <c r="K142" s="195">
        <f>IF(B142="","",I142+'入力・概要'!$B$30*G142)</f>
        <v/>
      </c>
      <c r="L142" s="195">
        <f>IF(B142="","",'入力・概要'!$B$30+H142*F142-I142*G142)</f>
        <v/>
      </c>
      <c r="M142" s="195">
        <f>IF(B142="","",H142*G142+I142*F142)</f>
        <v/>
      </c>
      <c r="N142" s="195">
        <f>IF(B142="","",'入力・概要'!$B$30*(J142*L142+K142*M142)/(L142^2+M142^2))</f>
        <v/>
      </c>
      <c r="O142" s="195">
        <f>IF(B142="","",'入力・概要'!$B$30*(K142*L142-J142*M142)/(L142^2+M142^2))</f>
        <v/>
      </c>
      <c r="P142" s="195">
        <f>IF(B142="","",N142+'入力・概要'!$B$36)</f>
        <v/>
      </c>
      <c r="Q142" s="195">
        <f>IF(B142="","",O142+C142*'入力・概要'!$B$37*1E-9)</f>
        <v/>
      </c>
      <c r="R142" s="195">
        <f>IF(B142="","",SQRT(P142^2+Q142^2))</f>
        <v/>
      </c>
      <c r="S142" s="195">
        <f>IF(B142="","",IF(P142&gt;0,DEGREES(ATAN(Q142/P142)),IF(P142&lt;0,IF(Q142&gt;=0,DEGREES(ATAN(Q142/P142))+180,DEGREES(ATAN(Q142/P142))-180),IF(Q142&gt;0,90,IF(Q142&lt;0,-90,0)))))</f>
        <v/>
      </c>
      <c r="T142" s="195">
        <f>IF(B142="","",LOG10(B142))</f>
        <v/>
      </c>
      <c r="U142" s="195">
        <f>IF(R142="","",LOG10(MAX(R142,1E-12)))</f>
        <v/>
      </c>
    </row>
    <row r="143">
      <c r="A143" t="n">
        <v>140</v>
      </c>
      <c r="B143" s="196">
        <f>IF(A143&lt;='入力・概要'!$B$40,10^(LOG10('入力・概要'!$B$38)+(A143-1)*(LOG10('入力・概要'!$B$39)-LOG10('入力・概要'!$B$38))/('入力・概要'!$B$40-1)),"")</f>
        <v/>
      </c>
      <c r="C143" s="195">
        <f>IF(B143="","",2*PI()*B143)</f>
        <v/>
      </c>
      <c r="D143" s="195">
        <f>IF(B143="","",ATANH(MIN(0.999999,(2*'入力・概要'!$B$17*'入力・概要'!$B$6)/'入力・概要'!$B$30))+'入力・概要'!$B$33*SQRT(B143/1E6)+(2*PI()*B143*'入力・概要'!$B$6/(299792458*'入力・概要'!$B$31))*'入力・概要'!$B$32/2)</f>
        <v/>
      </c>
      <c r="E143" s="195">
        <f>IF(B143="","",2*PI()*B143*'入力・概要'!$B$6/(299792458*'入力・概要'!$B$31))</f>
        <v/>
      </c>
      <c r="F143" s="195">
        <f>IF(B143="","",SINH(2*D143)/(COSH(2*D143)+COS(2*E143)))</f>
        <v/>
      </c>
      <c r="G143" s="195">
        <f>IF(B143="","",SIN(2*E143)/(COSH(2*D143)+COS(2*E143)))</f>
        <v/>
      </c>
      <c r="H143" s="195">
        <f>IF(B143="","",'入力・概要'!$B$34)</f>
        <v/>
      </c>
      <c r="I143" s="195">
        <f>IF(B143="","",C143*'入力・概要'!$B$35*1E-9)</f>
        <v/>
      </c>
      <c r="J143" s="195">
        <f>IF(B143="","",H143+'入力・概要'!$B$30*F143)</f>
        <v/>
      </c>
      <c r="K143" s="195">
        <f>IF(B143="","",I143+'入力・概要'!$B$30*G143)</f>
        <v/>
      </c>
      <c r="L143" s="195">
        <f>IF(B143="","",'入力・概要'!$B$30+H143*F143-I143*G143)</f>
        <v/>
      </c>
      <c r="M143" s="195">
        <f>IF(B143="","",H143*G143+I143*F143)</f>
        <v/>
      </c>
      <c r="N143" s="195">
        <f>IF(B143="","",'入力・概要'!$B$30*(J143*L143+K143*M143)/(L143^2+M143^2))</f>
        <v/>
      </c>
      <c r="O143" s="195">
        <f>IF(B143="","",'入力・概要'!$B$30*(K143*L143-J143*M143)/(L143^2+M143^2))</f>
        <v/>
      </c>
      <c r="P143" s="195">
        <f>IF(B143="","",N143+'入力・概要'!$B$36)</f>
        <v/>
      </c>
      <c r="Q143" s="195">
        <f>IF(B143="","",O143+C143*'入力・概要'!$B$37*1E-9)</f>
        <v/>
      </c>
      <c r="R143" s="195">
        <f>IF(B143="","",SQRT(P143^2+Q143^2))</f>
        <v/>
      </c>
      <c r="S143" s="195">
        <f>IF(B143="","",IF(P143&gt;0,DEGREES(ATAN(Q143/P143)),IF(P143&lt;0,IF(Q143&gt;=0,DEGREES(ATAN(Q143/P143))+180,DEGREES(ATAN(Q143/P143))-180),IF(Q143&gt;0,90,IF(Q143&lt;0,-90,0)))))</f>
        <v/>
      </c>
      <c r="T143" s="195">
        <f>IF(B143="","",LOG10(B143))</f>
        <v/>
      </c>
      <c r="U143" s="195">
        <f>IF(R143="","",LOG10(MAX(R143,1E-12)))</f>
        <v/>
      </c>
    </row>
    <row r="144">
      <c r="A144" t="n">
        <v>141</v>
      </c>
      <c r="B144" s="196">
        <f>IF(A144&lt;='入力・概要'!$B$40,10^(LOG10('入力・概要'!$B$38)+(A144-1)*(LOG10('入力・概要'!$B$39)-LOG10('入力・概要'!$B$38))/('入力・概要'!$B$40-1)),"")</f>
        <v/>
      </c>
      <c r="C144" s="195">
        <f>IF(B144="","",2*PI()*B144)</f>
        <v/>
      </c>
      <c r="D144" s="195">
        <f>IF(B144="","",ATANH(MIN(0.999999,(2*'入力・概要'!$B$17*'入力・概要'!$B$6)/'入力・概要'!$B$30))+'入力・概要'!$B$33*SQRT(B144/1E6)+(2*PI()*B144*'入力・概要'!$B$6/(299792458*'入力・概要'!$B$31))*'入力・概要'!$B$32/2)</f>
        <v/>
      </c>
      <c r="E144" s="195">
        <f>IF(B144="","",2*PI()*B144*'入力・概要'!$B$6/(299792458*'入力・概要'!$B$31))</f>
        <v/>
      </c>
      <c r="F144" s="195">
        <f>IF(B144="","",SINH(2*D144)/(COSH(2*D144)+COS(2*E144)))</f>
        <v/>
      </c>
      <c r="G144" s="195">
        <f>IF(B144="","",SIN(2*E144)/(COSH(2*D144)+COS(2*E144)))</f>
        <v/>
      </c>
      <c r="H144" s="195">
        <f>IF(B144="","",'入力・概要'!$B$34)</f>
        <v/>
      </c>
      <c r="I144" s="195">
        <f>IF(B144="","",C144*'入力・概要'!$B$35*1E-9)</f>
        <v/>
      </c>
      <c r="J144" s="195">
        <f>IF(B144="","",H144+'入力・概要'!$B$30*F144)</f>
        <v/>
      </c>
      <c r="K144" s="195">
        <f>IF(B144="","",I144+'入力・概要'!$B$30*G144)</f>
        <v/>
      </c>
      <c r="L144" s="195">
        <f>IF(B144="","",'入力・概要'!$B$30+H144*F144-I144*G144)</f>
        <v/>
      </c>
      <c r="M144" s="195">
        <f>IF(B144="","",H144*G144+I144*F144)</f>
        <v/>
      </c>
      <c r="N144" s="195">
        <f>IF(B144="","",'入力・概要'!$B$30*(J144*L144+K144*M144)/(L144^2+M144^2))</f>
        <v/>
      </c>
      <c r="O144" s="195">
        <f>IF(B144="","",'入力・概要'!$B$30*(K144*L144-J144*M144)/(L144^2+M144^2))</f>
        <v/>
      </c>
      <c r="P144" s="195">
        <f>IF(B144="","",N144+'入力・概要'!$B$36)</f>
        <v/>
      </c>
      <c r="Q144" s="195">
        <f>IF(B144="","",O144+C144*'入力・概要'!$B$37*1E-9)</f>
        <v/>
      </c>
      <c r="R144" s="195">
        <f>IF(B144="","",SQRT(P144^2+Q144^2))</f>
        <v/>
      </c>
      <c r="S144" s="195">
        <f>IF(B144="","",IF(P144&gt;0,DEGREES(ATAN(Q144/P144)),IF(P144&lt;0,IF(Q144&gt;=0,DEGREES(ATAN(Q144/P144))+180,DEGREES(ATAN(Q144/P144))-180),IF(Q144&gt;0,90,IF(Q144&lt;0,-90,0)))))</f>
        <v/>
      </c>
      <c r="T144" s="195">
        <f>IF(B144="","",LOG10(B144))</f>
        <v/>
      </c>
      <c r="U144" s="195">
        <f>IF(R144="","",LOG10(MAX(R144,1E-12)))</f>
        <v/>
      </c>
    </row>
    <row r="145">
      <c r="A145" t="n">
        <v>142</v>
      </c>
      <c r="B145" s="196">
        <f>IF(A145&lt;='入力・概要'!$B$40,10^(LOG10('入力・概要'!$B$38)+(A145-1)*(LOG10('入力・概要'!$B$39)-LOG10('入力・概要'!$B$38))/('入力・概要'!$B$40-1)),"")</f>
        <v/>
      </c>
      <c r="C145" s="195">
        <f>IF(B145="","",2*PI()*B145)</f>
        <v/>
      </c>
      <c r="D145" s="195">
        <f>IF(B145="","",ATANH(MIN(0.999999,(2*'入力・概要'!$B$17*'入力・概要'!$B$6)/'入力・概要'!$B$30))+'入力・概要'!$B$33*SQRT(B145/1E6)+(2*PI()*B145*'入力・概要'!$B$6/(299792458*'入力・概要'!$B$31))*'入力・概要'!$B$32/2)</f>
        <v/>
      </c>
      <c r="E145" s="195">
        <f>IF(B145="","",2*PI()*B145*'入力・概要'!$B$6/(299792458*'入力・概要'!$B$31))</f>
        <v/>
      </c>
      <c r="F145" s="195">
        <f>IF(B145="","",SINH(2*D145)/(COSH(2*D145)+COS(2*E145)))</f>
        <v/>
      </c>
      <c r="G145" s="195">
        <f>IF(B145="","",SIN(2*E145)/(COSH(2*D145)+COS(2*E145)))</f>
        <v/>
      </c>
      <c r="H145" s="195">
        <f>IF(B145="","",'入力・概要'!$B$34)</f>
        <v/>
      </c>
      <c r="I145" s="195">
        <f>IF(B145="","",C145*'入力・概要'!$B$35*1E-9)</f>
        <v/>
      </c>
      <c r="J145" s="195">
        <f>IF(B145="","",H145+'入力・概要'!$B$30*F145)</f>
        <v/>
      </c>
      <c r="K145" s="195">
        <f>IF(B145="","",I145+'入力・概要'!$B$30*G145)</f>
        <v/>
      </c>
      <c r="L145" s="195">
        <f>IF(B145="","",'入力・概要'!$B$30+H145*F145-I145*G145)</f>
        <v/>
      </c>
      <c r="M145" s="195">
        <f>IF(B145="","",H145*G145+I145*F145)</f>
        <v/>
      </c>
      <c r="N145" s="195">
        <f>IF(B145="","",'入力・概要'!$B$30*(J145*L145+K145*M145)/(L145^2+M145^2))</f>
        <v/>
      </c>
      <c r="O145" s="195">
        <f>IF(B145="","",'入力・概要'!$B$30*(K145*L145-J145*M145)/(L145^2+M145^2))</f>
        <v/>
      </c>
      <c r="P145" s="195">
        <f>IF(B145="","",N145+'入力・概要'!$B$36)</f>
        <v/>
      </c>
      <c r="Q145" s="195">
        <f>IF(B145="","",O145+C145*'入力・概要'!$B$37*1E-9)</f>
        <v/>
      </c>
      <c r="R145" s="195">
        <f>IF(B145="","",SQRT(P145^2+Q145^2))</f>
        <v/>
      </c>
      <c r="S145" s="195">
        <f>IF(B145="","",IF(P145&gt;0,DEGREES(ATAN(Q145/P145)),IF(P145&lt;0,IF(Q145&gt;=0,DEGREES(ATAN(Q145/P145))+180,DEGREES(ATAN(Q145/P145))-180),IF(Q145&gt;0,90,IF(Q145&lt;0,-90,0)))))</f>
        <v/>
      </c>
      <c r="T145" s="195">
        <f>IF(B145="","",LOG10(B145))</f>
        <v/>
      </c>
      <c r="U145" s="195">
        <f>IF(R145="","",LOG10(MAX(R145,1E-12)))</f>
        <v/>
      </c>
    </row>
    <row r="146">
      <c r="A146" t="n">
        <v>143</v>
      </c>
      <c r="B146" s="196">
        <f>IF(A146&lt;='入力・概要'!$B$40,10^(LOG10('入力・概要'!$B$38)+(A146-1)*(LOG10('入力・概要'!$B$39)-LOG10('入力・概要'!$B$38))/('入力・概要'!$B$40-1)),"")</f>
        <v/>
      </c>
      <c r="C146" s="195">
        <f>IF(B146="","",2*PI()*B146)</f>
        <v/>
      </c>
      <c r="D146" s="195">
        <f>IF(B146="","",ATANH(MIN(0.999999,(2*'入力・概要'!$B$17*'入力・概要'!$B$6)/'入力・概要'!$B$30))+'入力・概要'!$B$33*SQRT(B146/1E6)+(2*PI()*B146*'入力・概要'!$B$6/(299792458*'入力・概要'!$B$31))*'入力・概要'!$B$32/2)</f>
        <v/>
      </c>
      <c r="E146" s="195">
        <f>IF(B146="","",2*PI()*B146*'入力・概要'!$B$6/(299792458*'入力・概要'!$B$31))</f>
        <v/>
      </c>
      <c r="F146" s="195">
        <f>IF(B146="","",SINH(2*D146)/(COSH(2*D146)+COS(2*E146)))</f>
        <v/>
      </c>
      <c r="G146" s="195">
        <f>IF(B146="","",SIN(2*E146)/(COSH(2*D146)+COS(2*E146)))</f>
        <v/>
      </c>
      <c r="H146" s="195">
        <f>IF(B146="","",'入力・概要'!$B$34)</f>
        <v/>
      </c>
      <c r="I146" s="195">
        <f>IF(B146="","",C146*'入力・概要'!$B$35*1E-9)</f>
        <v/>
      </c>
      <c r="J146" s="195">
        <f>IF(B146="","",H146+'入力・概要'!$B$30*F146)</f>
        <v/>
      </c>
      <c r="K146" s="195">
        <f>IF(B146="","",I146+'入力・概要'!$B$30*G146)</f>
        <v/>
      </c>
      <c r="L146" s="195">
        <f>IF(B146="","",'入力・概要'!$B$30+H146*F146-I146*G146)</f>
        <v/>
      </c>
      <c r="M146" s="195">
        <f>IF(B146="","",H146*G146+I146*F146)</f>
        <v/>
      </c>
      <c r="N146" s="195">
        <f>IF(B146="","",'入力・概要'!$B$30*(J146*L146+K146*M146)/(L146^2+M146^2))</f>
        <v/>
      </c>
      <c r="O146" s="195">
        <f>IF(B146="","",'入力・概要'!$B$30*(K146*L146-J146*M146)/(L146^2+M146^2))</f>
        <v/>
      </c>
      <c r="P146" s="195">
        <f>IF(B146="","",N146+'入力・概要'!$B$36)</f>
        <v/>
      </c>
      <c r="Q146" s="195">
        <f>IF(B146="","",O146+C146*'入力・概要'!$B$37*1E-9)</f>
        <v/>
      </c>
      <c r="R146" s="195">
        <f>IF(B146="","",SQRT(P146^2+Q146^2))</f>
        <v/>
      </c>
      <c r="S146" s="195">
        <f>IF(B146="","",IF(P146&gt;0,DEGREES(ATAN(Q146/P146)),IF(P146&lt;0,IF(Q146&gt;=0,DEGREES(ATAN(Q146/P146))+180,DEGREES(ATAN(Q146/P146))-180),IF(Q146&gt;0,90,IF(Q146&lt;0,-90,0)))))</f>
        <v/>
      </c>
      <c r="T146" s="195">
        <f>IF(B146="","",LOG10(B146))</f>
        <v/>
      </c>
      <c r="U146" s="195">
        <f>IF(R146="","",LOG10(MAX(R146,1E-12)))</f>
        <v/>
      </c>
    </row>
    <row r="147">
      <c r="A147" t="n">
        <v>144</v>
      </c>
      <c r="B147" s="196">
        <f>IF(A147&lt;='入力・概要'!$B$40,10^(LOG10('入力・概要'!$B$38)+(A147-1)*(LOG10('入力・概要'!$B$39)-LOG10('入力・概要'!$B$38))/('入力・概要'!$B$40-1)),"")</f>
        <v/>
      </c>
      <c r="C147" s="195">
        <f>IF(B147="","",2*PI()*B147)</f>
        <v/>
      </c>
      <c r="D147" s="195">
        <f>IF(B147="","",ATANH(MIN(0.999999,(2*'入力・概要'!$B$17*'入力・概要'!$B$6)/'入力・概要'!$B$30))+'入力・概要'!$B$33*SQRT(B147/1E6)+(2*PI()*B147*'入力・概要'!$B$6/(299792458*'入力・概要'!$B$31))*'入力・概要'!$B$32/2)</f>
        <v/>
      </c>
      <c r="E147" s="195">
        <f>IF(B147="","",2*PI()*B147*'入力・概要'!$B$6/(299792458*'入力・概要'!$B$31))</f>
        <v/>
      </c>
      <c r="F147" s="195">
        <f>IF(B147="","",SINH(2*D147)/(COSH(2*D147)+COS(2*E147)))</f>
        <v/>
      </c>
      <c r="G147" s="195">
        <f>IF(B147="","",SIN(2*E147)/(COSH(2*D147)+COS(2*E147)))</f>
        <v/>
      </c>
      <c r="H147" s="195">
        <f>IF(B147="","",'入力・概要'!$B$34)</f>
        <v/>
      </c>
      <c r="I147" s="195">
        <f>IF(B147="","",C147*'入力・概要'!$B$35*1E-9)</f>
        <v/>
      </c>
      <c r="J147" s="195">
        <f>IF(B147="","",H147+'入力・概要'!$B$30*F147)</f>
        <v/>
      </c>
      <c r="K147" s="195">
        <f>IF(B147="","",I147+'入力・概要'!$B$30*G147)</f>
        <v/>
      </c>
      <c r="L147" s="195">
        <f>IF(B147="","",'入力・概要'!$B$30+H147*F147-I147*G147)</f>
        <v/>
      </c>
      <c r="M147" s="195">
        <f>IF(B147="","",H147*G147+I147*F147)</f>
        <v/>
      </c>
      <c r="N147" s="195">
        <f>IF(B147="","",'入力・概要'!$B$30*(J147*L147+K147*M147)/(L147^2+M147^2))</f>
        <v/>
      </c>
      <c r="O147" s="195">
        <f>IF(B147="","",'入力・概要'!$B$30*(K147*L147-J147*M147)/(L147^2+M147^2))</f>
        <v/>
      </c>
      <c r="P147" s="195">
        <f>IF(B147="","",N147+'入力・概要'!$B$36)</f>
        <v/>
      </c>
      <c r="Q147" s="195">
        <f>IF(B147="","",O147+C147*'入力・概要'!$B$37*1E-9)</f>
        <v/>
      </c>
      <c r="R147" s="195">
        <f>IF(B147="","",SQRT(P147^2+Q147^2))</f>
        <v/>
      </c>
      <c r="S147" s="195">
        <f>IF(B147="","",IF(P147&gt;0,DEGREES(ATAN(Q147/P147)),IF(P147&lt;0,IF(Q147&gt;=0,DEGREES(ATAN(Q147/P147))+180,DEGREES(ATAN(Q147/P147))-180),IF(Q147&gt;0,90,IF(Q147&lt;0,-90,0)))))</f>
        <v/>
      </c>
      <c r="T147" s="195">
        <f>IF(B147="","",LOG10(B147))</f>
        <v/>
      </c>
      <c r="U147" s="195">
        <f>IF(R147="","",LOG10(MAX(R147,1E-12)))</f>
        <v/>
      </c>
    </row>
    <row r="148">
      <c r="A148" t="n">
        <v>145</v>
      </c>
      <c r="B148" s="196">
        <f>IF(A148&lt;='入力・概要'!$B$40,10^(LOG10('入力・概要'!$B$38)+(A148-1)*(LOG10('入力・概要'!$B$39)-LOG10('入力・概要'!$B$38))/('入力・概要'!$B$40-1)),"")</f>
        <v/>
      </c>
      <c r="C148" s="195">
        <f>IF(B148="","",2*PI()*B148)</f>
        <v/>
      </c>
      <c r="D148" s="195">
        <f>IF(B148="","",ATANH(MIN(0.999999,(2*'入力・概要'!$B$17*'入力・概要'!$B$6)/'入力・概要'!$B$30))+'入力・概要'!$B$33*SQRT(B148/1E6)+(2*PI()*B148*'入力・概要'!$B$6/(299792458*'入力・概要'!$B$31))*'入力・概要'!$B$32/2)</f>
        <v/>
      </c>
      <c r="E148" s="195">
        <f>IF(B148="","",2*PI()*B148*'入力・概要'!$B$6/(299792458*'入力・概要'!$B$31))</f>
        <v/>
      </c>
      <c r="F148" s="195">
        <f>IF(B148="","",SINH(2*D148)/(COSH(2*D148)+COS(2*E148)))</f>
        <v/>
      </c>
      <c r="G148" s="195">
        <f>IF(B148="","",SIN(2*E148)/(COSH(2*D148)+COS(2*E148)))</f>
        <v/>
      </c>
      <c r="H148" s="195">
        <f>IF(B148="","",'入力・概要'!$B$34)</f>
        <v/>
      </c>
      <c r="I148" s="195">
        <f>IF(B148="","",C148*'入力・概要'!$B$35*1E-9)</f>
        <v/>
      </c>
      <c r="J148" s="195">
        <f>IF(B148="","",H148+'入力・概要'!$B$30*F148)</f>
        <v/>
      </c>
      <c r="K148" s="195">
        <f>IF(B148="","",I148+'入力・概要'!$B$30*G148)</f>
        <v/>
      </c>
      <c r="L148" s="195">
        <f>IF(B148="","",'入力・概要'!$B$30+H148*F148-I148*G148)</f>
        <v/>
      </c>
      <c r="M148" s="195">
        <f>IF(B148="","",H148*G148+I148*F148)</f>
        <v/>
      </c>
      <c r="N148" s="195">
        <f>IF(B148="","",'入力・概要'!$B$30*(J148*L148+K148*M148)/(L148^2+M148^2))</f>
        <v/>
      </c>
      <c r="O148" s="195">
        <f>IF(B148="","",'入力・概要'!$B$30*(K148*L148-J148*M148)/(L148^2+M148^2))</f>
        <v/>
      </c>
      <c r="P148" s="195">
        <f>IF(B148="","",N148+'入力・概要'!$B$36)</f>
        <v/>
      </c>
      <c r="Q148" s="195">
        <f>IF(B148="","",O148+C148*'入力・概要'!$B$37*1E-9)</f>
        <v/>
      </c>
      <c r="R148" s="195">
        <f>IF(B148="","",SQRT(P148^2+Q148^2))</f>
        <v/>
      </c>
      <c r="S148" s="195">
        <f>IF(B148="","",IF(P148&gt;0,DEGREES(ATAN(Q148/P148)),IF(P148&lt;0,IF(Q148&gt;=0,DEGREES(ATAN(Q148/P148))+180,DEGREES(ATAN(Q148/P148))-180),IF(Q148&gt;0,90,IF(Q148&lt;0,-90,0)))))</f>
        <v/>
      </c>
      <c r="T148" s="195">
        <f>IF(B148="","",LOG10(B148))</f>
        <v/>
      </c>
      <c r="U148" s="195">
        <f>IF(R148="","",LOG10(MAX(R148,1E-12)))</f>
        <v/>
      </c>
    </row>
    <row r="149">
      <c r="A149" t="n">
        <v>146</v>
      </c>
      <c r="B149" s="196">
        <f>IF(A149&lt;='入力・概要'!$B$40,10^(LOG10('入力・概要'!$B$38)+(A149-1)*(LOG10('入力・概要'!$B$39)-LOG10('入力・概要'!$B$38))/('入力・概要'!$B$40-1)),"")</f>
        <v/>
      </c>
      <c r="C149" s="195">
        <f>IF(B149="","",2*PI()*B149)</f>
        <v/>
      </c>
      <c r="D149" s="195">
        <f>IF(B149="","",ATANH(MIN(0.999999,(2*'入力・概要'!$B$17*'入力・概要'!$B$6)/'入力・概要'!$B$30))+'入力・概要'!$B$33*SQRT(B149/1E6)+(2*PI()*B149*'入力・概要'!$B$6/(299792458*'入力・概要'!$B$31))*'入力・概要'!$B$32/2)</f>
        <v/>
      </c>
      <c r="E149" s="195">
        <f>IF(B149="","",2*PI()*B149*'入力・概要'!$B$6/(299792458*'入力・概要'!$B$31))</f>
        <v/>
      </c>
      <c r="F149" s="195">
        <f>IF(B149="","",SINH(2*D149)/(COSH(2*D149)+COS(2*E149)))</f>
        <v/>
      </c>
      <c r="G149" s="195">
        <f>IF(B149="","",SIN(2*E149)/(COSH(2*D149)+COS(2*E149)))</f>
        <v/>
      </c>
      <c r="H149" s="195">
        <f>IF(B149="","",'入力・概要'!$B$34)</f>
        <v/>
      </c>
      <c r="I149" s="195">
        <f>IF(B149="","",C149*'入力・概要'!$B$35*1E-9)</f>
        <v/>
      </c>
      <c r="J149" s="195">
        <f>IF(B149="","",H149+'入力・概要'!$B$30*F149)</f>
        <v/>
      </c>
      <c r="K149" s="195">
        <f>IF(B149="","",I149+'入力・概要'!$B$30*G149)</f>
        <v/>
      </c>
      <c r="L149" s="195">
        <f>IF(B149="","",'入力・概要'!$B$30+H149*F149-I149*G149)</f>
        <v/>
      </c>
      <c r="M149" s="195">
        <f>IF(B149="","",H149*G149+I149*F149)</f>
        <v/>
      </c>
      <c r="N149" s="195">
        <f>IF(B149="","",'入力・概要'!$B$30*(J149*L149+K149*M149)/(L149^2+M149^2))</f>
        <v/>
      </c>
      <c r="O149" s="195">
        <f>IF(B149="","",'入力・概要'!$B$30*(K149*L149-J149*M149)/(L149^2+M149^2))</f>
        <v/>
      </c>
      <c r="P149" s="195">
        <f>IF(B149="","",N149+'入力・概要'!$B$36)</f>
        <v/>
      </c>
      <c r="Q149" s="195">
        <f>IF(B149="","",O149+C149*'入力・概要'!$B$37*1E-9)</f>
        <v/>
      </c>
      <c r="R149" s="195">
        <f>IF(B149="","",SQRT(P149^2+Q149^2))</f>
        <v/>
      </c>
      <c r="S149" s="195">
        <f>IF(B149="","",IF(P149&gt;0,DEGREES(ATAN(Q149/P149)),IF(P149&lt;0,IF(Q149&gt;=0,DEGREES(ATAN(Q149/P149))+180,DEGREES(ATAN(Q149/P149))-180),IF(Q149&gt;0,90,IF(Q149&lt;0,-90,0)))))</f>
        <v/>
      </c>
      <c r="T149" s="195">
        <f>IF(B149="","",LOG10(B149))</f>
        <v/>
      </c>
      <c r="U149" s="195">
        <f>IF(R149="","",LOG10(MAX(R149,1E-12)))</f>
        <v/>
      </c>
    </row>
    <row r="150">
      <c r="A150" t="n">
        <v>147</v>
      </c>
      <c r="B150" s="196">
        <f>IF(A150&lt;='入力・概要'!$B$40,10^(LOG10('入力・概要'!$B$38)+(A150-1)*(LOG10('入力・概要'!$B$39)-LOG10('入力・概要'!$B$38))/('入力・概要'!$B$40-1)),"")</f>
        <v/>
      </c>
      <c r="C150" s="195">
        <f>IF(B150="","",2*PI()*B150)</f>
        <v/>
      </c>
      <c r="D150" s="195">
        <f>IF(B150="","",ATANH(MIN(0.999999,(2*'入力・概要'!$B$17*'入力・概要'!$B$6)/'入力・概要'!$B$30))+'入力・概要'!$B$33*SQRT(B150/1E6)+(2*PI()*B150*'入力・概要'!$B$6/(299792458*'入力・概要'!$B$31))*'入力・概要'!$B$32/2)</f>
        <v/>
      </c>
      <c r="E150" s="195">
        <f>IF(B150="","",2*PI()*B150*'入力・概要'!$B$6/(299792458*'入力・概要'!$B$31))</f>
        <v/>
      </c>
      <c r="F150" s="195">
        <f>IF(B150="","",SINH(2*D150)/(COSH(2*D150)+COS(2*E150)))</f>
        <v/>
      </c>
      <c r="G150" s="195">
        <f>IF(B150="","",SIN(2*E150)/(COSH(2*D150)+COS(2*E150)))</f>
        <v/>
      </c>
      <c r="H150" s="195">
        <f>IF(B150="","",'入力・概要'!$B$34)</f>
        <v/>
      </c>
      <c r="I150" s="195">
        <f>IF(B150="","",C150*'入力・概要'!$B$35*1E-9)</f>
        <v/>
      </c>
      <c r="J150" s="195">
        <f>IF(B150="","",H150+'入力・概要'!$B$30*F150)</f>
        <v/>
      </c>
      <c r="K150" s="195">
        <f>IF(B150="","",I150+'入力・概要'!$B$30*G150)</f>
        <v/>
      </c>
      <c r="L150" s="195">
        <f>IF(B150="","",'入力・概要'!$B$30+H150*F150-I150*G150)</f>
        <v/>
      </c>
      <c r="M150" s="195">
        <f>IF(B150="","",H150*G150+I150*F150)</f>
        <v/>
      </c>
      <c r="N150" s="195">
        <f>IF(B150="","",'入力・概要'!$B$30*(J150*L150+K150*M150)/(L150^2+M150^2))</f>
        <v/>
      </c>
      <c r="O150" s="195">
        <f>IF(B150="","",'入力・概要'!$B$30*(K150*L150-J150*M150)/(L150^2+M150^2))</f>
        <v/>
      </c>
      <c r="P150" s="195">
        <f>IF(B150="","",N150+'入力・概要'!$B$36)</f>
        <v/>
      </c>
      <c r="Q150" s="195">
        <f>IF(B150="","",O150+C150*'入力・概要'!$B$37*1E-9)</f>
        <v/>
      </c>
      <c r="R150" s="195">
        <f>IF(B150="","",SQRT(P150^2+Q150^2))</f>
        <v/>
      </c>
      <c r="S150" s="195">
        <f>IF(B150="","",IF(P150&gt;0,DEGREES(ATAN(Q150/P150)),IF(P150&lt;0,IF(Q150&gt;=0,DEGREES(ATAN(Q150/P150))+180,DEGREES(ATAN(Q150/P150))-180),IF(Q150&gt;0,90,IF(Q150&lt;0,-90,0)))))</f>
        <v/>
      </c>
      <c r="T150" s="195">
        <f>IF(B150="","",LOG10(B150))</f>
        <v/>
      </c>
      <c r="U150" s="195">
        <f>IF(R150="","",LOG10(MAX(R150,1E-12)))</f>
        <v/>
      </c>
    </row>
    <row r="151">
      <c r="A151" t="n">
        <v>148</v>
      </c>
      <c r="B151" s="196">
        <f>IF(A151&lt;='入力・概要'!$B$40,10^(LOG10('入力・概要'!$B$38)+(A151-1)*(LOG10('入力・概要'!$B$39)-LOG10('入力・概要'!$B$38))/('入力・概要'!$B$40-1)),"")</f>
        <v/>
      </c>
      <c r="C151" s="195">
        <f>IF(B151="","",2*PI()*B151)</f>
        <v/>
      </c>
      <c r="D151" s="195">
        <f>IF(B151="","",ATANH(MIN(0.999999,(2*'入力・概要'!$B$17*'入力・概要'!$B$6)/'入力・概要'!$B$30))+'入力・概要'!$B$33*SQRT(B151/1E6)+(2*PI()*B151*'入力・概要'!$B$6/(299792458*'入力・概要'!$B$31))*'入力・概要'!$B$32/2)</f>
        <v/>
      </c>
      <c r="E151" s="195">
        <f>IF(B151="","",2*PI()*B151*'入力・概要'!$B$6/(299792458*'入力・概要'!$B$31))</f>
        <v/>
      </c>
      <c r="F151" s="195">
        <f>IF(B151="","",SINH(2*D151)/(COSH(2*D151)+COS(2*E151)))</f>
        <v/>
      </c>
      <c r="G151" s="195">
        <f>IF(B151="","",SIN(2*E151)/(COSH(2*D151)+COS(2*E151)))</f>
        <v/>
      </c>
      <c r="H151" s="195">
        <f>IF(B151="","",'入力・概要'!$B$34)</f>
        <v/>
      </c>
      <c r="I151" s="195">
        <f>IF(B151="","",C151*'入力・概要'!$B$35*1E-9)</f>
        <v/>
      </c>
      <c r="J151" s="195">
        <f>IF(B151="","",H151+'入力・概要'!$B$30*F151)</f>
        <v/>
      </c>
      <c r="K151" s="195">
        <f>IF(B151="","",I151+'入力・概要'!$B$30*G151)</f>
        <v/>
      </c>
      <c r="L151" s="195">
        <f>IF(B151="","",'入力・概要'!$B$30+H151*F151-I151*G151)</f>
        <v/>
      </c>
      <c r="M151" s="195">
        <f>IF(B151="","",H151*G151+I151*F151)</f>
        <v/>
      </c>
      <c r="N151" s="195">
        <f>IF(B151="","",'入力・概要'!$B$30*(J151*L151+K151*M151)/(L151^2+M151^2))</f>
        <v/>
      </c>
      <c r="O151" s="195">
        <f>IF(B151="","",'入力・概要'!$B$30*(K151*L151-J151*M151)/(L151^2+M151^2))</f>
        <v/>
      </c>
      <c r="P151" s="195">
        <f>IF(B151="","",N151+'入力・概要'!$B$36)</f>
        <v/>
      </c>
      <c r="Q151" s="195">
        <f>IF(B151="","",O151+C151*'入力・概要'!$B$37*1E-9)</f>
        <v/>
      </c>
      <c r="R151" s="195">
        <f>IF(B151="","",SQRT(P151^2+Q151^2))</f>
        <v/>
      </c>
      <c r="S151" s="195">
        <f>IF(B151="","",IF(P151&gt;0,DEGREES(ATAN(Q151/P151)),IF(P151&lt;0,IF(Q151&gt;=0,DEGREES(ATAN(Q151/P151))+180,DEGREES(ATAN(Q151/P151))-180),IF(Q151&gt;0,90,IF(Q151&lt;0,-90,0)))))</f>
        <v/>
      </c>
      <c r="T151" s="195">
        <f>IF(B151="","",LOG10(B151))</f>
        <v/>
      </c>
      <c r="U151" s="195">
        <f>IF(R151="","",LOG10(MAX(R151,1E-12)))</f>
        <v/>
      </c>
    </row>
    <row r="152">
      <c r="A152" t="n">
        <v>149</v>
      </c>
      <c r="B152" s="196">
        <f>IF(A152&lt;='入力・概要'!$B$40,10^(LOG10('入力・概要'!$B$38)+(A152-1)*(LOG10('入力・概要'!$B$39)-LOG10('入力・概要'!$B$38))/('入力・概要'!$B$40-1)),"")</f>
        <v/>
      </c>
      <c r="C152" s="195">
        <f>IF(B152="","",2*PI()*B152)</f>
        <v/>
      </c>
      <c r="D152" s="195">
        <f>IF(B152="","",ATANH(MIN(0.999999,(2*'入力・概要'!$B$17*'入力・概要'!$B$6)/'入力・概要'!$B$30))+'入力・概要'!$B$33*SQRT(B152/1E6)+(2*PI()*B152*'入力・概要'!$B$6/(299792458*'入力・概要'!$B$31))*'入力・概要'!$B$32/2)</f>
        <v/>
      </c>
      <c r="E152" s="195">
        <f>IF(B152="","",2*PI()*B152*'入力・概要'!$B$6/(299792458*'入力・概要'!$B$31))</f>
        <v/>
      </c>
      <c r="F152" s="195">
        <f>IF(B152="","",SINH(2*D152)/(COSH(2*D152)+COS(2*E152)))</f>
        <v/>
      </c>
      <c r="G152" s="195">
        <f>IF(B152="","",SIN(2*E152)/(COSH(2*D152)+COS(2*E152)))</f>
        <v/>
      </c>
      <c r="H152" s="195">
        <f>IF(B152="","",'入力・概要'!$B$34)</f>
        <v/>
      </c>
      <c r="I152" s="195">
        <f>IF(B152="","",C152*'入力・概要'!$B$35*1E-9)</f>
        <v/>
      </c>
      <c r="J152" s="195">
        <f>IF(B152="","",H152+'入力・概要'!$B$30*F152)</f>
        <v/>
      </c>
      <c r="K152" s="195">
        <f>IF(B152="","",I152+'入力・概要'!$B$30*G152)</f>
        <v/>
      </c>
      <c r="L152" s="195">
        <f>IF(B152="","",'入力・概要'!$B$30+H152*F152-I152*G152)</f>
        <v/>
      </c>
      <c r="M152" s="195">
        <f>IF(B152="","",H152*G152+I152*F152)</f>
        <v/>
      </c>
      <c r="N152" s="195">
        <f>IF(B152="","",'入力・概要'!$B$30*(J152*L152+K152*M152)/(L152^2+M152^2))</f>
        <v/>
      </c>
      <c r="O152" s="195">
        <f>IF(B152="","",'入力・概要'!$B$30*(K152*L152-J152*M152)/(L152^2+M152^2))</f>
        <v/>
      </c>
      <c r="P152" s="195">
        <f>IF(B152="","",N152+'入力・概要'!$B$36)</f>
        <v/>
      </c>
      <c r="Q152" s="195">
        <f>IF(B152="","",O152+C152*'入力・概要'!$B$37*1E-9)</f>
        <v/>
      </c>
      <c r="R152" s="195">
        <f>IF(B152="","",SQRT(P152^2+Q152^2))</f>
        <v/>
      </c>
      <c r="S152" s="195">
        <f>IF(B152="","",IF(P152&gt;0,DEGREES(ATAN(Q152/P152)),IF(P152&lt;0,IF(Q152&gt;=0,DEGREES(ATAN(Q152/P152))+180,DEGREES(ATAN(Q152/P152))-180),IF(Q152&gt;0,90,IF(Q152&lt;0,-90,0)))))</f>
        <v/>
      </c>
      <c r="T152" s="195">
        <f>IF(B152="","",LOG10(B152))</f>
        <v/>
      </c>
      <c r="U152" s="195">
        <f>IF(R152="","",LOG10(MAX(R152,1E-12)))</f>
        <v/>
      </c>
    </row>
    <row r="153">
      <c r="A153" t="n">
        <v>150</v>
      </c>
      <c r="B153" s="196">
        <f>IF(A153&lt;='入力・概要'!$B$40,10^(LOG10('入力・概要'!$B$38)+(A153-1)*(LOG10('入力・概要'!$B$39)-LOG10('入力・概要'!$B$38))/('入力・概要'!$B$40-1)),"")</f>
        <v/>
      </c>
      <c r="C153" s="195">
        <f>IF(B153="","",2*PI()*B153)</f>
        <v/>
      </c>
      <c r="D153" s="195">
        <f>IF(B153="","",ATANH(MIN(0.999999,(2*'入力・概要'!$B$17*'入力・概要'!$B$6)/'入力・概要'!$B$30))+'入力・概要'!$B$33*SQRT(B153/1E6)+(2*PI()*B153*'入力・概要'!$B$6/(299792458*'入力・概要'!$B$31))*'入力・概要'!$B$32/2)</f>
        <v/>
      </c>
      <c r="E153" s="195">
        <f>IF(B153="","",2*PI()*B153*'入力・概要'!$B$6/(299792458*'入力・概要'!$B$31))</f>
        <v/>
      </c>
      <c r="F153" s="195">
        <f>IF(B153="","",SINH(2*D153)/(COSH(2*D153)+COS(2*E153)))</f>
        <v/>
      </c>
      <c r="G153" s="195">
        <f>IF(B153="","",SIN(2*E153)/(COSH(2*D153)+COS(2*E153)))</f>
        <v/>
      </c>
      <c r="H153" s="195">
        <f>IF(B153="","",'入力・概要'!$B$34)</f>
        <v/>
      </c>
      <c r="I153" s="195">
        <f>IF(B153="","",C153*'入力・概要'!$B$35*1E-9)</f>
        <v/>
      </c>
      <c r="J153" s="195">
        <f>IF(B153="","",H153+'入力・概要'!$B$30*F153)</f>
        <v/>
      </c>
      <c r="K153" s="195">
        <f>IF(B153="","",I153+'入力・概要'!$B$30*G153)</f>
        <v/>
      </c>
      <c r="L153" s="195">
        <f>IF(B153="","",'入力・概要'!$B$30+H153*F153-I153*G153)</f>
        <v/>
      </c>
      <c r="M153" s="195">
        <f>IF(B153="","",H153*G153+I153*F153)</f>
        <v/>
      </c>
      <c r="N153" s="195">
        <f>IF(B153="","",'入力・概要'!$B$30*(J153*L153+K153*M153)/(L153^2+M153^2))</f>
        <v/>
      </c>
      <c r="O153" s="195">
        <f>IF(B153="","",'入力・概要'!$B$30*(K153*L153-J153*M153)/(L153^2+M153^2))</f>
        <v/>
      </c>
      <c r="P153" s="195">
        <f>IF(B153="","",N153+'入力・概要'!$B$36)</f>
        <v/>
      </c>
      <c r="Q153" s="195">
        <f>IF(B153="","",O153+C153*'入力・概要'!$B$37*1E-9)</f>
        <v/>
      </c>
      <c r="R153" s="195">
        <f>IF(B153="","",SQRT(P153^2+Q153^2))</f>
        <v/>
      </c>
      <c r="S153" s="195">
        <f>IF(B153="","",IF(P153&gt;0,DEGREES(ATAN(Q153/P153)),IF(P153&lt;0,IF(Q153&gt;=0,DEGREES(ATAN(Q153/P153))+180,DEGREES(ATAN(Q153/P153))-180),IF(Q153&gt;0,90,IF(Q153&lt;0,-90,0)))))</f>
        <v/>
      </c>
      <c r="T153" s="195">
        <f>IF(B153="","",LOG10(B153))</f>
        <v/>
      </c>
      <c r="U153" s="195">
        <f>IF(R153="","",LOG10(MAX(R153,1E-12)))</f>
        <v/>
      </c>
    </row>
    <row r="154">
      <c r="A154" t="n">
        <v>151</v>
      </c>
      <c r="B154" s="196">
        <f>IF(A154&lt;='入力・概要'!$B$40,10^(LOG10('入力・概要'!$B$38)+(A154-1)*(LOG10('入力・概要'!$B$39)-LOG10('入力・概要'!$B$38))/('入力・概要'!$B$40-1)),"")</f>
        <v/>
      </c>
      <c r="C154" s="195">
        <f>IF(B154="","",2*PI()*B154)</f>
        <v/>
      </c>
      <c r="D154" s="195">
        <f>IF(B154="","",ATANH(MIN(0.999999,(2*'入力・概要'!$B$17*'入力・概要'!$B$6)/'入力・概要'!$B$30))+'入力・概要'!$B$33*SQRT(B154/1E6)+(2*PI()*B154*'入力・概要'!$B$6/(299792458*'入力・概要'!$B$31))*'入力・概要'!$B$32/2)</f>
        <v/>
      </c>
      <c r="E154" s="195">
        <f>IF(B154="","",2*PI()*B154*'入力・概要'!$B$6/(299792458*'入力・概要'!$B$31))</f>
        <v/>
      </c>
      <c r="F154" s="195">
        <f>IF(B154="","",SINH(2*D154)/(COSH(2*D154)+COS(2*E154)))</f>
        <v/>
      </c>
      <c r="G154" s="195">
        <f>IF(B154="","",SIN(2*E154)/(COSH(2*D154)+COS(2*E154)))</f>
        <v/>
      </c>
      <c r="H154" s="195">
        <f>IF(B154="","",'入力・概要'!$B$34)</f>
        <v/>
      </c>
      <c r="I154" s="195">
        <f>IF(B154="","",C154*'入力・概要'!$B$35*1E-9)</f>
        <v/>
      </c>
      <c r="J154" s="195">
        <f>IF(B154="","",H154+'入力・概要'!$B$30*F154)</f>
        <v/>
      </c>
      <c r="K154" s="195">
        <f>IF(B154="","",I154+'入力・概要'!$B$30*G154)</f>
        <v/>
      </c>
      <c r="L154" s="195">
        <f>IF(B154="","",'入力・概要'!$B$30+H154*F154-I154*G154)</f>
        <v/>
      </c>
      <c r="M154" s="195">
        <f>IF(B154="","",H154*G154+I154*F154)</f>
        <v/>
      </c>
      <c r="N154" s="195">
        <f>IF(B154="","",'入力・概要'!$B$30*(J154*L154+K154*M154)/(L154^2+M154^2))</f>
        <v/>
      </c>
      <c r="O154" s="195">
        <f>IF(B154="","",'入力・概要'!$B$30*(K154*L154-J154*M154)/(L154^2+M154^2))</f>
        <v/>
      </c>
      <c r="P154" s="195">
        <f>IF(B154="","",N154+'入力・概要'!$B$36)</f>
        <v/>
      </c>
      <c r="Q154" s="195">
        <f>IF(B154="","",O154+C154*'入力・概要'!$B$37*1E-9)</f>
        <v/>
      </c>
      <c r="R154" s="195">
        <f>IF(B154="","",SQRT(P154^2+Q154^2))</f>
        <v/>
      </c>
      <c r="S154" s="195">
        <f>IF(B154="","",IF(P154&gt;0,DEGREES(ATAN(Q154/P154)),IF(P154&lt;0,IF(Q154&gt;=0,DEGREES(ATAN(Q154/P154))+180,DEGREES(ATAN(Q154/P154))-180),IF(Q154&gt;0,90,IF(Q154&lt;0,-90,0)))))</f>
        <v/>
      </c>
      <c r="T154" s="195">
        <f>IF(B154="","",LOG10(B154))</f>
        <v/>
      </c>
      <c r="U154" s="195">
        <f>IF(R154="","",LOG10(MAX(R154,1E-12)))</f>
        <v/>
      </c>
    </row>
    <row r="155">
      <c r="A155" t="n">
        <v>152</v>
      </c>
      <c r="B155" s="196">
        <f>IF(A155&lt;='入力・概要'!$B$40,10^(LOG10('入力・概要'!$B$38)+(A155-1)*(LOG10('入力・概要'!$B$39)-LOG10('入力・概要'!$B$38))/('入力・概要'!$B$40-1)),"")</f>
        <v/>
      </c>
      <c r="C155" s="195">
        <f>IF(B155="","",2*PI()*B155)</f>
        <v/>
      </c>
      <c r="D155" s="195">
        <f>IF(B155="","",ATANH(MIN(0.999999,(2*'入力・概要'!$B$17*'入力・概要'!$B$6)/'入力・概要'!$B$30))+'入力・概要'!$B$33*SQRT(B155/1E6)+(2*PI()*B155*'入力・概要'!$B$6/(299792458*'入力・概要'!$B$31))*'入力・概要'!$B$32/2)</f>
        <v/>
      </c>
      <c r="E155" s="195">
        <f>IF(B155="","",2*PI()*B155*'入力・概要'!$B$6/(299792458*'入力・概要'!$B$31))</f>
        <v/>
      </c>
      <c r="F155" s="195">
        <f>IF(B155="","",SINH(2*D155)/(COSH(2*D155)+COS(2*E155)))</f>
        <v/>
      </c>
      <c r="G155" s="195">
        <f>IF(B155="","",SIN(2*E155)/(COSH(2*D155)+COS(2*E155)))</f>
        <v/>
      </c>
      <c r="H155" s="195">
        <f>IF(B155="","",'入力・概要'!$B$34)</f>
        <v/>
      </c>
      <c r="I155" s="195">
        <f>IF(B155="","",C155*'入力・概要'!$B$35*1E-9)</f>
        <v/>
      </c>
      <c r="J155" s="195">
        <f>IF(B155="","",H155+'入力・概要'!$B$30*F155)</f>
        <v/>
      </c>
      <c r="K155" s="195">
        <f>IF(B155="","",I155+'入力・概要'!$B$30*G155)</f>
        <v/>
      </c>
      <c r="L155" s="195">
        <f>IF(B155="","",'入力・概要'!$B$30+H155*F155-I155*G155)</f>
        <v/>
      </c>
      <c r="M155" s="195">
        <f>IF(B155="","",H155*G155+I155*F155)</f>
        <v/>
      </c>
      <c r="N155" s="195">
        <f>IF(B155="","",'入力・概要'!$B$30*(J155*L155+K155*M155)/(L155^2+M155^2))</f>
        <v/>
      </c>
      <c r="O155" s="195">
        <f>IF(B155="","",'入力・概要'!$B$30*(K155*L155-J155*M155)/(L155^2+M155^2))</f>
        <v/>
      </c>
      <c r="P155" s="195">
        <f>IF(B155="","",N155+'入力・概要'!$B$36)</f>
        <v/>
      </c>
      <c r="Q155" s="195">
        <f>IF(B155="","",O155+C155*'入力・概要'!$B$37*1E-9)</f>
        <v/>
      </c>
      <c r="R155" s="195">
        <f>IF(B155="","",SQRT(P155^2+Q155^2))</f>
        <v/>
      </c>
      <c r="S155" s="195">
        <f>IF(B155="","",IF(P155&gt;0,DEGREES(ATAN(Q155/P155)),IF(P155&lt;0,IF(Q155&gt;=0,DEGREES(ATAN(Q155/P155))+180,DEGREES(ATAN(Q155/P155))-180),IF(Q155&gt;0,90,IF(Q155&lt;0,-90,0)))))</f>
        <v/>
      </c>
      <c r="T155" s="195">
        <f>IF(B155="","",LOG10(B155))</f>
        <v/>
      </c>
      <c r="U155" s="195">
        <f>IF(R155="","",LOG10(MAX(R155,1E-12)))</f>
        <v/>
      </c>
    </row>
    <row r="156">
      <c r="A156" t="n">
        <v>153</v>
      </c>
      <c r="B156" s="196">
        <f>IF(A156&lt;='入力・概要'!$B$40,10^(LOG10('入力・概要'!$B$38)+(A156-1)*(LOG10('入力・概要'!$B$39)-LOG10('入力・概要'!$B$38))/('入力・概要'!$B$40-1)),"")</f>
        <v/>
      </c>
      <c r="C156" s="195">
        <f>IF(B156="","",2*PI()*B156)</f>
        <v/>
      </c>
      <c r="D156" s="195">
        <f>IF(B156="","",ATANH(MIN(0.999999,(2*'入力・概要'!$B$17*'入力・概要'!$B$6)/'入力・概要'!$B$30))+'入力・概要'!$B$33*SQRT(B156/1E6)+(2*PI()*B156*'入力・概要'!$B$6/(299792458*'入力・概要'!$B$31))*'入力・概要'!$B$32/2)</f>
        <v/>
      </c>
      <c r="E156" s="195">
        <f>IF(B156="","",2*PI()*B156*'入力・概要'!$B$6/(299792458*'入力・概要'!$B$31))</f>
        <v/>
      </c>
      <c r="F156" s="195">
        <f>IF(B156="","",SINH(2*D156)/(COSH(2*D156)+COS(2*E156)))</f>
        <v/>
      </c>
      <c r="G156" s="195">
        <f>IF(B156="","",SIN(2*E156)/(COSH(2*D156)+COS(2*E156)))</f>
        <v/>
      </c>
      <c r="H156" s="195">
        <f>IF(B156="","",'入力・概要'!$B$34)</f>
        <v/>
      </c>
      <c r="I156" s="195">
        <f>IF(B156="","",C156*'入力・概要'!$B$35*1E-9)</f>
        <v/>
      </c>
      <c r="J156" s="195">
        <f>IF(B156="","",H156+'入力・概要'!$B$30*F156)</f>
        <v/>
      </c>
      <c r="K156" s="195">
        <f>IF(B156="","",I156+'入力・概要'!$B$30*G156)</f>
        <v/>
      </c>
      <c r="L156" s="195">
        <f>IF(B156="","",'入力・概要'!$B$30+H156*F156-I156*G156)</f>
        <v/>
      </c>
      <c r="M156" s="195">
        <f>IF(B156="","",H156*G156+I156*F156)</f>
        <v/>
      </c>
      <c r="N156" s="195">
        <f>IF(B156="","",'入力・概要'!$B$30*(J156*L156+K156*M156)/(L156^2+M156^2))</f>
        <v/>
      </c>
      <c r="O156" s="195">
        <f>IF(B156="","",'入力・概要'!$B$30*(K156*L156-J156*M156)/(L156^2+M156^2))</f>
        <v/>
      </c>
      <c r="P156" s="195">
        <f>IF(B156="","",N156+'入力・概要'!$B$36)</f>
        <v/>
      </c>
      <c r="Q156" s="195">
        <f>IF(B156="","",O156+C156*'入力・概要'!$B$37*1E-9)</f>
        <v/>
      </c>
      <c r="R156" s="195">
        <f>IF(B156="","",SQRT(P156^2+Q156^2))</f>
        <v/>
      </c>
      <c r="S156" s="195">
        <f>IF(B156="","",IF(P156&gt;0,DEGREES(ATAN(Q156/P156)),IF(P156&lt;0,IF(Q156&gt;=0,DEGREES(ATAN(Q156/P156))+180,DEGREES(ATAN(Q156/P156))-180),IF(Q156&gt;0,90,IF(Q156&lt;0,-90,0)))))</f>
        <v/>
      </c>
      <c r="T156" s="195">
        <f>IF(B156="","",LOG10(B156))</f>
        <v/>
      </c>
      <c r="U156" s="195">
        <f>IF(R156="","",LOG10(MAX(R156,1E-12)))</f>
        <v/>
      </c>
    </row>
    <row r="157">
      <c r="A157" t="n">
        <v>154</v>
      </c>
      <c r="B157" s="196">
        <f>IF(A157&lt;='入力・概要'!$B$40,10^(LOG10('入力・概要'!$B$38)+(A157-1)*(LOG10('入力・概要'!$B$39)-LOG10('入力・概要'!$B$38))/('入力・概要'!$B$40-1)),"")</f>
        <v/>
      </c>
      <c r="C157" s="195">
        <f>IF(B157="","",2*PI()*B157)</f>
        <v/>
      </c>
      <c r="D157" s="195">
        <f>IF(B157="","",ATANH(MIN(0.999999,(2*'入力・概要'!$B$17*'入力・概要'!$B$6)/'入力・概要'!$B$30))+'入力・概要'!$B$33*SQRT(B157/1E6)+(2*PI()*B157*'入力・概要'!$B$6/(299792458*'入力・概要'!$B$31))*'入力・概要'!$B$32/2)</f>
        <v/>
      </c>
      <c r="E157" s="195">
        <f>IF(B157="","",2*PI()*B157*'入力・概要'!$B$6/(299792458*'入力・概要'!$B$31))</f>
        <v/>
      </c>
      <c r="F157" s="195">
        <f>IF(B157="","",SINH(2*D157)/(COSH(2*D157)+COS(2*E157)))</f>
        <v/>
      </c>
      <c r="G157" s="195">
        <f>IF(B157="","",SIN(2*E157)/(COSH(2*D157)+COS(2*E157)))</f>
        <v/>
      </c>
      <c r="H157" s="195">
        <f>IF(B157="","",'入力・概要'!$B$34)</f>
        <v/>
      </c>
      <c r="I157" s="195">
        <f>IF(B157="","",C157*'入力・概要'!$B$35*1E-9)</f>
        <v/>
      </c>
      <c r="J157" s="195">
        <f>IF(B157="","",H157+'入力・概要'!$B$30*F157)</f>
        <v/>
      </c>
      <c r="K157" s="195">
        <f>IF(B157="","",I157+'入力・概要'!$B$30*G157)</f>
        <v/>
      </c>
      <c r="L157" s="195">
        <f>IF(B157="","",'入力・概要'!$B$30+H157*F157-I157*G157)</f>
        <v/>
      </c>
      <c r="M157" s="195">
        <f>IF(B157="","",H157*G157+I157*F157)</f>
        <v/>
      </c>
      <c r="N157" s="195">
        <f>IF(B157="","",'入力・概要'!$B$30*(J157*L157+K157*M157)/(L157^2+M157^2))</f>
        <v/>
      </c>
      <c r="O157" s="195">
        <f>IF(B157="","",'入力・概要'!$B$30*(K157*L157-J157*M157)/(L157^2+M157^2))</f>
        <v/>
      </c>
      <c r="P157" s="195">
        <f>IF(B157="","",N157+'入力・概要'!$B$36)</f>
        <v/>
      </c>
      <c r="Q157" s="195">
        <f>IF(B157="","",O157+C157*'入力・概要'!$B$37*1E-9)</f>
        <v/>
      </c>
      <c r="R157" s="195">
        <f>IF(B157="","",SQRT(P157^2+Q157^2))</f>
        <v/>
      </c>
      <c r="S157" s="195">
        <f>IF(B157="","",IF(P157&gt;0,DEGREES(ATAN(Q157/P157)),IF(P157&lt;0,IF(Q157&gt;=0,DEGREES(ATAN(Q157/P157))+180,DEGREES(ATAN(Q157/P157))-180),IF(Q157&gt;0,90,IF(Q157&lt;0,-90,0)))))</f>
        <v/>
      </c>
      <c r="T157" s="195">
        <f>IF(B157="","",LOG10(B157))</f>
        <v/>
      </c>
      <c r="U157" s="195">
        <f>IF(R157="","",LOG10(MAX(R157,1E-12)))</f>
        <v/>
      </c>
    </row>
    <row r="158">
      <c r="A158" t="n">
        <v>155</v>
      </c>
      <c r="B158" s="196">
        <f>IF(A158&lt;='入力・概要'!$B$40,10^(LOG10('入力・概要'!$B$38)+(A158-1)*(LOG10('入力・概要'!$B$39)-LOG10('入力・概要'!$B$38))/('入力・概要'!$B$40-1)),"")</f>
        <v/>
      </c>
      <c r="C158" s="195">
        <f>IF(B158="","",2*PI()*B158)</f>
        <v/>
      </c>
      <c r="D158" s="195">
        <f>IF(B158="","",ATANH(MIN(0.999999,(2*'入力・概要'!$B$17*'入力・概要'!$B$6)/'入力・概要'!$B$30))+'入力・概要'!$B$33*SQRT(B158/1E6)+(2*PI()*B158*'入力・概要'!$B$6/(299792458*'入力・概要'!$B$31))*'入力・概要'!$B$32/2)</f>
        <v/>
      </c>
      <c r="E158" s="195">
        <f>IF(B158="","",2*PI()*B158*'入力・概要'!$B$6/(299792458*'入力・概要'!$B$31))</f>
        <v/>
      </c>
      <c r="F158" s="195">
        <f>IF(B158="","",SINH(2*D158)/(COSH(2*D158)+COS(2*E158)))</f>
        <v/>
      </c>
      <c r="G158" s="195">
        <f>IF(B158="","",SIN(2*E158)/(COSH(2*D158)+COS(2*E158)))</f>
        <v/>
      </c>
      <c r="H158" s="195">
        <f>IF(B158="","",'入力・概要'!$B$34)</f>
        <v/>
      </c>
      <c r="I158" s="195">
        <f>IF(B158="","",C158*'入力・概要'!$B$35*1E-9)</f>
        <v/>
      </c>
      <c r="J158" s="195">
        <f>IF(B158="","",H158+'入力・概要'!$B$30*F158)</f>
        <v/>
      </c>
      <c r="K158" s="195">
        <f>IF(B158="","",I158+'入力・概要'!$B$30*G158)</f>
        <v/>
      </c>
      <c r="L158" s="195">
        <f>IF(B158="","",'入力・概要'!$B$30+H158*F158-I158*G158)</f>
        <v/>
      </c>
      <c r="M158" s="195">
        <f>IF(B158="","",H158*G158+I158*F158)</f>
        <v/>
      </c>
      <c r="N158" s="195">
        <f>IF(B158="","",'入力・概要'!$B$30*(J158*L158+K158*M158)/(L158^2+M158^2))</f>
        <v/>
      </c>
      <c r="O158" s="195">
        <f>IF(B158="","",'入力・概要'!$B$30*(K158*L158-J158*M158)/(L158^2+M158^2))</f>
        <v/>
      </c>
      <c r="P158" s="195">
        <f>IF(B158="","",N158+'入力・概要'!$B$36)</f>
        <v/>
      </c>
      <c r="Q158" s="195">
        <f>IF(B158="","",O158+C158*'入力・概要'!$B$37*1E-9)</f>
        <v/>
      </c>
      <c r="R158" s="195">
        <f>IF(B158="","",SQRT(P158^2+Q158^2))</f>
        <v/>
      </c>
      <c r="S158" s="195">
        <f>IF(B158="","",IF(P158&gt;0,DEGREES(ATAN(Q158/P158)),IF(P158&lt;0,IF(Q158&gt;=0,DEGREES(ATAN(Q158/P158))+180,DEGREES(ATAN(Q158/P158))-180),IF(Q158&gt;0,90,IF(Q158&lt;0,-90,0)))))</f>
        <v/>
      </c>
      <c r="T158" s="195">
        <f>IF(B158="","",LOG10(B158))</f>
        <v/>
      </c>
      <c r="U158" s="195">
        <f>IF(R158="","",LOG10(MAX(R158,1E-12)))</f>
        <v/>
      </c>
    </row>
    <row r="159">
      <c r="A159" t="n">
        <v>156</v>
      </c>
      <c r="B159" s="196">
        <f>IF(A159&lt;='入力・概要'!$B$40,10^(LOG10('入力・概要'!$B$38)+(A159-1)*(LOG10('入力・概要'!$B$39)-LOG10('入力・概要'!$B$38))/('入力・概要'!$B$40-1)),"")</f>
        <v/>
      </c>
      <c r="C159" s="195">
        <f>IF(B159="","",2*PI()*B159)</f>
        <v/>
      </c>
      <c r="D159" s="195">
        <f>IF(B159="","",ATANH(MIN(0.999999,(2*'入力・概要'!$B$17*'入力・概要'!$B$6)/'入力・概要'!$B$30))+'入力・概要'!$B$33*SQRT(B159/1E6)+(2*PI()*B159*'入力・概要'!$B$6/(299792458*'入力・概要'!$B$31))*'入力・概要'!$B$32/2)</f>
        <v/>
      </c>
      <c r="E159" s="195">
        <f>IF(B159="","",2*PI()*B159*'入力・概要'!$B$6/(299792458*'入力・概要'!$B$31))</f>
        <v/>
      </c>
      <c r="F159" s="195">
        <f>IF(B159="","",SINH(2*D159)/(COSH(2*D159)+COS(2*E159)))</f>
        <v/>
      </c>
      <c r="G159" s="195">
        <f>IF(B159="","",SIN(2*E159)/(COSH(2*D159)+COS(2*E159)))</f>
        <v/>
      </c>
      <c r="H159" s="195">
        <f>IF(B159="","",'入力・概要'!$B$34)</f>
        <v/>
      </c>
      <c r="I159" s="195">
        <f>IF(B159="","",C159*'入力・概要'!$B$35*1E-9)</f>
        <v/>
      </c>
      <c r="J159" s="195">
        <f>IF(B159="","",H159+'入力・概要'!$B$30*F159)</f>
        <v/>
      </c>
      <c r="K159" s="195">
        <f>IF(B159="","",I159+'入力・概要'!$B$30*G159)</f>
        <v/>
      </c>
      <c r="L159" s="195">
        <f>IF(B159="","",'入力・概要'!$B$30+H159*F159-I159*G159)</f>
        <v/>
      </c>
      <c r="M159" s="195">
        <f>IF(B159="","",H159*G159+I159*F159)</f>
        <v/>
      </c>
      <c r="N159" s="195">
        <f>IF(B159="","",'入力・概要'!$B$30*(J159*L159+K159*M159)/(L159^2+M159^2))</f>
        <v/>
      </c>
      <c r="O159" s="195">
        <f>IF(B159="","",'入力・概要'!$B$30*(K159*L159-J159*M159)/(L159^2+M159^2))</f>
        <v/>
      </c>
      <c r="P159" s="195">
        <f>IF(B159="","",N159+'入力・概要'!$B$36)</f>
        <v/>
      </c>
      <c r="Q159" s="195">
        <f>IF(B159="","",O159+C159*'入力・概要'!$B$37*1E-9)</f>
        <v/>
      </c>
      <c r="R159" s="195">
        <f>IF(B159="","",SQRT(P159^2+Q159^2))</f>
        <v/>
      </c>
      <c r="S159" s="195">
        <f>IF(B159="","",IF(P159&gt;0,DEGREES(ATAN(Q159/P159)),IF(P159&lt;0,IF(Q159&gt;=0,DEGREES(ATAN(Q159/P159))+180,DEGREES(ATAN(Q159/P159))-180),IF(Q159&gt;0,90,IF(Q159&lt;0,-90,0)))))</f>
        <v/>
      </c>
      <c r="T159" s="195">
        <f>IF(B159="","",LOG10(B159))</f>
        <v/>
      </c>
      <c r="U159" s="195">
        <f>IF(R159="","",LOG10(MAX(R159,1E-12)))</f>
        <v/>
      </c>
    </row>
    <row r="160">
      <c r="A160" t="n">
        <v>157</v>
      </c>
      <c r="B160" s="196">
        <f>IF(A160&lt;='入力・概要'!$B$40,10^(LOG10('入力・概要'!$B$38)+(A160-1)*(LOG10('入力・概要'!$B$39)-LOG10('入力・概要'!$B$38))/('入力・概要'!$B$40-1)),"")</f>
        <v/>
      </c>
      <c r="C160" s="195">
        <f>IF(B160="","",2*PI()*B160)</f>
        <v/>
      </c>
      <c r="D160" s="195">
        <f>IF(B160="","",ATANH(MIN(0.999999,(2*'入力・概要'!$B$17*'入力・概要'!$B$6)/'入力・概要'!$B$30))+'入力・概要'!$B$33*SQRT(B160/1E6)+(2*PI()*B160*'入力・概要'!$B$6/(299792458*'入力・概要'!$B$31))*'入力・概要'!$B$32/2)</f>
        <v/>
      </c>
      <c r="E160" s="195">
        <f>IF(B160="","",2*PI()*B160*'入力・概要'!$B$6/(299792458*'入力・概要'!$B$31))</f>
        <v/>
      </c>
      <c r="F160" s="195">
        <f>IF(B160="","",SINH(2*D160)/(COSH(2*D160)+COS(2*E160)))</f>
        <v/>
      </c>
      <c r="G160" s="195">
        <f>IF(B160="","",SIN(2*E160)/(COSH(2*D160)+COS(2*E160)))</f>
        <v/>
      </c>
      <c r="H160" s="195">
        <f>IF(B160="","",'入力・概要'!$B$34)</f>
        <v/>
      </c>
      <c r="I160" s="195">
        <f>IF(B160="","",C160*'入力・概要'!$B$35*1E-9)</f>
        <v/>
      </c>
      <c r="J160" s="195">
        <f>IF(B160="","",H160+'入力・概要'!$B$30*F160)</f>
        <v/>
      </c>
      <c r="K160" s="195">
        <f>IF(B160="","",I160+'入力・概要'!$B$30*G160)</f>
        <v/>
      </c>
      <c r="L160" s="195">
        <f>IF(B160="","",'入力・概要'!$B$30+H160*F160-I160*G160)</f>
        <v/>
      </c>
      <c r="M160" s="195">
        <f>IF(B160="","",H160*G160+I160*F160)</f>
        <v/>
      </c>
      <c r="N160" s="195">
        <f>IF(B160="","",'入力・概要'!$B$30*(J160*L160+K160*M160)/(L160^2+M160^2))</f>
        <v/>
      </c>
      <c r="O160" s="195">
        <f>IF(B160="","",'入力・概要'!$B$30*(K160*L160-J160*M160)/(L160^2+M160^2))</f>
        <v/>
      </c>
      <c r="P160" s="195">
        <f>IF(B160="","",N160+'入力・概要'!$B$36)</f>
        <v/>
      </c>
      <c r="Q160" s="195">
        <f>IF(B160="","",O160+C160*'入力・概要'!$B$37*1E-9)</f>
        <v/>
      </c>
      <c r="R160" s="195">
        <f>IF(B160="","",SQRT(P160^2+Q160^2))</f>
        <v/>
      </c>
      <c r="S160" s="195">
        <f>IF(B160="","",IF(P160&gt;0,DEGREES(ATAN(Q160/P160)),IF(P160&lt;0,IF(Q160&gt;=0,DEGREES(ATAN(Q160/P160))+180,DEGREES(ATAN(Q160/P160))-180),IF(Q160&gt;0,90,IF(Q160&lt;0,-90,0)))))</f>
        <v/>
      </c>
      <c r="T160" s="195">
        <f>IF(B160="","",LOG10(B160))</f>
        <v/>
      </c>
      <c r="U160" s="195">
        <f>IF(R160="","",LOG10(MAX(R160,1E-12)))</f>
        <v/>
      </c>
    </row>
    <row r="161">
      <c r="A161" t="n">
        <v>158</v>
      </c>
      <c r="B161" s="196">
        <f>IF(A161&lt;='入力・概要'!$B$40,10^(LOG10('入力・概要'!$B$38)+(A161-1)*(LOG10('入力・概要'!$B$39)-LOG10('入力・概要'!$B$38))/('入力・概要'!$B$40-1)),"")</f>
        <v/>
      </c>
      <c r="C161" s="195">
        <f>IF(B161="","",2*PI()*B161)</f>
        <v/>
      </c>
      <c r="D161" s="195">
        <f>IF(B161="","",ATANH(MIN(0.999999,(2*'入力・概要'!$B$17*'入力・概要'!$B$6)/'入力・概要'!$B$30))+'入力・概要'!$B$33*SQRT(B161/1E6)+(2*PI()*B161*'入力・概要'!$B$6/(299792458*'入力・概要'!$B$31))*'入力・概要'!$B$32/2)</f>
        <v/>
      </c>
      <c r="E161" s="195">
        <f>IF(B161="","",2*PI()*B161*'入力・概要'!$B$6/(299792458*'入力・概要'!$B$31))</f>
        <v/>
      </c>
      <c r="F161" s="195">
        <f>IF(B161="","",SINH(2*D161)/(COSH(2*D161)+COS(2*E161)))</f>
        <v/>
      </c>
      <c r="G161" s="195">
        <f>IF(B161="","",SIN(2*E161)/(COSH(2*D161)+COS(2*E161)))</f>
        <v/>
      </c>
      <c r="H161" s="195">
        <f>IF(B161="","",'入力・概要'!$B$34)</f>
        <v/>
      </c>
      <c r="I161" s="195">
        <f>IF(B161="","",C161*'入力・概要'!$B$35*1E-9)</f>
        <v/>
      </c>
      <c r="J161" s="195">
        <f>IF(B161="","",H161+'入力・概要'!$B$30*F161)</f>
        <v/>
      </c>
      <c r="K161" s="195">
        <f>IF(B161="","",I161+'入力・概要'!$B$30*G161)</f>
        <v/>
      </c>
      <c r="L161" s="195">
        <f>IF(B161="","",'入力・概要'!$B$30+H161*F161-I161*G161)</f>
        <v/>
      </c>
      <c r="M161" s="195">
        <f>IF(B161="","",H161*G161+I161*F161)</f>
        <v/>
      </c>
      <c r="N161" s="195">
        <f>IF(B161="","",'入力・概要'!$B$30*(J161*L161+K161*M161)/(L161^2+M161^2))</f>
        <v/>
      </c>
      <c r="O161" s="195">
        <f>IF(B161="","",'入力・概要'!$B$30*(K161*L161-J161*M161)/(L161^2+M161^2))</f>
        <v/>
      </c>
      <c r="P161" s="195">
        <f>IF(B161="","",N161+'入力・概要'!$B$36)</f>
        <v/>
      </c>
      <c r="Q161" s="195">
        <f>IF(B161="","",O161+C161*'入力・概要'!$B$37*1E-9)</f>
        <v/>
      </c>
      <c r="R161" s="195">
        <f>IF(B161="","",SQRT(P161^2+Q161^2))</f>
        <v/>
      </c>
      <c r="S161" s="195">
        <f>IF(B161="","",IF(P161&gt;0,DEGREES(ATAN(Q161/P161)),IF(P161&lt;0,IF(Q161&gt;=0,DEGREES(ATAN(Q161/P161))+180,DEGREES(ATAN(Q161/P161))-180),IF(Q161&gt;0,90,IF(Q161&lt;0,-90,0)))))</f>
        <v/>
      </c>
      <c r="T161" s="195">
        <f>IF(B161="","",LOG10(B161))</f>
        <v/>
      </c>
      <c r="U161" s="195">
        <f>IF(R161="","",LOG10(MAX(R161,1E-12)))</f>
        <v/>
      </c>
    </row>
    <row r="162">
      <c r="A162" t="n">
        <v>159</v>
      </c>
      <c r="B162" s="196">
        <f>IF(A162&lt;='入力・概要'!$B$40,10^(LOG10('入力・概要'!$B$38)+(A162-1)*(LOG10('入力・概要'!$B$39)-LOG10('入力・概要'!$B$38))/('入力・概要'!$B$40-1)),"")</f>
        <v/>
      </c>
      <c r="C162" s="195">
        <f>IF(B162="","",2*PI()*B162)</f>
        <v/>
      </c>
      <c r="D162" s="195">
        <f>IF(B162="","",ATANH(MIN(0.999999,(2*'入力・概要'!$B$17*'入力・概要'!$B$6)/'入力・概要'!$B$30))+'入力・概要'!$B$33*SQRT(B162/1E6)+(2*PI()*B162*'入力・概要'!$B$6/(299792458*'入力・概要'!$B$31))*'入力・概要'!$B$32/2)</f>
        <v/>
      </c>
      <c r="E162" s="195">
        <f>IF(B162="","",2*PI()*B162*'入力・概要'!$B$6/(299792458*'入力・概要'!$B$31))</f>
        <v/>
      </c>
      <c r="F162" s="195">
        <f>IF(B162="","",SINH(2*D162)/(COSH(2*D162)+COS(2*E162)))</f>
        <v/>
      </c>
      <c r="G162" s="195">
        <f>IF(B162="","",SIN(2*E162)/(COSH(2*D162)+COS(2*E162)))</f>
        <v/>
      </c>
      <c r="H162" s="195">
        <f>IF(B162="","",'入力・概要'!$B$34)</f>
        <v/>
      </c>
      <c r="I162" s="195">
        <f>IF(B162="","",C162*'入力・概要'!$B$35*1E-9)</f>
        <v/>
      </c>
      <c r="J162" s="195">
        <f>IF(B162="","",H162+'入力・概要'!$B$30*F162)</f>
        <v/>
      </c>
      <c r="K162" s="195">
        <f>IF(B162="","",I162+'入力・概要'!$B$30*G162)</f>
        <v/>
      </c>
      <c r="L162" s="195">
        <f>IF(B162="","",'入力・概要'!$B$30+H162*F162-I162*G162)</f>
        <v/>
      </c>
      <c r="M162" s="195">
        <f>IF(B162="","",H162*G162+I162*F162)</f>
        <v/>
      </c>
      <c r="N162" s="195">
        <f>IF(B162="","",'入力・概要'!$B$30*(J162*L162+K162*M162)/(L162^2+M162^2))</f>
        <v/>
      </c>
      <c r="O162" s="195">
        <f>IF(B162="","",'入力・概要'!$B$30*(K162*L162-J162*M162)/(L162^2+M162^2))</f>
        <v/>
      </c>
      <c r="P162" s="195">
        <f>IF(B162="","",N162+'入力・概要'!$B$36)</f>
        <v/>
      </c>
      <c r="Q162" s="195">
        <f>IF(B162="","",O162+C162*'入力・概要'!$B$37*1E-9)</f>
        <v/>
      </c>
      <c r="R162" s="195">
        <f>IF(B162="","",SQRT(P162^2+Q162^2))</f>
        <v/>
      </c>
      <c r="S162" s="195">
        <f>IF(B162="","",IF(P162&gt;0,DEGREES(ATAN(Q162/P162)),IF(P162&lt;0,IF(Q162&gt;=0,DEGREES(ATAN(Q162/P162))+180,DEGREES(ATAN(Q162/P162))-180),IF(Q162&gt;0,90,IF(Q162&lt;0,-90,0)))))</f>
        <v/>
      </c>
      <c r="T162" s="195">
        <f>IF(B162="","",LOG10(B162))</f>
        <v/>
      </c>
      <c r="U162" s="195">
        <f>IF(R162="","",LOG10(MAX(R162,1E-12)))</f>
        <v/>
      </c>
    </row>
    <row r="163">
      <c r="A163" t="n">
        <v>160</v>
      </c>
      <c r="B163" s="196">
        <f>IF(A163&lt;='入力・概要'!$B$40,10^(LOG10('入力・概要'!$B$38)+(A163-1)*(LOG10('入力・概要'!$B$39)-LOG10('入力・概要'!$B$38))/('入力・概要'!$B$40-1)),"")</f>
        <v/>
      </c>
      <c r="C163" s="195">
        <f>IF(B163="","",2*PI()*B163)</f>
        <v/>
      </c>
      <c r="D163" s="195">
        <f>IF(B163="","",ATANH(MIN(0.999999,(2*'入力・概要'!$B$17*'入力・概要'!$B$6)/'入力・概要'!$B$30))+'入力・概要'!$B$33*SQRT(B163/1E6)+(2*PI()*B163*'入力・概要'!$B$6/(299792458*'入力・概要'!$B$31))*'入力・概要'!$B$32/2)</f>
        <v/>
      </c>
      <c r="E163" s="195">
        <f>IF(B163="","",2*PI()*B163*'入力・概要'!$B$6/(299792458*'入力・概要'!$B$31))</f>
        <v/>
      </c>
      <c r="F163" s="195">
        <f>IF(B163="","",SINH(2*D163)/(COSH(2*D163)+COS(2*E163)))</f>
        <v/>
      </c>
      <c r="G163" s="195">
        <f>IF(B163="","",SIN(2*E163)/(COSH(2*D163)+COS(2*E163)))</f>
        <v/>
      </c>
      <c r="H163" s="195">
        <f>IF(B163="","",'入力・概要'!$B$34)</f>
        <v/>
      </c>
      <c r="I163" s="195">
        <f>IF(B163="","",C163*'入力・概要'!$B$35*1E-9)</f>
        <v/>
      </c>
      <c r="J163" s="195">
        <f>IF(B163="","",H163+'入力・概要'!$B$30*F163)</f>
        <v/>
      </c>
      <c r="K163" s="195">
        <f>IF(B163="","",I163+'入力・概要'!$B$30*G163)</f>
        <v/>
      </c>
      <c r="L163" s="195">
        <f>IF(B163="","",'入力・概要'!$B$30+H163*F163-I163*G163)</f>
        <v/>
      </c>
      <c r="M163" s="195">
        <f>IF(B163="","",H163*G163+I163*F163)</f>
        <v/>
      </c>
      <c r="N163" s="195">
        <f>IF(B163="","",'入力・概要'!$B$30*(J163*L163+K163*M163)/(L163^2+M163^2))</f>
        <v/>
      </c>
      <c r="O163" s="195">
        <f>IF(B163="","",'入力・概要'!$B$30*(K163*L163-J163*M163)/(L163^2+M163^2))</f>
        <v/>
      </c>
      <c r="P163" s="195">
        <f>IF(B163="","",N163+'入力・概要'!$B$36)</f>
        <v/>
      </c>
      <c r="Q163" s="195">
        <f>IF(B163="","",O163+C163*'入力・概要'!$B$37*1E-9)</f>
        <v/>
      </c>
      <c r="R163" s="195">
        <f>IF(B163="","",SQRT(P163^2+Q163^2))</f>
        <v/>
      </c>
      <c r="S163" s="195">
        <f>IF(B163="","",IF(P163&gt;0,DEGREES(ATAN(Q163/P163)),IF(P163&lt;0,IF(Q163&gt;=0,DEGREES(ATAN(Q163/P163))+180,DEGREES(ATAN(Q163/P163))-180),IF(Q163&gt;0,90,IF(Q163&lt;0,-90,0)))))</f>
        <v/>
      </c>
      <c r="T163" s="195">
        <f>IF(B163="","",LOG10(B163))</f>
        <v/>
      </c>
      <c r="U163" s="195">
        <f>IF(R163="","",LOG10(MAX(R163,1E-12)))</f>
        <v/>
      </c>
    </row>
    <row r="164">
      <c r="A164" t="n">
        <v>161</v>
      </c>
      <c r="B164" s="196">
        <f>IF(A164&lt;='入力・概要'!$B$40,10^(LOG10('入力・概要'!$B$38)+(A164-1)*(LOG10('入力・概要'!$B$39)-LOG10('入力・概要'!$B$38))/('入力・概要'!$B$40-1)),"")</f>
        <v/>
      </c>
      <c r="C164" s="195">
        <f>IF(B164="","",2*PI()*B164)</f>
        <v/>
      </c>
      <c r="D164" s="195">
        <f>IF(B164="","",ATANH(MIN(0.999999,(2*'入力・概要'!$B$17*'入力・概要'!$B$6)/'入力・概要'!$B$30))+'入力・概要'!$B$33*SQRT(B164/1E6)+(2*PI()*B164*'入力・概要'!$B$6/(299792458*'入力・概要'!$B$31))*'入力・概要'!$B$32/2)</f>
        <v/>
      </c>
      <c r="E164" s="195">
        <f>IF(B164="","",2*PI()*B164*'入力・概要'!$B$6/(299792458*'入力・概要'!$B$31))</f>
        <v/>
      </c>
      <c r="F164" s="195">
        <f>IF(B164="","",SINH(2*D164)/(COSH(2*D164)+COS(2*E164)))</f>
        <v/>
      </c>
      <c r="G164" s="195">
        <f>IF(B164="","",SIN(2*E164)/(COSH(2*D164)+COS(2*E164)))</f>
        <v/>
      </c>
      <c r="H164" s="195">
        <f>IF(B164="","",'入力・概要'!$B$34)</f>
        <v/>
      </c>
      <c r="I164" s="195">
        <f>IF(B164="","",C164*'入力・概要'!$B$35*1E-9)</f>
        <v/>
      </c>
      <c r="J164" s="195">
        <f>IF(B164="","",H164+'入力・概要'!$B$30*F164)</f>
        <v/>
      </c>
      <c r="K164" s="195">
        <f>IF(B164="","",I164+'入力・概要'!$B$30*G164)</f>
        <v/>
      </c>
      <c r="L164" s="195">
        <f>IF(B164="","",'入力・概要'!$B$30+H164*F164-I164*G164)</f>
        <v/>
      </c>
      <c r="M164" s="195">
        <f>IF(B164="","",H164*G164+I164*F164)</f>
        <v/>
      </c>
      <c r="N164" s="195">
        <f>IF(B164="","",'入力・概要'!$B$30*(J164*L164+K164*M164)/(L164^2+M164^2))</f>
        <v/>
      </c>
      <c r="O164" s="195">
        <f>IF(B164="","",'入力・概要'!$B$30*(K164*L164-J164*M164)/(L164^2+M164^2))</f>
        <v/>
      </c>
      <c r="P164" s="195">
        <f>IF(B164="","",N164+'入力・概要'!$B$36)</f>
        <v/>
      </c>
      <c r="Q164" s="195">
        <f>IF(B164="","",O164+C164*'入力・概要'!$B$37*1E-9)</f>
        <v/>
      </c>
      <c r="R164" s="195">
        <f>IF(B164="","",SQRT(P164^2+Q164^2))</f>
        <v/>
      </c>
      <c r="S164" s="195">
        <f>IF(B164="","",IF(P164&gt;0,DEGREES(ATAN(Q164/P164)),IF(P164&lt;0,IF(Q164&gt;=0,DEGREES(ATAN(Q164/P164))+180,DEGREES(ATAN(Q164/P164))-180),IF(Q164&gt;0,90,IF(Q164&lt;0,-90,0)))))</f>
        <v/>
      </c>
      <c r="T164" s="195">
        <f>IF(B164="","",LOG10(B164))</f>
        <v/>
      </c>
      <c r="U164" s="195">
        <f>IF(R164="","",LOG10(MAX(R164,1E-12)))</f>
        <v/>
      </c>
    </row>
    <row r="165">
      <c r="A165" t="n">
        <v>162</v>
      </c>
      <c r="B165" s="196">
        <f>IF(A165&lt;='入力・概要'!$B$40,10^(LOG10('入力・概要'!$B$38)+(A165-1)*(LOG10('入力・概要'!$B$39)-LOG10('入力・概要'!$B$38))/('入力・概要'!$B$40-1)),"")</f>
        <v/>
      </c>
      <c r="C165" s="195">
        <f>IF(B165="","",2*PI()*B165)</f>
        <v/>
      </c>
      <c r="D165" s="195">
        <f>IF(B165="","",ATANH(MIN(0.999999,(2*'入力・概要'!$B$17*'入力・概要'!$B$6)/'入力・概要'!$B$30))+'入力・概要'!$B$33*SQRT(B165/1E6)+(2*PI()*B165*'入力・概要'!$B$6/(299792458*'入力・概要'!$B$31))*'入力・概要'!$B$32/2)</f>
        <v/>
      </c>
      <c r="E165" s="195">
        <f>IF(B165="","",2*PI()*B165*'入力・概要'!$B$6/(299792458*'入力・概要'!$B$31))</f>
        <v/>
      </c>
      <c r="F165" s="195">
        <f>IF(B165="","",SINH(2*D165)/(COSH(2*D165)+COS(2*E165)))</f>
        <v/>
      </c>
      <c r="G165" s="195">
        <f>IF(B165="","",SIN(2*E165)/(COSH(2*D165)+COS(2*E165)))</f>
        <v/>
      </c>
      <c r="H165" s="195">
        <f>IF(B165="","",'入力・概要'!$B$34)</f>
        <v/>
      </c>
      <c r="I165" s="195">
        <f>IF(B165="","",C165*'入力・概要'!$B$35*1E-9)</f>
        <v/>
      </c>
      <c r="J165" s="195">
        <f>IF(B165="","",H165+'入力・概要'!$B$30*F165)</f>
        <v/>
      </c>
      <c r="K165" s="195">
        <f>IF(B165="","",I165+'入力・概要'!$B$30*G165)</f>
        <v/>
      </c>
      <c r="L165" s="195">
        <f>IF(B165="","",'入力・概要'!$B$30+H165*F165-I165*G165)</f>
        <v/>
      </c>
      <c r="M165" s="195">
        <f>IF(B165="","",H165*G165+I165*F165)</f>
        <v/>
      </c>
      <c r="N165" s="195">
        <f>IF(B165="","",'入力・概要'!$B$30*(J165*L165+K165*M165)/(L165^2+M165^2))</f>
        <v/>
      </c>
      <c r="O165" s="195">
        <f>IF(B165="","",'入力・概要'!$B$30*(K165*L165-J165*M165)/(L165^2+M165^2))</f>
        <v/>
      </c>
      <c r="P165" s="195">
        <f>IF(B165="","",N165+'入力・概要'!$B$36)</f>
        <v/>
      </c>
      <c r="Q165" s="195">
        <f>IF(B165="","",O165+C165*'入力・概要'!$B$37*1E-9)</f>
        <v/>
      </c>
      <c r="R165" s="195">
        <f>IF(B165="","",SQRT(P165^2+Q165^2))</f>
        <v/>
      </c>
      <c r="S165" s="195">
        <f>IF(B165="","",IF(P165&gt;0,DEGREES(ATAN(Q165/P165)),IF(P165&lt;0,IF(Q165&gt;=0,DEGREES(ATAN(Q165/P165))+180,DEGREES(ATAN(Q165/P165))-180),IF(Q165&gt;0,90,IF(Q165&lt;0,-90,0)))))</f>
        <v/>
      </c>
      <c r="T165" s="195">
        <f>IF(B165="","",LOG10(B165))</f>
        <v/>
      </c>
      <c r="U165" s="195">
        <f>IF(R165="","",LOG10(MAX(R165,1E-12)))</f>
        <v/>
      </c>
    </row>
    <row r="166">
      <c r="A166" t="n">
        <v>163</v>
      </c>
      <c r="B166" s="196">
        <f>IF(A166&lt;='入力・概要'!$B$40,10^(LOG10('入力・概要'!$B$38)+(A166-1)*(LOG10('入力・概要'!$B$39)-LOG10('入力・概要'!$B$38))/('入力・概要'!$B$40-1)),"")</f>
        <v/>
      </c>
      <c r="C166" s="195">
        <f>IF(B166="","",2*PI()*B166)</f>
        <v/>
      </c>
      <c r="D166" s="195">
        <f>IF(B166="","",ATANH(MIN(0.999999,(2*'入力・概要'!$B$17*'入力・概要'!$B$6)/'入力・概要'!$B$30))+'入力・概要'!$B$33*SQRT(B166/1E6)+(2*PI()*B166*'入力・概要'!$B$6/(299792458*'入力・概要'!$B$31))*'入力・概要'!$B$32/2)</f>
        <v/>
      </c>
      <c r="E166" s="195">
        <f>IF(B166="","",2*PI()*B166*'入力・概要'!$B$6/(299792458*'入力・概要'!$B$31))</f>
        <v/>
      </c>
      <c r="F166" s="195">
        <f>IF(B166="","",SINH(2*D166)/(COSH(2*D166)+COS(2*E166)))</f>
        <v/>
      </c>
      <c r="G166" s="195">
        <f>IF(B166="","",SIN(2*E166)/(COSH(2*D166)+COS(2*E166)))</f>
        <v/>
      </c>
      <c r="H166" s="195">
        <f>IF(B166="","",'入力・概要'!$B$34)</f>
        <v/>
      </c>
      <c r="I166" s="195">
        <f>IF(B166="","",C166*'入力・概要'!$B$35*1E-9)</f>
        <v/>
      </c>
      <c r="J166" s="195">
        <f>IF(B166="","",H166+'入力・概要'!$B$30*F166)</f>
        <v/>
      </c>
      <c r="K166" s="195">
        <f>IF(B166="","",I166+'入力・概要'!$B$30*G166)</f>
        <v/>
      </c>
      <c r="L166" s="195">
        <f>IF(B166="","",'入力・概要'!$B$30+H166*F166-I166*G166)</f>
        <v/>
      </c>
      <c r="M166" s="195">
        <f>IF(B166="","",H166*G166+I166*F166)</f>
        <v/>
      </c>
      <c r="N166" s="195">
        <f>IF(B166="","",'入力・概要'!$B$30*(J166*L166+K166*M166)/(L166^2+M166^2))</f>
        <v/>
      </c>
      <c r="O166" s="195">
        <f>IF(B166="","",'入力・概要'!$B$30*(K166*L166-J166*M166)/(L166^2+M166^2))</f>
        <v/>
      </c>
      <c r="P166" s="195">
        <f>IF(B166="","",N166+'入力・概要'!$B$36)</f>
        <v/>
      </c>
      <c r="Q166" s="195">
        <f>IF(B166="","",O166+C166*'入力・概要'!$B$37*1E-9)</f>
        <v/>
      </c>
      <c r="R166" s="195">
        <f>IF(B166="","",SQRT(P166^2+Q166^2))</f>
        <v/>
      </c>
      <c r="S166" s="195">
        <f>IF(B166="","",IF(P166&gt;0,DEGREES(ATAN(Q166/P166)),IF(P166&lt;0,IF(Q166&gt;=0,DEGREES(ATAN(Q166/P166))+180,DEGREES(ATAN(Q166/P166))-180),IF(Q166&gt;0,90,IF(Q166&lt;0,-90,0)))))</f>
        <v/>
      </c>
      <c r="T166" s="195">
        <f>IF(B166="","",LOG10(B166))</f>
        <v/>
      </c>
      <c r="U166" s="195">
        <f>IF(R166="","",LOG10(MAX(R166,1E-12)))</f>
        <v/>
      </c>
    </row>
    <row r="167">
      <c r="A167" t="n">
        <v>164</v>
      </c>
      <c r="B167" s="196">
        <f>IF(A167&lt;='入力・概要'!$B$40,10^(LOG10('入力・概要'!$B$38)+(A167-1)*(LOG10('入力・概要'!$B$39)-LOG10('入力・概要'!$B$38))/('入力・概要'!$B$40-1)),"")</f>
        <v/>
      </c>
      <c r="C167" s="195">
        <f>IF(B167="","",2*PI()*B167)</f>
        <v/>
      </c>
      <c r="D167" s="195">
        <f>IF(B167="","",ATANH(MIN(0.999999,(2*'入力・概要'!$B$17*'入力・概要'!$B$6)/'入力・概要'!$B$30))+'入力・概要'!$B$33*SQRT(B167/1E6)+(2*PI()*B167*'入力・概要'!$B$6/(299792458*'入力・概要'!$B$31))*'入力・概要'!$B$32/2)</f>
        <v/>
      </c>
      <c r="E167" s="195">
        <f>IF(B167="","",2*PI()*B167*'入力・概要'!$B$6/(299792458*'入力・概要'!$B$31))</f>
        <v/>
      </c>
      <c r="F167" s="195">
        <f>IF(B167="","",SINH(2*D167)/(COSH(2*D167)+COS(2*E167)))</f>
        <v/>
      </c>
      <c r="G167" s="195">
        <f>IF(B167="","",SIN(2*E167)/(COSH(2*D167)+COS(2*E167)))</f>
        <v/>
      </c>
      <c r="H167" s="195">
        <f>IF(B167="","",'入力・概要'!$B$34)</f>
        <v/>
      </c>
      <c r="I167" s="195">
        <f>IF(B167="","",C167*'入力・概要'!$B$35*1E-9)</f>
        <v/>
      </c>
      <c r="J167" s="195">
        <f>IF(B167="","",H167+'入力・概要'!$B$30*F167)</f>
        <v/>
      </c>
      <c r="K167" s="195">
        <f>IF(B167="","",I167+'入力・概要'!$B$30*G167)</f>
        <v/>
      </c>
      <c r="L167" s="195">
        <f>IF(B167="","",'入力・概要'!$B$30+H167*F167-I167*G167)</f>
        <v/>
      </c>
      <c r="M167" s="195">
        <f>IF(B167="","",H167*G167+I167*F167)</f>
        <v/>
      </c>
      <c r="N167" s="195">
        <f>IF(B167="","",'入力・概要'!$B$30*(J167*L167+K167*M167)/(L167^2+M167^2))</f>
        <v/>
      </c>
      <c r="O167" s="195">
        <f>IF(B167="","",'入力・概要'!$B$30*(K167*L167-J167*M167)/(L167^2+M167^2))</f>
        <v/>
      </c>
      <c r="P167" s="195">
        <f>IF(B167="","",N167+'入力・概要'!$B$36)</f>
        <v/>
      </c>
      <c r="Q167" s="195">
        <f>IF(B167="","",O167+C167*'入力・概要'!$B$37*1E-9)</f>
        <v/>
      </c>
      <c r="R167" s="195">
        <f>IF(B167="","",SQRT(P167^2+Q167^2))</f>
        <v/>
      </c>
      <c r="S167" s="195">
        <f>IF(B167="","",IF(P167&gt;0,DEGREES(ATAN(Q167/P167)),IF(P167&lt;0,IF(Q167&gt;=0,DEGREES(ATAN(Q167/P167))+180,DEGREES(ATAN(Q167/P167))-180),IF(Q167&gt;0,90,IF(Q167&lt;0,-90,0)))))</f>
        <v/>
      </c>
      <c r="T167" s="195">
        <f>IF(B167="","",LOG10(B167))</f>
        <v/>
      </c>
      <c r="U167" s="195">
        <f>IF(R167="","",LOG10(MAX(R167,1E-12)))</f>
        <v/>
      </c>
    </row>
    <row r="168">
      <c r="A168" t="n">
        <v>165</v>
      </c>
      <c r="B168" s="196">
        <f>IF(A168&lt;='入力・概要'!$B$40,10^(LOG10('入力・概要'!$B$38)+(A168-1)*(LOG10('入力・概要'!$B$39)-LOG10('入力・概要'!$B$38))/('入力・概要'!$B$40-1)),"")</f>
        <v/>
      </c>
      <c r="C168" s="195">
        <f>IF(B168="","",2*PI()*B168)</f>
        <v/>
      </c>
      <c r="D168" s="195">
        <f>IF(B168="","",ATANH(MIN(0.999999,(2*'入力・概要'!$B$17*'入力・概要'!$B$6)/'入力・概要'!$B$30))+'入力・概要'!$B$33*SQRT(B168/1E6)+(2*PI()*B168*'入力・概要'!$B$6/(299792458*'入力・概要'!$B$31))*'入力・概要'!$B$32/2)</f>
        <v/>
      </c>
      <c r="E168" s="195">
        <f>IF(B168="","",2*PI()*B168*'入力・概要'!$B$6/(299792458*'入力・概要'!$B$31))</f>
        <v/>
      </c>
      <c r="F168" s="195">
        <f>IF(B168="","",SINH(2*D168)/(COSH(2*D168)+COS(2*E168)))</f>
        <v/>
      </c>
      <c r="G168" s="195">
        <f>IF(B168="","",SIN(2*E168)/(COSH(2*D168)+COS(2*E168)))</f>
        <v/>
      </c>
      <c r="H168" s="195">
        <f>IF(B168="","",'入力・概要'!$B$34)</f>
        <v/>
      </c>
      <c r="I168" s="195">
        <f>IF(B168="","",C168*'入力・概要'!$B$35*1E-9)</f>
        <v/>
      </c>
      <c r="J168" s="195">
        <f>IF(B168="","",H168+'入力・概要'!$B$30*F168)</f>
        <v/>
      </c>
      <c r="K168" s="195">
        <f>IF(B168="","",I168+'入力・概要'!$B$30*G168)</f>
        <v/>
      </c>
      <c r="L168" s="195">
        <f>IF(B168="","",'入力・概要'!$B$30+H168*F168-I168*G168)</f>
        <v/>
      </c>
      <c r="M168" s="195">
        <f>IF(B168="","",H168*G168+I168*F168)</f>
        <v/>
      </c>
      <c r="N168" s="195">
        <f>IF(B168="","",'入力・概要'!$B$30*(J168*L168+K168*M168)/(L168^2+M168^2))</f>
        <v/>
      </c>
      <c r="O168" s="195">
        <f>IF(B168="","",'入力・概要'!$B$30*(K168*L168-J168*M168)/(L168^2+M168^2))</f>
        <v/>
      </c>
      <c r="P168" s="195">
        <f>IF(B168="","",N168+'入力・概要'!$B$36)</f>
        <v/>
      </c>
      <c r="Q168" s="195">
        <f>IF(B168="","",O168+C168*'入力・概要'!$B$37*1E-9)</f>
        <v/>
      </c>
      <c r="R168" s="195">
        <f>IF(B168="","",SQRT(P168^2+Q168^2))</f>
        <v/>
      </c>
      <c r="S168" s="195">
        <f>IF(B168="","",IF(P168&gt;0,DEGREES(ATAN(Q168/P168)),IF(P168&lt;0,IF(Q168&gt;=0,DEGREES(ATAN(Q168/P168))+180,DEGREES(ATAN(Q168/P168))-180),IF(Q168&gt;0,90,IF(Q168&lt;0,-90,0)))))</f>
        <v/>
      </c>
      <c r="T168" s="195">
        <f>IF(B168="","",LOG10(B168))</f>
        <v/>
      </c>
      <c r="U168" s="195">
        <f>IF(R168="","",LOG10(MAX(R168,1E-12)))</f>
        <v/>
      </c>
    </row>
    <row r="169">
      <c r="A169" t="n">
        <v>166</v>
      </c>
      <c r="B169" s="196">
        <f>IF(A169&lt;='入力・概要'!$B$40,10^(LOG10('入力・概要'!$B$38)+(A169-1)*(LOG10('入力・概要'!$B$39)-LOG10('入力・概要'!$B$38))/('入力・概要'!$B$40-1)),"")</f>
        <v/>
      </c>
      <c r="C169" s="195">
        <f>IF(B169="","",2*PI()*B169)</f>
        <v/>
      </c>
      <c r="D169" s="195">
        <f>IF(B169="","",ATANH(MIN(0.999999,(2*'入力・概要'!$B$17*'入力・概要'!$B$6)/'入力・概要'!$B$30))+'入力・概要'!$B$33*SQRT(B169/1E6)+(2*PI()*B169*'入力・概要'!$B$6/(299792458*'入力・概要'!$B$31))*'入力・概要'!$B$32/2)</f>
        <v/>
      </c>
      <c r="E169" s="195">
        <f>IF(B169="","",2*PI()*B169*'入力・概要'!$B$6/(299792458*'入力・概要'!$B$31))</f>
        <v/>
      </c>
      <c r="F169" s="195">
        <f>IF(B169="","",SINH(2*D169)/(COSH(2*D169)+COS(2*E169)))</f>
        <v/>
      </c>
      <c r="G169" s="195">
        <f>IF(B169="","",SIN(2*E169)/(COSH(2*D169)+COS(2*E169)))</f>
        <v/>
      </c>
      <c r="H169" s="195">
        <f>IF(B169="","",'入力・概要'!$B$34)</f>
        <v/>
      </c>
      <c r="I169" s="195">
        <f>IF(B169="","",C169*'入力・概要'!$B$35*1E-9)</f>
        <v/>
      </c>
      <c r="J169" s="195">
        <f>IF(B169="","",H169+'入力・概要'!$B$30*F169)</f>
        <v/>
      </c>
      <c r="K169" s="195">
        <f>IF(B169="","",I169+'入力・概要'!$B$30*G169)</f>
        <v/>
      </c>
      <c r="L169" s="195">
        <f>IF(B169="","",'入力・概要'!$B$30+H169*F169-I169*G169)</f>
        <v/>
      </c>
      <c r="M169" s="195">
        <f>IF(B169="","",H169*G169+I169*F169)</f>
        <v/>
      </c>
      <c r="N169" s="195">
        <f>IF(B169="","",'入力・概要'!$B$30*(J169*L169+K169*M169)/(L169^2+M169^2))</f>
        <v/>
      </c>
      <c r="O169" s="195">
        <f>IF(B169="","",'入力・概要'!$B$30*(K169*L169-J169*M169)/(L169^2+M169^2))</f>
        <v/>
      </c>
      <c r="P169" s="195">
        <f>IF(B169="","",N169+'入力・概要'!$B$36)</f>
        <v/>
      </c>
      <c r="Q169" s="195">
        <f>IF(B169="","",O169+C169*'入力・概要'!$B$37*1E-9)</f>
        <v/>
      </c>
      <c r="R169" s="195">
        <f>IF(B169="","",SQRT(P169^2+Q169^2))</f>
        <v/>
      </c>
      <c r="S169" s="195">
        <f>IF(B169="","",IF(P169&gt;0,DEGREES(ATAN(Q169/P169)),IF(P169&lt;0,IF(Q169&gt;=0,DEGREES(ATAN(Q169/P169))+180,DEGREES(ATAN(Q169/P169))-180),IF(Q169&gt;0,90,IF(Q169&lt;0,-90,0)))))</f>
        <v/>
      </c>
      <c r="T169" s="195">
        <f>IF(B169="","",LOG10(B169))</f>
        <v/>
      </c>
      <c r="U169" s="195">
        <f>IF(R169="","",LOG10(MAX(R169,1E-12)))</f>
        <v/>
      </c>
    </row>
    <row r="170">
      <c r="A170" t="n">
        <v>167</v>
      </c>
      <c r="B170" s="196">
        <f>IF(A170&lt;='入力・概要'!$B$40,10^(LOG10('入力・概要'!$B$38)+(A170-1)*(LOG10('入力・概要'!$B$39)-LOG10('入力・概要'!$B$38))/('入力・概要'!$B$40-1)),"")</f>
        <v/>
      </c>
      <c r="C170" s="195">
        <f>IF(B170="","",2*PI()*B170)</f>
        <v/>
      </c>
      <c r="D170" s="195">
        <f>IF(B170="","",ATANH(MIN(0.999999,(2*'入力・概要'!$B$17*'入力・概要'!$B$6)/'入力・概要'!$B$30))+'入力・概要'!$B$33*SQRT(B170/1E6)+(2*PI()*B170*'入力・概要'!$B$6/(299792458*'入力・概要'!$B$31))*'入力・概要'!$B$32/2)</f>
        <v/>
      </c>
      <c r="E170" s="195">
        <f>IF(B170="","",2*PI()*B170*'入力・概要'!$B$6/(299792458*'入力・概要'!$B$31))</f>
        <v/>
      </c>
      <c r="F170" s="195">
        <f>IF(B170="","",SINH(2*D170)/(COSH(2*D170)+COS(2*E170)))</f>
        <v/>
      </c>
      <c r="G170" s="195">
        <f>IF(B170="","",SIN(2*E170)/(COSH(2*D170)+COS(2*E170)))</f>
        <v/>
      </c>
      <c r="H170" s="195">
        <f>IF(B170="","",'入力・概要'!$B$34)</f>
        <v/>
      </c>
      <c r="I170" s="195">
        <f>IF(B170="","",C170*'入力・概要'!$B$35*1E-9)</f>
        <v/>
      </c>
      <c r="J170" s="195">
        <f>IF(B170="","",H170+'入力・概要'!$B$30*F170)</f>
        <v/>
      </c>
      <c r="K170" s="195">
        <f>IF(B170="","",I170+'入力・概要'!$B$30*G170)</f>
        <v/>
      </c>
      <c r="L170" s="195">
        <f>IF(B170="","",'入力・概要'!$B$30+H170*F170-I170*G170)</f>
        <v/>
      </c>
      <c r="M170" s="195">
        <f>IF(B170="","",H170*G170+I170*F170)</f>
        <v/>
      </c>
      <c r="N170" s="195">
        <f>IF(B170="","",'入力・概要'!$B$30*(J170*L170+K170*M170)/(L170^2+M170^2))</f>
        <v/>
      </c>
      <c r="O170" s="195">
        <f>IF(B170="","",'入力・概要'!$B$30*(K170*L170-J170*M170)/(L170^2+M170^2))</f>
        <v/>
      </c>
      <c r="P170" s="195">
        <f>IF(B170="","",N170+'入力・概要'!$B$36)</f>
        <v/>
      </c>
      <c r="Q170" s="195">
        <f>IF(B170="","",O170+C170*'入力・概要'!$B$37*1E-9)</f>
        <v/>
      </c>
      <c r="R170" s="195">
        <f>IF(B170="","",SQRT(P170^2+Q170^2))</f>
        <v/>
      </c>
      <c r="S170" s="195">
        <f>IF(B170="","",IF(P170&gt;0,DEGREES(ATAN(Q170/P170)),IF(P170&lt;0,IF(Q170&gt;=0,DEGREES(ATAN(Q170/P170))+180,DEGREES(ATAN(Q170/P170))-180),IF(Q170&gt;0,90,IF(Q170&lt;0,-90,0)))))</f>
        <v/>
      </c>
      <c r="T170" s="195">
        <f>IF(B170="","",LOG10(B170))</f>
        <v/>
      </c>
      <c r="U170" s="195">
        <f>IF(R170="","",LOG10(MAX(R170,1E-12)))</f>
        <v/>
      </c>
    </row>
    <row r="171">
      <c r="A171" t="n">
        <v>168</v>
      </c>
      <c r="B171" s="196">
        <f>IF(A171&lt;='入力・概要'!$B$40,10^(LOG10('入力・概要'!$B$38)+(A171-1)*(LOG10('入力・概要'!$B$39)-LOG10('入力・概要'!$B$38))/('入力・概要'!$B$40-1)),"")</f>
        <v/>
      </c>
      <c r="C171" s="195">
        <f>IF(B171="","",2*PI()*B171)</f>
        <v/>
      </c>
      <c r="D171" s="195">
        <f>IF(B171="","",ATANH(MIN(0.999999,(2*'入力・概要'!$B$17*'入力・概要'!$B$6)/'入力・概要'!$B$30))+'入力・概要'!$B$33*SQRT(B171/1E6)+(2*PI()*B171*'入力・概要'!$B$6/(299792458*'入力・概要'!$B$31))*'入力・概要'!$B$32/2)</f>
        <v/>
      </c>
      <c r="E171" s="195">
        <f>IF(B171="","",2*PI()*B171*'入力・概要'!$B$6/(299792458*'入力・概要'!$B$31))</f>
        <v/>
      </c>
      <c r="F171" s="195">
        <f>IF(B171="","",SINH(2*D171)/(COSH(2*D171)+COS(2*E171)))</f>
        <v/>
      </c>
      <c r="G171" s="195">
        <f>IF(B171="","",SIN(2*E171)/(COSH(2*D171)+COS(2*E171)))</f>
        <v/>
      </c>
      <c r="H171" s="195">
        <f>IF(B171="","",'入力・概要'!$B$34)</f>
        <v/>
      </c>
      <c r="I171" s="195">
        <f>IF(B171="","",C171*'入力・概要'!$B$35*1E-9)</f>
        <v/>
      </c>
      <c r="J171" s="195">
        <f>IF(B171="","",H171+'入力・概要'!$B$30*F171)</f>
        <v/>
      </c>
      <c r="K171" s="195">
        <f>IF(B171="","",I171+'入力・概要'!$B$30*G171)</f>
        <v/>
      </c>
      <c r="L171" s="195">
        <f>IF(B171="","",'入力・概要'!$B$30+H171*F171-I171*G171)</f>
        <v/>
      </c>
      <c r="M171" s="195">
        <f>IF(B171="","",H171*G171+I171*F171)</f>
        <v/>
      </c>
      <c r="N171" s="195">
        <f>IF(B171="","",'入力・概要'!$B$30*(J171*L171+K171*M171)/(L171^2+M171^2))</f>
        <v/>
      </c>
      <c r="O171" s="195">
        <f>IF(B171="","",'入力・概要'!$B$30*(K171*L171-J171*M171)/(L171^2+M171^2))</f>
        <v/>
      </c>
      <c r="P171" s="195">
        <f>IF(B171="","",N171+'入力・概要'!$B$36)</f>
        <v/>
      </c>
      <c r="Q171" s="195">
        <f>IF(B171="","",O171+C171*'入力・概要'!$B$37*1E-9)</f>
        <v/>
      </c>
      <c r="R171" s="195">
        <f>IF(B171="","",SQRT(P171^2+Q171^2))</f>
        <v/>
      </c>
      <c r="S171" s="195">
        <f>IF(B171="","",IF(P171&gt;0,DEGREES(ATAN(Q171/P171)),IF(P171&lt;0,IF(Q171&gt;=0,DEGREES(ATAN(Q171/P171))+180,DEGREES(ATAN(Q171/P171))-180),IF(Q171&gt;0,90,IF(Q171&lt;0,-90,0)))))</f>
        <v/>
      </c>
      <c r="T171" s="195">
        <f>IF(B171="","",LOG10(B171))</f>
        <v/>
      </c>
      <c r="U171" s="195">
        <f>IF(R171="","",LOG10(MAX(R171,1E-12)))</f>
        <v/>
      </c>
    </row>
    <row r="172">
      <c r="A172" t="n">
        <v>169</v>
      </c>
      <c r="B172" s="196">
        <f>IF(A172&lt;='入力・概要'!$B$40,10^(LOG10('入力・概要'!$B$38)+(A172-1)*(LOG10('入力・概要'!$B$39)-LOG10('入力・概要'!$B$38))/('入力・概要'!$B$40-1)),"")</f>
        <v/>
      </c>
      <c r="C172" s="195">
        <f>IF(B172="","",2*PI()*B172)</f>
        <v/>
      </c>
      <c r="D172" s="195">
        <f>IF(B172="","",ATANH(MIN(0.999999,(2*'入力・概要'!$B$17*'入力・概要'!$B$6)/'入力・概要'!$B$30))+'入力・概要'!$B$33*SQRT(B172/1E6)+(2*PI()*B172*'入力・概要'!$B$6/(299792458*'入力・概要'!$B$31))*'入力・概要'!$B$32/2)</f>
        <v/>
      </c>
      <c r="E172" s="195">
        <f>IF(B172="","",2*PI()*B172*'入力・概要'!$B$6/(299792458*'入力・概要'!$B$31))</f>
        <v/>
      </c>
      <c r="F172" s="195">
        <f>IF(B172="","",SINH(2*D172)/(COSH(2*D172)+COS(2*E172)))</f>
        <v/>
      </c>
      <c r="G172" s="195">
        <f>IF(B172="","",SIN(2*E172)/(COSH(2*D172)+COS(2*E172)))</f>
        <v/>
      </c>
      <c r="H172" s="195">
        <f>IF(B172="","",'入力・概要'!$B$34)</f>
        <v/>
      </c>
      <c r="I172" s="195">
        <f>IF(B172="","",C172*'入力・概要'!$B$35*1E-9)</f>
        <v/>
      </c>
      <c r="J172" s="195">
        <f>IF(B172="","",H172+'入力・概要'!$B$30*F172)</f>
        <v/>
      </c>
      <c r="K172" s="195">
        <f>IF(B172="","",I172+'入力・概要'!$B$30*G172)</f>
        <v/>
      </c>
      <c r="L172" s="195">
        <f>IF(B172="","",'入力・概要'!$B$30+H172*F172-I172*G172)</f>
        <v/>
      </c>
      <c r="M172" s="195">
        <f>IF(B172="","",H172*G172+I172*F172)</f>
        <v/>
      </c>
      <c r="N172" s="195">
        <f>IF(B172="","",'入力・概要'!$B$30*(J172*L172+K172*M172)/(L172^2+M172^2))</f>
        <v/>
      </c>
      <c r="O172" s="195">
        <f>IF(B172="","",'入力・概要'!$B$30*(K172*L172-J172*M172)/(L172^2+M172^2))</f>
        <v/>
      </c>
      <c r="P172" s="195">
        <f>IF(B172="","",N172+'入力・概要'!$B$36)</f>
        <v/>
      </c>
      <c r="Q172" s="195">
        <f>IF(B172="","",O172+C172*'入力・概要'!$B$37*1E-9)</f>
        <v/>
      </c>
      <c r="R172" s="195">
        <f>IF(B172="","",SQRT(P172^2+Q172^2))</f>
        <v/>
      </c>
      <c r="S172" s="195">
        <f>IF(B172="","",IF(P172&gt;0,DEGREES(ATAN(Q172/P172)),IF(P172&lt;0,IF(Q172&gt;=0,DEGREES(ATAN(Q172/P172))+180,DEGREES(ATAN(Q172/P172))-180),IF(Q172&gt;0,90,IF(Q172&lt;0,-90,0)))))</f>
        <v/>
      </c>
      <c r="T172" s="195">
        <f>IF(B172="","",LOG10(B172))</f>
        <v/>
      </c>
      <c r="U172" s="195">
        <f>IF(R172="","",LOG10(MAX(R172,1E-12)))</f>
        <v/>
      </c>
    </row>
    <row r="173">
      <c r="A173" t="n">
        <v>170</v>
      </c>
      <c r="B173" s="196">
        <f>IF(A173&lt;='入力・概要'!$B$40,10^(LOG10('入力・概要'!$B$38)+(A173-1)*(LOG10('入力・概要'!$B$39)-LOG10('入力・概要'!$B$38))/('入力・概要'!$B$40-1)),"")</f>
        <v/>
      </c>
      <c r="C173" s="195">
        <f>IF(B173="","",2*PI()*B173)</f>
        <v/>
      </c>
      <c r="D173" s="195">
        <f>IF(B173="","",ATANH(MIN(0.999999,(2*'入力・概要'!$B$17*'入力・概要'!$B$6)/'入力・概要'!$B$30))+'入力・概要'!$B$33*SQRT(B173/1E6)+(2*PI()*B173*'入力・概要'!$B$6/(299792458*'入力・概要'!$B$31))*'入力・概要'!$B$32/2)</f>
        <v/>
      </c>
      <c r="E173" s="195">
        <f>IF(B173="","",2*PI()*B173*'入力・概要'!$B$6/(299792458*'入力・概要'!$B$31))</f>
        <v/>
      </c>
      <c r="F173" s="195">
        <f>IF(B173="","",SINH(2*D173)/(COSH(2*D173)+COS(2*E173)))</f>
        <v/>
      </c>
      <c r="G173" s="195">
        <f>IF(B173="","",SIN(2*E173)/(COSH(2*D173)+COS(2*E173)))</f>
        <v/>
      </c>
      <c r="H173" s="195">
        <f>IF(B173="","",'入力・概要'!$B$34)</f>
        <v/>
      </c>
      <c r="I173" s="195">
        <f>IF(B173="","",C173*'入力・概要'!$B$35*1E-9)</f>
        <v/>
      </c>
      <c r="J173" s="195">
        <f>IF(B173="","",H173+'入力・概要'!$B$30*F173)</f>
        <v/>
      </c>
      <c r="K173" s="195">
        <f>IF(B173="","",I173+'入力・概要'!$B$30*G173)</f>
        <v/>
      </c>
      <c r="L173" s="195">
        <f>IF(B173="","",'入力・概要'!$B$30+H173*F173-I173*G173)</f>
        <v/>
      </c>
      <c r="M173" s="195">
        <f>IF(B173="","",H173*G173+I173*F173)</f>
        <v/>
      </c>
      <c r="N173" s="195">
        <f>IF(B173="","",'入力・概要'!$B$30*(J173*L173+K173*M173)/(L173^2+M173^2))</f>
        <v/>
      </c>
      <c r="O173" s="195">
        <f>IF(B173="","",'入力・概要'!$B$30*(K173*L173-J173*M173)/(L173^2+M173^2))</f>
        <v/>
      </c>
      <c r="P173" s="195">
        <f>IF(B173="","",N173+'入力・概要'!$B$36)</f>
        <v/>
      </c>
      <c r="Q173" s="195">
        <f>IF(B173="","",O173+C173*'入力・概要'!$B$37*1E-9)</f>
        <v/>
      </c>
      <c r="R173" s="195">
        <f>IF(B173="","",SQRT(P173^2+Q173^2))</f>
        <v/>
      </c>
      <c r="S173" s="195">
        <f>IF(B173="","",IF(P173&gt;0,DEGREES(ATAN(Q173/P173)),IF(P173&lt;0,IF(Q173&gt;=0,DEGREES(ATAN(Q173/P173))+180,DEGREES(ATAN(Q173/P173))-180),IF(Q173&gt;0,90,IF(Q173&lt;0,-90,0)))))</f>
        <v/>
      </c>
      <c r="T173" s="195">
        <f>IF(B173="","",LOG10(B173))</f>
        <v/>
      </c>
      <c r="U173" s="195">
        <f>IF(R173="","",LOG10(MAX(R173,1E-12)))</f>
        <v/>
      </c>
    </row>
    <row r="174">
      <c r="A174" t="n">
        <v>171</v>
      </c>
      <c r="B174" s="196">
        <f>IF(A174&lt;='入力・概要'!$B$40,10^(LOG10('入力・概要'!$B$38)+(A174-1)*(LOG10('入力・概要'!$B$39)-LOG10('入力・概要'!$B$38))/('入力・概要'!$B$40-1)),"")</f>
        <v/>
      </c>
      <c r="C174" s="195">
        <f>IF(B174="","",2*PI()*B174)</f>
        <v/>
      </c>
      <c r="D174" s="195">
        <f>IF(B174="","",ATANH(MIN(0.999999,(2*'入力・概要'!$B$17*'入力・概要'!$B$6)/'入力・概要'!$B$30))+'入力・概要'!$B$33*SQRT(B174/1E6)+(2*PI()*B174*'入力・概要'!$B$6/(299792458*'入力・概要'!$B$31))*'入力・概要'!$B$32/2)</f>
        <v/>
      </c>
      <c r="E174" s="195">
        <f>IF(B174="","",2*PI()*B174*'入力・概要'!$B$6/(299792458*'入力・概要'!$B$31))</f>
        <v/>
      </c>
      <c r="F174" s="195">
        <f>IF(B174="","",SINH(2*D174)/(COSH(2*D174)+COS(2*E174)))</f>
        <v/>
      </c>
      <c r="G174" s="195">
        <f>IF(B174="","",SIN(2*E174)/(COSH(2*D174)+COS(2*E174)))</f>
        <v/>
      </c>
      <c r="H174" s="195">
        <f>IF(B174="","",'入力・概要'!$B$34)</f>
        <v/>
      </c>
      <c r="I174" s="195">
        <f>IF(B174="","",C174*'入力・概要'!$B$35*1E-9)</f>
        <v/>
      </c>
      <c r="J174" s="195">
        <f>IF(B174="","",H174+'入力・概要'!$B$30*F174)</f>
        <v/>
      </c>
      <c r="K174" s="195">
        <f>IF(B174="","",I174+'入力・概要'!$B$30*G174)</f>
        <v/>
      </c>
      <c r="L174" s="195">
        <f>IF(B174="","",'入力・概要'!$B$30+H174*F174-I174*G174)</f>
        <v/>
      </c>
      <c r="M174" s="195">
        <f>IF(B174="","",H174*G174+I174*F174)</f>
        <v/>
      </c>
      <c r="N174" s="195">
        <f>IF(B174="","",'入力・概要'!$B$30*(J174*L174+K174*M174)/(L174^2+M174^2))</f>
        <v/>
      </c>
      <c r="O174" s="195">
        <f>IF(B174="","",'入力・概要'!$B$30*(K174*L174-J174*M174)/(L174^2+M174^2))</f>
        <v/>
      </c>
      <c r="P174" s="195">
        <f>IF(B174="","",N174+'入力・概要'!$B$36)</f>
        <v/>
      </c>
      <c r="Q174" s="195">
        <f>IF(B174="","",O174+C174*'入力・概要'!$B$37*1E-9)</f>
        <v/>
      </c>
      <c r="R174" s="195">
        <f>IF(B174="","",SQRT(P174^2+Q174^2))</f>
        <v/>
      </c>
      <c r="S174" s="195">
        <f>IF(B174="","",IF(P174&gt;0,DEGREES(ATAN(Q174/P174)),IF(P174&lt;0,IF(Q174&gt;=0,DEGREES(ATAN(Q174/P174))+180,DEGREES(ATAN(Q174/P174))-180),IF(Q174&gt;0,90,IF(Q174&lt;0,-90,0)))))</f>
        <v/>
      </c>
      <c r="T174" s="195">
        <f>IF(B174="","",LOG10(B174))</f>
        <v/>
      </c>
      <c r="U174" s="195">
        <f>IF(R174="","",LOG10(MAX(R174,1E-12)))</f>
        <v/>
      </c>
    </row>
    <row r="175">
      <c r="A175" t="n">
        <v>172</v>
      </c>
      <c r="B175" s="196">
        <f>IF(A175&lt;='入力・概要'!$B$40,10^(LOG10('入力・概要'!$B$38)+(A175-1)*(LOG10('入力・概要'!$B$39)-LOG10('入力・概要'!$B$38))/('入力・概要'!$B$40-1)),"")</f>
        <v/>
      </c>
      <c r="C175" s="195">
        <f>IF(B175="","",2*PI()*B175)</f>
        <v/>
      </c>
      <c r="D175" s="195">
        <f>IF(B175="","",ATANH(MIN(0.999999,(2*'入力・概要'!$B$17*'入力・概要'!$B$6)/'入力・概要'!$B$30))+'入力・概要'!$B$33*SQRT(B175/1E6)+(2*PI()*B175*'入力・概要'!$B$6/(299792458*'入力・概要'!$B$31))*'入力・概要'!$B$32/2)</f>
        <v/>
      </c>
      <c r="E175" s="195">
        <f>IF(B175="","",2*PI()*B175*'入力・概要'!$B$6/(299792458*'入力・概要'!$B$31))</f>
        <v/>
      </c>
      <c r="F175" s="195">
        <f>IF(B175="","",SINH(2*D175)/(COSH(2*D175)+COS(2*E175)))</f>
        <v/>
      </c>
      <c r="G175" s="195">
        <f>IF(B175="","",SIN(2*E175)/(COSH(2*D175)+COS(2*E175)))</f>
        <v/>
      </c>
      <c r="H175" s="195">
        <f>IF(B175="","",'入力・概要'!$B$34)</f>
        <v/>
      </c>
      <c r="I175" s="195">
        <f>IF(B175="","",C175*'入力・概要'!$B$35*1E-9)</f>
        <v/>
      </c>
      <c r="J175" s="195">
        <f>IF(B175="","",H175+'入力・概要'!$B$30*F175)</f>
        <v/>
      </c>
      <c r="K175" s="195">
        <f>IF(B175="","",I175+'入力・概要'!$B$30*G175)</f>
        <v/>
      </c>
      <c r="L175" s="195">
        <f>IF(B175="","",'入力・概要'!$B$30+H175*F175-I175*G175)</f>
        <v/>
      </c>
      <c r="M175" s="195">
        <f>IF(B175="","",H175*G175+I175*F175)</f>
        <v/>
      </c>
      <c r="N175" s="195">
        <f>IF(B175="","",'入力・概要'!$B$30*(J175*L175+K175*M175)/(L175^2+M175^2))</f>
        <v/>
      </c>
      <c r="O175" s="195">
        <f>IF(B175="","",'入力・概要'!$B$30*(K175*L175-J175*M175)/(L175^2+M175^2))</f>
        <v/>
      </c>
      <c r="P175" s="195">
        <f>IF(B175="","",N175+'入力・概要'!$B$36)</f>
        <v/>
      </c>
      <c r="Q175" s="195">
        <f>IF(B175="","",O175+C175*'入力・概要'!$B$37*1E-9)</f>
        <v/>
      </c>
      <c r="R175" s="195">
        <f>IF(B175="","",SQRT(P175^2+Q175^2))</f>
        <v/>
      </c>
      <c r="S175" s="195">
        <f>IF(B175="","",IF(P175&gt;0,DEGREES(ATAN(Q175/P175)),IF(P175&lt;0,IF(Q175&gt;=0,DEGREES(ATAN(Q175/P175))+180,DEGREES(ATAN(Q175/P175))-180),IF(Q175&gt;0,90,IF(Q175&lt;0,-90,0)))))</f>
        <v/>
      </c>
      <c r="T175" s="195">
        <f>IF(B175="","",LOG10(B175))</f>
        <v/>
      </c>
      <c r="U175" s="195">
        <f>IF(R175="","",LOG10(MAX(R175,1E-12)))</f>
        <v/>
      </c>
    </row>
    <row r="176">
      <c r="A176" t="n">
        <v>173</v>
      </c>
      <c r="B176" s="196">
        <f>IF(A176&lt;='入力・概要'!$B$40,10^(LOG10('入力・概要'!$B$38)+(A176-1)*(LOG10('入力・概要'!$B$39)-LOG10('入力・概要'!$B$38))/('入力・概要'!$B$40-1)),"")</f>
        <v/>
      </c>
      <c r="C176" s="195">
        <f>IF(B176="","",2*PI()*B176)</f>
        <v/>
      </c>
      <c r="D176" s="195">
        <f>IF(B176="","",ATANH(MIN(0.999999,(2*'入力・概要'!$B$17*'入力・概要'!$B$6)/'入力・概要'!$B$30))+'入力・概要'!$B$33*SQRT(B176/1E6)+(2*PI()*B176*'入力・概要'!$B$6/(299792458*'入力・概要'!$B$31))*'入力・概要'!$B$32/2)</f>
        <v/>
      </c>
      <c r="E176" s="195">
        <f>IF(B176="","",2*PI()*B176*'入力・概要'!$B$6/(299792458*'入力・概要'!$B$31))</f>
        <v/>
      </c>
      <c r="F176" s="195">
        <f>IF(B176="","",SINH(2*D176)/(COSH(2*D176)+COS(2*E176)))</f>
        <v/>
      </c>
      <c r="G176" s="195">
        <f>IF(B176="","",SIN(2*E176)/(COSH(2*D176)+COS(2*E176)))</f>
        <v/>
      </c>
      <c r="H176" s="195">
        <f>IF(B176="","",'入力・概要'!$B$34)</f>
        <v/>
      </c>
      <c r="I176" s="195">
        <f>IF(B176="","",C176*'入力・概要'!$B$35*1E-9)</f>
        <v/>
      </c>
      <c r="J176" s="195">
        <f>IF(B176="","",H176+'入力・概要'!$B$30*F176)</f>
        <v/>
      </c>
      <c r="K176" s="195">
        <f>IF(B176="","",I176+'入力・概要'!$B$30*G176)</f>
        <v/>
      </c>
      <c r="L176" s="195">
        <f>IF(B176="","",'入力・概要'!$B$30+H176*F176-I176*G176)</f>
        <v/>
      </c>
      <c r="M176" s="195">
        <f>IF(B176="","",H176*G176+I176*F176)</f>
        <v/>
      </c>
      <c r="N176" s="195">
        <f>IF(B176="","",'入力・概要'!$B$30*(J176*L176+K176*M176)/(L176^2+M176^2))</f>
        <v/>
      </c>
      <c r="O176" s="195">
        <f>IF(B176="","",'入力・概要'!$B$30*(K176*L176-J176*M176)/(L176^2+M176^2))</f>
        <v/>
      </c>
      <c r="P176" s="195">
        <f>IF(B176="","",N176+'入力・概要'!$B$36)</f>
        <v/>
      </c>
      <c r="Q176" s="195">
        <f>IF(B176="","",O176+C176*'入力・概要'!$B$37*1E-9)</f>
        <v/>
      </c>
      <c r="R176" s="195">
        <f>IF(B176="","",SQRT(P176^2+Q176^2))</f>
        <v/>
      </c>
      <c r="S176" s="195">
        <f>IF(B176="","",IF(P176&gt;0,DEGREES(ATAN(Q176/P176)),IF(P176&lt;0,IF(Q176&gt;=0,DEGREES(ATAN(Q176/P176))+180,DEGREES(ATAN(Q176/P176))-180),IF(Q176&gt;0,90,IF(Q176&lt;0,-90,0)))))</f>
        <v/>
      </c>
      <c r="T176" s="195">
        <f>IF(B176="","",LOG10(B176))</f>
        <v/>
      </c>
      <c r="U176" s="195">
        <f>IF(R176="","",LOG10(MAX(R176,1E-12)))</f>
        <v/>
      </c>
    </row>
    <row r="177">
      <c r="A177" t="n">
        <v>174</v>
      </c>
      <c r="B177" s="196">
        <f>IF(A177&lt;='入力・概要'!$B$40,10^(LOG10('入力・概要'!$B$38)+(A177-1)*(LOG10('入力・概要'!$B$39)-LOG10('入力・概要'!$B$38))/('入力・概要'!$B$40-1)),"")</f>
        <v/>
      </c>
      <c r="C177" s="195">
        <f>IF(B177="","",2*PI()*B177)</f>
        <v/>
      </c>
      <c r="D177" s="195">
        <f>IF(B177="","",ATANH(MIN(0.999999,(2*'入力・概要'!$B$17*'入力・概要'!$B$6)/'入力・概要'!$B$30))+'入力・概要'!$B$33*SQRT(B177/1E6)+(2*PI()*B177*'入力・概要'!$B$6/(299792458*'入力・概要'!$B$31))*'入力・概要'!$B$32/2)</f>
        <v/>
      </c>
      <c r="E177" s="195">
        <f>IF(B177="","",2*PI()*B177*'入力・概要'!$B$6/(299792458*'入力・概要'!$B$31))</f>
        <v/>
      </c>
      <c r="F177" s="195">
        <f>IF(B177="","",SINH(2*D177)/(COSH(2*D177)+COS(2*E177)))</f>
        <v/>
      </c>
      <c r="G177" s="195">
        <f>IF(B177="","",SIN(2*E177)/(COSH(2*D177)+COS(2*E177)))</f>
        <v/>
      </c>
      <c r="H177" s="195">
        <f>IF(B177="","",'入力・概要'!$B$34)</f>
        <v/>
      </c>
      <c r="I177" s="195">
        <f>IF(B177="","",C177*'入力・概要'!$B$35*1E-9)</f>
        <v/>
      </c>
      <c r="J177" s="195">
        <f>IF(B177="","",H177+'入力・概要'!$B$30*F177)</f>
        <v/>
      </c>
      <c r="K177" s="195">
        <f>IF(B177="","",I177+'入力・概要'!$B$30*G177)</f>
        <v/>
      </c>
      <c r="L177" s="195">
        <f>IF(B177="","",'入力・概要'!$B$30+H177*F177-I177*G177)</f>
        <v/>
      </c>
      <c r="M177" s="195">
        <f>IF(B177="","",H177*G177+I177*F177)</f>
        <v/>
      </c>
      <c r="N177" s="195">
        <f>IF(B177="","",'入力・概要'!$B$30*(J177*L177+K177*M177)/(L177^2+M177^2))</f>
        <v/>
      </c>
      <c r="O177" s="195">
        <f>IF(B177="","",'入力・概要'!$B$30*(K177*L177-J177*M177)/(L177^2+M177^2))</f>
        <v/>
      </c>
      <c r="P177" s="195">
        <f>IF(B177="","",N177+'入力・概要'!$B$36)</f>
        <v/>
      </c>
      <c r="Q177" s="195">
        <f>IF(B177="","",O177+C177*'入力・概要'!$B$37*1E-9)</f>
        <v/>
      </c>
      <c r="R177" s="195">
        <f>IF(B177="","",SQRT(P177^2+Q177^2))</f>
        <v/>
      </c>
      <c r="S177" s="195">
        <f>IF(B177="","",IF(P177&gt;0,DEGREES(ATAN(Q177/P177)),IF(P177&lt;0,IF(Q177&gt;=0,DEGREES(ATAN(Q177/P177))+180,DEGREES(ATAN(Q177/P177))-180),IF(Q177&gt;0,90,IF(Q177&lt;0,-90,0)))))</f>
        <v/>
      </c>
      <c r="T177" s="195">
        <f>IF(B177="","",LOG10(B177))</f>
        <v/>
      </c>
      <c r="U177" s="195">
        <f>IF(R177="","",LOG10(MAX(R177,1E-12)))</f>
        <v/>
      </c>
    </row>
    <row r="178">
      <c r="A178" t="n">
        <v>175</v>
      </c>
      <c r="B178" s="196">
        <f>IF(A178&lt;='入力・概要'!$B$40,10^(LOG10('入力・概要'!$B$38)+(A178-1)*(LOG10('入力・概要'!$B$39)-LOG10('入力・概要'!$B$38))/('入力・概要'!$B$40-1)),"")</f>
        <v/>
      </c>
      <c r="C178" s="195">
        <f>IF(B178="","",2*PI()*B178)</f>
        <v/>
      </c>
      <c r="D178" s="195">
        <f>IF(B178="","",ATANH(MIN(0.999999,(2*'入力・概要'!$B$17*'入力・概要'!$B$6)/'入力・概要'!$B$30))+'入力・概要'!$B$33*SQRT(B178/1E6)+(2*PI()*B178*'入力・概要'!$B$6/(299792458*'入力・概要'!$B$31))*'入力・概要'!$B$32/2)</f>
        <v/>
      </c>
      <c r="E178" s="195">
        <f>IF(B178="","",2*PI()*B178*'入力・概要'!$B$6/(299792458*'入力・概要'!$B$31))</f>
        <v/>
      </c>
      <c r="F178" s="195">
        <f>IF(B178="","",SINH(2*D178)/(COSH(2*D178)+COS(2*E178)))</f>
        <v/>
      </c>
      <c r="G178" s="195">
        <f>IF(B178="","",SIN(2*E178)/(COSH(2*D178)+COS(2*E178)))</f>
        <v/>
      </c>
      <c r="H178" s="195">
        <f>IF(B178="","",'入力・概要'!$B$34)</f>
        <v/>
      </c>
      <c r="I178" s="195">
        <f>IF(B178="","",C178*'入力・概要'!$B$35*1E-9)</f>
        <v/>
      </c>
      <c r="J178" s="195">
        <f>IF(B178="","",H178+'入力・概要'!$B$30*F178)</f>
        <v/>
      </c>
      <c r="K178" s="195">
        <f>IF(B178="","",I178+'入力・概要'!$B$30*G178)</f>
        <v/>
      </c>
      <c r="L178" s="195">
        <f>IF(B178="","",'入力・概要'!$B$30+H178*F178-I178*G178)</f>
        <v/>
      </c>
      <c r="M178" s="195">
        <f>IF(B178="","",H178*G178+I178*F178)</f>
        <v/>
      </c>
      <c r="N178" s="195">
        <f>IF(B178="","",'入力・概要'!$B$30*(J178*L178+K178*M178)/(L178^2+M178^2))</f>
        <v/>
      </c>
      <c r="O178" s="195">
        <f>IF(B178="","",'入力・概要'!$B$30*(K178*L178-J178*M178)/(L178^2+M178^2))</f>
        <v/>
      </c>
      <c r="P178" s="195">
        <f>IF(B178="","",N178+'入力・概要'!$B$36)</f>
        <v/>
      </c>
      <c r="Q178" s="195">
        <f>IF(B178="","",O178+C178*'入力・概要'!$B$37*1E-9)</f>
        <v/>
      </c>
      <c r="R178" s="195">
        <f>IF(B178="","",SQRT(P178^2+Q178^2))</f>
        <v/>
      </c>
      <c r="S178" s="195">
        <f>IF(B178="","",IF(P178&gt;0,DEGREES(ATAN(Q178/P178)),IF(P178&lt;0,IF(Q178&gt;=0,DEGREES(ATAN(Q178/P178))+180,DEGREES(ATAN(Q178/P178))-180),IF(Q178&gt;0,90,IF(Q178&lt;0,-90,0)))))</f>
        <v/>
      </c>
      <c r="T178" s="195">
        <f>IF(B178="","",LOG10(B178))</f>
        <v/>
      </c>
      <c r="U178" s="195">
        <f>IF(R178="","",LOG10(MAX(R178,1E-12)))</f>
        <v/>
      </c>
    </row>
    <row r="179">
      <c r="A179" t="n">
        <v>176</v>
      </c>
      <c r="B179" s="196">
        <f>IF(A179&lt;='入力・概要'!$B$40,10^(LOG10('入力・概要'!$B$38)+(A179-1)*(LOG10('入力・概要'!$B$39)-LOG10('入力・概要'!$B$38))/('入力・概要'!$B$40-1)),"")</f>
        <v/>
      </c>
      <c r="C179" s="195">
        <f>IF(B179="","",2*PI()*B179)</f>
        <v/>
      </c>
      <c r="D179" s="195">
        <f>IF(B179="","",ATANH(MIN(0.999999,(2*'入力・概要'!$B$17*'入力・概要'!$B$6)/'入力・概要'!$B$30))+'入力・概要'!$B$33*SQRT(B179/1E6)+(2*PI()*B179*'入力・概要'!$B$6/(299792458*'入力・概要'!$B$31))*'入力・概要'!$B$32/2)</f>
        <v/>
      </c>
      <c r="E179" s="195">
        <f>IF(B179="","",2*PI()*B179*'入力・概要'!$B$6/(299792458*'入力・概要'!$B$31))</f>
        <v/>
      </c>
      <c r="F179" s="195">
        <f>IF(B179="","",SINH(2*D179)/(COSH(2*D179)+COS(2*E179)))</f>
        <v/>
      </c>
      <c r="G179" s="195">
        <f>IF(B179="","",SIN(2*E179)/(COSH(2*D179)+COS(2*E179)))</f>
        <v/>
      </c>
      <c r="H179" s="195">
        <f>IF(B179="","",'入力・概要'!$B$34)</f>
        <v/>
      </c>
      <c r="I179" s="195">
        <f>IF(B179="","",C179*'入力・概要'!$B$35*1E-9)</f>
        <v/>
      </c>
      <c r="J179" s="195">
        <f>IF(B179="","",H179+'入力・概要'!$B$30*F179)</f>
        <v/>
      </c>
      <c r="K179" s="195">
        <f>IF(B179="","",I179+'入力・概要'!$B$30*G179)</f>
        <v/>
      </c>
      <c r="L179" s="195">
        <f>IF(B179="","",'入力・概要'!$B$30+H179*F179-I179*G179)</f>
        <v/>
      </c>
      <c r="M179" s="195">
        <f>IF(B179="","",H179*G179+I179*F179)</f>
        <v/>
      </c>
      <c r="N179" s="195">
        <f>IF(B179="","",'入力・概要'!$B$30*(J179*L179+K179*M179)/(L179^2+M179^2))</f>
        <v/>
      </c>
      <c r="O179" s="195">
        <f>IF(B179="","",'入力・概要'!$B$30*(K179*L179-J179*M179)/(L179^2+M179^2))</f>
        <v/>
      </c>
      <c r="P179" s="195">
        <f>IF(B179="","",N179+'入力・概要'!$B$36)</f>
        <v/>
      </c>
      <c r="Q179" s="195">
        <f>IF(B179="","",O179+C179*'入力・概要'!$B$37*1E-9)</f>
        <v/>
      </c>
      <c r="R179" s="195">
        <f>IF(B179="","",SQRT(P179^2+Q179^2))</f>
        <v/>
      </c>
      <c r="S179" s="195">
        <f>IF(B179="","",IF(P179&gt;0,DEGREES(ATAN(Q179/P179)),IF(P179&lt;0,IF(Q179&gt;=0,DEGREES(ATAN(Q179/P179))+180,DEGREES(ATAN(Q179/P179))-180),IF(Q179&gt;0,90,IF(Q179&lt;0,-90,0)))))</f>
        <v/>
      </c>
      <c r="T179" s="195">
        <f>IF(B179="","",LOG10(B179))</f>
        <v/>
      </c>
      <c r="U179" s="195">
        <f>IF(R179="","",LOG10(MAX(R179,1E-12)))</f>
        <v/>
      </c>
    </row>
    <row r="180">
      <c r="A180" t="n">
        <v>177</v>
      </c>
      <c r="B180" s="196">
        <f>IF(A180&lt;='入力・概要'!$B$40,10^(LOG10('入力・概要'!$B$38)+(A180-1)*(LOG10('入力・概要'!$B$39)-LOG10('入力・概要'!$B$38))/('入力・概要'!$B$40-1)),"")</f>
        <v/>
      </c>
      <c r="C180" s="195">
        <f>IF(B180="","",2*PI()*B180)</f>
        <v/>
      </c>
      <c r="D180" s="195">
        <f>IF(B180="","",ATANH(MIN(0.999999,(2*'入力・概要'!$B$17*'入力・概要'!$B$6)/'入力・概要'!$B$30))+'入力・概要'!$B$33*SQRT(B180/1E6)+(2*PI()*B180*'入力・概要'!$B$6/(299792458*'入力・概要'!$B$31))*'入力・概要'!$B$32/2)</f>
        <v/>
      </c>
      <c r="E180" s="195">
        <f>IF(B180="","",2*PI()*B180*'入力・概要'!$B$6/(299792458*'入力・概要'!$B$31))</f>
        <v/>
      </c>
      <c r="F180" s="195">
        <f>IF(B180="","",SINH(2*D180)/(COSH(2*D180)+COS(2*E180)))</f>
        <v/>
      </c>
      <c r="G180" s="195">
        <f>IF(B180="","",SIN(2*E180)/(COSH(2*D180)+COS(2*E180)))</f>
        <v/>
      </c>
      <c r="H180" s="195">
        <f>IF(B180="","",'入力・概要'!$B$34)</f>
        <v/>
      </c>
      <c r="I180" s="195">
        <f>IF(B180="","",C180*'入力・概要'!$B$35*1E-9)</f>
        <v/>
      </c>
      <c r="J180" s="195">
        <f>IF(B180="","",H180+'入力・概要'!$B$30*F180)</f>
        <v/>
      </c>
      <c r="K180" s="195">
        <f>IF(B180="","",I180+'入力・概要'!$B$30*G180)</f>
        <v/>
      </c>
      <c r="L180" s="195">
        <f>IF(B180="","",'入力・概要'!$B$30+H180*F180-I180*G180)</f>
        <v/>
      </c>
      <c r="M180" s="195">
        <f>IF(B180="","",H180*G180+I180*F180)</f>
        <v/>
      </c>
      <c r="N180" s="195">
        <f>IF(B180="","",'入力・概要'!$B$30*(J180*L180+K180*M180)/(L180^2+M180^2))</f>
        <v/>
      </c>
      <c r="O180" s="195">
        <f>IF(B180="","",'入力・概要'!$B$30*(K180*L180-J180*M180)/(L180^2+M180^2))</f>
        <v/>
      </c>
      <c r="P180" s="195">
        <f>IF(B180="","",N180+'入力・概要'!$B$36)</f>
        <v/>
      </c>
      <c r="Q180" s="195">
        <f>IF(B180="","",O180+C180*'入力・概要'!$B$37*1E-9)</f>
        <v/>
      </c>
      <c r="R180" s="195">
        <f>IF(B180="","",SQRT(P180^2+Q180^2))</f>
        <v/>
      </c>
      <c r="S180" s="195">
        <f>IF(B180="","",IF(P180&gt;0,DEGREES(ATAN(Q180/P180)),IF(P180&lt;0,IF(Q180&gt;=0,DEGREES(ATAN(Q180/P180))+180,DEGREES(ATAN(Q180/P180))-180),IF(Q180&gt;0,90,IF(Q180&lt;0,-90,0)))))</f>
        <v/>
      </c>
      <c r="T180" s="195">
        <f>IF(B180="","",LOG10(B180))</f>
        <v/>
      </c>
      <c r="U180" s="195">
        <f>IF(R180="","",LOG10(MAX(R180,1E-12)))</f>
        <v/>
      </c>
    </row>
    <row r="181">
      <c r="A181" t="n">
        <v>178</v>
      </c>
      <c r="B181" s="196">
        <f>IF(A181&lt;='入力・概要'!$B$40,10^(LOG10('入力・概要'!$B$38)+(A181-1)*(LOG10('入力・概要'!$B$39)-LOG10('入力・概要'!$B$38))/('入力・概要'!$B$40-1)),"")</f>
        <v/>
      </c>
      <c r="C181" s="195">
        <f>IF(B181="","",2*PI()*B181)</f>
        <v/>
      </c>
      <c r="D181" s="195">
        <f>IF(B181="","",ATANH(MIN(0.999999,(2*'入力・概要'!$B$17*'入力・概要'!$B$6)/'入力・概要'!$B$30))+'入力・概要'!$B$33*SQRT(B181/1E6)+(2*PI()*B181*'入力・概要'!$B$6/(299792458*'入力・概要'!$B$31))*'入力・概要'!$B$32/2)</f>
        <v/>
      </c>
      <c r="E181" s="195">
        <f>IF(B181="","",2*PI()*B181*'入力・概要'!$B$6/(299792458*'入力・概要'!$B$31))</f>
        <v/>
      </c>
      <c r="F181" s="195">
        <f>IF(B181="","",SINH(2*D181)/(COSH(2*D181)+COS(2*E181)))</f>
        <v/>
      </c>
      <c r="G181" s="195">
        <f>IF(B181="","",SIN(2*E181)/(COSH(2*D181)+COS(2*E181)))</f>
        <v/>
      </c>
      <c r="H181" s="195">
        <f>IF(B181="","",'入力・概要'!$B$34)</f>
        <v/>
      </c>
      <c r="I181" s="195">
        <f>IF(B181="","",C181*'入力・概要'!$B$35*1E-9)</f>
        <v/>
      </c>
      <c r="J181" s="195">
        <f>IF(B181="","",H181+'入力・概要'!$B$30*F181)</f>
        <v/>
      </c>
      <c r="K181" s="195">
        <f>IF(B181="","",I181+'入力・概要'!$B$30*G181)</f>
        <v/>
      </c>
      <c r="L181" s="195">
        <f>IF(B181="","",'入力・概要'!$B$30+H181*F181-I181*G181)</f>
        <v/>
      </c>
      <c r="M181" s="195">
        <f>IF(B181="","",H181*G181+I181*F181)</f>
        <v/>
      </c>
      <c r="N181" s="195">
        <f>IF(B181="","",'入力・概要'!$B$30*(J181*L181+K181*M181)/(L181^2+M181^2))</f>
        <v/>
      </c>
      <c r="O181" s="195">
        <f>IF(B181="","",'入力・概要'!$B$30*(K181*L181-J181*M181)/(L181^2+M181^2))</f>
        <v/>
      </c>
      <c r="P181" s="195">
        <f>IF(B181="","",N181+'入力・概要'!$B$36)</f>
        <v/>
      </c>
      <c r="Q181" s="195">
        <f>IF(B181="","",O181+C181*'入力・概要'!$B$37*1E-9)</f>
        <v/>
      </c>
      <c r="R181" s="195">
        <f>IF(B181="","",SQRT(P181^2+Q181^2))</f>
        <v/>
      </c>
      <c r="S181" s="195">
        <f>IF(B181="","",IF(P181&gt;0,DEGREES(ATAN(Q181/P181)),IF(P181&lt;0,IF(Q181&gt;=0,DEGREES(ATAN(Q181/P181))+180,DEGREES(ATAN(Q181/P181))-180),IF(Q181&gt;0,90,IF(Q181&lt;0,-90,0)))))</f>
        <v/>
      </c>
      <c r="T181" s="195">
        <f>IF(B181="","",LOG10(B181))</f>
        <v/>
      </c>
      <c r="U181" s="195">
        <f>IF(R181="","",LOG10(MAX(R181,1E-12)))</f>
        <v/>
      </c>
    </row>
    <row r="182">
      <c r="A182" t="n">
        <v>179</v>
      </c>
      <c r="B182" s="196">
        <f>IF(A182&lt;='入力・概要'!$B$40,10^(LOG10('入力・概要'!$B$38)+(A182-1)*(LOG10('入力・概要'!$B$39)-LOG10('入力・概要'!$B$38))/('入力・概要'!$B$40-1)),"")</f>
        <v/>
      </c>
      <c r="C182" s="195">
        <f>IF(B182="","",2*PI()*B182)</f>
        <v/>
      </c>
      <c r="D182" s="195">
        <f>IF(B182="","",ATANH(MIN(0.999999,(2*'入力・概要'!$B$17*'入力・概要'!$B$6)/'入力・概要'!$B$30))+'入力・概要'!$B$33*SQRT(B182/1E6)+(2*PI()*B182*'入力・概要'!$B$6/(299792458*'入力・概要'!$B$31))*'入力・概要'!$B$32/2)</f>
        <v/>
      </c>
      <c r="E182" s="195">
        <f>IF(B182="","",2*PI()*B182*'入力・概要'!$B$6/(299792458*'入力・概要'!$B$31))</f>
        <v/>
      </c>
      <c r="F182" s="195">
        <f>IF(B182="","",SINH(2*D182)/(COSH(2*D182)+COS(2*E182)))</f>
        <v/>
      </c>
      <c r="G182" s="195">
        <f>IF(B182="","",SIN(2*E182)/(COSH(2*D182)+COS(2*E182)))</f>
        <v/>
      </c>
      <c r="H182" s="195">
        <f>IF(B182="","",'入力・概要'!$B$34)</f>
        <v/>
      </c>
      <c r="I182" s="195">
        <f>IF(B182="","",C182*'入力・概要'!$B$35*1E-9)</f>
        <v/>
      </c>
      <c r="J182" s="195">
        <f>IF(B182="","",H182+'入力・概要'!$B$30*F182)</f>
        <v/>
      </c>
      <c r="K182" s="195">
        <f>IF(B182="","",I182+'入力・概要'!$B$30*G182)</f>
        <v/>
      </c>
      <c r="L182" s="195">
        <f>IF(B182="","",'入力・概要'!$B$30+H182*F182-I182*G182)</f>
        <v/>
      </c>
      <c r="M182" s="195">
        <f>IF(B182="","",H182*G182+I182*F182)</f>
        <v/>
      </c>
      <c r="N182" s="195">
        <f>IF(B182="","",'入力・概要'!$B$30*(J182*L182+K182*M182)/(L182^2+M182^2))</f>
        <v/>
      </c>
      <c r="O182" s="195">
        <f>IF(B182="","",'入力・概要'!$B$30*(K182*L182-J182*M182)/(L182^2+M182^2))</f>
        <v/>
      </c>
      <c r="P182" s="195">
        <f>IF(B182="","",N182+'入力・概要'!$B$36)</f>
        <v/>
      </c>
      <c r="Q182" s="195">
        <f>IF(B182="","",O182+C182*'入力・概要'!$B$37*1E-9)</f>
        <v/>
      </c>
      <c r="R182" s="195">
        <f>IF(B182="","",SQRT(P182^2+Q182^2))</f>
        <v/>
      </c>
      <c r="S182" s="195">
        <f>IF(B182="","",IF(P182&gt;0,DEGREES(ATAN(Q182/P182)),IF(P182&lt;0,IF(Q182&gt;=0,DEGREES(ATAN(Q182/P182))+180,DEGREES(ATAN(Q182/P182))-180),IF(Q182&gt;0,90,IF(Q182&lt;0,-90,0)))))</f>
        <v/>
      </c>
      <c r="T182" s="195">
        <f>IF(B182="","",LOG10(B182))</f>
        <v/>
      </c>
      <c r="U182" s="195">
        <f>IF(R182="","",LOG10(MAX(R182,1E-12)))</f>
        <v/>
      </c>
    </row>
    <row r="183">
      <c r="A183" t="n">
        <v>180</v>
      </c>
      <c r="B183" s="196">
        <f>IF(A183&lt;='入力・概要'!$B$40,10^(LOG10('入力・概要'!$B$38)+(A183-1)*(LOG10('入力・概要'!$B$39)-LOG10('入力・概要'!$B$38))/('入力・概要'!$B$40-1)),"")</f>
        <v/>
      </c>
      <c r="C183" s="195">
        <f>IF(B183="","",2*PI()*B183)</f>
        <v/>
      </c>
      <c r="D183" s="195">
        <f>IF(B183="","",ATANH(MIN(0.999999,(2*'入力・概要'!$B$17*'入力・概要'!$B$6)/'入力・概要'!$B$30))+'入力・概要'!$B$33*SQRT(B183/1E6)+(2*PI()*B183*'入力・概要'!$B$6/(299792458*'入力・概要'!$B$31))*'入力・概要'!$B$32/2)</f>
        <v/>
      </c>
      <c r="E183" s="195">
        <f>IF(B183="","",2*PI()*B183*'入力・概要'!$B$6/(299792458*'入力・概要'!$B$31))</f>
        <v/>
      </c>
      <c r="F183" s="195">
        <f>IF(B183="","",SINH(2*D183)/(COSH(2*D183)+COS(2*E183)))</f>
        <v/>
      </c>
      <c r="G183" s="195">
        <f>IF(B183="","",SIN(2*E183)/(COSH(2*D183)+COS(2*E183)))</f>
        <v/>
      </c>
      <c r="H183" s="195">
        <f>IF(B183="","",'入力・概要'!$B$34)</f>
        <v/>
      </c>
      <c r="I183" s="195">
        <f>IF(B183="","",C183*'入力・概要'!$B$35*1E-9)</f>
        <v/>
      </c>
      <c r="J183" s="195">
        <f>IF(B183="","",H183+'入力・概要'!$B$30*F183)</f>
        <v/>
      </c>
      <c r="K183" s="195">
        <f>IF(B183="","",I183+'入力・概要'!$B$30*G183)</f>
        <v/>
      </c>
      <c r="L183" s="195">
        <f>IF(B183="","",'入力・概要'!$B$30+H183*F183-I183*G183)</f>
        <v/>
      </c>
      <c r="M183" s="195">
        <f>IF(B183="","",H183*G183+I183*F183)</f>
        <v/>
      </c>
      <c r="N183" s="195">
        <f>IF(B183="","",'入力・概要'!$B$30*(J183*L183+K183*M183)/(L183^2+M183^2))</f>
        <v/>
      </c>
      <c r="O183" s="195">
        <f>IF(B183="","",'入力・概要'!$B$30*(K183*L183-J183*M183)/(L183^2+M183^2))</f>
        <v/>
      </c>
      <c r="P183" s="195">
        <f>IF(B183="","",N183+'入力・概要'!$B$36)</f>
        <v/>
      </c>
      <c r="Q183" s="195">
        <f>IF(B183="","",O183+C183*'入力・概要'!$B$37*1E-9)</f>
        <v/>
      </c>
      <c r="R183" s="195">
        <f>IF(B183="","",SQRT(P183^2+Q183^2))</f>
        <v/>
      </c>
      <c r="S183" s="195">
        <f>IF(B183="","",IF(P183&gt;0,DEGREES(ATAN(Q183/P183)),IF(P183&lt;0,IF(Q183&gt;=0,DEGREES(ATAN(Q183/P183))+180,DEGREES(ATAN(Q183/P183))-180),IF(Q183&gt;0,90,IF(Q183&lt;0,-90,0)))))</f>
        <v/>
      </c>
      <c r="T183" s="195">
        <f>IF(B183="","",LOG10(B183))</f>
        <v/>
      </c>
      <c r="U183" s="195">
        <f>IF(R183="","",LOG10(MAX(R183,1E-12)))</f>
        <v/>
      </c>
    </row>
    <row r="184">
      <c r="A184" t="n">
        <v>181</v>
      </c>
      <c r="B184" s="196">
        <f>IF(A184&lt;='入力・概要'!$B$40,10^(LOG10('入力・概要'!$B$38)+(A184-1)*(LOG10('入力・概要'!$B$39)-LOG10('入力・概要'!$B$38))/('入力・概要'!$B$40-1)),"")</f>
        <v/>
      </c>
      <c r="C184" s="195">
        <f>IF(B184="","",2*PI()*B184)</f>
        <v/>
      </c>
      <c r="D184" s="195">
        <f>IF(B184="","",ATANH(MIN(0.999999,(2*'入力・概要'!$B$17*'入力・概要'!$B$6)/'入力・概要'!$B$30))+'入力・概要'!$B$33*SQRT(B184/1E6)+(2*PI()*B184*'入力・概要'!$B$6/(299792458*'入力・概要'!$B$31))*'入力・概要'!$B$32/2)</f>
        <v/>
      </c>
      <c r="E184" s="195">
        <f>IF(B184="","",2*PI()*B184*'入力・概要'!$B$6/(299792458*'入力・概要'!$B$31))</f>
        <v/>
      </c>
      <c r="F184" s="195">
        <f>IF(B184="","",SINH(2*D184)/(COSH(2*D184)+COS(2*E184)))</f>
        <v/>
      </c>
      <c r="G184" s="195">
        <f>IF(B184="","",SIN(2*E184)/(COSH(2*D184)+COS(2*E184)))</f>
        <v/>
      </c>
      <c r="H184" s="195">
        <f>IF(B184="","",'入力・概要'!$B$34)</f>
        <v/>
      </c>
      <c r="I184" s="195">
        <f>IF(B184="","",C184*'入力・概要'!$B$35*1E-9)</f>
        <v/>
      </c>
      <c r="J184" s="195">
        <f>IF(B184="","",H184+'入力・概要'!$B$30*F184)</f>
        <v/>
      </c>
      <c r="K184" s="195">
        <f>IF(B184="","",I184+'入力・概要'!$B$30*G184)</f>
        <v/>
      </c>
      <c r="L184" s="195">
        <f>IF(B184="","",'入力・概要'!$B$30+H184*F184-I184*G184)</f>
        <v/>
      </c>
      <c r="M184" s="195">
        <f>IF(B184="","",H184*G184+I184*F184)</f>
        <v/>
      </c>
      <c r="N184" s="195">
        <f>IF(B184="","",'入力・概要'!$B$30*(J184*L184+K184*M184)/(L184^2+M184^2))</f>
        <v/>
      </c>
      <c r="O184" s="195">
        <f>IF(B184="","",'入力・概要'!$B$30*(K184*L184-J184*M184)/(L184^2+M184^2))</f>
        <v/>
      </c>
      <c r="P184" s="195">
        <f>IF(B184="","",N184+'入力・概要'!$B$36)</f>
        <v/>
      </c>
      <c r="Q184" s="195">
        <f>IF(B184="","",O184+C184*'入力・概要'!$B$37*1E-9)</f>
        <v/>
      </c>
      <c r="R184" s="195">
        <f>IF(B184="","",SQRT(P184^2+Q184^2))</f>
        <v/>
      </c>
      <c r="S184" s="195">
        <f>IF(B184="","",IF(P184&gt;0,DEGREES(ATAN(Q184/P184)),IF(P184&lt;0,IF(Q184&gt;=0,DEGREES(ATAN(Q184/P184))+180,DEGREES(ATAN(Q184/P184))-180),IF(Q184&gt;0,90,IF(Q184&lt;0,-90,0)))))</f>
        <v/>
      </c>
      <c r="T184" s="195">
        <f>IF(B184="","",LOG10(B184))</f>
        <v/>
      </c>
      <c r="U184" s="195">
        <f>IF(R184="","",LOG10(MAX(R184,1E-12)))</f>
        <v/>
      </c>
    </row>
    <row r="185">
      <c r="A185" t="n">
        <v>182</v>
      </c>
      <c r="B185" s="196">
        <f>IF(A185&lt;='入力・概要'!$B$40,10^(LOG10('入力・概要'!$B$38)+(A185-1)*(LOG10('入力・概要'!$B$39)-LOG10('入力・概要'!$B$38))/('入力・概要'!$B$40-1)),"")</f>
        <v/>
      </c>
      <c r="C185" s="195">
        <f>IF(B185="","",2*PI()*B185)</f>
        <v/>
      </c>
      <c r="D185" s="195">
        <f>IF(B185="","",ATANH(MIN(0.999999,(2*'入力・概要'!$B$17*'入力・概要'!$B$6)/'入力・概要'!$B$30))+'入力・概要'!$B$33*SQRT(B185/1E6)+(2*PI()*B185*'入力・概要'!$B$6/(299792458*'入力・概要'!$B$31))*'入力・概要'!$B$32/2)</f>
        <v/>
      </c>
      <c r="E185" s="195">
        <f>IF(B185="","",2*PI()*B185*'入力・概要'!$B$6/(299792458*'入力・概要'!$B$31))</f>
        <v/>
      </c>
      <c r="F185" s="195">
        <f>IF(B185="","",SINH(2*D185)/(COSH(2*D185)+COS(2*E185)))</f>
        <v/>
      </c>
      <c r="G185" s="195">
        <f>IF(B185="","",SIN(2*E185)/(COSH(2*D185)+COS(2*E185)))</f>
        <v/>
      </c>
      <c r="H185" s="195">
        <f>IF(B185="","",'入力・概要'!$B$34)</f>
        <v/>
      </c>
      <c r="I185" s="195">
        <f>IF(B185="","",C185*'入力・概要'!$B$35*1E-9)</f>
        <v/>
      </c>
      <c r="J185" s="195">
        <f>IF(B185="","",H185+'入力・概要'!$B$30*F185)</f>
        <v/>
      </c>
      <c r="K185" s="195">
        <f>IF(B185="","",I185+'入力・概要'!$B$30*G185)</f>
        <v/>
      </c>
      <c r="L185" s="195">
        <f>IF(B185="","",'入力・概要'!$B$30+H185*F185-I185*G185)</f>
        <v/>
      </c>
      <c r="M185" s="195">
        <f>IF(B185="","",H185*G185+I185*F185)</f>
        <v/>
      </c>
      <c r="N185" s="195">
        <f>IF(B185="","",'入力・概要'!$B$30*(J185*L185+K185*M185)/(L185^2+M185^2))</f>
        <v/>
      </c>
      <c r="O185" s="195">
        <f>IF(B185="","",'入力・概要'!$B$30*(K185*L185-J185*M185)/(L185^2+M185^2))</f>
        <v/>
      </c>
      <c r="P185" s="195">
        <f>IF(B185="","",N185+'入力・概要'!$B$36)</f>
        <v/>
      </c>
      <c r="Q185" s="195">
        <f>IF(B185="","",O185+C185*'入力・概要'!$B$37*1E-9)</f>
        <v/>
      </c>
      <c r="R185" s="195">
        <f>IF(B185="","",SQRT(P185^2+Q185^2))</f>
        <v/>
      </c>
      <c r="S185" s="195">
        <f>IF(B185="","",IF(P185&gt;0,DEGREES(ATAN(Q185/P185)),IF(P185&lt;0,IF(Q185&gt;=0,DEGREES(ATAN(Q185/P185))+180,DEGREES(ATAN(Q185/P185))-180),IF(Q185&gt;0,90,IF(Q185&lt;0,-90,0)))))</f>
        <v/>
      </c>
      <c r="T185" s="195">
        <f>IF(B185="","",LOG10(B185))</f>
        <v/>
      </c>
      <c r="U185" s="195">
        <f>IF(R185="","",LOG10(MAX(R185,1E-12)))</f>
        <v/>
      </c>
    </row>
    <row r="186">
      <c r="A186" t="n">
        <v>183</v>
      </c>
      <c r="B186" s="196">
        <f>IF(A186&lt;='入力・概要'!$B$40,10^(LOG10('入力・概要'!$B$38)+(A186-1)*(LOG10('入力・概要'!$B$39)-LOG10('入力・概要'!$B$38))/('入力・概要'!$B$40-1)),"")</f>
        <v/>
      </c>
      <c r="C186" s="195">
        <f>IF(B186="","",2*PI()*B186)</f>
        <v/>
      </c>
      <c r="D186" s="195">
        <f>IF(B186="","",ATANH(MIN(0.999999,(2*'入力・概要'!$B$17*'入力・概要'!$B$6)/'入力・概要'!$B$30))+'入力・概要'!$B$33*SQRT(B186/1E6)+(2*PI()*B186*'入力・概要'!$B$6/(299792458*'入力・概要'!$B$31))*'入力・概要'!$B$32/2)</f>
        <v/>
      </c>
      <c r="E186" s="195">
        <f>IF(B186="","",2*PI()*B186*'入力・概要'!$B$6/(299792458*'入力・概要'!$B$31))</f>
        <v/>
      </c>
      <c r="F186" s="195">
        <f>IF(B186="","",SINH(2*D186)/(COSH(2*D186)+COS(2*E186)))</f>
        <v/>
      </c>
      <c r="G186" s="195">
        <f>IF(B186="","",SIN(2*E186)/(COSH(2*D186)+COS(2*E186)))</f>
        <v/>
      </c>
      <c r="H186" s="195">
        <f>IF(B186="","",'入力・概要'!$B$34)</f>
        <v/>
      </c>
      <c r="I186" s="195">
        <f>IF(B186="","",C186*'入力・概要'!$B$35*1E-9)</f>
        <v/>
      </c>
      <c r="J186" s="195">
        <f>IF(B186="","",H186+'入力・概要'!$B$30*F186)</f>
        <v/>
      </c>
      <c r="K186" s="195">
        <f>IF(B186="","",I186+'入力・概要'!$B$30*G186)</f>
        <v/>
      </c>
      <c r="L186" s="195">
        <f>IF(B186="","",'入力・概要'!$B$30+H186*F186-I186*G186)</f>
        <v/>
      </c>
      <c r="M186" s="195">
        <f>IF(B186="","",H186*G186+I186*F186)</f>
        <v/>
      </c>
      <c r="N186" s="195">
        <f>IF(B186="","",'入力・概要'!$B$30*(J186*L186+K186*M186)/(L186^2+M186^2))</f>
        <v/>
      </c>
      <c r="O186" s="195">
        <f>IF(B186="","",'入力・概要'!$B$30*(K186*L186-J186*M186)/(L186^2+M186^2))</f>
        <v/>
      </c>
      <c r="P186" s="195">
        <f>IF(B186="","",N186+'入力・概要'!$B$36)</f>
        <v/>
      </c>
      <c r="Q186" s="195">
        <f>IF(B186="","",O186+C186*'入力・概要'!$B$37*1E-9)</f>
        <v/>
      </c>
      <c r="R186" s="195">
        <f>IF(B186="","",SQRT(P186^2+Q186^2))</f>
        <v/>
      </c>
      <c r="S186" s="195">
        <f>IF(B186="","",IF(P186&gt;0,DEGREES(ATAN(Q186/P186)),IF(P186&lt;0,IF(Q186&gt;=0,DEGREES(ATAN(Q186/P186))+180,DEGREES(ATAN(Q186/P186))-180),IF(Q186&gt;0,90,IF(Q186&lt;0,-90,0)))))</f>
        <v/>
      </c>
      <c r="T186" s="195">
        <f>IF(B186="","",LOG10(B186))</f>
        <v/>
      </c>
      <c r="U186" s="195">
        <f>IF(R186="","",LOG10(MAX(R186,1E-12)))</f>
        <v/>
      </c>
    </row>
    <row r="187">
      <c r="A187" t="n">
        <v>184</v>
      </c>
      <c r="B187" s="196">
        <f>IF(A187&lt;='入力・概要'!$B$40,10^(LOG10('入力・概要'!$B$38)+(A187-1)*(LOG10('入力・概要'!$B$39)-LOG10('入力・概要'!$B$38))/('入力・概要'!$B$40-1)),"")</f>
        <v/>
      </c>
      <c r="C187" s="195">
        <f>IF(B187="","",2*PI()*B187)</f>
        <v/>
      </c>
      <c r="D187" s="195">
        <f>IF(B187="","",ATANH(MIN(0.999999,(2*'入力・概要'!$B$17*'入力・概要'!$B$6)/'入力・概要'!$B$30))+'入力・概要'!$B$33*SQRT(B187/1E6)+(2*PI()*B187*'入力・概要'!$B$6/(299792458*'入力・概要'!$B$31))*'入力・概要'!$B$32/2)</f>
        <v/>
      </c>
      <c r="E187" s="195">
        <f>IF(B187="","",2*PI()*B187*'入力・概要'!$B$6/(299792458*'入力・概要'!$B$31))</f>
        <v/>
      </c>
      <c r="F187" s="195">
        <f>IF(B187="","",SINH(2*D187)/(COSH(2*D187)+COS(2*E187)))</f>
        <v/>
      </c>
      <c r="G187" s="195">
        <f>IF(B187="","",SIN(2*E187)/(COSH(2*D187)+COS(2*E187)))</f>
        <v/>
      </c>
      <c r="H187" s="195">
        <f>IF(B187="","",'入力・概要'!$B$34)</f>
        <v/>
      </c>
      <c r="I187" s="195">
        <f>IF(B187="","",C187*'入力・概要'!$B$35*1E-9)</f>
        <v/>
      </c>
      <c r="J187" s="195">
        <f>IF(B187="","",H187+'入力・概要'!$B$30*F187)</f>
        <v/>
      </c>
      <c r="K187" s="195">
        <f>IF(B187="","",I187+'入力・概要'!$B$30*G187)</f>
        <v/>
      </c>
      <c r="L187" s="195">
        <f>IF(B187="","",'入力・概要'!$B$30+H187*F187-I187*G187)</f>
        <v/>
      </c>
      <c r="M187" s="195">
        <f>IF(B187="","",H187*G187+I187*F187)</f>
        <v/>
      </c>
      <c r="N187" s="195">
        <f>IF(B187="","",'入力・概要'!$B$30*(J187*L187+K187*M187)/(L187^2+M187^2))</f>
        <v/>
      </c>
      <c r="O187" s="195">
        <f>IF(B187="","",'入力・概要'!$B$30*(K187*L187-J187*M187)/(L187^2+M187^2))</f>
        <v/>
      </c>
      <c r="P187" s="195">
        <f>IF(B187="","",N187+'入力・概要'!$B$36)</f>
        <v/>
      </c>
      <c r="Q187" s="195">
        <f>IF(B187="","",O187+C187*'入力・概要'!$B$37*1E-9)</f>
        <v/>
      </c>
      <c r="R187" s="195">
        <f>IF(B187="","",SQRT(P187^2+Q187^2))</f>
        <v/>
      </c>
      <c r="S187" s="195">
        <f>IF(B187="","",IF(P187&gt;0,DEGREES(ATAN(Q187/P187)),IF(P187&lt;0,IF(Q187&gt;=0,DEGREES(ATAN(Q187/P187))+180,DEGREES(ATAN(Q187/P187))-180),IF(Q187&gt;0,90,IF(Q187&lt;0,-90,0)))))</f>
        <v/>
      </c>
      <c r="T187" s="195">
        <f>IF(B187="","",LOG10(B187))</f>
        <v/>
      </c>
      <c r="U187" s="195">
        <f>IF(R187="","",LOG10(MAX(R187,1E-12)))</f>
        <v/>
      </c>
    </row>
    <row r="188">
      <c r="A188" t="n">
        <v>185</v>
      </c>
      <c r="B188" s="196">
        <f>IF(A188&lt;='入力・概要'!$B$40,10^(LOG10('入力・概要'!$B$38)+(A188-1)*(LOG10('入力・概要'!$B$39)-LOG10('入力・概要'!$B$38))/('入力・概要'!$B$40-1)),"")</f>
        <v/>
      </c>
      <c r="C188" s="195">
        <f>IF(B188="","",2*PI()*B188)</f>
        <v/>
      </c>
      <c r="D188" s="195">
        <f>IF(B188="","",ATANH(MIN(0.999999,(2*'入力・概要'!$B$17*'入力・概要'!$B$6)/'入力・概要'!$B$30))+'入力・概要'!$B$33*SQRT(B188/1E6)+(2*PI()*B188*'入力・概要'!$B$6/(299792458*'入力・概要'!$B$31))*'入力・概要'!$B$32/2)</f>
        <v/>
      </c>
      <c r="E188" s="195">
        <f>IF(B188="","",2*PI()*B188*'入力・概要'!$B$6/(299792458*'入力・概要'!$B$31))</f>
        <v/>
      </c>
      <c r="F188" s="195">
        <f>IF(B188="","",SINH(2*D188)/(COSH(2*D188)+COS(2*E188)))</f>
        <v/>
      </c>
      <c r="G188" s="195">
        <f>IF(B188="","",SIN(2*E188)/(COSH(2*D188)+COS(2*E188)))</f>
        <v/>
      </c>
      <c r="H188" s="195">
        <f>IF(B188="","",'入力・概要'!$B$34)</f>
        <v/>
      </c>
      <c r="I188" s="195">
        <f>IF(B188="","",C188*'入力・概要'!$B$35*1E-9)</f>
        <v/>
      </c>
      <c r="J188" s="195">
        <f>IF(B188="","",H188+'入力・概要'!$B$30*F188)</f>
        <v/>
      </c>
      <c r="K188" s="195">
        <f>IF(B188="","",I188+'入力・概要'!$B$30*G188)</f>
        <v/>
      </c>
      <c r="L188" s="195">
        <f>IF(B188="","",'入力・概要'!$B$30+H188*F188-I188*G188)</f>
        <v/>
      </c>
      <c r="M188" s="195">
        <f>IF(B188="","",H188*G188+I188*F188)</f>
        <v/>
      </c>
      <c r="N188" s="195">
        <f>IF(B188="","",'入力・概要'!$B$30*(J188*L188+K188*M188)/(L188^2+M188^2))</f>
        <v/>
      </c>
      <c r="O188" s="195">
        <f>IF(B188="","",'入力・概要'!$B$30*(K188*L188-J188*M188)/(L188^2+M188^2))</f>
        <v/>
      </c>
      <c r="P188" s="195">
        <f>IF(B188="","",N188+'入力・概要'!$B$36)</f>
        <v/>
      </c>
      <c r="Q188" s="195">
        <f>IF(B188="","",O188+C188*'入力・概要'!$B$37*1E-9)</f>
        <v/>
      </c>
      <c r="R188" s="195">
        <f>IF(B188="","",SQRT(P188^2+Q188^2))</f>
        <v/>
      </c>
      <c r="S188" s="195">
        <f>IF(B188="","",IF(P188&gt;0,DEGREES(ATAN(Q188/P188)),IF(P188&lt;0,IF(Q188&gt;=0,DEGREES(ATAN(Q188/P188))+180,DEGREES(ATAN(Q188/P188))-180),IF(Q188&gt;0,90,IF(Q188&lt;0,-90,0)))))</f>
        <v/>
      </c>
      <c r="T188" s="195">
        <f>IF(B188="","",LOG10(B188))</f>
        <v/>
      </c>
      <c r="U188" s="195">
        <f>IF(R188="","",LOG10(MAX(R188,1E-12)))</f>
        <v/>
      </c>
    </row>
    <row r="189">
      <c r="A189" t="n">
        <v>186</v>
      </c>
      <c r="B189" s="196">
        <f>IF(A189&lt;='入力・概要'!$B$40,10^(LOG10('入力・概要'!$B$38)+(A189-1)*(LOG10('入力・概要'!$B$39)-LOG10('入力・概要'!$B$38))/('入力・概要'!$B$40-1)),"")</f>
        <v/>
      </c>
      <c r="C189" s="195">
        <f>IF(B189="","",2*PI()*B189)</f>
        <v/>
      </c>
      <c r="D189" s="195">
        <f>IF(B189="","",ATANH(MIN(0.999999,(2*'入力・概要'!$B$17*'入力・概要'!$B$6)/'入力・概要'!$B$30))+'入力・概要'!$B$33*SQRT(B189/1E6)+(2*PI()*B189*'入力・概要'!$B$6/(299792458*'入力・概要'!$B$31))*'入力・概要'!$B$32/2)</f>
        <v/>
      </c>
      <c r="E189" s="195">
        <f>IF(B189="","",2*PI()*B189*'入力・概要'!$B$6/(299792458*'入力・概要'!$B$31))</f>
        <v/>
      </c>
      <c r="F189" s="195">
        <f>IF(B189="","",SINH(2*D189)/(COSH(2*D189)+COS(2*E189)))</f>
        <v/>
      </c>
      <c r="G189" s="195">
        <f>IF(B189="","",SIN(2*E189)/(COSH(2*D189)+COS(2*E189)))</f>
        <v/>
      </c>
      <c r="H189" s="195">
        <f>IF(B189="","",'入力・概要'!$B$34)</f>
        <v/>
      </c>
      <c r="I189" s="195">
        <f>IF(B189="","",C189*'入力・概要'!$B$35*1E-9)</f>
        <v/>
      </c>
      <c r="J189" s="195">
        <f>IF(B189="","",H189+'入力・概要'!$B$30*F189)</f>
        <v/>
      </c>
      <c r="K189" s="195">
        <f>IF(B189="","",I189+'入力・概要'!$B$30*G189)</f>
        <v/>
      </c>
      <c r="L189" s="195">
        <f>IF(B189="","",'入力・概要'!$B$30+H189*F189-I189*G189)</f>
        <v/>
      </c>
      <c r="M189" s="195">
        <f>IF(B189="","",H189*G189+I189*F189)</f>
        <v/>
      </c>
      <c r="N189" s="195">
        <f>IF(B189="","",'入力・概要'!$B$30*(J189*L189+K189*M189)/(L189^2+M189^2))</f>
        <v/>
      </c>
      <c r="O189" s="195">
        <f>IF(B189="","",'入力・概要'!$B$30*(K189*L189-J189*M189)/(L189^2+M189^2))</f>
        <v/>
      </c>
      <c r="P189" s="195">
        <f>IF(B189="","",N189+'入力・概要'!$B$36)</f>
        <v/>
      </c>
      <c r="Q189" s="195">
        <f>IF(B189="","",O189+C189*'入力・概要'!$B$37*1E-9)</f>
        <v/>
      </c>
      <c r="R189" s="195">
        <f>IF(B189="","",SQRT(P189^2+Q189^2))</f>
        <v/>
      </c>
      <c r="S189" s="195">
        <f>IF(B189="","",IF(P189&gt;0,DEGREES(ATAN(Q189/P189)),IF(P189&lt;0,IF(Q189&gt;=0,DEGREES(ATAN(Q189/P189))+180,DEGREES(ATAN(Q189/P189))-180),IF(Q189&gt;0,90,IF(Q189&lt;0,-90,0)))))</f>
        <v/>
      </c>
      <c r="T189" s="195">
        <f>IF(B189="","",LOG10(B189))</f>
        <v/>
      </c>
      <c r="U189" s="195">
        <f>IF(R189="","",LOG10(MAX(R189,1E-12)))</f>
        <v/>
      </c>
    </row>
    <row r="190">
      <c r="A190" t="n">
        <v>187</v>
      </c>
      <c r="B190" s="196">
        <f>IF(A190&lt;='入力・概要'!$B$40,10^(LOG10('入力・概要'!$B$38)+(A190-1)*(LOG10('入力・概要'!$B$39)-LOG10('入力・概要'!$B$38))/('入力・概要'!$B$40-1)),"")</f>
        <v/>
      </c>
      <c r="C190" s="195">
        <f>IF(B190="","",2*PI()*B190)</f>
        <v/>
      </c>
      <c r="D190" s="195">
        <f>IF(B190="","",ATANH(MIN(0.999999,(2*'入力・概要'!$B$17*'入力・概要'!$B$6)/'入力・概要'!$B$30))+'入力・概要'!$B$33*SQRT(B190/1E6)+(2*PI()*B190*'入力・概要'!$B$6/(299792458*'入力・概要'!$B$31))*'入力・概要'!$B$32/2)</f>
        <v/>
      </c>
      <c r="E190" s="195">
        <f>IF(B190="","",2*PI()*B190*'入力・概要'!$B$6/(299792458*'入力・概要'!$B$31))</f>
        <v/>
      </c>
      <c r="F190" s="195">
        <f>IF(B190="","",SINH(2*D190)/(COSH(2*D190)+COS(2*E190)))</f>
        <v/>
      </c>
      <c r="G190" s="195">
        <f>IF(B190="","",SIN(2*E190)/(COSH(2*D190)+COS(2*E190)))</f>
        <v/>
      </c>
      <c r="H190" s="195">
        <f>IF(B190="","",'入力・概要'!$B$34)</f>
        <v/>
      </c>
      <c r="I190" s="195">
        <f>IF(B190="","",C190*'入力・概要'!$B$35*1E-9)</f>
        <v/>
      </c>
      <c r="J190" s="195">
        <f>IF(B190="","",H190+'入力・概要'!$B$30*F190)</f>
        <v/>
      </c>
      <c r="K190" s="195">
        <f>IF(B190="","",I190+'入力・概要'!$B$30*G190)</f>
        <v/>
      </c>
      <c r="L190" s="195">
        <f>IF(B190="","",'入力・概要'!$B$30+H190*F190-I190*G190)</f>
        <v/>
      </c>
      <c r="M190" s="195">
        <f>IF(B190="","",H190*G190+I190*F190)</f>
        <v/>
      </c>
      <c r="N190" s="195">
        <f>IF(B190="","",'入力・概要'!$B$30*(J190*L190+K190*M190)/(L190^2+M190^2))</f>
        <v/>
      </c>
      <c r="O190" s="195">
        <f>IF(B190="","",'入力・概要'!$B$30*(K190*L190-J190*M190)/(L190^2+M190^2))</f>
        <v/>
      </c>
      <c r="P190" s="195">
        <f>IF(B190="","",N190+'入力・概要'!$B$36)</f>
        <v/>
      </c>
      <c r="Q190" s="195">
        <f>IF(B190="","",O190+C190*'入力・概要'!$B$37*1E-9)</f>
        <v/>
      </c>
      <c r="R190" s="195">
        <f>IF(B190="","",SQRT(P190^2+Q190^2))</f>
        <v/>
      </c>
      <c r="S190" s="195">
        <f>IF(B190="","",IF(P190&gt;0,DEGREES(ATAN(Q190/P190)),IF(P190&lt;0,IF(Q190&gt;=0,DEGREES(ATAN(Q190/P190))+180,DEGREES(ATAN(Q190/P190))-180),IF(Q190&gt;0,90,IF(Q190&lt;0,-90,0)))))</f>
        <v/>
      </c>
      <c r="T190" s="195">
        <f>IF(B190="","",LOG10(B190))</f>
        <v/>
      </c>
      <c r="U190" s="195">
        <f>IF(R190="","",LOG10(MAX(R190,1E-12)))</f>
        <v/>
      </c>
    </row>
    <row r="191">
      <c r="A191" t="n">
        <v>188</v>
      </c>
      <c r="B191" s="196">
        <f>IF(A191&lt;='入力・概要'!$B$40,10^(LOG10('入力・概要'!$B$38)+(A191-1)*(LOG10('入力・概要'!$B$39)-LOG10('入力・概要'!$B$38))/('入力・概要'!$B$40-1)),"")</f>
        <v/>
      </c>
      <c r="C191" s="195">
        <f>IF(B191="","",2*PI()*B191)</f>
        <v/>
      </c>
      <c r="D191" s="195">
        <f>IF(B191="","",ATANH(MIN(0.999999,(2*'入力・概要'!$B$17*'入力・概要'!$B$6)/'入力・概要'!$B$30))+'入力・概要'!$B$33*SQRT(B191/1E6)+(2*PI()*B191*'入力・概要'!$B$6/(299792458*'入力・概要'!$B$31))*'入力・概要'!$B$32/2)</f>
        <v/>
      </c>
      <c r="E191" s="195">
        <f>IF(B191="","",2*PI()*B191*'入力・概要'!$B$6/(299792458*'入力・概要'!$B$31))</f>
        <v/>
      </c>
      <c r="F191" s="195">
        <f>IF(B191="","",SINH(2*D191)/(COSH(2*D191)+COS(2*E191)))</f>
        <v/>
      </c>
      <c r="G191" s="195">
        <f>IF(B191="","",SIN(2*E191)/(COSH(2*D191)+COS(2*E191)))</f>
        <v/>
      </c>
      <c r="H191" s="195">
        <f>IF(B191="","",'入力・概要'!$B$34)</f>
        <v/>
      </c>
      <c r="I191" s="195">
        <f>IF(B191="","",C191*'入力・概要'!$B$35*1E-9)</f>
        <v/>
      </c>
      <c r="J191" s="195">
        <f>IF(B191="","",H191+'入力・概要'!$B$30*F191)</f>
        <v/>
      </c>
      <c r="K191" s="195">
        <f>IF(B191="","",I191+'入力・概要'!$B$30*G191)</f>
        <v/>
      </c>
      <c r="L191" s="195">
        <f>IF(B191="","",'入力・概要'!$B$30+H191*F191-I191*G191)</f>
        <v/>
      </c>
      <c r="M191" s="195">
        <f>IF(B191="","",H191*G191+I191*F191)</f>
        <v/>
      </c>
      <c r="N191" s="195">
        <f>IF(B191="","",'入力・概要'!$B$30*(J191*L191+K191*M191)/(L191^2+M191^2))</f>
        <v/>
      </c>
      <c r="O191" s="195">
        <f>IF(B191="","",'入力・概要'!$B$30*(K191*L191-J191*M191)/(L191^2+M191^2))</f>
        <v/>
      </c>
      <c r="P191" s="195">
        <f>IF(B191="","",N191+'入力・概要'!$B$36)</f>
        <v/>
      </c>
      <c r="Q191" s="195">
        <f>IF(B191="","",O191+C191*'入力・概要'!$B$37*1E-9)</f>
        <v/>
      </c>
      <c r="R191" s="195">
        <f>IF(B191="","",SQRT(P191^2+Q191^2))</f>
        <v/>
      </c>
      <c r="S191" s="195">
        <f>IF(B191="","",IF(P191&gt;0,DEGREES(ATAN(Q191/P191)),IF(P191&lt;0,IF(Q191&gt;=0,DEGREES(ATAN(Q191/P191))+180,DEGREES(ATAN(Q191/P191))-180),IF(Q191&gt;0,90,IF(Q191&lt;0,-90,0)))))</f>
        <v/>
      </c>
      <c r="T191" s="195">
        <f>IF(B191="","",LOG10(B191))</f>
        <v/>
      </c>
      <c r="U191" s="195">
        <f>IF(R191="","",LOG10(MAX(R191,1E-12)))</f>
        <v/>
      </c>
    </row>
    <row r="192">
      <c r="A192" t="n">
        <v>189</v>
      </c>
      <c r="B192" s="196">
        <f>IF(A192&lt;='入力・概要'!$B$40,10^(LOG10('入力・概要'!$B$38)+(A192-1)*(LOG10('入力・概要'!$B$39)-LOG10('入力・概要'!$B$38))/('入力・概要'!$B$40-1)),"")</f>
        <v/>
      </c>
      <c r="C192" s="195">
        <f>IF(B192="","",2*PI()*B192)</f>
        <v/>
      </c>
      <c r="D192" s="195">
        <f>IF(B192="","",ATANH(MIN(0.999999,(2*'入力・概要'!$B$17*'入力・概要'!$B$6)/'入力・概要'!$B$30))+'入力・概要'!$B$33*SQRT(B192/1E6)+(2*PI()*B192*'入力・概要'!$B$6/(299792458*'入力・概要'!$B$31))*'入力・概要'!$B$32/2)</f>
        <v/>
      </c>
      <c r="E192" s="195">
        <f>IF(B192="","",2*PI()*B192*'入力・概要'!$B$6/(299792458*'入力・概要'!$B$31))</f>
        <v/>
      </c>
      <c r="F192" s="195">
        <f>IF(B192="","",SINH(2*D192)/(COSH(2*D192)+COS(2*E192)))</f>
        <v/>
      </c>
      <c r="G192" s="195">
        <f>IF(B192="","",SIN(2*E192)/(COSH(2*D192)+COS(2*E192)))</f>
        <v/>
      </c>
      <c r="H192" s="195">
        <f>IF(B192="","",'入力・概要'!$B$34)</f>
        <v/>
      </c>
      <c r="I192" s="195">
        <f>IF(B192="","",C192*'入力・概要'!$B$35*1E-9)</f>
        <v/>
      </c>
      <c r="J192" s="195">
        <f>IF(B192="","",H192+'入力・概要'!$B$30*F192)</f>
        <v/>
      </c>
      <c r="K192" s="195">
        <f>IF(B192="","",I192+'入力・概要'!$B$30*G192)</f>
        <v/>
      </c>
      <c r="L192" s="195">
        <f>IF(B192="","",'入力・概要'!$B$30+H192*F192-I192*G192)</f>
        <v/>
      </c>
      <c r="M192" s="195">
        <f>IF(B192="","",H192*G192+I192*F192)</f>
        <v/>
      </c>
      <c r="N192" s="195">
        <f>IF(B192="","",'入力・概要'!$B$30*(J192*L192+K192*M192)/(L192^2+M192^2))</f>
        <v/>
      </c>
      <c r="O192" s="195">
        <f>IF(B192="","",'入力・概要'!$B$30*(K192*L192-J192*M192)/(L192^2+M192^2))</f>
        <v/>
      </c>
      <c r="P192" s="195">
        <f>IF(B192="","",N192+'入力・概要'!$B$36)</f>
        <v/>
      </c>
      <c r="Q192" s="195">
        <f>IF(B192="","",O192+C192*'入力・概要'!$B$37*1E-9)</f>
        <v/>
      </c>
      <c r="R192" s="195">
        <f>IF(B192="","",SQRT(P192^2+Q192^2))</f>
        <v/>
      </c>
      <c r="S192" s="195">
        <f>IF(B192="","",IF(P192&gt;0,DEGREES(ATAN(Q192/P192)),IF(P192&lt;0,IF(Q192&gt;=0,DEGREES(ATAN(Q192/P192))+180,DEGREES(ATAN(Q192/P192))-180),IF(Q192&gt;0,90,IF(Q192&lt;0,-90,0)))))</f>
        <v/>
      </c>
      <c r="T192" s="195">
        <f>IF(B192="","",LOG10(B192))</f>
        <v/>
      </c>
      <c r="U192" s="195">
        <f>IF(R192="","",LOG10(MAX(R192,1E-12)))</f>
        <v/>
      </c>
    </row>
    <row r="193">
      <c r="A193" t="n">
        <v>190</v>
      </c>
      <c r="B193" s="196">
        <f>IF(A193&lt;='入力・概要'!$B$40,10^(LOG10('入力・概要'!$B$38)+(A193-1)*(LOG10('入力・概要'!$B$39)-LOG10('入力・概要'!$B$38))/('入力・概要'!$B$40-1)),"")</f>
        <v/>
      </c>
      <c r="C193" s="195">
        <f>IF(B193="","",2*PI()*B193)</f>
        <v/>
      </c>
      <c r="D193" s="195">
        <f>IF(B193="","",ATANH(MIN(0.999999,(2*'入力・概要'!$B$17*'入力・概要'!$B$6)/'入力・概要'!$B$30))+'入力・概要'!$B$33*SQRT(B193/1E6)+(2*PI()*B193*'入力・概要'!$B$6/(299792458*'入力・概要'!$B$31))*'入力・概要'!$B$32/2)</f>
        <v/>
      </c>
      <c r="E193" s="195">
        <f>IF(B193="","",2*PI()*B193*'入力・概要'!$B$6/(299792458*'入力・概要'!$B$31))</f>
        <v/>
      </c>
      <c r="F193" s="195">
        <f>IF(B193="","",SINH(2*D193)/(COSH(2*D193)+COS(2*E193)))</f>
        <v/>
      </c>
      <c r="G193" s="195">
        <f>IF(B193="","",SIN(2*E193)/(COSH(2*D193)+COS(2*E193)))</f>
        <v/>
      </c>
      <c r="H193" s="195">
        <f>IF(B193="","",'入力・概要'!$B$34)</f>
        <v/>
      </c>
      <c r="I193" s="195">
        <f>IF(B193="","",C193*'入力・概要'!$B$35*1E-9)</f>
        <v/>
      </c>
      <c r="J193" s="195">
        <f>IF(B193="","",H193+'入力・概要'!$B$30*F193)</f>
        <v/>
      </c>
      <c r="K193" s="195">
        <f>IF(B193="","",I193+'入力・概要'!$B$30*G193)</f>
        <v/>
      </c>
      <c r="L193" s="195">
        <f>IF(B193="","",'入力・概要'!$B$30+H193*F193-I193*G193)</f>
        <v/>
      </c>
      <c r="M193" s="195">
        <f>IF(B193="","",H193*G193+I193*F193)</f>
        <v/>
      </c>
      <c r="N193" s="195">
        <f>IF(B193="","",'入力・概要'!$B$30*(J193*L193+K193*M193)/(L193^2+M193^2))</f>
        <v/>
      </c>
      <c r="O193" s="195">
        <f>IF(B193="","",'入力・概要'!$B$30*(K193*L193-J193*M193)/(L193^2+M193^2))</f>
        <v/>
      </c>
      <c r="P193" s="195">
        <f>IF(B193="","",N193+'入力・概要'!$B$36)</f>
        <v/>
      </c>
      <c r="Q193" s="195">
        <f>IF(B193="","",O193+C193*'入力・概要'!$B$37*1E-9)</f>
        <v/>
      </c>
      <c r="R193" s="195">
        <f>IF(B193="","",SQRT(P193^2+Q193^2))</f>
        <v/>
      </c>
      <c r="S193" s="195">
        <f>IF(B193="","",IF(P193&gt;0,DEGREES(ATAN(Q193/P193)),IF(P193&lt;0,IF(Q193&gt;=0,DEGREES(ATAN(Q193/P193))+180,DEGREES(ATAN(Q193/P193))-180),IF(Q193&gt;0,90,IF(Q193&lt;0,-90,0)))))</f>
        <v/>
      </c>
      <c r="T193" s="195">
        <f>IF(B193="","",LOG10(B193))</f>
        <v/>
      </c>
      <c r="U193" s="195">
        <f>IF(R193="","",LOG10(MAX(R193,1E-12)))</f>
        <v/>
      </c>
    </row>
    <row r="194">
      <c r="A194" t="n">
        <v>191</v>
      </c>
      <c r="B194" s="196">
        <f>IF(A194&lt;='入力・概要'!$B$40,10^(LOG10('入力・概要'!$B$38)+(A194-1)*(LOG10('入力・概要'!$B$39)-LOG10('入力・概要'!$B$38))/('入力・概要'!$B$40-1)),"")</f>
        <v/>
      </c>
      <c r="C194" s="195">
        <f>IF(B194="","",2*PI()*B194)</f>
        <v/>
      </c>
      <c r="D194" s="195">
        <f>IF(B194="","",ATANH(MIN(0.999999,(2*'入力・概要'!$B$17*'入力・概要'!$B$6)/'入力・概要'!$B$30))+'入力・概要'!$B$33*SQRT(B194/1E6)+(2*PI()*B194*'入力・概要'!$B$6/(299792458*'入力・概要'!$B$31))*'入力・概要'!$B$32/2)</f>
        <v/>
      </c>
      <c r="E194" s="195">
        <f>IF(B194="","",2*PI()*B194*'入力・概要'!$B$6/(299792458*'入力・概要'!$B$31))</f>
        <v/>
      </c>
      <c r="F194" s="195">
        <f>IF(B194="","",SINH(2*D194)/(COSH(2*D194)+COS(2*E194)))</f>
        <v/>
      </c>
      <c r="G194" s="195">
        <f>IF(B194="","",SIN(2*E194)/(COSH(2*D194)+COS(2*E194)))</f>
        <v/>
      </c>
      <c r="H194" s="195">
        <f>IF(B194="","",'入力・概要'!$B$34)</f>
        <v/>
      </c>
      <c r="I194" s="195">
        <f>IF(B194="","",C194*'入力・概要'!$B$35*1E-9)</f>
        <v/>
      </c>
      <c r="J194" s="195">
        <f>IF(B194="","",H194+'入力・概要'!$B$30*F194)</f>
        <v/>
      </c>
      <c r="K194" s="195">
        <f>IF(B194="","",I194+'入力・概要'!$B$30*G194)</f>
        <v/>
      </c>
      <c r="L194" s="195">
        <f>IF(B194="","",'入力・概要'!$B$30+H194*F194-I194*G194)</f>
        <v/>
      </c>
      <c r="M194" s="195">
        <f>IF(B194="","",H194*G194+I194*F194)</f>
        <v/>
      </c>
      <c r="N194" s="195">
        <f>IF(B194="","",'入力・概要'!$B$30*(J194*L194+K194*M194)/(L194^2+M194^2))</f>
        <v/>
      </c>
      <c r="O194" s="195">
        <f>IF(B194="","",'入力・概要'!$B$30*(K194*L194-J194*M194)/(L194^2+M194^2))</f>
        <v/>
      </c>
      <c r="P194" s="195">
        <f>IF(B194="","",N194+'入力・概要'!$B$36)</f>
        <v/>
      </c>
      <c r="Q194" s="195">
        <f>IF(B194="","",O194+C194*'入力・概要'!$B$37*1E-9)</f>
        <v/>
      </c>
      <c r="R194" s="195">
        <f>IF(B194="","",SQRT(P194^2+Q194^2))</f>
        <v/>
      </c>
      <c r="S194" s="195">
        <f>IF(B194="","",IF(P194&gt;0,DEGREES(ATAN(Q194/P194)),IF(P194&lt;0,IF(Q194&gt;=0,DEGREES(ATAN(Q194/P194))+180,DEGREES(ATAN(Q194/P194))-180),IF(Q194&gt;0,90,IF(Q194&lt;0,-90,0)))))</f>
        <v/>
      </c>
      <c r="T194" s="195">
        <f>IF(B194="","",LOG10(B194))</f>
        <v/>
      </c>
      <c r="U194" s="195">
        <f>IF(R194="","",LOG10(MAX(R194,1E-12)))</f>
        <v/>
      </c>
    </row>
    <row r="195">
      <c r="A195" t="n">
        <v>192</v>
      </c>
      <c r="B195" s="196">
        <f>IF(A195&lt;='入力・概要'!$B$40,10^(LOG10('入力・概要'!$B$38)+(A195-1)*(LOG10('入力・概要'!$B$39)-LOG10('入力・概要'!$B$38))/('入力・概要'!$B$40-1)),"")</f>
        <v/>
      </c>
      <c r="C195" s="195">
        <f>IF(B195="","",2*PI()*B195)</f>
        <v/>
      </c>
      <c r="D195" s="195">
        <f>IF(B195="","",ATANH(MIN(0.999999,(2*'入力・概要'!$B$17*'入力・概要'!$B$6)/'入力・概要'!$B$30))+'入力・概要'!$B$33*SQRT(B195/1E6)+(2*PI()*B195*'入力・概要'!$B$6/(299792458*'入力・概要'!$B$31))*'入力・概要'!$B$32/2)</f>
        <v/>
      </c>
      <c r="E195" s="195">
        <f>IF(B195="","",2*PI()*B195*'入力・概要'!$B$6/(299792458*'入力・概要'!$B$31))</f>
        <v/>
      </c>
      <c r="F195" s="195">
        <f>IF(B195="","",SINH(2*D195)/(COSH(2*D195)+COS(2*E195)))</f>
        <v/>
      </c>
      <c r="G195" s="195">
        <f>IF(B195="","",SIN(2*E195)/(COSH(2*D195)+COS(2*E195)))</f>
        <v/>
      </c>
      <c r="H195" s="195">
        <f>IF(B195="","",'入力・概要'!$B$34)</f>
        <v/>
      </c>
      <c r="I195" s="195">
        <f>IF(B195="","",C195*'入力・概要'!$B$35*1E-9)</f>
        <v/>
      </c>
      <c r="J195" s="195">
        <f>IF(B195="","",H195+'入力・概要'!$B$30*F195)</f>
        <v/>
      </c>
      <c r="K195" s="195">
        <f>IF(B195="","",I195+'入力・概要'!$B$30*G195)</f>
        <v/>
      </c>
      <c r="L195" s="195">
        <f>IF(B195="","",'入力・概要'!$B$30+H195*F195-I195*G195)</f>
        <v/>
      </c>
      <c r="M195" s="195">
        <f>IF(B195="","",H195*G195+I195*F195)</f>
        <v/>
      </c>
      <c r="N195" s="195">
        <f>IF(B195="","",'入力・概要'!$B$30*(J195*L195+K195*M195)/(L195^2+M195^2))</f>
        <v/>
      </c>
      <c r="O195" s="195">
        <f>IF(B195="","",'入力・概要'!$B$30*(K195*L195-J195*M195)/(L195^2+M195^2))</f>
        <v/>
      </c>
      <c r="P195" s="195">
        <f>IF(B195="","",N195+'入力・概要'!$B$36)</f>
        <v/>
      </c>
      <c r="Q195" s="195">
        <f>IF(B195="","",O195+C195*'入力・概要'!$B$37*1E-9)</f>
        <v/>
      </c>
      <c r="R195" s="195">
        <f>IF(B195="","",SQRT(P195^2+Q195^2))</f>
        <v/>
      </c>
      <c r="S195" s="195">
        <f>IF(B195="","",IF(P195&gt;0,DEGREES(ATAN(Q195/P195)),IF(P195&lt;0,IF(Q195&gt;=0,DEGREES(ATAN(Q195/P195))+180,DEGREES(ATAN(Q195/P195))-180),IF(Q195&gt;0,90,IF(Q195&lt;0,-90,0)))))</f>
        <v/>
      </c>
      <c r="T195" s="195">
        <f>IF(B195="","",LOG10(B195))</f>
        <v/>
      </c>
      <c r="U195" s="195">
        <f>IF(R195="","",LOG10(MAX(R195,1E-12)))</f>
        <v/>
      </c>
    </row>
    <row r="196">
      <c r="A196" t="n">
        <v>193</v>
      </c>
      <c r="B196" s="196">
        <f>IF(A196&lt;='入力・概要'!$B$40,10^(LOG10('入力・概要'!$B$38)+(A196-1)*(LOG10('入力・概要'!$B$39)-LOG10('入力・概要'!$B$38))/('入力・概要'!$B$40-1)),"")</f>
        <v/>
      </c>
      <c r="C196" s="195">
        <f>IF(B196="","",2*PI()*B196)</f>
        <v/>
      </c>
      <c r="D196" s="195">
        <f>IF(B196="","",ATANH(MIN(0.999999,(2*'入力・概要'!$B$17*'入力・概要'!$B$6)/'入力・概要'!$B$30))+'入力・概要'!$B$33*SQRT(B196/1E6)+(2*PI()*B196*'入力・概要'!$B$6/(299792458*'入力・概要'!$B$31))*'入力・概要'!$B$32/2)</f>
        <v/>
      </c>
      <c r="E196" s="195">
        <f>IF(B196="","",2*PI()*B196*'入力・概要'!$B$6/(299792458*'入力・概要'!$B$31))</f>
        <v/>
      </c>
      <c r="F196" s="195">
        <f>IF(B196="","",SINH(2*D196)/(COSH(2*D196)+COS(2*E196)))</f>
        <v/>
      </c>
      <c r="G196" s="195">
        <f>IF(B196="","",SIN(2*E196)/(COSH(2*D196)+COS(2*E196)))</f>
        <v/>
      </c>
      <c r="H196" s="195">
        <f>IF(B196="","",'入力・概要'!$B$34)</f>
        <v/>
      </c>
      <c r="I196" s="195">
        <f>IF(B196="","",C196*'入力・概要'!$B$35*1E-9)</f>
        <v/>
      </c>
      <c r="J196" s="195">
        <f>IF(B196="","",H196+'入力・概要'!$B$30*F196)</f>
        <v/>
      </c>
      <c r="K196" s="195">
        <f>IF(B196="","",I196+'入力・概要'!$B$30*G196)</f>
        <v/>
      </c>
      <c r="L196" s="195">
        <f>IF(B196="","",'入力・概要'!$B$30+H196*F196-I196*G196)</f>
        <v/>
      </c>
      <c r="M196" s="195">
        <f>IF(B196="","",H196*G196+I196*F196)</f>
        <v/>
      </c>
      <c r="N196" s="195">
        <f>IF(B196="","",'入力・概要'!$B$30*(J196*L196+K196*M196)/(L196^2+M196^2))</f>
        <v/>
      </c>
      <c r="O196" s="195">
        <f>IF(B196="","",'入力・概要'!$B$30*(K196*L196-J196*M196)/(L196^2+M196^2))</f>
        <v/>
      </c>
      <c r="P196" s="195">
        <f>IF(B196="","",N196+'入力・概要'!$B$36)</f>
        <v/>
      </c>
      <c r="Q196" s="195">
        <f>IF(B196="","",O196+C196*'入力・概要'!$B$37*1E-9)</f>
        <v/>
      </c>
      <c r="R196" s="195">
        <f>IF(B196="","",SQRT(P196^2+Q196^2))</f>
        <v/>
      </c>
      <c r="S196" s="195">
        <f>IF(B196="","",IF(P196&gt;0,DEGREES(ATAN(Q196/P196)),IF(P196&lt;0,IF(Q196&gt;=0,DEGREES(ATAN(Q196/P196))+180,DEGREES(ATAN(Q196/P196))-180),IF(Q196&gt;0,90,IF(Q196&lt;0,-90,0)))))</f>
        <v/>
      </c>
      <c r="T196" s="195">
        <f>IF(B196="","",LOG10(B196))</f>
        <v/>
      </c>
      <c r="U196" s="195">
        <f>IF(R196="","",LOG10(MAX(R196,1E-12)))</f>
        <v/>
      </c>
    </row>
    <row r="197">
      <c r="A197" t="n">
        <v>194</v>
      </c>
      <c r="B197" s="196">
        <f>IF(A197&lt;='入力・概要'!$B$40,10^(LOG10('入力・概要'!$B$38)+(A197-1)*(LOG10('入力・概要'!$B$39)-LOG10('入力・概要'!$B$38))/('入力・概要'!$B$40-1)),"")</f>
        <v/>
      </c>
      <c r="C197" s="195">
        <f>IF(B197="","",2*PI()*B197)</f>
        <v/>
      </c>
      <c r="D197" s="195">
        <f>IF(B197="","",ATANH(MIN(0.999999,(2*'入力・概要'!$B$17*'入力・概要'!$B$6)/'入力・概要'!$B$30))+'入力・概要'!$B$33*SQRT(B197/1E6)+(2*PI()*B197*'入力・概要'!$B$6/(299792458*'入力・概要'!$B$31))*'入力・概要'!$B$32/2)</f>
        <v/>
      </c>
      <c r="E197" s="195">
        <f>IF(B197="","",2*PI()*B197*'入力・概要'!$B$6/(299792458*'入力・概要'!$B$31))</f>
        <v/>
      </c>
      <c r="F197" s="195">
        <f>IF(B197="","",SINH(2*D197)/(COSH(2*D197)+COS(2*E197)))</f>
        <v/>
      </c>
      <c r="G197" s="195">
        <f>IF(B197="","",SIN(2*E197)/(COSH(2*D197)+COS(2*E197)))</f>
        <v/>
      </c>
      <c r="H197" s="195">
        <f>IF(B197="","",'入力・概要'!$B$34)</f>
        <v/>
      </c>
      <c r="I197" s="195">
        <f>IF(B197="","",C197*'入力・概要'!$B$35*1E-9)</f>
        <v/>
      </c>
      <c r="J197" s="195">
        <f>IF(B197="","",H197+'入力・概要'!$B$30*F197)</f>
        <v/>
      </c>
      <c r="K197" s="195">
        <f>IF(B197="","",I197+'入力・概要'!$B$30*G197)</f>
        <v/>
      </c>
      <c r="L197" s="195">
        <f>IF(B197="","",'入力・概要'!$B$30+H197*F197-I197*G197)</f>
        <v/>
      </c>
      <c r="M197" s="195">
        <f>IF(B197="","",H197*G197+I197*F197)</f>
        <v/>
      </c>
      <c r="N197" s="195">
        <f>IF(B197="","",'入力・概要'!$B$30*(J197*L197+K197*M197)/(L197^2+M197^2))</f>
        <v/>
      </c>
      <c r="O197" s="195">
        <f>IF(B197="","",'入力・概要'!$B$30*(K197*L197-J197*M197)/(L197^2+M197^2))</f>
        <v/>
      </c>
      <c r="P197" s="195">
        <f>IF(B197="","",N197+'入力・概要'!$B$36)</f>
        <v/>
      </c>
      <c r="Q197" s="195">
        <f>IF(B197="","",O197+C197*'入力・概要'!$B$37*1E-9)</f>
        <v/>
      </c>
      <c r="R197" s="195">
        <f>IF(B197="","",SQRT(P197^2+Q197^2))</f>
        <v/>
      </c>
      <c r="S197" s="195">
        <f>IF(B197="","",IF(P197&gt;0,DEGREES(ATAN(Q197/P197)),IF(P197&lt;0,IF(Q197&gt;=0,DEGREES(ATAN(Q197/P197))+180,DEGREES(ATAN(Q197/P197))-180),IF(Q197&gt;0,90,IF(Q197&lt;0,-90,0)))))</f>
        <v/>
      </c>
      <c r="T197" s="195">
        <f>IF(B197="","",LOG10(B197))</f>
        <v/>
      </c>
      <c r="U197" s="195">
        <f>IF(R197="","",LOG10(MAX(R197,1E-12)))</f>
        <v/>
      </c>
    </row>
    <row r="198">
      <c r="A198" t="n">
        <v>195</v>
      </c>
      <c r="B198" s="196">
        <f>IF(A198&lt;='入力・概要'!$B$40,10^(LOG10('入力・概要'!$B$38)+(A198-1)*(LOG10('入力・概要'!$B$39)-LOG10('入力・概要'!$B$38))/('入力・概要'!$B$40-1)),"")</f>
        <v/>
      </c>
      <c r="C198" s="195">
        <f>IF(B198="","",2*PI()*B198)</f>
        <v/>
      </c>
      <c r="D198" s="195">
        <f>IF(B198="","",ATANH(MIN(0.999999,(2*'入力・概要'!$B$17*'入力・概要'!$B$6)/'入力・概要'!$B$30))+'入力・概要'!$B$33*SQRT(B198/1E6)+(2*PI()*B198*'入力・概要'!$B$6/(299792458*'入力・概要'!$B$31))*'入力・概要'!$B$32/2)</f>
        <v/>
      </c>
      <c r="E198" s="195">
        <f>IF(B198="","",2*PI()*B198*'入力・概要'!$B$6/(299792458*'入力・概要'!$B$31))</f>
        <v/>
      </c>
      <c r="F198" s="195">
        <f>IF(B198="","",SINH(2*D198)/(COSH(2*D198)+COS(2*E198)))</f>
        <v/>
      </c>
      <c r="G198" s="195">
        <f>IF(B198="","",SIN(2*E198)/(COSH(2*D198)+COS(2*E198)))</f>
        <v/>
      </c>
      <c r="H198" s="195">
        <f>IF(B198="","",'入力・概要'!$B$34)</f>
        <v/>
      </c>
      <c r="I198" s="195">
        <f>IF(B198="","",C198*'入力・概要'!$B$35*1E-9)</f>
        <v/>
      </c>
      <c r="J198" s="195">
        <f>IF(B198="","",H198+'入力・概要'!$B$30*F198)</f>
        <v/>
      </c>
      <c r="K198" s="195">
        <f>IF(B198="","",I198+'入力・概要'!$B$30*G198)</f>
        <v/>
      </c>
      <c r="L198" s="195">
        <f>IF(B198="","",'入力・概要'!$B$30+H198*F198-I198*G198)</f>
        <v/>
      </c>
      <c r="M198" s="195">
        <f>IF(B198="","",H198*G198+I198*F198)</f>
        <v/>
      </c>
      <c r="N198" s="195">
        <f>IF(B198="","",'入力・概要'!$B$30*(J198*L198+K198*M198)/(L198^2+M198^2))</f>
        <v/>
      </c>
      <c r="O198" s="195">
        <f>IF(B198="","",'入力・概要'!$B$30*(K198*L198-J198*M198)/(L198^2+M198^2))</f>
        <v/>
      </c>
      <c r="P198" s="195">
        <f>IF(B198="","",N198+'入力・概要'!$B$36)</f>
        <v/>
      </c>
      <c r="Q198" s="195">
        <f>IF(B198="","",O198+C198*'入力・概要'!$B$37*1E-9)</f>
        <v/>
      </c>
      <c r="R198" s="195">
        <f>IF(B198="","",SQRT(P198^2+Q198^2))</f>
        <v/>
      </c>
      <c r="S198" s="195">
        <f>IF(B198="","",IF(P198&gt;0,DEGREES(ATAN(Q198/P198)),IF(P198&lt;0,IF(Q198&gt;=0,DEGREES(ATAN(Q198/P198))+180,DEGREES(ATAN(Q198/P198))-180),IF(Q198&gt;0,90,IF(Q198&lt;0,-90,0)))))</f>
        <v/>
      </c>
      <c r="T198" s="195">
        <f>IF(B198="","",LOG10(B198))</f>
        <v/>
      </c>
      <c r="U198" s="195">
        <f>IF(R198="","",LOG10(MAX(R198,1E-12)))</f>
        <v/>
      </c>
    </row>
    <row r="199">
      <c r="A199" t="n">
        <v>196</v>
      </c>
      <c r="B199" s="196">
        <f>IF(A199&lt;='入力・概要'!$B$40,10^(LOG10('入力・概要'!$B$38)+(A199-1)*(LOG10('入力・概要'!$B$39)-LOG10('入力・概要'!$B$38))/('入力・概要'!$B$40-1)),"")</f>
        <v/>
      </c>
      <c r="C199" s="195">
        <f>IF(B199="","",2*PI()*B199)</f>
        <v/>
      </c>
      <c r="D199" s="195">
        <f>IF(B199="","",ATANH(MIN(0.999999,(2*'入力・概要'!$B$17*'入力・概要'!$B$6)/'入力・概要'!$B$30))+'入力・概要'!$B$33*SQRT(B199/1E6)+(2*PI()*B199*'入力・概要'!$B$6/(299792458*'入力・概要'!$B$31))*'入力・概要'!$B$32/2)</f>
        <v/>
      </c>
      <c r="E199" s="195">
        <f>IF(B199="","",2*PI()*B199*'入力・概要'!$B$6/(299792458*'入力・概要'!$B$31))</f>
        <v/>
      </c>
      <c r="F199" s="195">
        <f>IF(B199="","",SINH(2*D199)/(COSH(2*D199)+COS(2*E199)))</f>
        <v/>
      </c>
      <c r="G199" s="195">
        <f>IF(B199="","",SIN(2*E199)/(COSH(2*D199)+COS(2*E199)))</f>
        <v/>
      </c>
      <c r="H199" s="195">
        <f>IF(B199="","",'入力・概要'!$B$34)</f>
        <v/>
      </c>
      <c r="I199" s="195">
        <f>IF(B199="","",C199*'入力・概要'!$B$35*1E-9)</f>
        <v/>
      </c>
      <c r="J199" s="195">
        <f>IF(B199="","",H199+'入力・概要'!$B$30*F199)</f>
        <v/>
      </c>
      <c r="K199" s="195">
        <f>IF(B199="","",I199+'入力・概要'!$B$30*G199)</f>
        <v/>
      </c>
      <c r="L199" s="195">
        <f>IF(B199="","",'入力・概要'!$B$30+H199*F199-I199*G199)</f>
        <v/>
      </c>
      <c r="M199" s="195">
        <f>IF(B199="","",H199*G199+I199*F199)</f>
        <v/>
      </c>
      <c r="N199" s="195">
        <f>IF(B199="","",'入力・概要'!$B$30*(J199*L199+K199*M199)/(L199^2+M199^2))</f>
        <v/>
      </c>
      <c r="O199" s="195">
        <f>IF(B199="","",'入力・概要'!$B$30*(K199*L199-J199*M199)/(L199^2+M199^2))</f>
        <v/>
      </c>
      <c r="P199" s="195">
        <f>IF(B199="","",N199+'入力・概要'!$B$36)</f>
        <v/>
      </c>
      <c r="Q199" s="195">
        <f>IF(B199="","",O199+C199*'入力・概要'!$B$37*1E-9)</f>
        <v/>
      </c>
      <c r="R199" s="195">
        <f>IF(B199="","",SQRT(P199^2+Q199^2))</f>
        <v/>
      </c>
      <c r="S199" s="195">
        <f>IF(B199="","",IF(P199&gt;0,DEGREES(ATAN(Q199/P199)),IF(P199&lt;0,IF(Q199&gt;=0,DEGREES(ATAN(Q199/P199))+180,DEGREES(ATAN(Q199/P199))-180),IF(Q199&gt;0,90,IF(Q199&lt;0,-90,0)))))</f>
        <v/>
      </c>
      <c r="T199" s="195">
        <f>IF(B199="","",LOG10(B199))</f>
        <v/>
      </c>
      <c r="U199" s="195">
        <f>IF(R199="","",LOG10(MAX(R199,1E-12)))</f>
        <v/>
      </c>
    </row>
    <row r="200">
      <c r="A200" t="n">
        <v>197</v>
      </c>
      <c r="B200" s="196">
        <f>IF(A200&lt;='入力・概要'!$B$40,10^(LOG10('入力・概要'!$B$38)+(A200-1)*(LOG10('入力・概要'!$B$39)-LOG10('入力・概要'!$B$38))/('入力・概要'!$B$40-1)),"")</f>
        <v/>
      </c>
      <c r="C200" s="195">
        <f>IF(B200="","",2*PI()*B200)</f>
        <v/>
      </c>
      <c r="D200" s="195">
        <f>IF(B200="","",ATANH(MIN(0.999999,(2*'入力・概要'!$B$17*'入力・概要'!$B$6)/'入力・概要'!$B$30))+'入力・概要'!$B$33*SQRT(B200/1E6)+(2*PI()*B200*'入力・概要'!$B$6/(299792458*'入力・概要'!$B$31))*'入力・概要'!$B$32/2)</f>
        <v/>
      </c>
      <c r="E200" s="195">
        <f>IF(B200="","",2*PI()*B200*'入力・概要'!$B$6/(299792458*'入力・概要'!$B$31))</f>
        <v/>
      </c>
      <c r="F200" s="195">
        <f>IF(B200="","",SINH(2*D200)/(COSH(2*D200)+COS(2*E200)))</f>
        <v/>
      </c>
      <c r="G200" s="195">
        <f>IF(B200="","",SIN(2*E200)/(COSH(2*D200)+COS(2*E200)))</f>
        <v/>
      </c>
      <c r="H200" s="195">
        <f>IF(B200="","",'入力・概要'!$B$34)</f>
        <v/>
      </c>
      <c r="I200" s="195">
        <f>IF(B200="","",C200*'入力・概要'!$B$35*1E-9)</f>
        <v/>
      </c>
      <c r="J200" s="195">
        <f>IF(B200="","",H200+'入力・概要'!$B$30*F200)</f>
        <v/>
      </c>
      <c r="K200" s="195">
        <f>IF(B200="","",I200+'入力・概要'!$B$30*G200)</f>
        <v/>
      </c>
      <c r="L200" s="195">
        <f>IF(B200="","",'入力・概要'!$B$30+H200*F200-I200*G200)</f>
        <v/>
      </c>
      <c r="M200" s="195">
        <f>IF(B200="","",H200*G200+I200*F200)</f>
        <v/>
      </c>
      <c r="N200" s="195">
        <f>IF(B200="","",'入力・概要'!$B$30*(J200*L200+K200*M200)/(L200^2+M200^2))</f>
        <v/>
      </c>
      <c r="O200" s="195">
        <f>IF(B200="","",'入力・概要'!$B$30*(K200*L200-J200*M200)/(L200^2+M200^2))</f>
        <v/>
      </c>
      <c r="P200" s="195">
        <f>IF(B200="","",N200+'入力・概要'!$B$36)</f>
        <v/>
      </c>
      <c r="Q200" s="195">
        <f>IF(B200="","",O200+C200*'入力・概要'!$B$37*1E-9)</f>
        <v/>
      </c>
      <c r="R200" s="195">
        <f>IF(B200="","",SQRT(P200^2+Q200^2))</f>
        <v/>
      </c>
      <c r="S200" s="195">
        <f>IF(B200="","",IF(P200&gt;0,DEGREES(ATAN(Q200/P200)),IF(P200&lt;0,IF(Q200&gt;=0,DEGREES(ATAN(Q200/P200))+180,DEGREES(ATAN(Q200/P200))-180),IF(Q200&gt;0,90,IF(Q200&lt;0,-90,0)))))</f>
        <v/>
      </c>
      <c r="T200" s="195">
        <f>IF(B200="","",LOG10(B200))</f>
        <v/>
      </c>
      <c r="U200" s="195">
        <f>IF(R200="","",LOG10(MAX(R200,1E-12)))</f>
        <v/>
      </c>
    </row>
    <row r="201">
      <c r="A201" t="n">
        <v>198</v>
      </c>
      <c r="B201" s="196">
        <f>IF(A201&lt;='入力・概要'!$B$40,10^(LOG10('入力・概要'!$B$38)+(A201-1)*(LOG10('入力・概要'!$B$39)-LOG10('入力・概要'!$B$38))/('入力・概要'!$B$40-1)),"")</f>
        <v/>
      </c>
      <c r="C201" s="195">
        <f>IF(B201="","",2*PI()*B201)</f>
        <v/>
      </c>
      <c r="D201" s="195">
        <f>IF(B201="","",ATANH(MIN(0.999999,(2*'入力・概要'!$B$17*'入力・概要'!$B$6)/'入力・概要'!$B$30))+'入力・概要'!$B$33*SQRT(B201/1E6)+(2*PI()*B201*'入力・概要'!$B$6/(299792458*'入力・概要'!$B$31))*'入力・概要'!$B$32/2)</f>
        <v/>
      </c>
      <c r="E201" s="195">
        <f>IF(B201="","",2*PI()*B201*'入力・概要'!$B$6/(299792458*'入力・概要'!$B$31))</f>
        <v/>
      </c>
      <c r="F201" s="195">
        <f>IF(B201="","",SINH(2*D201)/(COSH(2*D201)+COS(2*E201)))</f>
        <v/>
      </c>
      <c r="G201" s="195">
        <f>IF(B201="","",SIN(2*E201)/(COSH(2*D201)+COS(2*E201)))</f>
        <v/>
      </c>
      <c r="H201" s="195">
        <f>IF(B201="","",'入力・概要'!$B$34)</f>
        <v/>
      </c>
      <c r="I201" s="195">
        <f>IF(B201="","",C201*'入力・概要'!$B$35*1E-9)</f>
        <v/>
      </c>
      <c r="J201" s="195">
        <f>IF(B201="","",H201+'入力・概要'!$B$30*F201)</f>
        <v/>
      </c>
      <c r="K201" s="195">
        <f>IF(B201="","",I201+'入力・概要'!$B$30*G201)</f>
        <v/>
      </c>
      <c r="L201" s="195">
        <f>IF(B201="","",'入力・概要'!$B$30+H201*F201-I201*G201)</f>
        <v/>
      </c>
      <c r="M201" s="195">
        <f>IF(B201="","",H201*G201+I201*F201)</f>
        <v/>
      </c>
      <c r="N201" s="195">
        <f>IF(B201="","",'入力・概要'!$B$30*(J201*L201+K201*M201)/(L201^2+M201^2))</f>
        <v/>
      </c>
      <c r="O201" s="195">
        <f>IF(B201="","",'入力・概要'!$B$30*(K201*L201-J201*M201)/(L201^2+M201^2))</f>
        <v/>
      </c>
      <c r="P201" s="195">
        <f>IF(B201="","",N201+'入力・概要'!$B$36)</f>
        <v/>
      </c>
      <c r="Q201" s="195">
        <f>IF(B201="","",O201+C201*'入力・概要'!$B$37*1E-9)</f>
        <v/>
      </c>
      <c r="R201" s="195">
        <f>IF(B201="","",SQRT(P201^2+Q201^2))</f>
        <v/>
      </c>
      <c r="S201" s="195">
        <f>IF(B201="","",IF(P201&gt;0,DEGREES(ATAN(Q201/P201)),IF(P201&lt;0,IF(Q201&gt;=0,DEGREES(ATAN(Q201/P201))+180,DEGREES(ATAN(Q201/P201))-180),IF(Q201&gt;0,90,IF(Q201&lt;0,-90,0)))))</f>
        <v/>
      </c>
      <c r="T201" s="195">
        <f>IF(B201="","",LOG10(B201))</f>
        <v/>
      </c>
      <c r="U201" s="195">
        <f>IF(R201="","",LOG10(MAX(R201,1E-12)))</f>
        <v/>
      </c>
    </row>
    <row r="202">
      <c r="A202" t="n">
        <v>199</v>
      </c>
      <c r="B202" s="196">
        <f>IF(A202&lt;='入力・概要'!$B$40,10^(LOG10('入力・概要'!$B$38)+(A202-1)*(LOG10('入力・概要'!$B$39)-LOG10('入力・概要'!$B$38))/('入力・概要'!$B$40-1)),"")</f>
        <v/>
      </c>
      <c r="C202" s="195">
        <f>IF(B202="","",2*PI()*B202)</f>
        <v/>
      </c>
      <c r="D202" s="195">
        <f>IF(B202="","",ATANH(MIN(0.999999,(2*'入力・概要'!$B$17*'入力・概要'!$B$6)/'入力・概要'!$B$30))+'入力・概要'!$B$33*SQRT(B202/1E6)+(2*PI()*B202*'入力・概要'!$B$6/(299792458*'入力・概要'!$B$31))*'入力・概要'!$B$32/2)</f>
        <v/>
      </c>
      <c r="E202" s="195">
        <f>IF(B202="","",2*PI()*B202*'入力・概要'!$B$6/(299792458*'入力・概要'!$B$31))</f>
        <v/>
      </c>
      <c r="F202" s="195">
        <f>IF(B202="","",SINH(2*D202)/(COSH(2*D202)+COS(2*E202)))</f>
        <v/>
      </c>
      <c r="G202" s="195">
        <f>IF(B202="","",SIN(2*E202)/(COSH(2*D202)+COS(2*E202)))</f>
        <v/>
      </c>
      <c r="H202" s="195">
        <f>IF(B202="","",'入力・概要'!$B$34)</f>
        <v/>
      </c>
      <c r="I202" s="195">
        <f>IF(B202="","",C202*'入力・概要'!$B$35*1E-9)</f>
        <v/>
      </c>
      <c r="J202" s="195">
        <f>IF(B202="","",H202+'入力・概要'!$B$30*F202)</f>
        <v/>
      </c>
      <c r="K202" s="195">
        <f>IF(B202="","",I202+'入力・概要'!$B$30*G202)</f>
        <v/>
      </c>
      <c r="L202" s="195">
        <f>IF(B202="","",'入力・概要'!$B$30+H202*F202-I202*G202)</f>
        <v/>
      </c>
      <c r="M202" s="195">
        <f>IF(B202="","",H202*G202+I202*F202)</f>
        <v/>
      </c>
      <c r="N202" s="195">
        <f>IF(B202="","",'入力・概要'!$B$30*(J202*L202+K202*M202)/(L202^2+M202^2))</f>
        <v/>
      </c>
      <c r="O202" s="195">
        <f>IF(B202="","",'入力・概要'!$B$30*(K202*L202-J202*M202)/(L202^2+M202^2))</f>
        <v/>
      </c>
      <c r="P202" s="195">
        <f>IF(B202="","",N202+'入力・概要'!$B$36)</f>
        <v/>
      </c>
      <c r="Q202" s="195">
        <f>IF(B202="","",O202+C202*'入力・概要'!$B$37*1E-9)</f>
        <v/>
      </c>
      <c r="R202" s="195">
        <f>IF(B202="","",SQRT(P202^2+Q202^2))</f>
        <v/>
      </c>
      <c r="S202" s="195">
        <f>IF(B202="","",IF(P202&gt;0,DEGREES(ATAN(Q202/P202)),IF(P202&lt;0,IF(Q202&gt;=0,DEGREES(ATAN(Q202/P202))+180,DEGREES(ATAN(Q202/P202))-180),IF(Q202&gt;0,90,IF(Q202&lt;0,-90,0)))))</f>
        <v/>
      </c>
      <c r="T202" s="195">
        <f>IF(B202="","",LOG10(B202))</f>
        <v/>
      </c>
      <c r="U202" s="195">
        <f>IF(R202="","",LOG10(MAX(R202,1E-12)))</f>
        <v/>
      </c>
    </row>
    <row r="203">
      <c r="A203" t="n">
        <v>200</v>
      </c>
      <c r="B203" s="196">
        <f>IF(A203&lt;='入力・概要'!$B$40,10^(LOG10('入力・概要'!$B$38)+(A203-1)*(LOG10('入力・概要'!$B$39)-LOG10('入力・概要'!$B$38))/('入力・概要'!$B$40-1)),"")</f>
        <v/>
      </c>
      <c r="C203" s="195">
        <f>IF(B203="","",2*PI()*B203)</f>
        <v/>
      </c>
      <c r="D203" s="195">
        <f>IF(B203="","",ATANH(MIN(0.999999,(2*'入力・概要'!$B$17*'入力・概要'!$B$6)/'入力・概要'!$B$30))+'入力・概要'!$B$33*SQRT(B203/1E6)+(2*PI()*B203*'入力・概要'!$B$6/(299792458*'入力・概要'!$B$31))*'入力・概要'!$B$32/2)</f>
        <v/>
      </c>
      <c r="E203" s="195">
        <f>IF(B203="","",2*PI()*B203*'入力・概要'!$B$6/(299792458*'入力・概要'!$B$31))</f>
        <v/>
      </c>
      <c r="F203" s="195">
        <f>IF(B203="","",SINH(2*D203)/(COSH(2*D203)+COS(2*E203)))</f>
        <v/>
      </c>
      <c r="G203" s="195">
        <f>IF(B203="","",SIN(2*E203)/(COSH(2*D203)+COS(2*E203)))</f>
        <v/>
      </c>
      <c r="H203" s="195">
        <f>IF(B203="","",'入力・概要'!$B$34)</f>
        <v/>
      </c>
      <c r="I203" s="195">
        <f>IF(B203="","",C203*'入力・概要'!$B$35*1E-9)</f>
        <v/>
      </c>
      <c r="J203" s="195">
        <f>IF(B203="","",H203+'入力・概要'!$B$30*F203)</f>
        <v/>
      </c>
      <c r="K203" s="195">
        <f>IF(B203="","",I203+'入力・概要'!$B$30*G203)</f>
        <v/>
      </c>
      <c r="L203" s="195">
        <f>IF(B203="","",'入力・概要'!$B$30+H203*F203-I203*G203)</f>
        <v/>
      </c>
      <c r="M203" s="195">
        <f>IF(B203="","",H203*G203+I203*F203)</f>
        <v/>
      </c>
      <c r="N203" s="195">
        <f>IF(B203="","",'入力・概要'!$B$30*(J203*L203+K203*M203)/(L203^2+M203^2))</f>
        <v/>
      </c>
      <c r="O203" s="195">
        <f>IF(B203="","",'入力・概要'!$B$30*(K203*L203-J203*M203)/(L203^2+M203^2))</f>
        <v/>
      </c>
      <c r="P203" s="195">
        <f>IF(B203="","",N203+'入力・概要'!$B$36)</f>
        <v/>
      </c>
      <c r="Q203" s="195">
        <f>IF(B203="","",O203+C203*'入力・概要'!$B$37*1E-9)</f>
        <v/>
      </c>
      <c r="R203" s="195">
        <f>IF(B203="","",SQRT(P203^2+Q203^2))</f>
        <v/>
      </c>
      <c r="S203" s="195">
        <f>IF(B203="","",IF(P203&gt;0,DEGREES(ATAN(Q203/P203)),IF(P203&lt;0,IF(Q203&gt;=0,DEGREES(ATAN(Q203/P203))+180,DEGREES(ATAN(Q203/P203))-180),IF(Q203&gt;0,90,IF(Q203&lt;0,-90,0)))))</f>
        <v/>
      </c>
      <c r="T203" s="195">
        <f>IF(B203="","",LOG10(B203))</f>
        <v/>
      </c>
      <c r="U203" s="195">
        <f>IF(R203="","",LOG10(MAX(R203,1E-12)))</f>
        <v/>
      </c>
    </row>
    <row r="204">
      <c r="A204" t="n">
        <v>201</v>
      </c>
      <c r="B204" s="196">
        <f>IF(A204&lt;='入力・概要'!$B$40,10^(LOG10('入力・概要'!$B$38)+(A204-1)*(LOG10('入力・概要'!$B$39)-LOG10('入力・概要'!$B$38))/('入力・概要'!$B$40-1)),"")</f>
        <v/>
      </c>
      <c r="C204" s="195">
        <f>IF(B204="","",2*PI()*B204)</f>
        <v/>
      </c>
      <c r="D204" s="195">
        <f>IF(B204="","",ATANH(MIN(0.999999,(2*'入力・概要'!$B$17*'入力・概要'!$B$6)/'入力・概要'!$B$30))+'入力・概要'!$B$33*SQRT(B204/1E6)+(2*PI()*B204*'入力・概要'!$B$6/(299792458*'入力・概要'!$B$31))*'入力・概要'!$B$32/2)</f>
        <v/>
      </c>
      <c r="E204" s="195">
        <f>IF(B204="","",2*PI()*B204*'入力・概要'!$B$6/(299792458*'入力・概要'!$B$31))</f>
        <v/>
      </c>
      <c r="F204" s="195">
        <f>IF(B204="","",SINH(2*D204)/(COSH(2*D204)+COS(2*E204)))</f>
        <v/>
      </c>
      <c r="G204" s="195">
        <f>IF(B204="","",SIN(2*E204)/(COSH(2*D204)+COS(2*E204)))</f>
        <v/>
      </c>
      <c r="H204" s="195">
        <f>IF(B204="","",'入力・概要'!$B$34)</f>
        <v/>
      </c>
      <c r="I204" s="195">
        <f>IF(B204="","",C204*'入力・概要'!$B$35*1E-9)</f>
        <v/>
      </c>
      <c r="J204" s="195">
        <f>IF(B204="","",H204+'入力・概要'!$B$30*F204)</f>
        <v/>
      </c>
      <c r="K204" s="195">
        <f>IF(B204="","",I204+'入力・概要'!$B$30*G204)</f>
        <v/>
      </c>
      <c r="L204" s="195">
        <f>IF(B204="","",'入力・概要'!$B$30+H204*F204-I204*G204)</f>
        <v/>
      </c>
      <c r="M204" s="195">
        <f>IF(B204="","",H204*G204+I204*F204)</f>
        <v/>
      </c>
      <c r="N204" s="195">
        <f>IF(B204="","",'入力・概要'!$B$30*(J204*L204+K204*M204)/(L204^2+M204^2))</f>
        <v/>
      </c>
      <c r="O204" s="195">
        <f>IF(B204="","",'入力・概要'!$B$30*(K204*L204-J204*M204)/(L204^2+M204^2))</f>
        <v/>
      </c>
      <c r="P204" s="195">
        <f>IF(B204="","",N204+'入力・概要'!$B$36)</f>
        <v/>
      </c>
      <c r="Q204" s="195">
        <f>IF(B204="","",O204+C204*'入力・概要'!$B$37*1E-9)</f>
        <v/>
      </c>
      <c r="R204" s="195">
        <f>IF(B204="","",SQRT(P204^2+Q204^2))</f>
        <v/>
      </c>
      <c r="S204" s="195">
        <f>IF(B204="","",IF(P204&gt;0,DEGREES(ATAN(Q204/P204)),IF(P204&lt;0,IF(Q204&gt;=0,DEGREES(ATAN(Q204/P204))+180,DEGREES(ATAN(Q204/P204))-180),IF(Q204&gt;0,90,IF(Q204&lt;0,-90,0)))))</f>
        <v/>
      </c>
      <c r="T204" s="195">
        <f>IF(B204="","",LOG10(B204))</f>
        <v/>
      </c>
      <c r="U204" s="195">
        <f>IF(R204="","",LOG10(MAX(R204,1E-12)))</f>
        <v/>
      </c>
    </row>
    <row r="205">
      <c r="A205" t="n">
        <v>202</v>
      </c>
      <c r="B205" s="196">
        <f>IF(A205&lt;='入力・概要'!$B$40,10^(LOG10('入力・概要'!$B$38)+(A205-1)*(LOG10('入力・概要'!$B$39)-LOG10('入力・概要'!$B$38))/('入力・概要'!$B$40-1)),"")</f>
        <v/>
      </c>
      <c r="C205" s="195">
        <f>IF(B205="","",2*PI()*B205)</f>
        <v/>
      </c>
      <c r="D205" s="195">
        <f>IF(B205="","",ATANH(MIN(0.999999,(2*'入力・概要'!$B$17*'入力・概要'!$B$6)/'入力・概要'!$B$30))+'入力・概要'!$B$33*SQRT(B205/1E6)+(2*PI()*B205*'入力・概要'!$B$6/(299792458*'入力・概要'!$B$31))*'入力・概要'!$B$32/2)</f>
        <v/>
      </c>
      <c r="E205" s="195">
        <f>IF(B205="","",2*PI()*B205*'入力・概要'!$B$6/(299792458*'入力・概要'!$B$31))</f>
        <v/>
      </c>
      <c r="F205" s="195">
        <f>IF(B205="","",SINH(2*D205)/(COSH(2*D205)+COS(2*E205)))</f>
        <v/>
      </c>
      <c r="G205" s="195">
        <f>IF(B205="","",SIN(2*E205)/(COSH(2*D205)+COS(2*E205)))</f>
        <v/>
      </c>
      <c r="H205" s="195">
        <f>IF(B205="","",'入力・概要'!$B$34)</f>
        <v/>
      </c>
      <c r="I205" s="195">
        <f>IF(B205="","",C205*'入力・概要'!$B$35*1E-9)</f>
        <v/>
      </c>
      <c r="J205" s="195">
        <f>IF(B205="","",H205+'入力・概要'!$B$30*F205)</f>
        <v/>
      </c>
      <c r="K205" s="195">
        <f>IF(B205="","",I205+'入力・概要'!$B$30*G205)</f>
        <v/>
      </c>
      <c r="L205" s="195">
        <f>IF(B205="","",'入力・概要'!$B$30+H205*F205-I205*G205)</f>
        <v/>
      </c>
      <c r="M205" s="195">
        <f>IF(B205="","",H205*G205+I205*F205)</f>
        <v/>
      </c>
      <c r="N205" s="195">
        <f>IF(B205="","",'入力・概要'!$B$30*(J205*L205+K205*M205)/(L205^2+M205^2))</f>
        <v/>
      </c>
      <c r="O205" s="195">
        <f>IF(B205="","",'入力・概要'!$B$30*(K205*L205-J205*M205)/(L205^2+M205^2))</f>
        <v/>
      </c>
      <c r="P205" s="195">
        <f>IF(B205="","",N205+'入力・概要'!$B$36)</f>
        <v/>
      </c>
      <c r="Q205" s="195">
        <f>IF(B205="","",O205+C205*'入力・概要'!$B$37*1E-9)</f>
        <v/>
      </c>
      <c r="R205" s="195">
        <f>IF(B205="","",SQRT(P205^2+Q205^2))</f>
        <v/>
      </c>
      <c r="S205" s="195">
        <f>IF(B205="","",IF(P205&gt;0,DEGREES(ATAN(Q205/P205)),IF(P205&lt;0,IF(Q205&gt;=0,DEGREES(ATAN(Q205/P205))+180,DEGREES(ATAN(Q205/P205))-180),IF(Q205&gt;0,90,IF(Q205&lt;0,-90,0)))))</f>
        <v/>
      </c>
      <c r="T205" s="195">
        <f>IF(B205="","",LOG10(B205))</f>
        <v/>
      </c>
      <c r="U205" s="195">
        <f>IF(R205="","",LOG10(MAX(R205,1E-12)))</f>
        <v/>
      </c>
    </row>
    <row r="206">
      <c r="A206" t="n">
        <v>203</v>
      </c>
      <c r="B206" s="196">
        <f>IF(A206&lt;='入力・概要'!$B$40,10^(LOG10('入力・概要'!$B$38)+(A206-1)*(LOG10('入力・概要'!$B$39)-LOG10('入力・概要'!$B$38))/('入力・概要'!$B$40-1)),"")</f>
        <v/>
      </c>
      <c r="C206" s="195">
        <f>IF(B206="","",2*PI()*B206)</f>
        <v/>
      </c>
      <c r="D206" s="195">
        <f>IF(B206="","",ATANH(MIN(0.999999,(2*'入力・概要'!$B$17*'入力・概要'!$B$6)/'入力・概要'!$B$30))+'入力・概要'!$B$33*SQRT(B206/1E6)+(2*PI()*B206*'入力・概要'!$B$6/(299792458*'入力・概要'!$B$31))*'入力・概要'!$B$32/2)</f>
        <v/>
      </c>
      <c r="E206" s="195">
        <f>IF(B206="","",2*PI()*B206*'入力・概要'!$B$6/(299792458*'入力・概要'!$B$31))</f>
        <v/>
      </c>
      <c r="F206" s="195">
        <f>IF(B206="","",SINH(2*D206)/(COSH(2*D206)+COS(2*E206)))</f>
        <v/>
      </c>
      <c r="G206" s="195">
        <f>IF(B206="","",SIN(2*E206)/(COSH(2*D206)+COS(2*E206)))</f>
        <v/>
      </c>
      <c r="H206" s="195">
        <f>IF(B206="","",'入力・概要'!$B$34)</f>
        <v/>
      </c>
      <c r="I206" s="195">
        <f>IF(B206="","",C206*'入力・概要'!$B$35*1E-9)</f>
        <v/>
      </c>
      <c r="J206" s="195">
        <f>IF(B206="","",H206+'入力・概要'!$B$30*F206)</f>
        <v/>
      </c>
      <c r="K206" s="195">
        <f>IF(B206="","",I206+'入力・概要'!$B$30*G206)</f>
        <v/>
      </c>
      <c r="L206" s="195">
        <f>IF(B206="","",'入力・概要'!$B$30+H206*F206-I206*G206)</f>
        <v/>
      </c>
      <c r="M206" s="195">
        <f>IF(B206="","",H206*G206+I206*F206)</f>
        <v/>
      </c>
      <c r="N206" s="195">
        <f>IF(B206="","",'入力・概要'!$B$30*(J206*L206+K206*M206)/(L206^2+M206^2))</f>
        <v/>
      </c>
      <c r="O206" s="195">
        <f>IF(B206="","",'入力・概要'!$B$30*(K206*L206-J206*M206)/(L206^2+M206^2))</f>
        <v/>
      </c>
      <c r="P206" s="195">
        <f>IF(B206="","",N206+'入力・概要'!$B$36)</f>
        <v/>
      </c>
      <c r="Q206" s="195">
        <f>IF(B206="","",O206+C206*'入力・概要'!$B$37*1E-9)</f>
        <v/>
      </c>
      <c r="R206" s="195">
        <f>IF(B206="","",SQRT(P206^2+Q206^2))</f>
        <v/>
      </c>
      <c r="S206" s="195">
        <f>IF(B206="","",IF(P206&gt;0,DEGREES(ATAN(Q206/P206)),IF(P206&lt;0,IF(Q206&gt;=0,DEGREES(ATAN(Q206/P206))+180,DEGREES(ATAN(Q206/P206))-180),IF(Q206&gt;0,90,IF(Q206&lt;0,-90,0)))))</f>
        <v/>
      </c>
      <c r="T206" s="195">
        <f>IF(B206="","",LOG10(B206))</f>
        <v/>
      </c>
      <c r="U206" s="195">
        <f>IF(R206="","",LOG10(MAX(R206,1E-12)))</f>
        <v/>
      </c>
    </row>
    <row r="207">
      <c r="A207" t="n">
        <v>204</v>
      </c>
      <c r="B207" s="196">
        <f>IF(A207&lt;='入力・概要'!$B$40,10^(LOG10('入力・概要'!$B$38)+(A207-1)*(LOG10('入力・概要'!$B$39)-LOG10('入力・概要'!$B$38))/('入力・概要'!$B$40-1)),"")</f>
        <v/>
      </c>
      <c r="C207" s="195">
        <f>IF(B207="","",2*PI()*B207)</f>
        <v/>
      </c>
      <c r="D207" s="195">
        <f>IF(B207="","",ATANH(MIN(0.999999,(2*'入力・概要'!$B$17*'入力・概要'!$B$6)/'入力・概要'!$B$30))+'入力・概要'!$B$33*SQRT(B207/1E6)+(2*PI()*B207*'入力・概要'!$B$6/(299792458*'入力・概要'!$B$31))*'入力・概要'!$B$32/2)</f>
        <v/>
      </c>
      <c r="E207" s="195">
        <f>IF(B207="","",2*PI()*B207*'入力・概要'!$B$6/(299792458*'入力・概要'!$B$31))</f>
        <v/>
      </c>
      <c r="F207" s="195">
        <f>IF(B207="","",SINH(2*D207)/(COSH(2*D207)+COS(2*E207)))</f>
        <v/>
      </c>
      <c r="G207" s="195">
        <f>IF(B207="","",SIN(2*E207)/(COSH(2*D207)+COS(2*E207)))</f>
        <v/>
      </c>
      <c r="H207" s="195">
        <f>IF(B207="","",'入力・概要'!$B$34)</f>
        <v/>
      </c>
      <c r="I207" s="195">
        <f>IF(B207="","",C207*'入力・概要'!$B$35*1E-9)</f>
        <v/>
      </c>
      <c r="J207" s="195">
        <f>IF(B207="","",H207+'入力・概要'!$B$30*F207)</f>
        <v/>
      </c>
      <c r="K207" s="195">
        <f>IF(B207="","",I207+'入力・概要'!$B$30*G207)</f>
        <v/>
      </c>
      <c r="L207" s="195">
        <f>IF(B207="","",'入力・概要'!$B$30+H207*F207-I207*G207)</f>
        <v/>
      </c>
      <c r="M207" s="195">
        <f>IF(B207="","",H207*G207+I207*F207)</f>
        <v/>
      </c>
      <c r="N207" s="195">
        <f>IF(B207="","",'入力・概要'!$B$30*(J207*L207+K207*M207)/(L207^2+M207^2))</f>
        <v/>
      </c>
      <c r="O207" s="195">
        <f>IF(B207="","",'入力・概要'!$B$30*(K207*L207-J207*M207)/(L207^2+M207^2))</f>
        <v/>
      </c>
      <c r="P207" s="195">
        <f>IF(B207="","",N207+'入力・概要'!$B$36)</f>
        <v/>
      </c>
      <c r="Q207" s="195">
        <f>IF(B207="","",O207+C207*'入力・概要'!$B$37*1E-9)</f>
        <v/>
      </c>
      <c r="R207" s="195">
        <f>IF(B207="","",SQRT(P207^2+Q207^2))</f>
        <v/>
      </c>
      <c r="S207" s="195">
        <f>IF(B207="","",IF(P207&gt;0,DEGREES(ATAN(Q207/P207)),IF(P207&lt;0,IF(Q207&gt;=0,DEGREES(ATAN(Q207/P207))+180,DEGREES(ATAN(Q207/P207))-180),IF(Q207&gt;0,90,IF(Q207&lt;0,-90,0)))))</f>
        <v/>
      </c>
      <c r="T207" s="195">
        <f>IF(B207="","",LOG10(B207))</f>
        <v/>
      </c>
      <c r="U207" s="195">
        <f>IF(R207="","",LOG10(MAX(R207,1E-12)))</f>
        <v/>
      </c>
    </row>
    <row r="208">
      <c r="A208" t="n">
        <v>205</v>
      </c>
      <c r="B208" s="196">
        <f>IF(A208&lt;='入力・概要'!$B$40,10^(LOG10('入力・概要'!$B$38)+(A208-1)*(LOG10('入力・概要'!$B$39)-LOG10('入力・概要'!$B$38))/('入力・概要'!$B$40-1)),"")</f>
        <v/>
      </c>
      <c r="C208" s="195">
        <f>IF(B208="","",2*PI()*B208)</f>
        <v/>
      </c>
      <c r="D208" s="195">
        <f>IF(B208="","",ATANH(MIN(0.999999,(2*'入力・概要'!$B$17*'入力・概要'!$B$6)/'入力・概要'!$B$30))+'入力・概要'!$B$33*SQRT(B208/1E6)+(2*PI()*B208*'入力・概要'!$B$6/(299792458*'入力・概要'!$B$31))*'入力・概要'!$B$32/2)</f>
        <v/>
      </c>
      <c r="E208" s="195">
        <f>IF(B208="","",2*PI()*B208*'入力・概要'!$B$6/(299792458*'入力・概要'!$B$31))</f>
        <v/>
      </c>
      <c r="F208" s="195">
        <f>IF(B208="","",SINH(2*D208)/(COSH(2*D208)+COS(2*E208)))</f>
        <v/>
      </c>
      <c r="G208" s="195">
        <f>IF(B208="","",SIN(2*E208)/(COSH(2*D208)+COS(2*E208)))</f>
        <v/>
      </c>
      <c r="H208" s="195">
        <f>IF(B208="","",'入力・概要'!$B$34)</f>
        <v/>
      </c>
      <c r="I208" s="195">
        <f>IF(B208="","",C208*'入力・概要'!$B$35*1E-9)</f>
        <v/>
      </c>
      <c r="J208" s="195">
        <f>IF(B208="","",H208+'入力・概要'!$B$30*F208)</f>
        <v/>
      </c>
      <c r="K208" s="195">
        <f>IF(B208="","",I208+'入力・概要'!$B$30*G208)</f>
        <v/>
      </c>
      <c r="L208" s="195">
        <f>IF(B208="","",'入力・概要'!$B$30+H208*F208-I208*G208)</f>
        <v/>
      </c>
      <c r="M208" s="195">
        <f>IF(B208="","",H208*G208+I208*F208)</f>
        <v/>
      </c>
      <c r="N208" s="195">
        <f>IF(B208="","",'入力・概要'!$B$30*(J208*L208+K208*M208)/(L208^2+M208^2))</f>
        <v/>
      </c>
      <c r="O208" s="195">
        <f>IF(B208="","",'入力・概要'!$B$30*(K208*L208-J208*M208)/(L208^2+M208^2))</f>
        <v/>
      </c>
      <c r="P208" s="195">
        <f>IF(B208="","",N208+'入力・概要'!$B$36)</f>
        <v/>
      </c>
      <c r="Q208" s="195">
        <f>IF(B208="","",O208+C208*'入力・概要'!$B$37*1E-9)</f>
        <v/>
      </c>
      <c r="R208" s="195">
        <f>IF(B208="","",SQRT(P208^2+Q208^2))</f>
        <v/>
      </c>
      <c r="S208" s="195">
        <f>IF(B208="","",IF(P208&gt;0,DEGREES(ATAN(Q208/P208)),IF(P208&lt;0,IF(Q208&gt;=0,DEGREES(ATAN(Q208/P208))+180,DEGREES(ATAN(Q208/P208))-180),IF(Q208&gt;0,90,IF(Q208&lt;0,-90,0)))))</f>
        <v/>
      </c>
      <c r="T208" s="195">
        <f>IF(B208="","",LOG10(B208))</f>
        <v/>
      </c>
      <c r="U208" s="195">
        <f>IF(R208="","",LOG10(MAX(R208,1E-12)))</f>
        <v/>
      </c>
    </row>
    <row r="209">
      <c r="A209" t="n">
        <v>206</v>
      </c>
      <c r="B209" s="196">
        <f>IF(A209&lt;='入力・概要'!$B$40,10^(LOG10('入力・概要'!$B$38)+(A209-1)*(LOG10('入力・概要'!$B$39)-LOG10('入力・概要'!$B$38))/('入力・概要'!$B$40-1)),"")</f>
        <v/>
      </c>
      <c r="C209" s="195">
        <f>IF(B209="","",2*PI()*B209)</f>
        <v/>
      </c>
      <c r="D209" s="195">
        <f>IF(B209="","",ATANH(MIN(0.999999,(2*'入力・概要'!$B$17*'入力・概要'!$B$6)/'入力・概要'!$B$30))+'入力・概要'!$B$33*SQRT(B209/1E6)+(2*PI()*B209*'入力・概要'!$B$6/(299792458*'入力・概要'!$B$31))*'入力・概要'!$B$32/2)</f>
        <v/>
      </c>
      <c r="E209" s="195">
        <f>IF(B209="","",2*PI()*B209*'入力・概要'!$B$6/(299792458*'入力・概要'!$B$31))</f>
        <v/>
      </c>
      <c r="F209" s="195">
        <f>IF(B209="","",SINH(2*D209)/(COSH(2*D209)+COS(2*E209)))</f>
        <v/>
      </c>
      <c r="G209" s="195">
        <f>IF(B209="","",SIN(2*E209)/(COSH(2*D209)+COS(2*E209)))</f>
        <v/>
      </c>
      <c r="H209" s="195">
        <f>IF(B209="","",'入力・概要'!$B$34)</f>
        <v/>
      </c>
      <c r="I209" s="195">
        <f>IF(B209="","",C209*'入力・概要'!$B$35*1E-9)</f>
        <v/>
      </c>
      <c r="J209" s="195">
        <f>IF(B209="","",H209+'入力・概要'!$B$30*F209)</f>
        <v/>
      </c>
      <c r="K209" s="195">
        <f>IF(B209="","",I209+'入力・概要'!$B$30*G209)</f>
        <v/>
      </c>
      <c r="L209" s="195">
        <f>IF(B209="","",'入力・概要'!$B$30+H209*F209-I209*G209)</f>
        <v/>
      </c>
      <c r="M209" s="195">
        <f>IF(B209="","",H209*G209+I209*F209)</f>
        <v/>
      </c>
      <c r="N209" s="195">
        <f>IF(B209="","",'入力・概要'!$B$30*(J209*L209+K209*M209)/(L209^2+M209^2))</f>
        <v/>
      </c>
      <c r="O209" s="195">
        <f>IF(B209="","",'入力・概要'!$B$30*(K209*L209-J209*M209)/(L209^2+M209^2))</f>
        <v/>
      </c>
      <c r="P209" s="195">
        <f>IF(B209="","",N209+'入力・概要'!$B$36)</f>
        <v/>
      </c>
      <c r="Q209" s="195">
        <f>IF(B209="","",O209+C209*'入力・概要'!$B$37*1E-9)</f>
        <v/>
      </c>
      <c r="R209" s="195">
        <f>IF(B209="","",SQRT(P209^2+Q209^2))</f>
        <v/>
      </c>
      <c r="S209" s="195">
        <f>IF(B209="","",IF(P209&gt;0,DEGREES(ATAN(Q209/P209)),IF(P209&lt;0,IF(Q209&gt;=0,DEGREES(ATAN(Q209/P209))+180,DEGREES(ATAN(Q209/P209))-180),IF(Q209&gt;0,90,IF(Q209&lt;0,-90,0)))))</f>
        <v/>
      </c>
      <c r="T209" s="195">
        <f>IF(B209="","",LOG10(B209))</f>
        <v/>
      </c>
      <c r="U209" s="195">
        <f>IF(R209="","",LOG10(MAX(R209,1E-12)))</f>
        <v/>
      </c>
    </row>
    <row r="210">
      <c r="A210" t="n">
        <v>207</v>
      </c>
      <c r="B210" s="196">
        <f>IF(A210&lt;='入力・概要'!$B$40,10^(LOG10('入力・概要'!$B$38)+(A210-1)*(LOG10('入力・概要'!$B$39)-LOG10('入力・概要'!$B$38))/('入力・概要'!$B$40-1)),"")</f>
        <v/>
      </c>
      <c r="C210" s="195">
        <f>IF(B210="","",2*PI()*B210)</f>
        <v/>
      </c>
      <c r="D210" s="195">
        <f>IF(B210="","",ATANH(MIN(0.999999,(2*'入力・概要'!$B$17*'入力・概要'!$B$6)/'入力・概要'!$B$30))+'入力・概要'!$B$33*SQRT(B210/1E6)+(2*PI()*B210*'入力・概要'!$B$6/(299792458*'入力・概要'!$B$31))*'入力・概要'!$B$32/2)</f>
        <v/>
      </c>
      <c r="E210" s="195">
        <f>IF(B210="","",2*PI()*B210*'入力・概要'!$B$6/(299792458*'入力・概要'!$B$31))</f>
        <v/>
      </c>
      <c r="F210" s="195">
        <f>IF(B210="","",SINH(2*D210)/(COSH(2*D210)+COS(2*E210)))</f>
        <v/>
      </c>
      <c r="G210" s="195">
        <f>IF(B210="","",SIN(2*E210)/(COSH(2*D210)+COS(2*E210)))</f>
        <v/>
      </c>
      <c r="H210" s="195">
        <f>IF(B210="","",'入力・概要'!$B$34)</f>
        <v/>
      </c>
      <c r="I210" s="195">
        <f>IF(B210="","",C210*'入力・概要'!$B$35*1E-9)</f>
        <v/>
      </c>
      <c r="J210" s="195">
        <f>IF(B210="","",H210+'入力・概要'!$B$30*F210)</f>
        <v/>
      </c>
      <c r="K210" s="195">
        <f>IF(B210="","",I210+'入力・概要'!$B$30*G210)</f>
        <v/>
      </c>
      <c r="L210" s="195">
        <f>IF(B210="","",'入力・概要'!$B$30+H210*F210-I210*G210)</f>
        <v/>
      </c>
      <c r="M210" s="195">
        <f>IF(B210="","",H210*G210+I210*F210)</f>
        <v/>
      </c>
      <c r="N210" s="195">
        <f>IF(B210="","",'入力・概要'!$B$30*(J210*L210+K210*M210)/(L210^2+M210^2))</f>
        <v/>
      </c>
      <c r="O210" s="195">
        <f>IF(B210="","",'入力・概要'!$B$30*(K210*L210-J210*M210)/(L210^2+M210^2))</f>
        <v/>
      </c>
      <c r="P210" s="195">
        <f>IF(B210="","",N210+'入力・概要'!$B$36)</f>
        <v/>
      </c>
      <c r="Q210" s="195">
        <f>IF(B210="","",O210+C210*'入力・概要'!$B$37*1E-9)</f>
        <v/>
      </c>
      <c r="R210" s="195">
        <f>IF(B210="","",SQRT(P210^2+Q210^2))</f>
        <v/>
      </c>
      <c r="S210" s="195">
        <f>IF(B210="","",IF(P210&gt;0,DEGREES(ATAN(Q210/P210)),IF(P210&lt;0,IF(Q210&gt;=0,DEGREES(ATAN(Q210/P210))+180,DEGREES(ATAN(Q210/P210))-180),IF(Q210&gt;0,90,IF(Q210&lt;0,-90,0)))))</f>
        <v/>
      </c>
      <c r="T210" s="195">
        <f>IF(B210="","",LOG10(B210))</f>
        <v/>
      </c>
      <c r="U210" s="195">
        <f>IF(R210="","",LOG10(MAX(R210,1E-12)))</f>
        <v/>
      </c>
    </row>
    <row r="211">
      <c r="A211" t="n">
        <v>208</v>
      </c>
      <c r="B211" s="196">
        <f>IF(A211&lt;='入力・概要'!$B$40,10^(LOG10('入力・概要'!$B$38)+(A211-1)*(LOG10('入力・概要'!$B$39)-LOG10('入力・概要'!$B$38))/('入力・概要'!$B$40-1)),"")</f>
        <v/>
      </c>
      <c r="C211" s="195">
        <f>IF(B211="","",2*PI()*B211)</f>
        <v/>
      </c>
      <c r="D211" s="195">
        <f>IF(B211="","",ATANH(MIN(0.999999,(2*'入力・概要'!$B$17*'入力・概要'!$B$6)/'入力・概要'!$B$30))+'入力・概要'!$B$33*SQRT(B211/1E6)+(2*PI()*B211*'入力・概要'!$B$6/(299792458*'入力・概要'!$B$31))*'入力・概要'!$B$32/2)</f>
        <v/>
      </c>
      <c r="E211" s="195">
        <f>IF(B211="","",2*PI()*B211*'入力・概要'!$B$6/(299792458*'入力・概要'!$B$31))</f>
        <v/>
      </c>
      <c r="F211" s="195">
        <f>IF(B211="","",SINH(2*D211)/(COSH(2*D211)+COS(2*E211)))</f>
        <v/>
      </c>
      <c r="G211" s="195">
        <f>IF(B211="","",SIN(2*E211)/(COSH(2*D211)+COS(2*E211)))</f>
        <v/>
      </c>
      <c r="H211" s="195">
        <f>IF(B211="","",'入力・概要'!$B$34)</f>
        <v/>
      </c>
      <c r="I211" s="195">
        <f>IF(B211="","",C211*'入力・概要'!$B$35*1E-9)</f>
        <v/>
      </c>
      <c r="J211" s="195">
        <f>IF(B211="","",H211+'入力・概要'!$B$30*F211)</f>
        <v/>
      </c>
      <c r="K211" s="195">
        <f>IF(B211="","",I211+'入力・概要'!$B$30*G211)</f>
        <v/>
      </c>
      <c r="L211" s="195">
        <f>IF(B211="","",'入力・概要'!$B$30+H211*F211-I211*G211)</f>
        <v/>
      </c>
      <c r="M211" s="195">
        <f>IF(B211="","",H211*G211+I211*F211)</f>
        <v/>
      </c>
      <c r="N211" s="195">
        <f>IF(B211="","",'入力・概要'!$B$30*(J211*L211+K211*M211)/(L211^2+M211^2))</f>
        <v/>
      </c>
      <c r="O211" s="195">
        <f>IF(B211="","",'入力・概要'!$B$30*(K211*L211-J211*M211)/(L211^2+M211^2))</f>
        <v/>
      </c>
      <c r="P211" s="195">
        <f>IF(B211="","",N211+'入力・概要'!$B$36)</f>
        <v/>
      </c>
      <c r="Q211" s="195">
        <f>IF(B211="","",O211+C211*'入力・概要'!$B$37*1E-9)</f>
        <v/>
      </c>
      <c r="R211" s="195">
        <f>IF(B211="","",SQRT(P211^2+Q211^2))</f>
        <v/>
      </c>
      <c r="S211" s="195">
        <f>IF(B211="","",IF(P211&gt;0,DEGREES(ATAN(Q211/P211)),IF(P211&lt;0,IF(Q211&gt;=0,DEGREES(ATAN(Q211/P211))+180,DEGREES(ATAN(Q211/P211))-180),IF(Q211&gt;0,90,IF(Q211&lt;0,-90,0)))))</f>
        <v/>
      </c>
      <c r="T211" s="195">
        <f>IF(B211="","",LOG10(B211))</f>
        <v/>
      </c>
      <c r="U211" s="195">
        <f>IF(R211="","",LOG10(MAX(R211,1E-12)))</f>
        <v/>
      </c>
    </row>
    <row r="212">
      <c r="A212" t="n">
        <v>209</v>
      </c>
      <c r="B212" s="196">
        <f>IF(A212&lt;='入力・概要'!$B$40,10^(LOG10('入力・概要'!$B$38)+(A212-1)*(LOG10('入力・概要'!$B$39)-LOG10('入力・概要'!$B$38))/('入力・概要'!$B$40-1)),"")</f>
        <v/>
      </c>
      <c r="C212" s="195">
        <f>IF(B212="","",2*PI()*B212)</f>
        <v/>
      </c>
      <c r="D212" s="195">
        <f>IF(B212="","",ATANH(MIN(0.999999,(2*'入力・概要'!$B$17*'入力・概要'!$B$6)/'入力・概要'!$B$30))+'入力・概要'!$B$33*SQRT(B212/1E6)+(2*PI()*B212*'入力・概要'!$B$6/(299792458*'入力・概要'!$B$31))*'入力・概要'!$B$32/2)</f>
        <v/>
      </c>
      <c r="E212" s="195">
        <f>IF(B212="","",2*PI()*B212*'入力・概要'!$B$6/(299792458*'入力・概要'!$B$31))</f>
        <v/>
      </c>
      <c r="F212" s="195">
        <f>IF(B212="","",SINH(2*D212)/(COSH(2*D212)+COS(2*E212)))</f>
        <v/>
      </c>
      <c r="G212" s="195">
        <f>IF(B212="","",SIN(2*E212)/(COSH(2*D212)+COS(2*E212)))</f>
        <v/>
      </c>
      <c r="H212" s="195">
        <f>IF(B212="","",'入力・概要'!$B$34)</f>
        <v/>
      </c>
      <c r="I212" s="195">
        <f>IF(B212="","",C212*'入力・概要'!$B$35*1E-9)</f>
        <v/>
      </c>
      <c r="J212" s="195">
        <f>IF(B212="","",H212+'入力・概要'!$B$30*F212)</f>
        <v/>
      </c>
      <c r="K212" s="195">
        <f>IF(B212="","",I212+'入力・概要'!$B$30*G212)</f>
        <v/>
      </c>
      <c r="L212" s="195">
        <f>IF(B212="","",'入力・概要'!$B$30+H212*F212-I212*G212)</f>
        <v/>
      </c>
      <c r="M212" s="195">
        <f>IF(B212="","",H212*G212+I212*F212)</f>
        <v/>
      </c>
      <c r="N212" s="195">
        <f>IF(B212="","",'入力・概要'!$B$30*(J212*L212+K212*M212)/(L212^2+M212^2))</f>
        <v/>
      </c>
      <c r="O212" s="195">
        <f>IF(B212="","",'入力・概要'!$B$30*(K212*L212-J212*M212)/(L212^2+M212^2))</f>
        <v/>
      </c>
      <c r="P212" s="195">
        <f>IF(B212="","",N212+'入力・概要'!$B$36)</f>
        <v/>
      </c>
      <c r="Q212" s="195">
        <f>IF(B212="","",O212+C212*'入力・概要'!$B$37*1E-9)</f>
        <v/>
      </c>
      <c r="R212" s="195">
        <f>IF(B212="","",SQRT(P212^2+Q212^2))</f>
        <v/>
      </c>
      <c r="S212" s="195">
        <f>IF(B212="","",IF(P212&gt;0,DEGREES(ATAN(Q212/P212)),IF(P212&lt;0,IF(Q212&gt;=0,DEGREES(ATAN(Q212/P212))+180,DEGREES(ATAN(Q212/P212))-180),IF(Q212&gt;0,90,IF(Q212&lt;0,-90,0)))))</f>
        <v/>
      </c>
      <c r="T212" s="195">
        <f>IF(B212="","",LOG10(B212))</f>
        <v/>
      </c>
      <c r="U212" s="195">
        <f>IF(R212="","",LOG10(MAX(R212,1E-12)))</f>
        <v/>
      </c>
    </row>
    <row r="213">
      <c r="A213" t="n">
        <v>210</v>
      </c>
      <c r="B213" s="196">
        <f>IF(A213&lt;='入力・概要'!$B$40,10^(LOG10('入力・概要'!$B$38)+(A213-1)*(LOG10('入力・概要'!$B$39)-LOG10('入力・概要'!$B$38))/('入力・概要'!$B$40-1)),"")</f>
        <v/>
      </c>
      <c r="C213" s="195">
        <f>IF(B213="","",2*PI()*B213)</f>
        <v/>
      </c>
      <c r="D213" s="195">
        <f>IF(B213="","",ATANH(MIN(0.999999,(2*'入力・概要'!$B$17*'入力・概要'!$B$6)/'入力・概要'!$B$30))+'入力・概要'!$B$33*SQRT(B213/1E6)+(2*PI()*B213*'入力・概要'!$B$6/(299792458*'入力・概要'!$B$31))*'入力・概要'!$B$32/2)</f>
        <v/>
      </c>
      <c r="E213" s="195">
        <f>IF(B213="","",2*PI()*B213*'入力・概要'!$B$6/(299792458*'入力・概要'!$B$31))</f>
        <v/>
      </c>
      <c r="F213" s="195">
        <f>IF(B213="","",SINH(2*D213)/(COSH(2*D213)+COS(2*E213)))</f>
        <v/>
      </c>
      <c r="G213" s="195">
        <f>IF(B213="","",SIN(2*E213)/(COSH(2*D213)+COS(2*E213)))</f>
        <v/>
      </c>
      <c r="H213" s="195">
        <f>IF(B213="","",'入力・概要'!$B$34)</f>
        <v/>
      </c>
      <c r="I213" s="195">
        <f>IF(B213="","",C213*'入力・概要'!$B$35*1E-9)</f>
        <v/>
      </c>
      <c r="J213" s="195">
        <f>IF(B213="","",H213+'入力・概要'!$B$30*F213)</f>
        <v/>
      </c>
      <c r="K213" s="195">
        <f>IF(B213="","",I213+'入力・概要'!$B$30*G213)</f>
        <v/>
      </c>
      <c r="L213" s="195">
        <f>IF(B213="","",'入力・概要'!$B$30+H213*F213-I213*G213)</f>
        <v/>
      </c>
      <c r="M213" s="195">
        <f>IF(B213="","",H213*G213+I213*F213)</f>
        <v/>
      </c>
      <c r="N213" s="195">
        <f>IF(B213="","",'入力・概要'!$B$30*(J213*L213+K213*M213)/(L213^2+M213^2))</f>
        <v/>
      </c>
      <c r="O213" s="195">
        <f>IF(B213="","",'入力・概要'!$B$30*(K213*L213-J213*M213)/(L213^2+M213^2))</f>
        <v/>
      </c>
      <c r="P213" s="195">
        <f>IF(B213="","",N213+'入力・概要'!$B$36)</f>
        <v/>
      </c>
      <c r="Q213" s="195">
        <f>IF(B213="","",O213+C213*'入力・概要'!$B$37*1E-9)</f>
        <v/>
      </c>
      <c r="R213" s="195">
        <f>IF(B213="","",SQRT(P213^2+Q213^2))</f>
        <v/>
      </c>
      <c r="S213" s="195">
        <f>IF(B213="","",IF(P213&gt;0,DEGREES(ATAN(Q213/P213)),IF(P213&lt;0,IF(Q213&gt;=0,DEGREES(ATAN(Q213/P213))+180,DEGREES(ATAN(Q213/P213))-180),IF(Q213&gt;0,90,IF(Q213&lt;0,-90,0)))))</f>
        <v/>
      </c>
      <c r="T213" s="195">
        <f>IF(B213="","",LOG10(B213))</f>
        <v/>
      </c>
      <c r="U213" s="195">
        <f>IF(R213="","",LOG10(MAX(R213,1E-12)))</f>
        <v/>
      </c>
    </row>
    <row r="214">
      <c r="A214" t="n">
        <v>211</v>
      </c>
      <c r="B214" s="196">
        <f>IF(A214&lt;='入力・概要'!$B$40,10^(LOG10('入力・概要'!$B$38)+(A214-1)*(LOG10('入力・概要'!$B$39)-LOG10('入力・概要'!$B$38))/('入力・概要'!$B$40-1)),"")</f>
        <v/>
      </c>
      <c r="C214" s="195">
        <f>IF(B214="","",2*PI()*B214)</f>
        <v/>
      </c>
      <c r="D214" s="195">
        <f>IF(B214="","",ATANH(MIN(0.999999,(2*'入力・概要'!$B$17*'入力・概要'!$B$6)/'入力・概要'!$B$30))+'入力・概要'!$B$33*SQRT(B214/1E6)+(2*PI()*B214*'入力・概要'!$B$6/(299792458*'入力・概要'!$B$31))*'入力・概要'!$B$32/2)</f>
        <v/>
      </c>
      <c r="E214" s="195">
        <f>IF(B214="","",2*PI()*B214*'入力・概要'!$B$6/(299792458*'入力・概要'!$B$31))</f>
        <v/>
      </c>
      <c r="F214" s="195">
        <f>IF(B214="","",SINH(2*D214)/(COSH(2*D214)+COS(2*E214)))</f>
        <v/>
      </c>
      <c r="G214" s="195">
        <f>IF(B214="","",SIN(2*E214)/(COSH(2*D214)+COS(2*E214)))</f>
        <v/>
      </c>
      <c r="H214" s="195">
        <f>IF(B214="","",'入力・概要'!$B$34)</f>
        <v/>
      </c>
      <c r="I214" s="195">
        <f>IF(B214="","",C214*'入力・概要'!$B$35*1E-9)</f>
        <v/>
      </c>
      <c r="J214" s="195">
        <f>IF(B214="","",H214+'入力・概要'!$B$30*F214)</f>
        <v/>
      </c>
      <c r="K214" s="195">
        <f>IF(B214="","",I214+'入力・概要'!$B$30*G214)</f>
        <v/>
      </c>
      <c r="L214" s="195">
        <f>IF(B214="","",'入力・概要'!$B$30+H214*F214-I214*G214)</f>
        <v/>
      </c>
      <c r="M214" s="195">
        <f>IF(B214="","",H214*G214+I214*F214)</f>
        <v/>
      </c>
      <c r="N214" s="195">
        <f>IF(B214="","",'入力・概要'!$B$30*(J214*L214+K214*M214)/(L214^2+M214^2))</f>
        <v/>
      </c>
      <c r="O214" s="195">
        <f>IF(B214="","",'入力・概要'!$B$30*(K214*L214-J214*M214)/(L214^2+M214^2))</f>
        <v/>
      </c>
      <c r="P214" s="195">
        <f>IF(B214="","",N214+'入力・概要'!$B$36)</f>
        <v/>
      </c>
      <c r="Q214" s="195">
        <f>IF(B214="","",O214+C214*'入力・概要'!$B$37*1E-9)</f>
        <v/>
      </c>
      <c r="R214" s="195">
        <f>IF(B214="","",SQRT(P214^2+Q214^2))</f>
        <v/>
      </c>
      <c r="S214" s="195">
        <f>IF(B214="","",IF(P214&gt;0,DEGREES(ATAN(Q214/P214)),IF(P214&lt;0,IF(Q214&gt;=0,DEGREES(ATAN(Q214/P214))+180,DEGREES(ATAN(Q214/P214))-180),IF(Q214&gt;0,90,IF(Q214&lt;0,-90,0)))))</f>
        <v/>
      </c>
      <c r="T214" s="195">
        <f>IF(B214="","",LOG10(B214))</f>
        <v/>
      </c>
      <c r="U214" s="195">
        <f>IF(R214="","",LOG10(MAX(R214,1E-12)))</f>
        <v/>
      </c>
    </row>
    <row r="215">
      <c r="A215" t="n">
        <v>212</v>
      </c>
      <c r="B215" s="196">
        <f>IF(A215&lt;='入力・概要'!$B$40,10^(LOG10('入力・概要'!$B$38)+(A215-1)*(LOG10('入力・概要'!$B$39)-LOG10('入力・概要'!$B$38))/('入力・概要'!$B$40-1)),"")</f>
        <v/>
      </c>
      <c r="C215" s="195">
        <f>IF(B215="","",2*PI()*B215)</f>
        <v/>
      </c>
      <c r="D215" s="195">
        <f>IF(B215="","",ATANH(MIN(0.999999,(2*'入力・概要'!$B$17*'入力・概要'!$B$6)/'入力・概要'!$B$30))+'入力・概要'!$B$33*SQRT(B215/1E6)+(2*PI()*B215*'入力・概要'!$B$6/(299792458*'入力・概要'!$B$31))*'入力・概要'!$B$32/2)</f>
        <v/>
      </c>
      <c r="E215" s="195">
        <f>IF(B215="","",2*PI()*B215*'入力・概要'!$B$6/(299792458*'入力・概要'!$B$31))</f>
        <v/>
      </c>
      <c r="F215" s="195">
        <f>IF(B215="","",SINH(2*D215)/(COSH(2*D215)+COS(2*E215)))</f>
        <v/>
      </c>
      <c r="G215" s="195">
        <f>IF(B215="","",SIN(2*E215)/(COSH(2*D215)+COS(2*E215)))</f>
        <v/>
      </c>
      <c r="H215" s="195">
        <f>IF(B215="","",'入力・概要'!$B$34)</f>
        <v/>
      </c>
      <c r="I215" s="195">
        <f>IF(B215="","",C215*'入力・概要'!$B$35*1E-9)</f>
        <v/>
      </c>
      <c r="J215" s="195">
        <f>IF(B215="","",H215+'入力・概要'!$B$30*F215)</f>
        <v/>
      </c>
      <c r="K215" s="195">
        <f>IF(B215="","",I215+'入力・概要'!$B$30*G215)</f>
        <v/>
      </c>
      <c r="L215" s="195">
        <f>IF(B215="","",'入力・概要'!$B$30+H215*F215-I215*G215)</f>
        <v/>
      </c>
      <c r="M215" s="195">
        <f>IF(B215="","",H215*G215+I215*F215)</f>
        <v/>
      </c>
      <c r="N215" s="195">
        <f>IF(B215="","",'入力・概要'!$B$30*(J215*L215+K215*M215)/(L215^2+M215^2))</f>
        <v/>
      </c>
      <c r="O215" s="195">
        <f>IF(B215="","",'入力・概要'!$B$30*(K215*L215-J215*M215)/(L215^2+M215^2))</f>
        <v/>
      </c>
      <c r="P215" s="195">
        <f>IF(B215="","",N215+'入力・概要'!$B$36)</f>
        <v/>
      </c>
      <c r="Q215" s="195">
        <f>IF(B215="","",O215+C215*'入力・概要'!$B$37*1E-9)</f>
        <v/>
      </c>
      <c r="R215" s="195">
        <f>IF(B215="","",SQRT(P215^2+Q215^2))</f>
        <v/>
      </c>
      <c r="S215" s="195">
        <f>IF(B215="","",IF(P215&gt;0,DEGREES(ATAN(Q215/P215)),IF(P215&lt;0,IF(Q215&gt;=0,DEGREES(ATAN(Q215/P215))+180,DEGREES(ATAN(Q215/P215))-180),IF(Q215&gt;0,90,IF(Q215&lt;0,-90,0)))))</f>
        <v/>
      </c>
      <c r="T215" s="195">
        <f>IF(B215="","",LOG10(B215))</f>
        <v/>
      </c>
      <c r="U215" s="195">
        <f>IF(R215="","",LOG10(MAX(R215,1E-12)))</f>
        <v/>
      </c>
    </row>
    <row r="216">
      <c r="A216" t="n">
        <v>213</v>
      </c>
      <c r="B216" s="196">
        <f>IF(A216&lt;='入力・概要'!$B$40,10^(LOG10('入力・概要'!$B$38)+(A216-1)*(LOG10('入力・概要'!$B$39)-LOG10('入力・概要'!$B$38))/('入力・概要'!$B$40-1)),"")</f>
        <v/>
      </c>
      <c r="C216" s="195">
        <f>IF(B216="","",2*PI()*B216)</f>
        <v/>
      </c>
      <c r="D216" s="195">
        <f>IF(B216="","",ATANH(MIN(0.999999,(2*'入力・概要'!$B$17*'入力・概要'!$B$6)/'入力・概要'!$B$30))+'入力・概要'!$B$33*SQRT(B216/1E6)+(2*PI()*B216*'入力・概要'!$B$6/(299792458*'入力・概要'!$B$31))*'入力・概要'!$B$32/2)</f>
        <v/>
      </c>
      <c r="E216" s="195">
        <f>IF(B216="","",2*PI()*B216*'入力・概要'!$B$6/(299792458*'入力・概要'!$B$31))</f>
        <v/>
      </c>
      <c r="F216" s="195">
        <f>IF(B216="","",SINH(2*D216)/(COSH(2*D216)+COS(2*E216)))</f>
        <v/>
      </c>
      <c r="G216" s="195">
        <f>IF(B216="","",SIN(2*E216)/(COSH(2*D216)+COS(2*E216)))</f>
        <v/>
      </c>
      <c r="H216" s="195">
        <f>IF(B216="","",'入力・概要'!$B$34)</f>
        <v/>
      </c>
      <c r="I216" s="195">
        <f>IF(B216="","",C216*'入力・概要'!$B$35*1E-9)</f>
        <v/>
      </c>
      <c r="J216" s="195">
        <f>IF(B216="","",H216+'入力・概要'!$B$30*F216)</f>
        <v/>
      </c>
      <c r="K216" s="195">
        <f>IF(B216="","",I216+'入力・概要'!$B$30*G216)</f>
        <v/>
      </c>
      <c r="L216" s="195">
        <f>IF(B216="","",'入力・概要'!$B$30+H216*F216-I216*G216)</f>
        <v/>
      </c>
      <c r="M216" s="195">
        <f>IF(B216="","",H216*G216+I216*F216)</f>
        <v/>
      </c>
      <c r="N216" s="195">
        <f>IF(B216="","",'入力・概要'!$B$30*(J216*L216+K216*M216)/(L216^2+M216^2))</f>
        <v/>
      </c>
      <c r="O216" s="195">
        <f>IF(B216="","",'入力・概要'!$B$30*(K216*L216-J216*M216)/(L216^2+M216^2))</f>
        <v/>
      </c>
      <c r="P216" s="195">
        <f>IF(B216="","",N216+'入力・概要'!$B$36)</f>
        <v/>
      </c>
      <c r="Q216" s="195">
        <f>IF(B216="","",O216+C216*'入力・概要'!$B$37*1E-9)</f>
        <v/>
      </c>
      <c r="R216" s="195">
        <f>IF(B216="","",SQRT(P216^2+Q216^2))</f>
        <v/>
      </c>
      <c r="S216" s="195">
        <f>IF(B216="","",IF(P216&gt;0,DEGREES(ATAN(Q216/P216)),IF(P216&lt;0,IF(Q216&gt;=0,DEGREES(ATAN(Q216/P216))+180,DEGREES(ATAN(Q216/P216))-180),IF(Q216&gt;0,90,IF(Q216&lt;0,-90,0)))))</f>
        <v/>
      </c>
      <c r="T216" s="195">
        <f>IF(B216="","",LOG10(B216))</f>
        <v/>
      </c>
      <c r="U216" s="195">
        <f>IF(R216="","",LOG10(MAX(R216,1E-12)))</f>
        <v/>
      </c>
    </row>
    <row r="217">
      <c r="A217" t="n">
        <v>214</v>
      </c>
      <c r="B217" s="196">
        <f>IF(A217&lt;='入力・概要'!$B$40,10^(LOG10('入力・概要'!$B$38)+(A217-1)*(LOG10('入力・概要'!$B$39)-LOG10('入力・概要'!$B$38))/('入力・概要'!$B$40-1)),"")</f>
        <v/>
      </c>
      <c r="C217" s="195">
        <f>IF(B217="","",2*PI()*B217)</f>
        <v/>
      </c>
      <c r="D217" s="195">
        <f>IF(B217="","",ATANH(MIN(0.999999,(2*'入力・概要'!$B$17*'入力・概要'!$B$6)/'入力・概要'!$B$30))+'入力・概要'!$B$33*SQRT(B217/1E6)+(2*PI()*B217*'入力・概要'!$B$6/(299792458*'入力・概要'!$B$31))*'入力・概要'!$B$32/2)</f>
        <v/>
      </c>
      <c r="E217" s="195">
        <f>IF(B217="","",2*PI()*B217*'入力・概要'!$B$6/(299792458*'入力・概要'!$B$31))</f>
        <v/>
      </c>
      <c r="F217" s="195">
        <f>IF(B217="","",SINH(2*D217)/(COSH(2*D217)+COS(2*E217)))</f>
        <v/>
      </c>
      <c r="G217" s="195">
        <f>IF(B217="","",SIN(2*E217)/(COSH(2*D217)+COS(2*E217)))</f>
        <v/>
      </c>
      <c r="H217" s="195">
        <f>IF(B217="","",'入力・概要'!$B$34)</f>
        <v/>
      </c>
      <c r="I217" s="195">
        <f>IF(B217="","",C217*'入力・概要'!$B$35*1E-9)</f>
        <v/>
      </c>
      <c r="J217" s="195">
        <f>IF(B217="","",H217+'入力・概要'!$B$30*F217)</f>
        <v/>
      </c>
      <c r="K217" s="195">
        <f>IF(B217="","",I217+'入力・概要'!$B$30*G217)</f>
        <v/>
      </c>
      <c r="L217" s="195">
        <f>IF(B217="","",'入力・概要'!$B$30+H217*F217-I217*G217)</f>
        <v/>
      </c>
      <c r="M217" s="195">
        <f>IF(B217="","",H217*G217+I217*F217)</f>
        <v/>
      </c>
      <c r="N217" s="195">
        <f>IF(B217="","",'入力・概要'!$B$30*(J217*L217+K217*M217)/(L217^2+M217^2))</f>
        <v/>
      </c>
      <c r="O217" s="195">
        <f>IF(B217="","",'入力・概要'!$B$30*(K217*L217-J217*M217)/(L217^2+M217^2))</f>
        <v/>
      </c>
      <c r="P217" s="195">
        <f>IF(B217="","",N217+'入力・概要'!$B$36)</f>
        <v/>
      </c>
      <c r="Q217" s="195">
        <f>IF(B217="","",O217+C217*'入力・概要'!$B$37*1E-9)</f>
        <v/>
      </c>
      <c r="R217" s="195">
        <f>IF(B217="","",SQRT(P217^2+Q217^2))</f>
        <v/>
      </c>
      <c r="S217" s="195">
        <f>IF(B217="","",IF(P217&gt;0,DEGREES(ATAN(Q217/P217)),IF(P217&lt;0,IF(Q217&gt;=0,DEGREES(ATAN(Q217/P217))+180,DEGREES(ATAN(Q217/P217))-180),IF(Q217&gt;0,90,IF(Q217&lt;0,-90,0)))))</f>
        <v/>
      </c>
      <c r="T217" s="195">
        <f>IF(B217="","",LOG10(B217))</f>
        <v/>
      </c>
      <c r="U217" s="195">
        <f>IF(R217="","",LOG10(MAX(R217,1E-12)))</f>
        <v/>
      </c>
    </row>
    <row r="218">
      <c r="A218" t="n">
        <v>215</v>
      </c>
      <c r="B218" s="196">
        <f>IF(A218&lt;='入力・概要'!$B$40,10^(LOG10('入力・概要'!$B$38)+(A218-1)*(LOG10('入力・概要'!$B$39)-LOG10('入力・概要'!$B$38))/('入力・概要'!$B$40-1)),"")</f>
        <v/>
      </c>
      <c r="C218" s="195">
        <f>IF(B218="","",2*PI()*B218)</f>
        <v/>
      </c>
      <c r="D218" s="195">
        <f>IF(B218="","",ATANH(MIN(0.999999,(2*'入力・概要'!$B$17*'入力・概要'!$B$6)/'入力・概要'!$B$30))+'入力・概要'!$B$33*SQRT(B218/1E6)+(2*PI()*B218*'入力・概要'!$B$6/(299792458*'入力・概要'!$B$31))*'入力・概要'!$B$32/2)</f>
        <v/>
      </c>
      <c r="E218" s="195">
        <f>IF(B218="","",2*PI()*B218*'入力・概要'!$B$6/(299792458*'入力・概要'!$B$31))</f>
        <v/>
      </c>
      <c r="F218" s="195">
        <f>IF(B218="","",SINH(2*D218)/(COSH(2*D218)+COS(2*E218)))</f>
        <v/>
      </c>
      <c r="G218" s="195">
        <f>IF(B218="","",SIN(2*E218)/(COSH(2*D218)+COS(2*E218)))</f>
        <v/>
      </c>
      <c r="H218" s="195">
        <f>IF(B218="","",'入力・概要'!$B$34)</f>
        <v/>
      </c>
      <c r="I218" s="195">
        <f>IF(B218="","",C218*'入力・概要'!$B$35*1E-9)</f>
        <v/>
      </c>
      <c r="J218" s="195">
        <f>IF(B218="","",H218+'入力・概要'!$B$30*F218)</f>
        <v/>
      </c>
      <c r="K218" s="195">
        <f>IF(B218="","",I218+'入力・概要'!$B$30*G218)</f>
        <v/>
      </c>
      <c r="L218" s="195">
        <f>IF(B218="","",'入力・概要'!$B$30+H218*F218-I218*G218)</f>
        <v/>
      </c>
      <c r="M218" s="195">
        <f>IF(B218="","",H218*G218+I218*F218)</f>
        <v/>
      </c>
      <c r="N218" s="195">
        <f>IF(B218="","",'入力・概要'!$B$30*(J218*L218+K218*M218)/(L218^2+M218^2))</f>
        <v/>
      </c>
      <c r="O218" s="195">
        <f>IF(B218="","",'入力・概要'!$B$30*(K218*L218-J218*M218)/(L218^2+M218^2))</f>
        <v/>
      </c>
      <c r="P218" s="195">
        <f>IF(B218="","",N218+'入力・概要'!$B$36)</f>
        <v/>
      </c>
      <c r="Q218" s="195">
        <f>IF(B218="","",O218+C218*'入力・概要'!$B$37*1E-9)</f>
        <v/>
      </c>
      <c r="R218" s="195">
        <f>IF(B218="","",SQRT(P218^2+Q218^2))</f>
        <v/>
      </c>
      <c r="S218" s="195">
        <f>IF(B218="","",IF(P218&gt;0,DEGREES(ATAN(Q218/P218)),IF(P218&lt;0,IF(Q218&gt;=0,DEGREES(ATAN(Q218/P218))+180,DEGREES(ATAN(Q218/P218))-180),IF(Q218&gt;0,90,IF(Q218&lt;0,-90,0)))))</f>
        <v/>
      </c>
      <c r="T218" s="195">
        <f>IF(B218="","",LOG10(B218))</f>
        <v/>
      </c>
      <c r="U218" s="195">
        <f>IF(R218="","",LOG10(MAX(R218,1E-12)))</f>
        <v/>
      </c>
    </row>
    <row r="219">
      <c r="A219" t="n">
        <v>216</v>
      </c>
      <c r="B219" s="196">
        <f>IF(A219&lt;='入力・概要'!$B$40,10^(LOG10('入力・概要'!$B$38)+(A219-1)*(LOG10('入力・概要'!$B$39)-LOG10('入力・概要'!$B$38))/('入力・概要'!$B$40-1)),"")</f>
        <v/>
      </c>
      <c r="C219" s="195">
        <f>IF(B219="","",2*PI()*B219)</f>
        <v/>
      </c>
      <c r="D219" s="195">
        <f>IF(B219="","",ATANH(MIN(0.999999,(2*'入力・概要'!$B$17*'入力・概要'!$B$6)/'入力・概要'!$B$30))+'入力・概要'!$B$33*SQRT(B219/1E6)+(2*PI()*B219*'入力・概要'!$B$6/(299792458*'入力・概要'!$B$31))*'入力・概要'!$B$32/2)</f>
        <v/>
      </c>
      <c r="E219" s="195">
        <f>IF(B219="","",2*PI()*B219*'入力・概要'!$B$6/(299792458*'入力・概要'!$B$31))</f>
        <v/>
      </c>
      <c r="F219" s="195">
        <f>IF(B219="","",SINH(2*D219)/(COSH(2*D219)+COS(2*E219)))</f>
        <v/>
      </c>
      <c r="G219" s="195">
        <f>IF(B219="","",SIN(2*E219)/(COSH(2*D219)+COS(2*E219)))</f>
        <v/>
      </c>
      <c r="H219" s="195">
        <f>IF(B219="","",'入力・概要'!$B$34)</f>
        <v/>
      </c>
      <c r="I219" s="195">
        <f>IF(B219="","",C219*'入力・概要'!$B$35*1E-9)</f>
        <v/>
      </c>
      <c r="J219" s="195">
        <f>IF(B219="","",H219+'入力・概要'!$B$30*F219)</f>
        <v/>
      </c>
      <c r="K219" s="195">
        <f>IF(B219="","",I219+'入力・概要'!$B$30*G219)</f>
        <v/>
      </c>
      <c r="L219" s="195">
        <f>IF(B219="","",'入力・概要'!$B$30+H219*F219-I219*G219)</f>
        <v/>
      </c>
      <c r="M219" s="195">
        <f>IF(B219="","",H219*G219+I219*F219)</f>
        <v/>
      </c>
      <c r="N219" s="195">
        <f>IF(B219="","",'入力・概要'!$B$30*(J219*L219+K219*M219)/(L219^2+M219^2))</f>
        <v/>
      </c>
      <c r="O219" s="195">
        <f>IF(B219="","",'入力・概要'!$B$30*(K219*L219-J219*M219)/(L219^2+M219^2))</f>
        <v/>
      </c>
      <c r="P219" s="195">
        <f>IF(B219="","",N219+'入力・概要'!$B$36)</f>
        <v/>
      </c>
      <c r="Q219" s="195">
        <f>IF(B219="","",O219+C219*'入力・概要'!$B$37*1E-9)</f>
        <v/>
      </c>
      <c r="R219" s="195">
        <f>IF(B219="","",SQRT(P219^2+Q219^2))</f>
        <v/>
      </c>
      <c r="S219" s="195">
        <f>IF(B219="","",IF(P219&gt;0,DEGREES(ATAN(Q219/P219)),IF(P219&lt;0,IF(Q219&gt;=0,DEGREES(ATAN(Q219/P219))+180,DEGREES(ATAN(Q219/P219))-180),IF(Q219&gt;0,90,IF(Q219&lt;0,-90,0)))))</f>
        <v/>
      </c>
      <c r="T219" s="195">
        <f>IF(B219="","",LOG10(B219))</f>
        <v/>
      </c>
      <c r="U219" s="195">
        <f>IF(R219="","",LOG10(MAX(R219,1E-12)))</f>
        <v/>
      </c>
    </row>
    <row r="220">
      <c r="A220" t="n">
        <v>217</v>
      </c>
      <c r="B220" s="196">
        <f>IF(A220&lt;='入力・概要'!$B$40,10^(LOG10('入力・概要'!$B$38)+(A220-1)*(LOG10('入力・概要'!$B$39)-LOG10('入力・概要'!$B$38))/('入力・概要'!$B$40-1)),"")</f>
        <v/>
      </c>
      <c r="C220" s="195">
        <f>IF(B220="","",2*PI()*B220)</f>
        <v/>
      </c>
      <c r="D220" s="195">
        <f>IF(B220="","",ATANH(MIN(0.999999,(2*'入力・概要'!$B$17*'入力・概要'!$B$6)/'入力・概要'!$B$30))+'入力・概要'!$B$33*SQRT(B220/1E6)+(2*PI()*B220*'入力・概要'!$B$6/(299792458*'入力・概要'!$B$31))*'入力・概要'!$B$32/2)</f>
        <v/>
      </c>
      <c r="E220" s="195">
        <f>IF(B220="","",2*PI()*B220*'入力・概要'!$B$6/(299792458*'入力・概要'!$B$31))</f>
        <v/>
      </c>
      <c r="F220" s="195">
        <f>IF(B220="","",SINH(2*D220)/(COSH(2*D220)+COS(2*E220)))</f>
        <v/>
      </c>
      <c r="G220" s="195">
        <f>IF(B220="","",SIN(2*E220)/(COSH(2*D220)+COS(2*E220)))</f>
        <v/>
      </c>
      <c r="H220" s="195">
        <f>IF(B220="","",'入力・概要'!$B$34)</f>
        <v/>
      </c>
      <c r="I220" s="195">
        <f>IF(B220="","",C220*'入力・概要'!$B$35*1E-9)</f>
        <v/>
      </c>
      <c r="J220" s="195">
        <f>IF(B220="","",H220+'入力・概要'!$B$30*F220)</f>
        <v/>
      </c>
      <c r="K220" s="195">
        <f>IF(B220="","",I220+'入力・概要'!$B$30*G220)</f>
        <v/>
      </c>
      <c r="L220" s="195">
        <f>IF(B220="","",'入力・概要'!$B$30+H220*F220-I220*G220)</f>
        <v/>
      </c>
      <c r="M220" s="195">
        <f>IF(B220="","",H220*G220+I220*F220)</f>
        <v/>
      </c>
      <c r="N220" s="195">
        <f>IF(B220="","",'入力・概要'!$B$30*(J220*L220+K220*M220)/(L220^2+M220^2))</f>
        <v/>
      </c>
      <c r="O220" s="195">
        <f>IF(B220="","",'入力・概要'!$B$30*(K220*L220-J220*M220)/(L220^2+M220^2))</f>
        <v/>
      </c>
      <c r="P220" s="195">
        <f>IF(B220="","",N220+'入力・概要'!$B$36)</f>
        <v/>
      </c>
      <c r="Q220" s="195">
        <f>IF(B220="","",O220+C220*'入力・概要'!$B$37*1E-9)</f>
        <v/>
      </c>
      <c r="R220" s="195">
        <f>IF(B220="","",SQRT(P220^2+Q220^2))</f>
        <v/>
      </c>
      <c r="S220" s="195">
        <f>IF(B220="","",IF(P220&gt;0,DEGREES(ATAN(Q220/P220)),IF(P220&lt;0,IF(Q220&gt;=0,DEGREES(ATAN(Q220/P220))+180,DEGREES(ATAN(Q220/P220))-180),IF(Q220&gt;0,90,IF(Q220&lt;0,-90,0)))))</f>
        <v/>
      </c>
      <c r="T220" s="195">
        <f>IF(B220="","",LOG10(B220))</f>
        <v/>
      </c>
      <c r="U220" s="195">
        <f>IF(R220="","",LOG10(MAX(R220,1E-12)))</f>
        <v/>
      </c>
    </row>
    <row r="221">
      <c r="A221" t="n">
        <v>218</v>
      </c>
      <c r="B221" s="196">
        <f>IF(A221&lt;='入力・概要'!$B$40,10^(LOG10('入力・概要'!$B$38)+(A221-1)*(LOG10('入力・概要'!$B$39)-LOG10('入力・概要'!$B$38))/('入力・概要'!$B$40-1)),"")</f>
        <v/>
      </c>
      <c r="C221" s="195">
        <f>IF(B221="","",2*PI()*B221)</f>
        <v/>
      </c>
      <c r="D221" s="195">
        <f>IF(B221="","",ATANH(MIN(0.999999,(2*'入力・概要'!$B$17*'入力・概要'!$B$6)/'入力・概要'!$B$30))+'入力・概要'!$B$33*SQRT(B221/1E6)+(2*PI()*B221*'入力・概要'!$B$6/(299792458*'入力・概要'!$B$31))*'入力・概要'!$B$32/2)</f>
        <v/>
      </c>
      <c r="E221" s="195">
        <f>IF(B221="","",2*PI()*B221*'入力・概要'!$B$6/(299792458*'入力・概要'!$B$31))</f>
        <v/>
      </c>
      <c r="F221" s="195">
        <f>IF(B221="","",SINH(2*D221)/(COSH(2*D221)+COS(2*E221)))</f>
        <v/>
      </c>
      <c r="G221" s="195">
        <f>IF(B221="","",SIN(2*E221)/(COSH(2*D221)+COS(2*E221)))</f>
        <v/>
      </c>
      <c r="H221" s="195">
        <f>IF(B221="","",'入力・概要'!$B$34)</f>
        <v/>
      </c>
      <c r="I221" s="195">
        <f>IF(B221="","",C221*'入力・概要'!$B$35*1E-9)</f>
        <v/>
      </c>
      <c r="J221" s="195">
        <f>IF(B221="","",H221+'入力・概要'!$B$30*F221)</f>
        <v/>
      </c>
      <c r="K221" s="195">
        <f>IF(B221="","",I221+'入力・概要'!$B$30*G221)</f>
        <v/>
      </c>
      <c r="L221" s="195">
        <f>IF(B221="","",'入力・概要'!$B$30+H221*F221-I221*G221)</f>
        <v/>
      </c>
      <c r="M221" s="195">
        <f>IF(B221="","",H221*G221+I221*F221)</f>
        <v/>
      </c>
      <c r="N221" s="195">
        <f>IF(B221="","",'入力・概要'!$B$30*(J221*L221+K221*M221)/(L221^2+M221^2))</f>
        <v/>
      </c>
      <c r="O221" s="195">
        <f>IF(B221="","",'入力・概要'!$B$30*(K221*L221-J221*M221)/(L221^2+M221^2))</f>
        <v/>
      </c>
      <c r="P221" s="195">
        <f>IF(B221="","",N221+'入力・概要'!$B$36)</f>
        <v/>
      </c>
      <c r="Q221" s="195">
        <f>IF(B221="","",O221+C221*'入力・概要'!$B$37*1E-9)</f>
        <v/>
      </c>
      <c r="R221" s="195">
        <f>IF(B221="","",SQRT(P221^2+Q221^2))</f>
        <v/>
      </c>
      <c r="S221" s="195">
        <f>IF(B221="","",IF(P221&gt;0,DEGREES(ATAN(Q221/P221)),IF(P221&lt;0,IF(Q221&gt;=0,DEGREES(ATAN(Q221/P221))+180,DEGREES(ATAN(Q221/P221))-180),IF(Q221&gt;0,90,IF(Q221&lt;0,-90,0)))))</f>
        <v/>
      </c>
      <c r="T221" s="195">
        <f>IF(B221="","",LOG10(B221))</f>
        <v/>
      </c>
      <c r="U221" s="195">
        <f>IF(R221="","",LOG10(MAX(R221,1E-12)))</f>
        <v/>
      </c>
    </row>
    <row r="222">
      <c r="A222" t="n">
        <v>219</v>
      </c>
      <c r="B222" s="196">
        <f>IF(A222&lt;='入力・概要'!$B$40,10^(LOG10('入力・概要'!$B$38)+(A222-1)*(LOG10('入力・概要'!$B$39)-LOG10('入力・概要'!$B$38))/('入力・概要'!$B$40-1)),"")</f>
        <v/>
      </c>
      <c r="C222" s="195">
        <f>IF(B222="","",2*PI()*B222)</f>
        <v/>
      </c>
      <c r="D222" s="195">
        <f>IF(B222="","",ATANH(MIN(0.999999,(2*'入力・概要'!$B$17*'入力・概要'!$B$6)/'入力・概要'!$B$30))+'入力・概要'!$B$33*SQRT(B222/1E6)+(2*PI()*B222*'入力・概要'!$B$6/(299792458*'入力・概要'!$B$31))*'入力・概要'!$B$32/2)</f>
        <v/>
      </c>
      <c r="E222" s="195">
        <f>IF(B222="","",2*PI()*B222*'入力・概要'!$B$6/(299792458*'入力・概要'!$B$31))</f>
        <v/>
      </c>
      <c r="F222" s="195">
        <f>IF(B222="","",SINH(2*D222)/(COSH(2*D222)+COS(2*E222)))</f>
        <v/>
      </c>
      <c r="G222" s="195">
        <f>IF(B222="","",SIN(2*E222)/(COSH(2*D222)+COS(2*E222)))</f>
        <v/>
      </c>
      <c r="H222" s="195">
        <f>IF(B222="","",'入力・概要'!$B$34)</f>
        <v/>
      </c>
      <c r="I222" s="195">
        <f>IF(B222="","",C222*'入力・概要'!$B$35*1E-9)</f>
        <v/>
      </c>
      <c r="J222" s="195">
        <f>IF(B222="","",H222+'入力・概要'!$B$30*F222)</f>
        <v/>
      </c>
      <c r="K222" s="195">
        <f>IF(B222="","",I222+'入力・概要'!$B$30*G222)</f>
        <v/>
      </c>
      <c r="L222" s="195">
        <f>IF(B222="","",'入力・概要'!$B$30+H222*F222-I222*G222)</f>
        <v/>
      </c>
      <c r="M222" s="195">
        <f>IF(B222="","",H222*G222+I222*F222)</f>
        <v/>
      </c>
      <c r="N222" s="195">
        <f>IF(B222="","",'入力・概要'!$B$30*(J222*L222+K222*M222)/(L222^2+M222^2))</f>
        <v/>
      </c>
      <c r="O222" s="195">
        <f>IF(B222="","",'入力・概要'!$B$30*(K222*L222-J222*M222)/(L222^2+M222^2))</f>
        <v/>
      </c>
      <c r="P222" s="195">
        <f>IF(B222="","",N222+'入力・概要'!$B$36)</f>
        <v/>
      </c>
      <c r="Q222" s="195">
        <f>IF(B222="","",O222+C222*'入力・概要'!$B$37*1E-9)</f>
        <v/>
      </c>
      <c r="R222" s="195">
        <f>IF(B222="","",SQRT(P222^2+Q222^2))</f>
        <v/>
      </c>
      <c r="S222" s="195">
        <f>IF(B222="","",IF(P222&gt;0,DEGREES(ATAN(Q222/P222)),IF(P222&lt;0,IF(Q222&gt;=0,DEGREES(ATAN(Q222/P222))+180,DEGREES(ATAN(Q222/P222))-180),IF(Q222&gt;0,90,IF(Q222&lt;0,-90,0)))))</f>
        <v/>
      </c>
      <c r="T222" s="195">
        <f>IF(B222="","",LOG10(B222))</f>
        <v/>
      </c>
      <c r="U222" s="195">
        <f>IF(R222="","",LOG10(MAX(R222,1E-12)))</f>
        <v/>
      </c>
    </row>
    <row r="223">
      <c r="A223" t="n">
        <v>220</v>
      </c>
      <c r="B223" s="196">
        <f>IF(A223&lt;='入力・概要'!$B$40,10^(LOG10('入力・概要'!$B$38)+(A223-1)*(LOG10('入力・概要'!$B$39)-LOG10('入力・概要'!$B$38))/('入力・概要'!$B$40-1)),"")</f>
        <v/>
      </c>
      <c r="C223" s="195">
        <f>IF(B223="","",2*PI()*B223)</f>
        <v/>
      </c>
      <c r="D223" s="195">
        <f>IF(B223="","",ATANH(MIN(0.999999,(2*'入力・概要'!$B$17*'入力・概要'!$B$6)/'入力・概要'!$B$30))+'入力・概要'!$B$33*SQRT(B223/1E6)+(2*PI()*B223*'入力・概要'!$B$6/(299792458*'入力・概要'!$B$31))*'入力・概要'!$B$32/2)</f>
        <v/>
      </c>
      <c r="E223" s="195">
        <f>IF(B223="","",2*PI()*B223*'入力・概要'!$B$6/(299792458*'入力・概要'!$B$31))</f>
        <v/>
      </c>
      <c r="F223" s="195">
        <f>IF(B223="","",SINH(2*D223)/(COSH(2*D223)+COS(2*E223)))</f>
        <v/>
      </c>
      <c r="G223" s="195">
        <f>IF(B223="","",SIN(2*E223)/(COSH(2*D223)+COS(2*E223)))</f>
        <v/>
      </c>
      <c r="H223" s="195">
        <f>IF(B223="","",'入力・概要'!$B$34)</f>
        <v/>
      </c>
      <c r="I223" s="195">
        <f>IF(B223="","",C223*'入力・概要'!$B$35*1E-9)</f>
        <v/>
      </c>
      <c r="J223" s="195">
        <f>IF(B223="","",H223+'入力・概要'!$B$30*F223)</f>
        <v/>
      </c>
      <c r="K223" s="195">
        <f>IF(B223="","",I223+'入力・概要'!$B$30*G223)</f>
        <v/>
      </c>
      <c r="L223" s="195">
        <f>IF(B223="","",'入力・概要'!$B$30+H223*F223-I223*G223)</f>
        <v/>
      </c>
      <c r="M223" s="195">
        <f>IF(B223="","",H223*G223+I223*F223)</f>
        <v/>
      </c>
      <c r="N223" s="195">
        <f>IF(B223="","",'入力・概要'!$B$30*(J223*L223+K223*M223)/(L223^2+M223^2))</f>
        <v/>
      </c>
      <c r="O223" s="195">
        <f>IF(B223="","",'入力・概要'!$B$30*(K223*L223-J223*M223)/(L223^2+M223^2))</f>
        <v/>
      </c>
      <c r="P223" s="195">
        <f>IF(B223="","",N223+'入力・概要'!$B$36)</f>
        <v/>
      </c>
      <c r="Q223" s="195">
        <f>IF(B223="","",O223+C223*'入力・概要'!$B$37*1E-9)</f>
        <v/>
      </c>
      <c r="R223" s="195">
        <f>IF(B223="","",SQRT(P223^2+Q223^2))</f>
        <v/>
      </c>
      <c r="S223" s="195">
        <f>IF(B223="","",IF(P223&gt;0,DEGREES(ATAN(Q223/P223)),IF(P223&lt;0,IF(Q223&gt;=0,DEGREES(ATAN(Q223/P223))+180,DEGREES(ATAN(Q223/P223))-180),IF(Q223&gt;0,90,IF(Q223&lt;0,-90,0)))))</f>
        <v/>
      </c>
      <c r="T223" s="195">
        <f>IF(B223="","",LOG10(B223))</f>
        <v/>
      </c>
      <c r="U223" s="195">
        <f>IF(R223="","",LOG10(MAX(R223,1E-12)))</f>
        <v/>
      </c>
    </row>
    <row r="224">
      <c r="A224" t="n">
        <v>221</v>
      </c>
      <c r="B224" s="196">
        <f>IF(A224&lt;='入力・概要'!$B$40,10^(LOG10('入力・概要'!$B$38)+(A224-1)*(LOG10('入力・概要'!$B$39)-LOG10('入力・概要'!$B$38))/('入力・概要'!$B$40-1)),"")</f>
        <v/>
      </c>
      <c r="C224" s="195">
        <f>IF(B224="","",2*PI()*B224)</f>
        <v/>
      </c>
      <c r="D224" s="195">
        <f>IF(B224="","",ATANH(MIN(0.999999,(2*'入力・概要'!$B$17*'入力・概要'!$B$6)/'入力・概要'!$B$30))+'入力・概要'!$B$33*SQRT(B224/1E6)+(2*PI()*B224*'入力・概要'!$B$6/(299792458*'入力・概要'!$B$31))*'入力・概要'!$B$32/2)</f>
        <v/>
      </c>
      <c r="E224" s="195">
        <f>IF(B224="","",2*PI()*B224*'入力・概要'!$B$6/(299792458*'入力・概要'!$B$31))</f>
        <v/>
      </c>
      <c r="F224" s="195">
        <f>IF(B224="","",SINH(2*D224)/(COSH(2*D224)+COS(2*E224)))</f>
        <v/>
      </c>
      <c r="G224" s="195">
        <f>IF(B224="","",SIN(2*E224)/(COSH(2*D224)+COS(2*E224)))</f>
        <v/>
      </c>
      <c r="H224" s="195">
        <f>IF(B224="","",'入力・概要'!$B$34)</f>
        <v/>
      </c>
      <c r="I224" s="195">
        <f>IF(B224="","",C224*'入力・概要'!$B$35*1E-9)</f>
        <v/>
      </c>
      <c r="J224" s="195">
        <f>IF(B224="","",H224+'入力・概要'!$B$30*F224)</f>
        <v/>
      </c>
      <c r="K224" s="195">
        <f>IF(B224="","",I224+'入力・概要'!$B$30*G224)</f>
        <v/>
      </c>
      <c r="L224" s="195">
        <f>IF(B224="","",'入力・概要'!$B$30+H224*F224-I224*G224)</f>
        <v/>
      </c>
      <c r="M224" s="195">
        <f>IF(B224="","",H224*G224+I224*F224)</f>
        <v/>
      </c>
      <c r="N224" s="195">
        <f>IF(B224="","",'入力・概要'!$B$30*(J224*L224+K224*M224)/(L224^2+M224^2))</f>
        <v/>
      </c>
      <c r="O224" s="195">
        <f>IF(B224="","",'入力・概要'!$B$30*(K224*L224-J224*M224)/(L224^2+M224^2))</f>
        <v/>
      </c>
      <c r="P224" s="195">
        <f>IF(B224="","",N224+'入力・概要'!$B$36)</f>
        <v/>
      </c>
      <c r="Q224" s="195">
        <f>IF(B224="","",O224+C224*'入力・概要'!$B$37*1E-9)</f>
        <v/>
      </c>
      <c r="R224" s="195">
        <f>IF(B224="","",SQRT(P224^2+Q224^2))</f>
        <v/>
      </c>
      <c r="S224" s="195">
        <f>IF(B224="","",IF(P224&gt;0,DEGREES(ATAN(Q224/P224)),IF(P224&lt;0,IF(Q224&gt;=0,DEGREES(ATAN(Q224/P224))+180,DEGREES(ATAN(Q224/P224))-180),IF(Q224&gt;0,90,IF(Q224&lt;0,-90,0)))))</f>
        <v/>
      </c>
      <c r="T224" s="195">
        <f>IF(B224="","",LOG10(B224))</f>
        <v/>
      </c>
      <c r="U224" s="195">
        <f>IF(R224="","",LOG10(MAX(R224,1E-12)))</f>
        <v/>
      </c>
    </row>
    <row r="225">
      <c r="A225" t="n">
        <v>222</v>
      </c>
      <c r="B225" s="196">
        <f>IF(A225&lt;='入力・概要'!$B$40,10^(LOG10('入力・概要'!$B$38)+(A225-1)*(LOG10('入力・概要'!$B$39)-LOG10('入力・概要'!$B$38))/('入力・概要'!$B$40-1)),"")</f>
        <v/>
      </c>
      <c r="C225" s="195">
        <f>IF(B225="","",2*PI()*B225)</f>
        <v/>
      </c>
      <c r="D225" s="195">
        <f>IF(B225="","",ATANH(MIN(0.999999,(2*'入力・概要'!$B$17*'入力・概要'!$B$6)/'入力・概要'!$B$30))+'入力・概要'!$B$33*SQRT(B225/1E6)+(2*PI()*B225*'入力・概要'!$B$6/(299792458*'入力・概要'!$B$31))*'入力・概要'!$B$32/2)</f>
        <v/>
      </c>
      <c r="E225" s="195">
        <f>IF(B225="","",2*PI()*B225*'入力・概要'!$B$6/(299792458*'入力・概要'!$B$31))</f>
        <v/>
      </c>
      <c r="F225" s="195">
        <f>IF(B225="","",SINH(2*D225)/(COSH(2*D225)+COS(2*E225)))</f>
        <v/>
      </c>
      <c r="G225" s="195">
        <f>IF(B225="","",SIN(2*E225)/(COSH(2*D225)+COS(2*E225)))</f>
        <v/>
      </c>
      <c r="H225" s="195">
        <f>IF(B225="","",'入力・概要'!$B$34)</f>
        <v/>
      </c>
      <c r="I225" s="195">
        <f>IF(B225="","",C225*'入力・概要'!$B$35*1E-9)</f>
        <v/>
      </c>
      <c r="J225" s="195">
        <f>IF(B225="","",H225+'入力・概要'!$B$30*F225)</f>
        <v/>
      </c>
      <c r="K225" s="195">
        <f>IF(B225="","",I225+'入力・概要'!$B$30*G225)</f>
        <v/>
      </c>
      <c r="L225" s="195">
        <f>IF(B225="","",'入力・概要'!$B$30+H225*F225-I225*G225)</f>
        <v/>
      </c>
      <c r="M225" s="195">
        <f>IF(B225="","",H225*G225+I225*F225)</f>
        <v/>
      </c>
      <c r="N225" s="195">
        <f>IF(B225="","",'入力・概要'!$B$30*(J225*L225+K225*M225)/(L225^2+M225^2))</f>
        <v/>
      </c>
      <c r="O225" s="195">
        <f>IF(B225="","",'入力・概要'!$B$30*(K225*L225-J225*M225)/(L225^2+M225^2))</f>
        <v/>
      </c>
      <c r="P225" s="195">
        <f>IF(B225="","",N225+'入力・概要'!$B$36)</f>
        <v/>
      </c>
      <c r="Q225" s="195">
        <f>IF(B225="","",O225+C225*'入力・概要'!$B$37*1E-9)</f>
        <v/>
      </c>
      <c r="R225" s="195">
        <f>IF(B225="","",SQRT(P225^2+Q225^2))</f>
        <v/>
      </c>
      <c r="S225" s="195">
        <f>IF(B225="","",IF(P225&gt;0,DEGREES(ATAN(Q225/P225)),IF(P225&lt;0,IF(Q225&gt;=0,DEGREES(ATAN(Q225/P225))+180,DEGREES(ATAN(Q225/P225))-180),IF(Q225&gt;0,90,IF(Q225&lt;0,-90,0)))))</f>
        <v/>
      </c>
      <c r="T225" s="195">
        <f>IF(B225="","",LOG10(B225))</f>
        <v/>
      </c>
      <c r="U225" s="195">
        <f>IF(R225="","",LOG10(MAX(R225,1E-12)))</f>
        <v/>
      </c>
    </row>
    <row r="226">
      <c r="A226" t="n">
        <v>223</v>
      </c>
      <c r="B226" s="196">
        <f>IF(A226&lt;='入力・概要'!$B$40,10^(LOG10('入力・概要'!$B$38)+(A226-1)*(LOG10('入力・概要'!$B$39)-LOG10('入力・概要'!$B$38))/('入力・概要'!$B$40-1)),"")</f>
        <v/>
      </c>
      <c r="C226" s="195">
        <f>IF(B226="","",2*PI()*B226)</f>
        <v/>
      </c>
      <c r="D226" s="195">
        <f>IF(B226="","",ATANH(MIN(0.999999,(2*'入力・概要'!$B$17*'入力・概要'!$B$6)/'入力・概要'!$B$30))+'入力・概要'!$B$33*SQRT(B226/1E6)+(2*PI()*B226*'入力・概要'!$B$6/(299792458*'入力・概要'!$B$31))*'入力・概要'!$B$32/2)</f>
        <v/>
      </c>
      <c r="E226" s="195">
        <f>IF(B226="","",2*PI()*B226*'入力・概要'!$B$6/(299792458*'入力・概要'!$B$31))</f>
        <v/>
      </c>
      <c r="F226" s="195">
        <f>IF(B226="","",SINH(2*D226)/(COSH(2*D226)+COS(2*E226)))</f>
        <v/>
      </c>
      <c r="G226" s="195">
        <f>IF(B226="","",SIN(2*E226)/(COSH(2*D226)+COS(2*E226)))</f>
        <v/>
      </c>
      <c r="H226" s="195">
        <f>IF(B226="","",'入力・概要'!$B$34)</f>
        <v/>
      </c>
      <c r="I226" s="195">
        <f>IF(B226="","",C226*'入力・概要'!$B$35*1E-9)</f>
        <v/>
      </c>
      <c r="J226" s="195">
        <f>IF(B226="","",H226+'入力・概要'!$B$30*F226)</f>
        <v/>
      </c>
      <c r="K226" s="195">
        <f>IF(B226="","",I226+'入力・概要'!$B$30*G226)</f>
        <v/>
      </c>
      <c r="L226" s="195">
        <f>IF(B226="","",'入力・概要'!$B$30+H226*F226-I226*G226)</f>
        <v/>
      </c>
      <c r="M226" s="195">
        <f>IF(B226="","",H226*G226+I226*F226)</f>
        <v/>
      </c>
      <c r="N226" s="195">
        <f>IF(B226="","",'入力・概要'!$B$30*(J226*L226+K226*M226)/(L226^2+M226^2))</f>
        <v/>
      </c>
      <c r="O226" s="195">
        <f>IF(B226="","",'入力・概要'!$B$30*(K226*L226-J226*M226)/(L226^2+M226^2))</f>
        <v/>
      </c>
      <c r="P226" s="195">
        <f>IF(B226="","",N226+'入力・概要'!$B$36)</f>
        <v/>
      </c>
      <c r="Q226" s="195">
        <f>IF(B226="","",O226+C226*'入力・概要'!$B$37*1E-9)</f>
        <v/>
      </c>
      <c r="R226" s="195">
        <f>IF(B226="","",SQRT(P226^2+Q226^2))</f>
        <v/>
      </c>
      <c r="S226" s="195">
        <f>IF(B226="","",IF(P226&gt;0,DEGREES(ATAN(Q226/P226)),IF(P226&lt;0,IF(Q226&gt;=0,DEGREES(ATAN(Q226/P226))+180,DEGREES(ATAN(Q226/P226))-180),IF(Q226&gt;0,90,IF(Q226&lt;0,-90,0)))))</f>
        <v/>
      </c>
      <c r="T226" s="195">
        <f>IF(B226="","",LOG10(B226))</f>
        <v/>
      </c>
      <c r="U226" s="195">
        <f>IF(R226="","",LOG10(MAX(R226,1E-12)))</f>
        <v/>
      </c>
    </row>
    <row r="227">
      <c r="A227" t="n">
        <v>224</v>
      </c>
      <c r="B227" s="196">
        <f>IF(A227&lt;='入力・概要'!$B$40,10^(LOG10('入力・概要'!$B$38)+(A227-1)*(LOG10('入力・概要'!$B$39)-LOG10('入力・概要'!$B$38))/('入力・概要'!$B$40-1)),"")</f>
        <v/>
      </c>
      <c r="C227" s="195">
        <f>IF(B227="","",2*PI()*B227)</f>
        <v/>
      </c>
      <c r="D227" s="195">
        <f>IF(B227="","",ATANH(MIN(0.999999,(2*'入力・概要'!$B$17*'入力・概要'!$B$6)/'入力・概要'!$B$30))+'入力・概要'!$B$33*SQRT(B227/1E6)+(2*PI()*B227*'入力・概要'!$B$6/(299792458*'入力・概要'!$B$31))*'入力・概要'!$B$32/2)</f>
        <v/>
      </c>
      <c r="E227" s="195">
        <f>IF(B227="","",2*PI()*B227*'入力・概要'!$B$6/(299792458*'入力・概要'!$B$31))</f>
        <v/>
      </c>
      <c r="F227" s="195">
        <f>IF(B227="","",SINH(2*D227)/(COSH(2*D227)+COS(2*E227)))</f>
        <v/>
      </c>
      <c r="G227" s="195">
        <f>IF(B227="","",SIN(2*E227)/(COSH(2*D227)+COS(2*E227)))</f>
        <v/>
      </c>
      <c r="H227" s="195">
        <f>IF(B227="","",'入力・概要'!$B$34)</f>
        <v/>
      </c>
      <c r="I227" s="195">
        <f>IF(B227="","",C227*'入力・概要'!$B$35*1E-9)</f>
        <v/>
      </c>
      <c r="J227" s="195">
        <f>IF(B227="","",H227+'入力・概要'!$B$30*F227)</f>
        <v/>
      </c>
      <c r="K227" s="195">
        <f>IF(B227="","",I227+'入力・概要'!$B$30*G227)</f>
        <v/>
      </c>
      <c r="L227" s="195">
        <f>IF(B227="","",'入力・概要'!$B$30+H227*F227-I227*G227)</f>
        <v/>
      </c>
      <c r="M227" s="195">
        <f>IF(B227="","",H227*G227+I227*F227)</f>
        <v/>
      </c>
      <c r="N227" s="195">
        <f>IF(B227="","",'入力・概要'!$B$30*(J227*L227+K227*M227)/(L227^2+M227^2))</f>
        <v/>
      </c>
      <c r="O227" s="195">
        <f>IF(B227="","",'入力・概要'!$B$30*(K227*L227-J227*M227)/(L227^2+M227^2))</f>
        <v/>
      </c>
      <c r="P227" s="195">
        <f>IF(B227="","",N227+'入力・概要'!$B$36)</f>
        <v/>
      </c>
      <c r="Q227" s="195">
        <f>IF(B227="","",O227+C227*'入力・概要'!$B$37*1E-9)</f>
        <v/>
      </c>
      <c r="R227" s="195">
        <f>IF(B227="","",SQRT(P227^2+Q227^2))</f>
        <v/>
      </c>
      <c r="S227" s="195">
        <f>IF(B227="","",IF(P227&gt;0,DEGREES(ATAN(Q227/P227)),IF(P227&lt;0,IF(Q227&gt;=0,DEGREES(ATAN(Q227/P227))+180,DEGREES(ATAN(Q227/P227))-180),IF(Q227&gt;0,90,IF(Q227&lt;0,-90,0)))))</f>
        <v/>
      </c>
      <c r="T227" s="195">
        <f>IF(B227="","",LOG10(B227))</f>
        <v/>
      </c>
      <c r="U227" s="195">
        <f>IF(R227="","",LOG10(MAX(R227,1E-12)))</f>
        <v/>
      </c>
    </row>
    <row r="228">
      <c r="A228" t="n">
        <v>225</v>
      </c>
      <c r="B228" s="196">
        <f>IF(A228&lt;='入力・概要'!$B$40,10^(LOG10('入力・概要'!$B$38)+(A228-1)*(LOG10('入力・概要'!$B$39)-LOG10('入力・概要'!$B$38))/('入力・概要'!$B$40-1)),"")</f>
        <v/>
      </c>
      <c r="C228" s="195">
        <f>IF(B228="","",2*PI()*B228)</f>
        <v/>
      </c>
      <c r="D228" s="195">
        <f>IF(B228="","",ATANH(MIN(0.999999,(2*'入力・概要'!$B$17*'入力・概要'!$B$6)/'入力・概要'!$B$30))+'入力・概要'!$B$33*SQRT(B228/1E6)+(2*PI()*B228*'入力・概要'!$B$6/(299792458*'入力・概要'!$B$31))*'入力・概要'!$B$32/2)</f>
        <v/>
      </c>
      <c r="E228" s="195">
        <f>IF(B228="","",2*PI()*B228*'入力・概要'!$B$6/(299792458*'入力・概要'!$B$31))</f>
        <v/>
      </c>
      <c r="F228" s="195">
        <f>IF(B228="","",SINH(2*D228)/(COSH(2*D228)+COS(2*E228)))</f>
        <v/>
      </c>
      <c r="G228" s="195">
        <f>IF(B228="","",SIN(2*E228)/(COSH(2*D228)+COS(2*E228)))</f>
        <v/>
      </c>
      <c r="H228" s="195">
        <f>IF(B228="","",'入力・概要'!$B$34)</f>
        <v/>
      </c>
      <c r="I228" s="195">
        <f>IF(B228="","",C228*'入力・概要'!$B$35*1E-9)</f>
        <v/>
      </c>
      <c r="J228" s="195">
        <f>IF(B228="","",H228+'入力・概要'!$B$30*F228)</f>
        <v/>
      </c>
      <c r="K228" s="195">
        <f>IF(B228="","",I228+'入力・概要'!$B$30*G228)</f>
        <v/>
      </c>
      <c r="L228" s="195">
        <f>IF(B228="","",'入力・概要'!$B$30+H228*F228-I228*G228)</f>
        <v/>
      </c>
      <c r="M228" s="195">
        <f>IF(B228="","",H228*G228+I228*F228)</f>
        <v/>
      </c>
      <c r="N228" s="195">
        <f>IF(B228="","",'入力・概要'!$B$30*(J228*L228+K228*M228)/(L228^2+M228^2))</f>
        <v/>
      </c>
      <c r="O228" s="195">
        <f>IF(B228="","",'入力・概要'!$B$30*(K228*L228-J228*M228)/(L228^2+M228^2))</f>
        <v/>
      </c>
      <c r="P228" s="195">
        <f>IF(B228="","",N228+'入力・概要'!$B$36)</f>
        <v/>
      </c>
      <c r="Q228" s="195">
        <f>IF(B228="","",O228+C228*'入力・概要'!$B$37*1E-9)</f>
        <v/>
      </c>
      <c r="R228" s="195">
        <f>IF(B228="","",SQRT(P228^2+Q228^2))</f>
        <v/>
      </c>
      <c r="S228" s="195">
        <f>IF(B228="","",IF(P228&gt;0,DEGREES(ATAN(Q228/P228)),IF(P228&lt;0,IF(Q228&gt;=0,DEGREES(ATAN(Q228/P228))+180,DEGREES(ATAN(Q228/P228))-180),IF(Q228&gt;0,90,IF(Q228&lt;0,-90,0)))))</f>
        <v/>
      </c>
      <c r="T228" s="195">
        <f>IF(B228="","",LOG10(B228))</f>
        <v/>
      </c>
      <c r="U228" s="195">
        <f>IF(R228="","",LOG10(MAX(R228,1E-12)))</f>
        <v/>
      </c>
    </row>
    <row r="229">
      <c r="A229" t="n">
        <v>226</v>
      </c>
      <c r="B229" s="196">
        <f>IF(A229&lt;='入力・概要'!$B$40,10^(LOG10('入力・概要'!$B$38)+(A229-1)*(LOG10('入力・概要'!$B$39)-LOG10('入力・概要'!$B$38))/('入力・概要'!$B$40-1)),"")</f>
        <v/>
      </c>
      <c r="C229" s="195">
        <f>IF(B229="","",2*PI()*B229)</f>
        <v/>
      </c>
      <c r="D229" s="195">
        <f>IF(B229="","",ATANH(MIN(0.999999,(2*'入力・概要'!$B$17*'入力・概要'!$B$6)/'入力・概要'!$B$30))+'入力・概要'!$B$33*SQRT(B229/1E6)+(2*PI()*B229*'入力・概要'!$B$6/(299792458*'入力・概要'!$B$31))*'入力・概要'!$B$32/2)</f>
        <v/>
      </c>
      <c r="E229" s="195">
        <f>IF(B229="","",2*PI()*B229*'入力・概要'!$B$6/(299792458*'入力・概要'!$B$31))</f>
        <v/>
      </c>
      <c r="F229" s="195">
        <f>IF(B229="","",SINH(2*D229)/(COSH(2*D229)+COS(2*E229)))</f>
        <v/>
      </c>
      <c r="G229" s="195">
        <f>IF(B229="","",SIN(2*E229)/(COSH(2*D229)+COS(2*E229)))</f>
        <v/>
      </c>
      <c r="H229" s="195">
        <f>IF(B229="","",'入力・概要'!$B$34)</f>
        <v/>
      </c>
      <c r="I229" s="195">
        <f>IF(B229="","",C229*'入力・概要'!$B$35*1E-9)</f>
        <v/>
      </c>
      <c r="J229" s="195">
        <f>IF(B229="","",H229+'入力・概要'!$B$30*F229)</f>
        <v/>
      </c>
      <c r="K229" s="195">
        <f>IF(B229="","",I229+'入力・概要'!$B$30*G229)</f>
        <v/>
      </c>
      <c r="L229" s="195">
        <f>IF(B229="","",'入力・概要'!$B$30+H229*F229-I229*G229)</f>
        <v/>
      </c>
      <c r="M229" s="195">
        <f>IF(B229="","",H229*G229+I229*F229)</f>
        <v/>
      </c>
      <c r="N229" s="195">
        <f>IF(B229="","",'入力・概要'!$B$30*(J229*L229+K229*M229)/(L229^2+M229^2))</f>
        <v/>
      </c>
      <c r="O229" s="195">
        <f>IF(B229="","",'入力・概要'!$B$30*(K229*L229-J229*M229)/(L229^2+M229^2))</f>
        <v/>
      </c>
      <c r="P229" s="195">
        <f>IF(B229="","",N229+'入力・概要'!$B$36)</f>
        <v/>
      </c>
      <c r="Q229" s="195">
        <f>IF(B229="","",O229+C229*'入力・概要'!$B$37*1E-9)</f>
        <v/>
      </c>
      <c r="R229" s="195">
        <f>IF(B229="","",SQRT(P229^2+Q229^2))</f>
        <v/>
      </c>
      <c r="S229" s="195">
        <f>IF(B229="","",IF(P229&gt;0,DEGREES(ATAN(Q229/P229)),IF(P229&lt;0,IF(Q229&gt;=0,DEGREES(ATAN(Q229/P229))+180,DEGREES(ATAN(Q229/P229))-180),IF(Q229&gt;0,90,IF(Q229&lt;0,-90,0)))))</f>
        <v/>
      </c>
      <c r="T229" s="195">
        <f>IF(B229="","",LOG10(B229))</f>
        <v/>
      </c>
      <c r="U229" s="195">
        <f>IF(R229="","",LOG10(MAX(R229,1E-12)))</f>
        <v/>
      </c>
    </row>
    <row r="230">
      <c r="A230" t="n">
        <v>227</v>
      </c>
      <c r="B230" s="196">
        <f>IF(A230&lt;='入力・概要'!$B$40,10^(LOG10('入力・概要'!$B$38)+(A230-1)*(LOG10('入力・概要'!$B$39)-LOG10('入力・概要'!$B$38))/('入力・概要'!$B$40-1)),"")</f>
        <v/>
      </c>
      <c r="C230" s="195">
        <f>IF(B230="","",2*PI()*B230)</f>
        <v/>
      </c>
      <c r="D230" s="195">
        <f>IF(B230="","",ATANH(MIN(0.999999,(2*'入力・概要'!$B$17*'入力・概要'!$B$6)/'入力・概要'!$B$30))+'入力・概要'!$B$33*SQRT(B230/1E6)+(2*PI()*B230*'入力・概要'!$B$6/(299792458*'入力・概要'!$B$31))*'入力・概要'!$B$32/2)</f>
        <v/>
      </c>
      <c r="E230" s="195">
        <f>IF(B230="","",2*PI()*B230*'入力・概要'!$B$6/(299792458*'入力・概要'!$B$31))</f>
        <v/>
      </c>
      <c r="F230" s="195">
        <f>IF(B230="","",SINH(2*D230)/(COSH(2*D230)+COS(2*E230)))</f>
        <v/>
      </c>
      <c r="G230" s="195">
        <f>IF(B230="","",SIN(2*E230)/(COSH(2*D230)+COS(2*E230)))</f>
        <v/>
      </c>
      <c r="H230" s="195">
        <f>IF(B230="","",'入力・概要'!$B$34)</f>
        <v/>
      </c>
      <c r="I230" s="195">
        <f>IF(B230="","",C230*'入力・概要'!$B$35*1E-9)</f>
        <v/>
      </c>
      <c r="J230" s="195">
        <f>IF(B230="","",H230+'入力・概要'!$B$30*F230)</f>
        <v/>
      </c>
      <c r="K230" s="195">
        <f>IF(B230="","",I230+'入力・概要'!$B$30*G230)</f>
        <v/>
      </c>
      <c r="L230" s="195">
        <f>IF(B230="","",'入力・概要'!$B$30+H230*F230-I230*G230)</f>
        <v/>
      </c>
      <c r="M230" s="195">
        <f>IF(B230="","",H230*G230+I230*F230)</f>
        <v/>
      </c>
      <c r="N230" s="195">
        <f>IF(B230="","",'入力・概要'!$B$30*(J230*L230+K230*M230)/(L230^2+M230^2))</f>
        <v/>
      </c>
      <c r="O230" s="195">
        <f>IF(B230="","",'入力・概要'!$B$30*(K230*L230-J230*M230)/(L230^2+M230^2))</f>
        <v/>
      </c>
      <c r="P230" s="195">
        <f>IF(B230="","",N230+'入力・概要'!$B$36)</f>
        <v/>
      </c>
      <c r="Q230" s="195">
        <f>IF(B230="","",O230+C230*'入力・概要'!$B$37*1E-9)</f>
        <v/>
      </c>
      <c r="R230" s="195">
        <f>IF(B230="","",SQRT(P230^2+Q230^2))</f>
        <v/>
      </c>
      <c r="S230" s="195">
        <f>IF(B230="","",IF(P230&gt;0,DEGREES(ATAN(Q230/P230)),IF(P230&lt;0,IF(Q230&gt;=0,DEGREES(ATAN(Q230/P230))+180,DEGREES(ATAN(Q230/P230))-180),IF(Q230&gt;0,90,IF(Q230&lt;0,-90,0)))))</f>
        <v/>
      </c>
      <c r="T230" s="195">
        <f>IF(B230="","",LOG10(B230))</f>
        <v/>
      </c>
      <c r="U230" s="195">
        <f>IF(R230="","",LOG10(MAX(R230,1E-12)))</f>
        <v/>
      </c>
    </row>
    <row r="231">
      <c r="A231" t="n">
        <v>228</v>
      </c>
      <c r="B231" s="196">
        <f>IF(A231&lt;='入力・概要'!$B$40,10^(LOG10('入力・概要'!$B$38)+(A231-1)*(LOG10('入力・概要'!$B$39)-LOG10('入力・概要'!$B$38))/('入力・概要'!$B$40-1)),"")</f>
        <v/>
      </c>
      <c r="C231" s="195">
        <f>IF(B231="","",2*PI()*B231)</f>
        <v/>
      </c>
      <c r="D231" s="195">
        <f>IF(B231="","",ATANH(MIN(0.999999,(2*'入力・概要'!$B$17*'入力・概要'!$B$6)/'入力・概要'!$B$30))+'入力・概要'!$B$33*SQRT(B231/1E6)+(2*PI()*B231*'入力・概要'!$B$6/(299792458*'入力・概要'!$B$31))*'入力・概要'!$B$32/2)</f>
        <v/>
      </c>
      <c r="E231" s="195">
        <f>IF(B231="","",2*PI()*B231*'入力・概要'!$B$6/(299792458*'入力・概要'!$B$31))</f>
        <v/>
      </c>
      <c r="F231" s="195">
        <f>IF(B231="","",SINH(2*D231)/(COSH(2*D231)+COS(2*E231)))</f>
        <v/>
      </c>
      <c r="G231" s="195">
        <f>IF(B231="","",SIN(2*E231)/(COSH(2*D231)+COS(2*E231)))</f>
        <v/>
      </c>
      <c r="H231" s="195">
        <f>IF(B231="","",'入力・概要'!$B$34)</f>
        <v/>
      </c>
      <c r="I231" s="195">
        <f>IF(B231="","",C231*'入力・概要'!$B$35*1E-9)</f>
        <v/>
      </c>
      <c r="J231" s="195">
        <f>IF(B231="","",H231+'入力・概要'!$B$30*F231)</f>
        <v/>
      </c>
      <c r="K231" s="195">
        <f>IF(B231="","",I231+'入力・概要'!$B$30*G231)</f>
        <v/>
      </c>
      <c r="L231" s="195">
        <f>IF(B231="","",'入力・概要'!$B$30+H231*F231-I231*G231)</f>
        <v/>
      </c>
      <c r="M231" s="195">
        <f>IF(B231="","",H231*G231+I231*F231)</f>
        <v/>
      </c>
      <c r="N231" s="195">
        <f>IF(B231="","",'入力・概要'!$B$30*(J231*L231+K231*M231)/(L231^2+M231^2))</f>
        <v/>
      </c>
      <c r="O231" s="195">
        <f>IF(B231="","",'入力・概要'!$B$30*(K231*L231-J231*M231)/(L231^2+M231^2))</f>
        <v/>
      </c>
      <c r="P231" s="195">
        <f>IF(B231="","",N231+'入力・概要'!$B$36)</f>
        <v/>
      </c>
      <c r="Q231" s="195">
        <f>IF(B231="","",O231+C231*'入力・概要'!$B$37*1E-9)</f>
        <v/>
      </c>
      <c r="R231" s="195">
        <f>IF(B231="","",SQRT(P231^2+Q231^2))</f>
        <v/>
      </c>
      <c r="S231" s="195">
        <f>IF(B231="","",IF(P231&gt;0,DEGREES(ATAN(Q231/P231)),IF(P231&lt;0,IF(Q231&gt;=0,DEGREES(ATAN(Q231/P231))+180,DEGREES(ATAN(Q231/P231))-180),IF(Q231&gt;0,90,IF(Q231&lt;0,-90,0)))))</f>
        <v/>
      </c>
      <c r="T231" s="195">
        <f>IF(B231="","",LOG10(B231))</f>
        <v/>
      </c>
      <c r="U231" s="195">
        <f>IF(R231="","",LOG10(MAX(R231,1E-12)))</f>
        <v/>
      </c>
    </row>
    <row r="232">
      <c r="A232" t="n">
        <v>229</v>
      </c>
      <c r="B232" s="196">
        <f>IF(A232&lt;='入力・概要'!$B$40,10^(LOG10('入力・概要'!$B$38)+(A232-1)*(LOG10('入力・概要'!$B$39)-LOG10('入力・概要'!$B$38))/('入力・概要'!$B$40-1)),"")</f>
        <v/>
      </c>
      <c r="C232" s="195">
        <f>IF(B232="","",2*PI()*B232)</f>
        <v/>
      </c>
      <c r="D232" s="195">
        <f>IF(B232="","",ATANH(MIN(0.999999,(2*'入力・概要'!$B$17*'入力・概要'!$B$6)/'入力・概要'!$B$30))+'入力・概要'!$B$33*SQRT(B232/1E6)+(2*PI()*B232*'入力・概要'!$B$6/(299792458*'入力・概要'!$B$31))*'入力・概要'!$B$32/2)</f>
        <v/>
      </c>
      <c r="E232" s="195">
        <f>IF(B232="","",2*PI()*B232*'入力・概要'!$B$6/(299792458*'入力・概要'!$B$31))</f>
        <v/>
      </c>
      <c r="F232" s="195">
        <f>IF(B232="","",SINH(2*D232)/(COSH(2*D232)+COS(2*E232)))</f>
        <v/>
      </c>
      <c r="G232" s="195">
        <f>IF(B232="","",SIN(2*E232)/(COSH(2*D232)+COS(2*E232)))</f>
        <v/>
      </c>
      <c r="H232" s="195">
        <f>IF(B232="","",'入力・概要'!$B$34)</f>
        <v/>
      </c>
      <c r="I232" s="195">
        <f>IF(B232="","",C232*'入力・概要'!$B$35*1E-9)</f>
        <v/>
      </c>
      <c r="J232" s="195">
        <f>IF(B232="","",H232+'入力・概要'!$B$30*F232)</f>
        <v/>
      </c>
      <c r="K232" s="195">
        <f>IF(B232="","",I232+'入力・概要'!$B$30*G232)</f>
        <v/>
      </c>
      <c r="L232" s="195">
        <f>IF(B232="","",'入力・概要'!$B$30+H232*F232-I232*G232)</f>
        <v/>
      </c>
      <c r="M232" s="195">
        <f>IF(B232="","",H232*G232+I232*F232)</f>
        <v/>
      </c>
      <c r="N232" s="195">
        <f>IF(B232="","",'入力・概要'!$B$30*(J232*L232+K232*M232)/(L232^2+M232^2))</f>
        <v/>
      </c>
      <c r="O232" s="195">
        <f>IF(B232="","",'入力・概要'!$B$30*(K232*L232-J232*M232)/(L232^2+M232^2))</f>
        <v/>
      </c>
      <c r="P232" s="195">
        <f>IF(B232="","",N232+'入力・概要'!$B$36)</f>
        <v/>
      </c>
      <c r="Q232" s="195">
        <f>IF(B232="","",O232+C232*'入力・概要'!$B$37*1E-9)</f>
        <v/>
      </c>
      <c r="R232" s="195">
        <f>IF(B232="","",SQRT(P232^2+Q232^2))</f>
        <v/>
      </c>
      <c r="S232" s="195">
        <f>IF(B232="","",IF(P232&gt;0,DEGREES(ATAN(Q232/P232)),IF(P232&lt;0,IF(Q232&gt;=0,DEGREES(ATAN(Q232/P232))+180,DEGREES(ATAN(Q232/P232))-180),IF(Q232&gt;0,90,IF(Q232&lt;0,-90,0)))))</f>
        <v/>
      </c>
      <c r="T232" s="195">
        <f>IF(B232="","",LOG10(B232))</f>
        <v/>
      </c>
      <c r="U232" s="195">
        <f>IF(R232="","",LOG10(MAX(R232,1E-12)))</f>
        <v/>
      </c>
    </row>
    <row r="233">
      <c r="A233" t="n">
        <v>230</v>
      </c>
      <c r="B233" s="196">
        <f>IF(A233&lt;='入力・概要'!$B$40,10^(LOG10('入力・概要'!$B$38)+(A233-1)*(LOG10('入力・概要'!$B$39)-LOG10('入力・概要'!$B$38))/('入力・概要'!$B$40-1)),"")</f>
        <v/>
      </c>
      <c r="C233" s="195">
        <f>IF(B233="","",2*PI()*B233)</f>
        <v/>
      </c>
      <c r="D233" s="195">
        <f>IF(B233="","",ATANH(MIN(0.999999,(2*'入力・概要'!$B$17*'入力・概要'!$B$6)/'入力・概要'!$B$30))+'入力・概要'!$B$33*SQRT(B233/1E6)+(2*PI()*B233*'入力・概要'!$B$6/(299792458*'入力・概要'!$B$31))*'入力・概要'!$B$32/2)</f>
        <v/>
      </c>
      <c r="E233" s="195">
        <f>IF(B233="","",2*PI()*B233*'入力・概要'!$B$6/(299792458*'入力・概要'!$B$31))</f>
        <v/>
      </c>
      <c r="F233" s="195">
        <f>IF(B233="","",SINH(2*D233)/(COSH(2*D233)+COS(2*E233)))</f>
        <v/>
      </c>
      <c r="G233" s="195">
        <f>IF(B233="","",SIN(2*E233)/(COSH(2*D233)+COS(2*E233)))</f>
        <v/>
      </c>
      <c r="H233" s="195">
        <f>IF(B233="","",'入力・概要'!$B$34)</f>
        <v/>
      </c>
      <c r="I233" s="195">
        <f>IF(B233="","",C233*'入力・概要'!$B$35*1E-9)</f>
        <v/>
      </c>
      <c r="J233" s="195">
        <f>IF(B233="","",H233+'入力・概要'!$B$30*F233)</f>
        <v/>
      </c>
      <c r="K233" s="195">
        <f>IF(B233="","",I233+'入力・概要'!$B$30*G233)</f>
        <v/>
      </c>
      <c r="L233" s="195">
        <f>IF(B233="","",'入力・概要'!$B$30+H233*F233-I233*G233)</f>
        <v/>
      </c>
      <c r="M233" s="195">
        <f>IF(B233="","",H233*G233+I233*F233)</f>
        <v/>
      </c>
      <c r="N233" s="195">
        <f>IF(B233="","",'入力・概要'!$B$30*(J233*L233+K233*M233)/(L233^2+M233^2))</f>
        <v/>
      </c>
      <c r="O233" s="195">
        <f>IF(B233="","",'入力・概要'!$B$30*(K233*L233-J233*M233)/(L233^2+M233^2))</f>
        <v/>
      </c>
      <c r="P233" s="195">
        <f>IF(B233="","",N233+'入力・概要'!$B$36)</f>
        <v/>
      </c>
      <c r="Q233" s="195">
        <f>IF(B233="","",O233+C233*'入力・概要'!$B$37*1E-9)</f>
        <v/>
      </c>
      <c r="R233" s="195">
        <f>IF(B233="","",SQRT(P233^2+Q233^2))</f>
        <v/>
      </c>
      <c r="S233" s="195">
        <f>IF(B233="","",IF(P233&gt;0,DEGREES(ATAN(Q233/P233)),IF(P233&lt;0,IF(Q233&gt;=0,DEGREES(ATAN(Q233/P233))+180,DEGREES(ATAN(Q233/P233))-180),IF(Q233&gt;0,90,IF(Q233&lt;0,-90,0)))))</f>
        <v/>
      </c>
      <c r="T233" s="195">
        <f>IF(B233="","",LOG10(B233))</f>
        <v/>
      </c>
      <c r="U233" s="195">
        <f>IF(R233="","",LOG10(MAX(R233,1E-12)))</f>
        <v/>
      </c>
    </row>
    <row r="234">
      <c r="A234" t="n">
        <v>231</v>
      </c>
      <c r="B234" s="196">
        <f>IF(A234&lt;='入力・概要'!$B$40,10^(LOG10('入力・概要'!$B$38)+(A234-1)*(LOG10('入力・概要'!$B$39)-LOG10('入力・概要'!$B$38))/('入力・概要'!$B$40-1)),"")</f>
        <v/>
      </c>
      <c r="C234" s="195">
        <f>IF(B234="","",2*PI()*B234)</f>
        <v/>
      </c>
      <c r="D234" s="195">
        <f>IF(B234="","",ATANH(MIN(0.999999,(2*'入力・概要'!$B$17*'入力・概要'!$B$6)/'入力・概要'!$B$30))+'入力・概要'!$B$33*SQRT(B234/1E6)+(2*PI()*B234*'入力・概要'!$B$6/(299792458*'入力・概要'!$B$31))*'入力・概要'!$B$32/2)</f>
        <v/>
      </c>
      <c r="E234" s="195">
        <f>IF(B234="","",2*PI()*B234*'入力・概要'!$B$6/(299792458*'入力・概要'!$B$31))</f>
        <v/>
      </c>
      <c r="F234" s="195">
        <f>IF(B234="","",SINH(2*D234)/(COSH(2*D234)+COS(2*E234)))</f>
        <v/>
      </c>
      <c r="G234" s="195">
        <f>IF(B234="","",SIN(2*E234)/(COSH(2*D234)+COS(2*E234)))</f>
        <v/>
      </c>
      <c r="H234" s="195">
        <f>IF(B234="","",'入力・概要'!$B$34)</f>
        <v/>
      </c>
      <c r="I234" s="195">
        <f>IF(B234="","",C234*'入力・概要'!$B$35*1E-9)</f>
        <v/>
      </c>
      <c r="J234" s="195">
        <f>IF(B234="","",H234+'入力・概要'!$B$30*F234)</f>
        <v/>
      </c>
      <c r="K234" s="195">
        <f>IF(B234="","",I234+'入力・概要'!$B$30*G234)</f>
        <v/>
      </c>
      <c r="L234" s="195">
        <f>IF(B234="","",'入力・概要'!$B$30+H234*F234-I234*G234)</f>
        <v/>
      </c>
      <c r="M234" s="195">
        <f>IF(B234="","",H234*G234+I234*F234)</f>
        <v/>
      </c>
      <c r="N234" s="195">
        <f>IF(B234="","",'入力・概要'!$B$30*(J234*L234+K234*M234)/(L234^2+M234^2))</f>
        <v/>
      </c>
      <c r="O234" s="195">
        <f>IF(B234="","",'入力・概要'!$B$30*(K234*L234-J234*M234)/(L234^2+M234^2))</f>
        <v/>
      </c>
      <c r="P234" s="195">
        <f>IF(B234="","",N234+'入力・概要'!$B$36)</f>
        <v/>
      </c>
      <c r="Q234" s="195">
        <f>IF(B234="","",O234+C234*'入力・概要'!$B$37*1E-9)</f>
        <v/>
      </c>
      <c r="R234" s="195">
        <f>IF(B234="","",SQRT(P234^2+Q234^2))</f>
        <v/>
      </c>
      <c r="S234" s="195">
        <f>IF(B234="","",IF(P234&gt;0,DEGREES(ATAN(Q234/P234)),IF(P234&lt;0,IF(Q234&gt;=0,DEGREES(ATAN(Q234/P234))+180,DEGREES(ATAN(Q234/P234))-180),IF(Q234&gt;0,90,IF(Q234&lt;0,-90,0)))))</f>
        <v/>
      </c>
      <c r="T234" s="195">
        <f>IF(B234="","",LOG10(B234))</f>
        <v/>
      </c>
      <c r="U234" s="195">
        <f>IF(R234="","",LOG10(MAX(R234,1E-12)))</f>
        <v/>
      </c>
    </row>
    <row r="235">
      <c r="A235" t="n">
        <v>232</v>
      </c>
      <c r="B235" s="196">
        <f>IF(A235&lt;='入力・概要'!$B$40,10^(LOG10('入力・概要'!$B$38)+(A235-1)*(LOG10('入力・概要'!$B$39)-LOG10('入力・概要'!$B$38))/('入力・概要'!$B$40-1)),"")</f>
        <v/>
      </c>
      <c r="C235" s="195">
        <f>IF(B235="","",2*PI()*B235)</f>
        <v/>
      </c>
      <c r="D235" s="195">
        <f>IF(B235="","",ATANH(MIN(0.999999,(2*'入力・概要'!$B$17*'入力・概要'!$B$6)/'入力・概要'!$B$30))+'入力・概要'!$B$33*SQRT(B235/1E6)+(2*PI()*B235*'入力・概要'!$B$6/(299792458*'入力・概要'!$B$31))*'入力・概要'!$B$32/2)</f>
        <v/>
      </c>
      <c r="E235" s="195">
        <f>IF(B235="","",2*PI()*B235*'入力・概要'!$B$6/(299792458*'入力・概要'!$B$31))</f>
        <v/>
      </c>
      <c r="F235" s="195">
        <f>IF(B235="","",SINH(2*D235)/(COSH(2*D235)+COS(2*E235)))</f>
        <v/>
      </c>
      <c r="G235" s="195">
        <f>IF(B235="","",SIN(2*E235)/(COSH(2*D235)+COS(2*E235)))</f>
        <v/>
      </c>
      <c r="H235" s="195">
        <f>IF(B235="","",'入力・概要'!$B$34)</f>
        <v/>
      </c>
      <c r="I235" s="195">
        <f>IF(B235="","",C235*'入力・概要'!$B$35*1E-9)</f>
        <v/>
      </c>
      <c r="J235" s="195">
        <f>IF(B235="","",H235+'入力・概要'!$B$30*F235)</f>
        <v/>
      </c>
      <c r="K235" s="195">
        <f>IF(B235="","",I235+'入力・概要'!$B$30*G235)</f>
        <v/>
      </c>
      <c r="L235" s="195">
        <f>IF(B235="","",'入力・概要'!$B$30+H235*F235-I235*G235)</f>
        <v/>
      </c>
      <c r="M235" s="195">
        <f>IF(B235="","",H235*G235+I235*F235)</f>
        <v/>
      </c>
      <c r="N235" s="195">
        <f>IF(B235="","",'入力・概要'!$B$30*(J235*L235+K235*M235)/(L235^2+M235^2))</f>
        <v/>
      </c>
      <c r="O235" s="195">
        <f>IF(B235="","",'入力・概要'!$B$30*(K235*L235-J235*M235)/(L235^2+M235^2))</f>
        <v/>
      </c>
      <c r="P235" s="195">
        <f>IF(B235="","",N235+'入力・概要'!$B$36)</f>
        <v/>
      </c>
      <c r="Q235" s="195">
        <f>IF(B235="","",O235+C235*'入力・概要'!$B$37*1E-9)</f>
        <v/>
      </c>
      <c r="R235" s="195">
        <f>IF(B235="","",SQRT(P235^2+Q235^2))</f>
        <v/>
      </c>
      <c r="S235" s="195">
        <f>IF(B235="","",IF(P235&gt;0,DEGREES(ATAN(Q235/P235)),IF(P235&lt;0,IF(Q235&gt;=0,DEGREES(ATAN(Q235/P235))+180,DEGREES(ATAN(Q235/P235))-180),IF(Q235&gt;0,90,IF(Q235&lt;0,-90,0)))))</f>
        <v/>
      </c>
      <c r="T235" s="195">
        <f>IF(B235="","",LOG10(B235))</f>
        <v/>
      </c>
      <c r="U235" s="195">
        <f>IF(R235="","",LOG10(MAX(R235,1E-12)))</f>
        <v/>
      </c>
    </row>
    <row r="236">
      <c r="A236" t="n">
        <v>233</v>
      </c>
      <c r="B236" s="196">
        <f>IF(A236&lt;='入力・概要'!$B$40,10^(LOG10('入力・概要'!$B$38)+(A236-1)*(LOG10('入力・概要'!$B$39)-LOG10('入力・概要'!$B$38))/('入力・概要'!$B$40-1)),"")</f>
        <v/>
      </c>
      <c r="C236" s="195">
        <f>IF(B236="","",2*PI()*B236)</f>
        <v/>
      </c>
      <c r="D236" s="195">
        <f>IF(B236="","",ATANH(MIN(0.999999,(2*'入力・概要'!$B$17*'入力・概要'!$B$6)/'入力・概要'!$B$30))+'入力・概要'!$B$33*SQRT(B236/1E6)+(2*PI()*B236*'入力・概要'!$B$6/(299792458*'入力・概要'!$B$31))*'入力・概要'!$B$32/2)</f>
        <v/>
      </c>
      <c r="E236" s="195">
        <f>IF(B236="","",2*PI()*B236*'入力・概要'!$B$6/(299792458*'入力・概要'!$B$31))</f>
        <v/>
      </c>
      <c r="F236" s="195">
        <f>IF(B236="","",SINH(2*D236)/(COSH(2*D236)+COS(2*E236)))</f>
        <v/>
      </c>
      <c r="G236" s="195">
        <f>IF(B236="","",SIN(2*E236)/(COSH(2*D236)+COS(2*E236)))</f>
        <v/>
      </c>
      <c r="H236" s="195">
        <f>IF(B236="","",'入力・概要'!$B$34)</f>
        <v/>
      </c>
      <c r="I236" s="195">
        <f>IF(B236="","",C236*'入力・概要'!$B$35*1E-9)</f>
        <v/>
      </c>
      <c r="J236" s="195">
        <f>IF(B236="","",H236+'入力・概要'!$B$30*F236)</f>
        <v/>
      </c>
      <c r="K236" s="195">
        <f>IF(B236="","",I236+'入力・概要'!$B$30*G236)</f>
        <v/>
      </c>
      <c r="L236" s="195">
        <f>IF(B236="","",'入力・概要'!$B$30+H236*F236-I236*G236)</f>
        <v/>
      </c>
      <c r="M236" s="195">
        <f>IF(B236="","",H236*G236+I236*F236)</f>
        <v/>
      </c>
      <c r="N236" s="195">
        <f>IF(B236="","",'入力・概要'!$B$30*(J236*L236+K236*M236)/(L236^2+M236^2))</f>
        <v/>
      </c>
      <c r="O236" s="195">
        <f>IF(B236="","",'入力・概要'!$B$30*(K236*L236-J236*M236)/(L236^2+M236^2))</f>
        <v/>
      </c>
      <c r="P236" s="195">
        <f>IF(B236="","",N236+'入力・概要'!$B$36)</f>
        <v/>
      </c>
      <c r="Q236" s="195">
        <f>IF(B236="","",O236+C236*'入力・概要'!$B$37*1E-9)</f>
        <v/>
      </c>
      <c r="R236" s="195">
        <f>IF(B236="","",SQRT(P236^2+Q236^2))</f>
        <v/>
      </c>
      <c r="S236" s="195">
        <f>IF(B236="","",IF(P236&gt;0,DEGREES(ATAN(Q236/P236)),IF(P236&lt;0,IF(Q236&gt;=0,DEGREES(ATAN(Q236/P236))+180,DEGREES(ATAN(Q236/P236))-180),IF(Q236&gt;0,90,IF(Q236&lt;0,-90,0)))))</f>
        <v/>
      </c>
      <c r="T236" s="195">
        <f>IF(B236="","",LOG10(B236))</f>
        <v/>
      </c>
      <c r="U236" s="195">
        <f>IF(R236="","",LOG10(MAX(R236,1E-12)))</f>
        <v/>
      </c>
    </row>
    <row r="237">
      <c r="A237" t="n">
        <v>234</v>
      </c>
      <c r="B237" s="196">
        <f>IF(A237&lt;='入力・概要'!$B$40,10^(LOG10('入力・概要'!$B$38)+(A237-1)*(LOG10('入力・概要'!$B$39)-LOG10('入力・概要'!$B$38))/('入力・概要'!$B$40-1)),"")</f>
        <v/>
      </c>
      <c r="C237" s="195">
        <f>IF(B237="","",2*PI()*B237)</f>
        <v/>
      </c>
      <c r="D237" s="195">
        <f>IF(B237="","",ATANH(MIN(0.999999,(2*'入力・概要'!$B$17*'入力・概要'!$B$6)/'入力・概要'!$B$30))+'入力・概要'!$B$33*SQRT(B237/1E6)+(2*PI()*B237*'入力・概要'!$B$6/(299792458*'入力・概要'!$B$31))*'入力・概要'!$B$32/2)</f>
        <v/>
      </c>
      <c r="E237" s="195">
        <f>IF(B237="","",2*PI()*B237*'入力・概要'!$B$6/(299792458*'入力・概要'!$B$31))</f>
        <v/>
      </c>
      <c r="F237" s="195">
        <f>IF(B237="","",SINH(2*D237)/(COSH(2*D237)+COS(2*E237)))</f>
        <v/>
      </c>
      <c r="G237" s="195">
        <f>IF(B237="","",SIN(2*E237)/(COSH(2*D237)+COS(2*E237)))</f>
        <v/>
      </c>
      <c r="H237" s="195">
        <f>IF(B237="","",'入力・概要'!$B$34)</f>
        <v/>
      </c>
      <c r="I237" s="195">
        <f>IF(B237="","",C237*'入力・概要'!$B$35*1E-9)</f>
        <v/>
      </c>
      <c r="J237" s="195">
        <f>IF(B237="","",H237+'入力・概要'!$B$30*F237)</f>
        <v/>
      </c>
      <c r="K237" s="195">
        <f>IF(B237="","",I237+'入力・概要'!$B$30*G237)</f>
        <v/>
      </c>
      <c r="L237" s="195">
        <f>IF(B237="","",'入力・概要'!$B$30+H237*F237-I237*G237)</f>
        <v/>
      </c>
      <c r="M237" s="195">
        <f>IF(B237="","",H237*G237+I237*F237)</f>
        <v/>
      </c>
      <c r="N237" s="195">
        <f>IF(B237="","",'入力・概要'!$B$30*(J237*L237+K237*M237)/(L237^2+M237^2))</f>
        <v/>
      </c>
      <c r="O237" s="195">
        <f>IF(B237="","",'入力・概要'!$B$30*(K237*L237-J237*M237)/(L237^2+M237^2))</f>
        <v/>
      </c>
      <c r="P237" s="195">
        <f>IF(B237="","",N237+'入力・概要'!$B$36)</f>
        <v/>
      </c>
      <c r="Q237" s="195">
        <f>IF(B237="","",O237+C237*'入力・概要'!$B$37*1E-9)</f>
        <v/>
      </c>
      <c r="R237" s="195">
        <f>IF(B237="","",SQRT(P237^2+Q237^2))</f>
        <v/>
      </c>
      <c r="S237" s="195">
        <f>IF(B237="","",IF(P237&gt;0,DEGREES(ATAN(Q237/P237)),IF(P237&lt;0,IF(Q237&gt;=0,DEGREES(ATAN(Q237/P237))+180,DEGREES(ATAN(Q237/P237))-180),IF(Q237&gt;0,90,IF(Q237&lt;0,-90,0)))))</f>
        <v/>
      </c>
      <c r="T237" s="195">
        <f>IF(B237="","",LOG10(B237))</f>
        <v/>
      </c>
      <c r="U237" s="195">
        <f>IF(R237="","",LOG10(MAX(R237,1E-12)))</f>
        <v/>
      </c>
    </row>
    <row r="238">
      <c r="A238" t="n">
        <v>235</v>
      </c>
      <c r="B238" s="196">
        <f>IF(A238&lt;='入力・概要'!$B$40,10^(LOG10('入力・概要'!$B$38)+(A238-1)*(LOG10('入力・概要'!$B$39)-LOG10('入力・概要'!$B$38))/('入力・概要'!$B$40-1)),"")</f>
        <v/>
      </c>
      <c r="C238" s="195">
        <f>IF(B238="","",2*PI()*B238)</f>
        <v/>
      </c>
      <c r="D238" s="195">
        <f>IF(B238="","",ATANH(MIN(0.999999,(2*'入力・概要'!$B$17*'入力・概要'!$B$6)/'入力・概要'!$B$30))+'入力・概要'!$B$33*SQRT(B238/1E6)+(2*PI()*B238*'入力・概要'!$B$6/(299792458*'入力・概要'!$B$31))*'入力・概要'!$B$32/2)</f>
        <v/>
      </c>
      <c r="E238" s="195">
        <f>IF(B238="","",2*PI()*B238*'入力・概要'!$B$6/(299792458*'入力・概要'!$B$31))</f>
        <v/>
      </c>
      <c r="F238" s="195">
        <f>IF(B238="","",SINH(2*D238)/(COSH(2*D238)+COS(2*E238)))</f>
        <v/>
      </c>
      <c r="G238" s="195">
        <f>IF(B238="","",SIN(2*E238)/(COSH(2*D238)+COS(2*E238)))</f>
        <v/>
      </c>
      <c r="H238" s="195">
        <f>IF(B238="","",'入力・概要'!$B$34)</f>
        <v/>
      </c>
      <c r="I238" s="195">
        <f>IF(B238="","",C238*'入力・概要'!$B$35*1E-9)</f>
        <v/>
      </c>
      <c r="J238" s="195">
        <f>IF(B238="","",H238+'入力・概要'!$B$30*F238)</f>
        <v/>
      </c>
      <c r="K238" s="195">
        <f>IF(B238="","",I238+'入力・概要'!$B$30*G238)</f>
        <v/>
      </c>
      <c r="L238" s="195">
        <f>IF(B238="","",'入力・概要'!$B$30+H238*F238-I238*G238)</f>
        <v/>
      </c>
      <c r="M238" s="195">
        <f>IF(B238="","",H238*G238+I238*F238)</f>
        <v/>
      </c>
      <c r="N238" s="195">
        <f>IF(B238="","",'入力・概要'!$B$30*(J238*L238+K238*M238)/(L238^2+M238^2))</f>
        <v/>
      </c>
      <c r="O238" s="195">
        <f>IF(B238="","",'入力・概要'!$B$30*(K238*L238-J238*M238)/(L238^2+M238^2))</f>
        <v/>
      </c>
      <c r="P238" s="195">
        <f>IF(B238="","",N238+'入力・概要'!$B$36)</f>
        <v/>
      </c>
      <c r="Q238" s="195">
        <f>IF(B238="","",O238+C238*'入力・概要'!$B$37*1E-9)</f>
        <v/>
      </c>
      <c r="R238" s="195">
        <f>IF(B238="","",SQRT(P238^2+Q238^2))</f>
        <v/>
      </c>
      <c r="S238" s="195">
        <f>IF(B238="","",IF(P238&gt;0,DEGREES(ATAN(Q238/P238)),IF(P238&lt;0,IF(Q238&gt;=0,DEGREES(ATAN(Q238/P238))+180,DEGREES(ATAN(Q238/P238))-180),IF(Q238&gt;0,90,IF(Q238&lt;0,-90,0)))))</f>
        <v/>
      </c>
      <c r="T238" s="195">
        <f>IF(B238="","",LOG10(B238))</f>
        <v/>
      </c>
      <c r="U238" s="195">
        <f>IF(R238="","",LOG10(MAX(R238,1E-12)))</f>
        <v/>
      </c>
    </row>
    <row r="239">
      <c r="A239" t="n">
        <v>236</v>
      </c>
      <c r="B239" s="196">
        <f>IF(A239&lt;='入力・概要'!$B$40,10^(LOG10('入力・概要'!$B$38)+(A239-1)*(LOG10('入力・概要'!$B$39)-LOG10('入力・概要'!$B$38))/('入力・概要'!$B$40-1)),"")</f>
        <v/>
      </c>
      <c r="C239" s="195">
        <f>IF(B239="","",2*PI()*B239)</f>
        <v/>
      </c>
      <c r="D239" s="195">
        <f>IF(B239="","",ATANH(MIN(0.999999,(2*'入力・概要'!$B$17*'入力・概要'!$B$6)/'入力・概要'!$B$30))+'入力・概要'!$B$33*SQRT(B239/1E6)+(2*PI()*B239*'入力・概要'!$B$6/(299792458*'入力・概要'!$B$31))*'入力・概要'!$B$32/2)</f>
        <v/>
      </c>
      <c r="E239" s="195">
        <f>IF(B239="","",2*PI()*B239*'入力・概要'!$B$6/(299792458*'入力・概要'!$B$31))</f>
        <v/>
      </c>
      <c r="F239" s="195">
        <f>IF(B239="","",SINH(2*D239)/(COSH(2*D239)+COS(2*E239)))</f>
        <v/>
      </c>
      <c r="G239" s="195">
        <f>IF(B239="","",SIN(2*E239)/(COSH(2*D239)+COS(2*E239)))</f>
        <v/>
      </c>
      <c r="H239" s="195">
        <f>IF(B239="","",'入力・概要'!$B$34)</f>
        <v/>
      </c>
      <c r="I239" s="195">
        <f>IF(B239="","",C239*'入力・概要'!$B$35*1E-9)</f>
        <v/>
      </c>
      <c r="J239" s="195">
        <f>IF(B239="","",H239+'入力・概要'!$B$30*F239)</f>
        <v/>
      </c>
      <c r="K239" s="195">
        <f>IF(B239="","",I239+'入力・概要'!$B$30*G239)</f>
        <v/>
      </c>
      <c r="L239" s="195">
        <f>IF(B239="","",'入力・概要'!$B$30+H239*F239-I239*G239)</f>
        <v/>
      </c>
      <c r="M239" s="195">
        <f>IF(B239="","",H239*G239+I239*F239)</f>
        <v/>
      </c>
      <c r="N239" s="195">
        <f>IF(B239="","",'入力・概要'!$B$30*(J239*L239+K239*M239)/(L239^2+M239^2))</f>
        <v/>
      </c>
      <c r="O239" s="195">
        <f>IF(B239="","",'入力・概要'!$B$30*(K239*L239-J239*M239)/(L239^2+M239^2))</f>
        <v/>
      </c>
      <c r="P239" s="195">
        <f>IF(B239="","",N239+'入力・概要'!$B$36)</f>
        <v/>
      </c>
      <c r="Q239" s="195">
        <f>IF(B239="","",O239+C239*'入力・概要'!$B$37*1E-9)</f>
        <v/>
      </c>
      <c r="R239" s="195">
        <f>IF(B239="","",SQRT(P239^2+Q239^2))</f>
        <v/>
      </c>
      <c r="S239" s="195">
        <f>IF(B239="","",IF(P239&gt;0,DEGREES(ATAN(Q239/P239)),IF(P239&lt;0,IF(Q239&gt;=0,DEGREES(ATAN(Q239/P239))+180,DEGREES(ATAN(Q239/P239))-180),IF(Q239&gt;0,90,IF(Q239&lt;0,-90,0)))))</f>
        <v/>
      </c>
      <c r="T239" s="195">
        <f>IF(B239="","",LOG10(B239))</f>
        <v/>
      </c>
      <c r="U239" s="195">
        <f>IF(R239="","",LOG10(MAX(R239,1E-12)))</f>
        <v/>
      </c>
    </row>
    <row r="240">
      <c r="A240" t="n">
        <v>237</v>
      </c>
      <c r="B240" s="196">
        <f>IF(A240&lt;='入力・概要'!$B$40,10^(LOG10('入力・概要'!$B$38)+(A240-1)*(LOG10('入力・概要'!$B$39)-LOG10('入力・概要'!$B$38))/('入力・概要'!$B$40-1)),"")</f>
        <v/>
      </c>
      <c r="C240" s="195">
        <f>IF(B240="","",2*PI()*B240)</f>
        <v/>
      </c>
      <c r="D240" s="195">
        <f>IF(B240="","",ATANH(MIN(0.999999,(2*'入力・概要'!$B$17*'入力・概要'!$B$6)/'入力・概要'!$B$30))+'入力・概要'!$B$33*SQRT(B240/1E6)+(2*PI()*B240*'入力・概要'!$B$6/(299792458*'入力・概要'!$B$31))*'入力・概要'!$B$32/2)</f>
        <v/>
      </c>
      <c r="E240" s="195">
        <f>IF(B240="","",2*PI()*B240*'入力・概要'!$B$6/(299792458*'入力・概要'!$B$31))</f>
        <v/>
      </c>
      <c r="F240" s="195">
        <f>IF(B240="","",SINH(2*D240)/(COSH(2*D240)+COS(2*E240)))</f>
        <v/>
      </c>
      <c r="G240" s="195">
        <f>IF(B240="","",SIN(2*E240)/(COSH(2*D240)+COS(2*E240)))</f>
        <v/>
      </c>
      <c r="H240" s="195">
        <f>IF(B240="","",'入力・概要'!$B$34)</f>
        <v/>
      </c>
      <c r="I240" s="195">
        <f>IF(B240="","",C240*'入力・概要'!$B$35*1E-9)</f>
        <v/>
      </c>
      <c r="J240" s="195">
        <f>IF(B240="","",H240+'入力・概要'!$B$30*F240)</f>
        <v/>
      </c>
      <c r="K240" s="195">
        <f>IF(B240="","",I240+'入力・概要'!$B$30*G240)</f>
        <v/>
      </c>
      <c r="L240" s="195">
        <f>IF(B240="","",'入力・概要'!$B$30+H240*F240-I240*G240)</f>
        <v/>
      </c>
      <c r="M240" s="195">
        <f>IF(B240="","",H240*G240+I240*F240)</f>
        <v/>
      </c>
      <c r="N240" s="195">
        <f>IF(B240="","",'入力・概要'!$B$30*(J240*L240+K240*M240)/(L240^2+M240^2))</f>
        <v/>
      </c>
      <c r="O240" s="195">
        <f>IF(B240="","",'入力・概要'!$B$30*(K240*L240-J240*M240)/(L240^2+M240^2))</f>
        <v/>
      </c>
      <c r="P240" s="195">
        <f>IF(B240="","",N240+'入力・概要'!$B$36)</f>
        <v/>
      </c>
      <c r="Q240" s="195">
        <f>IF(B240="","",O240+C240*'入力・概要'!$B$37*1E-9)</f>
        <v/>
      </c>
      <c r="R240" s="195">
        <f>IF(B240="","",SQRT(P240^2+Q240^2))</f>
        <v/>
      </c>
      <c r="S240" s="195">
        <f>IF(B240="","",IF(P240&gt;0,DEGREES(ATAN(Q240/P240)),IF(P240&lt;0,IF(Q240&gt;=0,DEGREES(ATAN(Q240/P240))+180,DEGREES(ATAN(Q240/P240))-180),IF(Q240&gt;0,90,IF(Q240&lt;0,-90,0)))))</f>
        <v/>
      </c>
      <c r="T240" s="195">
        <f>IF(B240="","",LOG10(B240))</f>
        <v/>
      </c>
      <c r="U240" s="195">
        <f>IF(R240="","",LOG10(MAX(R240,1E-12)))</f>
        <v/>
      </c>
    </row>
    <row r="241">
      <c r="A241" t="n">
        <v>238</v>
      </c>
      <c r="B241" s="196">
        <f>IF(A241&lt;='入力・概要'!$B$40,10^(LOG10('入力・概要'!$B$38)+(A241-1)*(LOG10('入力・概要'!$B$39)-LOG10('入力・概要'!$B$38))/('入力・概要'!$B$40-1)),"")</f>
        <v/>
      </c>
      <c r="C241" s="195">
        <f>IF(B241="","",2*PI()*B241)</f>
        <v/>
      </c>
      <c r="D241" s="195">
        <f>IF(B241="","",ATANH(MIN(0.999999,(2*'入力・概要'!$B$17*'入力・概要'!$B$6)/'入力・概要'!$B$30))+'入力・概要'!$B$33*SQRT(B241/1E6)+(2*PI()*B241*'入力・概要'!$B$6/(299792458*'入力・概要'!$B$31))*'入力・概要'!$B$32/2)</f>
        <v/>
      </c>
      <c r="E241" s="195">
        <f>IF(B241="","",2*PI()*B241*'入力・概要'!$B$6/(299792458*'入力・概要'!$B$31))</f>
        <v/>
      </c>
      <c r="F241" s="195">
        <f>IF(B241="","",SINH(2*D241)/(COSH(2*D241)+COS(2*E241)))</f>
        <v/>
      </c>
      <c r="G241" s="195">
        <f>IF(B241="","",SIN(2*E241)/(COSH(2*D241)+COS(2*E241)))</f>
        <v/>
      </c>
      <c r="H241" s="195">
        <f>IF(B241="","",'入力・概要'!$B$34)</f>
        <v/>
      </c>
      <c r="I241" s="195">
        <f>IF(B241="","",C241*'入力・概要'!$B$35*1E-9)</f>
        <v/>
      </c>
      <c r="J241" s="195">
        <f>IF(B241="","",H241+'入力・概要'!$B$30*F241)</f>
        <v/>
      </c>
      <c r="K241" s="195">
        <f>IF(B241="","",I241+'入力・概要'!$B$30*G241)</f>
        <v/>
      </c>
      <c r="L241" s="195">
        <f>IF(B241="","",'入力・概要'!$B$30+H241*F241-I241*G241)</f>
        <v/>
      </c>
      <c r="M241" s="195">
        <f>IF(B241="","",H241*G241+I241*F241)</f>
        <v/>
      </c>
      <c r="N241" s="195">
        <f>IF(B241="","",'入力・概要'!$B$30*(J241*L241+K241*M241)/(L241^2+M241^2))</f>
        <v/>
      </c>
      <c r="O241" s="195">
        <f>IF(B241="","",'入力・概要'!$B$30*(K241*L241-J241*M241)/(L241^2+M241^2))</f>
        <v/>
      </c>
      <c r="P241" s="195">
        <f>IF(B241="","",N241+'入力・概要'!$B$36)</f>
        <v/>
      </c>
      <c r="Q241" s="195">
        <f>IF(B241="","",O241+C241*'入力・概要'!$B$37*1E-9)</f>
        <v/>
      </c>
      <c r="R241" s="195">
        <f>IF(B241="","",SQRT(P241^2+Q241^2))</f>
        <v/>
      </c>
      <c r="S241" s="195">
        <f>IF(B241="","",IF(P241&gt;0,DEGREES(ATAN(Q241/P241)),IF(P241&lt;0,IF(Q241&gt;=0,DEGREES(ATAN(Q241/P241))+180,DEGREES(ATAN(Q241/P241))-180),IF(Q241&gt;0,90,IF(Q241&lt;0,-90,0)))))</f>
        <v/>
      </c>
      <c r="T241" s="195">
        <f>IF(B241="","",LOG10(B241))</f>
        <v/>
      </c>
      <c r="U241" s="195">
        <f>IF(R241="","",LOG10(MAX(R241,1E-12)))</f>
        <v/>
      </c>
    </row>
    <row r="242">
      <c r="A242" t="n">
        <v>239</v>
      </c>
      <c r="B242" s="196">
        <f>IF(A242&lt;='入力・概要'!$B$40,10^(LOG10('入力・概要'!$B$38)+(A242-1)*(LOG10('入力・概要'!$B$39)-LOG10('入力・概要'!$B$38))/('入力・概要'!$B$40-1)),"")</f>
        <v/>
      </c>
      <c r="C242" s="195">
        <f>IF(B242="","",2*PI()*B242)</f>
        <v/>
      </c>
      <c r="D242" s="195">
        <f>IF(B242="","",ATANH(MIN(0.999999,(2*'入力・概要'!$B$17*'入力・概要'!$B$6)/'入力・概要'!$B$30))+'入力・概要'!$B$33*SQRT(B242/1E6)+(2*PI()*B242*'入力・概要'!$B$6/(299792458*'入力・概要'!$B$31))*'入力・概要'!$B$32/2)</f>
        <v/>
      </c>
      <c r="E242" s="195">
        <f>IF(B242="","",2*PI()*B242*'入力・概要'!$B$6/(299792458*'入力・概要'!$B$31))</f>
        <v/>
      </c>
      <c r="F242" s="195">
        <f>IF(B242="","",SINH(2*D242)/(COSH(2*D242)+COS(2*E242)))</f>
        <v/>
      </c>
      <c r="G242" s="195">
        <f>IF(B242="","",SIN(2*E242)/(COSH(2*D242)+COS(2*E242)))</f>
        <v/>
      </c>
      <c r="H242" s="195">
        <f>IF(B242="","",'入力・概要'!$B$34)</f>
        <v/>
      </c>
      <c r="I242" s="195">
        <f>IF(B242="","",C242*'入力・概要'!$B$35*1E-9)</f>
        <v/>
      </c>
      <c r="J242" s="195">
        <f>IF(B242="","",H242+'入力・概要'!$B$30*F242)</f>
        <v/>
      </c>
      <c r="K242" s="195">
        <f>IF(B242="","",I242+'入力・概要'!$B$30*G242)</f>
        <v/>
      </c>
      <c r="L242" s="195">
        <f>IF(B242="","",'入力・概要'!$B$30+H242*F242-I242*G242)</f>
        <v/>
      </c>
      <c r="M242" s="195">
        <f>IF(B242="","",H242*G242+I242*F242)</f>
        <v/>
      </c>
      <c r="N242" s="195">
        <f>IF(B242="","",'入力・概要'!$B$30*(J242*L242+K242*M242)/(L242^2+M242^2))</f>
        <v/>
      </c>
      <c r="O242" s="195">
        <f>IF(B242="","",'入力・概要'!$B$30*(K242*L242-J242*M242)/(L242^2+M242^2))</f>
        <v/>
      </c>
      <c r="P242" s="195">
        <f>IF(B242="","",N242+'入力・概要'!$B$36)</f>
        <v/>
      </c>
      <c r="Q242" s="195">
        <f>IF(B242="","",O242+C242*'入力・概要'!$B$37*1E-9)</f>
        <v/>
      </c>
      <c r="R242" s="195">
        <f>IF(B242="","",SQRT(P242^2+Q242^2))</f>
        <v/>
      </c>
      <c r="S242" s="195">
        <f>IF(B242="","",IF(P242&gt;0,DEGREES(ATAN(Q242/P242)),IF(P242&lt;0,IF(Q242&gt;=0,DEGREES(ATAN(Q242/P242))+180,DEGREES(ATAN(Q242/P242))-180),IF(Q242&gt;0,90,IF(Q242&lt;0,-90,0)))))</f>
        <v/>
      </c>
      <c r="T242" s="195">
        <f>IF(B242="","",LOG10(B242))</f>
        <v/>
      </c>
      <c r="U242" s="195">
        <f>IF(R242="","",LOG10(MAX(R242,1E-12)))</f>
        <v/>
      </c>
    </row>
    <row r="243">
      <c r="A243" t="n">
        <v>240</v>
      </c>
      <c r="B243" s="196">
        <f>IF(A243&lt;='入力・概要'!$B$40,10^(LOG10('入力・概要'!$B$38)+(A243-1)*(LOG10('入力・概要'!$B$39)-LOG10('入力・概要'!$B$38))/('入力・概要'!$B$40-1)),"")</f>
        <v/>
      </c>
      <c r="C243" s="195">
        <f>IF(B243="","",2*PI()*B243)</f>
        <v/>
      </c>
      <c r="D243" s="195">
        <f>IF(B243="","",ATANH(MIN(0.999999,(2*'入力・概要'!$B$17*'入力・概要'!$B$6)/'入力・概要'!$B$30))+'入力・概要'!$B$33*SQRT(B243/1E6)+(2*PI()*B243*'入力・概要'!$B$6/(299792458*'入力・概要'!$B$31))*'入力・概要'!$B$32/2)</f>
        <v/>
      </c>
      <c r="E243" s="195">
        <f>IF(B243="","",2*PI()*B243*'入力・概要'!$B$6/(299792458*'入力・概要'!$B$31))</f>
        <v/>
      </c>
      <c r="F243" s="195">
        <f>IF(B243="","",SINH(2*D243)/(COSH(2*D243)+COS(2*E243)))</f>
        <v/>
      </c>
      <c r="G243" s="195">
        <f>IF(B243="","",SIN(2*E243)/(COSH(2*D243)+COS(2*E243)))</f>
        <v/>
      </c>
      <c r="H243" s="195">
        <f>IF(B243="","",'入力・概要'!$B$34)</f>
        <v/>
      </c>
      <c r="I243" s="195">
        <f>IF(B243="","",C243*'入力・概要'!$B$35*1E-9)</f>
        <v/>
      </c>
      <c r="J243" s="195">
        <f>IF(B243="","",H243+'入力・概要'!$B$30*F243)</f>
        <v/>
      </c>
      <c r="K243" s="195">
        <f>IF(B243="","",I243+'入力・概要'!$B$30*G243)</f>
        <v/>
      </c>
      <c r="L243" s="195">
        <f>IF(B243="","",'入力・概要'!$B$30+H243*F243-I243*G243)</f>
        <v/>
      </c>
      <c r="M243" s="195">
        <f>IF(B243="","",H243*G243+I243*F243)</f>
        <v/>
      </c>
      <c r="N243" s="195">
        <f>IF(B243="","",'入力・概要'!$B$30*(J243*L243+K243*M243)/(L243^2+M243^2))</f>
        <v/>
      </c>
      <c r="O243" s="195">
        <f>IF(B243="","",'入力・概要'!$B$30*(K243*L243-J243*M243)/(L243^2+M243^2))</f>
        <v/>
      </c>
      <c r="P243" s="195">
        <f>IF(B243="","",N243+'入力・概要'!$B$36)</f>
        <v/>
      </c>
      <c r="Q243" s="195">
        <f>IF(B243="","",O243+C243*'入力・概要'!$B$37*1E-9)</f>
        <v/>
      </c>
      <c r="R243" s="195">
        <f>IF(B243="","",SQRT(P243^2+Q243^2))</f>
        <v/>
      </c>
      <c r="S243" s="195">
        <f>IF(B243="","",IF(P243&gt;0,DEGREES(ATAN(Q243/P243)),IF(P243&lt;0,IF(Q243&gt;=0,DEGREES(ATAN(Q243/P243))+180,DEGREES(ATAN(Q243/P243))-180),IF(Q243&gt;0,90,IF(Q243&lt;0,-90,0)))))</f>
        <v/>
      </c>
      <c r="T243" s="195">
        <f>IF(B243="","",LOG10(B243))</f>
        <v/>
      </c>
      <c r="U243" s="195">
        <f>IF(R243="","",LOG10(MAX(R243,1E-12)))</f>
        <v/>
      </c>
    </row>
    <row r="244">
      <c r="A244" t="n">
        <v>241</v>
      </c>
      <c r="B244" s="196">
        <f>IF(A244&lt;='入力・概要'!$B$40,10^(LOG10('入力・概要'!$B$38)+(A244-1)*(LOG10('入力・概要'!$B$39)-LOG10('入力・概要'!$B$38))/('入力・概要'!$B$40-1)),"")</f>
        <v/>
      </c>
      <c r="C244" s="195">
        <f>IF(B244="","",2*PI()*B244)</f>
        <v/>
      </c>
      <c r="D244" s="195">
        <f>IF(B244="","",ATANH(MIN(0.999999,(2*'入力・概要'!$B$17*'入力・概要'!$B$6)/'入力・概要'!$B$30))+'入力・概要'!$B$33*SQRT(B244/1E6)+(2*PI()*B244*'入力・概要'!$B$6/(299792458*'入力・概要'!$B$31))*'入力・概要'!$B$32/2)</f>
        <v/>
      </c>
      <c r="E244" s="195">
        <f>IF(B244="","",2*PI()*B244*'入力・概要'!$B$6/(299792458*'入力・概要'!$B$31))</f>
        <v/>
      </c>
      <c r="F244" s="195">
        <f>IF(B244="","",SINH(2*D244)/(COSH(2*D244)+COS(2*E244)))</f>
        <v/>
      </c>
      <c r="G244" s="195">
        <f>IF(B244="","",SIN(2*E244)/(COSH(2*D244)+COS(2*E244)))</f>
        <v/>
      </c>
      <c r="H244" s="195">
        <f>IF(B244="","",'入力・概要'!$B$34)</f>
        <v/>
      </c>
      <c r="I244" s="195">
        <f>IF(B244="","",C244*'入力・概要'!$B$35*1E-9)</f>
        <v/>
      </c>
      <c r="J244" s="195">
        <f>IF(B244="","",H244+'入力・概要'!$B$30*F244)</f>
        <v/>
      </c>
      <c r="K244" s="195">
        <f>IF(B244="","",I244+'入力・概要'!$B$30*G244)</f>
        <v/>
      </c>
      <c r="L244" s="195">
        <f>IF(B244="","",'入力・概要'!$B$30+H244*F244-I244*G244)</f>
        <v/>
      </c>
      <c r="M244" s="195">
        <f>IF(B244="","",H244*G244+I244*F244)</f>
        <v/>
      </c>
      <c r="N244" s="195">
        <f>IF(B244="","",'入力・概要'!$B$30*(J244*L244+K244*M244)/(L244^2+M244^2))</f>
        <v/>
      </c>
      <c r="O244" s="195">
        <f>IF(B244="","",'入力・概要'!$B$30*(K244*L244-J244*M244)/(L244^2+M244^2))</f>
        <v/>
      </c>
      <c r="P244" s="195">
        <f>IF(B244="","",N244+'入力・概要'!$B$36)</f>
        <v/>
      </c>
      <c r="Q244" s="195">
        <f>IF(B244="","",O244+C244*'入力・概要'!$B$37*1E-9)</f>
        <v/>
      </c>
      <c r="R244" s="195">
        <f>IF(B244="","",SQRT(P244^2+Q244^2))</f>
        <v/>
      </c>
      <c r="S244" s="195">
        <f>IF(B244="","",IF(P244&gt;0,DEGREES(ATAN(Q244/P244)),IF(P244&lt;0,IF(Q244&gt;=0,DEGREES(ATAN(Q244/P244))+180,DEGREES(ATAN(Q244/P244))-180),IF(Q244&gt;0,90,IF(Q244&lt;0,-90,0)))))</f>
        <v/>
      </c>
      <c r="T244" s="195">
        <f>IF(B244="","",LOG10(B244))</f>
        <v/>
      </c>
      <c r="U244" s="195">
        <f>IF(R244="","",LOG10(MAX(R244,1E-12)))</f>
        <v/>
      </c>
    </row>
    <row r="245">
      <c r="A245" t="n">
        <v>242</v>
      </c>
      <c r="B245" s="196">
        <f>IF(A245&lt;='入力・概要'!$B$40,10^(LOG10('入力・概要'!$B$38)+(A245-1)*(LOG10('入力・概要'!$B$39)-LOG10('入力・概要'!$B$38))/('入力・概要'!$B$40-1)),"")</f>
        <v/>
      </c>
      <c r="C245" s="195">
        <f>IF(B245="","",2*PI()*B245)</f>
        <v/>
      </c>
      <c r="D245" s="195">
        <f>IF(B245="","",ATANH(MIN(0.999999,(2*'入力・概要'!$B$17*'入力・概要'!$B$6)/'入力・概要'!$B$30))+'入力・概要'!$B$33*SQRT(B245/1E6)+(2*PI()*B245*'入力・概要'!$B$6/(299792458*'入力・概要'!$B$31))*'入力・概要'!$B$32/2)</f>
        <v/>
      </c>
      <c r="E245" s="195">
        <f>IF(B245="","",2*PI()*B245*'入力・概要'!$B$6/(299792458*'入力・概要'!$B$31))</f>
        <v/>
      </c>
      <c r="F245" s="195">
        <f>IF(B245="","",SINH(2*D245)/(COSH(2*D245)+COS(2*E245)))</f>
        <v/>
      </c>
      <c r="G245" s="195">
        <f>IF(B245="","",SIN(2*E245)/(COSH(2*D245)+COS(2*E245)))</f>
        <v/>
      </c>
      <c r="H245" s="195">
        <f>IF(B245="","",'入力・概要'!$B$34)</f>
        <v/>
      </c>
      <c r="I245" s="195">
        <f>IF(B245="","",C245*'入力・概要'!$B$35*1E-9)</f>
        <v/>
      </c>
      <c r="J245" s="195">
        <f>IF(B245="","",H245+'入力・概要'!$B$30*F245)</f>
        <v/>
      </c>
      <c r="K245" s="195">
        <f>IF(B245="","",I245+'入力・概要'!$B$30*G245)</f>
        <v/>
      </c>
      <c r="L245" s="195">
        <f>IF(B245="","",'入力・概要'!$B$30+H245*F245-I245*G245)</f>
        <v/>
      </c>
      <c r="M245" s="195">
        <f>IF(B245="","",H245*G245+I245*F245)</f>
        <v/>
      </c>
      <c r="N245" s="195">
        <f>IF(B245="","",'入力・概要'!$B$30*(J245*L245+K245*M245)/(L245^2+M245^2))</f>
        <v/>
      </c>
      <c r="O245" s="195">
        <f>IF(B245="","",'入力・概要'!$B$30*(K245*L245-J245*M245)/(L245^2+M245^2))</f>
        <v/>
      </c>
      <c r="P245" s="195">
        <f>IF(B245="","",N245+'入力・概要'!$B$36)</f>
        <v/>
      </c>
      <c r="Q245" s="195">
        <f>IF(B245="","",O245+C245*'入力・概要'!$B$37*1E-9)</f>
        <v/>
      </c>
      <c r="R245" s="195">
        <f>IF(B245="","",SQRT(P245^2+Q245^2))</f>
        <v/>
      </c>
      <c r="S245" s="195">
        <f>IF(B245="","",IF(P245&gt;0,DEGREES(ATAN(Q245/P245)),IF(P245&lt;0,IF(Q245&gt;=0,DEGREES(ATAN(Q245/P245))+180,DEGREES(ATAN(Q245/P245))-180),IF(Q245&gt;0,90,IF(Q245&lt;0,-90,0)))))</f>
        <v/>
      </c>
      <c r="T245" s="195">
        <f>IF(B245="","",LOG10(B245))</f>
        <v/>
      </c>
      <c r="U245" s="195">
        <f>IF(R245="","",LOG10(MAX(R245,1E-12)))</f>
        <v/>
      </c>
    </row>
    <row r="246">
      <c r="A246" t="n">
        <v>243</v>
      </c>
      <c r="B246" s="196">
        <f>IF(A246&lt;='入力・概要'!$B$40,10^(LOG10('入力・概要'!$B$38)+(A246-1)*(LOG10('入力・概要'!$B$39)-LOG10('入力・概要'!$B$38))/('入力・概要'!$B$40-1)),"")</f>
        <v/>
      </c>
      <c r="C246" s="195">
        <f>IF(B246="","",2*PI()*B246)</f>
        <v/>
      </c>
      <c r="D246" s="195">
        <f>IF(B246="","",ATANH(MIN(0.999999,(2*'入力・概要'!$B$17*'入力・概要'!$B$6)/'入力・概要'!$B$30))+'入力・概要'!$B$33*SQRT(B246/1E6)+(2*PI()*B246*'入力・概要'!$B$6/(299792458*'入力・概要'!$B$31))*'入力・概要'!$B$32/2)</f>
        <v/>
      </c>
      <c r="E246" s="195">
        <f>IF(B246="","",2*PI()*B246*'入力・概要'!$B$6/(299792458*'入力・概要'!$B$31))</f>
        <v/>
      </c>
      <c r="F246" s="195">
        <f>IF(B246="","",SINH(2*D246)/(COSH(2*D246)+COS(2*E246)))</f>
        <v/>
      </c>
      <c r="G246" s="195">
        <f>IF(B246="","",SIN(2*E246)/(COSH(2*D246)+COS(2*E246)))</f>
        <v/>
      </c>
      <c r="H246" s="195">
        <f>IF(B246="","",'入力・概要'!$B$34)</f>
        <v/>
      </c>
      <c r="I246" s="195">
        <f>IF(B246="","",C246*'入力・概要'!$B$35*1E-9)</f>
        <v/>
      </c>
      <c r="J246" s="195">
        <f>IF(B246="","",H246+'入力・概要'!$B$30*F246)</f>
        <v/>
      </c>
      <c r="K246" s="195">
        <f>IF(B246="","",I246+'入力・概要'!$B$30*G246)</f>
        <v/>
      </c>
      <c r="L246" s="195">
        <f>IF(B246="","",'入力・概要'!$B$30+H246*F246-I246*G246)</f>
        <v/>
      </c>
      <c r="M246" s="195">
        <f>IF(B246="","",H246*G246+I246*F246)</f>
        <v/>
      </c>
      <c r="N246" s="195">
        <f>IF(B246="","",'入力・概要'!$B$30*(J246*L246+K246*M246)/(L246^2+M246^2))</f>
        <v/>
      </c>
      <c r="O246" s="195">
        <f>IF(B246="","",'入力・概要'!$B$30*(K246*L246-J246*M246)/(L246^2+M246^2))</f>
        <v/>
      </c>
      <c r="P246" s="195">
        <f>IF(B246="","",N246+'入力・概要'!$B$36)</f>
        <v/>
      </c>
      <c r="Q246" s="195">
        <f>IF(B246="","",O246+C246*'入力・概要'!$B$37*1E-9)</f>
        <v/>
      </c>
      <c r="R246" s="195">
        <f>IF(B246="","",SQRT(P246^2+Q246^2))</f>
        <v/>
      </c>
      <c r="S246" s="195">
        <f>IF(B246="","",IF(P246&gt;0,DEGREES(ATAN(Q246/P246)),IF(P246&lt;0,IF(Q246&gt;=0,DEGREES(ATAN(Q246/P246))+180,DEGREES(ATAN(Q246/P246))-180),IF(Q246&gt;0,90,IF(Q246&lt;0,-90,0)))))</f>
        <v/>
      </c>
      <c r="T246" s="195">
        <f>IF(B246="","",LOG10(B246))</f>
        <v/>
      </c>
      <c r="U246" s="195">
        <f>IF(R246="","",LOG10(MAX(R246,1E-12)))</f>
        <v/>
      </c>
    </row>
    <row r="247">
      <c r="A247" t="n">
        <v>244</v>
      </c>
      <c r="B247" s="196">
        <f>IF(A247&lt;='入力・概要'!$B$40,10^(LOG10('入力・概要'!$B$38)+(A247-1)*(LOG10('入力・概要'!$B$39)-LOG10('入力・概要'!$B$38))/('入力・概要'!$B$40-1)),"")</f>
        <v/>
      </c>
      <c r="C247" s="195">
        <f>IF(B247="","",2*PI()*B247)</f>
        <v/>
      </c>
      <c r="D247" s="195">
        <f>IF(B247="","",ATANH(MIN(0.999999,(2*'入力・概要'!$B$17*'入力・概要'!$B$6)/'入力・概要'!$B$30))+'入力・概要'!$B$33*SQRT(B247/1E6)+(2*PI()*B247*'入力・概要'!$B$6/(299792458*'入力・概要'!$B$31))*'入力・概要'!$B$32/2)</f>
        <v/>
      </c>
      <c r="E247" s="195">
        <f>IF(B247="","",2*PI()*B247*'入力・概要'!$B$6/(299792458*'入力・概要'!$B$31))</f>
        <v/>
      </c>
      <c r="F247" s="195">
        <f>IF(B247="","",SINH(2*D247)/(COSH(2*D247)+COS(2*E247)))</f>
        <v/>
      </c>
      <c r="G247" s="195">
        <f>IF(B247="","",SIN(2*E247)/(COSH(2*D247)+COS(2*E247)))</f>
        <v/>
      </c>
      <c r="H247" s="195">
        <f>IF(B247="","",'入力・概要'!$B$34)</f>
        <v/>
      </c>
      <c r="I247" s="195">
        <f>IF(B247="","",C247*'入力・概要'!$B$35*1E-9)</f>
        <v/>
      </c>
      <c r="J247" s="195">
        <f>IF(B247="","",H247+'入力・概要'!$B$30*F247)</f>
        <v/>
      </c>
      <c r="K247" s="195">
        <f>IF(B247="","",I247+'入力・概要'!$B$30*G247)</f>
        <v/>
      </c>
      <c r="L247" s="195">
        <f>IF(B247="","",'入力・概要'!$B$30+H247*F247-I247*G247)</f>
        <v/>
      </c>
      <c r="M247" s="195">
        <f>IF(B247="","",H247*G247+I247*F247)</f>
        <v/>
      </c>
      <c r="N247" s="195">
        <f>IF(B247="","",'入力・概要'!$B$30*(J247*L247+K247*M247)/(L247^2+M247^2))</f>
        <v/>
      </c>
      <c r="O247" s="195">
        <f>IF(B247="","",'入力・概要'!$B$30*(K247*L247-J247*M247)/(L247^2+M247^2))</f>
        <v/>
      </c>
      <c r="P247" s="195">
        <f>IF(B247="","",N247+'入力・概要'!$B$36)</f>
        <v/>
      </c>
      <c r="Q247" s="195">
        <f>IF(B247="","",O247+C247*'入力・概要'!$B$37*1E-9)</f>
        <v/>
      </c>
      <c r="R247" s="195">
        <f>IF(B247="","",SQRT(P247^2+Q247^2))</f>
        <v/>
      </c>
      <c r="S247" s="195">
        <f>IF(B247="","",IF(P247&gt;0,DEGREES(ATAN(Q247/P247)),IF(P247&lt;0,IF(Q247&gt;=0,DEGREES(ATAN(Q247/P247))+180,DEGREES(ATAN(Q247/P247))-180),IF(Q247&gt;0,90,IF(Q247&lt;0,-90,0)))))</f>
        <v/>
      </c>
      <c r="T247" s="195">
        <f>IF(B247="","",LOG10(B247))</f>
        <v/>
      </c>
      <c r="U247" s="195">
        <f>IF(R247="","",LOG10(MAX(R247,1E-12)))</f>
        <v/>
      </c>
    </row>
    <row r="248">
      <c r="A248" t="n">
        <v>245</v>
      </c>
      <c r="B248" s="196">
        <f>IF(A248&lt;='入力・概要'!$B$40,10^(LOG10('入力・概要'!$B$38)+(A248-1)*(LOG10('入力・概要'!$B$39)-LOG10('入力・概要'!$B$38))/('入力・概要'!$B$40-1)),"")</f>
        <v/>
      </c>
      <c r="C248" s="195">
        <f>IF(B248="","",2*PI()*B248)</f>
        <v/>
      </c>
      <c r="D248" s="195">
        <f>IF(B248="","",ATANH(MIN(0.999999,(2*'入力・概要'!$B$17*'入力・概要'!$B$6)/'入力・概要'!$B$30))+'入力・概要'!$B$33*SQRT(B248/1E6)+(2*PI()*B248*'入力・概要'!$B$6/(299792458*'入力・概要'!$B$31))*'入力・概要'!$B$32/2)</f>
        <v/>
      </c>
      <c r="E248" s="195">
        <f>IF(B248="","",2*PI()*B248*'入力・概要'!$B$6/(299792458*'入力・概要'!$B$31))</f>
        <v/>
      </c>
      <c r="F248" s="195">
        <f>IF(B248="","",SINH(2*D248)/(COSH(2*D248)+COS(2*E248)))</f>
        <v/>
      </c>
      <c r="G248" s="195">
        <f>IF(B248="","",SIN(2*E248)/(COSH(2*D248)+COS(2*E248)))</f>
        <v/>
      </c>
      <c r="H248" s="195">
        <f>IF(B248="","",'入力・概要'!$B$34)</f>
        <v/>
      </c>
      <c r="I248" s="195">
        <f>IF(B248="","",C248*'入力・概要'!$B$35*1E-9)</f>
        <v/>
      </c>
      <c r="J248" s="195">
        <f>IF(B248="","",H248+'入力・概要'!$B$30*F248)</f>
        <v/>
      </c>
      <c r="K248" s="195">
        <f>IF(B248="","",I248+'入力・概要'!$B$30*G248)</f>
        <v/>
      </c>
      <c r="L248" s="195">
        <f>IF(B248="","",'入力・概要'!$B$30+H248*F248-I248*G248)</f>
        <v/>
      </c>
      <c r="M248" s="195">
        <f>IF(B248="","",H248*G248+I248*F248)</f>
        <v/>
      </c>
      <c r="N248" s="195">
        <f>IF(B248="","",'入力・概要'!$B$30*(J248*L248+K248*M248)/(L248^2+M248^2))</f>
        <v/>
      </c>
      <c r="O248" s="195">
        <f>IF(B248="","",'入力・概要'!$B$30*(K248*L248-J248*M248)/(L248^2+M248^2))</f>
        <v/>
      </c>
      <c r="P248" s="195">
        <f>IF(B248="","",N248+'入力・概要'!$B$36)</f>
        <v/>
      </c>
      <c r="Q248" s="195">
        <f>IF(B248="","",O248+C248*'入力・概要'!$B$37*1E-9)</f>
        <v/>
      </c>
      <c r="R248" s="195">
        <f>IF(B248="","",SQRT(P248^2+Q248^2))</f>
        <v/>
      </c>
      <c r="S248" s="195">
        <f>IF(B248="","",IF(P248&gt;0,DEGREES(ATAN(Q248/P248)),IF(P248&lt;0,IF(Q248&gt;=0,DEGREES(ATAN(Q248/P248))+180,DEGREES(ATAN(Q248/P248))-180),IF(Q248&gt;0,90,IF(Q248&lt;0,-90,0)))))</f>
        <v/>
      </c>
      <c r="T248" s="195">
        <f>IF(B248="","",LOG10(B248))</f>
        <v/>
      </c>
      <c r="U248" s="195">
        <f>IF(R248="","",LOG10(MAX(R248,1E-12)))</f>
        <v/>
      </c>
    </row>
    <row r="249">
      <c r="A249" t="n">
        <v>246</v>
      </c>
      <c r="B249" s="196">
        <f>IF(A249&lt;='入力・概要'!$B$40,10^(LOG10('入力・概要'!$B$38)+(A249-1)*(LOG10('入力・概要'!$B$39)-LOG10('入力・概要'!$B$38))/('入力・概要'!$B$40-1)),"")</f>
        <v/>
      </c>
      <c r="C249" s="195">
        <f>IF(B249="","",2*PI()*B249)</f>
        <v/>
      </c>
      <c r="D249" s="195">
        <f>IF(B249="","",ATANH(MIN(0.999999,(2*'入力・概要'!$B$17*'入力・概要'!$B$6)/'入力・概要'!$B$30))+'入力・概要'!$B$33*SQRT(B249/1E6)+(2*PI()*B249*'入力・概要'!$B$6/(299792458*'入力・概要'!$B$31))*'入力・概要'!$B$32/2)</f>
        <v/>
      </c>
      <c r="E249" s="195">
        <f>IF(B249="","",2*PI()*B249*'入力・概要'!$B$6/(299792458*'入力・概要'!$B$31))</f>
        <v/>
      </c>
      <c r="F249" s="195">
        <f>IF(B249="","",SINH(2*D249)/(COSH(2*D249)+COS(2*E249)))</f>
        <v/>
      </c>
      <c r="G249" s="195">
        <f>IF(B249="","",SIN(2*E249)/(COSH(2*D249)+COS(2*E249)))</f>
        <v/>
      </c>
      <c r="H249" s="195">
        <f>IF(B249="","",'入力・概要'!$B$34)</f>
        <v/>
      </c>
      <c r="I249" s="195">
        <f>IF(B249="","",C249*'入力・概要'!$B$35*1E-9)</f>
        <v/>
      </c>
      <c r="J249" s="195">
        <f>IF(B249="","",H249+'入力・概要'!$B$30*F249)</f>
        <v/>
      </c>
      <c r="K249" s="195">
        <f>IF(B249="","",I249+'入力・概要'!$B$30*G249)</f>
        <v/>
      </c>
      <c r="L249" s="195">
        <f>IF(B249="","",'入力・概要'!$B$30+H249*F249-I249*G249)</f>
        <v/>
      </c>
      <c r="M249" s="195">
        <f>IF(B249="","",H249*G249+I249*F249)</f>
        <v/>
      </c>
      <c r="N249" s="195">
        <f>IF(B249="","",'入力・概要'!$B$30*(J249*L249+K249*M249)/(L249^2+M249^2))</f>
        <v/>
      </c>
      <c r="O249" s="195">
        <f>IF(B249="","",'入力・概要'!$B$30*(K249*L249-J249*M249)/(L249^2+M249^2))</f>
        <v/>
      </c>
      <c r="P249" s="195">
        <f>IF(B249="","",N249+'入力・概要'!$B$36)</f>
        <v/>
      </c>
      <c r="Q249" s="195">
        <f>IF(B249="","",O249+C249*'入力・概要'!$B$37*1E-9)</f>
        <v/>
      </c>
      <c r="R249" s="195">
        <f>IF(B249="","",SQRT(P249^2+Q249^2))</f>
        <v/>
      </c>
      <c r="S249" s="195">
        <f>IF(B249="","",IF(P249&gt;0,DEGREES(ATAN(Q249/P249)),IF(P249&lt;0,IF(Q249&gt;=0,DEGREES(ATAN(Q249/P249))+180,DEGREES(ATAN(Q249/P249))-180),IF(Q249&gt;0,90,IF(Q249&lt;0,-90,0)))))</f>
        <v/>
      </c>
      <c r="T249" s="195">
        <f>IF(B249="","",LOG10(B249))</f>
        <v/>
      </c>
      <c r="U249" s="195">
        <f>IF(R249="","",LOG10(MAX(R249,1E-12)))</f>
        <v/>
      </c>
    </row>
    <row r="250">
      <c r="A250" t="n">
        <v>247</v>
      </c>
      <c r="B250" s="196">
        <f>IF(A250&lt;='入力・概要'!$B$40,10^(LOG10('入力・概要'!$B$38)+(A250-1)*(LOG10('入力・概要'!$B$39)-LOG10('入力・概要'!$B$38))/('入力・概要'!$B$40-1)),"")</f>
        <v/>
      </c>
      <c r="C250" s="195">
        <f>IF(B250="","",2*PI()*B250)</f>
        <v/>
      </c>
      <c r="D250" s="195">
        <f>IF(B250="","",ATANH(MIN(0.999999,(2*'入力・概要'!$B$17*'入力・概要'!$B$6)/'入力・概要'!$B$30))+'入力・概要'!$B$33*SQRT(B250/1E6)+(2*PI()*B250*'入力・概要'!$B$6/(299792458*'入力・概要'!$B$31))*'入力・概要'!$B$32/2)</f>
        <v/>
      </c>
      <c r="E250" s="195">
        <f>IF(B250="","",2*PI()*B250*'入力・概要'!$B$6/(299792458*'入力・概要'!$B$31))</f>
        <v/>
      </c>
      <c r="F250" s="195">
        <f>IF(B250="","",SINH(2*D250)/(COSH(2*D250)+COS(2*E250)))</f>
        <v/>
      </c>
      <c r="G250" s="195">
        <f>IF(B250="","",SIN(2*E250)/(COSH(2*D250)+COS(2*E250)))</f>
        <v/>
      </c>
      <c r="H250" s="195">
        <f>IF(B250="","",'入力・概要'!$B$34)</f>
        <v/>
      </c>
      <c r="I250" s="195">
        <f>IF(B250="","",C250*'入力・概要'!$B$35*1E-9)</f>
        <v/>
      </c>
      <c r="J250" s="195">
        <f>IF(B250="","",H250+'入力・概要'!$B$30*F250)</f>
        <v/>
      </c>
      <c r="K250" s="195">
        <f>IF(B250="","",I250+'入力・概要'!$B$30*G250)</f>
        <v/>
      </c>
      <c r="L250" s="195">
        <f>IF(B250="","",'入力・概要'!$B$30+H250*F250-I250*G250)</f>
        <v/>
      </c>
      <c r="M250" s="195">
        <f>IF(B250="","",H250*G250+I250*F250)</f>
        <v/>
      </c>
      <c r="N250" s="195">
        <f>IF(B250="","",'入力・概要'!$B$30*(J250*L250+K250*M250)/(L250^2+M250^2))</f>
        <v/>
      </c>
      <c r="O250" s="195">
        <f>IF(B250="","",'入力・概要'!$B$30*(K250*L250-J250*M250)/(L250^2+M250^2))</f>
        <v/>
      </c>
      <c r="P250" s="195">
        <f>IF(B250="","",N250+'入力・概要'!$B$36)</f>
        <v/>
      </c>
      <c r="Q250" s="195">
        <f>IF(B250="","",O250+C250*'入力・概要'!$B$37*1E-9)</f>
        <v/>
      </c>
      <c r="R250" s="195">
        <f>IF(B250="","",SQRT(P250^2+Q250^2))</f>
        <v/>
      </c>
      <c r="S250" s="195">
        <f>IF(B250="","",IF(P250&gt;0,DEGREES(ATAN(Q250/P250)),IF(P250&lt;0,IF(Q250&gt;=0,DEGREES(ATAN(Q250/P250))+180,DEGREES(ATAN(Q250/P250))-180),IF(Q250&gt;0,90,IF(Q250&lt;0,-90,0)))))</f>
        <v/>
      </c>
      <c r="T250" s="195">
        <f>IF(B250="","",LOG10(B250))</f>
        <v/>
      </c>
      <c r="U250" s="195">
        <f>IF(R250="","",LOG10(MAX(R250,1E-12)))</f>
        <v/>
      </c>
    </row>
    <row r="251">
      <c r="A251" t="n">
        <v>248</v>
      </c>
      <c r="B251" s="196">
        <f>IF(A251&lt;='入力・概要'!$B$40,10^(LOG10('入力・概要'!$B$38)+(A251-1)*(LOG10('入力・概要'!$B$39)-LOG10('入力・概要'!$B$38))/('入力・概要'!$B$40-1)),"")</f>
        <v/>
      </c>
      <c r="C251" s="195">
        <f>IF(B251="","",2*PI()*B251)</f>
        <v/>
      </c>
      <c r="D251" s="195">
        <f>IF(B251="","",ATANH(MIN(0.999999,(2*'入力・概要'!$B$17*'入力・概要'!$B$6)/'入力・概要'!$B$30))+'入力・概要'!$B$33*SQRT(B251/1E6)+(2*PI()*B251*'入力・概要'!$B$6/(299792458*'入力・概要'!$B$31))*'入力・概要'!$B$32/2)</f>
        <v/>
      </c>
      <c r="E251" s="195">
        <f>IF(B251="","",2*PI()*B251*'入力・概要'!$B$6/(299792458*'入力・概要'!$B$31))</f>
        <v/>
      </c>
      <c r="F251" s="195">
        <f>IF(B251="","",SINH(2*D251)/(COSH(2*D251)+COS(2*E251)))</f>
        <v/>
      </c>
      <c r="G251" s="195">
        <f>IF(B251="","",SIN(2*E251)/(COSH(2*D251)+COS(2*E251)))</f>
        <v/>
      </c>
      <c r="H251" s="195">
        <f>IF(B251="","",'入力・概要'!$B$34)</f>
        <v/>
      </c>
      <c r="I251" s="195">
        <f>IF(B251="","",C251*'入力・概要'!$B$35*1E-9)</f>
        <v/>
      </c>
      <c r="J251" s="195">
        <f>IF(B251="","",H251+'入力・概要'!$B$30*F251)</f>
        <v/>
      </c>
      <c r="K251" s="195">
        <f>IF(B251="","",I251+'入力・概要'!$B$30*G251)</f>
        <v/>
      </c>
      <c r="L251" s="195">
        <f>IF(B251="","",'入力・概要'!$B$30+H251*F251-I251*G251)</f>
        <v/>
      </c>
      <c r="M251" s="195">
        <f>IF(B251="","",H251*G251+I251*F251)</f>
        <v/>
      </c>
      <c r="N251" s="195">
        <f>IF(B251="","",'入力・概要'!$B$30*(J251*L251+K251*M251)/(L251^2+M251^2))</f>
        <v/>
      </c>
      <c r="O251" s="195">
        <f>IF(B251="","",'入力・概要'!$B$30*(K251*L251-J251*M251)/(L251^2+M251^2))</f>
        <v/>
      </c>
      <c r="P251" s="195">
        <f>IF(B251="","",N251+'入力・概要'!$B$36)</f>
        <v/>
      </c>
      <c r="Q251" s="195">
        <f>IF(B251="","",O251+C251*'入力・概要'!$B$37*1E-9)</f>
        <v/>
      </c>
      <c r="R251" s="195">
        <f>IF(B251="","",SQRT(P251^2+Q251^2))</f>
        <v/>
      </c>
      <c r="S251" s="195">
        <f>IF(B251="","",IF(P251&gt;0,DEGREES(ATAN(Q251/P251)),IF(P251&lt;0,IF(Q251&gt;=0,DEGREES(ATAN(Q251/P251))+180,DEGREES(ATAN(Q251/P251))-180),IF(Q251&gt;0,90,IF(Q251&lt;0,-90,0)))))</f>
        <v/>
      </c>
      <c r="T251" s="195">
        <f>IF(B251="","",LOG10(B251))</f>
        <v/>
      </c>
      <c r="U251" s="195">
        <f>IF(R251="","",LOG10(MAX(R251,1E-12)))</f>
        <v/>
      </c>
    </row>
    <row r="252">
      <c r="A252" t="n">
        <v>249</v>
      </c>
      <c r="B252" s="196">
        <f>IF(A252&lt;='入力・概要'!$B$40,10^(LOG10('入力・概要'!$B$38)+(A252-1)*(LOG10('入力・概要'!$B$39)-LOG10('入力・概要'!$B$38))/('入力・概要'!$B$40-1)),"")</f>
        <v/>
      </c>
      <c r="C252" s="195">
        <f>IF(B252="","",2*PI()*B252)</f>
        <v/>
      </c>
      <c r="D252" s="195">
        <f>IF(B252="","",ATANH(MIN(0.999999,(2*'入力・概要'!$B$17*'入力・概要'!$B$6)/'入力・概要'!$B$30))+'入力・概要'!$B$33*SQRT(B252/1E6)+(2*PI()*B252*'入力・概要'!$B$6/(299792458*'入力・概要'!$B$31))*'入力・概要'!$B$32/2)</f>
        <v/>
      </c>
      <c r="E252" s="195">
        <f>IF(B252="","",2*PI()*B252*'入力・概要'!$B$6/(299792458*'入力・概要'!$B$31))</f>
        <v/>
      </c>
      <c r="F252" s="195">
        <f>IF(B252="","",SINH(2*D252)/(COSH(2*D252)+COS(2*E252)))</f>
        <v/>
      </c>
      <c r="G252" s="195">
        <f>IF(B252="","",SIN(2*E252)/(COSH(2*D252)+COS(2*E252)))</f>
        <v/>
      </c>
      <c r="H252" s="195">
        <f>IF(B252="","",'入力・概要'!$B$34)</f>
        <v/>
      </c>
      <c r="I252" s="195">
        <f>IF(B252="","",C252*'入力・概要'!$B$35*1E-9)</f>
        <v/>
      </c>
      <c r="J252" s="195">
        <f>IF(B252="","",H252+'入力・概要'!$B$30*F252)</f>
        <v/>
      </c>
      <c r="K252" s="195">
        <f>IF(B252="","",I252+'入力・概要'!$B$30*G252)</f>
        <v/>
      </c>
      <c r="L252" s="195">
        <f>IF(B252="","",'入力・概要'!$B$30+H252*F252-I252*G252)</f>
        <v/>
      </c>
      <c r="M252" s="195">
        <f>IF(B252="","",H252*G252+I252*F252)</f>
        <v/>
      </c>
      <c r="N252" s="195">
        <f>IF(B252="","",'入力・概要'!$B$30*(J252*L252+K252*M252)/(L252^2+M252^2))</f>
        <v/>
      </c>
      <c r="O252" s="195">
        <f>IF(B252="","",'入力・概要'!$B$30*(K252*L252-J252*M252)/(L252^2+M252^2))</f>
        <v/>
      </c>
      <c r="P252" s="195">
        <f>IF(B252="","",N252+'入力・概要'!$B$36)</f>
        <v/>
      </c>
      <c r="Q252" s="195">
        <f>IF(B252="","",O252+C252*'入力・概要'!$B$37*1E-9)</f>
        <v/>
      </c>
      <c r="R252" s="195">
        <f>IF(B252="","",SQRT(P252^2+Q252^2))</f>
        <v/>
      </c>
      <c r="S252" s="195">
        <f>IF(B252="","",IF(P252&gt;0,DEGREES(ATAN(Q252/P252)),IF(P252&lt;0,IF(Q252&gt;=0,DEGREES(ATAN(Q252/P252))+180,DEGREES(ATAN(Q252/P252))-180),IF(Q252&gt;0,90,IF(Q252&lt;0,-90,0)))))</f>
        <v/>
      </c>
      <c r="T252" s="195">
        <f>IF(B252="","",LOG10(B252))</f>
        <v/>
      </c>
      <c r="U252" s="195">
        <f>IF(R252="","",LOG10(MAX(R252,1E-12)))</f>
        <v/>
      </c>
    </row>
    <row r="253">
      <c r="A253" t="n">
        <v>250</v>
      </c>
      <c r="B253" s="196">
        <f>IF(A253&lt;='入力・概要'!$B$40,10^(LOG10('入力・概要'!$B$38)+(A253-1)*(LOG10('入力・概要'!$B$39)-LOG10('入力・概要'!$B$38))/('入力・概要'!$B$40-1)),"")</f>
        <v/>
      </c>
      <c r="C253" s="195">
        <f>IF(B253="","",2*PI()*B253)</f>
        <v/>
      </c>
      <c r="D253" s="195">
        <f>IF(B253="","",ATANH(MIN(0.999999,(2*'入力・概要'!$B$17*'入力・概要'!$B$6)/'入力・概要'!$B$30))+'入力・概要'!$B$33*SQRT(B253/1E6)+(2*PI()*B253*'入力・概要'!$B$6/(299792458*'入力・概要'!$B$31))*'入力・概要'!$B$32/2)</f>
        <v/>
      </c>
      <c r="E253" s="195">
        <f>IF(B253="","",2*PI()*B253*'入力・概要'!$B$6/(299792458*'入力・概要'!$B$31))</f>
        <v/>
      </c>
      <c r="F253" s="195">
        <f>IF(B253="","",SINH(2*D253)/(COSH(2*D253)+COS(2*E253)))</f>
        <v/>
      </c>
      <c r="G253" s="195">
        <f>IF(B253="","",SIN(2*E253)/(COSH(2*D253)+COS(2*E253)))</f>
        <v/>
      </c>
      <c r="H253" s="195">
        <f>IF(B253="","",'入力・概要'!$B$34)</f>
        <v/>
      </c>
      <c r="I253" s="195">
        <f>IF(B253="","",C253*'入力・概要'!$B$35*1E-9)</f>
        <v/>
      </c>
      <c r="J253" s="195">
        <f>IF(B253="","",H253+'入力・概要'!$B$30*F253)</f>
        <v/>
      </c>
      <c r="K253" s="195">
        <f>IF(B253="","",I253+'入力・概要'!$B$30*G253)</f>
        <v/>
      </c>
      <c r="L253" s="195">
        <f>IF(B253="","",'入力・概要'!$B$30+H253*F253-I253*G253)</f>
        <v/>
      </c>
      <c r="M253" s="195">
        <f>IF(B253="","",H253*G253+I253*F253)</f>
        <v/>
      </c>
      <c r="N253" s="195">
        <f>IF(B253="","",'入力・概要'!$B$30*(J253*L253+K253*M253)/(L253^2+M253^2))</f>
        <v/>
      </c>
      <c r="O253" s="195">
        <f>IF(B253="","",'入力・概要'!$B$30*(K253*L253-J253*M253)/(L253^2+M253^2))</f>
        <v/>
      </c>
      <c r="P253" s="195">
        <f>IF(B253="","",N253+'入力・概要'!$B$36)</f>
        <v/>
      </c>
      <c r="Q253" s="195">
        <f>IF(B253="","",O253+C253*'入力・概要'!$B$37*1E-9)</f>
        <v/>
      </c>
      <c r="R253" s="195">
        <f>IF(B253="","",SQRT(P253^2+Q253^2))</f>
        <v/>
      </c>
      <c r="S253" s="195">
        <f>IF(B253="","",IF(P253&gt;0,DEGREES(ATAN(Q253/P253)),IF(P253&lt;0,IF(Q253&gt;=0,DEGREES(ATAN(Q253/P253))+180,DEGREES(ATAN(Q253/P253))-180),IF(Q253&gt;0,90,IF(Q253&lt;0,-90,0)))))</f>
        <v/>
      </c>
      <c r="T253" s="195">
        <f>IF(B253="","",LOG10(B253))</f>
        <v/>
      </c>
      <c r="U253" s="195">
        <f>IF(R253="","",LOG10(MAX(R253,1E-12)))</f>
        <v/>
      </c>
    </row>
    <row r="254">
      <c r="A254" t="n">
        <v>251</v>
      </c>
      <c r="B254" s="196">
        <f>IF(A254&lt;='入力・概要'!$B$40,10^(LOG10('入力・概要'!$B$38)+(A254-1)*(LOG10('入力・概要'!$B$39)-LOG10('入力・概要'!$B$38))/('入力・概要'!$B$40-1)),"")</f>
        <v/>
      </c>
      <c r="C254" s="195">
        <f>IF(B254="","",2*PI()*B254)</f>
        <v/>
      </c>
      <c r="D254" s="195">
        <f>IF(B254="","",ATANH(MIN(0.999999,(2*'入力・概要'!$B$17*'入力・概要'!$B$6)/'入力・概要'!$B$30))+'入力・概要'!$B$33*SQRT(B254/1E6)+(2*PI()*B254*'入力・概要'!$B$6/(299792458*'入力・概要'!$B$31))*'入力・概要'!$B$32/2)</f>
        <v/>
      </c>
      <c r="E254" s="195">
        <f>IF(B254="","",2*PI()*B254*'入力・概要'!$B$6/(299792458*'入力・概要'!$B$31))</f>
        <v/>
      </c>
      <c r="F254" s="195">
        <f>IF(B254="","",SINH(2*D254)/(COSH(2*D254)+COS(2*E254)))</f>
        <v/>
      </c>
      <c r="G254" s="195">
        <f>IF(B254="","",SIN(2*E254)/(COSH(2*D254)+COS(2*E254)))</f>
        <v/>
      </c>
      <c r="H254" s="195">
        <f>IF(B254="","",'入力・概要'!$B$34)</f>
        <v/>
      </c>
      <c r="I254" s="195">
        <f>IF(B254="","",C254*'入力・概要'!$B$35*1E-9)</f>
        <v/>
      </c>
      <c r="J254" s="195">
        <f>IF(B254="","",H254+'入力・概要'!$B$30*F254)</f>
        <v/>
      </c>
      <c r="K254" s="195">
        <f>IF(B254="","",I254+'入力・概要'!$B$30*G254)</f>
        <v/>
      </c>
      <c r="L254" s="195">
        <f>IF(B254="","",'入力・概要'!$B$30+H254*F254-I254*G254)</f>
        <v/>
      </c>
      <c r="M254" s="195">
        <f>IF(B254="","",H254*G254+I254*F254)</f>
        <v/>
      </c>
      <c r="N254" s="195">
        <f>IF(B254="","",'入力・概要'!$B$30*(J254*L254+K254*M254)/(L254^2+M254^2))</f>
        <v/>
      </c>
      <c r="O254" s="195">
        <f>IF(B254="","",'入力・概要'!$B$30*(K254*L254-J254*M254)/(L254^2+M254^2))</f>
        <v/>
      </c>
      <c r="P254" s="195">
        <f>IF(B254="","",N254+'入力・概要'!$B$36)</f>
        <v/>
      </c>
      <c r="Q254" s="195">
        <f>IF(B254="","",O254+C254*'入力・概要'!$B$37*1E-9)</f>
        <v/>
      </c>
      <c r="R254" s="195">
        <f>IF(B254="","",SQRT(P254^2+Q254^2))</f>
        <v/>
      </c>
      <c r="S254" s="195">
        <f>IF(B254="","",IF(P254&gt;0,DEGREES(ATAN(Q254/P254)),IF(P254&lt;0,IF(Q254&gt;=0,DEGREES(ATAN(Q254/P254))+180,DEGREES(ATAN(Q254/P254))-180),IF(Q254&gt;0,90,IF(Q254&lt;0,-90,0)))))</f>
        <v/>
      </c>
      <c r="T254" s="195">
        <f>IF(B254="","",LOG10(B254))</f>
        <v/>
      </c>
      <c r="U254" s="195">
        <f>IF(R254="","",LOG10(MAX(R254,1E-12)))</f>
        <v/>
      </c>
    </row>
    <row r="255">
      <c r="A255" t="n">
        <v>252</v>
      </c>
      <c r="B255" s="196">
        <f>IF(A255&lt;='入力・概要'!$B$40,10^(LOG10('入力・概要'!$B$38)+(A255-1)*(LOG10('入力・概要'!$B$39)-LOG10('入力・概要'!$B$38))/('入力・概要'!$B$40-1)),"")</f>
        <v/>
      </c>
      <c r="C255" s="195">
        <f>IF(B255="","",2*PI()*B255)</f>
        <v/>
      </c>
      <c r="D255" s="195">
        <f>IF(B255="","",ATANH(MIN(0.999999,(2*'入力・概要'!$B$17*'入力・概要'!$B$6)/'入力・概要'!$B$30))+'入力・概要'!$B$33*SQRT(B255/1E6)+(2*PI()*B255*'入力・概要'!$B$6/(299792458*'入力・概要'!$B$31))*'入力・概要'!$B$32/2)</f>
        <v/>
      </c>
      <c r="E255" s="195">
        <f>IF(B255="","",2*PI()*B255*'入力・概要'!$B$6/(299792458*'入力・概要'!$B$31))</f>
        <v/>
      </c>
      <c r="F255" s="195">
        <f>IF(B255="","",SINH(2*D255)/(COSH(2*D255)+COS(2*E255)))</f>
        <v/>
      </c>
      <c r="G255" s="195">
        <f>IF(B255="","",SIN(2*E255)/(COSH(2*D255)+COS(2*E255)))</f>
        <v/>
      </c>
      <c r="H255" s="195">
        <f>IF(B255="","",'入力・概要'!$B$34)</f>
        <v/>
      </c>
      <c r="I255" s="195">
        <f>IF(B255="","",C255*'入力・概要'!$B$35*1E-9)</f>
        <v/>
      </c>
      <c r="J255" s="195">
        <f>IF(B255="","",H255+'入力・概要'!$B$30*F255)</f>
        <v/>
      </c>
      <c r="K255" s="195">
        <f>IF(B255="","",I255+'入力・概要'!$B$30*G255)</f>
        <v/>
      </c>
      <c r="L255" s="195">
        <f>IF(B255="","",'入力・概要'!$B$30+H255*F255-I255*G255)</f>
        <v/>
      </c>
      <c r="M255" s="195">
        <f>IF(B255="","",H255*G255+I255*F255)</f>
        <v/>
      </c>
      <c r="N255" s="195">
        <f>IF(B255="","",'入力・概要'!$B$30*(J255*L255+K255*M255)/(L255^2+M255^2))</f>
        <v/>
      </c>
      <c r="O255" s="195">
        <f>IF(B255="","",'入力・概要'!$B$30*(K255*L255-J255*M255)/(L255^2+M255^2))</f>
        <v/>
      </c>
      <c r="P255" s="195">
        <f>IF(B255="","",N255+'入力・概要'!$B$36)</f>
        <v/>
      </c>
      <c r="Q255" s="195">
        <f>IF(B255="","",O255+C255*'入力・概要'!$B$37*1E-9)</f>
        <v/>
      </c>
      <c r="R255" s="195">
        <f>IF(B255="","",SQRT(P255^2+Q255^2))</f>
        <v/>
      </c>
      <c r="S255" s="195">
        <f>IF(B255="","",IF(P255&gt;0,DEGREES(ATAN(Q255/P255)),IF(P255&lt;0,IF(Q255&gt;=0,DEGREES(ATAN(Q255/P255))+180,DEGREES(ATAN(Q255/P255))-180),IF(Q255&gt;0,90,IF(Q255&lt;0,-90,0)))))</f>
        <v/>
      </c>
      <c r="T255" s="195">
        <f>IF(B255="","",LOG10(B255))</f>
        <v/>
      </c>
      <c r="U255" s="195">
        <f>IF(R255="","",LOG10(MAX(R255,1E-12)))</f>
        <v/>
      </c>
    </row>
    <row r="256">
      <c r="A256" t="n">
        <v>253</v>
      </c>
      <c r="B256" s="196">
        <f>IF(A256&lt;='入力・概要'!$B$40,10^(LOG10('入力・概要'!$B$38)+(A256-1)*(LOG10('入力・概要'!$B$39)-LOG10('入力・概要'!$B$38))/('入力・概要'!$B$40-1)),"")</f>
        <v/>
      </c>
      <c r="C256" s="195">
        <f>IF(B256="","",2*PI()*B256)</f>
        <v/>
      </c>
      <c r="D256" s="195">
        <f>IF(B256="","",ATANH(MIN(0.999999,(2*'入力・概要'!$B$17*'入力・概要'!$B$6)/'入力・概要'!$B$30))+'入力・概要'!$B$33*SQRT(B256/1E6)+(2*PI()*B256*'入力・概要'!$B$6/(299792458*'入力・概要'!$B$31))*'入力・概要'!$B$32/2)</f>
        <v/>
      </c>
      <c r="E256" s="195">
        <f>IF(B256="","",2*PI()*B256*'入力・概要'!$B$6/(299792458*'入力・概要'!$B$31))</f>
        <v/>
      </c>
      <c r="F256" s="195">
        <f>IF(B256="","",SINH(2*D256)/(COSH(2*D256)+COS(2*E256)))</f>
        <v/>
      </c>
      <c r="G256" s="195">
        <f>IF(B256="","",SIN(2*E256)/(COSH(2*D256)+COS(2*E256)))</f>
        <v/>
      </c>
      <c r="H256" s="195">
        <f>IF(B256="","",'入力・概要'!$B$34)</f>
        <v/>
      </c>
      <c r="I256" s="195">
        <f>IF(B256="","",C256*'入力・概要'!$B$35*1E-9)</f>
        <v/>
      </c>
      <c r="J256" s="195">
        <f>IF(B256="","",H256+'入力・概要'!$B$30*F256)</f>
        <v/>
      </c>
      <c r="K256" s="195">
        <f>IF(B256="","",I256+'入力・概要'!$B$30*G256)</f>
        <v/>
      </c>
      <c r="L256" s="195">
        <f>IF(B256="","",'入力・概要'!$B$30+H256*F256-I256*G256)</f>
        <v/>
      </c>
      <c r="M256" s="195">
        <f>IF(B256="","",H256*G256+I256*F256)</f>
        <v/>
      </c>
      <c r="N256" s="195">
        <f>IF(B256="","",'入力・概要'!$B$30*(J256*L256+K256*M256)/(L256^2+M256^2))</f>
        <v/>
      </c>
      <c r="O256" s="195">
        <f>IF(B256="","",'入力・概要'!$B$30*(K256*L256-J256*M256)/(L256^2+M256^2))</f>
        <v/>
      </c>
      <c r="P256" s="195">
        <f>IF(B256="","",N256+'入力・概要'!$B$36)</f>
        <v/>
      </c>
      <c r="Q256" s="195">
        <f>IF(B256="","",O256+C256*'入力・概要'!$B$37*1E-9)</f>
        <v/>
      </c>
      <c r="R256" s="195">
        <f>IF(B256="","",SQRT(P256^2+Q256^2))</f>
        <v/>
      </c>
      <c r="S256" s="195">
        <f>IF(B256="","",IF(P256&gt;0,DEGREES(ATAN(Q256/P256)),IF(P256&lt;0,IF(Q256&gt;=0,DEGREES(ATAN(Q256/P256))+180,DEGREES(ATAN(Q256/P256))-180),IF(Q256&gt;0,90,IF(Q256&lt;0,-90,0)))))</f>
        <v/>
      </c>
      <c r="T256" s="195">
        <f>IF(B256="","",LOG10(B256))</f>
        <v/>
      </c>
      <c r="U256" s="195">
        <f>IF(R256="","",LOG10(MAX(R256,1E-12)))</f>
        <v/>
      </c>
    </row>
    <row r="257">
      <c r="A257" t="n">
        <v>254</v>
      </c>
      <c r="B257" s="196">
        <f>IF(A257&lt;='入力・概要'!$B$40,10^(LOG10('入力・概要'!$B$38)+(A257-1)*(LOG10('入力・概要'!$B$39)-LOG10('入力・概要'!$B$38))/('入力・概要'!$B$40-1)),"")</f>
        <v/>
      </c>
      <c r="C257" s="195">
        <f>IF(B257="","",2*PI()*B257)</f>
        <v/>
      </c>
      <c r="D257" s="195">
        <f>IF(B257="","",ATANH(MIN(0.999999,(2*'入力・概要'!$B$17*'入力・概要'!$B$6)/'入力・概要'!$B$30))+'入力・概要'!$B$33*SQRT(B257/1E6)+(2*PI()*B257*'入力・概要'!$B$6/(299792458*'入力・概要'!$B$31))*'入力・概要'!$B$32/2)</f>
        <v/>
      </c>
      <c r="E257" s="195">
        <f>IF(B257="","",2*PI()*B257*'入力・概要'!$B$6/(299792458*'入力・概要'!$B$31))</f>
        <v/>
      </c>
      <c r="F257" s="195">
        <f>IF(B257="","",SINH(2*D257)/(COSH(2*D257)+COS(2*E257)))</f>
        <v/>
      </c>
      <c r="G257" s="195">
        <f>IF(B257="","",SIN(2*E257)/(COSH(2*D257)+COS(2*E257)))</f>
        <v/>
      </c>
      <c r="H257" s="195">
        <f>IF(B257="","",'入力・概要'!$B$34)</f>
        <v/>
      </c>
      <c r="I257" s="195">
        <f>IF(B257="","",C257*'入力・概要'!$B$35*1E-9)</f>
        <v/>
      </c>
      <c r="J257" s="195">
        <f>IF(B257="","",H257+'入力・概要'!$B$30*F257)</f>
        <v/>
      </c>
      <c r="K257" s="195">
        <f>IF(B257="","",I257+'入力・概要'!$B$30*G257)</f>
        <v/>
      </c>
      <c r="L257" s="195">
        <f>IF(B257="","",'入力・概要'!$B$30+H257*F257-I257*G257)</f>
        <v/>
      </c>
      <c r="M257" s="195">
        <f>IF(B257="","",H257*G257+I257*F257)</f>
        <v/>
      </c>
      <c r="N257" s="195">
        <f>IF(B257="","",'入力・概要'!$B$30*(J257*L257+K257*M257)/(L257^2+M257^2))</f>
        <v/>
      </c>
      <c r="O257" s="195">
        <f>IF(B257="","",'入力・概要'!$B$30*(K257*L257-J257*M257)/(L257^2+M257^2))</f>
        <v/>
      </c>
      <c r="P257" s="195">
        <f>IF(B257="","",N257+'入力・概要'!$B$36)</f>
        <v/>
      </c>
      <c r="Q257" s="195">
        <f>IF(B257="","",O257+C257*'入力・概要'!$B$37*1E-9)</f>
        <v/>
      </c>
      <c r="R257" s="195">
        <f>IF(B257="","",SQRT(P257^2+Q257^2))</f>
        <v/>
      </c>
      <c r="S257" s="195">
        <f>IF(B257="","",IF(P257&gt;0,DEGREES(ATAN(Q257/P257)),IF(P257&lt;0,IF(Q257&gt;=0,DEGREES(ATAN(Q257/P257))+180,DEGREES(ATAN(Q257/P257))-180),IF(Q257&gt;0,90,IF(Q257&lt;0,-90,0)))))</f>
        <v/>
      </c>
      <c r="T257" s="195">
        <f>IF(B257="","",LOG10(B257))</f>
        <v/>
      </c>
      <c r="U257" s="195">
        <f>IF(R257="","",LOG10(MAX(R257,1E-12)))</f>
        <v/>
      </c>
    </row>
    <row r="258">
      <c r="A258" t="n">
        <v>255</v>
      </c>
      <c r="B258" s="196">
        <f>IF(A258&lt;='入力・概要'!$B$40,10^(LOG10('入力・概要'!$B$38)+(A258-1)*(LOG10('入力・概要'!$B$39)-LOG10('入力・概要'!$B$38))/('入力・概要'!$B$40-1)),"")</f>
        <v/>
      </c>
      <c r="C258" s="195">
        <f>IF(B258="","",2*PI()*B258)</f>
        <v/>
      </c>
      <c r="D258" s="195">
        <f>IF(B258="","",ATANH(MIN(0.999999,(2*'入力・概要'!$B$17*'入力・概要'!$B$6)/'入力・概要'!$B$30))+'入力・概要'!$B$33*SQRT(B258/1E6)+(2*PI()*B258*'入力・概要'!$B$6/(299792458*'入力・概要'!$B$31))*'入力・概要'!$B$32/2)</f>
        <v/>
      </c>
      <c r="E258" s="195">
        <f>IF(B258="","",2*PI()*B258*'入力・概要'!$B$6/(299792458*'入力・概要'!$B$31))</f>
        <v/>
      </c>
      <c r="F258" s="195">
        <f>IF(B258="","",SINH(2*D258)/(COSH(2*D258)+COS(2*E258)))</f>
        <v/>
      </c>
      <c r="G258" s="195">
        <f>IF(B258="","",SIN(2*E258)/(COSH(2*D258)+COS(2*E258)))</f>
        <v/>
      </c>
      <c r="H258" s="195">
        <f>IF(B258="","",'入力・概要'!$B$34)</f>
        <v/>
      </c>
      <c r="I258" s="195">
        <f>IF(B258="","",C258*'入力・概要'!$B$35*1E-9)</f>
        <v/>
      </c>
      <c r="J258" s="195">
        <f>IF(B258="","",H258+'入力・概要'!$B$30*F258)</f>
        <v/>
      </c>
      <c r="K258" s="195">
        <f>IF(B258="","",I258+'入力・概要'!$B$30*G258)</f>
        <v/>
      </c>
      <c r="L258" s="195">
        <f>IF(B258="","",'入力・概要'!$B$30+H258*F258-I258*G258)</f>
        <v/>
      </c>
      <c r="M258" s="195">
        <f>IF(B258="","",H258*G258+I258*F258)</f>
        <v/>
      </c>
      <c r="N258" s="195">
        <f>IF(B258="","",'入力・概要'!$B$30*(J258*L258+K258*M258)/(L258^2+M258^2))</f>
        <v/>
      </c>
      <c r="O258" s="195">
        <f>IF(B258="","",'入力・概要'!$B$30*(K258*L258-J258*M258)/(L258^2+M258^2))</f>
        <v/>
      </c>
      <c r="P258" s="195">
        <f>IF(B258="","",N258+'入力・概要'!$B$36)</f>
        <v/>
      </c>
      <c r="Q258" s="195">
        <f>IF(B258="","",O258+C258*'入力・概要'!$B$37*1E-9)</f>
        <v/>
      </c>
      <c r="R258" s="195">
        <f>IF(B258="","",SQRT(P258^2+Q258^2))</f>
        <v/>
      </c>
      <c r="S258" s="195">
        <f>IF(B258="","",IF(P258&gt;0,DEGREES(ATAN(Q258/P258)),IF(P258&lt;0,IF(Q258&gt;=0,DEGREES(ATAN(Q258/P258))+180,DEGREES(ATAN(Q258/P258))-180),IF(Q258&gt;0,90,IF(Q258&lt;0,-90,0)))))</f>
        <v/>
      </c>
      <c r="T258" s="195">
        <f>IF(B258="","",LOG10(B258))</f>
        <v/>
      </c>
      <c r="U258" s="195">
        <f>IF(R258="","",LOG10(MAX(R258,1E-12)))</f>
        <v/>
      </c>
    </row>
    <row r="259">
      <c r="A259" t="n">
        <v>256</v>
      </c>
      <c r="B259" s="196">
        <f>IF(A259&lt;='入力・概要'!$B$40,10^(LOG10('入力・概要'!$B$38)+(A259-1)*(LOG10('入力・概要'!$B$39)-LOG10('入力・概要'!$B$38))/('入力・概要'!$B$40-1)),"")</f>
        <v/>
      </c>
      <c r="C259" s="195">
        <f>IF(B259="","",2*PI()*B259)</f>
        <v/>
      </c>
      <c r="D259" s="195">
        <f>IF(B259="","",ATANH(MIN(0.999999,(2*'入力・概要'!$B$17*'入力・概要'!$B$6)/'入力・概要'!$B$30))+'入力・概要'!$B$33*SQRT(B259/1E6)+(2*PI()*B259*'入力・概要'!$B$6/(299792458*'入力・概要'!$B$31))*'入力・概要'!$B$32/2)</f>
        <v/>
      </c>
      <c r="E259" s="195">
        <f>IF(B259="","",2*PI()*B259*'入力・概要'!$B$6/(299792458*'入力・概要'!$B$31))</f>
        <v/>
      </c>
      <c r="F259" s="195">
        <f>IF(B259="","",SINH(2*D259)/(COSH(2*D259)+COS(2*E259)))</f>
        <v/>
      </c>
      <c r="G259" s="195">
        <f>IF(B259="","",SIN(2*E259)/(COSH(2*D259)+COS(2*E259)))</f>
        <v/>
      </c>
      <c r="H259" s="195">
        <f>IF(B259="","",'入力・概要'!$B$34)</f>
        <v/>
      </c>
      <c r="I259" s="195">
        <f>IF(B259="","",C259*'入力・概要'!$B$35*1E-9)</f>
        <v/>
      </c>
      <c r="J259" s="195">
        <f>IF(B259="","",H259+'入力・概要'!$B$30*F259)</f>
        <v/>
      </c>
      <c r="K259" s="195">
        <f>IF(B259="","",I259+'入力・概要'!$B$30*G259)</f>
        <v/>
      </c>
      <c r="L259" s="195">
        <f>IF(B259="","",'入力・概要'!$B$30+H259*F259-I259*G259)</f>
        <v/>
      </c>
      <c r="M259" s="195">
        <f>IF(B259="","",H259*G259+I259*F259)</f>
        <v/>
      </c>
      <c r="N259" s="195">
        <f>IF(B259="","",'入力・概要'!$B$30*(J259*L259+K259*M259)/(L259^2+M259^2))</f>
        <v/>
      </c>
      <c r="O259" s="195">
        <f>IF(B259="","",'入力・概要'!$B$30*(K259*L259-J259*M259)/(L259^2+M259^2))</f>
        <v/>
      </c>
      <c r="P259" s="195">
        <f>IF(B259="","",N259+'入力・概要'!$B$36)</f>
        <v/>
      </c>
      <c r="Q259" s="195">
        <f>IF(B259="","",O259+C259*'入力・概要'!$B$37*1E-9)</f>
        <v/>
      </c>
      <c r="R259" s="195">
        <f>IF(B259="","",SQRT(P259^2+Q259^2))</f>
        <v/>
      </c>
      <c r="S259" s="195">
        <f>IF(B259="","",IF(P259&gt;0,DEGREES(ATAN(Q259/P259)),IF(P259&lt;0,IF(Q259&gt;=0,DEGREES(ATAN(Q259/P259))+180,DEGREES(ATAN(Q259/P259))-180),IF(Q259&gt;0,90,IF(Q259&lt;0,-90,0)))))</f>
        <v/>
      </c>
      <c r="T259" s="195">
        <f>IF(B259="","",LOG10(B259))</f>
        <v/>
      </c>
      <c r="U259" s="195">
        <f>IF(R259="","",LOG10(MAX(R259,1E-12)))</f>
        <v/>
      </c>
    </row>
    <row r="260">
      <c r="A260" t="n">
        <v>257</v>
      </c>
      <c r="B260" s="196">
        <f>IF(A260&lt;='入力・概要'!$B$40,10^(LOG10('入力・概要'!$B$38)+(A260-1)*(LOG10('入力・概要'!$B$39)-LOG10('入力・概要'!$B$38))/('入力・概要'!$B$40-1)),"")</f>
        <v/>
      </c>
      <c r="C260" s="195">
        <f>IF(B260="","",2*PI()*B260)</f>
        <v/>
      </c>
      <c r="D260" s="195">
        <f>IF(B260="","",ATANH(MIN(0.999999,(2*'入力・概要'!$B$17*'入力・概要'!$B$6)/'入力・概要'!$B$30))+'入力・概要'!$B$33*SQRT(B260/1E6)+(2*PI()*B260*'入力・概要'!$B$6/(299792458*'入力・概要'!$B$31))*'入力・概要'!$B$32/2)</f>
        <v/>
      </c>
      <c r="E260" s="195">
        <f>IF(B260="","",2*PI()*B260*'入力・概要'!$B$6/(299792458*'入力・概要'!$B$31))</f>
        <v/>
      </c>
      <c r="F260" s="195">
        <f>IF(B260="","",SINH(2*D260)/(COSH(2*D260)+COS(2*E260)))</f>
        <v/>
      </c>
      <c r="G260" s="195">
        <f>IF(B260="","",SIN(2*E260)/(COSH(2*D260)+COS(2*E260)))</f>
        <v/>
      </c>
      <c r="H260" s="195">
        <f>IF(B260="","",'入力・概要'!$B$34)</f>
        <v/>
      </c>
      <c r="I260" s="195">
        <f>IF(B260="","",C260*'入力・概要'!$B$35*1E-9)</f>
        <v/>
      </c>
      <c r="J260" s="195">
        <f>IF(B260="","",H260+'入力・概要'!$B$30*F260)</f>
        <v/>
      </c>
      <c r="K260" s="195">
        <f>IF(B260="","",I260+'入力・概要'!$B$30*G260)</f>
        <v/>
      </c>
      <c r="L260" s="195">
        <f>IF(B260="","",'入力・概要'!$B$30+H260*F260-I260*G260)</f>
        <v/>
      </c>
      <c r="M260" s="195">
        <f>IF(B260="","",H260*G260+I260*F260)</f>
        <v/>
      </c>
      <c r="N260" s="195">
        <f>IF(B260="","",'入力・概要'!$B$30*(J260*L260+K260*M260)/(L260^2+M260^2))</f>
        <v/>
      </c>
      <c r="O260" s="195">
        <f>IF(B260="","",'入力・概要'!$B$30*(K260*L260-J260*M260)/(L260^2+M260^2))</f>
        <v/>
      </c>
      <c r="P260" s="195">
        <f>IF(B260="","",N260+'入力・概要'!$B$36)</f>
        <v/>
      </c>
      <c r="Q260" s="195">
        <f>IF(B260="","",O260+C260*'入力・概要'!$B$37*1E-9)</f>
        <v/>
      </c>
      <c r="R260" s="195">
        <f>IF(B260="","",SQRT(P260^2+Q260^2))</f>
        <v/>
      </c>
      <c r="S260" s="195">
        <f>IF(B260="","",IF(P260&gt;0,DEGREES(ATAN(Q260/P260)),IF(P260&lt;0,IF(Q260&gt;=0,DEGREES(ATAN(Q260/P260))+180,DEGREES(ATAN(Q260/P260))-180),IF(Q260&gt;0,90,IF(Q260&lt;0,-90,0)))))</f>
        <v/>
      </c>
      <c r="T260" s="195">
        <f>IF(B260="","",LOG10(B260))</f>
        <v/>
      </c>
      <c r="U260" s="195">
        <f>IF(R260="","",LOG10(MAX(R260,1E-12)))</f>
        <v/>
      </c>
    </row>
    <row r="261">
      <c r="A261" t="n">
        <v>258</v>
      </c>
      <c r="B261" s="196">
        <f>IF(A261&lt;='入力・概要'!$B$40,10^(LOG10('入力・概要'!$B$38)+(A261-1)*(LOG10('入力・概要'!$B$39)-LOG10('入力・概要'!$B$38))/('入力・概要'!$B$40-1)),"")</f>
        <v/>
      </c>
      <c r="C261" s="195">
        <f>IF(B261="","",2*PI()*B261)</f>
        <v/>
      </c>
      <c r="D261" s="195">
        <f>IF(B261="","",ATANH(MIN(0.999999,(2*'入力・概要'!$B$17*'入力・概要'!$B$6)/'入力・概要'!$B$30))+'入力・概要'!$B$33*SQRT(B261/1E6)+(2*PI()*B261*'入力・概要'!$B$6/(299792458*'入力・概要'!$B$31))*'入力・概要'!$B$32/2)</f>
        <v/>
      </c>
      <c r="E261" s="195">
        <f>IF(B261="","",2*PI()*B261*'入力・概要'!$B$6/(299792458*'入力・概要'!$B$31))</f>
        <v/>
      </c>
      <c r="F261" s="195">
        <f>IF(B261="","",SINH(2*D261)/(COSH(2*D261)+COS(2*E261)))</f>
        <v/>
      </c>
      <c r="G261" s="195">
        <f>IF(B261="","",SIN(2*E261)/(COSH(2*D261)+COS(2*E261)))</f>
        <v/>
      </c>
      <c r="H261" s="195">
        <f>IF(B261="","",'入力・概要'!$B$34)</f>
        <v/>
      </c>
      <c r="I261" s="195">
        <f>IF(B261="","",C261*'入力・概要'!$B$35*1E-9)</f>
        <v/>
      </c>
      <c r="J261" s="195">
        <f>IF(B261="","",H261+'入力・概要'!$B$30*F261)</f>
        <v/>
      </c>
      <c r="K261" s="195">
        <f>IF(B261="","",I261+'入力・概要'!$B$30*G261)</f>
        <v/>
      </c>
      <c r="L261" s="195">
        <f>IF(B261="","",'入力・概要'!$B$30+H261*F261-I261*G261)</f>
        <v/>
      </c>
      <c r="M261" s="195">
        <f>IF(B261="","",H261*G261+I261*F261)</f>
        <v/>
      </c>
      <c r="N261" s="195">
        <f>IF(B261="","",'入力・概要'!$B$30*(J261*L261+K261*M261)/(L261^2+M261^2))</f>
        <v/>
      </c>
      <c r="O261" s="195">
        <f>IF(B261="","",'入力・概要'!$B$30*(K261*L261-J261*M261)/(L261^2+M261^2))</f>
        <v/>
      </c>
      <c r="P261" s="195">
        <f>IF(B261="","",N261+'入力・概要'!$B$36)</f>
        <v/>
      </c>
      <c r="Q261" s="195">
        <f>IF(B261="","",O261+C261*'入力・概要'!$B$37*1E-9)</f>
        <v/>
      </c>
      <c r="R261" s="195">
        <f>IF(B261="","",SQRT(P261^2+Q261^2))</f>
        <v/>
      </c>
      <c r="S261" s="195">
        <f>IF(B261="","",IF(P261&gt;0,DEGREES(ATAN(Q261/P261)),IF(P261&lt;0,IF(Q261&gt;=0,DEGREES(ATAN(Q261/P261))+180,DEGREES(ATAN(Q261/P261))-180),IF(Q261&gt;0,90,IF(Q261&lt;0,-90,0)))))</f>
        <v/>
      </c>
      <c r="T261" s="195">
        <f>IF(B261="","",LOG10(B261))</f>
        <v/>
      </c>
      <c r="U261" s="195">
        <f>IF(R261="","",LOG10(MAX(R261,1E-12)))</f>
        <v/>
      </c>
    </row>
    <row r="262">
      <c r="A262" t="n">
        <v>259</v>
      </c>
      <c r="B262" s="196">
        <f>IF(A262&lt;='入力・概要'!$B$40,10^(LOG10('入力・概要'!$B$38)+(A262-1)*(LOG10('入力・概要'!$B$39)-LOG10('入力・概要'!$B$38))/('入力・概要'!$B$40-1)),"")</f>
        <v/>
      </c>
      <c r="C262" s="195">
        <f>IF(B262="","",2*PI()*B262)</f>
        <v/>
      </c>
      <c r="D262" s="195">
        <f>IF(B262="","",ATANH(MIN(0.999999,(2*'入力・概要'!$B$17*'入力・概要'!$B$6)/'入力・概要'!$B$30))+'入力・概要'!$B$33*SQRT(B262/1E6)+(2*PI()*B262*'入力・概要'!$B$6/(299792458*'入力・概要'!$B$31))*'入力・概要'!$B$32/2)</f>
        <v/>
      </c>
      <c r="E262" s="195">
        <f>IF(B262="","",2*PI()*B262*'入力・概要'!$B$6/(299792458*'入力・概要'!$B$31))</f>
        <v/>
      </c>
      <c r="F262" s="195">
        <f>IF(B262="","",SINH(2*D262)/(COSH(2*D262)+COS(2*E262)))</f>
        <v/>
      </c>
      <c r="G262" s="195">
        <f>IF(B262="","",SIN(2*E262)/(COSH(2*D262)+COS(2*E262)))</f>
        <v/>
      </c>
      <c r="H262" s="195">
        <f>IF(B262="","",'入力・概要'!$B$34)</f>
        <v/>
      </c>
      <c r="I262" s="195">
        <f>IF(B262="","",C262*'入力・概要'!$B$35*1E-9)</f>
        <v/>
      </c>
      <c r="J262" s="195">
        <f>IF(B262="","",H262+'入力・概要'!$B$30*F262)</f>
        <v/>
      </c>
      <c r="K262" s="195">
        <f>IF(B262="","",I262+'入力・概要'!$B$30*G262)</f>
        <v/>
      </c>
      <c r="L262" s="195">
        <f>IF(B262="","",'入力・概要'!$B$30+H262*F262-I262*G262)</f>
        <v/>
      </c>
      <c r="M262" s="195">
        <f>IF(B262="","",H262*G262+I262*F262)</f>
        <v/>
      </c>
      <c r="N262" s="195">
        <f>IF(B262="","",'入力・概要'!$B$30*(J262*L262+K262*M262)/(L262^2+M262^2))</f>
        <v/>
      </c>
      <c r="O262" s="195">
        <f>IF(B262="","",'入力・概要'!$B$30*(K262*L262-J262*M262)/(L262^2+M262^2))</f>
        <v/>
      </c>
      <c r="P262" s="195">
        <f>IF(B262="","",N262+'入力・概要'!$B$36)</f>
        <v/>
      </c>
      <c r="Q262" s="195">
        <f>IF(B262="","",O262+C262*'入力・概要'!$B$37*1E-9)</f>
        <v/>
      </c>
      <c r="R262" s="195">
        <f>IF(B262="","",SQRT(P262^2+Q262^2))</f>
        <v/>
      </c>
      <c r="S262" s="195">
        <f>IF(B262="","",IF(P262&gt;0,DEGREES(ATAN(Q262/P262)),IF(P262&lt;0,IF(Q262&gt;=0,DEGREES(ATAN(Q262/P262))+180,DEGREES(ATAN(Q262/P262))-180),IF(Q262&gt;0,90,IF(Q262&lt;0,-90,0)))))</f>
        <v/>
      </c>
      <c r="T262" s="195">
        <f>IF(B262="","",LOG10(B262))</f>
        <v/>
      </c>
      <c r="U262" s="195">
        <f>IF(R262="","",LOG10(MAX(R262,1E-12)))</f>
        <v/>
      </c>
    </row>
    <row r="263">
      <c r="A263" t="n">
        <v>260</v>
      </c>
      <c r="B263" s="196">
        <f>IF(A263&lt;='入力・概要'!$B$40,10^(LOG10('入力・概要'!$B$38)+(A263-1)*(LOG10('入力・概要'!$B$39)-LOG10('入力・概要'!$B$38))/('入力・概要'!$B$40-1)),"")</f>
        <v/>
      </c>
      <c r="C263" s="195">
        <f>IF(B263="","",2*PI()*B263)</f>
        <v/>
      </c>
      <c r="D263" s="195">
        <f>IF(B263="","",ATANH(MIN(0.999999,(2*'入力・概要'!$B$17*'入力・概要'!$B$6)/'入力・概要'!$B$30))+'入力・概要'!$B$33*SQRT(B263/1E6)+(2*PI()*B263*'入力・概要'!$B$6/(299792458*'入力・概要'!$B$31))*'入力・概要'!$B$32/2)</f>
        <v/>
      </c>
      <c r="E263" s="195">
        <f>IF(B263="","",2*PI()*B263*'入力・概要'!$B$6/(299792458*'入力・概要'!$B$31))</f>
        <v/>
      </c>
      <c r="F263" s="195">
        <f>IF(B263="","",SINH(2*D263)/(COSH(2*D263)+COS(2*E263)))</f>
        <v/>
      </c>
      <c r="G263" s="195">
        <f>IF(B263="","",SIN(2*E263)/(COSH(2*D263)+COS(2*E263)))</f>
        <v/>
      </c>
      <c r="H263" s="195">
        <f>IF(B263="","",'入力・概要'!$B$34)</f>
        <v/>
      </c>
      <c r="I263" s="195">
        <f>IF(B263="","",C263*'入力・概要'!$B$35*1E-9)</f>
        <v/>
      </c>
      <c r="J263" s="195">
        <f>IF(B263="","",H263+'入力・概要'!$B$30*F263)</f>
        <v/>
      </c>
      <c r="K263" s="195">
        <f>IF(B263="","",I263+'入力・概要'!$B$30*G263)</f>
        <v/>
      </c>
      <c r="L263" s="195">
        <f>IF(B263="","",'入力・概要'!$B$30+H263*F263-I263*G263)</f>
        <v/>
      </c>
      <c r="M263" s="195">
        <f>IF(B263="","",H263*G263+I263*F263)</f>
        <v/>
      </c>
      <c r="N263" s="195">
        <f>IF(B263="","",'入力・概要'!$B$30*(J263*L263+K263*M263)/(L263^2+M263^2))</f>
        <v/>
      </c>
      <c r="O263" s="195">
        <f>IF(B263="","",'入力・概要'!$B$30*(K263*L263-J263*M263)/(L263^2+M263^2))</f>
        <v/>
      </c>
      <c r="P263" s="195">
        <f>IF(B263="","",N263+'入力・概要'!$B$36)</f>
        <v/>
      </c>
      <c r="Q263" s="195">
        <f>IF(B263="","",O263+C263*'入力・概要'!$B$37*1E-9)</f>
        <v/>
      </c>
      <c r="R263" s="195">
        <f>IF(B263="","",SQRT(P263^2+Q263^2))</f>
        <v/>
      </c>
      <c r="S263" s="195">
        <f>IF(B263="","",IF(P263&gt;0,DEGREES(ATAN(Q263/P263)),IF(P263&lt;0,IF(Q263&gt;=0,DEGREES(ATAN(Q263/P263))+180,DEGREES(ATAN(Q263/P263))-180),IF(Q263&gt;0,90,IF(Q263&lt;0,-90,0)))))</f>
        <v/>
      </c>
      <c r="T263" s="195">
        <f>IF(B263="","",LOG10(B263))</f>
        <v/>
      </c>
      <c r="U263" s="195">
        <f>IF(R263="","",LOG10(MAX(R263,1E-12)))</f>
        <v/>
      </c>
    </row>
    <row r="264">
      <c r="A264" t="n">
        <v>261</v>
      </c>
      <c r="B264" s="196">
        <f>IF(A264&lt;='入力・概要'!$B$40,10^(LOG10('入力・概要'!$B$38)+(A264-1)*(LOG10('入力・概要'!$B$39)-LOG10('入力・概要'!$B$38))/('入力・概要'!$B$40-1)),"")</f>
        <v/>
      </c>
      <c r="C264" s="195">
        <f>IF(B264="","",2*PI()*B264)</f>
        <v/>
      </c>
      <c r="D264" s="195">
        <f>IF(B264="","",ATANH(MIN(0.999999,(2*'入力・概要'!$B$17*'入力・概要'!$B$6)/'入力・概要'!$B$30))+'入力・概要'!$B$33*SQRT(B264/1E6)+(2*PI()*B264*'入力・概要'!$B$6/(299792458*'入力・概要'!$B$31))*'入力・概要'!$B$32/2)</f>
        <v/>
      </c>
      <c r="E264" s="195">
        <f>IF(B264="","",2*PI()*B264*'入力・概要'!$B$6/(299792458*'入力・概要'!$B$31))</f>
        <v/>
      </c>
      <c r="F264" s="195">
        <f>IF(B264="","",SINH(2*D264)/(COSH(2*D264)+COS(2*E264)))</f>
        <v/>
      </c>
      <c r="G264" s="195">
        <f>IF(B264="","",SIN(2*E264)/(COSH(2*D264)+COS(2*E264)))</f>
        <v/>
      </c>
      <c r="H264" s="195">
        <f>IF(B264="","",'入力・概要'!$B$34)</f>
        <v/>
      </c>
      <c r="I264" s="195">
        <f>IF(B264="","",C264*'入力・概要'!$B$35*1E-9)</f>
        <v/>
      </c>
      <c r="J264" s="195">
        <f>IF(B264="","",H264+'入力・概要'!$B$30*F264)</f>
        <v/>
      </c>
      <c r="K264" s="195">
        <f>IF(B264="","",I264+'入力・概要'!$B$30*G264)</f>
        <v/>
      </c>
      <c r="L264" s="195">
        <f>IF(B264="","",'入力・概要'!$B$30+H264*F264-I264*G264)</f>
        <v/>
      </c>
      <c r="M264" s="195">
        <f>IF(B264="","",H264*G264+I264*F264)</f>
        <v/>
      </c>
      <c r="N264" s="195">
        <f>IF(B264="","",'入力・概要'!$B$30*(J264*L264+K264*M264)/(L264^2+M264^2))</f>
        <v/>
      </c>
      <c r="O264" s="195">
        <f>IF(B264="","",'入力・概要'!$B$30*(K264*L264-J264*M264)/(L264^2+M264^2))</f>
        <v/>
      </c>
      <c r="P264" s="195">
        <f>IF(B264="","",N264+'入力・概要'!$B$36)</f>
        <v/>
      </c>
      <c r="Q264" s="195">
        <f>IF(B264="","",O264+C264*'入力・概要'!$B$37*1E-9)</f>
        <v/>
      </c>
      <c r="R264" s="195">
        <f>IF(B264="","",SQRT(P264^2+Q264^2))</f>
        <v/>
      </c>
      <c r="S264" s="195">
        <f>IF(B264="","",IF(P264&gt;0,DEGREES(ATAN(Q264/P264)),IF(P264&lt;0,IF(Q264&gt;=0,DEGREES(ATAN(Q264/P264))+180,DEGREES(ATAN(Q264/P264))-180),IF(Q264&gt;0,90,IF(Q264&lt;0,-90,0)))))</f>
        <v/>
      </c>
      <c r="T264" s="195">
        <f>IF(B264="","",LOG10(B264))</f>
        <v/>
      </c>
      <c r="U264" s="195">
        <f>IF(R264="","",LOG10(MAX(R264,1E-12)))</f>
        <v/>
      </c>
    </row>
    <row r="265">
      <c r="A265" t="n">
        <v>262</v>
      </c>
      <c r="B265" s="196">
        <f>IF(A265&lt;='入力・概要'!$B$40,10^(LOG10('入力・概要'!$B$38)+(A265-1)*(LOG10('入力・概要'!$B$39)-LOG10('入力・概要'!$B$38))/('入力・概要'!$B$40-1)),"")</f>
        <v/>
      </c>
      <c r="C265" s="195">
        <f>IF(B265="","",2*PI()*B265)</f>
        <v/>
      </c>
      <c r="D265" s="195">
        <f>IF(B265="","",ATANH(MIN(0.999999,(2*'入力・概要'!$B$17*'入力・概要'!$B$6)/'入力・概要'!$B$30))+'入力・概要'!$B$33*SQRT(B265/1E6)+(2*PI()*B265*'入力・概要'!$B$6/(299792458*'入力・概要'!$B$31))*'入力・概要'!$B$32/2)</f>
        <v/>
      </c>
      <c r="E265" s="195">
        <f>IF(B265="","",2*PI()*B265*'入力・概要'!$B$6/(299792458*'入力・概要'!$B$31))</f>
        <v/>
      </c>
      <c r="F265" s="195">
        <f>IF(B265="","",SINH(2*D265)/(COSH(2*D265)+COS(2*E265)))</f>
        <v/>
      </c>
      <c r="G265" s="195">
        <f>IF(B265="","",SIN(2*E265)/(COSH(2*D265)+COS(2*E265)))</f>
        <v/>
      </c>
      <c r="H265" s="195">
        <f>IF(B265="","",'入力・概要'!$B$34)</f>
        <v/>
      </c>
      <c r="I265" s="195">
        <f>IF(B265="","",C265*'入力・概要'!$B$35*1E-9)</f>
        <v/>
      </c>
      <c r="J265" s="195">
        <f>IF(B265="","",H265+'入力・概要'!$B$30*F265)</f>
        <v/>
      </c>
      <c r="K265" s="195">
        <f>IF(B265="","",I265+'入力・概要'!$B$30*G265)</f>
        <v/>
      </c>
      <c r="L265" s="195">
        <f>IF(B265="","",'入力・概要'!$B$30+H265*F265-I265*G265)</f>
        <v/>
      </c>
      <c r="M265" s="195">
        <f>IF(B265="","",H265*G265+I265*F265)</f>
        <v/>
      </c>
      <c r="N265" s="195">
        <f>IF(B265="","",'入力・概要'!$B$30*(J265*L265+K265*M265)/(L265^2+M265^2))</f>
        <v/>
      </c>
      <c r="O265" s="195">
        <f>IF(B265="","",'入力・概要'!$B$30*(K265*L265-J265*M265)/(L265^2+M265^2))</f>
        <v/>
      </c>
      <c r="P265" s="195">
        <f>IF(B265="","",N265+'入力・概要'!$B$36)</f>
        <v/>
      </c>
      <c r="Q265" s="195">
        <f>IF(B265="","",O265+C265*'入力・概要'!$B$37*1E-9)</f>
        <v/>
      </c>
      <c r="R265" s="195">
        <f>IF(B265="","",SQRT(P265^2+Q265^2))</f>
        <v/>
      </c>
      <c r="S265" s="195">
        <f>IF(B265="","",IF(P265&gt;0,DEGREES(ATAN(Q265/P265)),IF(P265&lt;0,IF(Q265&gt;=0,DEGREES(ATAN(Q265/P265))+180,DEGREES(ATAN(Q265/P265))-180),IF(Q265&gt;0,90,IF(Q265&lt;0,-90,0)))))</f>
        <v/>
      </c>
      <c r="T265" s="195">
        <f>IF(B265="","",LOG10(B265))</f>
        <v/>
      </c>
      <c r="U265" s="195">
        <f>IF(R265="","",LOG10(MAX(R265,1E-12)))</f>
        <v/>
      </c>
    </row>
    <row r="266">
      <c r="A266" t="n">
        <v>263</v>
      </c>
      <c r="B266" s="196">
        <f>IF(A266&lt;='入力・概要'!$B$40,10^(LOG10('入力・概要'!$B$38)+(A266-1)*(LOG10('入力・概要'!$B$39)-LOG10('入力・概要'!$B$38))/('入力・概要'!$B$40-1)),"")</f>
        <v/>
      </c>
      <c r="C266" s="195">
        <f>IF(B266="","",2*PI()*B266)</f>
        <v/>
      </c>
      <c r="D266" s="195">
        <f>IF(B266="","",ATANH(MIN(0.999999,(2*'入力・概要'!$B$17*'入力・概要'!$B$6)/'入力・概要'!$B$30))+'入力・概要'!$B$33*SQRT(B266/1E6)+(2*PI()*B266*'入力・概要'!$B$6/(299792458*'入力・概要'!$B$31))*'入力・概要'!$B$32/2)</f>
        <v/>
      </c>
      <c r="E266" s="195">
        <f>IF(B266="","",2*PI()*B266*'入力・概要'!$B$6/(299792458*'入力・概要'!$B$31))</f>
        <v/>
      </c>
      <c r="F266" s="195">
        <f>IF(B266="","",SINH(2*D266)/(COSH(2*D266)+COS(2*E266)))</f>
        <v/>
      </c>
      <c r="G266" s="195">
        <f>IF(B266="","",SIN(2*E266)/(COSH(2*D266)+COS(2*E266)))</f>
        <v/>
      </c>
      <c r="H266" s="195">
        <f>IF(B266="","",'入力・概要'!$B$34)</f>
        <v/>
      </c>
      <c r="I266" s="195">
        <f>IF(B266="","",C266*'入力・概要'!$B$35*1E-9)</f>
        <v/>
      </c>
      <c r="J266" s="195">
        <f>IF(B266="","",H266+'入力・概要'!$B$30*F266)</f>
        <v/>
      </c>
      <c r="K266" s="195">
        <f>IF(B266="","",I266+'入力・概要'!$B$30*G266)</f>
        <v/>
      </c>
      <c r="L266" s="195">
        <f>IF(B266="","",'入力・概要'!$B$30+H266*F266-I266*G266)</f>
        <v/>
      </c>
      <c r="M266" s="195">
        <f>IF(B266="","",H266*G266+I266*F266)</f>
        <v/>
      </c>
      <c r="N266" s="195">
        <f>IF(B266="","",'入力・概要'!$B$30*(J266*L266+K266*M266)/(L266^2+M266^2))</f>
        <v/>
      </c>
      <c r="O266" s="195">
        <f>IF(B266="","",'入力・概要'!$B$30*(K266*L266-J266*M266)/(L266^2+M266^2))</f>
        <v/>
      </c>
      <c r="P266" s="195">
        <f>IF(B266="","",N266+'入力・概要'!$B$36)</f>
        <v/>
      </c>
      <c r="Q266" s="195">
        <f>IF(B266="","",O266+C266*'入力・概要'!$B$37*1E-9)</f>
        <v/>
      </c>
      <c r="R266" s="195">
        <f>IF(B266="","",SQRT(P266^2+Q266^2))</f>
        <v/>
      </c>
      <c r="S266" s="195">
        <f>IF(B266="","",IF(P266&gt;0,DEGREES(ATAN(Q266/P266)),IF(P266&lt;0,IF(Q266&gt;=0,DEGREES(ATAN(Q266/P266))+180,DEGREES(ATAN(Q266/P266))-180),IF(Q266&gt;0,90,IF(Q266&lt;0,-90,0)))))</f>
        <v/>
      </c>
      <c r="T266" s="195">
        <f>IF(B266="","",LOG10(B266))</f>
        <v/>
      </c>
      <c r="U266" s="195">
        <f>IF(R266="","",LOG10(MAX(R266,1E-12)))</f>
        <v/>
      </c>
    </row>
    <row r="267">
      <c r="A267" t="n">
        <v>264</v>
      </c>
      <c r="B267" s="196">
        <f>IF(A267&lt;='入力・概要'!$B$40,10^(LOG10('入力・概要'!$B$38)+(A267-1)*(LOG10('入力・概要'!$B$39)-LOG10('入力・概要'!$B$38))/('入力・概要'!$B$40-1)),"")</f>
        <v/>
      </c>
      <c r="C267" s="195">
        <f>IF(B267="","",2*PI()*B267)</f>
        <v/>
      </c>
      <c r="D267" s="195">
        <f>IF(B267="","",ATANH(MIN(0.999999,(2*'入力・概要'!$B$17*'入力・概要'!$B$6)/'入力・概要'!$B$30))+'入力・概要'!$B$33*SQRT(B267/1E6)+(2*PI()*B267*'入力・概要'!$B$6/(299792458*'入力・概要'!$B$31))*'入力・概要'!$B$32/2)</f>
        <v/>
      </c>
      <c r="E267" s="195">
        <f>IF(B267="","",2*PI()*B267*'入力・概要'!$B$6/(299792458*'入力・概要'!$B$31))</f>
        <v/>
      </c>
      <c r="F267" s="195">
        <f>IF(B267="","",SINH(2*D267)/(COSH(2*D267)+COS(2*E267)))</f>
        <v/>
      </c>
      <c r="G267" s="195">
        <f>IF(B267="","",SIN(2*E267)/(COSH(2*D267)+COS(2*E267)))</f>
        <v/>
      </c>
      <c r="H267" s="195">
        <f>IF(B267="","",'入力・概要'!$B$34)</f>
        <v/>
      </c>
      <c r="I267" s="195">
        <f>IF(B267="","",C267*'入力・概要'!$B$35*1E-9)</f>
        <v/>
      </c>
      <c r="J267" s="195">
        <f>IF(B267="","",H267+'入力・概要'!$B$30*F267)</f>
        <v/>
      </c>
      <c r="K267" s="195">
        <f>IF(B267="","",I267+'入力・概要'!$B$30*G267)</f>
        <v/>
      </c>
      <c r="L267" s="195">
        <f>IF(B267="","",'入力・概要'!$B$30+H267*F267-I267*G267)</f>
        <v/>
      </c>
      <c r="M267" s="195">
        <f>IF(B267="","",H267*G267+I267*F267)</f>
        <v/>
      </c>
      <c r="N267" s="195">
        <f>IF(B267="","",'入力・概要'!$B$30*(J267*L267+K267*M267)/(L267^2+M267^2))</f>
        <v/>
      </c>
      <c r="O267" s="195">
        <f>IF(B267="","",'入力・概要'!$B$30*(K267*L267-J267*M267)/(L267^2+M267^2))</f>
        <v/>
      </c>
      <c r="P267" s="195">
        <f>IF(B267="","",N267+'入力・概要'!$B$36)</f>
        <v/>
      </c>
      <c r="Q267" s="195">
        <f>IF(B267="","",O267+C267*'入力・概要'!$B$37*1E-9)</f>
        <v/>
      </c>
      <c r="R267" s="195">
        <f>IF(B267="","",SQRT(P267^2+Q267^2))</f>
        <v/>
      </c>
      <c r="S267" s="195">
        <f>IF(B267="","",IF(P267&gt;0,DEGREES(ATAN(Q267/P267)),IF(P267&lt;0,IF(Q267&gt;=0,DEGREES(ATAN(Q267/P267))+180,DEGREES(ATAN(Q267/P267))-180),IF(Q267&gt;0,90,IF(Q267&lt;0,-90,0)))))</f>
        <v/>
      </c>
      <c r="T267" s="195">
        <f>IF(B267="","",LOG10(B267))</f>
        <v/>
      </c>
      <c r="U267" s="195">
        <f>IF(R267="","",LOG10(MAX(R267,1E-12)))</f>
        <v/>
      </c>
    </row>
    <row r="268">
      <c r="A268" t="n">
        <v>265</v>
      </c>
      <c r="B268" s="196">
        <f>IF(A268&lt;='入力・概要'!$B$40,10^(LOG10('入力・概要'!$B$38)+(A268-1)*(LOG10('入力・概要'!$B$39)-LOG10('入力・概要'!$B$38))/('入力・概要'!$B$40-1)),"")</f>
        <v/>
      </c>
      <c r="C268" s="195">
        <f>IF(B268="","",2*PI()*B268)</f>
        <v/>
      </c>
      <c r="D268" s="195">
        <f>IF(B268="","",ATANH(MIN(0.999999,(2*'入力・概要'!$B$17*'入力・概要'!$B$6)/'入力・概要'!$B$30))+'入力・概要'!$B$33*SQRT(B268/1E6)+(2*PI()*B268*'入力・概要'!$B$6/(299792458*'入力・概要'!$B$31))*'入力・概要'!$B$32/2)</f>
        <v/>
      </c>
      <c r="E268" s="195">
        <f>IF(B268="","",2*PI()*B268*'入力・概要'!$B$6/(299792458*'入力・概要'!$B$31))</f>
        <v/>
      </c>
      <c r="F268" s="195">
        <f>IF(B268="","",SINH(2*D268)/(COSH(2*D268)+COS(2*E268)))</f>
        <v/>
      </c>
      <c r="G268" s="195">
        <f>IF(B268="","",SIN(2*E268)/(COSH(2*D268)+COS(2*E268)))</f>
        <v/>
      </c>
      <c r="H268" s="195">
        <f>IF(B268="","",'入力・概要'!$B$34)</f>
        <v/>
      </c>
      <c r="I268" s="195">
        <f>IF(B268="","",C268*'入力・概要'!$B$35*1E-9)</f>
        <v/>
      </c>
      <c r="J268" s="195">
        <f>IF(B268="","",H268+'入力・概要'!$B$30*F268)</f>
        <v/>
      </c>
      <c r="K268" s="195">
        <f>IF(B268="","",I268+'入力・概要'!$B$30*G268)</f>
        <v/>
      </c>
      <c r="L268" s="195">
        <f>IF(B268="","",'入力・概要'!$B$30+H268*F268-I268*G268)</f>
        <v/>
      </c>
      <c r="M268" s="195">
        <f>IF(B268="","",H268*G268+I268*F268)</f>
        <v/>
      </c>
      <c r="N268" s="195">
        <f>IF(B268="","",'入力・概要'!$B$30*(J268*L268+K268*M268)/(L268^2+M268^2))</f>
        <v/>
      </c>
      <c r="O268" s="195">
        <f>IF(B268="","",'入力・概要'!$B$30*(K268*L268-J268*M268)/(L268^2+M268^2))</f>
        <v/>
      </c>
      <c r="P268" s="195">
        <f>IF(B268="","",N268+'入力・概要'!$B$36)</f>
        <v/>
      </c>
      <c r="Q268" s="195">
        <f>IF(B268="","",O268+C268*'入力・概要'!$B$37*1E-9)</f>
        <v/>
      </c>
      <c r="R268" s="195">
        <f>IF(B268="","",SQRT(P268^2+Q268^2))</f>
        <v/>
      </c>
      <c r="S268" s="195">
        <f>IF(B268="","",IF(P268&gt;0,DEGREES(ATAN(Q268/P268)),IF(P268&lt;0,IF(Q268&gt;=0,DEGREES(ATAN(Q268/P268))+180,DEGREES(ATAN(Q268/P268))-180),IF(Q268&gt;0,90,IF(Q268&lt;0,-90,0)))))</f>
        <v/>
      </c>
      <c r="T268" s="195">
        <f>IF(B268="","",LOG10(B268))</f>
        <v/>
      </c>
      <c r="U268" s="195">
        <f>IF(R268="","",LOG10(MAX(R268,1E-12)))</f>
        <v/>
      </c>
    </row>
    <row r="269">
      <c r="A269" t="n">
        <v>266</v>
      </c>
      <c r="B269" s="196">
        <f>IF(A269&lt;='入力・概要'!$B$40,10^(LOG10('入力・概要'!$B$38)+(A269-1)*(LOG10('入力・概要'!$B$39)-LOG10('入力・概要'!$B$38))/('入力・概要'!$B$40-1)),"")</f>
        <v/>
      </c>
      <c r="C269" s="195">
        <f>IF(B269="","",2*PI()*B269)</f>
        <v/>
      </c>
      <c r="D269" s="195">
        <f>IF(B269="","",ATANH(MIN(0.999999,(2*'入力・概要'!$B$17*'入力・概要'!$B$6)/'入力・概要'!$B$30))+'入力・概要'!$B$33*SQRT(B269/1E6)+(2*PI()*B269*'入力・概要'!$B$6/(299792458*'入力・概要'!$B$31))*'入力・概要'!$B$32/2)</f>
        <v/>
      </c>
      <c r="E269" s="195">
        <f>IF(B269="","",2*PI()*B269*'入力・概要'!$B$6/(299792458*'入力・概要'!$B$31))</f>
        <v/>
      </c>
      <c r="F269" s="195">
        <f>IF(B269="","",SINH(2*D269)/(COSH(2*D269)+COS(2*E269)))</f>
        <v/>
      </c>
      <c r="G269" s="195">
        <f>IF(B269="","",SIN(2*E269)/(COSH(2*D269)+COS(2*E269)))</f>
        <v/>
      </c>
      <c r="H269" s="195">
        <f>IF(B269="","",'入力・概要'!$B$34)</f>
        <v/>
      </c>
      <c r="I269" s="195">
        <f>IF(B269="","",C269*'入力・概要'!$B$35*1E-9)</f>
        <v/>
      </c>
      <c r="J269" s="195">
        <f>IF(B269="","",H269+'入力・概要'!$B$30*F269)</f>
        <v/>
      </c>
      <c r="K269" s="195">
        <f>IF(B269="","",I269+'入力・概要'!$B$30*G269)</f>
        <v/>
      </c>
      <c r="L269" s="195">
        <f>IF(B269="","",'入力・概要'!$B$30+H269*F269-I269*G269)</f>
        <v/>
      </c>
      <c r="M269" s="195">
        <f>IF(B269="","",H269*G269+I269*F269)</f>
        <v/>
      </c>
      <c r="N269" s="195">
        <f>IF(B269="","",'入力・概要'!$B$30*(J269*L269+K269*M269)/(L269^2+M269^2))</f>
        <v/>
      </c>
      <c r="O269" s="195">
        <f>IF(B269="","",'入力・概要'!$B$30*(K269*L269-J269*M269)/(L269^2+M269^2))</f>
        <v/>
      </c>
      <c r="P269" s="195">
        <f>IF(B269="","",N269+'入力・概要'!$B$36)</f>
        <v/>
      </c>
      <c r="Q269" s="195">
        <f>IF(B269="","",O269+C269*'入力・概要'!$B$37*1E-9)</f>
        <v/>
      </c>
      <c r="R269" s="195">
        <f>IF(B269="","",SQRT(P269^2+Q269^2))</f>
        <v/>
      </c>
      <c r="S269" s="195">
        <f>IF(B269="","",IF(P269&gt;0,DEGREES(ATAN(Q269/P269)),IF(P269&lt;0,IF(Q269&gt;=0,DEGREES(ATAN(Q269/P269))+180,DEGREES(ATAN(Q269/P269))-180),IF(Q269&gt;0,90,IF(Q269&lt;0,-90,0)))))</f>
        <v/>
      </c>
      <c r="T269" s="195">
        <f>IF(B269="","",LOG10(B269))</f>
        <v/>
      </c>
      <c r="U269" s="195">
        <f>IF(R269="","",LOG10(MAX(R269,1E-12)))</f>
        <v/>
      </c>
    </row>
    <row r="270">
      <c r="A270" t="n">
        <v>267</v>
      </c>
      <c r="B270" s="196">
        <f>IF(A270&lt;='入力・概要'!$B$40,10^(LOG10('入力・概要'!$B$38)+(A270-1)*(LOG10('入力・概要'!$B$39)-LOG10('入力・概要'!$B$38))/('入力・概要'!$B$40-1)),"")</f>
        <v/>
      </c>
      <c r="C270" s="195">
        <f>IF(B270="","",2*PI()*B270)</f>
        <v/>
      </c>
      <c r="D270" s="195">
        <f>IF(B270="","",ATANH(MIN(0.999999,(2*'入力・概要'!$B$17*'入力・概要'!$B$6)/'入力・概要'!$B$30))+'入力・概要'!$B$33*SQRT(B270/1E6)+(2*PI()*B270*'入力・概要'!$B$6/(299792458*'入力・概要'!$B$31))*'入力・概要'!$B$32/2)</f>
        <v/>
      </c>
      <c r="E270" s="195">
        <f>IF(B270="","",2*PI()*B270*'入力・概要'!$B$6/(299792458*'入力・概要'!$B$31))</f>
        <v/>
      </c>
      <c r="F270" s="195">
        <f>IF(B270="","",SINH(2*D270)/(COSH(2*D270)+COS(2*E270)))</f>
        <v/>
      </c>
      <c r="G270" s="195">
        <f>IF(B270="","",SIN(2*E270)/(COSH(2*D270)+COS(2*E270)))</f>
        <v/>
      </c>
      <c r="H270" s="195">
        <f>IF(B270="","",'入力・概要'!$B$34)</f>
        <v/>
      </c>
      <c r="I270" s="195">
        <f>IF(B270="","",C270*'入力・概要'!$B$35*1E-9)</f>
        <v/>
      </c>
      <c r="J270" s="195">
        <f>IF(B270="","",H270+'入力・概要'!$B$30*F270)</f>
        <v/>
      </c>
      <c r="K270" s="195">
        <f>IF(B270="","",I270+'入力・概要'!$B$30*G270)</f>
        <v/>
      </c>
      <c r="L270" s="195">
        <f>IF(B270="","",'入力・概要'!$B$30+H270*F270-I270*G270)</f>
        <v/>
      </c>
      <c r="M270" s="195">
        <f>IF(B270="","",H270*G270+I270*F270)</f>
        <v/>
      </c>
      <c r="N270" s="195">
        <f>IF(B270="","",'入力・概要'!$B$30*(J270*L270+K270*M270)/(L270^2+M270^2))</f>
        <v/>
      </c>
      <c r="O270" s="195">
        <f>IF(B270="","",'入力・概要'!$B$30*(K270*L270-J270*M270)/(L270^2+M270^2))</f>
        <v/>
      </c>
      <c r="P270" s="195">
        <f>IF(B270="","",N270+'入力・概要'!$B$36)</f>
        <v/>
      </c>
      <c r="Q270" s="195">
        <f>IF(B270="","",O270+C270*'入力・概要'!$B$37*1E-9)</f>
        <v/>
      </c>
      <c r="R270" s="195">
        <f>IF(B270="","",SQRT(P270^2+Q270^2))</f>
        <v/>
      </c>
      <c r="S270" s="195">
        <f>IF(B270="","",IF(P270&gt;0,DEGREES(ATAN(Q270/P270)),IF(P270&lt;0,IF(Q270&gt;=0,DEGREES(ATAN(Q270/P270))+180,DEGREES(ATAN(Q270/P270))-180),IF(Q270&gt;0,90,IF(Q270&lt;0,-90,0)))))</f>
        <v/>
      </c>
      <c r="T270" s="195">
        <f>IF(B270="","",LOG10(B270))</f>
        <v/>
      </c>
      <c r="U270" s="195">
        <f>IF(R270="","",LOG10(MAX(R270,1E-12)))</f>
        <v/>
      </c>
    </row>
    <row r="271">
      <c r="A271" t="n">
        <v>268</v>
      </c>
      <c r="B271" s="196">
        <f>IF(A271&lt;='入力・概要'!$B$40,10^(LOG10('入力・概要'!$B$38)+(A271-1)*(LOG10('入力・概要'!$B$39)-LOG10('入力・概要'!$B$38))/('入力・概要'!$B$40-1)),"")</f>
        <v/>
      </c>
      <c r="C271" s="195">
        <f>IF(B271="","",2*PI()*B271)</f>
        <v/>
      </c>
      <c r="D271" s="195">
        <f>IF(B271="","",ATANH(MIN(0.999999,(2*'入力・概要'!$B$17*'入力・概要'!$B$6)/'入力・概要'!$B$30))+'入力・概要'!$B$33*SQRT(B271/1E6)+(2*PI()*B271*'入力・概要'!$B$6/(299792458*'入力・概要'!$B$31))*'入力・概要'!$B$32/2)</f>
        <v/>
      </c>
      <c r="E271" s="195">
        <f>IF(B271="","",2*PI()*B271*'入力・概要'!$B$6/(299792458*'入力・概要'!$B$31))</f>
        <v/>
      </c>
      <c r="F271" s="195">
        <f>IF(B271="","",SINH(2*D271)/(COSH(2*D271)+COS(2*E271)))</f>
        <v/>
      </c>
      <c r="G271" s="195">
        <f>IF(B271="","",SIN(2*E271)/(COSH(2*D271)+COS(2*E271)))</f>
        <v/>
      </c>
      <c r="H271" s="195">
        <f>IF(B271="","",'入力・概要'!$B$34)</f>
        <v/>
      </c>
      <c r="I271" s="195">
        <f>IF(B271="","",C271*'入力・概要'!$B$35*1E-9)</f>
        <v/>
      </c>
      <c r="J271" s="195">
        <f>IF(B271="","",H271+'入力・概要'!$B$30*F271)</f>
        <v/>
      </c>
      <c r="K271" s="195">
        <f>IF(B271="","",I271+'入力・概要'!$B$30*G271)</f>
        <v/>
      </c>
      <c r="L271" s="195">
        <f>IF(B271="","",'入力・概要'!$B$30+H271*F271-I271*G271)</f>
        <v/>
      </c>
      <c r="M271" s="195">
        <f>IF(B271="","",H271*G271+I271*F271)</f>
        <v/>
      </c>
      <c r="N271" s="195">
        <f>IF(B271="","",'入力・概要'!$B$30*(J271*L271+K271*M271)/(L271^2+M271^2))</f>
        <v/>
      </c>
      <c r="O271" s="195">
        <f>IF(B271="","",'入力・概要'!$B$30*(K271*L271-J271*M271)/(L271^2+M271^2))</f>
        <v/>
      </c>
      <c r="P271" s="195">
        <f>IF(B271="","",N271+'入力・概要'!$B$36)</f>
        <v/>
      </c>
      <c r="Q271" s="195">
        <f>IF(B271="","",O271+C271*'入力・概要'!$B$37*1E-9)</f>
        <v/>
      </c>
      <c r="R271" s="195">
        <f>IF(B271="","",SQRT(P271^2+Q271^2))</f>
        <v/>
      </c>
      <c r="S271" s="195">
        <f>IF(B271="","",IF(P271&gt;0,DEGREES(ATAN(Q271/P271)),IF(P271&lt;0,IF(Q271&gt;=0,DEGREES(ATAN(Q271/P271))+180,DEGREES(ATAN(Q271/P271))-180),IF(Q271&gt;0,90,IF(Q271&lt;0,-90,0)))))</f>
        <v/>
      </c>
      <c r="T271" s="195">
        <f>IF(B271="","",LOG10(B271))</f>
        <v/>
      </c>
      <c r="U271" s="195">
        <f>IF(R271="","",LOG10(MAX(R271,1E-12)))</f>
        <v/>
      </c>
    </row>
    <row r="272">
      <c r="A272" t="n">
        <v>269</v>
      </c>
      <c r="B272" s="196">
        <f>IF(A272&lt;='入力・概要'!$B$40,10^(LOG10('入力・概要'!$B$38)+(A272-1)*(LOG10('入力・概要'!$B$39)-LOG10('入力・概要'!$B$38))/('入力・概要'!$B$40-1)),"")</f>
        <v/>
      </c>
      <c r="C272" s="195">
        <f>IF(B272="","",2*PI()*B272)</f>
        <v/>
      </c>
      <c r="D272" s="195">
        <f>IF(B272="","",ATANH(MIN(0.999999,(2*'入力・概要'!$B$17*'入力・概要'!$B$6)/'入力・概要'!$B$30))+'入力・概要'!$B$33*SQRT(B272/1E6)+(2*PI()*B272*'入力・概要'!$B$6/(299792458*'入力・概要'!$B$31))*'入力・概要'!$B$32/2)</f>
        <v/>
      </c>
      <c r="E272" s="195">
        <f>IF(B272="","",2*PI()*B272*'入力・概要'!$B$6/(299792458*'入力・概要'!$B$31))</f>
        <v/>
      </c>
      <c r="F272" s="195">
        <f>IF(B272="","",SINH(2*D272)/(COSH(2*D272)+COS(2*E272)))</f>
        <v/>
      </c>
      <c r="G272" s="195">
        <f>IF(B272="","",SIN(2*E272)/(COSH(2*D272)+COS(2*E272)))</f>
        <v/>
      </c>
      <c r="H272" s="195">
        <f>IF(B272="","",'入力・概要'!$B$34)</f>
        <v/>
      </c>
      <c r="I272" s="195">
        <f>IF(B272="","",C272*'入力・概要'!$B$35*1E-9)</f>
        <v/>
      </c>
      <c r="J272" s="195">
        <f>IF(B272="","",H272+'入力・概要'!$B$30*F272)</f>
        <v/>
      </c>
      <c r="K272" s="195">
        <f>IF(B272="","",I272+'入力・概要'!$B$30*G272)</f>
        <v/>
      </c>
      <c r="L272" s="195">
        <f>IF(B272="","",'入力・概要'!$B$30+H272*F272-I272*G272)</f>
        <v/>
      </c>
      <c r="M272" s="195">
        <f>IF(B272="","",H272*G272+I272*F272)</f>
        <v/>
      </c>
      <c r="N272" s="195">
        <f>IF(B272="","",'入力・概要'!$B$30*(J272*L272+K272*M272)/(L272^2+M272^2))</f>
        <v/>
      </c>
      <c r="O272" s="195">
        <f>IF(B272="","",'入力・概要'!$B$30*(K272*L272-J272*M272)/(L272^2+M272^2))</f>
        <v/>
      </c>
      <c r="P272" s="195">
        <f>IF(B272="","",N272+'入力・概要'!$B$36)</f>
        <v/>
      </c>
      <c r="Q272" s="195">
        <f>IF(B272="","",O272+C272*'入力・概要'!$B$37*1E-9)</f>
        <v/>
      </c>
      <c r="R272" s="195">
        <f>IF(B272="","",SQRT(P272^2+Q272^2))</f>
        <v/>
      </c>
      <c r="S272" s="195">
        <f>IF(B272="","",IF(P272&gt;0,DEGREES(ATAN(Q272/P272)),IF(P272&lt;0,IF(Q272&gt;=0,DEGREES(ATAN(Q272/P272))+180,DEGREES(ATAN(Q272/P272))-180),IF(Q272&gt;0,90,IF(Q272&lt;0,-90,0)))))</f>
        <v/>
      </c>
      <c r="T272" s="195">
        <f>IF(B272="","",LOG10(B272))</f>
        <v/>
      </c>
      <c r="U272" s="195">
        <f>IF(R272="","",LOG10(MAX(R272,1E-12)))</f>
        <v/>
      </c>
    </row>
    <row r="273">
      <c r="A273" t="n">
        <v>270</v>
      </c>
      <c r="B273" s="196">
        <f>IF(A273&lt;='入力・概要'!$B$40,10^(LOG10('入力・概要'!$B$38)+(A273-1)*(LOG10('入力・概要'!$B$39)-LOG10('入力・概要'!$B$38))/('入力・概要'!$B$40-1)),"")</f>
        <v/>
      </c>
      <c r="C273" s="195">
        <f>IF(B273="","",2*PI()*B273)</f>
        <v/>
      </c>
      <c r="D273" s="195">
        <f>IF(B273="","",ATANH(MIN(0.999999,(2*'入力・概要'!$B$17*'入力・概要'!$B$6)/'入力・概要'!$B$30))+'入力・概要'!$B$33*SQRT(B273/1E6)+(2*PI()*B273*'入力・概要'!$B$6/(299792458*'入力・概要'!$B$31))*'入力・概要'!$B$32/2)</f>
        <v/>
      </c>
      <c r="E273" s="195">
        <f>IF(B273="","",2*PI()*B273*'入力・概要'!$B$6/(299792458*'入力・概要'!$B$31))</f>
        <v/>
      </c>
      <c r="F273" s="195">
        <f>IF(B273="","",SINH(2*D273)/(COSH(2*D273)+COS(2*E273)))</f>
        <v/>
      </c>
      <c r="G273" s="195">
        <f>IF(B273="","",SIN(2*E273)/(COSH(2*D273)+COS(2*E273)))</f>
        <v/>
      </c>
      <c r="H273" s="195">
        <f>IF(B273="","",'入力・概要'!$B$34)</f>
        <v/>
      </c>
      <c r="I273" s="195">
        <f>IF(B273="","",C273*'入力・概要'!$B$35*1E-9)</f>
        <v/>
      </c>
      <c r="J273" s="195">
        <f>IF(B273="","",H273+'入力・概要'!$B$30*F273)</f>
        <v/>
      </c>
      <c r="K273" s="195">
        <f>IF(B273="","",I273+'入力・概要'!$B$30*G273)</f>
        <v/>
      </c>
      <c r="L273" s="195">
        <f>IF(B273="","",'入力・概要'!$B$30+H273*F273-I273*G273)</f>
        <v/>
      </c>
      <c r="M273" s="195">
        <f>IF(B273="","",H273*G273+I273*F273)</f>
        <v/>
      </c>
      <c r="N273" s="195">
        <f>IF(B273="","",'入力・概要'!$B$30*(J273*L273+K273*M273)/(L273^2+M273^2))</f>
        <v/>
      </c>
      <c r="O273" s="195">
        <f>IF(B273="","",'入力・概要'!$B$30*(K273*L273-J273*M273)/(L273^2+M273^2))</f>
        <v/>
      </c>
      <c r="P273" s="195">
        <f>IF(B273="","",N273+'入力・概要'!$B$36)</f>
        <v/>
      </c>
      <c r="Q273" s="195">
        <f>IF(B273="","",O273+C273*'入力・概要'!$B$37*1E-9)</f>
        <v/>
      </c>
      <c r="R273" s="195">
        <f>IF(B273="","",SQRT(P273^2+Q273^2))</f>
        <v/>
      </c>
      <c r="S273" s="195">
        <f>IF(B273="","",IF(P273&gt;0,DEGREES(ATAN(Q273/P273)),IF(P273&lt;0,IF(Q273&gt;=0,DEGREES(ATAN(Q273/P273))+180,DEGREES(ATAN(Q273/P273))-180),IF(Q273&gt;0,90,IF(Q273&lt;0,-90,0)))))</f>
        <v/>
      </c>
      <c r="T273" s="195">
        <f>IF(B273="","",LOG10(B273))</f>
        <v/>
      </c>
      <c r="U273" s="195">
        <f>IF(R273="","",LOG10(MAX(R273,1E-12)))</f>
        <v/>
      </c>
    </row>
    <row r="274">
      <c r="A274" t="n">
        <v>271</v>
      </c>
      <c r="B274" s="196">
        <f>IF(A274&lt;='入力・概要'!$B$40,10^(LOG10('入力・概要'!$B$38)+(A274-1)*(LOG10('入力・概要'!$B$39)-LOG10('入力・概要'!$B$38))/('入力・概要'!$B$40-1)),"")</f>
        <v/>
      </c>
      <c r="C274" s="195">
        <f>IF(B274="","",2*PI()*B274)</f>
        <v/>
      </c>
      <c r="D274" s="195">
        <f>IF(B274="","",ATANH(MIN(0.999999,(2*'入力・概要'!$B$17*'入力・概要'!$B$6)/'入力・概要'!$B$30))+'入力・概要'!$B$33*SQRT(B274/1E6)+(2*PI()*B274*'入力・概要'!$B$6/(299792458*'入力・概要'!$B$31))*'入力・概要'!$B$32/2)</f>
        <v/>
      </c>
      <c r="E274" s="195">
        <f>IF(B274="","",2*PI()*B274*'入力・概要'!$B$6/(299792458*'入力・概要'!$B$31))</f>
        <v/>
      </c>
      <c r="F274" s="195">
        <f>IF(B274="","",SINH(2*D274)/(COSH(2*D274)+COS(2*E274)))</f>
        <v/>
      </c>
      <c r="G274" s="195">
        <f>IF(B274="","",SIN(2*E274)/(COSH(2*D274)+COS(2*E274)))</f>
        <v/>
      </c>
      <c r="H274" s="195">
        <f>IF(B274="","",'入力・概要'!$B$34)</f>
        <v/>
      </c>
      <c r="I274" s="195">
        <f>IF(B274="","",C274*'入力・概要'!$B$35*1E-9)</f>
        <v/>
      </c>
      <c r="J274" s="195">
        <f>IF(B274="","",H274+'入力・概要'!$B$30*F274)</f>
        <v/>
      </c>
      <c r="K274" s="195">
        <f>IF(B274="","",I274+'入力・概要'!$B$30*G274)</f>
        <v/>
      </c>
      <c r="L274" s="195">
        <f>IF(B274="","",'入力・概要'!$B$30+H274*F274-I274*G274)</f>
        <v/>
      </c>
      <c r="M274" s="195">
        <f>IF(B274="","",H274*G274+I274*F274)</f>
        <v/>
      </c>
      <c r="N274" s="195">
        <f>IF(B274="","",'入力・概要'!$B$30*(J274*L274+K274*M274)/(L274^2+M274^2))</f>
        <v/>
      </c>
      <c r="O274" s="195">
        <f>IF(B274="","",'入力・概要'!$B$30*(K274*L274-J274*M274)/(L274^2+M274^2))</f>
        <v/>
      </c>
      <c r="P274" s="195">
        <f>IF(B274="","",N274+'入力・概要'!$B$36)</f>
        <v/>
      </c>
      <c r="Q274" s="195">
        <f>IF(B274="","",O274+C274*'入力・概要'!$B$37*1E-9)</f>
        <v/>
      </c>
      <c r="R274" s="195">
        <f>IF(B274="","",SQRT(P274^2+Q274^2))</f>
        <v/>
      </c>
      <c r="S274" s="195">
        <f>IF(B274="","",IF(P274&gt;0,DEGREES(ATAN(Q274/P274)),IF(P274&lt;0,IF(Q274&gt;=0,DEGREES(ATAN(Q274/P274))+180,DEGREES(ATAN(Q274/P274))-180),IF(Q274&gt;0,90,IF(Q274&lt;0,-90,0)))))</f>
        <v/>
      </c>
      <c r="T274" s="195">
        <f>IF(B274="","",LOG10(B274))</f>
        <v/>
      </c>
      <c r="U274" s="195">
        <f>IF(R274="","",LOG10(MAX(R274,1E-12)))</f>
        <v/>
      </c>
    </row>
    <row r="275">
      <c r="A275" t="n">
        <v>272</v>
      </c>
      <c r="B275" s="196">
        <f>IF(A275&lt;='入力・概要'!$B$40,10^(LOG10('入力・概要'!$B$38)+(A275-1)*(LOG10('入力・概要'!$B$39)-LOG10('入力・概要'!$B$38))/('入力・概要'!$B$40-1)),"")</f>
        <v/>
      </c>
      <c r="C275" s="195">
        <f>IF(B275="","",2*PI()*B275)</f>
        <v/>
      </c>
      <c r="D275" s="195">
        <f>IF(B275="","",ATANH(MIN(0.999999,(2*'入力・概要'!$B$17*'入力・概要'!$B$6)/'入力・概要'!$B$30))+'入力・概要'!$B$33*SQRT(B275/1E6)+(2*PI()*B275*'入力・概要'!$B$6/(299792458*'入力・概要'!$B$31))*'入力・概要'!$B$32/2)</f>
        <v/>
      </c>
      <c r="E275" s="195">
        <f>IF(B275="","",2*PI()*B275*'入力・概要'!$B$6/(299792458*'入力・概要'!$B$31))</f>
        <v/>
      </c>
      <c r="F275" s="195">
        <f>IF(B275="","",SINH(2*D275)/(COSH(2*D275)+COS(2*E275)))</f>
        <v/>
      </c>
      <c r="G275" s="195">
        <f>IF(B275="","",SIN(2*E275)/(COSH(2*D275)+COS(2*E275)))</f>
        <v/>
      </c>
      <c r="H275" s="195">
        <f>IF(B275="","",'入力・概要'!$B$34)</f>
        <v/>
      </c>
      <c r="I275" s="195">
        <f>IF(B275="","",C275*'入力・概要'!$B$35*1E-9)</f>
        <v/>
      </c>
      <c r="J275" s="195">
        <f>IF(B275="","",H275+'入力・概要'!$B$30*F275)</f>
        <v/>
      </c>
      <c r="K275" s="195">
        <f>IF(B275="","",I275+'入力・概要'!$B$30*G275)</f>
        <v/>
      </c>
      <c r="L275" s="195">
        <f>IF(B275="","",'入力・概要'!$B$30+H275*F275-I275*G275)</f>
        <v/>
      </c>
      <c r="M275" s="195">
        <f>IF(B275="","",H275*G275+I275*F275)</f>
        <v/>
      </c>
      <c r="N275" s="195">
        <f>IF(B275="","",'入力・概要'!$B$30*(J275*L275+K275*M275)/(L275^2+M275^2))</f>
        <v/>
      </c>
      <c r="O275" s="195">
        <f>IF(B275="","",'入力・概要'!$B$30*(K275*L275-J275*M275)/(L275^2+M275^2))</f>
        <v/>
      </c>
      <c r="P275" s="195">
        <f>IF(B275="","",N275+'入力・概要'!$B$36)</f>
        <v/>
      </c>
      <c r="Q275" s="195">
        <f>IF(B275="","",O275+C275*'入力・概要'!$B$37*1E-9)</f>
        <v/>
      </c>
      <c r="R275" s="195">
        <f>IF(B275="","",SQRT(P275^2+Q275^2))</f>
        <v/>
      </c>
      <c r="S275" s="195">
        <f>IF(B275="","",IF(P275&gt;0,DEGREES(ATAN(Q275/P275)),IF(P275&lt;0,IF(Q275&gt;=0,DEGREES(ATAN(Q275/P275))+180,DEGREES(ATAN(Q275/P275))-180),IF(Q275&gt;0,90,IF(Q275&lt;0,-90,0)))))</f>
        <v/>
      </c>
      <c r="T275" s="195">
        <f>IF(B275="","",LOG10(B275))</f>
        <v/>
      </c>
      <c r="U275" s="195">
        <f>IF(R275="","",LOG10(MAX(R275,1E-12)))</f>
        <v/>
      </c>
    </row>
    <row r="276">
      <c r="A276" t="n">
        <v>273</v>
      </c>
      <c r="B276" s="196">
        <f>IF(A276&lt;='入力・概要'!$B$40,10^(LOG10('入力・概要'!$B$38)+(A276-1)*(LOG10('入力・概要'!$B$39)-LOG10('入力・概要'!$B$38))/('入力・概要'!$B$40-1)),"")</f>
        <v/>
      </c>
      <c r="C276" s="195">
        <f>IF(B276="","",2*PI()*B276)</f>
        <v/>
      </c>
      <c r="D276" s="195">
        <f>IF(B276="","",ATANH(MIN(0.999999,(2*'入力・概要'!$B$17*'入力・概要'!$B$6)/'入力・概要'!$B$30))+'入力・概要'!$B$33*SQRT(B276/1E6)+(2*PI()*B276*'入力・概要'!$B$6/(299792458*'入力・概要'!$B$31))*'入力・概要'!$B$32/2)</f>
        <v/>
      </c>
      <c r="E276" s="195">
        <f>IF(B276="","",2*PI()*B276*'入力・概要'!$B$6/(299792458*'入力・概要'!$B$31))</f>
        <v/>
      </c>
      <c r="F276" s="195">
        <f>IF(B276="","",SINH(2*D276)/(COSH(2*D276)+COS(2*E276)))</f>
        <v/>
      </c>
      <c r="G276" s="195">
        <f>IF(B276="","",SIN(2*E276)/(COSH(2*D276)+COS(2*E276)))</f>
        <v/>
      </c>
      <c r="H276" s="195">
        <f>IF(B276="","",'入力・概要'!$B$34)</f>
        <v/>
      </c>
      <c r="I276" s="195">
        <f>IF(B276="","",C276*'入力・概要'!$B$35*1E-9)</f>
        <v/>
      </c>
      <c r="J276" s="195">
        <f>IF(B276="","",H276+'入力・概要'!$B$30*F276)</f>
        <v/>
      </c>
      <c r="K276" s="195">
        <f>IF(B276="","",I276+'入力・概要'!$B$30*G276)</f>
        <v/>
      </c>
      <c r="L276" s="195">
        <f>IF(B276="","",'入力・概要'!$B$30+H276*F276-I276*G276)</f>
        <v/>
      </c>
      <c r="M276" s="195">
        <f>IF(B276="","",H276*G276+I276*F276)</f>
        <v/>
      </c>
      <c r="N276" s="195">
        <f>IF(B276="","",'入力・概要'!$B$30*(J276*L276+K276*M276)/(L276^2+M276^2))</f>
        <v/>
      </c>
      <c r="O276" s="195">
        <f>IF(B276="","",'入力・概要'!$B$30*(K276*L276-J276*M276)/(L276^2+M276^2))</f>
        <v/>
      </c>
      <c r="P276" s="195">
        <f>IF(B276="","",N276+'入力・概要'!$B$36)</f>
        <v/>
      </c>
      <c r="Q276" s="195">
        <f>IF(B276="","",O276+C276*'入力・概要'!$B$37*1E-9)</f>
        <v/>
      </c>
      <c r="R276" s="195">
        <f>IF(B276="","",SQRT(P276^2+Q276^2))</f>
        <v/>
      </c>
      <c r="S276" s="195">
        <f>IF(B276="","",IF(P276&gt;0,DEGREES(ATAN(Q276/P276)),IF(P276&lt;0,IF(Q276&gt;=0,DEGREES(ATAN(Q276/P276))+180,DEGREES(ATAN(Q276/P276))-180),IF(Q276&gt;0,90,IF(Q276&lt;0,-90,0)))))</f>
        <v/>
      </c>
      <c r="T276" s="195">
        <f>IF(B276="","",LOG10(B276))</f>
        <v/>
      </c>
      <c r="U276" s="195">
        <f>IF(R276="","",LOG10(MAX(R276,1E-12)))</f>
        <v/>
      </c>
    </row>
    <row r="277">
      <c r="A277" t="n">
        <v>274</v>
      </c>
      <c r="B277" s="196">
        <f>IF(A277&lt;='入力・概要'!$B$40,10^(LOG10('入力・概要'!$B$38)+(A277-1)*(LOG10('入力・概要'!$B$39)-LOG10('入力・概要'!$B$38))/('入力・概要'!$B$40-1)),"")</f>
        <v/>
      </c>
      <c r="C277" s="195">
        <f>IF(B277="","",2*PI()*B277)</f>
        <v/>
      </c>
      <c r="D277" s="195">
        <f>IF(B277="","",ATANH(MIN(0.999999,(2*'入力・概要'!$B$17*'入力・概要'!$B$6)/'入力・概要'!$B$30))+'入力・概要'!$B$33*SQRT(B277/1E6)+(2*PI()*B277*'入力・概要'!$B$6/(299792458*'入力・概要'!$B$31))*'入力・概要'!$B$32/2)</f>
        <v/>
      </c>
      <c r="E277" s="195">
        <f>IF(B277="","",2*PI()*B277*'入力・概要'!$B$6/(299792458*'入力・概要'!$B$31))</f>
        <v/>
      </c>
      <c r="F277" s="195">
        <f>IF(B277="","",SINH(2*D277)/(COSH(2*D277)+COS(2*E277)))</f>
        <v/>
      </c>
      <c r="G277" s="195">
        <f>IF(B277="","",SIN(2*E277)/(COSH(2*D277)+COS(2*E277)))</f>
        <v/>
      </c>
      <c r="H277" s="195">
        <f>IF(B277="","",'入力・概要'!$B$34)</f>
        <v/>
      </c>
      <c r="I277" s="195">
        <f>IF(B277="","",C277*'入力・概要'!$B$35*1E-9)</f>
        <v/>
      </c>
      <c r="J277" s="195">
        <f>IF(B277="","",H277+'入力・概要'!$B$30*F277)</f>
        <v/>
      </c>
      <c r="K277" s="195">
        <f>IF(B277="","",I277+'入力・概要'!$B$30*G277)</f>
        <v/>
      </c>
      <c r="L277" s="195">
        <f>IF(B277="","",'入力・概要'!$B$30+H277*F277-I277*G277)</f>
        <v/>
      </c>
      <c r="M277" s="195">
        <f>IF(B277="","",H277*G277+I277*F277)</f>
        <v/>
      </c>
      <c r="N277" s="195">
        <f>IF(B277="","",'入力・概要'!$B$30*(J277*L277+K277*M277)/(L277^2+M277^2))</f>
        <v/>
      </c>
      <c r="O277" s="195">
        <f>IF(B277="","",'入力・概要'!$B$30*(K277*L277-J277*M277)/(L277^2+M277^2))</f>
        <v/>
      </c>
      <c r="P277" s="195">
        <f>IF(B277="","",N277+'入力・概要'!$B$36)</f>
        <v/>
      </c>
      <c r="Q277" s="195">
        <f>IF(B277="","",O277+C277*'入力・概要'!$B$37*1E-9)</f>
        <v/>
      </c>
      <c r="R277" s="195">
        <f>IF(B277="","",SQRT(P277^2+Q277^2))</f>
        <v/>
      </c>
      <c r="S277" s="195">
        <f>IF(B277="","",IF(P277&gt;0,DEGREES(ATAN(Q277/P277)),IF(P277&lt;0,IF(Q277&gt;=0,DEGREES(ATAN(Q277/P277))+180,DEGREES(ATAN(Q277/P277))-180),IF(Q277&gt;0,90,IF(Q277&lt;0,-90,0)))))</f>
        <v/>
      </c>
      <c r="T277" s="195">
        <f>IF(B277="","",LOG10(B277))</f>
        <v/>
      </c>
      <c r="U277" s="195">
        <f>IF(R277="","",LOG10(MAX(R277,1E-12)))</f>
        <v/>
      </c>
    </row>
    <row r="278">
      <c r="A278" t="n">
        <v>275</v>
      </c>
      <c r="B278" s="196">
        <f>IF(A278&lt;='入力・概要'!$B$40,10^(LOG10('入力・概要'!$B$38)+(A278-1)*(LOG10('入力・概要'!$B$39)-LOG10('入力・概要'!$B$38))/('入力・概要'!$B$40-1)),"")</f>
        <v/>
      </c>
      <c r="C278" s="195">
        <f>IF(B278="","",2*PI()*B278)</f>
        <v/>
      </c>
      <c r="D278" s="195">
        <f>IF(B278="","",ATANH(MIN(0.999999,(2*'入力・概要'!$B$17*'入力・概要'!$B$6)/'入力・概要'!$B$30))+'入力・概要'!$B$33*SQRT(B278/1E6)+(2*PI()*B278*'入力・概要'!$B$6/(299792458*'入力・概要'!$B$31))*'入力・概要'!$B$32/2)</f>
        <v/>
      </c>
      <c r="E278" s="195">
        <f>IF(B278="","",2*PI()*B278*'入力・概要'!$B$6/(299792458*'入力・概要'!$B$31))</f>
        <v/>
      </c>
      <c r="F278" s="195">
        <f>IF(B278="","",SINH(2*D278)/(COSH(2*D278)+COS(2*E278)))</f>
        <v/>
      </c>
      <c r="G278" s="195">
        <f>IF(B278="","",SIN(2*E278)/(COSH(2*D278)+COS(2*E278)))</f>
        <v/>
      </c>
      <c r="H278" s="195">
        <f>IF(B278="","",'入力・概要'!$B$34)</f>
        <v/>
      </c>
      <c r="I278" s="195">
        <f>IF(B278="","",C278*'入力・概要'!$B$35*1E-9)</f>
        <v/>
      </c>
      <c r="J278" s="195">
        <f>IF(B278="","",H278+'入力・概要'!$B$30*F278)</f>
        <v/>
      </c>
      <c r="K278" s="195">
        <f>IF(B278="","",I278+'入力・概要'!$B$30*G278)</f>
        <v/>
      </c>
      <c r="L278" s="195">
        <f>IF(B278="","",'入力・概要'!$B$30+H278*F278-I278*G278)</f>
        <v/>
      </c>
      <c r="M278" s="195">
        <f>IF(B278="","",H278*G278+I278*F278)</f>
        <v/>
      </c>
      <c r="N278" s="195">
        <f>IF(B278="","",'入力・概要'!$B$30*(J278*L278+K278*M278)/(L278^2+M278^2))</f>
        <v/>
      </c>
      <c r="O278" s="195">
        <f>IF(B278="","",'入力・概要'!$B$30*(K278*L278-J278*M278)/(L278^2+M278^2))</f>
        <v/>
      </c>
      <c r="P278" s="195">
        <f>IF(B278="","",N278+'入力・概要'!$B$36)</f>
        <v/>
      </c>
      <c r="Q278" s="195">
        <f>IF(B278="","",O278+C278*'入力・概要'!$B$37*1E-9)</f>
        <v/>
      </c>
      <c r="R278" s="195">
        <f>IF(B278="","",SQRT(P278^2+Q278^2))</f>
        <v/>
      </c>
      <c r="S278" s="195">
        <f>IF(B278="","",IF(P278&gt;0,DEGREES(ATAN(Q278/P278)),IF(P278&lt;0,IF(Q278&gt;=0,DEGREES(ATAN(Q278/P278))+180,DEGREES(ATAN(Q278/P278))-180),IF(Q278&gt;0,90,IF(Q278&lt;0,-90,0)))))</f>
        <v/>
      </c>
      <c r="T278" s="195">
        <f>IF(B278="","",LOG10(B278))</f>
        <v/>
      </c>
      <c r="U278" s="195">
        <f>IF(R278="","",LOG10(MAX(R278,1E-12)))</f>
        <v/>
      </c>
    </row>
    <row r="279">
      <c r="A279" t="n">
        <v>276</v>
      </c>
      <c r="B279" s="196">
        <f>IF(A279&lt;='入力・概要'!$B$40,10^(LOG10('入力・概要'!$B$38)+(A279-1)*(LOG10('入力・概要'!$B$39)-LOG10('入力・概要'!$B$38))/('入力・概要'!$B$40-1)),"")</f>
        <v/>
      </c>
      <c r="C279" s="195">
        <f>IF(B279="","",2*PI()*B279)</f>
        <v/>
      </c>
      <c r="D279" s="195">
        <f>IF(B279="","",ATANH(MIN(0.999999,(2*'入力・概要'!$B$17*'入力・概要'!$B$6)/'入力・概要'!$B$30))+'入力・概要'!$B$33*SQRT(B279/1E6)+(2*PI()*B279*'入力・概要'!$B$6/(299792458*'入力・概要'!$B$31))*'入力・概要'!$B$32/2)</f>
        <v/>
      </c>
      <c r="E279" s="195">
        <f>IF(B279="","",2*PI()*B279*'入力・概要'!$B$6/(299792458*'入力・概要'!$B$31))</f>
        <v/>
      </c>
      <c r="F279" s="195">
        <f>IF(B279="","",SINH(2*D279)/(COSH(2*D279)+COS(2*E279)))</f>
        <v/>
      </c>
      <c r="G279" s="195">
        <f>IF(B279="","",SIN(2*E279)/(COSH(2*D279)+COS(2*E279)))</f>
        <v/>
      </c>
      <c r="H279" s="195">
        <f>IF(B279="","",'入力・概要'!$B$34)</f>
        <v/>
      </c>
      <c r="I279" s="195">
        <f>IF(B279="","",C279*'入力・概要'!$B$35*1E-9)</f>
        <v/>
      </c>
      <c r="J279" s="195">
        <f>IF(B279="","",H279+'入力・概要'!$B$30*F279)</f>
        <v/>
      </c>
      <c r="K279" s="195">
        <f>IF(B279="","",I279+'入力・概要'!$B$30*G279)</f>
        <v/>
      </c>
      <c r="L279" s="195">
        <f>IF(B279="","",'入力・概要'!$B$30+H279*F279-I279*G279)</f>
        <v/>
      </c>
      <c r="M279" s="195">
        <f>IF(B279="","",H279*G279+I279*F279)</f>
        <v/>
      </c>
      <c r="N279" s="195">
        <f>IF(B279="","",'入力・概要'!$B$30*(J279*L279+K279*M279)/(L279^2+M279^2))</f>
        <v/>
      </c>
      <c r="O279" s="195">
        <f>IF(B279="","",'入力・概要'!$B$30*(K279*L279-J279*M279)/(L279^2+M279^2))</f>
        <v/>
      </c>
      <c r="P279" s="195">
        <f>IF(B279="","",N279+'入力・概要'!$B$36)</f>
        <v/>
      </c>
      <c r="Q279" s="195">
        <f>IF(B279="","",O279+C279*'入力・概要'!$B$37*1E-9)</f>
        <v/>
      </c>
      <c r="R279" s="195">
        <f>IF(B279="","",SQRT(P279^2+Q279^2))</f>
        <v/>
      </c>
      <c r="S279" s="195">
        <f>IF(B279="","",IF(P279&gt;0,DEGREES(ATAN(Q279/P279)),IF(P279&lt;0,IF(Q279&gt;=0,DEGREES(ATAN(Q279/P279))+180,DEGREES(ATAN(Q279/P279))-180),IF(Q279&gt;0,90,IF(Q279&lt;0,-90,0)))))</f>
        <v/>
      </c>
      <c r="T279" s="195">
        <f>IF(B279="","",LOG10(B279))</f>
        <v/>
      </c>
      <c r="U279" s="195">
        <f>IF(R279="","",LOG10(MAX(R279,1E-12)))</f>
        <v/>
      </c>
    </row>
    <row r="280">
      <c r="A280" t="n">
        <v>277</v>
      </c>
      <c r="B280" s="196">
        <f>IF(A280&lt;='入力・概要'!$B$40,10^(LOG10('入力・概要'!$B$38)+(A280-1)*(LOG10('入力・概要'!$B$39)-LOG10('入力・概要'!$B$38))/('入力・概要'!$B$40-1)),"")</f>
        <v/>
      </c>
      <c r="C280" s="195">
        <f>IF(B280="","",2*PI()*B280)</f>
        <v/>
      </c>
      <c r="D280" s="195">
        <f>IF(B280="","",ATANH(MIN(0.999999,(2*'入力・概要'!$B$17*'入力・概要'!$B$6)/'入力・概要'!$B$30))+'入力・概要'!$B$33*SQRT(B280/1E6)+(2*PI()*B280*'入力・概要'!$B$6/(299792458*'入力・概要'!$B$31))*'入力・概要'!$B$32/2)</f>
        <v/>
      </c>
      <c r="E280" s="195">
        <f>IF(B280="","",2*PI()*B280*'入力・概要'!$B$6/(299792458*'入力・概要'!$B$31))</f>
        <v/>
      </c>
      <c r="F280" s="195">
        <f>IF(B280="","",SINH(2*D280)/(COSH(2*D280)+COS(2*E280)))</f>
        <v/>
      </c>
      <c r="G280" s="195">
        <f>IF(B280="","",SIN(2*E280)/(COSH(2*D280)+COS(2*E280)))</f>
        <v/>
      </c>
      <c r="H280" s="195">
        <f>IF(B280="","",'入力・概要'!$B$34)</f>
        <v/>
      </c>
      <c r="I280" s="195">
        <f>IF(B280="","",C280*'入力・概要'!$B$35*1E-9)</f>
        <v/>
      </c>
      <c r="J280" s="195">
        <f>IF(B280="","",H280+'入力・概要'!$B$30*F280)</f>
        <v/>
      </c>
      <c r="K280" s="195">
        <f>IF(B280="","",I280+'入力・概要'!$B$30*G280)</f>
        <v/>
      </c>
      <c r="L280" s="195">
        <f>IF(B280="","",'入力・概要'!$B$30+H280*F280-I280*G280)</f>
        <v/>
      </c>
      <c r="M280" s="195">
        <f>IF(B280="","",H280*G280+I280*F280)</f>
        <v/>
      </c>
      <c r="N280" s="195">
        <f>IF(B280="","",'入力・概要'!$B$30*(J280*L280+K280*M280)/(L280^2+M280^2))</f>
        <v/>
      </c>
      <c r="O280" s="195">
        <f>IF(B280="","",'入力・概要'!$B$30*(K280*L280-J280*M280)/(L280^2+M280^2))</f>
        <v/>
      </c>
      <c r="P280" s="195">
        <f>IF(B280="","",N280+'入力・概要'!$B$36)</f>
        <v/>
      </c>
      <c r="Q280" s="195">
        <f>IF(B280="","",O280+C280*'入力・概要'!$B$37*1E-9)</f>
        <v/>
      </c>
      <c r="R280" s="195">
        <f>IF(B280="","",SQRT(P280^2+Q280^2))</f>
        <v/>
      </c>
      <c r="S280" s="195">
        <f>IF(B280="","",IF(P280&gt;0,DEGREES(ATAN(Q280/P280)),IF(P280&lt;0,IF(Q280&gt;=0,DEGREES(ATAN(Q280/P280))+180,DEGREES(ATAN(Q280/P280))-180),IF(Q280&gt;0,90,IF(Q280&lt;0,-90,0)))))</f>
        <v/>
      </c>
      <c r="T280" s="195">
        <f>IF(B280="","",LOG10(B280))</f>
        <v/>
      </c>
      <c r="U280" s="195">
        <f>IF(R280="","",LOG10(MAX(R280,1E-12)))</f>
        <v/>
      </c>
    </row>
    <row r="281">
      <c r="A281" t="n">
        <v>278</v>
      </c>
      <c r="B281" s="196">
        <f>IF(A281&lt;='入力・概要'!$B$40,10^(LOG10('入力・概要'!$B$38)+(A281-1)*(LOG10('入力・概要'!$B$39)-LOG10('入力・概要'!$B$38))/('入力・概要'!$B$40-1)),"")</f>
        <v/>
      </c>
      <c r="C281" s="195">
        <f>IF(B281="","",2*PI()*B281)</f>
        <v/>
      </c>
      <c r="D281" s="195">
        <f>IF(B281="","",ATANH(MIN(0.999999,(2*'入力・概要'!$B$17*'入力・概要'!$B$6)/'入力・概要'!$B$30))+'入力・概要'!$B$33*SQRT(B281/1E6)+(2*PI()*B281*'入力・概要'!$B$6/(299792458*'入力・概要'!$B$31))*'入力・概要'!$B$32/2)</f>
        <v/>
      </c>
      <c r="E281" s="195">
        <f>IF(B281="","",2*PI()*B281*'入力・概要'!$B$6/(299792458*'入力・概要'!$B$31))</f>
        <v/>
      </c>
      <c r="F281" s="195">
        <f>IF(B281="","",SINH(2*D281)/(COSH(2*D281)+COS(2*E281)))</f>
        <v/>
      </c>
      <c r="G281" s="195">
        <f>IF(B281="","",SIN(2*E281)/(COSH(2*D281)+COS(2*E281)))</f>
        <v/>
      </c>
      <c r="H281" s="195">
        <f>IF(B281="","",'入力・概要'!$B$34)</f>
        <v/>
      </c>
      <c r="I281" s="195">
        <f>IF(B281="","",C281*'入力・概要'!$B$35*1E-9)</f>
        <v/>
      </c>
      <c r="J281" s="195">
        <f>IF(B281="","",H281+'入力・概要'!$B$30*F281)</f>
        <v/>
      </c>
      <c r="K281" s="195">
        <f>IF(B281="","",I281+'入力・概要'!$B$30*G281)</f>
        <v/>
      </c>
      <c r="L281" s="195">
        <f>IF(B281="","",'入力・概要'!$B$30+H281*F281-I281*G281)</f>
        <v/>
      </c>
      <c r="M281" s="195">
        <f>IF(B281="","",H281*G281+I281*F281)</f>
        <v/>
      </c>
      <c r="N281" s="195">
        <f>IF(B281="","",'入力・概要'!$B$30*(J281*L281+K281*M281)/(L281^2+M281^2))</f>
        <v/>
      </c>
      <c r="O281" s="195">
        <f>IF(B281="","",'入力・概要'!$B$30*(K281*L281-J281*M281)/(L281^2+M281^2))</f>
        <v/>
      </c>
      <c r="P281" s="195">
        <f>IF(B281="","",N281+'入力・概要'!$B$36)</f>
        <v/>
      </c>
      <c r="Q281" s="195">
        <f>IF(B281="","",O281+C281*'入力・概要'!$B$37*1E-9)</f>
        <v/>
      </c>
      <c r="R281" s="195">
        <f>IF(B281="","",SQRT(P281^2+Q281^2))</f>
        <v/>
      </c>
      <c r="S281" s="195">
        <f>IF(B281="","",IF(P281&gt;0,DEGREES(ATAN(Q281/P281)),IF(P281&lt;0,IF(Q281&gt;=0,DEGREES(ATAN(Q281/P281))+180,DEGREES(ATAN(Q281/P281))-180),IF(Q281&gt;0,90,IF(Q281&lt;0,-90,0)))))</f>
        <v/>
      </c>
      <c r="T281" s="195">
        <f>IF(B281="","",LOG10(B281))</f>
        <v/>
      </c>
      <c r="U281" s="195">
        <f>IF(R281="","",LOG10(MAX(R281,1E-12)))</f>
        <v/>
      </c>
    </row>
    <row r="282">
      <c r="A282" t="n">
        <v>279</v>
      </c>
      <c r="B282" s="196">
        <f>IF(A282&lt;='入力・概要'!$B$40,10^(LOG10('入力・概要'!$B$38)+(A282-1)*(LOG10('入力・概要'!$B$39)-LOG10('入力・概要'!$B$38))/('入力・概要'!$B$40-1)),"")</f>
        <v/>
      </c>
      <c r="C282" s="195">
        <f>IF(B282="","",2*PI()*B282)</f>
        <v/>
      </c>
      <c r="D282" s="195">
        <f>IF(B282="","",ATANH(MIN(0.999999,(2*'入力・概要'!$B$17*'入力・概要'!$B$6)/'入力・概要'!$B$30))+'入力・概要'!$B$33*SQRT(B282/1E6)+(2*PI()*B282*'入力・概要'!$B$6/(299792458*'入力・概要'!$B$31))*'入力・概要'!$B$32/2)</f>
        <v/>
      </c>
      <c r="E282" s="195">
        <f>IF(B282="","",2*PI()*B282*'入力・概要'!$B$6/(299792458*'入力・概要'!$B$31))</f>
        <v/>
      </c>
      <c r="F282" s="195">
        <f>IF(B282="","",SINH(2*D282)/(COSH(2*D282)+COS(2*E282)))</f>
        <v/>
      </c>
      <c r="G282" s="195">
        <f>IF(B282="","",SIN(2*E282)/(COSH(2*D282)+COS(2*E282)))</f>
        <v/>
      </c>
      <c r="H282" s="195">
        <f>IF(B282="","",'入力・概要'!$B$34)</f>
        <v/>
      </c>
      <c r="I282" s="195">
        <f>IF(B282="","",C282*'入力・概要'!$B$35*1E-9)</f>
        <v/>
      </c>
      <c r="J282" s="195">
        <f>IF(B282="","",H282+'入力・概要'!$B$30*F282)</f>
        <v/>
      </c>
      <c r="K282" s="195">
        <f>IF(B282="","",I282+'入力・概要'!$B$30*G282)</f>
        <v/>
      </c>
      <c r="L282" s="195">
        <f>IF(B282="","",'入力・概要'!$B$30+H282*F282-I282*G282)</f>
        <v/>
      </c>
      <c r="M282" s="195">
        <f>IF(B282="","",H282*G282+I282*F282)</f>
        <v/>
      </c>
      <c r="N282" s="195">
        <f>IF(B282="","",'入力・概要'!$B$30*(J282*L282+K282*M282)/(L282^2+M282^2))</f>
        <v/>
      </c>
      <c r="O282" s="195">
        <f>IF(B282="","",'入力・概要'!$B$30*(K282*L282-J282*M282)/(L282^2+M282^2))</f>
        <v/>
      </c>
      <c r="P282" s="195">
        <f>IF(B282="","",N282+'入力・概要'!$B$36)</f>
        <v/>
      </c>
      <c r="Q282" s="195">
        <f>IF(B282="","",O282+C282*'入力・概要'!$B$37*1E-9)</f>
        <v/>
      </c>
      <c r="R282" s="195">
        <f>IF(B282="","",SQRT(P282^2+Q282^2))</f>
        <v/>
      </c>
      <c r="S282" s="195">
        <f>IF(B282="","",IF(P282&gt;0,DEGREES(ATAN(Q282/P282)),IF(P282&lt;0,IF(Q282&gt;=0,DEGREES(ATAN(Q282/P282))+180,DEGREES(ATAN(Q282/P282))-180),IF(Q282&gt;0,90,IF(Q282&lt;0,-90,0)))))</f>
        <v/>
      </c>
      <c r="T282" s="195">
        <f>IF(B282="","",LOG10(B282))</f>
        <v/>
      </c>
      <c r="U282" s="195">
        <f>IF(R282="","",LOG10(MAX(R282,1E-12)))</f>
        <v/>
      </c>
    </row>
    <row r="283">
      <c r="A283" t="n">
        <v>280</v>
      </c>
      <c r="B283" s="196">
        <f>IF(A283&lt;='入力・概要'!$B$40,10^(LOG10('入力・概要'!$B$38)+(A283-1)*(LOG10('入力・概要'!$B$39)-LOG10('入力・概要'!$B$38))/('入力・概要'!$B$40-1)),"")</f>
        <v/>
      </c>
      <c r="C283" s="195">
        <f>IF(B283="","",2*PI()*B283)</f>
        <v/>
      </c>
      <c r="D283" s="195">
        <f>IF(B283="","",ATANH(MIN(0.999999,(2*'入力・概要'!$B$17*'入力・概要'!$B$6)/'入力・概要'!$B$30))+'入力・概要'!$B$33*SQRT(B283/1E6)+(2*PI()*B283*'入力・概要'!$B$6/(299792458*'入力・概要'!$B$31))*'入力・概要'!$B$32/2)</f>
        <v/>
      </c>
      <c r="E283" s="195">
        <f>IF(B283="","",2*PI()*B283*'入力・概要'!$B$6/(299792458*'入力・概要'!$B$31))</f>
        <v/>
      </c>
      <c r="F283" s="195">
        <f>IF(B283="","",SINH(2*D283)/(COSH(2*D283)+COS(2*E283)))</f>
        <v/>
      </c>
      <c r="G283" s="195">
        <f>IF(B283="","",SIN(2*E283)/(COSH(2*D283)+COS(2*E283)))</f>
        <v/>
      </c>
      <c r="H283" s="195">
        <f>IF(B283="","",'入力・概要'!$B$34)</f>
        <v/>
      </c>
      <c r="I283" s="195">
        <f>IF(B283="","",C283*'入力・概要'!$B$35*1E-9)</f>
        <v/>
      </c>
      <c r="J283" s="195">
        <f>IF(B283="","",H283+'入力・概要'!$B$30*F283)</f>
        <v/>
      </c>
      <c r="K283" s="195">
        <f>IF(B283="","",I283+'入力・概要'!$B$30*G283)</f>
        <v/>
      </c>
      <c r="L283" s="195">
        <f>IF(B283="","",'入力・概要'!$B$30+H283*F283-I283*G283)</f>
        <v/>
      </c>
      <c r="M283" s="195">
        <f>IF(B283="","",H283*G283+I283*F283)</f>
        <v/>
      </c>
      <c r="N283" s="195">
        <f>IF(B283="","",'入力・概要'!$B$30*(J283*L283+K283*M283)/(L283^2+M283^2))</f>
        <v/>
      </c>
      <c r="O283" s="195">
        <f>IF(B283="","",'入力・概要'!$B$30*(K283*L283-J283*M283)/(L283^2+M283^2))</f>
        <v/>
      </c>
      <c r="P283" s="195">
        <f>IF(B283="","",N283+'入力・概要'!$B$36)</f>
        <v/>
      </c>
      <c r="Q283" s="195">
        <f>IF(B283="","",O283+C283*'入力・概要'!$B$37*1E-9)</f>
        <v/>
      </c>
      <c r="R283" s="195">
        <f>IF(B283="","",SQRT(P283^2+Q283^2))</f>
        <v/>
      </c>
      <c r="S283" s="195">
        <f>IF(B283="","",IF(P283&gt;0,DEGREES(ATAN(Q283/P283)),IF(P283&lt;0,IF(Q283&gt;=0,DEGREES(ATAN(Q283/P283))+180,DEGREES(ATAN(Q283/P283))-180),IF(Q283&gt;0,90,IF(Q283&lt;0,-90,0)))))</f>
        <v/>
      </c>
      <c r="T283" s="195">
        <f>IF(B283="","",LOG10(B283))</f>
        <v/>
      </c>
      <c r="U283" s="195">
        <f>IF(R283="","",LOG10(MAX(R283,1E-12)))</f>
        <v/>
      </c>
    </row>
    <row r="284">
      <c r="A284" t="n">
        <v>281</v>
      </c>
      <c r="B284" s="196">
        <f>IF(A284&lt;='入力・概要'!$B$40,10^(LOG10('入力・概要'!$B$38)+(A284-1)*(LOG10('入力・概要'!$B$39)-LOG10('入力・概要'!$B$38))/('入力・概要'!$B$40-1)),"")</f>
        <v/>
      </c>
      <c r="C284" s="195">
        <f>IF(B284="","",2*PI()*B284)</f>
        <v/>
      </c>
      <c r="D284" s="195">
        <f>IF(B284="","",ATANH(MIN(0.999999,(2*'入力・概要'!$B$17*'入力・概要'!$B$6)/'入力・概要'!$B$30))+'入力・概要'!$B$33*SQRT(B284/1E6)+(2*PI()*B284*'入力・概要'!$B$6/(299792458*'入力・概要'!$B$31))*'入力・概要'!$B$32/2)</f>
        <v/>
      </c>
      <c r="E284" s="195">
        <f>IF(B284="","",2*PI()*B284*'入力・概要'!$B$6/(299792458*'入力・概要'!$B$31))</f>
        <v/>
      </c>
      <c r="F284" s="195">
        <f>IF(B284="","",SINH(2*D284)/(COSH(2*D284)+COS(2*E284)))</f>
        <v/>
      </c>
      <c r="G284" s="195">
        <f>IF(B284="","",SIN(2*E284)/(COSH(2*D284)+COS(2*E284)))</f>
        <v/>
      </c>
      <c r="H284" s="195">
        <f>IF(B284="","",'入力・概要'!$B$34)</f>
        <v/>
      </c>
      <c r="I284" s="195">
        <f>IF(B284="","",C284*'入力・概要'!$B$35*1E-9)</f>
        <v/>
      </c>
      <c r="J284" s="195">
        <f>IF(B284="","",H284+'入力・概要'!$B$30*F284)</f>
        <v/>
      </c>
      <c r="K284" s="195">
        <f>IF(B284="","",I284+'入力・概要'!$B$30*G284)</f>
        <v/>
      </c>
      <c r="L284" s="195">
        <f>IF(B284="","",'入力・概要'!$B$30+H284*F284-I284*G284)</f>
        <v/>
      </c>
      <c r="M284" s="195">
        <f>IF(B284="","",H284*G284+I284*F284)</f>
        <v/>
      </c>
      <c r="N284" s="195">
        <f>IF(B284="","",'入力・概要'!$B$30*(J284*L284+K284*M284)/(L284^2+M284^2))</f>
        <v/>
      </c>
      <c r="O284" s="195">
        <f>IF(B284="","",'入力・概要'!$B$30*(K284*L284-J284*M284)/(L284^2+M284^2))</f>
        <v/>
      </c>
      <c r="P284" s="195">
        <f>IF(B284="","",N284+'入力・概要'!$B$36)</f>
        <v/>
      </c>
      <c r="Q284" s="195">
        <f>IF(B284="","",O284+C284*'入力・概要'!$B$37*1E-9)</f>
        <v/>
      </c>
      <c r="R284" s="195">
        <f>IF(B284="","",SQRT(P284^2+Q284^2))</f>
        <v/>
      </c>
      <c r="S284" s="195">
        <f>IF(B284="","",IF(P284&gt;0,DEGREES(ATAN(Q284/P284)),IF(P284&lt;0,IF(Q284&gt;=0,DEGREES(ATAN(Q284/P284))+180,DEGREES(ATAN(Q284/P284))-180),IF(Q284&gt;0,90,IF(Q284&lt;0,-90,0)))))</f>
        <v/>
      </c>
      <c r="T284" s="195">
        <f>IF(B284="","",LOG10(B284))</f>
        <v/>
      </c>
      <c r="U284" s="195">
        <f>IF(R284="","",LOG10(MAX(R284,1E-12)))</f>
        <v/>
      </c>
    </row>
    <row r="285">
      <c r="A285" t="n">
        <v>282</v>
      </c>
      <c r="B285" s="196">
        <f>IF(A285&lt;='入力・概要'!$B$40,10^(LOG10('入力・概要'!$B$38)+(A285-1)*(LOG10('入力・概要'!$B$39)-LOG10('入力・概要'!$B$38))/('入力・概要'!$B$40-1)),"")</f>
        <v/>
      </c>
      <c r="C285" s="195">
        <f>IF(B285="","",2*PI()*B285)</f>
        <v/>
      </c>
      <c r="D285" s="195">
        <f>IF(B285="","",ATANH(MIN(0.999999,(2*'入力・概要'!$B$17*'入力・概要'!$B$6)/'入力・概要'!$B$30))+'入力・概要'!$B$33*SQRT(B285/1E6)+(2*PI()*B285*'入力・概要'!$B$6/(299792458*'入力・概要'!$B$31))*'入力・概要'!$B$32/2)</f>
        <v/>
      </c>
      <c r="E285" s="195">
        <f>IF(B285="","",2*PI()*B285*'入力・概要'!$B$6/(299792458*'入力・概要'!$B$31))</f>
        <v/>
      </c>
      <c r="F285" s="195">
        <f>IF(B285="","",SINH(2*D285)/(COSH(2*D285)+COS(2*E285)))</f>
        <v/>
      </c>
      <c r="G285" s="195">
        <f>IF(B285="","",SIN(2*E285)/(COSH(2*D285)+COS(2*E285)))</f>
        <v/>
      </c>
      <c r="H285" s="195">
        <f>IF(B285="","",'入力・概要'!$B$34)</f>
        <v/>
      </c>
      <c r="I285" s="195">
        <f>IF(B285="","",C285*'入力・概要'!$B$35*1E-9)</f>
        <v/>
      </c>
      <c r="J285" s="195">
        <f>IF(B285="","",H285+'入力・概要'!$B$30*F285)</f>
        <v/>
      </c>
      <c r="K285" s="195">
        <f>IF(B285="","",I285+'入力・概要'!$B$30*G285)</f>
        <v/>
      </c>
      <c r="L285" s="195">
        <f>IF(B285="","",'入力・概要'!$B$30+H285*F285-I285*G285)</f>
        <v/>
      </c>
      <c r="M285" s="195">
        <f>IF(B285="","",H285*G285+I285*F285)</f>
        <v/>
      </c>
      <c r="N285" s="195">
        <f>IF(B285="","",'入力・概要'!$B$30*(J285*L285+K285*M285)/(L285^2+M285^2))</f>
        <v/>
      </c>
      <c r="O285" s="195">
        <f>IF(B285="","",'入力・概要'!$B$30*(K285*L285-J285*M285)/(L285^2+M285^2))</f>
        <v/>
      </c>
      <c r="P285" s="195">
        <f>IF(B285="","",N285+'入力・概要'!$B$36)</f>
        <v/>
      </c>
      <c r="Q285" s="195">
        <f>IF(B285="","",O285+C285*'入力・概要'!$B$37*1E-9)</f>
        <v/>
      </c>
      <c r="R285" s="195">
        <f>IF(B285="","",SQRT(P285^2+Q285^2))</f>
        <v/>
      </c>
      <c r="S285" s="195">
        <f>IF(B285="","",IF(P285&gt;0,DEGREES(ATAN(Q285/P285)),IF(P285&lt;0,IF(Q285&gt;=0,DEGREES(ATAN(Q285/P285))+180,DEGREES(ATAN(Q285/P285))-180),IF(Q285&gt;0,90,IF(Q285&lt;0,-90,0)))))</f>
        <v/>
      </c>
      <c r="T285" s="195">
        <f>IF(B285="","",LOG10(B285))</f>
        <v/>
      </c>
      <c r="U285" s="195">
        <f>IF(R285="","",LOG10(MAX(R285,1E-12)))</f>
        <v/>
      </c>
    </row>
    <row r="286">
      <c r="A286" t="n">
        <v>283</v>
      </c>
      <c r="B286" s="196">
        <f>IF(A286&lt;='入力・概要'!$B$40,10^(LOG10('入力・概要'!$B$38)+(A286-1)*(LOG10('入力・概要'!$B$39)-LOG10('入力・概要'!$B$38))/('入力・概要'!$B$40-1)),"")</f>
        <v/>
      </c>
      <c r="C286" s="195">
        <f>IF(B286="","",2*PI()*B286)</f>
        <v/>
      </c>
      <c r="D286" s="195">
        <f>IF(B286="","",ATANH(MIN(0.999999,(2*'入力・概要'!$B$17*'入力・概要'!$B$6)/'入力・概要'!$B$30))+'入力・概要'!$B$33*SQRT(B286/1E6)+(2*PI()*B286*'入力・概要'!$B$6/(299792458*'入力・概要'!$B$31))*'入力・概要'!$B$32/2)</f>
        <v/>
      </c>
      <c r="E286" s="195">
        <f>IF(B286="","",2*PI()*B286*'入力・概要'!$B$6/(299792458*'入力・概要'!$B$31))</f>
        <v/>
      </c>
      <c r="F286" s="195">
        <f>IF(B286="","",SINH(2*D286)/(COSH(2*D286)+COS(2*E286)))</f>
        <v/>
      </c>
      <c r="G286" s="195">
        <f>IF(B286="","",SIN(2*E286)/(COSH(2*D286)+COS(2*E286)))</f>
        <v/>
      </c>
      <c r="H286" s="195">
        <f>IF(B286="","",'入力・概要'!$B$34)</f>
        <v/>
      </c>
      <c r="I286" s="195">
        <f>IF(B286="","",C286*'入力・概要'!$B$35*1E-9)</f>
        <v/>
      </c>
      <c r="J286" s="195">
        <f>IF(B286="","",H286+'入力・概要'!$B$30*F286)</f>
        <v/>
      </c>
      <c r="K286" s="195">
        <f>IF(B286="","",I286+'入力・概要'!$B$30*G286)</f>
        <v/>
      </c>
      <c r="L286" s="195">
        <f>IF(B286="","",'入力・概要'!$B$30+H286*F286-I286*G286)</f>
        <v/>
      </c>
      <c r="M286" s="195">
        <f>IF(B286="","",H286*G286+I286*F286)</f>
        <v/>
      </c>
      <c r="N286" s="195">
        <f>IF(B286="","",'入力・概要'!$B$30*(J286*L286+K286*M286)/(L286^2+M286^2))</f>
        <v/>
      </c>
      <c r="O286" s="195">
        <f>IF(B286="","",'入力・概要'!$B$30*(K286*L286-J286*M286)/(L286^2+M286^2))</f>
        <v/>
      </c>
      <c r="P286" s="195">
        <f>IF(B286="","",N286+'入力・概要'!$B$36)</f>
        <v/>
      </c>
      <c r="Q286" s="195">
        <f>IF(B286="","",O286+C286*'入力・概要'!$B$37*1E-9)</f>
        <v/>
      </c>
      <c r="R286" s="195">
        <f>IF(B286="","",SQRT(P286^2+Q286^2))</f>
        <v/>
      </c>
      <c r="S286" s="195">
        <f>IF(B286="","",IF(P286&gt;0,DEGREES(ATAN(Q286/P286)),IF(P286&lt;0,IF(Q286&gt;=0,DEGREES(ATAN(Q286/P286))+180,DEGREES(ATAN(Q286/P286))-180),IF(Q286&gt;0,90,IF(Q286&lt;0,-90,0)))))</f>
        <v/>
      </c>
      <c r="T286" s="195">
        <f>IF(B286="","",LOG10(B286))</f>
        <v/>
      </c>
      <c r="U286" s="195">
        <f>IF(R286="","",LOG10(MAX(R286,1E-12)))</f>
        <v/>
      </c>
    </row>
    <row r="287">
      <c r="A287" t="n">
        <v>284</v>
      </c>
      <c r="B287" s="196">
        <f>IF(A287&lt;='入力・概要'!$B$40,10^(LOG10('入力・概要'!$B$38)+(A287-1)*(LOG10('入力・概要'!$B$39)-LOG10('入力・概要'!$B$38))/('入力・概要'!$B$40-1)),"")</f>
        <v/>
      </c>
      <c r="C287" s="195">
        <f>IF(B287="","",2*PI()*B287)</f>
        <v/>
      </c>
      <c r="D287" s="195">
        <f>IF(B287="","",ATANH(MIN(0.999999,(2*'入力・概要'!$B$17*'入力・概要'!$B$6)/'入力・概要'!$B$30))+'入力・概要'!$B$33*SQRT(B287/1E6)+(2*PI()*B287*'入力・概要'!$B$6/(299792458*'入力・概要'!$B$31))*'入力・概要'!$B$32/2)</f>
        <v/>
      </c>
      <c r="E287" s="195">
        <f>IF(B287="","",2*PI()*B287*'入力・概要'!$B$6/(299792458*'入力・概要'!$B$31))</f>
        <v/>
      </c>
      <c r="F287" s="195">
        <f>IF(B287="","",SINH(2*D287)/(COSH(2*D287)+COS(2*E287)))</f>
        <v/>
      </c>
      <c r="G287" s="195">
        <f>IF(B287="","",SIN(2*E287)/(COSH(2*D287)+COS(2*E287)))</f>
        <v/>
      </c>
      <c r="H287" s="195">
        <f>IF(B287="","",'入力・概要'!$B$34)</f>
        <v/>
      </c>
      <c r="I287" s="195">
        <f>IF(B287="","",C287*'入力・概要'!$B$35*1E-9)</f>
        <v/>
      </c>
      <c r="J287" s="195">
        <f>IF(B287="","",H287+'入力・概要'!$B$30*F287)</f>
        <v/>
      </c>
      <c r="K287" s="195">
        <f>IF(B287="","",I287+'入力・概要'!$B$30*G287)</f>
        <v/>
      </c>
      <c r="L287" s="195">
        <f>IF(B287="","",'入力・概要'!$B$30+H287*F287-I287*G287)</f>
        <v/>
      </c>
      <c r="M287" s="195">
        <f>IF(B287="","",H287*G287+I287*F287)</f>
        <v/>
      </c>
      <c r="N287" s="195">
        <f>IF(B287="","",'入力・概要'!$B$30*(J287*L287+K287*M287)/(L287^2+M287^2))</f>
        <v/>
      </c>
      <c r="O287" s="195">
        <f>IF(B287="","",'入力・概要'!$B$30*(K287*L287-J287*M287)/(L287^2+M287^2))</f>
        <v/>
      </c>
      <c r="P287" s="195">
        <f>IF(B287="","",N287+'入力・概要'!$B$36)</f>
        <v/>
      </c>
      <c r="Q287" s="195">
        <f>IF(B287="","",O287+C287*'入力・概要'!$B$37*1E-9)</f>
        <v/>
      </c>
      <c r="R287" s="195">
        <f>IF(B287="","",SQRT(P287^2+Q287^2))</f>
        <v/>
      </c>
      <c r="S287" s="195">
        <f>IF(B287="","",IF(P287&gt;0,DEGREES(ATAN(Q287/P287)),IF(P287&lt;0,IF(Q287&gt;=0,DEGREES(ATAN(Q287/P287))+180,DEGREES(ATAN(Q287/P287))-180),IF(Q287&gt;0,90,IF(Q287&lt;0,-90,0)))))</f>
        <v/>
      </c>
      <c r="T287" s="195">
        <f>IF(B287="","",LOG10(B287))</f>
        <v/>
      </c>
      <c r="U287" s="195">
        <f>IF(R287="","",LOG10(MAX(R287,1E-12)))</f>
        <v/>
      </c>
    </row>
    <row r="288">
      <c r="A288" t="n">
        <v>285</v>
      </c>
      <c r="B288" s="196">
        <f>IF(A288&lt;='入力・概要'!$B$40,10^(LOG10('入力・概要'!$B$38)+(A288-1)*(LOG10('入力・概要'!$B$39)-LOG10('入力・概要'!$B$38))/('入力・概要'!$B$40-1)),"")</f>
        <v/>
      </c>
      <c r="C288" s="195">
        <f>IF(B288="","",2*PI()*B288)</f>
        <v/>
      </c>
      <c r="D288" s="195">
        <f>IF(B288="","",ATANH(MIN(0.999999,(2*'入力・概要'!$B$17*'入力・概要'!$B$6)/'入力・概要'!$B$30))+'入力・概要'!$B$33*SQRT(B288/1E6)+(2*PI()*B288*'入力・概要'!$B$6/(299792458*'入力・概要'!$B$31))*'入力・概要'!$B$32/2)</f>
        <v/>
      </c>
      <c r="E288" s="195">
        <f>IF(B288="","",2*PI()*B288*'入力・概要'!$B$6/(299792458*'入力・概要'!$B$31))</f>
        <v/>
      </c>
      <c r="F288" s="195">
        <f>IF(B288="","",SINH(2*D288)/(COSH(2*D288)+COS(2*E288)))</f>
        <v/>
      </c>
      <c r="G288" s="195">
        <f>IF(B288="","",SIN(2*E288)/(COSH(2*D288)+COS(2*E288)))</f>
        <v/>
      </c>
      <c r="H288" s="195">
        <f>IF(B288="","",'入力・概要'!$B$34)</f>
        <v/>
      </c>
      <c r="I288" s="195">
        <f>IF(B288="","",C288*'入力・概要'!$B$35*1E-9)</f>
        <v/>
      </c>
      <c r="J288" s="195">
        <f>IF(B288="","",H288+'入力・概要'!$B$30*F288)</f>
        <v/>
      </c>
      <c r="K288" s="195">
        <f>IF(B288="","",I288+'入力・概要'!$B$30*G288)</f>
        <v/>
      </c>
      <c r="L288" s="195">
        <f>IF(B288="","",'入力・概要'!$B$30+H288*F288-I288*G288)</f>
        <v/>
      </c>
      <c r="M288" s="195">
        <f>IF(B288="","",H288*G288+I288*F288)</f>
        <v/>
      </c>
      <c r="N288" s="195">
        <f>IF(B288="","",'入力・概要'!$B$30*(J288*L288+K288*M288)/(L288^2+M288^2))</f>
        <v/>
      </c>
      <c r="O288" s="195">
        <f>IF(B288="","",'入力・概要'!$B$30*(K288*L288-J288*M288)/(L288^2+M288^2))</f>
        <v/>
      </c>
      <c r="P288" s="195">
        <f>IF(B288="","",N288+'入力・概要'!$B$36)</f>
        <v/>
      </c>
      <c r="Q288" s="195">
        <f>IF(B288="","",O288+C288*'入力・概要'!$B$37*1E-9)</f>
        <v/>
      </c>
      <c r="R288" s="195">
        <f>IF(B288="","",SQRT(P288^2+Q288^2))</f>
        <v/>
      </c>
      <c r="S288" s="195">
        <f>IF(B288="","",IF(P288&gt;0,DEGREES(ATAN(Q288/P288)),IF(P288&lt;0,IF(Q288&gt;=0,DEGREES(ATAN(Q288/P288))+180,DEGREES(ATAN(Q288/P288))-180),IF(Q288&gt;0,90,IF(Q288&lt;0,-90,0)))))</f>
        <v/>
      </c>
      <c r="T288" s="195">
        <f>IF(B288="","",LOG10(B288))</f>
        <v/>
      </c>
      <c r="U288" s="195">
        <f>IF(R288="","",LOG10(MAX(R288,1E-12)))</f>
        <v/>
      </c>
    </row>
    <row r="289">
      <c r="A289" t="n">
        <v>286</v>
      </c>
      <c r="B289" s="196">
        <f>IF(A289&lt;='入力・概要'!$B$40,10^(LOG10('入力・概要'!$B$38)+(A289-1)*(LOG10('入力・概要'!$B$39)-LOG10('入力・概要'!$B$38))/('入力・概要'!$B$40-1)),"")</f>
        <v/>
      </c>
      <c r="C289" s="195">
        <f>IF(B289="","",2*PI()*B289)</f>
        <v/>
      </c>
      <c r="D289" s="195">
        <f>IF(B289="","",ATANH(MIN(0.999999,(2*'入力・概要'!$B$17*'入力・概要'!$B$6)/'入力・概要'!$B$30))+'入力・概要'!$B$33*SQRT(B289/1E6)+(2*PI()*B289*'入力・概要'!$B$6/(299792458*'入力・概要'!$B$31))*'入力・概要'!$B$32/2)</f>
        <v/>
      </c>
      <c r="E289" s="195">
        <f>IF(B289="","",2*PI()*B289*'入力・概要'!$B$6/(299792458*'入力・概要'!$B$31))</f>
        <v/>
      </c>
      <c r="F289" s="195">
        <f>IF(B289="","",SINH(2*D289)/(COSH(2*D289)+COS(2*E289)))</f>
        <v/>
      </c>
      <c r="G289" s="195">
        <f>IF(B289="","",SIN(2*E289)/(COSH(2*D289)+COS(2*E289)))</f>
        <v/>
      </c>
      <c r="H289" s="195">
        <f>IF(B289="","",'入力・概要'!$B$34)</f>
        <v/>
      </c>
      <c r="I289" s="195">
        <f>IF(B289="","",C289*'入力・概要'!$B$35*1E-9)</f>
        <v/>
      </c>
      <c r="J289" s="195">
        <f>IF(B289="","",H289+'入力・概要'!$B$30*F289)</f>
        <v/>
      </c>
      <c r="K289" s="195">
        <f>IF(B289="","",I289+'入力・概要'!$B$30*G289)</f>
        <v/>
      </c>
      <c r="L289" s="195">
        <f>IF(B289="","",'入力・概要'!$B$30+H289*F289-I289*G289)</f>
        <v/>
      </c>
      <c r="M289" s="195">
        <f>IF(B289="","",H289*G289+I289*F289)</f>
        <v/>
      </c>
      <c r="N289" s="195">
        <f>IF(B289="","",'入力・概要'!$B$30*(J289*L289+K289*M289)/(L289^2+M289^2))</f>
        <v/>
      </c>
      <c r="O289" s="195">
        <f>IF(B289="","",'入力・概要'!$B$30*(K289*L289-J289*M289)/(L289^2+M289^2))</f>
        <v/>
      </c>
      <c r="P289" s="195">
        <f>IF(B289="","",N289+'入力・概要'!$B$36)</f>
        <v/>
      </c>
      <c r="Q289" s="195">
        <f>IF(B289="","",O289+C289*'入力・概要'!$B$37*1E-9)</f>
        <v/>
      </c>
      <c r="R289" s="195">
        <f>IF(B289="","",SQRT(P289^2+Q289^2))</f>
        <v/>
      </c>
      <c r="S289" s="195">
        <f>IF(B289="","",IF(P289&gt;0,DEGREES(ATAN(Q289/P289)),IF(P289&lt;0,IF(Q289&gt;=0,DEGREES(ATAN(Q289/P289))+180,DEGREES(ATAN(Q289/P289))-180),IF(Q289&gt;0,90,IF(Q289&lt;0,-90,0)))))</f>
        <v/>
      </c>
      <c r="T289" s="195">
        <f>IF(B289="","",LOG10(B289))</f>
        <v/>
      </c>
      <c r="U289" s="195">
        <f>IF(R289="","",LOG10(MAX(R289,1E-12)))</f>
        <v/>
      </c>
    </row>
    <row r="290">
      <c r="A290" t="n">
        <v>287</v>
      </c>
      <c r="B290" s="196">
        <f>IF(A290&lt;='入力・概要'!$B$40,10^(LOG10('入力・概要'!$B$38)+(A290-1)*(LOG10('入力・概要'!$B$39)-LOG10('入力・概要'!$B$38))/('入力・概要'!$B$40-1)),"")</f>
        <v/>
      </c>
      <c r="C290" s="195">
        <f>IF(B290="","",2*PI()*B290)</f>
        <v/>
      </c>
      <c r="D290" s="195">
        <f>IF(B290="","",ATANH(MIN(0.999999,(2*'入力・概要'!$B$17*'入力・概要'!$B$6)/'入力・概要'!$B$30))+'入力・概要'!$B$33*SQRT(B290/1E6)+(2*PI()*B290*'入力・概要'!$B$6/(299792458*'入力・概要'!$B$31))*'入力・概要'!$B$32/2)</f>
        <v/>
      </c>
      <c r="E290" s="195">
        <f>IF(B290="","",2*PI()*B290*'入力・概要'!$B$6/(299792458*'入力・概要'!$B$31))</f>
        <v/>
      </c>
      <c r="F290" s="195">
        <f>IF(B290="","",SINH(2*D290)/(COSH(2*D290)+COS(2*E290)))</f>
        <v/>
      </c>
      <c r="G290" s="195">
        <f>IF(B290="","",SIN(2*E290)/(COSH(2*D290)+COS(2*E290)))</f>
        <v/>
      </c>
      <c r="H290" s="195">
        <f>IF(B290="","",'入力・概要'!$B$34)</f>
        <v/>
      </c>
      <c r="I290" s="195">
        <f>IF(B290="","",C290*'入力・概要'!$B$35*1E-9)</f>
        <v/>
      </c>
      <c r="J290" s="195">
        <f>IF(B290="","",H290+'入力・概要'!$B$30*F290)</f>
        <v/>
      </c>
      <c r="K290" s="195">
        <f>IF(B290="","",I290+'入力・概要'!$B$30*G290)</f>
        <v/>
      </c>
      <c r="L290" s="195">
        <f>IF(B290="","",'入力・概要'!$B$30+H290*F290-I290*G290)</f>
        <v/>
      </c>
      <c r="M290" s="195">
        <f>IF(B290="","",H290*G290+I290*F290)</f>
        <v/>
      </c>
      <c r="N290" s="195">
        <f>IF(B290="","",'入力・概要'!$B$30*(J290*L290+K290*M290)/(L290^2+M290^2))</f>
        <v/>
      </c>
      <c r="O290" s="195">
        <f>IF(B290="","",'入力・概要'!$B$30*(K290*L290-J290*M290)/(L290^2+M290^2))</f>
        <v/>
      </c>
      <c r="P290" s="195">
        <f>IF(B290="","",N290+'入力・概要'!$B$36)</f>
        <v/>
      </c>
      <c r="Q290" s="195">
        <f>IF(B290="","",O290+C290*'入力・概要'!$B$37*1E-9)</f>
        <v/>
      </c>
      <c r="R290" s="195">
        <f>IF(B290="","",SQRT(P290^2+Q290^2))</f>
        <v/>
      </c>
      <c r="S290" s="195">
        <f>IF(B290="","",IF(P290&gt;0,DEGREES(ATAN(Q290/P290)),IF(P290&lt;0,IF(Q290&gt;=0,DEGREES(ATAN(Q290/P290))+180,DEGREES(ATAN(Q290/P290))-180),IF(Q290&gt;0,90,IF(Q290&lt;0,-90,0)))))</f>
        <v/>
      </c>
      <c r="T290" s="195">
        <f>IF(B290="","",LOG10(B290))</f>
        <v/>
      </c>
      <c r="U290" s="195">
        <f>IF(R290="","",LOG10(MAX(R290,1E-12)))</f>
        <v/>
      </c>
    </row>
    <row r="291">
      <c r="A291" t="n">
        <v>288</v>
      </c>
      <c r="B291" s="196">
        <f>IF(A291&lt;='入力・概要'!$B$40,10^(LOG10('入力・概要'!$B$38)+(A291-1)*(LOG10('入力・概要'!$B$39)-LOG10('入力・概要'!$B$38))/('入力・概要'!$B$40-1)),"")</f>
        <v/>
      </c>
      <c r="C291" s="195">
        <f>IF(B291="","",2*PI()*B291)</f>
        <v/>
      </c>
      <c r="D291" s="195">
        <f>IF(B291="","",ATANH(MIN(0.999999,(2*'入力・概要'!$B$17*'入力・概要'!$B$6)/'入力・概要'!$B$30))+'入力・概要'!$B$33*SQRT(B291/1E6)+(2*PI()*B291*'入力・概要'!$B$6/(299792458*'入力・概要'!$B$31))*'入力・概要'!$B$32/2)</f>
        <v/>
      </c>
      <c r="E291" s="195">
        <f>IF(B291="","",2*PI()*B291*'入力・概要'!$B$6/(299792458*'入力・概要'!$B$31))</f>
        <v/>
      </c>
      <c r="F291" s="195">
        <f>IF(B291="","",SINH(2*D291)/(COSH(2*D291)+COS(2*E291)))</f>
        <v/>
      </c>
      <c r="G291" s="195">
        <f>IF(B291="","",SIN(2*E291)/(COSH(2*D291)+COS(2*E291)))</f>
        <v/>
      </c>
      <c r="H291" s="195">
        <f>IF(B291="","",'入力・概要'!$B$34)</f>
        <v/>
      </c>
      <c r="I291" s="195">
        <f>IF(B291="","",C291*'入力・概要'!$B$35*1E-9)</f>
        <v/>
      </c>
      <c r="J291" s="195">
        <f>IF(B291="","",H291+'入力・概要'!$B$30*F291)</f>
        <v/>
      </c>
      <c r="K291" s="195">
        <f>IF(B291="","",I291+'入力・概要'!$B$30*G291)</f>
        <v/>
      </c>
      <c r="L291" s="195">
        <f>IF(B291="","",'入力・概要'!$B$30+H291*F291-I291*G291)</f>
        <v/>
      </c>
      <c r="M291" s="195">
        <f>IF(B291="","",H291*G291+I291*F291)</f>
        <v/>
      </c>
      <c r="N291" s="195">
        <f>IF(B291="","",'入力・概要'!$B$30*(J291*L291+K291*M291)/(L291^2+M291^2))</f>
        <v/>
      </c>
      <c r="O291" s="195">
        <f>IF(B291="","",'入力・概要'!$B$30*(K291*L291-J291*M291)/(L291^2+M291^2))</f>
        <v/>
      </c>
      <c r="P291" s="195">
        <f>IF(B291="","",N291+'入力・概要'!$B$36)</f>
        <v/>
      </c>
      <c r="Q291" s="195">
        <f>IF(B291="","",O291+C291*'入力・概要'!$B$37*1E-9)</f>
        <v/>
      </c>
      <c r="R291" s="195">
        <f>IF(B291="","",SQRT(P291^2+Q291^2))</f>
        <v/>
      </c>
      <c r="S291" s="195">
        <f>IF(B291="","",IF(P291&gt;0,DEGREES(ATAN(Q291/P291)),IF(P291&lt;0,IF(Q291&gt;=0,DEGREES(ATAN(Q291/P291))+180,DEGREES(ATAN(Q291/P291))-180),IF(Q291&gt;0,90,IF(Q291&lt;0,-90,0)))))</f>
        <v/>
      </c>
      <c r="T291" s="195">
        <f>IF(B291="","",LOG10(B291))</f>
        <v/>
      </c>
      <c r="U291" s="195">
        <f>IF(R291="","",LOG10(MAX(R291,1E-12)))</f>
        <v/>
      </c>
    </row>
    <row r="292">
      <c r="A292" t="n">
        <v>289</v>
      </c>
      <c r="B292" s="196">
        <f>IF(A292&lt;='入力・概要'!$B$40,10^(LOG10('入力・概要'!$B$38)+(A292-1)*(LOG10('入力・概要'!$B$39)-LOG10('入力・概要'!$B$38))/('入力・概要'!$B$40-1)),"")</f>
        <v/>
      </c>
      <c r="C292" s="195">
        <f>IF(B292="","",2*PI()*B292)</f>
        <v/>
      </c>
      <c r="D292" s="195">
        <f>IF(B292="","",ATANH(MIN(0.999999,(2*'入力・概要'!$B$17*'入力・概要'!$B$6)/'入力・概要'!$B$30))+'入力・概要'!$B$33*SQRT(B292/1E6)+(2*PI()*B292*'入力・概要'!$B$6/(299792458*'入力・概要'!$B$31))*'入力・概要'!$B$32/2)</f>
        <v/>
      </c>
      <c r="E292" s="195">
        <f>IF(B292="","",2*PI()*B292*'入力・概要'!$B$6/(299792458*'入力・概要'!$B$31))</f>
        <v/>
      </c>
      <c r="F292" s="195">
        <f>IF(B292="","",SINH(2*D292)/(COSH(2*D292)+COS(2*E292)))</f>
        <v/>
      </c>
      <c r="G292" s="195">
        <f>IF(B292="","",SIN(2*E292)/(COSH(2*D292)+COS(2*E292)))</f>
        <v/>
      </c>
      <c r="H292" s="195">
        <f>IF(B292="","",'入力・概要'!$B$34)</f>
        <v/>
      </c>
      <c r="I292" s="195">
        <f>IF(B292="","",C292*'入力・概要'!$B$35*1E-9)</f>
        <v/>
      </c>
      <c r="J292" s="195">
        <f>IF(B292="","",H292+'入力・概要'!$B$30*F292)</f>
        <v/>
      </c>
      <c r="K292" s="195">
        <f>IF(B292="","",I292+'入力・概要'!$B$30*G292)</f>
        <v/>
      </c>
      <c r="L292" s="195">
        <f>IF(B292="","",'入力・概要'!$B$30+H292*F292-I292*G292)</f>
        <v/>
      </c>
      <c r="M292" s="195">
        <f>IF(B292="","",H292*G292+I292*F292)</f>
        <v/>
      </c>
      <c r="N292" s="195">
        <f>IF(B292="","",'入力・概要'!$B$30*(J292*L292+K292*M292)/(L292^2+M292^2))</f>
        <v/>
      </c>
      <c r="O292" s="195">
        <f>IF(B292="","",'入力・概要'!$B$30*(K292*L292-J292*M292)/(L292^2+M292^2))</f>
        <v/>
      </c>
      <c r="P292" s="195">
        <f>IF(B292="","",N292+'入力・概要'!$B$36)</f>
        <v/>
      </c>
      <c r="Q292" s="195">
        <f>IF(B292="","",O292+C292*'入力・概要'!$B$37*1E-9)</f>
        <v/>
      </c>
      <c r="R292" s="195">
        <f>IF(B292="","",SQRT(P292^2+Q292^2))</f>
        <v/>
      </c>
      <c r="S292" s="195">
        <f>IF(B292="","",IF(P292&gt;0,DEGREES(ATAN(Q292/P292)),IF(P292&lt;0,IF(Q292&gt;=0,DEGREES(ATAN(Q292/P292))+180,DEGREES(ATAN(Q292/P292))-180),IF(Q292&gt;0,90,IF(Q292&lt;0,-90,0)))))</f>
        <v/>
      </c>
      <c r="T292" s="195">
        <f>IF(B292="","",LOG10(B292))</f>
        <v/>
      </c>
      <c r="U292" s="195">
        <f>IF(R292="","",LOG10(MAX(R292,1E-12)))</f>
        <v/>
      </c>
    </row>
    <row r="293">
      <c r="A293" t="n">
        <v>290</v>
      </c>
      <c r="B293" s="196">
        <f>IF(A293&lt;='入力・概要'!$B$40,10^(LOG10('入力・概要'!$B$38)+(A293-1)*(LOG10('入力・概要'!$B$39)-LOG10('入力・概要'!$B$38))/('入力・概要'!$B$40-1)),"")</f>
        <v/>
      </c>
      <c r="C293" s="195">
        <f>IF(B293="","",2*PI()*B293)</f>
        <v/>
      </c>
      <c r="D293" s="195">
        <f>IF(B293="","",ATANH(MIN(0.999999,(2*'入力・概要'!$B$17*'入力・概要'!$B$6)/'入力・概要'!$B$30))+'入力・概要'!$B$33*SQRT(B293/1E6)+(2*PI()*B293*'入力・概要'!$B$6/(299792458*'入力・概要'!$B$31))*'入力・概要'!$B$32/2)</f>
        <v/>
      </c>
      <c r="E293" s="195">
        <f>IF(B293="","",2*PI()*B293*'入力・概要'!$B$6/(299792458*'入力・概要'!$B$31))</f>
        <v/>
      </c>
      <c r="F293" s="195">
        <f>IF(B293="","",SINH(2*D293)/(COSH(2*D293)+COS(2*E293)))</f>
        <v/>
      </c>
      <c r="G293" s="195">
        <f>IF(B293="","",SIN(2*E293)/(COSH(2*D293)+COS(2*E293)))</f>
        <v/>
      </c>
      <c r="H293" s="195">
        <f>IF(B293="","",'入力・概要'!$B$34)</f>
        <v/>
      </c>
      <c r="I293" s="195">
        <f>IF(B293="","",C293*'入力・概要'!$B$35*1E-9)</f>
        <v/>
      </c>
      <c r="J293" s="195">
        <f>IF(B293="","",H293+'入力・概要'!$B$30*F293)</f>
        <v/>
      </c>
      <c r="K293" s="195">
        <f>IF(B293="","",I293+'入力・概要'!$B$30*G293)</f>
        <v/>
      </c>
      <c r="L293" s="195">
        <f>IF(B293="","",'入力・概要'!$B$30+H293*F293-I293*G293)</f>
        <v/>
      </c>
      <c r="M293" s="195">
        <f>IF(B293="","",H293*G293+I293*F293)</f>
        <v/>
      </c>
      <c r="N293" s="195">
        <f>IF(B293="","",'入力・概要'!$B$30*(J293*L293+K293*M293)/(L293^2+M293^2))</f>
        <v/>
      </c>
      <c r="O293" s="195">
        <f>IF(B293="","",'入力・概要'!$B$30*(K293*L293-J293*M293)/(L293^2+M293^2))</f>
        <v/>
      </c>
      <c r="P293" s="195">
        <f>IF(B293="","",N293+'入力・概要'!$B$36)</f>
        <v/>
      </c>
      <c r="Q293" s="195">
        <f>IF(B293="","",O293+C293*'入力・概要'!$B$37*1E-9)</f>
        <v/>
      </c>
      <c r="R293" s="195">
        <f>IF(B293="","",SQRT(P293^2+Q293^2))</f>
        <v/>
      </c>
      <c r="S293" s="195">
        <f>IF(B293="","",IF(P293&gt;0,DEGREES(ATAN(Q293/P293)),IF(P293&lt;0,IF(Q293&gt;=0,DEGREES(ATAN(Q293/P293))+180,DEGREES(ATAN(Q293/P293))-180),IF(Q293&gt;0,90,IF(Q293&lt;0,-90,0)))))</f>
        <v/>
      </c>
      <c r="T293" s="195">
        <f>IF(B293="","",LOG10(B293))</f>
        <v/>
      </c>
      <c r="U293" s="195">
        <f>IF(R293="","",LOG10(MAX(R293,1E-12)))</f>
        <v/>
      </c>
    </row>
    <row r="294">
      <c r="A294" t="n">
        <v>291</v>
      </c>
      <c r="B294" s="196">
        <f>IF(A294&lt;='入力・概要'!$B$40,10^(LOG10('入力・概要'!$B$38)+(A294-1)*(LOG10('入力・概要'!$B$39)-LOG10('入力・概要'!$B$38))/('入力・概要'!$B$40-1)),"")</f>
        <v/>
      </c>
      <c r="C294" s="195">
        <f>IF(B294="","",2*PI()*B294)</f>
        <v/>
      </c>
      <c r="D294" s="195">
        <f>IF(B294="","",ATANH(MIN(0.999999,(2*'入力・概要'!$B$17*'入力・概要'!$B$6)/'入力・概要'!$B$30))+'入力・概要'!$B$33*SQRT(B294/1E6)+(2*PI()*B294*'入力・概要'!$B$6/(299792458*'入力・概要'!$B$31))*'入力・概要'!$B$32/2)</f>
        <v/>
      </c>
      <c r="E294" s="195">
        <f>IF(B294="","",2*PI()*B294*'入力・概要'!$B$6/(299792458*'入力・概要'!$B$31))</f>
        <v/>
      </c>
      <c r="F294" s="195">
        <f>IF(B294="","",SINH(2*D294)/(COSH(2*D294)+COS(2*E294)))</f>
        <v/>
      </c>
      <c r="G294" s="195">
        <f>IF(B294="","",SIN(2*E294)/(COSH(2*D294)+COS(2*E294)))</f>
        <v/>
      </c>
      <c r="H294" s="195">
        <f>IF(B294="","",'入力・概要'!$B$34)</f>
        <v/>
      </c>
      <c r="I294" s="195">
        <f>IF(B294="","",C294*'入力・概要'!$B$35*1E-9)</f>
        <v/>
      </c>
      <c r="J294" s="195">
        <f>IF(B294="","",H294+'入力・概要'!$B$30*F294)</f>
        <v/>
      </c>
      <c r="K294" s="195">
        <f>IF(B294="","",I294+'入力・概要'!$B$30*G294)</f>
        <v/>
      </c>
      <c r="L294" s="195">
        <f>IF(B294="","",'入力・概要'!$B$30+H294*F294-I294*G294)</f>
        <v/>
      </c>
      <c r="M294" s="195">
        <f>IF(B294="","",H294*G294+I294*F294)</f>
        <v/>
      </c>
      <c r="N294" s="195">
        <f>IF(B294="","",'入力・概要'!$B$30*(J294*L294+K294*M294)/(L294^2+M294^2))</f>
        <v/>
      </c>
      <c r="O294" s="195">
        <f>IF(B294="","",'入力・概要'!$B$30*(K294*L294-J294*M294)/(L294^2+M294^2))</f>
        <v/>
      </c>
      <c r="P294" s="195">
        <f>IF(B294="","",N294+'入力・概要'!$B$36)</f>
        <v/>
      </c>
      <c r="Q294" s="195">
        <f>IF(B294="","",O294+C294*'入力・概要'!$B$37*1E-9)</f>
        <v/>
      </c>
      <c r="R294" s="195">
        <f>IF(B294="","",SQRT(P294^2+Q294^2))</f>
        <v/>
      </c>
      <c r="S294" s="195">
        <f>IF(B294="","",IF(P294&gt;0,DEGREES(ATAN(Q294/P294)),IF(P294&lt;0,IF(Q294&gt;=0,DEGREES(ATAN(Q294/P294))+180,DEGREES(ATAN(Q294/P294))-180),IF(Q294&gt;0,90,IF(Q294&lt;0,-90,0)))))</f>
        <v/>
      </c>
      <c r="T294" s="195">
        <f>IF(B294="","",LOG10(B294))</f>
        <v/>
      </c>
      <c r="U294" s="195">
        <f>IF(R294="","",LOG10(MAX(R294,1E-12)))</f>
        <v/>
      </c>
    </row>
    <row r="295">
      <c r="A295" t="n">
        <v>292</v>
      </c>
      <c r="B295" s="196">
        <f>IF(A295&lt;='入力・概要'!$B$40,10^(LOG10('入力・概要'!$B$38)+(A295-1)*(LOG10('入力・概要'!$B$39)-LOG10('入力・概要'!$B$38))/('入力・概要'!$B$40-1)),"")</f>
        <v/>
      </c>
      <c r="C295" s="195">
        <f>IF(B295="","",2*PI()*B295)</f>
        <v/>
      </c>
      <c r="D295" s="195">
        <f>IF(B295="","",ATANH(MIN(0.999999,(2*'入力・概要'!$B$17*'入力・概要'!$B$6)/'入力・概要'!$B$30))+'入力・概要'!$B$33*SQRT(B295/1E6)+(2*PI()*B295*'入力・概要'!$B$6/(299792458*'入力・概要'!$B$31))*'入力・概要'!$B$32/2)</f>
        <v/>
      </c>
      <c r="E295" s="195">
        <f>IF(B295="","",2*PI()*B295*'入力・概要'!$B$6/(299792458*'入力・概要'!$B$31))</f>
        <v/>
      </c>
      <c r="F295" s="195">
        <f>IF(B295="","",SINH(2*D295)/(COSH(2*D295)+COS(2*E295)))</f>
        <v/>
      </c>
      <c r="G295" s="195">
        <f>IF(B295="","",SIN(2*E295)/(COSH(2*D295)+COS(2*E295)))</f>
        <v/>
      </c>
      <c r="H295" s="195">
        <f>IF(B295="","",'入力・概要'!$B$34)</f>
        <v/>
      </c>
      <c r="I295" s="195">
        <f>IF(B295="","",C295*'入力・概要'!$B$35*1E-9)</f>
        <v/>
      </c>
      <c r="J295" s="195">
        <f>IF(B295="","",H295+'入力・概要'!$B$30*F295)</f>
        <v/>
      </c>
      <c r="K295" s="195">
        <f>IF(B295="","",I295+'入力・概要'!$B$30*G295)</f>
        <v/>
      </c>
      <c r="L295" s="195">
        <f>IF(B295="","",'入力・概要'!$B$30+H295*F295-I295*G295)</f>
        <v/>
      </c>
      <c r="M295" s="195">
        <f>IF(B295="","",H295*G295+I295*F295)</f>
        <v/>
      </c>
      <c r="N295" s="195">
        <f>IF(B295="","",'入力・概要'!$B$30*(J295*L295+K295*M295)/(L295^2+M295^2))</f>
        <v/>
      </c>
      <c r="O295" s="195">
        <f>IF(B295="","",'入力・概要'!$B$30*(K295*L295-J295*M295)/(L295^2+M295^2))</f>
        <v/>
      </c>
      <c r="P295" s="195">
        <f>IF(B295="","",N295+'入力・概要'!$B$36)</f>
        <v/>
      </c>
      <c r="Q295" s="195">
        <f>IF(B295="","",O295+C295*'入力・概要'!$B$37*1E-9)</f>
        <v/>
      </c>
      <c r="R295" s="195">
        <f>IF(B295="","",SQRT(P295^2+Q295^2))</f>
        <v/>
      </c>
      <c r="S295" s="195">
        <f>IF(B295="","",IF(P295&gt;0,DEGREES(ATAN(Q295/P295)),IF(P295&lt;0,IF(Q295&gt;=0,DEGREES(ATAN(Q295/P295))+180,DEGREES(ATAN(Q295/P295))-180),IF(Q295&gt;0,90,IF(Q295&lt;0,-90,0)))))</f>
        <v/>
      </c>
      <c r="T295" s="195">
        <f>IF(B295="","",LOG10(B295))</f>
        <v/>
      </c>
      <c r="U295" s="195">
        <f>IF(R295="","",LOG10(MAX(R295,1E-12)))</f>
        <v/>
      </c>
    </row>
    <row r="296">
      <c r="A296" t="n">
        <v>293</v>
      </c>
      <c r="B296" s="196">
        <f>IF(A296&lt;='入力・概要'!$B$40,10^(LOG10('入力・概要'!$B$38)+(A296-1)*(LOG10('入力・概要'!$B$39)-LOG10('入力・概要'!$B$38))/('入力・概要'!$B$40-1)),"")</f>
        <v/>
      </c>
      <c r="C296" s="195">
        <f>IF(B296="","",2*PI()*B296)</f>
        <v/>
      </c>
      <c r="D296" s="195">
        <f>IF(B296="","",ATANH(MIN(0.999999,(2*'入力・概要'!$B$17*'入力・概要'!$B$6)/'入力・概要'!$B$30))+'入力・概要'!$B$33*SQRT(B296/1E6)+(2*PI()*B296*'入力・概要'!$B$6/(299792458*'入力・概要'!$B$31))*'入力・概要'!$B$32/2)</f>
        <v/>
      </c>
      <c r="E296" s="195">
        <f>IF(B296="","",2*PI()*B296*'入力・概要'!$B$6/(299792458*'入力・概要'!$B$31))</f>
        <v/>
      </c>
      <c r="F296" s="195">
        <f>IF(B296="","",SINH(2*D296)/(COSH(2*D296)+COS(2*E296)))</f>
        <v/>
      </c>
      <c r="G296" s="195">
        <f>IF(B296="","",SIN(2*E296)/(COSH(2*D296)+COS(2*E296)))</f>
        <v/>
      </c>
      <c r="H296" s="195">
        <f>IF(B296="","",'入力・概要'!$B$34)</f>
        <v/>
      </c>
      <c r="I296" s="195">
        <f>IF(B296="","",C296*'入力・概要'!$B$35*1E-9)</f>
        <v/>
      </c>
      <c r="J296" s="195">
        <f>IF(B296="","",H296+'入力・概要'!$B$30*F296)</f>
        <v/>
      </c>
      <c r="K296" s="195">
        <f>IF(B296="","",I296+'入力・概要'!$B$30*G296)</f>
        <v/>
      </c>
      <c r="L296" s="195">
        <f>IF(B296="","",'入力・概要'!$B$30+H296*F296-I296*G296)</f>
        <v/>
      </c>
      <c r="M296" s="195">
        <f>IF(B296="","",H296*G296+I296*F296)</f>
        <v/>
      </c>
      <c r="N296" s="195">
        <f>IF(B296="","",'入力・概要'!$B$30*(J296*L296+K296*M296)/(L296^2+M296^2))</f>
        <v/>
      </c>
      <c r="O296" s="195">
        <f>IF(B296="","",'入力・概要'!$B$30*(K296*L296-J296*M296)/(L296^2+M296^2))</f>
        <v/>
      </c>
      <c r="P296" s="195">
        <f>IF(B296="","",N296+'入力・概要'!$B$36)</f>
        <v/>
      </c>
      <c r="Q296" s="195">
        <f>IF(B296="","",O296+C296*'入力・概要'!$B$37*1E-9)</f>
        <v/>
      </c>
      <c r="R296" s="195">
        <f>IF(B296="","",SQRT(P296^2+Q296^2))</f>
        <v/>
      </c>
      <c r="S296" s="195">
        <f>IF(B296="","",IF(P296&gt;0,DEGREES(ATAN(Q296/P296)),IF(P296&lt;0,IF(Q296&gt;=0,DEGREES(ATAN(Q296/P296))+180,DEGREES(ATAN(Q296/P296))-180),IF(Q296&gt;0,90,IF(Q296&lt;0,-90,0)))))</f>
        <v/>
      </c>
      <c r="T296" s="195">
        <f>IF(B296="","",LOG10(B296))</f>
        <v/>
      </c>
      <c r="U296" s="195">
        <f>IF(R296="","",LOG10(MAX(R296,1E-12)))</f>
        <v/>
      </c>
    </row>
    <row r="297">
      <c r="A297" t="n">
        <v>294</v>
      </c>
      <c r="B297" s="196">
        <f>IF(A297&lt;='入力・概要'!$B$40,10^(LOG10('入力・概要'!$B$38)+(A297-1)*(LOG10('入力・概要'!$B$39)-LOG10('入力・概要'!$B$38))/('入力・概要'!$B$40-1)),"")</f>
        <v/>
      </c>
      <c r="C297" s="195">
        <f>IF(B297="","",2*PI()*B297)</f>
        <v/>
      </c>
      <c r="D297" s="195">
        <f>IF(B297="","",ATANH(MIN(0.999999,(2*'入力・概要'!$B$17*'入力・概要'!$B$6)/'入力・概要'!$B$30))+'入力・概要'!$B$33*SQRT(B297/1E6)+(2*PI()*B297*'入力・概要'!$B$6/(299792458*'入力・概要'!$B$31))*'入力・概要'!$B$32/2)</f>
        <v/>
      </c>
      <c r="E297" s="195">
        <f>IF(B297="","",2*PI()*B297*'入力・概要'!$B$6/(299792458*'入力・概要'!$B$31))</f>
        <v/>
      </c>
      <c r="F297" s="195">
        <f>IF(B297="","",SINH(2*D297)/(COSH(2*D297)+COS(2*E297)))</f>
        <v/>
      </c>
      <c r="G297" s="195">
        <f>IF(B297="","",SIN(2*E297)/(COSH(2*D297)+COS(2*E297)))</f>
        <v/>
      </c>
      <c r="H297" s="195">
        <f>IF(B297="","",'入力・概要'!$B$34)</f>
        <v/>
      </c>
      <c r="I297" s="195">
        <f>IF(B297="","",C297*'入力・概要'!$B$35*1E-9)</f>
        <v/>
      </c>
      <c r="J297" s="195">
        <f>IF(B297="","",H297+'入力・概要'!$B$30*F297)</f>
        <v/>
      </c>
      <c r="K297" s="195">
        <f>IF(B297="","",I297+'入力・概要'!$B$30*G297)</f>
        <v/>
      </c>
      <c r="L297" s="195">
        <f>IF(B297="","",'入力・概要'!$B$30+H297*F297-I297*G297)</f>
        <v/>
      </c>
      <c r="M297" s="195">
        <f>IF(B297="","",H297*G297+I297*F297)</f>
        <v/>
      </c>
      <c r="N297" s="195">
        <f>IF(B297="","",'入力・概要'!$B$30*(J297*L297+K297*M297)/(L297^2+M297^2))</f>
        <v/>
      </c>
      <c r="O297" s="195">
        <f>IF(B297="","",'入力・概要'!$B$30*(K297*L297-J297*M297)/(L297^2+M297^2))</f>
        <v/>
      </c>
      <c r="P297" s="195">
        <f>IF(B297="","",N297+'入力・概要'!$B$36)</f>
        <v/>
      </c>
      <c r="Q297" s="195">
        <f>IF(B297="","",O297+C297*'入力・概要'!$B$37*1E-9)</f>
        <v/>
      </c>
      <c r="R297" s="195">
        <f>IF(B297="","",SQRT(P297^2+Q297^2))</f>
        <v/>
      </c>
      <c r="S297" s="195">
        <f>IF(B297="","",IF(P297&gt;0,DEGREES(ATAN(Q297/P297)),IF(P297&lt;0,IF(Q297&gt;=0,DEGREES(ATAN(Q297/P297))+180,DEGREES(ATAN(Q297/P297))-180),IF(Q297&gt;0,90,IF(Q297&lt;0,-90,0)))))</f>
        <v/>
      </c>
      <c r="T297" s="195">
        <f>IF(B297="","",LOG10(B297))</f>
        <v/>
      </c>
      <c r="U297" s="195">
        <f>IF(R297="","",LOG10(MAX(R297,1E-12)))</f>
        <v/>
      </c>
    </row>
    <row r="298">
      <c r="A298" t="n">
        <v>295</v>
      </c>
      <c r="B298" s="196">
        <f>IF(A298&lt;='入力・概要'!$B$40,10^(LOG10('入力・概要'!$B$38)+(A298-1)*(LOG10('入力・概要'!$B$39)-LOG10('入力・概要'!$B$38))/('入力・概要'!$B$40-1)),"")</f>
        <v/>
      </c>
      <c r="C298" s="195">
        <f>IF(B298="","",2*PI()*B298)</f>
        <v/>
      </c>
      <c r="D298" s="195">
        <f>IF(B298="","",ATANH(MIN(0.999999,(2*'入力・概要'!$B$17*'入力・概要'!$B$6)/'入力・概要'!$B$30))+'入力・概要'!$B$33*SQRT(B298/1E6)+(2*PI()*B298*'入力・概要'!$B$6/(299792458*'入力・概要'!$B$31))*'入力・概要'!$B$32/2)</f>
        <v/>
      </c>
      <c r="E298" s="195">
        <f>IF(B298="","",2*PI()*B298*'入力・概要'!$B$6/(299792458*'入力・概要'!$B$31))</f>
        <v/>
      </c>
      <c r="F298" s="195">
        <f>IF(B298="","",SINH(2*D298)/(COSH(2*D298)+COS(2*E298)))</f>
        <v/>
      </c>
      <c r="G298" s="195">
        <f>IF(B298="","",SIN(2*E298)/(COSH(2*D298)+COS(2*E298)))</f>
        <v/>
      </c>
      <c r="H298" s="195">
        <f>IF(B298="","",'入力・概要'!$B$34)</f>
        <v/>
      </c>
      <c r="I298" s="195">
        <f>IF(B298="","",C298*'入力・概要'!$B$35*1E-9)</f>
        <v/>
      </c>
      <c r="J298" s="195">
        <f>IF(B298="","",H298+'入力・概要'!$B$30*F298)</f>
        <v/>
      </c>
      <c r="K298" s="195">
        <f>IF(B298="","",I298+'入力・概要'!$B$30*G298)</f>
        <v/>
      </c>
      <c r="L298" s="195">
        <f>IF(B298="","",'入力・概要'!$B$30+H298*F298-I298*G298)</f>
        <v/>
      </c>
      <c r="M298" s="195">
        <f>IF(B298="","",H298*G298+I298*F298)</f>
        <v/>
      </c>
      <c r="N298" s="195">
        <f>IF(B298="","",'入力・概要'!$B$30*(J298*L298+K298*M298)/(L298^2+M298^2))</f>
        <v/>
      </c>
      <c r="O298" s="195">
        <f>IF(B298="","",'入力・概要'!$B$30*(K298*L298-J298*M298)/(L298^2+M298^2))</f>
        <v/>
      </c>
      <c r="P298" s="195">
        <f>IF(B298="","",N298+'入力・概要'!$B$36)</f>
        <v/>
      </c>
      <c r="Q298" s="195">
        <f>IF(B298="","",O298+C298*'入力・概要'!$B$37*1E-9)</f>
        <v/>
      </c>
      <c r="R298" s="195">
        <f>IF(B298="","",SQRT(P298^2+Q298^2))</f>
        <v/>
      </c>
      <c r="S298" s="195">
        <f>IF(B298="","",IF(P298&gt;0,DEGREES(ATAN(Q298/P298)),IF(P298&lt;0,IF(Q298&gt;=0,DEGREES(ATAN(Q298/P298))+180,DEGREES(ATAN(Q298/P298))-180),IF(Q298&gt;0,90,IF(Q298&lt;0,-90,0)))))</f>
        <v/>
      </c>
      <c r="T298" s="195">
        <f>IF(B298="","",LOG10(B298))</f>
        <v/>
      </c>
      <c r="U298" s="195">
        <f>IF(R298="","",LOG10(MAX(R298,1E-12)))</f>
        <v/>
      </c>
    </row>
    <row r="299">
      <c r="A299" t="n">
        <v>296</v>
      </c>
      <c r="B299" s="196">
        <f>IF(A299&lt;='入力・概要'!$B$40,10^(LOG10('入力・概要'!$B$38)+(A299-1)*(LOG10('入力・概要'!$B$39)-LOG10('入力・概要'!$B$38))/('入力・概要'!$B$40-1)),"")</f>
        <v/>
      </c>
      <c r="C299" s="195">
        <f>IF(B299="","",2*PI()*B299)</f>
        <v/>
      </c>
      <c r="D299" s="195">
        <f>IF(B299="","",ATANH(MIN(0.999999,(2*'入力・概要'!$B$17*'入力・概要'!$B$6)/'入力・概要'!$B$30))+'入力・概要'!$B$33*SQRT(B299/1E6)+(2*PI()*B299*'入力・概要'!$B$6/(299792458*'入力・概要'!$B$31))*'入力・概要'!$B$32/2)</f>
        <v/>
      </c>
      <c r="E299" s="195">
        <f>IF(B299="","",2*PI()*B299*'入力・概要'!$B$6/(299792458*'入力・概要'!$B$31))</f>
        <v/>
      </c>
      <c r="F299" s="195">
        <f>IF(B299="","",SINH(2*D299)/(COSH(2*D299)+COS(2*E299)))</f>
        <v/>
      </c>
      <c r="G299" s="195">
        <f>IF(B299="","",SIN(2*E299)/(COSH(2*D299)+COS(2*E299)))</f>
        <v/>
      </c>
      <c r="H299" s="195">
        <f>IF(B299="","",'入力・概要'!$B$34)</f>
        <v/>
      </c>
      <c r="I299" s="195">
        <f>IF(B299="","",C299*'入力・概要'!$B$35*1E-9)</f>
        <v/>
      </c>
      <c r="J299" s="195">
        <f>IF(B299="","",H299+'入力・概要'!$B$30*F299)</f>
        <v/>
      </c>
      <c r="K299" s="195">
        <f>IF(B299="","",I299+'入力・概要'!$B$30*G299)</f>
        <v/>
      </c>
      <c r="L299" s="195">
        <f>IF(B299="","",'入力・概要'!$B$30+H299*F299-I299*G299)</f>
        <v/>
      </c>
      <c r="M299" s="195">
        <f>IF(B299="","",H299*G299+I299*F299)</f>
        <v/>
      </c>
      <c r="N299" s="195">
        <f>IF(B299="","",'入力・概要'!$B$30*(J299*L299+K299*M299)/(L299^2+M299^2))</f>
        <v/>
      </c>
      <c r="O299" s="195">
        <f>IF(B299="","",'入力・概要'!$B$30*(K299*L299-J299*M299)/(L299^2+M299^2))</f>
        <v/>
      </c>
      <c r="P299" s="195">
        <f>IF(B299="","",N299+'入力・概要'!$B$36)</f>
        <v/>
      </c>
      <c r="Q299" s="195">
        <f>IF(B299="","",O299+C299*'入力・概要'!$B$37*1E-9)</f>
        <v/>
      </c>
      <c r="R299" s="195">
        <f>IF(B299="","",SQRT(P299^2+Q299^2))</f>
        <v/>
      </c>
      <c r="S299" s="195">
        <f>IF(B299="","",IF(P299&gt;0,DEGREES(ATAN(Q299/P299)),IF(P299&lt;0,IF(Q299&gt;=0,DEGREES(ATAN(Q299/P299))+180,DEGREES(ATAN(Q299/P299))-180),IF(Q299&gt;0,90,IF(Q299&lt;0,-90,0)))))</f>
        <v/>
      </c>
      <c r="T299" s="195">
        <f>IF(B299="","",LOG10(B299))</f>
        <v/>
      </c>
      <c r="U299" s="195">
        <f>IF(R299="","",LOG10(MAX(R299,1E-12)))</f>
        <v/>
      </c>
    </row>
    <row r="300">
      <c r="A300" t="n">
        <v>297</v>
      </c>
      <c r="B300" s="196">
        <f>IF(A300&lt;='入力・概要'!$B$40,10^(LOG10('入力・概要'!$B$38)+(A300-1)*(LOG10('入力・概要'!$B$39)-LOG10('入力・概要'!$B$38))/('入力・概要'!$B$40-1)),"")</f>
        <v/>
      </c>
      <c r="C300" s="195">
        <f>IF(B300="","",2*PI()*B300)</f>
        <v/>
      </c>
      <c r="D300" s="195">
        <f>IF(B300="","",ATANH(MIN(0.999999,(2*'入力・概要'!$B$17*'入力・概要'!$B$6)/'入力・概要'!$B$30))+'入力・概要'!$B$33*SQRT(B300/1E6)+(2*PI()*B300*'入力・概要'!$B$6/(299792458*'入力・概要'!$B$31))*'入力・概要'!$B$32/2)</f>
        <v/>
      </c>
      <c r="E300" s="195">
        <f>IF(B300="","",2*PI()*B300*'入力・概要'!$B$6/(299792458*'入力・概要'!$B$31))</f>
        <v/>
      </c>
      <c r="F300" s="195">
        <f>IF(B300="","",SINH(2*D300)/(COSH(2*D300)+COS(2*E300)))</f>
        <v/>
      </c>
      <c r="G300" s="195">
        <f>IF(B300="","",SIN(2*E300)/(COSH(2*D300)+COS(2*E300)))</f>
        <v/>
      </c>
      <c r="H300" s="195">
        <f>IF(B300="","",'入力・概要'!$B$34)</f>
        <v/>
      </c>
      <c r="I300" s="195">
        <f>IF(B300="","",C300*'入力・概要'!$B$35*1E-9)</f>
        <v/>
      </c>
      <c r="J300" s="195">
        <f>IF(B300="","",H300+'入力・概要'!$B$30*F300)</f>
        <v/>
      </c>
      <c r="K300" s="195">
        <f>IF(B300="","",I300+'入力・概要'!$B$30*G300)</f>
        <v/>
      </c>
      <c r="L300" s="195">
        <f>IF(B300="","",'入力・概要'!$B$30+H300*F300-I300*G300)</f>
        <v/>
      </c>
      <c r="M300" s="195">
        <f>IF(B300="","",H300*G300+I300*F300)</f>
        <v/>
      </c>
      <c r="N300" s="195">
        <f>IF(B300="","",'入力・概要'!$B$30*(J300*L300+K300*M300)/(L300^2+M300^2))</f>
        <v/>
      </c>
      <c r="O300" s="195">
        <f>IF(B300="","",'入力・概要'!$B$30*(K300*L300-J300*M300)/(L300^2+M300^2))</f>
        <v/>
      </c>
      <c r="P300" s="195">
        <f>IF(B300="","",N300+'入力・概要'!$B$36)</f>
        <v/>
      </c>
      <c r="Q300" s="195">
        <f>IF(B300="","",O300+C300*'入力・概要'!$B$37*1E-9)</f>
        <v/>
      </c>
      <c r="R300" s="195">
        <f>IF(B300="","",SQRT(P300^2+Q300^2))</f>
        <v/>
      </c>
      <c r="S300" s="195">
        <f>IF(B300="","",IF(P300&gt;0,DEGREES(ATAN(Q300/P300)),IF(P300&lt;0,IF(Q300&gt;=0,DEGREES(ATAN(Q300/P300))+180,DEGREES(ATAN(Q300/P300))-180),IF(Q300&gt;0,90,IF(Q300&lt;0,-90,0)))))</f>
        <v/>
      </c>
      <c r="T300" s="195">
        <f>IF(B300="","",LOG10(B300))</f>
        <v/>
      </c>
      <c r="U300" s="195">
        <f>IF(R300="","",LOG10(MAX(R300,1E-12)))</f>
        <v/>
      </c>
    </row>
    <row r="301">
      <c r="A301" t="n">
        <v>298</v>
      </c>
      <c r="B301" s="196">
        <f>IF(A301&lt;='入力・概要'!$B$40,10^(LOG10('入力・概要'!$B$38)+(A301-1)*(LOG10('入力・概要'!$B$39)-LOG10('入力・概要'!$B$38))/('入力・概要'!$B$40-1)),"")</f>
        <v/>
      </c>
      <c r="C301" s="195">
        <f>IF(B301="","",2*PI()*B301)</f>
        <v/>
      </c>
      <c r="D301" s="195">
        <f>IF(B301="","",ATANH(MIN(0.999999,(2*'入力・概要'!$B$17*'入力・概要'!$B$6)/'入力・概要'!$B$30))+'入力・概要'!$B$33*SQRT(B301/1E6)+(2*PI()*B301*'入力・概要'!$B$6/(299792458*'入力・概要'!$B$31))*'入力・概要'!$B$32/2)</f>
        <v/>
      </c>
      <c r="E301" s="195">
        <f>IF(B301="","",2*PI()*B301*'入力・概要'!$B$6/(299792458*'入力・概要'!$B$31))</f>
        <v/>
      </c>
      <c r="F301" s="195">
        <f>IF(B301="","",SINH(2*D301)/(COSH(2*D301)+COS(2*E301)))</f>
        <v/>
      </c>
      <c r="G301" s="195">
        <f>IF(B301="","",SIN(2*E301)/(COSH(2*D301)+COS(2*E301)))</f>
        <v/>
      </c>
      <c r="H301" s="195">
        <f>IF(B301="","",'入力・概要'!$B$34)</f>
        <v/>
      </c>
      <c r="I301" s="195">
        <f>IF(B301="","",C301*'入力・概要'!$B$35*1E-9)</f>
        <v/>
      </c>
      <c r="J301" s="195">
        <f>IF(B301="","",H301+'入力・概要'!$B$30*F301)</f>
        <v/>
      </c>
      <c r="K301" s="195">
        <f>IF(B301="","",I301+'入力・概要'!$B$30*G301)</f>
        <v/>
      </c>
      <c r="L301" s="195">
        <f>IF(B301="","",'入力・概要'!$B$30+H301*F301-I301*G301)</f>
        <v/>
      </c>
      <c r="M301" s="195">
        <f>IF(B301="","",H301*G301+I301*F301)</f>
        <v/>
      </c>
      <c r="N301" s="195">
        <f>IF(B301="","",'入力・概要'!$B$30*(J301*L301+K301*M301)/(L301^2+M301^2))</f>
        <v/>
      </c>
      <c r="O301" s="195">
        <f>IF(B301="","",'入力・概要'!$B$30*(K301*L301-J301*M301)/(L301^2+M301^2))</f>
        <v/>
      </c>
      <c r="P301" s="195">
        <f>IF(B301="","",N301+'入力・概要'!$B$36)</f>
        <v/>
      </c>
      <c r="Q301" s="195">
        <f>IF(B301="","",O301+C301*'入力・概要'!$B$37*1E-9)</f>
        <v/>
      </c>
      <c r="R301" s="195">
        <f>IF(B301="","",SQRT(P301^2+Q301^2))</f>
        <v/>
      </c>
      <c r="S301" s="195">
        <f>IF(B301="","",IF(P301&gt;0,DEGREES(ATAN(Q301/P301)),IF(P301&lt;0,IF(Q301&gt;=0,DEGREES(ATAN(Q301/P301))+180,DEGREES(ATAN(Q301/P301))-180),IF(Q301&gt;0,90,IF(Q301&lt;0,-90,0)))))</f>
        <v/>
      </c>
      <c r="T301" s="195">
        <f>IF(B301="","",LOG10(B301))</f>
        <v/>
      </c>
      <c r="U301" s="195">
        <f>IF(R301="","",LOG10(MAX(R301,1E-12)))</f>
        <v/>
      </c>
    </row>
    <row r="302">
      <c r="A302" t="n">
        <v>299</v>
      </c>
      <c r="B302" s="196">
        <f>IF(A302&lt;='入力・概要'!$B$40,10^(LOG10('入力・概要'!$B$38)+(A302-1)*(LOG10('入力・概要'!$B$39)-LOG10('入力・概要'!$B$38))/('入力・概要'!$B$40-1)),"")</f>
        <v/>
      </c>
      <c r="C302" s="195">
        <f>IF(B302="","",2*PI()*B302)</f>
        <v/>
      </c>
      <c r="D302" s="195">
        <f>IF(B302="","",ATANH(MIN(0.999999,(2*'入力・概要'!$B$17*'入力・概要'!$B$6)/'入力・概要'!$B$30))+'入力・概要'!$B$33*SQRT(B302/1E6)+(2*PI()*B302*'入力・概要'!$B$6/(299792458*'入力・概要'!$B$31))*'入力・概要'!$B$32/2)</f>
        <v/>
      </c>
      <c r="E302" s="195">
        <f>IF(B302="","",2*PI()*B302*'入力・概要'!$B$6/(299792458*'入力・概要'!$B$31))</f>
        <v/>
      </c>
      <c r="F302" s="195">
        <f>IF(B302="","",SINH(2*D302)/(COSH(2*D302)+COS(2*E302)))</f>
        <v/>
      </c>
      <c r="G302" s="195">
        <f>IF(B302="","",SIN(2*E302)/(COSH(2*D302)+COS(2*E302)))</f>
        <v/>
      </c>
      <c r="H302" s="195">
        <f>IF(B302="","",'入力・概要'!$B$34)</f>
        <v/>
      </c>
      <c r="I302" s="195">
        <f>IF(B302="","",C302*'入力・概要'!$B$35*1E-9)</f>
        <v/>
      </c>
      <c r="J302" s="195">
        <f>IF(B302="","",H302+'入力・概要'!$B$30*F302)</f>
        <v/>
      </c>
      <c r="K302" s="195">
        <f>IF(B302="","",I302+'入力・概要'!$B$30*G302)</f>
        <v/>
      </c>
      <c r="L302" s="195">
        <f>IF(B302="","",'入力・概要'!$B$30+H302*F302-I302*G302)</f>
        <v/>
      </c>
      <c r="M302" s="195">
        <f>IF(B302="","",H302*G302+I302*F302)</f>
        <v/>
      </c>
      <c r="N302" s="195">
        <f>IF(B302="","",'入力・概要'!$B$30*(J302*L302+K302*M302)/(L302^2+M302^2))</f>
        <v/>
      </c>
      <c r="O302" s="195">
        <f>IF(B302="","",'入力・概要'!$B$30*(K302*L302-J302*M302)/(L302^2+M302^2))</f>
        <v/>
      </c>
      <c r="P302" s="195">
        <f>IF(B302="","",N302+'入力・概要'!$B$36)</f>
        <v/>
      </c>
      <c r="Q302" s="195">
        <f>IF(B302="","",O302+C302*'入力・概要'!$B$37*1E-9)</f>
        <v/>
      </c>
      <c r="R302" s="195">
        <f>IF(B302="","",SQRT(P302^2+Q302^2))</f>
        <v/>
      </c>
      <c r="S302" s="195">
        <f>IF(B302="","",IF(P302&gt;0,DEGREES(ATAN(Q302/P302)),IF(P302&lt;0,IF(Q302&gt;=0,DEGREES(ATAN(Q302/P302))+180,DEGREES(ATAN(Q302/P302))-180),IF(Q302&gt;0,90,IF(Q302&lt;0,-90,0)))))</f>
        <v/>
      </c>
      <c r="T302" s="195">
        <f>IF(B302="","",LOG10(B302))</f>
        <v/>
      </c>
      <c r="U302" s="195">
        <f>IF(R302="","",LOG10(MAX(R302,1E-12)))</f>
        <v/>
      </c>
    </row>
    <row r="303">
      <c r="A303" t="n">
        <v>300</v>
      </c>
      <c r="B303" s="196">
        <f>IF(A303&lt;='入力・概要'!$B$40,10^(LOG10('入力・概要'!$B$38)+(A303-1)*(LOG10('入力・概要'!$B$39)-LOG10('入力・概要'!$B$38))/('入力・概要'!$B$40-1)),"")</f>
        <v/>
      </c>
      <c r="C303" s="195">
        <f>IF(B303="","",2*PI()*B303)</f>
        <v/>
      </c>
      <c r="D303" s="195">
        <f>IF(B303="","",ATANH(MIN(0.999999,(2*'入力・概要'!$B$17*'入力・概要'!$B$6)/'入力・概要'!$B$30))+'入力・概要'!$B$33*SQRT(B303/1E6)+(2*PI()*B303*'入力・概要'!$B$6/(299792458*'入力・概要'!$B$31))*'入力・概要'!$B$32/2)</f>
        <v/>
      </c>
      <c r="E303" s="195">
        <f>IF(B303="","",2*PI()*B303*'入力・概要'!$B$6/(299792458*'入力・概要'!$B$31))</f>
        <v/>
      </c>
      <c r="F303" s="195">
        <f>IF(B303="","",SINH(2*D303)/(COSH(2*D303)+COS(2*E303)))</f>
        <v/>
      </c>
      <c r="G303" s="195">
        <f>IF(B303="","",SIN(2*E303)/(COSH(2*D303)+COS(2*E303)))</f>
        <v/>
      </c>
      <c r="H303" s="195">
        <f>IF(B303="","",'入力・概要'!$B$34)</f>
        <v/>
      </c>
      <c r="I303" s="195">
        <f>IF(B303="","",C303*'入力・概要'!$B$35*1E-9)</f>
        <v/>
      </c>
      <c r="J303" s="195">
        <f>IF(B303="","",H303+'入力・概要'!$B$30*F303)</f>
        <v/>
      </c>
      <c r="K303" s="195">
        <f>IF(B303="","",I303+'入力・概要'!$B$30*G303)</f>
        <v/>
      </c>
      <c r="L303" s="195">
        <f>IF(B303="","",'入力・概要'!$B$30+H303*F303-I303*G303)</f>
        <v/>
      </c>
      <c r="M303" s="195">
        <f>IF(B303="","",H303*G303+I303*F303)</f>
        <v/>
      </c>
      <c r="N303" s="195">
        <f>IF(B303="","",'入力・概要'!$B$30*(J303*L303+K303*M303)/(L303^2+M303^2))</f>
        <v/>
      </c>
      <c r="O303" s="195">
        <f>IF(B303="","",'入力・概要'!$B$30*(K303*L303-J303*M303)/(L303^2+M303^2))</f>
        <v/>
      </c>
      <c r="P303" s="195">
        <f>IF(B303="","",N303+'入力・概要'!$B$36)</f>
        <v/>
      </c>
      <c r="Q303" s="195">
        <f>IF(B303="","",O303+C303*'入力・概要'!$B$37*1E-9)</f>
        <v/>
      </c>
      <c r="R303" s="195">
        <f>IF(B303="","",SQRT(P303^2+Q303^2))</f>
        <v/>
      </c>
      <c r="S303" s="195">
        <f>IF(B303="","",IF(P303&gt;0,DEGREES(ATAN(Q303/P303)),IF(P303&lt;0,IF(Q303&gt;=0,DEGREES(ATAN(Q303/P303))+180,DEGREES(ATAN(Q303/P303))-180),IF(Q303&gt;0,90,IF(Q303&lt;0,-90,0)))))</f>
        <v/>
      </c>
      <c r="T303" s="195">
        <f>IF(B303="","",LOG10(B303))</f>
        <v/>
      </c>
      <c r="U303" s="195">
        <f>IF(R303="","",LOG10(MAX(R303,1E-12)))</f>
        <v/>
      </c>
    </row>
    <row r="304">
      <c r="A304" t="n">
        <v>301</v>
      </c>
      <c r="B304" s="196">
        <f>IF(A304&lt;='入力・概要'!$B$40,10^(LOG10('入力・概要'!$B$38)+(A304-1)*(LOG10('入力・概要'!$B$39)-LOG10('入力・概要'!$B$38))/('入力・概要'!$B$40-1)),"")</f>
        <v/>
      </c>
      <c r="C304" s="195">
        <f>IF(B304="","",2*PI()*B304)</f>
        <v/>
      </c>
      <c r="D304" s="195">
        <f>IF(B304="","",ATANH(MIN(0.999999,(2*'入力・概要'!$B$17*'入力・概要'!$B$6)/'入力・概要'!$B$30))+'入力・概要'!$B$33*SQRT(B304/1E6)+(2*PI()*B304*'入力・概要'!$B$6/(299792458*'入力・概要'!$B$31))*'入力・概要'!$B$32/2)</f>
        <v/>
      </c>
      <c r="E304" s="195">
        <f>IF(B304="","",2*PI()*B304*'入力・概要'!$B$6/(299792458*'入力・概要'!$B$31))</f>
        <v/>
      </c>
      <c r="F304" s="195">
        <f>IF(B304="","",SINH(2*D304)/(COSH(2*D304)+COS(2*E304)))</f>
        <v/>
      </c>
      <c r="G304" s="195">
        <f>IF(B304="","",SIN(2*E304)/(COSH(2*D304)+COS(2*E304)))</f>
        <v/>
      </c>
      <c r="H304" s="195">
        <f>IF(B304="","",'入力・概要'!$B$34)</f>
        <v/>
      </c>
      <c r="I304" s="195">
        <f>IF(B304="","",C304*'入力・概要'!$B$35*1E-9)</f>
        <v/>
      </c>
      <c r="J304" s="195">
        <f>IF(B304="","",H304+'入力・概要'!$B$30*F304)</f>
        <v/>
      </c>
      <c r="K304" s="195">
        <f>IF(B304="","",I304+'入力・概要'!$B$30*G304)</f>
        <v/>
      </c>
      <c r="L304" s="195">
        <f>IF(B304="","",'入力・概要'!$B$30+H304*F304-I304*G304)</f>
        <v/>
      </c>
      <c r="M304" s="195">
        <f>IF(B304="","",H304*G304+I304*F304)</f>
        <v/>
      </c>
      <c r="N304" s="195">
        <f>IF(B304="","",'入力・概要'!$B$30*(J304*L304+K304*M304)/(L304^2+M304^2))</f>
        <v/>
      </c>
      <c r="O304" s="195">
        <f>IF(B304="","",'入力・概要'!$B$30*(K304*L304-J304*M304)/(L304^2+M304^2))</f>
        <v/>
      </c>
      <c r="P304" s="195">
        <f>IF(B304="","",N304+'入力・概要'!$B$36)</f>
        <v/>
      </c>
      <c r="Q304" s="195">
        <f>IF(B304="","",O304+C304*'入力・概要'!$B$37*1E-9)</f>
        <v/>
      </c>
      <c r="R304" s="195">
        <f>IF(B304="","",SQRT(P304^2+Q304^2))</f>
        <v/>
      </c>
      <c r="S304" s="195">
        <f>IF(B304="","",IF(P304&gt;0,DEGREES(ATAN(Q304/P304)),IF(P304&lt;0,IF(Q304&gt;=0,DEGREES(ATAN(Q304/P304))+180,DEGREES(ATAN(Q304/P304))-180),IF(Q304&gt;0,90,IF(Q304&lt;0,-90,0)))))</f>
        <v/>
      </c>
      <c r="T304" s="195">
        <f>IF(B304="","",LOG10(B304))</f>
        <v/>
      </c>
      <c r="U304" s="195">
        <f>IF(R304="","",LOG10(MAX(R304,1E-12)))</f>
        <v/>
      </c>
    </row>
    <row r="305">
      <c r="A305" t="n">
        <v>302</v>
      </c>
      <c r="B305" s="196">
        <f>IF(A305&lt;='入力・概要'!$B$40,10^(LOG10('入力・概要'!$B$38)+(A305-1)*(LOG10('入力・概要'!$B$39)-LOG10('入力・概要'!$B$38))/('入力・概要'!$B$40-1)),"")</f>
        <v/>
      </c>
      <c r="C305" s="195">
        <f>IF(B305="","",2*PI()*B305)</f>
        <v/>
      </c>
      <c r="D305" s="195">
        <f>IF(B305="","",ATANH(MIN(0.999999,(2*'入力・概要'!$B$17*'入力・概要'!$B$6)/'入力・概要'!$B$30))+'入力・概要'!$B$33*SQRT(B305/1E6)+(2*PI()*B305*'入力・概要'!$B$6/(299792458*'入力・概要'!$B$31))*'入力・概要'!$B$32/2)</f>
        <v/>
      </c>
      <c r="E305" s="195">
        <f>IF(B305="","",2*PI()*B305*'入力・概要'!$B$6/(299792458*'入力・概要'!$B$31))</f>
        <v/>
      </c>
      <c r="F305" s="195">
        <f>IF(B305="","",SINH(2*D305)/(COSH(2*D305)+COS(2*E305)))</f>
        <v/>
      </c>
      <c r="G305" s="195">
        <f>IF(B305="","",SIN(2*E305)/(COSH(2*D305)+COS(2*E305)))</f>
        <v/>
      </c>
      <c r="H305" s="195">
        <f>IF(B305="","",'入力・概要'!$B$34)</f>
        <v/>
      </c>
      <c r="I305" s="195">
        <f>IF(B305="","",C305*'入力・概要'!$B$35*1E-9)</f>
        <v/>
      </c>
      <c r="J305" s="195">
        <f>IF(B305="","",H305+'入力・概要'!$B$30*F305)</f>
        <v/>
      </c>
      <c r="K305" s="195">
        <f>IF(B305="","",I305+'入力・概要'!$B$30*G305)</f>
        <v/>
      </c>
      <c r="L305" s="195">
        <f>IF(B305="","",'入力・概要'!$B$30+H305*F305-I305*G305)</f>
        <v/>
      </c>
      <c r="M305" s="195">
        <f>IF(B305="","",H305*G305+I305*F305)</f>
        <v/>
      </c>
      <c r="N305" s="195">
        <f>IF(B305="","",'入力・概要'!$B$30*(J305*L305+K305*M305)/(L305^2+M305^2))</f>
        <v/>
      </c>
      <c r="O305" s="195">
        <f>IF(B305="","",'入力・概要'!$B$30*(K305*L305-J305*M305)/(L305^2+M305^2))</f>
        <v/>
      </c>
      <c r="P305" s="195">
        <f>IF(B305="","",N305+'入力・概要'!$B$36)</f>
        <v/>
      </c>
      <c r="Q305" s="195">
        <f>IF(B305="","",O305+C305*'入力・概要'!$B$37*1E-9)</f>
        <v/>
      </c>
      <c r="R305" s="195">
        <f>IF(B305="","",SQRT(P305^2+Q305^2))</f>
        <v/>
      </c>
      <c r="S305" s="195">
        <f>IF(B305="","",IF(P305&gt;0,DEGREES(ATAN(Q305/P305)),IF(P305&lt;0,IF(Q305&gt;=0,DEGREES(ATAN(Q305/P305))+180,DEGREES(ATAN(Q305/P305))-180),IF(Q305&gt;0,90,IF(Q305&lt;0,-90,0)))))</f>
        <v/>
      </c>
      <c r="T305" s="195">
        <f>IF(B305="","",LOG10(B305))</f>
        <v/>
      </c>
      <c r="U305" s="195">
        <f>IF(R305="","",LOG10(MAX(R305,1E-12)))</f>
        <v/>
      </c>
    </row>
    <row r="306">
      <c r="A306" t="n">
        <v>303</v>
      </c>
      <c r="B306" s="196">
        <f>IF(A306&lt;='入力・概要'!$B$40,10^(LOG10('入力・概要'!$B$38)+(A306-1)*(LOG10('入力・概要'!$B$39)-LOG10('入力・概要'!$B$38))/('入力・概要'!$B$40-1)),"")</f>
        <v/>
      </c>
      <c r="C306" s="195">
        <f>IF(B306="","",2*PI()*B306)</f>
        <v/>
      </c>
      <c r="D306" s="195">
        <f>IF(B306="","",ATANH(MIN(0.999999,(2*'入力・概要'!$B$17*'入力・概要'!$B$6)/'入力・概要'!$B$30))+'入力・概要'!$B$33*SQRT(B306/1E6)+(2*PI()*B306*'入力・概要'!$B$6/(299792458*'入力・概要'!$B$31))*'入力・概要'!$B$32/2)</f>
        <v/>
      </c>
      <c r="E306" s="195">
        <f>IF(B306="","",2*PI()*B306*'入力・概要'!$B$6/(299792458*'入力・概要'!$B$31))</f>
        <v/>
      </c>
      <c r="F306" s="195">
        <f>IF(B306="","",SINH(2*D306)/(COSH(2*D306)+COS(2*E306)))</f>
        <v/>
      </c>
      <c r="G306" s="195">
        <f>IF(B306="","",SIN(2*E306)/(COSH(2*D306)+COS(2*E306)))</f>
        <v/>
      </c>
      <c r="H306" s="195">
        <f>IF(B306="","",'入力・概要'!$B$34)</f>
        <v/>
      </c>
      <c r="I306" s="195">
        <f>IF(B306="","",C306*'入力・概要'!$B$35*1E-9)</f>
        <v/>
      </c>
      <c r="J306" s="195">
        <f>IF(B306="","",H306+'入力・概要'!$B$30*F306)</f>
        <v/>
      </c>
      <c r="K306" s="195">
        <f>IF(B306="","",I306+'入力・概要'!$B$30*G306)</f>
        <v/>
      </c>
      <c r="L306" s="195">
        <f>IF(B306="","",'入力・概要'!$B$30+H306*F306-I306*G306)</f>
        <v/>
      </c>
      <c r="M306" s="195">
        <f>IF(B306="","",H306*G306+I306*F306)</f>
        <v/>
      </c>
      <c r="N306" s="195">
        <f>IF(B306="","",'入力・概要'!$B$30*(J306*L306+K306*M306)/(L306^2+M306^2))</f>
        <v/>
      </c>
      <c r="O306" s="195">
        <f>IF(B306="","",'入力・概要'!$B$30*(K306*L306-J306*M306)/(L306^2+M306^2))</f>
        <v/>
      </c>
      <c r="P306" s="195">
        <f>IF(B306="","",N306+'入力・概要'!$B$36)</f>
        <v/>
      </c>
      <c r="Q306" s="195">
        <f>IF(B306="","",O306+C306*'入力・概要'!$B$37*1E-9)</f>
        <v/>
      </c>
      <c r="R306" s="195">
        <f>IF(B306="","",SQRT(P306^2+Q306^2))</f>
        <v/>
      </c>
      <c r="S306" s="195">
        <f>IF(B306="","",IF(P306&gt;0,DEGREES(ATAN(Q306/P306)),IF(P306&lt;0,IF(Q306&gt;=0,DEGREES(ATAN(Q306/P306))+180,DEGREES(ATAN(Q306/P306))-180),IF(Q306&gt;0,90,IF(Q306&lt;0,-90,0)))))</f>
        <v/>
      </c>
      <c r="T306" s="195">
        <f>IF(B306="","",LOG10(B306))</f>
        <v/>
      </c>
      <c r="U306" s="195">
        <f>IF(R306="","",LOG10(MAX(R306,1E-12)))</f>
        <v/>
      </c>
    </row>
    <row r="307">
      <c r="A307" t="n">
        <v>304</v>
      </c>
      <c r="B307" s="196">
        <f>IF(A307&lt;='入力・概要'!$B$40,10^(LOG10('入力・概要'!$B$38)+(A307-1)*(LOG10('入力・概要'!$B$39)-LOG10('入力・概要'!$B$38))/('入力・概要'!$B$40-1)),"")</f>
        <v/>
      </c>
      <c r="C307" s="195">
        <f>IF(B307="","",2*PI()*B307)</f>
        <v/>
      </c>
      <c r="D307" s="195">
        <f>IF(B307="","",ATANH(MIN(0.999999,(2*'入力・概要'!$B$17*'入力・概要'!$B$6)/'入力・概要'!$B$30))+'入力・概要'!$B$33*SQRT(B307/1E6)+(2*PI()*B307*'入力・概要'!$B$6/(299792458*'入力・概要'!$B$31))*'入力・概要'!$B$32/2)</f>
        <v/>
      </c>
      <c r="E307" s="195">
        <f>IF(B307="","",2*PI()*B307*'入力・概要'!$B$6/(299792458*'入力・概要'!$B$31))</f>
        <v/>
      </c>
      <c r="F307" s="195">
        <f>IF(B307="","",SINH(2*D307)/(COSH(2*D307)+COS(2*E307)))</f>
        <v/>
      </c>
      <c r="G307" s="195">
        <f>IF(B307="","",SIN(2*E307)/(COSH(2*D307)+COS(2*E307)))</f>
        <v/>
      </c>
      <c r="H307" s="195">
        <f>IF(B307="","",'入力・概要'!$B$34)</f>
        <v/>
      </c>
      <c r="I307" s="195">
        <f>IF(B307="","",C307*'入力・概要'!$B$35*1E-9)</f>
        <v/>
      </c>
      <c r="J307" s="195">
        <f>IF(B307="","",H307+'入力・概要'!$B$30*F307)</f>
        <v/>
      </c>
      <c r="K307" s="195">
        <f>IF(B307="","",I307+'入力・概要'!$B$30*G307)</f>
        <v/>
      </c>
      <c r="L307" s="195">
        <f>IF(B307="","",'入力・概要'!$B$30+H307*F307-I307*G307)</f>
        <v/>
      </c>
      <c r="M307" s="195">
        <f>IF(B307="","",H307*G307+I307*F307)</f>
        <v/>
      </c>
      <c r="N307" s="195">
        <f>IF(B307="","",'入力・概要'!$B$30*(J307*L307+K307*M307)/(L307^2+M307^2))</f>
        <v/>
      </c>
      <c r="O307" s="195">
        <f>IF(B307="","",'入力・概要'!$B$30*(K307*L307-J307*M307)/(L307^2+M307^2))</f>
        <v/>
      </c>
      <c r="P307" s="195">
        <f>IF(B307="","",N307+'入力・概要'!$B$36)</f>
        <v/>
      </c>
      <c r="Q307" s="195">
        <f>IF(B307="","",O307+C307*'入力・概要'!$B$37*1E-9)</f>
        <v/>
      </c>
      <c r="R307" s="195">
        <f>IF(B307="","",SQRT(P307^2+Q307^2))</f>
        <v/>
      </c>
      <c r="S307" s="195">
        <f>IF(B307="","",IF(P307&gt;0,DEGREES(ATAN(Q307/P307)),IF(P307&lt;0,IF(Q307&gt;=0,DEGREES(ATAN(Q307/P307))+180,DEGREES(ATAN(Q307/P307))-180),IF(Q307&gt;0,90,IF(Q307&lt;0,-90,0)))))</f>
        <v/>
      </c>
      <c r="T307" s="195">
        <f>IF(B307="","",LOG10(B307))</f>
        <v/>
      </c>
      <c r="U307" s="195">
        <f>IF(R307="","",LOG10(MAX(R307,1E-12)))</f>
        <v/>
      </c>
    </row>
    <row r="308">
      <c r="A308" t="n">
        <v>305</v>
      </c>
      <c r="B308" s="196">
        <f>IF(A308&lt;='入力・概要'!$B$40,10^(LOG10('入力・概要'!$B$38)+(A308-1)*(LOG10('入力・概要'!$B$39)-LOG10('入力・概要'!$B$38))/('入力・概要'!$B$40-1)),"")</f>
        <v/>
      </c>
      <c r="C308" s="195">
        <f>IF(B308="","",2*PI()*B308)</f>
        <v/>
      </c>
      <c r="D308" s="195">
        <f>IF(B308="","",ATANH(MIN(0.999999,(2*'入力・概要'!$B$17*'入力・概要'!$B$6)/'入力・概要'!$B$30))+'入力・概要'!$B$33*SQRT(B308/1E6)+(2*PI()*B308*'入力・概要'!$B$6/(299792458*'入力・概要'!$B$31))*'入力・概要'!$B$32/2)</f>
        <v/>
      </c>
      <c r="E308" s="195">
        <f>IF(B308="","",2*PI()*B308*'入力・概要'!$B$6/(299792458*'入力・概要'!$B$31))</f>
        <v/>
      </c>
      <c r="F308" s="195">
        <f>IF(B308="","",SINH(2*D308)/(COSH(2*D308)+COS(2*E308)))</f>
        <v/>
      </c>
      <c r="G308" s="195">
        <f>IF(B308="","",SIN(2*E308)/(COSH(2*D308)+COS(2*E308)))</f>
        <v/>
      </c>
      <c r="H308" s="195">
        <f>IF(B308="","",'入力・概要'!$B$34)</f>
        <v/>
      </c>
      <c r="I308" s="195">
        <f>IF(B308="","",C308*'入力・概要'!$B$35*1E-9)</f>
        <v/>
      </c>
      <c r="J308" s="195">
        <f>IF(B308="","",H308+'入力・概要'!$B$30*F308)</f>
        <v/>
      </c>
      <c r="K308" s="195">
        <f>IF(B308="","",I308+'入力・概要'!$B$30*G308)</f>
        <v/>
      </c>
      <c r="L308" s="195">
        <f>IF(B308="","",'入力・概要'!$B$30+H308*F308-I308*G308)</f>
        <v/>
      </c>
      <c r="M308" s="195">
        <f>IF(B308="","",H308*G308+I308*F308)</f>
        <v/>
      </c>
      <c r="N308" s="195">
        <f>IF(B308="","",'入力・概要'!$B$30*(J308*L308+K308*M308)/(L308^2+M308^2))</f>
        <v/>
      </c>
      <c r="O308" s="195">
        <f>IF(B308="","",'入力・概要'!$B$30*(K308*L308-J308*M308)/(L308^2+M308^2))</f>
        <v/>
      </c>
      <c r="P308" s="195">
        <f>IF(B308="","",N308+'入力・概要'!$B$36)</f>
        <v/>
      </c>
      <c r="Q308" s="195">
        <f>IF(B308="","",O308+C308*'入力・概要'!$B$37*1E-9)</f>
        <v/>
      </c>
      <c r="R308" s="195">
        <f>IF(B308="","",SQRT(P308^2+Q308^2))</f>
        <v/>
      </c>
      <c r="S308" s="195">
        <f>IF(B308="","",IF(P308&gt;0,DEGREES(ATAN(Q308/P308)),IF(P308&lt;0,IF(Q308&gt;=0,DEGREES(ATAN(Q308/P308))+180,DEGREES(ATAN(Q308/P308))-180),IF(Q308&gt;0,90,IF(Q308&lt;0,-90,0)))))</f>
        <v/>
      </c>
      <c r="T308" s="195">
        <f>IF(B308="","",LOG10(B308))</f>
        <v/>
      </c>
      <c r="U308" s="195">
        <f>IF(R308="","",LOG10(MAX(R308,1E-12)))</f>
        <v/>
      </c>
    </row>
    <row r="309">
      <c r="A309" t="n">
        <v>306</v>
      </c>
      <c r="B309" s="196">
        <f>IF(A309&lt;='入力・概要'!$B$40,10^(LOG10('入力・概要'!$B$38)+(A309-1)*(LOG10('入力・概要'!$B$39)-LOG10('入力・概要'!$B$38))/('入力・概要'!$B$40-1)),"")</f>
        <v/>
      </c>
      <c r="C309" s="195">
        <f>IF(B309="","",2*PI()*B309)</f>
        <v/>
      </c>
      <c r="D309" s="195">
        <f>IF(B309="","",ATANH(MIN(0.999999,(2*'入力・概要'!$B$17*'入力・概要'!$B$6)/'入力・概要'!$B$30))+'入力・概要'!$B$33*SQRT(B309/1E6)+(2*PI()*B309*'入力・概要'!$B$6/(299792458*'入力・概要'!$B$31))*'入力・概要'!$B$32/2)</f>
        <v/>
      </c>
      <c r="E309" s="195">
        <f>IF(B309="","",2*PI()*B309*'入力・概要'!$B$6/(299792458*'入力・概要'!$B$31))</f>
        <v/>
      </c>
      <c r="F309" s="195">
        <f>IF(B309="","",SINH(2*D309)/(COSH(2*D309)+COS(2*E309)))</f>
        <v/>
      </c>
      <c r="G309" s="195">
        <f>IF(B309="","",SIN(2*E309)/(COSH(2*D309)+COS(2*E309)))</f>
        <v/>
      </c>
      <c r="H309" s="195">
        <f>IF(B309="","",'入力・概要'!$B$34)</f>
        <v/>
      </c>
      <c r="I309" s="195">
        <f>IF(B309="","",C309*'入力・概要'!$B$35*1E-9)</f>
        <v/>
      </c>
      <c r="J309" s="195">
        <f>IF(B309="","",H309+'入力・概要'!$B$30*F309)</f>
        <v/>
      </c>
      <c r="K309" s="195">
        <f>IF(B309="","",I309+'入力・概要'!$B$30*G309)</f>
        <v/>
      </c>
      <c r="L309" s="195">
        <f>IF(B309="","",'入力・概要'!$B$30+H309*F309-I309*G309)</f>
        <v/>
      </c>
      <c r="M309" s="195">
        <f>IF(B309="","",H309*G309+I309*F309)</f>
        <v/>
      </c>
      <c r="N309" s="195">
        <f>IF(B309="","",'入力・概要'!$B$30*(J309*L309+K309*M309)/(L309^2+M309^2))</f>
        <v/>
      </c>
      <c r="O309" s="195">
        <f>IF(B309="","",'入力・概要'!$B$30*(K309*L309-J309*M309)/(L309^2+M309^2))</f>
        <v/>
      </c>
      <c r="P309" s="195">
        <f>IF(B309="","",N309+'入力・概要'!$B$36)</f>
        <v/>
      </c>
      <c r="Q309" s="195">
        <f>IF(B309="","",O309+C309*'入力・概要'!$B$37*1E-9)</f>
        <v/>
      </c>
      <c r="R309" s="195">
        <f>IF(B309="","",SQRT(P309^2+Q309^2))</f>
        <v/>
      </c>
      <c r="S309" s="195">
        <f>IF(B309="","",IF(P309&gt;0,DEGREES(ATAN(Q309/P309)),IF(P309&lt;0,IF(Q309&gt;=0,DEGREES(ATAN(Q309/P309))+180,DEGREES(ATAN(Q309/P309))-180),IF(Q309&gt;0,90,IF(Q309&lt;0,-90,0)))))</f>
        <v/>
      </c>
      <c r="T309" s="195">
        <f>IF(B309="","",LOG10(B309))</f>
        <v/>
      </c>
      <c r="U309" s="195">
        <f>IF(R309="","",LOG10(MAX(R309,1E-12)))</f>
        <v/>
      </c>
    </row>
    <row r="310">
      <c r="A310" t="n">
        <v>307</v>
      </c>
      <c r="B310" s="196">
        <f>IF(A310&lt;='入力・概要'!$B$40,10^(LOG10('入力・概要'!$B$38)+(A310-1)*(LOG10('入力・概要'!$B$39)-LOG10('入力・概要'!$B$38))/('入力・概要'!$B$40-1)),"")</f>
        <v/>
      </c>
      <c r="C310" s="195">
        <f>IF(B310="","",2*PI()*B310)</f>
        <v/>
      </c>
      <c r="D310" s="195">
        <f>IF(B310="","",ATANH(MIN(0.999999,(2*'入力・概要'!$B$17*'入力・概要'!$B$6)/'入力・概要'!$B$30))+'入力・概要'!$B$33*SQRT(B310/1E6)+(2*PI()*B310*'入力・概要'!$B$6/(299792458*'入力・概要'!$B$31))*'入力・概要'!$B$32/2)</f>
        <v/>
      </c>
      <c r="E310" s="195">
        <f>IF(B310="","",2*PI()*B310*'入力・概要'!$B$6/(299792458*'入力・概要'!$B$31))</f>
        <v/>
      </c>
      <c r="F310" s="195">
        <f>IF(B310="","",SINH(2*D310)/(COSH(2*D310)+COS(2*E310)))</f>
        <v/>
      </c>
      <c r="G310" s="195">
        <f>IF(B310="","",SIN(2*E310)/(COSH(2*D310)+COS(2*E310)))</f>
        <v/>
      </c>
      <c r="H310" s="195">
        <f>IF(B310="","",'入力・概要'!$B$34)</f>
        <v/>
      </c>
      <c r="I310" s="195">
        <f>IF(B310="","",C310*'入力・概要'!$B$35*1E-9)</f>
        <v/>
      </c>
      <c r="J310" s="195">
        <f>IF(B310="","",H310+'入力・概要'!$B$30*F310)</f>
        <v/>
      </c>
      <c r="K310" s="195">
        <f>IF(B310="","",I310+'入力・概要'!$B$30*G310)</f>
        <v/>
      </c>
      <c r="L310" s="195">
        <f>IF(B310="","",'入力・概要'!$B$30+H310*F310-I310*G310)</f>
        <v/>
      </c>
      <c r="M310" s="195">
        <f>IF(B310="","",H310*G310+I310*F310)</f>
        <v/>
      </c>
      <c r="N310" s="195">
        <f>IF(B310="","",'入力・概要'!$B$30*(J310*L310+K310*M310)/(L310^2+M310^2))</f>
        <v/>
      </c>
      <c r="O310" s="195">
        <f>IF(B310="","",'入力・概要'!$B$30*(K310*L310-J310*M310)/(L310^2+M310^2))</f>
        <v/>
      </c>
      <c r="P310" s="195">
        <f>IF(B310="","",N310+'入力・概要'!$B$36)</f>
        <v/>
      </c>
      <c r="Q310" s="195">
        <f>IF(B310="","",O310+C310*'入力・概要'!$B$37*1E-9)</f>
        <v/>
      </c>
      <c r="R310" s="195">
        <f>IF(B310="","",SQRT(P310^2+Q310^2))</f>
        <v/>
      </c>
      <c r="S310" s="195">
        <f>IF(B310="","",IF(P310&gt;0,DEGREES(ATAN(Q310/P310)),IF(P310&lt;0,IF(Q310&gt;=0,DEGREES(ATAN(Q310/P310))+180,DEGREES(ATAN(Q310/P310))-180),IF(Q310&gt;0,90,IF(Q310&lt;0,-90,0)))))</f>
        <v/>
      </c>
      <c r="T310" s="195">
        <f>IF(B310="","",LOG10(B310))</f>
        <v/>
      </c>
      <c r="U310" s="195">
        <f>IF(R310="","",LOG10(MAX(R310,1E-12)))</f>
        <v/>
      </c>
    </row>
    <row r="311">
      <c r="A311" t="n">
        <v>308</v>
      </c>
      <c r="B311" s="196">
        <f>IF(A311&lt;='入力・概要'!$B$40,10^(LOG10('入力・概要'!$B$38)+(A311-1)*(LOG10('入力・概要'!$B$39)-LOG10('入力・概要'!$B$38))/('入力・概要'!$B$40-1)),"")</f>
        <v/>
      </c>
      <c r="C311" s="195">
        <f>IF(B311="","",2*PI()*B311)</f>
        <v/>
      </c>
      <c r="D311" s="195">
        <f>IF(B311="","",ATANH(MIN(0.999999,(2*'入力・概要'!$B$17*'入力・概要'!$B$6)/'入力・概要'!$B$30))+'入力・概要'!$B$33*SQRT(B311/1E6)+(2*PI()*B311*'入力・概要'!$B$6/(299792458*'入力・概要'!$B$31))*'入力・概要'!$B$32/2)</f>
        <v/>
      </c>
      <c r="E311" s="195">
        <f>IF(B311="","",2*PI()*B311*'入力・概要'!$B$6/(299792458*'入力・概要'!$B$31))</f>
        <v/>
      </c>
      <c r="F311" s="195">
        <f>IF(B311="","",SINH(2*D311)/(COSH(2*D311)+COS(2*E311)))</f>
        <v/>
      </c>
      <c r="G311" s="195">
        <f>IF(B311="","",SIN(2*E311)/(COSH(2*D311)+COS(2*E311)))</f>
        <v/>
      </c>
      <c r="H311" s="195">
        <f>IF(B311="","",'入力・概要'!$B$34)</f>
        <v/>
      </c>
      <c r="I311" s="195">
        <f>IF(B311="","",C311*'入力・概要'!$B$35*1E-9)</f>
        <v/>
      </c>
      <c r="J311" s="195">
        <f>IF(B311="","",H311+'入力・概要'!$B$30*F311)</f>
        <v/>
      </c>
      <c r="K311" s="195">
        <f>IF(B311="","",I311+'入力・概要'!$B$30*G311)</f>
        <v/>
      </c>
      <c r="L311" s="195">
        <f>IF(B311="","",'入力・概要'!$B$30+H311*F311-I311*G311)</f>
        <v/>
      </c>
      <c r="M311" s="195">
        <f>IF(B311="","",H311*G311+I311*F311)</f>
        <v/>
      </c>
      <c r="N311" s="195">
        <f>IF(B311="","",'入力・概要'!$B$30*(J311*L311+K311*M311)/(L311^2+M311^2))</f>
        <v/>
      </c>
      <c r="O311" s="195">
        <f>IF(B311="","",'入力・概要'!$B$30*(K311*L311-J311*M311)/(L311^2+M311^2))</f>
        <v/>
      </c>
      <c r="P311" s="195">
        <f>IF(B311="","",N311+'入力・概要'!$B$36)</f>
        <v/>
      </c>
      <c r="Q311" s="195">
        <f>IF(B311="","",O311+C311*'入力・概要'!$B$37*1E-9)</f>
        <v/>
      </c>
      <c r="R311" s="195">
        <f>IF(B311="","",SQRT(P311^2+Q311^2))</f>
        <v/>
      </c>
      <c r="S311" s="195">
        <f>IF(B311="","",IF(P311&gt;0,DEGREES(ATAN(Q311/P311)),IF(P311&lt;0,IF(Q311&gt;=0,DEGREES(ATAN(Q311/P311))+180,DEGREES(ATAN(Q311/P311))-180),IF(Q311&gt;0,90,IF(Q311&lt;0,-90,0)))))</f>
        <v/>
      </c>
      <c r="T311" s="195">
        <f>IF(B311="","",LOG10(B311))</f>
        <v/>
      </c>
      <c r="U311" s="195">
        <f>IF(R311="","",LOG10(MAX(R311,1E-12)))</f>
        <v/>
      </c>
    </row>
    <row r="312">
      <c r="A312" t="n">
        <v>309</v>
      </c>
      <c r="B312" s="196">
        <f>IF(A312&lt;='入力・概要'!$B$40,10^(LOG10('入力・概要'!$B$38)+(A312-1)*(LOG10('入力・概要'!$B$39)-LOG10('入力・概要'!$B$38))/('入力・概要'!$B$40-1)),"")</f>
        <v/>
      </c>
      <c r="C312" s="195">
        <f>IF(B312="","",2*PI()*B312)</f>
        <v/>
      </c>
      <c r="D312" s="195">
        <f>IF(B312="","",ATANH(MIN(0.999999,(2*'入力・概要'!$B$17*'入力・概要'!$B$6)/'入力・概要'!$B$30))+'入力・概要'!$B$33*SQRT(B312/1E6)+(2*PI()*B312*'入力・概要'!$B$6/(299792458*'入力・概要'!$B$31))*'入力・概要'!$B$32/2)</f>
        <v/>
      </c>
      <c r="E312" s="195">
        <f>IF(B312="","",2*PI()*B312*'入力・概要'!$B$6/(299792458*'入力・概要'!$B$31))</f>
        <v/>
      </c>
      <c r="F312" s="195">
        <f>IF(B312="","",SINH(2*D312)/(COSH(2*D312)+COS(2*E312)))</f>
        <v/>
      </c>
      <c r="G312" s="195">
        <f>IF(B312="","",SIN(2*E312)/(COSH(2*D312)+COS(2*E312)))</f>
        <v/>
      </c>
      <c r="H312" s="195">
        <f>IF(B312="","",'入力・概要'!$B$34)</f>
        <v/>
      </c>
      <c r="I312" s="195">
        <f>IF(B312="","",C312*'入力・概要'!$B$35*1E-9)</f>
        <v/>
      </c>
      <c r="J312" s="195">
        <f>IF(B312="","",H312+'入力・概要'!$B$30*F312)</f>
        <v/>
      </c>
      <c r="K312" s="195">
        <f>IF(B312="","",I312+'入力・概要'!$B$30*G312)</f>
        <v/>
      </c>
      <c r="L312" s="195">
        <f>IF(B312="","",'入力・概要'!$B$30+H312*F312-I312*G312)</f>
        <v/>
      </c>
      <c r="M312" s="195">
        <f>IF(B312="","",H312*G312+I312*F312)</f>
        <v/>
      </c>
      <c r="N312" s="195">
        <f>IF(B312="","",'入力・概要'!$B$30*(J312*L312+K312*M312)/(L312^2+M312^2))</f>
        <v/>
      </c>
      <c r="O312" s="195">
        <f>IF(B312="","",'入力・概要'!$B$30*(K312*L312-J312*M312)/(L312^2+M312^2))</f>
        <v/>
      </c>
      <c r="P312" s="195">
        <f>IF(B312="","",N312+'入力・概要'!$B$36)</f>
        <v/>
      </c>
      <c r="Q312" s="195">
        <f>IF(B312="","",O312+C312*'入力・概要'!$B$37*1E-9)</f>
        <v/>
      </c>
      <c r="R312" s="195">
        <f>IF(B312="","",SQRT(P312^2+Q312^2))</f>
        <v/>
      </c>
      <c r="S312" s="195">
        <f>IF(B312="","",IF(P312&gt;0,DEGREES(ATAN(Q312/P312)),IF(P312&lt;0,IF(Q312&gt;=0,DEGREES(ATAN(Q312/P312))+180,DEGREES(ATAN(Q312/P312))-180),IF(Q312&gt;0,90,IF(Q312&lt;0,-90,0)))))</f>
        <v/>
      </c>
      <c r="T312" s="195">
        <f>IF(B312="","",LOG10(B312))</f>
        <v/>
      </c>
      <c r="U312" s="195">
        <f>IF(R312="","",LOG10(MAX(R312,1E-12)))</f>
        <v/>
      </c>
    </row>
    <row r="313">
      <c r="A313" t="n">
        <v>310</v>
      </c>
      <c r="B313" s="196">
        <f>IF(A313&lt;='入力・概要'!$B$40,10^(LOG10('入力・概要'!$B$38)+(A313-1)*(LOG10('入力・概要'!$B$39)-LOG10('入力・概要'!$B$38))/('入力・概要'!$B$40-1)),"")</f>
        <v/>
      </c>
      <c r="C313" s="195">
        <f>IF(B313="","",2*PI()*B313)</f>
        <v/>
      </c>
      <c r="D313" s="195">
        <f>IF(B313="","",ATANH(MIN(0.999999,(2*'入力・概要'!$B$17*'入力・概要'!$B$6)/'入力・概要'!$B$30))+'入力・概要'!$B$33*SQRT(B313/1E6)+(2*PI()*B313*'入力・概要'!$B$6/(299792458*'入力・概要'!$B$31))*'入力・概要'!$B$32/2)</f>
        <v/>
      </c>
      <c r="E313" s="195">
        <f>IF(B313="","",2*PI()*B313*'入力・概要'!$B$6/(299792458*'入力・概要'!$B$31))</f>
        <v/>
      </c>
      <c r="F313" s="195">
        <f>IF(B313="","",SINH(2*D313)/(COSH(2*D313)+COS(2*E313)))</f>
        <v/>
      </c>
      <c r="G313" s="195">
        <f>IF(B313="","",SIN(2*E313)/(COSH(2*D313)+COS(2*E313)))</f>
        <v/>
      </c>
      <c r="H313" s="195">
        <f>IF(B313="","",'入力・概要'!$B$34)</f>
        <v/>
      </c>
      <c r="I313" s="195">
        <f>IF(B313="","",C313*'入力・概要'!$B$35*1E-9)</f>
        <v/>
      </c>
      <c r="J313" s="195">
        <f>IF(B313="","",H313+'入力・概要'!$B$30*F313)</f>
        <v/>
      </c>
      <c r="K313" s="195">
        <f>IF(B313="","",I313+'入力・概要'!$B$30*G313)</f>
        <v/>
      </c>
      <c r="L313" s="195">
        <f>IF(B313="","",'入力・概要'!$B$30+H313*F313-I313*G313)</f>
        <v/>
      </c>
      <c r="M313" s="195">
        <f>IF(B313="","",H313*G313+I313*F313)</f>
        <v/>
      </c>
      <c r="N313" s="195">
        <f>IF(B313="","",'入力・概要'!$B$30*(J313*L313+K313*M313)/(L313^2+M313^2))</f>
        <v/>
      </c>
      <c r="O313" s="195">
        <f>IF(B313="","",'入力・概要'!$B$30*(K313*L313-J313*M313)/(L313^2+M313^2))</f>
        <v/>
      </c>
      <c r="P313" s="195">
        <f>IF(B313="","",N313+'入力・概要'!$B$36)</f>
        <v/>
      </c>
      <c r="Q313" s="195">
        <f>IF(B313="","",O313+C313*'入力・概要'!$B$37*1E-9)</f>
        <v/>
      </c>
      <c r="R313" s="195">
        <f>IF(B313="","",SQRT(P313^2+Q313^2))</f>
        <v/>
      </c>
      <c r="S313" s="195">
        <f>IF(B313="","",IF(P313&gt;0,DEGREES(ATAN(Q313/P313)),IF(P313&lt;0,IF(Q313&gt;=0,DEGREES(ATAN(Q313/P313))+180,DEGREES(ATAN(Q313/P313))-180),IF(Q313&gt;0,90,IF(Q313&lt;0,-90,0)))))</f>
        <v/>
      </c>
      <c r="T313" s="195">
        <f>IF(B313="","",LOG10(B313))</f>
        <v/>
      </c>
      <c r="U313" s="195">
        <f>IF(R313="","",LOG10(MAX(R313,1E-12)))</f>
        <v/>
      </c>
    </row>
    <row r="314">
      <c r="A314" t="n">
        <v>311</v>
      </c>
      <c r="B314" s="196">
        <f>IF(A314&lt;='入力・概要'!$B$40,10^(LOG10('入力・概要'!$B$38)+(A314-1)*(LOG10('入力・概要'!$B$39)-LOG10('入力・概要'!$B$38))/('入力・概要'!$B$40-1)),"")</f>
        <v/>
      </c>
      <c r="C314" s="195">
        <f>IF(B314="","",2*PI()*B314)</f>
        <v/>
      </c>
      <c r="D314" s="195">
        <f>IF(B314="","",ATANH(MIN(0.999999,(2*'入力・概要'!$B$17*'入力・概要'!$B$6)/'入力・概要'!$B$30))+'入力・概要'!$B$33*SQRT(B314/1E6)+(2*PI()*B314*'入力・概要'!$B$6/(299792458*'入力・概要'!$B$31))*'入力・概要'!$B$32/2)</f>
        <v/>
      </c>
      <c r="E314" s="195">
        <f>IF(B314="","",2*PI()*B314*'入力・概要'!$B$6/(299792458*'入力・概要'!$B$31))</f>
        <v/>
      </c>
      <c r="F314" s="195">
        <f>IF(B314="","",SINH(2*D314)/(COSH(2*D314)+COS(2*E314)))</f>
        <v/>
      </c>
      <c r="G314" s="195">
        <f>IF(B314="","",SIN(2*E314)/(COSH(2*D314)+COS(2*E314)))</f>
        <v/>
      </c>
      <c r="H314" s="195">
        <f>IF(B314="","",'入力・概要'!$B$34)</f>
        <v/>
      </c>
      <c r="I314" s="195">
        <f>IF(B314="","",C314*'入力・概要'!$B$35*1E-9)</f>
        <v/>
      </c>
      <c r="J314" s="195">
        <f>IF(B314="","",H314+'入力・概要'!$B$30*F314)</f>
        <v/>
      </c>
      <c r="K314" s="195">
        <f>IF(B314="","",I314+'入力・概要'!$B$30*G314)</f>
        <v/>
      </c>
      <c r="L314" s="195">
        <f>IF(B314="","",'入力・概要'!$B$30+H314*F314-I314*G314)</f>
        <v/>
      </c>
      <c r="M314" s="195">
        <f>IF(B314="","",H314*G314+I314*F314)</f>
        <v/>
      </c>
      <c r="N314" s="195">
        <f>IF(B314="","",'入力・概要'!$B$30*(J314*L314+K314*M314)/(L314^2+M314^2))</f>
        <v/>
      </c>
      <c r="O314" s="195">
        <f>IF(B314="","",'入力・概要'!$B$30*(K314*L314-J314*M314)/(L314^2+M314^2))</f>
        <v/>
      </c>
      <c r="P314" s="195">
        <f>IF(B314="","",N314+'入力・概要'!$B$36)</f>
        <v/>
      </c>
      <c r="Q314" s="195">
        <f>IF(B314="","",O314+C314*'入力・概要'!$B$37*1E-9)</f>
        <v/>
      </c>
      <c r="R314" s="195">
        <f>IF(B314="","",SQRT(P314^2+Q314^2))</f>
        <v/>
      </c>
      <c r="S314" s="195">
        <f>IF(B314="","",IF(P314&gt;0,DEGREES(ATAN(Q314/P314)),IF(P314&lt;0,IF(Q314&gt;=0,DEGREES(ATAN(Q314/P314))+180,DEGREES(ATAN(Q314/P314))-180),IF(Q314&gt;0,90,IF(Q314&lt;0,-90,0)))))</f>
        <v/>
      </c>
      <c r="T314" s="195">
        <f>IF(B314="","",LOG10(B314))</f>
        <v/>
      </c>
      <c r="U314" s="195">
        <f>IF(R314="","",LOG10(MAX(R314,1E-12)))</f>
        <v/>
      </c>
    </row>
    <row r="315">
      <c r="A315" t="n">
        <v>312</v>
      </c>
      <c r="B315" s="196">
        <f>IF(A315&lt;='入力・概要'!$B$40,10^(LOG10('入力・概要'!$B$38)+(A315-1)*(LOG10('入力・概要'!$B$39)-LOG10('入力・概要'!$B$38))/('入力・概要'!$B$40-1)),"")</f>
        <v/>
      </c>
      <c r="C315" s="195">
        <f>IF(B315="","",2*PI()*B315)</f>
        <v/>
      </c>
      <c r="D315" s="195">
        <f>IF(B315="","",ATANH(MIN(0.999999,(2*'入力・概要'!$B$17*'入力・概要'!$B$6)/'入力・概要'!$B$30))+'入力・概要'!$B$33*SQRT(B315/1E6)+(2*PI()*B315*'入力・概要'!$B$6/(299792458*'入力・概要'!$B$31))*'入力・概要'!$B$32/2)</f>
        <v/>
      </c>
      <c r="E315" s="195">
        <f>IF(B315="","",2*PI()*B315*'入力・概要'!$B$6/(299792458*'入力・概要'!$B$31))</f>
        <v/>
      </c>
      <c r="F315" s="195">
        <f>IF(B315="","",SINH(2*D315)/(COSH(2*D315)+COS(2*E315)))</f>
        <v/>
      </c>
      <c r="G315" s="195">
        <f>IF(B315="","",SIN(2*E315)/(COSH(2*D315)+COS(2*E315)))</f>
        <v/>
      </c>
      <c r="H315" s="195">
        <f>IF(B315="","",'入力・概要'!$B$34)</f>
        <v/>
      </c>
      <c r="I315" s="195">
        <f>IF(B315="","",C315*'入力・概要'!$B$35*1E-9)</f>
        <v/>
      </c>
      <c r="J315" s="195">
        <f>IF(B315="","",H315+'入力・概要'!$B$30*F315)</f>
        <v/>
      </c>
      <c r="K315" s="195">
        <f>IF(B315="","",I315+'入力・概要'!$B$30*G315)</f>
        <v/>
      </c>
      <c r="L315" s="195">
        <f>IF(B315="","",'入力・概要'!$B$30+H315*F315-I315*G315)</f>
        <v/>
      </c>
      <c r="M315" s="195">
        <f>IF(B315="","",H315*G315+I315*F315)</f>
        <v/>
      </c>
      <c r="N315" s="195">
        <f>IF(B315="","",'入力・概要'!$B$30*(J315*L315+K315*M315)/(L315^2+M315^2))</f>
        <v/>
      </c>
      <c r="O315" s="195">
        <f>IF(B315="","",'入力・概要'!$B$30*(K315*L315-J315*M315)/(L315^2+M315^2))</f>
        <v/>
      </c>
      <c r="P315" s="195">
        <f>IF(B315="","",N315+'入力・概要'!$B$36)</f>
        <v/>
      </c>
      <c r="Q315" s="195">
        <f>IF(B315="","",O315+C315*'入力・概要'!$B$37*1E-9)</f>
        <v/>
      </c>
      <c r="R315" s="195">
        <f>IF(B315="","",SQRT(P315^2+Q315^2))</f>
        <v/>
      </c>
      <c r="S315" s="195">
        <f>IF(B315="","",IF(P315&gt;0,DEGREES(ATAN(Q315/P315)),IF(P315&lt;0,IF(Q315&gt;=0,DEGREES(ATAN(Q315/P315))+180,DEGREES(ATAN(Q315/P315))-180),IF(Q315&gt;0,90,IF(Q315&lt;0,-90,0)))))</f>
        <v/>
      </c>
      <c r="T315" s="195">
        <f>IF(B315="","",LOG10(B315))</f>
        <v/>
      </c>
      <c r="U315" s="195">
        <f>IF(R315="","",LOG10(MAX(R315,1E-12)))</f>
        <v/>
      </c>
    </row>
    <row r="316">
      <c r="A316" t="n">
        <v>313</v>
      </c>
      <c r="B316" s="196">
        <f>IF(A316&lt;='入力・概要'!$B$40,10^(LOG10('入力・概要'!$B$38)+(A316-1)*(LOG10('入力・概要'!$B$39)-LOG10('入力・概要'!$B$38))/('入力・概要'!$B$40-1)),"")</f>
        <v/>
      </c>
      <c r="C316" s="195">
        <f>IF(B316="","",2*PI()*B316)</f>
        <v/>
      </c>
      <c r="D316" s="195">
        <f>IF(B316="","",ATANH(MIN(0.999999,(2*'入力・概要'!$B$17*'入力・概要'!$B$6)/'入力・概要'!$B$30))+'入力・概要'!$B$33*SQRT(B316/1E6)+(2*PI()*B316*'入力・概要'!$B$6/(299792458*'入力・概要'!$B$31))*'入力・概要'!$B$32/2)</f>
        <v/>
      </c>
      <c r="E316" s="195">
        <f>IF(B316="","",2*PI()*B316*'入力・概要'!$B$6/(299792458*'入力・概要'!$B$31))</f>
        <v/>
      </c>
      <c r="F316" s="195">
        <f>IF(B316="","",SINH(2*D316)/(COSH(2*D316)+COS(2*E316)))</f>
        <v/>
      </c>
      <c r="G316" s="195">
        <f>IF(B316="","",SIN(2*E316)/(COSH(2*D316)+COS(2*E316)))</f>
        <v/>
      </c>
      <c r="H316" s="195">
        <f>IF(B316="","",'入力・概要'!$B$34)</f>
        <v/>
      </c>
      <c r="I316" s="195">
        <f>IF(B316="","",C316*'入力・概要'!$B$35*1E-9)</f>
        <v/>
      </c>
      <c r="J316" s="195">
        <f>IF(B316="","",H316+'入力・概要'!$B$30*F316)</f>
        <v/>
      </c>
      <c r="K316" s="195">
        <f>IF(B316="","",I316+'入力・概要'!$B$30*G316)</f>
        <v/>
      </c>
      <c r="L316" s="195">
        <f>IF(B316="","",'入力・概要'!$B$30+H316*F316-I316*G316)</f>
        <v/>
      </c>
      <c r="M316" s="195">
        <f>IF(B316="","",H316*G316+I316*F316)</f>
        <v/>
      </c>
      <c r="N316" s="195">
        <f>IF(B316="","",'入力・概要'!$B$30*(J316*L316+K316*M316)/(L316^2+M316^2))</f>
        <v/>
      </c>
      <c r="O316" s="195">
        <f>IF(B316="","",'入力・概要'!$B$30*(K316*L316-J316*M316)/(L316^2+M316^2))</f>
        <v/>
      </c>
      <c r="P316" s="195">
        <f>IF(B316="","",N316+'入力・概要'!$B$36)</f>
        <v/>
      </c>
      <c r="Q316" s="195">
        <f>IF(B316="","",O316+C316*'入力・概要'!$B$37*1E-9)</f>
        <v/>
      </c>
      <c r="R316" s="195">
        <f>IF(B316="","",SQRT(P316^2+Q316^2))</f>
        <v/>
      </c>
      <c r="S316" s="195">
        <f>IF(B316="","",IF(P316&gt;0,DEGREES(ATAN(Q316/P316)),IF(P316&lt;0,IF(Q316&gt;=0,DEGREES(ATAN(Q316/P316))+180,DEGREES(ATAN(Q316/P316))-180),IF(Q316&gt;0,90,IF(Q316&lt;0,-90,0)))))</f>
        <v/>
      </c>
      <c r="T316" s="195">
        <f>IF(B316="","",LOG10(B316))</f>
        <v/>
      </c>
      <c r="U316" s="195">
        <f>IF(R316="","",LOG10(MAX(R316,1E-12)))</f>
        <v/>
      </c>
    </row>
    <row r="317">
      <c r="A317" t="n">
        <v>314</v>
      </c>
      <c r="B317" s="196">
        <f>IF(A317&lt;='入力・概要'!$B$40,10^(LOG10('入力・概要'!$B$38)+(A317-1)*(LOG10('入力・概要'!$B$39)-LOG10('入力・概要'!$B$38))/('入力・概要'!$B$40-1)),"")</f>
        <v/>
      </c>
      <c r="C317" s="195">
        <f>IF(B317="","",2*PI()*B317)</f>
        <v/>
      </c>
      <c r="D317" s="195">
        <f>IF(B317="","",ATANH(MIN(0.999999,(2*'入力・概要'!$B$17*'入力・概要'!$B$6)/'入力・概要'!$B$30))+'入力・概要'!$B$33*SQRT(B317/1E6)+(2*PI()*B317*'入力・概要'!$B$6/(299792458*'入力・概要'!$B$31))*'入力・概要'!$B$32/2)</f>
        <v/>
      </c>
      <c r="E317" s="195">
        <f>IF(B317="","",2*PI()*B317*'入力・概要'!$B$6/(299792458*'入力・概要'!$B$31))</f>
        <v/>
      </c>
      <c r="F317" s="195">
        <f>IF(B317="","",SINH(2*D317)/(COSH(2*D317)+COS(2*E317)))</f>
        <v/>
      </c>
      <c r="G317" s="195">
        <f>IF(B317="","",SIN(2*E317)/(COSH(2*D317)+COS(2*E317)))</f>
        <v/>
      </c>
      <c r="H317" s="195">
        <f>IF(B317="","",'入力・概要'!$B$34)</f>
        <v/>
      </c>
      <c r="I317" s="195">
        <f>IF(B317="","",C317*'入力・概要'!$B$35*1E-9)</f>
        <v/>
      </c>
      <c r="J317" s="195">
        <f>IF(B317="","",H317+'入力・概要'!$B$30*F317)</f>
        <v/>
      </c>
      <c r="K317" s="195">
        <f>IF(B317="","",I317+'入力・概要'!$B$30*G317)</f>
        <v/>
      </c>
      <c r="L317" s="195">
        <f>IF(B317="","",'入力・概要'!$B$30+H317*F317-I317*G317)</f>
        <v/>
      </c>
      <c r="M317" s="195">
        <f>IF(B317="","",H317*G317+I317*F317)</f>
        <v/>
      </c>
      <c r="N317" s="195">
        <f>IF(B317="","",'入力・概要'!$B$30*(J317*L317+K317*M317)/(L317^2+M317^2))</f>
        <v/>
      </c>
      <c r="O317" s="195">
        <f>IF(B317="","",'入力・概要'!$B$30*(K317*L317-J317*M317)/(L317^2+M317^2))</f>
        <v/>
      </c>
      <c r="P317" s="195">
        <f>IF(B317="","",N317+'入力・概要'!$B$36)</f>
        <v/>
      </c>
      <c r="Q317" s="195">
        <f>IF(B317="","",O317+C317*'入力・概要'!$B$37*1E-9)</f>
        <v/>
      </c>
      <c r="R317" s="195">
        <f>IF(B317="","",SQRT(P317^2+Q317^2))</f>
        <v/>
      </c>
      <c r="S317" s="195">
        <f>IF(B317="","",IF(P317&gt;0,DEGREES(ATAN(Q317/P317)),IF(P317&lt;0,IF(Q317&gt;=0,DEGREES(ATAN(Q317/P317))+180,DEGREES(ATAN(Q317/P317))-180),IF(Q317&gt;0,90,IF(Q317&lt;0,-90,0)))))</f>
        <v/>
      </c>
      <c r="T317" s="195">
        <f>IF(B317="","",LOG10(B317))</f>
        <v/>
      </c>
      <c r="U317" s="195">
        <f>IF(R317="","",LOG10(MAX(R317,1E-12)))</f>
        <v/>
      </c>
    </row>
    <row r="318">
      <c r="A318" t="n">
        <v>315</v>
      </c>
      <c r="B318" s="196">
        <f>IF(A318&lt;='入力・概要'!$B$40,10^(LOG10('入力・概要'!$B$38)+(A318-1)*(LOG10('入力・概要'!$B$39)-LOG10('入力・概要'!$B$38))/('入力・概要'!$B$40-1)),"")</f>
        <v/>
      </c>
      <c r="C318" s="195">
        <f>IF(B318="","",2*PI()*B318)</f>
        <v/>
      </c>
      <c r="D318" s="195">
        <f>IF(B318="","",ATANH(MIN(0.999999,(2*'入力・概要'!$B$17*'入力・概要'!$B$6)/'入力・概要'!$B$30))+'入力・概要'!$B$33*SQRT(B318/1E6)+(2*PI()*B318*'入力・概要'!$B$6/(299792458*'入力・概要'!$B$31))*'入力・概要'!$B$32/2)</f>
        <v/>
      </c>
      <c r="E318" s="195">
        <f>IF(B318="","",2*PI()*B318*'入力・概要'!$B$6/(299792458*'入力・概要'!$B$31))</f>
        <v/>
      </c>
      <c r="F318" s="195">
        <f>IF(B318="","",SINH(2*D318)/(COSH(2*D318)+COS(2*E318)))</f>
        <v/>
      </c>
      <c r="G318" s="195">
        <f>IF(B318="","",SIN(2*E318)/(COSH(2*D318)+COS(2*E318)))</f>
        <v/>
      </c>
      <c r="H318" s="195">
        <f>IF(B318="","",'入力・概要'!$B$34)</f>
        <v/>
      </c>
      <c r="I318" s="195">
        <f>IF(B318="","",C318*'入力・概要'!$B$35*1E-9)</f>
        <v/>
      </c>
      <c r="J318" s="195">
        <f>IF(B318="","",H318+'入力・概要'!$B$30*F318)</f>
        <v/>
      </c>
      <c r="K318" s="195">
        <f>IF(B318="","",I318+'入力・概要'!$B$30*G318)</f>
        <v/>
      </c>
      <c r="L318" s="195">
        <f>IF(B318="","",'入力・概要'!$B$30+H318*F318-I318*G318)</f>
        <v/>
      </c>
      <c r="M318" s="195">
        <f>IF(B318="","",H318*G318+I318*F318)</f>
        <v/>
      </c>
      <c r="N318" s="195">
        <f>IF(B318="","",'入力・概要'!$B$30*(J318*L318+K318*M318)/(L318^2+M318^2))</f>
        <v/>
      </c>
      <c r="O318" s="195">
        <f>IF(B318="","",'入力・概要'!$B$30*(K318*L318-J318*M318)/(L318^2+M318^2))</f>
        <v/>
      </c>
      <c r="P318" s="195">
        <f>IF(B318="","",N318+'入力・概要'!$B$36)</f>
        <v/>
      </c>
      <c r="Q318" s="195">
        <f>IF(B318="","",O318+C318*'入力・概要'!$B$37*1E-9)</f>
        <v/>
      </c>
      <c r="R318" s="195">
        <f>IF(B318="","",SQRT(P318^2+Q318^2))</f>
        <v/>
      </c>
      <c r="S318" s="195">
        <f>IF(B318="","",IF(P318&gt;0,DEGREES(ATAN(Q318/P318)),IF(P318&lt;0,IF(Q318&gt;=0,DEGREES(ATAN(Q318/P318))+180,DEGREES(ATAN(Q318/P318))-180),IF(Q318&gt;0,90,IF(Q318&lt;0,-90,0)))))</f>
        <v/>
      </c>
      <c r="T318" s="195">
        <f>IF(B318="","",LOG10(B318))</f>
        <v/>
      </c>
      <c r="U318" s="195">
        <f>IF(R318="","",LOG10(MAX(R318,1E-12)))</f>
        <v/>
      </c>
    </row>
    <row r="319">
      <c r="A319" t="n">
        <v>316</v>
      </c>
      <c r="B319" s="196">
        <f>IF(A319&lt;='入力・概要'!$B$40,10^(LOG10('入力・概要'!$B$38)+(A319-1)*(LOG10('入力・概要'!$B$39)-LOG10('入力・概要'!$B$38))/('入力・概要'!$B$40-1)),"")</f>
        <v/>
      </c>
      <c r="C319" s="195">
        <f>IF(B319="","",2*PI()*B319)</f>
        <v/>
      </c>
      <c r="D319" s="195">
        <f>IF(B319="","",ATANH(MIN(0.999999,(2*'入力・概要'!$B$17*'入力・概要'!$B$6)/'入力・概要'!$B$30))+'入力・概要'!$B$33*SQRT(B319/1E6)+(2*PI()*B319*'入力・概要'!$B$6/(299792458*'入力・概要'!$B$31))*'入力・概要'!$B$32/2)</f>
        <v/>
      </c>
      <c r="E319" s="195">
        <f>IF(B319="","",2*PI()*B319*'入力・概要'!$B$6/(299792458*'入力・概要'!$B$31))</f>
        <v/>
      </c>
      <c r="F319" s="195">
        <f>IF(B319="","",SINH(2*D319)/(COSH(2*D319)+COS(2*E319)))</f>
        <v/>
      </c>
      <c r="G319" s="195">
        <f>IF(B319="","",SIN(2*E319)/(COSH(2*D319)+COS(2*E319)))</f>
        <v/>
      </c>
      <c r="H319" s="195">
        <f>IF(B319="","",'入力・概要'!$B$34)</f>
        <v/>
      </c>
      <c r="I319" s="195">
        <f>IF(B319="","",C319*'入力・概要'!$B$35*1E-9)</f>
        <v/>
      </c>
      <c r="J319" s="195">
        <f>IF(B319="","",H319+'入力・概要'!$B$30*F319)</f>
        <v/>
      </c>
      <c r="K319" s="195">
        <f>IF(B319="","",I319+'入力・概要'!$B$30*G319)</f>
        <v/>
      </c>
      <c r="L319" s="195">
        <f>IF(B319="","",'入力・概要'!$B$30+H319*F319-I319*G319)</f>
        <v/>
      </c>
      <c r="M319" s="195">
        <f>IF(B319="","",H319*G319+I319*F319)</f>
        <v/>
      </c>
      <c r="N319" s="195">
        <f>IF(B319="","",'入力・概要'!$B$30*(J319*L319+K319*M319)/(L319^2+M319^2))</f>
        <v/>
      </c>
      <c r="O319" s="195">
        <f>IF(B319="","",'入力・概要'!$B$30*(K319*L319-J319*M319)/(L319^2+M319^2))</f>
        <v/>
      </c>
      <c r="P319" s="195">
        <f>IF(B319="","",N319+'入力・概要'!$B$36)</f>
        <v/>
      </c>
      <c r="Q319" s="195">
        <f>IF(B319="","",O319+C319*'入力・概要'!$B$37*1E-9)</f>
        <v/>
      </c>
      <c r="R319" s="195">
        <f>IF(B319="","",SQRT(P319^2+Q319^2))</f>
        <v/>
      </c>
      <c r="S319" s="195">
        <f>IF(B319="","",IF(P319&gt;0,DEGREES(ATAN(Q319/P319)),IF(P319&lt;0,IF(Q319&gt;=0,DEGREES(ATAN(Q319/P319))+180,DEGREES(ATAN(Q319/P319))-180),IF(Q319&gt;0,90,IF(Q319&lt;0,-90,0)))))</f>
        <v/>
      </c>
      <c r="T319" s="195">
        <f>IF(B319="","",LOG10(B319))</f>
        <v/>
      </c>
      <c r="U319" s="195">
        <f>IF(R319="","",LOG10(MAX(R319,1E-12)))</f>
        <v/>
      </c>
    </row>
    <row r="320">
      <c r="A320" t="n">
        <v>317</v>
      </c>
      <c r="B320" s="196">
        <f>IF(A320&lt;='入力・概要'!$B$40,10^(LOG10('入力・概要'!$B$38)+(A320-1)*(LOG10('入力・概要'!$B$39)-LOG10('入力・概要'!$B$38))/('入力・概要'!$B$40-1)),"")</f>
        <v/>
      </c>
      <c r="C320" s="195">
        <f>IF(B320="","",2*PI()*B320)</f>
        <v/>
      </c>
      <c r="D320" s="195">
        <f>IF(B320="","",ATANH(MIN(0.999999,(2*'入力・概要'!$B$17*'入力・概要'!$B$6)/'入力・概要'!$B$30))+'入力・概要'!$B$33*SQRT(B320/1E6)+(2*PI()*B320*'入力・概要'!$B$6/(299792458*'入力・概要'!$B$31))*'入力・概要'!$B$32/2)</f>
        <v/>
      </c>
      <c r="E320" s="195">
        <f>IF(B320="","",2*PI()*B320*'入力・概要'!$B$6/(299792458*'入力・概要'!$B$31))</f>
        <v/>
      </c>
      <c r="F320" s="195">
        <f>IF(B320="","",SINH(2*D320)/(COSH(2*D320)+COS(2*E320)))</f>
        <v/>
      </c>
      <c r="G320" s="195">
        <f>IF(B320="","",SIN(2*E320)/(COSH(2*D320)+COS(2*E320)))</f>
        <v/>
      </c>
      <c r="H320" s="195">
        <f>IF(B320="","",'入力・概要'!$B$34)</f>
        <v/>
      </c>
      <c r="I320" s="195">
        <f>IF(B320="","",C320*'入力・概要'!$B$35*1E-9)</f>
        <v/>
      </c>
      <c r="J320" s="195">
        <f>IF(B320="","",H320+'入力・概要'!$B$30*F320)</f>
        <v/>
      </c>
      <c r="K320" s="195">
        <f>IF(B320="","",I320+'入力・概要'!$B$30*G320)</f>
        <v/>
      </c>
      <c r="L320" s="195">
        <f>IF(B320="","",'入力・概要'!$B$30+H320*F320-I320*G320)</f>
        <v/>
      </c>
      <c r="M320" s="195">
        <f>IF(B320="","",H320*G320+I320*F320)</f>
        <v/>
      </c>
      <c r="N320" s="195">
        <f>IF(B320="","",'入力・概要'!$B$30*(J320*L320+K320*M320)/(L320^2+M320^2))</f>
        <v/>
      </c>
      <c r="O320" s="195">
        <f>IF(B320="","",'入力・概要'!$B$30*(K320*L320-J320*M320)/(L320^2+M320^2))</f>
        <v/>
      </c>
      <c r="P320" s="195">
        <f>IF(B320="","",N320+'入力・概要'!$B$36)</f>
        <v/>
      </c>
      <c r="Q320" s="195">
        <f>IF(B320="","",O320+C320*'入力・概要'!$B$37*1E-9)</f>
        <v/>
      </c>
      <c r="R320" s="195">
        <f>IF(B320="","",SQRT(P320^2+Q320^2))</f>
        <v/>
      </c>
      <c r="S320" s="195">
        <f>IF(B320="","",IF(P320&gt;0,DEGREES(ATAN(Q320/P320)),IF(P320&lt;0,IF(Q320&gt;=0,DEGREES(ATAN(Q320/P320))+180,DEGREES(ATAN(Q320/P320))-180),IF(Q320&gt;0,90,IF(Q320&lt;0,-90,0)))))</f>
        <v/>
      </c>
      <c r="T320" s="195">
        <f>IF(B320="","",LOG10(B320))</f>
        <v/>
      </c>
      <c r="U320" s="195">
        <f>IF(R320="","",LOG10(MAX(R320,1E-12)))</f>
        <v/>
      </c>
    </row>
    <row r="321">
      <c r="A321" t="n">
        <v>318</v>
      </c>
      <c r="B321" s="196">
        <f>IF(A321&lt;='入力・概要'!$B$40,10^(LOG10('入力・概要'!$B$38)+(A321-1)*(LOG10('入力・概要'!$B$39)-LOG10('入力・概要'!$B$38))/('入力・概要'!$B$40-1)),"")</f>
        <v/>
      </c>
      <c r="C321" s="195">
        <f>IF(B321="","",2*PI()*B321)</f>
        <v/>
      </c>
      <c r="D321" s="195">
        <f>IF(B321="","",ATANH(MIN(0.999999,(2*'入力・概要'!$B$17*'入力・概要'!$B$6)/'入力・概要'!$B$30))+'入力・概要'!$B$33*SQRT(B321/1E6)+(2*PI()*B321*'入力・概要'!$B$6/(299792458*'入力・概要'!$B$31))*'入力・概要'!$B$32/2)</f>
        <v/>
      </c>
      <c r="E321" s="195">
        <f>IF(B321="","",2*PI()*B321*'入力・概要'!$B$6/(299792458*'入力・概要'!$B$31))</f>
        <v/>
      </c>
      <c r="F321" s="195">
        <f>IF(B321="","",SINH(2*D321)/(COSH(2*D321)+COS(2*E321)))</f>
        <v/>
      </c>
      <c r="G321" s="195">
        <f>IF(B321="","",SIN(2*E321)/(COSH(2*D321)+COS(2*E321)))</f>
        <v/>
      </c>
      <c r="H321" s="195">
        <f>IF(B321="","",'入力・概要'!$B$34)</f>
        <v/>
      </c>
      <c r="I321" s="195">
        <f>IF(B321="","",C321*'入力・概要'!$B$35*1E-9)</f>
        <v/>
      </c>
      <c r="J321" s="195">
        <f>IF(B321="","",H321+'入力・概要'!$B$30*F321)</f>
        <v/>
      </c>
      <c r="K321" s="195">
        <f>IF(B321="","",I321+'入力・概要'!$B$30*G321)</f>
        <v/>
      </c>
      <c r="L321" s="195">
        <f>IF(B321="","",'入力・概要'!$B$30+H321*F321-I321*G321)</f>
        <v/>
      </c>
      <c r="M321" s="195">
        <f>IF(B321="","",H321*G321+I321*F321)</f>
        <v/>
      </c>
      <c r="N321" s="195">
        <f>IF(B321="","",'入力・概要'!$B$30*(J321*L321+K321*M321)/(L321^2+M321^2))</f>
        <v/>
      </c>
      <c r="O321" s="195">
        <f>IF(B321="","",'入力・概要'!$B$30*(K321*L321-J321*M321)/(L321^2+M321^2))</f>
        <v/>
      </c>
      <c r="P321" s="195">
        <f>IF(B321="","",N321+'入力・概要'!$B$36)</f>
        <v/>
      </c>
      <c r="Q321" s="195">
        <f>IF(B321="","",O321+C321*'入力・概要'!$B$37*1E-9)</f>
        <v/>
      </c>
      <c r="R321" s="195">
        <f>IF(B321="","",SQRT(P321^2+Q321^2))</f>
        <v/>
      </c>
      <c r="S321" s="195">
        <f>IF(B321="","",IF(P321&gt;0,DEGREES(ATAN(Q321/P321)),IF(P321&lt;0,IF(Q321&gt;=0,DEGREES(ATAN(Q321/P321))+180,DEGREES(ATAN(Q321/P321))-180),IF(Q321&gt;0,90,IF(Q321&lt;0,-90,0)))))</f>
        <v/>
      </c>
      <c r="T321" s="195">
        <f>IF(B321="","",LOG10(B321))</f>
        <v/>
      </c>
      <c r="U321" s="195">
        <f>IF(R321="","",LOG10(MAX(R321,1E-12)))</f>
        <v/>
      </c>
    </row>
    <row r="322">
      <c r="A322" t="n">
        <v>319</v>
      </c>
      <c r="B322" s="196">
        <f>IF(A322&lt;='入力・概要'!$B$40,10^(LOG10('入力・概要'!$B$38)+(A322-1)*(LOG10('入力・概要'!$B$39)-LOG10('入力・概要'!$B$38))/('入力・概要'!$B$40-1)),"")</f>
        <v/>
      </c>
      <c r="C322" s="195">
        <f>IF(B322="","",2*PI()*B322)</f>
        <v/>
      </c>
      <c r="D322" s="195">
        <f>IF(B322="","",ATANH(MIN(0.999999,(2*'入力・概要'!$B$17*'入力・概要'!$B$6)/'入力・概要'!$B$30))+'入力・概要'!$B$33*SQRT(B322/1E6)+(2*PI()*B322*'入力・概要'!$B$6/(299792458*'入力・概要'!$B$31))*'入力・概要'!$B$32/2)</f>
        <v/>
      </c>
      <c r="E322" s="195">
        <f>IF(B322="","",2*PI()*B322*'入力・概要'!$B$6/(299792458*'入力・概要'!$B$31))</f>
        <v/>
      </c>
      <c r="F322" s="195">
        <f>IF(B322="","",SINH(2*D322)/(COSH(2*D322)+COS(2*E322)))</f>
        <v/>
      </c>
      <c r="G322" s="195">
        <f>IF(B322="","",SIN(2*E322)/(COSH(2*D322)+COS(2*E322)))</f>
        <v/>
      </c>
      <c r="H322" s="195">
        <f>IF(B322="","",'入力・概要'!$B$34)</f>
        <v/>
      </c>
      <c r="I322" s="195">
        <f>IF(B322="","",C322*'入力・概要'!$B$35*1E-9)</f>
        <v/>
      </c>
      <c r="J322" s="195">
        <f>IF(B322="","",H322+'入力・概要'!$B$30*F322)</f>
        <v/>
      </c>
      <c r="K322" s="195">
        <f>IF(B322="","",I322+'入力・概要'!$B$30*G322)</f>
        <v/>
      </c>
      <c r="L322" s="195">
        <f>IF(B322="","",'入力・概要'!$B$30+H322*F322-I322*G322)</f>
        <v/>
      </c>
      <c r="M322" s="195">
        <f>IF(B322="","",H322*G322+I322*F322)</f>
        <v/>
      </c>
      <c r="N322" s="195">
        <f>IF(B322="","",'入力・概要'!$B$30*(J322*L322+K322*M322)/(L322^2+M322^2))</f>
        <v/>
      </c>
      <c r="O322" s="195">
        <f>IF(B322="","",'入力・概要'!$B$30*(K322*L322-J322*M322)/(L322^2+M322^2))</f>
        <v/>
      </c>
      <c r="P322" s="195">
        <f>IF(B322="","",N322+'入力・概要'!$B$36)</f>
        <v/>
      </c>
      <c r="Q322" s="195">
        <f>IF(B322="","",O322+C322*'入力・概要'!$B$37*1E-9)</f>
        <v/>
      </c>
      <c r="R322" s="195">
        <f>IF(B322="","",SQRT(P322^2+Q322^2))</f>
        <v/>
      </c>
      <c r="S322" s="195">
        <f>IF(B322="","",IF(P322&gt;0,DEGREES(ATAN(Q322/P322)),IF(P322&lt;0,IF(Q322&gt;=0,DEGREES(ATAN(Q322/P322))+180,DEGREES(ATAN(Q322/P322))-180),IF(Q322&gt;0,90,IF(Q322&lt;0,-90,0)))))</f>
        <v/>
      </c>
      <c r="T322" s="195">
        <f>IF(B322="","",LOG10(B322))</f>
        <v/>
      </c>
      <c r="U322" s="195">
        <f>IF(R322="","",LOG10(MAX(R322,1E-12)))</f>
        <v/>
      </c>
    </row>
    <row r="323">
      <c r="A323" t="n">
        <v>320</v>
      </c>
      <c r="B323" s="196">
        <f>IF(A323&lt;='入力・概要'!$B$40,10^(LOG10('入力・概要'!$B$38)+(A323-1)*(LOG10('入力・概要'!$B$39)-LOG10('入力・概要'!$B$38))/('入力・概要'!$B$40-1)),"")</f>
        <v/>
      </c>
      <c r="C323" s="195">
        <f>IF(B323="","",2*PI()*B323)</f>
        <v/>
      </c>
      <c r="D323" s="195">
        <f>IF(B323="","",ATANH(MIN(0.999999,(2*'入力・概要'!$B$17*'入力・概要'!$B$6)/'入力・概要'!$B$30))+'入力・概要'!$B$33*SQRT(B323/1E6)+(2*PI()*B323*'入力・概要'!$B$6/(299792458*'入力・概要'!$B$31))*'入力・概要'!$B$32/2)</f>
        <v/>
      </c>
      <c r="E323" s="195">
        <f>IF(B323="","",2*PI()*B323*'入力・概要'!$B$6/(299792458*'入力・概要'!$B$31))</f>
        <v/>
      </c>
      <c r="F323" s="195">
        <f>IF(B323="","",SINH(2*D323)/(COSH(2*D323)+COS(2*E323)))</f>
        <v/>
      </c>
      <c r="G323" s="195">
        <f>IF(B323="","",SIN(2*E323)/(COSH(2*D323)+COS(2*E323)))</f>
        <v/>
      </c>
      <c r="H323" s="195">
        <f>IF(B323="","",'入力・概要'!$B$34)</f>
        <v/>
      </c>
      <c r="I323" s="195">
        <f>IF(B323="","",C323*'入力・概要'!$B$35*1E-9)</f>
        <v/>
      </c>
      <c r="J323" s="195">
        <f>IF(B323="","",H323+'入力・概要'!$B$30*F323)</f>
        <v/>
      </c>
      <c r="K323" s="195">
        <f>IF(B323="","",I323+'入力・概要'!$B$30*G323)</f>
        <v/>
      </c>
      <c r="L323" s="195">
        <f>IF(B323="","",'入力・概要'!$B$30+H323*F323-I323*G323)</f>
        <v/>
      </c>
      <c r="M323" s="195">
        <f>IF(B323="","",H323*G323+I323*F323)</f>
        <v/>
      </c>
      <c r="N323" s="195">
        <f>IF(B323="","",'入力・概要'!$B$30*(J323*L323+K323*M323)/(L323^2+M323^2))</f>
        <v/>
      </c>
      <c r="O323" s="195">
        <f>IF(B323="","",'入力・概要'!$B$30*(K323*L323-J323*M323)/(L323^2+M323^2))</f>
        <v/>
      </c>
      <c r="P323" s="195">
        <f>IF(B323="","",N323+'入力・概要'!$B$36)</f>
        <v/>
      </c>
      <c r="Q323" s="195">
        <f>IF(B323="","",O323+C323*'入力・概要'!$B$37*1E-9)</f>
        <v/>
      </c>
      <c r="R323" s="195">
        <f>IF(B323="","",SQRT(P323^2+Q323^2))</f>
        <v/>
      </c>
      <c r="S323" s="195">
        <f>IF(B323="","",IF(P323&gt;0,DEGREES(ATAN(Q323/P323)),IF(P323&lt;0,IF(Q323&gt;=0,DEGREES(ATAN(Q323/P323))+180,DEGREES(ATAN(Q323/P323))-180),IF(Q323&gt;0,90,IF(Q323&lt;0,-90,0)))))</f>
        <v/>
      </c>
      <c r="T323" s="195">
        <f>IF(B323="","",LOG10(B323))</f>
        <v/>
      </c>
      <c r="U323" s="195">
        <f>IF(R323="","",LOG10(MAX(R323,1E-12)))</f>
        <v/>
      </c>
    </row>
    <row r="324">
      <c r="A324" t="n">
        <v>321</v>
      </c>
      <c r="B324" s="196">
        <f>IF(A324&lt;='入力・概要'!$B$40,10^(LOG10('入力・概要'!$B$38)+(A324-1)*(LOG10('入力・概要'!$B$39)-LOG10('入力・概要'!$B$38))/('入力・概要'!$B$40-1)),"")</f>
        <v/>
      </c>
      <c r="C324" s="195">
        <f>IF(B324="","",2*PI()*B324)</f>
        <v/>
      </c>
      <c r="D324" s="195">
        <f>IF(B324="","",ATANH(MIN(0.999999,(2*'入力・概要'!$B$17*'入力・概要'!$B$6)/'入力・概要'!$B$30))+'入力・概要'!$B$33*SQRT(B324/1E6)+(2*PI()*B324*'入力・概要'!$B$6/(299792458*'入力・概要'!$B$31))*'入力・概要'!$B$32/2)</f>
        <v/>
      </c>
      <c r="E324" s="195">
        <f>IF(B324="","",2*PI()*B324*'入力・概要'!$B$6/(299792458*'入力・概要'!$B$31))</f>
        <v/>
      </c>
      <c r="F324" s="195">
        <f>IF(B324="","",SINH(2*D324)/(COSH(2*D324)+COS(2*E324)))</f>
        <v/>
      </c>
      <c r="G324" s="195">
        <f>IF(B324="","",SIN(2*E324)/(COSH(2*D324)+COS(2*E324)))</f>
        <v/>
      </c>
      <c r="H324" s="195">
        <f>IF(B324="","",'入力・概要'!$B$34)</f>
        <v/>
      </c>
      <c r="I324" s="195">
        <f>IF(B324="","",C324*'入力・概要'!$B$35*1E-9)</f>
        <v/>
      </c>
      <c r="J324" s="195">
        <f>IF(B324="","",H324+'入力・概要'!$B$30*F324)</f>
        <v/>
      </c>
      <c r="K324" s="195">
        <f>IF(B324="","",I324+'入力・概要'!$B$30*G324)</f>
        <v/>
      </c>
      <c r="L324" s="195">
        <f>IF(B324="","",'入力・概要'!$B$30+H324*F324-I324*G324)</f>
        <v/>
      </c>
      <c r="M324" s="195">
        <f>IF(B324="","",H324*G324+I324*F324)</f>
        <v/>
      </c>
      <c r="N324" s="195">
        <f>IF(B324="","",'入力・概要'!$B$30*(J324*L324+K324*M324)/(L324^2+M324^2))</f>
        <v/>
      </c>
      <c r="O324" s="195">
        <f>IF(B324="","",'入力・概要'!$B$30*(K324*L324-J324*M324)/(L324^2+M324^2))</f>
        <v/>
      </c>
      <c r="P324" s="195">
        <f>IF(B324="","",N324+'入力・概要'!$B$36)</f>
        <v/>
      </c>
      <c r="Q324" s="195">
        <f>IF(B324="","",O324+C324*'入力・概要'!$B$37*1E-9)</f>
        <v/>
      </c>
      <c r="R324" s="195">
        <f>IF(B324="","",SQRT(P324^2+Q324^2))</f>
        <v/>
      </c>
      <c r="S324" s="195">
        <f>IF(B324="","",IF(P324&gt;0,DEGREES(ATAN(Q324/P324)),IF(P324&lt;0,IF(Q324&gt;=0,DEGREES(ATAN(Q324/P324))+180,DEGREES(ATAN(Q324/P324))-180),IF(Q324&gt;0,90,IF(Q324&lt;0,-90,0)))))</f>
        <v/>
      </c>
      <c r="T324" s="195">
        <f>IF(B324="","",LOG10(B324))</f>
        <v/>
      </c>
      <c r="U324" s="195">
        <f>IF(R324="","",LOG10(MAX(R324,1E-12)))</f>
        <v/>
      </c>
    </row>
    <row r="325">
      <c r="A325" t="n">
        <v>322</v>
      </c>
      <c r="B325" s="196">
        <f>IF(A325&lt;='入力・概要'!$B$40,10^(LOG10('入力・概要'!$B$38)+(A325-1)*(LOG10('入力・概要'!$B$39)-LOG10('入力・概要'!$B$38))/('入力・概要'!$B$40-1)),"")</f>
        <v/>
      </c>
      <c r="C325" s="195">
        <f>IF(B325="","",2*PI()*B325)</f>
        <v/>
      </c>
      <c r="D325" s="195">
        <f>IF(B325="","",ATANH(MIN(0.999999,(2*'入力・概要'!$B$17*'入力・概要'!$B$6)/'入力・概要'!$B$30))+'入力・概要'!$B$33*SQRT(B325/1E6)+(2*PI()*B325*'入力・概要'!$B$6/(299792458*'入力・概要'!$B$31))*'入力・概要'!$B$32/2)</f>
        <v/>
      </c>
      <c r="E325" s="195">
        <f>IF(B325="","",2*PI()*B325*'入力・概要'!$B$6/(299792458*'入力・概要'!$B$31))</f>
        <v/>
      </c>
      <c r="F325" s="195">
        <f>IF(B325="","",SINH(2*D325)/(COSH(2*D325)+COS(2*E325)))</f>
        <v/>
      </c>
      <c r="G325" s="195">
        <f>IF(B325="","",SIN(2*E325)/(COSH(2*D325)+COS(2*E325)))</f>
        <v/>
      </c>
      <c r="H325" s="195">
        <f>IF(B325="","",'入力・概要'!$B$34)</f>
        <v/>
      </c>
      <c r="I325" s="195">
        <f>IF(B325="","",C325*'入力・概要'!$B$35*1E-9)</f>
        <v/>
      </c>
      <c r="J325" s="195">
        <f>IF(B325="","",H325+'入力・概要'!$B$30*F325)</f>
        <v/>
      </c>
      <c r="K325" s="195">
        <f>IF(B325="","",I325+'入力・概要'!$B$30*G325)</f>
        <v/>
      </c>
      <c r="L325" s="195">
        <f>IF(B325="","",'入力・概要'!$B$30+H325*F325-I325*G325)</f>
        <v/>
      </c>
      <c r="M325" s="195">
        <f>IF(B325="","",H325*G325+I325*F325)</f>
        <v/>
      </c>
      <c r="N325" s="195">
        <f>IF(B325="","",'入力・概要'!$B$30*(J325*L325+K325*M325)/(L325^2+M325^2))</f>
        <v/>
      </c>
      <c r="O325" s="195">
        <f>IF(B325="","",'入力・概要'!$B$30*(K325*L325-J325*M325)/(L325^2+M325^2))</f>
        <v/>
      </c>
      <c r="P325" s="195">
        <f>IF(B325="","",N325+'入力・概要'!$B$36)</f>
        <v/>
      </c>
      <c r="Q325" s="195">
        <f>IF(B325="","",O325+C325*'入力・概要'!$B$37*1E-9)</f>
        <v/>
      </c>
      <c r="R325" s="195">
        <f>IF(B325="","",SQRT(P325^2+Q325^2))</f>
        <v/>
      </c>
      <c r="S325" s="195">
        <f>IF(B325="","",IF(P325&gt;0,DEGREES(ATAN(Q325/P325)),IF(P325&lt;0,IF(Q325&gt;=0,DEGREES(ATAN(Q325/P325))+180,DEGREES(ATAN(Q325/P325))-180),IF(Q325&gt;0,90,IF(Q325&lt;0,-90,0)))))</f>
        <v/>
      </c>
      <c r="T325" s="195">
        <f>IF(B325="","",LOG10(B325))</f>
        <v/>
      </c>
      <c r="U325" s="195">
        <f>IF(R325="","",LOG10(MAX(R325,1E-12)))</f>
        <v/>
      </c>
    </row>
    <row r="326">
      <c r="A326" t="n">
        <v>323</v>
      </c>
      <c r="B326" s="196">
        <f>IF(A326&lt;='入力・概要'!$B$40,10^(LOG10('入力・概要'!$B$38)+(A326-1)*(LOG10('入力・概要'!$B$39)-LOG10('入力・概要'!$B$38))/('入力・概要'!$B$40-1)),"")</f>
        <v/>
      </c>
      <c r="C326" s="195">
        <f>IF(B326="","",2*PI()*B326)</f>
        <v/>
      </c>
      <c r="D326" s="195">
        <f>IF(B326="","",ATANH(MIN(0.999999,(2*'入力・概要'!$B$17*'入力・概要'!$B$6)/'入力・概要'!$B$30))+'入力・概要'!$B$33*SQRT(B326/1E6)+(2*PI()*B326*'入力・概要'!$B$6/(299792458*'入力・概要'!$B$31))*'入力・概要'!$B$32/2)</f>
        <v/>
      </c>
      <c r="E326" s="195">
        <f>IF(B326="","",2*PI()*B326*'入力・概要'!$B$6/(299792458*'入力・概要'!$B$31))</f>
        <v/>
      </c>
      <c r="F326" s="195">
        <f>IF(B326="","",SINH(2*D326)/(COSH(2*D326)+COS(2*E326)))</f>
        <v/>
      </c>
      <c r="G326" s="195">
        <f>IF(B326="","",SIN(2*E326)/(COSH(2*D326)+COS(2*E326)))</f>
        <v/>
      </c>
      <c r="H326" s="195">
        <f>IF(B326="","",'入力・概要'!$B$34)</f>
        <v/>
      </c>
      <c r="I326" s="195">
        <f>IF(B326="","",C326*'入力・概要'!$B$35*1E-9)</f>
        <v/>
      </c>
      <c r="J326" s="195">
        <f>IF(B326="","",H326+'入力・概要'!$B$30*F326)</f>
        <v/>
      </c>
      <c r="K326" s="195">
        <f>IF(B326="","",I326+'入力・概要'!$B$30*G326)</f>
        <v/>
      </c>
      <c r="L326" s="195">
        <f>IF(B326="","",'入力・概要'!$B$30+H326*F326-I326*G326)</f>
        <v/>
      </c>
      <c r="M326" s="195">
        <f>IF(B326="","",H326*G326+I326*F326)</f>
        <v/>
      </c>
      <c r="N326" s="195">
        <f>IF(B326="","",'入力・概要'!$B$30*(J326*L326+K326*M326)/(L326^2+M326^2))</f>
        <v/>
      </c>
      <c r="O326" s="195">
        <f>IF(B326="","",'入力・概要'!$B$30*(K326*L326-J326*M326)/(L326^2+M326^2))</f>
        <v/>
      </c>
      <c r="P326" s="195">
        <f>IF(B326="","",N326+'入力・概要'!$B$36)</f>
        <v/>
      </c>
      <c r="Q326" s="195">
        <f>IF(B326="","",O326+C326*'入力・概要'!$B$37*1E-9)</f>
        <v/>
      </c>
      <c r="R326" s="195">
        <f>IF(B326="","",SQRT(P326^2+Q326^2))</f>
        <v/>
      </c>
      <c r="S326" s="195">
        <f>IF(B326="","",IF(P326&gt;0,DEGREES(ATAN(Q326/P326)),IF(P326&lt;0,IF(Q326&gt;=0,DEGREES(ATAN(Q326/P326))+180,DEGREES(ATAN(Q326/P326))-180),IF(Q326&gt;0,90,IF(Q326&lt;0,-90,0)))))</f>
        <v/>
      </c>
      <c r="T326" s="195">
        <f>IF(B326="","",LOG10(B326))</f>
        <v/>
      </c>
      <c r="U326" s="195">
        <f>IF(R326="","",LOG10(MAX(R326,1E-12)))</f>
        <v/>
      </c>
    </row>
    <row r="327">
      <c r="A327" t="n">
        <v>324</v>
      </c>
      <c r="B327" s="196">
        <f>IF(A327&lt;='入力・概要'!$B$40,10^(LOG10('入力・概要'!$B$38)+(A327-1)*(LOG10('入力・概要'!$B$39)-LOG10('入力・概要'!$B$38))/('入力・概要'!$B$40-1)),"")</f>
        <v/>
      </c>
      <c r="C327" s="195">
        <f>IF(B327="","",2*PI()*B327)</f>
        <v/>
      </c>
      <c r="D327" s="195">
        <f>IF(B327="","",ATANH(MIN(0.999999,(2*'入力・概要'!$B$17*'入力・概要'!$B$6)/'入力・概要'!$B$30))+'入力・概要'!$B$33*SQRT(B327/1E6)+(2*PI()*B327*'入力・概要'!$B$6/(299792458*'入力・概要'!$B$31))*'入力・概要'!$B$32/2)</f>
        <v/>
      </c>
      <c r="E327" s="195">
        <f>IF(B327="","",2*PI()*B327*'入力・概要'!$B$6/(299792458*'入力・概要'!$B$31))</f>
        <v/>
      </c>
      <c r="F327" s="195">
        <f>IF(B327="","",SINH(2*D327)/(COSH(2*D327)+COS(2*E327)))</f>
        <v/>
      </c>
      <c r="G327" s="195">
        <f>IF(B327="","",SIN(2*E327)/(COSH(2*D327)+COS(2*E327)))</f>
        <v/>
      </c>
      <c r="H327" s="195">
        <f>IF(B327="","",'入力・概要'!$B$34)</f>
        <v/>
      </c>
      <c r="I327" s="195">
        <f>IF(B327="","",C327*'入力・概要'!$B$35*1E-9)</f>
        <v/>
      </c>
      <c r="J327" s="195">
        <f>IF(B327="","",H327+'入力・概要'!$B$30*F327)</f>
        <v/>
      </c>
      <c r="K327" s="195">
        <f>IF(B327="","",I327+'入力・概要'!$B$30*G327)</f>
        <v/>
      </c>
      <c r="L327" s="195">
        <f>IF(B327="","",'入力・概要'!$B$30+H327*F327-I327*G327)</f>
        <v/>
      </c>
      <c r="M327" s="195">
        <f>IF(B327="","",H327*G327+I327*F327)</f>
        <v/>
      </c>
      <c r="N327" s="195">
        <f>IF(B327="","",'入力・概要'!$B$30*(J327*L327+K327*M327)/(L327^2+M327^2))</f>
        <v/>
      </c>
      <c r="O327" s="195">
        <f>IF(B327="","",'入力・概要'!$B$30*(K327*L327-J327*M327)/(L327^2+M327^2))</f>
        <v/>
      </c>
      <c r="P327" s="195">
        <f>IF(B327="","",N327+'入力・概要'!$B$36)</f>
        <v/>
      </c>
      <c r="Q327" s="195">
        <f>IF(B327="","",O327+C327*'入力・概要'!$B$37*1E-9)</f>
        <v/>
      </c>
      <c r="R327" s="195">
        <f>IF(B327="","",SQRT(P327^2+Q327^2))</f>
        <v/>
      </c>
      <c r="S327" s="195">
        <f>IF(B327="","",IF(P327&gt;0,DEGREES(ATAN(Q327/P327)),IF(P327&lt;0,IF(Q327&gt;=0,DEGREES(ATAN(Q327/P327))+180,DEGREES(ATAN(Q327/P327))-180),IF(Q327&gt;0,90,IF(Q327&lt;0,-90,0)))))</f>
        <v/>
      </c>
      <c r="T327" s="195">
        <f>IF(B327="","",LOG10(B327))</f>
        <v/>
      </c>
      <c r="U327" s="195">
        <f>IF(R327="","",LOG10(MAX(R327,1E-12)))</f>
        <v/>
      </c>
    </row>
    <row r="328">
      <c r="A328" t="n">
        <v>325</v>
      </c>
      <c r="B328" s="196">
        <f>IF(A328&lt;='入力・概要'!$B$40,10^(LOG10('入力・概要'!$B$38)+(A328-1)*(LOG10('入力・概要'!$B$39)-LOG10('入力・概要'!$B$38))/('入力・概要'!$B$40-1)),"")</f>
        <v/>
      </c>
      <c r="C328" s="195">
        <f>IF(B328="","",2*PI()*B328)</f>
        <v/>
      </c>
      <c r="D328" s="195">
        <f>IF(B328="","",ATANH(MIN(0.999999,(2*'入力・概要'!$B$17*'入力・概要'!$B$6)/'入力・概要'!$B$30))+'入力・概要'!$B$33*SQRT(B328/1E6)+(2*PI()*B328*'入力・概要'!$B$6/(299792458*'入力・概要'!$B$31))*'入力・概要'!$B$32/2)</f>
        <v/>
      </c>
      <c r="E328" s="195">
        <f>IF(B328="","",2*PI()*B328*'入力・概要'!$B$6/(299792458*'入力・概要'!$B$31))</f>
        <v/>
      </c>
      <c r="F328" s="195">
        <f>IF(B328="","",SINH(2*D328)/(COSH(2*D328)+COS(2*E328)))</f>
        <v/>
      </c>
      <c r="G328" s="195">
        <f>IF(B328="","",SIN(2*E328)/(COSH(2*D328)+COS(2*E328)))</f>
        <v/>
      </c>
      <c r="H328" s="195">
        <f>IF(B328="","",'入力・概要'!$B$34)</f>
        <v/>
      </c>
      <c r="I328" s="195">
        <f>IF(B328="","",C328*'入力・概要'!$B$35*1E-9)</f>
        <v/>
      </c>
      <c r="J328" s="195">
        <f>IF(B328="","",H328+'入力・概要'!$B$30*F328)</f>
        <v/>
      </c>
      <c r="K328" s="195">
        <f>IF(B328="","",I328+'入力・概要'!$B$30*G328)</f>
        <v/>
      </c>
      <c r="L328" s="195">
        <f>IF(B328="","",'入力・概要'!$B$30+H328*F328-I328*G328)</f>
        <v/>
      </c>
      <c r="M328" s="195">
        <f>IF(B328="","",H328*G328+I328*F328)</f>
        <v/>
      </c>
      <c r="N328" s="195">
        <f>IF(B328="","",'入力・概要'!$B$30*(J328*L328+K328*M328)/(L328^2+M328^2))</f>
        <v/>
      </c>
      <c r="O328" s="195">
        <f>IF(B328="","",'入力・概要'!$B$30*(K328*L328-J328*M328)/(L328^2+M328^2))</f>
        <v/>
      </c>
      <c r="P328" s="195">
        <f>IF(B328="","",N328+'入力・概要'!$B$36)</f>
        <v/>
      </c>
      <c r="Q328" s="195">
        <f>IF(B328="","",O328+C328*'入力・概要'!$B$37*1E-9)</f>
        <v/>
      </c>
      <c r="R328" s="195">
        <f>IF(B328="","",SQRT(P328^2+Q328^2))</f>
        <v/>
      </c>
      <c r="S328" s="195">
        <f>IF(B328="","",IF(P328&gt;0,DEGREES(ATAN(Q328/P328)),IF(P328&lt;0,IF(Q328&gt;=0,DEGREES(ATAN(Q328/P328))+180,DEGREES(ATAN(Q328/P328))-180),IF(Q328&gt;0,90,IF(Q328&lt;0,-90,0)))))</f>
        <v/>
      </c>
      <c r="T328" s="195">
        <f>IF(B328="","",LOG10(B328))</f>
        <v/>
      </c>
      <c r="U328" s="195">
        <f>IF(R328="","",LOG10(MAX(R328,1E-12)))</f>
        <v/>
      </c>
    </row>
    <row r="329">
      <c r="A329" t="n">
        <v>326</v>
      </c>
      <c r="B329" s="196">
        <f>IF(A329&lt;='入力・概要'!$B$40,10^(LOG10('入力・概要'!$B$38)+(A329-1)*(LOG10('入力・概要'!$B$39)-LOG10('入力・概要'!$B$38))/('入力・概要'!$B$40-1)),"")</f>
        <v/>
      </c>
      <c r="C329" s="195">
        <f>IF(B329="","",2*PI()*B329)</f>
        <v/>
      </c>
      <c r="D329" s="195">
        <f>IF(B329="","",ATANH(MIN(0.999999,(2*'入力・概要'!$B$17*'入力・概要'!$B$6)/'入力・概要'!$B$30))+'入力・概要'!$B$33*SQRT(B329/1E6)+(2*PI()*B329*'入力・概要'!$B$6/(299792458*'入力・概要'!$B$31))*'入力・概要'!$B$32/2)</f>
        <v/>
      </c>
      <c r="E329" s="195">
        <f>IF(B329="","",2*PI()*B329*'入力・概要'!$B$6/(299792458*'入力・概要'!$B$31))</f>
        <v/>
      </c>
      <c r="F329" s="195">
        <f>IF(B329="","",SINH(2*D329)/(COSH(2*D329)+COS(2*E329)))</f>
        <v/>
      </c>
      <c r="G329" s="195">
        <f>IF(B329="","",SIN(2*E329)/(COSH(2*D329)+COS(2*E329)))</f>
        <v/>
      </c>
      <c r="H329" s="195">
        <f>IF(B329="","",'入力・概要'!$B$34)</f>
        <v/>
      </c>
      <c r="I329" s="195">
        <f>IF(B329="","",C329*'入力・概要'!$B$35*1E-9)</f>
        <v/>
      </c>
      <c r="J329" s="195">
        <f>IF(B329="","",H329+'入力・概要'!$B$30*F329)</f>
        <v/>
      </c>
      <c r="K329" s="195">
        <f>IF(B329="","",I329+'入力・概要'!$B$30*G329)</f>
        <v/>
      </c>
      <c r="L329" s="195">
        <f>IF(B329="","",'入力・概要'!$B$30+H329*F329-I329*G329)</f>
        <v/>
      </c>
      <c r="M329" s="195">
        <f>IF(B329="","",H329*G329+I329*F329)</f>
        <v/>
      </c>
      <c r="N329" s="195">
        <f>IF(B329="","",'入力・概要'!$B$30*(J329*L329+K329*M329)/(L329^2+M329^2))</f>
        <v/>
      </c>
      <c r="O329" s="195">
        <f>IF(B329="","",'入力・概要'!$B$30*(K329*L329-J329*M329)/(L329^2+M329^2))</f>
        <v/>
      </c>
      <c r="P329" s="195">
        <f>IF(B329="","",N329+'入力・概要'!$B$36)</f>
        <v/>
      </c>
      <c r="Q329" s="195">
        <f>IF(B329="","",O329+C329*'入力・概要'!$B$37*1E-9)</f>
        <v/>
      </c>
      <c r="R329" s="195">
        <f>IF(B329="","",SQRT(P329^2+Q329^2))</f>
        <v/>
      </c>
      <c r="S329" s="195">
        <f>IF(B329="","",IF(P329&gt;0,DEGREES(ATAN(Q329/P329)),IF(P329&lt;0,IF(Q329&gt;=0,DEGREES(ATAN(Q329/P329))+180,DEGREES(ATAN(Q329/P329))-180),IF(Q329&gt;0,90,IF(Q329&lt;0,-90,0)))))</f>
        <v/>
      </c>
      <c r="T329" s="195">
        <f>IF(B329="","",LOG10(B329))</f>
        <v/>
      </c>
      <c r="U329" s="195">
        <f>IF(R329="","",LOG10(MAX(R329,1E-12)))</f>
        <v/>
      </c>
    </row>
    <row r="330">
      <c r="A330" t="n">
        <v>327</v>
      </c>
      <c r="B330" s="196">
        <f>IF(A330&lt;='入力・概要'!$B$40,10^(LOG10('入力・概要'!$B$38)+(A330-1)*(LOG10('入力・概要'!$B$39)-LOG10('入力・概要'!$B$38))/('入力・概要'!$B$40-1)),"")</f>
        <v/>
      </c>
      <c r="C330" s="195">
        <f>IF(B330="","",2*PI()*B330)</f>
        <v/>
      </c>
      <c r="D330" s="195">
        <f>IF(B330="","",ATANH(MIN(0.999999,(2*'入力・概要'!$B$17*'入力・概要'!$B$6)/'入力・概要'!$B$30))+'入力・概要'!$B$33*SQRT(B330/1E6)+(2*PI()*B330*'入力・概要'!$B$6/(299792458*'入力・概要'!$B$31))*'入力・概要'!$B$32/2)</f>
        <v/>
      </c>
      <c r="E330" s="195">
        <f>IF(B330="","",2*PI()*B330*'入力・概要'!$B$6/(299792458*'入力・概要'!$B$31))</f>
        <v/>
      </c>
      <c r="F330" s="195">
        <f>IF(B330="","",SINH(2*D330)/(COSH(2*D330)+COS(2*E330)))</f>
        <v/>
      </c>
      <c r="G330" s="195">
        <f>IF(B330="","",SIN(2*E330)/(COSH(2*D330)+COS(2*E330)))</f>
        <v/>
      </c>
      <c r="H330" s="195">
        <f>IF(B330="","",'入力・概要'!$B$34)</f>
        <v/>
      </c>
      <c r="I330" s="195">
        <f>IF(B330="","",C330*'入力・概要'!$B$35*1E-9)</f>
        <v/>
      </c>
      <c r="J330" s="195">
        <f>IF(B330="","",H330+'入力・概要'!$B$30*F330)</f>
        <v/>
      </c>
      <c r="K330" s="195">
        <f>IF(B330="","",I330+'入力・概要'!$B$30*G330)</f>
        <v/>
      </c>
      <c r="L330" s="195">
        <f>IF(B330="","",'入力・概要'!$B$30+H330*F330-I330*G330)</f>
        <v/>
      </c>
      <c r="M330" s="195">
        <f>IF(B330="","",H330*G330+I330*F330)</f>
        <v/>
      </c>
      <c r="N330" s="195">
        <f>IF(B330="","",'入力・概要'!$B$30*(J330*L330+K330*M330)/(L330^2+M330^2))</f>
        <v/>
      </c>
      <c r="O330" s="195">
        <f>IF(B330="","",'入力・概要'!$B$30*(K330*L330-J330*M330)/(L330^2+M330^2))</f>
        <v/>
      </c>
      <c r="P330" s="195">
        <f>IF(B330="","",N330+'入力・概要'!$B$36)</f>
        <v/>
      </c>
      <c r="Q330" s="195">
        <f>IF(B330="","",O330+C330*'入力・概要'!$B$37*1E-9)</f>
        <v/>
      </c>
      <c r="R330" s="195">
        <f>IF(B330="","",SQRT(P330^2+Q330^2))</f>
        <v/>
      </c>
      <c r="S330" s="195">
        <f>IF(B330="","",IF(P330&gt;0,DEGREES(ATAN(Q330/P330)),IF(P330&lt;0,IF(Q330&gt;=0,DEGREES(ATAN(Q330/P330))+180,DEGREES(ATAN(Q330/P330))-180),IF(Q330&gt;0,90,IF(Q330&lt;0,-90,0)))))</f>
        <v/>
      </c>
      <c r="T330" s="195">
        <f>IF(B330="","",LOG10(B330))</f>
        <v/>
      </c>
      <c r="U330" s="195">
        <f>IF(R330="","",LOG10(MAX(R330,1E-12)))</f>
        <v/>
      </c>
    </row>
    <row r="331">
      <c r="A331" t="n">
        <v>328</v>
      </c>
      <c r="B331" s="196">
        <f>IF(A331&lt;='入力・概要'!$B$40,10^(LOG10('入力・概要'!$B$38)+(A331-1)*(LOG10('入力・概要'!$B$39)-LOG10('入力・概要'!$B$38))/('入力・概要'!$B$40-1)),"")</f>
        <v/>
      </c>
      <c r="C331" s="195">
        <f>IF(B331="","",2*PI()*B331)</f>
        <v/>
      </c>
      <c r="D331" s="195">
        <f>IF(B331="","",ATANH(MIN(0.999999,(2*'入力・概要'!$B$17*'入力・概要'!$B$6)/'入力・概要'!$B$30))+'入力・概要'!$B$33*SQRT(B331/1E6)+(2*PI()*B331*'入力・概要'!$B$6/(299792458*'入力・概要'!$B$31))*'入力・概要'!$B$32/2)</f>
        <v/>
      </c>
      <c r="E331" s="195">
        <f>IF(B331="","",2*PI()*B331*'入力・概要'!$B$6/(299792458*'入力・概要'!$B$31))</f>
        <v/>
      </c>
      <c r="F331" s="195">
        <f>IF(B331="","",SINH(2*D331)/(COSH(2*D331)+COS(2*E331)))</f>
        <v/>
      </c>
      <c r="G331" s="195">
        <f>IF(B331="","",SIN(2*E331)/(COSH(2*D331)+COS(2*E331)))</f>
        <v/>
      </c>
      <c r="H331" s="195">
        <f>IF(B331="","",'入力・概要'!$B$34)</f>
        <v/>
      </c>
      <c r="I331" s="195">
        <f>IF(B331="","",C331*'入力・概要'!$B$35*1E-9)</f>
        <v/>
      </c>
      <c r="J331" s="195">
        <f>IF(B331="","",H331+'入力・概要'!$B$30*F331)</f>
        <v/>
      </c>
      <c r="K331" s="195">
        <f>IF(B331="","",I331+'入力・概要'!$B$30*G331)</f>
        <v/>
      </c>
      <c r="L331" s="195">
        <f>IF(B331="","",'入力・概要'!$B$30+H331*F331-I331*G331)</f>
        <v/>
      </c>
      <c r="M331" s="195">
        <f>IF(B331="","",H331*G331+I331*F331)</f>
        <v/>
      </c>
      <c r="N331" s="195">
        <f>IF(B331="","",'入力・概要'!$B$30*(J331*L331+K331*M331)/(L331^2+M331^2))</f>
        <v/>
      </c>
      <c r="O331" s="195">
        <f>IF(B331="","",'入力・概要'!$B$30*(K331*L331-J331*M331)/(L331^2+M331^2))</f>
        <v/>
      </c>
      <c r="P331" s="195">
        <f>IF(B331="","",N331+'入力・概要'!$B$36)</f>
        <v/>
      </c>
      <c r="Q331" s="195">
        <f>IF(B331="","",O331+C331*'入力・概要'!$B$37*1E-9)</f>
        <v/>
      </c>
      <c r="R331" s="195">
        <f>IF(B331="","",SQRT(P331^2+Q331^2))</f>
        <v/>
      </c>
      <c r="S331" s="195">
        <f>IF(B331="","",IF(P331&gt;0,DEGREES(ATAN(Q331/P331)),IF(P331&lt;0,IF(Q331&gt;=0,DEGREES(ATAN(Q331/P331))+180,DEGREES(ATAN(Q331/P331))-180),IF(Q331&gt;0,90,IF(Q331&lt;0,-90,0)))))</f>
        <v/>
      </c>
      <c r="T331" s="195">
        <f>IF(B331="","",LOG10(B331))</f>
        <v/>
      </c>
      <c r="U331" s="195">
        <f>IF(R331="","",LOG10(MAX(R331,1E-12)))</f>
        <v/>
      </c>
    </row>
    <row r="332">
      <c r="A332" t="n">
        <v>329</v>
      </c>
      <c r="B332" s="196">
        <f>IF(A332&lt;='入力・概要'!$B$40,10^(LOG10('入力・概要'!$B$38)+(A332-1)*(LOG10('入力・概要'!$B$39)-LOG10('入力・概要'!$B$38))/('入力・概要'!$B$40-1)),"")</f>
        <v/>
      </c>
      <c r="C332" s="195">
        <f>IF(B332="","",2*PI()*B332)</f>
        <v/>
      </c>
      <c r="D332" s="195">
        <f>IF(B332="","",ATANH(MIN(0.999999,(2*'入力・概要'!$B$17*'入力・概要'!$B$6)/'入力・概要'!$B$30))+'入力・概要'!$B$33*SQRT(B332/1E6)+(2*PI()*B332*'入力・概要'!$B$6/(299792458*'入力・概要'!$B$31))*'入力・概要'!$B$32/2)</f>
        <v/>
      </c>
      <c r="E332" s="195">
        <f>IF(B332="","",2*PI()*B332*'入力・概要'!$B$6/(299792458*'入力・概要'!$B$31))</f>
        <v/>
      </c>
      <c r="F332" s="195">
        <f>IF(B332="","",SINH(2*D332)/(COSH(2*D332)+COS(2*E332)))</f>
        <v/>
      </c>
      <c r="G332" s="195">
        <f>IF(B332="","",SIN(2*E332)/(COSH(2*D332)+COS(2*E332)))</f>
        <v/>
      </c>
      <c r="H332" s="195">
        <f>IF(B332="","",'入力・概要'!$B$34)</f>
        <v/>
      </c>
      <c r="I332" s="195">
        <f>IF(B332="","",C332*'入力・概要'!$B$35*1E-9)</f>
        <v/>
      </c>
      <c r="J332" s="195">
        <f>IF(B332="","",H332+'入力・概要'!$B$30*F332)</f>
        <v/>
      </c>
      <c r="K332" s="195">
        <f>IF(B332="","",I332+'入力・概要'!$B$30*G332)</f>
        <v/>
      </c>
      <c r="L332" s="195">
        <f>IF(B332="","",'入力・概要'!$B$30+H332*F332-I332*G332)</f>
        <v/>
      </c>
      <c r="M332" s="195">
        <f>IF(B332="","",H332*G332+I332*F332)</f>
        <v/>
      </c>
      <c r="N332" s="195">
        <f>IF(B332="","",'入力・概要'!$B$30*(J332*L332+K332*M332)/(L332^2+M332^2))</f>
        <v/>
      </c>
      <c r="O332" s="195">
        <f>IF(B332="","",'入力・概要'!$B$30*(K332*L332-J332*M332)/(L332^2+M332^2))</f>
        <v/>
      </c>
      <c r="P332" s="195">
        <f>IF(B332="","",N332+'入力・概要'!$B$36)</f>
        <v/>
      </c>
      <c r="Q332" s="195">
        <f>IF(B332="","",O332+C332*'入力・概要'!$B$37*1E-9)</f>
        <v/>
      </c>
      <c r="R332" s="195">
        <f>IF(B332="","",SQRT(P332^2+Q332^2))</f>
        <v/>
      </c>
      <c r="S332" s="195">
        <f>IF(B332="","",IF(P332&gt;0,DEGREES(ATAN(Q332/P332)),IF(P332&lt;0,IF(Q332&gt;=0,DEGREES(ATAN(Q332/P332))+180,DEGREES(ATAN(Q332/P332))-180),IF(Q332&gt;0,90,IF(Q332&lt;0,-90,0)))))</f>
        <v/>
      </c>
      <c r="T332" s="195">
        <f>IF(B332="","",LOG10(B332))</f>
        <v/>
      </c>
      <c r="U332" s="195">
        <f>IF(R332="","",LOG10(MAX(R332,1E-12)))</f>
        <v/>
      </c>
    </row>
    <row r="333">
      <c r="A333" t="n">
        <v>330</v>
      </c>
      <c r="B333" s="196">
        <f>IF(A333&lt;='入力・概要'!$B$40,10^(LOG10('入力・概要'!$B$38)+(A333-1)*(LOG10('入力・概要'!$B$39)-LOG10('入力・概要'!$B$38))/('入力・概要'!$B$40-1)),"")</f>
        <v/>
      </c>
      <c r="C333" s="195">
        <f>IF(B333="","",2*PI()*B333)</f>
        <v/>
      </c>
      <c r="D333" s="195">
        <f>IF(B333="","",ATANH(MIN(0.999999,(2*'入力・概要'!$B$17*'入力・概要'!$B$6)/'入力・概要'!$B$30))+'入力・概要'!$B$33*SQRT(B333/1E6)+(2*PI()*B333*'入力・概要'!$B$6/(299792458*'入力・概要'!$B$31))*'入力・概要'!$B$32/2)</f>
        <v/>
      </c>
      <c r="E333" s="195">
        <f>IF(B333="","",2*PI()*B333*'入力・概要'!$B$6/(299792458*'入力・概要'!$B$31))</f>
        <v/>
      </c>
      <c r="F333" s="195">
        <f>IF(B333="","",SINH(2*D333)/(COSH(2*D333)+COS(2*E333)))</f>
        <v/>
      </c>
      <c r="G333" s="195">
        <f>IF(B333="","",SIN(2*E333)/(COSH(2*D333)+COS(2*E333)))</f>
        <v/>
      </c>
      <c r="H333" s="195">
        <f>IF(B333="","",'入力・概要'!$B$34)</f>
        <v/>
      </c>
      <c r="I333" s="195">
        <f>IF(B333="","",C333*'入力・概要'!$B$35*1E-9)</f>
        <v/>
      </c>
      <c r="J333" s="195">
        <f>IF(B333="","",H333+'入力・概要'!$B$30*F333)</f>
        <v/>
      </c>
      <c r="K333" s="195">
        <f>IF(B333="","",I333+'入力・概要'!$B$30*G333)</f>
        <v/>
      </c>
      <c r="L333" s="195">
        <f>IF(B333="","",'入力・概要'!$B$30+H333*F333-I333*G333)</f>
        <v/>
      </c>
      <c r="M333" s="195">
        <f>IF(B333="","",H333*G333+I333*F333)</f>
        <v/>
      </c>
      <c r="N333" s="195">
        <f>IF(B333="","",'入力・概要'!$B$30*(J333*L333+K333*M333)/(L333^2+M333^2))</f>
        <v/>
      </c>
      <c r="O333" s="195">
        <f>IF(B333="","",'入力・概要'!$B$30*(K333*L333-J333*M333)/(L333^2+M333^2))</f>
        <v/>
      </c>
      <c r="P333" s="195">
        <f>IF(B333="","",N333+'入力・概要'!$B$36)</f>
        <v/>
      </c>
      <c r="Q333" s="195">
        <f>IF(B333="","",O333+C333*'入力・概要'!$B$37*1E-9)</f>
        <v/>
      </c>
      <c r="R333" s="195">
        <f>IF(B333="","",SQRT(P333^2+Q333^2))</f>
        <v/>
      </c>
      <c r="S333" s="195">
        <f>IF(B333="","",IF(P333&gt;0,DEGREES(ATAN(Q333/P333)),IF(P333&lt;0,IF(Q333&gt;=0,DEGREES(ATAN(Q333/P333))+180,DEGREES(ATAN(Q333/P333))-180),IF(Q333&gt;0,90,IF(Q333&lt;0,-90,0)))))</f>
        <v/>
      </c>
      <c r="T333" s="195">
        <f>IF(B333="","",LOG10(B333))</f>
        <v/>
      </c>
      <c r="U333" s="195">
        <f>IF(R333="","",LOG10(MAX(R333,1E-12)))</f>
        <v/>
      </c>
    </row>
    <row r="334">
      <c r="A334" t="n">
        <v>331</v>
      </c>
      <c r="B334" s="196">
        <f>IF(A334&lt;='入力・概要'!$B$40,10^(LOG10('入力・概要'!$B$38)+(A334-1)*(LOG10('入力・概要'!$B$39)-LOG10('入力・概要'!$B$38))/('入力・概要'!$B$40-1)),"")</f>
        <v/>
      </c>
      <c r="C334" s="195">
        <f>IF(B334="","",2*PI()*B334)</f>
        <v/>
      </c>
      <c r="D334" s="195">
        <f>IF(B334="","",ATANH(MIN(0.999999,(2*'入力・概要'!$B$17*'入力・概要'!$B$6)/'入力・概要'!$B$30))+'入力・概要'!$B$33*SQRT(B334/1E6)+(2*PI()*B334*'入力・概要'!$B$6/(299792458*'入力・概要'!$B$31))*'入力・概要'!$B$32/2)</f>
        <v/>
      </c>
      <c r="E334" s="195">
        <f>IF(B334="","",2*PI()*B334*'入力・概要'!$B$6/(299792458*'入力・概要'!$B$31))</f>
        <v/>
      </c>
      <c r="F334" s="195">
        <f>IF(B334="","",SINH(2*D334)/(COSH(2*D334)+COS(2*E334)))</f>
        <v/>
      </c>
      <c r="G334" s="195">
        <f>IF(B334="","",SIN(2*E334)/(COSH(2*D334)+COS(2*E334)))</f>
        <v/>
      </c>
      <c r="H334" s="195">
        <f>IF(B334="","",'入力・概要'!$B$34)</f>
        <v/>
      </c>
      <c r="I334" s="195">
        <f>IF(B334="","",C334*'入力・概要'!$B$35*1E-9)</f>
        <v/>
      </c>
      <c r="J334" s="195">
        <f>IF(B334="","",H334+'入力・概要'!$B$30*F334)</f>
        <v/>
      </c>
      <c r="K334" s="195">
        <f>IF(B334="","",I334+'入力・概要'!$B$30*G334)</f>
        <v/>
      </c>
      <c r="L334" s="195">
        <f>IF(B334="","",'入力・概要'!$B$30+H334*F334-I334*G334)</f>
        <v/>
      </c>
      <c r="M334" s="195">
        <f>IF(B334="","",H334*G334+I334*F334)</f>
        <v/>
      </c>
      <c r="N334" s="195">
        <f>IF(B334="","",'入力・概要'!$B$30*(J334*L334+K334*M334)/(L334^2+M334^2))</f>
        <v/>
      </c>
      <c r="O334" s="195">
        <f>IF(B334="","",'入力・概要'!$B$30*(K334*L334-J334*M334)/(L334^2+M334^2))</f>
        <v/>
      </c>
      <c r="P334" s="195">
        <f>IF(B334="","",N334+'入力・概要'!$B$36)</f>
        <v/>
      </c>
      <c r="Q334" s="195">
        <f>IF(B334="","",O334+C334*'入力・概要'!$B$37*1E-9)</f>
        <v/>
      </c>
      <c r="R334" s="195">
        <f>IF(B334="","",SQRT(P334^2+Q334^2))</f>
        <v/>
      </c>
      <c r="S334" s="195">
        <f>IF(B334="","",IF(P334&gt;0,DEGREES(ATAN(Q334/P334)),IF(P334&lt;0,IF(Q334&gt;=0,DEGREES(ATAN(Q334/P334))+180,DEGREES(ATAN(Q334/P334))-180),IF(Q334&gt;0,90,IF(Q334&lt;0,-90,0)))))</f>
        <v/>
      </c>
      <c r="T334" s="195">
        <f>IF(B334="","",LOG10(B334))</f>
        <v/>
      </c>
      <c r="U334" s="195">
        <f>IF(R334="","",LOG10(MAX(R334,1E-12)))</f>
        <v/>
      </c>
    </row>
    <row r="335">
      <c r="A335" t="n">
        <v>332</v>
      </c>
      <c r="B335" s="196">
        <f>IF(A335&lt;='入力・概要'!$B$40,10^(LOG10('入力・概要'!$B$38)+(A335-1)*(LOG10('入力・概要'!$B$39)-LOG10('入力・概要'!$B$38))/('入力・概要'!$B$40-1)),"")</f>
        <v/>
      </c>
      <c r="C335" s="195">
        <f>IF(B335="","",2*PI()*B335)</f>
        <v/>
      </c>
      <c r="D335" s="195">
        <f>IF(B335="","",ATANH(MIN(0.999999,(2*'入力・概要'!$B$17*'入力・概要'!$B$6)/'入力・概要'!$B$30))+'入力・概要'!$B$33*SQRT(B335/1E6)+(2*PI()*B335*'入力・概要'!$B$6/(299792458*'入力・概要'!$B$31))*'入力・概要'!$B$32/2)</f>
        <v/>
      </c>
      <c r="E335" s="195">
        <f>IF(B335="","",2*PI()*B335*'入力・概要'!$B$6/(299792458*'入力・概要'!$B$31))</f>
        <v/>
      </c>
      <c r="F335" s="195">
        <f>IF(B335="","",SINH(2*D335)/(COSH(2*D335)+COS(2*E335)))</f>
        <v/>
      </c>
      <c r="G335" s="195">
        <f>IF(B335="","",SIN(2*E335)/(COSH(2*D335)+COS(2*E335)))</f>
        <v/>
      </c>
      <c r="H335" s="195">
        <f>IF(B335="","",'入力・概要'!$B$34)</f>
        <v/>
      </c>
      <c r="I335" s="195">
        <f>IF(B335="","",C335*'入力・概要'!$B$35*1E-9)</f>
        <v/>
      </c>
      <c r="J335" s="195">
        <f>IF(B335="","",H335+'入力・概要'!$B$30*F335)</f>
        <v/>
      </c>
      <c r="K335" s="195">
        <f>IF(B335="","",I335+'入力・概要'!$B$30*G335)</f>
        <v/>
      </c>
      <c r="L335" s="195">
        <f>IF(B335="","",'入力・概要'!$B$30+H335*F335-I335*G335)</f>
        <v/>
      </c>
      <c r="M335" s="195">
        <f>IF(B335="","",H335*G335+I335*F335)</f>
        <v/>
      </c>
      <c r="N335" s="195">
        <f>IF(B335="","",'入力・概要'!$B$30*(J335*L335+K335*M335)/(L335^2+M335^2))</f>
        <v/>
      </c>
      <c r="O335" s="195">
        <f>IF(B335="","",'入力・概要'!$B$30*(K335*L335-J335*M335)/(L335^2+M335^2))</f>
        <v/>
      </c>
      <c r="P335" s="195">
        <f>IF(B335="","",N335+'入力・概要'!$B$36)</f>
        <v/>
      </c>
      <c r="Q335" s="195">
        <f>IF(B335="","",O335+C335*'入力・概要'!$B$37*1E-9)</f>
        <v/>
      </c>
      <c r="R335" s="195">
        <f>IF(B335="","",SQRT(P335^2+Q335^2))</f>
        <v/>
      </c>
      <c r="S335" s="195">
        <f>IF(B335="","",IF(P335&gt;0,DEGREES(ATAN(Q335/P335)),IF(P335&lt;0,IF(Q335&gt;=0,DEGREES(ATAN(Q335/P335))+180,DEGREES(ATAN(Q335/P335))-180),IF(Q335&gt;0,90,IF(Q335&lt;0,-90,0)))))</f>
        <v/>
      </c>
      <c r="T335" s="195">
        <f>IF(B335="","",LOG10(B335))</f>
        <v/>
      </c>
      <c r="U335" s="195">
        <f>IF(R335="","",LOG10(MAX(R335,1E-12)))</f>
        <v/>
      </c>
    </row>
    <row r="336">
      <c r="A336" t="n">
        <v>333</v>
      </c>
      <c r="B336" s="196">
        <f>IF(A336&lt;='入力・概要'!$B$40,10^(LOG10('入力・概要'!$B$38)+(A336-1)*(LOG10('入力・概要'!$B$39)-LOG10('入力・概要'!$B$38))/('入力・概要'!$B$40-1)),"")</f>
        <v/>
      </c>
      <c r="C336" s="195">
        <f>IF(B336="","",2*PI()*B336)</f>
        <v/>
      </c>
      <c r="D336" s="195">
        <f>IF(B336="","",ATANH(MIN(0.999999,(2*'入力・概要'!$B$17*'入力・概要'!$B$6)/'入力・概要'!$B$30))+'入力・概要'!$B$33*SQRT(B336/1E6)+(2*PI()*B336*'入力・概要'!$B$6/(299792458*'入力・概要'!$B$31))*'入力・概要'!$B$32/2)</f>
        <v/>
      </c>
      <c r="E336" s="195">
        <f>IF(B336="","",2*PI()*B336*'入力・概要'!$B$6/(299792458*'入力・概要'!$B$31))</f>
        <v/>
      </c>
      <c r="F336" s="195">
        <f>IF(B336="","",SINH(2*D336)/(COSH(2*D336)+COS(2*E336)))</f>
        <v/>
      </c>
      <c r="G336" s="195">
        <f>IF(B336="","",SIN(2*E336)/(COSH(2*D336)+COS(2*E336)))</f>
        <v/>
      </c>
      <c r="H336" s="195">
        <f>IF(B336="","",'入力・概要'!$B$34)</f>
        <v/>
      </c>
      <c r="I336" s="195">
        <f>IF(B336="","",C336*'入力・概要'!$B$35*1E-9)</f>
        <v/>
      </c>
      <c r="J336" s="195">
        <f>IF(B336="","",H336+'入力・概要'!$B$30*F336)</f>
        <v/>
      </c>
      <c r="K336" s="195">
        <f>IF(B336="","",I336+'入力・概要'!$B$30*G336)</f>
        <v/>
      </c>
      <c r="L336" s="195">
        <f>IF(B336="","",'入力・概要'!$B$30+H336*F336-I336*G336)</f>
        <v/>
      </c>
      <c r="M336" s="195">
        <f>IF(B336="","",H336*G336+I336*F336)</f>
        <v/>
      </c>
      <c r="N336" s="195">
        <f>IF(B336="","",'入力・概要'!$B$30*(J336*L336+K336*M336)/(L336^2+M336^2))</f>
        <v/>
      </c>
      <c r="O336" s="195">
        <f>IF(B336="","",'入力・概要'!$B$30*(K336*L336-J336*M336)/(L336^2+M336^2))</f>
        <v/>
      </c>
      <c r="P336" s="195">
        <f>IF(B336="","",N336+'入力・概要'!$B$36)</f>
        <v/>
      </c>
      <c r="Q336" s="195">
        <f>IF(B336="","",O336+C336*'入力・概要'!$B$37*1E-9)</f>
        <v/>
      </c>
      <c r="R336" s="195">
        <f>IF(B336="","",SQRT(P336^2+Q336^2))</f>
        <v/>
      </c>
      <c r="S336" s="195">
        <f>IF(B336="","",IF(P336&gt;0,DEGREES(ATAN(Q336/P336)),IF(P336&lt;0,IF(Q336&gt;=0,DEGREES(ATAN(Q336/P336))+180,DEGREES(ATAN(Q336/P336))-180),IF(Q336&gt;0,90,IF(Q336&lt;0,-90,0)))))</f>
        <v/>
      </c>
      <c r="T336" s="195">
        <f>IF(B336="","",LOG10(B336))</f>
        <v/>
      </c>
      <c r="U336" s="195">
        <f>IF(R336="","",LOG10(MAX(R336,1E-12)))</f>
        <v/>
      </c>
    </row>
    <row r="337">
      <c r="A337" t="n">
        <v>334</v>
      </c>
      <c r="B337" s="196">
        <f>IF(A337&lt;='入力・概要'!$B$40,10^(LOG10('入力・概要'!$B$38)+(A337-1)*(LOG10('入力・概要'!$B$39)-LOG10('入力・概要'!$B$38))/('入力・概要'!$B$40-1)),"")</f>
        <v/>
      </c>
      <c r="C337" s="195">
        <f>IF(B337="","",2*PI()*B337)</f>
        <v/>
      </c>
      <c r="D337" s="195">
        <f>IF(B337="","",ATANH(MIN(0.999999,(2*'入力・概要'!$B$17*'入力・概要'!$B$6)/'入力・概要'!$B$30))+'入力・概要'!$B$33*SQRT(B337/1E6)+(2*PI()*B337*'入力・概要'!$B$6/(299792458*'入力・概要'!$B$31))*'入力・概要'!$B$32/2)</f>
        <v/>
      </c>
      <c r="E337" s="195">
        <f>IF(B337="","",2*PI()*B337*'入力・概要'!$B$6/(299792458*'入力・概要'!$B$31))</f>
        <v/>
      </c>
      <c r="F337" s="195">
        <f>IF(B337="","",SINH(2*D337)/(COSH(2*D337)+COS(2*E337)))</f>
        <v/>
      </c>
      <c r="G337" s="195">
        <f>IF(B337="","",SIN(2*E337)/(COSH(2*D337)+COS(2*E337)))</f>
        <v/>
      </c>
      <c r="H337" s="195">
        <f>IF(B337="","",'入力・概要'!$B$34)</f>
        <v/>
      </c>
      <c r="I337" s="195">
        <f>IF(B337="","",C337*'入力・概要'!$B$35*1E-9)</f>
        <v/>
      </c>
      <c r="J337" s="195">
        <f>IF(B337="","",H337+'入力・概要'!$B$30*F337)</f>
        <v/>
      </c>
      <c r="K337" s="195">
        <f>IF(B337="","",I337+'入力・概要'!$B$30*G337)</f>
        <v/>
      </c>
      <c r="L337" s="195">
        <f>IF(B337="","",'入力・概要'!$B$30+H337*F337-I337*G337)</f>
        <v/>
      </c>
      <c r="M337" s="195">
        <f>IF(B337="","",H337*G337+I337*F337)</f>
        <v/>
      </c>
      <c r="N337" s="195">
        <f>IF(B337="","",'入力・概要'!$B$30*(J337*L337+K337*M337)/(L337^2+M337^2))</f>
        <v/>
      </c>
      <c r="O337" s="195">
        <f>IF(B337="","",'入力・概要'!$B$30*(K337*L337-J337*M337)/(L337^2+M337^2))</f>
        <v/>
      </c>
      <c r="P337" s="195">
        <f>IF(B337="","",N337+'入力・概要'!$B$36)</f>
        <v/>
      </c>
      <c r="Q337" s="195">
        <f>IF(B337="","",O337+C337*'入力・概要'!$B$37*1E-9)</f>
        <v/>
      </c>
      <c r="R337" s="195">
        <f>IF(B337="","",SQRT(P337^2+Q337^2))</f>
        <v/>
      </c>
      <c r="S337" s="195">
        <f>IF(B337="","",IF(P337&gt;0,DEGREES(ATAN(Q337/P337)),IF(P337&lt;0,IF(Q337&gt;=0,DEGREES(ATAN(Q337/P337))+180,DEGREES(ATAN(Q337/P337))-180),IF(Q337&gt;0,90,IF(Q337&lt;0,-90,0)))))</f>
        <v/>
      </c>
      <c r="T337" s="195">
        <f>IF(B337="","",LOG10(B337))</f>
        <v/>
      </c>
      <c r="U337" s="195">
        <f>IF(R337="","",LOG10(MAX(R337,1E-12)))</f>
        <v/>
      </c>
    </row>
    <row r="338">
      <c r="A338" t="n">
        <v>335</v>
      </c>
      <c r="B338" s="196">
        <f>IF(A338&lt;='入力・概要'!$B$40,10^(LOG10('入力・概要'!$B$38)+(A338-1)*(LOG10('入力・概要'!$B$39)-LOG10('入力・概要'!$B$38))/('入力・概要'!$B$40-1)),"")</f>
        <v/>
      </c>
      <c r="C338" s="195">
        <f>IF(B338="","",2*PI()*B338)</f>
        <v/>
      </c>
      <c r="D338" s="195">
        <f>IF(B338="","",ATANH(MIN(0.999999,(2*'入力・概要'!$B$17*'入力・概要'!$B$6)/'入力・概要'!$B$30))+'入力・概要'!$B$33*SQRT(B338/1E6)+(2*PI()*B338*'入力・概要'!$B$6/(299792458*'入力・概要'!$B$31))*'入力・概要'!$B$32/2)</f>
        <v/>
      </c>
      <c r="E338" s="195">
        <f>IF(B338="","",2*PI()*B338*'入力・概要'!$B$6/(299792458*'入力・概要'!$B$31))</f>
        <v/>
      </c>
      <c r="F338" s="195">
        <f>IF(B338="","",SINH(2*D338)/(COSH(2*D338)+COS(2*E338)))</f>
        <v/>
      </c>
      <c r="G338" s="195">
        <f>IF(B338="","",SIN(2*E338)/(COSH(2*D338)+COS(2*E338)))</f>
        <v/>
      </c>
      <c r="H338" s="195">
        <f>IF(B338="","",'入力・概要'!$B$34)</f>
        <v/>
      </c>
      <c r="I338" s="195">
        <f>IF(B338="","",C338*'入力・概要'!$B$35*1E-9)</f>
        <v/>
      </c>
      <c r="J338" s="195">
        <f>IF(B338="","",H338+'入力・概要'!$B$30*F338)</f>
        <v/>
      </c>
      <c r="K338" s="195">
        <f>IF(B338="","",I338+'入力・概要'!$B$30*G338)</f>
        <v/>
      </c>
      <c r="L338" s="195">
        <f>IF(B338="","",'入力・概要'!$B$30+H338*F338-I338*G338)</f>
        <v/>
      </c>
      <c r="M338" s="195">
        <f>IF(B338="","",H338*G338+I338*F338)</f>
        <v/>
      </c>
      <c r="N338" s="195">
        <f>IF(B338="","",'入力・概要'!$B$30*(J338*L338+K338*M338)/(L338^2+M338^2))</f>
        <v/>
      </c>
      <c r="O338" s="195">
        <f>IF(B338="","",'入力・概要'!$B$30*(K338*L338-J338*M338)/(L338^2+M338^2))</f>
        <v/>
      </c>
      <c r="P338" s="195">
        <f>IF(B338="","",N338+'入力・概要'!$B$36)</f>
        <v/>
      </c>
      <c r="Q338" s="195">
        <f>IF(B338="","",O338+C338*'入力・概要'!$B$37*1E-9)</f>
        <v/>
      </c>
      <c r="R338" s="195">
        <f>IF(B338="","",SQRT(P338^2+Q338^2))</f>
        <v/>
      </c>
      <c r="S338" s="195">
        <f>IF(B338="","",IF(P338&gt;0,DEGREES(ATAN(Q338/P338)),IF(P338&lt;0,IF(Q338&gt;=0,DEGREES(ATAN(Q338/P338))+180,DEGREES(ATAN(Q338/P338))-180),IF(Q338&gt;0,90,IF(Q338&lt;0,-90,0)))))</f>
        <v/>
      </c>
      <c r="T338" s="195">
        <f>IF(B338="","",LOG10(B338))</f>
        <v/>
      </c>
      <c r="U338" s="195">
        <f>IF(R338="","",LOG10(MAX(R338,1E-12)))</f>
        <v/>
      </c>
    </row>
    <row r="339">
      <c r="A339" t="n">
        <v>336</v>
      </c>
      <c r="B339" s="196">
        <f>IF(A339&lt;='入力・概要'!$B$40,10^(LOG10('入力・概要'!$B$38)+(A339-1)*(LOG10('入力・概要'!$B$39)-LOG10('入力・概要'!$B$38))/('入力・概要'!$B$40-1)),"")</f>
        <v/>
      </c>
      <c r="C339" s="195">
        <f>IF(B339="","",2*PI()*B339)</f>
        <v/>
      </c>
      <c r="D339" s="195">
        <f>IF(B339="","",ATANH(MIN(0.999999,(2*'入力・概要'!$B$17*'入力・概要'!$B$6)/'入力・概要'!$B$30))+'入力・概要'!$B$33*SQRT(B339/1E6)+(2*PI()*B339*'入力・概要'!$B$6/(299792458*'入力・概要'!$B$31))*'入力・概要'!$B$32/2)</f>
        <v/>
      </c>
      <c r="E339" s="195">
        <f>IF(B339="","",2*PI()*B339*'入力・概要'!$B$6/(299792458*'入力・概要'!$B$31))</f>
        <v/>
      </c>
      <c r="F339" s="195">
        <f>IF(B339="","",SINH(2*D339)/(COSH(2*D339)+COS(2*E339)))</f>
        <v/>
      </c>
      <c r="G339" s="195">
        <f>IF(B339="","",SIN(2*E339)/(COSH(2*D339)+COS(2*E339)))</f>
        <v/>
      </c>
      <c r="H339" s="195">
        <f>IF(B339="","",'入力・概要'!$B$34)</f>
        <v/>
      </c>
      <c r="I339" s="195">
        <f>IF(B339="","",C339*'入力・概要'!$B$35*1E-9)</f>
        <v/>
      </c>
      <c r="J339" s="195">
        <f>IF(B339="","",H339+'入力・概要'!$B$30*F339)</f>
        <v/>
      </c>
      <c r="K339" s="195">
        <f>IF(B339="","",I339+'入力・概要'!$B$30*G339)</f>
        <v/>
      </c>
      <c r="L339" s="195">
        <f>IF(B339="","",'入力・概要'!$B$30+H339*F339-I339*G339)</f>
        <v/>
      </c>
      <c r="M339" s="195">
        <f>IF(B339="","",H339*G339+I339*F339)</f>
        <v/>
      </c>
      <c r="N339" s="195">
        <f>IF(B339="","",'入力・概要'!$B$30*(J339*L339+K339*M339)/(L339^2+M339^2))</f>
        <v/>
      </c>
      <c r="O339" s="195">
        <f>IF(B339="","",'入力・概要'!$B$30*(K339*L339-J339*M339)/(L339^2+M339^2))</f>
        <v/>
      </c>
      <c r="P339" s="195">
        <f>IF(B339="","",N339+'入力・概要'!$B$36)</f>
        <v/>
      </c>
      <c r="Q339" s="195">
        <f>IF(B339="","",O339+C339*'入力・概要'!$B$37*1E-9)</f>
        <v/>
      </c>
      <c r="R339" s="195">
        <f>IF(B339="","",SQRT(P339^2+Q339^2))</f>
        <v/>
      </c>
      <c r="S339" s="195">
        <f>IF(B339="","",IF(P339&gt;0,DEGREES(ATAN(Q339/P339)),IF(P339&lt;0,IF(Q339&gt;=0,DEGREES(ATAN(Q339/P339))+180,DEGREES(ATAN(Q339/P339))-180),IF(Q339&gt;0,90,IF(Q339&lt;0,-90,0)))))</f>
        <v/>
      </c>
      <c r="T339" s="195">
        <f>IF(B339="","",LOG10(B339))</f>
        <v/>
      </c>
      <c r="U339" s="195">
        <f>IF(R339="","",LOG10(MAX(R339,1E-12)))</f>
        <v/>
      </c>
    </row>
    <row r="340">
      <c r="A340" t="n">
        <v>337</v>
      </c>
      <c r="B340" s="196">
        <f>IF(A340&lt;='入力・概要'!$B$40,10^(LOG10('入力・概要'!$B$38)+(A340-1)*(LOG10('入力・概要'!$B$39)-LOG10('入力・概要'!$B$38))/('入力・概要'!$B$40-1)),"")</f>
        <v/>
      </c>
      <c r="C340" s="195">
        <f>IF(B340="","",2*PI()*B340)</f>
        <v/>
      </c>
      <c r="D340" s="195">
        <f>IF(B340="","",ATANH(MIN(0.999999,(2*'入力・概要'!$B$17*'入力・概要'!$B$6)/'入力・概要'!$B$30))+'入力・概要'!$B$33*SQRT(B340/1E6)+(2*PI()*B340*'入力・概要'!$B$6/(299792458*'入力・概要'!$B$31))*'入力・概要'!$B$32/2)</f>
        <v/>
      </c>
      <c r="E340" s="195">
        <f>IF(B340="","",2*PI()*B340*'入力・概要'!$B$6/(299792458*'入力・概要'!$B$31))</f>
        <v/>
      </c>
      <c r="F340" s="195">
        <f>IF(B340="","",SINH(2*D340)/(COSH(2*D340)+COS(2*E340)))</f>
        <v/>
      </c>
      <c r="G340" s="195">
        <f>IF(B340="","",SIN(2*E340)/(COSH(2*D340)+COS(2*E340)))</f>
        <v/>
      </c>
      <c r="H340" s="195">
        <f>IF(B340="","",'入力・概要'!$B$34)</f>
        <v/>
      </c>
      <c r="I340" s="195">
        <f>IF(B340="","",C340*'入力・概要'!$B$35*1E-9)</f>
        <v/>
      </c>
      <c r="J340" s="195">
        <f>IF(B340="","",H340+'入力・概要'!$B$30*F340)</f>
        <v/>
      </c>
      <c r="K340" s="195">
        <f>IF(B340="","",I340+'入力・概要'!$B$30*G340)</f>
        <v/>
      </c>
      <c r="L340" s="195">
        <f>IF(B340="","",'入力・概要'!$B$30+H340*F340-I340*G340)</f>
        <v/>
      </c>
      <c r="M340" s="195">
        <f>IF(B340="","",H340*G340+I340*F340)</f>
        <v/>
      </c>
      <c r="N340" s="195">
        <f>IF(B340="","",'入力・概要'!$B$30*(J340*L340+K340*M340)/(L340^2+M340^2))</f>
        <v/>
      </c>
      <c r="O340" s="195">
        <f>IF(B340="","",'入力・概要'!$B$30*(K340*L340-J340*M340)/(L340^2+M340^2))</f>
        <v/>
      </c>
      <c r="P340" s="195">
        <f>IF(B340="","",N340+'入力・概要'!$B$36)</f>
        <v/>
      </c>
      <c r="Q340" s="195">
        <f>IF(B340="","",O340+C340*'入力・概要'!$B$37*1E-9)</f>
        <v/>
      </c>
      <c r="R340" s="195">
        <f>IF(B340="","",SQRT(P340^2+Q340^2))</f>
        <v/>
      </c>
      <c r="S340" s="195">
        <f>IF(B340="","",IF(P340&gt;0,DEGREES(ATAN(Q340/P340)),IF(P340&lt;0,IF(Q340&gt;=0,DEGREES(ATAN(Q340/P340))+180,DEGREES(ATAN(Q340/P340))-180),IF(Q340&gt;0,90,IF(Q340&lt;0,-90,0)))))</f>
        <v/>
      </c>
      <c r="T340" s="195">
        <f>IF(B340="","",LOG10(B340))</f>
        <v/>
      </c>
      <c r="U340" s="195">
        <f>IF(R340="","",LOG10(MAX(R340,1E-12)))</f>
        <v/>
      </c>
    </row>
    <row r="341">
      <c r="A341" t="n">
        <v>338</v>
      </c>
      <c r="B341" s="196">
        <f>IF(A341&lt;='入力・概要'!$B$40,10^(LOG10('入力・概要'!$B$38)+(A341-1)*(LOG10('入力・概要'!$B$39)-LOG10('入力・概要'!$B$38))/('入力・概要'!$B$40-1)),"")</f>
        <v/>
      </c>
      <c r="C341" s="195">
        <f>IF(B341="","",2*PI()*B341)</f>
        <v/>
      </c>
      <c r="D341" s="195">
        <f>IF(B341="","",ATANH(MIN(0.999999,(2*'入力・概要'!$B$17*'入力・概要'!$B$6)/'入力・概要'!$B$30))+'入力・概要'!$B$33*SQRT(B341/1E6)+(2*PI()*B341*'入力・概要'!$B$6/(299792458*'入力・概要'!$B$31))*'入力・概要'!$B$32/2)</f>
        <v/>
      </c>
      <c r="E341" s="195">
        <f>IF(B341="","",2*PI()*B341*'入力・概要'!$B$6/(299792458*'入力・概要'!$B$31))</f>
        <v/>
      </c>
      <c r="F341" s="195">
        <f>IF(B341="","",SINH(2*D341)/(COSH(2*D341)+COS(2*E341)))</f>
        <v/>
      </c>
      <c r="G341" s="195">
        <f>IF(B341="","",SIN(2*E341)/(COSH(2*D341)+COS(2*E341)))</f>
        <v/>
      </c>
      <c r="H341" s="195">
        <f>IF(B341="","",'入力・概要'!$B$34)</f>
        <v/>
      </c>
      <c r="I341" s="195">
        <f>IF(B341="","",C341*'入力・概要'!$B$35*1E-9)</f>
        <v/>
      </c>
      <c r="J341" s="195">
        <f>IF(B341="","",H341+'入力・概要'!$B$30*F341)</f>
        <v/>
      </c>
      <c r="K341" s="195">
        <f>IF(B341="","",I341+'入力・概要'!$B$30*G341)</f>
        <v/>
      </c>
      <c r="L341" s="195">
        <f>IF(B341="","",'入力・概要'!$B$30+H341*F341-I341*G341)</f>
        <v/>
      </c>
      <c r="M341" s="195">
        <f>IF(B341="","",H341*G341+I341*F341)</f>
        <v/>
      </c>
      <c r="N341" s="195">
        <f>IF(B341="","",'入力・概要'!$B$30*(J341*L341+K341*M341)/(L341^2+M341^2))</f>
        <v/>
      </c>
      <c r="O341" s="195">
        <f>IF(B341="","",'入力・概要'!$B$30*(K341*L341-J341*M341)/(L341^2+M341^2))</f>
        <v/>
      </c>
      <c r="P341" s="195">
        <f>IF(B341="","",N341+'入力・概要'!$B$36)</f>
        <v/>
      </c>
      <c r="Q341" s="195">
        <f>IF(B341="","",O341+C341*'入力・概要'!$B$37*1E-9)</f>
        <v/>
      </c>
      <c r="R341" s="195">
        <f>IF(B341="","",SQRT(P341^2+Q341^2))</f>
        <v/>
      </c>
      <c r="S341" s="195">
        <f>IF(B341="","",IF(P341&gt;0,DEGREES(ATAN(Q341/P341)),IF(P341&lt;0,IF(Q341&gt;=0,DEGREES(ATAN(Q341/P341))+180,DEGREES(ATAN(Q341/P341))-180),IF(Q341&gt;0,90,IF(Q341&lt;0,-90,0)))))</f>
        <v/>
      </c>
      <c r="T341" s="195">
        <f>IF(B341="","",LOG10(B341))</f>
        <v/>
      </c>
      <c r="U341" s="195">
        <f>IF(R341="","",LOG10(MAX(R341,1E-12)))</f>
        <v/>
      </c>
    </row>
    <row r="342">
      <c r="A342" t="n">
        <v>339</v>
      </c>
      <c r="B342" s="196">
        <f>IF(A342&lt;='入力・概要'!$B$40,10^(LOG10('入力・概要'!$B$38)+(A342-1)*(LOG10('入力・概要'!$B$39)-LOG10('入力・概要'!$B$38))/('入力・概要'!$B$40-1)),"")</f>
        <v/>
      </c>
      <c r="C342" s="195">
        <f>IF(B342="","",2*PI()*B342)</f>
        <v/>
      </c>
      <c r="D342" s="195">
        <f>IF(B342="","",ATANH(MIN(0.999999,(2*'入力・概要'!$B$17*'入力・概要'!$B$6)/'入力・概要'!$B$30))+'入力・概要'!$B$33*SQRT(B342/1E6)+(2*PI()*B342*'入力・概要'!$B$6/(299792458*'入力・概要'!$B$31))*'入力・概要'!$B$32/2)</f>
        <v/>
      </c>
      <c r="E342" s="195">
        <f>IF(B342="","",2*PI()*B342*'入力・概要'!$B$6/(299792458*'入力・概要'!$B$31))</f>
        <v/>
      </c>
      <c r="F342" s="195">
        <f>IF(B342="","",SINH(2*D342)/(COSH(2*D342)+COS(2*E342)))</f>
        <v/>
      </c>
      <c r="G342" s="195">
        <f>IF(B342="","",SIN(2*E342)/(COSH(2*D342)+COS(2*E342)))</f>
        <v/>
      </c>
      <c r="H342" s="195">
        <f>IF(B342="","",'入力・概要'!$B$34)</f>
        <v/>
      </c>
      <c r="I342" s="195">
        <f>IF(B342="","",C342*'入力・概要'!$B$35*1E-9)</f>
        <v/>
      </c>
      <c r="J342" s="195">
        <f>IF(B342="","",H342+'入力・概要'!$B$30*F342)</f>
        <v/>
      </c>
      <c r="K342" s="195">
        <f>IF(B342="","",I342+'入力・概要'!$B$30*G342)</f>
        <v/>
      </c>
      <c r="L342" s="195">
        <f>IF(B342="","",'入力・概要'!$B$30+H342*F342-I342*G342)</f>
        <v/>
      </c>
      <c r="M342" s="195">
        <f>IF(B342="","",H342*G342+I342*F342)</f>
        <v/>
      </c>
      <c r="N342" s="195">
        <f>IF(B342="","",'入力・概要'!$B$30*(J342*L342+K342*M342)/(L342^2+M342^2))</f>
        <v/>
      </c>
      <c r="O342" s="195">
        <f>IF(B342="","",'入力・概要'!$B$30*(K342*L342-J342*M342)/(L342^2+M342^2))</f>
        <v/>
      </c>
      <c r="P342" s="195">
        <f>IF(B342="","",N342+'入力・概要'!$B$36)</f>
        <v/>
      </c>
      <c r="Q342" s="195">
        <f>IF(B342="","",O342+C342*'入力・概要'!$B$37*1E-9)</f>
        <v/>
      </c>
      <c r="R342" s="195">
        <f>IF(B342="","",SQRT(P342^2+Q342^2))</f>
        <v/>
      </c>
      <c r="S342" s="195">
        <f>IF(B342="","",IF(P342&gt;0,DEGREES(ATAN(Q342/P342)),IF(P342&lt;0,IF(Q342&gt;=0,DEGREES(ATAN(Q342/P342))+180,DEGREES(ATAN(Q342/P342))-180),IF(Q342&gt;0,90,IF(Q342&lt;0,-90,0)))))</f>
        <v/>
      </c>
      <c r="T342" s="195">
        <f>IF(B342="","",LOG10(B342))</f>
        <v/>
      </c>
      <c r="U342" s="195">
        <f>IF(R342="","",LOG10(MAX(R342,1E-12)))</f>
        <v/>
      </c>
    </row>
    <row r="343">
      <c r="A343" t="n">
        <v>340</v>
      </c>
      <c r="B343" s="196">
        <f>IF(A343&lt;='入力・概要'!$B$40,10^(LOG10('入力・概要'!$B$38)+(A343-1)*(LOG10('入力・概要'!$B$39)-LOG10('入力・概要'!$B$38))/('入力・概要'!$B$40-1)),"")</f>
        <v/>
      </c>
      <c r="C343" s="195">
        <f>IF(B343="","",2*PI()*B343)</f>
        <v/>
      </c>
      <c r="D343" s="195">
        <f>IF(B343="","",ATANH(MIN(0.999999,(2*'入力・概要'!$B$17*'入力・概要'!$B$6)/'入力・概要'!$B$30))+'入力・概要'!$B$33*SQRT(B343/1E6)+(2*PI()*B343*'入力・概要'!$B$6/(299792458*'入力・概要'!$B$31))*'入力・概要'!$B$32/2)</f>
        <v/>
      </c>
      <c r="E343" s="195">
        <f>IF(B343="","",2*PI()*B343*'入力・概要'!$B$6/(299792458*'入力・概要'!$B$31))</f>
        <v/>
      </c>
      <c r="F343" s="195">
        <f>IF(B343="","",SINH(2*D343)/(COSH(2*D343)+COS(2*E343)))</f>
        <v/>
      </c>
      <c r="G343" s="195">
        <f>IF(B343="","",SIN(2*E343)/(COSH(2*D343)+COS(2*E343)))</f>
        <v/>
      </c>
      <c r="H343" s="195">
        <f>IF(B343="","",'入力・概要'!$B$34)</f>
        <v/>
      </c>
      <c r="I343" s="195">
        <f>IF(B343="","",C343*'入力・概要'!$B$35*1E-9)</f>
        <v/>
      </c>
      <c r="J343" s="195">
        <f>IF(B343="","",H343+'入力・概要'!$B$30*F343)</f>
        <v/>
      </c>
      <c r="K343" s="195">
        <f>IF(B343="","",I343+'入力・概要'!$B$30*G343)</f>
        <v/>
      </c>
      <c r="L343" s="195">
        <f>IF(B343="","",'入力・概要'!$B$30+H343*F343-I343*G343)</f>
        <v/>
      </c>
      <c r="M343" s="195">
        <f>IF(B343="","",H343*G343+I343*F343)</f>
        <v/>
      </c>
      <c r="N343" s="195">
        <f>IF(B343="","",'入力・概要'!$B$30*(J343*L343+K343*M343)/(L343^2+M343^2))</f>
        <v/>
      </c>
      <c r="O343" s="195">
        <f>IF(B343="","",'入力・概要'!$B$30*(K343*L343-J343*M343)/(L343^2+M343^2))</f>
        <v/>
      </c>
      <c r="P343" s="195">
        <f>IF(B343="","",N343+'入力・概要'!$B$36)</f>
        <v/>
      </c>
      <c r="Q343" s="195">
        <f>IF(B343="","",O343+C343*'入力・概要'!$B$37*1E-9)</f>
        <v/>
      </c>
      <c r="R343" s="195">
        <f>IF(B343="","",SQRT(P343^2+Q343^2))</f>
        <v/>
      </c>
      <c r="S343" s="195">
        <f>IF(B343="","",IF(P343&gt;0,DEGREES(ATAN(Q343/P343)),IF(P343&lt;0,IF(Q343&gt;=0,DEGREES(ATAN(Q343/P343))+180,DEGREES(ATAN(Q343/P343))-180),IF(Q343&gt;0,90,IF(Q343&lt;0,-90,0)))))</f>
        <v/>
      </c>
      <c r="T343" s="195">
        <f>IF(B343="","",LOG10(B343))</f>
        <v/>
      </c>
      <c r="U343" s="195">
        <f>IF(R343="","",LOG10(MAX(R343,1E-12)))</f>
        <v/>
      </c>
    </row>
    <row r="344">
      <c r="A344" t="n">
        <v>341</v>
      </c>
      <c r="B344" s="196">
        <f>IF(A344&lt;='入力・概要'!$B$40,10^(LOG10('入力・概要'!$B$38)+(A344-1)*(LOG10('入力・概要'!$B$39)-LOG10('入力・概要'!$B$38))/('入力・概要'!$B$40-1)),"")</f>
        <v/>
      </c>
      <c r="C344" s="195">
        <f>IF(B344="","",2*PI()*B344)</f>
        <v/>
      </c>
      <c r="D344" s="195">
        <f>IF(B344="","",ATANH(MIN(0.999999,(2*'入力・概要'!$B$17*'入力・概要'!$B$6)/'入力・概要'!$B$30))+'入力・概要'!$B$33*SQRT(B344/1E6)+(2*PI()*B344*'入力・概要'!$B$6/(299792458*'入力・概要'!$B$31))*'入力・概要'!$B$32/2)</f>
        <v/>
      </c>
      <c r="E344" s="195">
        <f>IF(B344="","",2*PI()*B344*'入力・概要'!$B$6/(299792458*'入力・概要'!$B$31))</f>
        <v/>
      </c>
      <c r="F344" s="195">
        <f>IF(B344="","",SINH(2*D344)/(COSH(2*D344)+COS(2*E344)))</f>
        <v/>
      </c>
      <c r="G344" s="195">
        <f>IF(B344="","",SIN(2*E344)/(COSH(2*D344)+COS(2*E344)))</f>
        <v/>
      </c>
      <c r="H344" s="195">
        <f>IF(B344="","",'入力・概要'!$B$34)</f>
        <v/>
      </c>
      <c r="I344" s="195">
        <f>IF(B344="","",C344*'入力・概要'!$B$35*1E-9)</f>
        <v/>
      </c>
      <c r="J344" s="195">
        <f>IF(B344="","",H344+'入力・概要'!$B$30*F344)</f>
        <v/>
      </c>
      <c r="K344" s="195">
        <f>IF(B344="","",I344+'入力・概要'!$B$30*G344)</f>
        <v/>
      </c>
      <c r="L344" s="195">
        <f>IF(B344="","",'入力・概要'!$B$30+H344*F344-I344*G344)</f>
        <v/>
      </c>
      <c r="M344" s="195">
        <f>IF(B344="","",H344*G344+I344*F344)</f>
        <v/>
      </c>
      <c r="N344" s="195">
        <f>IF(B344="","",'入力・概要'!$B$30*(J344*L344+K344*M344)/(L344^2+M344^2))</f>
        <v/>
      </c>
      <c r="O344" s="195">
        <f>IF(B344="","",'入力・概要'!$B$30*(K344*L344-J344*M344)/(L344^2+M344^2))</f>
        <v/>
      </c>
      <c r="P344" s="195">
        <f>IF(B344="","",N344+'入力・概要'!$B$36)</f>
        <v/>
      </c>
      <c r="Q344" s="195">
        <f>IF(B344="","",O344+C344*'入力・概要'!$B$37*1E-9)</f>
        <v/>
      </c>
      <c r="R344" s="195">
        <f>IF(B344="","",SQRT(P344^2+Q344^2))</f>
        <v/>
      </c>
      <c r="S344" s="195">
        <f>IF(B344="","",IF(P344&gt;0,DEGREES(ATAN(Q344/P344)),IF(P344&lt;0,IF(Q344&gt;=0,DEGREES(ATAN(Q344/P344))+180,DEGREES(ATAN(Q344/P344))-180),IF(Q344&gt;0,90,IF(Q344&lt;0,-90,0)))))</f>
        <v/>
      </c>
      <c r="T344" s="195">
        <f>IF(B344="","",LOG10(B344))</f>
        <v/>
      </c>
      <c r="U344" s="195">
        <f>IF(R344="","",LOG10(MAX(R344,1E-12)))</f>
        <v/>
      </c>
    </row>
    <row r="345">
      <c r="A345" t="n">
        <v>342</v>
      </c>
      <c r="B345" s="196">
        <f>IF(A345&lt;='入力・概要'!$B$40,10^(LOG10('入力・概要'!$B$38)+(A345-1)*(LOG10('入力・概要'!$B$39)-LOG10('入力・概要'!$B$38))/('入力・概要'!$B$40-1)),"")</f>
        <v/>
      </c>
      <c r="C345" s="195">
        <f>IF(B345="","",2*PI()*B345)</f>
        <v/>
      </c>
      <c r="D345" s="195">
        <f>IF(B345="","",ATANH(MIN(0.999999,(2*'入力・概要'!$B$17*'入力・概要'!$B$6)/'入力・概要'!$B$30))+'入力・概要'!$B$33*SQRT(B345/1E6)+(2*PI()*B345*'入力・概要'!$B$6/(299792458*'入力・概要'!$B$31))*'入力・概要'!$B$32/2)</f>
        <v/>
      </c>
      <c r="E345" s="195">
        <f>IF(B345="","",2*PI()*B345*'入力・概要'!$B$6/(299792458*'入力・概要'!$B$31))</f>
        <v/>
      </c>
      <c r="F345" s="195">
        <f>IF(B345="","",SINH(2*D345)/(COSH(2*D345)+COS(2*E345)))</f>
        <v/>
      </c>
      <c r="G345" s="195">
        <f>IF(B345="","",SIN(2*E345)/(COSH(2*D345)+COS(2*E345)))</f>
        <v/>
      </c>
      <c r="H345" s="195">
        <f>IF(B345="","",'入力・概要'!$B$34)</f>
        <v/>
      </c>
      <c r="I345" s="195">
        <f>IF(B345="","",C345*'入力・概要'!$B$35*1E-9)</f>
        <v/>
      </c>
      <c r="J345" s="195">
        <f>IF(B345="","",H345+'入力・概要'!$B$30*F345)</f>
        <v/>
      </c>
      <c r="K345" s="195">
        <f>IF(B345="","",I345+'入力・概要'!$B$30*G345)</f>
        <v/>
      </c>
      <c r="L345" s="195">
        <f>IF(B345="","",'入力・概要'!$B$30+H345*F345-I345*G345)</f>
        <v/>
      </c>
      <c r="M345" s="195">
        <f>IF(B345="","",H345*G345+I345*F345)</f>
        <v/>
      </c>
      <c r="N345" s="195">
        <f>IF(B345="","",'入力・概要'!$B$30*(J345*L345+K345*M345)/(L345^2+M345^2))</f>
        <v/>
      </c>
      <c r="O345" s="195">
        <f>IF(B345="","",'入力・概要'!$B$30*(K345*L345-J345*M345)/(L345^2+M345^2))</f>
        <v/>
      </c>
      <c r="P345" s="195">
        <f>IF(B345="","",N345+'入力・概要'!$B$36)</f>
        <v/>
      </c>
      <c r="Q345" s="195">
        <f>IF(B345="","",O345+C345*'入力・概要'!$B$37*1E-9)</f>
        <v/>
      </c>
      <c r="R345" s="195">
        <f>IF(B345="","",SQRT(P345^2+Q345^2))</f>
        <v/>
      </c>
      <c r="S345" s="195">
        <f>IF(B345="","",IF(P345&gt;0,DEGREES(ATAN(Q345/P345)),IF(P345&lt;0,IF(Q345&gt;=0,DEGREES(ATAN(Q345/P345))+180,DEGREES(ATAN(Q345/P345))-180),IF(Q345&gt;0,90,IF(Q345&lt;0,-90,0)))))</f>
        <v/>
      </c>
      <c r="T345" s="195">
        <f>IF(B345="","",LOG10(B345))</f>
        <v/>
      </c>
      <c r="U345" s="195">
        <f>IF(R345="","",LOG10(MAX(R345,1E-12)))</f>
        <v/>
      </c>
    </row>
    <row r="346">
      <c r="A346" t="n">
        <v>343</v>
      </c>
      <c r="B346" s="196">
        <f>IF(A346&lt;='入力・概要'!$B$40,10^(LOG10('入力・概要'!$B$38)+(A346-1)*(LOG10('入力・概要'!$B$39)-LOG10('入力・概要'!$B$38))/('入力・概要'!$B$40-1)),"")</f>
        <v/>
      </c>
      <c r="C346" s="195">
        <f>IF(B346="","",2*PI()*B346)</f>
        <v/>
      </c>
      <c r="D346" s="195">
        <f>IF(B346="","",ATANH(MIN(0.999999,(2*'入力・概要'!$B$17*'入力・概要'!$B$6)/'入力・概要'!$B$30))+'入力・概要'!$B$33*SQRT(B346/1E6)+(2*PI()*B346*'入力・概要'!$B$6/(299792458*'入力・概要'!$B$31))*'入力・概要'!$B$32/2)</f>
        <v/>
      </c>
      <c r="E346" s="195">
        <f>IF(B346="","",2*PI()*B346*'入力・概要'!$B$6/(299792458*'入力・概要'!$B$31))</f>
        <v/>
      </c>
      <c r="F346" s="195">
        <f>IF(B346="","",SINH(2*D346)/(COSH(2*D346)+COS(2*E346)))</f>
        <v/>
      </c>
      <c r="G346" s="195">
        <f>IF(B346="","",SIN(2*E346)/(COSH(2*D346)+COS(2*E346)))</f>
        <v/>
      </c>
      <c r="H346" s="195">
        <f>IF(B346="","",'入力・概要'!$B$34)</f>
        <v/>
      </c>
      <c r="I346" s="195">
        <f>IF(B346="","",C346*'入力・概要'!$B$35*1E-9)</f>
        <v/>
      </c>
      <c r="J346" s="195">
        <f>IF(B346="","",H346+'入力・概要'!$B$30*F346)</f>
        <v/>
      </c>
      <c r="K346" s="195">
        <f>IF(B346="","",I346+'入力・概要'!$B$30*G346)</f>
        <v/>
      </c>
      <c r="L346" s="195">
        <f>IF(B346="","",'入力・概要'!$B$30+H346*F346-I346*G346)</f>
        <v/>
      </c>
      <c r="M346" s="195">
        <f>IF(B346="","",H346*G346+I346*F346)</f>
        <v/>
      </c>
      <c r="N346" s="195">
        <f>IF(B346="","",'入力・概要'!$B$30*(J346*L346+K346*M346)/(L346^2+M346^2))</f>
        <v/>
      </c>
      <c r="O346" s="195">
        <f>IF(B346="","",'入力・概要'!$B$30*(K346*L346-J346*M346)/(L346^2+M346^2))</f>
        <v/>
      </c>
      <c r="P346" s="195">
        <f>IF(B346="","",N346+'入力・概要'!$B$36)</f>
        <v/>
      </c>
      <c r="Q346" s="195">
        <f>IF(B346="","",O346+C346*'入力・概要'!$B$37*1E-9)</f>
        <v/>
      </c>
      <c r="R346" s="195">
        <f>IF(B346="","",SQRT(P346^2+Q346^2))</f>
        <v/>
      </c>
      <c r="S346" s="195">
        <f>IF(B346="","",IF(P346&gt;0,DEGREES(ATAN(Q346/P346)),IF(P346&lt;0,IF(Q346&gt;=0,DEGREES(ATAN(Q346/P346))+180,DEGREES(ATAN(Q346/P346))-180),IF(Q346&gt;0,90,IF(Q346&lt;0,-90,0)))))</f>
        <v/>
      </c>
      <c r="T346" s="195">
        <f>IF(B346="","",LOG10(B346))</f>
        <v/>
      </c>
      <c r="U346" s="195">
        <f>IF(R346="","",LOG10(MAX(R346,1E-12)))</f>
        <v/>
      </c>
    </row>
    <row r="347">
      <c r="A347" t="n">
        <v>344</v>
      </c>
      <c r="B347" s="196">
        <f>IF(A347&lt;='入力・概要'!$B$40,10^(LOG10('入力・概要'!$B$38)+(A347-1)*(LOG10('入力・概要'!$B$39)-LOG10('入力・概要'!$B$38))/('入力・概要'!$B$40-1)),"")</f>
        <v/>
      </c>
      <c r="C347" s="195">
        <f>IF(B347="","",2*PI()*B347)</f>
        <v/>
      </c>
      <c r="D347" s="195">
        <f>IF(B347="","",ATANH(MIN(0.999999,(2*'入力・概要'!$B$17*'入力・概要'!$B$6)/'入力・概要'!$B$30))+'入力・概要'!$B$33*SQRT(B347/1E6)+(2*PI()*B347*'入力・概要'!$B$6/(299792458*'入力・概要'!$B$31))*'入力・概要'!$B$32/2)</f>
        <v/>
      </c>
      <c r="E347" s="195">
        <f>IF(B347="","",2*PI()*B347*'入力・概要'!$B$6/(299792458*'入力・概要'!$B$31))</f>
        <v/>
      </c>
      <c r="F347" s="195">
        <f>IF(B347="","",SINH(2*D347)/(COSH(2*D347)+COS(2*E347)))</f>
        <v/>
      </c>
      <c r="G347" s="195">
        <f>IF(B347="","",SIN(2*E347)/(COSH(2*D347)+COS(2*E347)))</f>
        <v/>
      </c>
      <c r="H347" s="195">
        <f>IF(B347="","",'入力・概要'!$B$34)</f>
        <v/>
      </c>
      <c r="I347" s="195">
        <f>IF(B347="","",C347*'入力・概要'!$B$35*1E-9)</f>
        <v/>
      </c>
      <c r="J347" s="195">
        <f>IF(B347="","",H347+'入力・概要'!$B$30*F347)</f>
        <v/>
      </c>
      <c r="K347" s="195">
        <f>IF(B347="","",I347+'入力・概要'!$B$30*G347)</f>
        <v/>
      </c>
      <c r="L347" s="195">
        <f>IF(B347="","",'入力・概要'!$B$30+H347*F347-I347*G347)</f>
        <v/>
      </c>
      <c r="M347" s="195">
        <f>IF(B347="","",H347*G347+I347*F347)</f>
        <v/>
      </c>
      <c r="N347" s="195">
        <f>IF(B347="","",'入力・概要'!$B$30*(J347*L347+K347*M347)/(L347^2+M347^2))</f>
        <v/>
      </c>
      <c r="O347" s="195">
        <f>IF(B347="","",'入力・概要'!$B$30*(K347*L347-J347*M347)/(L347^2+M347^2))</f>
        <v/>
      </c>
      <c r="P347" s="195">
        <f>IF(B347="","",N347+'入力・概要'!$B$36)</f>
        <v/>
      </c>
      <c r="Q347" s="195">
        <f>IF(B347="","",O347+C347*'入力・概要'!$B$37*1E-9)</f>
        <v/>
      </c>
      <c r="R347" s="195">
        <f>IF(B347="","",SQRT(P347^2+Q347^2))</f>
        <v/>
      </c>
      <c r="S347" s="195">
        <f>IF(B347="","",IF(P347&gt;0,DEGREES(ATAN(Q347/P347)),IF(P347&lt;0,IF(Q347&gt;=0,DEGREES(ATAN(Q347/P347))+180,DEGREES(ATAN(Q347/P347))-180),IF(Q347&gt;0,90,IF(Q347&lt;0,-90,0)))))</f>
        <v/>
      </c>
      <c r="T347" s="195">
        <f>IF(B347="","",LOG10(B347))</f>
        <v/>
      </c>
      <c r="U347" s="195">
        <f>IF(R347="","",LOG10(MAX(R347,1E-12)))</f>
        <v/>
      </c>
    </row>
    <row r="348">
      <c r="A348" t="n">
        <v>345</v>
      </c>
      <c r="B348" s="196">
        <f>IF(A348&lt;='入力・概要'!$B$40,10^(LOG10('入力・概要'!$B$38)+(A348-1)*(LOG10('入力・概要'!$B$39)-LOG10('入力・概要'!$B$38))/('入力・概要'!$B$40-1)),"")</f>
        <v/>
      </c>
      <c r="C348" s="195">
        <f>IF(B348="","",2*PI()*B348)</f>
        <v/>
      </c>
      <c r="D348" s="195">
        <f>IF(B348="","",ATANH(MIN(0.999999,(2*'入力・概要'!$B$17*'入力・概要'!$B$6)/'入力・概要'!$B$30))+'入力・概要'!$B$33*SQRT(B348/1E6)+(2*PI()*B348*'入力・概要'!$B$6/(299792458*'入力・概要'!$B$31))*'入力・概要'!$B$32/2)</f>
        <v/>
      </c>
      <c r="E348" s="195">
        <f>IF(B348="","",2*PI()*B348*'入力・概要'!$B$6/(299792458*'入力・概要'!$B$31))</f>
        <v/>
      </c>
      <c r="F348" s="195">
        <f>IF(B348="","",SINH(2*D348)/(COSH(2*D348)+COS(2*E348)))</f>
        <v/>
      </c>
      <c r="G348" s="195">
        <f>IF(B348="","",SIN(2*E348)/(COSH(2*D348)+COS(2*E348)))</f>
        <v/>
      </c>
      <c r="H348" s="195">
        <f>IF(B348="","",'入力・概要'!$B$34)</f>
        <v/>
      </c>
      <c r="I348" s="195">
        <f>IF(B348="","",C348*'入力・概要'!$B$35*1E-9)</f>
        <v/>
      </c>
      <c r="J348" s="195">
        <f>IF(B348="","",H348+'入力・概要'!$B$30*F348)</f>
        <v/>
      </c>
      <c r="K348" s="195">
        <f>IF(B348="","",I348+'入力・概要'!$B$30*G348)</f>
        <v/>
      </c>
      <c r="L348" s="195">
        <f>IF(B348="","",'入力・概要'!$B$30+H348*F348-I348*G348)</f>
        <v/>
      </c>
      <c r="M348" s="195">
        <f>IF(B348="","",H348*G348+I348*F348)</f>
        <v/>
      </c>
      <c r="N348" s="195">
        <f>IF(B348="","",'入力・概要'!$B$30*(J348*L348+K348*M348)/(L348^2+M348^2))</f>
        <v/>
      </c>
      <c r="O348" s="195">
        <f>IF(B348="","",'入力・概要'!$B$30*(K348*L348-J348*M348)/(L348^2+M348^2))</f>
        <v/>
      </c>
      <c r="P348" s="195">
        <f>IF(B348="","",N348+'入力・概要'!$B$36)</f>
        <v/>
      </c>
      <c r="Q348" s="195">
        <f>IF(B348="","",O348+C348*'入力・概要'!$B$37*1E-9)</f>
        <v/>
      </c>
      <c r="R348" s="195">
        <f>IF(B348="","",SQRT(P348^2+Q348^2))</f>
        <v/>
      </c>
      <c r="S348" s="195">
        <f>IF(B348="","",IF(P348&gt;0,DEGREES(ATAN(Q348/P348)),IF(P348&lt;0,IF(Q348&gt;=0,DEGREES(ATAN(Q348/P348))+180,DEGREES(ATAN(Q348/P348))-180),IF(Q348&gt;0,90,IF(Q348&lt;0,-90,0)))))</f>
        <v/>
      </c>
      <c r="T348" s="195">
        <f>IF(B348="","",LOG10(B348))</f>
        <v/>
      </c>
      <c r="U348" s="195">
        <f>IF(R348="","",LOG10(MAX(R348,1E-12)))</f>
        <v/>
      </c>
    </row>
    <row r="349">
      <c r="A349" t="n">
        <v>346</v>
      </c>
      <c r="B349" s="196">
        <f>IF(A349&lt;='入力・概要'!$B$40,10^(LOG10('入力・概要'!$B$38)+(A349-1)*(LOG10('入力・概要'!$B$39)-LOG10('入力・概要'!$B$38))/('入力・概要'!$B$40-1)),"")</f>
        <v/>
      </c>
      <c r="C349" s="195">
        <f>IF(B349="","",2*PI()*B349)</f>
        <v/>
      </c>
      <c r="D349" s="195">
        <f>IF(B349="","",ATANH(MIN(0.999999,(2*'入力・概要'!$B$17*'入力・概要'!$B$6)/'入力・概要'!$B$30))+'入力・概要'!$B$33*SQRT(B349/1E6)+(2*PI()*B349*'入力・概要'!$B$6/(299792458*'入力・概要'!$B$31))*'入力・概要'!$B$32/2)</f>
        <v/>
      </c>
      <c r="E349" s="195">
        <f>IF(B349="","",2*PI()*B349*'入力・概要'!$B$6/(299792458*'入力・概要'!$B$31))</f>
        <v/>
      </c>
      <c r="F349" s="195">
        <f>IF(B349="","",SINH(2*D349)/(COSH(2*D349)+COS(2*E349)))</f>
        <v/>
      </c>
      <c r="G349" s="195">
        <f>IF(B349="","",SIN(2*E349)/(COSH(2*D349)+COS(2*E349)))</f>
        <v/>
      </c>
      <c r="H349" s="195">
        <f>IF(B349="","",'入力・概要'!$B$34)</f>
        <v/>
      </c>
      <c r="I349" s="195">
        <f>IF(B349="","",C349*'入力・概要'!$B$35*1E-9)</f>
        <v/>
      </c>
      <c r="J349" s="195">
        <f>IF(B349="","",H349+'入力・概要'!$B$30*F349)</f>
        <v/>
      </c>
      <c r="K349" s="195">
        <f>IF(B349="","",I349+'入力・概要'!$B$30*G349)</f>
        <v/>
      </c>
      <c r="L349" s="195">
        <f>IF(B349="","",'入力・概要'!$B$30+H349*F349-I349*G349)</f>
        <v/>
      </c>
      <c r="M349" s="195">
        <f>IF(B349="","",H349*G349+I349*F349)</f>
        <v/>
      </c>
      <c r="N349" s="195">
        <f>IF(B349="","",'入力・概要'!$B$30*(J349*L349+K349*M349)/(L349^2+M349^2))</f>
        <v/>
      </c>
      <c r="O349" s="195">
        <f>IF(B349="","",'入力・概要'!$B$30*(K349*L349-J349*M349)/(L349^2+M349^2))</f>
        <v/>
      </c>
      <c r="P349" s="195">
        <f>IF(B349="","",N349+'入力・概要'!$B$36)</f>
        <v/>
      </c>
      <c r="Q349" s="195">
        <f>IF(B349="","",O349+C349*'入力・概要'!$B$37*1E-9)</f>
        <v/>
      </c>
      <c r="R349" s="195">
        <f>IF(B349="","",SQRT(P349^2+Q349^2))</f>
        <v/>
      </c>
      <c r="S349" s="195">
        <f>IF(B349="","",IF(P349&gt;0,DEGREES(ATAN(Q349/P349)),IF(P349&lt;0,IF(Q349&gt;=0,DEGREES(ATAN(Q349/P349))+180,DEGREES(ATAN(Q349/P349))-180),IF(Q349&gt;0,90,IF(Q349&lt;0,-90,0)))))</f>
        <v/>
      </c>
      <c r="T349" s="195">
        <f>IF(B349="","",LOG10(B349))</f>
        <v/>
      </c>
      <c r="U349" s="195">
        <f>IF(R349="","",LOG10(MAX(R349,1E-12)))</f>
        <v/>
      </c>
    </row>
    <row r="350">
      <c r="A350" t="n">
        <v>347</v>
      </c>
      <c r="B350" s="196">
        <f>IF(A350&lt;='入力・概要'!$B$40,10^(LOG10('入力・概要'!$B$38)+(A350-1)*(LOG10('入力・概要'!$B$39)-LOG10('入力・概要'!$B$38))/('入力・概要'!$B$40-1)),"")</f>
        <v/>
      </c>
      <c r="C350" s="195">
        <f>IF(B350="","",2*PI()*B350)</f>
        <v/>
      </c>
      <c r="D350" s="195">
        <f>IF(B350="","",ATANH(MIN(0.999999,(2*'入力・概要'!$B$17*'入力・概要'!$B$6)/'入力・概要'!$B$30))+'入力・概要'!$B$33*SQRT(B350/1E6)+(2*PI()*B350*'入力・概要'!$B$6/(299792458*'入力・概要'!$B$31))*'入力・概要'!$B$32/2)</f>
        <v/>
      </c>
      <c r="E350" s="195">
        <f>IF(B350="","",2*PI()*B350*'入力・概要'!$B$6/(299792458*'入力・概要'!$B$31))</f>
        <v/>
      </c>
      <c r="F350" s="195">
        <f>IF(B350="","",SINH(2*D350)/(COSH(2*D350)+COS(2*E350)))</f>
        <v/>
      </c>
      <c r="G350" s="195">
        <f>IF(B350="","",SIN(2*E350)/(COSH(2*D350)+COS(2*E350)))</f>
        <v/>
      </c>
      <c r="H350" s="195">
        <f>IF(B350="","",'入力・概要'!$B$34)</f>
        <v/>
      </c>
      <c r="I350" s="195">
        <f>IF(B350="","",C350*'入力・概要'!$B$35*1E-9)</f>
        <v/>
      </c>
      <c r="J350" s="195">
        <f>IF(B350="","",H350+'入力・概要'!$B$30*F350)</f>
        <v/>
      </c>
      <c r="K350" s="195">
        <f>IF(B350="","",I350+'入力・概要'!$B$30*G350)</f>
        <v/>
      </c>
      <c r="L350" s="195">
        <f>IF(B350="","",'入力・概要'!$B$30+H350*F350-I350*G350)</f>
        <v/>
      </c>
      <c r="M350" s="195">
        <f>IF(B350="","",H350*G350+I350*F350)</f>
        <v/>
      </c>
      <c r="N350" s="195">
        <f>IF(B350="","",'入力・概要'!$B$30*(J350*L350+K350*M350)/(L350^2+M350^2))</f>
        <v/>
      </c>
      <c r="O350" s="195">
        <f>IF(B350="","",'入力・概要'!$B$30*(K350*L350-J350*M350)/(L350^2+M350^2))</f>
        <v/>
      </c>
      <c r="P350" s="195">
        <f>IF(B350="","",N350+'入力・概要'!$B$36)</f>
        <v/>
      </c>
      <c r="Q350" s="195">
        <f>IF(B350="","",O350+C350*'入力・概要'!$B$37*1E-9)</f>
        <v/>
      </c>
      <c r="R350" s="195">
        <f>IF(B350="","",SQRT(P350^2+Q350^2))</f>
        <v/>
      </c>
      <c r="S350" s="195">
        <f>IF(B350="","",IF(P350&gt;0,DEGREES(ATAN(Q350/P350)),IF(P350&lt;0,IF(Q350&gt;=0,DEGREES(ATAN(Q350/P350))+180,DEGREES(ATAN(Q350/P350))-180),IF(Q350&gt;0,90,IF(Q350&lt;0,-90,0)))))</f>
        <v/>
      </c>
      <c r="T350" s="195">
        <f>IF(B350="","",LOG10(B350))</f>
        <v/>
      </c>
      <c r="U350" s="195">
        <f>IF(R350="","",LOG10(MAX(R350,1E-12)))</f>
        <v/>
      </c>
    </row>
    <row r="351">
      <c r="A351" t="n">
        <v>348</v>
      </c>
      <c r="B351" s="196">
        <f>IF(A351&lt;='入力・概要'!$B$40,10^(LOG10('入力・概要'!$B$38)+(A351-1)*(LOG10('入力・概要'!$B$39)-LOG10('入力・概要'!$B$38))/('入力・概要'!$B$40-1)),"")</f>
        <v/>
      </c>
      <c r="C351" s="195">
        <f>IF(B351="","",2*PI()*B351)</f>
        <v/>
      </c>
      <c r="D351" s="195">
        <f>IF(B351="","",ATANH(MIN(0.999999,(2*'入力・概要'!$B$17*'入力・概要'!$B$6)/'入力・概要'!$B$30))+'入力・概要'!$B$33*SQRT(B351/1E6)+(2*PI()*B351*'入力・概要'!$B$6/(299792458*'入力・概要'!$B$31))*'入力・概要'!$B$32/2)</f>
        <v/>
      </c>
      <c r="E351" s="195">
        <f>IF(B351="","",2*PI()*B351*'入力・概要'!$B$6/(299792458*'入力・概要'!$B$31))</f>
        <v/>
      </c>
      <c r="F351" s="195">
        <f>IF(B351="","",SINH(2*D351)/(COSH(2*D351)+COS(2*E351)))</f>
        <v/>
      </c>
      <c r="G351" s="195">
        <f>IF(B351="","",SIN(2*E351)/(COSH(2*D351)+COS(2*E351)))</f>
        <v/>
      </c>
      <c r="H351" s="195">
        <f>IF(B351="","",'入力・概要'!$B$34)</f>
        <v/>
      </c>
      <c r="I351" s="195">
        <f>IF(B351="","",C351*'入力・概要'!$B$35*1E-9)</f>
        <v/>
      </c>
      <c r="J351" s="195">
        <f>IF(B351="","",H351+'入力・概要'!$B$30*F351)</f>
        <v/>
      </c>
      <c r="K351" s="195">
        <f>IF(B351="","",I351+'入力・概要'!$B$30*G351)</f>
        <v/>
      </c>
      <c r="L351" s="195">
        <f>IF(B351="","",'入力・概要'!$B$30+H351*F351-I351*G351)</f>
        <v/>
      </c>
      <c r="M351" s="195">
        <f>IF(B351="","",H351*G351+I351*F351)</f>
        <v/>
      </c>
      <c r="N351" s="195">
        <f>IF(B351="","",'入力・概要'!$B$30*(J351*L351+K351*M351)/(L351^2+M351^2))</f>
        <v/>
      </c>
      <c r="O351" s="195">
        <f>IF(B351="","",'入力・概要'!$B$30*(K351*L351-J351*M351)/(L351^2+M351^2))</f>
        <v/>
      </c>
      <c r="P351" s="195">
        <f>IF(B351="","",N351+'入力・概要'!$B$36)</f>
        <v/>
      </c>
      <c r="Q351" s="195">
        <f>IF(B351="","",O351+C351*'入力・概要'!$B$37*1E-9)</f>
        <v/>
      </c>
      <c r="R351" s="195">
        <f>IF(B351="","",SQRT(P351^2+Q351^2))</f>
        <v/>
      </c>
      <c r="S351" s="195">
        <f>IF(B351="","",IF(P351&gt;0,DEGREES(ATAN(Q351/P351)),IF(P351&lt;0,IF(Q351&gt;=0,DEGREES(ATAN(Q351/P351))+180,DEGREES(ATAN(Q351/P351))-180),IF(Q351&gt;0,90,IF(Q351&lt;0,-90,0)))))</f>
        <v/>
      </c>
      <c r="T351" s="195">
        <f>IF(B351="","",LOG10(B351))</f>
        <v/>
      </c>
      <c r="U351" s="195">
        <f>IF(R351="","",LOG10(MAX(R351,1E-12)))</f>
        <v/>
      </c>
    </row>
    <row r="352">
      <c r="A352" t="n">
        <v>349</v>
      </c>
      <c r="B352" s="196">
        <f>IF(A352&lt;='入力・概要'!$B$40,10^(LOG10('入力・概要'!$B$38)+(A352-1)*(LOG10('入力・概要'!$B$39)-LOG10('入力・概要'!$B$38))/('入力・概要'!$B$40-1)),"")</f>
        <v/>
      </c>
      <c r="C352" s="195">
        <f>IF(B352="","",2*PI()*B352)</f>
        <v/>
      </c>
      <c r="D352" s="195">
        <f>IF(B352="","",ATANH(MIN(0.999999,(2*'入力・概要'!$B$17*'入力・概要'!$B$6)/'入力・概要'!$B$30))+'入力・概要'!$B$33*SQRT(B352/1E6)+(2*PI()*B352*'入力・概要'!$B$6/(299792458*'入力・概要'!$B$31))*'入力・概要'!$B$32/2)</f>
        <v/>
      </c>
      <c r="E352" s="195">
        <f>IF(B352="","",2*PI()*B352*'入力・概要'!$B$6/(299792458*'入力・概要'!$B$31))</f>
        <v/>
      </c>
      <c r="F352" s="195">
        <f>IF(B352="","",SINH(2*D352)/(COSH(2*D352)+COS(2*E352)))</f>
        <v/>
      </c>
      <c r="G352" s="195">
        <f>IF(B352="","",SIN(2*E352)/(COSH(2*D352)+COS(2*E352)))</f>
        <v/>
      </c>
      <c r="H352" s="195">
        <f>IF(B352="","",'入力・概要'!$B$34)</f>
        <v/>
      </c>
      <c r="I352" s="195">
        <f>IF(B352="","",C352*'入力・概要'!$B$35*1E-9)</f>
        <v/>
      </c>
      <c r="J352" s="195">
        <f>IF(B352="","",H352+'入力・概要'!$B$30*F352)</f>
        <v/>
      </c>
      <c r="K352" s="195">
        <f>IF(B352="","",I352+'入力・概要'!$B$30*G352)</f>
        <v/>
      </c>
      <c r="L352" s="195">
        <f>IF(B352="","",'入力・概要'!$B$30+H352*F352-I352*G352)</f>
        <v/>
      </c>
      <c r="M352" s="195">
        <f>IF(B352="","",H352*G352+I352*F352)</f>
        <v/>
      </c>
      <c r="N352" s="195">
        <f>IF(B352="","",'入力・概要'!$B$30*(J352*L352+K352*M352)/(L352^2+M352^2))</f>
        <v/>
      </c>
      <c r="O352" s="195">
        <f>IF(B352="","",'入力・概要'!$B$30*(K352*L352-J352*M352)/(L352^2+M352^2))</f>
        <v/>
      </c>
      <c r="P352" s="195">
        <f>IF(B352="","",N352+'入力・概要'!$B$36)</f>
        <v/>
      </c>
      <c r="Q352" s="195">
        <f>IF(B352="","",O352+C352*'入力・概要'!$B$37*1E-9)</f>
        <v/>
      </c>
      <c r="R352" s="195">
        <f>IF(B352="","",SQRT(P352^2+Q352^2))</f>
        <v/>
      </c>
      <c r="S352" s="195">
        <f>IF(B352="","",IF(P352&gt;0,DEGREES(ATAN(Q352/P352)),IF(P352&lt;0,IF(Q352&gt;=0,DEGREES(ATAN(Q352/P352))+180,DEGREES(ATAN(Q352/P352))-180),IF(Q352&gt;0,90,IF(Q352&lt;0,-90,0)))))</f>
        <v/>
      </c>
      <c r="T352" s="195">
        <f>IF(B352="","",LOG10(B352))</f>
        <v/>
      </c>
      <c r="U352" s="195">
        <f>IF(R352="","",LOG10(MAX(R352,1E-12)))</f>
        <v/>
      </c>
    </row>
    <row r="353">
      <c r="A353" t="n">
        <v>350</v>
      </c>
      <c r="B353" s="196">
        <f>IF(A353&lt;='入力・概要'!$B$40,10^(LOG10('入力・概要'!$B$38)+(A353-1)*(LOG10('入力・概要'!$B$39)-LOG10('入力・概要'!$B$38))/('入力・概要'!$B$40-1)),"")</f>
        <v/>
      </c>
      <c r="C353" s="195">
        <f>IF(B353="","",2*PI()*B353)</f>
        <v/>
      </c>
      <c r="D353" s="195">
        <f>IF(B353="","",ATANH(MIN(0.999999,(2*'入力・概要'!$B$17*'入力・概要'!$B$6)/'入力・概要'!$B$30))+'入力・概要'!$B$33*SQRT(B353/1E6)+(2*PI()*B353*'入力・概要'!$B$6/(299792458*'入力・概要'!$B$31))*'入力・概要'!$B$32/2)</f>
        <v/>
      </c>
      <c r="E353" s="195">
        <f>IF(B353="","",2*PI()*B353*'入力・概要'!$B$6/(299792458*'入力・概要'!$B$31))</f>
        <v/>
      </c>
      <c r="F353" s="195">
        <f>IF(B353="","",SINH(2*D353)/(COSH(2*D353)+COS(2*E353)))</f>
        <v/>
      </c>
      <c r="G353" s="195">
        <f>IF(B353="","",SIN(2*E353)/(COSH(2*D353)+COS(2*E353)))</f>
        <v/>
      </c>
      <c r="H353" s="195">
        <f>IF(B353="","",'入力・概要'!$B$34)</f>
        <v/>
      </c>
      <c r="I353" s="195">
        <f>IF(B353="","",C353*'入力・概要'!$B$35*1E-9)</f>
        <v/>
      </c>
      <c r="J353" s="195">
        <f>IF(B353="","",H353+'入力・概要'!$B$30*F353)</f>
        <v/>
      </c>
      <c r="K353" s="195">
        <f>IF(B353="","",I353+'入力・概要'!$B$30*G353)</f>
        <v/>
      </c>
      <c r="L353" s="195">
        <f>IF(B353="","",'入力・概要'!$B$30+H353*F353-I353*G353)</f>
        <v/>
      </c>
      <c r="M353" s="195">
        <f>IF(B353="","",H353*G353+I353*F353)</f>
        <v/>
      </c>
      <c r="N353" s="195">
        <f>IF(B353="","",'入力・概要'!$B$30*(J353*L353+K353*M353)/(L353^2+M353^2))</f>
        <v/>
      </c>
      <c r="O353" s="195">
        <f>IF(B353="","",'入力・概要'!$B$30*(K353*L353-J353*M353)/(L353^2+M353^2))</f>
        <v/>
      </c>
      <c r="P353" s="195">
        <f>IF(B353="","",N353+'入力・概要'!$B$36)</f>
        <v/>
      </c>
      <c r="Q353" s="195">
        <f>IF(B353="","",O353+C353*'入力・概要'!$B$37*1E-9)</f>
        <v/>
      </c>
      <c r="R353" s="195">
        <f>IF(B353="","",SQRT(P353^2+Q353^2))</f>
        <v/>
      </c>
      <c r="S353" s="195">
        <f>IF(B353="","",IF(P353&gt;0,DEGREES(ATAN(Q353/P353)),IF(P353&lt;0,IF(Q353&gt;=0,DEGREES(ATAN(Q353/P353))+180,DEGREES(ATAN(Q353/P353))-180),IF(Q353&gt;0,90,IF(Q353&lt;0,-90,0)))))</f>
        <v/>
      </c>
      <c r="T353" s="195">
        <f>IF(B353="","",LOG10(B353))</f>
        <v/>
      </c>
      <c r="U353" s="195">
        <f>IF(R353="","",LOG10(MAX(R353,1E-12)))</f>
        <v/>
      </c>
    </row>
    <row r="354">
      <c r="A354" t="n">
        <v>351</v>
      </c>
      <c r="B354" s="196">
        <f>IF(A354&lt;='入力・概要'!$B$40,10^(LOG10('入力・概要'!$B$38)+(A354-1)*(LOG10('入力・概要'!$B$39)-LOG10('入力・概要'!$B$38))/('入力・概要'!$B$40-1)),"")</f>
        <v/>
      </c>
      <c r="C354" s="195">
        <f>IF(B354="","",2*PI()*B354)</f>
        <v/>
      </c>
      <c r="D354" s="195">
        <f>IF(B354="","",ATANH(MIN(0.999999,(2*'入力・概要'!$B$17*'入力・概要'!$B$6)/'入力・概要'!$B$30))+'入力・概要'!$B$33*SQRT(B354/1E6)+(2*PI()*B354*'入力・概要'!$B$6/(299792458*'入力・概要'!$B$31))*'入力・概要'!$B$32/2)</f>
        <v/>
      </c>
      <c r="E354" s="195">
        <f>IF(B354="","",2*PI()*B354*'入力・概要'!$B$6/(299792458*'入力・概要'!$B$31))</f>
        <v/>
      </c>
      <c r="F354" s="195">
        <f>IF(B354="","",SINH(2*D354)/(COSH(2*D354)+COS(2*E354)))</f>
        <v/>
      </c>
      <c r="G354" s="195">
        <f>IF(B354="","",SIN(2*E354)/(COSH(2*D354)+COS(2*E354)))</f>
        <v/>
      </c>
      <c r="H354" s="195">
        <f>IF(B354="","",'入力・概要'!$B$34)</f>
        <v/>
      </c>
      <c r="I354" s="195">
        <f>IF(B354="","",C354*'入力・概要'!$B$35*1E-9)</f>
        <v/>
      </c>
      <c r="J354" s="195">
        <f>IF(B354="","",H354+'入力・概要'!$B$30*F354)</f>
        <v/>
      </c>
      <c r="K354" s="195">
        <f>IF(B354="","",I354+'入力・概要'!$B$30*G354)</f>
        <v/>
      </c>
      <c r="L354" s="195">
        <f>IF(B354="","",'入力・概要'!$B$30+H354*F354-I354*G354)</f>
        <v/>
      </c>
      <c r="M354" s="195">
        <f>IF(B354="","",H354*G354+I354*F354)</f>
        <v/>
      </c>
      <c r="N354" s="195">
        <f>IF(B354="","",'入力・概要'!$B$30*(J354*L354+K354*M354)/(L354^2+M354^2))</f>
        <v/>
      </c>
      <c r="O354" s="195">
        <f>IF(B354="","",'入力・概要'!$B$30*(K354*L354-J354*M354)/(L354^2+M354^2))</f>
        <v/>
      </c>
      <c r="P354" s="195">
        <f>IF(B354="","",N354+'入力・概要'!$B$36)</f>
        <v/>
      </c>
      <c r="Q354" s="195">
        <f>IF(B354="","",O354+C354*'入力・概要'!$B$37*1E-9)</f>
        <v/>
      </c>
      <c r="R354" s="195">
        <f>IF(B354="","",SQRT(P354^2+Q354^2))</f>
        <v/>
      </c>
      <c r="S354" s="195">
        <f>IF(B354="","",IF(P354&gt;0,DEGREES(ATAN(Q354/P354)),IF(P354&lt;0,IF(Q354&gt;=0,DEGREES(ATAN(Q354/P354))+180,DEGREES(ATAN(Q354/P354))-180),IF(Q354&gt;0,90,IF(Q354&lt;0,-90,0)))))</f>
        <v/>
      </c>
      <c r="T354" s="195">
        <f>IF(B354="","",LOG10(B354))</f>
        <v/>
      </c>
      <c r="U354" s="195">
        <f>IF(R354="","",LOG10(MAX(R354,1E-12)))</f>
        <v/>
      </c>
    </row>
    <row r="355">
      <c r="A355" t="n">
        <v>352</v>
      </c>
      <c r="B355" s="196">
        <f>IF(A355&lt;='入力・概要'!$B$40,10^(LOG10('入力・概要'!$B$38)+(A355-1)*(LOG10('入力・概要'!$B$39)-LOG10('入力・概要'!$B$38))/('入力・概要'!$B$40-1)),"")</f>
        <v/>
      </c>
      <c r="C355" s="195">
        <f>IF(B355="","",2*PI()*B355)</f>
        <v/>
      </c>
      <c r="D355" s="195">
        <f>IF(B355="","",ATANH(MIN(0.999999,(2*'入力・概要'!$B$17*'入力・概要'!$B$6)/'入力・概要'!$B$30))+'入力・概要'!$B$33*SQRT(B355/1E6)+(2*PI()*B355*'入力・概要'!$B$6/(299792458*'入力・概要'!$B$31))*'入力・概要'!$B$32/2)</f>
        <v/>
      </c>
      <c r="E355" s="195">
        <f>IF(B355="","",2*PI()*B355*'入力・概要'!$B$6/(299792458*'入力・概要'!$B$31))</f>
        <v/>
      </c>
      <c r="F355" s="195">
        <f>IF(B355="","",SINH(2*D355)/(COSH(2*D355)+COS(2*E355)))</f>
        <v/>
      </c>
      <c r="G355" s="195">
        <f>IF(B355="","",SIN(2*E355)/(COSH(2*D355)+COS(2*E355)))</f>
        <v/>
      </c>
      <c r="H355" s="195">
        <f>IF(B355="","",'入力・概要'!$B$34)</f>
        <v/>
      </c>
      <c r="I355" s="195">
        <f>IF(B355="","",C355*'入力・概要'!$B$35*1E-9)</f>
        <v/>
      </c>
      <c r="J355" s="195">
        <f>IF(B355="","",H355+'入力・概要'!$B$30*F355)</f>
        <v/>
      </c>
      <c r="K355" s="195">
        <f>IF(B355="","",I355+'入力・概要'!$B$30*G355)</f>
        <v/>
      </c>
      <c r="L355" s="195">
        <f>IF(B355="","",'入力・概要'!$B$30+H355*F355-I355*G355)</f>
        <v/>
      </c>
      <c r="M355" s="195">
        <f>IF(B355="","",H355*G355+I355*F355)</f>
        <v/>
      </c>
      <c r="N355" s="195">
        <f>IF(B355="","",'入力・概要'!$B$30*(J355*L355+K355*M355)/(L355^2+M355^2))</f>
        <v/>
      </c>
      <c r="O355" s="195">
        <f>IF(B355="","",'入力・概要'!$B$30*(K355*L355-J355*M355)/(L355^2+M355^2))</f>
        <v/>
      </c>
      <c r="P355" s="195">
        <f>IF(B355="","",N355+'入力・概要'!$B$36)</f>
        <v/>
      </c>
      <c r="Q355" s="195">
        <f>IF(B355="","",O355+C355*'入力・概要'!$B$37*1E-9)</f>
        <v/>
      </c>
      <c r="R355" s="195">
        <f>IF(B355="","",SQRT(P355^2+Q355^2))</f>
        <v/>
      </c>
      <c r="S355" s="195">
        <f>IF(B355="","",IF(P355&gt;0,DEGREES(ATAN(Q355/P355)),IF(P355&lt;0,IF(Q355&gt;=0,DEGREES(ATAN(Q355/P355))+180,DEGREES(ATAN(Q355/P355))-180),IF(Q355&gt;0,90,IF(Q355&lt;0,-90,0)))))</f>
        <v/>
      </c>
      <c r="T355" s="195">
        <f>IF(B355="","",LOG10(B355))</f>
        <v/>
      </c>
      <c r="U355" s="195">
        <f>IF(R355="","",LOG10(MAX(R355,1E-12)))</f>
        <v/>
      </c>
    </row>
    <row r="356">
      <c r="A356" t="n">
        <v>353</v>
      </c>
      <c r="B356" s="196">
        <f>IF(A356&lt;='入力・概要'!$B$40,10^(LOG10('入力・概要'!$B$38)+(A356-1)*(LOG10('入力・概要'!$B$39)-LOG10('入力・概要'!$B$38))/('入力・概要'!$B$40-1)),"")</f>
        <v/>
      </c>
      <c r="C356" s="195">
        <f>IF(B356="","",2*PI()*B356)</f>
        <v/>
      </c>
      <c r="D356" s="195">
        <f>IF(B356="","",ATANH(MIN(0.999999,(2*'入力・概要'!$B$17*'入力・概要'!$B$6)/'入力・概要'!$B$30))+'入力・概要'!$B$33*SQRT(B356/1E6)+(2*PI()*B356*'入力・概要'!$B$6/(299792458*'入力・概要'!$B$31))*'入力・概要'!$B$32/2)</f>
        <v/>
      </c>
      <c r="E356" s="195">
        <f>IF(B356="","",2*PI()*B356*'入力・概要'!$B$6/(299792458*'入力・概要'!$B$31))</f>
        <v/>
      </c>
      <c r="F356" s="195">
        <f>IF(B356="","",SINH(2*D356)/(COSH(2*D356)+COS(2*E356)))</f>
        <v/>
      </c>
      <c r="G356" s="195">
        <f>IF(B356="","",SIN(2*E356)/(COSH(2*D356)+COS(2*E356)))</f>
        <v/>
      </c>
      <c r="H356" s="195">
        <f>IF(B356="","",'入力・概要'!$B$34)</f>
        <v/>
      </c>
      <c r="I356" s="195">
        <f>IF(B356="","",C356*'入力・概要'!$B$35*1E-9)</f>
        <v/>
      </c>
      <c r="J356" s="195">
        <f>IF(B356="","",H356+'入力・概要'!$B$30*F356)</f>
        <v/>
      </c>
      <c r="K356" s="195">
        <f>IF(B356="","",I356+'入力・概要'!$B$30*G356)</f>
        <v/>
      </c>
      <c r="L356" s="195">
        <f>IF(B356="","",'入力・概要'!$B$30+H356*F356-I356*G356)</f>
        <v/>
      </c>
      <c r="M356" s="195">
        <f>IF(B356="","",H356*G356+I356*F356)</f>
        <v/>
      </c>
      <c r="N356" s="195">
        <f>IF(B356="","",'入力・概要'!$B$30*(J356*L356+K356*M356)/(L356^2+M356^2))</f>
        <v/>
      </c>
      <c r="O356" s="195">
        <f>IF(B356="","",'入力・概要'!$B$30*(K356*L356-J356*M356)/(L356^2+M356^2))</f>
        <v/>
      </c>
      <c r="P356" s="195">
        <f>IF(B356="","",N356+'入力・概要'!$B$36)</f>
        <v/>
      </c>
      <c r="Q356" s="195">
        <f>IF(B356="","",O356+C356*'入力・概要'!$B$37*1E-9)</f>
        <v/>
      </c>
      <c r="R356" s="195">
        <f>IF(B356="","",SQRT(P356^2+Q356^2))</f>
        <v/>
      </c>
      <c r="S356" s="195">
        <f>IF(B356="","",IF(P356&gt;0,DEGREES(ATAN(Q356/P356)),IF(P356&lt;0,IF(Q356&gt;=0,DEGREES(ATAN(Q356/P356))+180,DEGREES(ATAN(Q356/P356))-180),IF(Q356&gt;0,90,IF(Q356&lt;0,-90,0)))))</f>
        <v/>
      </c>
      <c r="T356" s="195">
        <f>IF(B356="","",LOG10(B356))</f>
        <v/>
      </c>
      <c r="U356" s="195">
        <f>IF(R356="","",LOG10(MAX(R356,1E-12)))</f>
        <v/>
      </c>
    </row>
    <row r="357">
      <c r="A357" t="n">
        <v>354</v>
      </c>
      <c r="B357" s="196">
        <f>IF(A357&lt;='入力・概要'!$B$40,10^(LOG10('入力・概要'!$B$38)+(A357-1)*(LOG10('入力・概要'!$B$39)-LOG10('入力・概要'!$B$38))/('入力・概要'!$B$40-1)),"")</f>
        <v/>
      </c>
      <c r="C357" s="195">
        <f>IF(B357="","",2*PI()*B357)</f>
        <v/>
      </c>
      <c r="D357" s="195">
        <f>IF(B357="","",ATANH(MIN(0.999999,(2*'入力・概要'!$B$17*'入力・概要'!$B$6)/'入力・概要'!$B$30))+'入力・概要'!$B$33*SQRT(B357/1E6)+(2*PI()*B357*'入力・概要'!$B$6/(299792458*'入力・概要'!$B$31))*'入力・概要'!$B$32/2)</f>
        <v/>
      </c>
      <c r="E357" s="195">
        <f>IF(B357="","",2*PI()*B357*'入力・概要'!$B$6/(299792458*'入力・概要'!$B$31))</f>
        <v/>
      </c>
      <c r="F357" s="195">
        <f>IF(B357="","",SINH(2*D357)/(COSH(2*D357)+COS(2*E357)))</f>
        <v/>
      </c>
      <c r="G357" s="195">
        <f>IF(B357="","",SIN(2*E357)/(COSH(2*D357)+COS(2*E357)))</f>
        <v/>
      </c>
      <c r="H357" s="195">
        <f>IF(B357="","",'入力・概要'!$B$34)</f>
        <v/>
      </c>
      <c r="I357" s="195">
        <f>IF(B357="","",C357*'入力・概要'!$B$35*1E-9)</f>
        <v/>
      </c>
      <c r="J357" s="195">
        <f>IF(B357="","",H357+'入力・概要'!$B$30*F357)</f>
        <v/>
      </c>
      <c r="K357" s="195">
        <f>IF(B357="","",I357+'入力・概要'!$B$30*G357)</f>
        <v/>
      </c>
      <c r="L357" s="195">
        <f>IF(B357="","",'入力・概要'!$B$30+H357*F357-I357*G357)</f>
        <v/>
      </c>
      <c r="M357" s="195">
        <f>IF(B357="","",H357*G357+I357*F357)</f>
        <v/>
      </c>
      <c r="N357" s="195">
        <f>IF(B357="","",'入力・概要'!$B$30*(J357*L357+K357*M357)/(L357^2+M357^2))</f>
        <v/>
      </c>
      <c r="O357" s="195">
        <f>IF(B357="","",'入力・概要'!$B$30*(K357*L357-J357*M357)/(L357^2+M357^2))</f>
        <v/>
      </c>
      <c r="P357" s="195">
        <f>IF(B357="","",N357+'入力・概要'!$B$36)</f>
        <v/>
      </c>
      <c r="Q357" s="195">
        <f>IF(B357="","",O357+C357*'入力・概要'!$B$37*1E-9)</f>
        <v/>
      </c>
      <c r="R357" s="195">
        <f>IF(B357="","",SQRT(P357^2+Q357^2))</f>
        <v/>
      </c>
      <c r="S357" s="195">
        <f>IF(B357="","",IF(P357&gt;0,DEGREES(ATAN(Q357/P357)),IF(P357&lt;0,IF(Q357&gt;=0,DEGREES(ATAN(Q357/P357))+180,DEGREES(ATAN(Q357/P357))-180),IF(Q357&gt;0,90,IF(Q357&lt;0,-90,0)))))</f>
        <v/>
      </c>
      <c r="T357" s="195">
        <f>IF(B357="","",LOG10(B357))</f>
        <v/>
      </c>
      <c r="U357" s="195">
        <f>IF(R357="","",LOG10(MAX(R357,1E-12)))</f>
        <v/>
      </c>
    </row>
    <row r="358">
      <c r="A358" t="n">
        <v>355</v>
      </c>
      <c r="B358" s="196">
        <f>IF(A358&lt;='入力・概要'!$B$40,10^(LOG10('入力・概要'!$B$38)+(A358-1)*(LOG10('入力・概要'!$B$39)-LOG10('入力・概要'!$B$38))/('入力・概要'!$B$40-1)),"")</f>
        <v/>
      </c>
      <c r="C358" s="195">
        <f>IF(B358="","",2*PI()*B358)</f>
        <v/>
      </c>
      <c r="D358" s="195">
        <f>IF(B358="","",ATANH(MIN(0.999999,(2*'入力・概要'!$B$17*'入力・概要'!$B$6)/'入力・概要'!$B$30))+'入力・概要'!$B$33*SQRT(B358/1E6)+(2*PI()*B358*'入力・概要'!$B$6/(299792458*'入力・概要'!$B$31))*'入力・概要'!$B$32/2)</f>
        <v/>
      </c>
      <c r="E358" s="195">
        <f>IF(B358="","",2*PI()*B358*'入力・概要'!$B$6/(299792458*'入力・概要'!$B$31))</f>
        <v/>
      </c>
      <c r="F358" s="195">
        <f>IF(B358="","",SINH(2*D358)/(COSH(2*D358)+COS(2*E358)))</f>
        <v/>
      </c>
      <c r="G358" s="195">
        <f>IF(B358="","",SIN(2*E358)/(COSH(2*D358)+COS(2*E358)))</f>
        <v/>
      </c>
      <c r="H358" s="195">
        <f>IF(B358="","",'入力・概要'!$B$34)</f>
        <v/>
      </c>
      <c r="I358" s="195">
        <f>IF(B358="","",C358*'入力・概要'!$B$35*1E-9)</f>
        <v/>
      </c>
      <c r="J358" s="195">
        <f>IF(B358="","",H358+'入力・概要'!$B$30*F358)</f>
        <v/>
      </c>
      <c r="K358" s="195">
        <f>IF(B358="","",I358+'入力・概要'!$B$30*G358)</f>
        <v/>
      </c>
      <c r="L358" s="195">
        <f>IF(B358="","",'入力・概要'!$B$30+H358*F358-I358*G358)</f>
        <v/>
      </c>
      <c r="M358" s="195">
        <f>IF(B358="","",H358*G358+I358*F358)</f>
        <v/>
      </c>
      <c r="N358" s="195">
        <f>IF(B358="","",'入力・概要'!$B$30*(J358*L358+K358*M358)/(L358^2+M358^2))</f>
        <v/>
      </c>
      <c r="O358" s="195">
        <f>IF(B358="","",'入力・概要'!$B$30*(K358*L358-J358*M358)/(L358^2+M358^2))</f>
        <v/>
      </c>
      <c r="P358" s="195">
        <f>IF(B358="","",N358+'入力・概要'!$B$36)</f>
        <v/>
      </c>
      <c r="Q358" s="195">
        <f>IF(B358="","",O358+C358*'入力・概要'!$B$37*1E-9)</f>
        <v/>
      </c>
      <c r="R358" s="195">
        <f>IF(B358="","",SQRT(P358^2+Q358^2))</f>
        <v/>
      </c>
      <c r="S358" s="195">
        <f>IF(B358="","",IF(P358&gt;0,DEGREES(ATAN(Q358/P358)),IF(P358&lt;0,IF(Q358&gt;=0,DEGREES(ATAN(Q358/P358))+180,DEGREES(ATAN(Q358/P358))-180),IF(Q358&gt;0,90,IF(Q358&lt;0,-90,0)))))</f>
        <v/>
      </c>
      <c r="T358" s="195">
        <f>IF(B358="","",LOG10(B358))</f>
        <v/>
      </c>
      <c r="U358" s="195">
        <f>IF(R358="","",LOG10(MAX(R358,1E-12)))</f>
        <v/>
      </c>
    </row>
    <row r="359">
      <c r="A359" t="n">
        <v>356</v>
      </c>
      <c r="B359" s="196">
        <f>IF(A359&lt;='入力・概要'!$B$40,10^(LOG10('入力・概要'!$B$38)+(A359-1)*(LOG10('入力・概要'!$B$39)-LOG10('入力・概要'!$B$38))/('入力・概要'!$B$40-1)),"")</f>
        <v/>
      </c>
      <c r="C359" s="195">
        <f>IF(B359="","",2*PI()*B359)</f>
        <v/>
      </c>
      <c r="D359" s="195">
        <f>IF(B359="","",ATANH(MIN(0.999999,(2*'入力・概要'!$B$17*'入力・概要'!$B$6)/'入力・概要'!$B$30))+'入力・概要'!$B$33*SQRT(B359/1E6)+(2*PI()*B359*'入力・概要'!$B$6/(299792458*'入力・概要'!$B$31))*'入力・概要'!$B$32/2)</f>
        <v/>
      </c>
      <c r="E359" s="195">
        <f>IF(B359="","",2*PI()*B359*'入力・概要'!$B$6/(299792458*'入力・概要'!$B$31))</f>
        <v/>
      </c>
      <c r="F359" s="195">
        <f>IF(B359="","",SINH(2*D359)/(COSH(2*D359)+COS(2*E359)))</f>
        <v/>
      </c>
      <c r="G359" s="195">
        <f>IF(B359="","",SIN(2*E359)/(COSH(2*D359)+COS(2*E359)))</f>
        <v/>
      </c>
      <c r="H359" s="195">
        <f>IF(B359="","",'入力・概要'!$B$34)</f>
        <v/>
      </c>
      <c r="I359" s="195">
        <f>IF(B359="","",C359*'入力・概要'!$B$35*1E-9)</f>
        <v/>
      </c>
      <c r="J359" s="195">
        <f>IF(B359="","",H359+'入力・概要'!$B$30*F359)</f>
        <v/>
      </c>
      <c r="K359" s="195">
        <f>IF(B359="","",I359+'入力・概要'!$B$30*G359)</f>
        <v/>
      </c>
      <c r="L359" s="195">
        <f>IF(B359="","",'入力・概要'!$B$30+H359*F359-I359*G359)</f>
        <v/>
      </c>
      <c r="M359" s="195">
        <f>IF(B359="","",H359*G359+I359*F359)</f>
        <v/>
      </c>
      <c r="N359" s="195">
        <f>IF(B359="","",'入力・概要'!$B$30*(J359*L359+K359*M359)/(L359^2+M359^2))</f>
        <v/>
      </c>
      <c r="O359" s="195">
        <f>IF(B359="","",'入力・概要'!$B$30*(K359*L359-J359*M359)/(L359^2+M359^2))</f>
        <v/>
      </c>
      <c r="P359" s="195">
        <f>IF(B359="","",N359+'入力・概要'!$B$36)</f>
        <v/>
      </c>
      <c r="Q359" s="195">
        <f>IF(B359="","",O359+C359*'入力・概要'!$B$37*1E-9)</f>
        <v/>
      </c>
      <c r="R359" s="195">
        <f>IF(B359="","",SQRT(P359^2+Q359^2))</f>
        <v/>
      </c>
      <c r="S359" s="195">
        <f>IF(B359="","",IF(P359&gt;0,DEGREES(ATAN(Q359/P359)),IF(P359&lt;0,IF(Q359&gt;=0,DEGREES(ATAN(Q359/P359))+180,DEGREES(ATAN(Q359/P359))-180),IF(Q359&gt;0,90,IF(Q359&lt;0,-90,0)))))</f>
        <v/>
      </c>
      <c r="T359" s="195">
        <f>IF(B359="","",LOG10(B359))</f>
        <v/>
      </c>
      <c r="U359" s="195">
        <f>IF(R359="","",LOG10(MAX(R359,1E-12)))</f>
        <v/>
      </c>
    </row>
    <row r="360">
      <c r="A360" t="n">
        <v>357</v>
      </c>
      <c r="B360" s="196">
        <f>IF(A360&lt;='入力・概要'!$B$40,10^(LOG10('入力・概要'!$B$38)+(A360-1)*(LOG10('入力・概要'!$B$39)-LOG10('入力・概要'!$B$38))/('入力・概要'!$B$40-1)),"")</f>
        <v/>
      </c>
      <c r="C360" s="195">
        <f>IF(B360="","",2*PI()*B360)</f>
        <v/>
      </c>
      <c r="D360" s="195">
        <f>IF(B360="","",ATANH(MIN(0.999999,(2*'入力・概要'!$B$17*'入力・概要'!$B$6)/'入力・概要'!$B$30))+'入力・概要'!$B$33*SQRT(B360/1E6)+(2*PI()*B360*'入力・概要'!$B$6/(299792458*'入力・概要'!$B$31))*'入力・概要'!$B$32/2)</f>
        <v/>
      </c>
      <c r="E360" s="195">
        <f>IF(B360="","",2*PI()*B360*'入力・概要'!$B$6/(299792458*'入力・概要'!$B$31))</f>
        <v/>
      </c>
      <c r="F360" s="195">
        <f>IF(B360="","",SINH(2*D360)/(COSH(2*D360)+COS(2*E360)))</f>
        <v/>
      </c>
      <c r="G360" s="195">
        <f>IF(B360="","",SIN(2*E360)/(COSH(2*D360)+COS(2*E360)))</f>
        <v/>
      </c>
      <c r="H360" s="195">
        <f>IF(B360="","",'入力・概要'!$B$34)</f>
        <v/>
      </c>
      <c r="I360" s="195">
        <f>IF(B360="","",C360*'入力・概要'!$B$35*1E-9)</f>
        <v/>
      </c>
      <c r="J360" s="195">
        <f>IF(B360="","",H360+'入力・概要'!$B$30*F360)</f>
        <v/>
      </c>
      <c r="K360" s="195">
        <f>IF(B360="","",I360+'入力・概要'!$B$30*G360)</f>
        <v/>
      </c>
      <c r="L360" s="195">
        <f>IF(B360="","",'入力・概要'!$B$30+H360*F360-I360*G360)</f>
        <v/>
      </c>
      <c r="M360" s="195">
        <f>IF(B360="","",H360*G360+I360*F360)</f>
        <v/>
      </c>
      <c r="N360" s="195">
        <f>IF(B360="","",'入力・概要'!$B$30*(J360*L360+K360*M360)/(L360^2+M360^2))</f>
        <v/>
      </c>
      <c r="O360" s="195">
        <f>IF(B360="","",'入力・概要'!$B$30*(K360*L360-J360*M360)/(L360^2+M360^2))</f>
        <v/>
      </c>
      <c r="P360" s="195">
        <f>IF(B360="","",N360+'入力・概要'!$B$36)</f>
        <v/>
      </c>
      <c r="Q360" s="195">
        <f>IF(B360="","",O360+C360*'入力・概要'!$B$37*1E-9)</f>
        <v/>
      </c>
      <c r="R360" s="195">
        <f>IF(B360="","",SQRT(P360^2+Q360^2))</f>
        <v/>
      </c>
      <c r="S360" s="195">
        <f>IF(B360="","",IF(P360&gt;0,DEGREES(ATAN(Q360/P360)),IF(P360&lt;0,IF(Q360&gt;=0,DEGREES(ATAN(Q360/P360))+180,DEGREES(ATAN(Q360/P360))-180),IF(Q360&gt;0,90,IF(Q360&lt;0,-90,0)))))</f>
        <v/>
      </c>
      <c r="T360" s="195">
        <f>IF(B360="","",LOG10(B360))</f>
        <v/>
      </c>
      <c r="U360" s="195">
        <f>IF(R360="","",LOG10(MAX(R360,1E-12)))</f>
        <v/>
      </c>
    </row>
    <row r="361">
      <c r="A361" t="n">
        <v>358</v>
      </c>
      <c r="B361" s="196">
        <f>IF(A361&lt;='入力・概要'!$B$40,10^(LOG10('入力・概要'!$B$38)+(A361-1)*(LOG10('入力・概要'!$B$39)-LOG10('入力・概要'!$B$38))/('入力・概要'!$B$40-1)),"")</f>
        <v/>
      </c>
      <c r="C361" s="195">
        <f>IF(B361="","",2*PI()*B361)</f>
        <v/>
      </c>
      <c r="D361" s="195">
        <f>IF(B361="","",ATANH(MIN(0.999999,(2*'入力・概要'!$B$17*'入力・概要'!$B$6)/'入力・概要'!$B$30))+'入力・概要'!$B$33*SQRT(B361/1E6)+(2*PI()*B361*'入力・概要'!$B$6/(299792458*'入力・概要'!$B$31))*'入力・概要'!$B$32/2)</f>
        <v/>
      </c>
      <c r="E361" s="195">
        <f>IF(B361="","",2*PI()*B361*'入力・概要'!$B$6/(299792458*'入力・概要'!$B$31))</f>
        <v/>
      </c>
      <c r="F361" s="195">
        <f>IF(B361="","",SINH(2*D361)/(COSH(2*D361)+COS(2*E361)))</f>
        <v/>
      </c>
      <c r="G361" s="195">
        <f>IF(B361="","",SIN(2*E361)/(COSH(2*D361)+COS(2*E361)))</f>
        <v/>
      </c>
      <c r="H361" s="195">
        <f>IF(B361="","",'入力・概要'!$B$34)</f>
        <v/>
      </c>
      <c r="I361" s="195">
        <f>IF(B361="","",C361*'入力・概要'!$B$35*1E-9)</f>
        <v/>
      </c>
      <c r="J361" s="195">
        <f>IF(B361="","",H361+'入力・概要'!$B$30*F361)</f>
        <v/>
      </c>
      <c r="K361" s="195">
        <f>IF(B361="","",I361+'入力・概要'!$B$30*G361)</f>
        <v/>
      </c>
      <c r="L361" s="195">
        <f>IF(B361="","",'入力・概要'!$B$30+H361*F361-I361*G361)</f>
        <v/>
      </c>
      <c r="M361" s="195">
        <f>IF(B361="","",H361*G361+I361*F361)</f>
        <v/>
      </c>
      <c r="N361" s="195">
        <f>IF(B361="","",'入力・概要'!$B$30*(J361*L361+K361*M361)/(L361^2+M361^2))</f>
        <v/>
      </c>
      <c r="O361" s="195">
        <f>IF(B361="","",'入力・概要'!$B$30*(K361*L361-J361*M361)/(L361^2+M361^2))</f>
        <v/>
      </c>
      <c r="P361" s="195">
        <f>IF(B361="","",N361+'入力・概要'!$B$36)</f>
        <v/>
      </c>
      <c r="Q361" s="195">
        <f>IF(B361="","",O361+C361*'入力・概要'!$B$37*1E-9)</f>
        <v/>
      </c>
      <c r="R361" s="195">
        <f>IF(B361="","",SQRT(P361^2+Q361^2))</f>
        <v/>
      </c>
      <c r="S361" s="195">
        <f>IF(B361="","",IF(P361&gt;0,DEGREES(ATAN(Q361/P361)),IF(P361&lt;0,IF(Q361&gt;=0,DEGREES(ATAN(Q361/P361))+180,DEGREES(ATAN(Q361/P361))-180),IF(Q361&gt;0,90,IF(Q361&lt;0,-90,0)))))</f>
        <v/>
      </c>
      <c r="T361" s="195">
        <f>IF(B361="","",LOG10(B361))</f>
        <v/>
      </c>
      <c r="U361" s="195">
        <f>IF(R361="","",LOG10(MAX(R361,1E-12)))</f>
        <v/>
      </c>
    </row>
    <row r="362">
      <c r="A362" t="n">
        <v>359</v>
      </c>
      <c r="B362" s="196">
        <f>IF(A362&lt;='入力・概要'!$B$40,10^(LOG10('入力・概要'!$B$38)+(A362-1)*(LOG10('入力・概要'!$B$39)-LOG10('入力・概要'!$B$38))/('入力・概要'!$B$40-1)),"")</f>
        <v/>
      </c>
      <c r="C362" s="195">
        <f>IF(B362="","",2*PI()*B362)</f>
        <v/>
      </c>
      <c r="D362" s="195">
        <f>IF(B362="","",ATANH(MIN(0.999999,(2*'入力・概要'!$B$17*'入力・概要'!$B$6)/'入力・概要'!$B$30))+'入力・概要'!$B$33*SQRT(B362/1E6)+(2*PI()*B362*'入力・概要'!$B$6/(299792458*'入力・概要'!$B$31))*'入力・概要'!$B$32/2)</f>
        <v/>
      </c>
      <c r="E362" s="195">
        <f>IF(B362="","",2*PI()*B362*'入力・概要'!$B$6/(299792458*'入力・概要'!$B$31))</f>
        <v/>
      </c>
      <c r="F362" s="195">
        <f>IF(B362="","",SINH(2*D362)/(COSH(2*D362)+COS(2*E362)))</f>
        <v/>
      </c>
      <c r="G362" s="195">
        <f>IF(B362="","",SIN(2*E362)/(COSH(2*D362)+COS(2*E362)))</f>
        <v/>
      </c>
      <c r="H362" s="195">
        <f>IF(B362="","",'入力・概要'!$B$34)</f>
        <v/>
      </c>
      <c r="I362" s="195">
        <f>IF(B362="","",C362*'入力・概要'!$B$35*1E-9)</f>
        <v/>
      </c>
      <c r="J362" s="195">
        <f>IF(B362="","",H362+'入力・概要'!$B$30*F362)</f>
        <v/>
      </c>
      <c r="K362" s="195">
        <f>IF(B362="","",I362+'入力・概要'!$B$30*G362)</f>
        <v/>
      </c>
      <c r="L362" s="195">
        <f>IF(B362="","",'入力・概要'!$B$30+H362*F362-I362*G362)</f>
        <v/>
      </c>
      <c r="M362" s="195">
        <f>IF(B362="","",H362*G362+I362*F362)</f>
        <v/>
      </c>
      <c r="N362" s="195">
        <f>IF(B362="","",'入力・概要'!$B$30*(J362*L362+K362*M362)/(L362^2+M362^2))</f>
        <v/>
      </c>
      <c r="O362" s="195">
        <f>IF(B362="","",'入力・概要'!$B$30*(K362*L362-J362*M362)/(L362^2+M362^2))</f>
        <v/>
      </c>
      <c r="P362" s="195">
        <f>IF(B362="","",N362+'入力・概要'!$B$36)</f>
        <v/>
      </c>
      <c r="Q362" s="195">
        <f>IF(B362="","",O362+C362*'入力・概要'!$B$37*1E-9)</f>
        <v/>
      </c>
      <c r="R362" s="195">
        <f>IF(B362="","",SQRT(P362^2+Q362^2))</f>
        <v/>
      </c>
      <c r="S362" s="195">
        <f>IF(B362="","",IF(P362&gt;0,DEGREES(ATAN(Q362/P362)),IF(P362&lt;0,IF(Q362&gt;=0,DEGREES(ATAN(Q362/P362))+180,DEGREES(ATAN(Q362/P362))-180),IF(Q362&gt;0,90,IF(Q362&lt;0,-90,0)))))</f>
        <v/>
      </c>
      <c r="T362" s="195">
        <f>IF(B362="","",LOG10(B362))</f>
        <v/>
      </c>
      <c r="U362" s="195">
        <f>IF(R362="","",LOG10(MAX(R362,1E-12)))</f>
        <v/>
      </c>
    </row>
    <row r="363">
      <c r="A363" t="n">
        <v>360</v>
      </c>
      <c r="B363" s="196">
        <f>IF(A363&lt;='入力・概要'!$B$40,10^(LOG10('入力・概要'!$B$38)+(A363-1)*(LOG10('入力・概要'!$B$39)-LOG10('入力・概要'!$B$38))/('入力・概要'!$B$40-1)),"")</f>
        <v/>
      </c>
      <c r="C363" s="195">
        <f>IF(B363="","",2*PI()*B363)</f>
        <v/>
      </c>
      <c r="D363" s="195">
        <f>IF(B363="","",ATANH(MIN(0.999999,(2*'入力・概要'!$B$17*'入力・概要'!$B$6)/'入力・概要'!$B$30))+'入力・概要'!$B$33*SQRT(B363/1E6)+(2*PI()*B363*'入力・概要'!$B$6/(299792458*'入力・概要'!$B$31))*'入力・概要'!$B$32/2)</f>
        <v/>
      </c>
      <c r="E363" s="195">
        <f>IF(B363="","",2*PI()*B363*'入力・概要'!$B$6/(299792458*'入力・概要'!$B$31))</f>
        <v/>
      </c>
      <c r="F363" s="195">
        <f>IF(B363="","",SINH(2*D363)/(COSH(2*D363)+COS(2*E363)))</f>
        <v/>
      </c>
      <c r="G363" s="195">
        <f>IF(B363="","",SIN(2*E363)/(COSH(2*D363)+COS(2*E363)))</f>
        <v/>
      </c>
      <c r="H363" s="195">
        <f>IF(B363="","",'入力・概要'!$B$34)</f>
        <v/>
      </c>
      <c r="I363" s="195">
        <f>IF(B363="","",C363*'入力・概要'!$B$35*1E-9)</f>
        <v/>
      </c>
      <c r="J363" s="195">
        <f>IF(B363="","",H363+'入力・概要'!$B$30*F363)</f>
        <v/>
      </c>
      <c r="K363" s="195">
        <f>IF(B363="","",I363+'入力・概要'!$B$30*G363)</f>
        <v/>
      </c>
      <c r="L363" s="195">
        <f>IF(B363="","",'入力・概要'!$B$30+H363*F363-I363*G363)</f>
        <v/>
      </c>
      <c r="M363" s="195">
        <f>IF(B363="","",H363*G363+I363*F363)</f>
        <v/>
      </c>
      <c r="N363" s="195">
        <f>IF(B363="","",'入力・概要'!$B$30*(J363*L363+K363*M363)/(L363^2+M363^2))</f>
        <v/>
      </c>
      <c r="O363" s="195">
        <f>IF(B363="","",'入力・概要'!$B$30*(K363*L363-J363*M363)/(L363^2+M363^2))</f>
        <v/>
      </c>
      <c r="P363" s="195">
        <f>IF(B363="","",N363+'入力・概要'!$B$36)</f>
        <v/>
      </c>
      <c r="Q363" s="195">
        <f>IF(B363="","",O363+C363*'入力・概要'!$B$37*1E-9)</f>
        <v/>
      </c>
      <c r="R363" s="195">
        <f>IF(B363="","",SQRT(P363^2+Q363^2))</f>
        <v/>
      </c>
      <c r="S363" s="195">
        <f>IF(B363="","",IF(P363&gt;0,DEGREES(ATAN(Q363/P363)),IF(P363&lt;0,IF(Q363&gt;=0,DEGREES(ATAN(Q363/P363))+180,DEGREES(ATAN(Q363/P363))-180),IF(Q363&gt;0,90,IF(Q363&lt;0,-90,0)))))</f>
        <v/>
      </c>
      <c r="T363" s="195">
        <f>IF(B363="","",LOG10(B363))</f>
        <v/>
      </c>
      <c r="U363" s="195">
        <f>IF(R363="","",LOG10(MAX(R363,1E-12)))</f>
        <v/>
      </c>
    </row>
    <row r="364">
      <c r="A364" t="n">
        <v>361</v>
      </c>
      <c r="B364" s="196">
        <f>IF(A364&lt;='入力・概要'!$B$40,10^(LOG10('入力・概要'!$B$38)+(A364-1)*(LOG10('入力・概要'!$B$39)-LOG10('入力・概要'!$B$38))/('入力・概要'!$B$40-1)),"")</f>
        <v/>
      </c>
      <c r="C364" s="195">
        <f>IF(B364="","",2*PI()*B364)</f>
        <v/>
      </c>
      <c r="D364" s="195">
        <f>IF(B364="","",ATANH(MIN(0.999999,(2*'入力・概要'!$B$17*'入力・概要'!$B$6)/'入力・概要'!$B$30))+'入力・概要'!$B$33*SQRT(B364/1E6)+(2*PI()*B364*'入力・概要'!$B$6/(299792458*'入力・概要'!$B$31))*'入力・概要'!$B$32/2)</f>
        <v/>
      </c>
      <c r="E364" s="195">
        <f>IF(B364="","",2*PI()*B364*'入力・概要'!$B$6/(299792458*'入力・概要'!$B$31))</f>
        <v/>
      </c>
      <c r="F364" s="195">
        <f>IF(B364="","",SINH(2*D364)/(COSH(2*D364)+COS(2*E364)))</f>
        <v/>
      </c>
      <c r="G364" s="195">
        <f>IF(B364="","",SIN(2*E364)/(COSH(2*D364)+COS(2*E364)))</f>
        <v/>
      </c>
      <c r="H364" s="195">
        <f>IF(B364="","",'入力・概要'!$B$34)</f>
        <v/>
      </c>
      <c r="I364" s="195">
        <f>IF(B364="","",C364*'入力・概要'!$B$35*1E-9)</f>
        <v/>
      </c>
      <c r="J364" s="195">
        <f>IF(B364="","",H364+'入力・概要'!$B$30*F364)</f>
        <v/>
      </c>
      <c r="K364" s="195">
        <f>IF(B364="","",I364+'入力・概要'!$B$30*G364)</f>
        <v/>
      </c>
      <c r="L364" s="195">
        <f>IF(B364="","",'入力・概要'!$B$30+H364*F364-I364*G364)</f>
        <v/>
      </c>
      <c r="M364" s="195">
        <f>IF(B364="","",H364*G364+I364*F364)</f>
        <v/>
      </c>
      <c r="N364" s="195">
        <f>IF(B364="","",'入力・概要'!$B$30*(J364*L364+K364*M364)/(L364^2+M364^2))</f>
        <v/>
      </c>
      <c r="O364" s="195">
        <f>IF(B364="","",'入力・概要'!$B$30*(K364*L364-J364*M364)/(L364^2+M364^2))</f>
        <v/>
      </c>
      <c r="P364" s="195">
        <f>IF(B364="","",N364+'入力・概要'!$B$36)</f>
        <v/>
      </c>
      <c r="Q364" s="195">
        <f>IF(B364="","",O364+C364*'入力・概要'!$B$37*1E-9)</f>
        <v/>
      </c>
      <c r="R364" s="195">
        <f>IF(B364="","",SQRT(P364^2+Q364^2))</f>
        <v/>
      </c>
      <c r="S364" s="195">
        <f>IF(B364="","",IF(P364&gt;0,DEGREES(ATAN(Q364/P364)),IF(P364&lt;0,IF(Q364&gt;=0,DEGREES(ATAN(Q364/P364))+180,DEGREES(ATAN(Q364/P364))-180),IF(Q364&gt;0,90,IF(Q364&lt;0,-90,0)))))</f>
        <v/>
      </c>
      <c r="T364" s="195">
        <f>IF(B364="","",LOG10(B364))</f>
        <v/>
      </c>
      <c r="U364" s="195">
        <f>IF(R364="","",LOG10(MAX(R364,1E-12)))</f>
        <v/>
      </c>
    </row>
    <row r="365">
      <c r="A365" t="n">
        <v>362</v>
      </c>
      <c r="B365" s="196">
        <f>IF(A365&lt;='入力・概要'!$B$40,10^(LOG10('入力・概要'!$B$38)+(A365-1)*(LOG10('入力・概要'!$B$39)-LOG10('入力・概要'!$B$38))/('入力・概要'!$B$40-1)),"")</f>
        <v/>
      </c>
      <c r="C365" s="195">
        <f>IF(B365="","",2*PI()*B365)</f>
        <v/>
      </c>
      <c r="D365" s="195">
        <f>IF(B365="","",ATANH(MIN(0.999999,(2*'入力・概要'!$B$17*'入力・概要'!$B$6)/'入力・概要'!$B$30))+'入力・概要'!$B$33*SQRT(B365/1E6)+(2*PI()*B365*'入力・概要'!$B$6/(299792458*'入力・概要'!$B$31))*'入力・概要'!$B$32/2)</f>
        <v/>
      </c>
      <c r="E365" s="195">
        <f>IF(B365="","",2*PI()*B365*'入力・概要'!$B$6/(299792458*'入力・概要'!$B$31))</f>
        <v/>
      </c>
      <c r="F365" s="195">
        <f>IF(B365="","",SINH(2*D365)/(COSH(2*D365)+COS(2*E365)))</f>
        <v/>
      </c>
      <c r="G365" s="195">
        <f>IF(B365="","",SIN(2*E365)/(COSH(2*D365)+COS(2*E365)))</f>
        <v/>
      </c>
      <c r="H365" s="195">
        <f>IF(B365="","",'入力・概要'!$B$34)</f>
        <v/>
      </c>
      <c r="I365" s="195">
        <f>IF(B365="","",C365*'入力・概要'!$B$35*1E-9)</f>
        <v/>
      </c>
      <c r="J365" s="195">
        <f>IF(B365="","",H365+'入力・概要'!$B$30*F365)</f>
        <v/>
      </c>
      <c r="K365" s="195">
        <f>IF(B365="","",I365+'入力・概要'!$B$30*G365)</f>
        <v/>
      </c>
      <c r="L365" s="195">
        <f>IF(B365="","",'入力・概要'!$B$30+H365*F365-I365*G365)</f>
        <v/>
      </c>
      <c r="M365" s="195">
        <f>IF(B365="","",H365*G365+I365*F365)</f>
        <v/>
      </c>
      <c r="N365" s="195">
        <f>IF(B365="","",'入力・概要'!$B$30*(J365*L365+K365*M365)/(L365^2+M365^2))</f>
        <v/>
      </c>
      <c r="O365" s="195">
        <f>IF(B365="","",'入力・概要'!$B$30*(K365*L365-J365*M365)/(L365^2+M365^2))</f>
        <v/>
      </c>
      <c r="P365" s="195">
        <f>IF(B365="","",N365+'入力・概要'!$B$36)</f>
        <v/>
      </c>
      <c r="Q365" s="195">
        <f>IF(B365="","",O365+C365*'入力・概要'!$B$37*1E-9)</f>
        <v/>
      </c>
      <c r="R365" s="195">
        <f>IF(B365="","",SQRT(P365^2+Q365^2))</f>
        <v/>
      </c>
      <c r="S365" s="195">
        <f>IF(B365="","",IF(P365&gt;0,DEGREES(ATAN(Q365/P365)),IF(P365&lt;0,IF(Q365&gt;=0,DEGREES(ATAN(Q365/P365))+180,DEGREES(ATAN(Q365/P365))-180),IF(Q365&gt;0,90,IF(Q365&lt;0,-90,0)))))</f>
        <v/>
      </c>
      <c r="T365" s="195">
        <f>IF(B365="","",LOG10(B365))</f>
        <v/>
      </c>
      <c r="U365" s="195">
        <f>IF(R365="","",LOG10(MAX(R365,1E-12)))</f>
        <v/>
      </c>
    </row>
    <row r="366">
      <c r="A366" t="n">
        <v>363</v>
      </c>
      <c r="B366" s="196">
        <f>IF(A366&lt;='入力・概要'!$B$40,10^(LOG10('入力・概要'!$B$38)+(A366-1)*(LOG10('入力・概要'!$B$39)-LOG10('入力・概要'!$B$38))/('入力・概要'!$B$40-1)),"")</f>
        <v/>
      </c>
      <c r="C366" s="195">
        <f>IF(B366="","",2*PI()*B366)</f>
        <v/>
      </c>
      <c r="D366" s="195">
        <f>IF(B366="","",ATANH(MIN(0.999999,(2*'入力・概要'!$B$17*'入力・概要'!$B$6)/'入力・概要'!$B$30))+'入力・概要'!$B$33*SQRT(B366/1E6)+(2*PI()*B366*'入力・概要'!$B$6/(299792458*'入力・概要'!$B$31))*'入力・概要'!$B$32/2)</f>
        <v/>
      </c>
      <c r="E366" s="195">
        <f>IF(B366="","",2*PI()*B366*'入力・概要'!$B$6/(299792458*'入力・概要'!$B$31))</f>
        <v/>
      </c>
      <c r="F366" s="195">
        <f>IF(B366="","",SINH(2*D366)/(COSH(2*D366)+COS(2*E366)))</f>
        <v/>
      </c>
      <c r="G366" s="195">
        <f>IF(B366="","",SIN(2*E366)/(COSH(2*D366)+COS(2*E366)))</f>
        <v/>
      </c>
      <c r="H366" s="195">
        <f>IF(B366="","",'入力・概要'!$B$34)</f>
        <v/>
      </c>
      <c r="I366" s="195">
        <f>IF(B366="","",C366*'入力・概要'!$B$35*1E-9)</f>
        <v/>
      </c>
      <c r="J366" s="195">
        <f>IF(B366="","",H366+'入力・概要'!$B$30*F366)</f>
        <v/>
      </c>
      <c r="K366" s="195">
        <f>IF(B366="","",I366+'入力・概要'!$B$30*G366)</f>
        <v/>
      </c>
      <c r="L366" s="195">
        <f>IF(B366="","",'入力・概要'!$B$30+H366*F366-I366*G366)</f>
        <v/>
      </c>
      <c r="M366" s="195">
        <f>IF(B366="","",H366*G366+I366*F366)</f>
        <v/>
      </c>
      <c r="N366" s="195">
        <f>IF(B366="","",'入力・概要'!$B$30*(J366*L366+K366*M366)/(L366^2+M366^2))</f>
        <v/>
      </c>
      <c r="O366" s="195">
        <f>IF(B366="","",'入力・概要'!$B$30*(K366*L366-J366*M366)/(L366^2+M366^2))</f>
        <v/>
      </c>
      <c r="P366" s="195">
        <f>IF(B366="","",N366+'入力・概要'!$B$36)</f>
        <v/>
      </c>
      <c r="Q366" s="195">
        <f>IF(B366="","",O366+C366*'入力・概要'!$B$37*1E-9)</f>
        <v/>
      </c>
      <c r="R366" s="195">
        <f>IF(B366="","",SQRT(P366^2+Q366^2))</f>
        <v/>
      </c>
      <c r="S366" s="195">
        <f>IF(B366="","",IF(P366&gt;0,DEGREES(ATAN(Q366/P366)),IF(P366&lt;0,IF(Q366&gt;=0,DEGREES(ATAN(Q366/P366))+180,DEGREES(ATAN(Q366/P366))-180),IF(Q366&gt;0,90,IF(Q366&lt;0,-90,0)))))</f>
        <v/>
      </c>
      <c r="T366" s="195">
        <f>IF(B366="","",LOG10(B366))</f>
        <v/>
      </c>
      <c r="U366" s="195">
        <f>IF(R366="","",LOG10(MAX(R366,1E-12)))</f>
        <v/>
      </c>
    </row>
    <row r="367">
      <c r="A367" t="n">
        <v>364</v>
      </c>
      <c r="B367" s="196">
        <f>IF(A367&lt;='入力・概要'!$B$40,10^(LOG10('入力・概要'!$B$38)+(A367-1)*(LOG10('入力・概要'!$B$39)-LOG10('入力・概要'!$B$38))/('入力・概要'!$B$40-1)),"")</f>
        <v/>
      </c>
      <c r="C367" s="195">
        <f>IF(B367="","",2*PI()*B367)</f>
        <v/>
      </c>
      <c r="D367" s="195">
        <f>IF(B367="","",ATANH(MIN(0.999999,(2*'入力・概要'!$B$17*'入力・概要'!$B$6)/'入力・概要'!$B$30))+'入力・概要'!$B$33*SQRT(B367/1E6)+(2*PI()*B367*'入力・概要'!$B$6/(299792458*'入力・概要'!$B$31))*'入力・概要'!$B$32/2)</f>
        <v/>
      </c>
      <c r="E367" s="195">
        <f>IF(B367="","",2*PI()*B367*'入力・概要'!$B$6/(299792458*'入力・概要'!$B$31))</f>
        <v/>
      </c>
      <c r="F367" s="195">
        <f>IF(B367="","",SINH(2*D367)/(COSH(2*D367)+COS(2*E367)))</f>
        <v/>
      </c>
      <c r="G367" s="195">
        <f>IF(B367="","",SIN(2*E367)/(COSH(2*D367)+COS(2*E367)))</f>
        <v/>
      </c>
      <c r="H367" s="195">
        <f>IF(B367="","",'入力・概要'!$B$34)</f>
        <v/>
      </c>
      <c r="I367" s="195">
        <f>IF(B367="","",C367*'入力・概要'!$B$35*1E-9)</f>
        <v/>
      </c>
      <c r="J367" s="195">
        <f>IF(B367="","",H367+'入力・概要'!$B$30*F367)</f>
        <v/>
      </c>
      <c r="K367" s="195">
        <f>IF(B367="","",I367+'入力・概要'!$B$30*G367)</f>
        <v/>
      </c>
      <c r="L367" s="195">
        <f>IF(B367="","",'入力・概要'!$B$30+H367*F367-I367*G367)</f>
        <v/>
      </c>
      <c r="M367" s="195">
        <f>IF(B367="","",H367*G367+I367*F367)</f>
        <v/>
      </c>
      <c r="N367" s="195">
        <f>IF(B367="","",'入力・概要'!$B$30*(J367*L367+K367*M367)/(L367^2+M367^2))</f>
        <v/>
      </c>
      <c r="O367" s="195">
        <f>IF(B367="","",'入力・概要'!$B$30*(K367*L367-J367*M367)/(L367^2+M367^2))</f>
        <v/>
      </c>
      <c r="P367" s="195">
        <f>IF(B367="","",N367+'入力・概要'!$B$36)</f>
        <v/>
      </c>
      <c r="Q367" s="195">
        <f>IF(B367="","",O367+C367*'入力・概要'!$B$37*1E-9)</f>
        <v/>
      </c>
      <c r="R367" s="195">
        <f>IF(B367="","",SQRT(P367^2+Q367^2))</f>
        <v/>
      </c>
      <c r="S367" s="195">
        <f>IF(B367="","",IF(P367&gt;0,DEGREES(ATAN(Q367/P367)),IF(P367&lt;0,IF(Q367&gt;=0,DEGREES(ATAN(Q367/P367))+180,DEGREES(ATAN(Q367/P367))-180),IF(Q367&gt;0,90,IF(Q367&lt;0,-90,0)))))</f>
        <v/>
      </c>
      <c r="T367" s="195">
        <f>IF(B367="","",LOG10(B367))</f>
        <v/>
      </c>
      <c r="U367" s="195">
        <f>IF(R367="","",LOG10(MAX(R367,1E-12)))</f>
        <v/>
      </c>
    </row>
    <row r="368">
      <c r="A368" t="n">
        <v>365</v>
      </c>
      <c r="B368" s="196">
        <f>IF(A368&lt;='入力・概要'!$B$40,10^(LOG10('入力・概要'!$B$38)+(A368-1)*(LOG10('入力・概要'!$B$39)-LOG10('入力・概要'!$B$38))/('入力・概要'!$B$40-1)),"")</f>
        <v/>
      </c>
      <c r="C368" s="195">
        <f>IF(B368="","",2*PI()*B368)</f>
        <v/>
      </c>
      <c r="D368" s="195">
        <f>IF(B368="","",ATANH(MIN(0.999999,(2*'入力・概要'!$B$17*'入力・概要'!$B$6)/'入力・概要'!$B$30))+'入力・概要'!$B$33*SQRT(B368/1E6)+(2*PI()*B368*'入力・概要'!$B$6/(299792458*'入力・概要'!$B$31))*'入力・概要'!$B$32/2)</f>
        <v/>
      </c>
      <c r="E368" s="195">
        <f>IF(B368="","",2*PI()*B368*'入力・概要'!$B$6/(299792458*'入力・概要'!$B$31))</f>
        <v/>
      </c>
      <c r="F368" s="195">
        <f>IF(B368="","",SINH(2*D368)/(COSH(2*D368)+COS(2*E368)))</f>
        <v/>
      </c>
      <c r="G368" s="195">
        <f>IF(B368="","",SIN(2*E368)/(COSH(2*D368)+COS(2*E368)))</f>
        <v/>
      </c>
      <c r="H368" s="195">
        <f>IF(B368="","",'入力・概要'!$B$34)</f>
        <v/>
      </c>
      <c r="I368" s="195">
        <f>IF(B368="","",C368*'入力・概要'!$B$35*1E-9)</f>
        <v/>
      </c>
      <c r="J368" s="195">
        <f>IF(B368="","",H368+'入力・概要'!$B$30*F368)</f>
        <v/>
      </c>
      <c r="K368" s="195">
        <f>IF(B368="","",I368+'入力・概要'!$B$30*G368)</f>
        <v/>
      </c>
      <c r="L368" s="195">
        <f>IF(B368="","",'入力・概要'!$B$30+H368*F368-I368*G368)</f>
        <v/>
      </c>
      <c r="M368" s="195">
        <f>IF(B368="","",H368*G368+I368*F368)</f>
        <v/>
      </c>
      <c r="N368" s="195">
        <f>IF(B368="","",'入力・概要'!$B$30*(J368*L368+K368*M368)/(L368^2+M368^2))</f>
        <v/>
      </c>
      <c r="O368" s="195">
        <f>IF(B368="","",'入力・概要'!$B$30*(K368*L368-J368*M368)/(L368^2+M368^2))</f>
        <v/>
      </c>
      <c r="P368" s="195">
        <f>IF(B368="","",N368+'入力・概要'!$B$36)</f>
        <v/>
      </c>
      <c r="Q368" s="195">
        <f>IF(B368="","",O368+C368*'入力・概要'!$B$37*1E-9)</f>
        <v/>
      </c>
      <c r="R368" s="195">
        <f>IF(B368="","",SQRT(P368^2+Q368^2))</f>
        <v/>
      </c>
      <c r="S368" s="195">
        <f>IF(B368="","",IF(P368&gt;0,DEGREES(ATAN(Q368/P368)),IF(P368&lt;0,IF(Q368&gt;=0,DEGREES(ATAN(Q368/P368))+180,DEGREES(ATAN(Q368/P368))-180),IF(Q368&gt;0,90,IF(Q368&lt;0,-90,0)))))</f>
        <v/>
      </c>
      <c r="T368" s="195">
        <f>IF(B368="","",LOG10(B368))</f>
        <v/>
      </c>
      <c r="U368" s="195">
        <f>IF(R368="","",LOG10(MAX(R368,1E-12)))</f>
        <v/>
      </c>
    </row>
    <row r="369">
      <c r="A369" t="n">
        <v>366</v>
      </c>
      <c r="B369" s="196">
        <f>IF(A369&lt;='入力・概要'!$B$40,10^(LOG10('入力・概要'!$B$38)+(A369-1)*(LOG10('入力・概要'!$B$39)-LOG10('入力・概要'!$B$38))/('入力・概要'!$B$40-1)),"")</f>
        <v/>
      </c>
      <c r="C369" s="195">
        <f>IF(B369="","",2*PI()*B369)</f>
        <v/>
      </c>
      <c r="D369" s="195">
        <f>IF(B369="","",ATANH(MIN(0.999999,(2*'入力・概要'!$B$17*'入力・概要'!$B$6)/'入力・概要'!$B$30))+'入力・概要'!$B$33*SQRT(B369/1E6)+(2*PI()*B369*'入力・概要'!$B$6/(299792458*'入力・概要'!$B$31))*'入力・概要'!$B$32/2)</f>
        <v/>
      </c>
      <c r="E369" s="195">
        <f>IF(B369="","",2*PI()*B369*'入力・概要'!$B$6/(299792458*'入力・概要'!$B$31))</f>
        <v/>
      </c>
      <c r="F369" s="195">
        <f>IF(B369="","",SINH(2*D369)/(COSH(2*D369)+COS(2*E369)))</f>
        <v/>
      </c>
      <c r="G369" s="195">
        <f>IF(B369="","",SIN(2*E369)/(COSH(2*D369)+COS(2*E369)))</f>
        <v/>
      </c>
      <c r="H369" s="195">
        <f>IF(B369="","",'入力・概要'!$B$34)</f>
        <v/>
      </c>
      <c r="I369" s="195">
        <f>IF(B369="","",C369*'入力・概要'!$B$35*1E-9)</f>
        <v/>
      </c>
      <c r="J369" s="195">
        <f>IF(B369="","",H369+'入力・概要'!$B$30*F369)</f>
        <v/>
      </c>
      <c r="K369" s="195">
        <f>IF(B369="","",I369+'入力・概要'!$B$30*G369)</f>
        <v/>
      </c>
      <c r="L369" s="195">
        <f>IF(B369="","",'入力・概要'!$B$30+H369*F369-I369*G369)</f>
        <v/>
      </c>
      <c r="M369" s="195">
        <f>IF(B369="","",H369*G369+I369*F369)</f>
        <v/>
      </c>
      <c r="N369" s="195">
        <f>IF(B369="","",'入力・概要'!$B$30*(J369*L369+K369*M369)/(L369^2+M369^2))</f>
        <v/>
      </c>
      <c r="O369" s="195">
        <f>IF(B369="","",'入力・概要'!$B$30*(K369*L369-J369*M369)/(L369^2+M369^2))</f>
        <v/>
      </c>
      <c r="P369" s="195">
        <f>IF(B369="","",N369+'入力・概要'!$B$36)</f>
        <v/>
      </c>
      <c r="Q369" s="195">
        <f>IF(B369="","",O369+C369*'入力・概要'!$B$37*1E-9)</f>
        <v/>
      </c>
      <c r="R369" s="195">
        <f>IF(B369="","",SQRT(P369^2+Q369^2))</f>
        <v/>
      </c>
      <c r="S369" s="195">
        <f>IF(B369="","",IF(P369&gt;0,DEGREES(ATAN(Q369/P369)),IF(P369&lt;0,IF(Q369&gt;=0,DEGREES(ATAN(Q369/P369))+180,DEGREES(ATAN(Q369/P369))-180),IF(Q369&gt;0,90,IF(Q369&lt;0,-90,0)))))</f>
        <v/>
      </c>
      <c r="T369" s="195">
        <f>IF(B369="","",LOG10(B369))</f>
        <v/>
      </c>
      <c r="U369" s="195">
        <f>IF(R369="","",LOG10(MAX(R369,1E-12)))</f>
        <v/>
      </c>
    </row>
    <row r="370">
      <c r="A370" t="n">
        <v>367</v>
      </c>
      <c r="B370" s="196">
        <f>IF(A370&lt;='入力・概要'!$B$40,10^(LOG10('入力・概要'!$B$38)+(A370-1)*(LOG10('入力・概要'!$B$39)-LOG10('入力・概要'!$B$38))/('入力・概要'!$B$40-1)),"")</f>
        <v/>
      </c>
      <c r="C370" s="195">
        <f>IF(B370="","",2*PI()*B370)</f>
        <v/>
      </c>
      <c r="D370" s="195">
        <f>IF(B370="","",ATANH(MIN(0.999999,(2*'入力・概要'!$B$17*'入力・概要'!$B$6)/'入力・概要'!$B$30))+'入力・概要'!$B$33*SQRT(B370/1E6)+(2*PI()*B370*'入力・概要'!$B$6/(299792458*'入力・概要'!$B$31))*'入力・概要'!$B$32/2)</f>
        <v/>
      </c>
      <c r="E370" s="195">
        <f>IF(B370="","",2*PI()*B370*'入力・概要'!$B$6/(299792458*'入力・概要'!$B$31))</f>
        <v/>
      </c>
      <c r="F370" s="195">
        <f>IF(B370="","",SINH(2*D370)/(COSH(2*D370)+COS(2*E370)))</f>
        <v/>
      </c>
      <c r="G370" s="195">
        <f>IF(B370="","",SIN(2*E370)/(COSH(2*D370)+COS(2*E370)))</f>
        <v/>
      </c>
      <c r="H370" s="195">
        <f>IF(B370="","",'入力・概要'!$B$34)</f>
        <v/>
      </c>
      <c r="I370" s="195">
        <f>IF(B370="","",C370*'入力・概要'!$B$35*1E-9)</f>
        <v/>
      </c>
      <c r="J370" s="195">
        <f>IF(B370="","",H370+'入力・概要'!$B$30*F370)</f>
        <v/>
      </c>
      <c r="K370" s="195">
        <f>IF(B370="","",I370+'入力・概要'!$B$30*G370)</f>
        <v/>
      </c>
      <c r="L370" s="195">
        <f>IF(B370="","",'入力・概要'!$B$30+H370*F370-I370*G370)</f>
        <v/>
      </c>
      <c r="M370" s="195">
        <f>IF(B370="","",H370*G370+I370*F370)</f>
        <v/>
      </c>
      <c r="N370" s="195">
        <f>IF(B370="","",'入力・概要'!$B$30*(J370*L370+K370*M370)/(L370^2+M370^2))</f>
        <v/>
      </c>
      <c r="O370" s="195">
        <f>IF(B370="","",'入力・概要'!$B$30*(K370*L370-J370*M370)/(L370^2+M370^2))</f>
        <v/>
      </c>
      <c r="P370" s="195">
        <f>IF(B370="","",N370+'入力・概要'!$B$36)</f>
        <v/>
      </c>
      <c r="Q370" s="195">
        <f>IF(B370="","",O370+C370*'入力・概要'!$B$37*1E-9)</f>
        <v/>
      </c>
      <c r="R370" s="195">
        <f>IF(B370="","",SQRT(P370^2+Q370^2))</f>
        <v/>
      </c>
      <c r="S370" s="195">
        <f>IF(B370="","",IF(P370&gt;0,DEGREES(ATAN(Q370/P370)),IF(P370&lt;0,IF(Q370&gt;=0,DEGREES(ATAN(Q370/P370))+180,DEGREES(ATAN(Q370/P370))-180),IF(Q370&gt;0,90,IF(Q370&lt;0,-90,0)))))</f>
        <v/>
      </c>
      <c r="T370" s="195">
        <f>IF(B370="","",LOG10(B370))</f>
        <v/>
      </c>
      <c r="U370" s="195">
        <f>IF(R370="","",LOG10(MAX(R370,1E-12)))</f>
        <v/>
      </c>
    </row>
    <row r="371">
      <c r="A371" t="n">
        <v>368</v>
      </c>
      <c r="B371" s="196">
        <f>IF(A371&lt;='入力・概要'!$B$40,10^(LOG10('入力・概要'!$B$38)+(A371-1)*(LOG10('入力・概要'!$B$39)-LOG10('入力・概要'!$B$38))/('入力・概要'!$B$40-1)),"")</f>
        <v/>
      </c>
      <c r="C371" s="195">
        <f>IF(B371="","",2*PI()*B371)</f>
        <v/>
      </c>
      <c r="D371" s="195">
        <f>IF(B371="","",ATANH(MIN(0.999999,(2*'入力・概要'!$B$17*'入力・概要'!$B$6)/'入力・概要'!$B$30))+'入力・概要'!$B$33*SQRT(B371/1E6)+(2*PI()*B371*'入力・概要'!$B$6/(299792458*'入力・概要'!$B$31))*'入力・概要'!$B$32/2)</f>
        <v/>
      </c>
      <c r="E371" s="195">
        <f>IF(B371="","",2*PI()*B371*'入力・概要'!$B$6/(299792458*'入力・概要'!$B$31))</f>
        <v/>
      </c>
      <c r="F371" s="195">
        <f>IF(B371="","",SINH(2*D371)/(COSH(2*D371)+COS(2*E371)))</f>
        <v/>
      </c>
      <c r="G371" s="195">
        <f>IF(B371="","",SIN(2*E371)/(COSH(2*D371)+COS(2*E371)))</f>
        <v/>
      </c>
      <c r="H371" s="195">
        <f>IF(B371="","",'入力・概要'!$B$34)</f>
        <v/>
      </c>
      <c r="I371" s="195">
        <f>IF(B371="","",C371*'入力・概要'!$B$35*1E-9)</f>
        <v/>
      </c>
      <c r="J371" s="195">
        <f>IF(B371="","",H371+'入力・概要'!$B$30*F371)</f>
        <v/>
      </c>
      <c r="K371" s="195">
        <f>IF(B371="","",I371+'入力・概要'!$B$30*G371)</f>
        <v/>
      </c>
      <c r="L371" s="195">
        <f>IF(B371="","",'入力・概要'!$B$30+H371*F371-I371*G371)</f>
        <v/>
      </c>
      <c r="M371" s="195">
        <f>IF(B371="","",H371*G371+I371*F371)</f>
        <v/>
      </c>
      <c r="N371" s="195">
        <f>IF(B371="","",'入力・概要'!$B$30*(J371*L371+K371*M371)/(L371^2+M371^2))</f>
        <v/>
      </c>
      <c r="O371" s="195">
        <f>IF(B371="","",'入力・概要'!$B$30*(K371*L371-J371*M371)/(L371^2+M371^2))</f>
        <v/>
      </c>
      <c r="P371" s="195">
        <f>IF(B371="","",N371+'入力・概要'!$B$36)</f>
        <v/>
      </c>
      <c r="Q371" s="195">
        <f>IF(B371="","",O371+C371*'入力・概要'!$B$37*1E-9)</f>
        <v/>
      </c>
      <c r="R371" s="195">
        <f>IF(B371="","",SQRT(P371^2+Q371^2))</f>
        <v/>
      </c>
      <c r="S371" s="195">
        <f>IF(B371="","",IF(P371&gt;0,DEGREES(ATAN(Q371/P371)),IF(P371&lt;0,IF(Q371&gt;=0,DEGREES(ATAN(Q371/P371))+180,DEGREES(ATAN(Q371/P371))-180),IF(Q371&gt;0,90,IF(Q371&lt;0,-90,0)))))</f>
        <v/>
      </c>
      <c r="T371" s="195">
        <f>IF(B371="","",LOG10(B371))</f>
        <v/>
      </c>
      <c r="U371" s="195">
        <f>IF(R371="","",LOG10(MAX(R371,1E-12)))</f>
        <v/>
      </c>
    </row>
    <row r="372">
      <c r="A372" t="n">
        <v>369</v>
      </c>
      <c r="B372" s="196">
        <f>IF(A372&lt;='入力・概要'!$B$40,10^(LOG10('入力・概要'!$B$38)+(A372-1)*(LOG10('入力・概要'!$B$39)-LOG10('入力・概要'!$B$38))/('入力・概要'!$B$40-1)),"")</f>
        <v/>
      </c>
      <c r="C372" s="195">
        <f>IF(B372="","",2*PI()*B372)</f>
        <v/>
      </c>
      <c r="D372" s="195">
        <f>IF(B372="","",ATANH(MIN(0.999999,(2*'入力・概要'!$B$17*'入力・概要'!$B$6)/'入力・概要'!$B$30))+'入力・概要'!$B$33*SQRT(B372/1E6)+(2*PI()*B372*'入力・概要'!$B$6/(299792458*'入力・概要'!$B$31))*'入力・概要'!$B$32/2)</f>
        <v/>
      </c>
      <c r="E372" s="195">
        <f>IF(B372="","",2*PI()*B372*'入力・概要'!$B$6/(299792458*'入力・概要'!$B$31))</f>
        <v/>
      </c>
      <c r="F372" s="195">
        <f>IF(B372="","",SINH(2*D372)/(COSH(2*D372)+COS(2*E372)))</f>
        <v/>
      </c>
      <c r="G372" s="195">
        <f>IF(B372="","",SIN(2*E372)/(COSH(2*D372)+COS(2*E372)))</f>
        <v/>
      </c>
      <c r="H372" s="195">
        <f>IF(B372="","",'入力・概要'!$B$34)</f>
        <v/>
      </c>
      <c r="I372" s="195">
        <f>IF(B372="","",C372*'入力・概要'!$B$35*1E-9)</f>
        <v/>
      </c>
      <c r="J372" s="195">
        <f>IF(B372="","",H372+'入力・概要'!$B$30*F372)</f>
        <v/>
      </c>
      <c r="K372" s="195">
        <f>IF(B372="","",I372+'入力・概要'!$B$30*G372)</f>
        <v/>
      </c>
      <c r="L372" s="195">
        <f>IF(B372="","",'入力・概要'!$B$30+H372*F372-I372*G372)</f>
        <v/>
      </c>
      <c r="M372" s="195">
        <f>IF(B372="","",H372*G372+I372*F372)</f>
        <v/>
      </c>
      <c r="N372" s="195">
        <f>IF(B372="","",'入力・概要'!$B$30*(J372*L372+K372*M372)/(L372^2+M372^2))</f>
        <v/>
      </c>
      <c r="O372" s="195">
        <f>IF(B372="","",'入力・概要'!$B$30*(K372*L372-J372*M372)/(L372^2+M372^2))</f>
        <v/>
      </c>
      <c r="P372" s="195">
        <f>IF(B372="","",N372+'入力・概要'!$B$36)</f>
        <v/>
      </c>
      <c r="Q372" s="195">
        <f>IF(B372="","",O372+C372*'入力・概要'!$B$37*1E-9)</f>
        <v/>
      </c>
      <c r="R372" s="195">
        <f>IF(B372="","",SQRT(P372^2+Q372^2))</f>
        <v/>
      </c>
      <c r="S372" s="195">
        <f>IF(B372="","",IF(P372&gt;0,DEGREES(ATAN(Q372/P372)),IF(P372&lt;0,IF(Q372&gt;=0,DEGREES(ATAN(Q372/P372))+180,DEGREES(ATAN(Q372/P372))-180),IF(Q372&gt;0,90,IF(Q372&lt;0,-90,0)))))</f>
        <v/>
      </c>
      <c r="T372" s="195">
        <f>IF(B372="","",LOG10(B372))</f>
        <v/>
      </c>
      <c r="U372" s="195">
        <f>IF(R372="","",LOG10(MAX(R372,1E-12)))</f>
        <v/>
      </c>
    </row>
    <row r="373">
      <c r="A373" t="n">
        <v>370</v>
      </c>
      <c r="B373" s="196">
        <f>IF(A373&lt;='入力・概要'!$B$40,10^(LOG10('入力・概要'!$B$38)+(A373-1)*(LOG10('入力・概要'!$B$39)-LOG10('入力・概要'!$B$38))/('入力・概要'!$B$40-1)),"")</f>
        <v/>
      </c>
      <c r="C373" s="195">
        <f>IF(B373="","",2*PI()*B373)</f>
        <v/>
      </c>
      <c r="D373" s="195">
        <f>IF(B373="","",ATANH(MIN(0.999999,(2*'入力・概要'!$B$17*'入力・概要'!$B$6)/'入力・概要'!$B$30))+'入力・概要'!$B$33*SQRT(B373/1E6)+(2*PI()*B373*'入力・概要'!$B$6/(299792458*'入力・概要'!$B$31))*'入力・概要'!$B$32/2)</f>
        <v/>
      </c>
      <c r="E373" s="195">
        <f>IF(B373="","",2*PI()*B373*'入力・概要'!$B$6/(299792458*'入力・概要'!$B$31))</f>
        <v/>
      </c>
      <c r="F373" s="195">
        <f>IF(B373="","",SINH(2*D373)/(COSH(2*D373)+COS(2*E373)))</f>
        <v/>
      </c>
      <c r="G373" s="195">
        <f>IF(B373="","",SIN(2*E373)/(COSH(2*D373)+COS(2*E373)))</f>
        <v/>
      </c>
      <c r="H373" s="195">
        <f>IF(B373="","",'入力・概要'!$B$34)</f>
        <v/>
      </c>
      <c r="I373" s="195">
        <f>IF(B373="","",C373*'入力・概要'!$B$35*1E-9)</f>
        <v/>
      </c>
      <c r="J373" s="195">
        <f>IF(B373="","",H373+'入力・概要'!$B$30*F373)</f>
        <v/>
      </c>
      <c r="K373" s="195">
        <f>IF(B373="","",I373+'入力・概要'!$B$30*G373)</f>
        <v/>
      </c>
      <c r="L373" s="195">
        <f>IF(B373="","",'入力・概要'!$B$30+H373*F373-I373*G373)</f>
        <v/>
      </c>
      <c r="M373" s="195">
        <f>IF(B373="","",H373*G373+I373*F373)</f>
        <v/>
      </c>
      <c r="N373" s="195">
        <f>IF(B373="","",'入力・概要'!$B$30*(J373*L373+K373*M373)/(L373^2+M373^2))</f>
        <v/>
      </c>
      <c r="O373" s="195">
        <f>IF(B373="","",'入力・概要'!$B$30*(K373*L373-J373*M373)/(L373^2+M373^2))</f>
        <v/>
      </c>
      <c r="P373" s="195">
        <f>IF(B373="","",N373+'入力・概要'!$B$36)</f>
        <v/>
      </c>
      <c r="Q373" s="195">
        <f>IF(B373="","",O373+C373*'入力・概要'!$B$37*1E-9)</f>
        <v/>
      </c>
      <c r="R373" s="195">
        <f>IF(B373="","",SQRT(P373^2+Q373^2))</f>
        <v/>
      </c>
      <c r="S373" s="195">
        <f>IF(B373="","",IF(P373&gt;0,DEGREES(ATAN(Q373/P373)),IF(P373&lt;0,IF(Q373&gt;=0,DEGREES(ATAN(Q373/P373))+180,DEGREES(ATAN(Q373/P373))-180),IF(Q373&gt;0,90,IF(Q373&lt;0,-90,0)))))</f>
        <v/>
      </c>
      <c r="T373" s="195">
        <f>IF(B373="","",LOG10(B373))</f>
        <v/>
      </c>
      <c r="U373" s="195">
        <f>IF(R373="","",LOG10(MAX(R373,1E-12)))</f>
        <v/>
      </c>
    </row>
    <row r="374">
      <c r="A374" t="n">
        <v>371</v>
      </c>
      <c r="B374" s="196">
        <f>IF(A374&lt;='入力・概要'!$B$40,10^(LOG10('入力・概要'!$B$38)+(A374-1)*(LOG10('入力・概要'!$B$39)-LOG10('入力・概要'!$B$38))/('入力・概要'!$B$40-1)),"")</f>
        <v/>
      </c>
      <c r="C374" s="195">
        <f>IF(B374="","",2*PI()*B374)</f>
        <v/>
      </c>
      <c r="D374" s="195">
        <f>IF(B374="","",ATANH(MIN(0.999999,(2*'入力・概要'!$B$17*'入力・概要'!$B$6)/'入力・概要'!$B$30))+'入力・概要'!$B$33*SQRT(B374/1E6)+(2*PI()*B374*'入力・概要'!$B$6/(299792458*'入力・概要'!$B$31))*'入力・概要'!$B$32/2)</f>
        <v/>
      </c>
      <c r="E374" s="195">
        <f>IF(B374="","",2*PI()*B374*'入力・概要'!$B$6/(299792458*'入力・概要'!$B$31))</f>
        <v/>
      </c>
      <c r="F374" s="195">
        <f>IF(B374="","",SINH(2*D374)/(COSH(2*D374)+COS(2*E374)))</f>
        <v/>
      </c>
      <c r="G374" s="195">
        <f>IF(B374="","",SIN(2*E374)/(COSH(2*D374)+COS(2*E374)))</f>
        <v/>
      </c>
      <c r="H374" s="195">
        <f>IF(B374="","",'入力・概要'!$B$34)</f>
        <v/>
      </c>
      <c r="I374" s="195">
        <f>IF(B374="","",C374*'入力・概要'!$B$35*1E-9)</f>
        <v/>
      </c>
      <c r="J374" s="195">
        <f>IF(B374="","",H374+'入力・概要'!$B$30*F374)</f>
        <v/>
      </c>
      <c r="K374" s="195">
        <f>IF(B374="","",I374+'入力・概要'!$B$30*G374)</f>
        <v/>
      </c>
      <c r="L374" s="195">
        <f>IF(B374="","",'入力・概要'!$B$30+H374*F374-I374*G374)</f>
        <v/>
      </c>
      <c r="M374" s="195">
        <f>IF(B374="","",H374*G374+I374*F374)</f>
        <v/>
      </c>
      <c r="N374" s="195">
        <f>IF(B374="","",'入力・概要'!$B$30*(J374*L374+K374*M374)/(L374^2+M374^2))</f>
        <v/>
      </c>
      <c r="O374" s="195">
        <f>IF(B374="","",'入力・概要'!$B$30*(K374*L374-J374*M374)/(L374^2+M374^2))</f>
        <v/>
      </c>
      <c r="P374" s="195">
        <f>IF(B374="","",N374+'入力・概要'!$B$36)</f>
        <v/>
      </c>
      <c r="Q374" s="195">
        <f>IF(B374="","",O374+C374*'入力・概要'!$B$37*1E-9)</f>
        <v/>
      </c>
      <c r="R374" s="195">
        <f>IF(B374="","",SQRT(P374^2+Q374^2))</f>
        <v/>
      </c>
      <c r="S374" s="195">
        <f>IF(B374="","",IF(P374&gt;0,DEGREES(ATAN(Q374/P374)),IF(P374&lt;0,IF(Q374&gt;=0,DEGREES(ATAN(Q374/P374))+180,DEGREES(ATAN(Q374/P374))-180),IF(Q374&gt;0,90,IF(Q374&lt;0,-90,0)))))</f>
        <v/>
      </c>
      <c r="T374" s="195">
        <f>IF(B374="","",LOG10(B374))</f>
        <v/>
      </c>
      <c r="U374" s="195">
        <f>IF(R374="","",LOG10(MAX(R374,1E-12)))</f>
        <v/>
      </c>
    </row>
    <row r="375">
      <c r="A375" t="n">
        <v>372</v>
      </c>
      <c r="B375" s="196">
        <f>IF(A375&lt;='入力・概要'!$B$40,10^(LOG10('入力・概要'!$B$38)+(A375-1)*(LOG10('入力・概要'!$B$39)-LOG10('入力・概要'!$B$38))/('入力・概要'!$B$40-1)),"")</f>
        <v/>
      </c>
      <c r="C375" s="195">
        <f>IF(B375="","",2*PI()*B375)</f>
        <v/>
      </c>
      <c r="D375" s="195">
        <f>IF(B375="","",ATANH(MIN(0.999999,(2*'入力・概要'!$B$17*'入力・概要'!$B$6)/'入力・概要'!$B$30))+'入力・概要'!$B$33*SQRT(B375/1E6)+(2*PI()*B375*'入力・概要'!$B$6/(299792458*'入力・概要'!$B$31))*'入力・概要'!$B$32/2)</f>
        <v/>
      </c>
      <c r="E375" s="195">
        <f>IF(B375="","",2*PI()*B375*'入力・概要'!$B$6/(299792458*'入力・概要'!$B$31))</f>
        <v/>
      </c>
      <c r="F375" s="195">
        <f>IF(B375="","",SINH(2*D375)/(COSH(2*D375)+COS(2*E375)))</f>
        <v/>
      </c>
      <c r="G375" s="195">
        <f>IF(B375="","",SIN(2*E375)/(COSH(2*D375)+COS(2*E375)))</f>
        <v/>
      </c>
      <c r="H375" s="195">
        <f>IF(B375="","",'入力・概要'!$B$34)</f>
        <v/>
      </c>
      <c r="I375" s="195">
        <f>IF(B375="","",C375*'入力・概要'!$B$35*1E-9)</f>
        <v/>
      </c>
      <c r="J375" s="195">
        <f>IF(B375="","",H375+'入力・概要'!$B$30*F375)</f>
        <v/>
      </c>
      <c r="K375" s="195">
        <f>IF(B375="","",I375+'入力・概要'!$B$30*G375)</f>
        <v/>
      </c>
      <c r="L375" s="195">
        <f>IF(B375="","",'入力・概要'!$B$30+H375*F375-I375*G375)</f>
        <v/>
      </c>
      <c r="M375" s="195">
        <f>IF(B375="","",H375*G375+I375*F375)</f>
        <v/>
      </c>
      <c r="N375" s="195">
        <f>IF(B375="","",'入力・概要'!$B$30*(J375*L375+K375*M375)/(L375^2+M375^2))</f>
        <v/>
      </c>
      <c r="O375" s="195">
        <f>IF(B375="","",'入力・概要'!$B$30*(K375*L375-J375*M375)/(L375^2+M375^2))</f>
        <v/>
      </c>
      <c r="P375" s="195">
        <f>IF(B375="","",N375+'入力・概要'!$B$36)</f>
        <v/>
      </c>
      <c r="Q375" s="195">
        <f>IF(B375="","",O375+C375*'入力・概要'!$B$37*1E-9)</f>
        <v/>
      </c>
      <c r="R375" s="195">
        <f>IF(B375="","",SQRT(P375^2+Q375^2))</f>
        <v/>
      </c>
      <c r="S375" s="195">
        <f>IF(B375="","",IF(P375&gt;0,DEGREES(ATAN(Q375/P375)),IF(P375&lt;0,IF(Q375&gt;=0,DEGREES(ATAN(Q375/P375))+180,DEGREES(ATAN(Q375/P375))-180),IF(Q375&gt;0,90,IF(Q375&lt;0,-90,0)))))</f>
        <v/>
      </c>
      <c r="T375" s="195">
        <f>IF(B375="","",LOG10(B375))</f>
        <v/>
      </c>
      <c r="U375" s="195">
        <f>IF(R375="","",LOG10(MAX(R375,1E-12)))</f>
        <v/>
      </c>
    </row>
    <row r="376">
      <c r="A376" t="n">
        <v>373</v>
      </c>
      <c r="B376" s="196">
        <f>IF(A376&lt;='入力・概要'!$B$40,10^(LOG10('入力・概要'!$B$38)+(A376-1)*(LOG10('入力・概要'!$B$39)-LOG10('入力・概要'!$B$38))/('入力・概要'!$B$40-1)),"")</f>
        <v/>
      </c>
      <c r="C376" s="195">
        <f>IF(B376="","",2*PI()*B376)</f>
        <v/>
      </c>
      <c r="D376" s="195">
        <f>IF(B376="","",ATANH(MIN(0.999999,(2*'入力・概要'!$B$17*'入力・概要'!$B$6)/'入力・概要'!$B$30))+'入力・概要'!$B$33*SQRT(B376/1E6)+(2*PI()*B376*'入力・概要'!$B$6/(299792458*'入力・概要'!$B$31))*'入力・概要'!$B$32/2)</f>
        <v/>
      </c>
      <c r="E376" s="195">
        <f>IF(B376="","",2*PI()*B376*'入力・概要'!$B$6/(299792458*'入力・概要'!$B$31))</f>
        <v/>
      </c>
      <c r="F376" s="195">
        <f>IF(B376="","",SINH(2*D376)/(COSH(2*D376)+COS(2*E376)))</f>
        <v/>
      </c>
      <c r="G376" s="195">
        <f>IF(B376="","",SIN(2*E376)/(COSH(2*D376)+COS(2*E376)))</f>
        <v/>
      </c>
      <c r="H376" s="195">
        <f>IF(B376="","",'入力・概要'!$B$34)</f>
        <v/>
      </c>
      <c r="I376" s="195">
        <f>IF(B376="","",C376*'入力・概要'!$B$35*1E-9)</f>
        <v/>
      </c>
      <c r="J376" s="195">
        <f>IF(B376="","",H376+'入力・概要'!$B$30*F376)</f>
        <v/>
      </c>
      <c r="K376" s="195">
        <f>IF(B376="","",I376+'入力・概要'!$B$30*G376)</f>
        <v/>
      </c>
      <c r="L376" s="195">
        <f>IF(B376="","",'入力・概要'!$B$30+H376*F376-I376*G376)</f>
        <v/>
      </c>
      <c r="M376" s="195">
        <f>IF(B376="","",H376*G376+I376*F376)</f>
        <v/>
      </c>
      <c r="N376" s="195">
        <f>IF(B376="","",'入力・概要'!$B$30*(J376*L376+K376*M376)/(L376^2+M376^2))</f>
        <v/>
      </c>
      <c r="O376" s="195">
        <f>IF(B376="","",'入力・概要'!$B$30*(K376*L376-J376*M376)/(L376^2+M376^2))</f>
        <v/>
      </c>
      <c r="P376" s="195">
        <f>IF(B376="","",N376+'入力・概要'!$B$36)</f>
        <v/>
      </c>
      <c r="Q376" s="195">
        <f>IF(B376="","",O376+C376*'入力・概要'!$B$37*1E-9)</f>
        <v/>
      </c>
      <c r="R376" s="195">
        <f>IF(B376="","",SQRT(P376^2+Q376^2))</f>
        <v/>
      </c>
      <c r="S376" s="195">
        <f>IF(B376="","",IF(P376&gt;0,DEGREES(ATAN(Q376/P376)),IF(P376&lt;0,IF(Q376&gt;=0,DEGREES(ATAN(Q376/P376))+180,DEGREES(ATAN(Q376/P376))-180),IF(Q376&gt;0,90,IF(Q376&lt;0,-90,0)))))</f>
        <v/>
      </c>
      <c r="T376" s="195">
        <f>IF(B376="","",LOG10(B376))</f>
        <v/>
      </c>
      <c r="U376" s="195">
        <f>IF(R376="","",LOG10(MAX(R376,1E-12)))</f>
        <v/>
      </c>
    </row>
    <row r="377">
      <c r="A377" t="n">
        <v>374</v>
      </c>
      <c r="B377" s="196">
        <f>IF(A377&lt;='入力・概要'!$B$40,10^(LOG10('入力・概要'!$B$38)+(A377-1)*(LOG10('入力・概要'!$B$39)-LOG10('入力・概要'!$B$38))/('入力・概要'!$B$40-1)),"")</f>
        <v/>
      </c>
      <c r="C377" s="195">
        <f>IF(B377="","",2*PI()*B377)</f>
        <v/>
      </c>
      <c r="D377" s="195">
        <f>IF(B377="","",ATANH(MIN(0.999999,(2*'入力・概要'!$B$17*'入力・概要'!$B$6)/'入力・概要'!$B$30))+'入力・概要'!$B$33*SQRT(B377/1E6)+(2*PI()*B377*'入力・概要'!$B$6/(299792458*'入力・概要'!$B$31))*'入力・概要'!$B$32/2)</f>
        <v/>
      </c>
      <c r="E377" s="195">
        <f>IF(B377="","",2*PI()*B377*'入力・概要'!$B$6/(299792458*'入力・概要'!$B$31))</f>
        <v/>
      </c>
      <c r="F377" s="195">
        <f>IF(B377="","",SINH(2*D377)/(COSH(2*D377)+COS(2*E377)))</f>
        <v/>
      </c>
      <c r="G377" s="195">
        <f>IF(B377="","",SIN(2*E377)/(COSH(2*D377)+COS(2*E377)))</f>
        <v/>
      </c>
      <c r="H377" s="195">
        <f>IF(B377="","",'入力・概要'!$B$34)</f>
        <v/>
      </c>
      <c r="I377" s="195">
        <f>IF(B377="","",C377*'入力・概要'!$B$35*1E-9)</f>
        <v/>
      </c>
      <c r="J377" s="195">
        <f>IF(B377="","",H377+'入力・概要'!$B$30*F377)</f>
        <v/>
      </c>
      <c r="K377" s="195">
        <f>IF(B377="","",I377+'入力・概要'!$B$30*G377)</f>
        <v/>
      </c>
      <c r="L377" s="195">
        <f>IF(B377="","",'入力・概要'!$B$30+H377*F377-I377*G377)</f>
        <v/>
      </c>
      <c r="M377" s="195">
        <f>IF(B377="","",H377*G377+I377*F377)</f>
        <v/>
      </c>
      <c r="N377" s="195">
        <f>IF(B377="","",'入力・概要'!$B$30*(J377*L377+K377*M377)/(L377^2+M377^2))</f>
        <v/>
      </c>
      <c r="O377" s="195">
        <f>IF(B377="","",'入力・概要'!$B$30*(K377*L377-J377*M377)/(L377^2+M377^2))</f>
        <v/>
      </c>
      <c r="P377" s="195">
        <f>IF(B377="","",N377+'入力・概要'!$B$36)</f>
        <v/>
      </c>
      <c r="Q377" s="195">
        <f>IF(B377="","",O377+C377*'入力・概要'!$B$37*1E-9)</f>
        <v/>
      </c>
      <c r="R377" s="195">
        <f>IF(B377="","",SQRT(P377^2+Q377^2))</f>
        <v/>
      </c>
      <c r="S377" s="195">
        <f>IF(B377="","",IF(P377&gt;0,DEGREES(ATAN(Q377/P377)),IF(P377&lt;0,IF(Q377&gt;=0,DEGREES(ATAN(Q377/P377))+180,DEGREES(ATAN(Q377/P377))-180),IF(Q377&gt;0,90,IF(Q377&lt;0,-90,0)))))</f>
        <v/>
      </c>
      <c r="T377" s="195">
        <f>IF(B377="","",LOG10(B377))</f>
        <v/>
      </c>
      <c r="U377" s="195">
        <f>IF(R377="","",LOG10(MAX(R377,1E-12)))</f>
        <v/>
      </c>
    </row>
    <row r="378">
      <c r="A378" t="n">
        <v>375</v>
      </c>
      <c r="B378" s="196">
        <f>IF(A378&lt;='入力・概要'!$B$40,10^(LOG10('入力・概要'!$B$38)+(A378-1)*(LOG10('入力・概要'!$B$39)-LOG10('入力・概要'!$B$38))/('入力・概要'!$B$40-1)),"")</f>
        <v/>
      </c>
      <c r="C378" s="195">
        <f>IF(B378="","",2*PI()*B378)</f>
        <v/>
      </c>
      <c r="D378" s="195">
        <f>IF(B378="","",ATANH(MIN(0.999999,(2*'入力・概要'!$B$17*'入力・概要'!$B$6)/'入力・概要'!$B$30))+'入力・概要'!$B$33*SQRT(B378/1E6)+(2*PI()*B378*'入力・概要'!$B$6/(299792458*'入力・概要'!$B$31))*'入力・概要'!$B$32/2)</f>
        <v/>
      </c>
      <c r="E378" s="195">
        <f>IF(B378="","",2*PI()*B378*'入力・概要'!$B$6/(299792458*'入力・概要'!$B$31))</f>
        <v/>
      </c>
      <c r="F378" s="195">
        <f>IF(B378="","",SINH(2*D378)/(COSH(2*D378)+COS(2*E378)))</f>
        <v/>
      </c>
      <c r="G378" s="195">
        <f>IF(B378="","",SIN(2*E378)/(COSH(2*D378)+COS(2*E378)))</f>
        <v/>
      </c>
      <c r="H378" s="195">
        <f>IF(B378="","",'入力・概要'!$B$34)</f>
        <v/>
      </c>
      <c r="I378" s="195">
        <f>IF(B378="","",C378*'入力・概要'!$B$35*1E-9)</f>
        <v/>
      </c>
      <c r="J378" s="195">
        <f>IF(B378="","",H378+'入力・概要'!$B$30*F378)</f>
        <v/>
      </c>
      <c r="K378" s="195">
        <f>IF(B378="","",I378+'入力・概要'!$B$30*G378)</f>
        <v/>
      </c>
      <c r="L378" s="195">
        <f>IF(B378="","",'入力・概要'!$B$30+H378*F378-I378*G378)</f>
        <v/>
      </c>
      <c r="M378" s="195">
        <f>IF(B378="","",H378*G378+I378*F378)</f>
        <v/>
      </c>
      <c r="N378" s="195">
        <f>IF(B378="","",'入力・概要'!$B$30*(J378*L378+K378*M378)/(L378^2+M378^2))</f>
        <v/>
      </c>
      <c r="O378" s="195">
        <f>IF(B378="","",'入力・概要'!$B$30*(K378*L378-J378*M378)/(L378^2+M378^2))</f>
        <v/>
      </c>
      <c r="P378" s="195">
        <f>IF(B378="","",N378+'入力・概要'!$B$36)</f>
        <v/>
      </c>
      <c r="Q378" s="195">
        <f>IF(B378="","",O378+C378*'入力・概要'!$B$37*1E-9)</f>
        <v/>
      </c>
      <c r="R378" s="195">
        <f>IF(B378="","",SQRT(P378^2+Q378^2))</f>
        <v/>
      </c>
      <c r="S378" s="195">
        <f>IF(B378="","",IF(P378&gt;0,DEGREES(ATAN(Q378/P378)),IF(P378&lt;0,IF(Q378&gt;=0,DEGREES(ATAN(Q378/P378))+180,DEGREES(ATAN(Q378/P378))-180),IF(Q378&gt;0,90,IF(Q378&lt;0,-90,0)))))</f>
        <v/>
      </c>
      <c r="T378" s="195">
        <f>IF(B378="","",LOG10(B378))</f>
        <v/>
      </c>
      <c r="U378" s="195">
        <f>IF(R378="","",LOG10(MAX(R378,1E-12)))</f>
        <v/>
      </c>
    </row>
    <row r="379">
      <c r="A379" t="n">
        <v>376</v>
      </c>
      <c r="B379" s="196">
        <f>IF(A379&lt;='入力・概要'!$B$40,10^(LOG10('入力・概要'!$B$38)+(A379-1)*(LOG10('入力・概要'!$B$39)-LOG10('入力・概要'!$B$38))/('入力・概要'!$B$40-1)),"")</f>
        <v/>
      </c>
      <c r="C379" s="195">
        <f>IF(B379="","",2*PI()*B379)</f>
        <v/>
      </c>
      <c r="D379" s="195">
        <f>IF(B379="","",ATANH(MIN(0.999999,(2*'入力・概要'!$B$17*'入力・概要'!$B$6)/'入力・概要'!$B$30))+'入力・概要'!$B$33*SQRT(B379/1E6)+(2*PI()*B379*'入力・概要'!$B$6/(299792458*'入力・概要'!$B$31))*'入力・概要'!$B$32/2)</f>
        <v/>
      </c>
      <c r="E379" s="195">
        <f>IF(B379="","",2*PI()*B379*'入力・概要'!$B$6/(299792458*'入力・概要'!$B$31))</f>
        <v/>
      </c>
      <c r="F379" s="195">
        <f>IF(B379="","",SINH(2*D379)/(COSH(2*D379)+COS(2*E379)))</f>
        <v/>
      </c>
      <c r="G379" s="195">
        <f>IF(B379="","",SIN(2*E379)/(COSH(2*D379)+COS(2*E379)))</f>
        <v/>
      </c>
      <c r="H379" s="195">
        <f>IF(B379="","",'入力・概要'!$B$34)</f>
        <v/>
      </c>
      <c r="I379" s="195">
        <f>IF(B379="","",C379*'入力・概要'!$B$35*1E-9)</f>
        <v/>
      </c>
      <c r="J379" s="195">
        <f>IF(B379="","",H379+'入力・概要'!$B$30*F379)</f>
        <v/>
      </c>
      <c r="K379" s="195">
        <f>IF(B379="","",I379+'入力・概要'!$B$30*G379)</f>
        <v/>
      </c>
      <c r="L379" s="195">
        <f>IF(B379="","",'入力・概要'!$B$30+H379*F379-I379*G379)</f>
        <v/>
      </c>
      <c r="M379" s="195">
        <f>IF(B379="","",H379*G379+I379*F379)</f>
        <v/>
      </c>
      <c r="N379" s="195">
        <f>IF(B379="","",'入力・概要'!$B$30*(J379*L379+K379*M379)/(L379^2+M379^2))</f>
        <v/>
      </c>
      <c r="O379" s="195">
        <f>IF(B379="","",'入力・概要'!$B$30*(K379*L379-J379*M379)/(L379^2+M379^2))</f>
        <v/>
      </c>
      <c r="P379" s="195">
        <f>IF(B379="","",N379+'入力・概要'!$B$36)</f>
        <v/>
      </c>
      <c r="Q379" s="195">
        <f>IF(B379="","",O379+C379*'入力・概要'!$B$37*1E-9)</f>
        <v/>
      </c>
      <c r="R379" s="195">
        <f>IF(B379="","",SQRT(P379^2+Q379^2))</f>
        <v/>
      </c>
      <c r="S379" s="195">
        <f>IF(B379="","",IF(P379&gt;0,DEGREES(ATAN(Q379/P379)),IF(P379&lt;0,IF(Q379&gt;=0,DEGREES(ATAN(Q379/P379))+180,DEGREES(ATAN(Q379/P379))-180),IF(Q379&gt;0,90,IF(Q379&lt;0,-90,0)))))</f>
        <v/>
      </c>
      <c r="T379" s="195">
        <f>IF(B379="","",LOG10(B379))</f>
        <v/>
      </c>
      <c r="U379" s="195">
        <f>IF(R379="","",LOG10(MAX(R379,1E-12)))</f>
        <v/>
      </c>
    </row>
    <row r="380">
      <c r="A380" t="n">
        <v>377</v>
      </c>
      <c r="B380" s="196">
        <f>IF(A380&lt;='入力・概要'!$B$40,10^(LOG10('入力・概要'!$B$38)+(A380-1)*(LOG10('入力・概要'!$B$39)-LOG10('入力・概要'!$B$38))/('入力・概要'!$B$40-1)),"")</f>
        <v/>
      </c>
      <c r="C380" s="195">
        <f>IF(B380="","",2*PI()*B380)</f>
        <v/>
      </c>
      <c r="D380" s="195">
        <f>IF(B380="","",ATANH(MIN(0.999999,(2*'入力・概要'!$B$17*'入力・概要'!$B$6)/'入力・概要'!$B$30))+'入力・概要'!$B$33*SQRT(B380/1E6)+(2*PI()*B380*'入力・概要'!$B$6/(299792458*'入力・概要'!$B$31))*'入力・概要'!$B$32/2)</f>
        <v/>
      </c>
      <c r="E380" s="195">
        <f>IF(B380="","",2*PI()*B380*'入力・概要'!$B$6/(299792458*'入力・概要'!$B$31))</f>
        <v/>
      </c>
      <c r="F380" s="195">
        <f>IF(B380="","",SINH(2*D380)/(COSH(2*D380)+COS(2*E380)))</f>
        <v/>
      </c>
      <c r="G380" s="195">
        <f>IF(B380="","",SIN(2*E380)/(COSH(2*D380)+COS(2*E380)))</f>
        <v/>
      </c>
      <c r="H380" s="195">
        <f>IF(B380="","",'入力・概要'!$B$34)</f>
        <v/>
      </c>
      <c r="I380" s="195">
        <f>IF(B380="","",C380*'入力・概要'!$B$35*1E-9)</f>
        <v/>
      </c>
      <c r="J380" s="195">
        <f>IF(B380="","",H380+'入力・概要'!$B$30*F380)</f>
        <v/>
      </c>
      <c r="K380" s="195">
        <f>IF(B380="","",I380+'入力・概要'!$B$30*G380)</f>
        <v/>
      </c>
      <c r="L380" s="195">
        <f>IF(B380="","",'入力・概要'!$B$30+H380*F380-I380*G380)</f>
        <v/>
      </c>
      <c r="M380" s="195">
        <f>IF(B380="","",H380*G380+I380*F380)</f>
        <v/>
      </c>
      <c r="N380" s="195">
        <f>IF(B380="","",'入力・概要'!$B$30*(J380*L380+K380*M380)/(L380^2+M380^2))</f>
        <v/>
      </c>
      <c r="O380" s="195">
        <f>IF(B380="","",'入力・概要'!$B$30*(K380*L380-J380*M380)/(L380^2+M380^2))</f>
        <v/>
      </c>
      <c r="P380" s="195">
        <f>IF(B380="","",N380+'入力・概要'!$B$36)</f>
        <v/>
      </c>
      <c r="Q380" s="195">
        <f>IF(B380="","",O380+C380*'入力・概要'!$B$37*1E-9)</f>
        <v/>
      </c>
      <c r="R380" s="195">
        <f>IF(B380="","",SQRT(P380^2+Q380^2))</f>
        <v/>
      </c>
      <c r="S380" s="195">
        <f>IF(B380="","",IF(P380&gt;0,DEGREES(ATAN(Q380/P380)),IF(P380&lt;0,IF(Q380&gt;=0,DEGREES(ATAN(Q380/P380))+180,DEGREES(ATAN(Q380/P380))-180),IF(Q380&gt;0,90,IF(Q380&lt;0,-90,0)))))</f>
        <v/>
      </c>
      <c r="T380" s="195">
        <f>IF(B380="","",LOG10(B380))</f>
        <v/>
      </c>
      <c r="U380" s="195">
        <f>IF(R380="","",LOG10(MAX(R380,1E-12)))</f>
        <v/>
      </c>
    </row>
    <row r="381">
      <c r="A381" t="n">
        <v>378</v>
      </c>
      <c r="B381" s="196">
        <f>IF(A381&lt;='入力・概要'!$B$40,10^(LOG10('入力・概要'!$B$38)+(A381-1)*(LOG10('入力・概要'!$B$39)-LOG10('入力・概要'!$B$38))/('入力・概要'!$B$40-1)),"")</f>
        <v/>
      </c>
      <c r="C381" s="195">
        <f>IF(B381="","",2*PI()*B381)</f>
        <v/>
      </c>
      <c r="D381" s="195">
        <f>IF(B381="","",ATANH(MIN(0.999999,(2*'入力・概要'!$B$17*'入力・概要'!$B$6)/'入力・概要'!$B$30))+'入力・概要'!$B$33*SQRT(B381/1E6)+(2*PI()*B381*'入力・概要'!$B$6/(299792458*'入力・概要'!$B$31))*'入力・概要'!$B$32/2)</f>
        <v/>
      </c>
      <c r="E381" s="195">
        <f>IF(B381="","",2*PI()*B381*'入力・概要'!$B$6/(299792458*'入力・概要'!$B$31))</f>
        <v/>
      </c>
      <c r="F381" s="195">
        <f>IF(B381="","",SINH(2*D381)/(COSH(2*D381)+COS(2*E381)))</f>
        <v/>
      </c>
      <c r="G381" s="195">
        <f>IF(B381="","",SIN(2*E381)/(COSH(2*D381)+COS(2*E381)))</f>
        <v/>
      </c>
      <c r="H381" s="195">
        <f>IF(B381="","",'入力・概要'!$B$34)</f>
        <v/>
      </c>
      <c r="I381" s="195">
        <f>IF(B381="","",C381*'入力・概要'!$B$35*1E-9)</f>
        <v/>
      </c>
      <c r="J381" s="195">
        <f>IF(B381="","",H381+'入力・概要'!$B$30*F381)</f>
        <v/>
      </c>
      <c r="K381" s="195">
        <f>IF(B381="","",I381+'入力・概要'!$B$30*G381)</f>
        <v/>
      </c>
      <c r="L381" s="195">
        <f>IF(B381="","",'入力・概要'!$B$30+H381*F381-I381*G381)</f>
        <v/>
      </c>
      <c r="M381" s="195">
        <f>IF(B381="","",H381*G381+I381*F381)</f>
        <v/>
      </c>
      <c r="N381" s="195">
        <f>IF(B381="","",'入力・概要'!$B$30*(J381*L381+K381*M381)/(L381^2+M381^2))</f>
        <v/>
      </c>
      <c r="O381" s="195">
        <f>IF(B381="","",'入力・概要'!$B$30*(K381*L381-J381*M381)/(L381^2+M381^2))</f>
        <v/>
      </c>
      <c r="P381" s="195">
        <f>IF(B381="","",N381+'入力・概要'!$B$36)</f>
        <v/>
      </c>
      <c r="Q381" s="195">
        <f>IF(B381="","",O381+C381*'入力・概要'!$B$37*1E-9)</f>
        <v/>
      </c>
      <c r="R381" s="195">
        <f>IF(B381="","",SQRT(P381^2+Q381^2))</f>
        <v/>
      </c>
      <c r="S381" s="195">
        <f>IF(B381="","",IF(P381&gt;0,DEGREES(ATAN(Q381/P381)),IF(P381&lt;0,IF(Q381&gt;=0,DEGREES(ATAN(Q381/P381))+180,DEGREES(ATAN(Q381/P381))-180),IF(Q381&gt;0,90,IF(Q381&lt;0,-90,0)))))</f>
        <v/>
      </c>
      <c r="T381" s="195">
        <f>IF(B381="","",LOG10(B381))</f>
        <v/>
      </c>
      <c r="U381" s="195">
        <f>IF(R381="","",LOG10(MAX(R381,1E-12)))</f>
        <v/>
      </c>
    </row>
    <row r="382">
      <c r="A382" t="n">
        <v>379</v>
      </c>
      <c r="B382" s="196">
        <f>IF(A382&lt;='入力・概要'!$B$40,10^(LOG10('入力・概要'!$B$38)+(A382-1)*(LOG10('入力・概要'!$B$39)-LOG10('入力・概要'!$B$38))/('入力・概要'!$B$40-1)),"")</f>
        <v/>
      </c>
      <c r="C382" s="195">
        <f>IF(B382="","",2*PI()*B382)</f>
        <v/>
      </c>
      <c r="D382" s="195">
        <f>IF(B382="","",ATANH(MIN(0.999999,(2*'入力・概要'!$B$17*'入力・概要'!$B$6)/'入力・概要'!$B$30))+'入力・概要'!$B$33*SQRT(B382/1E6)+(2*PI()*B382*'入力・概要'!$B$6/(299792458*'入力・概要'!$B$31))*'入力・概要'!$B$32/2)</f>
        <v/>
      </c>
      <c r="E382" s="195">
        <f>IF(B382="","",2*PI()*B382*'入力・概要'!$B$6/(299792458*'入力・概要'!$B$31))</f>
        <v/>
      </c>
      <c r="F382" s="195">
        <f>IF(B382="","",SINH(2*D382)/(COSH(2*D382)+COS(2*E382)))</f>
        <v/>
      </c>
      <c r="G382" s="195">
        <f>IF(B382="","",SIN(2*E382)/(COSH(2*D382)+COS(2*E382)))</f>
        <v/>
      </c>
      <c r="H382" s="195">
        <f>IF(B382="","",'入力・概要'!$B$34)</f>
        <v/>
      </c>
      <c r="I382" s="195">
        <f>IF(B382="","",C382*'入力・概要'!$B$35*1E-9)</f>
        <v/>
      </c>
      <c r="J382" s="195">
        <f>IF(B382="","",H382+'入力・概要'!$B$30*F382)</f>
        <v/>
      </c>
      <c r="K382" s="195">
        <f>IF(B382="","",I382+'入力・概要'!$B$30*G382)</f>
        <v/>
      </c>
      <c r="L382" s="195">
        <f>IF(B382="","",'入力・概要'!$B$30+H382*F382-I382*G382)</f>
        <v/>
      </c>
      <c r="M382" s="195">
        <f>IF(B382="","",H382*G382+I382*F382)</f>
        <v/>
      </c>
      <c r="N382" s="195">
        <f>IF(B382="","",'入力・概要'!$B$30*(J382*L382+K382*M382)/(L382^2+M382^2))</f>
        <v/>
      </c>
      <c r="O382" s="195">
        <f>IF(B382="","",'入力・概要'!$B$30*(K382*L382-J382*M382)/(L382^2+M382^2))</f>
        <v/>
      </c>
      <c r="P382" s="195">
        <f>IF(B382="","",N382+'入力・概要'!$B$36)</f>
        <v/>
      </c>
      <c r="Q382" s="195">
        <f>IF(B382="","",O382+C382*'入力・概要'!$B$37*1E-9)</f>
        <v/>
      </c>
      <c r="R382" s="195">
        <f>IF(B382="","",SQRT(P382^2+Q382^2))</f>
        <v/>
      </c>
      <c r="S382" s="195">
        <f>IF(B382="","",IF(P382&gt;0,DEGREES(ATAN(Q382/P382)),IF(P382&lt;0,IF(Q382&gt;=0,DEGREES(ATAN(Q382/P382))+180,DEGREES(ATAN(Q382/P382))-180),IF(Q382&gt;0,90,IF(Q382&lt;0,-90,0)))))</f>
        <v/>
      </c>
      <c r="T382" s="195">
        <f>IF(B382="","",LOG10(B382))</f>
        <v/>
      </c>
      <c r="U382" s="195">
        <f>IF(R382="","",LOG10(MAX(R382,1E-12)))</f>
        <v/>
      </c>
    </row>
    <row r="383">
      <c r="A383" t="n">
        <v>380</v>
      </c>
      <c r="B383" s="196">
        <f>IF(A383&lt;='入力・概要'!$B$40,10^(LOG10('入力・概要'!$B$38)+(A383-1)*(LOG10('入力・概要'!$B$39)-LOG10('入力・概要'!$B$38))/('入力・概要'!$B$40-1)),"")</f>
        <v/>
      </c>
      <c r="C383" s="195">
        <f>IF(B383="","",2*PI()*B383)</f>
        <v/>
      </c>
      <c r="D383" s="195">
        <f>IF(B383="","",ATANH(MIN(0.999999,(2*'入力・概要'!$B$17*'入力・概要'!$B$6)/'入力・概要'!$B$30))+'入力・概要'!$B$33*SQRT(B383/1E6)+(2*PI()*B383*'入力・概要'!$B$6/(299792458*'入力・概要'!$B$31))*'入力・概要'!$B$32/2)</f>
        <v/>
      </c>
      <c r="E383" s="195">
        <f>IF(B383="","",2*PI()*B383*'入力・概要'!$B$6/(299792458*'入力・概要'!$B$31))</f>
        <v/>
      </c>
      <c r="F383" s="195">
        <f>IF(B383="","",SINH(2*D383)/(COSH(2*D383)+COS(2*E383)))</f>
        <v/>
      </c>
      <c r="G383" s="195">
        <f>IF(B383="","",SIN(2*E383)/(COSH(2*D383)+COS(2*E383)))</f>
        <v/>
      </c>
      <c r="H383" s="195">
        <f>IF(B383="","",'入力・概要'!$B$34)</f>
        <v/>
      </c>
      <c r="I383" s="195">
        <f>IF(B383="","",C383*'入力・概要'!$B$35*1E-9)</f>
        <v/>
      </c>
      <c r="J383" s="195">
        <f>IF(B383="","",H383+'入力・概要'!$B$30*F383)</f>
        <v/>
      </c>
      <c r="K383" s="195">
        <f>IF(B383="","",I383+'入力・概要'!$B$30*G383)</f>
        <v/>
      </c>
      <c r="L383" s="195">
        <f>IF(B383="","",'入力・概要'!$B$30+H383*F383-I383*G383)</f>
        <v/>
      </c>
      <c r="M383" s="195">
        <f>IF(B383="","",H383*G383+I383*F383)</f>
        <v/>
      </c>
      <c r="N383" s="195">
        <f>IF(B383="","",'入力・概要'!$B$30*(J383*L383+K383*M383)/(L383^2+M383^2))</f>
        <v/>
      </c>
      <c r="O383" s="195">
        <f>IF(B383="","",'入力・概要'!$B$30*(K383*L383-J383*M383)/(L383^2+M383^2))</f>
        <v/>
      </c>
      <c r="P383" s="195">
        <f>IF(B383="","",N383+'入力・概要'!$B$36)</f>
        <v/>
      </c>
      <c r="Q383" s="195">
        <f>IF(B383="","",O383+C383*'入力・概要'!$B$37*1E-9)</f>
        <v/>
      </c>
      <c r="R383" s="195">
        <f>IF(B383="","",SQRT(P383^2+Q383^2))</f>
        <v/>
      </c>
      <c r="S383" s="195">
        <f>IF(B383="","",IF(P383&gt;0,DEGREES(ATAN(Q383/P383)),IF(P383&lt;0,IF(Q383&gt;=0,DEGREES(ATAN(Q383/P383))+180,DEGREES(ATAN(Q383/P383))-180),IF(Q383&gt;0,90,IF(Q383&lt;0,-90,0)))))</f>
        <v/>
      </c>
      <c r="T383" s="195">
        <f>IF(B383="","",LOG10(B383))</f>
        <v/>
      </c>
      <c r="U383" s="195">
        <f>IF(R383="","",LOG10(MAX(R383,1E-12)))</f>
        <v/>
      </c>
    </row>
    <row r="384">
      <c r="A384" t="n">
        <v>381</v>
      </c>
      <c r="B384" s="196">
        <f>IF(A384&lt;='入力・概要'!$B$40,10^(LOG10('入力・概要'!$B$38)+(A384-1)*(LOG10('入力・概要'!$B$39)-LOG10('入力・概要'!$B$38))/('入力・概要'!$B$40-1)),"")</f>
        <v/>
      </c>
      <c r="C384" s="195">
        <f>IF(B384="","",2*PI()*B384)</f>
        <v/>
      </c>
      <c r="D384" s="195">
        <f>IF(B384="","",ATANH(MIN(0.999999,(2*'入力・概要'!$B$17*'入力・概要'!$B$6)/'入力・概要'!$B$30))+'入力・概要'!$B$33*SQRT(B384/1E6)+(2*PI()*B384*'入力・概要'!$B$6/(299792458*'入力・概要'!$B$31))*'入力・概要'!$B$32/2)</f>
        <v/>
      </c>
      <c r="E384" s="195">
        <f>IF(B384="","",2*PI()*B384*'入力・概要'!$B$6/(299792458*'入力・概要'!$B$31))</f>
        <v/>
      </c>
      <c r="F384" s="195">
        <f>IF(B384="","",SINH(2*D384)/(COSH(2*D384)+COS(2*E384)))</f>
        <v/>
      </c>
      <c r="G384" s="195">
        <f>IF(B384="","",SIN(2*E384)/(COSH(2*D384)+COS(2*E384)))</f>
        <v/>
      </c>
      <c r="H384" s="195">
        <f>IF(B384="","",'入力・概要'!$B$34)</f>
        <v/>
      </c>
      <c r="I384" s="195">
        <f>IF(B384="","",C384*'入力・概要'!$B$35*1E-9)</f>
        <v/>
      </c>
      <c r="J384" s="195">
        <f>IF(B384="","",H384+'入力・概要'!$B$30*F384)</f>
        <v/>
      </c>
      <c r="K384" s="195">
        <f>IF(B384="","",I384+'入力・概要'!$B$30*G384)</f>
        <v/>
      </c>
      <c r="L384" s="195">
        <f>IF(B384="","",'入力・概要'!$B$30+H384*F384-I384*G384)</f>
        <v/>
      </c>
      <c r="M384" s="195">
        <f>IF(B384="","",H384*G384+I384*F384)</f>
        <v/>
      </c>
      <c r="N384" s="195">
        <f>IF(B384="","",'入力・概要'!$B$30*(J384*L384+K384*M384)/(L384^2+M384^2))</f>
        <v/>
      </c>
      <c r="O384" s="195">
        <f>IF(B384="","",'入力・概要'!$B$30*(K384*L384-J384*M384)/(L384^2+M384^2))</f>
        <v/>
      </c>
      <c r="P384" s="195">
        <f>IF(B384="","",N384+'入力・概要'!$B$36)</f>
        <v/>
      </c>
      <c r="Q384" s="195">
        <f>IF(B384="","",O384+C384*'入力・概要'!$B$37*1E-9)</f>
        <v/>
      </c>
      <c r="R384" s="195">
        <f>IF(B384="","",SQRT(P384^2+Q384^2))</f>
        <v/>
      </c>
      <c r="S384" s="195">
        <f>IF(B384="","",IF(P384&gt;0,DEGREES(ATAN(Q384/P384)),IF(P384&lt;0,IF(Q384&gt;=0,DEGREES(ATAN(Q384/P384))+180,DEGREES(ATAN(Q384/P384))-180),IF(Q384&gt;0,90,IF(Q384&lt;0,-90,0)))))</f>
        <v/>
      </c>
      <c r="T384" s="195">
        <f>IF(B384="","",LOG10(B384))</f>
        <v/>
      </c>
      <c r="U384" s="195">
        <f>IF(R384="","",LOG10(MAX(R384,1E-12)))</f>
        <v/>
      </c>
    </row>
    <row r="385">
      <c r="A385" t="n">
        <v>382</v>
      </c>
      <c r="B385" s="196">
        <f>IF(A385&lt;='入力・概要'!$B$40,10^(LOG10('入力・概要'!$B$38)+(A385-1)*(LOG10('入力・概要'!$B$39)-LOG10('入力・概要'!$B$38))/('入力・概要'!$B$40-1)),"")</f>
        <v/>
      </c>
      <c r="C385" s="195">
        <f>IF(B385="","",2*PI()*B385)</f>
        <v/>
      </c>
      <c r="D385" s="195">
        <f>IF(B385="","",ATANH(MIN(0.999999,(2*'入力・概要'!$B$17*'入力・概要'!$B$6)/'入力・概要'!$B$30))+'入力・概要'!$B$33*SQRT(B385/1E6)+(2*PI()*B385*'入力・概要'!$B$6/(299792458*'入力・概要'!$B$31))*'入力・概要'!$B$32/2)</f>
        <v/>
      </c>
      <c r="E385" s="195">
        <f>IF(B385="","",2*PI()*B385*'入力・概要'!$B$6/(299792458*'入力・概要'!$B$31))</f>
        <v/>
      </c>
      <c r="F385" s="195">
        <f>IF(B385="","",SINH(2*D385)/(COSH(2*D385)+COS(2*E385)))</f>
        <v/>
      </c>
      <c r="G385" s="195">
        <f>IF(B385="","",SIN(2*E385)/(COSH(2*D385)+COS(2*E385)))</f>
        <v/>
      </c>
      <c r="H385" s="195">
        <f>IF(B385="","",'入力・概要'!$B$34)</f>
        <v/>
      </c>
      <c r="I385" s="195">
        <f>IF(B385="","",C385*'入力・概要'!$B$35*1E-9)</f>
        <v/>
      </c>
      <c r="J385" s="195">
        <f>IF(B385="","",H385+'入力・概要'!$B$30*F385)</f>
        <v/>
      </c>
      <c r="K385" s="195">
        <f>IF(B385="","",I385+'入力・概要'!$B$30*G385)</f>
        <v/>
      </c>
      <c r="L385" s="195">
        <f>IF(B385="","",'入力・概要'!$B$30+H385*F385-I385*G385)</f>
        <v/>
      </c>
      <c r="M385" s="195">
        <f>IF(B385="","",H385*G385+I385*F385)</f>
        <v/>
      </c>
      <c r="N385" s="195">
        <f>IF(B385="","",'入力・概要'!$B$30*(J385*L385+K385*M385)/(L385^2+M385^2))</f>
        <v/>
      </c>
      <c r="O385" s="195">
        <f>IF(B385="","",'入力・概要'!$B$30*(K385*L385-J385*M385)/(L385^2+M385^2))</f>
        <v/>
      </c>
      <c r="P385" s="195">
        <f>IF(B385="","",N385+'入力・概要'!$B$36)</f>
        <v/>
      </c>
      <c r="Q385" s="195">
        <f>IF(B385="","",O385+C385*'入力・概要'!$B$37*1E-9)</f>
        <v/>
      </c>
      <c r="R385" s="195">
        <f>IF(B385="","",SQRT(P385^2+Q385^2))</f>
        <v/>
      </c>
      <c r="S385" s="195">
        <f>IF(B385="","",IF(P385&gt;0,DEGREES(ATAN(Q385/P385)),IF(P385&lt;0,IF(Q385&gt;=0,DEGREES(ATAN(Q385/P385))+180,DEGREES(ATAN(Q385/P385))-180),IF(Q385&gt;0,90,IF(Q385&lt;0,-90,0)))))</f>
        <v/>
      </c>
      <c r="T385" s="195">
        <f>IF(B385="","",LOG10(B385))</f>
        <v/>
      </c>
      <c r="U385" s="195">
        <f>IF(R385="","",LOG10(MAX(R385,1E-12)))</f>
        <v/>
      </c>
    </row>
    <row r="386">
      <c r="A386" t="n">
        <v>383</v>
      </c>
      <c r="B386" s="196">
        <f>IF(A386&lt;='入力・概要'!$B$40,10^(LOG10('入力・概要'!$B$38)+(A386-1)*(LOG10('入力・概要'!$B$39)-LOG10('入力・概要'!$B$38))/('入力・概要'!$B$40-1)),"")</f>
        <v/>
      </c>
      <c r="C386" s="195">
        <f>IF(B386="","",2*PI()*B386)</f>
        <v/>
      </c>
      <c r="D386" s="195">
        <f>IF(B386="","",ATANH(MIN(0.999999,(2*'入力・概要'!$B$17*'入力・概要'!$B$6)/'入力・概要'!$B$30))+'入力・概要'!$B$33*SQRT(B386/1E6)+(2*PI()*B386*'入力・概要'!$B$6/(299792458*'入力・概要'!$B$31))*'入力・概要'!$B$32/2)</f>
        <v/>
      </c>
      <c r="E386" s="195">
        <f>IF(B386="","",2*PI()*B386*'入力・概要'!$B$6/(299792458*'入力・概要'!$B$31))</f>
        <v/>
      </c>
      <c r="F386" s="195">
        <f>IF(B386="","",SINH(2*D386)/(COSH(2*D386)+COS(2*E386)))</f>
        <v/>
      </c>
      <c r="G386" s="195">
        <f>IF(B386="","",SIN(2*E386)/(COSH(2*D386)+COS(2*E386)))</f>
        <v/>
      </c>
      <c r="H386" s="195">
        <f>IF(B386="","",'入力・概要'!$B$34)</f>
        <v/>
      </c>
      <c r="I386" s="195">
        <f>IF(B386="","",C386*'入力・概要'!$B$35*1E-9)</f>
        <v/>
      </c>
      <c r="J386" s="195">
        <f>IF(B386="","",H386+'入力・概要'!$B$30*F386)</f>
        <v/>
      </c>
      <c r="K386" s="195">
        <f>IF(B386="","",I386+'入力・概要'!$B$30*G386)</f>
        <v/>
      </c>
      <c r="L386" s="195">
        <f>IF(B386="","",'入力・概要'!$B$30+H386*F386-I386*G386)</f>
        <v/>
      </c>
      <c r="M386" s="195">
        <f>IF(B386="","",H386*G386+I386*F386)</f>
        <v/>
      </c>
      <c r="N386" s="195">
        <f>IF(B386="","",'入力・概要'!$B$30*(J386*L386+K386*M386)/(L386^2+M386^2))</f>
        <v/>
      </c>
      <c r="O386" s="195">
        <f>IF(B386="","",'入力・概要'!$B$30*(K386*L386-J386*M386)/(L386^2+M386^2))</f>
        <v/>
      </c>
      <c r="P386" s="195">
        <f>IF(B386="","",N386+'入力・概要'!$B$36)</f>
        <v/>
      </c>
      <c r="Q386" s="195">
        <f>IF(B386="","",O386+C386*'入力・概要'!$B$37*1E-9)</f>
        <v/>
      </c>
      <c r="R386" s="195">
        <f>IF(B386="","",SQRT(P386^2+Q386^2))</f>
        <v/>
      </c>
      <c r="S386" s="195">
        <f>IF(B386="","",IF(P386&gt;0,DEGREES(ATAN(Q386/P386)),IF(P386&lt;0,IF(Q386&gt;=0,DEGREES(ATAN(Q386/P386))+180,DEGREES(ATAN(Q386/P386))-180),IF(Q386&gt;0,90,IF(Q386&lt;0,-90,0)))))</f>
        <v/>
      </c>
      <c r="T386" s="195">
        <f>IF(B386="","",LOG10(B386))</f>
        <v/>
      </c>
      <c r="U386" s="195">
        <f>IF(R386="","",LOG10(MAX(R386,1E-12)))</f>
        <v/>
      </c>
    </row>
    <row r="387">
      <c r="A387" t="n">
        <v>384</v>
      </c>
      <c r="B387" s="196">
        <f>IF(A387&lt;='入力・概要'!$B$40,10^(LOG10('入力・概要'!$B$38)+(A387-1)*(LOG10('入力・概要'!$B$39)-LOG10('入力・概要'!$B$38))/('入力・概要'!$B$40-1)),"")</f>
        <v/>
      </c>
      <c r="C387" s="195">
        <f>IF(B387="","",2*PI()*B387)</f>
        <v/>
      </c>
      <c r="D387" s="195">
        <f>IF(B387="","",ATANH(MIN(0.999999,(2*'入力・概要'!$B$17*'入力・概要'!$B$6)/'入力・概要'!$B$30))+'入力・概要'!$B$33*SQRT(B387/1E6)+(2*PI()*B387*'入力・概要'!$B$6/(299792458*'入力・概要'!$B$31))*'入力・概要'!$B$32/2)</f>
        <v/>
      </c>
      <c r="E387" s="195">
        <f>IF(B387="","",2*PI()*B387*'入力・概要'!$B$6/(299792458*'入力・概要'!$B$31))</f>
        <v/>
      </c>
      <c r="F387" s="195">
        <f>IF(B387="","",SINH(2*D387)/(COSH(2*D387)+COS(2*E387)))</f>
        <v/>
      </c>
      <c r="G387" s="195">
        <f>IF(B387="","",SIN(2*E387)/(COSH(2*D387)+COS(2*E387)))</f>
        <v/>
      </c>
      <c r="H387" s="195">
        <f>IF(B387="","",'入力・概要'!$B$34)</f>
        <v/>
      </c>
      <c r="I387" s="195">
        <f>IF(B387="","",C387*'入力・概要'!$B$35*1E-9)</f>
        <v/>
      </c>
      <c r="J387" s="195">
        <f>IF(B387="","",H387+'入力・概要'!$B$30*F387)</f>
        <v/>
      </c>
      <c r="K387" s="195">
        <f>IF(B387="","",I387+'入力・概要'!$B$30*G387)</f>
        <v/>
      </c>
      <c r="L387" s="195">
        <f>IF(B387="","",'入力・概要'!$B$30+H387*F387-I387*G387)</f>
        <v/>
      </c>
      <c r="M387" s="195">
        <f>IF(B387="","",H387*G387+I387*F387)</f>
        <v/>
      </c>
      <c r="N387" s="195">
        <f>IF(B387="","",'入力・概要'!$B$30*(J387*L387+K387*M387)/(L387^2+M387^2))</f>
        <v/>
      </c>
      <c r="O387" s="195">
        <f>IF(B387="","",'入力・概要'!$B$30*(K387*L387-J387*M387)/(L387^2+M387^2))</f>
        <v/>
      </c>
      <c r="P387" s="195">
        <f>IF(B387="","",N387+'入力・概要'!$B$36)</f>
        <v/>
      </c>
      <c r="Q387" s="195">
        <f>IF(B387="","",O387+C387*'入力・概要'!$B$37*1E-9)</f>
        <v/>
      </c>
      <c r="R387" s="195">
        <f>IF(B387="","",SQRT(P387^2+Q387^2))</f>
        <v/>
      </c>
      <c r="S387" s="195">
        <f>IF(B387="","",IF(P387&gt;0,DEGREES(ATAN(Q387/P387)),IF(P387&lt;0,IF(Q387&gt;=0,DEGREES(ATAN(Q387/P387))+180,DEGREES(ATAN(Q387/P387))-180),IF(Q387&gt;0,90,IF(Q387&lt;0,-90,0)))))</f>
        <v/>
      </c>
      <c r="T387" s="195">
        <f>IF(B387="","",LOG10(B387))</f>
        <v/>
      </c>
      <c r="U387" s="195">
        <f>IF(R387="","",LOG10(MAX(R387,1E-12)))</f>
        <v/>
      </c>
    </row>
    <row r="388">
      <c r="A388" t="n">
        <v>385</v>
      </c>
      <c r="B388" s="196">
        <f>IF(A388&lt;='入力・概要'!$B$40,10^(LOG10('入力・概要'!$B$38)+(A388-1)*(LOG10('入力・概要'!$B$39)-LOG10('入力・概要'!$B$38))/('入力・概要'!$B$40-1)),"")</f>
        <v/>
      </c>
      <c r="C388" s="195">
        <f>IF(B388="","",2*PI()*B388)</f>
        <v/>
      </c>
      <c r="D388" s="195">
        <f>IF(B388="","",ATANH(MIN(0.999999,(2*'入力・概要'!$B$17*'入力・概要'!$B$6)/'入力・概要'!$B$30))+'入力・概要'!$B$33*SQRT(B388/1E6)+(2*PI()*B388*'入力・概要'!$B$6/(299792458*'入力・概要'!$B$31))*'入力・概要'!$B$32/2)</f>
        <v/>
      </c>
      <c r="E388" s="195">
        <f>IF(B388="","",2*PI()*B388*'入力・概要'!$B$6/(299792458*'入力・概要'!$B$31))</f>
        <v/>
      </c>
      <c r="F388" s="195">
        <f>IF(B388="","",SINH(2*D388)/(COSH(2*D388)+COS(2*E388)))</f>
        <v/>
      </c>
      <c r="G388" s="195">
        <f>IF(B388="","",SIN(2*E388)/(COSH(2*D388)+COS(2*E388)))</f>
        <v/>
      </c>
      <c r="H388" s="195">
        <f>IF(B388="","",'入力・概要'!$B$34)</f>
        <v/>
      </c>
      <c r="I388" s="195">
        <f>IF(B388="","",C388*'入力・概要'!$B$35*1E-9)</f>
        <v/>
      </c>
      <c r="J388" s="195">
        <f>IF(B388="","",H388+'入力・概要'!$B$30*F388)</f>
        <v/>
      </c>
      <c r="K388" s="195">
        <f>IF(B388="","",I388+'入力・概要'!$B$30*G388)</f>
        <v/>
      </c>
      <c r="L388" s="195">
        <f>IF(B388="","",'入力・概要'!$B$30+H388*F388-I388*G388)</f>
        <v/>
      </c>
      <c r="M388" s="195">
        <f>IF(B388="","",H388*G388+I388*F388)</f>
        <v/>
      </c>
      <c r="N388" s="195">
        <f>IF(B388="","",'入力・概要'!$B$30*(J388*L388+K388*M388)/(L388^2+M388^2))</f>
        <v/>
      </c>
      <c r="O388" s="195">
        <f>IF(B388="","",'入力・概要'!$B$30*(K388*L388-J388*M388)/(L388^2+M388^2))</f>
        <v/>
      </c>
      <c r="P388" s="195">
        <f>IF(B388="","",N388+'入力・概要'!$B$36)</f>
        <v/>
      </c>
      <c r="Q388" s="195">
        <f>IF(B388="","",O388+C388*'入力・概要'!$B$37*1E-9)</f>
        <v/>
      </c>
      <c r="R388" s="195">
        <f>IF(B388="","",SQRT(P388^2+Q388^2))</f>
        <v/>
      </c>
      <c r="S388" s="195">
        <f>IF(B388="","",IF(P388&gt;0,DEGREES(ATAN(Q388/P388)),IF(P388&lt;0,IF(Q388&gt;=0,DEGREES(ATAN(Q388/P388))+180,DEGREES(ATAN(Q388/P388))-180),IF(Q388&gt;0,90,IF(Q388&lt;0,-90,0)))))</f>
        <v/>
      </c>
      <c r="T388" s="195">
        <f>IF(B388="","",LOG10(B388))</f>
        <v/>
      </c>
      <c r="U388" s="195">
        <f>IF(R388="","",LOG10(MAX(R388,1E-12)))</f>
        <v/>
      </c>
    </row>
    <row r="389">
      <c r="A389" t="n">
        <v>386</v>
      </c>
      <c r="B389" s="196">
        <f>IF(A389&lt;='入力・概要'!$B$40,10^(LOG10('入力・概要'!$B$38)+(A389-1)*(LOG10('入力・概要'!$B$39)-LOG10('入力・概要'!$B$38))/('入力・概要'!$B$40-1)),"")</f>
        <v/>
      </c>
      <c r="C389" s="195">
        <f>IF(B389="","",2*PI()*B389)</f>
        <v/>
      </c>
      <c r="D389" s="195">
        <f>IF(B389="","",ATANH(MIN(0.999999,(2*'入力・概要'!$B$17*'入力・概要'!$B$6)/'入力・概要'!$B$30))+'入力・概要'!$B$33*SQRT(B389/1E6)+(2*PI()*B389*'入力・概要'!$B$6/(299792458*'入力・概要'!$B$31))*'入力・概要'!$B$32/2)</f>
        <v/>
      </c>
      <c r="E389" s="195">
        <f>IF(B389="","",2*PI()*B389*'入力・概要'!$B$6/(299792458*'入力・概要'!$B$31))</f>
        <v/>
      </c>
      <c r="F389" s="195">
        <f>IF(B389="","",SINH(2*D389)/(COSH(2*D389)+COS(2*E389)))</f>
        <v/>
      </c>
      <c r="G389" s="195">
        <f>IF(B389="","",SIN(2*E389)/(COSH(2*D389)+COS(2*E389)))</f>
        <v/>
      </c>
      <c r="H389" s="195">
        <f>IF(B389="","",'入力・概要'!$B$34)</f>
        <v/>
      </c>
      <c r="I389" s="195">
        <f>IF(B389="","",C389*'入力・概要'!$B$35*1E-9)</f>
        <v/>
      </c>
      <c r="J389" s="195">
        <f>IF(B389="","",H389+'入力・概要'!$B$30*F389)</f>
        <v/>
      </c>
      <c r="K389" s="195">
        <f>IF(B389="","",I389+'入力・概要'!$B$30*G389)</f>
        <v/>
      </c>
      <c r="L389" s="195">
        <f>IF(B389="","",'入力・概要'!$B$30+H389*F389-I389*G389)</f>
        <v/>
      </c>
      <c r="M389" s="195">
        <f>IF(B389="","",H389*G389+I389*F389)</f>
        <v/>
      </c>
      <c r="N389" s="195">
        <f>IF(B389="","",'入力・概要'!$B$30*(J389*L389+K389*M389)/(L389^2+M389^2))</f>
        <v/>
      </c>
      <c r="O389" s="195">
        <f>IF(B389="","",'入力・概要'!$B$30*(K389*L389-J389*M389)/(L389^2+M389^2))</f>
        <v/>
      </c>
      <c r="P389" s="195">
        <f>IF(B389="","",N389+'入力・概要'!$B$36)</f>
        <v/>
      </c>
      <c r="Q389" s="195">
        <f>IF(B389="","",O389+C389*'入力・概要'!$B$37*1E-9)</f>
        <v/>
      </c>
      <c r="R389" s="195">
        <f>IF(B389="","",SQRT(P389^2+Q389^2))</f>
        <v/>
      </c>
      <c r="S389" s="195">
        <f>IF(B389="","",IF(P389&gt;0,DEGREES(ATAN(Q389/P389)),IF(P389&lt;0,IF(Q389&gt;=0,DEGREES(ATAN(Q389/P389))+180,DEGREES(ATAN(Q389/P389))-180),IF(Q389&gt;0,90,IF(Q389&lt;0,-90,0)))))</f>
        <v/>
      </c>
      <c r="T389" s="195">
        <f>IF(B389="","",LOG10(B389))</f>
        <v/>
      </c>
      <c r="U389" s="195">
        <f>IF(R389="","",LOG10(MAX(R389,1E-12)))</f>
        <v/>
      </c>
    </row>
    <row r="390">
      <c r="A390" t="n">
        <v>387</v>
      </c>
      <c r="B390" s="196">
        <f>IF(A390&lt;='入力・概要'!$B$40,10^(LOG10('入力・概要'!$B$38)+(A390-1)*(LOG10('入力・概要'!$B$39)-LOG10('入力・概要'!$B$38))/('入力・概要'!$B$40-1)),"")</f>
        <v/>
      </c>
      <c r="C390" s="195">
        <f>IF(B390="","",2*PI()*B390)</f>
        <v/>
      </c>
      <c r="D390" s="195">
        <f>IF(B390="","",ATANH(MIN(0.999999,(2*'入力・概要'!$B$17*'入力・概要'!$B$6)/'入力・概要'!$B$30))+'入力・概要'!$B$33*SQRT(B390/1E6)+(2*PI()*B390*'入力・概要'!$B$6/(299792458*'入力・概要'!$B$31))*'入力・概要'!$B$32/2)</f>
        <v/>
      </c>
      <c r="E390" s="195">
        <f>IF(B390="","",2*PI()*B390*'入力・概要'!$B$6/(299792458*'入力・概要'!$B$31))</f>
        <v/>
      </c>
      <c r="F390" s="195">
        <f>IF(B390="","",SINH(2*D390)/(COSH(2*D390)+COS(2*E390)))</f>
        <v/>
      </c>
      <c r="G390" s="195">
        <f>IF(B390="","",SIN(2*E390)/(COSH(2*D390)+COS(2*E390)))</f>
        <v/>
      </c>
      <c r="H390" s="195">
        <f>IF(B390="","",'入力・概要'!$B$34)</f>
        <v/>
      </c>
      <c r="I390" s="195">
        <f>IF(B390="","",C390*'入力・概要'!$B$35*1E-9)</f>
        <v/>
      </c>
      <c r="J390" s="195">
        <f>IF(B390="","",H390+'入力・概要'!$B$30*F390)</f>
        <v/>
      </c>
      <c r="K390" s="195">
        <f>IF(B390="","",I390+'入力・概要'!$B$30*G390)</f>
        <v/>
      </c>
      <c r="L390" s="195">
        <f>IF(B390="","",'入力・概要'!$B$30+H390*F390-I390*G390)</f>
        <v/>
      </c>
      <c r="M390" s="195">
        <f>IF(B390="","",H390*G390+I390*F390)</f>
        <v/>
      </c>
      <c r="N390" s="195">
        <f>IF(B390="","",'入力・概要'!$B$30*(J390*L390+K390*M390)/(L390^2+M390^2))</f>
        <v/>
      </c>
      <c r="O390" s="195">
        <f>IF(B390="","",'入力・概要'!$B$30*(K390*L390-J390*M390)/(L390^2+M390^2))</f>
        <v/>
      </c>
      <c r="P390" s="195">
        <f>IF(B390="","",N390+'入力・概要'!$B$36)</f>
        <v/>
      </c>
      <c r="Q390" s="195">
        <f>IF(B390="","",O390+C390*'入力・概要'!$B$37*1E-9)</f>
        <v/>
      </c>
      <c r="R390" s="195">
        <f>IF(B390="","",SQRT(P390^2+Q390^2))</f>
        <v/>
      </c>
      <c r="S390" s="195">
        <f>IF(B390="","",IF(P390&gt;0,DEGREES(ATAN(Q390/P390)),IF(P390&lt;0,IF(Q390&gt;=0,DEGREES(ATAN(Q390/P390))+180,DEGREES(ATAN(Q390/P390))-180),IF(Q390&gt;0,90,IF(Q390&lt;0,-90,0)))))</f>
        <v/>
      </c>
      <c r="T390" s="195">
        <f>IF(B390="","",LOG10(B390))</f>
        <v/>
      </c>
      <c r="U390" s="195">
        <f>IF(R390="","",LOG10(MAX(R390,1E-12)))</f>
        <v/>
      </c>
    </row>
    <row r="391">
      <c r="A391" t="n">
        <v>388</v>
      </c>
      <c r="B391" s="196">
        <f>IF(A391&lt;='入力・概要'!$B$40,10^(LOG10('入力・概要'!$B$38)+(A391-1)*(LOG10('入力・概要'!$B$39)-LOG10('入力・概要'!$B$38))/('入力・概要'!$B$40-1)),"")</f>
        <v/>
      </c>
      <c r="C391" s="195">
        <f>IF(B391="","",2*PI()*B391)</f>
        <v/>
      </c>
      <c r="D391" s="195">
        <f>IF(B391="","",ATANH(MIN(0.999999,(2*'入力・概要'!$B$17*'入力・概要'!$B$6)/'入力・概要'!$B$30))+'入力・概要'!$B$33*SQRT(B391/1E6)+(2*PI()*B391*'入力・概要'!$B$6/(299792458*'入力・概要'!$B$31))*'入力・概要'!$B$32/2)</f>
        <v/>
      </c>
      <c r="E391" s="195">
        <f>IF(B391="","",2*PI()*B391*'入力・概要'!$B$6/(299792458*'入力・概要'!$B$31))</f>
        <v/>
      </c>
      <c r="F391" s="195">
        <f>IF(B391="","",SINH(2*D391)/(COSH(2*D391)+COS(2*E391)))</f>
        <v/>
      </c>
      <c r="G391" s="195">
        <f>IF(B391="","",SIN(2*E391)/(COSH(2*D391)+COS(2*E391)))</f>
        <v/>
      </c>
      <c r="H391" s="195">
        <f>IF(B391="","",'入力・概要'!$B$34)</f>
        <v/>
      </c>
      <c r="I391" s="195">
        <f>IF(B391="","",C391*'入力・概要'!$B$35*1E-9)</f>
        <v/>
      </c>
      <c r="J391" s="195">
        <f>IF(B391="","",H391+'入力・概要'!$B$30*F391)</f>
        <v/>
      </c>
      <c r="K391" s="195">
        <f>IF(B391="","",I391+'入力・概要'!$B$30*G391)</f>
        <v/>
      </c>
      <c r="L391" s="195">
        <f>IF(B391="","",'入力・概要'!$B$30+H391*F391-I391*G391)</f>
        <v/>
      </c>
      <c r="M391" s="195">
        <f>IF(B391="","",H391*G391+I391*F391)</f>
        <v/>
      </c>
      <c r="N391" s="195">
        <f>IF(B391="","",'入力・概要'!$B$30*(J391*L391+K391*M391)/(L391^2+M391^2))</f>
        <v/>
      </c>
      <c r="O391" s="195">
        <f>IF(B391="","",'入力・概要'!$B$30*(K391*L391-J391*M391)/(L391^2+M391^2))</f>
        <v/>
      </c>
      <c r="P391" s="195">
        <f>IF(B391="","",N391+'入力・概要'!$B$36)</f>
        <v/>
      </c>
      <c r="Q391" s="195">
        <f>IF(B391="","",O391+C391*'入力・概要'!$B$37*1E-9)</f>
        <v/>
      </c>
      <c r="R391" s="195">
        <f>IF(B391="","",SQRT(P391^2+Q391^2))</f>
        <v/>
      </c>
      <c r="S391" s="195">
        <f>IF(B391="","",IF(P391&gt;0,DEGREES(ATAN(Q391/P391)),IF(P391&lt;0,IF(Q391&gt;=0,DEGREES(ATAN(Q391/P391))+180,DEGREES(ATAN(Q391/P391))-180),IF(Q391&gt;0,90,IF(Q391&lt;0,-90,0)))))</f>
        <v/>
      </c>
      <c r="T391" s="195">
        <f>IF(B391="","",LOG10(B391))</f>
        <v/>
      </c>
      <c r="U391" s="195">
        <f>IF(R391="","",LOG10(MAX(R391,1E-12)))</f>
        <v/>
      </c>
    </row>
    <row r="392">
      <c r="A392" t="n">
        <v>389</v>
      </c>
      <c r="B392" s="196">
        <f>IF(A392&lt;='入力・概要'!$B$40,10^(LOG10('入力・概要'!$B$38)+(A392-1)*(LOG10('入力・概要'!$B$39)-LOG10('入力・概要'!$B$38))/('入力・概要'!$B$40-1)),"")</f>
        <v/>
      </c>
      <c r="C392" s="195">
        <f>IF(B392="","",2*PI()*B392)</f>
        <v/>
      </c>
      <c r="D392" s="195">
        <f>IF(B392="","",ATANH(MIN(0.999999,(2*'入力・概要'!$B$17*'入力・概要'!$B$6)/'入力・概要'!$B$30))+'入力・概要'!$B$33*SQRT(B392/1E6)+(2*PI()*B392*'入力・概要'!$B$6/(299792458*'入力・概要'!$B$31))*'入力・概要'!$B$32/2)</f>
        <v/>
      </c>
      <c r="E392" s="195">
        <f>IF(B392="","",2*PI()*B392*'入力・概要'!$B$6/(299792458*'入力・概要'!$B$31))</f>
        <v/>
      </c>
      <c r="F392" s="195">
        <f>IF(B392="","",SINH(2*D392)/(COSH(2*D392)+COS(2*E392)))</f>
        <v/>
      </c>
      <c r="G392" s="195">
        <f>IF(B392="","",SIN(2*E392)/(COSH(2*D392)+COS(2*E392)))</f>
        <v/>
      </c>
      <c r="H392" s="195">
        <f>IF(B392="","",'入力・概要'!$B$34)</f>
        <v/>
      </c>
      <c r="I392" s="195">
        <f>IF(B392="","",C392*'入力・概要'!$B$35*1E-9)</f>
        <v/>
      </c>
      <c r="J392" s="195">
        <f>IF(B392="","",H392+'入力・概要'!$B$30*F392)</f>
        <v/>
      </c>
      <c r="K392" s="195">
        <f>IF(B392="","",I392+'入力・概要'!$B$30*G392)</f>
        <v/>
      </c>
      <c r="L392" s="195">
        <f>IF(B392="","",'入力・概要'!$B$30+H392*F392-I392*G392)</f>
        <v/>
      </c>
      <c r="M392" s="195">
        <f>IF(B392="","",H392*G392+I392*F392)</f>
        <v/>
      </c>
      <c r="N392" s="195">
        <f>IF(B392="","",'入力・概要'!$B$30*(J392*L392+K392*M392)/(L392^2+M392^2))</f>
        <v/>
      </c>
      <c r="O392" s="195">
        <f>IF(B392="","",'入力・概要'!$B$30*(K392*L392-J392*M392)/(L392^2+M392^2))</f>
        <v/>
      </c>
      <c r="P392" s="195">
        <f>IF(B392="","",N392+'入力・概要'!$B$36)</f>
        <v/>
      </c>
      <c r="Q392" s="195">
        <f>IF(B392="","",O392+C392*'入力・概要'!$B$37*1E-9)</f>
        <v/>
      </c>
      <c r="R392" s="195">
        <f>IF(B392="","",SQRT(P392^2+Q392^2))</f>
        <v/>
      </c>
      <c r="S392" s="195">
        <f>IF(B392="","",IF(P392&gt;0,DEGREES(ATAN(Q392/P392)),IF(P392&lt;0,IF(Q392&gt;=0,DEGREES(ATAN(Q392/P392))+180,DEGREES(ATAN(Q392/P392))-180),IF(Q392&gt;0,90,IF(Q392&lt;0,-90,0)))))</f>
        <v/>
      </c>
      <c r="T392" s="195">
        <f>IF(B392="","",LOG10(B392))</f>
        <v/>
      </c>
      <c r="U392" s="195">
        <f>IF(R392="","",LOG10(MAX(R392,1E-12)))</f>
        <v/>
      </c>
    </row>
    <row r="393">
      <c r="A393" t="n">
        <v>390</v>
      </c>
      <c r="B393" s="196">
        <f>IF(A393&lt;='入力・概要'!$B$40,10^(LOG10('入力・概要'!$B$38)+(A393-1)*(LOG10('入力・概要'!$B$39)-LOG10('入力・概要'!$B$38))/('入力・概要'!$B$40-1)),"")</f>
        <v/>
      </c>
      <c r="C393" s="195">
        <f>IF(B393="","",2*PI()*B393)</f>
        <v/>
      </c>
      <c r="D393" s="195">
        <f>IF(B393="","",ATANH(MIN(0.999999,(2*'入力・概要'!$B$17*'入力・概要'!$B$6)/'入力・概要'!$B$30))+'入力・概要'!$B$33*SQRT(B393/1E6)+(2*PI()*B393*'入力・概要'!$B$6/(299792458*'入力・概要'!$B$31))*'入力・概要'!$B$32/2)</f>
        <v/>
      </c>
      <c r="E393" s="195">
        <f>IF(B393="","",2*PI()*B393*'入力・概要'!$B$6/(299792458*'入力・概要'!$B$31))</f>
        <v/>
      </c>
      <c r="F393" s="195">
        <f>IF(B393="","",SINH(2*D393)/(COSH(2*D393)+COS(2*E393)))</f>
        <v/>
      </c>
      <c r="G393" s="195">
        <f>IF(B393="","",SIN(2*E393)/(COSH(2*D393)+COS(2*E393)))</f>
        <v/>
      </c>
      <c r="H393" s="195">
        <f>IF(B393="","",'入力・概要'!$B$34)</f>
        <v/>
      </c>
      <c r="I393" s="195">
        <f>IF(B393="","",C393*'入力・概要'!$B$35*1E-9)</f>
        <v/>
      </c>
      <c r="J393" s="195">
        <f>IF(B393="","",H393+'入力・概要'!$B$30*F393)</f>
        <v/>
      </c>
      <c r="K393" s="195">
        <f>IF(B393="","",I393+'入力・概要'!$B$30*G393)</f>
        <v/>
      </c>
      <c r="L393" s="195">
        <f>IF(B393="","",'入力・概要'!$B$30+H393*F393-I393*G393)</f>
        <v/>
      </c>
      <c r="M393" s="195">
        <f>IF(B393="","",H393*G393+I393*F393)</f>
        <v/>
      </c>
      <c r="N393" s="195">
        <f>IF(B393="","",'入力・概要'!$B$30*(J393*L393+K393*M393)/(L393^2+M393^2))</f>
        <v/>
      </c>
      <c r="O393" s="195">
        <f>IF(B393="","",'入力・概要'!$B$30*(K393*L393-J393*M393)/(L393^2+M393^2))</f>
        <v/>
      </c>
      <c r="P393" s="195">
        <f>IF(B393="","",N393+'入力・概要'!$B$36)</f>
        <v/>
      </c>
      <c r="Q393" s="195">
        <f>IF(B393="","",O393+C393*'入力・概要'!$B$37*1E-9)</f>
        <v/>
      </c>
      <c r="R393" s="195">
        <f>IF(B393="","",SQRT(P393^2+Q393^2))</f>
        <v/>
      </c>
      <c r="S393" s="195">
        <f>IF(B393="","",IF(P393&gt;0,DEGREES(ATAN(Q393/P393)),IF(P393&lt;0,IF(Q393&gt;=0,DEGREES(ATAN(Q393/P393))+180,DEGREES(ATAN(Q393/P393))-180),IF(Q393&gt;0,90,IF(Q393&lt;0,-90,0)))))</f>
        <v/>
      </c>
      <c r="T393" s="195">
        <f>IF(B393="","",LOG10(B393))</f>
        <v/>
      </c>
      <c r="U393" s="195">
        <f>IF(R393="","",LOG10(MAX(R393,1E-12)))</f>
        <v/>
      </c>
    </row>
    <row r="394">
      <c r="A394" t="n">
        <v>391</v>
      </c>
      <c r="B394" s="196">
        <f>IF(A394&lt;='入力・概要'!$B$40,10^(LOG10('入力・概要'!$B$38)+(A394-1)*(LOG10('入力・概要'!$B$39)-LOG10('入力・概要'!$B$38))/('入力・概要'!$B$40-1)),"")</f>
        <v/>
      </c>
      <c r="C394" s="195">
        <f>IF(B394="","",2*PI()*B394)</f>
        <v/>
      </c>
      <c r="D394" s="195">
        <f>IF(B394="","",ATANH(MIN(0.999999,(2*'入力・概要'!$B$17*'入力・概要'!$B$6)/'入力・概要'!$B$30))+'入力・概要'!$B$33*SQRT(B394/1E6)+(2*PI()*B394*'入力・概要'!$B$6/(299792458*'入力・概要'!$B$31))*'入力・概要'!$B$32/2)</f>
        <v/>
      </c>
      <c r="E394" s="195">
        <f>IF(B394="","",2*PI()*B394*'入力・概要'!$B$6/(299792458*'入力・概要'!$B$31))</f>
        <v/>
      </c>
      <c r="F394" s="195">
        <f>IF(B394="","",SINH(2*D394)/(COSH(2*D394)+COS(2*E394)))</f>
        <v/>
      </c>
      <c r="G394" s="195">
        <f>IF(B394="","",SIN(2*E394)/(COSH(2*D394)+COS(2*E394)))</f>
        <v/>
      </c>
      <c r="H394" s="195">
        <f>IF(B394="","",'入力・概要'!$B$34)</f>
        <v/>
      </c>
      <c r="I394" s="195">
        <f>IF(B394="","",C394*'入力・概要'!$B$35*1E-9)</f>
        <v/>
      </c>
      <c r="J394" s="195">
        <f>IF(B394="","",H394+'入力・概要'!$B$30*F394)</f>
        <v/>
      </c>
      <c r="K394" s="195">
        <f>IF(B394="","",I394+'入力・概要'!$B$30*G394)</f>
        <v/>
      </c>
      <c r="L394" s="195">
        <f>IF(B394="","",'入力・概要'!$B$30+H394*F394-I394*G394)</f>
        <v/>
      </c>
      <c r="M394" s="195">
        <f>IF(B394="","",H394*G394+I394*F394)</f>
        <v/>
      </c>
      <c r="N394" s="195">
        <f>IF(B394="","",'入力・概要'!$B$30*(J394*L394+K394*M394)/(L394^2+M394^2))</f>
        <v/>
      </c>
      <c r="O394" s="195">
        <f>IF(B394="","",'入力・概要'!$B$30*(K394*L394-J394*M394)/(L394^2+M394^2))</f>
        <v/>
      </c>
      <c r="P394" s="195">
        <f>IF(B394="","",N394+'入力・概要'!$B$36)</f>
        <v/>
      </c>
      <c r="Q394" s="195">
        <f>IF(B394="","",O394+C394*'入力・概要'!$B$37*1E-9)</f>
        <v/>
      </c>
      <c r="R394" s="195">
        <f>IF(B394="","",SQRT(P394^2+Q394^2))</f>
        <v/>
      </c>
      <c r="S394" s="195">
        <f>IF(B394="","",IF(P394&gt;0,DEGREES(ATAN(Q394/P394)),IF(P394&lt;0,IF(Q394&gt;=0,DEGREES(ATAN(Q394/P394))+180,DEGREES(ATAN(Q394/P394))-180),IF(Q394&gt;0,90,IF(Q394&lt;0,-90,0)))))</f>
        <v/>
      </c>
      <c r="T394" s="195">
        <f>IF(B394="","",LOG10(B394))</f>
        <v/>
      </c>
      <c r="U394" s="195">
        <f>IF(R394="","",LOG10(MAX(R394,1E-12)))</f>
        <v/>
      </c>
    </row>
    <row r="395">
      <c r="A395" t="n">
        <v>392</v>
      </c>
      <c r="B395" s="196">
        <f>IF(A395&lt;='入力・概要'!$B$40,10^(LOG10('入力・概要'!$B$38)+(A395-1)*(LOG10('入力・概要'!$B$39)-LOG10('入力・概要'!$B$38))/('入力・概要'!$B$40-1)),"")</f>
        <v/>
      </c>
      <c r="C395" s="195">
        <f>IF(B395="","",2*PI()*B395)</f>
        <v/>
      </c>
      <c r="D395" s="195">
        <f>IF(B395="","",ATANH(MIN(0.999999,(2*'入力・概要'!$B$17*'入力・概要'!$B$6)/'入力・概要'!$B$30))+'入力・概要'!$B$33*SQRT(B395/1E6)+(2*PI()*B395*'入力・概要'!$B$6/(299792458*'入力・概要'!$B$31))*'入力・概要'!$B$32/2)</f>
        <v/>
      </c>
      <c r="E395" s="195">
        <f>IF(B395="","",2*PI()*B395*'入力・概要'!$B$6/(299792458*'入力・概要'!$B$31))</f>
        <v/>
      </c>
      <c r="F395" s="195">
        <f>IF(B395="","",SINH(2*D395)/(COSH(2*D395)+COS(2*E395)))</f>
        <v/>
      </c>
      <c r="G395" s="195">
        <f>IF(B395="","",SIN(2*E395)/(COSH(2*D395)+COS(2*E395)))</f>
        <v/>
      </c>
      <c r="H395" s="195">
        <f>IF(B395="","",'入力・概要'!$B$34)</f>
        <v/>
      </c>
      <c r="I395" s="195">
        <f>IF(B395="","",C395*'入力・概要'!$B$35*1E-9)</f>
        <v/>
      </c>
      <c r="J395" s="195">
        <f>IF(B395="","",H395+'入力・概要'!$B$30*F395)</f>
        <v/>
      </c>
      <c r="K395" s="195">
        <f>IF(B395="","",I395+'入力・概要'!$B$30*G395)</f>
        <v/>
      </c>
      <c r="L395" s="195">
        <f>IF(B395="","",'入力・概要'!$B$30+H395*F395-I395*G395)</f>
        <v/>
      </c>
      <c r="M395" s="195">
        <f>IF(B395="","",H395*G395+I395*F395)</f>
        <v/>
      </c>
      <c r="N395" s="195">
        <f>IF(B395="","",'入力・概要'!$B$30*(J395*L395+K395*M395)/(L395^2+M395^2))</f>
        <v/>
      </c>
      <c r="O395" s="195">
        <f>IF(B395="","",'入力・概要'!$B$30*(K395*L395-J395*M395)/(L395^2+M395^2))</f>
        <v/>
      </c>
      <c r="P395" s="195">
        <f>IF(B395="","",N395+'入力・概要'!$B$36)</f>
        <v/>
      </c>
      <c r="Q395" s="195">
        <f>IF(B395="","",O395+C395*'入力・概要'!$B$37*1E-9)</f>
        <v/>
      </c>
      <c r="R395" s="195">
        <f>IF(B395="","",SQRT(P395^2+Q395^2))</f>
        <v/>
      </c>
      <c r="S395" s="195">
        <f>IF(B395="","",IF(P395&gt;0,DEGREES(ATAN(Q395/P395)),IF(P395&lt;0,IF(Q395&gt;=0,DEGREES(ATAN(Q395/P395))+180,DEGREES(ATAN(Q395/P395))-180),IF(Q395&gt;0,90,IF(Q395&lt;0,-90,0)))))</f>
        <v/>
      </c>
      <c r="T395" s="195">
        <f>IF(B395="","",LOG10(B395))</f>
        <v/>
      </c>
      <c r="U395" s="195">
        <f>IF(R395="","",LOG10(MAX(R395,1E-12)))</f>
        <v/>
      </c>
    </row>
    <row r="396">
      <c r="A396" t="n">
        <v>393</v>
      </c>
      <c r="B396" s="196">
        <f>IF(A396&lt;='入力・概要'!$B$40,10^(LOG10('入力・概要'!$B$38)+(A396-1)*(LOG10('入力・概要'!$B$39)-LOG10('入力・概要'!$B$38))/('入力・概要'!$B$40-1)),"")</f>
        <v/>
      </c>
      <c r="C396" s="195">
        <f>IF(B396="","",2*PI()*B396)</f>
        <v/>
      </c>
      <c r="D396" s="195">
        <f>IF(B396="","",ATANH(MIN(0.999999,(2*'入力・概要'!$B$17*'入力・概要'!$B$6)/'入力・概要'!$B$30))+'入力・概要'!$B$33*SQRT(B396/1E6)+(2*PI()*B396*'入力・概要'!$B$6/(299792458*'入力・概要'!$B$31))*'入力・概要'!$B$32/2)</f>
        <v/>
      </c>
      <c r="E396" s="195">
        <f>IF(B396="","",2*PI()*B396*'入力・概要'!$B$6/(299792458*'入力・概要'!$B$31))</f>
        <v/>
      </c>
      <c r="F396" s="195">
        <f>IF(B396="","",SINH(2*D396)/(COSH(2*D396)+COS(2*E396)))</f>
        <v/>
      </c>
      <c r="G396" s="195">
        <f>IF(B396="","",SIN(2*E396)/(COSH(2*D396)+COS(2*E396)))</f>
        <v/>
      </c>
      <c r="H396" s="195">
        <f>IF(B396="","",'入力・概要'!$B$34)</f>
        <v/>
      </c>
      <c r="I396" s="195">
        <f>IF(B396="","",C396*'入力・概要'!$B$35*1E-9)</f>
        <v/>
      </c>
      <c r="J396" s="195">
        <f>IF(B396="","",H396+'入力・概要'!$B$30*F396)</f>
        <v/>
      </c>
      <c r="K396" s="195">
        <f>IF(B396="","",I396+'入力・概要'!$B$30*G396)</f>
        <v/>
      </c>
      <c r="L396" s="195">
        <f>IF(B396="","",'入力・概要'!$B$30+H396*F396-I396*G396)</f>
        <v/>
      </c>
      <c r="M396" s="195">
        <f>IF(B396="","",H396*G396+I396*F396)</f>
        <v/>
      </c>
      <c r="N396" s="195">
        <f>IF(B396="","",'入力・概要'!$B$30*(J396*L396+K396*M396)/(L396^2+M396^2))</f>
        <v/>
      </c>
      <c r="O396" s="195">
        <f>IF(B396="","",'入力・概要'!$B$30*(K396*L396-J396*M396)/(L396^2+M396^2))</f>
        <v/>
      </c>
      <c r="P396" s="195">
        <f>IF(B396="","",N396+'入力・概要'!$B$36)</f>
        <v/>
      </c>
      <c r="Q396" s="195">
        <f>IF(B396="","",O396+C396*'入力・概要'!$B$37*1E-9)</f>
        <v/>
      </c>
      <c r="R396" s="195">
        <f>IF(B396="","",SQRT(P396^2+Q396^2))</f>
        <v/>
      </c>
      <c r="S396" s="195">
        <f>IF(B396="","",IF(P396&gt;0,DEGREES(ATAN(Q396/P396)),IF(P396&lt;0,IF(Q396&gt;=0,DEGREES(ATAN(Q396/P396))+180,DEGREES(ATAN(Q396/P396))-180),IF(Q396&gt;0,90,IF(Q396&lt;0,-90,0)))))</f>
        <v/>
      </c>
      <c r="T396" s="195">
        <f>IF(B396="","",LOG10(B396))</f>
        <v/>
      </c>
      <c r="U396" s="195">
        <f>IF(R396="","",LOG10(MAX(R396,1E-12)))</f>
        <v/>
      </c>
    </row>
    <row r="397">
      <c r="A397" t="n">
        <v>394</v>
      </c>
      <c r="B397" s="196">
        <f>IF(A397&lt;='入力・概要'!$B$40,10^(LOG10('入力・概要'!$B$38)+(A397-1)*(LOG10('入力・概要'!$B$39)-LOG10('入力・概要'!$B$38))/('入力・概要'!$B$40-1)),"")</f>
        <v/>
      </c>
      <c r="C397" s="195">
        <f>IF(B397="","",2*PI()*B397)</f>
        <v/>
      </c>
      <c r="D397" s="195">
        <f>IF(B397="","",ATANH(MIN(0.999999,(2*'入力・概要'!$B$17*'入力・概要'!$B$6)/'入力・概要'!$B$30))+'入力・概要'!$B$33*SQRT(B397/1E6)+(2*PI()*B397*'入力・概要'!$B$6/(299792458*'入力・概要'!$B$31))*'入力・概要'!$B$32/2)</f>
        <v/>
      </c>
      <c r="E397" s="195">
        <f>IF(B397="","",2*PI()*B397*'入力・概要'!$B$6/(299792458*'入力・概要'!$B$31))</f>
        <v/>
      </c>
      <c r="F397" s="195">
        <f>IF(B397="","",SINH(2*D397)/(COSH(2*D397)+COS(2*E397)))</f>
        <v/>
      </c>
      <c r="G397" s="195">
        <f>IF(B397="","",SIN(2*E397)/(COSH(2*D397)+COS(2*E397)))</f>
        <v/>
      </c>
      <c r="H397" s="195">
        <f>IF(B397="","",'入力・概要'!$B$34)</f>
        <v/>
      </c>
      <c r="I397" s="195">
        <f>IF(B397="","",C397*'入力・概要'!$B$35*1E-9)</f>
        <v/>
      </c>
      <c r="J397" s="195">
        <f>IF(B397="","",H397+'入力・概要'!$B$30*F397)</f>
        <v/>
      </c>
      <c r="K397" s="195">
        <f>IF(B397="","",I397+'入力・概要'!$B$30*G397)</f>
        <v/>
      </c>
      <c r="L397" s="195">
        <f>IF(B397="","",'入力・概要'!$B$30+H397*F397-I397*G397)</f>
        <v/>
      </c>
      <c r="M397" s="195">
        <f>IF(B397="","",H397*G397+I397*F397)</f>
        <v/>
      </c>
      <c r="N397" s="195">
        <f>IF(B397="","",'入力・概要'!$B$30*(J397*L397+K397*M397)/(L397^2+M397^2))</f>
        <v/>
      </c>
      <c r="O397" s="195">
        <f>IF(B397="","",'入力・概要'!$B$30*(K397*L397-J397*M397)/(L397^2+M397^2))</f>
        <v/>
      </c>
      <c r="P397" s="195">
        <f>IF(B397="","",N397+'入力・概要'!$B$36)</f>
        <v/>
      </c>
      <c r="Q397" s="195">
        <f>IF(B397="","",O397+C397*'入力・概要'!$B$37*1E-9)</f>
        <v/>
      </c>
      <c r="R397" s="195">
        <f>IF(B397="","",SQRT(P397^2+Q397^2))</f>
        <v/>
      </c>
      <c r="S397" s="195">
        <f>IF(B397="","",IF(P397&gt;0,DEGREES(ATAN(Q397/P397)),IF(P397&lt;0,IF(Q397&gt;=0,DEGREES(ATAN(Q397/P397))+180,DEGREES(ATAN(Q397/P397))-180),IF(Q397&gt;0,90,IF(Q397&lt;0,-90,0)))))</f>
        <v/>
      </c>
      <c r="T397" s="195">
        <f>IF(B397="","",LOG10(B397))</f>
        <v/>
      </c>
      <c r="U397" s="195">
        <f>IF(R397="","",LOG10(MAX(R397,1E-12)))</f>
        <v/>
      </c>
    </row>
    <row r="398">
      <c r="A398" t="n">
        <v>395</v>
      </c>
      <c r="B398" s="196">
        <f>IF(A398&lt;='入力・概要'!$B$40,10^(LOG10('入力・概要'!$B$38)+(A398-1)*(LOG10('入力・概要'!$B$39)-LOG10('入力・概要'!$B$38))/('入力・概要'!$B$40-1)),"")</f>
        <v/>
      </c>
      <c r="C398" s="195">
        <f>IF(B398="","",2*PI()*B398)</f>
        <v/>
      </c>
      <c r="D398" s="195">
        <f>IF(B398="","",ATANH(MIN(0.999999,(2*'入力・概要'!$B$17*'入力・概要'!$B$6)/'入力・概要'!$B$30))+'入力・概要'!$B$33*SQRT(B398/1E6)+(2*PI()*B398*'入力・概要'!$B$6/(299792458*'入力・概要'!$B$31))*'入力・概要'!$B$32/2)</f>
        <v/>
      </c>
      <c r="E398" s="195">
        <f>IF(B398="","",2*PI()*B398*'入力・概要'!$B$6/(299792458*'入力・概要'!$B$31))</f>
        <v/>
      </c>
      <c r="F398" s="195">
        <f>IF(B398="","",SINH(2*D398)/(COSH(2*D398)+COS(2*E398)))</f>
        <v/>
      </c>
      <c r="G398" s="195">
        <f>IF(B398="","",SIN(2*E398)/(COSH(2*D398)+COS(2*E398)))</f>
        <v/>
      </c>
      <c r="H398" s="195">
        <f>IF(B398="","",'入力・概要'!$B$34)</f>
        <v/>
      </c>
      <c r="I398" s="195">
        <f>IF(B398="","",C398*'入力・概要'!$B$35*1E-9)</f>
        <v/>
      </c>
      <c r="J398" s="195">
        <f>IF(B398="","",H398+'入力・概要'!$B$30*F398)</f>
        <v/>
      </c>
      <c r="K398" s="195">
        <f>IF(B398="","",I398+'入力・概要'!$B$30*G398)</f>
        <v/>
      </c>
      <c r="L398" s="195">
        <f>IF(B398="","",'入力・概要'!$B$30+H398*F398-I398*G398)</f>
        <v/>
      </c>
      <c r="M398" s="195">
        <f>IF(B398="","",H398*G398+I398*F398)</f>
        <v/>
      </c>
      <c r="N398" s="195">
        <f>IF(B398="","",'入力・概要'!$B$30*(J398*L398+K398*M398)/(L398^2+M398^2))</f>
        <v/>
      </c>
      <c r="O398" s="195">
        <f>IF(B398="","",'入力・概要'!$B$30*(K398*L398-J398*M398)/(L398^2+M398^2))</f>
        <v/>
      </c>
      <c r="P398" s="195">
        <f>IF(B398="","",N398+'入力・概要'!$B$36)</f>
        <v/>
      </c>
      <c r="Q398" s="195">
        <f>IF(B398="","",O398+C398*'入力・概要'!$B$37*1E-9)</f>
        <v/>
      </c>
      <c r="R398" s="195">
        <f>IF(B398="","",SQRT(P398^2+Q398^2))</f>
        <v/>
      </c>
      <c r="S398" s="195">
        <f>IF(B398="","",IF(P398&gt;0,DEGREES(ATAN(Q398/P398)),IF(P398&lt;0,IF(Q398&gt;=0,DEGREES(ATAN(Q398/P398))+180,DEGREES(ATAN(Q398/P398))-180),IF(Q398&gt;0,90,IF(Q398&lt;0,-90,0)))))</f>
        <v/>
      </c>
      <c r="T398" s="195">
        <f>IF(B398="","",LOG10(B398))</f>
        <v/>
      </c>
      <c r="U398" s="195">
        <f>IF(R398="","",LOG10(MAX(R398,1E-12)))</f>
        <v/>
      </c>
    </row>
    <row r="399">
      <c r="A399" t="n">
        <v>396</v>
      </c>
      <c r="B399" s="196">
        <f>IF(A399&lt;='入力・概要'!$B$40,10^(LOG10('入力・概要'!$B$38)+(A399-1)*(LOG10('入力・概要'!$B$39)-LOG10('入力・概要'!$B$38))/('入力・概要'!$B$40-1)),"")</f>
        <v/>
      </c>
      <c r="C399" s="195">
        <f>IF(B399="","",2*PI()*B399)</f>
        <v/>
      </c>
      <c r="D399" s="195">
        <f>IF(B399="","",ATANH(MIN(0.999999,(2*'入力・概要'!$B$17*'入力・概要'!$B$6)/'入力・概要'!$B$30))+'入力・概要'!$B$33*SQRT(B399/1E6)+(2*PI()*B399*'入力・概要'!$B$6/(299792458*'入力・概要'!$B$31))*'入力・概要'!$B$32/2)</f>
        <v/>
      </c>
      <c r="E399" s="195">
        <f>IF(B399="","",2*PI()*B399*'入力・概要'!$B$6/(299792458*'入力・概要'!$B$31))</f>
        <v/>
      </c>
      <c r="F399" s="195">
        <f>IF(B399="","",SINH(2*D399)/(COSH(2*D399)+COS(2*E399)))</f>
        <v/>
      </c>
      <c r="G399" s="195">
        <f>IF(B399="","",SIN(2*E399)/(COSH(2*D399)+COS(2*E399)))</f>
        <v/>
      </c>
      <c r="H399" s="195">
        <f>IF(B399="","",'入力・概要'!$B$34)</f>
        <v/>
      </c>
      <c r="I399" s="195">
        <f>IF(B399="","",C399*'入力・概要'!$B$35*1E-9)</f>
        <v/>
      </c>
      <c r="J399" s="195">
        <f>IF(B399="","",H399+'入力・概要'!$B$30*F399)</f>
        <v/>
      </c>
      <c r="K399" s="195">
        <f>IF(B399="","",I399+'入力・概要'!$B$30*G399)</f>
        <v/>
      </c>
      <c r="L399" s="195">
        <f>IF(B399="","",'入力・概要'!$B$30+H399*F399-I399*G399)</f>
        <v/>
      </c>
      <c r="M399" s="195">
        <f>IF(B399="","",H399*G399+I399*F399)</f>
        <v/>
      </c>
      <c r="N399" s="195">
        <f>IF(B399="","",'入力・概要'!$B$30*(J399*L399+K399*M399)/(L399^2+M399^2))</f>
        <v/>
      </c>
      <c r="O399" s="195">
        <f>IF(B399="","",'入力・概要'!$B$30*(K399*L399-J399*M399)/(L399^2+M399^2))</f>
        <v/>
      </c>
      <c r="P399" s="195">
        <f>IF(B399="","",N399+'入力・概要'!$B$36)</f>
        <v/>
      </c>
      <c r="Q399" s="195">
        <f>IF(B399="","",O399+C399*'入力・概要'!$B$37*1E-9)</f>
        <v/>
      </c>
      <c r="R399" s="195">
        <f>IF(B399="","",SQRT(P399^2+Q399^2))</f>
        <v/>
      </c>
      <c r="S399" s="195">
        <f>IF(B399="","",IF(P399&gt;0,DEGREES(ATAN(Q399/P399)),IF(P399&lt;0,IF(Q399&gt;=0,DEGREES(ATAN(Q399/P399))+180,DEGREES(ATAN(Q399/P399))-180),IF(Q399&gt;0,90,IF(Q399&lt;0,-90,0)))))</f>
        <v/>
      </c>
      <c r="T399" s="195">
        <f>IF(B399="","",LOG10(B399))</f>
        <v/>
      </c>
      <c r="U399" s="195">
        <f>IF(R399="","",LOG10(MAX(R399,1E-12)))</f>
        <v/>
      </c>
    </row>
    <row r="400">
      <c r="A400" t="n">
        <v>397</v>
      </c>
      <c r="B400" s="196">
        <f>IF(A400&lt;='入力・概要'!$B$40,10^(LOG10('入力・概要'!$B$38)+(A400-1)*(LOG10('入力・概要'!$B$39)-LOG10('入力・概要'!$B$38))/('入力・概要'!$B$40-1)),"")</f>
        <v/>
      </c>
      <c r="C400" s="195">
        <f>IF(B400="","",2*PI()*B400)</f>
        <v/>
      </c>
      <c r="D400" s="195">
        <f>IF(B400="","",ATANH(MIN(0.999999,(2*'入力・概要'!$B$17*'入力・概要'!$B$6)/'入力・概要'!$B$30))+'入力・概要'!$B$33*SQRT(B400/1E6)+(2*PI()*B400*'入力・概要'!$B$6/(299792458*'入力・概要'!$B$31))*'入力・概要'!$B$32/2)</f>
        <v/>
      </c>
      <c r="E400" s="195">
        <f>IF(B400="","",2*PI()*B400*'入力・概要'!$B$6/(299792458*'入力・概要'!$B$31))</f>
        <v/>
      </c>
      <c r="F400" s="195">
        <f>IF(B400="","",SINH(2*D400)/(COSH(2*D400)+COS(2*E400)))</f>
        <v/>
      </c>
      <c r="G400" s="195">
        <f>IF(B400="","",SIN(2*E400)/(COSH(2*D400)+COS(2*E400)))</f>
        <v/>
      </c>
      <c r="H400" s="195">
        <f>IF(B400="","",'入力・概要'!$B$34)</f>
        <v/>
      </c>
      <c r="I400" s="195">
        <f>IF(B400="","",C400*'入力・概要'!$B$35*1E-9)</f>
        <v/>
      </c>
      <c r="J400" s="195">
        <f>IF(B400="","",H400+'入力・概要'!$B$30*F400)</f>
        <v/>
      </c>
      <c r="K400" s="195">
        <f>IF(B400="","",I400+'入力・概要'!$B$30*G400)</f>
        <v/>
      </c>
      <c r="L400" s="195">
        <f>IF(B400="","",'入力・概要'!$B$30+H400*F400-I400*G400)</f>
        <v/>
      </c>
      <c r="M400" s="195">
        <f>IF(B400="","",H400*G400+I400*F400)</f>
        <v/>
      </c>
      <c r="N400" s="195">
        <f>IF(B400="","",'入力・概要'!$B$30*(J400*L400+K400*M400)/(L400^2+M400^2))</f>
        <v/>
      </c>
      <c r="O400" s="195">
        <f>IF(B400="","",'入力・概要'!$B$30*(K400*L400-J400*M400)/(L400^2+M400^2))</f>
        <v/>
      </c>
      <c r="P400" s="195">
        <f>IF(B400="","",N400+'入力・概要'!$B$36)</f>
        <v/>
      </c>
      <c r="Q400" s="195">
        <f>IF(B400="","",O400+C400*'入力・概要'!$B$37*1E-9)</f>
        <v/>
      </c>
      <c r="R400" s="195">
        <f>IF(B400="","",SQRT(P400^2+Q400^2))</f>
        <v/>
      </c>
      <c r="S400" s="195">
        <f>IF(B400="","",IF(P400&gt;0,DEGREES(ATAN(Q400/P400)),IF(P400&lt;0,IF(Q400&gt;=0,DEGREES(ATAN(Q400/P400))+180,DEGREES(ATAN(Q400/P400))-180),IF(Q400&gt;0,90,IF(Q400&lt;0,-90,0)))))</f>
        <v/>
      </c>
      <c r="T400" s="195">
        <f>IF(B400="","",LOG10(B400))</f>
        <v/>
      </c>
      <c r="U400" s="195">
        <f>IF(R400="","",LOG10(MAX(R400,1E-12)))</f>
        <v/>
      </c>
    </row>
    <row r="401">
      <c r="A401" t="n">
        <v>398</v>
      </c>
      <c r="B401" s="196">
        <f>IF(A401&lt;='入力・概要'!$B$40,10^(LOG10('入力・概要'!$B$38)+(A401-1)*(LOG10('入力・概要'!$B$39)-LOG10('入力・概要'!$B$38))/('入力・概要'!$B$40-1)),"")</f>
        <v/>
      </c>
      <c r="C401" s="195">
        <f>IF(B401="","",2*PI()*B401)</f>
        <v/>
      </c>
      <c r="D401" s="195">
        <f>IF(B401="","",ATANH(MIN(0.999999,(2*'入力・概要'!$B$17*'入力・概要'!$B$6)/'入力・概要'!$B$30))+'入力・概要'!$B$33*SQRT(B401/1E6)+(2*PI()*B401*'入力・概要'!$B$6/(299792458*'入力・概要'!$B$31))*'入力・概要'!$B$32/2)</f>
        <v/>
      </c>
      <c r="E401" s="195">
        <f>IF(B401="","",2*PI()*B401*'入力・概要'!$B$6/(299792458*'入力・概要'!$B$31))</f>
        <v/>
      </c>
      <c r="F401" s="195">
        <f>IF(B401="","",SINH(2*D401)/(COSH(2*D401)+COS(2*E401)))</f>
        <v/>
      </c>
      <c r="G401" s="195">
        <f>IF(B401="","",SIN(2*E401)/(COSH(2*D401)+COS(2*E401)))</f>
        <v/>
      </c>
      <c r="H401" s="195">
        <f>IF(B401="","",'入力・概要'!$B$34)</f>
        <v/>
      </c>
      <c r="I401" s="195">
        <f>IF(B401="","",C401*'入力・概要'!$B$35*1E-9)</f>
        <v/>
      </c>
      <c r="J401" s="195">
        <f>IF(B401="","",H401+'入力・概要'!$B$30*F401)</f>
        <v/>
      </c>
      <c r="K401" s="195">
        <f>IF(B401="","",I401+'入力・概要'!$B$30*G401)</f>
        <v/>
      </c>
      <c r="L401" s="195">
        <f>IF(B401="","",'入力・概要'!$B$30+H401*F401-I401*G401)</f>
        <v/>
      </c>
      <c r="M401" s="195">
        <f>IF(B401="","",H401*G401+I401*F401)</f>
        <v/>
      </c>
      <c r="N401" s="195">
        <f>IF(B401="","",'入力・概要'!$B$30*(J401*L401+K401*M401)/(L401^2+M401^2))</f>
        <v/>
      </c>
      <c r="O401" s="195">
        <f>IF(B401="","",'入力・概要'!$B$30*(K401*L401-J401*M401)/(L401^2+M401^2))</f>
        <v/>
      </c>
      <c r="P401" s="195">
        <f>IF(B401="","",N401+'入力・概要'!$B$36)</f>
        <v/>
      </c>
      <c r="Q401" s="195">
        <f>IF(B401="","",O401+C401*'入力・概要'!$B$37*1E-9)</f>
        <v/>
      </c>
      <c r="R401" s="195">
        <f>IF(B401="","",SQRT(P401^2+Q401^2))</f>
        <v/>
      </c>
      <c r="S401" s="195">
        <f>IF(B401="","",IF(P401&gt;0,DEGREES(ATAN(Q401/P401)),IF(P401&lt;0,IF(Q401&gt;=0,DEGREES(ATAN(Q401/P401))+180,DEGREES(ATAN(Q401/P401))-180),IF(Q401&gt;0,90,IF(Q401&lt;0,-90,0)))))</f>
        <v/>
      </c>
      <c r="T401" s="195">
        <f>IF(B401="","",LOG10(B401))</f>
        <v/>
      </c>
      <c r="U401" s="195">
        <f>IF(R401="","",LOG10(MAX(R401,1E-12)))</f>
        <v/>
      </c>
    </row>
    <row r="402">
      <c r="A402" t="n">
        <v>399</v>
      </c>
      <c r="B402" s="196">
        <f>IF(A402&lt;='入力・概要'!$B$40,10^(LOG10('入力・概要'!$B$38)+(A402-1)*(LOG10('入力・概要'!$B$39)-LOG10('入力・概要'!$B$38))/('入力・概要'!$B$40-1)),"")</f>
        <v/>
      </c>
      <c r="C402" s="195">
        <f>IF(B402="","",2*PI()*B402)</f>
        <v/>
      </c>
      <c r="D402" s="195">
        <f>IF(B402="","",ATANH(MIN(0.999999,(2*'入力・概要'!$B$17*'入力・概要'!$B$6)/'入力・概要'!$B$30))+'入力・概要'!$B$33*SQRT(B402/1E6)+(2*PI()*B402*'入力・概要'!$B$6/(299792458*'入力・概要'!$B$31))*'入力・概要'!$B$32/2)</f>
        <v/>
      </c>
      <c r="E402" s="195">
        <f>IF(B402="","",2*PI()*B402*'入力・概要'!$B$6/(299792458*'入力・概要'!$B$31))</f>
        <v/>
      </c>
      <c r="F402" s="195">
        <f>IF(B402="","",SINH(2*D402)/(COSH(2*D402)+COS(2*E402)))</f>
        <v/>
      </c>
      <c r="G402" s="195">
        <f>IF(B402="","",SIN(2*E402)/(COSH(2*D402)+COS(2*E402)))</f>
        <v/>
      </c>
      <c r="H402" s="195">
        <f>IF(B402="","",'入力・概要'!$B$34)</f>
        <v/>
      </c>
      <c r="I402" s="195">
        <f>IF(B402="","",C402*'入力・概要'!$B$35*1E-9)</f>
        <v/>
      </c>
      <c r="J402" s="195">
        <f>IF(B402="","",H402+'入力・概要'!$B$30*F402)</f>
        <v/>
      </c>
      <c r="K402" s="195">
        <f>IF(B402="","",I402+'入力・概要'!$B$30*G402)</f>
        <v/>
      </c>
      <c r="L402" s="195">
        <f>IF(B402="","",'入力・概要'!$B$30+H402*F402-I402*G402)</f>
        <v/>
      </c>
      <c r="M402" s="195">
        <f>IF(B402="","",H402*G402+I402*F402)</f>
        <v/>
      </c>
      <c r="N402" s="195">
        <f>IF(B402="","",'入力・概要'!$B$30*(J402*L402+K402*M402)/(L402^2+M402^2))</f>
        <v/>
      </c>
      <c r="O402" s="195">
        <f>IF(B402="","",'入力・概要'!$B$30*(K402*L402-J402*M402)/(L402^2+M402^2))</f>
        <v/>
      </c>
      <c r="P402" s="195">
        <f>IF(B402="","",N402+'入力・概要'!$B$36)</f>
        <v/>
      </c>
      <c r="Q402" s="195">
        <f>IF(B402="","",O402+C402*'入力・概要'!$B$37*1E-9)</f>
        <v/>
      </c>
      <c r="R402" s="195">
        <f>IF(B402="","",SQRT(P402^2+Q402^2))</f>
        <v/>
      </c>
      <c r="S402" s="195">
        <f>IF(B402="","",IF(P402&gt;0,DEGREES(ATAN(Q402/P402)),IF(P402&lt;0,IF(Q402&gt;=0,DEGREES(ATAN(Q402/P402))+180,DEGREES(ATAN(Q402/P402))-180),IF(Q402&gt;0,90,IF(Q402&lt;0,-90,0)))))</f>
        <v/>
      </c>
      <c r="T402" s="195">
        <f>IF(B402="","",LOG10(B402))</f>
        <v/>
      </c>
      <c r="U402" s="195">
        <f>IF(R402="","",LOG10(MAX(R402,1E-12)))</f>
        <v/>
      </c>
    </row>
    <row r="403">
      <c r="A403" t="n">
        <v>400</v>
      </c>
      <c r="B403" s="196">
        <f>IF(A403&lt;='入力・概要'!$B$40,10^(LOG10('入力・概要'!$B$38)+(A403-1)*(LOG10('入力・概要'!$B$39)-LOG10('入力・概要'!$B$38))/('入力・概要'!$B$40-1)),"")</f>
        <v/>
      </c>
      <c r="C403" s="195">
        <f>IF(B403="","",2*PI()*B403)</f>
        <v/>
      </c>
      <c r="D403" s="195">
        <f>IF(B403="","",ATANH(MIN(0.999999,(2*'入力・概要'!$B$17*'入力・概要'!$B$6)/'入力・概要'!$B$30))+'入力・概要'!$B$33*SQRT(B403/1E6)+(2*PI()*B403*'入力・概要'!$B$6/(299792458*'入力・概要'!$B$31))*'入力・概要'!$B$32/2)</f>
        <v/>
      </c>
      <c r="E403" s="195">
        <f>IF(B403="","",2*PI()*B403*'入力・概要'!$B$6/(299792458*'入力・概要'!$B$31))</f>
        <v/>
      </c>
      <c r="F403" s="195">
        <f>IF(B403="","",SINH(2*D403)/(COSH(2*D403)+COS(2*E403)))</f>
        <v/>
      </c>
      <c r="G403" s="195">
        <f>IF(B403="","",SIN(2*E403)/(COSH(2*D403)+COS(2*E403)))</f>
        <v/>
      </c>
      <c r="H403" s="195">
        <f>IF(B403="","",'入力・概要'!$B$34)</f>
        <v/>
      </c>
      <c r="I403" s="195">
        <f>IF(B403="","",C403*'入力・概要'!$B$35*1E-9)</f>
        <v/>
      </c>
      <c r="J403" s="195">
        <f>IF(B403="","",H403+'入力・概要'!$B$30*F403)</f>
        <v/>
      </c>
      <c r="K403" s="195">
        <f>IF(B403="","",I403+'入力・概要'!$B$30*G403)</f>
        <v/>
      </c>
      <c r="L403" s="195">
        <f>IF(B403="","",'入力・概要'!$B$30+H403*F403-I403*G403)</f>
        <v/>
      </c>
      <c r="M403" s="195">
        <f>IF(B403="","",H403*G403+I403*F403)</f>
        <v/>
      </c>
      <c r="N403" s="195">
        <f>IF(B403="","",'入力・概要'!$B$30*(J403*L403+K403*M403)/(L403^2+M403^2))</f>
        <v/>
      </c>
      <c r="O403" s="195">
        <f>IF(B403="","",'入力・概要'!$B$30*(K403*L403-J403*M403)/(L403^2+M403^2))</f>
        <v/>
      </c>
      <c r="P403" s="195">
        <f>IF(B403="","",N403+'入力・概要'!$B$36)</f>
        <v/>
      </c>
      <c r="Q403" s="195">
        <f>IF(B403="","",O403+C403*'入力・概要'!$B$37*1E-9)</f>
        <v/>
      </c>
      <c r="R403" s="195">
        <f>IF(B403="","",SQRT(P403^2+Q403^2))</f>
        <v/>
      </c>
      <c r="S403" s="195">
        <f>IF(B403="","",IF(P403&gt;0,DEGREES(ATAN(Q403/P403)),IF(P403&lt;0,IF(Q403&gt;=0,DEGREES(ATAN(Q403/P403))+180,DEGREES(ATAN(Q403/P403))-180),IF(Q403&gt;0,90,IF(Q403&lt;0,-90,0)))))</f>
        <v/>
      </c>
      <c r="T403" s="195">
        <f>IF(B403="","",LOG10(B403))</f>
        <v/>
      </c>
      <c r="U403" s="195">
        <f>IF(R403="","",LOG10(MAX(R403,1E-12)))</f>
        <v/>
      </c>
    </row>
    <row r="404">
      <c r="A404" t="n">
        <v>401</v>
      </c>
      <c r="B404" s="196">
        <f>IF(A404&lt;='入力・概要'!$B$40,10^(LOG10('入力・概要'!$B$38)+(A404-1)*(LOG10('入力・概要'!$B$39)-LOG10('入力・概要'!$B$38))/('入力・概要'!$B$40-1)),"")</f>
        <v/>
      </c>
      <c r="C404" s="195">
        <f>IF(B404="","",2*PI()*B404)</f>
        <v/>
      </c>
      <c r="D404" s="195">
        <f>IF(B404="","",ATANH(MIN(0.999999,(2*'入力・概要'!$B$17*'入力・概要'!$B$6)/'入力・概要'!$B$30))+'入力・概要'!$B$33*SQRT(B404/1E6)+(2*PI()*B404*'入力・概要'!$B$6/(299792458*'入力・概要'!$B$31))*'入力・概要'!$B$32/2)</f>
        <v/>
      </c>
      <c r="E404" s="195">
        <f>IF(B404="","",2*PI()*B404*'入力・概要'!$B$6/(299792458*'入力・概要'!$B$31))</f>
        <v/>
      </c>
      <c r="F404" s="195">
        <f>IF(B404="","",SINH(2*D404)/(COSH(2*D404)+COS(2*E404)))</f>
        <v/>
      </c>
      <c r="G404" s="195">
        <f>IF(B404="","",SIN(2*E404)/(COSH(2*D404)+COS(2*E404)))</f>
        <v/>
      </c>
      <c r="H404" s="195">
        <f>IF(B404="","",'入力・概要'!$B$34)</f>
        <v/>
      </c>
      <c r="I404" s="195">
        <f>IF(B404="","",C404*'入力・概要'!$B$35*1E-9)</f>
        <v/>
      </c>
      <c r="J404" s="195">
        <f>IF(B404="","",H404+'入力・概要'!$B$30*F404)</f>
        <v/>
      </c>
      <c r="K404" s="195">
        <f>IF(B404="","",I404+'入力・概要'!$B$30*G404)</f>
        <v/>
      </c>
      <c r="L404" s="195">
        <f>IF(B404="","",'入力・概要'!$B$30+H404*F404-I404*G404)</f>
        <v/>
      </c>
      <c r="M404" s="195">
        <f>IF(B404="","",H404*G404+I404*F404)</f>
        <v/>
      </c>
      <c r="N404" s="195">
        <f>IF(B404="","",'入力・概要'!$B$30*(J404*L404+K404*M404)/(L404^2+M404^2))</f>
        <v/>
      </c>
      <c r="O404" s="195">
        <f>IF(B404="","",'入力・概要'!$B$30*(K404*L404-J404*M404)/(L404^2+M404^2))</f>
        <v/>
      </c>
      <c r="P404" s="195">
        <f>IF(B404="","",N404+'入力・概要'!$B$36)</f>
        <v/>
      </c>
      <c r="Q404" s="195">
        <f>IF(B404="","",O404+C404*'入力・概要'!$B$37*1E-9)</f>
        <v/>
      </c>
      <c r="R404" s="195">
        <f>IF(B404="","",SQRT(P404^2+Q404^2))</f>
        <v/>
      </c>
      <c r="S404" s="195">
        <f>IF(B404="","",IF(P404&gt;0,DEGREES(ATAN(Q404/P404)),IF(P404&lt;0,IF(Q404&gt;=0,DEGREES(ATAN(Q404/P404))+180,DEGREES(ATAN(Q404/P404))-180),IF(Q404&gt;0,90,IF(Q404&lt;0,-90,0)))))</f>
        <v/>
      </c>
      <c r="T404" s="195">
        <f>IF(B404="","",LOG10(B404))</f>
        <v/>
      </c>
      <c r="U404" s="195">
        <f>IF(R404="","",LOG10(MAX(R404,1E-12)))</f>
        <v/>
      </c>
    </row>
    <row r="405">
      <c r="A405" t="n">
        <v>402</v>
      </c>
      <c r="B405" s="196">
        <f>IF(A405&lt;='入力・概要'!$B$40,10^(LOG10('入力・概要'!$B$38)+(A405-1)*(LOG10('入力・概要'!$B$39)-LOG10('入力・概要'!$B$38))/('入力・概要'!$B$40-1)),"")</f>
        <v/>
      </c>
      <c r="C405" s="195">
        <f>IF(B405="","",2*PI()*B405)</f>
        <v/>
      </c>
      <c r="D405" s="195">
        <f>IF(B405="","",ATANH(MIN(0.999999,(2*'入力・概要'!$B$17*'入力・概要'!$B$6)/'入力・概要'!$B$30))+'入力・概要'!$B$33*SQRT(B405/1E6)+(2*PI()*B405*'入力・概要'!$B$6/(299792458*'入力・概要'!$B$31))*'入力・概要'!$B$32/2)</f>
        <v/>
      </c>
      <c r="E405" s="195">
        <f>IF(B405="","",2*PI()*B405*'入力・概要'!$B$6/(299792458*'入力・概要'!$B$31))</f>
        <v/>
      </c>
      <c r="F405" s="195">
        <f>IF(B405="","",SINH(2*D405)/(COSH(2*D405)+COS(2*E405)))</f>
        <v/>
      </c>
      <c r="G405" s="195">
        <f>IF(B405="","",SIN(2*E405)/(COSH(2*D405)+COS(2*E405)))</f>
        <v/>
      </c>
      <c r="H405" s="195">
        <f>IF(B405="","",'入力・概要'!$B$34)</f>
        <v/>
      </c>
      <c r="I405" s="195">
        <f>IF(B405="","",C405*'入力・概要'!$B$35*1E-9)</f>
        <v/>
      </c>
      <c r="J405" s="195">
        <f>IF(B405="","",H405+'入力・概要'!$B$30*F405)</f>
        <v/>
      </c>
      <c r="K405" s="195">
        <f>IF(B405="","",I405+'入力・概要'!$B$30*G405)</f>
        <v/>
      </c>
      <c r="L405" s="195">
        <f>IF(B405="","",'入力・概要'!$B$30+H405*F405-I405*G405)</f>
        <v/>
      </c>
      <c r="M405" s="195">
        <f>IF(B405="","",H405*G405+I405*F405)</f>
        <v/>
      </c>
      <c r="N405" s="195">
        <f>IF(B405="","",'入力・概要'!$B$30*(J405*L405+K405*M405)/(L405^2+M405^2))</f>
        <v/>
      </c>
      <c r="O405" s="195">
        <f>IF(B405="","",'入力・概要'!$B$30*(K405*L405-J405*M405)/(L405^2+M405^2))</f>
        <v/>
      </c>
      <c r="P405" s="195">
        <f>IF(B405="","",N405+'入力・概要'!$B$36)</f>
        <v/>
      </c>
      <c r="Q405" s="195">
        <f>IF(B405="","",O405+C405*'入力・概要'!$B$37*1E-9)</f>
        <v/>
      </c>
      <c r="R405" s="195">
        <f>IF(B405="","",SQRT(P405^2+Q405^2))</f>
        <v/>
      </c>
      <c r="S405" s="195">
        <f>IF(B405="","",IF(P405&gt;0,DEGREES(ATAN(Q405/P405)),IF(P405&lt;0,IF(Q405&gt;=0,DEGREES(ATAN(Q405/P405))+180,DEGREES(ATAN(Q405/P405))-180),IF(Q405&gt;0,90,IF(Q405&lt;0,-90,0)))))</f>
        <v/>
      </c>
      <c r="T405" s="195">
        <f>IF(B405="","",LOG10(B405))</f>
        <v/>
      </c>
      <c r="U405" s="195">
        <f>IF(R405="","",LOG10(MAX(R405,1E-12)))</f>
        <v/>
      </c>
    </row>
    <row r="406">
      <c r="A406" t="n">
        <v>403</v>
      </c>
      <c r="B406" s="196">
        <f>IF(A406&lt;='入力・概要'!$B$40,10^(LOG10('入力・概要'!$B$38)+(A406-1)*(LOG10('入力・概要'!$B$39)-LOG10('入力・概要'!$B$38))/('入力・概要'!$B$40-1)),"")</f>
        <v/>
      </c>
      <c r="C406" s="195">
        <f>IF(B406="","",2*PI()*B406)</f>
        <v/>
      </c>
      <c r="D406" s="195">
        <f>IF(B406="","",ATANH(MIN(0.999999,(2*'入力・概要'!$B$17*'入力・概要'!$B$6)/'入力・概要'!$B$30))+'入力・概要'!$B$33*SQRT(B406/1E6)+(2*PI()*B406*'入力・概要'!$B$6/(299792458*'入力・概要'!$B$31))*'入力・概要'!$B$32/2)</f>
        <v/>
      </c>
      <c r="E406" s="195">
        <f>IF(B406="","",2*PI()*B406*'入力・概要'!$B$6/(299792458*'入力・概要'!$B$31))</f>
        <v/>
      </c>
      <c r="F406" s="195">
        <f>IF(B406="","",SINH(2*D406)/(COSH(2*D406)+COS(2*E406)))</f>
        <v/>
      </c>
      <c r="G406" s="195">
        <f>IF(B406="","",SIN(2*E406)/(COSH(2*D406)+COS(2*E406)))</f>
        <v/>
      </c>
      <c r="H406" s="195">
        <f>IF(B406="","",'入力・概要'!$B$34)</f>
        <v/>
      </c>
      <c r="I406" s="195">
        <f>IF(B406="","",C406*'入力・概要'!$B$35*1E-9)</f>
        <v/>
      </c>
      <c r="J406" s="195">
        <f>IF(B406="","",H406+'入力・概要'!$B$30*F406)</f>
        <v/>
      </c>
      <c r="K406" s="195">
        <f>IF(B406="","",I406+'入力・概要'!$B$30*G406)</f>
        <v/>
      </c>
      <c r="L406" s="195">
        <f>IF(B406="","",'入力・概要'!$B$30+H406*F406-I406*G406)</f>
        <v/>
      </c>
      <c r="M406" s="195">
        <f>IF(B406="","",H406*G406+I406*F406)</f>
        <v/>
      </c>
      <c r="N406" s="195">
        <f>IF(B406="","",'入力・概要'!$B$30*(J406*L406+K406*M406)/(L406^2+M406^2))</f>
        <v/>
      </c>
      <c r="O406" s="195">
        <f>IF(B406="","",'入力・概要'!$B$30*(K406*L406-J406*M406)/(L406^2+M406^2))</f>
        <v/>
      </c>
      <c r="P406" s="195">
        <f>IF(B406="","",N406+'入力・概要'!$B$36)</f>
        <v/>
      </c>
      <c r="Q406" s="195">
        <f>IF(B406="","",O406+C406*'入力・概要'!$B$37*1E-9)</f>
        <v/>
      </c>
      <c r="R406" s="195">
        <f>IF(B406="","",SQRT(P406^2+Q406^2))</f>
        <v/>
      </c>
      <c r="S406" s="195">
        <f>IF(B406="","",IF(P406&gt;0,DEGREES(ATAN(Q406/P406)),IF(P406&lt;0,IF(Q406&gt;=0,DEGREES(ATAN(Q406/P406))+180,DEGREES(ATAN(Q406/P406))-180),IF(Q406&gt;0,90,IF(Q406&lt;0,-90,0)))))</f>
        <v/>
      </c>
      <c r="T406" s="195">
        <f>IF(B406="","",LOG10(B406))</f>
        <v/>
      </c>
      <c r="U406" s="195">
        <f>IF(R406="","",LOG10(MAX(R406,1E-12)))</f>
        <v/>
      </c>
    </row>
    <row r="407">
      <c r="A407" t="n">
        <v>404</v>
      </c>
      <c r="B407" s="196">
        <f>IF(A407&lt;='入力・概要'!$B$40,10^(LOG10('入力・概要'!$B$38)+(A407-1)*(LOG10('入力・概要'!$B$39)-LOG10('入力・概要'!$B$38))/('入力・概要'!$B$40-1)),"")</f>
        <v/>
      </c>
      <c r="C407" s="195">
        <f>IF(B407="","",2*PI()*B407)</f>
        <v/>
      </c>
      <c r="D407" s="195">
        <f>IF(B407="","",ATANH(MIN(0.999999,(2*'入力・概要'!$B$17*'入力・概要'!$B$6)/'入力・概要'!$B$30))+'入力・概要'!$B$33*SQRT(B407/1E6)+(2*PI()*B407*'入力・概要'!$B$6/(299792458*'入力・概要'!$B$31))*'入力・概要'!$B$32/2)</f>
        <v/>
      </c>
      <c r="E407" s="195">
        <f>IF(B407="","",2*PI()*B407*'入力・概要'!$B$6/(299792458*'入力・概要'!$B$31))</f>
        <v/>
      </c>
      <c r="F407" s="195">
        <f>IF(B407="","",SINH(2*D407)/(COSH(2*D407)+COS(2*E407)))</f>
        <v/>
      </c>
      <c r="G407" s="195">
        <f>IF(B407="","",SIN(2*E407)/(COSH(2*D407)+COS(2*E407)))</f>
        <v/>
      </c>
      <c r="H407" s="195">
        <f>IF(B407="","",'入力・概要'!$B$34)</f>
        <v/>
      </c>
      <c r="I407" s="195">
        <f>IF(B407="","",C407*'入力・概要'!$B$35*1E-9)</f>
        <v/>
      </c>
      <c r="J407" s="195">
        <f>IF(B407="","",H407+'入力・概要'!$B$30*F407)</f>
        <v/>
      </c>
      <c r="K407" s="195">
        <f>IF(B407="","",I407+'入力・概要'!$B$30*G407)</f>
        <v/>
      </c>
      <c r="L407" s="195">
        <f>IF(B407="","",'入力・概要'!$B$30+H407*F407-I407*G407)</f>
        <v/>
      </c>
      <c r="M407" s="195">
        <f>IF(B407="","",H407*G407+I407*F407)</f>
        <v/>
      </c>
      <c r="N407" s="195">
        <f>IF(B407="","",'入力・概要'!$B$30*(J407*L407+K407*M407)/(L407^2+M407^2))</f>
        <v/>
      </c>
      <c r="O407" s="195">
        <f>IF(B407="","",'入力・概要'!$B$30*(K407*L407-J407*M407)/(L407^2+M407^2))</f>
        <v/>
      </c>
      <c r="P407" s="195">
        <f>IF(B407="","",N407+'入力・概要'!$B$36)</f>
        <v/>
      </c>
      <c r="Q407" s="195">
        <f>IF(B407="","",O407+C407*'入力・概要'!$B$37*1E-9)</f>
        <v/>
      </c>
      <c r="R407" s="195">
        <f>IF(B407="","",SQRT(P407^2+Q407^2))</f>
        <v/>
      </c>
      <c r="S407" s="195">
        <f>IF(B407="","",IF(P407&gt;0,DEGREES(ATAN(Q407/P407)),IF(P407&lt;0,IF(Q407&gt;=0,DEGREES(ATAN(Q407/P407))+180,DEGREES(ATAN(Q407/P407))-180),IF(Q407&gt;0,90,IF(Q407&lt;0,-90,0)))))</f>
        <v/>
      </c>
      <c r="T407" s="195">
        <f>IF(B407="","",LOG10(B407))</f>
        <v/>
      </c>
      <c r="U407" s="195">
        <f>IF(R407="","",LOG10(MAX(R407,1E-12)))</f>
        <v/>
      </c>
    </row>
    <row r="408">
      <c r="A408" t="n">
        <v>405</v>
      </c>
      <c r="B408" s="196">
        <f>IF(A408&lt;='入力・概要'!$B$40,10^(LOG10('入力・概要'!$B$38)+(A408-1)*(LOG10('入力・概要'!$B$39)-LOG10('入力・概要'!$B$38))/('入力・概要'!$B$40-1)),"")</f>
        <v/>
      </c>
      <c r="C408" s="195">
        <f>IF(B408="","",2*PI()*B408)</f>
        <v/>
      </c>
      <c r="D408" s="195">
        <f>IF(B408="","",ATANH(MIN(0.999999,(2*'入力・概要'!$B$17*'入力・概要'!$B$6)/'入力・概要'!$B$30))+'入力・概要'!$B$33*SQRT(B408/1E6)+(2*PI()*B408*'入力・概要'!$B$6/(299792458*'入力・概要'!$B$31))*'入力・概要'!$B$32/2)</f>
        <v/>
      </c>
      <c r="E408" s="195">
        <f>IF(B408="","",2*PI()*B408*'入力・概要'!$B$6/(299792458*'入力・概要'!$B$31))</f>
        <v/>
      </c>
      <c r="F408" s="195">
        <f>IF(B408="","",SINH(2*D408)/(COSH(2*D408)+COS(2*E408)))</f>
        <v/>
      </c>
      <c r="G408" s="195">
        <f>IF(B408="","",SIN(2*E408)/(COSH(2*D408)+COS(2*E408)))</f>
        <v/>
      </c>
      <c r="H408" s="195">
        <f>IF(B408="","",'入力・概要'!$B$34)</f>
        <v/>
      </c>
      <c r="I408" s="195">
        <f>IF(B408="","",C408*'入力・概要'!$B$35*1E-9)</f>
        <v/>
      </c>
      <c r="J408" s="195">
        <f>IF(B408="","",H408+'入力・概要'!$B$30*F408)</f>
        <v/>
      </c>
      <c r="K408" s="195">
        <f>IF(B408="","",I408+'入力・概要'!$B$30*G408)</f>
        <v/>
      </c>
      <c r="L408" s="195">
        <f>IF(B408="","",'入力・概要'!$B$30+H408*F408-I408*G408)</f>
        <v/>
      </c>
      <c r="M408" s="195">
        <f>IF(B408="","",H408*G408+I408*F408)</f>
        <v/>
      </c>
      <c r="N408" s="195">
        <f>IF(B408="","",'入力・概要'!$B$30*(J408*L408+K408*M408)/(L408^2+M408^2))</f>
        <v/>
      </c>
      <c r="O408" s="195">
        <f>IF(B408="","",'入力・概要'!$B$30*(K408*L408-J408*M408)/(L408^2+M408^2))</f>
        <v/>
      </c>
      <c r="P408" s="195">
        <f>IF(B408="","",N408+'入力・概要'!$B$36)</f>
        <v/>
      </c>
      <c r="Q408" s="195">
        <f>IF(B408="","",O408+C408*'入力・概要'!$B$37*1E-9)</f>
        <v/>
      </c>
      <c r="R408" s="195">
        <f>IF(B408="","",SQRT(P408^2+Q408^2))</f>
        <v/>
      </c>
      <c r="S408" s="195">
        <f>IF(B408="","",IF(P408&gt;0,DEGREES(ATAN(Q408/P408)),IF(P408&lt;0,IF(Q408&gt;=0,DEGREES(ATAN(Q408/P408))+180,DEGREES(ATAN(Q408/P408))-180),IF(Q408&gt;0,90,IF(Q408&lt;0,-90,0)))))</f>
        <v/>
      </c>
      <c r="T408" s="195">
        <f>IF(B408="","",LOG10(B408))</f>
        <v/>
      </c>
      <c r="U408" s="195">
        <f>IF(R408="","",LOG10(MAX(R408,1E-12)))</f>
        <v/>
      </c>
    </row>
    <row r="409">
      <c r="A409" t="n">
        <v>406</v>
      </c>
      <c r="B409" s="196">
        <f>IF(A409&lt;='入力・概要'!$B$40,10^(LOG10('入力・概要'!$B$38)+(A409-1)*(LOG10('入力・概要'!$B$39)-LOG10('入力・概要'!$B$38))/('入力・概要'!$B$40-1)),"")</f>
        <v/>
      </c>
      <c r="C409" s="195">
        <f>IF(B409="","",2*PI()*B409)</f>
        <v/>
      </c>
      <c r="D409" s="195">
        <f>IF(B409="","",ATANH(MIN(0.999999,(2*'入力・概要'!$B$17*'入力・概要'!$B$6)/'入力・概要'!$B$30))+'入力・概要'!$B$33*SQRT(B409/1E6)+(2*PI()*B409*'入力・概要'!$B$6/(299792458*'入力・概要'!$B$31))*'入力・概要'!$B$32/2)</f>
        <v/>
      </c>
      <c r="E409" s="195">
        <f>IF(B409="","",2*PI()*B409*'入力・概要'!$B$6/(299792458*'入力・概要'!$B$31))</f>
        <v/>
      </c>
      <c r="F409" s="195">
        <f>IF(B409="","",SINH(2*D409)/(COSH(2*D409)+COS(2*E409)))</f>
        <v/>
      </c>
      <c r="G409" s="195">
        <f>IF(B409="","",SIN(2*E409)/(COSH(2*D409)+COS(2*E409)))</f>
        <v/>
      </c>
      <c r="H409" s="195">
        <f>IF(B409="","",'入力・概要'!$B$34)</f>
        <v/>
      </c>
      <c r="I409" s="195">
        <f>IF(B409="","",C409*'入力・概要'!$B$35*1E-9)</f>
        <v/>
      </c>
      <c r="J409" s="195">
        <f>IF(B409="","",H409+'入力・概要'!$B$30*F409)</f>
        <v/>
      </c>
      <c r="K409" s="195">
        <f>IF(B409="","",I409+'入力・概要'!$B$30*G409)</f>
        <v/>
      </c>
      <c r="L409" s="195">
        <f>IF(B409="","",'入力・概要'!$B$30+H409*F409-I409*G409)</f>
        <v/>
      </c>
      <c r="M409" s="195">
        <f>IF(B409="","",H409*G409+I409*F409)</f>
        <v/>
      </c>
      <c r="N409" s="195">
        <f>IF(B409="","",'入力・概要'!$B$30*(J409*L409+K409*M409)/(L409^2+M409^2))</f>
        <v/>
      </c>
      <c r="O409" s="195">
        <f>IF(B409="","",'入力・概要'!$B$30*(K409*L409-J409*M409)/(L409^2+M409^2))</f>
        <v/>
      </c>
      <c r="P409" s="195">
        <f>IF(B409="","",N409+'入力・概要'!$B$36)</f>
        <v/>
      </c>
      <c r="Q409" s="195">
        <f>IF(B409="","",O409+C409*'入力・概要'!$B$37*1E-9)</f>
        <v/>
      </c>
      <c r="R409" s="195">
        <f>IF(B409="","",SQRT(P409^2+Q409^2))</f>
        <v/>
      </c>
      <c r="S409" s="195">
        <f>IF(B409="","",IF(P409&gt;0,DEGREES(ATAN(Q409/P409)),IF(P409&lt;0,IF(Q409&gt;=0,DEGREES(ATAN(Q409/P409))+180,DEGREES(ATAN(Q409/P409))-180),IF(Q409&gt;0,90,IF(Q409&lt;0,-90,0)))))</f>
        <v/>
      </c>
      <c r="T409" s="195">
        <f>IF(B409="","",LOG10(B409))</f>
        <v/>
      </c>
      <c r="U409" s="195">
        <f>IF(R409="","",LOG10(MAX(R409,1E-12)))</f>
        <v/>
      </c>
    </row>
    <row r="410">
      <c r="A410" t="n">
        <v>407</v>
      </c>
      <c r="B410" s="196">
        <f>IF(A410&lt;='入力・概要'!$B$40,10^(LOG10('入力・概要'!$B$38)+(A410-1)*(LOG10('入力・概要'!$B$39)-LOG10('入力・概要'!$B$38))/('入力・概要'!$B$40-1)),"")</f>
        <v/>
      </c>
      <c r="C410" s="195">
        <f>IF(B410="","",2*PI()*B410)</f>
        <v/>
      </c>
      <c r="D410" s="195">
        <f>IF(B410="","",ATANH(MIN(0.999999,(2*'入力・概要'!$B$17*'入力・概要'!$B$6)/'入力・概要'!$B$30))+'入力・概要'!$B$33*SQRT(B410/1E6)+(2*PI()*B410*'入力・概要'!$B$6/(299792458*'入力・概要'!$B$31))*'入力・概要'!$B$32/2)</f>
        <v/>
      </c>
      <c r="E410" s="195">
        <f>IF(B410="","",2*PI()*B410*'入力・概要'!$B$6/(299792458*'入力・概要'!$B$31))</f>
        <v/>
      </c>
      <c r="F410" s="195">
        <f>IF(B410="","",SINH(2*D410)/(COSH(2*D410)+COS(2*E410)))</f>
        <v/>
      </c>
      <c r="G410" s="195">
        <f>IF(B410="","",SIN(2*E410)/(COSH(2*D410)+COS(2*E410)))</f>
        <v/>
      </c>
      <c r="H410" s="195">
        <f>IF(B410="","",'入力・概要'!$B$34)</f>
        <v/>
      </c>
      <c r="I410" s="195">
        <f>IF(B410="","",C410*'入力・概要'!$B$35*1E-9)</f>
        <v/>
      </c>
      <c r="J410" s="195">
        <f>IF(B410="","",H410+'入力・概要'!$B$30*F410)</f>
        <v/>
      </c>
      <c r="K410" s="195">
        <f>IF(B410="","",I410+'入力・概要'!$B$30*G410)</f>
        <v/>
      </c>
      <c r="L410" s="195">
        <f>IF(B410="","",'入力・概要'!$B$30+H410*F410-I410*G410)</f>
        <v/>
      </c>
      <c r="M410" s="195">
        <f>IF(B410="","",H410*G410+I410*F410)</f>
        <v/>
      </c>
      <c r="N410" s="195">
        <f>IF(B410="","",'入力・概要'!$B$30*(J410*L410+K410*M410)/(L410^2+M410^2))</f>
        <v/>
      </c>
      <c r="O410" s="195">
        <f>IF(B410="","",'入力・概要'!$B$30*(K410*L410-J410*M410)/(L410^2+M410^2))</f>
        <v/>
      </c>
      <c r="P410" s="195">
        <f>IF(B410="","",N410+'入力・概要'!$B$36)</f>
        <v/>
      </c>
      <c r="Q410" s="195">
        <f>IF(B410="","",O410+C410*'入力・概要'!$B$37*1E-9)</f>
        <v/>
      </c>
      <c r="R410" s="195">
        <f>IF(B410="","",SQRT(P410^2+Q410^2))</f>
        <v/>
      </c>
      <c r="S410" s="195">
        <f>IF(B410="","",IF(P410&gt;0,DEGREES(ATAN(Q410/P410)),IF(P410&lt;0,IF(Q410&gt;=0,DEGREES(ATAN(Q410/P410))+180,DEGREES(ATAN(Q410/P410))-180),IF(Q410&gt;0,90,IF(Q410&lt;0,-90,0)))))</f>
        <v/>
      </c>
      <c r="T410" s="195">
        <f>IF(B410="","",LOG10(B410))</f>
        <v/>
      </c>
      <c r="U410" s="195">
        <f>IF(R410="","",LOG10(MAX(R410,1E-12)))</f>
        <v/>
      </c>
    </row>
    <row r="411">
      <c r="A411" t="n">
        <v>408</v>
      </c>
      <c r="B411" s="196">
        <f>IF(A411&lt;='入力・概要'!$B$40,10^(LOG10('入力・概要'!$B$38)+(A411-1)*(LOG10('入力・概要'!$B$39)-LOG10('入力・概要'!$B$38))/('入力・概要'!$B$40-1)),"")</f>
        <v/>
      </c>
      <c r="C411" s="195">
        <f>IF(B411="","",2*PI()*B411)</f>
        <v/>
      </c>
      <c r="D411" s="195">
        <f>IF(B411="","",ATANH(MIN(0.999999,(2*'入力・概要'!$B$17*'入力・概要'!$B$6)/'入力・概要'!$B$30))+'入力・概要'!$B$33*SQRT(B411/1E6)+(2*PI()*B411*'入力・概要'!$B$6/(299792458*'入力・概要'!$B$31))*'入力・概要'!$B$32/2)</f>
        <v/>
      </c>
      <c r="E411" s="195">
        <f>IF(B411="","",2*PI()*B411*'入力・概要'!$B$6/(299792458*'入力・概要'!$B$31))</f>
        <v/>
      </c>
      <c r="F411" s="195">
        <f>IF(B411="","",SINH(2*D411)/(COSH(2*D411)+COS(2*E411)))</f>
        <v/>
      </c>
      <c r="G411" s="195">
        <f>IF(B411="","",SIN(2*E411)/(COSH(2*D411)+COS(2*E411)))</f>
        <v/>
      </c>
      <c r="H411" s="195">
        <f>IF(B411="","",'入力・概要'!$B$34)</f>
        <v/>
      </c>
      <c r="I411" s="195">
        <f>IF(B411="","",C411*'入力・概要'!$B$35*1E-9)</f>
        <v/>
      </c>
      <c r="J411" s="195">
        <f>IF(B411="","",H411+'入力・概要'!$B$30*F411)</f>
        <v/>
      </c>
      <c r="K411" s="195">
        <f>IF(B411="","",I411+'入力・概要'!$B$30*G411)</f>
        <v/>
      </c>
      <c r="L411" s="195">
        <f>IF(B411="","",'入力・概要'!$B$30+H411*F411-I411*G411)</f>
        <v/>
      </c>
      <c r="M411" s="195">
        <f>IF(B411="","",H411*G411+I411*F411)</f>
        <v/>
      </c>
      <c r="N411" s="195">
        <f>IF(B411="","",'入力・概要'!$B$30*(J411*L411+K411*M411)/(L411^2+M411^2))</f>
        <v/>
      </c>
      <c r="O411" s="195">
        <f>IF(B411="","",'入力・概要'!$B$30*(K411*L411-J411*M411)/(L411^2+M411^2))</f>
        <v/>
      </c>
      <c r="P411" s="195">
        <f>IF(B411="","",N411+'入力・概要'!$B$36)</f>
        <v/>
      </c>
      <c r="Q411" s="195">
        <f>IF(B411="","",O411+C411*'入力・概要'!$B$37*1E-9)</f>
        <v/>
      </c>
      <c r="R411" s="195">
        <f>IF(B411="","",SQRT(P411^2+Q411^2))</f>
        <v/>
      </c>
      <c r="S411" s="195">
        <f>IF(B411="","",IF(P411&gt;0,DEGREES(ATAN(Q411/P411)),IF(P411&lt;0,IF(Q411&gt;=0,DEGREES(ATAN(Q411/P411))+180,DEGREES(ATAN(Q411/P411))-180),IF(Q411&gt;0,90,IF(Q411&lt;0,-90,0)))))</f>
        <v/>
      </c>
      <c r="T411" s="195">
        <f>IF(B411="","",LOG10(B411))</f>
        <v/>
      </c>
      <c r="U411" s="195">
        <f>IF(R411="","",LOG10(MAX(R411,1E-12)))</f>
        <v/>
      </c>
    </row>
    <row r="412">
      <c r="A412" t="n">
        <v>409</v>
      </c>
      <c r="B412" s="196">
        <f>IF(A412&lt;='入力・概要'!$B$40,10^(LOG10('入力・概要'!$B$38)+(A412-1)*(LOG10('入力・概要'!$B$39)-LOG10('入力・概要'!$B$38))/('入力・概要'!$B$40-1)),"")</f>
        <v/>
      </c>
      <c r="C412" s="195">
        <f>IF(B412="","",2*PI()*B412)</f>
        <v/>
      </c>
      <c r="D412" s="195">
        <f>IF(B412="","",ATANH(MIN(0.999999,(2*'入力・概要'!$B$17*'入力・概要'!$B$6)/'入力・概要'!$B$30))+'入力・概要'!$B$33*SQRT(B412/1E6)+(2*PI()*B412*'入力・概要'!$B$6/(299792458*'入力・概要'!$B$31))*'入力・概要'!$B$32/2)</f>
        <v/>
      </c>
      <c r="E412" s="195">
        <f>IF(B412="","",2*PI()*B412*'入力・概要'!$B$6/(299792458*'入力・概要'!$B$31))</f>
        <v/>
      </c>
      <c r="F412" s="195">
        <f>IF(B412="","",SINH(2*D412)/(COSH(2*D412)+COS(2*E412)))</f>
        <v/>
      </c>
      <c r="G412" s="195">
        <f>IF(B412="","",SIN(2*E412)/(COSH(2*D412)+COS(2*E412)))</f>
        <v/>
      </c>
      <c r="H412" s="195">
        <f>IF(B412="","",'入力・概要'!$B$34)</f>
        <v/>
      </c>
      <c r="I412" s="195">
        <f>IF(B412="","",C412*'入力・概要'!$B$35*1E-9)</f>
        <v/>
      </c>
      <c r="J412" s="195">
        <f>IF(B412="","",H412+'入力・概要'!$B$30*F412)</f>
        <v/>
      </c>
      <c r="K412" s="195">
        <f>IF(B412="","",I412+'入力・概要'!$B$30*G412)</f>
        <v/>
      </c>
      <c r="L412" s="195">
        <f>IF(B412="","",'入力・概要'!$B$30+H412*F412-I412*G412)</f>
        <v/>
      </c>
      <c r="M412" s="195">
        <f>IF(B412="","",H412*G412+I412*F412)</f>
        <v/>
      </c>
      <c r="N412" s="195">
        <f>IF(B412="","",'入力・概要'!$B$30*(J412*L412+K412*M412)/(L412^2+M412^2))</f>
        <v/>
      </c>
      <c r="O412" s="195">
        <f>IF(B412="","",'入力・概要'!$B$30*(K412*L412-J412*M412)/(L412^2+M412^2))</f>
        <v/>
      </c>
      <c r="P412" s="195">
        <f>IF(B412="","",N412+'入力・概要'!$B$36)</f>
        <v/>
      </c>
      <c r="Q412" s="195">
        <f>IF(B412="","",O412+C412*'入力・概要'!$B$37*1E-9)</f>
        <v/>
      </c>
      <c r="R412" s="195">
        <f>IF(B412="","",SQRT(P412^2+Q412^2))</f>
        <v/>
      </c>
      <c r="S412" s="195">
        <f>IF(B412="","",IF(P412&gt;0,DEGREES(ATAN(Q412/P412)),IF(P412&lt;0,IF(Q412&gt;=0,DEGREES(ATAN(Q412/P412))+180,DEGREES(ATAN(Q412/P412))-180),IF(Q412&gt;0,90,IF(Q412&lt;0,-90,0)))))</f>
        <v/>
      </c>
      <c r="T412" s="195">
        <f>IF(B412="","",LOG10(B412))</f>
        <v/>
      </c>
      <c r="U412" s="195">
        <f>IF(R412="","",LOG10(MAX(R412,1E-12)))</f>
        <v/>
      </c>
    </row>
    <row r="413">
      <c r="A413" t="n">
        <v>410</v>
      </c>
      <c r="B413" s="196">
        <f>IF(A413&lt;='入力・概要'!$B$40,10^(LOG10('入力・概要'!$B$38)+(A413-1)*(LOG10('入力・概要'!$B$39)-LOG10('入力・概要'!$B$38))/('入力・概要'!$B$40-1)),"")</f>
        <v/>
      </c>
      <c r="C413" s="195">
        <f>IF(B413="","",2*PI()*B413)</f>
        <v/>
      </c>
      <c r="D413" s="195">
        <f>IF(B413="","",ATANH(MIN(0.999999,(2*'入力・概要'!$B$17*'入力・概要'!$B$6)/'入力・概要'!$B$30))+'入力・概要'!$B$33*SQRT(B413/1E6)+(2*PI()*B413*'入力・概要'!$B$6/(299792458*'入力・概要'!$B$31))*'入力・概要'!$B$32/2)</f>
        <v/>
      </c>
      <c r="E413" s="195">
        <f>IF(B413="","",2*PI()*B413*'入力・概要'!$B$6/(299792458*'入力・概要'!$B$31))</f>
        <v/>
      </c>
      <c r="F413" s="195">
        <f>IF(B413="","",SINH(2*D413)/(COSH(2*D413)+COS(2*E413)))</f>
        <v/>
      </c>
      <c r="G413" s="195">
        <f>IF(B413="","",SIN(2*E413)/(COSH(2*D413)+COS(2*E413)))</f>
        <v/>
      </c>
      <c r="H413" s="195">
        <f>IF(B413="","",'入力・概要'!$B$34)</f>
        <v/>
      </c>
      <c r="I413" s="195">
        <f>IF(B413="","",C413*'入力・概要'!$B$35*1E-9)</f>
        <v/>
      </c>
      <c r="J413" s="195">
        <f>IF(B413="","",H413+'入力・概要'!$B$30*F413)</f>
        <v/>
      </c>
      <c r="K413" s="195">
        <f>IF(B413="","",I413+'入力・概要'!$B$30*G413)</f>
        <v/>
      </c>
      <c r="L413" s="195">
        <f>IF(B413="","",'入力・概要'!$B$30+H413*F413-I413*G413)</f>
        <v/>
      </c>
      <c r="M413" s="195">
        <f>IF(B413="","",H413*G413+I413*F413)</f>
        <v/>
      </c>
      <c r="N413" s="195">
        <f>IF(B413="","",'入力・概要'!$B$30*(J413*L413+K413*M413)/(L413^2+M413^2))</f>
        <v/>
      </c>
      <c r="O413" s="195">
        <f>IF(B413="","",'入力・概要'!$B$30*(K413*L413-J413*M413)/(L413^2+M413^2))</f>
        <v/>
      </c>
      <c r="P413" s="195">
        <f>IF(B413="","",N413+'入力・概要'!$B$36)</f>
        <v/>
      </c>
      <c r="Q413" s="195">
        <f>IF(B413="","",O413+C413*'入力・概要'!$B$37*1E-9)</f>
        <v/>
      </c>
      <c r="R413" s="195">
        <f>IF(B413="","",SQRT(P413^2+Q413^2))</f>
        <v/>
      </c>
      <c r="S413" s="195">
        <f>IF(B413="","",IF(P413&gt;0,DEGREES(ATAN(Q413/P413)),IF(P413&lt;0,IF(Q413&gt;=0,DEGREES(ATAN(Q413/P413))+180,DEGREES(ATAN(Q413/P413))-180),IF(Q413&gt;0,90,IF(Q413&lt;0,-90,0)))))</f>
        <v/>
      </c>
      <c r="T413" s="195">
        <f>IF(B413="","",LOG10(B413))</f>
        <v/>
      </c>
      <c r="U413" s="195">
        <f>IF(R413="","",LOG10(MAX(R413,1E-12)))</f>
        <v/>
      </c>
    </row>
    <row r="414">
      <c r="A414" t="n">
        <v>411</v>
      </c>
      <c r="B414" s="196">
        <f>IF(A414&lt;='入力・概要'!$B$40,10^(LOG10('入力・概要'!$B$38)+(A414-1)*(LOG10('入力・概要'!$B$39)-LOG10('入力・概要'!$B$38))/('入力・概要'!$B$40-1)),"")</f>
        <v/>
      </c>
      <c r="C414" s="195">
        <f>IF(B414="","",2*PI()*B414)</f>
        <v/>
      </c>
      <c r="D414" s="195">
        <f>IF(B414="","",ATANH(MIN(0.999999,(2*'入力・概要'!$B$17*'入力・概要'!$B$6)/'入力・概要'!$B$30))+'入力・概要'!$B$33*SQRT(B414/1E6)+(2*PI()*B414*'入力・概要'!$B$6/(299792458*'入力・概要'!$B$31))*'入力・概要'!$B$32/2)</f>
        <v/>
      </c>
      <c r="E414" s="195">
        <f>IF(B414="","",2*PI()*B414*'入力・概要'!$B$6/(299792458*'入力・概要'!$B$31))</f>
        <v/>
      </c>
      <c r="F414" s="195">
        <f>IF(B414="","",SINH(2*D414)/(COSH(2*D414)+COS(2*E414)))</f>
        <v/>
      </c>
      <c r="G414" s="195">
        <f>IF(B414="","",SIN(2*E414)/(COSH(2*D414)+COS(2*E414)))</f>
        <v/>
      </c>
      <c r="H414" s="195">
        <f>IF(B414="","",'入力・概要'!$B$34)</f>
        <v/>
      </c>
      <c r="I414" s="195">
        <f>IF(B414="","",C414*'入力・概要'!$B$35*1E-9)</f>
        <v/>
      </c>
      <c r="J414" s="195">
        <f>IF(B414="","",H414+'入力・概要'!$B$30*F414)</f>
        <v/>
      </c>
      <c r="K414" s="195">
        <f>IF(B414="","",I414+'入力・概要'!$B$30*G414)</f>
        <v/>
      </c>
      <c r="L414" s="195">
        <f>IF(B414="","",'入力・概要'!$B$30+H414*F414-I414*G414)</f>
        <v/>
      </c>
      <c r="M414" s="195">
        <f>IF(B414="","",H414*G414+I414*F414)</f>
        <v/>
      </c>
      <c r="N414" s="195">
        <f>IF(B414="","",'入力・概要'!$B$30*(J414*L414+K414*M414)/(L414^2+M414^2))</f>
        <v/>
      </c>
      <c r="O414" s="195">
        <f>IF(B414="","",'入力・概要'!$B$30*(K414*L414-J414*M414)/(L414^2+M414^2))</f>
        <v/>
      </c>
      <c r="P414" s="195">
        <f>IF(B414="","",N414+'入力・概要'!$B$36)</f>
        <v/>
      </c>
      <c r="Q414" s="195">
        <f>IF(B414="","",O414+C414*'入力・概要'!$B$37*1E-9)</f>
        <v/>
      </c>
      <c r="R414" s="195">
        <f>IF(B414="","",SQRT(P414^2+Q414^2))</f>
        <v/>
      </c>
      <c r="S414" s="195">
        <f>IF(B414="","",IF(P414&gt;0,DEGREES(ATAN(Q414/P414)),IF(P414&lt;0,IF(Q414&gt;=0,DEGREES(ATAN(Q414/P414))+180,DEGREES(ATAN(Q414/P414))-180),IF(Q414&gt;0,90,IF(Q414&lt;0,-90,0)))))</f>
        <v/>
      </c>
      <c r="T414" s="195">
        <f>IF(B414="","",LOG10(B414))</f>
        <v/>
      </c>
      <c r="U414" s="195">
        <f>IF(R414="","",LOG10(MAX(R414,1E-12)))</f>
        <v/>
      </c>
    </row>
    <row r="415">
      <c r="A415" t="n">
        <v>412</v>
      </c>
      <c r="B415" s="196">
        <f>IF(A415&lt;='入力・概要'!$B$40,10^(LOG10('入力・概要'!$B$38)+(A415-1)*(LOG10('入力・概要'!$B$39)-LOG10('入力・概要'!$B$38))/('入力・概要'!$B$40-1)),"")</f>
        <v/>
      </c>
      <c r="C415" s="195">
        <f>IF(B415="","",2*PI()*B415)</f>
        <v/>
      </c>
      <c r="D415" s="195">
        <f>IF(B415="","",ATANH(MIN(0.999999,(2*'入力・概要'!$B$17*'入力・概要'!$B$6)/'入力・概要'!$B$30))+'入力・概要'!$B$33*SQRT(B415/1E6)+(2*PI()*B415*'入力・概要'!$B$6/(299792458*'入力・概要'!$B$31))*'入力・概要'!$B$32/2)</f>
        <v/>
      </c>
      <c r="E415" s="195">
        <f>IF(B415="","",2*PI()*B415*'入力・概要'!$B$6/(299792458*'入力・概要'!$B$31))</f>
        <v/>
      </c>
      <c r="F415" s="195">
        <f>IF(B415="","",SINH(2*D415)/(COSH(2*D415)+COS(2*E415)))</f>
        <v/>
      </c>
      <c r="G415" s="195">
        <f>IF(B415="","",SIN(2*E415)/(COSH(2*D415)+COS(2*E415)))</f>
        <v/>
      </c>
      <c r="H415" s="195">
        <f>IF(B415="","",'入力・概要'!$B$34)</f>
        <v/>
      </c>
      <c r="I415" s="195">
        <f>IF(B415="","",C415*'入力・概要'!$B$35*1E-9)</f>
        <v/>
      </c>
      <c r="J415" s="195">
        <f>IF(B415="","",H415+'入力・概要'!$B$30*F415)</f>
        <v/>
      </c>
      <c r="K415" s="195">
        <f>IF(B415="","",I415+'入力・概要'!$B$30*G415)</f>
        <v/>
      </c>
      <c r="L415" s="195">
        <f>IF(B415="","",'入力・概要'!$B$30+H415*F415-I415*G415)</f>
        <v/>
      </c>
      <c r="M415" s="195">
        <f>IF(B415="","",H415*G415+I415*F415)</f>
        <v/>
      </c>
      <c r="N415" s="195">
        <f>IF(B415="","",'入力・概要'!$B$30*(J415*L415+K415*M415)/(L415^2+M415^2))</f>
        <v/>
      </c>
      <c r="O415" s="195">
        <f>IF(B415="","",'入力・概要'!$B$30*(K415*L415-J415*M415)/(L415^2+M415^2))</f>
        <v/>
      </c>
      <c r="P415" s="195">
        <f>IF(B415="","",N415+'入力・概要'!$B$36)</f>
        <v/>
      </c>
      <c r="Q415" s="195">
        <f>IF(B415="","",O415+C415*'入力・概要'!$B$37*1E-9)</f>
        <v/>
      </c>
      <c r="R415" s="195">
        <f>IF(B415="","",SQRT(P415^2+Q415^2))</f>
        <v/>
      </c>
      <c r="S415" s="195">
        <f>IF(B415="","",IF(P415&gt;0,DEGREES(ATAN(Q415/P415)),IF(P415&lt;0,IF(Q415&gt;=0,DEGREES(ATAN(Q415/P415))+180,DEGREES(ATAN(Q415/P415))-180),IF(Q415&gt;0,90,IF(Q415&lt;0,-90,0)))))</f>
        <v/>
      </c>
      <c r="T415" s="195">
        <f>IF(B415="","",LOG10(B415))</f>
        <v/>
      </c>
      <c r="U415" s="195">
        <f>IF(R415="","",LOG10(MAX(R415,1E-12)))</f>
        <v/>
      </c>
    </row>
    <row r="416">
      <c r="A416" t="n">
        <v>413</v>
      </c>
      <c r="B416" s="196">
        <f>IF(A416&lt;='入力・概要'!$B$40,10^(LOG10('入力・概要'!$B$38)+(A416-1)*(LOG10('入力・概要'!$B$39)-LOG10('入力・概要'!$B$38))/('入力・概要'!$B$40-1)),"")</f>
        <v/>
      </c>
      <c r="C416" s="195">
        <f>IF(B416="","",2*PI()*B416)</f>
        <v/>
      </c>
      <c r="D416" s="195">
        <f>IF(B416="","",ATANH(MIN(0.999999,(2*'入力・概要'!$B$17*'入力・概要'!$B$6)/'入力・概要'!$B$30))+'入力・概要'!$B$33*SQRT(B416/1E6)+(2*PI()*B416*'入力・概要'!$B$6/(299792458*'入力・概要'!$B$31))*'入力・概要'!$B$32/2)</f>
        <v/>
      </c>
      <c r="E416" s="195">
        <f>IF(B416="","",2*PI()*B416*'入力・概要'!$B$6/(299792458*'入力・概要'!$B$31))</f>
        <v/>
      </c>
      <c r="F416" s="195">
        <f>IF(B416="","",SINH(2*D416)/(COSH(2*D416)+COS(2*E416)))</f>
        <v/>
      </c>
      <c r="G416" s="195">
        <f>IF(B416="","",SIN(2*E416)/(COSH(2*D416)+COS(2*E416)))</f>
        <v/>
      </c>
      <c r="H416" s="195">
        <f>IF(B416="","",'入力・概要'!$B$34)</f>
        <v/>
      </c>
      <c r="I416" s="195">
        <f>IF(B416="","",C416*'入力・概要'!$B$35*1E-9)</f>
        <v/>
      </c>
      <c r="J416" s="195">
        <f>IF(B416="","",H416+'入力・概要'!$B$30*F416)</f>
        <v/>
      </c>
      <c r="K416" s="195">
        <f>IF(B416="","",I416+'入力・概要'!$B$30*G416)</f>
        <v/>
      </c>
      <c r="L416" s="195">
        <f>IF(B416="","",'入力・概要'!$B$30+H416*F416-I416*G416)</f>
        <v/>
      </c>
      <c r="M416" s="195">
        <f>IF(B416="","",H416*G416+I416*F416)</f>
        <v/>
      </c>
      <c r="N416" s="195">
        <f>IF(B416="","",'入力・概要'!$B$30*(J416*L416+K416*M416)/(L416^2+M416^2))</f>
        <v/>
      </c>
      <c r="O416" s="195">
        <f>IF(B416="","",'入力・概要'!$B$30*(K416*L416-J416*M416)/(L416^2+M416^2))</f>
        <v/>
      </c>
      <c r="P416" s="195">
        <f>IF(B416="","",N416+'入力・概要'!$B$36)</f>
        <v/>
      </c>
      <c r="Q416" s="195">
        <f>IF(B416="","",O416+C416*'入力・概要'!$B$37*1E-9)</f>
        <v/>
      </c>
      <c r="R416" s="195">
        <f>IF(B416="","",SQRT(P416^2+Q416^2))</f>
        <v/>
      </c>
      <c r="S416" s="195">
        <f>IF(B416="","",IF(P416&gt;0,DEGREES(ATAN(Q416/P416)),IF(P416&lt;0,IF(Q416&gt;=0,DEGREES(ATAN(Q416/P416))+180,DEGREES(ATAN(Q416/P416))-180),IF(Q416&gt;0,90,IF(Q416&lt;0,-90,0)))))</f>
        <v/>
      </c>
      <c r="T416" s="195">
        <f>IF(B416="","",LOG10(B416))</f>
        <v/>
      </c>
      <c r="U416" s="195">
        <f>IF(R416="","",LOG10(MAX(R416,1E-12)))</f>
        <v/>
      </c>
    </row>
    <row r="417">
      <c r="A417" t="n">
        <v>414</v>
      </c>
      <c r="B417" s="196">
        <f>IF(A417&lt;='入力・概要'!$B$40,10^(LOG10('入力・概要'!$B$38)+(A417-1)*(LOG10('入力・概要'!$B$39)-LOG10('入力・概要'!$B$38))/('入力・概要'!$B$40-1)),"")</f>
        <v/>
      </c>
      <c r="C417" s="195">
        <f>IF(B417="","",2*PI()*B417)</f>
        <v/>
      </c>
      <c r="D417" s="195">
        <f>IF(B417="","",ATANH(MIN(0.999999,(2*'入力・概要'!$B$17*'入力・概要'!$B$6)/'入力・概要'!$B$30))+'入力・概要'!$B$33*SQRT(B417/1E6)+(2*PI()*B417*'入力・概要'!$B$6/(299792458*'入力・概要'!$B$31))*'入力・概要'!$B$32/2)</f>
        <v/>
      </c>
      <c r="E417" s="195">
        <f>IF(B417="","",2*PI()*B417*'入力・概要'!$B$6/(299792458*'入力・概要'!$B$31))</f>
        <v/>
      </c>
      <c r="F417" s="195">
        <f>IF(B417="","",SINH(2*D417)/(COSH(2*D417)+COS(2*E417)))</f>
        <v/>
      </c>
      <c r="G417" s="195">
        <f>IF(B417="","",SIN(2*E417)/(COSH(2*D417)+COS(2*E417)))</f>
        <v/>
      </c>
      <c r="H417" s="195">
        <f>IF(B417="","",'入力・概要'!$B$34)</f>
        <v/>
      </c>
      <c r="I417" s="195">
        <f>IF(B417="","",C417*'入力・概要'!$B$35*1E-9)</f>
        <v/>
      </c>
      <c r="J417" s="195">
        <f>IF(B417="","",H417+'入力・概要'!$B$30*F417)</f>
        <v/>
      </c>
      <c r="K417" s="195">
        <f>IF(B417="","",I417+'入力・概要'!$B$30*G417)</f>
        <v/>
      </c>
      <c r="L417" s="195">
        <f>IF(B417="","",'入力・概要'!$B$30+H417*F417-I417*G417)</f>
        <v/>
      </c>
      <c r="M417" s="195">
        <f>IF(B417="","",H417*G417+I417*F417)</f>
        <v/>
      </c>
      <c r="N417" s="195">
        <f>IF(B417="","",'入力・概要'!$B$30*(J417*L417+K417*M417)/(L417^2+M417^2))</f>
        <v/>
      </c>
      <c r="O417" s="195">
        <f>IF(B417="","",'入力・概要'!$B$30*(K417*L417-J417*M417)/(L417^2+M417^2))</f>
        <v/>
      </c>
      <c r="P417" s="195">
        <f>IF(B417="","",N417+'入力・概要'!$B$36)</f>
        <v/>
      </c>
      <c r="Q417" s="195">
        <f>IF(B417="","",O417+C417*'入力・概要'!$B$37*1E-9)</f>
        <v/>
      </c>
      <c r="R417" s="195">
        <f>IF(B417="","",SQRT(P417^2+Q417^2))</f>
        <v/>
      </c>
      <c r="S417" s="195">
        <f>IF(B417="","",IF(P417&gt;0,DEGREES(ATAN(Q417/P417)),IF(P417&lt;0,IF(Q417&gt;=0,DEGREES(ATAN(Q417/P417))+180,DEGREES(ATAN(Q417/P417))-180),IF(Q417&gt;0,90,IF(Q417&lt;0,-90,0)))))</f>
        <v/>
      </c>
      <c r="T417" s="195">
        <f>IF(B417="","",LOG10(B417))</f>
        <v/>
      </c>
      <c r="U417" s="195">
        <f>IF(R417="","",LOG10(MAX(R417,1E-12)))</f>
        <v/>
      </c>
    </row>
    <row r="418">
      <c r="A418" t="n">
        <v>415</v>
      </c>
      <c r="B418" s="196">
        <f>IF(A418&lt;='入力・概要'!$B$40,10^(LOG10('入力・概要'!$B$38)+(A418-1)*(LOG10('入力・概要'!$B$39)-LOG10('入力・概要'!$B$38))/('入力・概要'!$B$40-1)),"")</f>
        <v/>
      </c>
      <c r="C418" s="195">
        <f>IF(B418="","",2*PI()*B418)</f>
        <v/>
      </c>
      <c r="D418" s="195">
        <f>IF(B418="","",ATANH(MIN(0.999999,(2*'入力・概要'!$B$17*'入力・概要'!$B$6)/'入力・概要'!$B$30))+'入力・概要'!$B$33*SQRT(B418/1E6)+(2*PI()*B418*'入力・概要'!$B$6/(299792458*'入力・概要'!$B$31))*'入力・概要'!$B$32/2)</f>
        <v/>
      </c>
      <c r="E418" s="195">
        <f>IF(B418="","",2*PI()*B418*'入力・概要'!$B$6/(299792458*'入力・概要'!$B$31))</f>
        <v/>
      </c>
      <c r="F418" s="195">
        <f>IF(B418="","",SINH(2*D418)/(COSH(2*D418)+COS(2*E418)))</f>
        <v/>
      </c>
      <c r="G418" s="195">
        <f>IF(B418="","",SIN(2*E418)/(COSH(2*D418)+COS(2*E418)))</f>
        <v/>
      </c>
      <c r="H418" s="195">
        <f>IF(B418="","",'入力・概要'!$B$34)</f>
        <v/>
      </c>
      <c r="I418" s="195">
        <f>IF(B418="","",C418*'入力・概要'!$B$35*1E-9)</f>
        <v/>
      </c>
      <c r="J418" s="195">
        <f>IF(B418="","",H418+'入力・概要'!$B$30*F418)</f>
        <v/>
      </c>
      <c r="K418" s="195">
        <f>IF(B418="","",I418+'入力・概要'!$B$30*G418)</f>
        <v/>
      </c>
      <c r="L418" s="195">
        <f>IF(B418="","",'入力・概要'!$B$30+H418*F418-I418*G418)</f>
        <v/>
      </c>
      <c r="M418" s="195">
        <f>IF(B418="","",H418*G418+I418*F418)</f>
        <v/>
      </c>
      <c r="N418" s="195">
        <f>IF(B418="","",'入力・概要'!$B$30*(J418*L418+K418*M418)/(L418^2+M418^2))</f>
        <v/>
      </c>
      <c r="O418" s="195">
        <f>IF(B418="","",'入力・概要'!$B$30*(K418*L418-J418*M418)/(L418^2+M418^2))</f>
        <v/>
      </c>
      <c r="P418" s="195">
        <f>IF(B418="","",N418+'入力・概要'!$B$36)</f>
        <v/>
      </c>
      <c r="Q418" s="195">
        <f>IF(B418="","",O418+C418*'入力・概要'!$B$37*1E-9)</f>
        <v/>
      </c>
      <c r="R418" s="195">
        <f>IF(B418="","",SQRT(P418^2+Q418^2))</f>
        <v/>
      </c>
      <c r="S418" s="195">
        <f>IF(B418="","",IF(P418&gt;0,DEGREES(ATAN(Q418/P418)),IF(P418&lt;0,IF(Q418&gt;=0,DEGREES(ATAN(Q418/P418))+180,DEGREES(ATAN(Q418/P418))-180),IF(Q418&gt;0,90,IF(Q418&lt;0,-90,0)))))</f>
        <v/>
      </c>
      <c r="T418" s="195">
        <f>IF(B418="","",LOG10(B418))</f>
        <v/>
      </c>
      <c r="U418" s="195">
        <f>IF(R418="","",LOG10(MAX(R418,1E-12)))</f>
        <v/>
      </c>
    </row>
    <row r="419">
      <c r="A419" t="n">
        <v>416</v>
      </c>
      <c r="B419" s="196">
        <f>IF(A419&lt;='入力・概要'!$B$40,10^(LOG10('入力・概要'!$B$38)+(A419-1)*(LOG10('入力・概要'!$B$39)-LOG10('入力・概要'!$B$38))/('入力・概要'!$B$40-1)),"")</f>
        <v/>
      </c>
      <c r="C419" s="195">
        <f>IF(B419="","",2*PI()*B419)</f>
        <v/>
      </c>
      <c r="D419" s="195">
        <f>IF(B419="","",ATANH(MIN(0.999999,(2*'入力・概要'!$B$17*'入力・概要'!$B$6)/'入力・概要'!$B$30))+'入力・概要'!$B$33*SQRT(B419/1E6)+(2*PI()*B419*'入力・概要'!$B$6/(299792458*'入力・概要'!$B$31))*'入力・概要'!$B$32/2)</f>
        <v/>
      </c>
      <c r="E419" s="195">
        <f>IF(B419="","",2*PI()*B419*'入力・概要'!$B$6/(299792458*'入力・概要'!$B$31))</f>
        <v/>
      </c>
      <c r="F419" s="195">
        <f>IF(B419="","",SINH(2*D419)/(COSH(2*D419)+COS(2*E419)))</f>
        <v/>
      </c>
      <c r="G419" s="195">
        <f>IF(B419="","",SIN(2*E419)/(COSH(2*D419)+COS(2*E419)))</f>
        <v/>
      </c>
      <c r="H419" s="195">
        <f>IF(B419="","",'入力・概要'!$B$34)</f>
        <v/>
      </c>
      <c r="I419" s="195">
        <f>IF(B419="","",C419*'入力・概要'!$B$35*1E-9)</f>
        <v/>
      </c>
      <c r="J419" s="195">
        <f>IF(B419="","",H419+'入力・概要'!$B$30*F419)</f>
        <v/>
      </c>
      <c r="K419" s="195">
        <f>IF(B419="","",I419+'入力・概要'!$B$30*G419)</f>
        <v/>
      </c>
      <c r="L419" s="195">
        <f>IF(B419="","",'入力・概要'!$B$30+H419*F419-I419*G419)</f>
        <v/>
      </c>
      <c r="M419" s="195">
        <f>IF(B419="","",H419*G419+I419*F419)</f>
        <v/>
      </c>
      <c r="N419" s="195">
        <f>IF(B419="","",'入力・概要'!$B$30*(J419*L419+K419*M419)/(L419^2+M419^2))</f>
        <v/>
      </c>
      <c r="O419" s="195">
        <f>IF(B419="","",'入力・概要'!$B$30*(K419*L419-J419*M419)/(L419^2+M419^2))</f>
        <v/>
      </c>
      <c r="P419" s="195">
        <f>IF(B419="","",N419+'入力・概要'!$B$36)</f>
        <v/>
      </c>
      <c r="Q419" s="195">
        <f>IF(B419="","",O419+C419*'入力・概要'!$B$37*1E-9)</f>
        <v/>
      </c>
      <c r="R419" s="195">
        <f>IF(B419="","",SQRT(P419^2+Q419^2))</f>
        <v/>
      </c>
      <c r="S419" s="195">
        <f>IF(B419="","",IF(P419&gt;0,DEGREES(ATAN(Q419/P419)),IF(P419&lt;0,IF(Q419&gt;=0,DEGREES(ATAN(Q419/P419))+180,DEGREES(ATAN(Q419/P419))-180),IF(Q419&gt;0,90,IF(Q419&lt;0,-90,0)))))</f>
        <v/>
      </c>
      <c r="T419" s="195">
        <f>IF(B419="","",LOG10(B419))</f>
        <v/>
      </c>
      <c r="U419" s="195">
        <f>IF(R419="","",LOG10(MAX(R419,1E-12)))</f>
        <v/>
      </c>
    </row>
    <row r="420">
      <c r="A420" t="n">
        <v>417</v>
      </c>
      <c r="B420" s="196">
        <f>IF(A420&lt;='入力・概要'!$B$40,10^(LOG10('入力・概要'!$B$38)+(A420-1)*(LOG10('入力・概要'!$B$39)-LOG10('入力・概要'!$B$38))/('入力・概要'!$B$40-1)),"")</f>
        <v/>
      </c>
      <c r="C420" s="195">
        <f>IF(B420="","",2*PI()*B420)</f>
        <v/>
      </c>
      <c r="D420" s="195">
        <f>IF(B420="","",ATANH(MIN(0.999999,(2*'入力・概要'!$B$17*'入力・概要'!$B$6)/'入力・概要'!$B$30))+'入力・概要'!$B$33*SQRT(B420/1E6)+(2*PI()*B420*'入力・概要'!$B$6/(299792458*'入力・概要'!$B$31))*'入力・概要'!$B$32/2)</f>
        <v/>
      </c>
      <c r="E420" s="195">
        <f>IF(B420="","",2*PI()*B420*'入力・概要'!$B$6/(299792458*'入力・概要'!$B$31))</f>
        <v/>
      </c>
      <c r="F420" s="195">
        <f>IF(B420="","",SINH(2*D420)/(COSH(2*D420)+COS(2*E420)))</f>
        <v/>
      </c>
      <c r="G420" s="195">
        <f>IF(B420="","",SIN(2*E420)/(COSH(2*D420)+COS(2*E420)))</f>
        <v/>
      </c>
      <c r="H420" s="195">
        <f>IF(B420="","",'入力・概要'!$B$34)</f>
        <v/>
      </c>
      <c r="I420" s="195">
        <f>IF(B420="","",C420*'入力・概要'!$B$35*1E-9)</f>
        <v/>
      </c>
      <c r="J420" s="195">
        <f>IF(B420="","",H420+'入力・概要'!$B$30*F420)</f>
        <v/>
      </c>
      <c r="K420" s="195">
        <f>IF(B420="","",I420+'入力・概要'!$B$30*G420)</f>
        <v/>
      </c>
      <c r="L420" s="195">
        <f>IF(B420="","",'入力・概要'!$B$30+H420*F420-I420*G420)</f>
        <v/>
      </c>
      <c r="M420" s="195">
        <f>IF(B420="","",H420*G420+I420*F420)</f>
        <v/>
      </c>
      <c r="N420" s="195">
        <f>IF(B420="","",'入力・概要'!$B$30*(J420*L420+K420*M420)/(L420^2+M420^2))</f>
        <v/>
      </c>
      <c r="O420" s="195">
        <f>IF(B420="","",'入力・概要'!$B$30*(K420*L420-J420*M420)/(L420^2+M420^2))</f>
        <v/>
      </c>
      <c r="P420" s="195">
        <f>IF(B420="","",N420+'入力・概要'!$B$36)</f>
        <v/>
      </c>
      <c r="Q420" s="195">
        <f>IF(B420="","",O420+C420*'入力・概要'!$B$37*1E-9)</f>
        <v/>
      </c>
      <c r="R420" s="195">
        <f>IF(B420="","",SQRT(P420^2+Q420^2))</f>
        <v/>
      </c>
      <c r="S420" s="195">
        <f>IF(B420="","",IF(P420&gt;0,DEGREES(ATAN(Q420/P420)),IF(P420&lt;0,IF(Q420&gt;=0,DEGREES(ATAN(Q420/P420))+180,DEGREES(ATAN(Q420/P420))-180),IF(Q420&gt;0,90,IF(Q420&lt;0,-90,0)))))</f>
        <v/>
      </c>
      <c r="T420" s="195">
        <f>IF(B420="","",LOG10(B420))</f>
        <v/>
      </c>
      <c r="U420" s="195">
        <f>IF(R420="","",LOG10(MAX(R420,1E-12)))</f>
        <v/>
      </c>
    </row>
    <row r="421">
      <c r="A421" t="n">
        <v>418</v>
      </c>
      <c r="B421" s="196">
        <f>IF(A421&lt;='入力・概要'!$B$40,10^(LOG10('入力・概要'!$B$38)+(A421-1)*(LOG10('入力・概要'!$B$39)-LOG10('入力・概要'!$B$38))/('入力・概要'!$B$40-1)),"")</f>
        <v/>
      </c>
      <c r="C421" s="195">
        <f>IF(B421="","",2*PI()*B421)</f>
        <v/>
      </c>
      <c r="D421" s="195">
        <f>IF(B421="","",ATANH(MIN(0.999999,(2*'入力・概要'!$B$17*'入力・概要'!$B$6)/'入力・概要'!$B$30))+'入力・概要'!$B$33*SQRT(B421/1E6)+(2*PI()*B421*'入力・概要'!$B$6/(299792458*'入力・概要'!$B$31))*'入力・概要'!$B$32/2)</f>
        <v/>
      </c>
      <c r="E421" s="195">
        <f>IF(B421="","",2*PI()*B421*'入力・概要'!$B$6/(299792458*'入力・概要'!$B$31))</f>
        <v/>
      </c>
      <c r="F421" s="195">
        <f>IF(B421="","",SINH(2*D421)/(COSH(2*D421)+COS(2*E421)))</f>
        <v/>
      </c>
      <c r="G421" s="195">
        <f>IF(B421="","",SIN(2*E421)/(COSH(2*D421)+COS(2*E421)))</f>
        <v/>
      </c>
      <c r="H421" s="195">
        <f>IF(B421="","",'入力・概要'!$B$34)</f>
        <v/>
      </c>
      <c r="I421" s="195">
        <f>IF(B421="","",C421*'入力・概要'!$B$35*1E-9)</f>
        <v/>
      </c>
      <c r="J421" s="195">
        <f>IF(B421="","",H421+'入力・概要'!$B$30*F421)</f>
        <v/>
      </c>
      <c r="K421" s="195">
        <f>IF(B421="","",I421+'入力・概要'!$B$30*G421)</f>
        <v/>
      </c>
      <c r="L421" s="195">
        <f>IF(B421="","",'入力・概要'!$B$30+H421*F421-I421*G421)</f>
        <v/>
      </c>
      <c r="M421" s="195">
        <f>IF(B421="","",H421*G421+I421*F421)</f>
        <v/>
      </c>
      <c r="N421" s="195">
        <f>IF(B421="","",'入力・概要'!$B$30*(J421*L421+K421*M421)/(L421^2+M421^2))</f>
        <v/>
      </c>
      <c r="O421" s="195">
        <f>IF(B421="","",'入力・概要'!$B$30*(K421*L421-J421*M421)/(L421^2+M421^2))</f>
        <v/>
      </c>
      <c r="P421" s="195">
        <f>IF(B421="","",N421+'入力・概要'!$B$36)</f>
        <v/>
      </c>
      <c r="Q421" s="195">
        <f>IF(B421="","",O421+C421*'入力・概要'!$B$37*1E-9)</f>
        <v/>
      </c>
      <c r="R421" s="195">
        <f>IF(B421="","",SQRT(P421^2+Q421^2))</f>
        <v/>
      </c>
      <c r="S421" s="195">
        <f>IF(B421="","",IF(P421&gt;0,DEGREES(ATAN(Q421/P421)),IF(P421&lt;0,IF(Q421&gt;=0,DEGREES(ATAN(Q421/P421))+180,DEGREES(ATAN(Q421/P421))-180),IF(Q421&gt;0,90,IF(Q421&lt;0,-90,0)))))</f>
        <v/>
      </c>
      <c r="T421" s="195">
        <f>IF(B421="","",LOG10(B421))</f>
        <v/>
      </c>
      <c r="U421" s="195">
        <f>IF(R421="","",LOG10(MAX(R421,1E-12)))</f>
        <v/>
      </c>
    </row>
    <row r="422">
      <c r="A422" t="n">
        <v>419</v>
      </c>
      <c r="B422" s="196">
        <f>IF(A422&lt;='入力・概要'!$B$40,10^(LOG10('入力・概要'!$B$38)+(A422-1)*(LOG10('入力・概要'!$B$39)-LOG10('入力・概要'!$B$38))/('入力・概要'!$B$40-1)),"")</f>
        <v/>
      </c>
      <c r="C422" s="195">
        <f>IF(B422="","",2*PI()*B422)</f>
        <v/>
      </c>
      <c r="D422" s="195">
        <f>IF(B422="","",ATANH(MIN(0.999999,(2*'入力・概要'!$B$17*'入力・概要'!$B$6)/'入力・概要'!$B$30))+'入力・概要'!$B$33*SQRT(B422/1E6)+(2*PI()*B422*'入力・概要'!$B$6/(299792458*'入力・概要'!$B$31))*'入力・概要'!$B$32/2)</f>
        <v/>
      </c>
      <c r="E422" s="195">
        <f>IF(B422="","",2*PI()*B422*'入力・概要'!$B$6/(299792458*'入力・概要'!$B$31))</f>
        <v/>
      </c>
      <c r="F422" s="195">
        <f>IF(B422="","",SINH(2*D422)/(COSH(2*D422)+COS(2*E422)))</f>
        <v/>
      </c>
      <c r="G422" s="195">
        <f>IF(B422="","",SIN(2*E422)/(COSH(2*D422)+COS(2*E422)))</f>
        <v/>
      </c>
      <c r="H422" s="195">
        <f>IF(B422="","",'入力・概要'!$B$34)</f>
        <v/>
      </c>
      <c r="I422" s="195">
        <f>IF(B422="","",C422*'入力・概要'!$B$35*1E-9)</f>
        <v/>
      </c>
      <c r="J422" s="195">
        <f>IF(B422="","",H422+'入力・概要'!$B$30*F422)</f>
        <v/>
      </c>
      <c r="K422" s="195">
        <f>IF(B422="","",I422+'入力・概要'!$B$30*G422)</f>
        <v/>
      </c>
      <c r="L422" s="195">
        <f>IF(B422="","",'入力・概要'!$B$30+H422*F422-I422*G422)</f>
        <v/>
      </c>
      <c r="M422" s="195">
        <f>IF(B422="","",H422*G422+I422*F422)</f>
        <v/>
      </c>
      <c r="N422" s="195">
        <f>IF(B422="","",'入力・概要'!$B$30*(J422*L422+K422*M422)/(L422^2+M422^2))</f>
        <v/>
      </c>
      <c r="O422" s="195">
        <f>IF(B422="","",'入力・概要'!$B$30*(K422*L422-J422*M422)/(L422^2+M422^2))</f>
        <v/>
      </c>
      <c r="P422" s="195">
        <f>IF(B422="","",N422+'入力・概要'!$B$36)</f>
        <v/>
      </c>
      <c r="Q422" s="195">
        <f>IF(B422="","",O422+C422*'入力・概要'!$B$37*1E-9)</f>
        <v/>
      </c>
      <c r="R422" s="195">
        <f>IF(B422="","",SQRT(P422^2+Q422^2))</f>
        <v/>
      </c>
      <c r="S422" s="195">
        <f>IF(B422="","",IF(P422&gt;0,DEGREES(ATAN(Q422/P422)),IF(P422&lt;0,IF(Q422&gt;=0,DEGREES(ATAN(Q422/P422))+180,DEGREES(ATAN(Q422/P422))-180),IF(Q422&gt;0,90,IF(Q422&lt;0,-90,0)))))</f>
        <v/>
      </c>
      <c r="T422" s="195">
        <f>IF(B422="","",LOG10(B422))</f>
        <v/>
      </c>
      <c r="U422" s="195">
        <f>IF(R422="","",LOG10(MAX(R422,1E-12)))</f>
        <v/>
      </c>
    </row>
    <row r="423">
      <c r="A423" t="n">
        <v>420</v>
      </c>
      <c r="B423" s="196">
        <f>IF(A423&lt;='入力・概要'!$B$40,10^(LOG10('入力・概要'!$B$38)+(A423-1)*(LOG10('入力・概要'!$B$39)-LOG10('入力・概要'!$B$38))/('入力・概要'!$B$40-1)),"")</f>
        <v/>
      </c>
      <c r="C423" s="195">
        <f>IF(B423="","",2*PI()*B423)</f>
        <v/>
      </c>
      <c r="D423" s="195">
        <f>IF(B423="","",ATANH(MIN(0.999999,(2*'入力・概要'!$B$17*'入力・概要'!$B$6)/'入力・概要'!$B$30))+'入力・概要'!$B$33*SQRT(B423/1E6)+(2*PI()*B423*'入力・概要'!$B$6/(299792458*'入力・概要'!$B$31))*'入力・概要'!$B$32/2)</f>
        <v/>
      </c>
      <c r="E423" s="195">
        <f>IF(B423="","",2*PI()*B423*'入力・概要'!$B$6/(299792458*'入力・概要'!$B$31))</f>
        <v/>
      </c>
      <c r="F423" s="195">
        <f>IF(B423="","",SINH(2*D423)/(COSH(2*D423)+COS(2*E423)))</f>
        <v/>
      </c>
      <c r="G423" s="195">
        <f>IF(B423="","",SIN(2*E423)/(COSH(2*D423)+COS(2*E423)))</f>
        <v/>
      </c>
      <c r="H423" s="195">
        <f>IF(B423="","",'入力・概要'!$B$34)</f>
        <v/>
      </c>
      <c r="I423" s="195">
        <f>IF(B423="","",C423*'入力・概要'!$B$35*1E-9)</f>
        <v/>
      </c>
      <c r="J423" s="195">
        <f>IF(B423="","",H423+'入力・概要'!$B$30*F423)</f>
        <v/>
      </c>
      <c r="K423" s="195">
        <f>IF(B423="","",I423+'入力・概要'!$B$30*G423)</f>
        <v/>
      </c>
      <c r="L423" s="195">
        <f>IF(B423="","",'入力・概要'!$B$30+H423*F423-I423*G423)</f>
        <v/>
      </c>
      <c r="M423" s="195">
        <f>IF(B423="","",H423*G423+I423*F423)</f>
        <v/>
      </c>
      <c r="N423" s="195">
        <f>IF(B423="","",'入力・概要'!$B$30*(J423*L423+K423*M423)/(L423^2+M423^2))</f>
        <v/>
      </c>
      <c r="O423" s="195">
        <f>IF(B423="","",'入力・概要'!$B$30*(K423*L423-J423*M423)/(L423^2+M423^2))</f>
        <v/>
      </c>
      <c r="P423" s="195">
        <f>IF(B423="","",N423+'入力・概要'!$B$36)</f>
        <v/>
      </c>
      <c r="Q423" s="195">
        <f>IF(B423="","",O423+C423*'入力・概要'!$B$37*1E-9)</f>
        <v/>
      </c>
      <c r="R423" s="195">
        <f>IF(B423="","",SQRT(P423^2+Q423^2))</f>
        <v/>
      </c>
      <c r="S423" s="195">
        <f>IF(B423="","",IF(P423&gt;0,DEGREES(ATAN(Q423/P423)),IF(P423&lt;0,IF(Q423&gt;=0,DEGREES(ATAN(Q423/P423))+180,DEGREES(ATAN(Q423/P423))-180),IF(Q423&gt;0,90,IF(Q423&lt;0,-90,0)))))</f>
        <v/>
      </c>
      <c r="T423" s="195">
        <f>IF(B423="","",LOG10(B423))</f>
        <v/>
      </c>
      <c r="U423" s="195">
        <f>IF(R423="","",LOG10(MAX(R423,1E-12)))</f>
        <v/>
      </c>
    </row>
    <row r="424">
      <c r="A424" t="n">
        <v>421</v>
      </c>
      <c r="B424" s="196">
        <f>IF(A424&lt;='入力・概要'!$B$40,10^(LOG10('入力・概要'!$B$38)+(A424-1)*(LOG10('入力・概要'!$B$39)-LOG10('入力・概要'!$B$38))/('入力・概要'!$B$40-1)),"")</f>
        <v/>
      </c>
      <c r="C424" s="195">
        <f>IF(B424="","",2*PI()*B424)</f>
        <v/>
      </c>
      <c r="D424" s="195">
        <f>IF(B424="","",ATANH(MIN(0.999999,(2*'入力・概要'!$B$17*'入力・概要'!$B$6)/'入力・概要'!$B$30))+'入力・概要'!$B$33*SQRT(B424/1E6)+(2*PI()*B424*'入力・概要'!$B$6/(299792458*'入力・概要'!$B$31))*'入力・概要'!$B$32/2)</f>
        <v/>
      </c>
      <c r="E424" s="195">
        <f>IF(B424="","",2*PI()*B424*'入力・概要'!$B$6/(299792458*'入力・概要'!$B$31))</f>
        <v/>
      </c>
      <c r="F424" s="195">
        <f>IF(B424="","",SINH(2*D424)/(COSH(2*D424)+COS(2*E424)))</f>
        <v/>
      </c>
      <c r="G424" s="195">
        <f>IF(B424="","",SIN(2*E424)/(COSH(2*D424)+COS(2*E424)))</f>
        <v/>
      </c>
      <c r="H424" s="195">
        <f>IF(B424="","",'入力・概要'!$B$34)</f>
        <v/>
      </c>
      <c r="I424" s="195">
        <f>IF(B424="","",C424*'入力・概要'!$B$35*1E-9)</f>
        <v/>
      </c>
      <c r="J424" s="195">
        <f>IF(B424="","",H424+'入力・概要'!$B$30*F424)</f>
        <v/>
      </c>
      <c r="K424" s="195">
        <f>IF(B424="","",I424+'入力・概要'!$B$30*G424)</f>
        <v/>
      </c>
      <c r="L424" s="195">
        <f>IF(B424="","",'入力・概要'!$B$30+H424*F424-I424*G424)</f>
        <v/>
      </c>
      <c r="M424" s="195">
        <f>IF(B424="","",H424*G424+I424*F424)</f>
        <v/>
      </c>
      <c r="N424" s="195">
        <f>IF(B424="","",'入力・概要'!$B$30*(J424*L424+K424*M424)/(L424^2+M424^2))</f>
        <v/>
      </c>
      <c r="O424" s="195">
        <f>IF(B424="","",'入力・概要'!$B$30*(K424*L424-J424*M424)/(L424^2+M424^2))</f>
        <v/>
      </c>
      <c r="P424" s="195">
        <f>IF(B424="","",N424+'入力・概要'!$B$36)</f>
        <v/>
      </c>
      <c r="Q424" s="195">
        <f>IF(B424="","",O424+C424*'入力・概要'!$B$37*1E-9)</f>
        <v/>
      </c>
      <c r="R424" s="195">
        <f>IF(B424="","",SQRT(P424^2+Q424^2))</f>
        <v/>
      </c>
      <c r="S424" s="195">
        <f>IF(B424="","",IF(P424&gt;0,DEGREES(ATAN(Q424/P424)),IF(P424&lt;0,IF(Q424&gt;=0,DEGREES(ATAN(Q424/P424))+180,DEGREES(ATAN(Q424/P424))-180),IF(Q424&gt;0,90,IF(Q424&lt;0,-90,0)))))</f>
        <v/>
      </c>
      <c r="T424" s="195">
        <f>IF(B424="","",LOG10(B424))</f>
        <v/>
      </c>
      <c r="U424" s="195">
        <f>IF(R424="","",LOG10(MAX(R424,1E-12)))</f>
        <v/>
      </c>
    </row>
    <row r="425">
      <c r="A425" t="n">
        <v>422</v>
      </c>
      <c r="B425" s="196">
        <f>IF(A425&lt;='入力・概要'!$B$40,10^(LOG10('入力・概要'!$B$38)+(A425-1)*(LOG10('入力・概要'!$B$39)-LOG10('入力・概要'!$B$38))/('入力・概要'!$B$40-1)),"")</f>
        <v/>
      </c>
      <c r="C425" s="195">
        <f>IF(B425="","",2*PI()*B425)</f>
        <v/>
      </c>
      <c r="D425" s="195">
        <f>IF(B425="","",ATANH(MIN(0.999999,(2*'入力・概要'!$B$17*'入力・概要'!$B$6)/'入力・概要'!$B$30))+'入力・概要'!$B$33*SQRT(B425/1E6)+(2*PI()*B425*'入力・概要'!$B$6/(299792458*'入力・概要'!$B$31))*'入力・概要'!$B$32/2)</f>
        <v/>
      </c>
      <c r="E425" s="195">
        <f>IF(B425="","",2*PI()*B425*'入力・概要'!$B$6/(299792458*'入力・概要'!$B$31))</f>
        <v/>
      </c>
      <c r="F425" s="195">
        <f>IF(B425="","",SINH(2*D425)/(COSH(2*D425)+COS(2*E425)))</f>
        <v/>
      </c>
      <c r="G425" s="195">
        <f>IF(B425="","",SIN(2*E425)/(COSH(2*D425)+COS(2*E425)))</f>
        <v/>
      </c>
      <c r="H425" s="195">
        <f>IF(B425="","",'入力・概要'!$B$34)</f>
        <v/>
      </c>
      <c r="I425" s="195">
        <f>IF(B425="","",C425*'入力・概要'!$B$35*1E-9)</f>
        <v/>
      </c>
      <c r="J425" s="195">
        <f>IF(B425="","",H425+'入力・概要'!$B$30*F425)</f>
        <v/>
      </c>
      <c r="K425" s="195">
        <f>IF(B425="","",I425+'入力・概要'!$B$30*G425)</f>
        <v/>
      </c>
      <c r="L425" s="195">
        <f>IF(B425="","",'入力・概要'!$B$30+H425*F425-I425*G425)</f>
        <v/>
      </c>
      <c r="M425" s="195">
        <f>IF(B425="","",H425*G425+I425*F425)</f>
        <v/>
      </c>
      <c r="N425" s="195">
        <f>IF(B425="","",'入力・概要'!$B$30*(J425*L425+K425*M425)/(L425^2+M425^2))</f>
        <v/>
      </c>
      <c r="O425" s="195">
        <f>IF(B425="","",'入力・概要'!$B$30*(K425*L425-J425*M425)/(L425^2+M425^2))</f>
        <v/>
      </c>
      <c r="P425" s="195">
        <f>IF(B425="","",N425+'入力・概要'!$B$36)</f>
        <v/>
      </c>
      <c r="Q425" s="195">
        <f>IF(B425="","",O425+C425*'入力・概要'!$B$37*1E-9)</f>
        <v/>
      </c>
      <c r="R425" s="195">
        <f>IF(B425="","",SQRT(P425^2+Q425^2))</f>
        <v/>
      </c>
      <c r="S425" s="195">
        <f>IF(B425="","",IF(P425&gt;0,DEGREES(ATAN(Q425/P425)),IF(P425&lt;0,IF(Q425&gt;=0,DEGREES(ATAN(Q425/P425))+180,DEGREES(ATAN(Q425/P425))-180),IF(Q425&gt;0,90,IF(Q425&lt;0,-90,0)))))</f>
        <v/>
      </c>
      <c r="T425" s="195">
        <f>IF(B425="","",LOG10(B425))</f>
        <v/>
      </c>
      <c r="U425" s="195">
        <f>IF(R425="","",LOG10(MAX(R425,1E-12)))</f>
        <v/>
      </c>
    </row>
    <row r="426">
      <c r="A426" t="n">
        <v>423</v>
      </c>
      <c r="B426" s="196">
        <f>IF(A426&lt;='入力・概要'!$B$40,10^(LOG10('入力・概要'!$B$38)+(A426-1)*(LOG10('入力・概要'!$B$39)-LOG10('入力・概要'!$B$38))/('入力・概要'!$B$40-1)),"")</f>
        <v/>
      </c>
      <c r="C426" s="195">
        <f>IF(B426="","",2*PI()*B426)</f>
        <v/>
      </c>
      <c r="D426" s="195">
        <f>IF(B426="","",ATANH(MIN(0.999999,(2*'入力・概要'!$B$17*'入力・概要'!$B$6)/'入力・概要'!$B$30))+'入力・概要'!$B$33*SQRT(B426/1E6)+(2*PI()*B426*'入力・概要'!$B$6/(299792458*'入力・概要'!$B$31))*'入力・概要'!$B$32/2)</f>
        <v/>
      </c>
      <c r="E426" s="195">
        <f>IF(B426="","",2*PI()*B426*'入力・概要'!$B$6/(299792458*'入力・概要'!$B$31))</f>
        <v/>
      </c>
      <c r="F426" s="195">
        <f>IF(B426="","",SINH(2*D426)/(COSH(2*D426)+COS(2*E426)))</f>
        <v/>
      </c>
      <c r="G426" s="195">
        <f>IF(B426="","",SIN(2*E426)/(COSH(2*D426)+COS(2*E426)))</f>
        <v/>
      </c>
      <c r="H426" s="195">
        <f>IF(B426="","",'入力・概要'!$B$34)</f>
        <v/>
      </c>
      <c r="I426" s="195">
        <f>IF(B426="","",C426*'入力・概要'!$B$35*1E-9)</f>
        <v/>
      </c>
      <c r="J426" s="195">
        <f>IF(B426="","",H426+'入力・概要'!$B$30*F426)</f>
        <v/>
      </c>
      <c r="K426" s="195">
        <f>IF(B426="","",I426+'入力・概要'!$B$30*G426)</f>
        <v/>
      </c>
      <c r="L426" s="195">
        <f>IF(B426="","",'入力・概要'!$B$30+H426*F426-I426*G426)</f>
        <v/>
      </c>
      <c r="M426" s="195">
        <f>IF(B426="","",H426*G426+I426*F426)</f>
        <v/>
      </c>
      <c r="N426" s="195">
        <f>IF(B426="","",'入力・概要'!$B$30*(J426*L426+K426*M426)/(L426^2+M426^2))</f>
        <v/>
      </c>
      <c r="O426" s="195">
        <f>IF(B426="","",'入力・概要'!$B$30*(K426*L426-J426*M426)/(L426^2+M426^2))</f>
        <v/>
      </c>
      <c r="P426" s="195">
        <f>IF(B426="","",N426+'入力・概要'!$B$36)</f>
        <v/>
      </c>
      <c r="Q426" s="195">
        <f>IF(B426="","",O426+C426*'入力・概要'!$B$37*1E-9)</f>
        <v/>
      </c>
      <c r="R426" s="195">
        <f>IF(B426="","",SQRT(P426^2+Q426^2))</f>
        <v/>
      </c>
      <c r="S426" s="195">
        <f>IF(B426="","",IF(P426&gt;0,DEGREES(ATAN(Q426/P426)),IF(P426&lt;0,IF(Q426&gt;=0,DEGREES(ATAN(Q426/P426))+180,DEGREES(ATAN(Q426/P426))-180),IF(Q426&gt;0,90,IF(Q426&lt;0,-90,0)))))</f>
        <v/>
      </c>
      <c r="T426" s="195">
        <f>IF(B426="","",LOG10(B426))</f>
        <v/>
      </c>
      <c r="U426" s="195">
        <f>IF(R426="","",LOG10(MAX(R426,1E-12)))</f>
        <v/>
      </c>
    </row>
    <row r="427">
      <c r="A427" t="n">
        <v>424</v>
      </c>
      <c r="B427" s="196">
        <f>IF(A427&lt;='入力・概要'!$B$40,10^(LOG10('入力・概要'!$B$38)+(A427-1)*(LOG10('入力・概要'!$B$39)-LOG10('入力・概要'!$B$38))/('入力・概要'!$B$40-1)),"")</f>
        <v/>
      </c>
      <c r="C427" s="195">
        <f>IF(B427="","",2*PI()*B427)</f>
        <v/>
      </c>
      <c r="D427" s="195">
        <f>IF(B427="","",ATANH(MIN(0.999999,(2*'入力・概要'!$B$17*'入力・概要'!$B$6)/'入力・概要'!$B$30))+'入力・概要'!$B$33*SQRT(B427/1E6)+(2*PI()*B427*'入力・概要'!$B$6/(299792458*'入力・概要'!$B$31))*'入力・概要'!$B$32/2)</f>
        <v/>
      </c>
      <c r="E427" s="195">
        <f>IF(B427="","",2*PI()*B427*'入力・概要'!$B$6/(299792458*'入力・概要'!$B$31))</f>
        <v/>
      </c>
      <c r="F427" s="195">
        <f>IF(B427="","",SINH(2*D427)/(COSH(2*D427)+COS(2*E427)))</f>
        <v/>
      </c>
      <c r="G427" s="195">
        <f>IF(B427="","",SIN(2*E427)/(COSH(2*D427)+COS(2*E427)))</f>
        <v/>
      </c>
      <c r="H427" s="195">
        <f>IF(B427="","",'入力・概要'!$B$34)</f>
        <v/>
      </c>
      <c r="I427" s="195">
        <f>IF(B427="","",C427*'入力・概要'!$B$35*1E-9)</f>
        <v/>
      </c>
      <c r="J427" s="195">
        <f>IF(B427="","",H427+'入力・概要'!$B$30*F427)</f>
        <v/>
      </c>
      <c r="K427" s="195">
        <f>IF(B427="","",I427+'入力・概要'!$B$30*G427)</f>
        <v/>
      </c>
      <c r="L427" s="195">
        <f>IF(B427="","",'入力・概要'!$B$30+H427*F427-I427*G427)</f>
        <v/>
      </c>
      <c r="M427" s="195">
        <f>IF(B427="","",H427*G427+I427*F427)</f>
        <v/>
      </c>
      <c r="N427" s="195">
        <f>IF(B427="","",'入力・概要'!$B$30*(J427*L427+K427*M427)/(L427^2+M427^2))</f>
        <v/>
      </c>
      <c r="O427" s="195">
        <f>IF(B427="","",'入力・概要'!$B$30*(K427*L427-J427*M427)/(L427^2+M427^2))</f>
        <v/>
      </c>
      <c r="P427" s="195">
        <f>IF(B427="","",N427+'入力・概要'!$B$36)</f>
        <v/>
      </c>
      <c r="Q427" s="195">
        <f>IF(B427="","",O427+C427*'入力・概要'!$B$37*1E-9)</f>
        <v/>
      </c>
      <c r="R427" s="195">
        <f>IF(B427="","",SQRT(P427^2+Q427^2))</f>
        <v/>
      </c>
      <c r="S427" s="195">
        <f>IF(B427="","",IF(P427&gt;0,DEGREES(ATAN(Q427/P427)),IF(P427&lt;0,IF(Q427&gt;=0,DEGREES(ATAN(Q427/P427))+180,DEGREES(ATAN(Q427/P427))-180),IF(Q427&gt;0,90,IF(Q427&lt;0,-90,0)))))</f>
        <v/>
      </c>
      <c r="T427" s="195">
        <f>IF(B427="","",LOG10(B427))</f>
        <v/>
      </c>
      <c r="U427" s="195">
        <f>IF(R427="","",LOG10(MAX(R427,1E-12)))</f>
        <v/>
      </c>
    </row>
    <row r="428">
      <c r="A428" t="n">
        <v>425</v>
      </c>
      <c r="B428" s="196">
        <f>IF(A428&lt;='入力・概要'!$B$40,10^(LOG10('入力・概要'!$B$38)+(A428-1)*(LOG10('入力・概要'!$B$39)-LOG10('入力・概要'!$B$38))/('入力・概要'!$B$40-1)),"")</f>
        <v/>
      </c>
      <c r="C428" s="195">
        <f>IF(B428="","",2*PI()*B428)</f>
        <v/>
      </c>
      <c r="D428" s="195">
        <f>IF(B428="","",ATANH(MIN(0.999999,(2*'入力・概要'!$B$17*'入力・概要'!$B$6)/'入力・概要'!$B$30))+'入力・概要'!$B$33*SQRT(B428/1E6)+(2*PI()*B428*'入力・概要'!$B$6/(299792458*'入力・概要'!$B$31))*'入力・概要'!$B$32/2)</f>
        <v/>
      </c>
      <c r="E428" s="195">
        <f>IF(B428="","",2*PI()*B428*'入力・概要'!$B$6/(299792458*'入力・概要'!$B$31))</f>
        <v/>
      </c>
      <c r="F428" s="195">
        <f>IF(B428="","",SINH(2*D428)/(COSH(2*D428)+COS(2*E428)))</f>
        <v/>
      </c>
      <c r="G428" s="195">
        <f>IF(B428="","",SIN(2*E428)/(COSH(2*D428)+COS(2*E428)))</f>
        <v/>
      </c>
      <c r="H428" s="195">
        <f>IF(B428="","",'入力・概要'!$B$34)</f>
        <v/>
      </c>
      <c r="I428" s="195">
        <f>IF(B428="","",C428*'入力・概要'!$B$35*1E-9)</f>
        <v/>
      </c>
      <c r="J428" s="195">
        <f>IF(B428="","",H428+'入力・概要'!$B$30*F428)</f>
        <v/>
      </c>
      <c r="K428" s="195">
        <f>IF(B428="","",I428+'入力・概要'!$B$30*G428)</f>
        <v/>
      </c>
      <c r="L428" s="195">
        <f>IF(B428="","",'入力・概要'!$B$30+H428*F428-I428*G428)</f>
        <v/>
      </c>
      <c r="M428" s="195">
        <f>IF(B428="","",H428*G428+I428*F428)</f>
        <v/>
      </c>
      <c r="N428" s="195">
        <f>IF(B428="","",'入力・概要'!$B$30*(J428*L428+K428*M428)/(L428^2+M428^2))</f>
        <v/>
      </c>
      <c r="O428" s="195">
        <f>IF(B428="","",'入力・概要'!$B$30*(K428*L428-J428*M428)/(L428^2+M428^2))</f>
        <v/>
      </c>
      <c r="P428" s="195">
        <f>IF(B428="","",N428+'入力・概要'!$B$36)</f>
        <v/>
      </c>
      <c r="Q428" s="195">
        <f>IF(B428="","",O428+C428*'入力・概要'!$B$37*1E-9)</f>
        <v/>
      </c>
      <c r="R428" s="195">
        <f>IF(B428="","",SQRT(P428^2+Q428^2))</f>
        <v/>
      </c>
      <c r="S428" s="195">
        <f>IF(B428="","",IF(P428&gt;0,DEGREES(ATAN(Q428/P428)),IF(P428&lt;0,IF(Q428&gt;=0,DEGREES(ATAN(Q428/P428))+180,DEGREES(ATAN(Q428/P428))-180),IF(Q428&gt;0,90,IF(Q428&lt;0,-90,0)))))</f>
        <v/>
      </c>
      <c r="T428" s="195">
        <f>IF(B428="","",LOG10(B428))</f>
        <v/>
      </c>
      <c r="U428" s="195">
        <f>IF(R428="","",LOG10(MAX(R428,1E-12)))</f>
        <v/>
      </c>
    </row>
    <row r="429">
      <c r="A429" t="n">
        <v>426</v>
      </c>
      <c r="B429" s="196">
        <f>IF(A429&lt;='入力・概要'!$B$40,10^(LOG10('入力・概要'!$B$38)+(A429-1)*(LOG10('入力・概要'!$B$39)-LOG10('入力・概要'!$B$38))/('入力・概要'!$B$40-1)),"")</f>
        <v/>
      </c>
      <c r="C429" s="195">
        <f>IF(B429="","",2*PI()*B429)</f>
        <v/>
      </c>
      <c r="D429" s="195">
        <f>IF(B429="","",ATANH(MIN(0.999999,(2*'入力・概要'!$B$17*'入力・概要'!$B$6)/'入力・概要'!$B$30))+'入力・概要'!$B$33*SQRT(B429/1E6)+(2*PI()*B429*'入力・概要'!$B$6/(299792458*'入力・概要'!$B$31))*'入力・概要'!$B$32/2)</f>
        <v/>
      </c>
      <c r="E429" s="195">
        <f>IF(B429="","",2*PI()*B429*'入力・概要'!$B$6/(299792458*'入力・概要'!$B$31))</f>
        <v/>
      </c>
      <c r="F429" s="195">
        <f>IF(B429="","",SINH(2*D429)/(COSH(2*D429)+COS(2*E429)))</f>
        <v/>
      </c>
      <c r="G429" s="195">
        <f>IF(B429="","",SIN(2*E429)/(COSH(2*D429)+COS(2*E429)))</f>
        <v/>
      </c>
      <c r="H429" s="195">
        <f>IF(B429="","",'入力・概要'!$B$34)</f>
        <v/>
      </c>
      <c r="I429" s="195">
        <f>IF(B429="","",C429*'入力・概要'!$B$35*1E-9)</f>
        <v/>
      </c>
      <c r="J429" s="195">
        <f>IF(B429="","",H429+'入力・概要'!$B$30*F429)</f>
        <v/>
      </c>
      <c r="K429" s="195">
        <f>IF(B429="","",I429+'入力・概要'!$B$30*G429)</f>
        <v/>
      </c>
      <c r="L429" s="195">
        <f>IF(B429="","",'入力・概要'!$B$30+H429*F429-I429*G429)</f>
        <v/>
      </c>
      <c r="M429" s="195">
        <f>IF(B429="","",H429*G429+I429*F429)</f>
        <v/>
      </c>
      <c r="N429" s="195">
        <f>IF(B429="","",'入力・概要'!$B$30*(J429*L429+K429*M429)/(L429^2+M429^2))</f>
        <v/>
      </c>
      <c r="O429" s="195">
        <f>IF(B429="","",'入力・概要'!$B$30*(K429*L429-J429*M429)/(L429^2+M429^2))</f>
        <v/>
      </c>
      <c r="P429" s="195">
        <f>IF(B429="","",N429+'入力・概要'!$B$36)</f>
        <v/>
      </c>
      <c r="Q429" s="195">
        <f>IF(B429="","",O429+C429*'入力・概要'!$B$37*1E-9)</f>
        <v/>
      </c>
      <c r="R429" s="195">
        <f>IF(B429="","",SQRT(P429^2+Q429^2))</f>
        <v/>
      </c>
      <c r="S429" s="195">
        <f>IF(B429="","",IF(P429&gt;0,DEGREES(ATAN(Q429/P429)),IF(P429&lt;0,IF(Q429&gt;=0,DEGREES(ATAN(Q429/P429))+180,DEGREES(ATAN(Q429/P429))-180),IF(Q429&gt;0,90,IF(Q429&lt;0,-90,0)))))</f>
        <v/>
      </c>
      <c r="T429" s="195">
        <f>IF(B429="","",LOG10(B429))</f>
        <v/>
      </c>
      <c r="U429" s="195">
        <f>IF(R429="","",LOG10(MAX(R429,1E-12)))</f>
        <v/>
      </c>
    </row>
    <row r="430">
      <c r="A430" t="n">
        <v>427</v>
      </c>
      <c r="B430" s="196">
        <f>IF(A430&lt;='入力・概要'!$B$40,10^(LOG10('入力・概要'!$B$38)+(A430-1)*(LOG10('入力・概要'!$B$39)-LOG10('入力・概要'!$B$38))/('入力・概要'!$B$40-1)),"")</f>
        <v/>
      </c>
      <c r="C430" s="195">
        <f>IF(B430="","",2*PI()*B430)</f>
        <v/>
      </c>
      <c r="D430" s="195">
        <f>IF(B430="","",ATANH(MIN(0.999999,(2*'入力・概要'!$B$17*'入力・概要'!$B$6)/'入力・概要'!$B$30))+'入力・概要'!$B$33*SQRT(B430/1E6)+(2*PI()*B430*'入力・概要'!$B$6/(299792458*'入力・概要'!$B$31))*'入力・概要'!$B$32/2)</f>
        <v/>
      </c>
      <c r="E430" s="195">
        <f>IF(B430="","",2*PI()*B430*'入力・概要'!$B$6/(299792458*'入力・概要'!$B$31))</f>
        <v/>
      </c>
      <c r="F430" s="195">
        <f>IF(B430="","",SINH(2*D430)/(COSH(2*D430)+COS(2*E430)))</f>
        <v/>
      </c>
      <c r="G430" s="195">
        <f>IF(B430="","",SIN(2*E430)/(COSH(2*D430)+COS(2*E430)))</f>
        <v/>
      </c>
      <c r="H430" s="195">
        <f>IF(B430="","",'入力・概要'!$B$34)</f>
        <v/>
      </c>
      <c r="I430" s="195">
        <f>IF(B430="","",C430*'入力・概要'!$B$35*1E-9)</f>
        <v/>
      </c>
      <c r="J430" s="195">
        <f>IF(B430="","",H430+'入力・概要'!$B$30*F430)</f>
        <v/>
      </c>
      <c r="K430" s="195">
        <f>IF(B430="","",I430+'入力・概要'!$B$30*G430)</f>
        <v/>
      </c>
      <c r="L430" s="195">
        <f>IF(B430="","",'入力・概要'!$B$30+H430*F430-I430*G430)</f>
        <v/>
      </c>
      <c r="M430" s="195">
        <f>IF(B430="","",H430*G430+I430*F430)</f>
        <v/>
      </c>
      <c r="N430" s="195">
        <f>IF(B430="","",'入力・概要'!$B$30*(J430*L430+K430*M430)/(L430^2+M430^2))</f>
        <v/>
      </c>
      <c r="O430" s="195">
        <f>IF(B430="","",'入力・概要'!$B$30*(K430*L430-J430*M430)/(L430^2+M430^2))</f>
        <v/>
      </c>
      <c r="P430" s="195">
        <f>IF(B430="","",N430+'入力・概要'!$B$36)</f>
        <v/>
      </c>
      <c r="Q430" s="195">
        <f>IF(B430="","",O430+C430*'入力・概要'!$B$37*1E-9)</f>
        <v/>
      </c>
      <c r="R430" s="195">
        <f>IF(B430="","",SQRT(P430^2+Q430^2))</f>
        <v/>
      </c>
      <c r="S430" s="195">
        <f>IF(B430="","",IF(P430&gt;0,DEGREES(ATAN(Q430/P430)),IF(P430&lt;0,IF(Q430&gt;=0,DEGREES(ATAN(Q430/P430))+180,DEGREES(ATAN(Q430/P430))-180),IF(Q430&gt;0,90,IF(Q430&lt;0,-90,0)))))</f>
        <v/>
      </c>
      <c r="T430" s="195">
        <f>IF(B430="","",LOG10(B430))</f>
        <v/>
      </c>
      <c r="U430" s="195">
        <f>IF(R430="","",LOG10(MAX(R430,1E-12)))</f>
        <v/>
      </c>
    </row>
    <row r="431">
      <c r="A431" t="n">
        <v>428</v>
      </c>
      <c r="B431" s="196">
        <f>IF(A431&lt;='入力・概要'!$B$40,10^(LOG10('入力・概要'!$B$38)+(A431-1)*(LOG10('入力・概要'!$B$39)-LOG10('入力・概要'!$B$38))/('入力・概要'!$B$40-1)),"")</f>
        <v/>
      </c>
      <c r="C431" s="195">
        <f>IF(B431="","",2*PI()*B431)</f>
        <v/>
      </c>
      <c r="D431" s="195">
        <f>IF(B431="","",ATANH(MIN(0.999999,(2*'入力・概要'!$B$17*'入力・概要'!$B$6)/'入力・概要'!$B$30))+'入力・概要'!$B$33*SQRT(B431/1E6)+(2*PI()*B431*'入力・概要'!$B$6/(299792458*'入力・概要'!$B$31))*'入力・概要'!$B$32/2)</f>
        <v/>
      </c>
      <c r="E431" s="195">
        <f>IF(B431="","",2*PI()*B431*'入力・概要'!$B$6/(299792458*'入力・概要'!$B$31))</f>
        <v/>
      </c>
      <c r="F431" s="195">
        <f>IF(B431="","",SINH(2*D431)/(COSH(2*D431)+COS(2*E431)))</f>
        <v/>
      </c>
      <c r="G431" s="195">
        <f>IF(B431="","",SIN(2*E431)/(COSH(2*D431)+COS(2*E431)))</f>
        <v/>
      </c>
      <c r="H431" s="195">
        <f>IF(B431="","",'入力・概要'!$B$34)</f>
        <v/>
      </c>
      <c r="I431" s="195">
        <f>IF(B431="","",C431*'入力・概要'!$B$35*1E-9)</f>
        <v/>
      </c>
      <c r="J431" s="195">
        <f>IF(B431="","",H431+'入力・概要'!$B$30*F431)</f>
        <v/>
      </c>
      <c r="K431" s="195">
        <f>IF(B431="","",I431+'入力・概要'!$B$30*G431)</f>
        <v/>
      </c>
      <c r="L431" s="195">
        <f>IF(B431="","",'入力・概要'!$B$30+H431*F431-I431*G431)</f>
        <v/>
      </c>
      <c r="M431" s="195">
        <f>IF(B431="","",H431*G431+I431*F431)</f>
        <v/>
      </c>
      <c r="N431" s="195">
        <f>IF(B431="","",'入力・概要'!$B$30*(J431*L431+K431*M431)/(L431^2+M431^2))</f>
        <v/>
      </c>
      <c r="O431" s="195">
        <f>IF(B431="","",'入力・概要'!$B$30*(K431*L431-J431*M431)/(L431^2+M431^2))</f>
        <v/>
      </c>
      <c r="P431" s="195">
        <f>IF(B431="","",N431+'入力・概要'!$B$36)</f>
        <v/>
      </c>
      <c r="Q431" s="195">
        <f>IF(B431="","",O431+C431*'入力・概要'!$B$37*1E-9)</f>
        <v/>
      </c>
      <c r="R431" s="195">
        <f>IF(B431="","",SQRT(P431^2+Q431^2))</f>
        <v/>
      </c>
      <c r="S431" s="195">
        <f>IF(B431="","",IF(P431&gt;0,DEGREES(ATAN(Q431/P431)),IF(P431&lt;0,IF(Q431&gt;=0,DEGREES(ATAN(Q431/P431))+180,DEGREES(ATAN(Q431/P431))-180),IF(Q431&gt;0,90,IF(Q431&lt;0,-90,0)))))</f>
        <v/>
      </c>
      <c r="T431" s="195">
        <f>IF(B431="","",LOG10(B431))</f>
        <v/>
      </c>
      <c r="U431" s="195">
        <f>IF(R431="","",LOG10(MAX(R431,1E-12)))</f>
        <v/>
      </c>
    </row>
    <row r="432">
      <c r="A432" t="n">
        <v>429</v>
      </c>
      <c r="B432" s="196">
        <f>IF(A432&lt;='入力・概要'!$B$40,10^(LOG10('入力・概要'!$B$38)+(A432-1)*(LOG10('入力・概要'!$B$39)-LOG10('入力・概要'!$B$38))/('入力・概要'!$B$40-1)),"")</f>
        <v/>
      </c>
      <c r="C432" s="195">
        <f>IF(B432="","",2*PI()*B432)</f>
        <v/>
      </c>
      <c r="D432" s="195">
        <f>IF(B432="","",ATANH(MIN(0.999999,(2*'入力・概要'!$B$17*'入力・概要'!$B$6)/'入力・概要'!$B$30))+'入力・概要'!$B$33*SQRT(B432/1E6)+(2*PI()*B432*'入力・概要'!$B$6/(299792458*'入力・概要'!$B$31))*'入力・概要'!$B$32/2)</f>
        <v/>
      </c>
      <c r="E432" s="195">
        <f>IF(B432="","",2*PI()*B432*'入力・概要'!$B$6/(299792458*'入力・概要'!$B$31))</f>
        <v/>
      </c>
      <c r="F432" s="195">
        <f>IF(B432="","",SINH(2*D432)/(COSH(2*D432)+COS(2*E432)))</f>
        <v/>
      </c>
      <c r="G432" s="195">
        <f>IF(B432="","",SIN(2*E432)/(COSH(2*D432)+COS(2*E432)))</f>
        <v/>
      </c>
      <c r="H432" s="195">
        <f>IF(B432="","",'入力・概要'!$B$34)</f>
        <v/>
      </c>
      <c r="I432" s="195">
        <f>IF(B432="","",C432*'入力・概要'!$B$35*1E-9)</f>
        <v/>
      </c>
      <c r="J432" s="195">
        <f>IF(B432="","",H432+'入力・概要'!$B$30*F432)</f>
        <v/>
      </c>
      <c r="K432" s="195">
        <f>IF(B432="","",I432+'入力・概要'!$B$30*G432)</f>
        <v/>
      </c>
      <c r="L432" s="195">
        <f>IF(B432="","",'入力・概要'!$B$30+H432*F432-I432*G432)</f>
        <v/>
      </c>
      <c r="M432" s="195">
        <f>IF(B432="","",H432*G432+I432*F432)</f>
        <v/>
      </c>
      <c r="N432" s="195">
        <f>IF(B432="","",'入力・概要'!$B$30*(J432*L432+K432*M432)/(L432^2+M432^2))</f>
        <v/>
      </c>
      <c r="O432" s="195">
        <f>IF(B432="","",'入力・概要'!$B$30*(K432*L432-J432*M432)/(L432^2+M432^2))</f>
        <v/>
      </c>
      <c r="P432" s="195">
        <f>IF(B432="","",N432+'入力・概要'!$B$36)</f>
        <v/>
      </c>
      <c r="Q432" s="195">
        <f>IF(B432="","",O432+C432*'入力・概要'!$B$37*1E-9)</f>
        <v/>
      </c>
      <c r="R432" s="195">
        <f>IF(B432="","",SQRT(P432^2+Q432^2))</f>
        <v/>
      </c>
      <c r="S432" s="195">
        <f>IF(B432="","",IF(P432&gt;0,DEGREES(ATAN(Q432/P432)),IF(P432&lt;0,IF(Q432&gt;=0,DEGREES(ATAN(Q432/P432))+180,DEGREES(ATAN(Q432/P432))-180),IF(Q432&gt;0,90,IF(Q432&lt;0,-90,0)))))</f>
        <v/>
      </c>
      <c r="T432" s="195">
        <f>IF(B432="","",LOG10(B432))</f>
        <v/>
      </c>
      <c r="U432" s="195">
        <f>IF(R432="","",LOG10(MAX(R432,1E-12)))</f>
        <v/>
      </c>
    </row>
    <row r="433">
      <c r="A433" t="n">
        <v>430</v>
      </c>
      <c r="B433" s="196">
        <f>IF(A433&lt;='入力・概要'!$B$40,10^(LOG10('入力・概要'!$B$38)+(A433-1)*(LOG10('入力・概要'!$B$39)-LOG10('入力・概要'!$B$38))/('入力・概要'!$B$40-1)),"")</f>
        <v/>
      </c>
      <c r="C433" s="195">
        <f>IF(B433="","",2*PI()*B433)</f>
        <v/>
      </c>
      <c r="D433" s="195">
        <f>IF(B433="","",ATANH(MIN(0.999999,(2*'入力・概要'!$B$17*'入力・概要'!$B$6)/'入力・概要'!$B$30))+'入力・概要'!$B$33*SQRT(B433/1E6)+(2*PI()*B433*'入力・概要'!$B$6/(299792458*'入力・概要'!$B$31))*'入力・概要'!$B$32/2)</f>
        <v/>
      </c>
      <c r="E433" s="195">
        <f>IF(B433="","",2*PI()*B433*'入力・概要'!$B$6/(299792458*'入力・概要'!$B$31))</f>
        <v/>
      </c>
      <c r="F433" s="195">
        <f>IF(B433="","",SINH(2*D433)/(COSH(2*D433)+COS(2*E433)))</f>
        <v/>
      </c>
      <c r="G433" s="195">
        <f>IF(B433="","",SIN(2*E433)/(COSH(2*D433)+COS(2*E433)))</f>
        <v/>
      </c>
      <c r="H433" s="195">
        <f>IF(B433="","",'入力・概要'!$B$34)</f>
        <v/>
      </c>
      <c r="I433" s="195">
        <f>IF(B433="","",C433*'入力・概要'!$B$35*1E-9)</f>
        <v/>
      </c>
      <c r="J433" s="195">
        <f>IF(B433="","",H433+'入力・概要'!$B$30*F433)</f>
        <v/>
      </c>
      <c r="K433" s="195">
        <f>IF(B433="","",I433+'入力・概要'!$B$30*G433)</f>
        <v/>
      </c>
      <c r="L433" s="195">
        <f>IF(B433="","",'入力・概要'!$B$30+H433*F433-I433*G433)</f>
        <v/>
      </c>
      <c r="M433" s="195">
        <f>IF(B433="","",H433*G433+I433*F433)</f>
        <v/>
      </c>
      <c r="N433" s="195">
        <f>IF(B433="","",'入力・概要'!$B$30*(J433*L433+K433*M433)/(L433^2+M433^2))</f>
        <v/>
      </c>
      <c r="O433" s="195">
        <f>IF(B433="","",'入力・概要'!$B$30*(K433*L433-J433*M433)/(L433^2+M433^2))</f>
        <v/>
      </c>
      <c r="P433" s="195">
        <f>IF(B433="","",N433+'入力・概要'!$B$36)</f>
        <v/>
      </c>
      <c r="Q433" s="195">
        <f>IF(B433="","",O433+C433*'入力・概要'!$B$37*1E-9)</f>
        <v/>
      </c>
      <c r="R433" s="195">
        <f>IF(B433="","",SQRT(P433^2+Q433^2))</f>
        <v/>
      </c>
      <c r="S433" s="195">
        <f>IF(B433="","",IF(P433&gt;0,DEGREES(ATAN(Q433/P433)),IF(P433&lt;0,IF(Q433&gt;=0,DEGREES(ATAN(Q433/P433))+180,DEGREES(ATAN(Q433/P433))-180),IF(Q433&gt;0,90,IF(Q433&lt;0,-90,0)))))</f>
        <v/>
      </c>
      <c r="T433" s="195">
        <f>IF(B433="","",LOG10(B433))</f>
        <v/>
      </c>
      <c r="U433" s="195">
        <f>IF(R433="","",LOG10(MAX(R433,1E-12)))</f>
        <v/>
      </c>
    </row>
    <row r="434">
      <c r="A434" t="n">
        <v>431</v>
      </c>
      <c r="B434" s="196">
        <f>IF(A434&lt;='入力・概要'!$B$40,10^(LOG10('入力・概要'!$B$38)+(A434-1)*(LOG10('入力・概要'!$B$39)-LOG10('入力・概要'!$B$38))/('入力・概要'!$B$40-1)),"")</f>
        <v/>
      </c>
      <c r="C434" s="195">
        <f>IF(B434="","",2*PI()*B434)</f>
        <v/>
      </c>
      <c r="D434" s="195">
        <f>IF(B434="","",ATANH(MIN(0.999999,(2*'入力・概要'!$B$17*'入力・概要'!$B$6)/'入力・概要'!$B$30))+'入力・概要'!$B$33*SQRT(B434/1E6)+(2*PI()*B434*'入力・概要'!$B$6/(299792458*'入力・概要'!$B$31))*'入力・概要'!$B$32/2)</f>
        <v/>
      </c>
      <c r="E434" s="195">
        <f>IF(B434="","",2*PI()*B434*'入力・概要'!$B$6/(299792458*'入力・概要'!$B$31))</f>
        <v/>
      </c>
      <c r="F434" s="195">
        <f>IF(B434="","",SINH(2*D434)/(COSH(2*D434)+COS(2*E434)))</f>
        <v/>
      </c>
      <c r="G434" s="195">
        <f>IF(B434="","",SIN(2*E434)/(COSH(2*D434)+COS(2*E434)))</f>
        <v/>
      </c>
      <c r="H434" s="195">
        <f>IF(B434="","",'入力・概要'!$B$34)</f>
        <v/>
      </c>
      <c r="I434" s="195">
        <f>IF(B434="","",C434*'入力・概要'!$B$35*1E-9)</f>
        <v/>
      </c>
      <c r="J434" s="195">
        <f>IF(B434="","",H434+'入力・概要'!$B$30*F434)</f>
        <v/>
      </c>
      <c r="K434" s="195">
        <f>IF(B434="","",I434+'入力・概要'!$B$30*G434)</f>
        <v/>
      </c>
      <c r="L434" s="195">
        <f>IF(B434="","",'入力・概要'!$B$30+H434*F434-I434*G434)</f>
        <v/>
      </c>
      <c r="M434" s="195">
        <f>IF(B434="","",H434*G434+I434*F434)</f>
        <v/>
      </c>
      <c r="N434" s="195">
        <f>IF(B434="","",'入力・概要'!$B$30*(J434*L434+K434*M434)/(L434^2+M434^2))</f>
        <v/>
      </c>
      <c r="O434" s="195">
        <f>IF(B434="","",'入力・概要'!$B$30*(K434*L434-J434*M434)/(L434^2+M434^2))</f>
        <v/>
      </c>
      <c r="P434" s="195">
        <f>IF(B434="","",N434+'入力・概要'!$B$36)</f>
        <v/>
      </c>
      <c r="Q434" s="195">
        <f>IF(B434="","",O434+C434*'入力・概要'!$B$37*1E-9)</f>
        <v/>
      </c>
      <c r="R434" s="195">
        <f>IF(B434="","",SQRT(P434^2+Q434^2))</f>
        <v/>
      </c>
      <c r="S434" s="195">
        <f>IF(B434="","",IF(P434&gt;0,DEGREES(ATAN(Q434/P434)),IF(P434&lt;0,IF(Q434&gt;=0,DEGREES(ATAN(Q434/P434))+180,DEGREES(ATAN(Q434/P434))-180),IF(Q434&gt;0,90,IF(Q434&lt;0,-90,0)))))</f>
        <v/>
      </c>
      <c r="T434" s="195">
        <f>IF(B434="","",LOG10(B434))</f>
        <v/>
      </c>
      <c r="U434" s="195">
        <f>IF(R434="","",LOG10(MAX(R434,1E-12)))</f>
        <v/>
      </c>
    </row>
    <row r="435">
      <c r="A435" t="n">
        <v>432</v>
      </c>
      <c r="B435" s="196">
        <f>IF(A435&lt;='入力・概要'!$B$40,10^(LOG10('入力・概要'!$B$38)+(A435-1)*(LOG10('入力・概要'!$B$39)-LOG10('入力・概要'!$B$38))/('入力・概要'!$B$40-1)),"")</f>
        <v/>
      </c>
      <c r="C435" s="195">
        <f>IF(B435="","",2*PI()*B435)</f>
        <v/>
      </c>
      <c r="D435" s="195">
        <f>IF(B435="","",ATANH(MIN(0.999999,(2*'入力・概要'!$B$17*'入力・概要'!$B$6)/'入力・概要'!$B$30))+'入力・概要'!$B$33*SQRT(B435/1E6)+(2*PI()*B435*'入力・概要'!$B$6/(299792458*'入力・概要'!$B$31))*'入力・概要'!$B$32/2)</f>
        <v/>
      </c>
      <c r="E435" s="195">
        <f>IF(B435="","",2*PI()*B435*'入力・概要'!$B$6/(299792458*'入力・概要'!$B$31))</f>
        <v/>
      </c>
      <c r="F435" s="195">
        <f>IF(B435="","",SINH(2*D435)/(COSH(2*D435)+COS(2*E435)))</f>
        <v/>
      </c>
      <c r="G435" s="195">
        <f>IF(B435="","",SIN(2*E435)/(COSH(2*D435)+COS(2*E435)))</f>
        <v/>
      </c>
      <c r="H435" s="195">
        <f>IF(B435="","",'入力・概要'!$B$34)</f>
        <v/>
      </c>
      <c r="I435" s="195">
        <f>IF(B435="","",C435*'入力・概要'!$B$35*1E-9)</f>
        <v/>
      </c>
      <c r="J435" s="195">
        <f>IF(B435="","",H435+'入力・概要'!$B$30*F435)</f>
        <v/>
      </c>
      <c r="K435" s="195">
        <f>IF(B435="","",I435+'入力・概要'!$B$30*G435)</f>
        <v/>
      </c>
      <c r="L435" s="195">
        <f>IF(B435="","",'入力・概要'!$B$30+H435*F435-I435*G435)</f>
        <v/>
      </c>
      <c r="M435" s="195">
        <f>IF(B435="","",H435*G435+I435*F435)</f>
        <v/>
      </c>
      <c r="N435" s="195">
        <f>IF(B435="","",'入力・概要'!$B$30*(J435*L435+K435*M435)/(L435^2+M435^2))</f>
        <v/>
      </c>
      <c r="O435" s="195">
        <f>IF(B435="","",'入力・概要'!$B$30*(K435*L435-J435*M435)/(L435^2+M435^2))</f>
        <v/>
      </c>
      <c r="P435" s="195">
        <f>IF(B435="","",N435+'入力・概要'!$B$36)</f>
        <v/>
      </c>
      <c r="Q435" s="195">
        <f>IF(B435="","",O435+C435*'入力・概要'!$B$37*1E-9)</f>
        <v/>
      </c>
      <c r="R435" s="195">
        <f>IF(B435="","",SQRT(P435^2+Q435^2))</f>
        <v/>
      </c>
      <c r="S435" s="195">
        <f>IF(B435="","",IF(P435&gt;0,DEGREES(ATAN(Q435/P435)),IF(P435&lt;0,IF(Q435&gt;=0,DEGREES(ATAN(Q435/P435))+180,DEGREES(ATAN(Q435/P435))-180),IF(Q435&gt;0,90,IF(Q435&lt;0,-90,0)))))</f>
        <v/>
      </c>
      <c r="T435" s="195">
        <f>IF(B435="","",LOG10(B435))</f>
        <v/>
      </c>
      <c r="U435" s="195">
        <f>IF(R435="","",LOG10(MAX(R435,1E-12)))</f>
        <v/>
      </c>
    </row>
    <row r="436">
      <c r="A436" t="n">
        <v>433</v>
      </c>
      <c r="B436" s="196">
        <f>IF(A436&lt;='入力・概要'!$B$40,10^(LOG10('入力・概要'!$B$38)+(A436-1)*(LOG10('入力・概要'!$B$39)-LOG10('入力・概要'!$B$38))/('入力・概要'!$B$40-1)),"")</f>
        <v/>
      </c>
      <c r="C436" s="195">
        <f>IF(B436="","",2*PI()*B436)</f>
        <v/>
      </c>
      <c r="D436" s="195">
        <f>IF(B436="","",ATANH(MIN(0.999999,(2*'入力・概要'!$B$17*'入力・概要'!$B$6)/'入力・概要'!$B$30))+'入力・概要'!$B$33*SQRT(B436/1E6)+(2*PI()*B436*'入力・概要'!$B$6/(299792458*'入力・概要'!$B$31))*'入力・概要'!$B$32/2)</f>
        <v/>
      </c>
      <c r="E436" s="195">
        <f>IF(B436="","",2*PI()*B436*'入力・概要'!$B$6/(299792458*'入力・概要'!$B$31))</f>
        <v/>
      </c>
      <c r="F436" s="195">
        <f>IF(B436="","",SINH(2*D436)/(COSH(2*D436)+COS(2*E436)))</f>
        <v/>
      </c>
      <c r="G436" s="195">
        <f>IF(B436="","",SIN(2*E436)/(COSH(2*D436)+COS(2*E436)))</f>
        <v/>
      </c>
      <c r="H436" s="195">
        <f>IF(B436="","",'入力・概要'!$B$34)</f>
        <v/>
      </c>
      <c r="I436" s="195">
        <f>IF(B436="","",C436*'入力・概要'!$B$35*1E-9)</f>
        <v/>
      </c>
      <c r="J436" s="195">
        <f>IF(B436="","",H436+'入力・概要'!$B$30*F436)</f>
        <v/>
      </c>
      <c r="K436" s="195">
        <f>IF(B436="","",I436+'入力・概要'!$B$30*G436)</f>
        <v/>
      </c>
      <c r="L436" s="195">
        <f>IF(B436="","",'入力・概要'!$B$30+H436*F436-I436*G436)</f>
        <v/>
      </c>
      <c r="M436" s="195">
        <f>IF(B436="","",H436*G436+I436*F436)</f>
        <v/>
      </c>
      <c r="N436" s="195">
        <f>IF(B436="","",'入力・概要'!$B$30*(J436*L436+K436*M436)/(L436^2+M436^2))</f>
        <v/>
      </c>
      <c r="O436" s="195">
        <f>IF(B436="","",'入力・概要'!$B$30*(K436*L436-J436*M436)/(L436^2+M436^2))</f>
        <v/>
      </c>
      <c r="P436" s="195">
        <f>IF(B436="","",N436+'入力・概要'!$B$36)</f>
        <v/>
      </c>
      <c r="Q436" s="195">
        <f>IF(B436="","",O436+C436*'入力・概要'!$B$37*1E-9)</f>
        <v/>
      </c>
      <c r="R436" s="195">
        <f>IF(B436="","",SQRT(P436^2+Q436^2))</f>
        <v/>
      </c>
      <c r="S436" s="195">
        <f>IF(B436="","",IF(P436&gt;0,DEGREES(ATAN(Q436/P436)),IF(P436&lt;0,IF(Q436&gt;=0,DEGREES(ATAN(Q436/P436))+180,DEGREES(ATAN(Q436/P436))-180),IF(Q436&gt;0,90,IF(Q436&lt;0,-90,0)))))</f>
        <v/>
      </c>
      <c r="T436" s="195">
        <f>IF(B436="","",LOG10(B436))</f>
        <v/>
      </c>
      <c r="U436" s="195">
        <f>IF(R436="","",LOG10(MAX(R436,1E-12)))</f>
        <v/>
      </c>
    </row>
    <row r="437">
      <c r="A437" t="n">
        <v>434</v>
      </c>
      <c r="B437" s="196">
        <f>IF(A437&lt;='入力・概要'!$B$40,10^(LOG10('入力・概要'!$B$38)+(A437-1)*(LOG10('入力・概要'!$B$39)-LOG10('入力・概要'!$B$38))/('入力・概要'!$B$40-1)),"")</f>
        <v/>
      </c>
      <c r="C437" s="195">
        <f>IF(B437="","",2*PI()*B437)</f>
        <v/>
      </c>
      <c r="D437" s="195">
        <f>IF(B437="","",ATANH(MIN(0.999999,(2*'入力・概要'!$B$17*'入力・概要'!$B$6)/'入力・概要'!$B$30))+'入力・概要'!$B$33*SQRT(B437/1E6)+(2*PI()*B437*'入力・概要'!$B$6/(299792458*'入力・概要'!$B$31))*'入力・概要'!$B$32/2)</f>
        <v/>
      </c>
      <c r="E437" s="195">
        <f>IF(B437="","",2*PI()*B437*'入力・概要'!$B$6/(299792458*'入力・概要'!$B$31))</f>
        <v/>
      </c>
      <c r="F437" s="195">
        <f>IF(B437="","",SINH(2*D437)/(COSH(2*D437)+COS(2*E437)))</f>
        <v/>
      </c>
      <c r="G437" s="195">
        <f>IF(B437="","",SIN(2*E437)/(COSH(2*D437)+COS(2*E437)))</f>
        <v/>
      </c>
      <c r="H437" s="195">
        <f>IF(B437="","",'入力・概要'!$B$34)</f>
        <v/>
      </c>
      <c r="I437" s="195">
        <f>IF(B437="","",C437*'入力・概要'!$B$35*1E-9)</f>
        <v/>
      </c>
      <c r="J437" s="195">
        <f>IF(B437="","",H437+'入力・概要'!$B$30*F437)</f>
        <v/>
      </c>
      <c r="K437" s="195">
        <f>IF(B437="","",I437+'入力・概要'!$B$30*G437)</f>
        <v/>
      </c>
      <c r="L437" s="195">
        <f>IF(B437="","",'入力・概要'!$B$30+H437*F437-I437*G437)</f>
        <v/>
      </c>
      <c r="M437" s="195">
        <f>IF(B437="","",H437*G437+I437*F437)</f>
        <v/>
      </c>
      <c r="N437" s="195">
        <f>IF(B437="","",'入力・概要'!$B$30*(J437*L437+K437*M437)/(L437^2+M437^2))</f>
        <v/>
      </c>
      <c r="O437" s="195">
        <f>IF(B437="","",'入力・概要'!$B$30*(K437*L437-J437*M437)/(L437^2+M437^2))</f>
        <v/>
      </c>
      <c r="P437" s="195">
        <f>IF(B437="","",N437+'入力・概要'!$B$36)</f>
        <v/>
      </c>
      <c r="Q437" s="195">
        <f>IF(B437="","",O437+C437*'入力・概要'!$B$37*1E-9)</f>
        <v/>
      </c>
      <c r="R437" s="195">
        <f>IF(B437="","",SQRT(P437^2+Q437^2))</f>
        <v/>
      </c>
      <c r="S437" s="195">
        <f>IF(B437="","",IF(P437&gt;0,DEGREES(ATAN(Q437/P437)),IF(P437&lt;0,IF(Q437&gt;=0,DEGREES(ATAN(Q437/P437))+180,DEGREES(ATAN(Q437/P437))-180),IF(Q437&gt;0,90,IF(Q437&lt;0,-90,0)))))</f>
        <v/>
      </c>
      <c r="T437" s="195">
        <f>IF(B437="","",LOG10(B437))</f>
        <v/>
      </c>
      <c r="U437" s="195">
        <f>IF(R437="","",LOG10(MAX(R437,1E-12)))</f>
        <v/>
      </c>
    </row>
    <row r="438">
      <c r="A438" t="n">
        <v>435</v>
      </c>
      <c r="B438" s="196">
        <f>IF(A438&lt;='入力・概要'!$B$40,10^(LOG10('入力・概要'!$B$38)+(A438-1)*(LOG10('入力・概要'!$B$39)-LOG10('入力・概要'!$B$38))/('入力・概要'!$B$40-1)),"")</f>
        <v/>
      </c>
      <c r="C438" s="195">
        <f>IF(B438="","",2*PI()*B438)</f>
        <v/>
      </c>
      <c r="D438" s="195">
        <f>IF(B438="","",ATANH(MIN(0.999999,(2*'入力・概要'!$B$17*'入力・概要'!$B$6)/'入力・概要'!$B$30))+'入力・概要'!$B$33*SQRT(B438/1E6)+(2*PI()*B438*'入力・概要'!$B$6/(299792458*'入力・概要'!$B$31))*'入力・概要'!$B$32/2)</f>
        <v/>
      </c>
      <c r="E438" s="195">
        <f>IF(B438="","",2*PI()*B438*'入力・概要'!$B$6/(299792458*'入力・概要'!$B$31))</f>
        <v/>
      </c>
      <c r="F438" s="195">
        <f>IF(B438="","",SINH(2*D438)/(COSH(2*D438)+COS(2*E438)))</f>
        <v/>
      </c>
      <c r="G438" s="195">
        <f>IF(B438="","",SIN(2*E438)/(COSH(2*D438)+COS(2*E438)))</f>
        <v/>
      </c>
      <c r="H438" s="195">
        <f>IF(B438="","",'入力・概要'!$B$34)</f>
        <v/>
      </c>
      <c r="I438" s="195">
        <f>IF(B438="","",C438*'入力・概要'!$B$35*1E-9)</f>
        <v/>
      </c>
      <c r="J438" s="195">
        <f>IF(B438="","",H438+'入力・概要'!$B$30*F438)</f>
        <v/>
      </c>
      <c r="K438" s="195">
        <f>IF(B438="","",I438+'入力・概要'!$B$30*G438)</f>
        <v/>
      </c>
      <c r="L438" s="195">
        <f>IF(B438="","",'入力・概要'!$B$30+H438*F438-I438*G438)</f>
        <v/>
      </c>
      <c r="M438" s="195">
        <f>IF(B438="","",H438*G438+I438*F438)</f>
        <v/>
      </c>
      <c r="N438" s="195">
        <f>IF(B438="","",'入力・概要'!$B$30*(J438*L438+K438*M438)/(L438^2+M438^2))</f>
        <v/>
      </c>
      <c r="O438" s="195">
        <f>IF(B438="","",'入力・概要'!$B$30*(K438*L438-J438*M438)/(L438^2+M438^2))</f>
        <v/>
      </c>
      <c r="P438" s="195">
        <f>IF(B438="","",N438+'入力・概要'!$B$36)</f>
        <v/>
      </c>
      <c r="Q438" s="195">
        <f>IF(B438="","",O438+C438*'入力・概要'!$B$37*1E-9)</f>
        <v/>
      </c>
      <c r="R438" s="195">
        <f>IF(B438="","",SQRT(P438^2+Q438^2))</f>
        <v/>
      </c>
      <c r="S438" s="195">
        <f>IF(B438="","",IF(P438&gt;0,DEGREES(ATAN(Q438/P438)),IF(P438&lt;0,IF(Q438&gt;=0,DEGREES(ATAN(Q438/P438))+180,DEGREES(ATAN(Q438/P438))-180),IF(Q438&gt;0,90,IF(Q438&lt;0,-90,0)))))</f>
        <v/>
      </c>
      <c r="T438" s="195">
        <f>IF(B438="","",LOG10(B438))</f>
        <v/>
      </c>
      <c r="U438" s="195">
        <f>IF(R438="","",LOG10(MAX(R438,1E-12)))</f>
        <v/>
      </c>
    </row>
    <row r="439">
      <c r="A439" t="n">
        <v>436</v>
      </c>
      <c r="B439" s="196">
        <f>IF(A439&lt;='入力・概要'!$B$40,10^(LOG10('入力・概要'!$B$38)+(A439-1)*(LOG10('入力・概要'!$B$39)-LOG10('入力・概要'!$B$38))/('入力・概要'!$B$40-1)),"")</f>
        <v/>
      </c>
      <c r="C439" s="195">
        <f>IF(B439="","",2*PI()*B439)</f>
        <v/>
      </c>
      <c r="D439" s="195">
        <f>IF(B439="","",ATANH(MIN(0.999999,(2*'入力・概要'!$B$17*'入力・概要'!$B$6)/'入力・概要'!$B$30))+'入力・概要'!$B$33*SQRT(B439/1E6)+(2*PI()*B439*'入力・概要'!$B$6/(299792458*'入力・概要'!$B$31))*'入力・概要'!$B$32/2)</f>
        <v/>
      </c>
      <c r="E439" s="195">
        <f>IF(B439="","",2*PI()*B439*'入力・概要'!$B$6/(299792458*'入力・概要'!$B$31))</f>
        <v/>
      </c>
      <c r="F439" s="195">
        <f>IF(B439="","",SINH(2*D439)/(COSH(2*D439)+COS(2*E439)))</f>
        <v/>
      </c>
      <c r="G439" s="195">
        <f>IF(B439="","",SIN(2*E439)/(COSH(2*D439)+COS(2*E439)))</f>
        <v/>
      </c>
      <c r="H439" s="195">
        <f>IF(B439="","",'入力・概要'!$B$34)</f>
        <v/>
      </c>
      <c r="I439" s="195">
        <f>IF(B439="","",C439*'入力・概要'!$B$35*1E-9)</f>
        <v/>
      </c>
      <c r="J439" s="195">
        <f>IF(B439="","",H439+'入力・概要'!$B$30*F439)</f>
        <v/>
      </c>
      <c r="K439" s="195">
        <f>IF(B439="","",I439+'入力・概要'!$B$30*G439)</f>
        <v/>
      </c>
      <c r="L439" s="195">
        <f>IF(B439="","",'入力・概要'!$B$30+H439*F439-I439*G439)</f>
        <v/>
      </c>
      <c r="M439" s="195">
        <f>IF(B439="","",H439*G439+I439*F439)</f>
        <v/>
      </c>
      <c r="N439" s="195">
        <f>IF(B439="","",'入力・概要'!$B$30*(J439*L439+K439*M439)/(L439^2+M439^2))</f>
        <v/>
      </c>
      <c r="O439" s="195">
        <f>IF(B439="","",'入力・概要'!$B$30*(K439*L439-J439*M439)/(L439^2+M439^2))</f>
        <v/>
      </c>
      <c r="P439" s="195">
        <f>IF(B439="","",N439+'入力・概要'!$B$36)</f>
        <v/>
      </c>
      <c r="Q439" s="195">
        <f>IF(B439="","",O439+C439*'入力・概要'!$B$37*1E-9)</f>
        <v/>
      </c>
      <c r="R439" s="195">
        <f>IF(B439="","",SQRT(P439^2+Q439^2))</f>
        <v/>
      </c>
      <c r="S439" s="195">
        <f>IF(B439="","",IF(P439&gt;0,DEGREES(ATAN(Q439/P439)),IF(P439&lt;0,IF(Q439&gt;=0,DEGREES(ATAN(Q439/P439))+180,DEGREES(ATAN(Q439/P439))-180),IF(Q439&gt;0,90,IF(Q439&lt;0,-90,0)))))</f>
        <v/>
      </c>
      <c r="T439" s="195">
        <f>IF(B439="","",LOG10(B439))</f>
        <v/>
      </c>
      <c r="U439" s="195">
        <f>IF(R439="","",LOG10(MAX(R439,1E-12)))</f>
        <v/>
      </c>
    </row>
    <row r="440">
      <c r="A440" t="n">
        <v>437</v>
      </c>
      <c r="B440" s="196">
        <f>IF(A440&lt;='入力・概要'!$B$40,10^(LOG10('入力・概要'!$B$38)+(A440-1)*(LOG10('入力・概要'!$B$39)-LOG10('入力・概要'!$B$38))/('入力・概要'!$B$40-1)),"")</f>
        <v/>
      </c>
      <c r="C440" s="195">
        <f>IF(B440="","",2*PI()*B440)</f>
        <v/>
      </c>
      <c r="D440" s="195">
        <f>IF(B440="","",ATANH(MIN(0.999999,(2*'入力・概要'!$B$17*'入力・概要'!$B$6)/'入力・概要'!$B$30))+'入力・概要'!$B$33*SQRT(B440/1E6)+(2*PI()*B440*'入力・概要'!$B$6/(299792458*'入力・概要'!$B$31))*'入力・概要'!$B$32/2)</f>
        <v/>
      </c>
      <c r="E440" s="195">
        <f>IF(B440="","",2*PI()*B440*'入力・概要'!$B$6/(299792458*'入力・概要'!$B$31))</f>
        <v/>
      </c>
      <c r="F440" s="195">
        <f>IF(B440="","",SINH(2*D440)/(COSH(2*D440)+COS(2*E440)))</f>
        <v/>
      </c>
      <c r="G440" s="195">
        <f>IF(B440="","",SIN(2*E440)/(COSH(2*D440)+COS(2*E440)))</f>
        <v/>
      </c>
      <c r="H440" s="195">
        <f>IF(B440="","",'入力・概要'!$B$34)</f>
        <v/>
      </c>
      <c r="I440" s="195">
        <f>IF(B440="","",C440*'入力・概要'!$B$35*1E-9)</f>
        <v/>
      </c>
      <c r="J440" s="195">
        <f>IF(B440="","",H440+'入力・概要'!$B$30*F440)</f>
        <v/>
      </c>
      <c r="K440" s="195">
        <f>IF(B440="","",I440+'入力・概要'!$B$30*G440)</f>
        <v/>
      </c>
      <c r="L440" s="195">
        <f>IF(B440="","",'入力・概要'!$B$30+H440*F440-I440*G440)</f>
        <v/>
      </c>
      <c r="M440" s="195">
        <f>IF(B440="","",H440*G440+I440*F440)</f>
        <v/>
      </c>
      <c r="N440" s="195">
        <f>IF(B440="","",'入力・概要'!$B$30*(J440*L440+K440*M440)/(L440^2+M440^2))</f>
        <v/>
      </c>
      <c r="O440" s="195">
        <f>IF(B440="","",'入力・概要'!$B$30*(K440*L440-J440*M440)/(L440^2+M440^2))</f>
        <v/>
      </c>
      <c r="P440" s="195">
        <f>IF(B440="","",N440+'入力・概要'!$B$36)</f>
        <v/>
      </c>
      <c r="Q440" s="195">
        <f>IF(B440="","",O440+C440*'入力・概要'!$B$37*1E-9)</f>
        <v/>
      </c>
      <c r="R440" s="195">
        <f>IF(B440="","",SQRT(P440^2+Q440^2))</f>
        <v/>
      </c>
      <c r="S440" s="195">
        <f>IF(B440="","",IF(P440&gt;0,DEGREES(ATAN(Q440/P440)),IF(P440&lt;0,IF(Q440&gt;=0,DEGREES(ATAN(Q440/P440))+180,DEGREES(ATAN(Q440/P440))-180),IF(Q440&gt;0,90,IF(Q440&lt;0,-90,0)))))</f>
        <v/>
      </c>
      <c r="T440" s="195">
        <f>IF(B440="","",LOG10(B440))</f>
        <v/>
      </c>
      <c r="U440" s="195">
        <f>IF(R440="","",LOG10(MAX(R440,1E-12)))</f>
        <v/>
      </c>
    </row>
    <row r="441">
      <c r="A441" t="n">
        <v>438</v>
      </c>
      <c r="B441" s="196">
        <f>IF(A441&lt;='入力・概要'!$B$40,10^(LOG10('入力・概要'!$B$38)+(A441-1)*(LOG10('入力・概要'!$B$39)-LOG10('入力・概要'!$B$38))/('入力・概要'!$B$40-1)),"")</f>
        <v/>
      </c>
      <c r="C441" s="195">
        <f>IF(B441="","",2*PI()*B441)</f>
        <v/>
      </c>
      <c r="D441" s="195">
        <f>IF(B441="","",ATANH(MIN(0.999999,(2*'入力・概要'!$B$17*'入力・概要'!$B$6)/'入力・概要'!$B$30))+'入力・概要'!$B$33*SQRT(B441/1E6)+(2*PI()*B441*'入力・概要'!$B$6/(299792458*'入力・概要'!$B$31))*'入力・概要'!$B$32/2)</f>
        <v/>
      </c>
      <c r="E441" s="195">
        <f>IF(B441="","",2*PI()*B441*'入力・概要'!$B$6/(299792458*'入力・概要'!$B$31))</f>
        <v/>
      </c>
      <c r="F441" s="195">
        <f>IF(B441="","",SINH(2*D441)/(COSH(2*D441)+COS(2*E441)))</f>
        <v/>
      </c>
      <c r="G441" s="195">
        <f>IF(B441="","",SIN(2*E441)/(COSH(2*D441)+COS(2*E441)))</f>
        <v/>
      </c>
      <c r="H441" s="195">
        <f>IF(B441="","",'入力・概要'!$B$34)</f>
        <v/>
      </c>
      <c r="I441" s="195">
        <f>IF(B441="","",C441*'入力・概要'!$B$35*1E-9)</f>
        <v/>
      </c>
      <c r="J441" s="195">
        <f>IF(B441="","",H441+'入力・概要'!$B$30*F441)</f>
        <v/>
      </c>
      <c r="K441" s="195">
        <f>IF(B441="","",I441+'入力・概要'!$B$30*G441)</f>
        <v/>
      </c>
      <c r="L441" s="195">
        <f>IF(B441="","",'入力・概要'!$B$30+H441*F441-I441*G441)</f>
        <v/>
      </c>
      <c r="M441" s="195">
        <f>IF(B441="","",H441*G441+I441*F441)</f>
        <v/>
      </c>
      <c r="N441" s="195">
        <f>IF(B441="","",'入力・概要'!$B$30*(J441*L441+K441*M441)/(L441^2+M441^2))</f>
        <v/>
      </c>
      <c r="O441" s="195">
        <f>IF(B441="","",'入力・概要'!$B$30*(K441*L441-J441*M441)/(L441^2+M441^2))</f>
        <v/>
      </c>
      <c r="P441" s="195">
        <f>IF(B441="","",N441+'入力・概要'!$B$36)</f>
        <v/>
      </c>
      <c r="Q441" s="195">
        <f>IF(B441="","",O441+C441*'入力・概要'!$B$37*1E-9)</f>
        <v/>
      </c>
      <c r="R441" s="195">
        <f>IF(B441="","",SQRT(P441^2+Q441^2))</f>
        <v/>
      </c>
      <c r="S441" s="195">
        <f>IF(B441="","",IF(P441&gt;0,DEGREES(ATAN(Q441/P441)),IF(P441&lt;0,IF(Q441&gt;=0,DEGREES(ATAN(Q441/P441))+180,DEGREES(ATAN(Q441/P441))-180),IF(Q441&gt;0,90,IF(Q441&lt;0,-90,0)))))</f>
        <v/>
      </c>
      <c r="T441" s="195">
        <f>IF(B441="","",LOG10(B441))</f>
        <v/>
      </c>
      <c r="U441" s="195">
        <f>IF(R441="","",LOG10(MAX(R441,1E-12)))</f>
        <v/>
      </c>
    </row>
    <row r="442">
      <c r="A442" t="n">
        <v>439</v>
      </c>
      <c r="B442" s="196">
        <f>IF(A442&lt;='入力・概要'!$B$40,10^(LOG10('入力・概要'!$B$38)+(A442-1)*(LOG10('入力・概要'!$B$39)-LOG10('入力・概要'!$B$38))/('入力・概要'!$B$40-1)),"")</f>
        <v/>
      </c>
      <c r="C442" s="195">
        <f>IF(B442="","",2*PI()*B442)</f>
        <v/>
      </c>
      <c r="D442" s="195">
        <f>IF(B442="","",ATANH(MIN(0.999999,(2*'入力・概要'!$B$17*'入力・概要'!$B$6)/'入力・概要'!$B$30))+'入力・概要'!$B$33*SQRT(B442/1E6)+(2*PI()*B442*'入力・概要'!$B$6/(299792458*'入力・概要'!$B$31))*'入力・概要'!$B$32/2)</f>
        <v/>
      </c>
      <c r="E442" s="195">
        <f>IF(B442="","",2*PI()*B442*'入力・概要'!$B$6/(299792458*'入力・概要'!$B$31))</f>
        <v/>
      </c>
      <c r="F442" s="195">
        <f>IF(B442="","",SINH(2*D442)/(COSH(2*D442)+COS(2*E442)))</f>
        <v/>
      </c>
      <c r="G442" s="195">
        <f>IF(B442="","",SIN(2*E442)/(COSH(2*D442)+COS(2*E442)))</f>
        <v/>
      </c>
      <c r="H442" s="195">
        <f>IF(B442="","",'入力・概要'!$B$34)</f>
        <v/>
      </c>
      <c r="I442" s="195">
        <f>IF(B442="","",C442*'入力・概要'!$B$35*1E-9)</f>
        <v/>
      </c>
      <c r="J442" s="195">
        <f>IF(B442="","",H442+'入力・概要'!$B$30*F442)</f>
        <v/>
      </c>
      <c r="K442" s="195">
        <f>IF(B442="","",I442+'入力・概要'!$B$30*G442)</f>
        <v/>
      </c>
      <c r="L442" s="195">
        <f>IF(B442="","",'入力・概要'!$B$30+H442*F442-I442*G442)</f>
        <v/>
      </c>
      <c r="M442" s="195">
        <f>IF(B442="","",H442*G442+I442*F442)</f>
        <v/>
      </c>
      <c r="N442" s="195">
        <f>IF(B442="","",'入力・概要'!$B$30*(J442*L442+K442*M442)/(L442^2+M442^2))</f>
        <v/>
      </c>
      <c r="O442" s="195">
        <f>IF(B442="","",'入力・概要'!$B$30*(K442*L442-J442*M442)/(L442^2+M442^2))</f>
        <v/>
      </c>
      <c r="P442" s="195">
        <f>IF(B442="","",N442+'入力・概要'!$B$36)</f>
        <v/>
      </c>
      <c r="Q442" s="195">
        <f>IF(B442="","",O442+C442*'入力・概要'!$B$37*1E-9)</f>
        <v/>
      </c>
      <c r="R442" s="195">
        <f>IF(B442="","",SQRT(P442^2+Q442^2))</f>
        <v/>
      </c>
      <c r="S442" s="195">
        <f>IF(B442="","",IF(P442&gt;0,DEGREES(ATAN(Q442/P442)),IF(P442&lt;0,IF(Q442&gt;=0,DEGREES(ATAN(Q442/P442))+180,DEGREES(ATAN(Q442/P442))-180),IF(Q442&gt;0,90,IF(Q442&lt;0,-90,0)))))</f>
        <v/>
      </c>
      <c r="T442" s="195">
        <f>IF(B442="","",LOG10(B442))</f>
        <v/>
      </c>
      <c r="U442" s="195">
        <f>IF(R442="","",LOG10(MAX(R442,1E-12)))</f>
        <v/>
      </c>
    </row>
    <row r="443">
      <c r="A443" t="n">
        <v>440</v>
      </c>
      <c r="B443" s="196">
        <f>IF(A443&lt;='入力・概要'!$B$40,10^(LOG10('入力・概要'!$B$38)+(A443-1)*(LOG10('入力・概要'!$B$39)-LOG10('入力・概要'!$B$38))/('入力・概要'!$B$40-1)),"")</f>
        <v/>
      </c>
      <c r="C443" s="195">
        <f>IF(B443="","",2*PI()*B443)</f>
        <v/>
      </c>
      <c r="D443" s="195">
        <f>IF(B443="","",ATANH(MIN(0.999999,(2*'入力・概要'!$B$17*'入力・概要'!$B$6)/'入力・概要'!$B$30))+'入力・概要'!$B$33*SQRT(B443/1E6)+(2*PI()*B443*'入力・概要'!$B$6/(299792458*'入力・概要'!$B$31))*'入力・概要'!$B$32/2)</f>
        <v/>
      </c>
      <c r="E443" s="195">
        <f>IF(B443="","",2*PI()*B443*'入力・概要'!$B$6/(299792458*'入力・概要'!$B$31))</f>
        <v/>
      </c>
      <c r="F443" s="195">
        <f>IF(B443="","",SINH(2*D443)/(COSH(2*D443)+COS(2*E443)))</f>
        <v/>
      </c>
      <c r="G443" s="195">
        <f>IF(B443="","",SIN(2*E443)/(COSH(2*D443)+COS(2*E443)))</f>
        <v/>
      </c>
      <c r="H443" s="195">
        <f>IF(B443="","",'入力・概要'!$B$34)</f>
        <v/>
      </c>
      <c r="I443" s="195">
        <f>IF(B443="","",C443*'入力・概要'!$B$35*1E-9)</f>
        <v/>
      </c>
      <c r="J443" s="195">
        <f>IF(B443="","",H443+'入力・概要'!$B$30*F443)</f>
        <v/>
      </c>
      <c r="K443" s="195">
        <f>IF(B443="","",I443+'入力・概要'!$B$30*G443)</f>
        <v/>
      </c>
      <c r="L443" s="195">
        <f>IF(B443="","",'入力・概要'!$B$30+H443*F443-I443*G443)</f>
        <v/>
      </c>
      <c r="M443" s="195">
        <f>IF(B443="","",H443*G443+I443*F443)</f>
        <v/>
      </c>
      <c r="N443" s="195">
        <f>IF(B443="","",'入力・概要'!$B$30*(J443*L443+K443*M443)/(L443^2+M443^2))</f>
        <v/>
      </c>
      <c r="O443" s="195">
        <f>IF(B443="","",'入力・概要'!$B$30*(K443*L443-J443*M443)/(L443^2+M443^2))</f>
        <v/>
      </c>
      <c r="P443" s="195">
        <f>IF(B443="","",N443+'入力・概要'!$B$36)</f>
        <v/>
      </c>
      <c r="Q443" s="195">
        <f>IF(B443="","",O443+C443*'入力・概要'!$B$37*1E-9)</f>
        <v/>
      </c>
      <c r="R443" s="195">
        <f>IF(B443="","",SQRT(P443^2+Q443^2))</f>
        <v/>
      </c>
      <c r="S443" s="195">
        <f>IF(B443="","",IF(P443&gt;0,DEGREES(ATAN(Q443/P443)),IF(P443&lt;0,IF(Q443&gt;=0,DEGREES(ATAN(Q443/P443))+180,DEGREES(ATAN(Q443/P443))-180),IF(Q443&gt;0,90,IF(Q443&lt;0,-90,0)))))</f>
        <v/>
      </c>
      <c r="T443" s="195">
        <f>IF(B443="","",LOG10(B443))</f>
        <v/>
      </c>
      <c r="U443" s="195">
        <f>IF(R443="","",LOG10(MAX(R443,1E-12)))</f>
        <v/>
      </c>
    </row>
    <row r="444">
      <c r="A444" t="n">
        <v>441</v>
      </c>
      <c r="B444" s="196">
        <f>IF(A444&lt;='入力・概要'!$B$40,10^(LOG10('入力・概要'!$B$38)+(A444-1)*(LOG10('入力・概要'!$B$39)-LOG10('入力・概要'!$B$38))/('入力・概要'!$B$40-1)),"")</f>
        <v/>
      </c>
      <c r="C444" s="195">
        <f>IF(B444="","",2*PI()*B444)</f>
        <v/>
      </c>
      <c r="D444" s="195">
        <f>IF(B444="","",ATANH(MIN(0.999999,(2*'入力・概要'!$B$17*'入力・概要'!$B$6)/'入力・概要'!$B$30))+'入力・概要'!$B$33*SQRT(B444/1E6)+(2*PI()*B444*'入力・概要'!$B$6/(299792458*'入力・概要'!$B$31))*'入力・概要'!$B$32/2)</f>
        <v/>
      </c>
      <c r="E444" s="195">
        <f>IF(B444="","",2*PI()*B444*'入力・概要'!$B$6/(299792458*'入力・概要'!$B$31))</f>
        <v/>
      </c>
      <c r="F444" s="195">
        <f>IF(B444="","",SINH(2*D444)/(COSH(2*D444)+COS(2*E444)))</f>
        <v/>
      </c>
      <c r="G444" s="195">
        <f>IF(B444="","",SIN(2*E444)/(COSH(2*D444)+COS(2*E444)))</f>
        <v/>
      </c>
      <c r="H444" s="195">
        <f>IF(B444="","",'入力・概要'!$B$34)</f>
        <v/>
      </c>
      <c r="I444" s="195">
        <f>IF(B444="","",C444*'入力・概要'!$B$35*1E-9)</f>
        <v/>
      </c>
      <c r="J444" s="195">
        <f>IF(B444="","",H444+'入力・概要'!$B$30*F444)</f>
        <v/>
      </c>
      <c r="K444" s="195">
        <f>IF(B444="","",I444+'入力・概要'!$B$30*G444)</f>
        <v/>
      </c>
      <c r="L444" s="195">
        <f>IF(B444="","",'入力・概要'!$B$30+H444*F444-I444*G444)</f>
        <v/>
      </c>
      <c r="M444" s="195">
        <f>IF(B444="","",H444*G444+I444*F444)</f>
        <v/>
      </c>
      <c r="N444" s="195">
        <f>IF(B444="","",'入力・概要'!$B$30*(J444*L444+K444*M444)/(L444^2+M444^2))</f>
        <v/>
      </c>
      <c r="O444" s="195">
        <f>IF(B444="","",'入力・概要'!$B$30*(K444*L444-J444*M444)/(L444^2+M444^2))</f>
        <v/>
      </c>
      <c r="P444" s="195">
        <f>IF(B444="","",N444+'入力・概要'!$B$36)</f>
        <v/>
      </c>
      <c r="Q444" s="195">
        <f>IF(B444="","",O444+C444*'入力・概要'!$B$37*1E-9)</f>
        <v/>
      </c>
      <c r="R444" s="195">
        <f>IF(B444="","",SQRT(P444^2+Q444^2))</f>
        <v/>
      </c>
      <c r="S444" s="195">
        <f>IF(B444="","",IF(P444&gt;0,DEGREES(ATAN(Q444/P444)),IF(P444&lt;0,IF(Q444&gt;=0,DEGREES(ATAN(Q444/P444))+180,DEGREES(ATAN(Q444/P444))-180),IF(Q444&gt;0,90,IF(Q444&lt;0,-90,0)))))</f>
        <v/>
      </c>
      <c r="T444" s="195">
        <f>IF(B444="","",LOG10(B444))</f>
        <v/>
      </c>
      <c r="U444" s="195">
        <f>IF(R444="","",LOG10(MAX(R444,1E-12)))</f>
        <v/>
      </c>
    </row>
    <row r="445">
      <c r="A445" t="n">
        <v>442</v>
      </c>
      <c r="B445" s="196">
        <f>IF(A445&lt;='入力・概要'!$B$40,10^(LOG10('入力・概要'!$B$38)+(A445-1)*(LOG10('入力・概要'!$B$39)-LOG10('入力・概要'!$B$38))/('入力・概要'!$B$40-1)),"")</f>
        <v/>
      </c>
      <c r="C445" s="195">
        <f>IF(B445="","",2*PI()*B445)</f>
        <v/>
      </c>
      <c r="D445" s="195">
        <f>IF(B445="","",ATANH(MIN(0.999999,(2*'入力・概要'!$B$17*'入力・概要'!$B$6)/'入力・概要'!$B$30))+'入力・概要'!$B$33*SQRT(B445/1E6)+(2*PI()*B445*'入力・概要'!$B$6/(299792458*'入力・概要'!$B$31))*'入力・概要'!$B$32/2)</f>
        <v/>
      </c>
      <c r="E445" s="195">
        <f>IF(B445="","",2*PI()*B445*'入力・概要'!$B$6/(299792458*'入力・概要'!$B$31))</f>
        <v/>
      </c>
      <c r="F445" s="195">
        <f>IF(B445="","",SINH(2*D445)/(COSH(2*D445)+COS(2*E445)))</f>
        <v/>
      </c>
      <c r="G445" s="195">
        <f>IF(B445="","",SIN(2*E445)/(COSH(2*D445)+COS(2*E445)))</f>
        <v/>
      </c>
      <c r="H445" s="195">
        <f>IF(B445="","",'入力・概要'!$B$34)</f>
        <v/>
      </c>
      <c r="I445" s="195">
        <f>IF(B445="","",C445*'入力・概要'!$B$35*1E-9)</f>
        <v/>
      </c>
      <c r="J445" s="195">
        <f>IF(B445="","",H445+'入力・概要'!$B$30*F445)</f>
        <v/>
      </c>
      <c r="K445" s="195">
        <f>IF(B445="","",I445+'入力・概要'!$B$30*G445)</f>
        <v/>
      </c>
      <c r="L445" s="195">
        <f>IF(B445="","",'入力・概要'!$B$30+H445*F445-I445*G445)</f>
        <v/>
      </c>
      <c r="M445" s="195">
        <f>IF(B445="","",H445*G445+I445*F445)</f>
        <v/>
      </c>
      <c r="N445" s="195">
        <f>IF(B445="","",'入力・概要'!$B$30*(J445*L445+K445*M445)/(L445^2+M445^2))</f>
        <v/>
      </c>
      <c r="O445" s="195">
        <f>IF(B445="","",'入力・概要'!$B$30*(K445*L445-J445*M445)/(L445^2+M445^2))</f>
        <v/>
      </c>
      <c r="P445" s="195">
        <f>IF(B445="","",N445+'入力・概要'!$B$36)</f>
        <v/>
      </c>
      <c r="Q445" s="195">
        <f>IF(B445="","",O445+C445*'入力・概要'!$B$37*1E-9)</f>
        <v/>
      </c>
      <c r="R445" s="195">
        <f>IF(B445="","",SQRT(P445^2+Q445^2))</f>
        <v/>
      </c>
      <c r="S445" s="195">
        <f>IF(B445="","",IF(P445&gt;0,DEGREES(ATAN(Q445/P445)),IF(P445&lt;0,IF(Q445&gt;=0,DEGREES(ATAN(Q445/P445))+180,DEGREES(ATAN(Q445/P445))-180),IF(Q445&gt;0,90,IF(Q445&lt;0,-90,0)))))</f>
        <v/>
      </c>
      <c r="T445" s="195">
        <f>IF(B445="","",LOG10(B445))</f>
        <v/>
      </c>
      <c r="U445" s="195">
        <f>IF(R445="","",LOG10(MAX(R445,1E-12)))</f>
        <v/>
      </c>
    </row>
    <row r="446">
      <c r="A446" t="n">
        <v>443</v>
      </c>
      <c r="B446" s="196">
        <f>IF(A446&lt;='入力・概要'!$B$40,10^(LOG10('入力・概要'!$B$38)+(A446-1)*(LOG10('入力・概要'!$B$39)-LOG10('入力・概要'!$B$38))/('入力・概要'!$B$40-1)),"")</f>
        <v/>
      </c>
      <c r="C446" s="195">
        <f>IF(B446="","",2*PI()*B446)</f>
        <v/>
      </c>
      <c r="D446" s="195">
        <f>IF(B446="","",ATANH(MIN(0.999999,(2*'入力・概要'!$B$17*'入力・概要'!$B$6)/'入力・概要'!$B$30))+'入力・概要'!$B$33*SQRT(B446/1E6)+(2*PI()*B446*'入力・概要'!$B$6/(299792458*'入力・概要'!$B$31))*'入力・概要'!$B$32/2)</f>
        <v/>
      </c>
      <c r="E446" s="195">
        <f>IF(B446="","",2*PI()*B446*'入力・概要'!$B$6/(299792458*'入力・概要'!$B$31))</f>
        <v/>
      </c>
      <c r="F446" s="195">
        <f>IF(B446="","",SINH(2*D446)/(COSH(2*D446)+COS(2*E446)))</f>
        <v/>
      </c>
      <c r="G446" s="195">
        <f>IF(B446="","",SIN(2*E446)/(COSH(2*D446)+COS(2*E446)))</f>
        <v/>
      </c>
      <c r="H446" s="195">
        <f>IF(B446="","",'入力・概要'!$B$34)</f>
        <v/>
      </c>
      <c r="I446" s="195">
        <f>IF(B446="","",C446*'入力・概要'!$B$35*1E-9)</f>
        <v/>
      </c>
      <c r="J446" s="195">
        <f>IF(B446="","",H446+'入力・概要'!$B$30*F446)</f>
        <v/>
      </c>
      <c r="K446" s="195">
        <f>IF(B446="","",I446+'入力・概要'!$B$30*G446)</f>
        <v/>
      </c>
      <c r="L446" s="195">
        <f>IF(B446="","",'入力・概要'!$B$30+H446*F446-I446*G446)</f>
        <v/>
      </c>
      <c r="M446" s="195">
        <f>IF(B446="","",H446*G446+I446*F446)</f>
        <v/>
      </c>
      <c r="N446" s="195">
        <f>IF(B446="","",'入力・概要'!$B$30*(J446*L446+K446*M446)/(L446^2+M446^2))</f>
        <v/>
      </c>
      <c r="O446" s="195">
        <f>IF(B446="","",'入力・概要'!$B$30*(K446*L446-J446*M446)/(L446^2+M446^2))</f>
        <v/>
      </c>
      <c r="P446" s="195">
        <f>IF(B446="","",N446+'入力・概要'!$B$36)</f>
        <v/>
      </c>
      <c r="Q446" s="195">
        <f>IF(B446="","",O446+C446*'入力・概要'!$B$37*1E-9)</f>
        <v/>
      </c>
      <c r="R446" s="195">
        <f>IF(B446="","",SQRT(P446^2+Q446^2))</f>
        <v/>
      </c>
      <c r="S446" s="195">
        <f>IF(B446="","",IF(P446&gt;0,DEGREES(ATAN(Q446/P446)),IF(P446&lt;0,IF(Q446&gt;=0,DEGREES(ATAN(Q446/P446))+180,DEGREES(ATAN(Q446/P446))-180),IF(Q446&gt;0,90,IF(Q446&lt;0,-90,0)))))</f>
        <v/>
      </c>
      <c r="T446" s="195">
        <f>IF(B446="","",LOG10(B446))</f>
        <v/>
      </c>
      <c r="U446" s="195">
        <f>IF(R446="","",LOG10(MAX(R446,1E-12)))</f>
        <v/>
      </c>
    </row>
    <row r="447">
      <c r="A447" t="n">
        <v>444</v>
      </c>
      <c r="B447" s="196">
        <f>IF(A447&lt;='入力・概要'!$B$40,10^(LOG10('入力・概要'!$B$38)+(A447-1)*(LOG10('入力・概要'!$B$39)-LOG10('入力・概要'!$B$38))/('入力・概要'!$B$40-1)),"")</f>
        <v/>
      </c>
      <c r="C447" s="195">
        <f>IF(B447="","",2*PI()*B447)</f>
        <v/>
      </c>
      <c r="D447" s="195">
        <f>IF(B447="","",ATANH(MIN(0.999999,(2*'入力・概要'!$B$17*'入力・概要'!$B$6)/'入力・概要'!$B$30))+'入力・概要'!$B$33*SQRT(B447/1E6)+(2*PI()*B447*'入力・概要'!$B$6/(299792458*'入力・概要'!$B$31))*'入力・概要'!$B$32/2)</f>
        <v/>
      </c>
      <c r="E447" s="195">
        <f>IF(B447="","",2*PI()*B447*'入力・概要'!$B$6/(299792458*'入力・概要'!$B$31))</f>
        <v/>
      </c>
      <c r="F447" s="195">
        <f>IF(B447="","",SINH(2*D447)/(COSH(2*D447)+COS(2*E447)))</f>
        <v/>
      </c>
      <c r="G447" s="195">
        <f>IF(B447="","",SIN(2*E447)/(COSH(2*D447)+COS(2*E447)))</f>
        <v/>
      </c>
      <c r="H447" s="195">
        <f>IF(B447="","",'入力・概要'!$B$34)</f>
        <v/>
      </c>
      <c r="I447" s="195">
        <f>IF(B447="","",C447*'入力・概要'!$B$35*1E-9)</f>
        <v/>
      </c>
      <c r="J447" s="195">
        <f>IF(B447="","",H447+'入力・概要'!$B$30*F447)</f>
        <v/>
      </c>
      <c r="K447" s="195">
        <f>IF(B447="","",I447+'入力・概要'!$B$30*G447)</f>
        <v/>
      </c>
      <c r="L447" s="195">
        <f>IF(B447="","",'入力・概要'!$B$30+H447*F447-I447*G447)</f>
        <v/>
      </c>
      <c r="M447" s="195">
        <f>IF(B447="","",H447*G447+I447*F447)</f>
        <v/>
      </c>
      <c r="N447" s="195">
        <f>IF(B447="","",'入力・概要'!$B$30*(J447*L447+K447*M447)/(L447^2+M447^2))</f>
        <v/>
      </c>
      <c r="O447" s="195">
        <f>IF(B447="","",'入力・概要'!$B$30*(K447*L447-J447*M447)/(L447^2+M447^2))</f>
        <v/>
      </c>
      <c r="P447" s="195">
        <f>IF(B447="","",N447+'入力・概要'!$B$36)</f>
        <v/>
      </c>
      <c r="Q447" s="195">
        <f>IF(B447="","",O447+C447*'入力・概要'!$B$37*1E-9)</f>
        <v/>
      </c>
      <c r="R447" s="195">
        <f>IF(B447="","",SQRT(P447^2+Q447^2))</f>
        <v/>
      </c>
      <c r="S447" s="195">
        <f>IF(B447="","",IF(P447&gt;0,DEGREES(ATAN(Q447/P447)),IF(P447&lt;0,IF(Q447&gt;=0,DEGREES(ATAN(Q447/P447))+180,DEGREES(ATAN(Q447/P447))-180),IF(Q447&gt;0,90,IF(Q447&lt;0,-90,0)))))</f>
        <v/>
      </c>
      <c r="T447" s="195">
        <f>IF(B447="","",LOG10(B447))</f>
        <v/>
      </c>
      <c r="U447" s="195">
        <f>IF(R447="","",LOG10(MAX(R447,1E-12)))</f>
        <v/>
      </c>
    </row>
    <row r="448">
      <c r="A448" t="n">
        <v>445</v>
      </c>
      <c r="B448" s="196">
        <f>IF(A448&lt;='入力・概要'!$B$40,10^(LOG10('入力・概要'!$B$38)+(A448-1)*(LOG10('入力・概要'!$B$39)-LOG10('入力・概要'!$B$38))/('入力・概要'!$B$40-1)),"")</f>
        <v/>
      </c>
      <c r="C448" s="195">
        <f>IF(B448="","",2*PI()*B448)</f>
        <v/>
      </c>
      <c r="D448" s="195">
        <f>IF(B448="","",ATANH(MIN(0.999999,(2*'入力・概要'!$B$17*'入力・概要'!$B$6)/'入力・概要'!$B$30))+'入力・概要'!$B$33*SQRT(B448/1E6)+(2*PI()*B448*'入力・概要'!$B$6/(299792458*'入力・概要'!$B$31))*'入力・概要'!$B$32/2)</f>
        <v/>
      </c>
      <c r="E448" s="195">
        <f>IF(B448="","",2*PI()*B448*'入力・概要'!$B$6/(299792458*'入力・概要'!$B$31))</f>
        <v/>
      </c>
      <c r="F448" s="195">
        <f>IF(B448="","",SINH(2*D448)/(COSH(2*D448)+COS(2*E448)))</f>
        <v/>
      </c>
      <c r="G448" s="195">
        <f>IF(B448="","",SIN(2*E448)/(COSH(2*D448)+COS(2*E448)))</f>
        <v/>
      </c>
      <c r="H448" s="195">
        <f>IF(B448="","",'入力・概要'!$B$34)</f>
        <v/>
      </c>
      <c r="I448" s="195">
        <f>IF(B448="","",C448*'入力・概要'!$B$35*1E-9)</f>
        <v/>
      </c>
      <c r="J448" s="195">
        <f>IF(B448="","",H448+'入力・概要'!$B$30*F448)</f>
        <v/>
      </c>
      <c r="K448" s="195">
        <f>IF(B448="","",I448+'入力・概要'!$B$30*G448)</f>
        <v/>
      </c>
      <c r="L448" s="195">
        <f>IF(B448="","",'入力・概要'!$B$30+H448*F448-I448*G448)</f>
        <v/>
      </c>
      <c r="M448" s="195">
        <f>IF(B448="","",H448*G448+I448*F448)</f>
        <v/>
      </c>
      <c r="N448" s="195">
        <f>IF(B448="","",'入力・概要'!$B$30*(J448*L448+K448*M448)/(L448^2+M448^2))</f>
        <v/>
      </c>
      <c r="O448" s="195">
        <f>IF(B448="","",'入力・概要'!$B$30*(K448*L448-J448*M448)/(L448^2+M448^2))</f>
        <v/>
      </c>
      <c r="P448" s="195">
        <f>IF(B448="","",N448+'入力・概要'!$B$36)</f>
        <v/>
      </c>
      <c r="Q448" s="195">
        <f>IF(B448="","",O448+C448*'入力・概要'!$B$37*1E-9)</f>
        <v/>
      </c>
      <c r="R448" s="195">
        <f>IF(B448="","",SQRT(P448^2+Q448^2))</f>
        <v/>
      </c>
      <c r="S448" s="195">
        <f>IF(B448="","",IF(P448&gt;0,DEGREES(ATAN(Q448/P448)),IF(P448&lt;0,IF(Q448&gt;=0,DEGREES(ATAN(Q448/P448))+180,DEGREES(ATAN(Q448/P448))-180),IF(Q448&gt;0,90,IF(Q448&lt;0,-90,0)))))</f>
        <v/>
      </c>
      <c r="T448" s="195">
        <f>IF(B448="","",LOG10(B448))</f>
        <v/>
      </c>
      <c r="U448" s="195">
        <f>IF(R448="","",LOG10(MAX(R448,1E-12)))</f>
        <v/>
      </c>
    </row>
    <row r="449">
      <c r="A449" t="n">
        <v>446</v>
      </c>
      <c r="B449" s="196">
        <f>IF(A449&lt;='入力・概要'!$B$40,10^(LOG10('入力・概要'!$B$38)+(A449-1)*(LOG10('入力・概要'!$B$39)-LOG10('入力・概要'!$B$38))/('入力・概要'!$B$40-1)),"")</f>
        <v/>
      </c>
      <c r="C449" s="195">
        <f>IF(B449="","",2*PI()*B449)</f>
        <v/>
      </c>
      <c r="D449" s="195">
        <f>IF(B449="","",ATANH(MIN(0.999999,(2*'入力・概要'!$B$17*'入力・概要'!$B$6)/'入力・概要'!$B$30))+'入力・概要'!$B$33*SQRT(B449/1E6)+(2*PI()*B449*'入力・概要'!$B$6/(299792458*'入力・概要'!$B$31))*'入力・概要'!$B$32/2)</f>
        <v/>
      </c>
      <c r="E449" s="195">
        <f>IF(B449="","",2*PI()*B449*'入力・概要'!$B$6/(299792458*'入力・概要'!$B$31))</f>
        <v/>
      </c>
      <c r="F449" s="195">
        <f>IF(B449="","",SINH(2*D449)/(COSH(2*D449)+COS(2*E449)))</f>
        <v/>
      </c>
      <c r="G449" s="195">
        <f>IF(B449="","",SIN(2*E449)/(COSH(2*D449)+COS(2*E449)))</f>
        <v/>
      </c>
      <c r="H449" s="195">
        <f>IF(B449="","",'入力・概要'!$B$34)</f>
        <v/>
      </c>
      <c r="I449" s="195">
        <f>IF(B449="","",C449*'入力・概要'!$B$35*1E-9)</f>
        <v/>
      </c>
      <c r="J449" s="195">
        <f>IF(B449="","",H449+'入力・概要'!$B$30*F449)</f>
        <v/>
      </c>
      <c r="K449" s="195">
        <f>IF(B449="","",I449+'入力・概要'!$B$30*G449)</f>
        <v/>
      </c>
      <c r="L449" s="195">
        <f>IF(B449="","",'入力・概要'!$B$30+H449*F449-I449*G449)</f>
        <v/>
      </c>
      <c r="M449" s="195">
        <f>IF(B449="","",H449*G449+I449*F449)</f>
        <v/>
      </c>
      <c r="N449" s="195">
        <f>IF(B449="","",'入力・概要'!$B$30*(J449*L449+K449*M449)/(L449^2+M449^2))</f>
        <v/>
      </c>
      <c r="O449" s="195">
        <f>IF(B449="","",'入力・概要'!$B$30*(K449*L449-J449*M449)/(L449^2+M449^2))</f>
        <v/>
      </c>
      <c r="P449" s="195">
        <f>IF(B449="","",N449+'入力・概要'!$B$36)</f>
        <v/>
      </c>
      <c r="Q449" s="195">
        <f>IF(B449="","",O449+C449*'入力・概要'!$B$37*1E-9)</f>
        <v/>
      </c>
      <c r="R449" s="195">
        <f>IF(B449="","",SQRT(P449^2+Q449^2))</f>
        <v/>
      </c>
      <c r="S449" s="195">
        <f>IF(B449="","",IF(P449&gt;0,DEGREES(ATAN(Q449/P449)),IF(P449&lt;0,IF(Q449&gt;=0,DEGREES(ATAN(Q449/P449))+180,DEGREES(ATAN(Q449/P449))-180),IF(Q449&gt;0,90,IF(Q449&lt;0,-90,0)))))</f>
        <v/>
      </c>
      <c r="T449" s="195">
        <f>IF(B449="","",LOG10(B449))</f>
        <v/>
      </c>
      <c r="U449" s="195">
        <f>IF(R449="","",LOG10(MAX(R449,1E-12)))</f>
        <v/>
      </c>
    </row>
    <row r="450">
      <c r="A450" t="n">
        <v>447</v>
      </c>
      <c r="B450" s="196">
        <f>IF(A450&lt;='入力・概要'!$B$40,10^(LOG10('入力・概要'!$B$38)+(A450-1)*(LOG10('入力・概要'!$B$39)-LOG10('入力・概要'!$B$38))/('入力・概要'!$B$40-1)),"")</f>
        <v/>
      </c>
      <c r="C450" s="195">
        <f>IF(B450="","",2*PI()*B450)</f>
        <v/>
      </c>
      <c r="D450" s="195">
        <f>IF(B450="","",ATANH(MIN(0.999999,(2*'入力・概要'!$B$17*'入力・概要'!$B$6)/'入力・概要'!$B$30))+'入力・概要'!$B$33*SQRT(B450/1E6)+(2*PI()*B450*'入力・概要'!$B$6/(299792458*'入力・概要'!$B$31))*'入力・概要'!$B$32/2)</f>
        <v/>
      </c>
      <c r="E450" s="195">
        <f>IF(B450="","",2*PI()*B450*'入力・概要'!$B$6/(299792458*'入力・概要'!$B$31))</f>
        <v/>
      </c>
      <c r="F450" s="195">
        <f>IF(B450="","",SINH(2*D450)/(COSH(2*D450)+COS(2*E450)))</f>
        <v/>
      </c>
      <c r="G450" s="195">
        <f>IF(B450="","",SIN(2*E450)/(COSH(2*D450)+COS(2*E450)))</f>
        <v/>
      </c>
      <c r="H450" s="195">
        <f>IF(B450="","",'入力・概要'!$B$34)</f>
        <v/>
      </c>
      <c r="I450" s="195">
        <f>IF(B450="","",C450*'入力・概要'!$B$35*1E-9)</f>
        <v/>
      </c>
      <c r="J450" s="195">
        <f>IF(B450="","",H450+'入力・概要'!$B$30*F450)</f>
        <v/>
      </c>
      <c r="K450" s="195">
        <f>IF(B450="","",I450+'入力・概要'!$B$30*G450)</f>
        <v/>
      </c>
      <c r="L450" s="195">
        <f>IF(B450="","",'入力・概要'!$B$30+H450*F450-I450*G450)</f>
        <v/>
      </c>
      <c r="M450" s="195">
        <f>IF(B450="","",H450*G450+I450*F450)</f>
        <v/>
      </c>
      <c r="N450" s="195">
        <f>IF(B450="","",'入力・概要'!$B$30*(J450*L450+K450*M450)/(L450^2+M450^2))</f>
        <v/>
      </c>
      <c r="O450" s="195">
        <f>IF(B450="","",'入力・概要'!$B$30*(K450*L450-J450*M450)/(L450^2+M450^2))</f>
        <v/>
      </c>
      <c r="P450" s="195">
        <f>IF(B450="","",N450+'入力・概要'!$B$36)</f>
        <v/>
      </c>
      <c r="Q450" s="195">
        <f>IF(B450="","",O450+C450*'入力・概要'!$B$37*1E-9)</f>
        <v/>
      </c>
      <c r="R450" s="195">
        <f>IF(B450="","",SQRT(P450^2+Q450^2))</f>
        <v/>
      </c>
      <c r="S450" s="195">
        <f>IF(B450="","",IF(P450&gt;0,DEGREES(ATAN(Q450/P450)),IF(P450&lt;0,IF(Q450&gt;=0,DEGREES(ATAN(Q450/P450))+180,DEGREES(ATAN(Q450/P450))-180),IF(Q450&gt;0,90,IF(Q450&lt;0,-90,0)))))</f>
        <v/>
      </c>
      <c r="T450" s="195">
        <f>IF(B450="","",LOG10(B450))</f>
        <v/>
      </c>
      <c r="U450" s="195">
        <f>IF(R450="","",LOG10(MAX(R450,1E-12)))</f>
        <v/>
      </c>
    </row>
    <row r="451">
      <c r="A451" t="n">
        <v>448</v>
      </c>
      <c r="B451" s="196">
        <f>IF(A451&lt;='入力・概要'!$B$40,10^(LOG10('入力・概要'!$B$38)+(A451-1)*(LOG10('入力・概要'!$B$39)-LOG10('入力・概要'!$B$38))/('入力・概要'!$B$40-1)),"")</f>
        <v/>
      </c>
      <c r="C451" s="195">
        <f>IF(B451="","",2*PI()*B451)</f>
        <v/>
      </c>
      <c r="D451" s="195">
        <f>IF(B451="","",ATANH(MIN(0.999999,(2*'入力・概要'!$B$17*'入力・概要'!$B$6)/'入力・概要'!$B$30))+'入力・概要'!$B$33*SQRT(B451/1E6)+(2*PI()*B451*'入力・概要'!$B$6/(299792458*'入力・概要'!$B$31))*'入力・概要'!$B$32/2)</f>
        <v/>
      </c>
      <c r="E451" s="195">
        <f>IF(B451="","",2*PI()*B451*'入力・概要'!$B$6/(299792458*'入力・概要'!$B$31))</f>
        <v/>
      </c>
      <c r="F451" s="195">
        <f>IF(B451="","",SINH(2*D451)/(COSH(2*D451)+COS(2*E451)))</f>
        <v/>
      </c>
      <c r="G451" s="195">
        <f>IF(B451="","",SIN(2*E451)/(COSH(2*D451)+COS(2*E451)))</f>
        <v/>
      </c>
      <c r="H451" s="195">
        <f>IF(B451="","",'入力・概要'!$B$34)</f>
        <v/>
      </c>
      <c r="I451" s="195">
        <f>IF(B451="","",C451*'入力・概要'!$B$35*1E-9)</f>
        <v/>
      </c>
      <c r="J451" s="195">
        <f>IF(B451="","",H451+'入力・概要'!$B$30*F451)</f>
        <v/>
      </c>
      <c r="K451" s="195">
        <f>IF(B451="","",I451+'入力・概要'!$B$30*G451)</f>
        <v/>
      </c>
      <c r="L451" s="195">
        <f>IF(B451="","",'入力・概要'!$B$30+H451*F451-I451*G451)</f>
        <v/>
      </c>
      <c r="M451" s="195">
        <f>IF(B451="","",H451*G451+I451*F451)</f>
        <v/>
      </c>
      <c r="N451" s="195">
        <f>IF(B451="","",'入力・概要'!$B$30*(J451*L451+K451*M451)/(L451^2+M451^2))</f>
        <v/>
      </c>
      <c r="O451" s="195">
        <f>IF(B451="","",'入力・概要'!$B$30*(K451*L451-J451*M451)/(L451^2+M451^2))</f>
        <v/>
      </c>
      <c r="P451" s="195">
        <f>IF(B451="","",N451+'入力・概要'!$B$36)</f>
        <v/>
      </c>
      <c r="Q451" s="195">
        <f>IF(B451="","",O451+C451*'入力・概要'!$B$37*1E-9)</f>
        <v/>
      </c>
      <c r="R451" s="195">
        <f>IF(B451="","",SQRT(P451^2+Q451^2))</f>
        <v/>
      </c>
      <c r="S451" s="195">
        <f>IF(B451="","",IF(P451&gt;0,DEGREES(ATAN(Q451/P451)),IF(P451&lt;0,IF(Q451&gt;=0,DEGREES(ATAN(Q451/P451))+180,DEGREES(ATAN(Q451/P451))-180),IF(Q451&gt;0,90,IF(Q451&lt;0,-90,0)))))</f>
        <v/>
      </c>
      <c r="T451" s="195">
        <f>IF(B451="","",LOG10(B451))</f>
        <v/>
      </c>
      <c r="U451" s="195">
        <f>IF(R451="","",LOG10(MAX(R451,1E-12)))</f>
        <v/>
      </c>
    </row>
    <row r="452">
      <c r="A452" t="n">
        <v>449</v>
      </c>
      <c r="B452" s="196">
        <f>IF(A452&lt;='入力・概要'!$B$40,10^(LOG10('入力・概要'!$B$38)+(A452-1)*(LOG10('入力・概要'!$B$39)-LOG10('入力・概要'!$B$38))/('入力・概要'!$B$40-1)),"")</f>
        <v/>
      </c>
      <c r="C452" s="195">
        <f>IF(B452="","",2*PI()*B452)</f>
        <v/>
      </c>
      <c r="D452" s="195">
        <f>IF(B452="","",ATANH(MIN(0.999999,(2*'入力・概要'!$B$17*'入力・概要'!$B$6)/'入力・概要'!$B$30))+'入力・概要'!$B$33*SQRT(B452/1E6)+(2*PI()*B452*'入力・概要'!$B$6/(299792458*'入力・概要'!$B$31))*'入力・概要'!$B$32/2)</f>
        <v/>
      </c>
      <c r="E452" s="195">
        <f>IF(B452="","",2*PI()*B452*'入力・概要'!$B$6/(299792458*'入力・概要'!$B$31))</f>
        <v/>
      </c>
      <c r="F452" s="195">
        <f>IF(B452="","",SINH(2*D452)/(COSH(2*D452)+COS(2*E452)))</f>
        <v/>
      </c>
      <c r="G452" s="195">
        <f>IF(B452="","",SIN(2*E452)/(COSH(2*D452)+COS(2*E452)))</f>
        <v/>
      </c>
      <c r="H452" s="195">
        <f>IF(B452="","",'入力・概要'!$B$34)</f>
        <v/>
      </c>
      <c r="I452" s="195">
        <f>IF(B452="","",C452*'入力・概要'!$B$35*1E-9)</f>
        <v/>
      </c>
      <c r="J452" s="195">
        <f>IF(B452="","",H452+'入力・概要'!$B$30*F452)</f>
        <v/>
      </c>
      <c r="K452" s="195">
        <f>IF(B452="","",I452+'入力・概要'!$B$30*G452)</f>
        <v/>
      </c>
      <c r="L452" s="195">
        <f>IF(B452="","",'入力・概要'!$B$30+H452*F452-I452*G452)</f>
        <v/>
      </c>
      <c r="M452" s="195">
        <f>IF(B452="","",H452*G452+I452*F452)</f>
        <v/>
      </c>
      <c r="N452" s="195">
        <f>IF(B452="","",'入力・概要'!$B$30*(J452*L452+K452*M452)/(L452^2+M452^2))</f>
        <v/>
      </c>
      <c r="O452" s="195">
        <f>IF(B452="","",'入力・概要'!$B$30*(K452*L452-J452*M452)/(L452^2+M452^2))</f>
        <v/>
      </c>
      <c r="P452" s="195">
        <f>IF(B452="","",N452+'入力・概要'!$B$36)</f>
        <v/>
      </c>
      <c r="Q452" s="195">
        <f>IF(B452="","",O452+C452*'入力・概要'!$B$37*1E-9)</f>
        <v/>
      </c>
      <c r="R452" s="195">
        <f>IF(B452="","",SQRT(P452^2+Q452^2))</f>
        <v/>
      </c>
      <c r="S452" s="195">
        <f>IF(B452="","",IF(P452&gt;0,DEGREES(ATAN(Q452/P452)),IF(P452&lt;0,IF(Q452&gt;=0,DEGREES(ATAN(Q452/P452))+180,DEGREES(ATAN(Q452/P452))-180),IF(Q452&gt;0,90,IF(Q452&lt;0,-90,0)))))</f>
        <v/>
      </c>
      <c r="T452" s="195">
        <f>IF(B452="","",LOG10(B452))</f>
        <v/>
      </c>
      <c r="U452" s="195">
        <f>IF(R452="","",LOG10(MAX(R452,1E-12)))</f>
        <v/>
      </c>
    </row>
    <row r="453">
      <c r="A453" t="n">
        <v>450</v>
      </c>
      <c r="B453" s="196">
        <f>IF(A453&lt;='入力・概要'!$B$40,10^(LOG10('入力・概要'!$B$38)+(A453-1)*(LOG10('入力・概要'!$B$39)-LOG10('入力・概要'!$B$38))/('入力・概要'!$B$40-1)),"")</f>
        <v/>
      </c>
      <c r="C453" s="195">
        <f>IF(B453="","",2*PI()*B453)</f>
        <v/>
      </c>
      <c r="D453" s="195">
        <f>IF(B453="","",ATANH(MIN(0.999999,(2*'入力・概要'!$B$17*'入力・概要'!$B$6)/'入力・概要'!$B$30))+'入力・概要'!$B$33*SQRT(B453/1E6)+(2*PI()*B453*'入力・概要'!$B$6/(299792458*'入力・概要'!$B$31))*'入力・概要'!$B$32/2)</f>
        <v/>
      </c>
      <c r="E453" s="195">
        <f>IF(B453="","",2*PI()*B453*'入力・概要'!$B$6/(299792458*'入力・概要'!$B$31))</f>
        <v/>
      </c>
      <c r="F453" s="195">
        <f>IF(B453="","",SINH(2*D453)/(COSH(2*D453)+COS(2*E453)))</f>
        <v/>
      </c>
      <c r="G453" s="195">
        <f>IF(B453="","",SIN(2*E453)/(COSH(2*D453)+COS(2*E453)))</f>
        <v/>
      </c>
      <c r="H453" s="195">
        <f>IF(B453="","",'入力・概要'!$B$34)</f>
        <v/>
      </c>
      <c r="I453" s="195">
        <f>IF(B453="","",C453*'入力・概要'!$B$35*1E-9)</f>
        <v/>
      </c>
      <c r="J453" s="195">
        <f>IF(B453="","",H453+'入力・概要'!$B$30*F453)</f>
        <v/>
      </c>
      <c r="K453" s="195">
        <f>IF(B453="","",I453+'入力・概要'!$B$30*G453)</f>
        <v/>
      </c>
      <c r="L453" s="195">
        <f>IF(B453="","",'入力・概要'!$B$30+H453*F453-I453*G453)</f>
        <v/>
      </c>
      <c r="M453" s="195">
        <f>IF(B453="","",H453*G453+I453*F453)</f>
        <v/>
      </c>
      <c r="N453" s="195">
        <f>IF(B453="","",'入力・概要'!$B$30*(J453*L453+K453*M453)/(L453^2+M453^2))</f>
        <v/>
      </c>
      <c r="O453" s="195">
        <f>IF(B453="","",'入力・概要'!$B$30*(K453*L453-J453*M453)/(L453^2+M453^2))</f>
        <v/>
      </c>
      <c r="P453" s="195">
        <f>IF(B453="","",N453+'入力・概要'!$B$36)</f>
        <v/>
      </c>
      <c r="Q453" s="195">
        <f>IF(B453="","",O453+C453*'入力・概要'!$B$37*1E-9)</f>
        <v/>
      </c>
      <c r="R453" s="195">
        <f>IF(B453="","",SQRT(P453^2+Q453^2))</f>
        <v/>
      </c>
      <c r="S453" s="195">
        <f>IF(B453="","",IF(P453&gt;0,DEGREES(ATAN(Q453/P453)),IF(P453&lt;0,IF(Q453&gt;=0,DEGREES(ATAN(Q453/P453))+180,DEGREES(ATAN(Q453/P453))-180),IF(Q453&gt;0,90,IF(Q453&lt;0,-90,0)))))</f>
        <v/>
      </c>
      <c r="T453" s="195">
        <f>IF(B453="","",LOG10(B453))</f>
        <v/>
      </c>
      <c r="U453" s="195">
        <f>IF(R453="","",LOG10(MAX(R453,1E-12)))</f>
        <v/>
      </c>
    </row>
    <row r="454">
      <c r="A454" t="n">
        <v>451</v>
      </c>
      <c r="B454" s="196">
        <f>IF(A454&lt;='入力・概要'!$B$40,10^(LOG10('入力・概要'!$B$38)+(A454-1)*(LOG10('入力・概要'!$B$39)-LOG10('入力・概要'!$B$38))/('入力・概要'!$B$40-1)),"")</f>
        <v/>
      </c>
      <c r="C454" s="195">
        <f>IF(B454="","",2*PI()*B454)</f>
        <v/>
      </c>
      <c r="D454" s="195">
        <f>IF(B454="","",ATANH(MIN(0.999999,(2*'入力・概要'!$B$17*'入力・概要'!$B$6)/'入力・概要'!$B$30))+'入力・概要'!$B$33*SQRT(B454/1E6)+(2*PI()*B454*'入力・概要'!$B$6/(299792458*'入力・概要'!$B$31))*'入力・概要'!$B$32/2)</f>
        <v/>
      </c>
      <c r="E454" s="195">
        <f>IF(B454="","",2*PI()*B454*'入力・概要'!$B$6/(299792458*'入力・概要'!$B$31))</f>
        <v/>
      </c>
      <c r="F454" s="195">
        <f>IF(B454="","",SINH(2*D454)/(COSH(2*D454)+COS(2*E454)))</f>
        <v/>
      </c>
      <c r="G454" s="195">
        <f>IF(B454="","",SIN(2*E454)/(COSH(2*D454)+COS(2*E454)))</f>
        <v/>
      </c>
      <c r="H454" s="195">
        <f>IF(B454="","",'入力・概要'!$B$34)</f>
        <v/>
      </c>
      <c r="I454" s="195">
        <f>IF(B454="","",C454*'入力・概要'!$B$35*1E-9)</f>
        <v/>
      </c>
      <c r="J454" s="195">
        <f>IF(B454="","",H454+'入力・概要'!$B$30*F454)</f>
        <v/>
      </c>
      <c r="K454" s="195">
        <f>IF(B454="","",I454+'入力・概要'!$B$30*G454)</f>
        <v/>
      </c>
      <c r="L454" s="195">
        <f>IF(B454="","",'入力・概要'!$B$30+H454*F454-I454*G454)</f>
        <v/>
      </c>
      <c r="M454" s="195">
        <f>IF(B454="","",H454*G454+I454*F454)</f>
        <v/>
      </c>
      <c r="N454" s="195">
        <f>IF(B454="","",'入力・概要'!$B$30*(J454*L454+K454*M454)/(L454^2+M454^2))</f>
        <v/>
      </c>
      <c r="O454" s="195">
        <f>IF(B454="","",'入力・概要'!$B$30*(K454*L454-J454*M454)/(L454^2+M454^2))</f>
        <v/>
      </c>
      <c r="P454" s="195">
        <f>IF(B454="","",N454+'入力・概要'!$B$36)</f>
        <v/>
      </c>
      <c r="Q454" s="195">
        <f>IF(B454="","",O454+C454*'入力・概要'!$B$37*1E-9)</f>
        <v/>
      </c>
      <c r="R454" s="195">
        <f>IF(B454="","",SQRT(P454^2+Q454^2))</f>
        <v/>
      </c>
      <c r="S454" s="195">
        <f>IF(B454="","",IF(P454&gt;0,DEGREES(ATAN(Q454/P454)),IF(P454&lt;0,IF(Q454&gt;=0,DEGREES(ATAN(Q454/P454))+180,DEGREES(ATAN(Q454/P454))-180),IF(Q454&gt;0,90,IF(Q454&lt;0,-90,0)))))</f>
        <v/>
      </c>
      <c r="T454" s="195">
        <f>IF(B454="","",LOG10(B454))</f>
        <v/>
      </c>
      <c r="U454" s="195">
        <f>IF(R454="","",LOG10(MAX(R454,1E-12)))</f>
        <v/>
      </c>
    </row>
    <row r="455">
      <c r="A455" t="n">
        <v>452</v>
      </c>
      <c r="B455" s="196">
        <f>IF(A455&lt;='入力・概要'!$B$40,10^(LOG10('入力・概要'!$B$38)+(A455-1)*(LOG10('入力・概要'!$B$39)-LOG10('入力・概要'!$B$38))/('入力・概要'!$B$40-1)),"")</f>
        <v/>
      </c>
      <c r="C455" s="195">
        <f>IF(B455="","",2*PI()*B455)</f>
        <v/>
      </c>
      <c r="D455" s="195">
        <f>IF(B455="","",ATANH(MIN(0.999999,(2*'入力・概要'!$B$17*'入力・概要'!$B$6)/'入力・概要'!$B$30))+'入力・概要'!$B$33*SQRT(B455/1E6)+(2*PI()*B455*'入力・概要'!$B$6/(299792458*'入力・概要'!$B$31))*'入力・概要'!$B$32/2)</f>
        <v/>
      </c>
      <c r="E455" s="195">
        <f>IF(B455="","",2*PI()*B455*'入力・概要'!$B$6/(299792458*'入力・概要'!$B$31))</f>
        <v/>
      </c>
      <c r="F455" s="195">
        <f>IF(B455="","",SINH(2*D455)/(COSH(2*D455)+COS(2*E455)))</f>
        <v/>
      </c>
      <c r="G455" s="195">
        <f>IF(B455="","",SIN(2*E455)/(COSH(2*D455)+COS(2*E455)))</f>
        <v/>
      </c>
      <c r="H455" s="195">
        <f>IF(B455="","",'入力・概要'!$B$34)</f>
        <v/>
      </c>
      <c r="I455" s="195">
        <f>IF(B455="","",C455*'入力・概要'!$B$35*1E-9)</f>
        <v/>
      </c>
      <c r="J455" s="195">
        <f>IF(B455="","",H455+'入力・概要'!$B$30*F455)</f>
        <v/>
      </c>
      <c r="K455" s="195">
        <f>IF(B455="","",I455+'入力・概要'!$B$30*G455)</f>
        <v/>
      </c>
      <c r="L455" s="195">
        <f>IF(B455="","",'入力・概要'!$B$30+H455*F455-I455*G455)</f>
        <v/>
      </c>
      <c r="M455" s="195">
        <f>IF(B455="","",H455*G455+I455*F455)</f>
        <v/>
      </c>
      <c r="N455" s="195">
        <f>IF(B455="","",'入力・概要'!$B$30*(J455*L455+K455*M455)/(L455^2+M455^2))</f>
        <v/>
      </c>
      <c r="O455" s="195">
        <f>IF(B455="","",'入力・概要'!$B$30*(K455*L455-J455*M455)/(L455^2+M455^2))</f>
        <v/>
      </c>
      <c r="P455" s="195">
        <f>IF(B455="","",N455+'入力・概要'!$B$36)</f>
        <v/>
      </c>
      <c r="Q455" s="195">
        <f>IF(B455="","",O455+C455*'入力・概要'!$B$37*1E-9)</f>
        <v/>
      </c>
      <c r="R455" s="195">
        <f>IF(B455="","",SQRT(P455^2+Q455^2))</f>
        <v/>
      </c>
      <c r="S455" s="195">
        <f>IF(B455="","",IF(P455&gt;0,DEGREES(ATAN(Q455/P455)),IF(P455&lt;0,IF(Q455&gt;=0,DEGREES(ATAN(Q455/P455))+180,DEGREES(ATAN(Q455/P455))-180),IF(Q455&gt;0,90,IF(Q455&lt;0,-90,0)))))</f>
        <v/>
      </c>
      <c r="T455" s="195">
        <f>IF(B455="","",LOG10(B455))</f>
        <v/>
      </c>
      <c r="U455" s="195">
        <f>IF(R455="","",LOG10(MAX(R455,1E-12)))</f>
        <v/>
      </c>
    </row>
    <row r="456">
      <c r="A456" t="n">
        <v>453</v>
      </c>
      <c r="B456" s="196">
        <f>IF(A456&lt;='入力・概要'!$B$40,10^(LOG10('入力・概要'!$B$38)+(A456-1)*(LOG10('入力・概要'!$B$39)-LOG10('入力・概要'!$B$38))/('入力・概要'!$B$40-1)),"")</f>
        <v/>
      </c>
      <c r="C456" s="195">
        <f>IF(B456="","",2*PI()*B456)</f>
        <v/>
      </c>
      <c r="D456" s="195">
        <f>IF(B456="","",ATANH(MIN(0.999999,(2*'入力・概要'!$B$17*'入力・概要'!$B$6)/'入力・概要'!$B$30))+'入力・概要'!$B$33*SQRT(B456/1E6)+(2*PI()*B456*'入力・概要'!$B$6/(299792458*'入力・概要'!$B$31))*'入力・概要'!$B$32/2)</f>
        <v/>
      </c>
      <c r="E456" s="195">
        <f>IF(B456="","",2*PI()*B456*'入力・概要'!$B$6/(299792458*'入力・概要'!$B$31))</f>
        <v/>
      </c>
      <c r="F456" s="195">
        <f>IF(B456="","",SINH(2*D456)/(COSH(2*D456)+COS(2*E456)))</f>
        <v/>
      </c>
      <c r="G456" s="195">
        <f>IF(B456="","",SIN(2*E456)/(COSH(2*D456)+COS(2*E456)))</f>
        <v/>
      </c>
      <c r="H456" s="195">
        <f>IF(B456="","",'入力・概要'!$B$34)</f>
        <v/>
      </c>
      <c r="I456" s="195">
        <f>IF(B456="","",C456*'入力・概要'!$B$35*1E-9)</f>
        <v/>
      </c>
      <c r="J456" s="195">
        <f>IF(B456="","",H456+'入力・概要'!$B$30*F456)</f>
        <v/>
      </c>
      <c r="K456" s="195">
        <f>IF(B456="","",I456+'入力・概要'!$B$30*G456)</f>
        <v/>
      </c>
      <c r="L456" s="195">
        <f>IF(B456="","",'入力・概要'!$B$30+H456*F456-I456*G456)</f>
        <v/>
      </c>
      <c r="M456" s="195">
        <f>IF(B456="","",H456*G456+I456*F456)</f>
        <v/>
      </c>
      <c r="N456" s="195">
        <f>IF(B456="","",'入力・概要'!$B$30*(J456*L456+K456*M456)/(L456^2+M456^2))</f>
        <v/>
      </c>
      <c r="O456" s="195">
        <f>IF(B456="","",'入力・概要'!$B$30*(K456*L456-J456*M456)/(L456^2+M456^2))</f>
        <v/>
      </c>
      <c r="P456" s="195">
        <f>IF(B456="","",N456+'入力・概要'!$B$36)</f>
        <v/>
      </c>
      <c r="Q456" s="195">
        <f>IF(B456="","",O456+C456*'入力・概要'!$B$37*1E-9)</f>
        <v/>
      </c>
      <c r="R456" s="195">
        <f>IF(B456="","",SQRT(P456^2+Q456^2))</f>
        <v/>
      </c>
      <c r="S456" s="195">
        <f>IF(B456="","",IF(P456&gt;0,DEGREES(ATAN(Q456/P456)),IF(P456&lt;0,IF(Q456&gt;=0,DEGREES(ATAN(Q456/P456))+180,DEGREES(ATAN(Q456/P456))-180),IF(Q456&gt;0,90,IF(Q456&lt;0,-90,0)))))</f>
        <v/>
      </c>
      <c r="T456" s="195">
        <f>IF(B456="","",LOG10(B456))</f>
        <v/>
      </c>
      <c r="U456" s="195">
        <f>IF(R456="","",LOG10(MAX(R456,1E-12)))</f>
        <v/>
      </c>
    </row>
    <row r="457">
      <c r="A457" t="n">
        <v>454</v>
      </c>
      <c r="B457" s="196">
        <f>IF(A457&lt;='入力・概要'!$B$40,10^(LOG10('入力・概要'!$B$38)+(A457-1)*(LOG10('入力・概要'!$B$39)-LOG10('入力・概要'!$B$38))/('入力・概要'!$B$40-1)),"")</f>
        <v/>
      </c>
      <c r="C457" s="195">
        <f>IF(B457="","",2*PI()*B457)</f>
        <v/>
      </c>
      <c r="D457" s="195">
        <f>IF(B457="","",ATANH(MIN(0.999999,(2*'入力・概要'!$B$17*'入力・概要'!$B$6)/'入力・概要'!$B$30))+'入力・概要'!$B$33*SQRT(B457/1E6)+(2*PI()*B457*'入力・概要'!$B$6/(299792458*'入力・概要'!$B$31))*'入力・概要'!$B$32/2)</f>
        <v/>
      </c>
      <c r="E457" s="195">
        <f>IF(B457="","",2*PI()*B457*'入力・概要'!$B$6/(299792458*'入力・概要'!$B$31))</f>
        <v/>
      </c>
      <c r="F457" s="195">
        <f>IF(B457="","",SINH(2*D457)/(COSH(2*D457)+COS(2*E457)))</f>
        <v/>
      </c>
      <c r="G457" s="195">
        <f>IF(B457="","",SIN(2*E457)/(COSH(2*D457)+COS(2*E457)))</f>
        <v/>
      </c>
      <c r="H457" s="195">
        <f>IF(B457="","",'入力・概要'!$B$34)</f>
        <v/>
      </c>
      <c r="I457" s="195">
        <f>IF(B457="","",C457*'入力・概要'!$B$35*1E-9)</f>
        <v/>
      </c>
      <c r="J457" s="195">
        <f>IF(B457="","",H457+'入力・概要'!$B$30*F457)</f>
        <v/>
      </c>
      <c r="K457" s="195">
        <f>IF(B457="","",I457+'入力・概要'!$B$30*G457)</f>
        <v/>
      </c>
      <c r="L457" s="195">
        <f>IF(B457="","",'入力・概要'!$B$30+H457*F457-I457*G457)</f>
        <v/>
      </c>
      <c r="M457" s="195">
        <f>IF(B457="","",H457*G457+I457*F457)</f>
        <v/>
      </c>
      <c r="N457" s="195">
        <f>IF(B457="","",'入力・概要'!$B$30*(J457*L457+K457*M457)/(L457^2+M457^2))</f>
        <v/>
      </c>
      <c r="O457" s="195">
        <f>IF(B457="","",'入力・概要'!$B$30*(K457*L457-J457*M457)/(L457^2+M457^2))</f>
        <v/>
      </c>
      <c r="P457" s="195">
        <f>IF(B457="","",N457+'入力・概要'!$B$36)</f>
        <v/>
      </c>
      <c r="Q457" s="195">
        <f>IF(B457="","",O457+C457*'入力・概要'!$B$37*1E-9)</f>
        <v/>
      </c>
      <c r="R457" s="195">
        <f>IF(B457="","",SQRT(P457^2+Q457^2))</f>
        <v/>
      </c>
      <c r="S457" s="195">
        <f>IF(B457="","",IF(P457&gt;0,DEGREES(ATAN(Q457/P457)),IF(P457&lt;0,IF(Q457&gt;=0,DEGREES(ATAN(Q457/P457))+180,DEGREES(ATAN(Q457/P457))-180),IF(Q457&gt;0,90,IF(Q457&lt;0,-90,0)))))</f>
        <v/>
      </c>
      <c r="T457" s="195">
        <f>IF(B457="","",LOG10(B457))</f>
        <v/>
      </c>
      <c r="U457" s="195">
        <f>IF(R457="","",LOG10(MAX(R457,1E-12)))</f>
        <v/>
      </c>
    </row>
    <row r="458">
      <c r="A458" t="n">
        <v>455</v>
      </c>
      <c r="B458" s="196">
        <f>IF(A458&lt;='入力・概要'!$B$40,10^(LOG10('入力・概要'!$B$38)+(A458-1)*(LOG10('入力・概要'!$B$39)-LOG10('入力・概要'!$B$38))/('入力・概要'!$B$40-1)),"")</f>
        <v/>
      </c>
      <c r="C458" s="195">
        <f>IF(B458="","",2*PI()*B458)</f>
        <v/>
      </c>
      <c r="D458" s="195">
        <f>IF(B458="","",ATANH(MIN(0.999999,(2*'入力・概要'!$B$17*'入力・概要'!$B$6)/'入力・概要'!$B$30))+'入力・概要'!$B$33*SQRT(B458/1E6)+(2*PI()*B458*'入力・概要'!$B$6/(299792458*'入力・概要'!$B$31))*'入力・概要'!$B$32/2)</f>
        <v/>
      </c>
      <c r="E458" s="195">
        <f>IF(B458="","",2*PI()*B458*'入力・概要'!$B$6/(299792458*'入力・概要'!$B$31))</f>
        <v/>
      </c>
      <c r="F458" s="195">
        <f>IF(B458="","",SINH(2*D458)/(COSH(2*D458)+COS(2*E458)))</f>
        <v/>
      </c>
      <c r="G458" s="195">
        <f>IF(B458="","",SIN(2*E458)/(COSH(2*D458)+COS(2*E458)))</f>
        <v/>
      </c>
      <c r="H458" s="195">
        <f>IF(B458="","",'入力・概要'!$B$34)</f>
        <v/>
      </c>
      <c r="I458" s="195">
        <f>IF(B458="","",C458*'入力・概要'!$B$35*1E-9)</f>
        <v/>
      </c>
      <c r="J458" s="195">
        <f>IF(B458="","",H458+'入力・概要'!$B$30*F458)</f>
        <v/>
      </c>
      <c r="K458" s="195">
        <f>IF(B458="","",I458+'入力・概要'!$B$30*G458)</f>
        <v/>
      </c>
      <c r="L458" s="195">
        <f>IF(B458="","",'入力・概要'!$B$30+H458*F458-I458*G458)</f>
        <v/>
      </c>
      <c r="M458" s="195">
        <f>IF(B458="","",H458*G458+I458*F458)</f>
        <v/>
      </c>
      <c r="N458" s="195">
        <f>IF(B458="","",'入力・概要'!$B$30*(J458*L458+K458*M458)/(L458^2+M458^2))</f>
        <v/>
      </c>
      <c r="O458" s="195">
        <f>IF(B458="","",'入力・概要'!$B$30*(K458*L458-J458*M458)/(L458^2+M458^2))</f>
        <v/>
      </c>
      <c r="P458" s="195">
        <f>IF(B458="","",N458+'入力・概要'!$B$36)</f>
        <v/>
      </c>
      <c r="Q458" s="195">
        <f>IF(B458="","",O458+C458*'入力・概要'!$B$37*1E-9)</f>
        <v/>
      </c>
      <c r="R458" s="195">
        <f>IF(B458="","",SQRT(P458^2+Q458^2))</f>
        <v/>
      </c>
      <c r="S458" s="195">
        <f>IF(B458="","",IF(P458&gt;0,DEGREES(ATAN(Q458/P458)),IF(P458&lt;0,IF(Q458&gt;=0,DEGREES(ATAN(Q458/P458))+180,DEGREES(ATAN(Q458/P458))-180),IF(Q458&gt;0,90,IF(Q458&lt;0,-90,0)))))</f>
        <v/>
      </c>
      <c r="T458" s="195">
        <f>IF(B458="","",LOG10(B458))</f>
        <v/>
      </c>
      <c r="U458" s="195">
        <f>IF(R458="","",LOG10(MAX(R458,1E-12)))</f>
        <v/>
      </c>
    </row>
    <row r="459">
      <c r="A459" t="n">
        <v>456</v>
      </c>
      <c r="B459" s="196">
        <f>IF(A459&lt;='入力・概要'!$B$40,10^(LOG10('入力・概要'!$B$38)+(A459-1)*(LOG10('入力・概要'!$B$39)-LOG10('入力・概要'!$B$38))/('入力・概要'!$B$40-1)),"")</f>
        <v/>
      </c>
      <c r="C459" s="195">
        <f>IF(B459="","",2*PI()*B459)</f>
        <v/>
      </c>
      <c r="D459" s="195">
        <f>IF(B459="","",ATANH(MIN(0.999999,(2*'入力・概要'!$B$17*'入力・概要'!$B$6)/'入力・概要'!$B$30))+'入力・概要'!$B$33*SQRT(B459/1E6)+(2*PI()*B459*'入力・概要'!$B$6/(299792458*'入力・概要'!$B$31))*'入力・概要'!$B$32/2)</f>
        <v/>
      </c>
      <c r="E459" s="195">
        <f>IF(B459="","",2*PI()*B459*'入力・概要'!$B$6/(299792458*'入力・概要'!$B$31))</f>
        <v/>
      </c>
      <c r="F459" s="195">
        <f>IF(B459="","",SINH(2*D459)/(COSH(2*D459)+COS(2*E459)))</f>
        <v/>
      </c>
      <c r="G459" s="195">
        <f>IF(B459="","",SIN(2*E459)/(COSH(2*D459)+COS(2*E459)))</f>
        <v/>
      </c>
      <c r="H459" s="195">
        <f>IF(B459="","",'入力・概要'!$B$34)</f>
        <v/>
      </c>
      <c r="I459" s="195">
        <f>IF(B459="","",C459*'入力・概要'!$B$35*1E-9)</f>
        <v/>
      </c>
      <c r="J459" s="195">
        <f>IF(B459="","",H459+'入力・概要'!$B$30*F459)</f>
        <v/>
      </c>
      <c r="K459" s="195">
        <f>IF(B459="","",I459+'入力・概要'!$B$30*G459)</f>
        <v/>
      </c>
      <c r="L459" s="195">
        <f>IF(B459="","",'入力・概要'!$B$30+H459*F459-I459*G459)</f>
        <v/>
      </c>
      <c r="M459" s="195">
        <f>IF(B459="","",H459*G459+I459*F459)</f>
        <v/>
      </c>
      <c r="N459" s="195">
        <f>IF(B459="","",'入力・概要'!$B$30*(J459*L459+K459*M459)/(L459^2+M459^2))</f>
        <v/>
      </c>
      <c r="O459" s="195">
        <f>IF(B459="","",'入力・概要'!$B$30*(K459*L459-J459*M459)/(L459^2+M459^2))</f>
        <v/>
      </c>
      <c r="P459" s="195">
        <f>IF(B459="","",N459+'入力・概要'!$B$36)</f>
        <v/>
      </c>
      <c r="Q459" s="195">
        <f>IF(B459="","",O459+C459*'入力・概要'!$B$37*1E-9)</f>
        <v/>
      </c>
      <c r="R459" s="195">
        <f>IF(B459="","",SQRT(P459^2+Q459^2))</f>
        <v/>
      </c>
      <c r="S459" s="195">
        <f>IF(B459="","",IF(P459&gt;0,DEGREES(ATAN(Q459/P459)),IF(P459&lt;0,IF(Q459&gt;=0,DEGREES(ATAN(Q459/P459))+180,DEGREES(ATAN(Q459/P459))-180),IF(Q459&gt;0,90,IF(Q459&lt;0,-90,0)))))</f>
        <v/>
      </c>
      <c r="T459" s="195">
        <f>IF(B459="","",LOG10(B459))</f>
        <v/>
      </c>
      <c r="U459" s="195">
        <f>IF(R459="","",LOG10(MAX(R459,1E-12)))</f>
        <v/>
      </c>
    </row>
    <row r="460">
      <c r="A460" t="n">
        <v>457</v>
      </c>
      <c r="B460" s="196">
        <f>IF(A460&lt;='入力・概要'!$B$40,10^(LOG10('入力・概要'!$B$38)+(A460-1)*(LOG10('入力・概要'!$B$39)-LOG10('入力・概要'!$B$38))/('入力・概要'!$B$40-1)),"")</f>
        <v/>
      </c>
      <c r="C460" s="195">
        <f>IF(B460="","",2*PI()*B460)</f>
        <v/>
      </c>
      <c r="D460" s="195">
        <f>IF(B460="","",ATANH(MIN(0.999999,(2*'入力・概要'!$B$17*'入力・概要'!$B$6)/'入力・概要'!$B$30))+'入力・概要'!$B$33*SQRT(B460/1E6)+(2*PI()*B460*'入力・概要'!$B$6/(299792458*'入力・概要'!$B$31))*'入力・概要'!$B$32/2)</f>
        <v/>
      </c>
      <c r="E460" s="195">
        <f>IF(B460="","",2*PI()*B460*'入力・概要'!$B$6/(299792458*'入力・概要'!$B$31))</f>
        <v/>
      </c>
      <c r="F460" s="195">
        <f>IF(B460="","",SINH(2*D460)/(COSH(2*D460)+COS(2*E460)))</f>
        <v/>
      </c>
      <c r="G460" s="195">
        <f>IF(B460="","",SIN(2*E460)/(COSH(2*D460)+COS(2*E460)))</f>
        <v/>
      </c>
      <c r="H460" s="195">
        <f>IF(B460="","",'入力・概要'!$B$34)</f>
        <v/>
      </c>
      <c r="I460" s="195">
        <f>IF(B460="","",C460*'入力・概要'!$B$35*1E-9)</f>
        <v/>
      </c>
      <c r="J460" s="195">
        <f>IF(B460="","",H460+'入力・概要'!$B$30*F460)</f>
        <v/>
      </c>
      <c r="K460" s="195">
        <f>IF(B460="","",I460+'入力・概要'!$B$30*G460)</f>
        <v/>
      </c>
      <c r="L460" s="195">
        <f>IF(B460="","",'入力・概要'!$B$30+H460*F460-I460*G460)</f>
        <v/>
      </c>
      <c r="M460" s="195">
        <f>IF(B460="","",H460*G460+I460*F460)</f>
        <v/>
      </c>
      <c r="N460" s="195">
        <f>IF(B460="","",'入力・概要'!$B$30*(J460*L460+K460*M460)/(L460^2+M460^2))</f>
        <v/>
      </c>
      <c r="O460" s="195">
        <f>IF(B460="","",'入力・概要'!$B$30*(K460*L460-J460*M460)/(L460^2+M460^2))</f>
        <v/>
      </c>
      <c r="P460" s="195">
        <f>IF(B460="","",N460+'入力・概要'!$B$36)</f>
        <v/>
      </c>
      <c r="Q460" s="195">
        <f>IF(B460="","",O460+C460*'入力・概要'!$B$37*1E-9)</f>
        <v/>
      </c>
      <c r="R460" s="195">
        <f>IF(B460="","",SQRT(P460^2+Q460^2))</f>
        <v/>
      </c>
      <c r="S460" s="195">
        <f>IF(B460="","",IF(P460&gt;0,DEGREES(ATAN(Q460/P460)),IF(P460&lt;0,IF(Q460&gt;=0,DEGREES(ATAN(Q460/P460))+180,DEGREES(ATAN(Q460/P460))-180),IF(Q460&gt;0,90,IF(Q460&lt;0,-90,0)))))</f>
        <v/>
      </c>
      <c r="T460" s="195">
        <f>IF(B460="","",LOG10(B460))</f>
        <v/>
      </c>
      <c r="U460" s="195">
        <f>IF(R460="","",LOG10(MAX(R460,1E-12)))</f>
        <v/>
      </c>
    </row>
    <row r="461">
      <c r="A461" t="n">
        <v>458</v>
      </c>
      <c r="B461" s="196">
        <f>IF(A461&lt;='入力・概要'!$B$40,10^(LOG10('入力・概要'!$B$38)+(A461-1)*(LOG10('入力・概要'!$B$39)-LOG10('入力・概要'!$B$38))/('入力・概要'!$B$40-1)),"")</f>
        <v/>
      </c>
      <c r="C461" s="195">
        <f>IF(B461="","",2*PI()*B461)</f>
        <v/>
      </c>
      <c r="D461" s="195">
        <f>IF(B461="","",ATANH(MIN(0.999999,(2*'入力・概要'!$B$17*'入力・概要'!$B$6)/'入力・概要'!$B$30))+'入力・概要'!$B$33*SQRT(B461/1E6)+(2*PI()*B461*'入力・概要'!$B$6/(299792458*'入力・概要'!$B$31))*'入力・概要'!$B$32/2)</f>
        <v/>
      </c>
      <c r="E461" s="195">
        <f>IF(B461="","",2*PI()*B461*'入力・概要'!$B$6/(299792458*'入力・概要'!$B$31))</f>
        <v/>
      </c>
      <c r="F461" s="195">
        <f>IF(B461="","",SINH(2*D461)/(COSH(2*D461)+COS(2*E461)))</f>
        <v/>
      </c>
      <c r="G461" s="195">
        <f>IF(B461="","",SIN(2*E461)/(COSH(2*D461)+COS(2*E461)))</f>
        <v/>
      </c>
      <c r="H461" s="195">
        <f>IF(B461="","",'入力・概要'!$B$34)</f>
        <v/>
      </c>
      <c r="I461" s="195">
        <f>IF(B461="","",C461*'入力・概要'!$B$35*1E-9)</f>
        <v/>
      </c>
      <c r="J461" s="195">
        <f>IF(B461="","",H461+'入力・概要'!$B$30*F461)</f>
        <v/>
      </c>
      <c r="K461" s="195">
        <f>IF(B461="","",I461+'入力・概要'!$B$30*G461)</f>
        <v/>
      </c>
      <c r="L461" s="195">
        <f>IF(B461="","",'入力・概要'!$B$30+H461*F461-I461*G461)</f>
        <v/>
      </c>
      <c r="M461" s="195">
        <f>IF(B461="","",H461*G461+I461*F461)</f>
        <v/>
      </c>
      <c r="N461" s="195">
        <f>IF(B461="","",'入力・概要'!$B$30*(J461*L461+K461*M461)/(L461^2+M461^2))</f>
        <v/>
      </c>
      <c r="O461" s="195">
        <f>IF(B461="","",'入力・概要'!$B$30*(K461*L461-J461*M461)/(L461^2+M461^2))</f>
        <v/>
      </c>
      <c r="P461" s="195">
        <f>IF(B461="","",N461+'入力・概要'!$B$36)</f>
        <v/>
      </c>
      <c r="Q461" s="195">
        <f>IF(B461="","",O461+C461*'入力・概要'!$B$37*1E-9)</f>
        <v/>
      </c>
      <c r="R461" s="195">
        <f>IF(B461="","",SQRT(P461^2+Q461^2))</f>
        <v/>
      </c>
      <c r="S461" s="195">
        <f>IF(B461="","",IF(P461&gt;0,DEGREES(ATAN(Q461/P461)),IF(P461&lt;0,IF(Q461&gt;=0,DEGREES(ATAN(Q461/P461))+180,DEGREES(ATAN(Q461/P461))-180),IF(Q461&gt;0,90,IF(Q461&lt;0,-90,0)))))</f>
        <v/>
      </c>
      <c r="T461" s="195">
        <f>IF(B461="","",LOG10(B461))</f>
        <v/>
      </c>
      <c r="U461" s="195">
        <f>IF(R461="","",LOG10(MAX(R461,1E-12)))</f>
        <v/>
      </c>
    </row>
    <row r="462">
      <c r="A462" t="n">
        <v>459</v>
      </c>
      <c r="B462" s="196">
        <f>IF(A462&lt;='入力・概要'!$B$40,10^(LOG10('入力・概要'!$B$38)+(A462-1)*(LOG10('入力・概要'!$B$39)-LOG10('入力・概要'!$B$38))/('入力・概要'!$B$40-1)),"")</f>
        <v/>
      </c>
      <c r="C462" s="195">
        <f>IF(B462="","",2*PI()*B462)</f>
        <v/>
      </c>
      <c r="D462" s="195">
        <f>IF(B462="","",ATANH(MIN(0.999999,(2*'入力・概要'!$B$17*'入力・概要'!$B$6)/'入力・概要'!$B$30))+'入力・概要'!$B$33*SQRT(B462/1E6)+(2*PI()*B462*'入力・概要'!$B$6/(299792458*'入力・概要'!$B$31))*'入力・概要'!$B$32/2)</f>
        <v/>
      </c>
      <c r="E462" s="195">
        <f>IF(B462="","",2*PI()*B462*'入力・概要'!$B$6/(299792458*'入力・概要'!$B$31))</f>
        <v/>
      </c>
      <c r="F462" s="195">
        <f>IF(B462="","",SINH(2*D462)/(COSH(2*D462)+COS(2*E462)))</f>
        <v/>
      </c>
      <c r="G462" s="195">
        <f>IF(B462="","",SIN(2*E462)/(COSH(2*D462)+COS(2*E462)))</f>
        <v/>
      </c>
      <c r="H462" s="195">
        <f>IF(B462="","",'入力・概要'!$B$34)</f>
        <v/>
      </c>
      <c r="I462" s="195">
        <f>IF(B462="","",C462*'入力・概要'!$B$35*1E-9)</f>
        <v/>
      </c>
      <c r="J462" s="195">
        <f>IF(B462="","",H462+'入力・概要'!$B$30*F462)</f>
        <v/>
      </c>
      <c r="K462" s="195">
        <f>IF(B462="","",I462+'入力・概要'!$B$30*G462)</f>
        <v/>
      </c>
      <c r="L462" s="195">
        <f>IF(B462="","",'入力・概要'!$B$30+H462*F462-I462*G462)</f>
        <v/>
      </c>
      <c r="M462" s="195">
        <f>IF(B462="","",H462*G462+I462*F462)</f>
        <v/>
      </c>
      <c r="N462" s="195">
        <f>IF(B462="","",'入力・概要'!$B$30*(J462*L462+K462*M462)/(L462^2+M462^2))</f>
        <v/>
      </c>
      <c r="O462" s="195">
        <f>IF(B462="","",'入力・概要'!$B$30*(K462*L462-J462*M462)/(L462^2+M462^2))</f>
        <v/>
      </c>
      <c r="P462" s="195">
        <f>IF(B462="","",N462+'入力・概要'!$B$36)</f>
        <v/>
      </c>
      <c r="Q462" s="195">
        <f>IF(B462="","",O462+C462*'入力・概要'!$B$37*1E-9)</f>
        <v/>
      </c>
      <c r="R462" s="195">
        <f>IF(B462="","",SQRT(P462^2+Q462^2))</f>
        <v/>
      </c>
      <c r="S462" s="195">
        <f>IF(B462="","",IF(P462&gt;0,DEGREES(ATAN(Q462/P462)),IF(P462&lt;0,IF(Q462&gt;=0,DEGREES(ATAN(Q462/P462))+180,DEGREES(ATAN(Q462/P462))-180),IF(Q462&gt;0,90,IF(Q462&lt;0,-90,0)))))</f>
        <v/>
      </c>
      <c r="T462" s="195">
        <f>IF(B462="","",LOG10(B462))</f>
        <v/>
      </c>
      <c r="U462" s="195">
        <f>IF(R462="","",LOG10(MAX(R462,1E-12)))</f>
        <v/>
      </c>
    </row>
    <row r="463">
      <c r="A463" t="n">
        <v>460</v>
      </c>
      <c r="B463" s="196">
        <f>IF(A463&lt;='入力・概要'!$B$40,10^(LOG10('入力・概要'!$B$38)+(A463-1)*(LOG10('入力・概要'!$B$39)-LOG10('入力・概要'!$B$38))/('入力・概要'!$B$40-1)),"")</f>
        <v/>
      </c>
      <c r="C463" s="195">
        <f>IF(B463="","",2*PI()*B463)</f>
        <v/>
      </c>
      <c r="D463" s="195">
        <f>IF(B463="","",ATANH(MIN(0.999999,(2*'入力・概要'!$B$17*'入力・概要'!$B$6)/'入力・概要'!$B$30))+'入力・概要'!$B$33*SQRT(B463/1E6)+(2*PI()*B463*'入力・概要'!$B$6/(299792458*'入力・概要'!$B$31))*'入力・概要'!$B$32/2)</f>
        <v/>
      </c>
      <c r="E463" s="195">
        <f>IF(B463="","",2*PI()*B463*'入力・概要'!$B$6/(299792458*'入力・概要'!$B$31))</f>
        <v/>
      </c>
      <c r="F463" s="195">
        <f>IF(B463="","",SINH(2*D463)/(COSH(2*D463)+COS(2*E463)))</f>
        <v/>
      </c>
      <c r="G463" s="195">
        <f>IF(B463="","",SIN(2*E463)/(COSH(2*D463)+COS(2*E463)))</f>
        <v/>
      </c>
      <c r="H463" s="195">
        <f>IF(B463="","",'入力・概要'!$B$34)</f>
        <v/>
      </c>
      <c r="I463" s="195">
        <f>IF(B463="","",C463*'入力・概要'!$B$35*1E-9)</f>
        <v/>
      </c>
      <c r="J463" s="195">
        <f>IF(B463="","",H463+'入力・概要'!$B$30*F463)</f>
        <v/>
      </c>
      <c r="K463" s="195">
        <f>IF(B463="","",I463+'入力・概要'!$B$30*G463)</f>
        <v/>
      </c>
      <c r="L463" s="195">
        <f>IF(B463="","",'入力・概要'!$B$30+H463*F463-I463*G463)</f>
        <v/>
      </c>
      <c r="M463" s="195">
        <f>IF(B463="","",H463*G463+I463*F463)</f>
        <v/>
      </c>
      <c r="N463" s="195">
        <f>IF(B463="","",'入力・概要'!$B$30*(J463*L463+K463*M463)/(L463^2+M463^2))</f>
        <v/>
      </c>
      <c r="O463" s="195">
        <f>IF(B463="","",'入力・概要'!$B$30*(K463*L463-J463*M463)/(L463^2+M463^2))</f>
        <v/>
      </c>
      <c r="P463" s="195">
        <f>IF(B463="","",N463+'入力・概要'!$B$36)</f>
        <v/>
      </c>
      <c r="Q463" s="195">
        <f>IF(B463="","",O463+C463*'入力・概要'!$B$37*1E-9)</f>
        <v/>
      </c>
      <c r="R463" s="195">
        <f>IF(B463="","",SQRT(P463^2+Q463^2))</f>
        <v/>
      </c>
      <c r="S463" s="195">
        <f>IF(B463="","",IF(P463&gt;0,DEGREES(ATAN(Q463/P463)),IF(P463&lt;0,IF(Q463&gt;=0,DEGREES(ATAN(Q463/P463))+180,DEGREES(ATAN(Q463/P463))-180),IF(Q463&gt;0,90,IF(Q463&lt;0,-90,0)))))</f>
        <v/>
      </c>
      <c r="T463" s="195">
        <f>IF(B463="","",LOG10(B463))</f>
        <v/>
      </c>
      <c r="U463" s="195">
        <f>IF(R463="","",LOG10(MAX(R463,1E-12)))</f>
        <v/>
      </c>
    </row>
    <row r="464">
      <c r="A464" t="n">
        <v>461</v>
      </c>
      <c r="B464" s="196">
        <f>IF(A464&lt;='入力・概要'!$B$40,10^(LOG10('入力・概要'!$B$38)+(A464-1)*(LOG10('入力・概要'!$B$39)-LOG10('入力・概要'!$B$38))/('入力・概要'!$B$40-1)),"")</f>
        <v/>
      </c>
      <c r="C464" s="195">
        <f>IF(B464="","",2*PI()*B464)</f>
        <v/>
      </c>
      <c r="D464" s="195">
        <f>IF(B464="","",ATANH(MIN(0.999999,(2*'入力・概要'!$B$17*'入力・概要'!$B$6)/'入力・概要'!$B$30))+'入力・概要'!$B$33*SQRT(B464/1E6)+(2*PI()*B464*'入力・概要'!$B$6/(299792458*'入力・概要'!$B$31))*'入力・概要'!$B$32/2)</f>
        <v/>
      </c>
      <c r="E464" s="195">
        <f>IF(B464="","",2*PI()*B464*'入力・概要'!$B$6/(299792458*'入力・概要'!$B$31))</f>
        <v/>
      </c>
      <c r="F464" s="195">
        <f>IF(B464="","",SINH(2*D464)/(COSH(2*D464)+COS(2*E464)))</f>
        <v/>
      </c>
      <c r="G464" s="195">
        <f>IF(B464="","",SIN(2*E464)/(COSH(2*D464)+COS(2*E464)))</f>
        <v/>
      </c>
      <c r="H464" s="195">
        <f>IF(B464="","",'入力・概要'!$B$34)</f>
        <v/>
      </c>
      <c r="I464" s="195">
        <f>IF(B464="","",C464*'入力・概要'!$B$35*1E-9)</f>
        <v/>
      </c>
      <c r="J464" s="195">
        <f>IF(B464="","",H464+'入力・概要'!$B$30*F464)</f>
        <v/>
      </c>
      <c r="K464" s="195">
        <f>IF(B464="","",I464+'入力・概要'!$B$30*G464)</f>
        <v/>
      </c>
      <c r="L464" s="195">
        <f>IF(B464="","",'入力・概要'!$B$30+H464*F464-I464*G464)</f>
        <v/>
      </c>
      <c r="M464" s="195">
        <f>IF(B464="","",H464*G464+I464*F464)</f>
        <v/>
      </c>
      <c r="N464" s="195">
        <f>IF(B464="","",'入力・概要'!$B$30*(J464*L464+K464*M464)/(L464^2+M464^2))</f>
        <v/>
      </c>
      <c r="O464" s="195">
        <f>IF(B464="","",'入力・概要'!$B$30*(K464*L464-J464*M464)/(L464^2+M464^2))</f>
        <v/>
      </c>
      <c r="P464" s="195">
        <f>IF(B464="","",N464+'入力・概要'!$B$36)</f>
        <v/>
      </c>
      <c r="Q464" s="195">
        <f>IF(B464="","",O464+C464*'入力・概要'!$B$37*1E-9)</f>
        <v/>
      </c>
      <c r="R464" s="195">
        <f>IF(B464="","",SQRT(P464^2+Q464^2))</f>
        <v/>
      </c>
      <c r="S464" s="195">
        <f>IF(B464="","",IF(P464&gt;0,DEGREES(ATAN(Q464/P464)),IF(P464&lt;0,IF(Q464&gt;=0,DEGREES(ATAN(Q464/P464))+180,DEGREES(ATAN(Q464/P464))-180),IF(Q464&gt;0,90,IF(Q464&lt;0,-90,0)))))</f>
        <v/>
      </c>
      <c r="T464" s="195">
        <f>IF(B464="","",LOG10(B464))</f>
        <v/>
      </c>
      <c r="U464" s="195">
        <f>IF(R464="","",LOG10(MAX(R464,1E-12)))</f>
        <v/>
      </c>
    </row>
    <row r="465">
      <c r="A465" t="n">
        <v>462</v>
      </c>
      <c r="B465" s="196">
        <f>IF(A465&lt;='入力・概要'!$B$40,10^(LOG10('入力・概要'!$B$38)+(A465-1)*(LOG10('入力・概要'!$B$39)-LOG10('入力・概要'!$B$38))/('入力・概要'!$B$40-1)),"")</f>
        <v/>
      </c>
      <c r="C465" s="195">
        <f>IF(B465="","",2*PI()*B465)</f>
        <v/>
      </c>
      <c r="D465" s="195">
        <f>IF(B465="","",ATANH(MIN(0.999999,(2*'入力・概要'!$B$17*'入力・概要'!$B$6)/'入力・概要'!$B$30))+'入力・概要'!$B$33*SQRT(B465/1E6)+(2*PI()*B465*'入力・概要'!$B$6/(299792458*'入力・概要'!$B$31))*'入力・概要'!$B$32/2)</f>
        <v/>
      </c>
      <c r="E465" s="195">
        <f>IF(B465="","",2*PI()*B465*'入力・概要'!$B$6/(299792458*'入力・概要'!$B$31))</f>
        <v/>
      </c>
      <c r="F465" s="195">
        <f>IF(B465="","",SINH(2*D465)/(COSH(2*D465)+COS(2*E465)))</f>
        <v/>
      </c>
      <c r="G465" s="195">
        <f>IF(B465="","",SIN(2*E465)/(COSH(2*D465)+COS(2*E465)))</f>
        <v/>
      </c>
      <c r="H465" s="195">
        <f>IF(B465="","",'入力・概要'!$B$34)</f>
        <v/>
      </c>
      <c r="I465" s="195">
        <f>IF(B465="","",C465*'入力・概要'!$B$35*1E-9)</f>
        <v/>
      </c>
      <c r="J465" s="195">
        <f>IF(B465="","",H465+'入力・概要'!$B$30*F465)</f>
        <v/>
      </c>
      <c r="K465" s="195">
        <f>IF(B465="","",I465+'入力・概要'!$B$30*G465)</f>
        <v/>
      </c>
      <c r="L465" s="195">
        <f>IF(B465="","",'入力・概要'!$B$30+H465*F465-I465*G465)</f>
        <v/>
      </c>
      <c r="M465" s="195">
        <f>IF(B465="","",H465*G465+I465*F465)</f>
        <v/>
      </c>
      <c r="N465" s="195">
        <f>IF(B465="","",'入力・概要'!$B$30*(J465*L465+K465*M465)/(L465^2+M465^2))</f>
        <v/>
      </c>
      <c r="O465" s="195">
        <f>IF(B465="","",'入力・概要'!$B$30*(K465*L465-J465*M465)/(L465^2+M465^2))</f>
        <v/>
      </c>
      <c r="P465" s="195">
        <f>IF(B465="","",N465+'入力・概要'!$B$36)</f>
        <v/>
      </c>
      <c r="Q465" s="195">
        <f>IF(B465="","",O465+C465*'入力・概要'!$B$37*1E-9)</f>
        <v/>
      </c>
      <c r="R465" s="195">
        <f>IF(B465="","",SQRT(P465^2+Q465^2))</f>
        <v/>
      </c>
      <c r="S465" s="195">
        <f>IF(B465="","",IF(P465&gt;0,DEGREES(ATAN(Q465/P465)),IF(P465&lt;0,IF(Q465&gt;=0,DEGREES(ATAN(Q465/P465))+180,DEGREES(ATAN(Q465/P465))-180),IF(Q465&gt;0,90,IF(Q465&lt;0,-90,0)))))</f>
        <v/>
      </c>
      <c r="T465" s="195">
        <f>IF(B465="","",LOG10(B465))</f>
        <v/>
      </c>
      <c r="U465" s="195">
        <f>IF(R465="","",LOG10(MAX(R465,1E-12)))</f>
        <v/>
      </c>
    </row>
    <row r="466">
      <c r="A466" t="n">
        <v>463</v>
      </c>
      <c r="B466" s="196">
        <f>IF(A466&lt;='入力・概要'!$B$40,10^(LOG10('入力・概要'!$B$38)+(A466-1)*(LOG10('入力・概要'!$B$39)-LOG10('入力・概要'!$B$38))/('入力・概要'!$B$40-1)),"")</f>
        <v/>
      </c>
      <c r="C466" s="195">
        <f>IF(B466="","",2*PI()*B466)</f>
        <v/>
      </c>
      <c r="D466" s="195">
        <f>IF(B466="","",ATANH(MIN(0.999999,(2*'入力・概要'!$B$17*'入力・概要'!$B$6)/'入力・概要'!$B$30))+'入力・概要'!$B$33*SQRT(B466/1E6)+(2*PI()*B466*'入力・概要'!$B$6/(299792458*'入力・概要'!$B$31))*'入力・概要'!$B$32/2)</f>
        <v/>
      </c>
      <c r="E466" s="195">
        <f>IF(B466="","",2*PI()*B466*'入力・概要'!$B$6/(299792458*'入力・概要'!$B$31))</f>
        <v/>
      </c>
      <c r="F466" s="195">
        <f>IF(B466="","",SINH(2*D466)/(COSH(2*D466)+COS(2*E466)))</f>
        <v/>
      </c>
      <c r="G466" s="195">
        <f>IF(B466="","",SIN(2*E466)/(COSH(2*D466)+COS(2*E466)))</f>
        <v/>
      </c>
      <c r="H466" s="195">
        <f>IF(B466="","",'入力・概要'!$B$34)</f>
        <v/>
      </c>
      <c r="I466" s="195">
        <f>IF(B466="","",C466*'入力・概要'!$B$35*1E-9)</f>
        <v/>
      </c>
      <c r="J466" s="195">
        <f>IF(B466="","",H466+'入力・概要'!$B$30*F466)</f>
        <v/>
      </c>
      <c r="K466" s="195">
        <f>IF(B466="","",I466+'入力・概要'!$B$30*G466)</f>
        <v/>
      </c>
      <c r="L466" s="195">
        <f>IF(B466="","",'入力・概要'!$B$30+H466*F466-I466*G466)</f>
        <v/>
      </c>
      <c r="M466" s="195">
        <f>IF(B466="","",H466*G466+I466*F466)</f>
        <v/>
      </c>
      <c r="N466" s="195">
        <f>IF(B466="","",'入力・概要'!$B$30*(J466*L466+K466*M466)/(L466^2+M466^2))</f>
        <v/>
      </c>
      <c r="O466" s="195">
        <f>IF(B466="","",'入力・概要'!$B$30*(K466*L466-J466*M466)/(L466^2+M466^2))</f>
        <v/>
      </c>
      <c r="P466" s="195">
        <f>IF(B466="","",N466+'入力・概要'!$B$36)</f>
        <v/>
      </c>
      <c r="Q466" s="195">
        <f>IF(B466="","",O466+C466*'入力・概要'!$B$37*1E-9)</f>
        <v/>
      </c>
      <c r="R466" s="195">
        <f>IF(B466="","",SQRT(P466^2+Q466^2))</f>
        <v/>
      </c>
      <c r="S466" s="195">
        <f>IF(B466="","",IF(P466&gt;0,DEGREES(ATAN(Q466/P466)),IF(P466&lt;0,IF(Q466&gt;=0,DEGREES(ATAN(Q466/P466))+180,DEGREES(ATAN(Q466/P466))-180),IF(Q466&gt;0,90,IF(Q466&lt;0,-90,0)))))</f>
        <v/>
      </c>
      <c r="T466" s="195">
        <f>IF(B466="","",LOG10(B466))</f>
        <v/>
      </c>
      <c r="U466" s="195">
        <f>IF(R466="","",LOG10(MAX(R466,1E-12)))</f>
        <v/>
      </c>
    </row>
    <row r="467">
      <c r="A467" t="n">
        <v>464</v>
      </c>
      <c r="B467" s="196">
        <f>IF(A467&lt;='入力・概要'!$B$40,10^(LOG10('入力・概要'!$B$38)+(A467-1)*(LOG10('入力・概要'!$B$39)-LOG10('入力・概要'!$B$38))/('入力・概要'!$B$40-1)),"")</f>
        <v/>
      </c>
      <c r="C467" s="195">
        <f>IF(B467="","",2*PI()*B467)</f>
        <v/>
      </c>
      <c r="D467" s="195">
        <f>IF(B467="","",ATANH(MIN(0.999999,(2*'入力・概要'!$B$17*'入力・概要'!$B$6)/'入力・概要'!$B$30))+'入力・概要'!$B$33*SQRT(B467/1E6)+(2*PI()*B467*'入力・概要'!$B$6/(299792458*'入力・概要'!$B$31))*'入力・概要'!$B$32/2)</f>
        <v/>
      </c>
      <c r="E467" s="195">
        <f>IF(B467="","",2*PI()*B467*'入力・概要'!$B$6/(299792458*'入力・概要'!$B$31))</f>
        <v/>
      </c>
      <c r="F467" s="195">
        <f>IF(B467="","",SINH(2*D467)/(COSH(2*D467)+COS(2*E467)))</f>
        <v/>
      </c>
      <c r="G467" s="195">
        <f>IF(B467="","",SIN(2*E467)/(COSH(2*D467)+COS(2*E467)))</f>
        <v/>
      </c>
      <c r="H467" s="195">
        <f>IF(B467="","",'入力・概要'!$B$34)</f>
        <v/>
      </c>
      <c r="I467" s="195">
        <f>IF(B467="","",C467*'入力・概要'!$B$35*1E-9)</f>
        <v/>
      </c>
      <c r="J467" s="195">
        <f>IF(B467="","",H467+'入力・概要'!$B$30*F467)</f>
        <v/>
      </c>
      <c r="K467" s="195">
        <f>IF(B467="","",I467+'入力・概要'!$B$30*G467)</f>
        <v/>
      </c>
      <c r="L467" s="195">
        <f>IF(B467="","",'入力・概要'!$B$30+H467*F467-I467*G467)</f>
        <v/>
      </c>
      <c r="M467" s="195">
        <f>IF(B467="","",H467*G467+I467*F467)</f>
        <v/>
      </c>
      <c r="N467" s="195">
        <f>IF(B467="","",'入力・概要'!$B$30*(J467*L467+K467*M467)/(L467^2+M467^2))</f>
        <v/>
      </c>
      <c r="O467" s="195">
        <f>IF(B467="","",'入力・概要'!$B$30*(K467*L467-J467*M467)/(L467^2+M467^2))</f>
        <v/>
      </c>
      <c r="P467" s="195">
        <f>IF(B467="","",N467+'入力・概要'!$B$36)</f>
        <v/>
      </c>
      <c r="Q467" s="195">
        <f>IF(B467="","",O467+C467*'入力・概要'!$B$37*1E-9)</f>
        <v/>
      </c>
      <c r="R467" s="195">
        <f>IF(B467="","",SQRT(P467^2+Q467^2))</f>
        <v/>
      </c>
      <c r="S467" s="195">
        <f>IF(B467="","",IF(P467&gt;0,DEGREES(ATAN(Q467/P467)),IF(P467&lt;0,IF(Q467&gt;=0,DEGREES(ATAN(Q467/P467))+180,DEGREES(ATAN(Q467/P467))-180),IF(Q467&gt;0,90,IF(Q467&lt;0,-90,0)))))</f>
        <v/>
      </c>
      <c r="T467" s="195">
        <f>IF(B467="","",LOG10(B467))</f>
        <v/>
      </c>
      <c r="U467" s="195">
        <f>IF(R467="","",LOG10(MAX(R467,1E-12)))</f>
        <v/>
      </c>
    </row>
    <row r="468">
      <c r="A468" t="n">
        <v>465</v>
      </c>
      <c r="B468" s="196">
        <f>IF(A468&lt;='入力・概要'!$B$40,10^(LOG10('入力・概要'!$B$38)+(A468-1)*(LOG10('入力・概要'!$B$39)-LOG10('入力・概要'!$B$38))/('入力・概要'!$B$40-1)),"")</f>
        <v/>
      </c>
      <c r="C468" s="195">
        <f>IF(B468="","",2*PI()*B468)</f>
        <v/>
      </c>
      <c r="D468" s="195">
        <f>IF(B468="","",ATANH(MIN(0.999999,(2*'入力・概要'!$B$17*'入力・概要'!$B$6)/'入力・概要'!$B$30))+'入力・概要'!$B$33*SQRT(B468/1E6)+(2*PI()*B468*'入力・概要'!$B$6/(299792458*'入力・概要'!$B$31))*'入力・概要'!$B$32/2)</f>
        <v/>
      </c>
      <c r="E468" s="195">
        <f>IF(B468="","",2*PI()*B468*'入力・概要'!$B$6/(299792458*'入力・概要'!$B$31))</f>
        <v/>
      </c>
      <c r="F468" s="195">
        <f>IF(B468="","",SINH(2*D468)/(COSH(2*D468)+COS(2*E468)))</f>
        <v/>
      </c>
      <c r="G468" s="195">
        <f>IF(B468="","",SIN(2*E468)/(COSH(2*D468)+COS(2*E468)))</f>
        <v/>
      </c>
      <c r="H468" s="195">
        <f>IF(B468="","",'入力・概要'!$B$34)</f>
        <v/>
      </c>
      <c r="I468" s="195">
        <f>IF(B468="","",C468*'入力・概要'!$B$35*1E-9)</f>
        <v/>
      </c>
      <c r="J468" s="195">
        <f>IF(B468="","",H468+'入力・概要'!$B$30*F468)</f>
        <v/>
      </c>
      <c r="K468" s="195">
        <f>IF(B468="","",I468+'入力・概要'!$B$30*G468)</f>
        <v/>
      </c>
      <c r="L468" s="195">
        <f>IF(B468="","",'入力・概要'!$B$30+H468*F468-I468*G468)</f>
        <v/>
      </c>
      <c r="M468" s="195">
        <f>IF(B468="","",H468*G468+I468*F468)</f>
        <v/>
      </c>
      <c r="N468" s="195">
        <f>IF(B468="","",'入力・概要'!$B$30*(J468*L468+K468*M468)/(L468^2+M468^2))</f>
        <v/>
      </c>
      <c r="O468" s="195">
        <f>IF(B468="","",'入力・概要'!$B$30*(K468*L468-J468*M468)/(L468^2+M468^2))</f>
        <v/>
      </c>
      <c r="P468" s="195">
        <f>IF(B468="","",N468+'入力・概要'!$B$36)</f>
        <v/>
      </c>
      <c r="Q468" s="195">
        <f>IF(B468="","",O468+C468*'入力・概要'!$B$37*1E-9)</f>
        <v/>
      </c>
      <c r="R468" s="195">
        <f>IF(B468="","",SQRT(P468^2+Q468^2))</f>
        <v/>
      </c>
      <c r="S468" s="195">
        <f>IF(B468="","",IF(P468&gt;0,DEGREES(ATAN(Q468/P468)),IF(P468&lt;0,IF(Q468&gt;=0,DEGREES(ATAN(Q468/P468))+180,DEGREES(ATAN(Q468/P468))-180),IF(Q468&gt;0,90,IF(Q468&lt;0,-90,0)))))</f>
        <v/>
      </c>
      <c r="T468" s="195">
        <f>IF(B468="","",LOG10(B468))</f>
        <v/>
      </c>
      <c r="U468" s="195">
        <f>IF(R468="","",LOG10(MAX(R468,1E-12)))</f>
        <v/>
      </c>
    </row>
    <row r="469">
      <c r="A469" t="n">
        <v>466</v>
      </c>
      <c r="B469" s="196">
        <f>IF(A469&lt;='入力・概要'!$B$40,10^(LOG10('入力・概要'!$B$38)+(A469-1)*(LOG10('入力・概要'!$B$39)-LOG10('入力・概要'!$B$38))/('入力・概要'!$B$40-1)),"")</f>
        <v/>
      </c>
      <c r="C469" s="195">
        <f>IF(B469="","",2*PI()*B469)</f>
        <v/>
      </c>
      <c r="D469" s="195">
        <f>IF(B469="","",ATANH(MIN(0.999999,(2*'入力・概要'!$B$17*'入力・概要'!$B$6)/'入力・概要'!$B$30))+'入力・概要'!$B$33*SQRT(B469/1E6)+(2*PI()*B469*'入力・概要'!$B$6/(299792458*'入力・概要'!$B$31))*'入力・概要'!$B$32/2)</f>
        <v/>
      </c>
      <c r="E469" s="195">
        <f>IF(B469="","",2*PI()*B469*'入力・概要'!$B$6/(299792458*'入力・概要'!$B$31))</f>
        <v/>
      </c>
      <c r="F469" s="195">
        <f>IF(B469="","",SINH(2*D469)/(COSH(2*D469)+COS(2*E469)))</f>
        <v/>
      </c>
      <c r="G469" s="195">
        <f>IF(B469="","",SIN(2*E469)/(COSH(2*D469)+COS(2*E469)))</f>
        <v/>
      </c>
      <c r="H469" s="195">
        <f>IF(B469="","",'入力・概要'!$B$34)</f>
        <v/>
      </c>
      <c r="I469" s="195">
        <f>IF(B469="","",C469*'入力・概要'!$B$35*1E-9)</f>
        <v/>
      </c>
      <c r="J469" s="195">
        <f>IF(B469="","",H469+'入力・概要'!$B$30*F469)</f>
        <v/>
      </c>
      <c r="K469" s="195">
        <f>IF(B469="","",I469+'入力・概要'!$B$30*G469)</f>
        <v/>
      </c>
      <c r="L469" s="195">
        <f>IF(B469="","",'入力・概要'!$B$30+H469*F469-I469*G469)</f>
        <v/>
      </c>
      <c r="M469" s="195">
        <f>IF(B469="","",H469*G469+I469*F469)</f>
        <v/>
      </c>
      <c r="N469" s="195">
        <f>IF(B469="","",'入力・概要'!$B$30*(J469*L469+K469*M469)/(L469^2+M469^2))</f>
        <v/>
      </c>
      <c r="O469" s="195">
        <f>IF(B469="","",'入力・概要'!$B$30*(K469*L469-J469*M469)/(L469^2+M469^2))</f>
        <v/>
      </c>
      <c r="P469" s="195">
        <f>IF(B469="","",N469+'入力・概要'!$B$36)</f>
        <v/>
      </c>
      <c r="Q469" s="195">
        <f>IF(B469="","",O469+C469*'入力・概要'!$B$37*1E-9)</f>
        <v/>
      </c>
      <c r="R469" s="195">
        <f>IF(B469="","",SQRT(P469^2+Q469^2))</f>
        <v/>
      </c>
      <c r="S469" s="195">
        <f>IF(B469="","",IF(P469&gt;0,DEGREES(ATAN(Q469/P469)),IF(P469&lt;0,IF(Q469&gt;=0,DEGREES(ATAN(Q469/P469))+180,DEGREES(ATAN(Q469/P469))-180),IF(Q469&gt;0,90,IF(Q469&lt;0,-90,0)))))</f>
        <v/>
      </c>
      <c r="T469" s="195">
        <f>IF(B469="","",LOG10(B469))</f>
        <v/>
      </c>
      <c r="U469" s="195">
        <f>IF(R469="","",LOG10(MAX(R469,1E-12)))</f>
        <v/>
      </c>
    </row>
    <row r="470">
      <c r="A470" t="n">
        <v>467</v>
      </c>
      <c r="B470" s="196">
        <f>IF(A470&lt;='入力・概要'!$B$40,10^(LOG10('入力・概要'!$B$38)+(A470-1)*(LOG10('入力・概要'!$B$39)-LOG10('入力・概要'!$B$38))/('入力・概要'!$B$40-1)),"")</f>
        <v/>
      </c>
      <c r="C470" s="195">
        <f>IF(B470="","",2*PI()*B470)</f>
        <v/>
      </c>
      <c r="D470" s="195">
        <f>IF(B470="","",ATANH(MIN(0.999999,(2*'入力・概要'!$B$17*'入力・概要'!$B$6)/'入力・概要'!$B$30))+'入力・概要'!$B$33*SQRT(B470/1E6)+(2*PI()*B470*'入力・概要'!$B$6/(299792458*'入力・概要'!$B$31))*'入力・概要'!$B$32/2)</f>
        <v/>
      </c>
      <c r="E470" s="195">
        <f>IF(B470="","",2*PI()*B470*'入力・概要'!$B$6/(299792458*'入力・概要'!$B$31))</f>
        <v/>
      </c>
      <c r="F470" s="195">
        <f>IF(B470="","",SINH(2*D470)/(COSH(2*D470)+COS(2*E470)))</f>
        <v/>
      </c>
      <c r="G470" s="195">
        <f>IF(B470="","",SIN(2*E470)/(COSH(2*D470)+COS(2*E470)))</f>
        <v/>
      </c>
      <c r="H470" s="195">
        <f>IF(B470="","",'入力・概要'!$B$34)</f>
        <v/>
      </c>
      <c r="I470" s="195">
        <f>IF(B470="","",C470*'入力・概要'!$B$35*1E-9)</f>
        <v/>
      </c>
      <c r="J470" s="195">
        <f>IF(B470="","",H470+'入力・概要'!$B$30*F470)</f>
        <v/>
      </c>
      <c r="K470" s="195">
        <f>IF(B470="","",I470+'入力・概要'!$B$30*G470)</f>
        <v/>
      </c>
      <c r="L470" s="195">
        <f>IF(B470="","",'入力・概要'!$B$30+H470*F470-I470*G470)</f>
        <v/>
      </c>
      <c r="M470" s="195">
        <f>IF(B470="","",H470*G470+I470*F470)</f>
        <v/>
      </c>
      <c r="N470" s="195">
        <f>IF(B470="","",'入力・概要'!$B$30*(J470*L470+K470*M470)/(L470^2+M470^2))</f>
        <v/>
      </c>
      <c r="O470" s="195">
        <f>IF(B470="","",'入力・概要'!$B$30*(K470*L470-J470*M470)/(L470^2+M470^2))</f>
        <v/>
      </c>
      <c r="P470" s="195">
        <f>IF(B470="","",N470+'入力・概要'!$B$36)</f>
        <v/>
      </c>
      <c r="Q470" s="195">
        <f>IF(B470="","",O470+C470*'入力・概要'!$B$37*1E-9)</f>
        <v/>
      </c>
      <c r="R470" s="195">
        <f>IF(B470="","",SQRT(P470^2+Q470^2))</f>
        <v/>
      </c>
      <c r="S470" s="195">
        <f>IF(B470="","",IF(P470&gt;0,DEGREES(ATAN(Q470/P470)),IF(P470&lt;0,IF(Q470&gt;=0,DEGREES(ATAN(Q470/P470))+180,DEGREES(ATAN(Q470/P470))-180),IF(Q470&gt;0,90,IF(Q470&lt;0,-90,0)))))</f>
        <v/>
      </c>
      <c r="T470" s="195">
        <f>IF(B470="","",LOG10(B470))</f>
        <v/>
      </c>
      <c r="U470" s="195">
        <f>IF(R470="","",LOG10(MAX(R470,1E-12)))</f>
        <v/>
      </c>
    </row>
    <row r="471">
      <c r="A471" t="n">
        <v>468</v>
      </c>
      <c r="B471" s="196">
        <f>IF(A471&lt;='入力・概要'!$B$40,10^(LOG10('入力・概要'!$B$38)+(A471-1)*(LOG10('入力・概要'!$B$39)-LOG10('入力・概要'!$B$38))/('入力・概要'!$B$40-1)),"")</f>
        <v/>
      </c>
      <c r="C471" s="195">
        <f>IF(B471="","",2*PI()*B471)</f>
        <v/>
      </c>
      <c r="D471" s="195">
        <f>IF(B471="","",ATANH(MIN(0.999999,(2*'入力・概要'!$B$17*'入力・概要'!$B$6)/'入力・概要'!$B$30))+'入力・概要'!$B$33*SQRT(B471/1E6)+(2*PI()*B471*'入力・概要'!$B$6/(299792458*'入力・概要'!$B$31))*'入力・概要'!$B$32/2)</f>
        <v/>
      </c>
      <c r="E471" s="195">
        <f>IF(B471="","",2*PI()*B471*'入力・概要'!$B$6/(299792458*'入力・概要'!$B$31))</f>
        <v/>
      </c>
      <c r="F471" s="195">
        <f>IF(B471="","",SINH(2*D471)/(COSH(2*D471)+COS(2*E471)))</f>
        <v/>
      </c>
      <c r="G471" s="195">
        <f>IF(B471="","",SIN(2*E471)/(COSH(2*D471)+COS(2*E471)))</f>
        <v/>
      </c>
      <c r="H471" s="195">
        <f>IF(B471="","",'入力・概要'!$B$34)</f>
        <v/>
      </c>
      <c r="I471" s="195">
        <f>IF(B471="","",C471*'入力・概要'!$B$35*1E-9)</f>
        <v/>
      </c>
      <c r="J471" s="195">
        <f>IF(B471="","",H471+'入力・概要'!$B$30*F471)</f>
        <v/>
      </c>
      <c r="K471" s="195">
        <f>IF(B471="","",I471+'入力・概要'!$B$30*G471)</f>
        <v/>
      </c>
      <c r="L471" s="195">
        <f>IF(B471="","",'入力・概要'!$B$30+H471*F471-I471*G471)</f>
        <v/>
      </c>
      <c r="M471" s="195">
        <f>IF(B471="","",H471*G471+I471*F471)</f>
        <v/>
      </c>
      <c r="N471" s="195">
        <f>IF(B471="","",'入力・概要'!$B$30*(J471*L471+K471*M471)/(L471^2+M471^2))</f>
        <v/>
      </c>
      <c r="O471" s="195">
        <f>IF(B471="","",'入力・概要'!$B$30*(K471*L471-J471*M471)/(L471^2+M471^2))</f>
        <v/>
      </c>
      <c r="P471" s="195">
        <f>IF(B471="","",N471+'入力・概要'!$B$36)</f>
        <v/>
      </c>
      <c r="Q471" s="195">
        <f>IF(B471="","",O471+C471*'入力・概要'!$B$37*1E-9)</f>
        <v/>
      </c>
      <c r="R471" s="195">
        <f>IF(B471="","",SQRT(P471^2+Q471^2))</f>
        <v/>
      </c>
      <c r="S471" s="195">
        <f>IF(B471="","",IF(P471&gt;0,DEGREES(ATAN(Q471/P471)),IF(P471&lt;0,IF(Q471&gt;=0,DEGREES(ATAN(Q471/P471))+180,DEGREES(ATAN(Q471/P471))-180),IF(Q471&gt;0,90,IF(Q471&lt;0,-90,0)))))</f>
        <v/>
      </c>
      <c r="T471" s="195">
        <f>IF(B471="","",LOG10(B471))</f>
        <v/>
      </c>
      <c r="U471" s="195">
        <f>IF(R471="","",LOG10(MAX(R471,1E-12)))</f>
        <v/>
      </c>
    </row>
    <row r="472">
      <c r="A472" t="n">
        <v>469</v>
      </c>
      <c r="B472" s="196">
        <f>IF(A472&lt;='入力・概要'!$B$40,10^(LOG10('入力・概要'!$B$38)+(A472-1)*(LOG10('入力・概要'!$B$39)-LOG10('入力・概要'!$B$38))/('入力・概要'!$B$40-1)),"")</f>
        <v/>
      </c>
      <c r="C472" s="195">
        <f>IF(B472="","",2*PI()*B472)</f>
        <v/>
      </c>
      <c r="D472" s="195">
        <f>IF(B472="","",ATANH(MIN(0.999999,(2*'入力・概要'!$B$17*'入力・概要'!$B$6)/'入力・概要'!$B$30))+'入力・概要'!$B$33*SQRT(B472/1E6)+(2*PI()*B472*'入力・概要'!$B$6/(299792458*'入力・概要'!$B$31))*'入力・概要'!$B$32/2)</f>
        <v/>
      </c>
      <c r="E472" s="195">
        <f>IF(B472="","",2*PI()*B472*'入力・概要'!$B$6/(299792458*'入力・概要'!$B$31))</f>
        <v/>
      </c>
      <c r="F472" s="195">
        <f>IF(B472="","",SINH(2*D472)/(COSH(2*D472)+COS(2*E472)))</f>
        <v/>
      </c>
      <c r="G472" s="195">
        <f>IF(B472="","",SIN(2*E472)/(COSH(2*D472)+COS(2*E472)))</f>
        <v/>
      </c>
      <c r="H472" s="195">
        <f>IF(B472="","",'入力・概要'!$B$34)</f>
        <v/>
      </c>
      <c r="I472" s="195">
        <f>IF(B472="","",C472*'入力・概要'!$B$35*1E-9)</f>
        <v/>
      </c>
      <c r="J472" s="195">
        <f>IF(B472="","",H472+'入力・概要'!$B$30*F472)</f>
        <v/>
      </c>
      <c r="K472" s="195">
        <f>IF(B472="","",I472+'入力・概要'!$B$30*G472)</f>
        <v/>
      </c>
      <c r="L472" s="195">
        <f>IF(B472="","",'入力・概要'!$B$30+H472*F472-I472*G472)</f>
        <v/>
      </c>
      <c r="M472" s="195">
        <f>IF(B472="","",H472*G472+I472*F472)</f>
        <v/>
      </c>
      <c r="N472" s="195">
        <f>IF(B472="","",'入力・概要'!$B$30*(J472*L472+K472*M472)/(L472^2+M472^2))</f>
        <v/>
      </c>
      <c r="O472" s="195">
        <f>IF(B472="","",'入力・概要'!$B$30*(K472*L472-J472*M472)/(L472^2+M472^2))</f>
        <v/>
      </c>
      <c r="P472" s="195">
        <f>IF(B472="","",N472+'入力・概要'!$B$36)</f>
        <v/>
      </c>
      <c r="Q472" s="195">
        <f>IF(B472="","",O472+C472*'入力・概要'!$B$37*1E-9)</f>
        <v/>
      </c>
      <c r="R472" s="195">
        <f>IF(B472="","",SQRT(P472^2+Q472^2))</f>
        <v/>
      </c>
      <c r="S472" s="195">
        <f>IF(B472="","",IF(P472&gt;0,DEGREES(ATAN(Q472/P472)),IF(P472&lt;0,IF(Q472&gt;=0,DEGREES(ATAN(Q472/P472))+180,DEGREES(ATAN(Q472/P472))-180),IF(Q472&gt;0,90,IF(Q472&lt;0,-90,0)))))</f>
        <v/>
      </c>
      <c r="T472" s="195">
        <f>IF(B472="","",LOG10(B472))</f>
        <v/>
      </c>
      <c r="U472" s="195">
        <f>IF(R472="","",LOG10(MAX(R472,1E-12)))</f>
        <v/>
      </c>
    </row>
    <row r="473">
      <c r="A473" t="n">
        <v>470</v>
      </c>
      <c r="B473" s="196">
        <f>IF(A473&lt;='入力・概要'!$B$40,10^(LOG10('入力・概要'!$B$38)+(A473-1)*(LOG10('入力・概要'!$B$39)-LOG10('入力・概要'!$B$38))/('入力・概要'!$B$40-1)),"")</f>
        <v/>
      </c>
      <c r="C473" s="195">
        <f>IF(B473="","",2*PI()*B473)</f>
        <v/>
      </c>
      <c r="D473" s="195">
        <f>IF(B473="","",ATANH(MIN(0.999999,(2*'入力・概要'!$B$17*'入力・概要'!$B$6)/'入力・概要'!$B$30))+'入力・概要'!$B$33*SQRT(B473/1E6)+(2*PI()*B473*'入力・概要'!$B$6/(299792458*'入力・概要'!$B$31))*'入力・概要'!$B$32/2)</f>
        <v/>
      </c>
      <c r="E473" s="195">
        <f>IF(B473="","",2*PI()*B473*'入力・概要'!$B$6/(299792458*'入力・概要'!$B$31))</f>
        <v/>
      </c>
      <c r="F473" s="195">
        <f>IF(B473="","",SINH(2*D473)/(COSH(2*D473)+COS(2*E473)))</f>
        <v/>
      </c>
      <c r="G473" s="195">
        <f>IF(B473="","",SIN(2*E473)/(COSH(2*D473)+COS(2*E473)))</f>
        <v/>
      </c>
      <c r="H473" s="195">
        <f>IF(B473="","",'入力・概要'!$B$34)</f>
        <v/>
      </c>
      <c r="I473" s="195">
        <f>IF(B473="","",C473*'入力・概要'!$B$35*1E-9)</f>
        <v/>
      </c>
      <c r="J473" s="195">
        <f>IF(B473="","",H473+'入力・概要'!$B$30*F473)</f>
        <v/>
      </c>
      <c r="K473" s="195">
        <f>IF(B473="","",I473+'入力・概要'!$B$30*G473)</f>
        <v/>
      </c>
      <c r="L473" s="195">
        <f>IF(B473="","",'入力・概要'!$B$30+H473*F473-I473*G473)</f>
        <v/>
      </c>
      <c r="M473" s="195">
        <f>IF(B473="","",H473*G473+I473*F473)</f>
        <v/>
      </c>
      <c r="N473" s="195">
        <f>IF(B473="","",'入力・概要'!$B$30*(J473*L473+K473*M473)/(L473^2+M473^2))</f>
        <v/>
      </c>
      <c r="O473" s="195">
        <f>IF(B473="","",'入力・概要'!$B$30*(K473*L473-J473*M473)/(L473^2+M473^2))</f>
        <v/>
      </c>
      <c r="P473" s="195">
        <f>IF(B473="","",N473+'入力・概要'!$B$36)</f>
        <v/>
      </c>
      <c r="Q473" s="195">
        <f>IF(B473="","",O473+C473*'入力・概要'!$B$37*1E-9)</f>
        <v/>
      </c>
      <c r="R473" s="195">
        <f>IF(B473="","",SQRT(P473^2+Q473^2))</f>
        <v/>
      </c>
      <c r="S473" s="195">
        <f>IF(B473="","",IF(P473&gt;0,DEGREES(ATAN(Q473/P473)),IF(P473&lt;0,IF(Q473&gt;=0,DEGREES(ATAN(Q473/P473))+180,DEGREES(ATAN(Q473/P473))-180),IF(Q473&gt;0,90,IF(Q473&lt;0,-90,0)))))</f>
        <v/>
      </c>
      <c r="T473" s="195">
        <f>IF(B473="","",LOG10(B473))</f>
        <v/>
      </c>
      <c r="U473" s="195">
        <f>IF(R473="","",LOG10(MAX(R473,1E-12)))</f>
        <v/>
      </c>
    </row>
    <row r="474">
      <c r="A474" t="n">
        <v>471</v>
      </c>
      <c r="B474" s="196">
        <f>IF(A474&lt;='入力・概要'!$B$40,10^(LOG10('入力・概要'!$B$38)+(A474-1)*(LOG10('入力・概要'!$B$39)-LOG10('入力・概要'!$B$38))/('入力・概要'!$B$40-1)),"")</f>
        <v/>
      </c>
      <c r="C474" s="195">
        <f>IF(B474="","",2*PI()*B474)</f>
        <v/>
      </c>
      <c r="D474" s="195">
        <f>IF(B474="","",ATANH(MIN(0.999999,(2*'入力・概要'!$B$17*'入力・概要'!$B$6)/'入力・概要'!$B$30))+'入力・概要'!$B$33*SQRT(B474/1E6)+(2*PI()*B474*'入力・概要'!$B$6/(299792458*'入力・概要'!$B$31))*'入力・概要'!$B$32/2)</f>
        <v/>
      </c>
      <c r="E474" s="195">
        <f>IF(B474="","",2*PI()*B474*'入力・概要'!$B$6/(299792458*'入力・概要'!$B$31))</f>
        <v/>
      </c>
      <c r="F474" s="195">
        <f>IF(B474="","",SINH(2*D474)/(COSH(2*D474)+COS(2*E474)))</f>
        <v/>
      </c>
      <c r="G474" s="195">
        <f>IF(B474="","",SIN(2*E474)/(COSH(2*D474)+COS(2*E474)))</f>
        <v/>
      </c>
      <c r="H474" s="195">
        <f>IF(B474="","",'入力・概要'!$B$34)</f>
        <v/>
      </c>
      <c r="I474" s="195">
        <f>IF(B474="","",C474*'入力・概要'!$B$35*1E-9)</f>
        <v/>
      </c>
      <c r="J474" s="195">
        <f>IF(B474="","",H474+'入力・概要'!$B$30*F474)</f>
        <v/>
      </c>
      <c r="K474" s="195">
        <f>IF(B474="","",I474+'入力・概要'!$B$30*G474)</f>
        <v/>
      </c>
      <c r="L474" s="195">
        <f>IF(B474="","",'入力・概要'!$B$30+H474*F474-I474*G474)</f>
        <v/>
      </c>
      <c r="M474" s="195">
        <f>IF(B474="","",H474*G474+I474*F474)</f>
        <v/>
      </c>
      <c r="N474" s="195">
        <f>IF(B474="","",'入力・概要'!$B$30*(J474*L474+K474*M474)/(L474^2+M474^2))</f>
        <v/>
      </c>
      <c r="O474" s="195">
        <f>IF(B474="","",'入力・概要'!$B$30*(K474*L474-J474*M474)/(L474^2+M474^2))</f>
        <v/>
      </c>
      <c r="P474" s="195">
        <f>IF(B474="","",N474+'入力・概要'!$B$36)</f>
        <v/>
      </c>
      <c r="Q474" s="195">
        <f>IF(B474="","",O474+C474*'入力・概要'!$B$37*1E-9)</f>
        <v/>
      </c>
      <c r="R474" s="195">
        <f>IF(B474="","",SQRT(P474^2+Q474^2))</f>
        <v/>
      </c>
      <c r="S474" s="195">
        <f>IF(B474="","",IF(P474&gt;0,DEGREES(ATAN(Q474/P474)),IF(P474&lt;0,IF(Q474&gt;=0,DEGREES(ATAN(Q474/P474))+180,DEGREES(ATAN(Q474/P474))-180),IF(Q474&gt;0,90,IF(Q474&lt;0,-90,0)))))</f>
        <v/>
      </c>
      <c r="T474" s="195">
        <f>IF(B474="","",LOG10(B474))</f>
        <v/>
      </c>
      <c r="U474" s="195">
        <f>IF(R474="","",LOG10(MAX(R474,1E-12)))</f>
        <v/>
      </c>
    </row>
    <row r="475">
      <c r="A475" t="n">
        <v>472</v>
      </c>
      <c r="B475" s="196">
        <f>IF(A475&lt;='入力・概要'!$B$40,10^(LOG10('入力・概要'!$B$38)+(A475-1)*(LOG10('入力・概要'!$B$39)-LOG10('入力・概要'!$B$38))/('入力・概要'!$B$40-1)),"")</f>
        <v/>
      </c>
      <c r="C475" s="195">
        <f>IF(B475="","",2*PI()*B475)</f>
        <v/>
      </c>
      <c r="D475" s="195">
        <f>IF(B475="","",ATANH(MIN(0.999999,(2*'入力・概要'!$B$17*'入力・概要'!$B$6)/'入力・概要'!$B$30))+'入力・概要'!$B$33*SQRT(B475/1E6)+(2*PI()*B475*'入力・概要'!$B$6/(299792458*'入力・概要'!$B$31))*'入力・概要'!$B$32/2)</f>
        <v/>
      </c>
      <c r="E475" s="195">
        <f>IF(B475="","",2*PI()*B475*'入力・概要'!$B$6/(299792458*'入力・概要'!$B$31))</f>
        <v/>
      </c>
      <c r="F475" s="195">
        <f>IF(B475="","",SINH(2*D475)/(COSH(2*D475)+COS(2*E475)))</f>
        <v/>
      </c>
      <c r="G475" s="195">
        <f>IF(B475="","",SIN(2*E475)/(COSH(2*D475)+COS(2*E475)))</f>
        <v/>
      </c>
      <c r="H475" s="195">
        <f>IF(B475="","",'入力・概要'!$B$34)</f>
        <v/>
      </c>
      <c r="I475" s="195">
        <f>IF(B475="","",C475*'入力・概要'!$B$35*1E-9)</f>
        <v/>
      </c>
      <c r="J475" s="195">
        <f>IF(B475="","",H475+'入力・概要'!$B$30*F475)</f>
        <v/>
      </c>
      <c r="K475" s="195">
        <f>IF(B475="","",I475+'入力・概要'!$B$30*G475)</f>
        <v/>
      </c>
      <c r="L475" s="195">
        <f>IF(B475="","",'入力・概要'!$B$30+H475*F475-I475*G475)</f>
        <v/>
      </c>
      <c r="M475" s="195">
        <f>IF(B475="","",H475*G475+I475*F475)</f>
        <v/>
      </c>
      <c r="N475" s="195">
        <f>IF(B475="","",'入力・概要'!$B$30*(J475*L475+K475*M475)/(L475^2+M475^2))</f>
        <v/>
      </c>
      <c r="O475" s="195">
        <f>IF(B475="","",'入力・概要'!$B$30*(K475*L475-J475*M475)/(L475^2+M475^2))</f>
        <v/>
      </c>
      <c r="P475" s="195">
        <f>IF(B475="","",N475+'入力・概要'!$B$36)</f>
        <v/>
      </c>
      <c r="Q475" s="195">
        <f>IF(B475="","",O475+C475*'入力・概要'!$B$37*1E-9)</f>
        <v/>
      </c>
      <c r="R475" s="195">
        <f>IF(B475="","",SQRT(P475^2+Q475^2))</f>
        <v/>
      </c>
      <c r="S475" s="195">
        <f>IF(B475="","",IF(P475&gt;0,DEGREES(ATAN(Q475/P475)),IF(P475&lt;0,IF(Q475&gt;=0,DEGREES(ATAN(Q475/P475))+180,DEGREES(ATAN(Q475/P475))-180),IF(Q475&gt;0,90,IF(Q475&lt;0,-90,0)))))</f>
        <v/>
      </c>
      <c r="T475" s="195">
        <f>IF(B475="","",LOG10(B475))</f>
        <v/>
      </c>
      <c r="U475" s="195">
        <f>IF(R475="","",LOG10(MAX(R475,1E-12)))</f>
        <v/>
      </c>
    </row>
    <row r="476">
      <c r="A476" t="n">
        <v>473</v>
      </c>
      <c r="B476" s="196">
        <f>IF(A476&lt;='入力・概要'!$B$40,10^(LOG10('入力・概要'!$B$38)+(A476-1)*(LOG10('入力・概要'!$B$39)-LOG10('入力・概要'!$B$38))/('入力・概要'!$B$40-1)),"")</f>
        <v/>
      </c>
      <c r="C476" s="195">
        <f>IF(B476="","",2*PI()*B476)</f>
        <v/>
      </c>
      <c r="D476" s="195">
        <f>IF(B476="","",ATANH(MIN(0.999999,(2*'入力・概要'!$B$17*'入力・概要'!$B$6)/'入力・概要'!$B$30))+'入力・概要'!$B$33*SQRT(B476/1E6)+(2*PI()*B476*'入力・概要'!$B$6/(299792458*'入力・概要'!$B$31))*'入力・概要'!$B$32/2)</f>
        <v/>
      </c>
      <c r="E476" s="195">
        <f>IF(B476="","",2*PI()*B476*'入力・概要'!$B$6/(299792458*'入力・概要'!$B$31))</f>
        <v/>
      </c>
      <c r="F476" s="195">
        <f>IF(B476="","",SINH(2*D476)/(COSH(2*D476)+COS(2*E476)))</f>
        <v/>
      </c>
      <c r="G476" s="195">
        <f>IF(B476="","",SIN(2*E476)/(COSH(2*D476)+COS(2*E476)))</f>
        <v/>
      </c>
      <c r="H476" s="195">
        <f>IF(B476="","",'入力・概要'!$B$34)</f>
        <v/>
      </c>
      <c r="I476" s="195">
        <f>IF(B476="","",C476*'入力・概要'!$B$35*1E-9)</f>
        <v/>
      </c>
      <c r="J476" s="195">
        <f>IF(B476="","",H476+'入力・概要'!$B$30*F476)</f>
        <v/>
      </c>
      <c r="K476" s="195">
        <f>IF(B476="","",I476+'入力・概要'!$B$30*G476)</f>
        <v/>
      </c>
      <c r="L476" s="195">
        <f>IF(B476="","",'入力・概要'!$B$30+H476*F476-I476*G476)</f>
        <v/>
      </c>
      <c r="M476" s="195">
        <f>IF(B476="","",H476*G476+I476*F476)</f>
        <v/>
      </c>
      <c r="N476" s="195">
        <f>IF(B476="","",'入力・概要'!$B$30*(J476*L476+K476*M476)/(L476^2+M476^2))</f>
        <v/>
      </c>
      <c r="O476" s="195">
        <f>IF(B476="","",'入力・概要'!$B$30*(K476*L476-J476*M476)/(L476^2+M476^2))</f>
        <v/>
      </c>
      <c r="P476" s="195">
        <f>IF(B476="","",N476+'入力・概要'!$B$36)</f>
        <v/>
      </c>
      <c r="Q476" s="195">
        <f>IF(B476="","",O476+C476*'入力・概要'!$B$37*1E-9)</f>
        <v/>
      </c>
      <c r="R476" s="195">
        <f>IF(B476="","",SQRT(P476^2+Q476^2))</f>
        <v/>
      </c>
      <c r="S476" s="195">
        <f>IF(B476="","",IF(P476&gt;0,DEGREES(ATAN(Q476/P476)),IF(P476&lt;0,IF(Q476&gt;=0,DEGREES(ATAN(Q476/P476))+180,DEGREES(ATAN(Q476/P476))-180),IF(Q476&gt;0,90,IF(Q476&lt;0,-90,0)))))</f>
        <v/>
      </c>
      <c r="T476" s="195">
        <f>IF(B476="","",LOG10(B476))</f>
        <v/>
      </c>
      <c r="U476" s="195">
        <f>IF(R476="","",LOG10(MAX(R476,1E-12)))</f>
        <v/>
      </c>
    </row>
    <row r="477">
      <c r="A477" t="n">
        <v>474</v>
      </c>
      <c r="B477" s="196">
        <f>IF(A477&lt;='入力・概要'!$B$40,10^(LOG10('入力・概要'!$B$38)+(A477-1)*(LOG10('入力・概要'!$B$39)-LOG10('入力・概要'!$B$38))/('入力・概要'!$B$40-1)),"")</f>
        <v/>
      </c>
      <c r="C477" s="195">
        <f>IF(B477="","",2*PI()*B477)</f>
        <v/>
      </c>
      <c r="D477" s="195">
        <f>IF(B477="","",ATANH(MIN(0.999999,(2*'入力・概要'!$B$17*'入力・概要'!$B$6)/'入力・概要'!$B$30))+'入力・概要'!$B$33*SQRT(B477/1E6)+(2*PI()*B477*'入力・概要'!$B$6/(299792458*'入力・概要'!$B$31))*'入力・概要'!$B$32/2)</f>
        <v/>
      </c>
      <c r="E477" s="195">
        <f>IF(B477="","",2*PI()*B477*'入力・概要'!$B$6/(299792458*'入力・概要'!$B$31))</f>
        <v/>
      </c>
      <c r="F477" s="195">
        <f>IF(B477="","",SINH(2*D477)/(COSH(2*D477)+COS(2*E477)))</f>
        <v/>
      </c>
      <c r="G477" s="195">
        <f>IF(B477="","",SIN(2*E477)/(COSH(2*D477)+COS(2*E477)))</f>
        <v/>
      </c>
      <c r="H477" s="195">
        <f>IF(B477="","",'入力・概要'!$B$34)</f>
        <v/>
      </c>
      <c r="I477" s="195">
        <f>IF(B477="","",C477*'入力・概要'!$B$35*1E-9)</f>
        <v/>
      </c>
      <c r="J477" s="195">
        <f>IF(B477="","",H477+'入力・概要'!$B$30*F477)</f>
        <v/>
      </c>
      <c r="K477" s="195">
        <f>IF(B477="","",I477+'入力・概要'!$B$30*G477)</f>
        <v/>
      </c>
      <c r="L477" s="195">
        <f>IF(B477="","",'入力・概要'!$B$30+H477*F477-I477*G477)</f>
        <v/>
      </c>
      <c r="M477" s="195">
        <f>IF(B477="","",H477*G477+I477*F477)</f>
        <v/>
      </c>
      <c r="N477" s="195">
        <f>IF(B477="","",'入力・概要'!$B$30*(J477*L477+K477*M477)/(L477^2+M477^2))</f>
        <v/>
      </c>
      <c r="O477" s="195">
        <f>IF(B477="","",'入力・概要'!$B$30*(K477*L477-J477*M477)/(L477^2+M477^2))</f>
        <v/>
      </c>
      <c r="P477" s="195">
        <f>IF(B477="","",N477+'入力・概要'!$B$36)</f>
        <v/>
      </c>
      <c r="Q477" s="195">
        <f>IF(B477="","",O477+C477*'入力・概要'!$B$37*1E-9)</f>
        <v/>
      </c>
      <c r="R477" s="195">
        <f>IF(B477="","",SQRT(P477^2+Q477^2))</f>
        <v/>
      </c>
      <c r="S477" s="195">
        <f>IF(B477="","",IF(P477&gt;0,DEGREES(ATAN(Q477/P477)),IF(P477&lt;0,IF(Q477&gt;=0,DEGREES(ATAN(Q477/P477))+180,DEGREES(ATAN(Q477/P477))-180),IF(Q477&gt;0,90,IF(Q477&lt;0,-90,0)))))</f>
        <v/>
      </c>
      <c r="T477" s="195">
        <f>IF(B477="","",LOG10(B477))</f>
        <v/>
      </c>
      <c r="U477" s="195">
        <f>IF(R477="","",LOG10(MAX(R477,1E-12)))</f>
        <v/>
      </c>
    </row>
    <row r="478">
      <c r="A478" t="n">
        <v>475</v>
      </c>
      <c r="B478" s="196">
        <f>IF(A478&lt;='入力・概要'!$B$40,10^(LOG10('入力・概要'!$B$38)+(A478-1)*(LOG10('入力・概要'!$B$39)-LOG10('入力・概要'!$B$38))/('入力・概要'!$B$40-1)),"")</f>
        <v/>
      </c>
      <c r="C478" s="195">
        <f>IF(B478="","",2*PI()*B478)</f>
        <v/>
      </c>
      <c r="D478" s="195">
        <f>IF(B478="","",ATANH(MIN(0.999999,(2*'入力・概要'!$B$17*'入力・概要'!$B$6)/'入力・概要'!$B$30))+'入力・概要'!$B$33*SQRT(B478/1E6)+(2*PI()*B478*'入力・概要'!$B$6/(299792458*'入力・概要'!$B$31))*'入力・概要'!$B$32/2)</f>
        <v/>
      </c>
      <c r="E478" s="195">
        <f>IF(B478="","",2*PI()*B478*'入力・概要'!$B$6/(299792458*'入力・概要'!$B$31))</f>
        <v/>
      </c>
      <c r="F478" s="195">
        <f>IF(B478="","",SINH(2*D478)/(COSH(2*D478)+COS(2*E478)))</f>
        <v/>
      </c>
      <c r="G478" s="195">
        <f>IF(B478="","",SIN(2*E478)/(COSH(2*D478)+COS(2*E478)))</f>
        <v/>
      </c>
      <c r="H478" s="195">
        <f>IF(B478="","",'入力・概要'!$B$34)</f>
        <v/>
      </c>
      <c r="I478" s="195">
        <f>IF(B478="","",C478*'入力・概要'!$B$35*1E-9)</f>
        <v/>
      </c>
      <c r="J478" s="195">
        <f>IF(B478="","",H478+'入力・概要'!$B$30*F478)</f>
        <v/>
      </c>
      <c r="K478" s="195">
        <f>IF(B478="","",I478+'入力・概要'!$B$30*G478)</f>
        <v/>
      </c>
      <c r="L478" s="195">
        <f>IF(B478="","",'入力・概要'!$B$30+H478*F478-I478*G478)</f>
        <v/>
      </c>
      <c r="M478" s="195">
        <f>IF(B478="","",H478*G478+I478*F478)</f>
        <v/>
      </c>
      <c r="N478" s="195">
        <f>IF(B478="","",'入力・概要'!$B$30*(J478*L478+K478*M478)/(L478^2+M478^2))</f>
        <v/>
      </c>
      <c r="O478" s="195">
        <f>IF(B478="","",'入力・概要'!$B$30*(K478*L478-J478*M478)/(L478^2+M478^2))</f>
        <v/>
      </c>
      <c r="P478" s="195">
        <f>IF(B478="","",N478+'入力・概要'!$B$36)</f>
        <v/>
      </c>
      <c r="Q478" s="195">
        <f>IF(B478="","",O478+C478*'入力・概要'!$B$37*1E-9)</f>
        <v/>
      </c>
      <c r="R478" s="195">
        <f>IF(B478="","",SQRT(P478^2+Q478^2))</f>
        <v/>
      </c>
      <c r="S478" s="195">
        <f>IF(B478="","",IF(P478&gt;0,DEGREES(ATAN(Q478/P478)),IF(P478&lt;0,IF(Q478&gt;=0,DEGREES(ATAN(Q478/P478))+180,DEGREES(ATAN(Q478/P478))-180),IF(Q478&gt;0,90,IF(Q478&lt;0,-90,0)))))</f>
        <v/>
      </c>
      <c r="T478" s="195">
        <f>IF(B478="","",LOG10(B478))</f>
        <v/>
      </c>
      <c r="U478" s="195">
        <f>IF(R478="","",LOG10(MAX(R478,1E-12)))</f>
        <v/>
      </c>
    </row>
    <row r="479">
      <c r="A479" t="n">
        <v>476</v>
      </c>
      <c r="B479" s="196">
        <f>IF(A479&lt;='入力・概要'!$B$40,10^(LOG10('入力・概要'!$B$38)+(A479-1)*(LOG10('入力・概要'!$B$39)-LOG10('入力・概要'!$B$38))/('入力・概要'!$B$40-1)),"")</f>
        <v/>
      </c>
      <c r="C479" s="195">
        <f>IF(B479="","",2*PI()*B479)</f>
        <v/>
      </c>
      <c r="D479" s="195">
        <f>IF(B479="","",ATANH(MIN(0.999999,(2*'入力・概要'!$B$17*'入力・概要'!$B$6)/'入力・概要'!$B$30))+'入力・概要'!$B$33*SQRT(B479/1E6)+(2*PI()*B479*'入力・概要'!$B$6/(299792458*'入力・概要'!$B$31))*'入力・概要'!$B$32/2)</f>
        <v/>
      </c>
      <c r="E479" s="195">
        <f>IF(B479="","",2*PI()*B479*'入力・概要'!$B$6/(299792458*'入力・概要'!$B$31))</f>
        <v/>
      </c>
      <c r="F479" s="195">
        <f>IF(B479="","",SINH(2*D479)/(COSH(2*D479)+COS(2*E479)))</f>
        <v/>
      </c>
      <c r="G479" s="195">
        <f>IF(B479="","",SIN(2*E479)/(COSH(2*D479)+COS(2*E479)))</f>
        <v/>
      </c>
      <c r="H479" s="195">
        <f>IF(B479="","",'入力・概要'!$B$34)</f>
        <v/>
      </c>
      <c r="I479" s="195">
        <f>IF(B479="","",C479*'入力・概要'!$B$35*1E-9)</f>
        <v/>
      </c>
      <c r="J479" s="195">
        <f>IF(B479="","",H479+'入力・概要'!$B$30*F479)</f>
        <v/>
      </c>
      <c r="K479" s="195">
        <f>IF(B479="","",I479+'入力・概要'!$B$30*G479)</f>
        <v/>
      </c>
      <c r="L479" s="195">
        <f>IF(B479="","",'入力・概要'!$B$30+H479*F479-I479*G479)</f>
        <v/>
      </c>
      <c r="M479" s="195">
        <f>IF(B479="","",H479*G479+I479*F479)</f>
        <v/>
      </c>
      <c r="N479" s="195">
        <f>IF(B479="","",'入力・概要'!$B$30*(J479*L479+K479*M479)/(L479^2+M479^2))</f>
        <v/>
      </c>
      <c r="O479" s="195">
        <f>IF(B479="","",'入力・概要'!$B$30*(K479*L479-J479*M479)/(L479^2+M479^2))</f>
        <v/>
      </c>
      <c r="P479" s="195">
        <f>IF(B479="","",N479+'入力・概要'!$B$36)</f>
        <v/>
      </c>
      <c r="Q479" s="195">
        <f>IF(B479="","",O479+C479*'入力・概要'!$B$37*1E-9)</f>
        <v/>
      </c>
      <c r="R479" s="195">
        <f>IF(B479="","",SQRT(P479^2+Q479^2))</f>
        <v/>
      </c>
      <c r="S479" s="195">
        <f>IF(B479="","",IF(P479&gt;0,DEGREES(ATAN(Q479/P479)),IF(P479&lt;0,IF(Q479&gt;=0,DEGREES(ATAN(Q479/P479))+180,DEGREES(ATAN(Q479/P479))-180),IF(Q479&gt;0,90,IF(Q479&lt;0,-90,0)))))</f>
        <v/>
      </c>
      <c r="T479" s="195">
        <f>IF(B479="","",LOG10(B479))</f>
        <v/>
      </c>
      <c r="U479" s="195">
        <f>IF(R479="","",LOG10(MAX(R479,1E-12)))</f>
        <v/>
      </c>
    </row>
    <row r="480">
      <c r="A480" t="n">
        <v>477</v>
      </c>
      <c r="B480" s="196">
        <f>IF(A480&lt;='入力・概要'!$B$40,10^(LOG10('入力・概要'!$B$38)+(A480-1)*(LOG10('入力・概要'!$B$39)-LOG10('入力・概要'!$B$38))/('入力・概要'!$B$40-1)),"")</f>
        <v/>
      </c>
      <c r="C480" s="195">
        <f>IF(B480="","",2*PI()*B480)</f>
        <v/>
      </c>
      <c r="D480" s="195">
        <f>IF(B480="","",ATANH(MIN(0.999999,(2*'入力・概要'!$B$17*'入力・概要'!$B$6)/'入力・概要'!$B$30))+'入力・概要'!$B$33*SQRT(B480/1E6)+(2*PI()*B480*'入力・概要'!$B$6/(299792458*'入力・概要'!$B$31))*'入力・概要'!$B$32/2)</f>
        <v/>
      </c>
      <c r="E480" s="195">
        <f>IF(B480="","",2*PI()*B480*'入力・概要'!$B$6/(299792458*'入力・概要'!$B$31))</f>
        <v/>
      </c>
      <c r="F480" s="195">
        <f>IF(B480="","",SINH(2*D480)/(COSH(2*D480)+COS(2*E480)))</f>
        <v/>
      </c>
      <c r="G480" s="195">
        <f>IF(B480="","",SIN(2*E480)/(COSH(2*D480)+COS(2*E480)))</f>
        <v/>
      </c>
      <c r="H480" s="195">
        <f>IF(B480="","",'入力・概要'!$B$34)</f>
        <v/>
      </c>
      <c r="I480" s="195">
        <f>IF(B480="","",C480*'入力・概要'!$B$35*1E-9)</f>
        <v/>
      </c>
      <c r="J480" s="195">
        <f>IF(B480="","",H480+'入力・概要'!$B$30*F480)</f>
        <v/>
      </c>
      <c r="K480" s="195">
        <f>IF(B480="","",I480+'入力・概要'!$B$30*G480)</f>
        <v/>
      </c>
      <c r="L480" s="195">
        <f>IF(B480="","",'入力・概要'!$B$30+H480*F480-I480*G480)</f>
        <v/>
      </c>
      <c r="M480" s="195">
        <f>IF(B480="","",H480*G480+I480*F480)</f>
        <v/>
      </c>
      <c r="N480" s="195">
        <f>IF(B480="","",'入力・概要'!$B$30*(J480*L480+K480*M480)/(L480^2+M480^2))</f>
        <v/>
      </c>
      <c r="O480" s="195">
        <f>IF(B480="","",'入力・概要'!$B$30*(K480*L480-J480*M480)/(L480^2+M480^2))</f>
        <v/>
      </c>
      <c r="P480" s="195">
        <f>IF(B480="","",N480+'入力・概要'!$B$36)</f>
        <v/>
      </c>
      <c r="Q480" s="195">
        <f>IF(B480="","",O480+C480*'入力・概要'!$B$37*1E-9)</f>
        <v/>
      </c>
      <c r="R480" s="195">
        <f>IF(B480="","",SQRT(P480^2+Q480^2))</f>
        <v/>
      </c>
      <c r="S480" s="195">
        <f>IF(B480="","",IF(P480&gt;0,DEGREES(ATAN(Q480/P480)),IF(P480&lt;0,IF(Q480&gt;=0,DEGREES(ATAN(Q480/P480))+180,DEGREES(ATAN(Q480/P480))-180),IF(Q480&gt;0,90,IF(Q480&lt;0,-90,0)))))</f>
        <v/>
      </c>
      <c r="T480" s="195">
        <f>IF(B480="","",LOG10(B480))</f>
        <v/>
      </c>
      <c r="U480" s="195">
        <f>IF(R480="","",LOG10(MAX(R480,1E-12)))</f>
        <v/>
      </c>
    </row>
    <row r="481">
      <c r="A481" t="n">
        <v>478</v>
      </c>
      <c r="B481" s="196">
        <f>IF(A481&lt;='入力・概要'!$B$40,10^(LOG10('入力・概要'!$B$38)+(A481-1)*(LOG10('入力・概要'!$B$39)-LOG10('入力・概要'!$B$38))/('入力・概要'!$B$40-1)),"")</f>
        <v/>
      </c>
      <c r="C481" s="195">
        <f>IF(B481="","",2*PI()*B481)</f>
        <v/>
      </c>
      <c r="D481" s="195">
        <f>IF(B481="","",ATANH(MIN(0.999999,(2*'入力・概要'!$B$17*'入力・概要'!$B$6)/'入力・概要'!$B$30))+'入力・概要'!$B$33*SQRT(B481/1E6)+(2*PI()*B481*'入力・概要'!$B$6/(299792458*'入力・概要'!$B$31))*'入力・概要'!$B$32/2)</f>
        <v/>
      </c>
      <c r="E481" s="195">
        <f>IF(B481="","",2*PI()*B481*'入力・概要'!$B$6/(299792458*'入力・概要'!$B$31))</f>
        <v/>
      </c>
      <c r="F481" s="195">
        <f>IF(B481="","",SINH(2*D481)/(COSH(2*D481)+COS(2*E481)))</f>
        <v/>
      </c>
      <c r="G481" s="195">
        <f>IF(B481="","",SIN(2*E481)/(COSH(2*D481)+COS(2*E481)))</f>
        <v/>
      </c>
      <c r="H481" s="195">
        <f>IF(B481="","",'入力・概要'!$B$34)</f>
        <v/>
      </c>
      <c r="I481" s="195">
        <f>IF(B481="","",C481*'入力・概要'!$B$35*1E-9)</f>
        <v/>
      </c>
      <c r="J481" s="195">
        <f>IF(B481="","",H481+'入力・概要'!$B$30*F481)</f>
        <v/>
      </c>
      <c r="K481" s="195">
        <f>IF(B481="","",I481+'入力・概要'!$B$30*G481)</f>
        <v/>
      </c>
      <c r="L481" s="195">
        <f>IF(B481="","",'入力・概要'!$B$30+H481*F481-I481*G481)</f>
        <v/>
      </c>
      <c r="M481" s="195">
        <f>IF(B481="","",H481*G481+I481*F481)</f>
        <v/>
      </c>
      <c r="N481" s="195">
        <f>IF(B481="","",'入力・概要'!$B$30*(J481*L481+K481*M481)/(L481^2+M481^2))</f>
        <v/>
      </c>
      <c r="O481" s="195">
        <f>IF(B481="","",'入力・概要'!$B$30*(K481*L481-J481*M481)/(L481^2+M481^2))</f>
        <v/>
      </c>
      <c r="P481" s="195">
        <f>IF(B481="","",N481+'入力・概要'!$B$36)</f>
        <v/>
      </c>
      <c r="Q481" s="195">
        <f>IF(B481="","",O481+C481*'入力・概要'!$B$37*1E-9)</f>
        <v/>
      </c>
      <c r="R481" s="195">
        <f>IF(B481="","",SQRT(P481^2+Q481^2))</f>
        <v/>
      </c>
      <c r="S481" s="195">
        <f>IF(B481="","",IF(P481&gt;0,DEGREES(ATAN(Q481/P481)),IF(P481&lt;0,IF(Q481&gt;=0,DEGREES(ATAN(Q481/P481))+180,DEGREES(ATAN(Q481/P481))-180),IF(Q481&gt;0,90,IF(Q481&lt;0,-90,0)))))</f>
        <v/>
      </c>
      <c r="T481" s="195">
        <f>IF(B481="","",LOG10(B481))</f>
        <v/>
      </c>
      <c r="U481" s="195">
        <f>IF(R481="","",LOG10(MAX(R481,1E-12)))</f>
        <v/>
      </c>
    </row>
    <row r="482">
      <c r="A482" t="n">
        <v>479</v>
      </c>
      <c r="B482" s="196">
        <f>IF(A482&lt;='入力・概要'!$B$40,10^(LOG10('入力・概要'!$B$38)+(A482-1)*(LOG10('入力・概要'!$B$39)-LOG10('入力・概要'!$B$38))/('入力・概要'!$B$40-1)),"")</f>
        <v/>
      </c>
      <c r="C482" s="195">
        <f>IF(B482="","",2*PI()*B482)</f>
        <v/>
      </c>
      <c r="D482" s="195">
        <f>IF(B482="","",ATANH(MIN(0.999999,(2*'入力・概要'!$B$17*'入力・概要'!$B$6)/'入力・概要'!$B$30))+'入力・概要'!$B$33*SQRT(B482/1E6)+(2*PI()*B482*'入力・概要'!$B$6/(299792458*'入力・概要'!$B$31))*'入力・概要'!$B$32/2)</f>
        <v/>
      </c>
      <c r="E482" s="195">
        <f>IF(B482="","",2*PI()*B482*'入力・概要'!$B$6/(299792458*'入力・概要'!$B$31))</f>
        <v/>
      </c>
      <c r="F482" s="195">
        <f>IF(B482="","",SINH(2*D482)/(COSH(2*D482)+COS(2*E482)))</f>
        <v/>
      </c>
      <c r="G482" s="195">
        <f>IF(B482="","",SIN(2*E482)/(COSH(2*D482)+COS(2*E482)))</f>
        <v/>
      </c>
      <c r="H482" s="195">
        <f>IF(B482="","",'入力・概要'!$B$34)</f>
        <v/>
      </c>
      <c r="I482" s="195">
        <f>IF(B482="","",C482*'入力・概要'!$B$35*1E-9)</f>
        <v/>
      </c>
      <c r="J482" s="195">
        <f>IF(B482="","",H482+'入力・概要'!$B$30*F482)</f>
        <v/>
      </c>
      <c r="K482" s="195">
        <f>IF(B482="","",I482+'入力・概要'!$B$30*G482)</f>
        <v/>
      </c>
      <c r="L482" s="195">
        <f>IF(B482="","",'入力・概要'!$B$30+H482*F482-I482*G482)</f>
        <v/>
      </c>
      <c r="M482" s="195">
        <f>IF(B482="","",H482*G482+I482*F482)</f>
        <v/>
      </c>
      <c r="N482" s="195">
        <f>IF(B482="","",'入力・概要'!$B$30*(J482*L482+K482*M482)/(L482^2+M482^2))</f>
        <v/>
      </c>
      <c r="O482" s="195">
        <f>IF(B482="","",'入力・概要'!$B$30*(K482*L482-J482*M482)/(L482^2+M482^2))</f>
        <v/>
      </c>
      <c r="P482" s="195">
        <f>IF(B482="","",N482+'入力・概要'!$B$36)</f>
        <v/>
      </c>
      <c r="Q482" s="195">
        <f>IF(B482="","",O482+C482*'入力・概要'!$B$37*1E-9)</f>
        <v/>
      </c>
      <c r="R482" s="195">
        <f>IF(B482="","",SQRT(P482^2+Q482^2))</f>
        <v/>
      </c>
      <c r="S482" s="195">
        <f>IF(B482="","",IF(P482&gt;0,DEGREES(ATAN(Q482/P482)),IF(P482&lt;0,IF(Q482&gt;=0,DEGREES(ATAN(Q482/P482))+180,DEGREES(ATAN(Q482/P482))-180),IF(Q482&gt;0,90,IF(Q482&lt;0,-90,0)))))</f>
        <v/>
      </c>
      <c r="T482" s="195">
        <f>IF(B482="","",LOG10(B482))</f>
        <v/>
      </c>
      <c r="U482" s="195">
        <f>IF(R482="","",LOG10(MAX(R482,1E-12)))</f>
        <v/>
      </c>
    </row>
    <row r="483">
      <c r="A483" t="n">
        <v>480</v>
      </c>
      <c r="B483" s="196">
        <f>IF(A483&lt;='入力・概要'!$B$40,10^(LOG10('入力・概要'!$B$38)+(A483-1)*(LOG10('入力・概要'!$B$39)-LOG10('入力・概要'!$B$38))/('入力・概要'!$B$40-1)),"")</f>
        <v/>
      </c>
      <c r="C483" s="195">
        <f>IF(B483="","",2*PI()*B483)</f>
        <v/>
      </c>
      <c r="D483" s="195">
        <f>IF(B483="","",ATANH(MIN(0.999999,(2*'入力・概要'!$B$17*'入力・概要'!$B$6)/'入力・概要'!$B$30))+'入力・概要'!$B$33*SQRT(B483/1E6)+(2*PI()*B483*'入力・概要'!$B$6/(299792458*'入力・概要'!$B$31))*'入力・概要'!$B$32/2)</f>
        <v/>
      </c>
      <c r="E483" s="195">
        <f>IF(B483="","",2*PI()*B483*'入力・概要'!$B$6/(299792458*'入力・概要'!$B$31))</f>
        <v/>
      </c>
      <c r="F483" s="195">
        <f>IF(B483="","",SINH(2*D483)/(COSH(2*D483)+COS(2*E483)))</f>
        <v/>
      </c>
      <c r="G483" s="195">
        <f>IF(B483="","",SIN(2*E483)/(COSH(2*D483)+COS(2*E483)))</f>
        <v/>
      </c>
      <c r="H483" s="195">
        <f>IF(B483="","",'入力・概要'!$B$34)</f>
        <v/>
      </c>
      <c r="I483" s="195">
        <f>IF(B483="","",C483*'入力・概要'!$B$35*1E-9)</f>
        <v/>
      </c>
      <c r="J483" s="195">
        <f>IF(B483="","",H483+'入力・概要'!$B$30*F483)</f>
        <v/>
      </c>
      <c r="K483" s="195">
        <f>IF(B483="","",I483+'入力・概要'!$B$30*G483)</f>
        <v/>
      </c>
      <c r="L483" s="195">
        <f>IF(B483="","",'入力・概要'!$B$30+H483*F483-I483*G483)</f>
        <v/>
      </c>
      <c r="M483" s="195">
        <f>IF(B483="","",H483*G483+I483*F483)</f>
        <v/>
      </c>
      <c r="N483" s="195">
        <f>IF(B483="","",'入力・概要'!$B$30*(J483*L483+K483*M483)/(L483^2+M483^2))</f>
        <v/>
      </c>
      <c r="O483" s="195">
        <f>IF(B483="","",'入力・概要'!$B$30*(K483*L483-J483*M483)/(L483^2+M483^2))</f>
        <v/>
      </c>
      <c r="P483" s="195">
        <f>IF(B483="","",N483+'入力・概要'!$B$36)</f>
        <v/>
      </c>
      <c r="Q483" s="195">
        <f>IF(B483="","",O483+C483*'入力・概要'!$B$37*1E-9)</f>
        <v/>
      </c>
      <c r="R483" s="195">
        <f>IF(B483="","",SQRT(P483^2+Q483^2))</f>
        <v/>
      </c>
      <c r="S483" s="195">
        <f>IF(B483="","",IF(P483&gt;0,DEGREES(ATAN(Q483/P483)),IF(P483&lt;0,IF(Q483&gt;=0,DEGREES(ATAN(Q483/P483))+180,DEGREES(ATAN(Q483/P483))-180),IF(Q483&gt;0,90,IF(Q483&lt;0,-90,0)))))</f>
        <v/>
      </c>
      <c r="T483" s="195">
        <f>IF(B483="","",LOG10(B483))</f>
        <v/>
      </c>
      <c r="U483" s="195">
        <f>IF(R483="","",LOG10(MAX(R483,1E-12)))</f>
        <v/>
      </c>
    </row>
    <row r="484">
      <c r="A484" t="n">
        <v>481</v>
      </c>
      <c r="B484" s="196">
        <f>IF(A484&lt;='入力・概要'!$B$40,10^(LOG10('入力・概要'!$B$38)+(A484-1)*(LOG10('入力・概要'!$B$39)-LOG10('入力・概要'!$B$38))/('入力・概要'!$B$40-1)),"")</f>
        <v/>
      </c>
      <c r="C484" s="195">
        <f>IF(B484="","",2*PI()*B484)</f>
        <v/>
      </c>
      <c r="D484" s="195">
        <f>IF(B484="","",ATANH(MIN(0.999999,(2*'入力・概要'!$B$17*'入力・概要'!$B$6)/'入力・概要'!$B$30))+'入力・概要'!$B$33*SQRT(B484/1E6)+(2*PI()*B484*'入力・概要'!$B$6/(299792458*'入力・概要'!$B$31))*'入力・概要'!$B$32/2)</f>
        <v/>
      </c>
      <c r="E484" s="195">
        <f>IF(B484="","",2*PI()*B484*'入力・概要'!$B$6/(299792458*'入力・概要'!$B$31))</f>
        <v/>
      </c>
      <c r="F484" s="195">
        <f>IF(B484="","",SINH(2*D484)/(COSH(2*D484)+COS(2*E484)))</f>
        <v/>
      </c>
      <c r="G484" s="195">
        <f>IF(B484="","",SIN(2*E484)/(COSH(2*D484)+COS(2*E484)))</f>
        <v/>
      </c>
      <c r="H484" s="195">
        <f>IF(B484="","",'入力・概要'!$B$34)</f>
        <v/>
      </c>
      <c r="I484" s="195">
        <f>IF(B484="","",C484*'入力・概要'!$B$35*1E-9)</f>
        <v/>
      </c>
      <c r="J484" s="195">
        <f>IF(B484="","",H484+'入力・概要'!$B$30*F484)</f>
        <v/>
      </c>
      <c r="K484" s="195">
        <f>IF(B484="","",I484+'入力・概要'!$B$30*G484)</f>
        <v/>
      </c>
      <c r="L484" s="195">
        <f>IF(B484="","",'入力・概要'!$B$30+H484*F484-I484*G484)</f>
        <v/>
      </c>
      <c r="M484" s="195">
        <f>IF(B484="","",H484*G484+I484*F484)</f>
        <v/>
      </c>
      <c r="N484" s="195">
        <f>IF(B484="","",'入力・概要'!$B$30*(J484*L484+K484*M484)/(L484^2+M484^2))</f>
        <v/>
      </c>
      <c r="O484" s="195">
        <f>IF(B484="","",'入力・概要'!$B$30*(K484*L484-J484*M484)/(L484^2+M484^2))</f>
        <v/>
      </c>
      <c r="P484" s="195">
        <f>IF(B484="","",N484+'入力・概要'!$B$36)</f>
        <v/>
      </c>
      <c r="Q484" s="195">
        <f>IF(B484="","",O484+C484*'入力・概要'!$B$37*1E-9)</f>
        <v/>
      </c>
      <c r="R484" s="195">
        <f>IF(B484="","",SQRT(P484^2+Q484^2))</f>
        <v/>
      </c>
      <c r="S484" s="195">
        <f>IF(B484="","",IF(P484&gt;0,DEGREES(ATAN(Q484/P484)),IF(P484&lt;0,IF(Q484&gt;=0,DEGREES(ATAN(Q484/P484))+180,DEGREES(ATAN(Q484/P484))-180),IF(Q484&gt;0,90,IF(Q484&lt;0,-90,0)))))</f>
        <v/>
      </c>
      <c r="T484" s="195">
        <f>IF(B484="","",LOG10(B484))</f>
        <v/>
      </c>
      <c r="U484" s="195">
        <f>IF(R484="","",LOG10(MAX(R484,1E-12)))</f>
        <v/>
      </c>
    </row>
    <row r="485">
      <c r="A485" t="n">
        <v>482</v>
      </c>
      <c r="B485" s="196">
        <f>IF(A485&lt;='入力・概要'!$B$40,10^(LOG10('入力・概要'!$B$38)+(A485-1)*(LOG10('入力・概要'!$B$39)-LOG10('入力・概要'!$B$38))/('入力・概要'!$B$40-1)),"")</f>
        <v/>
      </c>
      <c r="C485" s="195">
        <f>IF(B485="","",2*PI()*B485)</f>
        <v/>
      </c>
      <c r="D485" s="195">
        <f>IF(B485="","",ATANH(MIN(0.999999,(2*'入力・概要'!$B$17*'入力・概要'!$B$6)/'入力・概要'!$B$30))+'入力・概要'!$B$33*SQRT(B485/1E6)+(2*PI()*B485*'入力・概要'!$B$6/(299792458*'入力・概要'!$B$31))*'入力・概要'!$B$32/2)</f>
        <v/>
      </c>
      <c r="E485" s="195">
        <f>IF(B485="","",2*PI()*B485*'入力・概要'!$B$6/(299792458*'入力・概要'!$B$31))</f>
        <v/>
      </c>
      <c r="F485" s="195">
        <f>IF(B485="","",SINH(2*D485)/(COSH(2*D485)+COS(2*E485)))</f>
        <v/>
      </c>
      <c r="G485" s="195">
        <f>IF(B485="","",SIN(2*E485)/(COSH(2*D485)+COS(2*E485)))</f>
        <v/>
      </c>
      <c r="H485" s="195">
        <f>IF(B485="","",'入力・概要'!$B$34)</f>
        <v/>
      </c>
      <c r="I485" s="195">
        <f>IF(B485="","",C485*'入力・概要'!$B$35*1E-9)</f>
        <v/>
      </c>
      <c r="J485" s="195">
        <f>IF(B485="","",H485+'入力・概要'!$B$30*F485)</f>
        <v/>
      </c>
      <c r="K485" s="195">
        <f>IF(B485="","",I485+'入力・概要'!$B$30*G485)</f>
        <v/>
      </c>
      <c r="L485" s="195">
        <f>IF(B485="","",'入力・概要'!$B$30+H485*F485-I485*G485)</f>
        <v/>
      </c>
      <c r="M485" s="195">
        <f>IF(B485="","",H485*G485+I485*F485)</f>
        <v/>
      </c>
      <c r="N485" s="195">
        <f>IF(B485="","",'入力・概要'!$B$30*(J485*L485+K485*M485)/(L485^2+M485^2))</f>
        <v/>
      </c>
      <c r="O485" s="195">
        <f>IF(B485="","",'入力・概要'!$B$30*(K485*L485-J485*M485)/(L485^2+M485^2))</f>
        <v/>
      </c>
      <c r="P485" s="195">
        <f>IF(B485="","",N485+'入力・概要'!$B$36)</f>
        <v/>
      </c>
      <c r="Q485" s="195">
        <f>IF(B485="","",O485+C485*'入力・概要'!$B$37*1E-9)</f>
        <v/>
      </c>
      <c r="R485" s="195">
        <f>IF(B485="","",SQRT(P485^2+Q485^2))</f>
        <v/>
      </c>
      <c r="S485" s="195">
        <f>IF(B485="","",IF(P485&gt;0,DEGREES(ATAN(Q485/P485)),IF(P485&lt;0,IF(Q485&gt;=0,DEGREES(ATAN(Q485/P485))+180,DEGREES(ATAN(Q485/P485))-180),IF(Q485&gt;0,90,IF(Q485&lt;0,-90,0)))))</f>
        <v/>
      </c>
      <c r="T485" s="195">
        <f>IF(B485="","",LOG10(B485))</f>
        <v/>
      </c>
      <c r="U485" s="195">
        <f>IF(R485="","",LOG10(MAX(R485,1E-12)))</f>
        <v/>
      </c>
    </row>
    <row r="486">
      <c r="A486" t="n">
        <v>483</v>
      </c>
      <c r="B486" s="196">
        <f>IF(A486&lt;='入力・概要'!$B$40,10^(LOG10('入力・概要'!$B$38)+(A486-1)*(LOG10('入力・概要'!$B$39)-LOG10('入力・概要'!$B$38))/('入力・概要'!$B$40-1)),"")</f>
        <v/>
      </c>
      <c r="C486" s="195">
        <f>IF(B486="","",2*PI()*B486)</f>
        <v/>
      </c>
      <c r="D486" s="195">
        <f>IF(B486="","",ATANH(MIN(0.999999,(2*'入力・概要'!$B$17*'入力・概要'!$B$6)/'入力・概要'!$B$30))+'入力・概要'!$B$33*SQRT(B486/1E6)+(2*PI()*B486*'入力・概要'!$B$6/(299792458*'入力・概要'!$B$31))*'入力・概要'!$B$32/2)</f>
        <v/>
      </c>
      <c r="E486" s="195">
        <f>IF(B486="","",2*PI()*B486*'入力・概要'!$B$6/(299792458*'入力・概要'!$B$31))</f>
        <v/>
      </c>
      <c r="F486" s="195">
        <f>IF(B486="","",SINH(2*D486)/(COSH(2*D486)+COS(2*E486)))</f>
        <v/>
      </c>
      <c r="G486" s="195">
        <f>IF(B486="","",SIN(2*E486)/(COSH(2*D486)+COS(2*E486)))</f>
        <v/>
      </c>
      <c r="H486" s="195">
        <f>IF(B486="","",'入力・概要'!$B$34)</f>
        <v/>
      </c>
      <c r="I486" s="195">
        <f>IF(B486="","",C486*'入力・概要'!$B$35*1E-9)</f>
        <v/>
      </c>
      <c r="J486" s="195">
        <f>IF(B486="","",H486+'入力・概要'!$B$30*F486)</f>
        <v/>
      </c>
      <c r="K486" s="195">
        <f>IF(B486="","",I486+'入力・概要'!$B$30*G486)</f>
        <v/>
      </c>
      <c r="L486" s="195">
        <f>IF(B486="","",'入力・概要'!$B$30+H486*F486-I486*G486)</f>
        <v/>
      </c>
      <c r="M486" s="195">
        <f>IF(B486="","",H486*G486+I486*F486)</f>
        <v/>
      </c>
      <c r="N486" s="195">
        <f>IF(B486="","",'入力・概要'!$B$30*(J486*L486+K486*M486)/(L486^2+M486^2))</f>
        <v/>
      </c>
      <c r="O486" s="195">
        <f>IF(B486="","",'入力・概要'!$B$30*(K486*L486-J486*M486)/(L486^2+M486^2))</f>
        <v/>
      </c>
      <c r="P486" s="195">
        <f>IF(B486="","",N486+'入力・概要'!$B$36)</f>
        <v/>
      </c>
      <c r="Q486" s="195">
        <f>IF(B486="","",O486+C486*'入力・概要'!$B$37*1E-9)</f>
        <v/>
      </c>
      <c r="R486" s="195">
        <f>IF(B486="","",SQRT(P486^2+Q486^2))</f>
        <v/>
      </c>
      <c r="S486" s="195">
        <f>IF(B486="","",IF(P486&gt;0,DEGREES(ATAN(Q486/P486)),IF(P486&lt;0,IF(Q486&gt;=0,DEGREES(ATAN(Q486/P486))+180,DEGREES(ATAN(Q486/P486))-180),IF(Q486&gt;0,90,IF(Q486&lt;0,-90,0)))))</f>
        <v/>
      </c>
      <c r="T486" s="195">
        <f>IF(B486="","",LOG10(B486))</f>
        <v/>
      </c>
      <c r="U486" s="195">
        <f>IF(R486="","",LOG10(MAX(R486,1E-12)))</f>
        <v/>
      </c>
    </row>
    <row r="487">
      <c r="A487" t="n">
        <v>484</v>
      </c>
      <c r="B487" s="196">
        <f>IF(A487&lt;='入力・概要'!$B$40,10^(LOG10('入力・概要'!$B$38)+(A487-1)*(LOG10('入力・概要'!$B$39)-LOG10('入力・概要'!$B$38))/('入力・概要'!$B$40-1)),"")</f>
        <v/>
      </c>
      <c r="C487" s="195">
        <f>IF(B487="","",2*PI()*B487)</f>
        <v/>
      </c>
      <c r="D487" s="195">
        <f>IF(B487="","",ATANH(MIN(0.999999,(2*'入力・概要'!$B$17*'入力・概要'!$B$6)/'入力・概要'!$B$30))+'入力・概要'!$B$33*SQRT(B487/1E6)+(2*PI()*B487*'入力・概要'!$B$6/(299792458*'入力・概要'!$B$31))*'入力・概要'!$B$32/2)</f>
        <v/>
      </c>
      <c r="E487" s="195">
        <f>IF(B487="","",2*PI()*B487*'入力・概要'!$B$6/(299792458*'入力・概要'!$B$31))</f>
        <v/>
      </c>
      <c r="F487" s="195">
        <f>IF(B487="","",SINH(2*D487)/(COSH(2*D487)+COS(2*E487)))</f>
        <v/>
      </c>
      <c r="G487" s="195">
        <f>IF(B487="","",SIN(2*E487)/(COSH(2*D487)+COS(2*E487)))</f>
        <v/>
      </c>
      <c r="H487" s="195">
        <f>IF(B487="","",'入力・概要'!$B$34)</f>
        <v/>
      </c>
      <c r="I487" s="195">
        <f>IF(B487="","",C487*'入力・概要'!$B$35*1E-9)</f>
        <v/>
      </c>
      <c r="J487" s="195">
        <f>IF(B487="","",H487+'入力・概要'!$B$30*F487)</f>
        <v/>
      </c>
      <c r="K487" s="195">
        <f>IF(B487="","",I487+'入力・概要'!$B$30*G487)</f>
        <v/>
      </c>
      <c r="L487" s="195">
        <f>IF(B487="","",'入力・概要'!$B$30+H487*F487-I487*G487)</f>
        <v/>
      </c>
      <c r="M487" s="195">
        <f>IF(B487="","",H487*G487+I487*F487)</f>
        <v/>
      </c>
      <c r="N487" s="195">
        <f>IF(B487="","",'入力・概要'!$B$30*(J487*L487+K487*M487)/(L487^2+M487^2))</f>
        <v/>
      </c>
      <c r="O487" s="195">
        <f>IF(B487="","",'入力・概要'!$B$30*(K487*L487-J487*M487)/(L487^2+M487^2))</f>
        <v/>
      </c>
      <c r="P487" s="195">
        <f>IF(B487="","",N487+'入力・概要'!$B$36)</f>
        <v/>
      </c>
      <c r="Q487" s="195">
        <f>IF(B487="","",O487+C487*'入力・概要'!$B$37*1E-9)</f>
        <v/>
      </c>
      <c r="R487" s="195">
        <f>IF(B487="","",SQRT(P487^2+Q487^2))</f>
        <v/>
      </c>
      <c r="S487" s="195">
        <f>IF(B487="","",IF(P487&gt;0,DEGREES(ATAN(Q487/P487)),IF(P487&lt;0,IF(Q487&gt;=0,DEGREES(ATAN(Q487/P487))+180,DEGREES(ATAN(Q487/P487))-180),IF(Q487&gt;0,90,IF(Q487&lt;0,-90,0)))))</f>
        <v/>
      </c>
      <c r="T487" s="195">
        <f>IF(B487="","",LOG10(B487))</f>
        <v/>
      </c>
      <c r="U487" s="195">
        <f>IF(R487="","",LOG10(MAX(R487,1E-12)))</f>
        <v/>
      </c>
    </row>
    <row r="488">
      <c r="A488" t="n">
        <v>485</v>
      </c>
      <c r="B488" s="196">
        <f>IF(A488&lt;='入力・概要'!$B$40,10^(LOG10('入力・概要'!$B$38)+(A488-1)*(LOG10('入力・概要'!$B$39)-LOG10('入力・概要'!$B$38))/('入力・概要'!$B$40-1)),"")</f>
        <v/>
      </c>
      <c r="C488" s="195">
        <f>IF(B488="","",2*PI()*B488)</f>
        <v/>
      </c>
      <c r="D488" s="195">
        <f>IF(B488="","",ATANH(MIN(0.999999,(2*'入力・概要'!$B$17*'入力・概要'!$B$6)/'入力・概要'!$B$30))+'入力・概要'!$B$33*SQRT(B488/1E6)+(2*PI()*B488*'入力・概要'!$B$6/(299792458*'入力・概要'!$B$31))*'入力・概要'!$B$32/2)</f>
        <v/>
      </c>
      <c r="E488" s="195">
        <f>IF(B488="","",2*PI()*B488*'入力・概要'!$B$6/(299792458*'入力・概要'!$B$31))</f>
        <v/>
      </c>
      <c r="F488" s="195">
        <f>IF(B488="","",SINH(2*D488)/(COSH(2*D488)+COS(2*E488)))</f>
        <v/>
      </c>
      <c r="G488" s="195">
        <f>IF(B488="","",SIN(2*E488)/(COSH(2*D488)+COS(2*E488)))</f>
        <v/>
      </c>
      <c r="H488" s="195">
        <f>IF(B488="","",'入力・概要'!$B$34)</f>
        <v/>
      </c>
      <c r="I488" s="195">
        <f>IF(B488="","",C488*'入力・概要'!$B$35*1E-9)</f>
        <v/>
      </c>
      <c r="J488" s="195">
        <f>IF(B488="","",H488+'入力・概要'!$B$30*F488)</f>
        <v/>
      </c>
      <c r="K488" s="195">
        <f>IF(B488="","",I488+'入力・概要'!$B$30*G488)</f>
        <v/>
      </c>
      <c r="L488" s="195">
        <f>IF(B488="","",'入力・概要'!$B$30+H488*F488-I488*G488)</f>
        <v/>
      </c>
      <c r="M488" s="195">
        <f>IF(B488="","",H488*G488+I488*F488)</f>
        <v/>
      </c>
      <c r="N488" s="195">
        <f>IF(B488="","",'入力・概要'!$B$30*(J488*L488+K488*M488)/(L488^2+M488^2))</f>
        <v/>
      </c>
      <c r="O488" s="195">
        <f>IF(B488="","",'入力・概要'!$B$30*(K488*L488-J488*M488)/(L488^2+M488^2))</f>
        <v/>
      </c>
      <c r="P488" s="195">
        <f>IF(B488="","",N488+'入力・概要'!$B$36)</f>
        <v/>
      </c>
      <c r="Q488" s="195">
        <f>IF(B488="","",O488+C488*'入力・概要'!$B$37*1E-9)</f>
        <v/>
      </c>
      <c r="R488" s="195">
        <f>IF(B488="","",SQRT(P488^2+Q488^2))</f>
        <v/>
      </c>
      <c r="S488" s="195">
        <f>IF(B488="","",IF(P488&gt;0,DEGREES(ATAN(Q488/P488)),IF(P488&lt;0,IF(Q488&gt;=0,DEGREES(ATAN(Q488/P488))+180,DEGREES(ATAN(Q488/P488))-180),IF(Q488&gt;0,90,IF(Q488&lt;0,-90,0)))))</f>
        <v/>
      </c>
      <c r="T488" s="195">
        <f>IF(B488="","",LOG10(B488))</f>
        <v/>
      </c>
      <c r="U488" s="195">
        <f>IF(R488="","",LOG10(MAX(R488,1E-12)))</f>
        <v/>
      </c>
    </row>
    <row r="489">
      <c r="A489" t="n">
        <v>486</v>
      </c>
      <c r="B489" s="196">
        <f>IF(A489&lt;='入力・概要'!$B$40,10^(LOG10('入力・概要'!$B$38)+(A489-1)*(LOG10('入力・概要'!$B$39)-LOG10('入力・概要'!$B$38))/('入力・概要'!$B$40-1)),"")</f>
        <v/>
      </c>
      <c r="C489" s="195">
        <f>IF(B489="","",2*PI()*B489)</f>
        <v/>
      </c>
      <c r="D489" s="195">
        <f>IF(B489="","",ATANH(MIN(0.999999,(2*'入力・概要'!$B$17*'入力・概要'!$B$6)/'入力・概要'!$B$30))+'入力・概要'!$B$33*SQRT(B489/1E6)+(2*PI()*B489*'入力・概要'!$B$6/(299792458*'入力・概要'!$B$31))*'入力・概要'!$B$32/2)</f>
        <v/>
      </c>
      <c r="E489" s="195">
        <f>IF(B489="","",2*PI()*B489*'入力・概要'!$B$6/(299792458*'入力・概要'!$B$31))</f>
        <v/>
      </c>
      <c r="F489" s="195">
        <f>IF(B489="","",SINH(2*D489)/(COSH(2*D489)+COS(2*E489)))</f>
        <v/>
      </c>
      <c r="G489" s="195">
        <f>IF(B489="","",SIN(2*E489)/(COSH(2*D489)+COS(2*E489)))</f>
        <v/>
      </c>
      <c r="H489" s="195">
        <f>IF(B489="","",'入力・概要'!$B$34)</f>
        <v/>
      </c>
      <c r="I489" s="195">
        <f>IF(B489="","",C489*'入力・概要'!$B$35*1E-9)</f>
        <v/>
      </c>
      <c r="J489" s="195">
        <f>IF(B489="","",H489+'入力・概要'!$B$30*F489)</f>
        <v/>
      </c>
      <c r="K489" s="195">
        <f>IF(B489="","",I489+'入力・概要'!$B$30*G489)</f>
        <v/>
      </c>
      <c r="L489" s="195">
        <f>IF(B489="","",'入力・概要'!$B$30+H489*F489-I489*G489)</f>
        <v/>
      </c>
      <c r="M489" s="195">
        <f>IF(B489="","",H489*G489+I489*F489)</f>
        <v/>
      </c>
      <c r="N489" s="195">
        <f>IF(B489="","",'入力・概要'!$B$30*(J489*L489+K489*M489)/(L489^2+M489^2))</f>
        <v/>
      </c>
      <c r="O489" s="195">
        <f>IF(B489="","",'入力・概要'!$B$30*(K489*L489-J489*M489)/(L489^2+M489^2))</f>
        <v/>
      </c>
      <c r="P489" s="195">
        <f>IF(B489="","",N489+'入力・概要'!$B$36)</f>
        <v/>
      </c>
      <c r="Q489" s="195">
        <f>IF(B489="","",O489+C489*'入力・概要'!$B$37*1E-9)</f>
        <v/>
      </c>
      <c r="R489" s="195">
        <f>IF(B489="","",SQRT(P489^2+Q489^2))</f>
        <v/>
      </c>
      <c r="S489" s="195">
        <f>IF(B489="","",IF(P489&gt;0,DEGREES(ATAN(Q489/P489)),IF(P489&lt;0,IF(Q489&gt;=0,DEGREES(ATAN(Q489/P489))+180,DEGREES(ATAN(Q489/P489))-180),IF(Q489&gt;0,90,IF(Q489&lt;0,-90,0)))))</f>
        <v/>
      </c>
      <c r="T489" s="195">
        <f>IF(B489="","",LOG10(B489))</f>
        <v/>
      </c>
      <c r="U489" s="195">
        <f>IF(R489="","",LOG10(MAX(R489,1E-12)))</f>
        <v/>
      </c>
    </row>
    <row r="490">
      <c r="A490" t="n">
        <v>487</v>
      </c>
      <c r="B490" s="196">
        <f>IF(A490&lt;='入力・概要'!$B$40,10^(LOG10('入力・概要'!$B$38)+(A490-1)*(LOG10('入力・概要'!$B$39)-LOG10('入力・概要'!$B$38))/('入力・概要'!$B$40-1)),"")</f>
        <v/>
      </c>
      <c r="C490" s="195">
        <f>IF(B490="","",2*PI()*B490)</f>
        <v/>
      </c>
      <c r="D490" s="195">
        <f>IF(B490="","",ATANH(MIN(0.999999,(2*'入力・概要'!$B$17*'入力・概要'!$B$6)/'入力・概要'!$B$30))+'入力・概要'!$B$33*SQRT(B490/1E6)+(2*PI()*B490*'入力・概要'!$B$6/(299792458*'入力・概要'!$B$31))*'入力・概要'!$B$32/2)</f>
        <v/>
      </c>
      <c r="E490" s="195">
        <f>IF(B490="","",2*PI()*B490*'入力・概要'!$B$6/(299792458*'入力・概要'!$B$31))</f>
        <v/>
      </c>
      <c r="F490" s="195">
        <f>IF(B490="","",SINH(2*D490)/(COSH(2*D490)+COS(2*E490)))</f>
        <v/>
      </c>
      <c r="G490" s="195">
        <f>IF(B490="","",SIN(2*E490)/(COSH(2*D490)+COS(2*E490)))</f>
        <v/>
      </c>
      <c r="H490" s="195">
        <f>IF(B490="","",'入力・概要'!$B$34)</f>
        <v/>
      </c>
      <c r="I490" s="195">
        <f>IF(B490="","",C490*'入力・概要'!$B$35*1E-9)</f>
        <v/>
      </c>
      <c r="J490" s="195">
        <f>IF(B490="","",H490+'入力・概要'!$B$30*F490)</f>
        <v/>
      </c>
      <c r="K490" s="195">
        <f>IF(B490="","",I490+'入力・概要'!$B$30*G490)</f>
        <v/>
      </c>
      <c r="L490" s="195">
        <f>IF(B490="","",'入力・概要'!$B$30+H490*F490-I490*G490)</f>
        <v/>
      </c>
      <c r="M490" s="195">
        <f>IF(B490="","",H490*G490+I490*F490)</f>
        <v/>
      </c>
      <c r="N490" s="195">
        <f>IF(B490="","",'入力・概要'!$B$30*(J490*L490+K490*M490)/(L490^2+M490^2))</f>
        <v/>
      </c>
      <c r="O490" s="195">
        <f>IF(B490="","",'入力・概要'!$B$30*(K490*L490-J490*M490)/(L490^2+M490^2))</f>
        <v/>
      </c>
      <c r="P490" s="195">
        <f>IF(B490="","",N490+'入力・概要'!$B$36)</f>
        <v/>
      </c>
      <c r="Q490" s="195">
        <f>IF(B490="","",O490+C490*'入力・概要'!$B$37*1E-9)</f>
        <v/>
      </c>
      <c r="R490" s="195">
        <f>IF(B490="","",SQRT(P490^2+Q490^2))</f>
        <v/>
      </c>
      <c r="S490" s="195">
        <f>IF(B490="","",IF(P490&gt;0,DEGREES(ATAN(Q490/P490)),IF(P490&lt;0,IF(Q490&gt;=0,DEGREES(ATAN(Q490/P490))+180,DEGREES(ATAN(Q490/P490))-180),IF(Q490&gt;0,90,IF(Q490&lt;0,-90,0)))))</f>
        <v/>
      </c>
      <c r="T490" s="195">
        <f>IF(B490="","",LOG10(B490))</f>
        <v/>
      </c>
      <c r="U490" s="195">
        <f>IF(R490="","",LOG10(MAX(R490,1E-12)))</f>
        <v/>
      </c>
    </row>
    <row r="491">
      <c r="A491" t="n">
        <v>488</v>
      </c>
      <c r="B491" s="196">
        <f>IF(A491&lt;='入力・概要'!$B$40,10^(LOG10('入力・概要'!$B$38)+(A491-1)*(LOG10('入力・概要'!$B$39)-LOG10('入力・概要'!$B$38))/('入力・概要'!$B$40-1)),"")</f>
        <v/>
      </c>
      <c r="C491" s="195">
        <f>IF(B491="","",2*PI()*B491)</f>
        <v/>
      </c>
      <c r="D491" s="195">
        <f>IF(B491="","",ATANH(MIN(0.999999,(2*'入力・概要'!$B$17*'入力・概要'!$B$6)/'入力・概要'!$B$30))+'入力・概要'!$B$33*SQRT(B491/1E6)+(2*PI()*B491*'入力・概要'!$B$6/(299792458*'入力・概要'!$B$31))*'入力・概要'!$B$32/2)</f>
        <v/>
      </c>
      <c r="E491" s="195">
        <f>IF(B491="","",2*PI()*B491*'入力・概要'!$B$6/(299792458*'入力・概要'!$B$31))</f>
        <v/>
      </c>
      <c r="F491" s="195">
        <f>IF(B491="","",SINH(2*D491)/(COSH(2*D491)+COS(2*E491)))</f>
        <v/>
      </c>
      <c r="G491" s="195">
        <f>IF(B491="","",SIN(2*E491)/(COSH(2*D491)+COS(2*E491)))</f>
        <v/>
      </c>
      <c r="H491" s="195">
        <f>IF(B491="","",'入力・概要'!$B$34)</f>
        <v/>
      </c>
      <c r="I491" s="195">
        <f>IF(B491="","",C491*'入力・概要'!$B$35*1E-9)</f>
        <v/>
      </c>
      <c r="J491" s="195">
        <f>IF(B491="","",H491+'入力・概要'!$B$30*F491)</f>
        <v/>
      </c>
      <c r="K491" s="195">
        <f>IF(B491="","",I491+'入力・概要'!$B$30*G491)</f>
        <v/>
      </c>
      <c r="L491" s="195">
        <f>IF(B491="","",'入力・概要'!$B$30+H491*F491-I491*G491)</f>
        <v/>
      </c>
      <c r="M491" s="195">
        <f>IF(B491="","",H491*G491+I491*F491)</f>
        <v/>
      </c>
      <c r="N491" s="195">
        <f>IF(B491="","",'入力・概要'!$B$30*(J491*L491+K491*M491)/(L491^2+M491^2))</f>
        <v/>
      </c>
      <c r="O491" s="195">
        <f>IF(B491="","",'入力・概要'!$B$30*(K491*L491-J491*M491)/(L491^2+M491^2))</f>
        <v/>
      </c>
      <c r="P491" s="195">
        <f>IF(B491="","",N491+'入力・概要'!$B$36)</f>
        <v/>
      </c>
      <c r="Q491" s="195">
        <f>IF(B491="","",O491+C491*'入力・概要'!$B$37*1E-9)</f>
        <v/>
      </c>
      <c r="R491" s="195">
        <f>IF(B491="","",SQRT(P491^2+Q491^2))</f>
        <v/>
      </c>
      <c r="S491" s="195">
        <f>IF(B491="","",IF(P491&gt;0,DEGREES(ATAN(Q491/P491)),IF(P491&lt;0,IF(Q491&gt;=0,DEGREES(ATAN(Q491/P491))+180,DEGREES(ATAN(Q491/P491))-180),IF(Q491&gt;0,90,IF(Q491&lt;0,-90,0)))))</f>
        <v/>
      </c>
      <c r="T491" s="195">
        <f>IF(B491="","",LOG10(B491))</f>
        <v/>
      </c>
      <c r="U491" s="195">
        <f>IF(R491="","",LOG10(MAX(R491,1E-12)))</f>
        <v/>
      </c>
    </row>
    <row r="492">
      <c r="A492" t="n">
        <v>489</v>
      </c>
      <c r="B492" s="196">
        <f>IF(A492&lt;='入力・概要'!$B$40,10^(LOG10('入力・概要'!$B$38)+(A492-1)*(LOG10('入力・概要'!$B$39)-LOG10('入力・概要'!$B$38))/('入力・概要'!$B$40-1)),"")</f>
        <v/>
      </c>
      <c r="C492" s="195">
        <f>IF(B492="","",2*PI()*B492)</f>
        <v/>
      </c>
      <c r="D492" s="195">
        <f>IF(B492="","",ATANH(MIN(0.999999,(2*'入力・概要'!$B$17*'入力・概要'!$B$6)/'入力・概要'!$B$30))+'入力・概要'!$B$33*SQRT(B492/1E6)+(2*PI()*B492*'入力・概要'!$B$6/(299792458*'入力・概要'!$B$31))*'入力・概要'!$B$32/2)</f>
        <v/>
      </c>
      <c r="E492" s="195">
        <f>IF(B492="","",2*PI()*B492*'入力・概要'!$B$6/(299792458*'入力・概要'!$B$31))</f>
        <v/>
      </c>
      <c r="F492" s="195">
        <f>IF(B492="","",SINH(2*D492)/(COSH(2*D492)+COS(2*E492)))</f>
        <v/>
      </c>
      <c r="G492" s="195">
        <f>IF(B492="","",SIN(2*E492)/(COSH(2*D492)+COS(2*E492)))</f>
        <v/>
      </c>
      <c r="H492" s="195">
        <f>IF(B492="","",'入力・概要'!$B$34)</f>
        <v/>
      </c>
      <c r="I492" s="195">
        <f>IF(B492="","",C492*'入力・概要'!$B$35*1E-9)</f>
        <v/>
      </c>
      <c r="J492" s="195">
        <f>IF(B492="","",H492+'入力・概要'!$B$30*F492)</f>
        <v/>
      </c>
      <c r="K492" s="195">
        <f>IF(B492="","",I492+'入力・概要'!$B$30*G492)</f>
        <v/>
      </c>
      <c r="L492" s="195">
        <f>IF(B492="","",'入力・概要'!$B$30+H492*F492-I492*G492)</f>
        <v/>
      </c>
      <c r="M492" s="195">
        <f>IF(B492="","",H492*G492+I492*F492)</f>
        <v/>
      </c>
      <c r="N492" s="195">
        <f>IF(B492="","",'入力・概要'!$B$30*(J492*L492+K492*M492)/(L492^2+M492^2))</f>
        <v/>
      </c>
      <c r="O492" s="195">
        <f>IF(B492="","",'入力・概要'!$B$30*(K492*L492-J492*M492)/(L492^2+M492^2))</f>
        <v/>
      </c>
      <c r="P492" s="195">
        <f>IF(B492="","",N492+'入力・概要'!$B$36)</f>
        <v/>
      </c>
      <c r="Q492" s="195">
        <f>IF(B492="","",O492+C492*'入力・概要'!$B$37*1E-9)</f>
        <v/>
      </c>
      <c r="R492" s="195">
        <f>IF(B492="","",SQRT(P492^2+Q492^2))</f>
        <v/>
      </c>
      <c r="S492" s="195">
        <f>IF(B492="","",IF(P492&gt;0,DEGREES(ATAN(Q492/P492)),IF(P492&lt;0,IF(Q492&gt;=0,DEGREES(ATAN(Q492/P492))+180,DEGREES(ATAN(Q492/P492))-180),IF(Q492&gt;0,90,IF(Q492&lt;0,-90,0)))))</f>
        <v/>
      </c>
      <c r="T492" s="195">
        <f>IF(B492="","",LOG10(B492))</f>
        <v/>
      </c>
      <c r="U492" s="195">
        <f>IF(R492="","",LOG10(MAX(R492,1E-12)))</f>
        <v/>
      </c>
    </row>
    <row r="493">
      <c r="A493" t="n">
        <v>490</v>
      </c>
      <c r="B493" s="196">
        <f>IF(A493&lt;='入力・概要'!$B$40,10^(LOG10('入力・概要'!$B$38)+(A493-1)*(LOG10('入力・概要'!$B$39)-LOG10('入力・概要'!$B$38))/('入力・概要'!$B$40-1)),"")</f>
        <v/>
      </c>
      <c r="C493" s="195">
        <f>IF(B493="","",2*PI()*B493)</f>
        <v/>
      </c>
      <c r="D493" s="195">
        <f>IF(B493="","",ATANH(MIN(0.999999,(2*'入力・概要'!$B$17*'入力・概要'!$B$6)/'入力・概要'!$B$30))+'入力・概要'!$B$33*SQRT(B493/1E6)+(2*PI()*B493*'入力・概要'!$B$6/(299792458*'入力・概要'!$B$31))*'入力・概要'!$B$32/2)</f>
        <v/>
      </c>
      <c r="E493" s="195">
        <f>IF(B493="","",2*PI()*B493*'入力・概要'!$B$6/(299792458*'入力・概要'!$B$31))</f>
        <v/>
      </c>
      <c r="F493" s="195">
        <f>IF(B493="","",SINH(2*D493)/(COSH(2*D493)+COS(2*E493)))</f>
        <v/>
      </c>
      <c r="G493" s="195">
        <f>IF(B493="","",SIN(2*E493)/(COSH(2*D493)+COS(2*E493)))</f>
        <v/>
      </c>
      <c r="H493" s="195">
        <f>IF(B493="","",'入力・概要'!$B$34)</f>
        <v/>
      </c>
      <c r="I493" s="195">
        <f>IF(B493="","",C493*'入力・概要'!$B$35*1E-9)</f>
        <v/>
      </c>
      <c r="J493" s="195">
        <f>IF(B493="","",H493+'入力・概要'!$B$30*F493)</f>
        <v/>
      </c>
      <c r="K493" s="195">
        <f>IF(B493="","",I493+'入力・概要'!$B$30*G493)</f>
        <v/>
      </c>
      <c r="L493" s="195">
        <f>IF(B493="","",'入力・概要'!$B$30+H493*F493-I493*G493)</f>
        <v/>
      </c>
      <c r="M493" s="195">
        <f>IF(B493="","",H493*G493+I493*F493)</f>
        <v/>
      </c>
      <c r="N493" s="195">
        <f>IF(B493="","",'入力・概要'!$B$30*(J493*L493+K493*M493)/(L493^2+M493^2))</f>
        <v/>
      </c>
      <c r="O493" s="195">
        <f>IF(B493="","",'入力・概要'!$B$30*(K493*L493-J493*M493)/(L493^2+M493^2))</f>
        <v/>
      </c>
      <c r="P493" s="195">
        <f>IF(B493="","",N493+'入力・概要'!$B$36)</f>
        <v/>
      </c>
      <c r="Q493" s="195">
        <f>IF(B493="","",O493+C493*'入力・概要'!$B$37*1E-9)</f>
        <v/>
      </c>
      <c r="R493" s="195">
        <f>IF(B493="","",SQRT(P493^2+Q493^2))</f>
        <v/>
      </c>
      <c r="S493" s="195">
        <f>IF(B493="","",IF(P493&gt;0,DEGREES(ATAN(Q493/P493)),IF(P493&lt;0,IF(Q493&gt;=0,DEGREES(ATAN(Q493/P493))+180,DEGREES(ATAN(Q493/P493))-180),IF(Q493&gt;0,90,IF(Q493&lt;0,-90,0)))))</f>
        <v/>
      </c>
      <c r="T493" s="195">
        <f>IF(B493="","",LOG10(B493))</f>
        <v/>
      </c>
      <c r="U493" s="195">
        <f>IF(R493="","",LOG10(MAX(R493,1E-12)))</f>
        <v/>
      </c>
    </row>
    <row r="494">
      <c r="A494" t="n">
        <v>491</v>
      </c>
      <c r="B494" s="196">
        <f>IF(A494&lt;='入力・概要'!$B$40,10^(LOG10('入力・概要'!$B$38)+(A494-1)*(LOG10('入力・概要'!$B$39)-LOG10('入力・概要'!$B$38))/('入力・概要'!$B$40-1)),"")</f>
        <v/>
      </c>
      <c r="C494" s="195">
        <f>IF(B494="","",2*PI()*B494)</f>
        <v/>
      </c>
      <c r="D494" s="195">
        <f>IF(B494="","",ATANH(MIN(0.999999,(2*'入力・概要'!$B$17*'入力・概要'!$B$6)/'入力・概要'!$B$30))+'入力・概要'!$B$33*SQRT(B494/1E6)+(2*PI()*B494*'入力・概要'!$B$6/(299792458*'入力・概要'!$B$31))*'入力・概要'!$B$32/2)</f>
        <v/>
      </c>
      <c r="E494" s="195">
        <f>IF(B494="","",2*PI()*B494*'入力・概要'!$B$6/(299792458*'入力・概要'!$B$31))</f>
        <v/>
      </c>
      <c r="F494" s="195">
        <f>IF(B494="","",SINH(2*D494)/(COSH(2*D494)+COS(2*E494)))</f>
        <v/>
      </c>
      <c r="G494" s="195">
        <f>IF(B494="","",SIN(2*E494)/(COSH(2*D494)+COS(2*E494)))</f>
        <v/>
      </c>
      <c r="H494" s="195">
        <f>IF(B494="","",'入力・概要'!$B$34)</f>
        <v/>
      </c>
      <c r="I494" s="195">
        <f>IF(B494="","",C494*'入力・概要'!$B$35*1E-9)</f>
        <v/>
      </c>
      <c r="J494" s="195">
        <f>IF(B494="","",H494+'入力・概要'!$B$30*F494)</f>
        <v/>
      </c>
      <c r="K494" s="195">
        <f>IF(B494="","",I494+'入力・概要'!$B$30*G494)</f>
        <v/>
      </c>
      <c r="L494" s="195">
        <f>IF(B494="","",'入力・概要'!$B$30+H494*F494-I494*G494)</f>
        <v/>
      </c>
      <c r="M494" s="195">
        <f>IF(B494="","",H494*G494+I494*F494)</f>
        <v/>
      </c>
      <c r="N494" s="195">
        <f>IF(B494="","",'入力・概要'!$B$30*(J494*L494+K494*M494)/(L494^2+M494^2))</f>
        <v/>
      </c>
      <c r="O494" s="195">
        <f>IF(B494="","",'入力・概要'!$B$30*(K494*L494-J494*M494)/(L494^2+M494^2))</f>
        <v/>
      </c>
      <c r="P494" s="195">
        <f>IF(B494="","",N494+'入力・概要'!$B$36)</f>
        <v/>
      </c>
      <c r="Q494" s="195">
        <f>IF(B494="","",O494+C494*'入力・概要'!$B$37*1E-9)</f>
        <v/>
      </c>
      <c r="R494" s="195">
        <f>IF(B494="","",SQRT(P494^2+Q494^2))</f>
        <v/>
      </c>
      <c r="S494" s="195">
        <f>IF(B494="","",IF(P494&gt;0,DEGREES(ATAN(Q494/P494)),IF(P494&lt;0,IF(Q494&gt;=0,DEGREES(ATAN(Q494/P494))+180,DEGREES(ATAN(Q494/P494))-180),IF(Q494&gt;0,90,IF(Q494&lt;0,-90,0)))))</f>
        <v/>
      </c>
      <c r="T494" s="195">
        <f>IF(B494="","",LOG10(B494))</f>
        <v/>
      </c>
      <c r="U494" s="195">
        <f>IF(R494="","",LOG10(MAX(R494,1E-12)))</f>
        <v/>
      </c>
    </row>
    <row r="495">
      <c r="A495" t="n">
        <v>492</v>
      </c>
      <c r="B495" s="196">
        <f>IF(A495&lt;='入力・概要'!$B$40,10^(LOG10('入力・概要'!$B$38)+(A495-1)*(LOG10('入力・概要'!$B$39)-LOG10('入力・概要'!$B$38))/('入力・概要'!$B$40-1)),"")</f>
        <v/>
      </c>
      <c r="C495" s="195">
        <f>IF(B495="","",2*PI()*B495)</f>
        <v/>
      </c>
      <c r="D495" s="195">
        <f>IF(B495="","",ATANH(MIN(0.999999,(2*'入力・概要'!$B$17*'入力・概要'!$B$6)/'入力・概要'!$B$30))+'入力・概要'!$B$33*SQRT(B495/1E6)+(2*PI()*B495*'入力・概要'!$B$6/(299792458*'入力・概要'!$B$31))*'入力・概要'!$B$32/2)</f>
        <v/>
      </c>
      <c r="E495" s="195">
        <f>IF(B495="","",2*PI()*B495*'入力・概要'!$B$6/(299792458*'入力・概要'!$B$31))</f>
        <v/>
      </c>
      <c r="F495" s="195">
        <f>IF(B495="","",SINH(2*D495)/(COSH(2*D495)+COS(2*E495)))</f>
        <v/>
      </c>
      <c r="G495" s="195">
        <f>IF(B495="","",SIN(2*E495)/(COSH(2*D495)+COS(2*E495)))</f>
        <v/>
      </c>
      <c r="H495" s="195">
        <f>IF(B495="","",'入力・概要'!$B$34)</f>
        <v/>
      </c>
      <c r="I495" s="195">
        <f>IF(B495="","",C495*'入力・概要'!$B$35*1E-9)</f>
        <v/>
      </c>
      <c r="J495" s="195">
        <f>IF(B495="","",H495+'入力・概要'!$B$30*F495)</f>
        <v/>
      </c>
      <c r="K495" s="195">
        <f>IF(B495="","",I495+'入力・概要'!$B$30*G495)</f>
        <v/>
      </c>
      <c r="L495" s="195">
        <f>IF(B495="","",'入力・概要'!$B$30+H495*F495-I495*G495)</f>
        <v/>
      </c>
      <c r="M495" s="195">
        <f>IF(B495="","",H495*G495+I495*F495)</f>
        <v/>
      </c>
      <c r="N495" s="195">
        <f>IF(B495="","",'入力・概要'!$B$30*(J495*L495+K495*M495)/(L495^2+M495^2))</f>
        <v/>
      </c>
      <c r="O495" s="195">
        <f>IF(B495="","",'入力・概要'!$B$30*(K495*L495-J495*M495)/(L495^2+M495^2))</f>
        <v/>
      </c>
      <c r="P495" s="195">
        <f>IF(B495="","",N495+'入力・概要'!$B$36)</f>
        <v/>
      </c>
      <c r="Q495" s="195">
        <f>IF(B495="","",O495+C495*'入力・概要'!$B$37*1E-9)</f>
        <v/>
      </c>
      <c r="R495" s="195">
        <f>IF(B495="","",SQRT(P495^2+Q495^2))</f>
        <v/>
      </c>
      <c r="S495" s="195">
        <f>IF(B495="","",IF(P495&gt;0,DEGREES(ATAN(Q495/P495)),IF(P495&lt;0,IF(Q495&gt;=0,DEGREES(ATAN(Q495/P495))+180,DEGREES(ATAN(Q495/P495))-180),IF(Q495&gt;0,90,IF(Q495&lt;0,-90,0)))))</f>
        <v/>
      </c>
      <c r="T495" s="195">
        <f>IF(B495="","",LOG10(B495))</f>
        <v/>
      </c>
      <c r="U495" s="195">
        <f>IF(R495="","",LOG10(MAX(R495,1E-12)))</f>
        <v/>
      </c>
    </row>
    <row r="496">
      <c r="A496" t="n">
        <v>493</v>
      </c>
      <c r="B496" s="196">
        <f>IF(A496&lt;='入力・概要'!$B$40,10^(LOG10('入力・概要'!$B$38)+(A496-1)*(LOG10('入力・概要'!$B$39)-LOG10('入力・概要'!$B$38))/('入力・概要'!$B$40-1)),"")</f>
        <v/>
      </c>
      <c r="C496" s="195">
        <f>IF(B496="","",2*PI()*B496)</f>
        <v/>
      </c>
      <c r="D496" s="195">
        <f>IF(B496="","",ATANH(MIN(0.999999,(2*'入力・概要'!$B$17*'入力・概要'!$B$6)/'入力・概要'!$B$30))+'入力・概要'!$B$33*SQRT(B496/1E6)+(2*PI()*B496*'入力・概要'!$B$6/(299792458*'入力・概要'!$B$31))*'入力・概要'!$B$32/2)</f>
        <v/>
      </c>
      <c r="E496" s="195">
        <f>IF(B496="","",2*PI()*B496*'入力・概要'!$B$6/(299792458*'入力・概要'!$B$31))</f>
        <v/>
      </c>
      <c r="F496" s="195">
        <f>IF(B496="","",SINH(2*D496)/(COSH(2*D496)+COS(2*E496)))</f>
        <v/>
      </c>
      <c r="G496" s="195">
        <f>IF(B496="","",SIN(2*E496)/(COSH(2*D496)+COS(2*E496)))</f>
        <v/>
      </c>
      <c r="H496" s="195">
        <f>IF(B496="","",'入力・概要'!$B$34)</f>
        <v/>
      </c>
      <c r="I496" s="195">
        <f>IF(B496="","",C496*'入力・概要'!$B$35*1E-9)</f>
        <v/>
      </c>
      <c r="J496" s="195">
        <f>IF(B496="","",H496+'入力・概要'!$B$30*F496)</f>
        <v/>
      </c>
      <c r="K496" s="195">
        <f>IF(B496="","",I496+'入力・概要'!$B$30*G496)</f>
        <v/>
      </c>
      <c r="L496" s="195">
        <f>IF(B496="","",'入力・概要'!$B$30+H496*F496-I496*G496)</f>
        <v/>
      </c>
      <c r="M496" s="195">
        <f>IF(B496="","",H496*G496+I496*F496)</f>
        <v/>
      </c>
      <c r="N496" s="195">
        <f>IF(B496="","",'入力・概要'!$B$30*(J496*L496+K496*M496)/(L496^2+M496^2))</f>
        <v/>
      </c>
      <c r="O496" s="195">
        <f>IF(B496="","",'入力・概要'!$B$30*(K496*L496-J496*M496)/(L496^2+M496^2))</f>
        <v/>
      </c>
      <c r="P496" s="195">
        <f>IF(B496="","",N496+'入力・概要'!$B$36)</f>
        <v/>
      </c>
      <c r="Q496" s="195">
        <f>IF(B496="","",O496+C496*'入力・概要'!$B$37*1E-9)</f>
        <v/>
      </c>
      <c r="R496" s="195">
        <f>IF(B496="","",SQRT(P496^2+Q496^2))</f>
        <v/>
      </c>
      <c r="S496" s="195">
        <f>IF(B496="","",IF(P496&gt;0,DEGREES(ATAN(Q496/P496)),IF(P496&lt;0,IF(Q496&gt;=0,DEGREES(ATAN(Q496/P496))+180,DEGREES(ATAN(Q496/P496))-180),IF(Q496&gt;0,90,IF(Q496&lt;0,-90,0)))))</f>
        <v/>
      </c>
      <c r="T496" s="195">
        <f>IF(B496="","",LOG10(B496))</f>
        <v/>
      </c>
      <c r="U496" s="195">
        <f>IF(R496="","",LOG10(MAX(R496,1E-12)))</f>
        <v/>
      </c>
    </row>
    <row r="497">
      <c r="A497" t="n">
        <v>494</v>
      </c>
      <c r="B497" s="196">
        <f>IF(A497&lt;='入力・概要'!$B$40,10^(LOG10('入力・概要'!$B$38)+(A497-1)*(LOG10('入力・概要'!$B$39)-LOG10('入力・概要'!$B$38))/('入力・概要'!$B$40-1)),"")</f>
        <v/>
      </c>
      <c r="C497" s="195">
        <f>IF(B497="","",2*PI()*B497)</f>
        <v/>
      </c>
      <c r="D497" s="195">
        <f>IF(B497="","",ATANH(MIN(0.999999,(2*'入力・概要'!$B$17*'入力・概要'!$B$6)/'入力・概要'!$B$30))+'入力・概要'!$B$33*SQRT(B497/1E6)+(2*PI()*B497*'入力・概要'!$B$6/(299792458*'入力・概要'!$B$31))*'入力・概要'!$B$32/2)</f>
        <v/>
      </c>
      <c r="E497" s="195">
        <f>IF(B497="","",2*PI()*B497*'入力・概要'!$B$6/(299792458*'入力・概要'!$B$31))</f>
        <v/>
      </c>
      <c r="F497" s="195">
        <f>IF(B497="","",SINH(2*D497)/(COSH(2*D497)+COS(2*E497)))</f>
        <v/>
      </c>
      <c r="G497" s="195">
        <f>IF(B497="","",SIN(2*E497)/(COSH(2*D497)+COS(2*E497)))</f>
        <v/>
      </c>
      <c r="H497" s="195">
        <f>IF(B497="","",'入力・概要'!$B$34)</f>
        <v/>
      </c>
      <c r="I497" s="195">
        <f>IF(B497="","",C497*'入力・概要'!$B$35*1E-9)</f>
        <v/>
      </c>
      <c r="J497" s="195">
        <f>IF(B497="","",H497+'入力・概要'!$B$30*F497)</f>
        <v/>
      </c>
      <c r="K497" s="195">
        <f>IF(B497="","",I497+'入力・概要'!$B$30*G497)</f>
        <v/>
      </c>
      <c r="L497" s="195">
        <f>IF(B497="","",'入力・概要'!$B$30+H497*F497-I497*G497)</f>
        <v/>
      </c>
      <c r="M497" s="195">
        <f>IF(B497="","",H497*G497+I497*F497)</f>
        <v/>
      </c>
      <c r="N497" s="195">
        <f>IF(B497="","",'入力・概要'!$B$30*(J497*L497+K497*M497)/(L497^2+M497^2))</f>
        <v/>
      </c>
      <c r="O497" s="195">
        <f>IF(B497="","",'入力・概要'!$B$30*(K497*L497-J497*M497)/(L497^2+M497^2))</f>
        <v/>
      </c>
      <c r="P497" s="195">
        <f>IF(B497="","",N497+'入力・概要'!$B$36)</f>
        <v/>
      </c>
      <c r="Q497" s="195">
        <f>IF(B497="","",O497+C497*'入力・概要'!$B$37*1E-9)</f>
        <v/>
      </c>
      <c r="R497" s="195">
        <f>IF(B497="","",SQRT(P497^2+Q497^2))</f>
        <v/>
      </c>
      <c r="S497" s="195">
        <f>IF(B497="","",IF(P497&gt;0,DEGREES(ATAN(Q497/P497)),IF(P497&lt;0,IF(Q497&gt;=0,DEGREES(ATAN(Q497/P497))+180,DEGREES(ATAN(Q497/P497))-180),IF(Q497&gt;0,90,IF(Q497&lt;0,-90,0)))))</f>
        <v/>
      </c>
      <c r="T497" s="195">
        <f>IF(B497="","",LOG10(B497))</f>
        <v/>
      </c>
      <c r="U497" s="195">
        <f>IF(R497="","",LOG10(MAX(R497,1E-12)))</f>
        <v/>
      </c>
    </row>
    <row r="498">
      <c r="A498" t="n">
        <v>495</v>
      </c>
      <c r="B498" s="196">
        <f>IF(A498&lt;='入力・概要'!$B$40,10^(LOG10('入力・概要'!$B$38)+(A498-1)*(LOG10('入力・概要'!$B$39)-LOG10('入力・概要'!$B$38))/('入力・概要'!$B$40-1)),"")</f>
        <v/>
      </c>
      <c r="C498" s="195">
        <f>IF(B498="","",2*PI()*B498)</f>
        <v/>
      </c>
      <c r="D498" s="195">
        <f>IF(B498="","",ATANH(MIN(0.999999,(2*'入力・概要'!$B$17*'入力・概要'!$B$6)/'入力・概要'!$B$30))+'入力・概要'!$B$33*SQRT(B498/1E6)+(2*PI()*B498*'入力・概要'!$B$6/(299792458*'入力・概要'!$B$31))*'入力・概要'!$B$32/2)</f>
        <v/>
      </c>
      <c r="E498" s="195">
        <f>IF(B498="","",2*PI()*B498*'入力・概要'!$B$6/(299792458*'入力・概要'!$B$31))</f>
        <v/>
      </c>
      <c r="F498" s="195">
        <f>IF(B498="","",SINH(2*D498)/(COSH(2*D498)+COS(2*E498)))</f>
        <v/>
      </c>
      <c r="G498" s="195">
        <f>IF(B498="","",SIN(2*E498)/(COSH(2*D498)+COS(2*E498)))</f>
        <v/>
      </c>
      <c r="H498" s="195">
        <f>IF(B498="","",'入力・概要'!$B$34)</f>
        <v/>
      </c>
      <c r="I498" s="195">
        <f>IF(B498="","",C498*'入力・概要'!$B$35*1E-9)</f>
        <v/>
      </c>
      <c r="J498" s="195">
        <f>IF(B498="","",H498+'入力・概要'!$B$30*F498)</f>
        <v/>
      </c>
      <c r="K498" s="195">
        <f>IF(B498="","",I498+'入力・概要'!$B$30*G498)</f>
        <v/>
      </c>
      <c r="L498" s="195">
        <f>IF(B498="","",'入力・概要'!$B$30+H498*F498-I498*G498)</f>
        <v/>
      </c>
      <c r="M498" s="195">
        <f>IF(B498="","",H498*G498+I498*F498)</f>
        <v/>
      </c>
      <c r="N498" s="195">
        <f>IF(B498="","",'入力・概要'!$B$30*(J498*L498+K498*M498)/(L498^2+M498^2))</f>
        <v/>
      </c>
      <c r="O498" s="195">
        <f>IF(B498="","",'入力・概要'!$B$30*(K498*L498-J498*M498)/(L498^2+M498^2))</f>
        <v/>
      </c>
      <c r="P498" s="195">
        <f>IF(B498="","",N498+'入力・概要'!$B$36)</f>
        <v/>
      </c>
      <c r="Q498" s="195">
        <f>IF(B498="","",O498+C498*'入力・概要'!$B$37*1E-9)</f>
        <v/>
      </c>
      <c r="R498" s="195">
        <f>IF(B498="","",SQRT(P498^2+Q498^2))</f>
        <v/>
      </c>
      <c r="S498" s="195">
        <f>IF(B498="","",IF(P498&gt;0,DEGREES(ATAN(Q498/P498)),IF(P498&lt;0,IF(Q498&gt;=0,DEGREES(ATAN(Q498/P498))+180,DEGREES(ATAN(Q498/P498))-180),IF(Q498&gt;0,90,IF(Q498&lt;0,-90,0)))))</f>
        <v/>
      </c>
      <c r="T498" s="195">
        <f>IF(B498="","",LOG10(B498))</f>
        <v/>
      </c>
      <c r="U498" s="195">
        <f>IF(R498="","",LOG10(MAX(R498,1E-12)))</f>
        <v/>
      </c>
    </row>
    <row r="499">
      <c r="A499" t="n">
        <v>496</v>
      </c>
      <c r="B499" s="196">
        <f>IF(A499&lt;='入力・概要'!$B$40,10^(LOG10('入力・概要'!$B$38)+(A499-1)*(LOG10('入力・概要'!$B$39)-LOG10('入力・概要'!$B$38))/('入力・概要'!$B$40-1)),"")</f>
        <v/>
      </c>
      <c r="C499" s="195">
        <f>IF(B499="","",2*PI()*B499)</f>
        <v/>
      </c>
      <c r="D499" s="195">
        <f>IF(B499="","",ATANH(MIN(0.999999,(2*'入力・概要'!$B$17*'入力・概要'!$B$6)/'入力・概要'!$B$30))+'入力・概要'!$B$33*SQRT(B499/1E6)+(2*PI()*B499*'入力・概要'!$B$6/(299792458*'入力・概要'!$B$31))*'入力・概要'!$B$32/2)</f>
        <v/>
      </c>
      <c r="E499" s="195">
        <f>IF(B499="","",2*PI()*B499*'入力・概要'!$B$6/(299792458*'入力・概要'!$B$31))</f>
        <v/>
      </c>
      <c r="F499" s="195">
        <f>IF(B499="","",SINH(2*D499)/(COSH(2*D499)+COS(2*E499)))</f>
        <v/>
      </c>
      <c r="G499" s="195">
        <f>IF(B499="","",SIN(2*E499)/(COSH(2*D499)+COS(2*E499)))</f>
        <v/>
      </c>
      <c r="H499" s="195">
        <f>IF(B499="","",'入力・概要'!$B$34)</f>
        <v/>
      </c>
      <c r="I499" s="195">
        <f>IF(B499="","",C499*'入力・概要'!$B$35*1E-9)</f>
        <v/>
      </c>
      <c r="J499" s="195">
        <f>IF(B499="","",H499+'入力・概要'!$B$30*F499)</f>
        <v/>
      </c>
      <c r="K499" s="195">
        <f>IF(B499="","",I499+'入力・概要'!$B$30*G499)</f>
        <v/>
      </c>
      <c r="L499" s="195">
        <f>IF(B499="","",'入力・概要'!$B$30+H499*F499-I499*G499)</f>
        <v/>
      </c>
      <c r="M499" s="195">
        <f>IF(B499="","",H499*G499+I499*F499)</f>
        <v/>
      </c>
      <c r="N499" s="195">
        <f>IF(B499="","",'入力・概要'!$B$30*(J499*L499+K499*M499)/(L499^2+M499^2))</f>
        <v/>
      </c>
      <c r="O499" s="195">
        <f>IF(B499="","",'入力・概要'!$B$30*(K499*L499-J499*M499)/(L499^2+M499^2))</f>
        <v/>
      </c>
      <c r="P499" s="195">
        <f>IF(B499="","",N499+'入力・概要'!$B$36)</f>
        <v/>
      </c>
      <c r="Q499" s="195">
        <f>IF(B499="","",O499+C499*'入力・概要'!$B$37*1E-9)</f>
        <v/>
      </c>
      <c r="R499" s="195">
        <f>IF(B499="","",SQRT(P499^2+Q499^2))</f>
        <v/>
      </c>
      <c r="S499" s="195">
        <f>IF(B499="","",IF(P499&gt;0,DEGREES(ATAN(Q499/P499)),IF(P499&lt;0,IF(Q499&gt;=0,DEGREES(ATAN(Q499/P499))+180,DEGREES(ATAN(Q499/P499))-180),IF(Q499&gt;0,90,IF(Q499&lt;0,-90,0)))))</f>
        <v/>
      </c>
      <c r="T499" s="195">
        <f>IF(B499="","",LOG10(B499))</f>
        <v/>
      </c>
      <c r="U499" s="195">
        <f>IF(R499="","",LOG10(MAX(R499,1E-12)))</f>
        <v/>
      </c>
    </row>
    <row r="500">
      <c r="A500" t="n">
        <v>497</v>
      </c>
      <c r="B500" s="196">
        <f>IF(A500&lt;='入力・概要'!$B$40,10^(LOG10('入力・概要'!$B$38)+(A500-1)*(LOG10('入力・概要'!$B$39)-LOG10('入力・概要'!$B$38))/('入力・概要'!$B$40-1)),"")</f>
        <v/>
      </c>
      <c r="C500" s="195">
        <f>IF(B500="","",2*PI()*B500)</f>
        <v/>
      </c>
      <c r="D500" s="195">
        <f>IF(B500="","",ATANH(MIN(0.999999,(2*'入力・概要'!$B$17*'入力・概要'!$B$6)/'入力・概要'!$B$30))+'入力・概要'!$B$33*SQRT(B500/1E6)+(2*PI()*B500*'入力・概要'!$B$6/(299792458*'入力・概要'!$B$31))*'入力・概要'!$B$32/2)</f>
        <v/>
      </c>
      <c r="E500" s="195">
        <f>IF(B500="","",2*PI()*B500*'入力・概要'!$B$6/(299792458*'入力・概要'!$B$31))</f>
        <v/>
      </c>
      <c r="F500" s="195">
        <f>IF(B500="","",SINH(2*D500)/(COSH(2*D500)+COS(2*E500)))</f>
        <v/>
      </c>
      <c r="G500" s="195">
        <f>IF(B500="","",SIN(2*E500)/(COSH(2*D500)+COS(2*E500)))</f>
        <v/>
      </c>
      <c r="H500" s="195">
        <f>IF(B500="","",'入力・概要'!$B$34)</f>
        <v/>
      </c>
      <c r="I500" s="195">
        <f>IF(B500="","",C500*'入力・概要'!$B$35*1E-9)</f>
        <v/>
      </c>
      <c r="J500" s="195">
        <f>IF(B500="","",H500+'入力・概要'!$B$30*F500)</f>
        <v/>
      </c>
      <c r="K500" s="195">
        <f>IF(B500="","",I500+'入力・概要'!$B$30*G500)</f>
        <v/>
      </c>
      <c r="L500" s="195">
        <f>IF(B500="","",'入力・概要'!$B$30+H500*F500-I500*G500)</f>
        <v/>
      </c>
      <c r="M500" s="195">
        <f>IF(B500="","",H500*G500+I500*F500)</f>
        <v/>
      </c>
      <c r="N500" s="195">
        <f>IF(B500="","",'入力・概要'!$B$30*(J500*L500+K500*M500)/(L500^2+M500^2))</f>
        <v/>
      </c>
      <c r="O500" s="195">
        <f>IF(B500="","",'入力・概要'!$B$30*(K500*L500-J500*M500)/(L500^2+M500^2))</f>
        <v/>
      </c>
      <c r="P500" s="195">
        <f>IF(B500="","",N500+'入力・概要'!$B$36)</f>
        <v/>
      </c>
      <c r="Q500" s="195">
        <f>IF(B500="","",O500+C500*'入力・概要'!$B$37*1E-9)</f>
        <v/>
      </c>
      <c r="R500" s="195">
        <f>IF(B500="","",SQRT(P500^2+Q500^2))</f>
        <v/>
      </c>
      <c r="S500" s="195">
        <f>IF(B500="","",IF(P500&gt;0,DEGREES(ATAN(Q500/P500)),IF(P500&lt;0,IF(Q500&gt;=0,DEGREES(ATAN(Q500/P500))+180,DEGREES(ATAN(Q500/P500))-180),IF(Q500&gt;0,90,IF(Q500&lt;0,-90,0)))))</f>
        <v/>
      </c>
      <c r="T500" s="195">
        <f>IF(B500="","",LOG10(B500))</f>
        <v/>
      </c>
      <c r="U500" s="195">
        <f>IF(R500="","",LOG10(MAX(R500,1E-12)))</f>
        <v/>
      </c>
    </row>
    <row r="501">
      <c r="A501" t="n">
        <v>498</v>
      </c>
      <c r="B501" s="196">
        <f>IF(A501&lt;='入力・概要'!$B$40,10^(LOG10('入力・概要'!$B$38)+(A501-1)*(LOG10('入力・概要'!$B$39)-LOG10('入力・概要'!$B$38))/('入力・概要'!$B$40-1)),"")</f>
        <v/>
      </c>
      <c r="C501" s="195">
        <f>IF(B501="","",2*PI()*B501)</f>
        <v/>
      </c>
      <c r="D501" s="195">
        <f>IF(B501="","",ATANH(MIN(0.999999,(2*'入力・概要'!$B$17*'入力・概要'!$B$6)/'入力・概要'!$B$30))+'入力・概要'!$B$33*SQRT(B501/1E6)+(2*PI()*B501*'入力・概要'!$B$6/(299792458*'入力・概要'!$B$31))*'入力・概要'!$B$32/2)</f>
        <v/>
      </c>
      <c r="E501" s="195">
        <f>IF(B501="","",2*PI()*B501*'入力・概要'!$B$6/(299792458*'入力・概要'!$B$31))</f>
        <v/>
      </c>
      <c r="F501" s="195">
        <f>IF(B501="","",SINH(2*D501)/(COSH(2*D501)+COS(2*E501)))</f>
        <v/>
      </c>
      <c r="G501" s="195">
        <f>IF(B501="","",SIN(2*E501)/(COSH(2*D501)+COS(2*E501)))</f>
        <v/>
      </c>
      <c r="H501" s="195">
        <f>IF(B501="","",'入力・概要'!$B$34)</f>
        <v/>
      </c>
      <c r="I501" s="195">
        <f>IF(B501="","",C501*'入力・概要'!$B$35*1E-9)</f>
        <v/>
      </c>
      <c r="J501" s="195">
        <f>IF(B501="","",H501+'入力・概要'!$B$30*F501)</f>
        <v/>
      </c>
      <c r="K501" s="195">
        <f>IF(B501="","",I501+'入力・概要'!$B$30*G501)</f>
        <v/>
      </c>
      <c r="L501" s="195">
        <f>IF(B501="","",'入力・概要'!$B$30+H501*F501-I501*G501)</f>
        <v/>
      </c>
      <c r="M501" s="195">
        <f>IF(B501="","",H501*G501+I501*F501)</f>
        <v/>
      </c>
      <c r="N501" s="195">
        <f>IF(B501="","",'入力・概要'!$B$30*(J501*L501+K501*M501)/(L501^2+M501^2))</f>
        <v/>
      </c>
      <c r="O501" s="195">
        <f>IF(B501="","",'入力・概要'!$B$30*(K501*L501-J501*M501)/(L501^2+M501^2))</f>
        <v/>
      </c>
      <c r="P501" s="195">
        <f>IF(B501="","",N501+'入力・概要'!$B$36)</f>
        <v/>
      </c>
      <c r="Q501" s="195">
        <f>IF(B501="","",O501+C501*'入力・概要'!$B$37*1E-9)</f>
        <v/>
      </c>
      <c r="R501" s="195">
        <f>IF(B501="","",SQRT(P501^2+Q501^2))</f>
        <v/>
      </c>
      <c r="S501" s="195">
        <f>IF(B501="","",IF(P501&gt;0,DEGREES(ATAN(Q501/P501)),IF(P501&lt;0,IF(Q501&gt;=0,DEGREES(ATAN(Q501/P501))+180,DEGREES(ATAN(Q501/P501))-180),IF(Q501&gt;0,90,IF(Q501&lt;0,-90,0)))))</f>
        <v/>
      </c>
      <c r="T501" s="195">
        <f>IF(B501="","",LOG10(B501))</f>
        <v/>
      </c>
      <c r="U501" s="195">
        <f>IF(R501="","",LOG10(MAX(R501,1E-12)))</f>
        <v/>
      </c>
    </row>
    <row r="502">
      <c r="A502" t="n">
        <v>499</v>
      </c>
      <c r="B502" s="196">
        <f>IF(A502&lt;='入力・概要'!$B$40,10^(LOG10('入力・概要'!$B$38)+(A502-1)*(LOG10('入力・概要'!$B$39)-LOG10('入力・概要'!$B$38))/('入力・概要'!$B$40-1)),"")</f>
        <v/>
      </c>
      <c r="C502" s="195">
        <f>IF(B502="","",2*PI()*B502)</f>
        <v/>
      </c>
      <c r="D502" s="195">
        <f>IF(B502="","",ATANH(MIN(0.999999,(2*'入力・概要'!$B$17*'入力・概要'!$B$6)/'入力・概要'!$B$30))+'入力・概要'!$B$33*SQRT(B502/1E6)+(2*PI()*B502*'入力・概要'!$B$6/(299792458*'入力・概要'!$B$31))*'入力・概要'!$B$32/2)</f>
        <v/>
      </c>
      <c r="E502" s="195">
        <f>IF(B502="","",2*PI()*B502*'入力・概要'!$B$6/(299792458*'入力・概要'!$B$31))</f>
        <v/>
      </c>
      <c r="F502" s="195">
        <f>IF(B502="","",SINH(2*D502)/(COSH(2*D502)+COS(2*E502)))</f>
        <v/>
      </c>
      <c r="G502" s="195">
        <f>IF(B502="","",SIN(2*E502)/(COSH(2*D502)+COS(2*E502)))</f>
        <v/>
      </c>
      <c r="H502" s="195">
        <f>IF(B502="","",'入力・概要'!$B$34)</f>
        <v/>
      </c>
      <c r="I502" s="195">
        <f>IF(B502="","",C502*'入力・概要'!$B$35*1E-9)</f>
        <v/>
      </c>
      <c r="J502" s="195">
        <f>IF(B502="","",H502+'入力・概要'!$B$30*F502)</f>
        <v/>
      </c>
      <c r="K502" s="195">
        <f>IF(B502="","",I502+'入力・概要'!$B$30*G502)</f>
        <v/>
      </c>
      <c r="L502" s="195">
        <f>IF(B502="","",'入力・概要'!$B$30+H502*F502-I502*G502)</f>
        <v/>
      </c>
      <c r="M502" s="195">
        <f>IF(B502="","",H502*G502+I502*F502)</f>
        <v/>
      </c>
      <c r="N502" s="195">
        <f>IF(B502="","",'入力・概要'!$B$30*(J502*L502+K502*M502)/(L502^2+M502^2))</f>
        <v/>
      </c>
      <c r="O502" s="195">
        <f>IF(B502="","",'入力・概要'!$B$30*(K502*L502-J502*M502)/(L502^2+M502^2))</f>
        <v/>
      </c>
      <c r="P502" s="195">
        <f>IF(B502="","",N502+'入力・概要'!$B$36)</f>
        <v/>
      </c>
      <c r="Q502" s="195">
        <f>IF(B502="","",O502+C502*'入力・概要'!$B$37*1E-9)</f>
        <v/>
      </c>
      <c r="R502" s="195">
        <f>IF(B502="","",SQRT(P502^2+Q502^2))</f>
        <v/>
      </c>
      <c r="S502" s="195">
        <f>IF(B502="","",IF(P502&gt;0,DEGREES(ATAN(Q502/P502)),IF(P502&lt;0,IF(Q502&gt;=0,DEGREES(ATAN(Q502/P502))+180,DEGREES(ATAN(Q502/P502))-180),IF(Q502&gt;0,90,IF(Q502&lt;0,-90,0)))))</f>
        <v/>
      </c>
      <c r="T502" s="195">
        <f>IF(B502="","",LOG10(B502))</f>
        <v/>
      </c>
      <c r="U502" s="195">
        <f>IF(R502="","",LOG10(MAX(R502,1E-12)))</f>
        <v/>
      </c>
    </row>
    <row r="503">
      <c r="A503" t="n">
        <v>500</v>
      </c>
      <c r="B503" s="196">
        <f>IF(A503&lt;='入力・概要'!$B$40,10^(LOG10('入力・概要'!$B$38)+(A503-1)*(LOG10('入力・概要'!$B$39)-LOG10('入力・概要'!$B$38))/('入力・概要'!$B$40-1)),"")</f>
        <v/>
      </c>
      <c r="C503" s="195">
        <f>IF(B503="","",2*PI()*B503)</f>
        <v/>
      </c>
      <c r="D503" s="195">
        <f>IF(B503="","",ATANH(MIN(0.999999,(2*'入力・概要'!$B$17*'入力・概要'!$B$6)/'入力・概要'!$B$30))+'入力・概要'!$B$33*SQRT(B503/1E6)+(2*PI()*B503*'入力・概要'!$B$6/(299792458*'入力・概要'!$B$31))*'入力・概要'!$B$32/2)</f>
        <v/>
      </c>
      <c r="E503" s="195">
        <f>IF(B503="","",2*PI()*B503*'入力・概要'!$B$6/(299792458*'入力・概要'!$B$31))</f>
        <v/>
      </c>
      <c r="F503" s="195">
        <f>IF(B503="","",SINH(2*D503)/(COSH(2*D503)+COS(2*E503)))</f>
        <v/>
      </c>
      <c r="G503" s="195">
        <f>IF(B503="","",SIN(2*E503)/(COSH(2*D503)+COS(2*E503)))</f>
        <v/>
      </c>
      <c r="H503" s="195">
        <f>IF(B503="","",'入力・概要'!$B$34)</f>
        <v/>
      </c>
      <c r="I503" s="195">
        <f>IF(B503="","",C503*'入力・概要'!$B$35*1E-9)</f>
        <v/>
      </c>
      <c r="J503" s="195">
        <f>IF(B503="","",H503+'入力・概要'!$B$30*F503)</f>
        <v/>
      </c>
      <c r="K503" s="195">
        <f>IF(B503="","",I503+'入力・概要'!$B$30*G503)</f>
        <v/>
      </c>
      <c r="L503" s="195">
        <f>IF(B503="","",'入力・概要'!$B$30+H503*F503-I503*G503)</f>
        <v/>
      </c>
      <c r="M503" s="195">
        <f>IF(B503="","",H503*G503+I503*F503)</f>
        <v/>
      </c>
      <c r="N503" s="195">
        <f>IF(B503="","",'入力・概要'!$B$30*(J503*L503+K503*M503)/(L503^2+M503^2))</f>
        <v/>
      </c>
      <c r="O503" s="195">
        <f>IF(B503="","",'入力・概要'!$B$30*(K503*L503-J503*M503)/(L503^2+M503^2))</f>
        <v/>
      </c>
      <c r="P503" s="195">
        <f>IF(B503="","",N503+'入力・概要'!$B$36)</f>
        <v/>
      </c>
      <c r="Q503" s="195">
        <f>IF(B503="","",O503+C503*'入力・概要'!$B$37*1E-9)</f>
        <v/>
      </c>
      <c r="R503" s="195">
        <f>IF(B503="","",SQRT(P503^2+Q503^2))</f>
        <v/>
      </c>
      <c r="S503" s="195">
        <f>IF(B503="","",IF(P503&gt;0,DEGREES(ATAN(Q503/P503)),IF(P503&lt;0,IF(Q503&gt;=0,DEGREES(ATAN(Q503/P503))+180,DEGREES(ATAN(Q503/P503))-180),IF(Q503&gt;0,90,IF(Q503&lt;0,-90,0)))))</f>
        <v/>
      </c>
      <c r="T503" s="195">
        <f>IF(B503="","",LOG10(B503))</f>
        <v/>
      </c>
      <c r="U503" s="195">
        <f>IF(R503="","",LOG10(MAX(R503,1E-12)))</f>
        <v/>
      </c>
    </row>
    <row r="504">
      <c r="A504" t="n">
        <v>501</v>
      </c>
      <c r="B504" s="196">
        <f>IF(A504&lt;='入力・概要'!$B$40,10^(LOG10('入力・概要'!$B$38)+(A504-1)*(LOG10('入力・概要'!$B$39)-LOG10('入力・概要'!$B$38))/('入力・概要'!$B$40-1)),"")</f>
        <v/>
      </c>
      <c r="C504" s="195">
        <f>IF(B504="","",2*PI()*B504)</f>
        <v/>
      </c>
      <c r="D504" s="195">
        <f>IF(B504="","",ATANH(MIN(0.999999,(2*'入力・概要'!$B$17*'入力・概要'!$B$6)/'入力・概要'!$B$30))+'入力・概要'!$B$33*SQRT(B504/1E6)+(2*PI()*B504*'入力・概要'!$B$6/(299792458*'入力・概要'!$B$31))*'入力・概要'!$B$32/2)</f>
        <v/>
      </c>
      <c r="E504" s="195">
        <f>IF(B504="","",2*PI()*B504*'入力・概要'!$B$6/(299792458*'入力・概要'!$B$31))</f>
        <v/>
      </c>
      <c r="F504" s="195">
        <f>IF(B504="","",SINH(2*D504)/(COSH(2*D504)+COS(2*E504)))</f>
        <v/>
      </c>
      <c r="G504" s="195">
        <f>IF(B504="","",SIN(2*E504)/(COSH(2*D504)+COS(2*E504)))</f>
        <v/>
      </c>
      <c r="H504" s="195">
        <f>IF(B504="","",'入力・概要'!$B$34)</f>
        <v/>
      </c>
      <c r="I504" s="195">
        <f>IF(B504="","",C504*'入力・概要'!$B$35*1E-9)</f>
        <v/>
      </c>
      <c r="J504" s="195">
        <f>IF(B504="","",H504+'入力・概要'!$B$30*F504)</f>
        <v/>
      </c>
      <c r="K504" s="195">
        <f>IF(B504="","",I504+'入力・概要'!$B$30*G504)</f>
        <v/>
      </c>
      <c r="L504" s="195">
        <f>IF(B504="","",'入力・概要'!$B$30+H504*F504-I504*G504)</f>
        <v/>
      </c>
      <c r="M504" s="195">
        <f>IF(B504="","",H504*G504+I504*F504)</f>
        <v/>
      </c>
      <c r="N504" s="195">
        <f>IF(B504="","",'入力・概要'!$B$30*(J504*L504+K504*M504)/(L504^2+M504^2))</f>
        <v/>
      </c>
      <c r="O504" s="195">
        <f>IF(B504="","",'入力・概要'!$B$30*(K504*L504-J504*M504)/(L504^2+M504^2))</f>
        <v/>
      </c>
      <c r="P504" s="195">
        <f>IF(B504="","",N504+'入力・概要'!$B$36)</f>
        <v/>
      </c>
      <c r="Q504" s="195">
        <f>IF(B504="","",O504+C504*'入力・概要'!$B$37*1E-9)</f>
        <v/>
      </c>
      <c r="R504" s="195">
        <f>IF(B504="","",SQRT(P504^2+Q504^2))</f>
        <v/>
      </c>
      <c r="S504" s="195">
        <f>IF(B504="","",IF(P504&gt;0,DEGREES(ATAN(Q504/P504)),IF(P504&lt;0,IF(Q504&gt;=0,DEGREES(ATAN(Q504/P504))+180,DEGREES(ATAN(Q504/P504))-180),IF(Q504&gt;0,90,IF(Q504&lt;0,-90,0)))))</f>
        <v/>
      </c>
      <c r="T504" s="195">
        <f>IF(B504="","",LOG10(B504))</f>
        <v/>
      </c>
      <c r="U504" s="195">
        <f>IF(R504="","",LOG10(MAX(R504,1E-12)))</f>
        <v/>
      </c>
    </row>
    <row r="505">
      <c r="A505" t="n">
        <v>502</v>
      </c>
      <c r="B505" s="196">
        <f>IF(A505&lt;='入力・概要'!$B$40,10^(LOG10('入力・概要'!$B$38)+(A505-1)*(LOG10('入力・概要'!$B$39)-LOG10('入力・概要'!$B$38))/('入力・概要'!$B$40-1)),"")</f>
        <v/>
      </c>
      <c r="C505" s="195">
        <f>IF(B505="","",2*PI()*B505)</f>
        <v/>
      </c>
      <c r="D505" s="195">
        <f>IF(B505="","",ATANH(MIN(0.999999,(2*'入力・概要'!$B$17*'入力・概要'!$B$6)/'入力・概要'!$B$30))+'入力・概要'!$B$33*SQRT(B505/1E6)+(2*PI()*B505*'入力・概要'!$B$6/(299792458*'入力・概要'!$B$31))*'入力・概要'!$B$32/2)</f>
        <v/>
      </c>
      <c r="E505" s="195">
        <f>IF(B505="","",2*PI()*B505*'入力・概要'!$B$6/(299792458*'入力・概要'!$B$31))</f>
        <v/>
      </c>
      <c r="F505" s="195">
        <f>IF(B505="","",SINH(2*D505)/(COSH(2*D505)+COS(2*E505)))</f>
        <v/>
      </c>
      <c r="G505" s="195">
        <f>IF(B505="","",SIN(2*E505)/(COSH(2*D505)+COS(2*E505)))</f>
        <v/>
      </c>
      <c r="H505" s="195">
        <f>IF(B505="","",'入力・概要'!$B$34)</f>
        <v/>
      </c>
      <c r="I505" s="195">
        <f>IF(B505="","",C505*'入力・概要'!$B$35*1E-9)</f>
        <v/>
      </c>
      <c r="J505" s="195">
        <f>IF(B505="","",H505+'入力・概要'!$B$30*F505)</f>
        <v/>
      </c>
      <c r="K505" s="195">
        <f>IF(B505="","",I505+'入力・概要'!$B$30*G505)</f>
        <v/>
      </c>
      <c r="L505" s="195">
        <f>IF(B505="","",'入力・概要'!$B$30+H505*F505-I505*G505)</f>
        <v/>
      </c>
      <c r="M505" s="195">
        <f>IF(B505="","",H505*G505+I505*F505)</f>
        <v/>
      </c>
      <c r="N505" s="195">
        <f>IF(B505="","",'入力・概要'!$B$30*(J505*L505+K505*M505)/(L505^2+M505^2))</f>
        <v/>
      </c>
      <c r="O505" s="195">
        <f>IF(B505="","",'入力・概要'!$B$30*(K505*L505-J505*M505)/(L505^2+M505^2))</f>
        <v/>
      </c>
      <c r="P505" s="195">
        <f>IF(B505="","",N505+'入力・概要'!$B$36)</f>
        <v/>
      </c>
      <c r="Q505" s="195">
        <f>IF(B505="","",O505+C505*'入力・概要'!$B$37*1E-9)</f>
        <v/>
      </c>
      <c r="R505" s="195">
        <f>IF(B505="","",SQRT(P505^2+Q505^2))</f>
        <v/>
      </c>
      <c r="S505" s="195">
        <f>IF(B505="","",IF(P505&gt;0,DEGREES(ATAN(Q505/P505)),IF(P505&lt;0,IF(Q505&gt;=0,DEGREES(ATAN(Q505/P505))+180,DEGREES(ATAN(Q505/P505))-180),IF(Q505&gt;0,90,IF(Q505&lt;0,-90,0)))))</f>
        <v/>
      </c>
      <c r="T505" s="195">
        <f>IF(B505="","",LOG10(B505))</f>
        <v/>
      </c>
      <c r="U505" s="195">
        <f>IF(R505="","",LOG10(MAX(R505,1E-12)))</f>
        <v/>
      </c>
    </row>
    <row r="506">
      <c r="A506" t="n">
        <v>503</v>
      </c>
      <c r="B506" s="196">
        <f>IF(A506&lt;='入力・概要'!$B$40,10^(LOG10('入力・概要'!$B$38)+(A506-1)*(LOG10('入力・概要'!$B$39)-LOG10('入力・概要'!$B$38))/('入力・概要'!$B$40-1)),"")</f>
        <v/>
      </c>
      <c r="C506" s="195">
        <f>IF(B506="","",2*PI()*B506)</f>
        <v/>
      </c>
      <c r="D506" s="195">
        <f>IF(B506="","",ATANH(MIN(0.999999,(2*'入力・概要'!$B$17*'入力・概要'!$B$6)/'入力・概要'!$B$30))+'入力・概要'!$B$33*SQRT(B506/1E6)+(2*PI()*B506*'入力・概要'!$B$6/(299792458*'入力・概要'!$B$31))*'入力・概要'!$B$32/2)</f>
        <v/>
      </c>
      <c r="E506" s="195">
        <f>IF(B506="","",2*PI()*B506*'入力・概要'!$B$6/(299792458*'入力・概要'!$B$31))</f>
        <v/>
      </c>
      <c r="F506" s="195">
        <f>IF(B506="","",SINH(2*D506)/(COSH(2*D506)+COS(2*E506)))</f>
        <v/>
      </c>
      <c r="G506" s="195">
        <f>IF(B506="","",SIN(2*E506)/(COSH(2*D506)+COS(2*E506)))</f>
        <v/>
      </c>
      <c r="H506" s="195">
        <f>IF(B506="","",'入力・概要'!$B$34)</f>
        <v/>
      </c>
      <c r="I506" s="195">
        <f>IF(B506="","",C506*'入力・概要'!$B$35*1E-9)</f>
        <v/>
      </c>
      <c r="J506" s="195">
        <f>IF(B506="","",H506+'入力・概要'!$B$30*F506)</f>
        <v/>
      </c>
      <c r="K506" s="195">
        <f>IF(B506="","",I506+'入力・概要'!$B$30*G506)</f>
        <v/>
      </c>
      <c r="L506" s="195">
        <f>IF(B506="","",'入力・概要'!$B$30+H506*F506-I506*G506)</f>
        <v/>
      </c>
      <c r="M506" s="195">
        <f>IF(B506="","",H506*G506+I506*F506)</f>
        <v/>
      </c>
      <c r="N506" s="195">
        <f>IF(B506="","",'入力・概要'!$B$30*(J506*L506+K506*M506)/(L506^2+M506^2))</f>
        <v/>
      </c>
      <c r="O506" s="195">
        <f>IF(B506="","",'入力・概要'!$B$30*(K506*L506-J506*M506)/(L506^2+M506^2))</f>
        <v/>
      </c>
      <c r="P506" s="195">
        <f>IF(B506="","",N506+'入力・概要'!$B$36)</f>
        <v/>
      </c>
      <c r="Q506" s="195">
        <f>IF(B506="","",O506+C506*'入力・概要'!$B$37*1E-9)</f>
        <v/>
      </c>
      <c r="R506" s="195">
        <f>IF(B506="","",SQRT(P506^2+Q506^2))</f>
        <v/>
      </c>
      <c r="S506" s="195">
        <f>IF(B506="","",IF(P506&gt;0,DEGREES(ATAN(Q506/P506)),IF(P506&lt;0,IF(Q506&gt;=0,DEGREES(ATAN(Q506/P506))+180,DEGREES(ATAN(Q506/P506))-180),IF(Q506&gt;0,90,IF(Q506&lt;0,-90,0)))))</f>
        <v/>
      </c>
      <c r="T506" s="195">
        <f>IF(B506="","",LOG10(B506))</f>
        <v/>
      </c>
      <c r="U506" s="195">
        <f>IF(R506="","",LOG10(MAX(R506,1E-12)))</f>
        <v/>
      </c>
    </row>
    <row r="507">
      <c r="A507" t="n">
        <v>504</v>
      </c>
      <c r="B507" s="196">
        <f>IF(A507&lt;='入力・概要'!$B$40,10^(LOG10('入力・概要'!$B$38)+(A507-1)*(LOG10('入力・概要'!$B$39)-LOG10('入力・概要'!$B$38))/('入力・概要'!$B$40-1)),"")</f>
        <v/>
      </c>
      <c r="C507" s="195">
        <f>IF(B507="","",2*PI()*B507)</f>
        <v/>
      </c>
      <c r="D507" s="195">
        <f>IF(B507="","",ATANH(MIN(0.999999,(2*'入力・概要'!$B$17*'入力・概要'!$B$6)/'入力・概要'!$B$30))+'入力・概要'!$B$33*SQRT(B507/1E6)+(2*PI()*B507*'入力・概要'!$B$6/(299792458*'入力・概要'!$B$31))*'入力・概要'!$B$32/2)</f>
        <v/>
      </c>
      <c r="E507" s="195">
        <f>IF(B507="","",2*PI()*B507*'入力・概要'!$B$6/(299792458*'入力・概要'!$B$31))</f>
        <v/>
      </c>
      <c r="F507" s="195">
        <f>IF(B507="","",SINH(2*D507)/(COSH(2*D507)+COS(2*E507)))</f>
        <v/>
      </c>
      <c r="G507" s="195">
        <f>IF(B507="","",SIN(2*E507)/(COSH(2*D507)+COS(2*E507)))</f>
        <v/>
      </c>
      <c r="H507" s="195">
        <f>IF(B507="","",'入力・概要'!$B$34)</f>
        <v/>
      </c>
      <c r="I507" s="195">
        <f>IF(B507="","",C507*'入力・概要'!$B$35*1E-9)</f>
        <v/>
      </c>
      <c r="J507" s="195">
        <f>IF(B507="","",H507+'入力・概要'!$B$30*F507)</f>
        <v/>
      </c>
      <c r="K507" s="195">
        <f>IF(B507="","",I507+'入力・概要'!$B$30*G507)</f>
        <v/>
      </c>
      <c r="L507" s="195">
        <f>IF(B507="","",'入力・概要'!$B$30+H507*F507-I507*G507)</f>
        <v/>
      </c>
      <c r="M507" s="195">
        <f>IF(B507="","",H507*G507+I507*F507)</f>
        <v/>
      </c>
      <c r="N507" s="195">
        <f>IF(B507="","",'入力・概要'!$B$30*(J507*L507+K507*M507)/(L507^2+M507^2))</f>
        <v/>
      </c>
      <c r="O507" s="195">
        <f>IF(B507="","",'入力・概要'!$B$30*(K507*L507-J507*M507)/(L507^2+M507^2))</f>
        <v/>
      </c>
      <c r="P507" s="195">
        <f>IF(B507="","",N507+'入力・概要'!$B$36)</f>
        <v/>
      </c>
      <c r="Q507" s="195">
        <f>IF(B507="","",O507+C507*'入力・概要'!$B$37*1E-9)</f>
        <v/>
      </c>
      <c r="R507" s="195">
        <f>IF(B507="","",SQRT(P507^2+Q507^2))</f>
        <v/>
      </c>
      <c r="S507" s="195">
        <f>IF(B507="","",IF(P507&gt;0,DEGREES(ATAN(Q507/P507)),IF(P507&lt;0,IF(Q507&gt;=0,DEGREES(ATAN(Q507/P507))+180,DEGREES(ATAN(Q507/P507))-180),IF(Q507&gt;0,90,IF(Q507&lt;0,-90,0)))))</f>
        <v/>
      </c>
      <c r="T507" s="195">
        <f>IF(B507="","",LOG10(B507))</f>
        <v/>
      </c>
      <c r="U507" s="195">
        <f>IF(R507="","",LOG10(MAX(R507,1E-12)))</f>
        <v/>
      </c>
    </row>
    <row r="508">
      <c r="A508" t="n">
        <v>505</v>
      </c>
      <c r="B508" s="196">
        <f>IF(A508&lt;='入力・概要'!$B$40,10^(LOG10('入力・概要'!$B$38)+(A508-1)*(LOG10('入力・概要'!$B$39)-LOG10('入力・概要'!$B$38))/('入力・概要'!$B$40-1)),"")</f>
        <v/>
      </c>
      <c r="C508" s="195">
        <f>IF(B508="","",2*PI()*B508)</f>
        <v/>
      </c>
      <c r="D508" s="195">
        <f>IF(B508="","",ATANH(MIN(0.999999,(2*'入力・概要'!$B$17*'入力・概要'!$B$6)/'入力・概要'!$B$30))+'入力・概要'!$B$33*SQRT(B508/1E6)+(2*PI()*B508*'入力・概要'!$B$6/(299792458*'入力・概要'!$B$31))*'入力・概要'!$B$32/2)</f>
        <v/>
      </c>
      <c r="E508" s="195">
        <f>IF(B508="","",2*PI()*B508*'入力・概要'!$B$6/(299792458*'入力・概要'!$B$31))</f>
        <v/>
      </c>
      <c r="F508" s="195">
        <f>IF(B508="","",SINH(2*D508)/(COSH(2*D508)+COS(2*E508)))</f>
        <v/>
      </c>
      <c r="G508" s="195">
        <f>IF(B508="","",SIN(2*E508)/(COSH(2*D508)+COS(2*E508)))</f>
        <v/>
      </c>
      <c r="H508" s="195">
        <f>IF(B508="","",'入力・概要'!$B$34)</f>
        <v/>
      </c>
      <c r="I508" s="195">
        <f>IF(B508="","",C508*'入力・概要'!$B$35*1E-9)</f>
        <v/>
      </c>
      <c r="J508" s="195">
        <f>IF(B508="","",H508+'入力・概要'!$B$30*F508)</f>
        <v/>
      </c>
      <c r="K508" s="195">
        <f>IF(B508="","",I508+'入力・概要'!$B$30*G508)</f>
        <v/>
      </c>
      <c r="L508" s="195">
        <f>IF(B508="","",'入力・概要'!$B$30+H508*F508-I508*G508)</f>
        <v/>
      </c>
      <c r="M508" s="195">
        <f>IF(B508="","",H508*G508+I508*F508)</f>
        <v/>
      </c>
      <c r="N508" s="195">
        <f>IF(B508="","",'入力・概要'!$B$30*(J508*L508+K508*M508)/(L508^2+M508^2))</f>
        <v/>
      </c>
      <c r="O508" s="195">
        <f>IF(B508="","",'入力・概要'!$B$30*(K508*L508-J508*M508)/(L508^2+M508^2))</f>
        <v/>
      </c>
      <c r="P508" s="195">
        <f>IF(B508="","",N508+'入力・概要'!$B$36)</f>
        <v/>
      </c>
      <c r="Q508" s="195">
        <f>IF(B508="","",O508+C508*'入力・概要'!$B$37*1E-9)</f>
        <v/>
      </c>
      <c r="R508" s="195">
        <f>IF(B508="","",SQRT(P508^2+Q508^2))</f>
        <v/>
      </c>
      <c r="S508" s="195">
        <f>IF(B508="","",IF(P508&gt;0,DEGREES(ATAN(Q508/P508)),IF(P508&lt;0,IF(Q508&gt;=0,DEGREES(ATAN(Q508/P508))+180,DEGREES(ATAN(Q508/P508))-180),IF(Q508&gt;0,90,IF(Q508&lt;0,-90,0)))))</f>
        <v/>
      </c>
      <c r="T508" s="195">
        <f>IF(B508="","",LOG10(B508))</f>
        <v/>
      </c>
      <c r="U508" s="195">
        <f>IF(R508="","",LOG10(MAX(R508,1E-12)))</f>
        <v/>
      </c>
    </row>
    <row r="509">
      <c r="A509" t="n">
        <v>506</v>
      </c>
      <c r="B509" s="196">
        <f>IF(A509&lt;='入力・概要'!$B$40,10^(LOG10('入力・概要'!$B$38)+(A509-1)*(LOG10('入力・概要'!$B$39)-LOG10('入力・概要'!$B$38))/('入力・概要'!$B$40-1)),"")</f>
        <v/>
      </c>
      <c r="C509" s="195">
        <f>IF(B509="","",2*PI()*B509)</f>
        <v/>
      </c>
      <c r="D509" s="195">
        <f>IF(B509="","",ATANH(MIN(0.999999,(2*'入力・概要'!$B$17*'入力・概要'!$B$6)/'入力・概要'!$B$30))+'入力・概要'!$B$33*SQRT(B509/1E6)+(2*PI()*B509*'入力・概要'!$B$6/(299792458*'入力・概要'!$B$31))*'入力・概要'!$B$32/2)</f>
        <v/>
      </c>
      <c r="E509" s="195">
        <f>IF(B509="","",2*PI()*B509*'入力・概要'!$B$6/(299792458*'入力・概要'!$B$31))</f>
        <v/>
      </c>
      <c r="F509" s="195">
        <f>IF(B509="","",SINH(2*D509)/(COSH(2*D509)+COS(2*E509)))</f>
        <v/>
      </c>
      <c r="G509" s="195">
        <f>IF(B509="","",SIN(2*E509)/(COSH(2*D509)+COS(2*E509)))</f>
        <v/>
      </c>
      <c r="H509" s="195">
        <f>IF(B509="","",'入力・概要'!$B$34)</f>
        <v/>
      </c>
      <c r="I509" s="195">
        <f>IF(B509="","",C509*'入力・概要'!$B$35*1E-9)</f>
        <v/>
      </c>
      <c r="J509" s="195">
        <f>IF(B509="","",H509+'入力・概要'!$B$30*F509)</f>
        <v/>
      </c>
      <c r="K509" s="195">
        <f>IF(B509="","",I509+'入力・概要'!$B$30*G509)</f>
        <v/>
      </c>
      <c r="L509" s="195">
        <f>IF(B509="","",'入力・概要'!$B$30+H509*F509-I509*G509)</f>
        <v/>
      </c>
      <c r="M509" s="195">
        <f>IF(B509="","",H509*G509+I509*F509)</f>
        <v/>
      </c>
      <c r="N509" s="195">
        <f>IF(B509="","",'入力・概要'!$B$30*(J509*L509+K509*M509)/(L509^2+M509^2))</f>
        <v/>
      </c>
      <c r="O509" s="195">
        <f>IF(B509="","",'入力・概要'!$B$30*(K509*L509-J509*M509)/(L509^2+M509^2))</f>
        <v/>
      </c>
      <c r="P509" s="195">
        <f>IF(B509="","",N509+'入力・概要'!$B$36)</f>
        <v/>
      </c>
      <c r="Q509" s="195">
        <f>IF(B509="","",O509+C509*'入力・概要'!$B$37*1E-9)</f>
        <v/>
      </c>
      <c r="R509" s="195">
        <f>IF(B509="","",SQRT(P509^2+Q509^2))</f>
        <v/>
      </c>
      <c r="S509" s="195">
        <f>IF(B509="","",IF(P509&gt;0,DEGREES(ATAN(Q509/P509)),IF(P509&lt;0,IF(Q509&gt;=0,DEGREES(ATAN(Q509/P509))+180,DEGREES(ATAN(Q509/P509))-180),IF(Q509&gt;0,90,IF(Q509&lt;0,-90,0)))))</f>
        <v/>
      </c>
      <c r="T509" s="195">
        <f>IF(B509="","",LOG10(B509))</f>
        <v/>
      </c>
      <c r="U509" s="195">
        <f>IF(R509="","",LOG10(MAX(R509,1E-12)))</f>
        <v/>
      </c>
    </row>
    <row r="510">
      <c r="A510" t="n">
        <v>507</v>
      </c>
      <c r="B510" s="196">
        <f>IF(A510&lt;='入力・概要'!$B$40,10^(LOG10('入力・概要'!$B$38)+(A510-1)*(LOG10('入力・概要'!$B$39)-LOG10('入力・概要'!$B$38))/('入力・概要'!$B$40-1)),"")</f>
        <v/>
      </c>
      <c r="C510" s="195">
        <f>IF(B510="","",2*PI()*B510)</f>
        <v/>
      </c>
      <c r="D510" s="195">
        <f>IF(B510="","",ATANH(MIN(0.999999,(2*'入力・概要'!$B$17*'入力・概要'!$B$6)/'入力・概要'!$B$30))+'入力・概要'!$B$33*SQRT(B510/1E6)+(2*PI()*B510*'入力・概要'!$B$6/(299792458*'入力・概要'!$B$31))*'入力・概要'!$B$32/2)</f>
        <v/>
      </c>
      <c r="E510" s="195">
        <f>IF(B510="","",2*PI()*B510*'入力・概要'!$B$6/(299792458*'入力・概要'!$B$31))</f>
        <v/>
      </c>
      <c r="F510" s="195">
        <f>IF(B510="","",SINH(2*D510)/(COSH(2*D510)+COS(2*E510)))</f>
        <v/>
      </c>
      <c r="G510" s="195">
        <f>IF(B510="","",SIN(2*E510)/(COSH(2*D510)+COS(2*E510)))</f>
        <v/>
      </c>
      <c r="H510" s="195">
        <f>IF(B510="","",'入力・概要'!$B$34)</f>
        <v/>
      </c>
      <c r="I510" s="195">
        <f>IF(B510="","",C510*'入力・概要'!$B$35*1E-9)</f>
        <v/>
      </c>
      <c r="J510" s="195">
        <f>IF(B510="","",H510+'入力・概要'!$B$30*F510)</f>
        <v/>
      </c>
      <c r="K510" s="195">
        <f>IF(B510="","",I510+'入力・概要'!$B$30*G510)</f>
        <v/>
      </c>
      <c r="L510" s="195">
        <f>IF(B510="","",'入力・概要'!$B$30+H510*F510-I510*G510)</f>
        <v/>
      </c>
      <c r="M510" s="195">
        <f>IF(B510="","",H510*G510+I510*F510)</f>
        <v/>
      </c>
      <c r="N510" s="195">
        <f>IF(B510="","",'入力・概要'!$B$30*(J510*L510+K510*M510)/(L510^2+M510^2))</f>
        <v/>
      </c>
      <c r="O510" s="195">
        <f>IF(B510="","",'入力・概要'!$B$30*(K510*L510-J510*M510)/(L510^2+M510^2))</f>
        <v/>
      </c>
      <c r="P510" s="195">
        <f>IF(B510="","",N510+'入力・概要'!$B$36)</f>
        <v/>
      </c>
      <c r="Q510" s="195">
        <f>IF(B510="","",O510+C510*'入力・概要'!$B$37*1E-9)</f>
        <v/>
      </c>
      <c r="R510" s="195">
        <f>IF(B510="","",SQRT(P510^2+Q510^2))</f>
        <v/>
      </c>
      <c r="S510" s="195">
        <f>IF(B510="","",IF(P510&gt;0,DEGREES(ATAN(Q510/P510)),IF(P510&lt;0,IF(Q510&gt;=0,DEGREES(ATAN(Q510/P510))+180,DEGREES(ATAN(Q510/P510))-180),IF(Q510&gt;0,90,IF(Q510&lt;0,-90,0)))))</f>
        <v/>
      </c>
      <c r="T510" s="195">
        <f>IF(B510="","",LOG10(B510))</f>
        <v/>
      </c>
      <c r="U510" s="195">
        <f>IF(R510="","",LOG10(MAX(R510,1E-12)))</f>
        <v/>
      </c>
    </row>
    <row r="511">
      <c r="A511" t="n">
        <v>508</v>
      </c>
      <c r="B511" s="196">
        <f>IF(A511&lt;='入力・概要'!$B$40,10^(LOG10('入力・概要'!$B$38)+(A511-1)*(LOG10('入力・概要'!$B$39)-LOG10('入力・概要'!$B$38))/('入力・概要'!$B$40-1)),"")</f>
        <v/>
      </c>
      <c r="C511" s="195">
        <f>IF(B511="","",2*PI()*B511)</f>
        <v/>
      </c>
      <c r="D511" s="195">
        <f>IF(B511="","",ATANH(MIN(0.999999,(2*'入力・概要'!$B$17*'入力・概要'!$B$6)/'入力・概要'!$B$30))+'入力・概要'!$B$33*SQRT(B511/1E6)+(2*PI()*B511*'入力・概要'!$B$6/(299792458*'入力・概要'!$B$31))*'入力・概要'!$B$32/2)</f>
        <v/>
      </c>
      <c r="E511" s="195">
        <f>IF(B511="","",2*PI()*B511*'入力・概要'!$B$6/(299792458*'入力・概要'!$B$31))</f>
        <v/>
      </c>
      <c r="F511" s="195">
        <f>IF(B511="","",SINH(2*D511)/(COSH(2*D511)+COS(2*E511)))</f>
        <v/>
      </c>
      <c r="G511" s="195">
        <f>IF(B511="","",SIN(2*E511)/(COSH(2*D511)+COS(2*E511)))</f>
        <v/>
      </c>
      <c r="H511" s="195">
        <f>IF(B511="","",'入力・概要'!$B$34)</f>
        <v/>
      </c>
      <c r="I511" s="195">
        <f>IF(B511="","",C511*'入力・概要'!$B$35*1E-9)</f>
        <v/>
      </c>
      <c r="J511" s="195">
        <f>IF(B511="","",H511+'入力・概要'!$B$30*F511)</f>
        <v/>
      </c>
      <c r="K511" s="195">
        <f>IF(B511="","",I511+'入力・概要'!$B$30*G511)</f>
        <v/>
      </c>
      <c r="L511" s="195">
        <f>IF(B511="","",'入力・概要'!$B$30+H511*F511-I511*G511)</f>
        <v/>
      </c>
      <c r="M511" s="195">
        <f>IF(B511="","",H511*G511+I511*F511)</f>
        <v/>
      </c>
      <c r="N511" s="195">
        <f>IF(B511="","",'入力・概要'!$B$30*(J511*L511+K511*M511)/(L511^2+M511^2))</f>
        <v/>
      </c>
      <c r="O511" s="195">
        <f>IF(B511="","",'入力・概要'!$B$30*(K511*L511-J511*M511)/(L511^2+M511^2))</f>
        <v/>
      </c>
      <c r="P511" s="195">
        <f>IF(B511="","",N511+'入力・概要'!$B$36)</f>
        <v/>
      </c>
      <c r="Q511" s="195">
        <f>IF(B511="","",O511+C511*'入力・概要'!$B$37*1E-9)</f>
        <v/>
      </c>
      <c r="R511" s="195">
        <f>IF(B511="","",SQRT(P511^2+Q511^2))</f>
        <v/>
      </c>
      <c r="S511" s="195">
        <f>IF(B511="","",IF(P511&gt;0,DEGREES(ATAN(Q511/P511)),IF(P511&lt;0,IF(Q511&gt;=0,DEGREES(ATAN(Q511/P511))+180,DEGREES(ATAN(Q511/P511))-180),IF(Q511&gt;0,90,IF(Q511&lt;0,-90,0)))))</f>
        <v/>
      </c>
      <c r="T511" s="195">
        <f>IF(B511="","",LOG10(B511))</f>
        <v/>
      </c>
      <c r="U511" s="195">
        <f>IF(R511="","",LOG10(MAX(R511,1E-12)))</f>
        <v/>
      </c>
    </row>
    <row r="512">
      <c r="A512" t="n">
        <v>509</v>
      </c>
      <c r="B512" s="196">
        <f>IF(A512&lt;='入力・概要'!$B$40,10^(LOG10('入力・概要'!$B$38)+(A512-1)*(LOG10('入力・概要'!$B$39)-LOG10('入力・概要'!$B$38))/('入力・概要'!$B$40-1)),"")</f>
        <v/>
      </c>
      <c r="C512" s="195">
        <f>IF(B512="","",2*PI()*B512)</f>
        <v/>
      </c>
      <c r="D512" s="195">
        <f>IF(B512="","",ATANH(MIN(0.999999,(2*'入力・概要'!$B$17*'入力・概要'!$B$6)/'入力・概要'!$B$30))+'入力・概要'!$B$33*SQRT(B512/1E6)+(2*PI()*B512*'入力・概要'!$B$6/(299792458*'入力・概要'!$B$31))*'入力・概要'!$B$32/2)</f>
        <v/>
      </c>
      <c r="E512" s="195">
        <f>IF(B512="","",2*PI()*B512*'入力・概要'!$B$6/(299792458*'入力・概要'!$B$31))</f>
        <v/>
      </c>
      <c r="F512" s="195">
        <f>IF(B512="","",SINH(2*D512)/(COSH(2*D512)+COS(2*E512)))</f>
        <v/>
      </c>
      <c r="G512" s="195">
        <f>IF(B512="","",SIN(2*E512)/(COSH(2*D512)+COS(2*E512)))</f>
        <v/>
      </c>
      <c r="H512" s="195">
        <f>IF(B512="","",'入力・概要'!$B$34)</f>
        <v/>
      </c>
      <c r="I512" s="195">
        <f>IF(B512="","",C512*'入力・概要'!$B$35*1E-9)</f>
        <v/>
      </c>
      <c r="J512" s="195">
        <f>IF(B512="","",H512+'入力・概要'!$B$30*F512)</f>
        <v/>
      </c>
      <c r="K512" s="195">
        <f>IF(B512="","",I512+'入力・概要'!$B$30*G512)</f>
        <v/>
      </c>
      <c r="L512" s="195">
        <f>IF(B512="","",'入力・概要'!$B$30+H512*F512-I512*G512)</f>
        <v/>
      </c>
      <c r="M512" s="195">
        <f>IF(B512="","",H512*G512+I512*F512)</f>
        <v/>
      </c>
      <c r="N512" s="195">
        <f>IF(B512="","",'入力・概要'!$B$30*(J512*L512+K512*M512)/(L512^2+M512^2))</f>
        <v/>
      </c>
      <c r="O512" s="195">
        <f>IF(B512="","",'入力・概要'!$B$30*(K512*L512-J512*M512)/(L512^2+M512^2))</f>
        <v/>
      </c>
      <c r="P512" s="195">
        <f>IF(B512="","",N512+'入力・概要'!$B$36)</f>
        <v/>
      </c>
      <c r="Q512" s="195">
        <f>IF(B512="","",O512+C512*'入力・概要'!$B$37*1E-9)</f>
        <v/>
      </c>
      <c r="R512" s="195">
        <f>IF(B512="","",SQRT(P512^2+Q512^2))</f>
        <v/>
      </c>
      <c r="S512" s="195">
        <f>IF(B512="","",IF(P512&gt;0,DEGREES(ATAN(Q512/P512)),IF(P512&lt;0,IF(Q512&gt;=0,DEGREES(ATAN(Q512/P512))+180,DEGREES(ATAN(Q512/P512))-180),IF(Q512&gt;0,90,IF(Q512&lt;0,-90,0)))))</f>
        <v/>
      </c>
      <c r="T512" s="195">
        <f>IF(B512="","",LOG10(B512))</f>
        <v/>
      </c>
      <c r="U512" s="195">
        <f>IF(R512="","",LOG10(MAX(R512,1E-12)))</f>
        <v/>
      </c>
    </row>
    <row r="513">
      <c r="A513" t="n">
        <v>510</v>
      </c>
      <c r="B513" s="196">
        <f>IF(A513&lt;='入力・概要'!$B$40,10^(LOG10('入力・概要'!$B$38)+(A513-1)*(LOG10('入力・概要'!$B$39)-LOG10('入力・概要'!$B$38))/('入力・概要'!$B$40-1)),"")</f>
        <v/>
      </c>
      <c r="C513" s="195">
        <f>IF(B513="","",2*PI()*B513)</f>
        <v/>
      </c>
      <c r="D513" s="195">
        <f>IF(B513="","",ATANH(MIN(0.999999,(2*'入力・概要'!$B$17*'入力・概要'!$B$6)/'入力・概要'!$B$30))+'入力・概要'!$B$33*SQRT(B513/1E6)+(2*PI()*B513*'入力・概要'!$B$6/(299792458*'入力・概要'!$B$31))*'入力・概要'!$B$32/2)</f>
        <v/>
      </c>
      <c r="E513" s="195">
        <f>IF(B513="","",2*PI()*B513*'入力・概要'!$B$6/(299792458*'入力・概要'!$B$31))</f>
        <v/>
      </c>
      <c r="F513" s="195">
        <f>IF(B513="","",SINH(2*D513)/(COSH(2*D513)+COS(2*E513)))</f>
        <v/>
      </c>
      <c r="G513" s="195">
        <f>IF(B513="","",SIN(2*E513)/(COSH(2*D513)+COS(2*E513)))</f>
        <v/>
      </c>
      <c r="H513" s="195">
        <f>IF(B513="","",'入力・概要'!$B$34)</f>
        <v/>
      </c>
      <c r="I513" s="195">
        <f>IF(B513="","",C513*'入力・概要'!$B$35*1E-9)</f>
        <v/>
      </c>
      <c r="J513" s="195">
        <f>IF(B513="","",H513+'入力・概要'!$B$30*F513)</f>
        <v/>
      </c>
      <c r="K513" s="195">
        <f>IF(B513="","",I513+'入力・概要'!$B$30*G513)</f>
        <v/>
      </c>
      <c r="L513" s="195">
        <f>IF(B513="","",'入力・概要'!$B$30+H513*F513-I513*G513)</f>
        <v/>
      </c>
      <c r="M513" s="195">
        <f>IF(B513="","",H513*G513+I513*F513)</f>
        <v/>
      </c>
      <c r="N513" s="195">
        <f>IF(B513="","",'入力・概要'!$B$30*(J513*L513+K513*M513)/(L513^2+M513^2))</f>
        <v/>
      </c>
      <c r="O513" s="195">
        <f>IF(B513="","",'入力・概要'!$B$30*(K513*L513-J513*M513)/(L513^2+M513^2))</f>
        <v/>
      </c>
      <c r="P513" s="195">
        <f>IF(B513="","",N513+'入力・概要'!$B$36)</f>
        <v/>
      </c>
      <c r="Q513" s="195">
        <f>IF(B513="","",O513+C513*'入力・概要'!$B$37*1E-9)</f>
        <v/>
      </c>
      <c r="R513" s="195">
        <f>IF(B513="","",SQRT(P513^2+Q513^2))</f>
        <v/>
      </c>
      <c r="S513" s="195">
        <f>IF(B513="","",IF(P513&gt;0,DEGREES(ATAN(Q513/P513)),IF(P513&lt;0,IF(Q513&gt;=0,DEGREES(ATAN(Q513/P513))+180,DEGREES(ATAN(Q513/P513))-180),IF(Q513&gt;0,90,IF(Q513&lt;0,-90,0)))))</f>
        <v/>
      </c>
      <c r="T513" s="195">
        <f>IF(B513="","",LOG10(B513))</f>
        <v/>
      </c>
      <c r="U513" s="195">
        <f>IF(R513="","",LOG10(MAX(R513,1E-12)))</f>
        <v/>
      </c>
    </row>
    <row r="514">
      <c r="A514" t="n">
        <v>511</v>
      </c>
      <c r="B514" s="196">
        <f>IF(A514&lt;='入力・概要'!$B$40,10^(LOG10('入力・概要'!$B$38)+(A514-1)*(LOG10('入力・概要'!$B$39)-LOG10('入力・概要'!$B$38))/('入力・概要'!$B$40-1)),"")</f>
        <v/>
      </c>
      <c r="C514" s="195">
        <f>IF(B514="","",2*PI()*B514)</f>
        <v/>
      </c>
      <c r="D514" s="195">
        <f>IF(B514="","",ATANH(MIN(0.999999,(2*'入力・概要'!$B$17*'入力・概要'!$B$6)/'入力・概要'!$B$30))+'入力・概要'!$B$33*SQRT(B514/1E6)+(2*PI()*B514*'入力・概要'!$B$6/(299792458*'入力・概要'!$B$31))*'入力・概要'!$B$32/2)</f>
        <v/>
      </c>
      <c r="E514" s="195">
        <f>IF(B514="","",2*PI()*B514*'入力・概要'!$B$6/(299792458*'入力・概要'!$B$31))</f>
        <v/>
      </c>
      <c r="F514" s="195">
        <f>IF(B514="","",SINH(2*D514)/(COSH(2*D514)+COS(2*E514)))</f>
        <v/>
      </c>
      <c r="G514" s="195">
        <f>IF(B514="","",SIN(2*E514)/(COSH(2*D514)+COS(2*E514)))</f>
        <v/>
      </c>
      <c r="H514" s="195">
        <f>IF(B514="","",'入力・概要'!$B$34)</f>
        <v/>
      </c>
      <c r="I514" s="195">
        <f>IF(B514="","",C514*'入力・概要'!$B$35*1E-9)</f>
        <v/>
      </c>
      <c r="J514" s="195">
        <f>IF(B514="","",H514+'入力・概要'!$B$30*F514)</f>
        <v/>
      </c>
      <c r="K514" s="195">
        <f>IF(B514="","",I514+'入力・概要'!$B$30*G514)</f>
        <v/>
      </c>
      <c r="L514" s="195">
        <f>IF(B514="","",'入力・概要'!$B$30+H514*F514-I514*G514)</f>
        <v/>
      </c>
      <c r="M514" s="195">
        <f>IF(B514="","",H514*G514+I514*F514)</f>
        <v/>
      </c>
      <c r="N514" s="195">
        <f>IF(B514="","",'入力・概要'!$B$30*(J514*L514+K514*M514)/(L514^2+M514^2))</f>
        <v/>
      </c>
      <c r="O514" s="195">
        <f>IF(B514="","",'入力・概要'!$B$30*(K514*L514-J514*M514)/(L514^2+M514^2))</f>
        <v/>
      </c>
      <c r="P514" s="195">
        <f>IF(B514="","",N514+'入力・概要'!$B$36)</f>
        <v/>
      </c>
      <c r="Q514" s="195">
        <f>IF(B514="","",O514+C514*'入力・概要'!$B$37*1E-9)</f>
        <v/>
      </c>
      <c r="R514" s="195">
        <f>IF(B514="","",SQRT(P514^2+Q514^2))</f>
        <v/>
      </c>
      <c r="S514" s="195">
        <f>IF(B514="","",IF(P514&gt;0,DEGREES(ATAN(Q514/P514)),IF(P514&lt;0,IF(Q514&gt;=0,DEGREES(ATAN(Q514/P514))+180,DEGREES(ATAN(Q514/P514))-180),IF(Q514&gt;0,90,IF(Q514&lt;0,-90,0)))))</f>
        <v/>
      </c>
      <c r="T514" s="195">
        <f>IF(B514="","",LOG10(B514))</f>
        <v/>
      </c>
      <c r="U514" s="195">
        <f>IF(R514="","",LOG10(MAX(R514,1E-12)))</f>
        <v/>
      </c>
    </row>
    <row r="515">
      <c r="A515" t="n">
        <v>512</v>
      </c>
      <c r="B515" s="196">
        <f>IF(A515&lt;='入力・概要'!$B$40,10^(LOG10('入力・概要'!$B$38)+(A515-1)*(LOG10('入力・概要'!$B$39)-LOG10('入力・概要'!$B$38))/('入力・概要'!$B$40-1)),"")</f>
        <v/>
      </c>
      <c r="C515" s="195">
        <f>IF(B515="","",2*PI()*B515)</f>
        <v/>
      </c>
      <c r="D515" s="195">
        <f>IF(B515="","",ATANH(MIN(0.999999,(2*'入力・概要'!$B$17*'入力・概要'!$B$6)/'入力・概要'!$B$30))+'入力・概要'!$B$33*SQRT(B515/1E6)+(2*PI()*B515*'入力・概要'!$B$6/(299792458*'入力・概要'!$B$31))*'入力・概要'!$B$32/2)</f>
        <v/>
      </c>
      <c r="E515" s="195">
        <f>IF(B515="","",2*PI()*B515*'入力・概要'!$B$6/(299792458*'入力・概要'!$B$31))</f>
        <v/>
      </c>
      <c r="F515" s="195">
        <f>IF(B515="","",SINH(2*D515)/(COSH(2*D515)+COS(2*E515)))</f>
        <v/>
      </c>
      <c r="G515" s="195">
        <f>IF(B515="","",SIN(2*E515)/(COSH(2*D515)+COS(2*E515)))</f>
        <v/>
      </c>
      <c r="H515" s="195">
        <f>IF(B515="","",'入力・概要'!$B$34)</f>
        <v/>
      </c>
      <c r="I515" s="195">
        <f>IF(B515="","",C515*'入力・概要'!$B$35*1E-9)</f>
        <v/>
      </c>
      <c r="J515" s="195">
        <f>IF(B515="","",H515+'入力・概要'!$B$30*F515)</f>
        <v/>
      </c>
      <c r="K515" s="195">
        <f>IF(B515="","",I515+'入力・概要'!$B$30*G515)</f>
        <v/>
      </c>
      <c r="L515" s="195">
        <f>IF(B515="","",'入力・概要'!$B$30+H515*F515-I515*G515)</f>
        <v/>
      </c>
      <c r="M515" s="195">
        <f>IF(B515="","",H515*G515+I515*F515)</f>
        <v/>
      </c>
      <c r="N515" s="195">
        <f>IF(B515="","",'入力・概要'!$B$30*(J515*L515+K515*M515)/(L515^2+M515^2))</f>
        <v/>
      </c>
      <c r="O515" s="195">
        <f>IF(B515="","",'入力・概要'!$B$30*(K515*L515-J515*M515)/(L515^2+M515^2))</f>
        <v/>
      </c>
      <c r="P515" s="195">
        <f>IF(B515="","",N515+'入力・概要'!$B$36)</f>
        <v/>
      </c>
      <c r="Q515" s="195">
        <f>IF(B515="","",O515+C515*'入力・概要'!$B$37*1E-9)</f>
        <v/>
      </c>
      <c r="R515" s="195">
        <f>IF(B515="","",SQRT(P515^2+Q515^2))</f>
        <v/>
      </c>
      <c r="S515" s="195">
        <f>IF(B515="","",IF(P515&gt;0,DEGREES(ATAN(Q515/P515)),IF(P515&lt;0,IF(Q515&gt;=0,DEGREES(ATAN(Q515/P515))+180,DEGREES(ATAN(Q515/P515))-180),IF(Q515&gt;0,90,IF(Q515&lt;0,-90,0)))))</f>
        <v/>
      </c>
      <c r="T515" s="195">
        <f>IF(B515="","",LOG10(B515))</f>
        <v/>
      </c>
      <c r="U515" s="195">
        <f>IF(R515="","",LOG10(MAX(R515,1E-12)))</f>
        <v/>
      </c>
    </row>
    <row r="516">
      <c r="A516" t="n">
        <v>513</v>
      </c>
      <c r="B516" s="196">
        <f>IF(A516&lt;='入力・概要'!$B$40,10^(LOG10('入力・概要'!$B$38)+(A516-1)*(LOG10('入力・概要'!$B$39)-LOG10('入力・概要'!$B$38))/('入力・概要'!$B$40-1)),"")</f>
        <v/>
      </c>
      <c r="C516" s="195">
        <f>IF(B516="","",2*PI()*B516)</f>
        <v/>
      </c>
      <c r="D516" s="195">
        <f>IF(B516="","",ATANH(MIN(0.999999,(2*'入力・概要'!$B$17*'入力・概要'!$B$6)/'入力・概要'!$B$30))+'入力・概要'!$B$33*SQRT(B516/1E6)+(2*PI()*B516*'入力・概要'!$B$6/(299792458*'入力・概要'!$B$31))*'入力・概要'!$B$32/2)</f>
        <v/>
      </c>
      <c r="E516" s="195">
        <f>IF(B516="","",2*PI()*B516*'入力・概要'!$B$6/(299792458*'入力・概要'!$B$31))</f>
        <v/>
      </c>
      <c r="F516" s="195">
        <f>IF(B516="","",SINH(2*D516)/(COSH(2*D516)+COS(2*E516)))</f>
        <v/>
      </c>
      <c r="G516" s="195">
        <f>IF(B516="","",SIN(2*E516)/(COSH(2*D516)+COS(2*E516)))</f>
        <v/>
      </c>
      <c r="H516" s="195">
        <f>IF(B516="","",'入力・概要'!$B$34)</f>
        <v/>
      </c>
      <c r="I516" s="195">
        <f>IF(B516="","",C516*'入力・概要'!$B$35*1E-9)</f>
        <v/>
      </c>
      <c r="J516" s="195">
        <f>IF(B516="","",H516+'入力・概要'!$B$30*F516)</f>
        <v/>
      </c>
      <c r="K516" s="195">
        <f>IF(B516="","",I516+'入力・概要'!$B$30*G516)</f>
        <v/>
      </c>
      <c r="L516" s="195">
        <f>IF(B516="","",'入力・概要'!$B$30+H516*F516-I516*G516)</f>
        <v/>
      </c>
      <c r="M516" s="195">
        <f>IF(B516="","",H516*G516+I516*F516)</f>
        <v/>
      </c>
      <c r="N516" s="195">
        <f>IF(B516="","",'入力・概要'!$B$30*(J516*L516+K516*M516)/(L516^2+M516^2))</f>
        <v/>
      </c>
      <c r="O516" s="195">
        <f>IF(B516="","",'入力・概要'!$B$30*(K516*L516-J516*M516)/(L516^2+M516^2))</f>
        <v/>
      </c>
      <c r="P516" s="195">
        <f>IF(B516="","",N516+'入力・概要'!$B$36)</f>
        <v/>
      </c>
      <c r="Q516" s="195">
        <f>IF(B516="","",O516+C516*'入力・概要'!$B$37*1E-9)</f>
        <v/>
      </c>
      <c r="R516" s="195">
        <f>IF(B516="","",SQRT(P516^2+Q516^2))</f>
        <v/>
      </c>
      <c r="S516" s="195">
        <f>IF(B516="","",IF(P516&gt;0,DEGREES(ATAN(Q516/P516)),IF(P516&lt;0,IF(Q516&gt;=0,DEGREES(ATAN(Q516/P516))+180,DEGREES(ATAN(Q516/P516))-180),IF(Q516&gt;0,90,IF(Q516&lt;0,-90,0)))))</f>
        <v/>
      </c>
      <c r="T516" s="195">
        <f>IF(B516="","",LOG10(B516))</f>
        <v/>
      </c>
      <c r="U516" s="195">
        <f>IF(R516="","",LOG10(MAX(R516,1E-12)))</f>
        <v/>
      </c>
    </row>
    <row r="517">
      <c r="A517" t="n">
        <v>514</v>
      </c>
      <c r="B517" s="196">
        <f>IF(A517&lt;='入力・概要'!$B$40,10^(LOG10('入力・概要'!$B$38)+(A517-1)*(LOG10('入力・概要'!$B$39)-LOG10('入力・概要'!$B$38))/('入力・概要'!$B$40-1)),"")</f>
        <v/>
      </c>
      <c r="C517" s="195">
        <f>IF(B517="","",2*PI()*B517)</f>
        <v/>
      </c>
      <c r="D517" s="195">
        <f>IF(B517="","",ATANH(MIN(0.999999,(2*'入力・概要'!$B$17*'入力・概要'!$B$6)/'入力・概要'!$B$30))+'入力・概要'!$B$33*SQRT(B517/1E6)+(2*PI()*B517*'入力・概要'!$B$6/(299792458*'入力・概要'!$B$31))*'入力・概要'!$B$32/2)</f>
        <v/>
      </c>
      <c r="E517" s="195">
        <f>IF(B517="","",2*PI()*B517*'入力・概要'!$B$6/(299792458*'入力・概要'!$B$31))</f>
        <v/>
      </c>
      <c r="F517" s="195">
        <f>IF(B517="","",SINH(2*D517)/(COSH(2*D517)+COS(2*E517)))</f>
        <v/>
      </c>
      <c r="G517" s="195">
        <f>IF(B517="","",SIN(2*E517)/(COSH(2*D517)+COS(2*E517)))</f>
        <v/>
      </c>
      <c r="H517" s="195">
        <f>IF(B517="","",'入力・概要'!$B$34)</f>
        <v/>
      </c>
      <c r="I517" s="195">
        <f>IF(B517="","",C517*'入力・概要'!$B$35*1E-9)</f>
        <v/>
      </c>
      <c r="J517" s="195">
        <f>IF(B517="","",H517+'入力・概要'!$B$30*F517)</f>
        <v/>
      </c>
      <c r="K517" s="195">
        <f>IF(B517="","",I517+'入力・概要'!$B$30*G517)</f>
        <v/>
      </c>
      <c r="L517" s="195">
        <f>IF(B517="","",'入力・概要'!$B$30+H517*F517-I517*G517)</f>
        <v/>
      </c>
      <c r="M517" s="195">
        <f>IF(B517="","",H517*G517+I517*F517)</f>
        <v/>
      </c>
      <c r="N517" s="195">
        <f>IF(B517="","",'入力・概要'!$B$30*(J517*L517+K517*M517)/(L517^2+M517^2))</f>
        <v/>
      </c>
      <c r="O517" s="195">
        <f>IF(B517="","",'入力・概要'!$B$30*(K517*L517-J517*M517)/(L517^2+M517^2))</f>
        <v/>
      </c>
      <c r="P517" s="195">
        <f>IF(B517="","",N517+'入力・概要'!$B$36)</f>
        <v/>
      </c>
      <c r="Q517" s="195">
        <f>IF(B517="","",O517+C517*'入力・概要'!$B$37*1E-9)</f>
        <v/>
      </c>
      <c r="R517" s="195">
        <f>IF(B517="","",SQRT(P517^2+Q517^2))</f>
        <v/>
      </c>
      <c r="S517" s="195">
        <f>IF(B517="","",IF(P517&gt;0,DEGREES(ATAN(Q517/P517)),IF(P517&lt;0,IF(Q517&gt;=0,DEGREES(ATAN(Q517/P517))+180,DEGREES(ATAN(Q517/P517))-180),IF(Q517&gt;0,90,IF(Q517&lt;0,-90,0)))))</f>
        <v/>
      </c>
      <c r="T517" s="195">
        <f>IF(B517="","",LOG10(B517))</f>
        <v/>
      </c>
      <c r="U517" s="195">
        <f>IF(R517="","",LOG10(MAX(R517,1E-12)))</f>
        <v/>
      </c>
    </row>
    <row r="518">
      <c r="A518" t="n">
        <v>515</v>
      </c>
      <c r="B518" s="196">
        <f>IF(A518&lt;='入力・概要'!$B$40,10^(LOG10('入力・概要'!$B$38)+(A518-1)*(LOG10('入力・概要'!$B$39)-LOG10('入力・概要'!$B$38))/('入力・概要'!$B$40-1)),"")</f>
        <v/>
      </c>
      <c r="C518" s="195">
        <f>IF(B518="","",2*PI()*B518)</f>
        <v/>
      </c>
      <c r="D518" s="195">
        <f>IF(B518="","",ATANH(MIN(0.999999,(2*'入力・概要'!$B$17*'入力・概要'!$B$6)/'入力・概要'!$B$30))+'入力・概要'!$B$33*SQRT(B518/1E6)+(2*PI()*B518*'入力・概要'!$B$6/(299792458*'入力・概要'!$B$31))*'入力・概要'!$B$32/2)</f>
        <v/>
      </c>
      <c r="E518" s="195">
        <f>IF(B518="","",2*PI()*B518*'入力・概要'!$B$6/(299792458*'入力・概要'!$B$31))</f>
        <v/>
      </c>
      <c r="F518" s="195">
        <f>IF(B518="","",SINH(2*D518)/(COSH(2*D518)+COS(2*E518)))</f>
        <v/>
      </c>
      <c r="G518" s="195">
        <f>IF(B518="","",SIN(2*E518)/(COSH(2*D518)+COS(2*E518)))</f>
        <v/>
      </c>
      <c r="H518" s="195">
        <f>IF(B518="","",'入力・概要'!$B$34)</f>
        <v/>
      </c>
      <c r="I518" s="195">
        <f>IF(B518="","",C518*'入力・概要'!$B$35*1E-9)</f>
        <v/>
      </c>
      <c r="J518" s="195">
        <f>IF(B518="","",H518+'入力・概要'!$B$30*F518)</f>
        <v/>
      </c>
      <c r="K518" s="195">
        <f>IF(B518="","",I518+'入力・概要'!$B$30*G518)</f>
        <v/>
      </c>
      <c r="L518" s="195">
        <f>IF(B518="","",'入力・概要'!$B$30+H518*F518-I518*G518)</f>
        <v/>
      </c>
      <c r="M518" s="195">
        <f>IF(B518="","",H518*G518+I518*F518)</f>
        <v/>
      </c>
      <c r="N518" s="195">
        <f>IF(B518="","",'入力・概要'!$B$30*(J518*L518+K518*M518)/(L518^2+M518^2))</f>
        <v/>
      </c>
      <c r="O518" s="195">
        <f>IF(B518="","",'入力・概要'!$B$30*(K518*L518-J518*M518)/(L518^2+M518^2))</f>
        <v/>
      </c>
      <c r="P518" s="195">
        <f>IF(B518="","",N518+'入力・概要'!$B$36)</f>
        <v/>
      </c>
      <c r="Q518" s="195">
        <f>IF(B518="","",O518+C518*'入力・概要'!$B$37*1E-9)</f>
        <v/>
      </c>
      <c r="R518" s="195">
        <f>IF(B518="","",SQRT(P518^2+Q518^2))</f>
        <v/>
      </c>
      <c r="S518" s="195">
        <f>IF(B518="","",IF(P518&gt;0,DEGREES(ATAN(Q518/P518)),IF(P518&lt;0,IF(Q518&gt;=0,DEGREES(ATAN(Q518/P518))+180,DEGREES(ATAN(Q518/P518))-180),IF(Q518&gt;0,90,IF(Q518&lt;0,-90,0)))))</f>
        <v/>
      </c>
      <c r="T518" s="195">
        <f>IF(B518="","",LOG10(B518))</f>
        <v/>
      </c>
      <c r="U518" s="195">
        <f>IF(R518="","",LOG10(MAX(R518,1E-12)))</f>
        <v/>
      </c>
    </row>
    <row r="519">
      <c r="A519" t="n">
        <v>516</v>
      </c>
      <c r="B519" s="196">
        <f>IF(A519&lt;='入力・概要'!$B$40,10^(LOG10('入力・概要'!$B$38)+(A519-1)*(LOG10('入力・概要'!$B$39)-LOG10('入力・概要'!$B$38))/('入力・概要'!$B$40-1)),"")</f>
        <v/>
      </c>
      <c r="C519" s="195">
        <f>IF(B519="","",2*PI()*B519)</f>
        <v/>
      </c>
      <c r="D519" s="195">
        <f>IF(B519="","",ATANH(MIN(0.999999,(2*'入力・概要'!$B$17*'入力・概要'!$B$6)/'入力・概要'!$B$30))+'入力・概要'!$B$33*SQRT(B519/1E6)+(2*PI()*B519*'入力・概要'!$B$6/(299792458*'入力・概要'!$B$31))*'入力・概要'!$B$32/2)</f>
        <v/>
      </c>
      <c r="E519" s="195">
        <f>IF(B519="","",2*PI()*B519*'入力・概要'!$B$6/(299792458*'入力・概要'!$B$31))</f>
        <v/>
      </c>
      <c r="F519" s="195">
        <f>IF(B519="","",SINH(2*D519)/(COSH(2*D519)+COS(2*E519)))</f>
        <v/>
      </c>
      <c r="G519" s="195">
        <f>IF(B519="","",SIN(2*E519)/(COSH(2*D519)+COS(2*E519)))</f>
        <v/>
      </c>
      <c r="H519" s="195">
        <f>IF(B519="","",'入力・概要'!$B$34)</f>
        <v/>
      </c>
      <c r="I519" s="195">
        <f>IF(B519="","",C519*'入力・概要'!$B$35*1E-9)</f>
        <v/>
      </c>
      <c r="J519" s="195">
        <f>IF(B519="","",H519+'入力・概要'!$B$30*F519)</f>
        <v/>
      </c>
      <c r="K519" s="195">
        <f>IF(B519="","",I519+'入力・概要'!$B$30*G519)</f>
        <v/>
      </c>
      <c r="L519" s="195">
        <f>IF(B519="","",'入力・概要'!$B$30+H519*F519-I519*G519)</f>
        <v/>
      </c>
      <c r="M519" s="195">
        <f>IF(B519="","",H519*G519+I519*F519)</f>
        <v/>
      </c>
      <c r="N519" s="195">
        <f>IF(B519="","",'入力・概要'!$B$30*(J519*L519+K519*M519)/(L519^2+M519^2))</f>
        <v/>
      </c>
      <c r="O519" s="195">
        <f>IF(B519="","",'入力・概要'!$B$30*(K519*L519-J519*M519)/(L519^2+M519^2))</f>
        <v/>
      </c>
      <c r="P519" s="195">
        <f>IF(B519="","",N519+'入力・概要'!$B$36)</f>
        <v/>
      </c>
      <c r="Q519" s="195">
        <f>IF(B519="","",O519+C519*'入力・概要'!$B$37*1E-9)</f>
        <v/>
      </c>
      <c r="R519" s="195">
        <f>IF(B519="","",SQRT(P519^2+Q519^2))</f>
        <v/>
      </c>
      <c r="S519" s="195">
        <f>IF(B519="","",IF(P519&gt;0,DEGREES(ATAN(Q519/P519)),IF(P519&lt;0,IF(Q519&gt;=0,DEGREES(ATAN(Q519/P519))+180,DEGREES(ATAN(Q519/P519))-180),IF(Q519&gt;0,90,IF(Q519&lt;0,-90,0)))))</f>
        <v/>
      </c>
      <c r="T519" s="195">
        <f>IF(B519="","",LOG10(B519))</f>
        <v/>
      </c>
      <c r="U519" s="195">
        <f>IF(R519="","",LOG10(MAX(R519,1E-12)))</f>
        <v/>
      </c>
    </row>
    <row r="520">
      <c r="A520" t="n">
        <v>517</v>
      </c>
      <c r="B520" s="196">
        <f>IF(A520&lt;='入力・概要'!$B$40,10^(LOG10('入力・概要'!$B$38)+(A520-1)*(LOG10('入力・概要'!$B$39)-LOG10('入力・概要'!$B$38))/('入力・概要'!$B$40-1)),"")</f>
        <v/>
      </c>
      <c r="C520" s="195">
        <f>IF(B520="","",2*PI()*B520)</f>
        <v/>
      </c>
      <c r="D520" s="195">
        <f>IF(B520="","",ATANH(MIN(0.999999,(2*'入力・概要'!$B$17*'入力・概要'!$B$6)/'入力・概要'!$B$30))+'入力・概要'!$B$33*SQRT(B520/1E6)+(2*PI()*B520*'入力・概要'!$B$6/(299792458*'入力・概要'!$B$31))*'入力・概要'!$B$32/2)</f>
        <v/>
      </c>
      <c r="E520" s="195">
        <f>IF(B520="","",2*PI()*B520*'入力・概要'!$B$6/(299792458*'入力・概要'!$B$31))</f>
        <v/>
      </c>
      <c r="F520" s="195">
        <f>IF(B520="","",SINH(2*D520)/(COSH(2*D520)+COS(2*E520)))</f>
        <v/>
      </c>
      <c r="G520" s="195">
        <f>IF(B520="","",SIN(2*E520)/(COSH(2*D520)+COS(2*E520)))</f>
        <v/>
      </c>
      <c r="H520" s="195">
        <f>IF(B520="","",'入力・概要'!$B$34)</f>
        <v/>
      </c>
      <c r="I520" s="195">
        <f>IF(B520="","",C520*'入力・概要'!$B$35*1E-9)</f>
        <v/>
      </c>
      <c r="J520" s="195">
        <f>IF(B520="","",H520+'入力・概要'!$B$30*F520)</f>
        <v/>
      </c>
      <c r="K520" s="195">
        <f>IF(B520="","",I520+'入力・概要'!$B$30*G520)</f>
        <v/>
      </c>
      <c r="L520" s="195">
        <f>IF(B520="","",'入力・概要'!$B$30+H520*F520-I520*G520)</f>
        <v/>
      </c>
      <c r="M520" s="195">
        <f>IF(B520="","",H520*G520+I520*F520)</f>
        <v/>
      </c>
      <c r="N520" s="195">
        <f>IF(B520="","",'入力・概要'!$B$30*(J520*L520+K520*M520)/(L520^2+M520^2))</f>
        <v/>
      </c>
      <c r="O520" s="195">
        <f>IF(B520="","",'入力・概要'!$B$30*(K520*L520-J520*M520)/(L520^2+M520^2))</f>
        <v/>
      </c>
      <c r="P520" s="195">
        <f>IF(B520="","",N520+'入力・概要'!$B$36)</f>
        <v/>
      </c>
      <c r="Q520" s="195">
        <f>IF(B520="","",O520+C520*'入力・概要'!$B$37*1E-9)</f>
        <v/>
      </c>
      <c r="R520" s="195">
        <f>IF(B520="","",SQRT(P520^2+Q520^2))</f>
        <v/>
      </c>
      <c r="S520" s="195">
        <f>IF(B520="","",IF(P520&gt;0,DEGREES(ATAN(Q520/P520)),IF(P520&lt;0,IF(Q520&gt;=0,DEGREES(ATAN(Q520/P520))+180,DEGREES(ATAN(Q520/P520))-180),IF(Q520&gt;0,90,IF(Q520&lt;0,-90,0)))))</f>
        <v/>
      </c>
      <c r="T520" s="195">
        <f>IF(B520="","",LOG10(B520))</f>
        <v/>
      </c>
      <c r="U520" s="195">
        <f>IF(R520="","",LOG10(MAX(R520,1E-12)))</f>
        <v/>
      </c>
    </row>
    <row r="521">
      <c r="A521" t="n">
        <v>518</v>
      </c>
      <c r="B521" s="196">
        <f>IF(A521&lt;='入力・概要'!$B$40,10^(LOG10('入力・概要'!$B$38)+(A521-1)*(LOG10('入力・概要'!$B$39)-LOG10('入力・概要'!$B$38))/('入力・概要'!$B$40-1)),"")</f>
        <v/>
      </c>
      <c r="C521" s="195">
        <f>IF(B521="","",2*PI()*B521)</f>
        <v/>
      </c>
      <c r="D521" s="195">
        <f>IF(B521="","",ATANH(MIN(0.999999,(2*'入力・概要'!$B$17*'入力・概要'!$B$6)/'入力・概要'!$B$30))+'入力・概要'!$B$33*SQRT(B521/1E6)+(2*PI()*B521*'入力・概要'!$B$6/(299792458*'入力・概要'!$B$31))*'入力・概要'!$B$32/2)</f>
        <v/>
      </c>
      <c r="E521" s="195">
        <f>IF(B521="","",2*PI()*B521*'入力・概要'!$B$6/(299792458*'入力・概要'!$B$31))</f>
        <v/>
      </c>
      <c r="F521" s="195">
        <f>IF(B521="","",SINH(2*D521)/(COSH(2*D521)+COS(2*E521)))</f>
        <v/>
      </c>
      <c r="G521" s="195">
        <f>IF(B521="","",SIN(2*E521)/(COSH(2*D521)+COS(2*E521)))</f>
        <v/>
      </c>
      <c r="H521" s="195">
        <f>IF(B521="","",'入力・概要'!$B$34)</f>
        <v/>
      </c>
      <c r="I521" s="195">
        <f>IF(B521="","",C521*'入力・概要'!$B$35*1E-9)</f>
        <v/>
      </c>
      <c r="J521" s="195">
        <f>IF(B521="","",H521+'入力・概要'!$B$30*F521)</f>
        <v/>
      </c>
      <c r="K521" s="195">
        <f>IF(B521="","",I521+'入力・概要'!$B$30*G521)</f>
        <v/>
      </c>
      <c r="L521" s="195">
        <f>IF(B521="","",'入力・概要'!$B$30+H521*F521-I521*G521)</f>
        <v/>
      </c>
      <c r="M521" s="195">
        <f>IF(B521="","",H521*G521+I521*F521)</f>
        <v/>
      </c>
      <c r="N521" s="195">
        <f>IF(B521="","",'入力・概要'!$B$30*(J521*L521+K521*M521)/(L521^2+M521^2))</f>
        <v/>
      </c>
      <c r="O521" s="195">
        <f>IF(B521="","",'入力・概要'!$B$30*(K521*L521-J521*M521)/(L521^2+M521^2))</f>
        <v/>
      </c>
      <c r="P521" s="195">
        <f>IF(B521="","",N521+'入力・概要'!$B$36)</f>
        <v/>
      </c>
      <c r="Q521" s="195">
        <f>IF(B521="","",O521+C521*'入力・概要'!$B$37*1E-9)</f>
        <v/>
      </c>
      <c r="R521" s="195">
        <f>IF(B521="","",SQRT(P521^2+Q521^2))</f>
        <v/>
      </c>
      <c r="S521" s="195">
        <f>IF(B521="","",IF(P521&gt;0,DEGREES(ATAN(Q521/P521)),IF(P521&lt;0,IF(Q521&gt;=0,DEGREES(ATAN(Q521/P521))+180,DEGREES(ATAN(Q521/P521))-180),IF(Q521&gt;0,90,IF(Q521&lt;0,-90,0)))))</f>
        <v/>
      </c>
      <c r="T521" s="195">
        <f>IF(B521="","",LOG10(B521))</f>
        <v/>
      </c>
      <c r="U521" s="195">
        <f>IF(R521="","",LOG10(MAX(R521,1E-12)))</f>
        <v/>
      </c>
    </row>
    <row r="522">
      <c r="A522" t="n">
        <v>519</v>
      </c>
      <c r="B522" s="196">
        <f>IF(A522&lt;='入力・概要'!$B$40,10^(LOG10('入力・概要'!$B$38)+(A522-1)*(LOG10('入力・概要'!$B$39)-LOG10('入力・概要'!$B$38))/('入力・概要'!$B$40-1)),"")</f>
        <v/>
      </c>
      <c r="C522" s="195">
        <f>IF(B522="","",2*PI()*B522)</f>
        <v/>
      </c>
      <c r="D522" s="195">
        <f>IF(B522="","",ATANH(MIN(0.999999,(2*'入力・概要'!$B$17*'入力・概要'!$B$6)/'入力・概要'!$B$30))+'入力・概要'!$B$33*SQRT(B522/1E6)+(2*PI()*B522*'入力・概要'!$B$6/(299792458*'入力・概要'!$B$31))*'入力・概要'!$B$32/2)</f>
        <v/>
      </c>
      <c r="E522" s="195">
        <f>IF(B522="","",2*PI()*B522*'入力・概要'!$B$6/(299792458*'入力・概要'!$B$31))</f>
        <v/>
      </c>
      <c r="F522" s="195">
        <f>IF(B522="","",SINH(2*D522)/(COSH(2*D522)+COS(2*E522)))</f>
        <v/>
      </c>
      <c r="G522" s="195">
        <f>IF(B522="","",SIN(2*E522)/(COSH(2*D522)+COS(2*E522)))</f>
        <v/>
      </c>
      <c r="H522" s="195">
        <f>IF(B522="","",'入力・概要'!$B$34)</f>
        <v/>
      </c>
      <c r="I522" s="195">
        <f>IF(B522="","",C522*'入力・概要'!$B$35*1E-9)</f>
        <v/>
      </c>
      <c r="J522" s="195">
        <f>IF(B522="","",H522+'入力・概要'!$B$30*F522)</f>
        <v/>
      </c>
      <c r="K522" s="195">
        <f>IF(B522="","",I522+'入力・概要'!$B$30*G522)</f>
        <v/>
      </c>
      <c r="L522" s="195">
        <f>IF(B522="","",'入力・概要'!$B$30+H522*F522-I522*G522)</f>
        <v/>
      </c>
      <c r="M522" s="195">
        <f>IF(B522="","",H522*G522+I522*F522)</f>
        <v/>
      </c>
      <c r="N522" s="195">
        <f>IF(B522="","",'入力・概要'!$B$30*(J522*L522+K522*M522)/(L522^2+M522^2))</f>
        <v/>
      </c>
      <c r="O522" s="195">
        <f>IF(B522="","",'入力・概要'!$B$30*(K522*L522-J522*M522)/(L522^2+M522^2))</f>
        <v/>
      </c>
      <c r="P522" s="195">
        <f>IF(B522="","",N522+'入力・概要'!$B$36)</f>
        <v/>
      </c>
      <c r="Q522" s="195">
        <f>IF(B522="","",O522+C522*'入力・概要'!$B$37*1E-9)</f>
        <v/>
      </c>
      <c r="R522" s="195">
        <f>IF(B522="","",SQRT(P522^2+Q522^2))</f>
        <v/>
      </c>
      <c r="S522" s="195">
        <f>IF(B522="","",IF(P522&gt;0,DEGREES(ATAN(Q522/P522)),IF(P522&lt;0,IF(Q522&gt;=0,DEGREES(ATAN(Q522/P522))+180,DEGREES(ATAN(Q522/P522))-180),IF(Q522&gt;0,90,IF(Q522&lt;0,-90,0)))))</f>
        <v/>
      </c>
      <c r="T522" s="195">
        <f>IF(B522="","",LOG10(B522))</f>
        <v/>
      </c>
      <c r="U522" s="195">
        <f>IF(R522="","",LOG10(MAX(R522,1E-12)))</f>
        <v/>
      </c>
    </row>
    <row r="523">
      <c r="A523" t="n">
        <v>520</v>
      </c>
      <c r="B523" s="196">
        <f>IF(A523&lt;='入力・概要'!$B$40,10^(LOG10('入力・概要'!$B$38)+(A523-1)*(LOG10('入力・概要'!$B$39)-LOG10('入力・概要'!$B$38))/('入力・概要'!$B$40-1)),"")</f>
        <v/>
      </c>
      <c r="C523" s="195">
        <f>IF(B523="","",2*PI()*B523)</f>
        <v/>
      </c>
      <c r="D523" s="195">
        <f>IF(B523="","",ATANH(MIN(0.999999,(2*'入力・概要'!$B$17*'入力・概要'!$B$6)/'入力・概要'!$B$30))+'入力・概要'!$B$33*SQRT(B523/1E6)+(2*PI()*B523*'入力・概要'!$B$6/(299792458*'入力・概要'!$B$31))*'入力・概要'!$B$32/2)</f>
        <v/>
      </c>
      <c r="E523" s="195">
        <f>IF(B523="","",2*PI()*B523*'入力・概要'!$B$6/(299792458*'入力・概要'!$B$31))</f>
        <v/>
      </c>
      <c r="F523" s="195">
        <f>IF(B523="","",SINH(2*D523)/(COSH(2*D523)+COS(2*E523)))</f>
        <v/>
      </c>
      <c r="G523" s="195">
        <f>IF(B523="","",SIN(2*E523)/(COSH(2*D523)+COS(2*E523)))</f>
        <v/>
      </c>
      <c r="H523" s="195">
        <f>IF(B523="","",'入力・概要'!$B$34)</f>
        <v/>
      </c>
      <c r="I523" s="195">
        <f>IF(B523="","",C523*'入力・概要'!$B$35*1E-9)</f>
        <v/>
      </c>
      <c r="J523" s="195">
        <f>IF(B523="","",H523+'入力・概要'!$B$30*F523)</f>
        <v/>
      </c>
      <c r="K523" s="195">
        <f>IF(B523="","",I523+'入力・概要'!$B$30*G523)</f>
        <v/>
      </c>
      <c r="L523" s="195">
        <f>IF(B523="","",'入力・概要'!$B$30+H523*F523-I523*G523)</f>
        <v/>
      </c>
      <c r="M523" s="195">
        <f>IF(B523="","",H523*G523+I523*F523)</f>
        <v/>
      </c>
      <c r="N523" s="195">
        <f>IF(B523="","",'入力・概要'!$B$30*(J523*L523+K523*M523)/(L523^2+M523^2))</f>
        <v/>
      </c>
      <c r="O523" s="195">
        <f>IF(B523="","",'入力・概要'!$B$30*(K523*L523-J523*M523)/(L523^2+M523^2))</f>
        <v/>
      </c>
      <c r="P523" s="195">
        <f>IF(B523="","",N523+'入力・概要'!$B$36)</f>
        <v/>
      </c>
      <c r="Q523" s="195">
        <f>IF(B523="","",O523+C523*'入力・概要'!$B$37*1E-9)</f>
        <v/>
      </c>
      <c r="R523" s="195">
        <f>IF(B523="","",SQRT(P523^2+Q523^2))</f>
        <v/>
      </c>
      <c r="S523" s="195">
        <f>IF(B523="","",IF(P523&gt;0,DEGREES(ATAN(Q523/P523)),IF(P523&lt;0,IF(Q523&gt;=0,DEGREES(ATAN(Q523/P523))+180,DEGREES(ATAN(Q523/P523))-180),IF(Q523&gt;0,90,IF(Q523&lt;0,-90,0)))))</f>
        <v/>
      </c>
      <c r="T523" s="195">
        <f>IF(B523="","",LOG10(B523))</f>
        <v/>
      </c>
      <c r="U523" s="195">
        <f>IF(R523="","",LOG10(MAX(R523,1E-12)))</f>
        <v/>
      </c>
    </row>
    <row r="524">
      <c r="A524" t="n">
        <v>521</v>
      </c>
      <c r="B524" s="196">
        <f>IF(A524&lt;='入力・概要'!$B$40,10^(LOG10('入力・概要'!$B$38)+(A524-1)*(LOG10('入力・概要'!$B$39)-LOG10('入力・概要'!$B$38))/('入力・概要'!$B$40-1)),"")</f>
        <v/>
      </c>
      <c r="C524" s="195">
        <f>IF(B524="","",2*PI()*B524)</f>
        <v/>
      </c>
      <c r="D524" s="195">
        <f>IF(B524="","",ATANH(MIN(0.999999,(2*'入力・概要'!$B$17*'入力・概要'!$B$6)/'入力・概要'!$B$30))+'入力・概要'!$B$33*SQRT(B524/1E6)+(2*PI()*B524*'入力・概要'!$B$6/(299792458*'入力・概要'!$B$31))*'入力・概要'!$B$32/2)</f>
        <v/>
      </c>
      <c r="E524" s="195">
        <f>IF(B524="","",2*PI()*B524*'入力・概要'!$B$6/(299792458*'入力・概要'!$B$31))</f>
        <v/>
      </c>
      <c r="F524" s="195">
        <f>IF(B524="","",SINH(2*D524)/(COSH(2*D524)+COS(2*E524)))</f>
        <v/>
      </c>
      <c r="G524" s="195">
        <f>IF(B524="","",SIN(2*E524)/(COSH(2*D524)+COS(2*E524)))</f>
        <v/>
      </c>
      <c r="H524" s="195">
        <f>IF(B524="","",'入力・概要'!$B$34)</f>
        <v/>
      </c>
      <c r="I524" s="195">
        <f>IF(B524="","",C524*'入力・概要'!$B$35*1E-9)</f>
        <v/>
      </c>
      <c r="J524" s="195">
        <f>IF(B524="","",H524+'入力・概要'!$B$30*F524)</f>
        <v/>
      </c>
      <c r="K524" s="195">
        <f>IF(B524="","",I524+'入力・概要'!$B$30*G524)</f>
        <v/>
      </c>
      <c r="L524" s="195">
        <f>IF(B524="","",'入力・概要'!$B$30+H524*F524-I524*G524)</f>
        <v/>
      </c>
      <c r="M524" s="195">
        <f>IF(B524="","",H524*G524+I524*F524)</f>
        <v/>
      </c>
      <c r="N524" s="195">
        <f>IF(B524="","",'入力・概要'!$B$30*(J524*L524+K524*M524)/(L524^2+M524^2))</f>
        <v/>
      </c>
      <c r="O524" s="195">
        <f>IF(B524="","",'入力・概要'!$B$30*(K524*L524-J524*M524)/(L524^2+M524^2))</f>
        <v/>
      </c>
      <c r="P524" s="195">
        <f>IF(B524="","",N524+'入力・概要'!$B$36)</f>
        <v/>
      </c>
      <c r="Q524" s="195">
        <f>IF(B524="","",O524+C524*'入力・概要'!$B$37*1E-9)</f>
        <v/>
      </c>
      <c r="R524" s="195">
        <f>IF(B524="","",SQRT(P524^2+Q524^2))</f>
        <v/>
      </c>
      <c r="S524" s="195">
        <f>IF(B524="","",IF(P524&gt;0,DEGREES(ATAN(Q524/P524)),IF(P524&lt;0,IF(Q524&gt;=0,DEGREES(ATAN(Q524/P524))+180,DEGREES(ATAN(Q524/P524))-180),IF(Q524&gt;0,90,IF(Q524&lt;0,-90,0)))))</f>
        <v/>
      </c>
      <c r="T524" s="195">
        <f>IF(B524="","",LOG10(B524))</f>
        <v/>
      </c>
      <c r="U524" s="195">
        <f>IF(R524="","",LOG10(MAX(R524,1E-12)))</f>
        <v/>
      </c>
    </row>
    <row r="525">
      <c r="A525" t="n">
        <v>522</v>
      </c>
      <c r="B525" s="196">
        <f>IF(A525&lt;='入力・概要'!$B$40,10^(LOG10('入力・概要'!$B$38)+(A525-1)*(LOG10('入力・概要'!$B$39)-LOG10('入力・概要'!$B$38))/('入力・概要'!$B$40-1)),"")</f>
        <v/>
      </c>
      <c r="C525" s="195">
        <f>IF(B525="","",2*PI()*B525)</f>
        <v/>
      </c>
      <c r="D525" s="195">
        <f>IF(B525="","",ATANH(MIN(0.999999,(2*'入力・概要'!$B$17*'入力・概要'!$B$6)/'入力・概要'!$B$30))+'入力・概要'!$B$33*SQRT(B525/1E6)+(2*PI()*B525*'入力・概要'!$B$6/(299792458*'入力・概要'!$B$31))*'入力・概要'!$B$32/2)</f>
        <v/>
      </c>
      <c r="E525" s="195">
        <f>IF(B525="","",2*PI()*B525*'入力・概要'!$B$6/(299792458*'入力・概要'!$B$31))</f>
        <v/>
      </c>
      <c r="F525" s="195">
        <f>IF(B525="","",SINH(2*D525)/(COSH(2*D525)+COS(2*E525)))</f>
        <v/>
      </c>
      <c r="G525" s="195">
        <f>IF(B525="","",SIN(2*E525)/(COSH(2*D525)+COS(2*E525)))</f>
        <v/>
      </c>
      <c r="H525" s="195">
        <f>IF(B525="","",'入力・概要'!$B$34)</f>
        <v/>
      </c>
      <c r="I525" s="195">
        <f>IF(B525="","",C525*'入力・概要'!$B$35*1E-9)</f>
        <v/>
      </c>
      <c r="J525" s="195">
        <f>IF(B525="","",H525+'入力・概要'!$B$30*F525)</f>
        <v/>
      </c>
      <c r="K525" s="195">
        <f>IF(B525="","",I525+'入力・概要'!$B$30*G525)</f>
        <v/>
      </c>
      <c r="L525" s="195">
        <f>IF(B525="","",'入力・概要'!$B$30+H525*F525-I525*G525)</f>
        <v/>
      </c>
      <c r="M525" s="195">
        <f>IF(B525="","",H525*G525+I525*F525)</f>
        <v/>
      </c>
      <c r="N525" s="195">
        <f>IF(B525="","",'入力・概要'!$B$30*(J525*L525+K525*M525)/(L525^2+M525^2))</f>
        <v/>
      </c>
      <c r="O525" s="195">
        <f>IF(B525="","",'入力・概要'!$B$30*(K525*L525-J525*M525)/(L525^2+M525^2))</f>
        <v/>
      </c>
      <c r="P525" s="195">
        <f>IF(B525="","",N525+'入力・概要'!$B$36)</f>
        <v/>
      </c>
      <c r="Q525" s="195">
        <f>IF(B525="","",O525+C525*'入力・概要'!$B$37*1E-9)</f>
        <v/>
      </c>
      <c r="R525" s="195">
        <f>IF(B525="","",SQRT(P525^2+Q525^2))</f>
        <v/>
      </c>
      <c r="S525" s="195">
        <f>IF(B525="","",IF(P525&gt;0,DEGREES(ATAN(Q525/P525)),IF(P525&lt;0,IF(Q525&gt;=0,DEGREES(ATAN(Q525/P525))+180,DEGREES(ATAN(Q525/P525))-180),IF(Q525&gt;0,90,IF(Q525&lt;0,-90,0)))))</f>
        <v/>
      </c>
      <c r="T525" s="195">
        <f>IF(B525="","",LOG10(B525))</f>
        <v/>
      </c>
      <c r="U525" s="195">
        <f>IF(R525="","",LOG10(MAX(R525,1E-12)))</f>
        <v/>
      </c>
    </row>
    <row r="526">
      <c r="A526" t="n">
        <v>523</v>
      </c>
      <c r="B526" s="196">
        <f>IF(A526&lt;='入力・概要'!$B$40,10^(LOG10('入力・概要'!$B$38)+(A526-1)*(LOG10('入力・概要'!$B$39)-LOG10('入力・概要'!$B$38))/('入力・概要'!$B$40-1)),"")</f>
        <v/>
      </c>
      <c r="C526" s="195">
        <f>IF(B526="","",2*PI()*B526)</f>
        <v/>
      </c>
      <c r="D526" s="195">
        <f>IF(B526="","",ATANH(MIN(0.999999,(2*'入力・概要'!$B$17*'入力・概要'!$B$6)/'入力・概要'!$B$30))+'入力・概要'!$B$33*SQRT(B526/1E6)+(2*PI()*B526*'入力・概要'!$B$6/(299792458*'入力・概要'!$B$31))*'入力・概要'!$B$32/2)</f>
        <v/>
      </c>
      <c r="E526" s="195">
        <f>IF(B526="","",2*PI()*B526*'入力・概要'!$B$6/(299792458*'入力・概要'!$B$31))</f>
        <v/>
      </c>
      <c r="F526" s="195">
        <f>IF(B526="","",SINH(2*D526)/(COSH(2*D526)+COS(2*E526)))</f>
        <v/>
      </c>
      <c r="G526" s="195">
        <f>IF(B526="","",SIN(2*E526)/(COSH(2*D526)+COS(2*E526)))</f>
        <v/>
      </c>
      <c r="H526" s="195">
        <f>IF(B526="","",'入力・概要'!$B$34)</f>
        <v/>
      </c>
      <c r="I526" s="195">
        <f>IF(B526="","",C526*'入力・概要'!$B$35*1E-9)</f>
        <v/>
      </c>
      <c r="J526" s="195">
        <f>IF(B526="","",H526+'入力・概要'!$B$30*F526)</f>
        <v/>
      </c>
      <c r="K526" s="195">
        <f>IF(B526="","",I526+'入力・概要'!$B$30*G526)</f>
        <v/>
      </c>
      <c r="L526" s="195">
        <f>IF(B526="","",'入力・概要'!$B$30+H526*F526-I526*G526)</f>
        <v/>
      </c>
      <c r="M526" s="195">
        <f>IF(B526="","",H526*G526+I526*F526)</f>
        <v/>
      </c>
      <c r="N526" s="195">
        <f>IF(B526="","",'入力・概要'!$B$30*(J526*L526+K526*M526)/(L526^2+M526^2))</f>
        <v/>
      </c>
      <c r="O526" s="195">
        <f>IF(B526="","",'入力・概要'!$B$30*(K526*L526-J526*M526)/(L526^2+M526^2))</f>
        <v/>
      </c>
      <c r="P526" s="195">
        <f>IF(B526="","",N526+'入力・概要'!$B$36)</f>
        <v/>
      </c>
      <c r="Q526" s="195">
        <f>IF(B526="","",O526+C526*'入力・概要'!$B$37*1E-9)</f>
        <v/>
      </c>
      <c r="R526" s="195">
        <f>IF(B526="","",SQRT(P526^2+Q526^2))</f>
        <v/>
      </c>
      <c r="S526" s="195">
        <f>IF(B526="","",IF(P526&gt;0,DEGREES(ATAN(Q526/P526)),IF(P526&lt;0,IF(Q526&gt;=0,DEGREES(ATAN(Q526/P526))+180,DEGREES(ATAN(Q526/P526))-180),IF(Q526&gt;0,90,IF(Q526&lt;0,-90,0)))))</f>
        <v/>
      </c>
      <c r="T526" s="195">
        <f>IF(B526="","",LOG10(B526))</f>
        <v/>
      </c>
      <c r="U526" s="195">
        <f>IF(R526="","",LOG10(MAX(R526,1E-12)))</f>
        <v/>
      </c>
    </row>
    <row r="527">
      <c r="A527" t="n">
        <v>524</v>
      </c>
      <c r="B527" s="196">
        <f>IF(A527&lt;='入力・概要'!$B$40,10^(LOG10('入力・概要'!$B$38)+(A527-1)*(LOG10('入力・概要'!$B$39)-LOG10('入力・概要'!$B$38))/('入力・概要'!$B$40-1)),"")</f>
        <v/>
      </c>
      <c r="C527" s="195">
        <f>IF(B527="","",2*PI()*B527)</f>
        <v/>
      </c>
      <c r="D527" s="195">
        <f>IF(B527="","",ATANH(MIN(0.999999,(2*'入力・概要'!$B$17*'入力・概要'!$B$6)/'入力・概要'!$B$30))+'入力・概要'!$B$33*SQRT(B527/1E6)+(2*PI()*B527*'入力・概要'!$B$6/(299792458*'入力・概要'!$B$31))*'入力・概要'!$B$32/2)</f>
        <v/>
      </c>
      <c r="E527" s="195">
        <f>IF(B527="","",2*PI()*B527*'入力・概要'!$B$6/(299792458*'入力・概要'!$B$31))</f>
        <v/>
      </c>
      <c r="F527" s="195">
        <f>IF(B527="","",SINH(2*D527)/(COSH(2*D527)+COS(2*E527)))</f>
        <v/>
      </c>
      <c r="G527" s="195">
        <f>IF(B527="","",SIN(2*E527)/(COSH(2*D527)+COS(2*E527)))</f>
        <v/>
      </c>
      <c r="H527" s="195">
        <f>IF(B527="","",'入力・概要'!$B$34)</f>
        <v/>
      </c>
      <c r="I527" s="195">
        <f>IF(B527="","",C527*'入力・概要'!$B$35*1E-9)</f>
        <v/>
      </c>
      <c r="J527" s="195">
        <f>IF(B527="","",H527+'入力・概要'!$B$30*F527)</f>
        <v/>
      </c>
      <c r="K527" s="195">
        <f>IF(B527="","",I527+'入力・概要'!$B$30*G527)</f>
        <v/>
      </c>
      <c r="L527" s="195">
        <f>IF(B527="","",'入力・概要'!$B$30+H527*F527-I527*G527)</f>
        <v/>
      </c>
      <c r="M527" s="195">
        <f>IF(B527="","",H527*G527+I527*F527)</f>
        <v/>
      </c>
      <c r="N527" s="195">
        <f>IF(B527="","",'入力・概要'!$B$30*(J527*L527+K527*M527)/(L527^2+M527^2))</f>
        <v/>
      </c>
      <c r="O527" s="195">
        <f>IF(B527="","",'入力・概要'!$B$30*(K527*L527-J527*M527)/(L527^2+M527^2))</f>
        <v/>
      </c>
      <c r="P527" s="195">
        <f>IF(B527="","",N527+'入力・概要'!$B$36)</f>
        <v/>
      </c>
      <c r="Q527" s="195">
        <f>IF(B527="","",O527+C527*'入力・概要'!$B$37*1E-9)</f>
        <v/>
      </c>
      <c r="R527" s="195">
        <f>IF(B527="","",SQRT(P527^2+Q527^2))</f>
        <v/>
      </c>
      <c r="S527" s="195">
        <f>IF(B527="","",IF(P527&gt;0,DEGREES(ATAN(Q527/P527)),IF(P527&lt;0,IF(Q527&gt;=0,DEGREES(ATAN(Q527/P527))+180,DEGREES(ATAN(Q527/P527))-180),IF(Q527&gt;0,90,IF(Q527&lt;0,-90,0)))))</f>
        <v/>
      </c>
      <c r="T527" s="195">
        <f>IF(B527="","",LOG10(B527))</f>
        <v/>
      </c>
      <c r="U527" s="195">
        <f>IF(R527="","",LOG10(MAX(R527,1E-12)))</f>
        <v/>
      </c>
    </row>
    <row r="528">
      <c r="A528" t="n">
        <v>525</v>
      </c>
      <c r="B528" s="196">
        <f>IF(A528&lt;='入力・概要'!$B$40,10^(LOG10('入力・概要'!$B$38)+(A528-1)*(LOG10('入力・概要'!$B$39)-LOG10('入力・概要'!$B$38))/('入力・概要'!$B$40-1)),"")</f>
        <v/>
      </c>
      <c r="C528" s="195">
        <f>IF(B528="","",2*PI()*B528)</f>
        <v/>
      </c>
      <c r="D528" s="195">
        <f>IF(B528="","",ATANH(MIN(0.999999,(2*'入力・概要'!$B$17*'入力・概要'!$B$6)/'入力・概要'!$B$30))+'入力・概要'!$B$33*SQRT(B528/1E6)+(2*PI()*B528*'入力・概要'!$B$6/(299792458*'入力・概要'!$B$31))*'入力・概要'!$B$32/2)</f>
        <v/>
      </c>
      <c r="E528" s="195">
        <f>IF(B528="","",2*PI()*B528*'入力・概要'!$B$6/(299792458*'入力・概要'!$B$31))</f>
        <v/>
      </c>
      <c r="F528" s="195">
        <f>IF(B528="","",SINH(2*D528)/(COSH(2*D528)+COS(2*E528)))</f>
        <v/>
      </c>
      <c r="G528" s="195">
        <f>IF(B528="","",SIN(2*E528)/(COSH(2*D528)+COS(2*E528)))</f>
        <v/>
      </c>
      <c r="H528" s="195">
        <f>IF(B528="","",'入力・概要'!$B$34)</f>
        <v/>
      </c>
      <c r="I528" s="195">
        <f>IF(B528="","",C528*'入力・概要'!$B$35*1E-9)</f>
        <v/>
      </c>
      <c r="J528" s="195">
        <f>IF(B528="","",H528+'入力・概要'!$B$30*F528)</f>
        <v/>
      </c>
      <c r="K528" s="195">
        <f>IF(B528="","",I528+'入力・概要'!$B$30*G528)</f>
        <v/>
      </c>
      <c r="L528" s="195">
        <f>IF(B528="","",'入力・概要'!$B$30+H528*F528-I528*G528)</f>
        <v/>
      </c>
      <c r="M528" s="195">
        <f>IF(B528="","",H528*G528+I528*F528)</f>
        <v/>
      </c>
      <c r="N528" s="195">
        <f>IF(B528="","",'入力・概要'!$B$30*(J528*L528+K528*M528)/(L528^2+M528^2))</f>
        <v/>
      </c>
      <c r="O528" s="195">
        <f>IF(B528="","",'入力・概要'!$B$30*(K528*L528-J528*M528)/(L528^2+M528^2))</f>
        <v/>
      </c>
      <c r="P528" s="195">
        <f>IF(B528="","",N528+'入力・概要'!$B$36)</f>
        <v/>
      </c>
      <c r="Q528" s="195">
        <f>IF(B528="","",O528+C528*'入力・概要'!$B$37*1E-9)</f>
        <v/>
      </c>
      <c r="R528" s="195">
        <f>IF(B528="","",SQRT(P528^2+Q528^2))</f>
        <v/>
      </c>
      <c r="S528" s="195">
        <f>IF(B528="","",IF(P528&gt;0,DEGREES(ATAN(Q528/P528)),IF(P528&lt;0,IF(Q528&gt;=0,DEGREES(ATAN(Q528/P528))+180,DEGREES(ATAN(Q528/P528))-180),IF(Q528&gt;0,90,IF(Q528&lt;0,-90,0)))))</f>
        <v/>
      </c>
      <c r="T528" s="195">
        <f>IF(B528="","",LOG10(B528))</f>
        <v/>
      </c>
      <c r="U528" s="195">
        <f>IF(R528="","",LOG10(MAX(R528,1E-12)))</f>
        <v/>
      </c>
    </row>
    <row r="529">
      <c r="A529" t="n">
        <v>526</v>
      </c>
      <c r="B529" s="196">
        <f>IF(A529&lt;='入力・概要'!$B$40,10^(LOG10('入力・概要'!$B$38)+(A529-1)*(LOG10('入力・概要'!$B$39)-LOG10('入力・概要'!$B$38))/('入力・概要'!$B$40-1)),"")</f>
        <v/>
      </c>
      <c r="C529" s="195">
        <f>IF(B529="","",2*PI()*B529)</f>
        <v/>
      </c>
      <c r="D529" s="195">
        <f>IF(B529="","",ATANH(MIN(0.999999,(2*'入力・概要'!$B$17*'入力・概要'!$B$6)/'入力・概要'!$B$30))+'入力・概要'!$B$33*SQRT(B529/1E6)+(2*PI()*B529*'入力・概要'!$B$6/(299792458*'入力・概要'!$B$31))*'入力・概要'!$B$32/2)</f>
        <v/>
      </c>
      <c r="E529" s="195">
        <f>IF(B529="","",2*PI()*B529*'入力・概要'!$B$6/(299792458*'入力・概要'!$B$31))</f>
        <v/>
      </c>
      <c r="F529" s="195">
        <f>IF(B529="","",SINH(2*D529)/(COSH(2*D529)+COS(2*E529)))</f>
        <v/>
      </c>
      <c r="G529" s="195">
        <f>IF(B529="","",SIN(2*E529)/(COSH(2*D529)+COS(2*E529)))</f>
        <v/>
      </c>
      <c r="H529" s="195">
        <f>IF(B529="","",'入力・概要'!$B$34)</f>
        <v/>
      </c>
      <c r="I529" s="195">
        <f>IF(B529="","",C529*'入力・概要'!$B$35*1E-9)</f>
        <v/>
      </c>
      <c r="J529" s="195">
        <f>IF(B529="","",H529+'入力・概要'!$B$30*F529)</f>
        <v/>
      </c>
      <c r="K529" s="195">
        <f>IF(B529="","",I529+'入力・概要'!$B$30*G529)</f>
        <v/>
      </c>
      <c r="L529" s="195">
        <f>IF(B529="","",'入力・概要'!$B$30+H529*F529-I529*G529)</f>
        <v/>
      </c>
      <c r="M529" s="195">
        <f>IF(B529="","",H529*G529+I529*F529)</f>
        <v/>
      </c>
      <c r="N529" s="195">
        <f>IF(B529="","",'入力・概要'!$B$30*(J529*L529+K529*M529)/(L529^2+M529^2))</f>
        <v/>
      </c>
      <c r="O529" s="195">
        <f>IF(B529="","",'入力・概要'!$B$30*(K529*L529-J529*M529)/(L529^2+M529^2))</f>
        <v/>
      </c>
      <c r="P529" s="195">
        <f>IF(B529="","",N529+'入力・概要'!$B$36)</f>
        <v/>
      </c>
      <c r="Q529" s="195">
        <f>IF(B529="","",O529+C529*'入力・概要'!$B$37*1E-9)</f>
        <v/>
      </c>
      <c r="R529" s="195">
        <f>IF(B529="","",SQRT(P529^2+Q529^2))</f>
        <v/>
      </c>
      <c r="S529" s="195">
        <f>IF(B529="","",IF(P529&gt;0,DEGREES(ATAN(Q529/P529)),IF(P529&lt;0,IF(Q529&gt;=0,DEGREES(ATAN(Q529/P529))+180,DEGREES(ATAN(Q529/P529))-180),IF(Q529&gt;0,90,IF(Q529&lt;0,-90,0)))))</f>
        <v/>
      </c>
      <c r="T529" s="195">
        <f>IF(B529="","",LOG10(B529))</f>
        <v/>
      </c>
      <c r="U529" s="195">
        <f>IF(R529="","",LOG10(MAX(R529,1E-12)))</f>
        <v/>
      </c>
    </row>
    <row r="530">
      <c r="A530" t="n">
        <v>527</v>
      </c>
      <c r="B530" s="196">
        <f>IF(A530&lt;='入力・概要'!$B$40,10^(LOG10('入力・概要'!$B$38)+(A530-1)*(LOG10('入力・概要'!$B$39)-LOG10('入力・概要'!$B$38))/('入力・概要'!$B$40-1)),"")</f>
        <v/>
      </c>
      <c r="C530" s="195">
        <f>IF(B530="","",2*PI()*B530)</f>
        <v/>
      </c>
      <c r="D530" s="195">
        <f>IF(B530="","",ATANH(MIN(0.999999,(2*'入力・概要'!$B$17*'入力・概要'!$B$6)/'入力・概要'!$B$30))+'入力・概要'!$B$33*SQRT(B530/1E6)+(2*PI()*B530*'入力・概要'!$B$6/(299792458*'入力・概要'!$B$31))*'入力・概要'!$B$32/2)</f>
        <v/>
      </c>
      <c r="E530" s="195">
        <f>IF(B530="","",2*PI()*B530*'入力・概要'!$B$6/(299792458*'入力・概要'!$B$31))</f>
        <v/>
      </c>
      <c r="F530" s="195">
        <f>IF(B530="","",SINH(2*D530)/(COSH(2*D530)+COS(2*E530)))</f>
        <v/>
      </c>
      <c r="G530" s="195">
        <f>IF(B530="","",SIN(2*E530)/(COSH(2*D530)+COS(2*E530)))</f>
        <v/>
      </c>
      <c r="H530" s="195">
        <f>IF(B530="","",'入力・概要'!$B$34)</f>
        <v/>
      </c>
      <c r="I530" s="195">
        <f>IF(B530="","",C530*'入力・概要'!$B$35*1E-9)</f>
        <v/>
      </c>
      <c r="J530" s="195">
        <f>IF(B530="","",H530+'入力・概要'!$B$30*F530)</f>
        <v/>
      </c>
      <c r="K530" s="195">
        <f>IF(B530="","",I530+'入力・概要'!$B$30*G530)</f>
        <v/>
      </c>
      <c r="L530" s="195">
        <f>IF(B530="","",'入力・概要'!$B$30+H530*F530-I530*G530)</f>
        <v/>
      </c>
      <c r="M530" s="195">
        <f>IF(B530="","",H530*G530+I530*F530)</f>
        <v/>
      </c>
      <c r="N530" s="195">
        <f>IF(B530="","",'入力・概要'!$B$30*(J530*L530+K530*M530)/(L530^2+M530^2))</f>
        <v/>
      </c>
      <c r="O530" s="195">
        <f>IF(B530="","",'入力・概要'!$B$30*(K530*L530-J530*M530)/(L530^2+M530^2))</f>
        <v/>
      </c>
      <c r="P530" s="195">
        <f>IF(B530="","",N530+'入力・概要'!$B$36)</f>
        <v/>
      </c>
      <c r="Q530" s="195">
        <f>IF(B530="","",O530+C530*'入力・概要'!$B$37*1E-9)</f>
        <v/>
      </c>
      <c r="R530" s="195">
        <f>IF(B530="","",SQRT(P530^2+Q530^2))</f>
        <v/>
      </c>
      <c r="S530" s="195">
        <f>IF(B530="","",IF(P530&gt;0,DEGREES(ATAN(Q530/P530)),IF(P530&lt;0,IF(Q530&gt;=0,DEGREES(ATAN(Q530/P530))+180,DEGREES(ATAN(Q530/P530))-180),IF(Q530&gt;0,90,IF(Q530&lt;0,-90,0)))))</f>
        <v/>
      </c>
      <c r="T530" s="195">
        <f>IF(B530="","",LOG10(B530))</f>
        <v/>
      </c>
      <c r="U530" s="195">
        <f>IF(R530="","",LOG10(MAX(R530,1E-12)))</f>
        <v/>
      </c>
    </row>
    <row r="531">
      <c r="A531" t="n">
        <v>528</v>
      </c>
      <c r="B531" s="196">
        <f>IF(A531&lt;='入力・概要'!$B$40,10^(LOG10('入力・概要'!$B$38)+(A531-1)*(LOG10('入力・概要'!$B$39)-LOG10('入力・概要'!$B$38))/('入力・概要'!$B$40-1)),"")</f>
        <v/>
      </c>
      <c r="C531" s="195">
        <f>IF(B531="","",2*PI()*B531)</f>
        <v/>
      </c>
      <c r="D531" s="195">
        <f>IF(B531="","",ATANH(MIN(0.999999,(2*'入力・概要'!$B$17*'入力・概要'!$B$6)/'入力・概要'!$B$30))+'入力・概要'!$B$33*SQRT(B531/1E6)+(2*PI()*B531*'入力・概要'!$B$6/(299792458*'入力・概要'!$B$31))*'入力・概要'!$B$32/2)</f>
        <v/>
      </c>
      <c r="E531" s="195">
        <f>IF(B531="","",2*PI()*B531*'入力・概要'!$B$6/(299792458*'入力・概要'!$B$31))</f>
        <v/>
      </c>
      <c r="F531" s="195">
        <f>IF(B531="","",SINH(2*D531)/(COSH(2*D531)+COS(2*E531)))</f>
        <v/>
      </c>
      <c r="G531" s="195">
        <f>IF(B531="","",SIN(2*E531)/(COSH(2*D531)+COS(2*E531)))</f>
        <v/>
      </c>
      <c r="H531" s="195">
        <f>IF(B531="","",'入力・概要'!$B$34)</f>
        <v/>
      </c>
      <c r="I531" s="195">
        <f>IF(B531="","",C531*'入力・概要'!$B$35*1E-9)</f>
        <v/>
      </c>
      <c r="J531" s="195">
        <f>IF(B531="","",H531+'入力・概要'!$B$30*F531)</f>
        <v/>
      </c>
      <c r="K531" s="195">
        <f>IF(B531="","",I531+'入力・概要'!$B$30*G531)</f>
        <v/>
      </c>
      <c r="L531" s="195">
        <f>IF(B531="","",'入力・概要'!$B$30+H531*F531-I531*G531)</f>
        <v/>
      </c>
      <c r="M531" s="195">
        <f>IF(B531="","",H531*G531+I531*F531)</f>
        <v/>
      </c>
      <c r="N531" s="195">
        <f>IF(B531="","",'入力・概要'!$B$30*(J531*L531+K531*M531)/(L531^2+M531^2))</f>
        <v/>
      </c>
      <c r="O531" s="195">
        <f>IF(B531="","",'入力・概要'!$B$30*(K531*L531-J531*M531)/(L531^2+M531^2))</f>
        <v/>
      </c>
      <c r="P531" s="195">
        <f>IF(B531="","",N531+'入力・概要'!$B$36)</f>
        <v/>
      </c>
      <c r="Q531" s="195">
        <f>IF(B531="","",O531+C531*'入力・概要'!$B$37*1E-9)</f>
        <v/>
      </c>
      <c r="R531" s="195">
        <f>IF(B531="","",SQRT(P531^2+Q531^2))</f>
        <v/>
      </c>
      <c r="S531" s="195">
        <f>IF(B531="","",IF(P531&gt;0,DEGREES(ATAN(Q531/P531)),IF(P531&lt;0,IF(Q531&gt;=0,DEGREES(ATAN(Q531/P531))+180,DEGREES(ATAN(Q531/P531))-180),IF(Q531&gt;0,90,IF(Q531&lt;0,-90,0)))))</f>
        <v/>
      </c>
      <c r="T531" s="195">
        <f>IF(B531="","",LOG10(B531))</f>
        <v/>
      </c>
      <c r="U531" s="195">
        <f>IF(R531="","",LOG10(MAX(R531,1E-12)))</f>
        <v/>
      </c>
    </row>
    <row r="532">
      <c r="A532" t="n">
        <v>529</v>
      </c>
      <c r="B532" s="196">
        <f>IF(A532&lt;='入力・概要'!$B$40,10^(LOG10('入力・概要'!$B$38)+(A532-1)*(LOG10('入力・概要'!$B$39)-LOG10('入力・概要'!$B$38))/('入力・概要'!$B$40-1)),"")</f>
        <v/>
      </c>
      <c r="C532" s="195">
        <f>IF(B532="","",2*PI()*B532)</f>
        <v/>
      </c>
      <c r="D532" s="195">
        <f>IF(B532="","",ATANH(MIN(0.999999,(2*'入力・概要'!$B$17*'入力・概要'!$B$6)/'入力・概要'!$B$30))+'入力・概要'!$B$33*SQRT(B532/1E6)+(2*PI()*B532*'入力・概要'!$B$6/(299792458*'入力・概要'!$B$31))*'入力・概要'!$B$32/2)</f>
        <v/>
      </c>
      <c r="E532" s="195">
        <f>IF(B532="","",2*PI()*B532*'入力・概要'!$B$6/(299792458*'入力・概要'!$B$31))</f>
        <v/>
      </c>
      <c r="F532" s="195">
        <f>IF(B532="","",SINH(2*D532)/(COSH(2*D532)+COS(2*E532)))</f>
        <v/>
      </c>
      <c r="G532" s="195">
        <f>IF(B532="","",SIN(2*E532)/(COSH(2*D532)+COS(2*E532)))</f>
        <v/>
      </c>
      <c r="H532" s="195">
        <f>IF(B532="","",'入力・概要'!$B$34)</f>
        <v/>
      </c>
      <c r="I532" s="195">
        <f>IF(B532="","",C532*'入力・概要'!$B$35*1E-9)</f>
        <v/>
      </c>
      <c r="J532" s="195">
        <f>IF(B532="","",H532+'入力・概要'!$B$30*F532)</f>
        <v/>
      </c>
      <c r="K532" s="195">
        <f>IF(B532="","",I532+'入力・概要'!$B$30*G532)</f>
        <v/>
      </c>
      <c r="L532" s="195">
        <f>IF(B532="","",'入力・概要'!$B$30+H532*F532-I532*G532)</f>
        <v/>
      </c>
      <c r="M532" s="195">
        <f>IF(B532="","",H532*G532+I532*F532)</f>
        <v/>
      </c>
      <c r="N532" s="195">
        <f>IF(B532="","",'入力・概要'!$B$30*(J532*L532+K532*M532)/(L532^2+M532^2))</f>
        <v/>
      </c>
      <c r="O532" s="195">
        <f>IF(B532="","",'入力・概要'!$B$30*(K532*L532-J532*M532)/(L532^2+M532^2))</f>
        <v/>
      </c>
      <c r="P532" s="195">
        <f>IF(B532="","",N532+'入力・概要'!$B$36)</f>
        <v/>
      </c>
      <c r="Q532" s="195">
        <f>IF(B532="","",O532+C532*'入力・概要'!$B$37*1E-9)</f>
        <v/>
      </c>
      <c r="R532" s="195">
        <f>IF(B532="","",SQRT(P532^2+Q532^2))</f>
        <v/>
      </c>
      <c r="S532" s="195">
        <f>IF(B532="","",IF(P532&gt;0,DEGREES(ATAN(Q532/P532)),IF(P532&lt;0,IF(Q532&gt;=0,DEGREES(ATAN(Q532/P532))+180,DEGREES(ATAN(Q532/P532))-180),IF(Q532&gt;0,90,IF(Q532&lt;0,-90,0)))))</f>
        <v/>
      </c>
      <c r="T532" s="195">
        <f>IF(B532="","",LOG10(B532))</f>
        <v/>
      </c>
      <c r="U532" s="195">
        <f>IF(R532="","",LOG10(MAX(R532,1E-12)))</f>
        <v/>
      </c>
    </row>
    <row r="533">
      <c r="A533" t="n">
        <v>530</v>
      </c>
      <c r="B533" s="196">
        <f>IF(A533&lt;='入力・概要'!$B$40,10^(LOG10('入力・概要'!$B$38)+(A533-1)*(LOG10('入力・概要'!$B$39)-LOG10('入力・概要'!$B$38))/('入力・概要'!$B$40-1)),"")</f>
        <v/>
      </c>
      <c r="C533" s="195">
        <f>IF(B533="","",2*PI()*B533)</f>
        <v/>
      </c>
      <c r="D533" s="195">
        <f>IF(B533="","",ATANH(MIN(0.999999,(2*'入力・概要'!$B$17*'入力・概要'!$B$6)/'入力・概要'!$B$30))+'入力・概要'!$B$33*SQRT(B533/1E6)+(2*PI()*B533*'入力・概要'!$B$6/(299792458*'入力・概要'!$B$31))*'入力・概要'!$B$32/2)</f>
        <v/>
      </c>
      <c r="E533" s="195">
        <f>IF(B533="","",2*PI()*B533*'入力・概要'!$B$6/(299792458*'入力・概要'!$B$31))</f>
        <v/>
      </c>
      <c r="F533" s="195">
        <f>IF(B533="","",SINH(2*D533)/(COSH(2*D533)+COS(2*E533)))</f>
        <v/>
      </c>
      <c r="G533" s="195">
        <f>IF(B533="","",SIN(2*E533)/(COSH(2*D533)+COS(2*E533)))</f>
        <v/>
      </c>
      <c r="H533" s="195">
        <f>IF(B533="","",'入力・概要'!$B$34)</f>
        <v/>
      </c>
      <c r="I533" s="195">
        <f>IF(B533="","",C533*'入力・概要'!$B$35*1E-9)</f>
        <v/>
      </c>
      <c r="J533" s="195">
        <f>IF(B533="","",H533+'入力・概要'!$B$30*F533)</f>
        <v/>
      </c>
      <c r="K533" s="195">
        <f>IF(B533="","",I533+'入力・概要'!$B$30*G533)</f>
        <v/>
      </c>
      <c r="L533" s="195">
        <f>IF(B533="","",'入力・概要'!$B$30+H533*F533-I533*G533)</f>
        <v/>
      </c>
      <c r="M533" s="195">
        <f>IF(B533="","",H533*G533+I533*F533)</f>
        <v/>
      </c>
      <c r="N533" s="195">
        <f>IF(B533="","",'入力・概要'!$B$30*(J533*L533+K533*M533)/(L533^2+M533^2))</f>
        <v/>
      </c>
      <c r="O533" s="195">
        <f>IF(B533="","",'入力・概要'!$B$30*(K533*L533-J533*M533)/(L533^2+M533^2))</f>
        <v/>
      </c>
      <c r="P533" s="195">
        <f>IF(B533="","",N533+'入力・概要'!$B$36)</f>
        <v/>
      </c>
      <c r="Q533" s="195">
        <f>IF(B533="","",O533+C533*'入力・概要'!$B$37*1E-9)</f>
        <v/>
      </c>
      <c r="R533" s="195">
        <f>IF(B533="","",SQRT(P533^2+Q533^2))</f>
        <v/>
      </c>
      <c r="S533" s="195">
        <f>IF(B533="","",IF(P533&gt;0,DEGREES(ATAN(Q533/P533)),IF(P533&lt;0,IF(Q533&gt;=0,DEGREES(ATAN(Q533/P533))+180,DEGREES(ATAN(Q533/P533))-180),IF(Q533&gt;0,90,IF(Q533&lt;0,-90,0)))))</f>
        <v/>
      </c>
      <c r="T533" s="195">
        <f>IF(B533="","",LOG10(B533))</f>
        <v/>
      </c>
      <c r="U533" s="195">
        <f>IF(R533="","",LOG10(MAX(R533,1E-12)))</f>
        <v/>
      </c>
    </row>
    <row r="534">
      <c r="A534" t="n">
        <v>531</v>
      </c>
      <c r="B534" s="196">
        <f>IF(A534&lt;='入力・概要'!$B$40,10^(LOG10('入力・概要'!$B$38)+(A534-1)*(LOG10('入力・概要'!$B$39)-LOG10('入力・概要'!$B$38))/('入力・概要'!$B$40-1)),"")</f>
        <v/>
      </c>
      <c r="C534" s="195">
        <f>IF(B534="","",2*PI()*B534)</f>
        <v/>
      </c>
      <c r="D534" s="195">
        <f>IF(B534="","",ATANH(MIN(0.999999,(2*'入力・概要'!$B$17*'入力・概要'!$B$6)/'入力・概要'!$B$30))+'入力・概要'!$B$33*SQRT(B534/1E6)+(2*PI()*B534*'入力・概要'!$B$6/(299792458*'入力・概要'!$B$31))*'入力・概要'!$B$32/2)</f>
        <v/>
      </c>
      <c r="E534" s="195">
        <f>IF(B534="","",2*PI()*B534*'入力・概要'!$B$6/(299792458*'入力・概要'!$B$31))</f>
        <v/>
      </c>
      <c r="F534" s="195">
        <f>IF(B534="","",SINH(2*D534)/(COSH(2*D534)+COS(2*E534)))</f>
        <v/>
      </c>
      <c r="G534" s="195">
        <f>IF(B534="","",SIN(2*E534)/(COSH(2*D534)+COS(2*E534)))</f>
        <v/>
      </c>
      <c r="H534" s="195">
        <f>IF(B534="","",'入力・概要'!$B$34)</f>
        <v/>
      </c>
      <c r="I534" s="195">
        <f>IF(B534="","",C534*'入力・概要'!$B$35*1E-9)</f>
        <v/>
      </c>
      <c r="J534" s="195">
        <f>IF(B534="","",H534+'入力・概要'!$B$30*F534)</f>
        <v/>
      </c>
      <c r="K534" s="195">
        <f>IF(B534="","",I534+'入力・概要'!$B$30*G534)</f>
        <v/>
      </c>
      <c r="L534" s="195">
        <f>IF(B534="","",'入力・概要'!$B$30+H534*F534-I534*G534)</f>
        <v/>
      </c>
      <c r="M534" s="195">
        <f>IF(B534="","",H534*G534+I534*F534)</f>
        <v/>
      </c>
      <c r="N534" s="195">
        <f>IF(B534="","",'入力・概要'!$B$30*(J534*L534+K534*M534)/(L534^2+M534^2))</f>
        <v/>
      </c>
      <c r="O534" s="195">
        <f>IF(B534="","",'入力・概要'!$B$30*(K534*L534-J534*M534)/(L534^2+M534^2))</f>
        <v/>
      </c>
      <c r="P534" s="195">
        <f>IF(B534="","",N534+'入力・概要'!$B$36)</f>
        <v/>
      </c>
      <c r="Q534" s="195">
        <f>IF(B534="","",O534+C534*'入力・概要'!$B$37*1E-9)</f>
        <v/>
      </c>
      <c r="R534" s="195">
        <f>IF(B534="","",SQRT(P534^2+Q534^2))</f>
        <v/>
      </c>
      <c r="S534" s="195">
        <f>IF(B534="","",IF(P534&gt;0,DEGREES(ATAN(Q534/P534)),IF(P534&lt;0,IF(Q534&gt;=0,DEGREES(ATAN(Q534/P534))+180,DEGREES(ATAN(Q534/P534))-180),IF(Q534&gt;0,90,IF(Q534&lt;0,-90,0)))))</f>
        <v/>
      </c>
      <c r="T534" s="195">
        <f>IF(B534="","",LOG10(B534))</f>
        <v/>
      </c>
      <c r="U534" s="195">
        <f>IF(R534="","",LOG10(MAX(R534,1E-12)))</f>
        <v/>
      </c>
    </row>
    <row r="535">
      <c r="A535" t="n">
        <v>532</v>
      </c>
      <c r="B535" s="196">
        <f>IF(A535&lt;='入力・概要'!$B$40,10^(LOG10('入力・概要'!$B$38)+(A535-1)*(LOG10('入力・概要'!$B$39)-LOG10('入力・概要'!$B$38))/('入力・概要'!$B$40-1)),"")</f>
        <v/>
      </c>
      <c r="C535" s="195">
        <f>IF(B535="","",2*PI()*B535)</f>
        <v/>
      </c>
      <c r="D535" s="195">
        <f>IF(B535="","",ATANH(MIN(0.999999,(2*'入力・概要'!$B$17*'入力・概要'!$B$6)/'入力・概要'!$B$30))+'入力・概要'!$B$33*SQRT(B535/1E6)+(2*PI()*B535*'入力・概要'!$B$6/(299792458*'入力・概要'!$B$31))*'入力・概要'!$B$32/2)</f>
        <v/>
      </c>
      <c r="E535" s="195">
        <f>IF(B535="","",2*PI()*B535*'入力・概要'!$B$6/(299792458*'入力・概要'!$B$31))</f>
        <v/>
      </c>
      <c r="F535" s="195">
        <f>IF(B535="","",SINH(2*D535)/(COSH(2*D535)+COS(2*E535)))</f>
        <v/>
      </c>
      <c r="G535" s="195">
        <f>IF(B535="","",SIN(2*E535)/(COSH(2*D535)+COS(2*E535)))</f>
        <v/>
      </c>
      <c r="H535" s="195">
        <f>IF(B535="","",'入力・概要'!$B$34)</f>
        <v/>
      </c>
      <c r="I535" s="195">
        <f>IF(B535="","",C535*'入力・概要'!$B$35*1E-9)</f>
        <v/>
      </c>
      <c r="J535" s="195">
        <f>IF(B535="","",H535+'入力・概要'!$B$30*F535)</f>
        <v/>
      </c>
      <c r="K535" s="195">
        <f>IF(B535="","",I535+'入力・概要'!$B$30*G535)</f>
        <v/>
      </c>
      <c r="L535" s="195">
        <f>IF(B535="","",'入力・概要'!$B$30+H535*F535-I535*G535)</f>
        <v/>
      </c>
      <c r="M535" s="195">
        <f>IF(B535="","",H535*G535+I535*F535)</f>
        <v/>
      </c>
      <c r="N535" s="195">
        <f>IF(B535="","",'入力・概要'!$B$30*(J535*L535+K535*M535)/(L535^2+M535^2))</f>
        <v/>
      </c>
      <c r="O535" s="195">
        <f>IF(B535="","",'入力・概要'!$B$30*(K535*L535-J535*M535)/(L535^2+M535^2))</f>
        <v/>
      </c>
      <c r="P535" s="195">
        <f>IF(B535="","",N535+'入力・概要'!$B$36)</f>
        <v/>
      </c>
      <c r="Q535" s="195">
        <f>IF(B535="","",O535+C535*'入力・概要'!$B$37*1E-9)</f>
        <v/>
      </c>
      <c r="R535" s="195">
        <f>IF(B535="","",SQRT(P535^2+Q535^2))</f>
        <v/>
      </c>
      <c r="S535" s="195">
        <f>IF(B535="","",IF(P535&gt;0,DEGREES(ATAN(Q535/P535)),IF(P535&lt;0,IF(Q535&gt;=0,DEGREES(ATAN(Q535/P535))+180,DEGREES(ATAN(Q535/P535))-180),IF(Q535&gt;0,90,IF(Q535&lt;0,-90,0)))))</f>
        <v/>
      </c>
      <c r="T535" s="195">
        <f>IF(B535="","",LOG10(B535))</f>
        <v/>
      </c>
      <c r="U535" s="195">
        <f>IF(R535="","",LOG10(MAX(R535,1E-12)))</f>
        <v/>
      </c>
    </row>
    <row r="536">
      <c r="A536" t="n">
        <v>533</v>
      </c>
      <c r="B536" s="196">
        <f>IF(A536&lt;='入力・概要'!$B$40,10^(LOG10('入力・概要'!$B$38)+(A536-1)*(LOG10('入力・概要'!$B$39)-LOG10('入力・概要'!$B$38))/('入力・概要'!$B$40-1)),"")</f>
        <v/>
      </c>
      <c r="C536" s="195">
        <f>IF(B536="","",2*PI()*B536)</f>
        <v/>
      </c>
      <c r="D536" s="195">
        <f>IF(B536="","",ATANH(MIN(0.999999,(2*'入力・概要'!$B$17*'入力・概要'!$B$6)/'入力・概要'!$B$30))+'入力・概要'!$B$33*SQRT(B536/1E6)+(2*PI()*B536*'入力・概要'!$B$6/(299792458*'入力・概要'!$B$31))*'入力・概要'!$B$32/2)</f>
        <v/>
      </c>
      <c r="E536" s="195">
        <f>IF(B536="","",2*PI()*B536*'入力・概要'!$B$6/(299792458*'入力・概要'!$B$31))</f>
        <v/>
      </c>
      <c r="F536" s="195">
        <f>IF(B536="","",SINH(2*D536)/(COSH(2*D536)+COS(2*E536)))</f>
        <v/>
      </c>
      <c r="G536" s="195">
        <f>IF(B536="","",SIN(2*E536)/(COSH(2*D536)+COS(2*E536)))</f>
        <v/>
      </c>
      <c r="H536" s="195">
        <f>IF(B536="","",'入力・概要'!$B$34)</f>
        <v/>
      </c>
      <c r="I536" s="195">
        <f>IF(B536="","",C536*'入力・概要'!$B$35*1E-9)</f>
        <v/>
      </c>
      <c r="J536" s="195">
        <f>IF(B536="","",H536+'入力・概要'!$B$30*F536)</f>
        <v/>
      </c>
      <c r="K536" s="195">
        <f>IF(B536="","",I536+'入力・概要'!$B$30*G536)</f>
        <v/>
      </c>
      <c r="L536" s="195">
        <f>IF(B536="","",'入力・概要'!$B$30+H536*F536-I536*G536)</f>
        <v/>
      </c>
      <c r="M536" s="195">
        <f>IF(B536="","",H536*G536+I536*F536)</f>
        <v/>
      </c>
      <c r="N536" s="195">
        <f>IF(B536="","",'入力・概要'!$B$30*(J536*L536+K536*M536)/(L536^2+M536^2))</f>
        <v/>
      </c>
      <c r="O536" s="195">
        <f>IF(B536="","",'入力・概要'!$B$30*(K536*L536-J536*M536)/(L536^2+M536^2))</f>
        <v/>
      </c>
      <c r="P536" s="195">
        <f>IF(B536="","",N536+'入力・概要'!$B$36)</f>
        <v/>
      </c>
      <c r="Q536" s="195">
        <f>IF(B536="","",O536+C536*'入力・概要'!$B$37*1E-9)</f>
        <v/>
      </c>
      <c r="R536" s="195">
        <f>IF(B536="","",SQRT(P536^2+Q536^2))</f>
        <v/>
      </c>
      <c r="S536" s="195">
        <f>IF(B536="","",IF(P536&gt;0,DEGREES(ATAN(Q536/P536)),IF(P536&lt;0,IF(Q536&gt;=0,DEGREES(ATAN(Q536/P536))+180,DEGREES(ATAN(Q536/P536))-180),IF(Q536&gt;0,90,IF(Q536&lt;0,-90,0)))))</f>
        <v/>
      </c>
      <c r="T536" s="195">
        <f>IF(B536="","",LOG10(B536))</f>
        <v/>
      </c>
      <c r="U536" s="195">
        <f>IF(R536="","",LOG10(MAX(R536,1E-12)))</f>
        <v/>
      </c>
    </row>
    <row r="537">
      <c r="A537" t="n">
        <v>534</v>
      </c>
      <c r="B537" s="196">
        <f>IF(A537&lt;='入力・概要'!$B$40,10^(LOG10('入力・概要'!$B$38)+(A537-1)*(LOG10('入力・概要'!$B$39)-LOG10('入力・概要'!$B$38))/('入力・概要'!$B$40-1)),"")</f>
        <v/>
      </c>
      <c r="C537" s="195">
        <f>IF(B537="","",2*PI()*B537)</f>
        <v/>
      </c>
      <c r="D537" s="195">
        <f>IF(B537="","",ATANH(MIN(0.999999,(2*'入力・概要'!$B$17*'入力・概要'!$B$6)/'入力・概要'!$B$30))+'入力・概要'!$B$33*SQRT(B537/1E6)+(2*PI()*B537*'入力・概要'!$B$6/(299792458*'入力・概要'!$B$31))*'入力・概要'!$B$32/2)</f>
        <v/>
      </c>
      <c r="E537" s="195">
        <f>IF(B537="","",2*PI()*B537*'入力・概要'!$B$6/(299792458*'入力・概要'!$B$31))</f>
        <v/>
      </c>
      <c r="F537" s="195">
        <f>IF(B537="","",SINH(2*D537)/(COSH(2*D537)+COS(2*E537)))</f>
        <v/>
      </c>
      <c r="G537" s="195">
        <f>IF(B537="","",SIN(2*E537)/(COSH(2*D537)+COS(2*E537)))</f>
        <v/>
      </c>
      <c r="H537" s="195">
        <f>IF(B537="","",'入力・概要'!$B$34)</f>
        <v/>
      </c>
      <c r="I537" s="195">
        <f>IF(B537="","",C537*'入力・概要'!$B$35*1E-9)</f>
        <v/>
      </c>
      <c r="J537" s="195">
        <f>IF(B537="","",H537+'入力・概要'!$B$30*F537)</f>
        <v/>
      </c>
      <c r="K537" s="195">
        <f>IF(B537="","",I537+'入力・概要'!$B$30*G537)</f>
        <v/>
      </c>
      <c r="L537" s="195">
        <f>IF(B537="","",'入力・概要'!$B$30+H537*F537-I537*G537)</f>
        <v/>
      </c>
      <c r="M537" s="195">
        <f>IF(B537="","",H537*G537+I537*F537)</f>
        <v/>
      </c>
      <c r="N537" s="195">
        <f>IF(B537="","",'入力・概要'!$B$30*(J537*L537+K537*M537)/(L537^2+M537^2))</f>
        <v/>
      </c>
      <c r="O537" s="195">
        <f>IF(B537="","",'入力・概要'!$B$30*(K537*L537-J537*M537)/(L537^2+M537^2))</f>
        <v/>
      </c>
      <c r="P537" s="195">
        <f>IF(B537="","",N537+'入力・概要'!$B$36)</f>
        <v/>
      </c>
      <c r="Q537" s="195">
        <f>IF(B537="","",O537+C537*'入力・概要'!$B$37*1E-9)</f>
        <v/>
      </c>
      <c r="R537" s="195">
        <f>IF(B537="","",SQRT(P537^2+Q537^2))</f>
        <v/>
      </c>
      <c r="S537" s="195">
        <f>IF(B537="","",IF(P537&gt;0,DEGREES(ATAN(Q537/P537)),IF(P537&lt;0,IF(Q537&gt;=0,DEGREES(ATAN(Q537/P537))+180,DEGREES(ATAN(Q537/P537))-180),IF(Q537&gt;0,90,IF(Q537&lt;0,-90,0)))))</f>
        <v/>
      </c>
      <c r="T537" s="195">
        <f>IF(B537="","",LOG10(B537))</f>
        <v/>
      </c>
      <c r="U537" s="195">
        <f>IF(R537="","",LOG10(MAX(R537,1E-12)))</f>
        <v/>
      </c>
    </row>
    <row r="538">
      <c r="A538" t="n">
        <v>535</v>
      </c>
      <c r="B538" s="196">
        <f>IF(A538&lt;='入力・概要'!$B$40,10^(LOG10('入力・概要'!$B$38)+(A538-1)*(LOG10('入力・概要'!$B$39)-LOG10('入力・概要'!$B$38))/('入力・概要'!$B$40-1)),"")</f>
        <v/>
      </c>
      <c r="C538" s="195">
        <f>IF(B538="","",2*PI()*B538)</f>
        <v/>
      </c>
      <c r="D538" s="195">
        <f>IF(B538="","",ATANH(MIN(0.999999,(2*'入力・概要'!$B$17*'入力・概要'!$B$6)/'入力・概要'!$B$30))+'入力・概要'!$B$33*SQRT(B538/1E6)+(2*PI()*B538*'入力・概要'!$B$6/(299792458*'入力・概要'!$B$31))*'入力・概要'!$B$32/2)</f>
        <v/>
      </c>
      <c r="E538" s="195">
        <f>IF(B538="","",2*PI()*B538*'入力・概要'!$B$6/(299792458*'入力・概要'!$B$31))</f>
        <v/>
      </c>
      <c r="F538" s="195">
        <f>IF(B538="","",SINH(2*D538)/(COSH(2*D538)+COS(2*E538)))</f>
        <v/>
      </c>
      <c r="G538" s="195">
        <f>IF(B538="","",SIN(2*E538)/(COSH(2*D538)+COS(2*E538)))</f>
        <v/>
      </c>
      <c r="H538" s="195">
        <f>IF(B538="","",'入力・概要'!$B$34)</f>
        <v/>
      </c>
      <c r="I538" s="195">
        <f>IF(B538="","",C538*'入力・概要'!$B$35*1E-9)</f>
        <v/>
      </c>
      <c r="J538" s="195">
        <f>IF(B538="","",H538+'入力・概要'!$B$30*F538)</f>
        <v/>
      </c>
      <c r="K538" s="195">
        <f>IF(B538="","",I538+'入力・概要'!$B$30*G538)</f>
        <v/>
      </c>
      <c r="L538" s="195">
        <f>IF(B538="","",'入力・概要'!$B$30+H538*F538-I538*G538)</f>
        <v/>
      </c>
      <c r="M538" s="195">
        <f>IF(B538="","",H538*G538+I538*F538)</f>
        <v/>
      </c>
      <c r="N538" s="195">
        <f>IF(B538="","",'入力・概要'!$B$30*(J538*L538+K538*M538)/(L538^2+M538^2))</f>
        <v/>
      </c>
      <c r="O538" s="195">
        <f>IF(B538="","",'入力・概要'!$B$30*(K538*L538-J538*M538)/(L538^2+M538^2))</f>
        <v/>
      </c>
      <c r="P538" s="195">
        <f>IF(B538="","",N538+'入力・概要'!$B$36)</f>
        <v/>
      </c>
      <c r="Q538" s="195">
        <f>IF(B538="","",O538+C538*'入力・概要'!$B$37*1E-9)</f>
        <v/>
      </c>
      <c r="R538" s="195">
        <f>IF(B538="","",SQRT(P538^2+Q538^2))</f>
        <v/>
      </c>
      <c r="S538" s="195">
        <f>IF(B538="","",IF(P538&gt;0,DEGREES(ATAN(Q538/P538)),IF(P538&lt;0,IF(Q538&gt;=0,DEGREES(ATAN(Q538/P538))+180,DEGREES(ATAN(Q538/P538))-180),IF(Q538&gt;0,90,IF(Q538&lt;0,-90,0)))))</f>
        <v/>
      </c>
      <c r="T538" s="195">
        <f>IF(B538="","",LOG10(B538))</f>
        <v/>
      </c>
      <c r="U538" s="195">
        <f>IF(R538="","",LOG10(MAX(R538,1E-12)))</f>
        <v/>
      </c>
    </row>
    <row r="539">
      <c r="A539" t="n">
        <v>536</v>
      </c>
      <c r="B539" s="196">
        <f>IF(A539&lt;='入力・概要'!$B$40,10^(LOG10('入力・概要'!$B$38)+(A539-1)*(LOG10('入力・概要'!$B$39)-LOG10('入力・概要'!$B$38))/('入力・概要'!$B$40-1)),"")</f>
        <v/>
      </c>
      <c r="C539" s="195">
        <f>IF(B539="","",2*PI()*B539)</f>
        <v/>
      </c>
      <c r="D539" s="195">
        <f>IF(B539="","",ATANH(MIN(0.999999,(2*'入力・概要'!$B$17*'入力・概要'!$B$6)/'入力・概要'!$B$30))+'入力・概要'!$B$33*SQRT(B539/1E6)+(2*PI()*B539*'入力・概要'!$B$6/(299792458*'入力・概要'!$B$31))*'入力・概要'!$B$32/2)</f>
        <v/>
      </c>
      <c r="E539" s="195">
        <f>IF(B539="","",2*PI()*B539*'入力・概要'!$B$6/(299792458*'入力・概要'!$B$31))</f>
        <v/>
      </c>
      <c r="F539" s="195">
        <f>IF(B539="","",SINH(2*D539)/(COSH(2*D539)+COS(2*E539)))</f>
        <v/>
      </c>
      <c r="G539" s="195">
        <f>IF(B539="","",SIN(2*E539)/(COSH(2*D539)+COS(2*E539)))</f>
        <v/>
      </c>
      <c r="H539" s="195">
        <f>IF(B539="","",'入力・概要'!$B$34)</f>
        <v/>
      </c>
      <c r="I539" s="195">
        <f>IF(B539="","",C539*'入力・概要'!$B$35*1E-9)</f>
        <v/>
      </c>
      <c r="J539" s="195">
        <f>IF(B539="","",H539+'入力・概要'!$B$30*F539)</f>
        <v/>
      </c>
      <c r="K539" s="195">
        <f>IF(B539="","",I539+'入力・概要'!$B$30*G539)</f>
        <v/>
      </c>
      <c r="L539" s="195">
        <f>IF(B539="","",'入力・概要'!$B$30+H539*F539-I539*G539)</f>
        <v/>
      </c>
      <c r="M539" s="195">
        <f>IF(B539="","",H539*G539+I539*F539)</f>
        <v/>
      </c>
      <c r="N539" s="195">
        <f>IF(B539="","",'入力・概要'!$B$30*(J539*L539+K539*M539)/(L539^2+M539^2))</f>
        <v/>
      </c>
      <c r="O539" s="195">
        <f>IF(B539="","",'入力・概要'!$B$30*(K539*L539-J539*M539)/(L539^2+M539^2))</f>
        <v/>
      </c>
      <c r="P539" s="195">
        <f>IF(B539="","",N539+'入力・概要'!$B$36)</f>
        <v/>
      </c>
      <c r="Q539" s="195">
        <f>IF(B539="","",O539+C539*'入力・概要'!$B$37*1E-9)</f>
        <v/>
      </c>
      <c r="R539" s="195">
        <f>IF(B539="","",SQRT(P539^2+Q539^2))</f>
        <v/>
      </c>
      <c r="S539" s="195">
        <f>IF(B539="","",IF(P539&gt;0,DEGREES(ATAN(Q539/P539)),IF(P539&lt;0,IF(Q539&gt;=0,DEGREES(ATAN(Q539/P539))+180,DEGREES(ATAN(Q539/P539))-180),IF(Q539&gt;0,90,IF(Q539&lt;0,-90,0)))))</f>
        <v/>
      </c>
      <c r="T539" s="195">
        <f>IF(B539="","",LOG10(B539))</f>
        <v/>
      </c>
      <c r="U539" s="195">
        <f>IF(R539="","",LOG10(MAX(R539,1E-12)))</f>
        <v/>
      </c>
    </row>
    <row r="540">
      <c r="A540" t="n">
        <v>537</v>
      </c>
      <c r="B540" s="196">
        <f>IF(A540&lt;='入力・概要'!$B$40,10^(LOG10('入力・概要'!$B$38)+(A540-1)*(LOG10('入力・概要'!$B$39)-LOG10('入力・概要'!$B$38))/('入力・概要'!$B$40-1)),"")</f>
        <v/>
      </c>
      <c r="C540" s="195">
        <f>IF(B540="","",2*PI()*B540)</f>
        <v/>
      </c>
      <c r="D540" s="195">
        <f>IF(B540="","",ATANH(MIN(0.999999,(2*'入力・概要'!$B$17*'入力・概要'!$B$6)/'入力・概要'!$B$30))+'入力・概要'!$B$33*SQRT(B540/1E6)+(2*PI()*B540*'入力・概要'!$B$6/(299792458*'入力・概要'!$B$31))*'入力・概要'!$B$32/2)</f>
        <v/>
      </c>
      <c r="E540" s="195">
        <f>IF(B540="","",2*PI()*B540*'入力・概要'!$B$6/(299792458*'入力・概要'!$B$31))</f>
        <v/>
      </c>
      <c r="F540" s="195">
        <f>IF(B540="","",SINH(2*D540)/(COSH(2*D540)+COS(2*E540)))</f>
        <v/>
      </c>
      <c r="G540" s="195">
        <f>IF(B540="","",SIN(2*E540)/(COSH(2*D540)+COS(2*E540)))</f>
        <v/>
      </c>
      <c r="H540" s="195">
        <f>IF(B540="","",'入力・概要'!$B$34)</f>
        <v/>
      </c>
      <c r="I540" s="195">
        <f>IF(B540="","",C540*'入力・概要'!$B$35*1E-9)</f>
        <v/>
      </c>
      <c r="J540" s="195">
        <f>IF(B540="","",H540+'入力・概要'!$B$30*F540)</f>
        <v/>
      </c>
      <c r="K540" s="195">
        <f>IF(B540="","",I540+'入力・概要'!$B$30*G540)</f>
        <v/>
      </c>
      <c r="L540" s="195">
        <f>IF(B540="","",'入力・概要'!$B$30+H540*F540-I540*G540)</f>
        <v/>
      </c>
      <c r="M540" s="195">
        <f>IF(B540="","",H540*G540+I540*F540)</f>
        <v/>
      </c>
      <c r="N540" s="195">
        <f>IF(B540="","",'入力・概要'!$B$30*(J540*L540+K540*M540)/(L540^2+M540^2))</f>
        <v/>
      </c>
      <c r="O540" s="195">
        <f>IF(B540="","",'入力・概要'!$B$30*(K540*L540-J540*M540)/(L540^2+M540^2))</f>
        <v/>
      </c>
      <c r="P540" s="195">
        <f>IF(B540="","",N540+'入力・概要'!$B$36)</f>
        <v/>
      </c>
      <c r="Q540" s="195">
        <f>IF(B540="","",O540+C540*'入力・概要'!$B$37*1E-9)</f>
        <v/>
      </c>
      <c r="R540" s="195">
        <f>IF(B540="","",SQRT(P540^2+Q540^2))</f>
        <v/>
      </c>
      <c r="S540" s="195">
        <f>IF(B540="","",IF(P540&gt;0,DEGREES(ATAN(Q540/P540)),IF(P540&lt;0,IF(Q540&gt;=0,DEGREES(ATAN(Q540/P540))+180,DEGREES(ATAN(Q540/P540))-180),IF(Q540&gt;0,90,IF(Q540&lt;0,-90,0)))))</f>
        <v/>
      </c>
      <c r="T540" s="195">
        <f>IF(B540="","",LOG10(B540))</f>
        <v/>
      </c>
      <c r="U540" s="195">
        <f>IF(R540="","",LOG10(MAX(R540,1E-12)))</f>
        <v/>
      </c>
    </row>
    <row r="541">
      <c r="A541" t="n">
        <v>538</v>
      </c>
      <c r="B541" s="196">
        <f>IF(A541&lt;='入力・概要'!$B$40,10^(LOG10('入力・概要'!$B$38)+(A541-1)*(LOG10('入力・概要'!$B$39)-LOG10('入力・概要'!$B$38))/('入力・概要'!$B$40-1)),"")</f>
        <v/>
      </c>
      <c r="C541" s="195">
        <f>IF(B541="","",2*PI()*B541)</f>
        <v/>
      </c>
      <c r="D541" s="195">
        <f>IF(B541="","",ATANH(MIN(0.999999,(2*'入力・概要'!$B$17*'入力・概要'!$B$6)/'入力・概要'!$B$30))+'入力・概要'!$B$33*SQRT(B541/1E6)+(2*PI()*B541*'入力・概要'!$B$6/(299792458*'入力・概要'!$B$31))*'入力・概要'!$B$32/2)</f>
        <v/>
      </c>
      <c r="E541" s="195">
        <f>IF(B541="","",2*PI()*B541*'入力・概要'!$B$6/(299792458*'入力・概要'!$B$31))</f>
        <v/>
      </c>
      <c r="F541" s="195">
        <f>IF(B541="","",SINH(2*D541)/(COSH(2*D541)+COS(2*E541)))</f>
        <v/>
      </c>
      <c r="G541" s="195">
        <f>IF(B541="","",SIN(2*E541)/(COSH(2*D541)+COS(2*E541)))</f>
        <v/>
      </c>
      <c r="H541" s="195">
        <f>IF(B541="","",'入力・概要'!$B$34)</f>
        <v/>
      </c>
      <c r="I541" s="195">
        <f>IF(B541="","",C541*'入力・概要'!$B$35*1E-9)</f>
        <v/>
      </c>
      <c r="J541" s="195">
        <f>IF(B541="","",H541+'入力・概要'!$B$30*F541)</f>
        <v/>
      </c>
      <c r="K541" s="195">
        <f>IF(B541="","",I541+'入力・概要'!$B$30*G541)</f>
        <v/>
      </c>
      <c r="L541" s="195">
        <f>IF(B541="","",'入力・概要'!$B$30+H541*F541-I541*G541)</f>
        <v/>
      </c>
      <c r="M541" s="195">
        <f>IF(B541="","",H541*G541+I541*F541)</f>
        <v/>
      </c>
      <c r="N541" s="195">
        <f>IF(B541="","",'入力・概要'!$B$30*(J541*L541+K541*M541)/(L541^2+M541^2))</f>
        <v/>
      </c>
      <c r="O541" s="195">
        <f>IF(B541="","",'入力・概要'!$B$30*(K541*L541-J541*M541)/(L541^2+M541^2))</f>
        <v/>
      </c>
      <c r="P541" s="195">
        <f>IF(B541="","",N541+'入力・概要'!$B$36)</f>
        <v/>
      </c>
      <c r="Q541" s="195">
        <f>IF(B541="","",O541+C541*'入力・概要'!$B$37*1E-9)</f>
        <v/>
      </c>
      <c r="R541" s="195">
        <f>IF(B541="","",SQRT(P541^2+Q541^2))</f>
        <v/>
      </c>
      <c r="S541" s="195">
        <f>IF(B541="","",IF(P541&gt;0,DEGREES(ATAN(Q541/P541)),IF(P541&lt;0,IF(Q541&gt;=0,DEGREES(ATAN(Q541/P541))+180,DEGREES(ATAN(Q541/P541))-180),IF(Q541&gt;0,90,IF(Q541&lt;0,-90,0)))))</f>
        <v/>
      </c>
      <c r="T541" s="195">
        <f>IF(B541="","",LOG10(B541))</f>
        <v/>
      </c>
      <c r="U541" s="195">
        <f>IF(R541="","",LOG10(MAX(R541,1E-12)))</f>
        <v/>
      </c>
    </row>
    <row r="542">
      <c r="A542" t="n">
        <v>539</v>
      </c>
      <c r="B542" s="196">
        <f>IF(A542&lt;='入力・概要'!$B$40,10^(LOG10('入力・概要'!$B$38)+(A542-1)*(LOG10('入力・概要'!$B$39)-LOG10('入力・概要'!$B$38))/('入力・概要'!$B$40-1)),"")</f>
        <v/>
      </c>
      <c r="C542" s="195">
        <f>IF(B542="","",2*PI()*B542)</f>
        <v/>
      </c>
      <c r="D542" s="195">
        <f>IF(B542="","",ATANH(MIN(0.999999,(2*'入力・概要'!$B$17*'入力・概要'!$B$6)/'入力・概要'!$B$30))+'入力・概要'!$B$33*SQRT(B542/1E6)+(2*PI()*B542*'入力・概要'!$B$6/(299792458*'入力・概要'!$B$31))*'入力・概要'!$B$32/2)</f>
        <v/>
      </c>
      <c r="E542" s="195">
        <f>IF(B542="","",2*PI()*B542*'入力・概要'!$B$6/(299792458*'入力・概要'!$B$31))</f>
        <v/>
      </c>
      <c r="F542" s="195">
        <f>IF(B542="","",SINH(2*D542)/(COSH(2*D542)+COS(2*E542)))</f>
        <v/>
      </c>
      <c r="G542" s="195">
        <f>IF(B542="","",SIN(2*E542)/(COSH(2*D542)+COS(2*E542)))</f>
        <v/>
      </c>
      <c r="H542" s="195">
        <f>IF(B542="","",'入力・概要'!$B$34)</f>
        <v/>
      </c>
      <c r="I542" s="195">
        <f>IF(B542="","",C542*'入力・概要'!$B$35*1E-9)</f>
        <v/>
      </c>
      <c r="J542" s="195">
        <f>IF(B542="","",H542+'入力・概要'!$B$30*F542)</f>
        <v/>
      </c>
      <c r="K542" s="195">
        <f>IF(B542="","",I542+'入力・概要'!$B$30*G542)</f>
        <v/>
      </c>
      <c r="L542" s="195">
        <f>IF(B542="","",'入力・概要'!$B$30+H542*F542-I542*G542)</f>
        <v/>
      </c>
      <c r="M542" s="195">
        <f>IF(B542="","",H542*G542+I542*F542)</f>
        <v/>
      </c>
      <c r="N542" s="195">
        <f>IF(B542="","",'入力・概要'!$B$30*(J542*L542+K542*M542)/(L542^2+M542^2))</f>
        <v/>
      </c>
      <c r="O542" s="195">
        <f>IF(B542="","",'入力・概要'!$B$30*(K542*L542-J542*M542)/(L542^2+M542^2))</f>
        <v/>
      </c>
      <c r="P542" s="195">
        <f>IF(B542="","",N542+'入力・概要'!$B$36)</f>
        <v/>
      </c>
      <c r="Q542" s="195">
        <f>IF(B542="","",O542+C542*'入力・概要'!$B$37*1E-9)</f>
        <v/>
      </c>
      <c r="R542" s="195">
        <f>IF(B542="","",SQRT(P542^2+Q542^2))</f>
        <v/>
      </c>
      <c r="S542" s="195">
        <f>IF(B542="","",IF(P542&gt;0,DEGREES(ATAN(Q542/P542)),IF(P542&lt;0,IF(Q542&gt;=0,DEGREES(ATAN(Q542/P542))+180,DEGREES(ATAN(Q542/P542))-180),IF(Q542&gt;0,90,IF(Q542&lt;0,-90,0)))))</f>
        <v/>
      </c>
      <c r="T542" s="195">
        <f>IF(B542="","",LOG10(B542))</f>
        <v/>
      </c>
      <c r="U542" s="195">
        <f>IF(R542="","",LOG10(MAX(R542,1E-12)))</f>
        <v/>
      </c>
    </row>
    <row r="543">
      <c r="A543" t="n">
        <v>540</v>
      </c>
      <c r="B543" s="196">
        <f>IF(A543&lt;='入力・概要'!$B$40,10^(LOG10('入力・概要'!$B$38)+(A543-1)*(LOG10('入力・概要'!$B$39)-LOG10('入力・概要'!$B$38))/('入力・概要'!$B$40-1)),"")</f>
        <v/>
      </c>
      <c r="C543" s="195">
        <f>IF(B543="","",2*PI()*B543)</f>
        <v/>
      </c>
      <c r="D543" s="195">
        <f>IF(B543="","",ATANH(MIN(0.999999,(2*'入力・概要'!$B$17*'入力・概要'!$B$6)/'入力・概要'!$B$30))+'入力・概要'!$B$33*SQRT(B543/1E6)+(2*PI()*B543*'入力・概要'!$B$6/(299792458*'入力・概要'!$B$31))*'入力・概要'!$B$32/2)</f>
        <v/>
      </c>
      <c r="E543" s="195">
        <f>IF(B543="","",2*PI()*B543*'入力・概要'!$B$6/(299792458*'入力・概要'!$B$31))</f>
        <v/>
      </c>
      <c r="F543" s="195">
        <f>IF(B543="","",SINH(2*D543)/(COSH(2*D543)+COS(2*E543)))</f>
        <v/>
      </c>
      <c r="G543" s="195">
        <f>IF(B543="","",SIN(2*E543)/(COSH(2*D543)+COS(2*E543)))</f>
        <v/>
      </c>
      <c r="H543" s="195">
        <f>IF(B543="","",'入力・概要'!$B$34)</f>
        <v/>
      </c>
      <c r="I543" s="195">
        <f>IF(B543="","",C543*'入力・概要'!$B$35*1E-9)</f>
        <v/>
      </c>
      <c r="J543" s="195">
        <f>IF(B543="","",H543+'入力・概要'!$B$30*F543)</f>
        <v/>
      </c>
      <c r="K543" s="195">
        <f>IF(B543="","",I543+'入力・概要'!$B$30*G543)</f>
        <v/>
      </c>
      <c r="L543" s="195">
        <f>IF(B543="","",'入力・概要'!$B$30+H543*F543-I543*G543)</f>
        <v/>
      </c>
      <c r="M543" s="195">
        <f>IF(B543="","",H543*G543+I543*F543)</f>
        <v/>
      </c>
      <c r="N543" s="195">
        <f>IF(B543="","",'入力・概要'!$B$30*(J543*L543+K543*M543)/(L543^2+M543^2))</f>
        <v/>
      </c>
      <c r="O543" s="195">
        <f>IF(B543="","",'入力・概要'!$B$30*(K543*L543-J543*M543)/(L543^2+M543^2))</f>
        <v/>
      </c>
      <c r="P543" s="195">
        <f>IF(B543="","",N543+'入力・概要'!$B$36)</f>
        <v/>
      </c>
      <c r="Q543" s="195">
        <f>IF(B543="","",O543+C543*'入力・概要'!$B$37*1E-9)</f>
        <v/>
      </c>
      <c r="R543" s="195">
        <f>IF(B543="","",SQRT(P543^2+Q543^2))</f>
        <v/>
      </c>
      <c r="S543" s="195">
        <f>IF(B543="","",IF(P543&gt;0,DEGREES(ATAN(Q543/P543)),IF(P543&lt;0,IF(Q543&gt;=0,DEGREES(ATAN(Q543/P543))+180,DEGREES(ATAN(Q543/P543))-180),IF(Q543&gt;0,90,IF(Q543&lt;0,-90,0)))))</f>
        <v/>
      </c>
      <c r="T543" s="195">
        <f>IF(B543="","",LOG10(B543))</f>
        <v/>
      </c>
      <c r="U543" s="195">
        <f>IF(R543="","",LOG10(MAX(R543,1E-12)))</f>
        <v/>
      </c>
    </row>
    <row r="544">
      <c r="A544" t="n">
        <v>541</v>
      </c>
      <c r="B544" s="196">
        <f>IF(A544&lt;='入力・概要'!$B$40,10^(LOG10('入力・概要'!$B$38)+(A544-1)*(LOG10('入力・概要'!$B$39)-LOG10('入力・概要'!$B$38))/('入力・概要'!$B$40-1)),"")</f>
        <v/>
      </c>
      <c r="C544" s="195">
        <f>IF(B544="","",2*PI()*B544)</f>
        <v/>
      </c>
      <c r="D544" s="195">
        <f>IF(B544="","",ATANH(MIN(0.999999,(2*'入力・概要'!$B$17*'入力・概要'!$B$6)/'入力・概要'!$B$30))+'入力・概要'!$B$33*SQRT(B544/1E6)+(2*PI()*B544*'入力・概要'!$B$6/(299792458*'入力・概要'!$B$31))*'入力・概要'!$B$32/2)</f>
        <v/>
      </c>
      <c r="E544" s="195">
        <f>IF(B544="","",2*PI()*B544*'入力・概要'!$B$6/(299792458*'入力・概要'!$B$31))</f>
        <v/>
      </c>
      <c r="F544" s="195">
        <f>IF(B544="","",SINH(2*D544)/(COSH(2*D544)+COS(2*E544)))</f>
        <v/>
      </c>
      <c r="G544" s="195">
        <f>IF(B544="","",SIN(2*E544)/(COSH(2*D544)+COS(2*E544)))</f>
        <v/>
      </c>
      <c r="H544" s="195">
        <f>IF(B544="","",'入力・概要'!$B$34)</f>
        <v/>
      </c>
      <c r="I544" s="195">
        <f>IF(B544="","",C544*'入力・概要'!$B$35*1E-9)</f>
        <v/>
      </c>
      <c r="J544" s="195">
        <f>IF(B544="","",H544+'入力・概要'!$B$30*F544)</f>
        <v/>
      </c>
      <c r="K544" s="195">
        <f>IF(B544="","",I544+'入力・概要'!$B$30*G544)</f>
        <v/>
      </c>
      <c r="L544" s="195">
        <f>IF(B544="","",'入力・概要'!$B$30+H544*F544-I544*G544)</f>
        <v/>
      </c>
      <c r="M544" s="195">
        <f>IF(B544="","",H544*G544+I544*F544)</f>
        <v/>
      </c>
      <c r="N544" s="195">
        <f>IF(B544="","",'入力・概要'!$B$30*(J544*L544+K544*M544)/(L544^2+M544^2))</f>
        <v/>
      </c>
      <c r="O544" s="195">
        <f>IF(B544="","",'入力・概要'!$B$30*(K544*L544-J544*M544)/(L544^2+M544^2))</f>
        <v/>
      </c>
      <c r="P544" s="195">
        <f>IF(B544="","",N544+'入力・概要'!$B$36)</f>
        <v/>
      </c>
      <c r="Q544" s="195">
        <f>IF(B544="","",O544+C544*'入力・概要'!$B$37*1E-9)</f>
        <v/>
      </c>
      <c r="R544" s="195">
        <f>IF(B544="","",SQRT(P544^2+Q544^2))</f>
        <v/>
      </c>
      <c r="S544" s="195">
        <f>IF(B544="","",IF(P544&gt;0,DEGREES(ATAN(Q544/P544)),IF(P544&lt;0,IF(Q544&gt;=0,DEGREES(ATAN(Q544/P544))+180,DEGREES(ATAN(Q544/P544))-180),IF(Q544&gt;0,90,IF(Q544&lt;0,-90,0)))))</f>
        <v/>
      </c>
      <c r="T544" s="195">
        <f>IF(B544="","",LOG10(B544))</f>
        <v/>
      </c>
      <c r="U544" s="195">
        <f>IF(R544="","",LOG10(MAX(R544,1E-12)))</f>
        <v/>
      </c>
    </row>
    <row r="545">
      <c r="A545" t="n">
        <v>542</v>
      </c>
      <c r="B545" s="196">
        <f>IF(A545&lt;='入力・概要'!$B$40,10^(LOG10('入力・概要'!$B$38)+(A545-1)*(LOG10('入力・概要'!$B$39)-LOG10('入力・概要'!$B$38))/('入力・概要'!$B$40-1)),"")</f>
        <v/>
      </c>
      <c r="C545" s="195">
        <f>IF(B545="","",2*PI()*B545)</f>
        <v/>
      </c>
      <c r="D545" s="195">
        <f>IF(B545="","",ATANH(MIN(0.999999,(2*'入力・概要'!$B$17*'入力・概要'!$B$6)/'入力・概要'!$B$30))+'入力・概要'!$B$33*SQRT(B545/1E6)+(2*PI()*B545*'入力・概要'!$B$6/(299792458*'入力・概要'!$B$31))*'入力・概要'!$B$32/2)</f>
        <v/>
      </c>
      <c r="E545" s="195">
        <f>IF(B545="","",2*PI()*B545*'入力・概要'!$B$6/(299792458*'入力・概要'!$B$31))</f>
        <v/>
      </c>
      <c r="F545" s="195">
        <f>IF(B545="","",SINH(2*D545)/(COSH(2*D545)+COS(2*E545)))</f>
        <v/>
      </c>
      <c r="G545" s="195">
        <f>IF(B545="","",SIN(2*E545)/(COSH(2*D545)+COS(2*E545)))</f>
        <v/>
      </c>
      <c r="H545" s="195">
        <f>IF(B545="","",'入力・概要'!$B$34)</f>
        <v/>
      </c>
      <c r="I545" s="195">
        <f>IF(B545="","",C545*'入力・概要'!$B$35*1E-9)</f>
        <v/>
      </c>
      <c r="J545" s="195">
        <f>IF(B545="","",H545+'入力・概要'!$B$30*F545)</f>
        <v/>
      </c>
      <c r="K545" s="195">
        <f>IF(B545="","",I545+'入力・概要'!$B$30*G545)</f>
        <v/>
      </c>
      <c r="L545" s="195">
        <f>IF(B545="","",'入力・概要'!$B$30+H545*F545-I545*G545)</f>
        <v/>
      </c>
      <c r="M545" s="195">
        <f>IF(B545="","",H545*G545+I545*F545)</f>
        <v/>
      </c>
      <c r="N545" s="195">
        <f>IF(B545="","",'入力・概要'!$B$30*(J545*L545+K545*M545)/(L545^2+M545^2))</f>
        <v/>
      </c>
      <c r="O545" s="195">
        <f>IF(B545="","",'入力・概要'!$B$30*(K545*L545-J545*M545)/(L545^2+M545^2))</f>
        <v/>
      </c>
      <c r="P545" s="195">
        <f>IF(B545="","",N545+'入力・概要'!$B$36)</f>
        <v/>
      </c>
      <c r="Q545" s="195">
        <f>IF(B545="","",O545+C545*'入力・概要'!$B$37*1E-9)</f>
        <v/>
      </c>
      <c r="R545" s="195">
        <f>IF(B545="","",SQRT(P545^2+Q545^2))</f>
        <v/>
      </c>
      <c r="S545" s="195">
        <f>IF(B545="","",IF(P545&gt;0,DEGREES(ATAN(Q545/P545)),IF(P545&lt;0,IF(Q545&gt;=0,DEGREES(ATAN(Q545/P545))+180,DEGREES(ATAN(Q545/P545))-180),IF(Q545&gt;0,90,IF(Q545&lt;0,-90,0)))))</f>
        <v/>
      </c>
      <c r="T545" s="195">
        <f>IF(B545="","",LOG10(B545))</f>
        <v/>
      </c>
      <c r="U545" s="195">
        <f>IF(R545="","",LOG10(MAX(R545,1E-12)))</f>
        <v/>
      </c>
    </row>
    <row r="546">
      <c r="A546" t="n">
        <v>543</v>
      </c>
      <c r="B546" s="196">
        <f>IF(A546&lt;='入力・概要'!$B$40,10^(LOG10('入力・概要'!$B$38)+(A546-1)*(LOG10('入力・概要'!$B$39)-LOG10('入力・概要'!$B$38))/('入力・概要'!$B$40-1)),"")</f>
        <v/>
      </c>
      <c r="C546" s="195">
        <f>IF(B546="","",2*PI()*B546)</f>
        <v/>
      </c>
      <c r="D546" s="195">
        <f>IF(B546="","",ATANH(MIN(0.999999,(2*'入力・概要'!$B$17*'入力・概要'!$B$6)/'入力・概要'!$B$30))+'入力・概要'!$B$33*SQRT(B546/1E6)+(2*PI()*B546*'入力・概要'!$B$6/(299792458*'入力・概要'!$B$31))*'入力・概要'!$B$32/2)</f>
        <v/>
      </c>
      <c r="E546" s="195">
        <f>IF(B546="","",2*PI()*B546*'入力・概要'!$B$6/(299792458*'入力・概要'!$B$31))</f>
        <v/>
      </c>
      <c r="F546" s="195">
        <f>IF(B546="","",SINH(2*D546)/(COSH(2*D546)+COS(2*E546)))</f>
        <v/>
      </c>
      <c r="G546" s="195">
        <f>IF(B546="","",SIN(2*E546)/(COSH(2*D546)+COS(2*E546)))</f>
        <v/>
      </c>
      <c r="H546" s="195">
        <f>IF(B546="","",'入力・概要'!$B$34)</f>
        <v/>
      </c>
      <c r="I546" s="195">
        <f>IF(B546="","",C546*'入力・概要'!$B$35*1E-9)</f>
        <v/>
      </c>
      <c r="J546" s="195">
        <f>IF(B546="","",H546+'入力・概要'!$B$30*F546)</f>
        <v/>
      </c>
      <c r="K546" s="195">
        <f>IF(B546="","",I546+'入力・概要'!$B$30*G546)</f>
        <v/>
      </c>
      <c r="L546" s="195">
        <f>IF(B546="","",'入力・概要'!$B$30+H546*F546-I546*G546)</f>
        <v/>
      </c>
      <c r="M546" s="195">
        <f>IF(B546="","",H546*G546+I546*F546)</f>
        <v/>
      </c>
      <c r="N546" s="195">
        <f>IF(B546="","",'入力・概要'!$B$30*(J546*L546+K546*M546)/(L546^2+M546^2))</f>
        <v/>
      </c>
      <c r="O546" s="195">
        <f>IF(B546="","",'入力・概要'!$B$30*(K546*L546-J546*M546)/(L546^2+M546^2))</f>
        <v/>
      </c>
      <c r="P546" s="195">
        <f>IF(B546="","",N546+'入力・概要'!$B$36)</f>
        <v/>
      </c>
      <c r="Q546" s="195">
        <f>IF(B546="","",O546+C546*'入力・概要'!$B$37*1E-9)</f>
        <v/>
      </c>
      <c r="R546" s="195">
        <f>IF(B546="","",SQRT(P546^2+Q546^2))</f>
        <v/>
      </c>
      <c r="S546" s="195">
        <f>IF(B546="","",IF(P546&gt;0,DEGREES(ATAN(Q546/P546)),IF(P546&lt;0,IF(Q546&gt;=0,DEGREES(ATAN(Q546/P546))+180,DEGREES(ATAN(Q546/P546))-180),IF(Q546&gt;0,90,IF(Q546&lt;0,-90,0)))))</f>
        <v/>
      </c>
      <c r="T546" s="195">
        <f>IF(B546="","",LOG10(B546))</f>
        <v/>
      </c>
      <c r="U546" s="195">
        <f>IF(R546="","",LOG10(MAX(R546,1E-12)))</f>
        <v/>
      </c>
    </row>
    <row r="547">
      <c r="A547" t="n">
        <v>544</v>
      </c>
      <c r="B547" s="196">
        <f>IF(A547&lt;='入力・概要'!$B$40,10^(LOG10('入力・概要'!$B$38)+(A547-1)*(LOG10('入力・概要'!$B$39)-LOG10('入力・概要'!$B$38))/('入力・概要'!$B$40-1)),"")</f>
        <v/>
      </c>
      <c r="C547" s="195">
        <f>IF(B547="","",2*PI()*B547)</f>
        <v/>
      </c>
      <c r="D547" s="195">
        <f>IF(B547="","",ATANH(MIN(0.999999,(2*'入力・概要'!$B$17*'入力・概要'!$B$6)/'入力・概要'!$B$30))+'入力・概要'!$B$33*SQRT(B547/1E6)+(2*PI()*B547*'入力・概要'!$B$6/(299792458*'入力・概要'!$B$31))*'入力・概要'!$B$32/2)</f>
        <v/>
      </c>
      <c r="E547" s="195">
        <f>IF(B547="","",2*PI()*B547*'入力・概要'!$B$6/(299792458*'入力・概要'!$B$31))</f>
        <v/>
      </c>
      <c r="F547" s="195">
        <f>IF(B547="","",SINH(2*D547)/(COSH(2*D547)+COS(2*E547)))</f>
        <v/>
      </c>
      <c r="G547" s="195">
        <f>IF(B547="","",SIN(2*E547)/(COSH(2*D547)+COS(2*E547)))</f>
        <v/>
      </c>
      <c r="H547" s="195">
        <f>IF(B547="","",'入力・概要'!$B$34)</f>
        <v/>
      </c>
      <c r="I547" s="195">
        <f>IF(B547="","",C547*'入力・概要'!$B$35*1E-9)</f>
        <v/>
      </c>
      <c r="J547" s="195">
        <f>IF(B547="","",H547+'入力・概要'!$B$30*F547)</f>
        <v/>
      </c>
      <c r="K547" s="195">
        <f>IF(B547="","",I547+'入力・概要'!$B$30*G547)</f>
        <v/>
      </c>
      <c r="L547" s="195">
        <f>IF(B547="","",'入力・概要'!$B$30+H547*F547-I547*G547)</f>
        <v/>
      </c>
      <c r="M547" s="195">
        <f>IF(B547="","",H547*G547+I547*F547)</f>
        <v/>
      </c>
      <c r="N547" s="195">
        <f>IF(B547="","",'入力・概要'!$B$30*(J547*L547+K547*M547)/(L547^2+M547^2))</f>
        <v/>
      </c>
      <c r="O547" s="195">
        <f>IF(B547="","",'入力・概要'!$B$30*(K547*L547-J547*M547)/(L547^2+M547^2))</f>
        <v/>
      </c>
      <c r="P547" s="195">
        <f>IF(B547="","",N547+'入力・概要'!$B$36)</f>
        <v/>
      </c>
      <c r="Q547" s="195">
        <f>IF(B547="","",O547+C547*'入力・概要'!$B$37*1E-9)</f>
        <v/>
      </c>
      <c r="R547" s="195">
        <f>IF(B547="","",SQRT(P547^2+Q547^2))</f>
        <v/>
      </c>
      <c r="S547" s="195">
        <f>IF(B547="","",IF(P547&gt;0,DEGREES(ATAN(Q547/P547)),IF(P547&lt;0,IF(Q547&gt;=0,DEGREES(ATAN(Q547/P547))+180,DEGREES(ATAN(Q547/P547))-180),IF(Q547&gt;0,90,IF(Q547&lt;0,-90,0)))))</f>
        <v/>
      </c>
      <c r="T547" s="195">
        <f>IF(B547="","",LOG10(B547))</f>
        <v/>
      </c>
      <c r="U547" s="195">
        <f>IF(R547="","",LOG10(MAX(R547,1E-12)))</f>
        <v/>
      </c>
    </row>
    <row r="548">
      <c r="A548" t="n">
        <v>545</v>
      </c>
      <c r="B548" s="196">
        <f>IF(A548&lt;='入力・概要'!$B$40,10^(LOG10('入力・概要'!$B$38)+(A548-1)*(LOG10('入力・概要'!$B$39)-LOG10('入力・概要'!$B$38))/('入力・概要'!$B$40-1)),"")</f>
        <v/>
      </c>
      <c r="C548" s="195">
        <f>IF(B548="","",2*PI()*B548)</f>
        <v/>
      </c>
      <c r="D548" s="195">
        <f>IF(B548="","",ATANH(MIN(0.999999,(2*'入力・概要'!$B$17*'入力・概要'!$B$6)/'入力・概要'!$B$30))+'入力・概要'!$B$33*SQRT(B548/1E6)+(2*PI()*B548*'入力・概要'!$B$6/(299792458*'入力・概要'!$B$31))*'入力・概要'!$B$32/2)</f>
        <v/>
      </c>
      <c r="E548" s="195">
        <f>IF(B548="","",2*PI()*B548*'入力・概要'!$B$6/(299792458*'入力・概要'!$B$31))</f>
        <v/>
      </c>
      <c r="F548" s="195">
        <f>IF(B548="","",SINH(2*D548)/(COSH(2*D548)+COS(2*E548)))</f>
        <v/>
      </c>
      <c r="G548" s="195">
        <f>IF(B548="","",SIN(2*E548)/(COSH(2*D548)+COS(2*E548)))</f>
        <v/>
      </c>
      <c r="H548" s="195">
        <f>IF(B548="","",'入力・概要'!$B$34)</f>
        <v/>
      </c>
      <c r="I548" s="195">
        <f>IF(B548="","",C548*'入力・概要'!$B$35*1E-9)</f>
        <v/>
      </c>
      <c r="J548" s="195">
        <f>IF(B548="","",H548+'入力・概要'!$B$30*F548)</f>
        <v/>
      </c>
      <c r="K548" s="195">
        <f>IF(B548="","",I548+'入力・概要'!$B$30*G548)</f>
        <v/>
      </c>
      <c r="L548" s="195">
        <f>IF(B548="","",'入力・概要'!$B$30+H548*F548-I548*G548)</f>
        <v/>
      </c>
      <c r="M548" s="195">
        <f>IF(B548="","",H548*G548+I548*F548)</f>
        <v/>
      </c>
      <c r="N548" s="195">
        <f>IF(B548="","",'入力・概要'!$B$30*(J548*L548+K548*M548)/(L548^2+M548^2))</f>
        <v/>
      </c>
      <c r="O548" s="195">
        <f>IF(B548="","",'入力・概要'!$B$30*(K548*L548-J548*M548)/(L548^2+M548^2))</f>
        <v/>
      </c>
      <c r="P548" s="195">
        <f>IF(B548="","",N548+'入力・概要'!$B$36)</f>
        <v/>
      </c>
      <c r="Q548" s="195">
        <f>IF(B548="","",O548+C548*'入力・概要'!$B$37*1E-9)</f>
        <v/>
      </c>
      <c r="R548" s="195">
        <f>IF(B548="","",SQRT(P548^2+Q548^2))</f>
        <v/>
      </c>
      <c r="S548" s="195">
        <f>IF(B548="","",IF(P548&gt;0,DEGREES(ATAN(Q548/P548)),IF(P548&lt;0,IF(Q548&gt;=0,DEGREES(ATAN(Q548/P548))+180,DEGREES(ATAN(Q548/P548))-180),IF(Q548&gt;0,90,IF(Q548&lt;0,-90,0)))))</f>
        <v/>
      </c>
      <c r="T548" s="195">
        <f>IF(B548="","",LOG10(B548))</f>
        <v/>
      </c>
      <c r="U548" s="195">
        <f>IF(R548="","",LOG10(MAX(R548,1E-12)))</f>
        <v/>
      </c>
    </row>
    <row r="549">
      <c r="A549" t="n">
        <v>546</v>
      </c>
      <c r="B549" s="196">
        <f>IF(A549&lt;='入力・概要'!$B$40,10^(LOG10('入力・概要'!$B$38)+(A549-1)*(LOG10('入力・概要'!$B$39)-LOG10('入力・概要'!$B$38))/('入力・概要'!$B$40-1)),"")</f>
        <v/>
      </c>
      <c r="C549" s="195">
        <f>IF(B549="","",2*PI()*B549)</f>
        <v/>
      </c>
      <c r="D549" s="195">
        <f>IF(B549="","",ATANH(MIN(0.999999,(2*'入力・概要'!$B$17*'入力・概要'!$B$6)/'入力・概要'!$B$30))+'入力・概要'!$B$33*SQRT(B549/1E6)+(2*PI()*B549*'入力・概要'!$B$6/(299792458*'入力・概要'!$B$31))*'入力・概要'!$B$32/2)</f>
        <v/>
      </c>
      <c r="E549" s="195">
        <f>IF(B549="","",2*PI()*B549*'入力・概要'!$B$6/(299792458*'入力・概要'!$B$31))</f>
        <v/>
      </c>
      <c r="F549" s="195">
        <f>IF(B549="","",SINH(2*D549)/(COSH(2*D549)+COS(2*E549)))</f>
        <v/>
      </c>
      <c r="G549" s="195">
        <f>IF(B549="","",SIN(2*E549)/(COSH(2*D549)+COS(2*E549)))</f>
        <v/>
      </c>
      <c r="H549" s="195">
        <f>IF(B549="","",'入力・概要'!$B$34)</f>
        <v/>
      </c>
      <c r="I549" s="195">
        <f>IF(B549="","",C549*'入力・概要'!$B$35*1E-9)</f>
        <v/>
      </c>
      <c r="J549" s="195">
        <f>IF(B549="","",H549+'入力・概要'!$B$30*F549)</f>
        <v/>
      </c>
      <c r="K549" s="195">
        <f>IF(B549="","",I549+'入力・概要'!$B$30*G549)</f>
        <v/>
      </c>
      <c r="L549" s="195">
        <f>IF(B549="","",'入力・概要'!$B$30+H549*F549-I549*G549)</f>
        <v/>
      </c>
      <c r="M549" s="195">
        <f>IF(B549="","",H549*G549+I549*F549)</f>
        <v/>
      </c>
      <c r="N549" s="195">
        <f>IF(B549="","",'入力・概要'!$B$30*(J549*L549+K549*M549)/(L549^2+M549^2))</f>
        <v/>
      </c>
      <c r="O549" s="195">
        <f>IF(B549="","",'入力・概要'!$B$30*(K549*L549-J549*M549)/(L549^2+M549^2))</f>
        <v/>
      </c>
      <c r="P549" s="195">
        <f>IF(B549="","",N549+'入力・概要'!$B$36)</f>
        <v/>
      </c>
      <c r="Q549" s="195">
        <f>IF(B549="","",O549+C549*'入力・概要'!$B$37*1E-9)</f>
        <v/>
      </c>
      <c r="R549" s="195">
        <f>IF(B549="","",SQRT(P549^2+Q549^2))</f>
        <v/>
      </c>
      <c r="S549" s="195">
        <f>IF(B549="","",IF(P549&gt;0,DEGREES(ATAN(Q549/P549)),IF(P549&lt;0,IF(Q549&gt;=0,DEGREES(ATAN(Q549/P549))+180,DEGREES(ATAN(Q549/P549))-180),IF(Q549&gt;0,90,IF(Q549&lt;0,-90,0)))))</f>
        <v/>
      </c>
      <c r="T549" s="195">
        <f>IF(B549="","",LOG10(B549))</f>
        <v/>
      </c>
      <c r="U549" s="195">
        <f>IF(R549="","",LOG10(MAX(R549,1E-12)))</f>
        <v/>
      </c>
    </row>
    <row r="550">
      <c r="A550" t="n">
        <v>547</v>
      </c>
      <c r="B550" s="196">
        <f>IF(A550&lt;='入力・概要'!$B$40,10^(LOG10('入力・概要'!$B$38)+(A550-1)*(LOG10('入力・概要'!$B$39)-LOG10('入力・概要'!$B$38))/('入力・概要'!$B$40-1)),"")</f>
        <v/>
      </c>
      <c r="C550" s="195">
        <f>IF(B550="","",2*PI()*B550)</f>
        <v/>
      </c>
      <c r="D550" s="195">
        <f>IF(B550="","",ATANH(MIN(0.999999,(2*'入力・概要'!$B$17*'入力・概要'!$B$6)/'入力・概要'!$B$30))+'入力・概要'!$B$33*SQRT(B550/1E6)+(2*PI()*B550*'入力・概要'!$B$6/(299792458*'入力・概要'!$B$31))*'入力・概要'!$B$32/2)</f>
        <v/>
      </c>
      <c r="E550" s="195">
        <f>IF(B550="","",2*PI()*B550*'入力・概要'!$B$6/(299792458*'入力・概要'!$B$31))</f>
        <v/>
      </c>
      <c r="F550" s="195">
        <f>IF(B550="","",SINH(2*D550)/(COSH(2*D550)+COS(2*E550)))</f>
        <v/>
      </c>
      <c r="G550" s="195">
        <f>IF(B550="","",SIN(2*E550)/(COSH(2*D550)+COS(2*E550)))</f>
        <v/>
      </c>
      <c r="H550" s="195">
        <f>IF(B550="","",'入力・概要'!$B$34)</f>
        <v/>
      </c>
      <c r="I550" s="195">
        <f>IF(B550="","",C550*'入力・概要'!$B$35*1E-9)</f>
        <v/>
      </c>
      <c r="J550" s="195">
        <f>IF(B550="","",H550+'入力・概要'!$B$30*F550)</f>
        <v/>
      </c>
      <c r="K550" s="195">
        <f>IF(B550="","",I550+'入力・概要'!$B$30*G550)</f>
        <v/>
      </c>
      <c r="L550" s="195">
        <f>IF(B550="","",'入力・概要'!$B$30+H550*F550-I550*G550)</f>
        <v/>
      </c>
      <c r="M550" s="195">
        <f>IF(B550="","",H550*G550+I550*F550)</f>
        <v/>
      </c>
      <c r="N550" s="195">
        <f>IF(B550="","",'入力・概要'!$B$30*(J550*L550+K550*M550)/(L550^2+M550^2))</f>
        <v/>
      </c>
      <c r="O550" s="195">
        <f>IF(B550="","",'入力・概要'!$B$30*(K550*L550-J550*M550)/(L550^2+M550^2))</f>
        <v/>
      </c>
      <c r="P550" s="195">
        <f>IF(B550="","",N550+'入力・概要'!$B$36)</f>
        <v/>
      </c>
      <c r="Q550" s="195">
        <f>IF(B550="","",O550+C550*'入力・概要'!$B$37*1E-9)</f>
        <v/>
      </c>
      <c r="R550" s="195">
        <f>IF(B550="","",SQRT(P550^2+Q550^2))</f>
        <v/>
      </c>
      <c r="S550" s="195">
        <f>IF(B550="","",IF(P550&gt;0,DEGREES(ATAN(Q550/P550)),IF(P550&lt;0,IF(Q550&gt;=0,DEGREES(ATAN(Q550/P550))+180,DEGREES(ATAN(Q550/P550))-180),IF(Q550&gt;0,90,IF(Q550&lt;0,-90,0)))))</f>
        <v/>
      </c>
      <c r="T550" s="195">
        <f>IF(B550="","",LOG10(B550))</f>
        <v/>
      </c>
      <c r="U550" s="195">
        <f>IF(R550="","",LOG10(MAX(R550,1E-12)))</f>
        <v/>
      </c>
    </row>
    <row r="551">
      <c r="A551" t="n">
        <v>548</v>
      </c>
      <c r="B551" s="196">
        <f>IF(A551&lt;='入力・概要'!$B$40,10^(LOG10('入力・概要'!$B$38)+(A551-1)*(LOG10('入力・概要'!$B$39)-LOG10('入力・概要'!$B$38))/('入力・概要'!$B$40-1)),"")</f>
        <v/>
      </c>
      <c r="C551" s="195">
        <f>IF(B551="","",2*PI()*B551)</f>
        <v/>
      </c>
      <c r="D551" s="195">
        <f>IF(B551="","",ATANH(MIN(0.999999,(2*'入力・概要'!$B$17*'入力・概要'!$B$6)/'入力・概要'!$B$30))+'入力・概要'!$B$33*SQRT(B551/1E6)+(2*PI()*B551*'入力・概要'!$B$6/(299792458*'入力・概要'!$B$31))*'入力・概要'!$B$32/2)</f>
        <v/>
      </c>
      <c r="E551" s="195">
        <f>IF(B551="","",2*PI()*B551*'入力・概要'!$B$6/(299792458*'入力・概要'!$B$31))</f>
        <v/>
      </c>
      <c r="F551" s="195">
        <f>IF(B551="","",SINH(2*D551)/(COSH(2*D551)+COS(2*E551)))</f>
        <v/>
      </c>
      <c r="G551" s="195">
        <f>IF(B551="","",SIN(2*E551)/(COSH(2*D551)+COS(2*E551)))</f>
        <v/>
      </c>
      <c r="H551" s="195">
        <f>IF(B551="","",'入力・概要'!$B$34)</f>
        <v/>
      </c>
      <c r="I551" s="195">
        <f>IF(B551="","",C551*'入力・概要'!$B$35*1E-9)</f>
        <v/>
      </c>
      <c r="J551" s="195">
        <f>IF(B551="","",H551+'入力・概要'!$B$30*F551)</f>
        <v/>
      </c>
      <c r="K551" s="195">
        <f>IF(B551="","",I551+'入力・概要'!$B$30*G551)</f>
        <v/>
      </c>
      <c r="L551" s="195">
        <f>IF(B551="","",'入力・概要'!$B$30+H551*F551-I551*G551)</f>
        <v/>
      </c>
      <c r="M551" s="195">
        <f>IF(B551="","",H551*G551+I551*F551)</f>
        <v/>
      </c>
      <c r="N551" s="195">
        <f>IF(B551="","",'入力・概要'!$B$30*(J551*L551+K551*M551)/(L551^2+M551^2))</f>
        <v/>
      </c>
      <c r="O551" s="195">
        <f>IF(B551="","",'入力・概要'!$B$30*(K551*L551-J551*M551)/(L551^2+M551^2))</f>
        <v/>
      </c>
      <c r="P551" s="195">
        <f>IF(B551="","",N551+'入力・概要'!$B$36)</f>
        <v/>
      </c>
      <c r="Q551" s="195">
        <f>IF(B551="","",O551+C551*'入力・概要'!$B$37*1E-9)</f>
        <v/>
      </c>
      <c r="R551" s="195">
        <f>IF(B551="","",SQRT(P551^2+Q551^2))</f>
        <v/>
      </c>
      <c r="S551" s="195">
        <f>IF(B551="","",IF(P551&gt;0,DEGREES(ATAN(Q551/P551)),IF(P551&lt;0,IF(Q551&gt;=0,DEGREES(ATAN(Q551/P551))+180,DEGREES(ATAN(Q551/P551))-180),IF(Q551&gt;0,90,IF(Q551&lt;0,-90,0)))))</f>
        <v/>
      </c>
      <c r="T551" s="195">
        <f>IF(B551="","",LOG10(B551))</f>
        <v/>
      </c>
      <c r="U551" s="195">
        <f>IF(R551="","",LOG10(MAX(R551,1E-12)))</f>
        <v/>
      </c>
    </row>
    <row r="552">
      <c r="A552" t="n">
        <v>549</v>
      </c>
      <c r="B552" s="196">
        <f>IF(A552&lt;='入力・概要'!$B$40,10^(LOG10('入力・概要'!$B$38)+(A552-1)*(LOG10('入力・概要'!$B$39)-LOG10('入力・概要'!$B$38))/('入力・概要'!$B$40-1)),"")</f>
        <v/>
      </c>
      <c r="C552" s="195">
        <f>IF(B552="","",2*PI()*B552)</f>
        <v/>
      </c>
      <c r="D552" s="195">
        <f>IF(B552="","",ATANH(MIN(0.999999,(2*'入力・概要'!$B$17*'入力・概要'!$B$6)/'入力・概要'!$B$30))+'入力・概要'!$B$33*SQRT(B552/1E6)+(2*PI()*B552*'入力・概要'!$B$6/(299792458*'入力・概要'!$B$31))*'入力・概要'!$B$32/2)</f>
        <v/>
      </c>
      <c r="E552" s="195">
        <f>IF(B552="","",2*PI()*B552*'入力・概要'!$B$6/(299792458*'入力・概要'!$B$31))</f>
        <v/>
      </c>
      <c r="F552" s="195">
        <f>IF(B552="","",SINH(2*D552)/(COSH(2*D552)+COS(2*E552)))</f>
        <v/>
      </c>
      <c r="G552" s="195">
        <f>IF(B552="","",SIN(2*E552)/(COSH(2*D552)+COS(2*E552)))</f>
        <v/>
      </c>
      <c r="H552" s="195">
        <f>IF(B552="","",'入力・概要'!$B$34)</f>
        <v/>
      </c>
      <c r="I552" s="195">
        <f>IF(B552="","",C552*'入力・概要'!$B$35*1E-9)</f>
        <v/>
      </c>
      <c r="J552" s="195">
        <f>IF(B552="","",H552+'入力・概要'!$B$30*F552)</f>
        <v/>
      </c>
      <c r="K552" s="195">
        <f>IF(B552="","",I552+'入力・概要'!$B$30*G552)</f>
        <v/>
      </c>
      <c r="L552" s="195">
        <f>IF(B552="","",'入力・概要'!$B$30+H552*F552-I552*G552)</f>
        <v/>
      </c>
      <c r="M552" s="195">
        <f>IF(B552="","",H552*G552+I552*F552)</f>
        <v/>
      </c>
      <c r="N552" s="195">
        <f>IF(B552="","",'入力・概要'!$B$30*(J552*L552+K552*M552)/(L552^2+M552^2))</f>
        <v/>
      </c>
      <c r="O552" s="195">
        <f>IF(B552="","",'入力・概要'!$B$30*(K552*L552-J552*M552)/(L552^2+M552^2))</f>
        <v/>
      </c>
      <c r="P552" s="195">
        <f>IF(B552="","",N552+'入力・概要'!$B$36)</f>
        <v/>
      </c>
      <c r="Q552" s="195">
        <f>IF(B552="","",O552+C552*'入力・概要'!$B$37*1E-9)</f>
        <v/>
      </c>
      <c r="R552" s="195">
        <f>IF(B552="","",SQRT(P552^2+Q552^2))</f>
        <v/>
      </c>
      <c r="S552" s="195">
        <f>IF(B552="","",IF(P552&gt;0,DEGREES(ATAN(Q552/P552)),IF(P552&lt;0,IF(Q552&gt;=0,DEGREES(ATAN(Q552/P552))+180,DEGREES(ATAN(Q552/P552))-180),IF(Q552&gt;0,90,IF(Q552&lt;0,-90,0)))))</f>
        <v/>
      </c>
      <c r="T552" s="195">
        <f>IF(B552="","",LOG10(B552))</f>
        <v/>
      </c>
      <c r="U552" s="195">
        <f>IF(R552="","",LOG10(MAX(R552,1E-12)))</f>
        <v/>
      </c>
    </row>
    <row r="553">
      <c r="A553" t="n">
        <v>550</v>
      </c>
      <c r="B553" s="196">
        <f>IF(A553&lt;='入力・概要'!$B$40,10^(LOG10('入力・概要'!$B$38)+(A553-1)*(LOG10('入力・概要'!$B$39)-LOG10('入力・概要'!$B$38))/('入力・概要'!$B$40-1)),"")</f>
        <v/>
      </c>
      <c r="C553" s="195">
        <f>IF(B553="","",2*PI()*B553)</f>
        <v/>
      </c>
      <c r="D553" s="195">
        <f>IF(B553="","",ATANH(MIN(0.999999,(2*'入力・概要'!$B$17*'入力・概要'!$B$6)/'入力・概要'!$B$30))+'入力・概要'!$B$33*SQRT(B553/1E6)+(2*PI()*B553*'入力・概要'!$B$6/(299792458*'入力・概要'!$B$31))*'入力・概要'!$B$32/2)</f>
        <v/>
      </c>
      <c r="E553" s="195">
        <f>IF(B553="","",2*PI()*B553*'入力・概要'!$B$6/(299792458*'入力・概要'!$B$31))</f>
        <v/>
      </c>
      <c r="F553" s="195">
        <f>IF(B553="","",SINH(2*D553)/(COSH(2*D553)+COS(2*E553)))</f>
        <v/>
      </c>
      <c r="G553" s="195">
        <f>IF(B553="","",SIN(2*E553)/(COSH(2*D553)+COS(2*E553)))</f>
        <v/>
      </c>
      <c r="H553" s="195">
        <f>IF(B553="","",'入力・概要'!$B$34)</f>
        <v/>
      </c>
      <c r="I553" s="195">
        <f>IF(B553="","",C553*'入力・概要'!$B$35*1E-9)</f>
        <v/>
      </c>
      <c r="J553" s="195">
        <f>IF(B553="","",H553+'入力・概要'!$B$30*F553)</f>
        <v/>
      </c>
      <c r="K553" s="195">
        <f>IF(B553="","",I553+'入力・概要'!$B$30*G553)</f>
        <v/>
      </c>
      <c r="L553" s="195">
        <f>IF(B553="","",'入力・概要'!$B$30+H553*F553-I553*G553)</f>
        <v/>
      </c>
      <c r="M553" s="195">
        <f>IF(B553="","",H553*G553+I553*F553)</f>
        <v/>
      </c>
      <c r="N553" s="195">
        <f>IF(B553="","",'入力・概要'!$B$30*(J553*L553+K553*M553)/(L553^2+M553^2))</f>
        <v/>
      </c>
      <c r="O553" s="195">
        <f>IF(B553="","",'入力・概要'!$B$30*(K553*L553-J553*M553)/(L553^2+M553^2))</f>
        <v/>
      </c>
      <c r="P553" s="195">
        <f>IF(B553="","",N553+'入力・概要'!$B$36)</f>
        <v/>
      </c>
      <c r="Q553" s="195">
        <f>IF(B553="","",O553+C553*'入力・概要'!$B$37*1E-9)</f>
        <v/>
      </c>
      <c r="R553" s="195">
        <f>IF(B553="","",SQRT(P553^2+Q553^2))</f>
        <v/>
      </c>
      <c r="S553" s="195">
        <f>IF(B553="","",IF(P553&gt;0,DEGREES(ATAN(Q553/P553)),IF(P553&lt;0,IF(Q553&gt;=0,DEGREES(ATAN(Q553/P553))+180,DEGREES(ATAN(Q553/P553))-180),IF(Q553&gt;0,90,IF(Q553&lt;0,-90,0)))))</f>
        <v/>
      </c>
      <c r="T553" s="195">
        <f>IF(B553="","",LOG10(B553))</f>
        <v/>
      </c>
      <c r="U553" s="195">
        <f>IF(R553="","",LOG10(MAX(R553,1E-12)))</f>
        <v/>
      </c>
    </row>
    <row r="554">
      <c r="A554" t="n">
        <v>551</v>
      </c>
      <c r="B554" s="196">
        <f>IF(A554&lt;='入力・概要'!$B$40,10^(LOG10('入力・概要'!$B$38)+(A554-1)*(LOG10('入力・概要'!$B$39)-LOG10('入力・概要'!$B$38))/('入力・概要'!$B$40-1)),"")</f>
        <v/>
      </c>
      <c r="C554" s="195">
        <f>IF(B554="","",2*PI()*B554)</f>
        <v/>
      </c>
      <c r="D554" s="195">
        <f>IF(B554="","",ATANH(MIN(0.999999,(2*'入力・概要'!$B$17*'入力・概要'!$B$6)/'入力・概要'!$B$30))+'入力・概要'!$B$33*SQRT(B554/1E6)+(2*PI()*B554*'入力・概要'!$B$6/(299792458*'入力・概要'!$B$31))*'入力・概要'!$B$32/2)</f>
        <v/>
      </c>
      <c r="E554" s="195">
        <f>IF(B554="","",2*PI()*B554*'入力・概要'!$B$6/(299792458*'入力・概要'!$B$31))</f>
        <v/>
      </c>
      <c r="F554" s="195">
        <f>IF(B554="","",SINH(2*D554)/(COSH(2*D554)+COS(2*E554)))</f>
        <v/>
      </c>
      <c r="G554" s="195">
        <f>IF(B554="","",SIN(2*E554)/(COSH(2*D554)+COS(2*E554)))</f>
        <v/>
      </c>
      <c r="H554" s="195">
        <f>IF(B554="","",'入力・概要'!$B$34)</f>
        <v/>
      </c>
      <c r="I554" s="195">
        <f>IF(B554="","",C554*'入力・概要'!$B$35*1E-9)</f>
        <v/>
      </c>
      <c r="J554" s="195">
        <f>IF(B554="","",H554+'入力・概要'!$B$30*F554)</f>
        <v/>
      </c>
      <c r="K554" s="195">
        <f>IF(B554="","",I554+'入力・概要'!$B$30*G554)</f>
        <v/>
      </c>
      <c r="L554" s="195">
        <f>IF(B554="","",'入力・概要'!$B$30+H554*F554-I554*G554)</f>
        <v/>
      </c>
      <c r="M554" s="195">
        <f>IF(B554="","",H554*G554+I554*F554)</f>
        <v/>
      </c>
      <c r="N554" s="195">
        <f>IF(B554="","",'入力・概要'!$B$30*(J554*L554+K554*M554)/(L554^2+M554^2))</f>
        <v/>
      </c>
      <c r="O554" s="195">
        <f>IF(B554="","",'入力・概要'!$B$30*(K554*L554-J554*M554)/(L554^2+M554^2))</f>
        <v/>
      </c>
      <c r="P554" s="195">
        <f>IF(B554="","",N554+'入力・概要'!$B$36)</f>
        <v/>
      </c>
      <c r="Q554" s="195">
        <f>IF(B554="","",O554+C554*'入力・概要'!$B$37*1E-9)</f>
        <v/>
      </c>
      <c r="R554" s="195">
        <f>IF(B554="","",SQRT(P554^2+Q554^2))</f>
        <v/>
      </c>
      <c r="S554" s="195">
        <f>IF(B554="","",IF(P554&gt;0,DEGREES(ATAN(Q554/P554)),IF(P554&lt;0,IF(Q554&gt;=0,DEGREES(ATAN(Q554/P554))+180,DEGREES(ATAN(Q554/P554))-180),IF(Q554&gt;0,90,IF(Q554&lt;0,-90,0)))))</f>
        <v/>
      </c>
      <c r="T554" s="195">
        <f>IF(B554="","",LOG10(B554))</f>
        <v/>
      </c>
      <c r="U554" s="195">
        <f>IF(R554="","",LOG10(MAX(R554,1E-12)))</f>
        <v/>
      </c>
    </row>
    <row r="555">
      <c r="A555" t="n">
        <v>552</v>
      </c>
      <c r="B555" s="196">
        <f>IF(A555&lt;='入力・概要'!$B$40,10^(LOG10('入力・概要'!$B$38)+(A555-1)*(LOG10('入力・概要'!$B$39)-LOG10('入力・概要'!$B$38))/('入力・概要'!$B$40-1)),"")</f>
        <v/>
      </c>
      <c r="C555" s="195">
        <f>IF(B555="","",2*PI()*B555)</f>
        <v/>
      </c>
      <c r="D555" s="195">
        <f>IF(B555="","",ATANH(MIN(0.999999,(2*'入力・概要'!$B$17*'入力・概要'!$B$6)/'入力・概要'!$B$30))+'入力・概要'!$B$33*SQRT(B555/1E6)+(2*PI()*B555*'入力・概要'!$B$6/(299792458*'入力・概要'!$B$31))*'入力・概要'!$B$32/2)</f>
        <v/>
      </c>
      <c r="E555" s="195">
        <f>IF(B555="","",2*PI()*B555*'入力・概要'!$B$6/(299792458*'入力・概要'!$B$31))</f>
        <v/>
      </c>
      <c r="F555" s="195">
        <f>IF(B555="","",SINH(2*D555)/(COSH(2*D555)+COS(2*E555)))</f>
        <v/>
      </c>
      <c r="G555" s="195">
        <f>IF(B555="","",SIN(2*E555)/(COSH(2*D555)+COS(2*E555)))</f>
        <v/>
      </c>
      <c r="H555" s="195">
        <f>IF(B555="","",'入力・概要'!$B$34)</f>
        <v/>
      </c>
      <c r="I555" s="195">
        <f>IF(B555="","",C555*'入力・概要'!$B$35*1E-9)</f>
        <v/>
      </c>
      <c r="J555" s="195">
        <f>IF(B555="","",H555+'入力・概要'!$B$30*F555)</f>
        <v/>
      </c>
      <c r="K555" s="195">
        <f>IF(B555="","",I555+'入力・概要'!$B$30*G555)</f>
        <v/>
      </c>
      <c r="L555" s="195">
        <f>IF(B555="","",'入力・概要'!$B$30+H555*F555-I555*G555)</f>
        <v/>
      </c>
      <c r="M555" s="195">
        <f>IF(B555="","",H555*G555+I555*F555)</f>
        <v/>
      </c>
      <c r="N555" s="195">
        <f>IF(B555="","",'入力・概要'!$B$30*(J555*L555+K555*M555)/(L555^2+M555^2))</f>
        <v/>
      </c>
      <c r="O555" s="195">
        <f>IF(B555="","",'入力・概要'!$B$30*(K555*L555-J555*M555)/(L555^2+M555^2))</f>
        <v/>
      </c>
      <c r="P555" s="195">
        <f>IF(B555="","",N555+'入力・概要'!$B$36)</f>
        <v/>
      </c>
      <c r="Q555" s="195">
        <f>IF(B555="","",O555+C555*'入力・概要'!$B$37*1E-9)</f>
        <v/>
      </c>
      <c r="R555" s="195">
        <f>IF(B555="","",SQRT(P555^2+Q555^2))</f>
        <v/>
      </c>
      <c r="S555" s="195">
        <f>IF(B555="","",IF(P555&gt;0,DEGREES(ATAN(Q555/P555)),IF(P555&lt;0,IF(Q555&gt;=0,DEGREES(ATAN(Q555/P555))+180,DEGREES(ATAN(Q555/P555))-180),IF(Q555&gt;0,90,IF(Q555&lt;0,-90,0)))))</f>
        <v/>
      </c>
      <c r="T555" s="195">
        <f>IF(B555="","",LOG10(B555))</f>
        <v/>
      </c>
      <c r="U555" s="195">
        <f>IF(R555="","",LOG10(MAX(R555,1E-12)))</f>
        <v/>
      </c>
    </row>
    <row r="556">
      <c r="A556" t="n">
        <v>553</v>
      </c>
      <c r="B556" s="196">
        <f>IF(A556&lt;='入力・概要'!$B$40,10^(LOG10('入力・概要'!$B$38)+(A556-1)*(LOG10('入力・概要'!$B$39)-LOG10('入力・概要'!$B$38))/('入力・概要'!$B$40-1)),"")</f>
        <v/>
      </c>
      <c r="C556" s="195">
        <f>IF(B556="","",2*PI()*B556)</f>
        <v/>
      </c>
      <c r="D556" s="195">
        <f>IF(B556="","",ATANH(MIN(0.999999,(2*'入力・概要'!$B$17*'入力・概要'!$B$6)/'入力・概要'!$B$30))+'入力・概要'!$B$33*SQRT(B556/1E6)+(2*PI()*B556*'入力・概要'!$B$6/(299792458*'入力・概要'!$B$31))*'入力・概要'!$B$32/2)</f>
        <v/>
      </c>
      <c r="E556" s="195">
        <f>IF(B556="","",2*PI()*B556*'入力・概要'!$B$6/(299792458*'入力・概要'!$B$31))</f>
        <v/>
      </c>
      <c r="F556" s="195">
        <f>IF(B556="","",SINH(2*D556)/(COSH(2*D556)+COS(2*E556)))</f>
        <v/>
      </c>
      <c r="G556" s="195">
        <f>IF(B556="","",SIN(2*E556)/(COSH(2*D556)+COS(2*E556)))</f>
        <v/>
      </c>
      <c r="H556" s="195">
        <f>IF(B556="","",'入力・概要'!$B$34)</f>
        <v/>
      </c>
      <c r="I556" s="195">
        <f>IF(B556="","",C556*'入力・概要'!$B$35*1E-9)</f>
        <v/>
      </c>
      <c r="J556" s="195">
        <f>IF(B556="","",H556+'入力・概要'!$B$30*F556)</f>
        <v/>
      </c>
      <c r="K556" s="195">
        <f>IF(B556="","",I556+'入力・概要'!$B$30*G556)</f>
        <v/>
      </c>
      <c r="L556" s="195">
        <f>IF(B556="","",'入力・概要'!$B$30+H556*F556-I556*G556)</f>
        <v/>
      </c>
      <c r="M556" s="195">
        <f>IF(B556="","",H556*G556+I556*F556)</f>
        <v/>
      </c>
      <c r="N556" s="195">
        <f>IF(B556="","",'入力・概要'!$B$30*(J556*L556+K556*M556)/(L556^2+M556^2))</f>
        <v/>
      </c>
      <c r="O556" s="195">
        <f>IF(B556="","",'入力・概要'!$B$30*(K556*L556-J556*M556)/(L556^2+M556^2))</f>
        <v/>
      </c>
      <c r="P556" s="195">
        <f>IF(B556="","",N556+'入力・概要'!$B$36)</f>
        <v/>
      </c>
      <c r="Q556" s="195">
        <f>IF(B556="","",O556+C556*'入力・概要'!$B$37*1E-9)</f>
        <v/>
      </c>
      <c r="R556" s="195">
        <f>IF(B556="","",SQRT(P556^2+Q556^2))</f>
        <v/>
      </c>
      <c r="S556" s="195">
        <f>IF(B556="","",IF(P556&gt;0,DEGREES(ATAN(Q556/P556)),IF(P556&lt;0,IF(Q556&gt;=0,DEGREES(ATAN(Q556/P556))+180,DEGREES(ATAN(Q556/P556))-180),IF(Q556&gt;0,90,IF(Q556&lt;0,-90,0)))))</f>
        <v/>
      </c>
      <c r="T556" s="195">
        <f>IF(B556="","",LOG10(B556))</f>
        <v/>
      </c>
      <c r="U556" s="195">
        <f>IF(R556="","",LOG10(MAX(R556,1E-12)))</f>
        <v/>
      </c>
    </row>
    <row r="557">
      <c r="A557" t="n">
        <v>554</v>
      </c>
      <c r="B557" s="196">
        <f>IF(A557&lt;='入力・概要'!$B$40,10^(LOG10('入力・概要'!$B$38)+(A557-1)*(LOG10('入力・概要'!$B$39)-LOG10('入力・概要'!$B$38))/('入力・概要'!$B$40-1)),"")</f>
        <v/>
      </c>
      <c r="C557" s="195">
        <f>IF(B557="","",2*PI()*B557)</f>
        <v/>
      </c>
      <c r="D557" s="195">
        <f>IF(B557="","",ATANH(MIN(0.999999,(2*'入力・概要'!$B$17*'入力・概要'!$B$6)/'入力・概要'!$B$30))+'入力・概要'!$B$33*SQRT(B557/1E6)+(2*PI()*B557*'入力・概要'!$B$6/(299792458*'入力・概要'!$B$31))*'入力・概要'!$B$32/2)</f>
        <v/>
      </c>
      <c r="E557" s="195">
        <f>IF(B557="","",2*PI()*B557*'入力・概要'!$B$6/(299792458*'入力・概要'!$B$31))</f>
        <v/>
      </c>
      <c r="F557" s="195">
        <f>IF(B557="","",SINH(2*D557)/(COSH(2*D557)+COS(2*E557)))</f>
        <v/>
      </c>
      <c r="G557" s="195">
        <f>IF(B557="","",SIN(2*E557)/(COSH(2*D557)+COS(2*E557)))</f>
        <v/>
      </c>
      <c r="H557" s="195">
        <f>IF(B557="","",'入力・概要'!$B$34)</f>
        <v/>
      </c>
      <c r="I557" s="195">
        <f>IF(B557="","",C557*'入力・概要'!$B$35*1E-9)</f>
        <v/>
      </c>
      <c r="J557" s="195">
        <f>IF(B557="","",H557+'入力・概要'!$B$30*F557)</f>
        <v/>
      </c>
      <c r="K557" s="195">
        <f>IF(B557="","",I557+'入力・概要'!$B$30*G557)</f>
        <v/>
      </c>
      <c r="L557" s="195">
        <f>IF(B557="","",'入力・概要'!$B$30+H557*F557-I557*G557)</f>
        <v/>
      </c>
      <c r="M557" s="195">
        <f>IF(B557="","",H557*G557+I557*F557)</f>
        <v/>
      </c>
      <c r="N557" s="195">
        <f>IF(B557="","",'入力・概要'!$B$30*(J557*L557+K557*M557)/(L557^2+M557^2))</f>
        <v/>
      </c>
      <c r="O557" s="195">
        <f>IF(B557="","",'入力・概要'!$B$30*(K557*L557-J557*M557)/(L557^2+M557^2))</f>
        <v/>
      </c>
      <c r="P557" s="195">
        <f>IF(B557="","",N557+'入力・概要'!$B$36)</f>
        <v/>
      </c>
      <c r="Q557" s="195">
        <f>IF(B557="","",O557+C557*'入力・概要'!$B$37*1E-9)</f>
        <v/>
      </c>
      <c r="R557" s="195">
        <f>IF(B557="","",SQRT(P557^2+Q557^2))</f>
        <v/>
      </c>
      <c r="S557" s="195">
        <f>IF(B557="","",IF(P557&gt;0,DEGREES(ATAN(Q557/P557)),IF(P557&lt;0,IF(Q557&gt;=0,DEGREES(ATAN(Q557/P557))+180,DEGREES(ATAN(Q557/P557))-180),IF(Q557&gt;0,90,IF(Q557&lt;0,-90,0)))))</f>
        <v/>
      </c>
      <c r="T557" s="195">
        <f>IF(B557="","",LOG10(B557))</f>
        <v/>
      </c>
      <c r="U557" s="195">
        <f>IF(R557="","",LOG10(MAX(R557,1E-12)))</f>
        <v/>
      </c>
    </row>
    <row r="558">
      <c r="A558" t="n">
        <v>555</v>
      </c>
      <c r="B558" s="196">
        <f>IF(A558&lt;='入力・概要'!$B$40,10^(LOG10('入力・概要'!$B$38)+(A558-1)*(LOG10('入力・概要'!$B$39)-LOG10('入力・概要'!$B$38))/('入力・概要'!$B$40-1)),"")</f>
        <v/>
      </c>
      <c r="C558" s="195">
        <f>IF(B558="","",2*PI()*B558)</f>
        <v/>
      </c>
      <c r="D558" s="195">
        <f>IF(B558="","",ATANH(MIN(0.999999,(2*'入力・概要'!$B$17*'入力・概要'!$B$6)/'入力・概要'!$B$30))+'入力・概要'!$B$33*SQRT(B558/1E6)+(2*PI()*B558*'入力・概要'!$B$6/(299792458*'入力・概要'!$B$31))*'入力・概要'!$B$32/2)</f>
        <v/>
      </c>
      <c r="E558" s="195">
        <f>IF(B558="","",2*PI()*B558*'入力・概要'!$B$6/(299792458*'入力・概要'!$B$31))</f>
        <v/>
      </c>
      <c r="F558" s="195">
        <f>IF(B558="","",SINH(2*D558)/(COSH(2*D558)+COS(2*E558)))</f>
        <v/>
      </c>
      <c r="G558" s="195">
        <f>IF(B558="","",SIN(2*E558)/(COSH(2*D558)+COS(2*E558)))</f>
        <v/>
      </c>
      <c r="H558" s="195">
        <f>IF(B558="","",'入力・概要'!$B$34)</f>
        <v/>
      </c>
      <c r="I558" s="195">
        <f>IF(B558="","",C558*'入力・概要'!$B$35*1E-9)</f>
        <v/>
      </c>
      <c r="J558" s="195">
        <f>IF(B558="","",H558+'入力・概要'!$B$30*F558)</f>
        <v/>
      </c>
      <c r="K558" s="195">
        <f>IF(B558="","",I558+'入力・概要'!$B$30*G558)</f>
        <v/>
      </c>
      <c r="L558" s="195">
        <f>IF(B558="","",'入力・概要'!$B$30+H558*F558-I558*G558)</f>
        <v/>
      </c>
      <c r="M558" s="195">
        <f>IF(B558="","",H558*G558+I558*F558)</f>
        <v/>
      </c>
      <c r="N558" s="195">
        <f>IF(B558="","",'入力・概要'!$B$30*(J558*L558+K558*M558)/(L558^2+M558^2))</f>
        <v/>
      </c>
      <c r="O558" s="195">
        <f>IF(B558="","",'入力・概要'!$B$30*(K558*L558-J558*M558)/(L558^2+M558^2))</f>
        <v/>
      </c>
      <c r="P558" s="195">
        <f>IF(B558="","",N558+'入力・概要'!$B$36)</f>
        <v/>
      </c>
      <c r="Q558" s="195">
        <f>IF(B558="","",O558+C558*'入力・概要'!$B$37*1E-9)</f>
        <v/>
      </c>
      <c r="R558" s="195">
        <f>IF(B558="","",SQRT(P558^2+Q558^2))</f>
        <v/>
      </c>
      <c r="S558" s="195">
        <f>IF(B558="","",IF(P558&gt;0,DEGREES(ATAN(Q558/P558)),IF(P558&lt;0,IF(Q558&gt;=0,DEGREES(ATAN(Q558/P558))+180,DEGREES(ATAN(Q558/P558))-180),IF(Q558&gt;0,90,IF(Q558&lt;0,-90,0)))))</f>
        <v/>
      </c>
      <c r="T558" s="195">
        <f>IF(B558="","",LOG10(B558))</f>
        <v/>
      </c>
      <c r="U558" s="195">
        <f>IF(R558="","",LOG10(MAX(R558,1E-12)))</f>
        <v/>
      </c>
    </row>
    <row r="559">
      <c r="A559" t="n">
        <v>556</v>
      </c>
      <c r="B559" s="196">
        <f>IF(A559&lt;='入力・概要'!$B$40,10^(LOG10('入力・概要'!$B$38)+(A559-1)*(LOG10('入力・概要'!$B$39)-LOG10('入力・概要'!$B$38))/('入力・概要'!$B$40-1)),"")</f>
        <v/>
      </c>
      <c r="C559" s="195">
        <f>IF(B559="","",2*PI()*B559)</f>
        <v/>
      </c>
      <c r="D559" s="195">
        <f>IF(B559="","",ATANH(MIN(0.999999,(2*'入力・概要'!$B$17*'入力・概要'!$B$6)/'入力・概要'!$B$30))+'入力・概要'!$B$33*SQRT(B559/1E6)+(2*PI()*B559*'入力・概要'!$B$6/(299792458*'入力・概要'!$B$31))*'入力・概要'!$B$32/2)</f>
        <v/>
      </c>
      <c r="E559" s="195">
        <f>IF(B559="","",2*PI()*B559*'入力・概要'!$B$6/(299792458*'入力・概要'!$B$31))</f>
        <v/>
      </c>
      <c r="F559" s="195">
        <f>IF(B559="","",SINH(2*D559)/(COSH(2*D559)+COS(2*E559)))</f>
        <v/>
      </c>
      <c r="G559" s="195">
        <f>IF(B559="","",SIN(2*E559)/(COSH(2*D559)+COS(2*E559)))</f>
        <v/>
      </c>
      <c r="H559" s="195">
        <f>IF(B559="","",'入力・概要'!$B$34)</f>
        <v/>
      </c>
      <c r="I559" s="195">
        <f>IF(B559="","",C559*'入力・概要'!$B$35*1E-9)</f>
        <v/>
      </c>
      <c r="J559" s="195">
        <f>IF(B559="","",H559+'入力・概要'!$B$30*F559)</f>
        <v/>
      </c>
      <c r="K559" s="195">
        <f>IF(B559="","",I559+'入力・概要'!$B$30*G559)</f>
        <v/>
      </c>
      <c r="L559" s="195">
        <f>IF(B559="","",'入力・概要'!$B$30+H559*F559-I559*G559)</f>
        <v/>
      </c>
      <c r="M559" s="195">
        <f>IF(B559="","",H559*G559+I559*F559)</f>
        <v/>
      </c>
      <c r="N559" s="195">
        <f>IF(B559="","",'入力・概要'!$B$30*(J559*L559+K559*M559)/(L559^2+M559^2))</f>
        <v/>
      </c>
      <c r="O559" s="195">
        <f>IF(B559="","",'入力・概要'!$B$30*(K559*L559-J559*M559)/(L559^2+M559^2))</f>
        <v/>
      </c>
      <c r="P559" s="195">
        <f>IF(B559="","",N559+'入力・概要'!$B$36)</f>
        <v/>
      </c>
      <c r="Q559" s="195">
        <f>IF(B559="","",O559+C559*'入力・概要'!$B$37*1E-9)</f>
        <v/>
      </c>
      <c r="R559" s="195">
        <f>IF(B559="","",SQRT(P559^2+Q559^2))</f>
        <v/>
      </c>
      <c r="S559" s="195">
        <f>IF(B559="","",IF(P559&gt;0,DEGREES(ATAN(Q559/P559)),IF(P559&lt;0,IF(Q559&gt;=0,DEGREES(ATAN(Q559/P559))+180,DEGREES(ATAN(Q559/P559))-180),IF(Q559&gt;0,90,IF(Q559&lt;0,-90,0)))))</f>
        <v/>
      </c>
      <c r="T559" s="195">
        <f>IF(B559="","",LOG10(B559))</f>
        <v/>
      </c>
      <c r="U559" s="195">
        <f>IF(R559="","",LOG10(MAX(R559,1E-12)))</f>
        <v/>
      </c>
    </row>
    <row r="560">
      <c r="A560" t="n">
        <v>557</v>
      </c>
      <c r="B560" s="196">
        <f>IF(A560&lt;='入力・概要'!$B$40,10^(LOG10('入力・概要'!$B$38)+(A560-1)*(LOG10('入力・概要'!$B$39)-LOG10('入力・概要'!$B$38))/('入力・概要'!$B$40-1)),"")</f>
        <v/>
      </c>
      <c r="C560" s="195">
        <f>IF(B560="","",2*PI()*B560)</f>
        <v/>
      </c>
      <c r="D560" s="195">
        <f>IF(B560="","",ATANH(MIN(0.999999,(2*'入力・概要'!$B$17*'入力・概要'!$B$6)/'入力・概要'!$B$30))+'入力・概要'!$B$33*SQRT(B560/1E6)+(2*PI()*B560*'入力・概要'!$B$6/(299792458*'入力・概要'!$B$31))*'入力・概要'!$B$32/2)</f>
        <v/>
      </c>
      <c r="E560" s="195">
        <f>IF(B560="","",2*PI()*B560*'入力・概要'!$B$6/(299792458*'入力・概要'!$B$31))</f>
        <v/>
      </c>
      <c r="F560" s="195">
        <f>IF(B560="","",SINH(2*D560)/(COSH(2*D560)+COS(2*E560)))</f>
        <v/>
      </c>
      <c r="G560" s="195">
        <f>IF(B560="","",SIN(2*E560)/(COSH(2*D560)+COS(2*E560)))</f>
        <v/>
      </c>
      <c r="H560" s="195">
        <f>IF(B560="","",'入力・概要'!$B$34)</f>
        <v/>
      </c>
      <c r="I560" s="195">
        <f>IF(B560="","",C560*'入力・概要'!$B$35*1E-9)</f>
        <v/>
      </c>
      <c r="J560" s="195">
        <f>IF(B560="","",H560+'入力・概要'!$B$30*F560)</f>
        <v/>
      </c>
      <c r="K560" s="195">
        <f>IF(B560="","",I560+'入力・概要'!$B$30*G560)</f>
        <v/>
      </c>
      <c r="L560" s="195">
        <f>IF(B560="","",'入力・概要'!$B$30+H560*F560-I560*G560)</f>
        <v/>
      </c>
      <c r="M560" s="195">
        <f>IF(B560="","",H560*G560+I560*F560)</f>
        <v/>
      </c>
      <c r="N560" s="195">
        <f>IF(B560="","",'入力・概要'!$B$30*(J560*L560+K560*M560)/(L560^2+M560^2))</f>
        <v/>
      </c>
      <c r="O560" s="195">
        <f>IF(B560="","",'入力・概要'!$B$30*(K560*L560-J560*M560)/(L560^2+M560^2))</f>
        <v/>
      </c>
      <c r="P560" s="195">
        <f>IF(B560="","",N560+'入力・概要'!$B$36)</f>
        <v/>
      </c>
      <c r="Q560" s="195">
        <f>IF(B560="","",O560+C560*'入力・概要'!$B$37*1E-9)</f>
        <v/>
      </c>
      <c r="R560" s="195">
        <f>IF(B560="","",SQRT(P560^2+Q560^2))</f>
        <v/>
      </c>
      <c r="S560" s="195">
        <f>IF(B560="","",IF(P560&gt;0,DEGREES(ATAN(Q560/P560)),IF(P560&lt;0,IF(Q560&gt;=0,DEGREES(ATAN(Q560/P560))+180,DEGREES(ATAN(Q560/P560))-180),IF(Q560&gt;0,90,IF(Q560&lt;0,-90,0)))))</f>
        <v/>
      </c>
      <c r="T560" s="195">
        <f>IF(B560="","",LOG10(B560))</f>
        <v/>
      </c>
      <c r="U560" s="195">
        <f>IF(R560="","",LOG10(MAX(R560,1E-12)))</f>
        <v/>
      </c>
    </row>
    <row r="561">
      <c r="A561" t="n">
        <v>558</v>
      </c>
      <c r="B561" s="196">
        <f>IF(A561&lt;='入力・概要'!$B$40,10^(LOG10('入力・概要'!$B$38)+(A561-1)*(LOG10('入力・概要'!$B$39)-LOG10('入力・概要'!$B$38))/('入力・概要'!$B$40-1)),"")</f>
        <v/>
      </c>
      <c r="C561" s="195">
        <f>IF(B561="","",2*PI()*B561)</f>
        <v/>
      </c>
      <c r="D561" s="195">
        <f>IF(B561="","",ATANH(MIN(0.999999,(2*'入力・概要'!$B$17*'入力・概要'!$B$6)/'入力・概要'!$B$30))+'入力・概要'!$B$33*SQRT(B561/1E6)+(2*PI()*B561*'入力・概要'!$B$6/(299792458*'入力・概要'!$B$31))*'入力・概要'!$B$32/2)</f>
        <v/>
      </c>
      <c r="E561" s="195">
        <f>IF(B561="","",2*PI()*B561*'入力・概要'!$B$6/(299792458*'入力・概要'!$B$31))</f>
        <v/>
      </c>
      <c r="F561" s="195">
        <f>IF(B561="","",SINH(2*D561)/(COSH(2*D561)+COS(2*E561)))</f>
        <v/>
      </c>
      <c r="G561" s="195">
        <f>IF(B561="","",SIN(2*E561)/(COSH(2*D561)+COS(2*E561)))</f>
        <v/>
      </c>
      <c r="H561" s="195">
        <f>IF(B561="","",'入力・概要'!$B$34)</f>
        <v/>
      </c>
      <c r="I561" s="195">
        <f>IF(B561="","",C561*'入力・概要'!$B$35*1E-9)</f>
        <v/>
      </c>
      <c r="J561" s="195">
        <f>IF(B561="","",H561+'入力・概要'!$B$30*F561)</f>
        <v/>
      </c>
      <c r="K561" s="195">
        <f>IF(B561="","",I561+'入力・概要'!$B$30*G561)</f>
        <v/>
      </c>
      <c r="L561" s="195">
        <f>IF(B561="","",'入力・概要'!$B$30+H561*F561-I561*G561)</f>
        <v/>
      </c>
      <c r="M561" s="195">
        <f>IF(B561="","",H561*G561+I561*F561)</f>
        <v/>
      </c>
      <c r="N561" s="195">
        <f>IF(B561="","",'入力・概要'!$B$30*(J561*L561+K561*M561)/(L561^2+M561^2))</f>
        <v/>
      </c>
      <c r="O561" s="195">
        <f>IF(B561="","",'入力・概要'!$B$30*(K561*L561-J561*M561)/(L561^2+M561^2))</f>
        <v/>
      </c>
      <c r="P561" s="195">
        <f>IF(B561="","",N561+'入力・概要'!$B$36)</f>
        <v/>
      </c>
      <c r="Q561" s="195">
        <f>IF(B561="","",O561+C561*'入力・概要'!$B$37*1E-9)</f>
        <v/>
      </c>
      <c r="R561" s="195">
        <f>IF(B561="","",SQRT(P561^2+Q561^2))</f>
        <v/>
      </c>
      <c r="S561" s="195">
        <f>IF(B561="","",IF(P561&gt;0,DEGREES(ATAN(Q561/P561)),IF(P561&lt;0,IF(Q561&gt;=0,DEGREES(ATAN(Q561/P561))+180,DEGREES(ATAN(Q561/P561))-180),IF(Q561&gt;0,90,IF(Q561&lt;0,-90,0)))))</f>
        <v/>
      </c>
      <c r="T561" s="195">
        <f>IF(B561="","",LOG10(B561))</f>
        <v/>
      </c>
      <c r="U561" s="195">
        <f>IF(R561="","",LOG10(MAX(R561,1E-12)))</f>
        <v/>
      </c>
    </row>
    <row r="562">
      <c r="A562" t="n">
        <v>559</v>
      </c>
      <c r="B562" s="196">
        <f>IF(A562&lt;='入力・概要'!$B$40,10^(LOG10('入力・概要'!$B$38)+(A562-1)*(LOG10('入力・概要'!$B$39)-LOG10('入力・概要'!$B$38))/('入力・概要'!$B$40-1)),"")</f>
        <v/>
      </c>
      <c r="C562" s="195">
        <f>IF(B562="","",2*PI()*B562)</f>
        <v/>
      </c>
      <c r="D562" s="195">
        <f>IF(B562="","",ATANH(MIN(0.999999,(2*'入力・概要'!$B$17*'入力・概要'!$B$6)/'入力・概要'!$B$30))+'入力・概要'!$B$33*SQRT(B562/1E6)+(2*PI()*B562*'入力・概要'!$B$6/(299792458*'入力・概要'!$B$31))*'入力・概要'!$B$32/2)</f>
        <v/>
      </c>
      <c r="E562" s="195">
        <f>IF(B562="","",2*PI()*B562*'入力・概要'!$B$6/(299792458*'入力・概要'!$B$31))</f>
        <v/>
      </c>
      <c r="F562" s="195">
        <f>IF(B562="","",SINH(2*D562)/(COSH(2*D562)+COS(2*E562)))</f>
        <v/>
      </c>
      <c r="G562" s="195">
        <f>IF(B562="","",SIN(2*E562)/(COSH(2*D562)+COS(2*E562)))</f>
        <v/>
      </c>
      <c r="H562" s="195">
        <f>IF(B562="","",'入力・概要'!$B$34)</f>
        <v/>
      </c>
      <c r="I562" s="195">
        <f>IF(B562="","",C562*'入力・概要'!$B$35*1E-9)</f>
        <v/>
      </c>
      <c r="J562" s="195">
        <f>IF(B562="","",H562+'入力・概要'!$B$30*F562)</f>
        <v/>
      </c>
      <c r="K562" s="195">
        <f>IF(B562="","",I562+'入力・概要'!$B$30*G562)</f>
        <v/>
      </c>
      <c r="L562" s="195">
        <f>IF(B562="","",'入力・概要'!$B$30+H562*F562-I562*G562)</f>
        <v/>
      </c>
      <c r="M562" s="195">
        <f>IF(B562="","",H562*G562+I562*F562)</f>
        <v/>
      </c>
      <c r="N562" s="195">
        <f>IF(B562="","",'入力・概要'!$B$30*(J562*L562+K562*M562)/(L562^2+M562^2))</f>
        <v/>
      </c>
      <c r="O562" s="195">
        <f>IF(B562="","",'入力・概要'!$B$30*(K562*L562-J562*M562)/(L562^2+M562^2))</f>
        <v/>
      </c>
      <c r="P562" s="195">
        <f>IF(B562="","",N562+'入力・概要'!$B$36)</f>
        <v/>
      </c>
      <c r="Q562" s="195">
        <f>IF(B562="","",O562+C562*'入力・概要'!$B$37*1E-9)</f>
        <v/>
      </c>
      <c r="R562" s="195">
        <f>IF(B562="","",SQRT(P562^2+Q562^2))</f>
        <v/>
      </c>
      <c r="S562" s="195">
        <f>IF(B562="","",IF(P562&gt;0,DEGREES(ATAN(Q562/P562)),IF(P562&lt;0,IF(Q562&gt;=0,DEGREES(ATAN(Q562/P562))+180,DEGREES(ATAN(Q562/P562))-180),IF(Q562&gt;0,90,IF(Q562&lt;0,-90,0)))))</f>
        <v/>
      </c>
      <c r="T562" s="195">
        <f>IF(B562="","",LOG10(B562))</f>
        <v/>
      </c>
      <c r="U562" s="195">
        <f>IF(R562="","",LOG10(MAX(R562,1E-12)))</f>
        <v/>
      </c>
    </row>
    <row r="563">
      <c r="A563" t="n">
        <v>560</v>
      </c>
      <c r="B563" s="196">
        <f>IF(A563&lt;='入力・概要'!$B$40,10^(LOG10('入力・概要'!$B$38)+(A563-1)*(LOG10('入力・概要'!$B$39)-LOG10('入力・概要'!$B$38))/('入力・概要'!$B$40-1)),"")</f>
        <v/>
      </c>
      <c r="C563" s="195">
        <f>IF(B563="","",2*PI()*B563)</f>
        <v/>
      </c>
      <c r="D563" s="195">
        <f>IF(B563="","",ATANH(MIN(0.999999,(2*'入力・概要'!$B$17*'入力・概要'!$B$6)/'入力・概要'!$B$30))+'入力・概要'!$B$33*SQRT(B563/1E6)+(2*PI()*B563*'入力・概要'!$B$6/(299792458*'入力・概要'!$B$31))*'入力・概要'!$B$32/2)</f>
        <v/>
      </c>
      <c r="E563" s="195">
        <f>IF(B563="","",2*PI()*B563*'入力・概要'!$B$6/(299792458*'入力・概要'!$B$31))</f>
        <v/>
      </c>
      <c r="F563" s="195">
        <f>IF(B563="","",SINH(2*D563)/(COSH(2*D563)+COS(2*E563)))</f>
        <v/>
      </c>
      <c r="G563" s="195">
        <f>IF(B563="","",SIN(2*E563)/(COSH(2*D563)+COS(2*E563)))</f>
        <v/>
      </c>
      <c r="H563" s="195">
        <f>IF(B563="","",'入力・概要'!$B$34)</f>
        <v/>
      </c>
      <c r="I563" s="195">
        <f>IF(B563="","",C563*'入力・概要'!$B$35*1E-9)</f>
        <v/>
      </c>
      <c r="J563" s="195">
        <f>IF(B563="","",H563+'入力・概要'!$B$30*F563)</f>
        <v/>
      </c>
      <c r="K563" s="195">
        <f>IF(B563="","",I563+'入力・概要'!$B$30*G563)</f>
        <v/>
      </c>
      <c r="L563" s="195">
        <f>IF(B563="","",'入力・概要'!$B$30+H563*F563-I563*G563)</f>
        <v/>
      </c>
      <c r="M563" s="195">
        <f>IF(B563="","",H563*G563+I563*F563)</f>
        <v/>
      </c>
      <c r="N563" s="195">
        <f>IF(B563="","",'入力・概要'!$B$30*(J563*L563+K563*M563)/(L563^2+M563^2))</f>
        <v/>
      </c>
      <c r="O563" s="195">
        <f>IF(B563="","",'入力・概要'!$B$30*(K563*L563-J563*M563)/(L563^2+M563^2))</f>
        <v/>
      </c>
      <c r="P563" s="195">
        <f>IF(B563="","",N563+'入力・概要'!$B$36)</f>
        <v/>
      </c>
      <c r="Q563" s="195">
        <f>IF(B563="","",O563+C563*'入力・概要'!$B$37*1E-9)</f>
        <v/>
      </c>
      <c r="R563" s="195">
        <f>IF(B563="","",SQRT(P563^2+Q563^2))</f>
        <v/>
      </c>
      <c r="S563" s="195">
        <f>IF(B563="","",IF(P563&gt;0,DEGREES(ATAN(Q563/P563)),IF(P563&lt;0,IF(Q563&gt;=0,DEGREES(ATAN(Q563/P563))+180,DEGREES(ATAN(Q563/P563))-180),IF(Q563&gt;0,90,IF(Q563&lt;0,-90,0)))))</f>
        <v/>
      </c>
      <c r="T563" s="195">
        <f>IF(B563="","",LOG10(B563))</f>
        <v/>
      </c>
      <c r="U563" s="195">
        <f>IF(R563="","",LOG10(MAX(R563,1E-12)))</f>
        <v/>
      </c>
    </row>
    <row r="564">
      <c r="A564" t="n">
        <v>561</v>
      </c>
      <c r="B564" s="196">
        <f>IF(A564&lt;='入力・概要'!$B$40,10^(LOG10('入力・概要'!$B$38)+(A564-1)*(LOG10('入力・概要'!$B$39)-LOG10('入力・概要'!$B$38))/('入力・概要'!$B$40-1)),"")</f>
        <v/>
      </c>
      <c r="C564" s="195">
        <f>IF(B564="","",2*PI()*B564)</f>
        <v/>
      </c>
      <c r="D564" s="195">
        <f>IF(B564="","",ATANH(MIN(0.999999,(2*'入力・概要'!$B$17*'入力・概要'!$B$6)/'入力・概要'!$B$30))+'入力・概要'!$B$33*SQRT(B564/1E6)+(2*PI()*B564*'入力・概要'!$B$6/(299792458*'入力・概要'!$B$31))*'入力・概要'!$B$32/2)</f>
        <v/>
      </c>
      <c r="E564" s="195">
        <f>IF(B564="","",2*PI()*B564*'入力・概要'!$B$6/(299792458*'入力・概要'!$B$31))</f>
        <v/>
      </c>
      <c r="F564" s="195">
        <f>IF(B564="","",SINH(2*D564)/(COSH(2*D564)+COS(2*E564)))</f>
        <v/>
      </c>
      <c r="G564" s="195">
        <f>IF(B564="","",SIN(2*E564)/(COSH(2*D564)+COS(2*E564)))</f>
        <v/>
      </c>
      <c r="H564" s="195">
        <f>IF(B564="","",'入力・概要'!$B$34)</f>
        <v/>
      </c>
      <c r="I564" s="195">
        <f>IF(B564="","",C564*'入力・概要'!$B$35*1E-9)</f>
        <v/>
      </c>
      <c r="J564" s="195">
        <f>IF(B564="","",H564+'入力・概要'!$B$30*F564)</f>
        <v/>
      </c>
      <c r="K564" s="195">
        <f>IF(B564="","",I564+'入力・概要'!$B$30*G564)</f>
        <v/>
      </c>
      <c r="L564" s="195">
        <f>IF(B564="","",'入力・概要'!$B$30+H564*F564-I564*G564)</f>
        <v/>
      </c>
      <c r="M564" s="195">
        <f>IF(B564="","",H564*G564+I564*F564)</f>
        <v/>
      </c>
      <c r="N564" s="195">
        <f>IF(B564="","",'入力・概要'!$B$30*(J564*L564+K564*M564)/(L564^2+M564^2))</f>
        <v/>
      </c>
      <c r="O564" s="195">
        <f>IF(B564="","",'入力・概要'!$B$30*(K564*L564-J564*M564)/(L564^2+M564^2))</f>
        <v/>
      </c>
      <c r="P564" s="195">
        <f>IF(B564="","",N564+'入力・概要'!$B$36)</f>
        <v/>
      </c>
      <c r="Q564" s="195">
        <f>IF(B564="","",O564+C564*'入力・概要'!$B$37*1E-9)</f>
        <v/>
      </c>
      <c r="R564" s="195">
        <f>IF(B564="","",SQRT(P564^2+Q564^2))</f>
        <v/>
      </c>
      <c r="S564" s="195">
        <f>IF(B564="","",IF(P564&gt;0,DEGREES(ATAN(Q564/P564)),IF(P564&lt;0,IF(Q564&gt;=0,DEGREES(ATAN(Q564/P564))+180,DEGREES(ATAN(Q564/P564))-180),IF(Q564&gt;0,90,IF(Q564&lt;0,-90,0)))))</f>
        <v/>
      </c>
      <c r="T564" s="195">
        <f>IF(B564="","",LOG10(B564))</f>
        <v/>
      </c>
      <c r="U564" s="195">
        <f>IF(R564="","",LOG10(MAX(R564,1E-12)))</f>
        <v/>
      </c>
    </row>
    <row r="565">
      <c r="A565" t="n">
        <v>562</v>
      </c>
      <c r="B565" s="196">
        <f>IF(A565&lt;='入力・概要'!$B$40,10^(LOG10('入力・概要'!$B$38)+(A565-1)*(LOG10('入力・概要'!$B$39)-LOG10('入力・概要'!$B$38))/('入力・概要'!$B$40-1)),"")</f>
        <v/>
      </c>
      <c r="C565" s="195">
        <f>IF(B565="","",2*PI()*B565)</f>
        <v/>
      </c>
      <c r="D565" s="195">
        <f>IF(B565="","",ATANH(MIN(0.999999,(2*'入力・概要'!$B$17*'入力・概要'!$B$6)/'入力・概要'!$B$30))+'入力・概要'!$B$33*SQRT(B565/1E6)+(2*PI()*B565*'入力・概要'!$B$6/(299792458*'入力・概要'!$B$31))*'入力・概要'!$B$32/2)</f>
        <v/>
      </c>
      <c r="E565" s="195">
        <f>IF(B565="","",2*PI()*B565*'入力・概要'!$B$6/(299792458*'入力・概要'!$B$31))</f>
        <v/>
      </c>
      <c r="F565" s="195">
        <f>IF(B565="","",SINH(2*D565)/(COSH(2*D565)+COS(2*E565)))</f>
        <v/>
      </c>
      <c r="G565" s="195">
        <f>IF(B565="","",SIN(2*E565)/(COSH(2*D565)+COS(2*E565)))</f>
        <v/>
      </c>
      <c r="H565" s="195">
        <f>IF(B565="","",'入力・概要'!$B$34)</f>
        <v/>
      </c>
      <c r="I565" s="195">
        <f>IF(B565="","",C565*'入力・概要'!$B$35*1E-9)</f>
        <v/>
      </c>
      <c r="J565" s="195">
        <f>IF(B565="","",H565+'入力・概要'!$B$30*F565)</f>
        <v/>
      </c>
      <c r="K565" s="195">
        <f>IF(B565="","",I565+'入力・概要'!$B$30*G565)</f>
        <v/>
      </c>
      <c r="L565" s="195">
        <f>IF(B565="","",'入力・概要'!$B$30+H565*F565-I565*G565)</f>
        <v/>
      </c>
      <c r="M565" s="195">
        <f>IF(B565="","",H565*G565+I565*F565)</f>
        <v/>
      </c>
      <c r="N565" s="195">
        <f>IF(B565="","",'入力・概要'!$B$30*(J565*L565+K565*M565)/(L565^2+M565^2))</f>
        <v/>
      </c>
      <c r="O565" s="195">
        <f>IF(B565="","",'入力・概要'!$B$30*(K565*L565-J565*M565)/(L565^2+M565^2))</f>
        <v/>
      </c>
      <c r="P565" s="195">
        <f>IF(B565="","",N565+'入力・概要'!$B$36)</f>
        <v/>
      </c>
      <c r="Q565" s="195">
        <f>IF(B565="","",O565+C565*'入力・概要'!$B$37*1E-9)</f>
        <v/>
      </c>
      <c r="R565" s="195">
        <f>IF(B565="","",SQRT(P565^2+Q565^2))</f>
        <v/>
      </c>
      <c r="S565" s="195">
        <f>IF(B565="","",IF(P565&gt;0,DEGREES(ATAN(Q565/P565)),IF(P565&lt;0,IF(Q565&gt;=0,DEGREES(ATAN(Q565/P565))+180,DEGREES(ATAN(Q565/P565))-180),IF(Q565&gt;0,90,IF(Q565&lt;0,-90,0)))))</f>
        <v/>
      </c>
      <c r="T565" s="195">
        <f>IF(B565="","",LOG10(B565))</f>
        <v/>
      </c>
      <c r="U565" s="195">
        <f>IF(R565="","",LOG10(MAX(R565,1E-12)))</f>
        <v/>
      </c>
    </row>
    <row r="566">
      <c r="A566" t="n">
        <v>563</v>
      </c>
      <c r="B566" s="196">
        <f>IF(A566&lt;='入力・概要'!$B$40,10^(LOG10('入力・概要'!$B$38)+(A566-1)*(LOG10('入力・概要'!$B$39)-LOG10('入力・概要'!$B$38))/('入力・概要'!$B$40-1)),"")</f>
        <v/>
      </c>
      <c r="C566" s="195">
        <f>IF(B566="","",2*PI()*B566)</f>
        <v/>
      </c>
      <c r="D566" s="195">
        <f>IF(B566="","",ATANH(MIN(0.999999,(2*'入力・概要'!$B$17*'入力・概要'!$B$6)/'入力・概要'!$B$30))+'入力・概要'!$B$33*SQRT(B566/1E6)+(2*PI()*B566*'入力・概要'!$B$6/(299792458*'入力・概要'!$B$31))*'入力・概要'!$B$32/2)</f>
        <v/>
      </c>
      <c r="E566" s="195">
        <f>IF(B566="","",2*PI()*B566*'入力・概要'!$B$6/(299792458*'入力・概要'!$B$31))</f>
        <v/>
      </c>
      <c r="F566" s="195">
        <f>IF(B566="","",SINH(2*D566)/(COSH(2*D566)+COS(2*E566)))</f>
        <v/>
      </c>
      <c r="G566" s="195">
        <f>IF(B566="","",SIN(2*E566)/(COSH(2*D566)+COS(2*E566)))</f>
        <v/>
      </c>
      <c r="H566" s="195">
        <f>IF(B566="","",'入力・概要'!$B$34)</f>
        <v/>
      </c>
      <c r="I566" s="195">
        <f>IF(B566="","",C566*'入力・概要'!$B$35*1E-9)</f>
        <v/>
      </c>
      <c r="J566" s="195">
        <f>IF(B566="","",H566+'入力・概要'!$B$30*F566)</f>
        <v/>
      </c>
      <c r="K566" s="195">
        <f>IF(B566="","",I566+'入力・概要'!$B$30*G566)</f>
        <v/>
      </c>
      <c r="L566" s="195">
        <f>IF(B566="","",'入力・概要'!$B$30+H566*F566-I566*G566)</f>
        <v/>
      </c>
      <c r="M566" s="195">
        <f>IF(B566="","",H566*G566+I566*F566)</f>
        <v/>
      </c>
      <c r="N566" s="195">
        <f>IF(B566="","",'入力・概要'!$B$30*(J566*L566+K566*M566)/(L566^2+M566^2))</f>
        <v/>
      </c>
      <c r="O566" s="195">
        <f>IF(B566="","",'入力・概要'!$B$30*(K566*L566-J566*M566)/(L566^2+M566^2))</f>
        <v/>
      </c>
      <c r="P566" s="195">
        <f>IF(B566="","",N566+'入力・概要'!$B$36)</f>
        <v/>
      </c>
      <c r="Q566" s="195">
        <f>IF(B566="","",O566+C566*'入力・概要'!$B$37*1E-9)</f>
        <v/>
      </c>
      <c r="R566" s="195">
        <f>IF(B566="","",SQRT(P566^2+Q566^2))</f>
        <v/>
      </c>
      <c r="S566" s="195">
        <f>IF(B566="","",IF(P566&gt;0,DEGREES(ATAN(Q566/P566)),IF(P566&lt;0,IF(Q566&gt;=0,DEGREES(ATAN(Q566/P566))+180,DEGREES(ATAN(Q566/P566))-180),IF(Q566&gt;0,90,IF(Q566&lt;0,-90,0)))))</f>
        <v/>
      </c>
      <c r="T566" s="195">
        <f>IF(B566="","",LOG10(B566))</f>
        <v/>
      </c>
      <c r="U566" s="195">
        <f>IF(R566="","",LOG10(MAX(R566,1E-12)))</f>
        <v/>
      </c>
    </row>
    <row r="567">
      <c r="A567" t="n">
        <v>564</v>
      </c>
      <c r="B567" s="196">
        <f>IF(A567&lt;='入力・概要'!$B$40,10^(LOG10('入力・概要'!$B$38)+(A567-1)*(LOG10('入力・概要'!$B$39)-LOG10('入力・概要'!$B$38))/('入力・概要'!$B$40-1)),"")</f>
        <v/>
      </c>
      <c r="C567" s="195">
        <f>IF(B567="","",2*PI()*B567)</f>
        <v/>
      </c>
      <c r="D567" s="195">
        <f>IF(B567="","",ATANH(MIN(0.999999,(2*'入力・概要'!$B$17*'入力・概要'!$B$6)/'入力・概要'!$B$30))+'入力・概要'!$B$33*SQRT(B567/1E6)+(2*PI()*B567*'入力・概要'!$B$6/(299792458*'入力・概要'!$B$31))*'入力・概要'!$B$32/2)</f>
        <v/>
      </c>
      <c r="E567" s="195">
        <f>IF(B567="","",2*PI()*B567*'入力・概要'!$B$6/(299792458*'入力・概要'!$B$31))</f>
        <v/>
      </c>
      <c r="F567" s="195">
        <f>IF(B567="","",SINH(2*D567)/(COSH(2*D567)+COS(2*E567)))</f>
        <v/>
      </c>
      <c r="G567" s="195">
        <f>IF(B567="","",SIN(2*E567)/(COSH(2*D567)+COS(2*E567)))</f>
        <v/>
      </c>
      <c r="H567" s="195">
        <f>IF(B567="","",'入力・概要'!$B$34)</f>
        <v/>
      </c>
      <c r="I567" s="195">
        <f>IF(B567="","",C567*'入力・概要'!$B$35*1E-9)</f>
        <v/>
      </c>
      <c r="J567" s="195">
        <f>IF(B567="","",H567+'入力・概要'!$B$30*F567)</f>
        <v/>
      </c>
      <c r="K567" s="195">
        <f>IF(B567="","",I567+'入力・概要'!$B$30*G567)</f>
        <v/>
      </c>
      <c r="L567" s="195">
        <f>IF(B567="","",'入力・概要'!$B$30+H567*F567-I567*G567)</f>
        <v/>
      </c>
      <c r="M567" s="195">
        <f>IF(B567="","",H567*G567+I567*F567)</f>
        <v/>
      </c>
      <c r="N567" s="195">
        <f>IF(B567="","",'入力・概要'!$B$30*(J567*L567+K567*M567)/(L567^2+M567^2))</f>
        <v/>
      </c>
      <c r="O567" s="195">
        <f>IF(B567="","",'入力・概要'!$B$30*(K567*L567-J567*M567)/(L567^2+M567^2))</f>
        <v/>
      </c>
      <c r="P567" s="195">
        <f>IF(B567="","",N567+'入力・概要'!$B$36)</f>
        <v/>
      </c>
      <c r="Q567" s="195">
        <f>IF(B567="","",O567+C567*'入力・概要'!$B$37*1E-9)</f>
        <v/>
      </c>
      <c r="R567" s="195">
        <f>IF(B567="","",SQRT(P567^2+Q567^2))</f>
        <v/>
      </c>
      <c r="S567" s="195">
        <f>IF(B567="","",IF(P567&gt;0,DEGREES(ATAN(Q567/P567)),IF(P567&lt;0,IF(Q567&gt;=0,DEGREES(ATAN(Q567/P567))+180,DEGREES(ATAN(Q567/P567))-180),IF(Q567&gt;0,90,IF(Q567&lt;0,-90,0)))))</f>
        <v/>
      </c>
      <c r="T567" s="195">
        <f>IF(B567="","",LOG10(B567))</f>
        <v/>
      </c>
      <c r="U567" s="195">
        <f>IF(R567="","",LOG10(MAX(R567,1E-12)))</f>
        <v/>
      </c>
    </row>
    <row r="568">
      <c r="A568" t="n">
        <v>565</v>
      </c>
      <c r="B568" s="196">
        <f>IF(A568&lt;='入力・概要'!$B$40,10^(LOG10('入力・概要'!$B$38)+(A568-1)*(LOG10('入力・概要'!$B$39)-LOG10('入力・概要'!$B$38))/('入力・概要'!$B$40-1)),"")</f>
        <v/>
      </c>
      <c r="C568" s="195">
        <f>IF(B568="","",2*PI()*B568)</f>
        <v/>
      </c>
      <c r="D568" s="195">
        <f>IF(B568="","",ATANH(MIN(0.999999,(2*'入力・概要'!$B$17*'入力・概要'!$B$6)/'入力・概要'!$B$30))+'入力・概要'!$B$33*SQRT(B568/1E6)+(2*PI()*B568*'入力・概要'!$B$6/(299792458*'入力・概要'!$B$31))*'入力・概要'!$B$32/2)</f>
        <v/>
      </c>
      <c r="E568" s="195">
        <f>IF(B568="","",2*PI()*B568*'入力・概要'!$B$6/(299792458*'入力・概要'!$B$31))</f>
        <v/>
      </c>
      <c r="F568" s="195">
        <f>IF(B568="","",SINH(2*D568)/(COSH(2*D568)+COS(2*E568)))</f>
        <v/>
      </c>
      <c r="G568" s="195">
        <f>IF(B568="","",SIN(2*E568)/(COSH(2*D568)+COS(2*E568)))</f>
        <v/>
      </c>
      <c r="H568" s="195">
        <f>IF(B568="","",'入力・概要'!$B$34)</f>
        <v/>
      </c>
      <c r="I568" s="195">
        <f>IF(B568="","",C568*'入力・概要'!$B$35*1E-9)</f>
        <v/>
      </c>
      <c r="J568" s="195">
        <f>IF(B568="","",H568+'入力・概要'!$B$30*F568)</f>
        <v/>
      </c>
      <c r="K568" s="195">
        <f>IF(B568="","",I568+'入力・概要'!$B$30*G568)</f>
        <v/>
      </c>
      <c r="L568" s="195">
        <f>IF(B568="","",'入力・概要'!$B$30+H568*F568-I568*G568)</f>
        <v/>
      </c>
      <c r="M568" s="195">
        <f>IF(B568="","",H568*G568+I568*F568)</f>
        <v/>
      </c>
      <c r="N568" s="195">
        <f>IF(B568="","",'入力・概要'!$B$30*(J568*L568+K568*M568)/(L568^2+M568^2))</f>
        <v/>
      </c>
      <c r="O568" s="195">
        <f>IF(B568="","",'入力・概要'!$B$30*(K568*L568-J568*M568)/(L568^2+M568^2))</f>
        <v/>
      </c>
      <c r="P568" s="195">
        <f>IF(B568="","",N568+'入力・概要'!$B$36)</f>
        <v/>
      </c>
      <c r="Q568" s="195">
        <f>IF(B568="","",O568+C568*'入力・概要'!$B$37*1E-9)</f>
        <v/>
      </c>
      <c r="R568" s="195">
        <f>IF(B568="","",SQRT(P568^2+Q568^2))</f>
        <v/>
      </c>
      <c r="S568" s="195">
        <f>IF(B568="","",IF(P568&gt;0,DEGREES(ATAN(Q568/P568)),IF(P568&lt;0,IF(Q568&gt;=0,DEGREES(ATAN(Q568/P568))+180,DEGREES(ATAN(Q568/P568))-180),IF(Q568&gt;0,90,IF(Q568&lt;0,-90,0)))))</f>
        <v/>
      </c>
      <c r="T568" s="195">
        <f>IF(B568="","",LOG10(B568))</f>
        <v/>
      </c>
      <c r="U568" s="195">
        <f>IF(R568="","",LOG10(MAX(R568,1E-12)))</f>
        <v/>
      </c>
    </row>
    <row r="569">
      <c r="A569" t="n">
        <v>566</v>
      </c>
      <c r="B569" s="196">
        <f>IF(A569&lt;='入力・概要'!$B$40,10^(LOG10('入力・概要'!$B$38)+(A569-1)*(LOG10('入力・概要'!$B$39)-LOG10('入力・概要'!$B$38))/('入力・概要'!$B$40-1)),"")</f>
        <v/>
      </c>
      <c r="C569" s="195">
        <f>IF(B569="","",2*PI()*B569)</f>
        <v/>
      </c>
      <c r="D569" s="195">
        <f>IF(B569="","",ATANH(MIN(0.999999,(2*'入力・概要'!$B$17*'入力・概要'!$B$6)/'入力・概要'!$B$30))+'入力・概要'!$B$33*SQRT(B569/1E6)+(2*PI()*B569*'入力・概要'!$B$6/(299792458*'入力・概要'!$B$31))*'入力・概要'!$B$32/2)</f>
        <v/>
      </c>
      <c r="E569" s="195">
        <f>IF(B569="","",2*PI()*B569*'入力・概要'!$B$6/(299792458*'入力・概要'!$B$31))</f>
        <v/>
      </c>
      <c r="F569" s="195">
        <f>IF(B569="","",SINH(2*D569)/(COSH(2*D569)+COS(2*E569)))</f>
        <v/>
      </c>
      <c r="G569" s="195">
        <f>IF(B569="","",SIN(2*E569)/(COSH(2*D569)+COS(2*E569)))</f>
        <v/>
      </c>
      <c r="H569" s="195">
        <f>IF(B569="","",'入力・概要'!$B$34)</f>
        <v/>
      </c>
      <c r="I569" s="195">
        <f>IF(B569="","",C569*'入力・概要'!$B$35*1E-9)</f>
        <v/>
      </c>
      <c r="J569" s="195">
        <f>IF(B569="","",H569+'入力・概要'!$B$30*F569)</f>
        <v/>
      </c>
      <c r="K569" s="195">
        <f>IF(B569="","",I569+'入力・概要'!$B$30*G569)</f>
        <v/>
      </c>
      <c r="L569" s="195">
        <f>IF(B569="","",'入力・概要'!$B$30+H569*F569-I569*G569)</f>
        <v/>
      </c>
      <c r="M569" s="195">
        <f>IF(B569="","",H569*G569+I569*F569)</f>
        <v/>
      </c>
      <c r="N569" s="195">
        <f>IF(B569="","",'入力・概要'!$B$30*(J569*L569+K569*M569)/(L569^2+M569^2))</f>
        <v/>
      </c>
      <c r="O569" s="195">
        <f>IF(B569="","",'入力・概要'!$B$30*(K569*L569-J569*M569)/(L569^2+M569^2))</f>
        <v/>
      </c>
      <c r="P569" s="195">
        <f>IF(B569="","",N569+'入力・概要'!$B$36)</f>
        <v/>
      </c>
      <c r="Q569" s="195">
        <f>IF(B569="","",O569+C569*'入力・概要'!$B$37*1E-9)</f>
        <v/>
      </c>
      <c r="R569" s="195">
        <f>IF(B569="","",SQRT(P569^2+Q569^2))</f>
        <v/>
      </c>
      <c r="S569" s="195">
        <f>IF(B569="","",IF(P569&gt;0,DEGREES(ATAN(Q569/P569)),IF(P569&lt;0,IF(Q569&gt;=0,DEGREES(ATAN(Q569/P569))+180,DEGREES(ATAN(Q569/P569))-180),IF(Q569&gt;0,90,IF(Q569&lt;0,-90,0)))))</f>
        <v/>
      </c>
      <c r="T569" s="195">
        <f>IF(B569="","",LOG10(B569))</f>
        <v/>
      </c>
      <c r="U569" s="195">
        <f>IF(R569="","",LOG10(MAX(R569,1E-12)))</f>
        <v/>
      </c>
    </row>
    <row r="570">
      <c r="A570" t="n">
        <v>567</v>
      </c>
      <c r="B570" s="196">
        <f>IF(A570&lt;='入力・概要'!$B$40,10^(LOG10('入力・概要'!$B$38)+(A570-1)*(LOG10('入力・概要'!$B$39)-LOG10('入力・概要'!$B$38))/('入力・概要'!$B$40-1)),"")</f>
        <v/>
      </c>
      <c r="C570" s="195">
        <f>IF(B570="","",2*PI()*B570)</f>
        <v/>
      </c>
      <c r="D570" s="195">
        <f>IF(B570="","",ATANH(MIN(0.999999,(2*'入力・概要'!$B$17*'入力・概要'!$B$6)/'入力・概要'!$B$30))+'入力・概要'!$B$33*SQRT(B570/1E6)+(2*PI()*B570*'入力・概要'!$B$6/(299792458*'入力・概要'!$B$31))*'入力・概要'!$B$32/2)</f>
        <v/>
      </c>
      <c r="E570" s="195">
        <f>IF(B570="","",2*PI()*B570*'入力・概要'!$B$6/(299792458*'入力・概要'!$B$31))</f>
        <v/>
      </c>
      <c r="F570" s="195">
        <f>IF(B570="","",SINH(2*D570)/(COSH(2*D570)+COS(2*E570)))</f>
        <v/>
      </c>
      <c r="G570" s="195">
        <f>IF(B570="","",SIN(2*E570)/(COSH(2*D570)+COS(2*E570)))</f>
        <v/>
      </c>
      <c r="H570" s="195">
        <f>IF(B570="","",'入力・概要'!$B$34)</f>
        <v/>
      </c>
      <c r="I570" s="195">
        <f>IF(B570="","",C570*'入力・概要'!$B$35*1E-9)</f>
        <v/>
      </c>
      <c r="J570" s="195">
        <f>IF(B570="","",H570+'入力・概要'!$B$30*F570)</f>
        <v/>
      </c>
      <c r="K570" s="195">
        <f>IF(B570="","",I570+'入力・概要'!$B$30*G570)</f>
        <v/>
      </c>
      <c r="L570" s="195">
        <f>IF(B570="","",'入力・概要'!$B$30+H570*F570-I570*G570)</f>
        <v/>
      </c>
      <c r="M570" s="195">
        <f>IF(B570="","",H570*G570+I570*F570)</f>
        <v/>
      </c>
      <c r="N570" s="195">
        <f>IF(B570="","",'入力・概要'!$B$30*(J570*L570+K570*M570)/(L570^2+M570^2))</f>
        <v/>
      </c>
      <c r="O570" s="195">
        <f>IF(B570="","",'入力・概要'!$B$30*(K570*L570-J570*M570)/(L570^2+M570^2))</f>
        <v/>
      </c>
      <c r="P570" s="195">
        <f>IF(B570="","",N570+'入力・概要'!$B$36)</f>
        <v/>
      </c>
      <c r="Q570" s="195">
        <f>IF(B570="","",O570+C570*'入力・概要'!$B$37*1E-9)</f>
        <v/>
      </c>
      <c r="R570" s="195">
        <f>IF(B570="","",SQRT(P570^2+Q570^2))</f>
        <v/>
      </c>
      <c r="S570" s="195">
        <f>IF(B570="","",IF(P570&gt;0,DEGREES(ATAN(Q570/P570)),IF(P570&lt;0,IF(Q570&gt;=0,DEGREES(ATAN(Q570/P570))+180,DEGREES(ATAN(Q570/P570))-180),IF(Q570&gt;0,90,IF(Q570&lt;0,-90,0)))))</f>
        <v/>
      </c>
      <c r="T570" s="195">
        <f>IF(B570="","",LOG10(B570))</f>
        <v/>
      </c>
      <c r="U570" s="195">
        <f>IF(R570="","",LOG10(MAX(R570,1E-12)))</f>
        <v/>
      </c>
    </row>
    <row r="571">
      <c r="A571" t="n">
        <v>568</v>
      </c>
      <c r="B571" s="196">
        <f>IF(A571&lt;='入力・概要'!$B$40,10^(LOG10('入力・概要'!$B$38)+(A571-1)*(LOG10('入力・概要'!$B$39)-LOG10('入力・概要'!$B$38))/('入力・概要'!$B$40-1)),"")</f>
        <v/>
      </c>
      <c r="C571" s="195">
        <f>IF(B571="","",2*PI()*B571)</f>
        <v/>
      </c>
      <c r="D571" s="195">
        <f>IF(B571="","",ATANH(MIN(0.999999,(2*'入力・概要'!$B$17*'入力・概要'!$B$6)/'入力・概要'!$B$30))+'入力・概要'!$B$33*SQRT(B571/1E6)+(2*PI()*B571*'入力・概要'!$B$6/(299792458*'入力・概要'!$B$31))*'入力・概要'!$B$32/2)</f>
        <v/>
      </c>
      <c r="E571" s="195">
        <f>IF(B571="","",2*PI()*B571*'入力・概要'!$B$6/(299792458*'入力・概要'!$B$31))</f>
        <v/>
      </c>
      <c r="F571" s="195">
        <f>IF(B571="","",SINH(2*D571)/(COSH(2*D571)+COS(2*E571)))</f>
        <v/>
      </c>
      <c r="G571" s="195">
        <f>IF(B571="","",SIN(2*E571)/(COSH(2*D571)+COS(2*E571)))</f>
        <v/>
      </c>
      <c r="H571" s="195">
        <f>IF(B571="","",'入力・概要'!$B$34)</f>
        <v/>
      </c>
      <c r="I571" s="195">
        <f>IF(B571="","",C571*'入力・概要'!$B$35*1E-9)</f>
        <v/>
      </c>
      <c r="J571" s="195">
        <f>IF(B571="","",H571+'入力・概要'!$B$30*F571)</f>
        <v/>
      </c>
      <c r="K571" s="195">
        <f>IF(B571="","",I571+'入力・概要'!$B$30*G571)</f>
        <v/>
      </c>
      <c r="L571" s="195">
        <f>IF(B571="","",'入力・概要'!$B$30+H571*F571-I571*G571)</f>
        <v/>
      </c>
      <c r="M571" s="195">
        <f>IF(B571="","",H571*G571+I571*F571)</f>
        <v/>
      </c>
      <c r="N571" s="195">
        <f>IF(B571="","",'入力・概要'!$B$30*(J571*L571+K571*M571)/(L571^2+M571^2))</f>
        <v/>
      </c>
      <c r="O571" s="195">
        <f>IF(B571="","",'入力・概要'!$B$30*(K571*L571-J571*M571)/(L571^2+M571^2))</f>
        <v/>
      </c>
      <c r="P571" s="195">
        <f>IF(B571="","",N571+'入力・概要'!$B$36)</f>
        <v/>
      </c>
      <c r="Q571" s="195">
        <f>IF(B571="","",O571+C571*'入力・概要'!$B$37*1E-9)</f>
        <v/>
      </c>
      <c r="R571" s="195">
        <f>IF(B571="","",SQRT(P571^2+Q571^2))</f>
        <v/>
      </c>
      <c r="S571" s="195">
        <f>IF(B571="","",IF(P571&gt;0,DEGREES(ATAN(Q571/P571)),IF(P571&lt;0,IF(Q571&gt;=0,DEGREES(ATAN(Q571/P571))+180,DEGREES(ATAN(Q571/P571))-180),IF(Q571&gt;0,90,IF(Q571&lt;0,-90,0)))))</f>
        <v/>
      </c>
      <c r="T571" s="195">
        <f>IF(B571="","",LOG10(B571))</f>
        <v/>
      </c>
      <c r="U571" s="195">
        <f>IF(R571="","",LOG10(MAX(R571,1E-12)))</f>
        <v/>
      </c>
    </row>
    <row r="572">
      <c r="A572" t="n">
        <v>569</v>
      </c>
      <c r="B572" s="196">
        <f>IF(A572&lt;='入力・概要'!$B$40,10^(LOG10('入力・概要'!$B$38)+(A572-1)*(LOG10('入力・概要'!$B$39)-LOG10('入力・概要'!$B$38))/('入力・概要'!$B$40-1)),"")</f>
        <v/>
      </c>
      <c r="C572" s="195">
        <f>IF(B572="","",2*PI()*B572)</f>
        <v/>
      </c>
      <c r="D572" s="195">
        <f>IF(B572="","",ATANH(MIN(0.999999,(2*'入力・概要'!$B$17*'入力・概要'!$B$6)/'入力・概要'!$B$30))+'入力・概要'!$B$33*SQRT(B572/1E6)+(2*PI()*B572*'入力・概要'!$B$6/(299792458*'入力・概要'!$B$31))*'入力・概要'!$B$32/2)</f>
        <v/>
      </c>
      <c r="E572" s="195">
        <f>IF(B572="","",2*PI()*B572*'入力・概要'!$B$6/(299792458*'入力・概要'!$B$31))</f>
        <v/>
      </c>
      <c r="F572" s="195">
        <f>IF(B572="","",SINH(2*D572)/(COSH(2*D572)+COS(2*E572)))</f>
        <v/>
      </c>
      <c r="G572" s="195">
        <f>IF(B572="","",SIN(2*E572)/(COSH(2*D572)+COS(2*E572)))</f>
        <v/>
      </c>
      <c r="H572" s="195">
        <f>IF(B572="","",'入力・概要'!$B$34)</f>
        <v/>
      </c>
      <c r="I572" s="195">
        <f>IF(B572="","",C572*'入力・概要'!$B$35*1E-9)</f>
        <v/>
      </c>
      <c r="J572" s="195">
        <f>IF(B572="","",H572+'入力・概要'!$B$30*F572)</f>
        <v/>
      </c>
      <c r="K572" s="195">
        <f>IF(B572="","",I572+'入力・概要'!$B$30*G572)</f>
        <v/>
      </c>
      <c r="L572" s="195">
        <f>IF(B572="","",'入力・概要'!$B$30+H572*F572-I572*G572)</f>
        <v/>
      </c>
      <c r="M572" s="195">
        <f>IF(B572="","",H572*G572+I572*F572)</f>
        <v/>
      </c>
      <c r="N572" s="195">
        <f>IF(B572="","",'入力・概要'!$B$30*(J572*L572+K572*M572)/(L572^2+M572^2))</f>
        <v/>
      </c>
      <c r="O572" s="195">
        <f>IF(B572="","",'入力・概要'!$B$30*(K572*L572-J572*M572)/(L572^2+M572^2))</f>
        <v/>
      </c>
      <c r="P572" s="195">
        <f>IF(B572="","",N572+'入力・概要'!$B$36)</f>
        <v/>
      </c>
      <c r="Q572" s="195">
        <f>IF(B572="","",O572+C572*'入力・概要'!$B$37*1E-9)</f>
        <v/>
      </c>
      <c r="R572" s="195">
        <f>IF(B572="","",SQRT(P572^2+Q572^2))</f>
        <v/>
      </c>
      <c r="S572" s="195">
        <f>IF(B572="","",IF(P572&gt;0,DEGREES(ATAN(Q572/P572)),IF(P572&lt;0,IF(Q572&gt;=0,DEGREES(ATAN(Q572/P572))+180,DEGREES(ATAN(Q572/P572))-180),IF(Q572&gt;0,90,IF(Q572&lt;0,-90,0)))))</f>
        <v/>
      </c>
      <c r="T572" s="195">
        <f>IF(B572="","",LOG10(B572))</f>
        <v/>
      </c>
      <c r="U572" s="195">
        <f>IF(R572="","",LOG10(MAX(R572,1E-12)))</f>
        <v/>
      </c>
    </row>
    <row r="573">
      <c r="A573" t="n">
        <v>570</v>
      </c>
      <c r="B573" s="196">
        <f>IF(A573&lt;='入力・概要'!$B$40,10^(LOG10('入力・概要'!$B$38)+(A573-1)*(LOG10('入力・概要'!$B$39)-LOG10('入力・概要'!$B$38))/('入力・概要'!$B$40-1)),"")</f>
        <v/>
      </c>
      <c r="C573" s="195">
        <f>IF(B573="","",2*PI()*B573)</f>
        <v/>
      </c>
      <c r="D573" s="195">
        <f>IF(B573="","",ATANH(MIN(0.999999,(2*'入力・概要'!$B$17*'入力・概要'!$B$6)/'入力・概要'!$B$30))+'入力・概要'!$B$33*SQRT(B573/1E6)+(2*PI()*B573*'入力・概要'!$B$6/(299792458*'入力・概要'!$B$31))*'入力・概要'!$B$32/2)</f>
        <v/>
      </c>
      <c r="E573" s="195">
        <f>IF(B573="","",2*PI()*B573*'入力・概要'!$B$6/(299792458*'入力・概要'!$B$31))</f>
        <v/>
      </c>
      <c r="F573" s="195">
        <f>IF(B573="","",SINH(2*D573)/(COSH(2*D573)+COS(2*E573)))</f>
        <v/>
      </c>
      <c r="G573" s="195">
        <f>IF(B573="","",SIN(2*E573)/(COSH(2*D573)+COS(2*E573)))</f>
        <v/>
      </c>
      <c r="H573" s="195">
        <f>IF(B573="","",'入力・概要'!$B$34)</f>
        <v/>
      </c>
      <c r="I573" s="195">
        <f>IF(B573="","",C573*'入力・概要'!$B$35*1E-9)</f>
        <v/>
      </c>
      <c r="J573" s="195">
        <f>IF(B573="","",H573+'入力・概要'!$B$30*F573)</f>
        <v/>
      </c>
      <c r="K573" s="195">
        <f>IF(B573="","",I573+'入力・概要'!$B$30*G573)</f>
        <v/>
      </c>
      <c r="L573" s="195">
        <f>IF(B573="","",'入力・概要'!$B$30+H573*F573-I573*G573)</f>
        <v/>
      </c>
      <c r="M573" s="195">
        <f>IF(B573="","",H573*G573+I573*F573)</f>
        <v/>
      </c>
      <c r="N573" s="195">
        <f>IF(B573="","",'入力・概要'!$B$30*(J573*L573+K573*M573)/(L573^2+M573^2))</f>
        <v/>
      </c>
      <c r="O573" s="195">
        <f>IF(B573="","",'入力・概要'!$B$30*(K573*L573-J573*M573)/(L573^2+M573^2))</f>
        <v/>
      </c>
      <c r="P573" s="195">
        <f>IF(B573="","",N573+'入力・概要'!$B$36)</f>
        <v/>
      </c>
      <c r="Q573" s="195">
        <f>IF(B573="","",O573+C573*'入力・概要'!$B$37*1E-9)</f>
        <v/>
      </c>
      <c r="R573" s="195">
        <f>IF(B573="","",SQRT(P573^2+Q573^2))</f>
        <v/>
      </c>
      <c r="S573" s="195">
        <f>IF(B573="","",IF(P573&gt;0,DEGREES(ATAN(Q573/P573)),IF(P573&lt;0,IF(Q573&gt;=0,DEGREES(ATAN(Q573/P573))+180,DEGREES(ATAN(Q573/P573))-180),IF(Q573&gt;0,90,IF(Q573&lt;0,-90,0)))))</f>
        <v/>
      </c>
      <c r="T573" s="195">
        <f>IF(B573="","",LOG10(B573))</f>
        <v/>
      </c>
      <c r="U573" s="195">
        <f>IF(R573="","",LOG10(MAX(R573,1E-12)))</f>
        <v/>
      </c>
    </row>
    <row r="574">
      <c r="A574" t="n">
        <v>571</v>
      </c>
      <c r="B574" s="196">
        <f>IF(A574&lt;='入力・概要'!$B$40,10^(LOG10('入力・概要'!$B$38)+(A574-1)*(LOG10('入力・概要'!$B$39)-LOG10('入力・概要'!$B$38))/('入力・概要'!$B$40-1)),"")</f>
        <v/>
      </c>
      <c r="C574" s="195">
        <f>IF(B574="","",2*PI()*B574)</f>
        <v/>
      </c>
      <c r="D574" s="195">
        <f>IF(B574="","",ATANH(MIN(0.999999,(2*'入力・概要'!$B$17*'入力・概要'!$B$6)/'入力・概要'!$B$30))+'入力・概要'!$B$33*SQRT(B574/1E6)+(2*PI()*B574*'入力・概要'!$B$6/(299792458*'入力・概要'!$B$31))*'入力・概要'!$B$32/2)</f>
        <v/>
      </c>
      <c r="E574" s="195">
        <f>IF(B574="","",2*PI()*B574*'入力・概要'!$B$6/(299792458*'入力・概要'!$B$31))</f>
        <v/>
      </c>
      <c r="F574" s="195">
        <f>IF(B574="","",SINH(2*D574)/(COSH(2*D574)+COS(2*E574)))</f>
        <v/>
      </c>
      <c r="G574" s="195">
        <f>IF(B574="","",SIN(2*E574)/(COSH(2*D574)+COS(2*E574)))</f>
        <v/>
      </c>
      <c r="H574" s="195">
        <f>IF(B574="","",'入力・概要'!$B$34)</f>
        <v/>
      </c>
      <c r="I574" s="195">
        <f>IF(B574="","",C574*'入力・概要'!$B$35*1E-9)</f>
        <v/>
      </c>
      <c r="J574" s="195">
        <f>IF(B574="","",H574+'入力・概要'!$B$30*F574)</f>
        <v/>
      </c>
      <c r="K574" s="195">
        <f>IF(B574="","",I574+'入力・概要'!$B$30*G574)</f>
        <v/>
      </c>
      <c r="L574" s="195">
        <f>IF(B574="","",'入力・概要'!$B$30+H574*F574-I574*G574)</f>
        <v/>
      </c>
      <c r="M574" s="195">
        <f>IF(B574="","",H574*G574+I574*F574)</f>
        <v/>
      </c>
      <c r="N574" s="195">
        <f>IF(B574="","",'入力・概要'!$B$30*(J574*L574+K574*M574)/(L574^2+M574^2))</f>
        <v/>
      </c>
      <c r="O574" s="195">
        <f>IF(B574="","",'入力・概要'!$B$30*(K574*L574-J574*M574)/(L574^2+M574^2))</f>
        <v/>
      </c>
      <c r="P574" s="195">
        <f>IF(B574="","",N574+'入力・概要'!$B$36)</f>
        <v/>
      </c>
      <c r="Q574" s="195">
        <f>IF(B574="","",O574+C574*'入力・概要'!$B$37*1E-9)</f>
        <v/>
      </c>
      <c r="R574" s="195">
        <f>IF(B574="","",SQRT(P574^2+Q574^2))</f>
        <v/>
      </c>
      <c r="S574" s="195">
        <f>IF(B574="","",IF(P574&gt;0,DEGREES(ATAN(Q574/P574)),IF(P574&lt;0,IF(Q574&gt;=0,DEGREES(ATAN(Q574/P574))+180,DEGREES(ATAN(Q574/P574))-180),IF(Q574&gt;0,90,IF(Q574&lt;0,-90,0)))))</f>
        <v/>
      </c>
      <c r="T574" s="195">
        <f>IF(B574="","",LOG10(B574))</f>
        <v/>
      </c>
      <c r="U574" s="195">
        <f>IF(R574="","",LOG10(MAX(R574,1E-12)))</f>
        <v/>
      </c>
    </row>
    <row r="575">
      <c r="A575" t="n">
        <v>572</v>
      </c>
      <c r="B575" s="196">
        <f>IF(A575&lt;='入力・概要'!$B$40,10^(LOG10('入力・概要'!$B$38)+(A575-1)*(LOG10('入力・概要'!$B$39)-LOG10('入力・概要'!$B$38))/('入力・概要'!$B$40-1)),"")</f>
        <v/>
      </c>
      <c r="C575" s="195">
        <f>IF(B575="","",2*PI()*B575)</f>
        <v/>
      </c>
      <c r="D575" s="195">
        <f>IF(B575="","",ATANH(MIN(0.999999,(2*'入力・概要'!$B$17*'入力・概要'!$B$6)/'入力・概要'!$B$30))+'入力・概要'!$B$33*SQRT(B575/1E6)+(2*PI()*B575*'入力・概要'!$B$6/(299792458*'入力・概要'!$B$31))*'入力・概要'!$B$32/2)</f>
        <v/>
      </c>
      <c r="E575" s="195">
        <f>IF(B575="","",2*PI()*B575*'入力・概要'!$B$6/(299792458*'入力・概要'!$B$31))</f>
        <v/>
      </c>
      <c r="F575" s="195">
        <f>IF(B575="","",SINH(2*D575)/(COSH(2*D575)+COS(2*E575)))</f>
        <v/>
      </c>
      <c r="G575" s="195">
        <f>IF(B575="","",SIN(2*E575)/(COSH(2*D575)+COS(2*E575)))</f>
        <v/>
      </c>
      <c r="H575" s="195">
        <f>IF(B575="","",'入力・概要'!$B$34)</f>
        <v/>
      </c>
      <c r="I575" s="195">
        <f>IF(B575="","",C575*'入力・概要'!$B$35*1E-9)</f>
        <v/>
      </c>
      <c r="J575" s="195">
        <f>IF(B575="","",H575+'入力・概要'!$B$30*F575)</f>
        <v/>
      </c>
      <c r="K575" s="195">
        <f>IF(B575="","",I575+'入力・概要'!$B$30*G575)</f>
        <v/>
      </c>
      <c r="L575" s="195">
        <f>IF(B575="","",'入力・概要'!$B$30+H575*F575-I575*G575)</f>
        <v/>
      </c>
      <c r="M575" s="195">
        <f>IF(B575="","",H575*G575+I575*F575)</f>
        <v/>
      </c>
      <c r="N575" s="195">
        <f>IF(B575="","",'入力・概要'!$B$30*(J575*L575+K575*M575)/(L575^2+M575^2))</f>
        <v/>
      </c>
      <c r="O575" s="195">
        <f>IF(B575="","",'入力・概要'!$B$30*(K575*L575-J575*M575)/(L575^2+M575^2))</f>
        <v/>
      </c>
      <c r="P575" s="195">
        <f>IF(B575="","",N575+'入力・概要'!$B$36)</f>
        <v/>
      </c>
      <c r="Q575" s="195">
        <f>IF(B575="","",O575+C575*'入力・概要'!$B$37*1E-9)</f>
        <v/>
      </c>
      <c r="R575" s="195">
        <f>IF(B575="","",SQRT(P575^2+Q575^2))</f>
        <v/>
      </c>
      <c r="S575" s="195">
        <f>IF(B575="","",IF(P575&gt;0,DEGREES(ATAN(Q575/P575)),IF(P575&lt;0,IF(Q575&gt;=0,DEGREES(ATAN(Q575/P575))+180,DEGREES(ATAN(Q575/P575))-180),IF(Q575&gt;0,90,IF(Q575&lt;0,-90,0)))))</f>
        <v/>
      </c>
      <c r="T575" s="195">
        <f>IF(B575="","",LOG10(B575))</f>
        <v/>
      </c>
      <c r="U575" s="195">
        <f>IF(R575="","",LOG10(MAX(R575,1E-12)))</f>
        <v/>
      </c>
    </row>
    <row r="576">
      <c r="A576" t="n">
        <v>573</v>
      </c>
      <c r="B576" s="196">
        <f>IF(A576&lt;='入力・概要'!$B$40,10^(LOG10('入力・概要'!$B$38)+(A576-1)*(LOG10('入力・概要'!$B$39)-LOG10('入力・概要'!$B$38))/('入力・概要'!$B$40-1)),"")</f>
        <v/>
      </c>
      <c r="C576" s="195">
        <f>IF(B576="","",2*PI()*B576)</f>
        <v/>
      </c>
      <c r="D576" s="195">
        <f>IF(B576="","",ATANH(MIN(0.999999,(2*'入力・概要'!$B$17*'入力・概要'!$B$6)/'入力・概要'!$B$30))+'入力・概要'!$B$33*SQRT(B576/1E6)+(2*PI()*B576*'入力・概要'!$B$6/(299792458*'入力・概要'!$B$31))*'入力・概要'!$B$32/2)</f>
        <v/>
      </c>
      <c r="E576" s="195">
        <f>IF(B576="","",2*PI()*B576*'入力・概要'!$B$6/(299792458*'入力・概要'!$B$31))</f>
        <v/>
      </c>
      <c r="F576" s="195">
        <f>IF(B576="","",SINH(2*D576)/(COSH(2*D576)+COS(2*E576)))</f>
        <v/>
      </c>
      <c r="G576" s="195">
        <f>IF(B576="","",SIN(2*E576)/(COSH(2*D576)+COS(2*E576)))</f>
        <v/>
      </c>
      <c r="H576" s="195">
        <f>IF(B576="","",'入力・概要'!$B$34)</f>
        <v/>
      </c>
      <c r="I576" s="195">
        <f>IF(B576="","",C576*'入力・概要'!$B$35*1E-9)</f>
        <v/>
      </c>
      <c r="J576" s="195">
        <f>IF(B576="","",H576+'入力・概要'!$B$30*F576)</f>
        <v/>
      </c>
      <c r="K576" s="195">
        <f>IF(B576="","",I576+'入力・概要'!$B$30*G576)</f>
        <v/>
      </c>
      <c r="L576" s="195">
        <f>IF(B576="","",'入力・概要'!$B$30+H576*F576-I576*G576)</f>
        <v/>
      </c>
      <c r="M576" s="195">
        <f>IF(B576="","",H576*G576+I576*F576)</f>
        <v/>
      </c>
      <c r="N576" s="195">
        <f>IF(B576="","",'入力・概要'!$B$30*(J576*L576+K576*M576)/(L576^2+M576^2))</f>
        <v/>
      </c>
      <c r="O576" s="195">
        <f>IF(B576="","",'入力・概要'!$B$30*(K576*L576-J576*M576)/(L576^2+M576^2))</f>
        <v/>
      </c>
      <c r="P576" s="195">
        <f>IF(B576="","",N576+'入力・概要'!$B$36)</f>
        <v/>
      </c>
      <c r="Q576" s="195">
        <f>IF(B576="","",O576+C576*'入力・概要'!$B$37*1E-9)</f>
        <v/>
      </c>
      <c r="R576" s="195">
        <f>IF(B576="","",SQRT(P576^2+Q576^2))</f>
        <v/>
      </c>
      <c r="S576" s="195">
        <f>IF(B576="","",IF(P576&gt;0,DEGREES(ATAN(Q576/P576)),IF(P576&lt;0,IF(Q576&gt;=0,DEGREES(ATAN(Q576/P576))+180,DEGREES(ATAN(Q576/P576))-180),IF(Q576&gt;0,90,IF(Q576&lt;0,-90,0)))))</f>
        <v/>
      </c>
      <c r="T576" s="195">
        <f>IF(B576="","",LOG10(B576))</f>
        <v/>
      </c>
      <c r="U576" s="195">
        <f>IF(R576="","",LOG10(MAX(R576,1E-12)))</f>
        <v/>
      </c>
    </row>
    <row r="577">
      <c r="A577" t="n">
        <v>574</v>
      </c>
      <c r="B577" s="196">
        <f>IF(A577&lt;='入力・概要'!$B$40,10^(LOG10('入力・概要'!$B$38)+(A577-1)*(LOG10('入力・概要'!$B$39)-LOG10('入力・概要'!$B$38))/('入力・概要'!$B$40-1)),"")</f>
        <v/>
      </c>
      <c r="C577" s="195">
        <f>IF(B577="","",2*PI()*B577)</f>
        <v/>
      </c>
      <c r="D577" s="195">
        <f>IF(B577="","",ATANH(MIN(0.999999,(2*'入力・概要'!$B$17*'入力・概要'!$B$6)/'入力・概要'!$B$30))+'入力・概要'!$B$33*SQRT(B577/1E6)+(2*PI()*B577*'入力・概要'!$B$6/(299792458*'入力・概要'!$B$31))*'入力・概要'!$B$32/2)</f>
        <v/>
      </c>
      <c r="E577" s="195">
        <f>IF(B577="","",2*PI()*B577*'入力・概要'!$B$6/(299792458*'入力・概要'!$B$31))</f>
        <v/>
      </c>
      <c r="F577" s="195">
        <f>IF(B577="","",SINH(2*D577)/(COSH(2*D577)+COS(2*E577)))</f>
        <v/>
      </c>
      <c r="G577" s="195">
        <f>IF(B577="","",SIN(2*E577)/(COSH(2*D577)+COS(2*E577)))</f>
        <v/>
      </c>
      <c r="H577" s="195">
        <f>IF(B577="","",'入力・概要'!$B$34)</f>
        <v/>
      </c>
      <c r="I577" s="195">
        <f>IF(B577="","",C577*'入力・概要'!$B$35*1E-9)</f>
        <v/>
      </c>
      <c r="J577" s="195">
        <f>IF(B577="","",H577+'入力・概要'!$B$30*F577)</f>
        <v/>
      </c>
      <c r="K577" s="195">
        <f>IF(B577="","",I577+'入力・概要'!$B$30*G577)</f>
        <v/>
      </c>
      <c r="L577" s="195">
        <f>IF(B577="","",'入力・概要'!$B$30+H577*F577-I577*G577)</f>
        <v/>
      </c>
      <c r="M577" s="195">
        <f>IF(B577="","",H577*G577+I577*F577)</f>
        <v/>
      </c>
      <c r="N577" s="195">
        <f>IF(B577="","",'入力・概要'!$B$30*(J577*L577+K577*M577)/(L577^2+M577^2))</f>
        <v/>
      </c>
      <c r="O577" s="195">
        <f>IF(B577="","",'入力・概要'!$B$30*(K577*L577-J577*M577)/(L577^2+M577^2))</f>
        <v/>
      </c>
      <c r="P577" s="195">
        <f>IF(B577="","",N577+'入力・概要'!$B$36)</f>
        <v/>
      </c>
      <c r="Q577" s="195">
        <f>IF(B577="","",O577+C577*'入力・概要'!$B$37*1E-9)</f>
        <v/>
      </c>
      <c r="R577" s="195">
        <f>IF(B577="","",SQRT(P577^2+Q577^2))</f>
        <v/>
      </c>
      <c r="S577" s="195">
        <f>IF(B577="","",IF(P577&gt;0,DEGREES(ATAN(Q577/P577)),IF(P577&lt;0,IF(Q577&gt;=0,DEGREES(ATAN(Q577/P577))+180,DEGREES(ATAN(Q577/P577))-180),IF(Q577&gt;0,90,IF(Q577&lt;0,-90,0)))))</f>
        <v/>
      </c>
      <c r="T577" s="195">
        <f>IF(B577="","",LOG10(B577))</f>
        <v/>
      </c>
      <c r="U577" s="195">
        <f>IF(R577="","",LOG10(MAX(R577,1E-12)))</f>
        <v/>
      </c>
    </row>
    <row r="578">
      <c r="A578" t="n">
        <v>575</v>
      </c>
      <c r="B578" s="196">
        <f>IF(A578&lt;='入力・概要'!$B$40,10^(LOG10('入力・概要'!$B$38)+(A578-1)*(LOG10('入力・概要'!$B$39)-LOG10('入力・概要'!$B$38))/('入力・概要'!$B$40-1)),"")</f>
        <v/>
      </c>
      <c r="C578" s="195">
        <f>IF(B578="","",2*PI()*B578)</f>
        <v/>
      </c>
      <c r="D578" s="195">
        <f>IF(B578="","",ATANH(MIN(0.999999,(2*'入力・概要'!$B$17*'入力・概要'!$B$6)/'入力・概要'!$B$30))+'入力・概要'!$B$33*SQRT(B578/1E6)+(2*PI()*B578*'入力・概要'!$B$6/(299792458*'入力・概要'!$B$31))*'入力・概要'!$B$32/2)</f>
        <v/>
      </c>
      <c r="E578" s="195">
        <f>IF(B578="","",2*PI()*B578*'入力・概要'!$B$6/(299792458*'入力・概要'!$B$31))</f>
        <v/>
      </c>
      <c r="F578" s="195">
        <f>IF(B578="","",SINH(2*D578)/(COSH(2*D578)+COS(2*E578)))</f>
        <v/>
      </c>
      <c r="G578" s="195">
        <f>IF(B578="","",SIN(2*E578)/(COSH(2*D578)+COS(2*E578)))</f>
        <v/>
      </c>
      <c r="H578" s="195">
        <f>IF(B578="","",'入力・概要'!$B$34)</f>
        <v/>
      </c>
      <c r="I578" s="195">
        <f>IF(B578="","",C578*'入力・概要'!$B$35*1E-9)</f>
        <v/>
      </c>
      <c r="J578" s="195">
        <f>IF(B578="","",H578+'入力・概要'!$B$30*F578)</f>
        <v/>
      </c>
      <c r="K578" s="195">
        <f>IF(B578="","",I578+'入力・概要'!$B$30*G578)</f>
        <v/>
      </c>
      <c r="L578" s="195">
        <f>IF(B578="","",'入力・概要'!$B$30+H578*F578-I578*G578)</f>
        <v/>
      </c>
      <c r="M578" s="195">
        <f>IF(B578="","",H578*G578+I578*F578)</f>
        <v/>
      </c>
      <c r="N578" s="195">
        <f>IF(B578="","",'入力・概要'!$B$30*(J578*L578+K578*M578)/(L578^2+M578^2))</f>
        <v/>
      </c>
      <c r="O578" s="195">
        <f>IF(B578="","",'入力・概要'!$B$30*(K578*L578-J578*M578)/(L578^2+M578^2))</f>
        <v/>
      </c>
      <c r="P578" s="195">
        <f>IF(B578="","",N578+'入力・概要'!$B$36)</f>
        <v/>
      </c>
      <c r="Q578" s="195">
        <f>IF(B578="","",O578+C578*'入力・概要'!$B$37*1E-9)</f>
        <v/>
      </c>
      <c r="R578" s="195">
        <f>IF(B578="","",SQRT(P578^2+Q578^2))</f>
        <v/>
      </c>
      <c r="S578" s="195">
        <f>IF(B578="","",IF(P578&gt;0,DEGREES(ATAN(Q578/P578)),IF(P578&lt;0,IF(Q578&gt;=0,DEGREES(ATAN(Q578/P578))+180,DEGREES(ATAN(Q578/P578))-180),IF(Q578&gt;0,90,IF(Q578&lt;0,-90,0)))))</f>
        <v/>
      </c>
      <c r="T578" s="195">
        <f>IF(B578="","",LOG10(B578))</f>
        <v/>
      </c>
      <c r="U578" s="195">
        <f>IF(R578="","",LOG10(MAX(R578,1E-12)))</f>
        <v/>
      </c>
    </row>
    <row r="579">
      <c r="A579" t="n">
        <v>576</v>
      </c>
      <c r="B579" s="196">
        <f>IF(A579&lt;='入力・概要'!$B$40,10^(LOG10('入力・概要'!$B$38)+(A579-1)*(LOG10('入力・概要'!$B$39)-LOG10('入力・概要'!$B$38))/('入力・概要'!$B$40-1)),"")</f>
        <v/>
      </c>
      <c r="C579" s="195">
        <f>IF(B579="","",2*PI()*B579)</f>
        <v/>
      </c>
      <c r="D579" s="195">
        <f>IF(B579="","",ATANH(MIN(0.999999,(2*'入力・概要'!$B$17*'入力・概要'!$B$6)/'入力・概要'!$B$30))+'入力・概要'!$B$33*SQRT(B579/1E6)+(2*PI()*B579*'入力・概要'!$B$6/(299792458*'入力・概要'!$B$31))*'入力・概要'!$B$32/2)</f>
        <v/>
      </c>
      <c r="E579" s="195">
        <f>IF(B579="","",2*PI()*B579*'入力・概要'!$B$6/(299792458*'入力・概要'!$B$31))</f>
        <v/>
      </c>
      <c r="F579" s="195">
        <f>IF(B579="","",SINH(2*D579)/(COSH(2*D579)+COS(2*E579)))</f>
        <v/>
      </c>
      <c r="G579" s="195">
        <f>IF(B579="","",SIN(2*E579)/(COSH(2*D579)+COS(2*E579)))</f>
        <v/>
      </c>
      <c r="H579" s="195">
        <f>IF(B579="","",'入力・概要'!$B$34)</f>
        <v/>
      </c>
      <c r="I579" s="195">
        <f>IF(B579="","",C579*'入力・概要'!$B$35*1E-9)</f>
        <v/>
      </c>
      <c r="J579" s="195">
        <f>IF(B579="","",H579+'入力・概要'!$B$30*F579)</f>
        <v/>
      </c>
      <c r="K579" s="195">
        <f>IF(B579="","",I579+'入力・概要'!$B$30*G579)</f>
        <v/>
      </c>
      <c r="L579" s="195">
        <f>IF(B579="","",'入力・概要'!$B$30+H579*F579-I579*G579)</f>
        <v/>
      </c>
      <c r="M579" s="195">
        <f>IF(B579="","",H579*G579+I579*F579)</f>
        <v/>
      </c>
      <c r="N579" s="195">
        <f>IF(B579="","",'入力・概要'!$B$30*(J579*L579+K579*M579)/(L579^2+M579^2))</f>
        <v/>
      </c>
      <c r="O579" s="195">
        <f>IF(B579="","",'入力・概要'!$B$30*(K579*L579-J579*M579)/(L579^2+M579^2))</f>
        <v/>
      </c>
      <c r="P579" s="195">
        <f>IF(B579="","",N579+'入力・概要'!$B$36)</f>
        <v/>
      </c>
      <c r="Q579" s="195">
        <f>IF(B579="","",O579+C579*'入力・概要'!$B$37*1E-9)</f>
        <v/>
      </c>
      <c r="R579" s="195">
        <f>IF(B579="","",SQRT(P579^2+Q579^2))</f>
        <v/>
      </c>
      <c r="S579" s="195">
        <f>IF(B579="","",IF(P579&gt;0,DEGREES(ATAN(Q579/P579)),IF(P579&lt;0,IF(Q579&gt;=0,DEGREES(ATAN(Q579/P579))+180,DEGREES(ATAN(Q579/P579))-180),IF(Q579&gt;0,90,IF(Q579&lt;0,-90,0)))))</f>
        <v/>
      </c>
      <c r="T579" s="195">
        <f>IF(B579="","",LOG10(B579))</f>
        <v/>
      </c>
      <c r="U579" s="195">
        <f>IF(R579="","",LOG10(MAX(R579,1E-12)))</f>
        <v/>
      </c>
    </row>
    <row r="580">
      <c r="A580" t="n">
        <v>577</v>
      </c>
      <c r="B580" s="196">
        <f>IF(A580&lt;='入力・概要'!$B$40,10^(LOG10('入力・概要'!$B$38)+(A580-1)*(LOG10('入力・概要'!$B$39)-LOG10('入力・概要'!$B$38))/('入力・概要'!$B$40-1)),"")</f>
        <v/>
      </c>
      <c r="C580" s="195">
        <f>IF(B580="","",2*PI()*B580)</f>
        <v/>
      </c>
      <c r="D580" s="195">
        <f>IF(B580="","",ATANH(MIN(0.999999,(2*'入力・概要'!$B$17*'入力・概要'!$B$6)/'入力・概要'!$B$30))+'入力・概要'!$B$33*SQRT(B580/1E6)+(2*PI()*B580*'入力・概要'!$B$6/(299792458*'入力・概要'!$B$31))*'入力・概要'!$B$32/2)</f>
        <v/>
      </c>
      <c r="E580" s="195">
        <f>IF(B580="","",2*PI()*B580*'入力・概要'!$B$6/(299792458*'入力・概要'!$B$31))</f>
        <v/>
      </c>
      <c r="F580" s="195">
        <f>IF(B580="","",SINH(2*D580)/(COSH(2*D580)+COS(2*E580)))</f>
        <v/>
      </c>
      <c r="G580" s="195">
        <f>IF(B580="","",SIN(2*E580)/(COSH(2*D580)+COS(2*E580)))</f>
        <v/>
      </c>
      <c r="H580" s="195">
        <f>IF(B580="","",'入力・概要'!$B$34)</f>
        <v/>
      </c>
      <c r="I580" s="195">
        <f>IF(B580="","",C580*'入力・概要'!$B$35*1E-9)</f>
        <v/>
      </c>
      <c r="J580" s="195">
        <f>IF(B580="","",H580+'入力・概要'!$B$30*F580)</f>
        <v/>
      </c>
      <c r="K580" s="195">
        <f>IF(B580="","",I580+'入力・概要'!$B$30*G580)</f>
        <v/>
      </c>
      <c r="L580" s="195">
        <f>IF(B580="","",'入力・概要'!$B$30+H580*F580-I580*G580)</f>
        <v/>
      </c>
      <c r="M580" s="195">
        <f>IF(B580="","",H580*G580+I580*F580)</f>
        <v/>
      </c>
      <c r="N580" s="195">
        <f>IF(B580="","",'入力・概要'!$B$30*(J580*L580+K580*M580)/(L580^2+M580^2))</f>
        <v/>
      </c>
      <c r="O580" s="195">
        <f>IF(B580="","",'入力・概要'!$B$30*(K580*L580-J580*M580)/(L580^2+M580^2))</f>
        <v/>
      </c>
      <c r="P580" s="195">
        <f>IF(B580="","",N580+'入力・概要'!$B$36)</f>
        <v/>
      </c>
      <c r="Q580" s="195">
        <f>IF(B580="","",O580+C580*'入力・概要'!$B$37*1E-9)</f>
        <v/>
      </c>
      <c r="R580" s="195">
        <f>IF(B580="","",SQRT(P580^2+Q580^2))</f>
        <v/>
      </c>
      <c r="S580" s="195">
        <f>IF(B580="","",IF(P580&gt;0,DEGREES(ATAN(Q580/P580)),IF(P580&lt;0,IF(Q580&gt;=0,DEGREES(ATAN(Q580/P580))+180,DEGREES(ATAN(Q580/P580))-180),IF(Q580&gt;0,90,IF(Q580&lt;0,-90,0)))))</f>
        <v/>
      </c>
      <c r="T580" s="195">
        <f>IF(B580="","",LOG10(B580))</f>
        <v/>
      </c>
      <c r="U580" s="195">
        <f>IF(R580="","",LOG10(MAX(R580,1E-12)))</f>
        <v/>
      </c>
    </row>
    <row r="581">
      <c r="A581" t="n">
        <v>578</v>
      </c>
      <c r="B581" s="196">
        <f>IF(A581&lt;='入力・概要'!$B$40,10^(LOG10('入力・概要'!$B$38)+(A581-1)*(LOG10('入力・概要'!$B$39)-LOG10('入力・概要'!$B$38))/('入力・概要'!$B$40-1)),"")</f>
        <v/>
      </c>
      <c r="C581" s="195">
        <f>IF(B581="","",2*PI()*B581)</f>
        <v/>
      </c>
      <c r="D581" s="195">
        <f>IF(B581="","",ATANH(MIN(0.999999,(2*'入力・概要'!$B$17*'入力・概要'!$B$6)/'入力・概要'!$B$30))+'入力・概要'!$B$33*SQRT(B581/1E6)+(2*PI()*B581*'入力・概要'!$B$6/(299792458*'入力・概要'!$B$31))*'入力・概要'!$B$32/2)</f>
        <v/>
      </c>
      <c r="E581" s="195">
        <f>IF(B581="","",2*PI()*B581*'入力・概要'!$B$6/(299792458*'入力・概要'!$B$31))</f>
        <v/>
      </c>
      <c r="F581" s="195">
        <f>IF(B581="","",SINH(2*D581)/(COSH(2*D581)+COS(2*E581)))</f>
        <v/>
      </c>
      <c r="G581" s="195">
        <f>IF(B581="","",SIN(2*E581)/(COSH(2*D581)+COS(2*E581)))</f>
        <v/>
      </c>
      <c r="H581" s="195">
        <f>IF(B581="","",'入力・概要'!$B$34)</f>
        <v/>
      </c>
      <c r="I581" s="195">
        <f>IF(B581="","",C581*'入力・概要'!$B$35*1E-9)</f>
        <v/>
      </c>
      <c r="J581" s="195">
        <f>IF(B581="","",H581+'入力・概要'!$B$30*F581)</f>
        <v/>
      </c>
      <c r="K581" s="195">
        <f>IF(B581="","",I581+'入力・概要'!$B$30*G581)</f>
        <v/>
      </c>
      <c r="L581" s="195">
        <f>IF(B581="","",'入力・概要'!$B$30+H581*F581-I581*G581)</f>
        <v/>
      </c>
      <c r="M581" s="195">
        <f>IF(B581="","",H581*G581+I581*F581)</f>
        <v/>
      </c>
      <c r="N581" s="195">
        <f>IF(B581="","",'入力・概要'!$B$30*(J581*L581+K581*M581)/(L581^2+M581^2))</f>
        <v/>
      </c>
      <c r="O581" s="195">
        <f>IF(B581="","",'入力・概要'!$B$30*(K581*L581-J581*M581)/(L581^2+M581^2))</f>
        <v/>
      </c>
      <c r="P581" s="195">
        <f>IF(B581="","",N581+'入力・概要'!$B$36)</f>
        <v/>
      </c>
      <c r="Q581" s="195">
        <f>IF(B581="","",O581+C581*'入力・概要'!$B$37*1E-9)</f>
        <v/>
      </c>
      <c r="R581" s="195">
        <f>IF(B581="","",SQRT(P581^2+Q581^2))</f>
        <v/>
      </c>
      <c r="S581" s="195">
        <f>IF(B581="","",IF(P581&gt;0,DEGREES(ATAN(Q581/P581)),IF(P581&lt;0,IF(Q581&gt;=0,DEGREES(ATAN(Q581/P581))+180,DEGREES(ATAN(Q581/P581))-180),IF(Q581&gt;0,90,IF(Q581&lt;0,-90,0)))))</f>
        <v/>
      </c>
      <c r="T581" s="195">
        <f>IF(B581="","",LOG10(B581))</f>
        <v/>
      </c>
      <c r="U581" s="195">
        <f>IF(R581="","",LOG10(MAX(R581,1E-12)))</f>
        <v/>
      </c>
    </row>
    <row r="582">
      <c r="A582" t="n">
        <v>579</v>
      </c>
      <c r="B582" s="196">
        <f>IF(A582&lt;='入力・概要'!$B$40,10^(LOG10('入力・概要'!$B$38)+(A582-1)*(LOG10('入力・概要'!$B$39)-LOG10('入力・概要'!$B$38))/('入力・概要'!$B$40-1)),"")</f>
        <v/>
      </c>
      <c r="C582" s="195">
        <f>IF(B582="","",2*PI()*B582)</f>
        <v/>
      </c>
      <c r="D582" s="195">
        <f>IF(B582="","",ATANH(MIN(0.999999,(2*'入力・概要'!$B$17*'入力・概要'!$B$6)/'入力・概要'!$B$30))+'入力・概要'!$B$33*SQRT(B582/1E6)+(2*PI()*B582*'入力・概要'!$B$6/(299792458*'入力・概要'!$B$31))*'入力・概要'!$B$32/2)</f>
        <v/>
      </c>
      <c r="E582" s="195">
        <f>IF(B582="","",2*PI()*B582*'入力・概要'!$B$6/(299792458*'入力・概要'!$B$31))</f>
        <v/>
      </c>
      <c r="F582" s="195">
        <f>IF(B582="","",SINH(2*D582)/(COSH(2*D582)+COS(2*E582)))</f>
        <v/>
      </c>
      <c r="G582" s="195">
        <f>IF(B582="","",SIN(2*E582)/(COSH(2*D582)+COS(2*E582)))</f>
        <v/>
      </c>
      <c r="H582" s="195">
        <f>IF(B582="","",'入力・概要'!$B$34)</f>
        <v/>
      </c>
      <c r="I582" s="195">
        <f>IF(B582="","",C582*'入力・概要'!$B$35*1E-9)</f>
        <v/>
      </c>
      <c r="J582" s="195">
        <f>IF(B582="","",H582+'入力・概要'!$B$30*F582)</f>
        <v/>
      </c>
      <c r="K582" s="195">
        <f>IF(B582="","",I582+'入力・概要'!$B$30*G582)</f>
        <v/>
      </c>
      <c r="L582" s="195">
        <f>IF(B582="","",'入力・概要'!$B$30+H582*F582-I582*G582)</f>
        <v/>
      </c>
      <c r="M582" s="195">
        <f>IF(B582="","",H582*G582+I582*F582)</f>
        <v/>
      </c>
      <c r="N582" s="195">
        <f>IF(B582="","",'入力・概要'!$B$30*(J582*L582+K582*M582)/(L582^2+M582^2))</f>
        <v/>
      </c>
      <c r="O582" s="195">
        <f>IF(B582="","",'入力・概要'!$B$30*(K582*L582-J582*M582)/(L582^2+M582^2))</f>
        <v/>
      </c>
      <c r="P582" s="195">
        <f>IF(B582="","",N582+'入力・概要'!$B$36)</f>
        <v/>
      </c>
      <c r="Q582" s="195">
        <f>IF(B582="","",O582+C582*'入力・概要'!$B$37*1E-9)</f>
        <v/>
      </c>
      <c r="R582" s="195">
        <f>IF(B582="","",SQRT(P582^2+Q582^2))</f>
        <v/>
      </c>
      <c r="S582" s="195">
        <f>IF(B582="","",IF(P582&gt;0,DEGREES(ATAN(Q582/P582)),IF(P582&lt;0,IF(Q582&gt;=0,DEGREES(ATAN(Q582/P582))+180,DEGREES(ATAN(Q582/P582))-180),IF(Q582&gt;0,90,IF(Q582&lt;0,-90,0)))))</f>
        <v/>
      </c>
      <c r="T582" s="195">
        <f>IF(B582="","",LOG10(B582))</f>
        <v/>
      </c>
      <c r="U582" s="195">
        <f>IF(R582="","",LOG10(MAX(R582,1E-12)))</f>
        <v/>
      </c>
    </row>
    <row r="583">
      <c r="A583" t="n">
        <v>580</v>
      </c>
      <c r="B583" s="196">
        <f>IF(A583&lt;='入力・概要'!$B$40,10^(LOG10('入力・概要'!$B$38)+(A583-1)*(LOG10('入力・概要'!$B$39)-LOG10('入力・概要'!$B$38))/('入力・概要'!$B$40-1)),"")</f>
        <v/>
      </c>
      <c r="C583" s="195">
        <f>IF(B583="","",2*PI()*B583)</f>
        <v/>
      </c>
      <c r="D583" s="195">
        <f>IF(B583="","",ATANH(MIN(0.999999,(2*'入力・概要'!$B$17*'入力・概要'!$B$6)/'入力・概要'!$B$30))+'入力・概要'!$B$33*SQRT(B583/1E6)+(2*PI()*B583*'入力・概要'!$B$6/(299792458*'入力・概要'!$B$31))*'入力・概要'!$B$32/2)</f>
        <v/>
      </c>
      <c r="E583" s="195">
        <f>IF(B583="","",2*PI()*B583*'入力・概要'!$B$6/(299792458*'入力・概要'!$B$31))</f>
        <v/>
      </c>
      <c r="F583" s="195">
        <f>IF(B583="","",SINH(2*D583)/(COSH(2*D583)+COS(2*E583)))</f>
        <v/>
      </c>
      <c r="G583" s="195">
        <f>IF(B583="","",SIN(2*E583)/(COSH(2*D583)+COS(2*E583)))</f>
        <v/>
      </c>
      <c r="H583" s="195">
        <f>IF(B583="","",'入力・概要'!$B$34)</f>
        <v/>
      </c>
      <c r="I583" s="195">
        <f>IF(B583="","",C583*'入力・概要'!$B$35*1E-9)</f>
        <v/>
      </c>
      <c r="J583" s="195">
        <f>IF(B583="","",H583+'入力・概要'!$B$30*F583)</f>
        <v/>
      </c>
      <c r="K583" s="195">
        <f>IF(B583="","",I583+'入力・概要'!$B$30*G583)</f>
        <v/>
      </c>
      <c r="L583" s="195">
        <f>IF(B583="","",'入力・概要'!$B$30+H583*F583-I583*G583)</f>
        <v/>
      </c>
      <c r="M583" s="195">
        <f>IF(B583="","",H583*G583+I583*F583)</f>
        <v/>
      </c>
      <c r="N583" s="195">
        <f>IF(B583="","",'入力・概要'!$B$30*(J583*L583+K583*M583)/(L583^2+M583^2))</f>
        <v/>
      </c>
      <c r="O583" s="195">
        <f>IF(B583="","",'入力・概要'!$B$30*(K583*L583-J583*M583)/(L583^2+M583^2))</f>
        <v/>
      </c>
      <c r="P583" s="195">
        <f>IF(B583="","",N583+'入力・概要'!$B$36)</f>
        <v/>
      </c>
      <c r="Q583" s="195">
        <f>IF(B583="","",O583+C583*'入力・概要'!$B$37*1E-9)</f>
        <v/>
      </c>
      <c r="R583" s="195">
        <f>IF(B583="","",SQRT(P583^2+Q583^2))</f>
        <v/>
      </c>
      <c r="S583" s="195">
        <f>IF(B583="","",IF(P583&gt;0,DEGREES(ATAN(Q583/P583)),IF(P583&lt;0,IF(Q583&gt;=0,DEGREES(ATAN(Q583/P583))+180,DEGREES(ATAN(Q583/P583))-180),IF(Q583&gt;0,90,IF(Q583&lt;0,-90,0)))))</f>
        <v/>
      </c>
      <c r="T583" s="195">
        <f>IF(B583="","",LOG10(B583))</f>
        <v/>
      </c>
      <c r="U583" s="195">
        <f>IF(R583="","",LOG10(MAX(R583,1E-12)))</f>
        <v/>
      </c>
    </row>
    <row r="584">
      <c r="A584" t="n">
        <v>581</v>
      </c>
      <c r="B584" s="196">
        <f>IF(A584&lt;='入力・概要'!$B$40,10^(LOG10('入力・概要'!$B$38)+(A584-1)*(LOG10('入力・概要'!$B$39)-LOG10('入力・概要'!$B$38))/('入力・概要'!$B$40-1)),"")</f>
        <v/>
      </c>
      <c r="C584" s="195">
        <f>IF(B584="","",2*PI()*B584)</f>
        <v/>
      </c>
      <c r="D584" s="195">
        <f>IF(B584="","",ATANH(MIN(0.999999,(2*'入力・概要'!$B$17*'入力・概要'!$B$6)/'入力・概要'!$B$30))+'入力・概要'!$B$33*SQRT(B584/1E6)+(2*PI()*B584*'入力・概要'!$B$6/(299792458*'入力・概要'!$B$31))*'入力・概要'!$B$32/2)</f>
        <v/>
      </c>
      <c r="E584" s="195">
        <f>IF(B584="","",2*PI()*B584*'入力・概要'!$B$6/(299792458*'入力・概要'!$B$31))</f>
        <v/>
      </c>
      <c r="F584" s="195">
        <f>IF(B584="","",SINH(2*D584)/(COSH(2*D584)+COS(2*E584)))</f>
        <v/>
      </c>
      <c r="G584" s="195">
        <f>IF(B584="","",SIN(2*E584)/(COSH(2*D584)+COS(2*E584)))</f>
        <v/>
      </c>
      <c r="H584" s="195">
        <f>IF(B584="","",'入力・概要'!$B$34)</f>
        <v/>
      </c>
      <c r="I584" s="195">
        <f>IF(B584="","",C584*'入力・概要'!$B$35*1E-9)</f>
        <v/>
      </c>
      <c r="J584" s="195">
        <f>IF(B584="","",H584+'入力・概要'!$B$30*F584)</f>
        <v/>
      </c>
      <c r="K584" s="195">
        <f>IF(B584="","",I584+'入力・概要'!$B$30*G584)</f>
        <v/>
      </c>
      <c r="L584" s="195">
        <f>IF(B584="","",'入力・概要'!$B$30+H584*F584-I584*G584)</f>
        <v/>
      </c>
      <c r="M584" s="195">
        <f>IF(B584="","",H584*G584+I584*F584)</f>
        <v/>
      </c>
      <c r="N584" s="195">
        <f>IF(B584="","",'入力・概要'!$B$30*(J584*L584+K584*M584)/(L584^2+M584^2))</f>
        <v/>
      </c>
      <c r="O584" s="195">
        <f>IF(B584="","",'入力・概要'!$B$30*(K584*L584-J584*M584)/(L584^2+M584^2))</f>
        <v/>
      </c>
      <c r="P584" s="195">
        <f>IF(B584="","",N584+'入力・概要'!$B$36)</f>
        <v/>
      </c>
      <c r="Q584" s="195">
        <f>IF(B584="","",O584+C584*'入力・概要'!$B$37*1E-9)</f>
        <v/>
      </c>
      <c r="R584" s="195">
        <f>IF(B584="","",SQRT(P584^2+Q584^2))</f>
        <v/>
      </c>
      <c r="S584" s="195">
        <f>IF(B584="","",IF(P584&gt;0,DEGREES(ATAN(Q584/P584)),IF(P584&lt;0,IF(Q584&gt;=0,DEGREES(ATAN(Q584/P584))+180,DEGREES(ATAN(Q584/P584))-180),IF(Q584&gt;0,90,IF(Q584&lt;0,-90,0)))))</f>
        <v/>
      </c>
      <c r="T584" s="195">
        <f>IF(B584="","",LOG10(B584))</f>
        <v/>
      </c>
      <c r="U584" s="195">
        <f>IF(R584="","",LOG10(MAX(R584,1E-12)))</f>
        <v/>
      </c>
    </row>
    <row r="585">
      <c r="A585" t="n">
        <v>582</v>
      </c>
      <c r="B585" s="196">
        <f>IF(A585&lt;='入力・概要'!$B$40,10^(LOG10('入力・概要'!$B$38)+(A585-1)*(LOG10('入力・概要'!$B$39)-LOG10('入力・概要'!$B$38))/('入力・概要'!$B$40-1)),"")</f>
        <v/>
      </c>
      <c r="C585" s="195">
        <f>IF(B585="","",2*PI()*B585)</f>
        <v/>
      </c>
      <c r="D585" s="195">
        <f>IF(B585="","",ATANH(MIN(0.999999,(2*'入力・概要'!$B$17*'入力・概要'!$B$6)/'入力・概要'!$B$30))+'入力・概要'!$B$33*SQRT(B585/1E6)+(2*PI()*B585*'入力・概要'!$B$6/(299792458*'入力・概要'!$B$31))*'入力・概要'!$B$32/2)</f>
        <v/>
      </c>
      <c r="E585" s="195">
        <f>IF(B585="","",2*PI()*B585*'入力・概要'!$B$6/(299792458*'入力・概要'!$B$31))</f>
        <v/>
      </c>
      <c r="F585" s="195">
        <f>IF(B585="","",SINH(2*D585)/(COSH(2*D585)+COS(2*E585)))</f>
        <v/>
      </c>
      <c r="G585" s="195">
        <f>IF(B585="","",SIN(2*E585)/(COSH(2*D585)+COS(2*E585)))</f>
        <v/>
      </c>
      <c r="H585" s="195">
        <f>IF(B585="","",'入力・概要'!$B$34)</f>
        <v/>
      </c>
      <c r="I585" s="195">
        <f>IF(B585="","",C585*'入力・概要'!$B$35*1E-9)</f>
        <v/>
      </c>
      <c r="J585" s="195">
        <f>IF(B585="","",H585+'入力・概要'!$B$30*F585)</f>
        <v/>
      </c>
      <c r="K585" s="195">
        <f>IF(B585="","",I585+'入力・概要'!$B$30*G585)</f>
        <v/>
      </c>
      <c r="L585" s="195">
        <f>IF(B585="","",'入力・概要'!$B$30+H585*F585-I585*G585)</f>
        <v/>
      </c>
      <c r="M585" s="195">
        <f>IF(B585="","",H585*G585+I585*F585)</f>
        <v/>
      </c>
      <c r="N585" s="195">
        <f>IF(B585="","",'入力・概要'!$B$30*(J585*L585+K585*M585)/(L585^2+M585^2))</f>
        <v/>
      </c>
      <c r="O585" s="195">
        <f>IF(B585="","",'入力・概要'!$B$30*(K585*L585-J585*M585)/(L585^2+M585^2))</f>
        <v/>
      </c>
      <c r="P585" s="195">
        <f>IF(B585="","",N585+'入力・概要'!$B$36)</f>
        <v/>
      </c>
      <c r="Q585" s="195">
        <f>IF(B585="","",O585+C585*'入力・概要'!$B$37*1E-9)</f>
        <v/>
      </c>
      <c r="R585" s="195">
        <f>IF(B585="","",SQRT(P585^2+Q585^2))</f>
        <v/>
      </c>
      <c r="S585" s="195">
        <f>IF(B585="","",IF(P585&gt;0,DEGREES(ATAN(Q585/P585)),IF(P585&lt;0,IF(Q585&gt;=0,DEGREES(ATAN(Q585/P585))+180,DEGREES(ATAN(Q585/P585))-180),IF(Q585&gt;0,90,IF(Q585&lt;0,-90,0)))))</f>
        <v/>
      </c>
      <c r="T585" s="195">
        <f>IF(B585="","",LOG10(B585))</f>
        <v/>
      </c>
      <c r="U585" s="195">
        <f>IF(R585="","",LOG10(MAX(R585,1E-12)))</f>
        <v/>
      </c>
    </row>
    <row r="586">
      <c r="A586" t="n">
        <v>583</v>
      </c>
      <c r="B586" s="196">
        <f>IF(A586&lt;='入力・概要'!$B$40,10^(LOG10('入力・概要'!$B$38)+(A586-1)*(LOG10('入力・概要'!$B$39)-LOG10('入力・概要'!$B$38))/('入力・概要'!$B$40-1)),"")</f>
        <v/>
      </c>
      <c r="C586" s="195">
        <f>IF(B586="","",2*PI()*B586)</f>
        <v/>
      </c>
      <c r="D586" s="195">
        <f>IF(B586="","",ATANH(MIN(0.999999,(2*'入力・概要'!$B$17*'入力・概要'!$B$6)/'入力・概要'!$B$30))+'入力・概要'!$B$33*SQRT(B586/1E6)+(2*PI()*B586*'入力・概要'!$B$6/(299792458*'入力・概要'!$B$31))*'入力・概要'!$B$32/2)</f>
        <v/>
      </c>
      <c r="E586" s="195">
        <f>IF(B586="","",2*PI()*B586*'入力・概要'!$B$6/(299792458*'入力・概要'!$B$31))</f>
        <v/>
      </c>
      <c r="F586" s="195">
        <f>IF(B586="","",SINH(2*D586)/(COSH(2*D586)+COS(2*E586)))</f>
        <v/>
      </c>
      <c r="G586" s="195">
        <f>IF(B586="","",SIN(2*E586)/(COSH(2*D586)+COS(2*E586)))</f>
        <v/>
      </c>
      <c r="H586" s="195">
        <f>IF(B586="","",'入力・概要'!$B$34)</f>
        <v/>
      </c>
      <c r="I586" s="195">
        <f>IF(B586="","",C586*'入力・概要'!$B$35*1E-9)</f>
        <v/>
      </c>
      <c r="J586" s="195">
        <f>IF(B586="","",H586+'入力・概要'!$B$30*F586)</f>
        <v/>
      </c>
      <c r="K586" s="195">
        <f>IF(B586="","",I586+'入力・概要'!$B$30*G586)</f>
        <v/>
      </c>
      <c r="L586" s="195">
        <f>IF(B586="","",'入力・概要'!$B$30+H586*F586-I586*G586)</f>
        <v/>
      </c>
      <c r="M586" s="195">
        <f>IF(B586="","",H586*G586+I586*F586)</f>
        <v/>
      </c>
      <c r="N586" s="195">
        <f>IF(B586="","",'入力・概要'!$B$30*(J586*L586+K586*M586)/(L586^2+M586^2))</f>
        <v/>
      </c>
      <c r="O586" s="195">
        <f>IF(B586="","",'入力・概要'!$B$30*(K586*L586-J586*M586)/(L586^2+M586^2))</f>
        <v/>
      </c>
      <c r="P586" s="195">
        <f>IF(B586="","",N586+'入力・概要'!$B$36)</f>
        <v/>
      </c>
      <c r="Q586" s="195">
        <f>IF(B586="","",O586+C586*'入力・概要'!$B$37*1E-9)</f>
        <v/>
      </c>
      <c r="R586" s="195">
        <f>IF(B586="","",SQRT(P586^2+Q586^2))</f>
        <v/>
      </c>
      <c r="S586" s="195">
        <f>IF(B586="","",IF(P586&gt;0,DEGREES(ATAN(Q586/P586)),IF(P586&lt;0,IF(Q586&gt;=0,DEGREES(ATAN(Q586/P586))+180,DEGREES(ATAN(Q586/P586))-180),IF(Q586&gt;0,90,IF(Q586&lt;0,-90,0)))))</f>
        <v/>
      </c>
      <c r="T586" s="195">
        <f>IF(B586="","",LOG10(B586))</f>
        <v/>
      </c>
      <c r="U586" s="195">
        <f>IF(R586="","",LOG10(MAX(R586,1E-12)))</f>
        <v/>
      </c>
    </row>
    <row r="587">
      <c r="A587" t="n">
        <v>584</v>
      </c>
      <c r="B587" s="196">
        <f>IF(A587&lt;='入力・概要'!$B$40,10^(LOG10('入力・概要'!$B$38)+(A587-1)*(LOG10('入力・概要'!$B$39)-LOG10('入力・概要'!$B$38))/('入力・概要'!$B$40-1)),"")</f>
        <v/>
      </c>
      <c r="C587" s="195">
        <f>IF(B587="","",2*PI()*B587)</f>
        <v/>
      </c>
      <c r="D587" s="195">
        <f>IF(B587="","",ATANH(MIN(0.999999,(2*'入力・概要'!$B$17*'入力・概要'!$B$6)/'入力・概要'!$B$30))+'入力・概要'!$B$33*SQRT(B587/1E6)+(2*PI()*B587*'入力・概要'!$B$6/(299792458*'入力・概要'!$B$31))*'入力・概要'!$B$32/2)</f>
        <v/>
      </c>
      <c r="E587" s="195">
        <f>IF(B587="","",2*PI()*B587*'入力・概要'!$B$6/(299792458*'入力・概要'!$B$31))</f>
        <v/>
      </c>
      <c r="F587" s="195">
        <f>IF(B587="","",SINH(2*D587)/(COSH(2*D587)+COS(2*E587)))</f>
        <v/>
      </c>
      <c r="G587" s="195">
        <f>IF(B587="","",SIN(2*E587)/(COSH(2*D587)+COS(2*E587)))</f>
        <v/>
      </c>
      <c r="H587" s="195">
        <f>IF(B587="","",'入力・概要'!$B$34)</f>
        <v/>
      </c>
      <c r="I587" s="195">
        <f>IF(B587="","",C587*'入力・概要'!$B$35*1E-9)</f>
        <v/>
      </c>
      <c r="J587" s="195">
        <f>IF(B587="","",H587+'入力・概要'!$B$30*F587)</f>
        <v/>
      </c>
      <c r="K587" s="195">
        <f>IF(B587="","",I587+'入力・概要'!$B$30*G587)</f>
        <v/>
      </c>
      <c r="L587" s="195">
        <f>IF(B587="","",'入力・概要'!$B$30+H587*F587-I587*G587)</f>
        <v/>
      </c>
      <c r="M587" s="195">
        <f>IF(B587="","",H587*G587+I587*F587)</f>
        <v/>
      </c>
      <c r="N587" s="195">
        <f>IF(B587="","",'入力・概要'!$B$30*(J587*L587+K587*M587)/(L587^2+M587^2))</f>
        <v/>
      </c>
      <c r="O587" s="195">
        <f>IF(B587="","",'入力・概要'!$B$30*(K587*L587-J587*M587)/(L587^2+M587^2))</f>
        <v/>
      </c>
      <c r="P587" s="195">
        <f>IF(B587="","",N587+'入力・概要'!$B$36)</f>
        <v/>
      </c>
      <c r="Q587" s="195">
        <f>IF(B587="","",O587+C587*'入力・概要'!$B$37*1E-9)</f>
        <v/>
      </c>
      <c r="R587" s="195">
        <f>IF(B587="","",SQRT(P587^2+Q587^2))</f>
        <v/>
      </c>
      <c r="S587" s="195">
        <f>IF(B587="","",IF(P587&gt;0,DEGREES(ATAN(Q587/P587)),IF(P587&lt;0,IF(Q587&gt;=0,DEGREES(ATAN(Q587/P587))+180,DEGREES(ATAN(Q587/P587))-180),IF(Q587&gt;0,90,IF(Q587&lt;0,-90,0)))))</f>
        <v/>
      </c>
      <c r="T587" s="195">
        <f>IF(B587="","",LOG10(B587))</f>
        <v/>
      </c>
      <c r="U587" s="195">
        <f>IF(R587="","",LOG10(MAX(R587,1E-12)))</f>
        <v/>
      </c>
    </row>
    <row r="588">
      <c r="A588" t="n">
        <v>585</v>
      </c>
      <c r="B588" s="196">
        <f>IF(A588&lt;='入力・概要'!$B$40,10^(LOG10('入力・概要'!$B$38)+(A588-1)*(LOG10('入力・概要'!$B$39)-LOG10('入力・概要'!$B$38))/('入力・概要'!$B$40-1)),"")</f>
        <v/>
      </c>
      <c r="C588" s="195">
        <f>IF(B588="","",2*PI()*B588)</f>
        <v/>
      </c>
      <c r="D588" s="195">
        <f>IF(B588="","",ATANH(MIN(0.999999,(2*'入力・概要'!$B$17*'入力・概要'!$B$6)/'入力・概要'!$B$30))+'入力・概要'!$B$33*SQRT(B588/1E6)+(2*PI()*B588*'入力・概要'!$B$6/(299792458*'入力・概要'!$B$31))*'入力・概要'!$B$32/2)</f>
        <v/>
      </c>
      <c r="E588" s="195">
        <f>IF(B588="","",2*PI()*B588*'入力・概要'!$B$6/(299792458*'入力・概要'!$B$31))</f>
        <v/>
      </c>
      <c r="F588" s="195">
        <f>IF(B588="","",SINH(2*D588)/(COSH(2*D588)+COS(2*E588)))</f>
        <v/>
      </c>
      <c r="G588" s="195">
        <f>IF(B588="","",SIN(2*E588)/(COSH(2*D588)+COS(2*E588)))</f>
        <v/>
      </c>
      <c r="H588" s="195">
        <f>IF(B588="","",'入力・概要'!$B$34)</f>
        <v/>
      </c>
      <c r="I588" s="195">
        <f>IF(B588="","",C588*'入力・概要'!$B$35*1E-9)</f>
        <v/>
      </c>
      <c r="J588" s="195">
        <f>IF(B588="","",H588+'入力・概要'!$B$30*F588)</f>
        <v/>
      </c>
      <c r="K588" s="195">
        <f>IF(B588="","",I588+'入力・概要'!$B$30*G588)</f>
        <v/>
      </c>
      <c r="L588" s="195">
        <f>IF(B588="","",'入力・概要'!$B$30+H588*F588-I588*G588)</f>
        <v/>
      </c>
      <c r="M588" s="195">
        <f>IF(B588="","",H588*G588+I588*F588)</f>
        <v/>
      </c>
      <c r="N588" s="195">
        <f>IF(B588="","",'入力・概要'!$B$30*(J588*L588+K588*M588)/(L588^2+M588^2))</f>
        <v/>
      </c>
      <c r="O588" s="195">
        <f>IF(B588="","",'入力・概要'!$B$30*(K588*L588-J588*M588)/(L588^2+M588^2))</f>
        <v/>
      </c>
      <c r="P588" s="195">
        <f>IF(B588="","",N588+'入力・概要'!$B$36)</f>
        <v/>
      </c>
      <c r="Q588" s="195">
        <f>IF(B588="","",O588+C588*'入力・概要'!$B$37*1E-9)</f>
        <v/>
      </c>
      <c r="R588" s="195">
        <f>IF(B588="","",SQRT(P588^2+Q588^2))</f>
        <v/>
      </c>
      <c r="S588" s="195">
        <f>IF(B588="","",IF(P588&gt;0,DEGREES(ATAN(Q588/P588)),IF(P588&lt;0,IF(Q588&gt;=0,DEGREES(ATAN(Q588/P588))+180,DEGREES(ATAN(Q588/P588))-180),IF(Q588&gt;0,90,IF(Q588&lt;0,-90,0)))))</f>
        <v/>
      </c>
      <c r="T588" s="195">
        <f>IF(B588="","",LOG10(B588))</f>
        <v/>
      </c>
      <c r="U588" s="195">
        <f>IF(R588="","",LOG10(MAX(R588,1E-12)))</f>
        <v/>
      </c>
    </row>
    <row r="589">
      <c r="A589" t="n">
        <v>586</v>
      </c>
      <c r="B589" s="196">
        <f>IF(A589&lt;='入力・概要'!$B$40,10^(LOG10('入力・概要'!$B$38)+(A589-1)*(LOG10('入力・概要'!$B$39)-LOG10('入力・概要'!$B$38))/('入力・概要'!$B$40-1)),"")</f>
        <v/>
      </c>
      <c r="C589" s="195">
        <f>IF(B589="","",2*PI()*B589)</f>
        <v/>
      </c>
      <c r="D589" s="195">
        <f>IF(B589="","",ATANH(MIN(0.999999,(2*'入力・概要'!$B$17*'入力・概要'!$B$6)/'入力・概要'!$B$30))+'入力・概要'!$B$33*SQRT(B589/1E6)+(2*PI()*B589*'入力・概要'!$B$6/(299792458*'入力・概要'!$B$31))*'入力・概要'!$B$32/2)</f>
        <v/>
      </c>
      <c r="E589" s="195">
        <f>IF(B589="","",2*PI()*B589*'入力・概要'!$B$6/(299792458*'入力・概要'!$B$31))</f>
        <v/>
      </c>
      <c r="F589" s="195">
        <f>IF(B589="","",SINH(2*D589)/(COSH(2*D589)+COS(2*E589)))</f>
        <v/>
      </c>
      <c r="G589" s="195">
        <f>IF(B589="","",SIN(2*E589)/(COSH(2*D589)+COS(2*E589)))</f>
        <v/>
      </c>
      <c r="H589" s="195">
        <f>IF(B589="","",'入力・概要'!$B$34)</f>
        <v/>
      </c>
      <c r="I589" s="195">
        <f>IF(B589="","",C589*'入力・概要'!$B$35*1E-9)</f>
        <v/>
      </c>
      <c r="J589" s="195">
        <f>IF(B589="","",H589+'入力・概要'!$B$30*F589)</f>
        <v/>
      </c>
      <c r="K589" s="195">
        <f>IF(B589="","",I589+'入力・概要'!$B$30*G589)</f>
        <v/>
      </c>
      <c r="L589" s="195">
        <f>IF(B589="","",'入力・概要'!$B$30+H589*F589-I589*G589)</f>
        <v/>
      </c>
      <c r="M589" s="195">
        <f>IF(B589="","",H589*G589+I589*F589)</f>
        <v/>
      </c>
      <c r="N589" s="195">
        <f>IF(B589="","",'入力・概要'!$B$30*(J589*L589+K589*M589)/(L589^2+M589^2))</f>
        <v/>
      </c>
      <c r="O589" s="195">
        <f>IF(B589="","",'入力・概要'!$B$30*(K589*L589-J589*M589)/(L589^2+M589^2))</f>
        <v/>
      </c>
      <c r="P589" s="195">
        <f>IF(B589="","",N589+'入力・概要'!$B$36)</f>
        <v/>
      </c>
      <c r="Q589" s="195">
        <f>IF(B589="","",O589+C589*'入力・概要'!$B$37*1E-9)</f>
        <v/>
      </c>
      <c r="R589" s="195">
        <f>IF(B589="","",SQRT(P589^2+Q589^2))</f>
        <v/>
      </c>
      <c r="S589" s="195">
        <f>IF(B589="","",IF(P589&gt;0,DEGREES(ATAN(Q589/P589)),IF(P589&lt;0,IF(Q589&gt;=0,DEGREES(ATAN(Q589/P589))+180,DEGREES(ATAN(Q589/P589))-180),IF(Q589&gt;0,90,IF(Q589&lt;0,-90,0)))))</f>
        <v/>
      </c>
      <c r="T589" s="195">
        <f>IF(B589="","",LOG10(B589))</f>
        <v/>
      </c>
      <c r="U589" s="195">
        <f>IF(R589="","",LOG10(MAX(R589,1E-12)))</f>
        <v/>
      </c>
    </row>
    <row r="590">
      <c r="A590" t="n">
        <v>587</v>
      </c>
      <c r="B590" s="196">
        <f>IF(A590&lt;='入力・概要'!$B$40,10^(LOG10('入力・概要'!$B$38)+(A590-1)*(LOG10('入力・概要'!$B$39)-LOG10('入力・概要'!$B$38))/('入力・概要'!$B$40-1)),"")</f>
        <v/>
      </c>
      <c r="C590" s="195">
        <f>IF(B590="","",2*PI()*B590)</f>
        <v/>
      </c>
      <c r="D590" s="195">
        <f>IF(B590="","",ATANH(MIN(0.999999,(2*'入力・概要'!$B$17*'入力・概要'!$B$6)/'入力・概要'!$B$30))+'入力・概要'!$B$33*SQRT(B590/1E6)+(2*PI()*B590*'入力・概要'!$B$6/(299792458*'入力・概要'!$B$31))*'入力・概要'!$B$32/2)</f>
        <v/>
      </c>
      <c r="E590" s="195">
        <f>IF(B590="","",2*PI()*B590*'入力・概要'!$B$6/(299792458*'入力・概要'!$B$31))</f>
        <v/>
      </c>
      <c r="F590" s="195">
        <f>IF(B590="","",SINH(2*D590)/(COSH(2*D590)+COS(2*E590)))</f>
        <v/>
      </c>
      <c r="G590" s="195">
        <f>IF(B590="","",SIN(2*E590)/(COSH(2*D590)+COS(2*E590)))</f>
        <v/>
      </c>
      <c r="H590" s="195">
        <f>IF(B590="","",'入力・概要'!$B$34)</f>
        <v/>
      </c>
      <c r="I590" s="195">
        <f>IF(B590="","",C590*'入力・概要'!$B$35*1E-9)</f>
        <v/>
      </c>
      <c r="J590" s="195">
        <f>IF(B590="","",H590+'入力・概要'!$B$30*F590)</f>
        <v/>
      </c>
      <c r="K590" s="195">
        <f>IF(B590="","",I590+'入力・概要'!$B$30*G590)</f>
        <v/>
      </c>
      <c r="L590" s="195">
        <f>IF(B590="","",'入力・概要'!$B$30+H590*F590-I590*G590)</f>
        <v/>
      </c>
      <c r="M590" s="195">
        <f>IF(B590="","",H590*G590+I590*F590)</f>
        <v/>
      </c>
      <c r="N590" s="195">
        <f>IF(B590="","",'入力・概要'!$B$30*(J590*L590+K590*M590)/(L590^2+M590^2))</f>
        <v/>
      </c>
      <c r="O590" s="195">
        <f>IF(B590="","",'入力・概要'!$B$30*(K590*L590-J590*M590)/(L590^2+M590^2))</f>
        <v/>
      </c>
      <c r="P590" s="195">
        <f>IF(B590="","",N590+'入力・概要'!$B$36)</f>
        <v/>
      </c>
      <c r="Q590" s="195">
        <f>IF(B590="","",O590+C590*'入力・概要'!$B$37*1E-9)</f>
        <v/>
      </c>
      <c r="R590" s="195">
        <f>IF(B590="","",SQRT(P590^2+Q590^2))</f>
        <v/>
      </c>
      <c r="S590" s="195">
        <f>IF(B590="","",IF(P590&gt;0,DEGREES(ATAN(Q590/P590)),IF(P590&lt;0,IF(Q590&gt;=0,DEGREES(ATAN(Q590/P590))+180,DEGREES(ATAN(Q590/P590))-180),IF(Q590&gt;0,90,IF(Q590&lt;0,-90,0)))))</f>
        <v/>
      </c>
      <c r="T590" s="195">
        <f>IF(B590="","",LOG10(B590))</f>
        <v/>
      </c>
      <c r="U590" s="195">
        <f>IF(R590="","",LOG10(MAX(R590,1E-12)))</f>
        <v/>
      </c>
    </row>
    <row r="591">
      <c r="A591" t="n">
        <v>588</v>
      </c>
      <c r="B591" s="196">
        <f>IF(A591&lt;='入力・概要'!$B$40,10^(LOG10('入力・概要'!$B$38)+(A591-1)*(LOG10('入力・概要'!$B$39)-LOG10('入力・概要'!$B$38))/('入力・概要'!$B$40-1)),"")</f>
        <v/>
      </c>
      <c r="C591" s="195">
        <f>IF(B591="","",2*PI()*B591)</f>
        <v/>
      </c>
      <c r="D591" s="195">
        <f>IF(B591="","",ATANH(MIN(0.999999,(2*'入力・概要'!$B$17*'入力・概要'!$B$6)/'入力・概要'!$B$30))+'入力・概要'!$B$33*SQRT(B591/1E6)+(2*PI()*B591*'入力・概要'!$B$6/(299792458*'入力・概要'!$B$31))*'入力・概要'!$B$32/2)</f>
        <v/>
      </c>
      <c r="E591" s="195">
        <f>IF(B591="","",2*PI()*B591*'入力・概要'!$B$6/(299792458*'入力・概要'!$B$31))</f>
        <v/>
      </c>
      <c r="F591" s="195">
        <f>IF(B591="","",SINH(2*D591)/(COSH(2*D591)+COS(2*E591)))</f>
        <v/>
      </c>
      <c r="G591" s="195">
        <f>IF(B591="","",SIN(2*E591)/(COSH(2*D591)+COS(2*E591)))</f>
        <v/>
      </c>
      <c r="H591" s="195">
        <f>IF(B591="","",'入力・概要'!$B$34)</f>
        <v/>
      </c>
      <c r="I591" s="195">
        <f>IF(B591="","",C591*'入力・概要'!$B$35*1E-9)</f>
        <v/>
      </c>
      <c r="J591" s="195">
        <f>IF(B591="","",H591+'入力・概要'!$B$30*F591)</f>
        <v/>
      </c>
      <c r="K591" s="195">
        <f>IF(B591="","",I591+'入力・概要'!$B$30*G591)</f>
        <v/>
      </c>
      <c r="L591" s="195">
        <f>IF(B591="","",'入力・概要'!$B$30+H591*F591-I591*G591)</f>
        <v/>
      </c>
      <c r="M591" s="195">
        <f>IF(B591="","",H591*G591+I591*F591)</f>
        <v/>
      </c>
      <c r="N591" s="195">
        <f>IF(B591="","",'入力・概要'!$B$30*(J591*L591+K591*M591)/(L591^2+M591^2))</f>
        <v/>
      </c>
      <c r="O591" s="195">
        <f>IF(B591="","",'入力・概要'!$B$30*(K591*L591-J591*M591)/(L591^2+M591^2))</f>
        <v/>
      </c>
      <c r="P591" s="195">
        <f>IF(B591="","",N591+'入力・概要'!$B$36)</f>
        <v/>
      </c>
      <c r="Q591" s="195">
        <f>IF(B591="","",O591+C591*'入力・概要'!$B$37*1E-9)</f>
        <v/>
      </c>
      <c r="R591" s="195">
        <f>IF(B591="","",SQRT(P591^2+Q591^2))</f>
        <v/>
      </c>
      <c r="S591" s="195">
        <f>IF(B591="","",IF(P591&gt;0,DEGREES(ATAN(Q591/P591)),IF(P591&lt;0,IF(Q591&gt;=0,DEGREES(ATAN(Q591/P591))+180,DEGREES(ATAN(Q591/P591))-180),IF(Q591&gt;0,90,IF(Q591&lt;0,-90,0)))))</f>
        <v/>
      </c>
      <c r="T591" s="195">
        <f>IF(B591="","",LOG10(B591))</f>
        <v/>
      </c>
      <c r="U591" s="195">
        <f>IF(R591="","",LOG10(MAX(R591,1E-12)))</f>
        <v/>
      </c>
    </row>
    <row r="592">
      <c r="A592" t="n">
        <v>589</v>
      </c>
      <c r="B592" s="196">
        <f>IF(A592&lt;='入力・概要'!$B$40,10^(LOG10('入力・概要'!$B$38)+(A592-1)*(LOG10('入力・概要'!$B$39)-LOG10('入力・概要'!$B$38))/('入力・概要'!$B$40-1)),"")</f>
        <v/>
      </c>
      <c r="C592" s="195">
        <f>IF(B592="","",2*PI()*B592)</f>
        <v/>
      </c>
      <c r="D592" s="195">
        <f>IF(B592="","",ATANH(MIN(0.999999,(2*'入力・概要'!$B$17*'入力・概要'!$B$6)/'入力・概要'!$B$30))+'入力・概要'!$B$33*SQRT(B592/1E6)+(2*PI()*B592*'入力・概要'!$B$6/(299792458*'入力・概要'!$B$31))*'入力・概要'!$B$32/2)</f>
        <v/>
      </c>
      <c r="E592" s="195">
        <f>IF(B592="","",2*PI()*B592*'入力・概要'!$B$6/(299792458*'入力・概要'!$B$31))</f>
        <v/>
      </c>
      <c r="F592" s="195">
        <f>IF(B592="","",SINH(2*D592)/(COSH(2*D592)+COS(2*E592)))</f>
        <v/>
      </c>
      <c r="G592" s="195">
        <f>IF(B592="","",SIN(2*E592)/(COSH(2*D592)+COS(2*E592)))</f>
        <v/>
      </c>
      <c r="H592" s="195">
        <f>IF(B592="","",'入力・概要'!$B$34)</f>
        <v/>
      </c>
      <c r="I592" s="195">
        <f>IF(B592="","",C592*'入力・概要'!$B$35*1E-9)</f>
        <v/>
      </c>
      <c r="J592" s="195">
        <f>IF(B592="","",H592+'入力・概要'!$B$30*F592)</f>
        <v/>
      </c>
      <c r="K592" s="195">
        <f>IF(B592="","",I592+'入力・概要'!$B$30*G592)</f>
        <v/>
      </c>
      <c r="L592" s="195">
        <f>IF(B592="","",'入力・概要'!$B$30+H592*F592-I592*G592)</f>
        <v/>
      </c>
      <c r="M592" s="195">
        <f>IF(B592="","",H592*G592+I592*F592)</f>
        <v/>
      </c>
      <c r="N592" s="195">
        <f>IF(B592="","",'入力・概要'!$B$30*(J592*L592+K592*M592)/(L592^2+M592^2))</f>
        <v/>
      </c>
      <c r="O592" s="195">
        <f>IF(B592="","",'入力・概要'!$B$30*(K592*L592-J592*M592)/(L592^2+M592^2))</f>
        <v/>
      </c>
      <c r="P592" s="195">
        <f>IF(B592="","",N592+'入力・概要'!$B$36)</f>
        <v/>
      </c>
      <c r="Q592" s="195">
        <f>IF(B592="","",O592+C592*'入力・概要'!$B$37*1E-9)</f>
        <v/>
      </c>
      <c r="R592" s="195">
        <f>IF(B592="","",SQRT(P592^2+Q592^2))</f>
        <v/>
      </c>
      <c r="S592" s="195">
        <f>IF(B592="","",IF(P592&gt;0,DEGREES(ATAN(Q592/P592)),IF(P592&lt;0,IF(Q592&gt;=0,DEGREES(ATAN(Q592/P592))+180,DEGREES(ATAN(Q592/P592))-180),IF(Q592&gt;0,90,IF(Q592&lt;0,-90,0)))))</f>
        <v/>
      </c>
      <c r="T592" s="195">
        <f>IF(B592="","",LOG10(B592))</f>
        <v/>
      </c>
      <c r="U592" s="195">
        <f>IF(R592="","",LOG10(MAX(R592,1E-12)))</f>
        <v/>
      </c>
    </row>
    <row r="593">
      <c r="A593" t="n">
        <v>590</v>
      </c>
      <c r="B593" s="196">
        <f>IF(A593&lt;='入力・概要'!$B$40,10^(LOG10('入力・概要'!$B$38)+(A593-1)*(LOG10('入力・概要'!$B$39)-LOG10('入力・概要'!$B$38))/('入力・概要'!$B$40-1)),"")</f>
        <v/>
      </c>
      <c r="C593" s="195">
        <f>IF(B593="","",2*PI()*B593)</f>
        <v/>
      </c>
      <c r="D593" s="195">
        <f>IF(B593="","",ATANH(MIN(0.999999,(2*'入力・概要'!$B$17*'入力・概要'!$B$6)/'入力・概要'!$B$30))+'入力・概要'!$B$33*SQRT(B593/1E6)+(2*PI()*B593*'入力・概要'!$B$6/(299792458*'入力・概要'!$B$31))*'入力・概要'!$B$32/2)</f>
        <v/>
      </c>
      <c r="E593" s="195">
        <f>IF(B593="","",2*PI()*B593*'入力・概要'!$B$6/(299792458*'入力・概要'!$B$31))</f>
        <v/>
      </c>
      <c r="F593" s="195">
        <f>IF(B593="","",SINH(2*D593)/(COSH(2*D593)+COS(2*E593)))</f>
        <v/>
      </c>
      <c r="G593" s="195">
        <f>IF(B593="","",SIN(2*E593)/(COSH(2*D593)+COS(2*E593)))</f>
        <v/>
      </c>
      <c r="H593" s="195">
        <f>IF(B593="","",'入力・概要'!$B$34)</f>
        <v/>
      </c>
      <c r="I593" s="195">
        <f>IF(B593="","",C593*'入力・概要'!$B$35*1E-9)</f>
        <v/>
      </c>
      <c r="J593" s="195">
        <f>IF(B593="","",H593+'入力・概要'!$B$30*F593)</f>
        <v/>
      </c>
      <c r="K593" s="195">
        <f>IF(B593="","",I593+'入力・概要'!$B$30*G593)</f>
        <v/>
      </c>
      <c r="L593" s="195">
        <f>IF(B593="","",'入力・概要'!$B$30+H593*F593-I593*G593)</f>
        <v/>
      </c>
      <c r="M593" s="195">
        <f>IF(B593="","",H593*G593+I593*F593)</f>
        <v/>
      </c>
      <c r="N593" s="195">
        <f>IF(B593="","",'入力・概要'!$B$30*(J593*L593+K593*M593)/(L593^2+M593^2))</f>
        <v/>
      </c>
      <c r="O593" s="195">
        <f>IF(B593="","",'入力・概要'!$B$30*(K593*L593-J593*M593)/(L593^2+M593^2))</f>
        <v/>
      </c>
      <c r="P593" s="195">
        <f>IF(B593="","",N593+'入力・概要'!$B$36)</f>
        <v/>
      </c>
      <c r="Q593" s="195">
        <f>IF(B593="","",O593+C593*'入力・概要'!$B$37*1E-9)</f>
        <v/>
      </c>
      <c r="R593" s="195">
        <f>IF(B593="","",SQRT(P593^2+Q593^2))</f>
        <v/>
      </c>
      <c r="S593" s="195">
        <f>IF(B593="","",IF(P593&gt;0,DEGREES(ATAN(Q593/P593)),IF(P593&lt;0,IF(Q593&gt;=0,DEGREES(ATAN(Q593/P593))+180,DEGREES(ATAN(Q593/P593))-180),IF(Q593&gt;0,90,IF(Q593&lt;0,-90,0)))))</f>
        <v/>
      </c>
      <c r="T593" s="195">
        <f>IF(B593="","",LOG10(B593))</f>
        <v/>
      </c>
      <c r="U593" s="195">
        <f>IF(R593="","",LOG10(MAX(R593,1E-12)))</f>
        <v/>
      </c>
    </row>
    <row r="594">
      <c r="A594" t="n">
        <v>591</v>
      </c>
      <c r="B594" s="196">
        <f>IF(A594&lt;='入力・概要'!$B$40,10^(LOG10('入力・概要'!$B$38)+(A594-1)*(LOG10('入力・概要'!$B$39)-LOG10('入力・概要'!$B$38))/('入力・概要'!$B$40-1)),"")</f>
        <v/>
      </c>
      <c r="C594" s="195">
        <f>IF(B594="","",2*PI()*B594)</f>
        <v/>
      </c>
      <c r="D594" s="195">
        <f>IF(B594="","",ATANH(MIN(0.999999,(2*'入力・概要'!$B$17*'入力・概要'!$B$6)/'入力・概要'!$B$30))+'入力・概要'!$B$33*SQRT(B594/1E6)+(2*PI()*B594*'入力・概要'!$B$6/(299792458*'入力・概要'!$B$31))*'入力・概要'!$B$32/2)</f>
        <v/>
      </c>
      <c r="E594" s="195">
        <f>IF(B594="","",2*PI()*B594*'入力・概要'!$B$6/(299792458*'入力・概要'!$B$31))</f>
        <v/>
      </c>
      <c r="F594" s="195">
        <f>IF(B594="","",SINH(2*D594)/(COSH(2*D594)+COS(2*E594)))</f>
        <v/>
      </c>
      <c r="G594" s="195">
        <f>IF(B594="","",SIN(2*E594)/(COSH(2*D594)+COS(2*E594)))</f>
        <v/>
      </c>
      <c r="H594" s="195">
        <f>IF(B594="","",'入力・概要'!$B$34)</f>
        <v/>
      </c>
      <c r="I594" s="195">
        <f>IF(B594="","",C594*'入力・概要'!$B$35*1E-9)</f>
        <v/>
      </c>
      <c r="J594" s="195">
        <f>IF(B594="","",H594+'入力・概要'!$B$30*F594)</f>
        <v/>
      </c>
      <c r="K594" s="195">
        <f>IF(B594="","",I594+'入力・概要'!$B$30*G594)</f>
        <v/>
      </c>
      <c r="L594" s="195">
        <f>IF(B594="","",'入力・概要'!$B$30+H594*F594-I594*G594)</f>
        <v/>
      </c>
      <c r="M594" s="195">
        <f>IF(B594="","",H594*G594+I594*F594)</f>
        <v/>
      </c>
      <c r="N594" s="195">
        <f>IF(B594="","",'入力・概要'!$B$30*(J594*L594+K594*M594)/(L594^2+M594^2))</f>
        <v/>
      </c>
      <c r="O594" s="195">
        <f>IF(B594="","",'入力・概要'!$B$30*(K594*L594-J594*M594)/(L594^2+M594^2))</f>
        <v/>
      </c>
      <c r="P594" s="195">
        <f>IF(B594="","",N594+'入力・概要'!$B$36)</f>
        <v/>
      </c>
      <c r="Q594" s="195">
        <f>IF(B594="","",O594+C594*'入力・概要'!$B$37*1E-9)</f>
        <v/>
      </c>
      <c r="R594" s="195">
        <f>IF(B594="","",SQRT(P594^2+Q594^2))</f>
        <v/>
      </c>
      <c r="S594" s="195">
        <f>IF(B594="","",IF(P594&gt;0,DEGREES(ATAN(Q594/P594)),IF(P594&lt;0,IF(Q594&gt;=0,DEGREES(ATAN(Q594/P594))+180,DEGREES(ATAN(Q594/P594))-180),IF(Q594&gt;0,90,IF(Q594&lt;0,-90,0)))))</f>
        <v/>
      </c>
      <c r="T594" s="195">
        <f>IF(B594="","",LOG10(B594))</f>
        <v/>
      </c>
      <c r="U594" s="195">
        <f>IF(R594="","",LOG10(MAX(R594,1E-12)))</f>
        <v/>
      </c>
    </row>
    <row r="595">
      <c r="A595" t="n">
        <v>592</v>
      </c>
      <c r="B595" s="196">
        <f>IF(A595&lt;='入力・概要'!$B$40,10^(LOG10('入力・概要'!$B$38)+(A595-1)*(LOG10('入力・概要'!$B$39)-LOG10('入力・概要'!$B$38))/('入力・概要'!$B$40-1)),"")</f>
        <v/>
      </c>
      <c r="C595" s="195">
        <f>IF(B595="","",2*PI()*B595)</f>
        <v/>
      </c>
      <c r="D595" s="195">
        <f>IF(B595="","",ATANH(MIN(0.999999,(2*'入力・概要'!$B$17*'入力・概要'!$B$6)/'入力・概要'!$B$30))+'入力・概要'!$B$33*SQRT(B595/1E6)+(2*PI()*B595*'入力・概要'!$B$6/(299792458*'入力・概要'!$B$31))*'入力・概要'!$B$32/2)</f>
        <v/>
      </c>
      <c r="E595" s="195">
        <f>IF(B595="","",2*PI()*B595*'入力・概要'!$B$6/(299792458*'入力・概要'!$B$31))</f>
        <v/>
      </c>
      <c r="F595" s="195">
        <f>IF(B595="","",SINH(2*D595)/(COSH(2*D595)+COS(2*E595)))</f>
        <v/>
      </c>
      <c r="G595" s="195">
        <f>IF(B595="","",SIN(2*E595)/(COSH(2*D595)+COS(2*E595)))</f>
        <v/>
      </c>
      <c r="H595" s="195">
        <f>IF(B595="","",'入力・概要'!$B$34)</f>
        <v/>
      </c>
      <c r="I595" s="195">
        <f>IF(B595="","",C595*'入力・概要'!$B$35*1E-9)</f>
        <v/>
      </c>
      <c r="J595" s="195">
        <f>IF(B595="","",H595+'入力・概要'!$B$30*F595)</f>
        <v/>
      </c>
      <c r="K595" s="195">
        <f>IF(B595="","",I595+'入力・概要'!$B$30*G595)</f>
        <v/>
      </c>
      <c r="L595" s="195">
        <f>IF(B595="","",'入力・概要'!$B$30+H595*F595-I595*G595)</f>
        <v/>
      </c>
      <c r="M595" s="195">
        <f>IF(B595="","",H595*G595+I595*F595)</f>
        <v/>
      </c>
      <c r="N595" s="195">
        <f>IF(B595="","",'入力・概要'!$B$30*(J595*L595+K595*M595)/(L595^2+M595^2))</f>
        <v/>
      </c>
      <c r="O595" s="195">
        <f>IF(B595="","",'入力・概要'!$B$30*(K595*L595-J595*M595)/(L595^2+M595^2))</f>
        <v/>
      </c>
      <c r="P595" s="195">
        <f>IF(B595="","",N595+'入力・概要'!$B$36)</f>
        <v/>
      </c>
      <c r="Q595" s="195">
        <f>IF(B595="","",O595+C595*'入力・概要'!$B$37*1E-9)</f>
        <v/>
      </c>
      <c r="R595" s="195">
        <f>IF(B595="","",SQRT(P595^2+Q595^2))</f>
        <v/>
      </c>
      <c r="S595" s="195">
        <f>IF(B595="","",IF(P595&gt;0,DEGREES(ATAN(Q595/P595)),IF(P595&lt;0,IF(Q595&gt;=0,DEGREES(ATAN(Q595/P595))+180,DEGREES(ATAN(Q595/P595))-180),IF(Q595&gt;0,90,IF(Q595&lt;0,-90,0)))))</f>
        <v/>
      </c>
      <c r="T595" s="195">
        <f>IF(B595="","",LOG10(B595))</f>
        <v/>
      </c>
      <c r="U595" s="195">
        <f>IF(R595="","",LOG10(MAX(R595,1E-12)))</f>
        <v/>
      </c>
    </row>
    <row r="596">
      <c r="A596" t="n">
        <v>593</v>
      </c>
      <c r="B596" s="196">
        <f>IF(A596&lt;='入力・概要'!$B$40,10^(LOG10('入力・概要'!$B$38)+(A596-1)*(LOG10('入力・概要'!$B$39)-LOG10('入力・概要'!$B$38))/('入力・概要'!$B$40-1)),"")</f>
        <v/>
      </c>
      <c r="C596" s="195">
        <f>IF(B596="","",2*PI()*B596)</f>
        <v/>
      </c>
      <c r="D596" s="195">
        <f>IF(B596="","",ATANH(MIN(0.999999,(2*'入力・概要'!$B$17*'入力・概要'!$B$6)/'入力・概要'!$B$30))+'入力・概要'!$B$33*SQRT(B596/1E6)+(2*PI()*B596*'入力・概要'!$B$6/(299792458*'入力・概要'!$B$31))*'入力・概要'!$B$32/2)</f>
        <v/>
      </c>
      <c r="E596" s="195">
        <f>IF(B596="","",2*PI()*B596*'入力・概要'!$B$6/(299792458*'入力・概要'!$B$31))</f>
        <v/>
      </c>
      <c r="F596" s="195">
        <f>IF(B596="","",SINH(2*D596)/(COSH(2*D596)+COS(2*E596)))</f>
        <v/>
      </c>
      <c r="G596" s="195">
        <f>IF(B596="","",SIN(2*E596)/(COSH(2*D596)+COS(2*E596)))</f>
        <v/>
      </c>
      <c r="H596" s="195">
        <f>IF(B596="","",'入力・概要'!$B$34)</f>
        <v/>
      </c>
      <c r="I596" s="195">
        <f>IF(B596="","",C596*'入力・概要'!$B$35*1E-9)</f>
        <v/>
      </c>
      <c r="J596" s="195">
        <f>IF(B596="","",H596+'入力・概要'!$B$30*F596)</f>
        <v/>
      </c>
      <c r="K596" s="195">
        <f>IF(B596="","",I596+'入力・概要'!$B$30*G596)</f>
        <v/>
      </c>
      <c r="L596" s="195">
        <f>IF(B596="","",'入力・概要'!$B$30+H596*F596-I596*G596)</f>
        <v/>
      </c>
      <c r="M596" s="195">
        <f>IF(B596="","",H596*G596+I596*F596)</f>
        <v/>
      </c>
      <c r="N596" s="195">
        <f>IF(B596="","",'入力・概要'!$B$30*(J596*L596+K596*M596)/(L596^2+M596^2))</f>
        <v/>
      </c>
      <c r="O596" s="195">
        <f>IF(B596="","",'入力・概要'!$B$30*(K596*L596-J596*M596)/(L596^2+M596^2))</f>
        <v/>
      </c>
      <c r="P596" s="195">
        <f>IF(B596="","",N596+'入力・概要'!$B$36)</f>
        <v/>
      </c>
      <c r="Q596" s="195">
        <f>IF(B596="","",O596+C596*'入力・概要'!$B$37*1E-9)</f>
        <v/>
      </c>
      <c r="R596" s="195">
        <f>IF(B596="","",SQRT(P596^2+Q596^2))</f>
        <v/>
      </c>
      <c r="S596" s="195">
        <f>IF(B596="","",IF(P596&gt;0,DEGREES(ATAN(Q596/P596)),IF(P596&lt;0,IF(Q596&gt;=0,DEGREES(ATAN(Q596/P596))+180,DEGREES(ATAN(Q596/P596))-180),IF(Q596&gt;0,90,IF(Q596&lt;0,-90,0)))))</f>
        <v/>
      </c>
      <c r="T596" s="195">
        <f>IF(B596="","",LOG10(B596))</f>
        <v/>
      </c>
      <c r="U596" s="195">
        <f>IF(R596="","",LOG10(MAX(R596,1E-12)))</f>
        <v/>
      </c>
    </row>
    <row r="597">
      <c r="A597" t="n">
        <v>594</v>
      </c>
      <c r="B597" s="196">
        <f>IF(A597&lt;='入力・概要'!$B$40,10^(LOG10('入力・概要'!$B$38)+(A597-1)*(LOG10('入力・概要'!$B$39)-LOG10('入力・概要'!$B$38))/('入力・概要'!$B$40-1)),"")</f>
        <v/>
      </c>
      <c r="C597" s="195">
        <f>IF(B597="","",2*PI()*B597)</f>
        <v/>
      </c>
      <c r="D597" s="195">
        <f>IF(B597="","",ATANH(MIN(0.999999,(2*'入力・概要'!$B$17*'入力・概要'!$B$6)/'入力・概要'!$B$30))+'入力・概要'!$B$33*SQRT(B597/1E6)+(2*PI()*B597*'入力・概要'!$B$6/(299792458*'入力・概要'!$B$31))*'入力・概要'!$B$32/2)</f>
        <v/>
      </c>
      <c r="E597" s="195">
        <f>IF(B597="","",2*PI()*B597*'入力・概要'!$B$6/(299792458*'入力・概要'!$B$31))</f>
        <v/>
      </c>
      <c r="F597" s="195">
        <f>IF(B597="","",SINH(2*D597)/(COSH(2*D597)+COS(2*E597)))</f>
        <v/>
      </c>
      <c r="G597" s="195">
        <f>IF(B597="","",SIN(2*E597)/(COSH(2*D597)+COS(2*E597)))</f>
        <v/>
      </c>
      <c r="H597" s="195">
        <f>IF(B597="","",'入力・概要'!$B$34)</f>
        <v/>
      </c>
      <c r="I597" s="195">
        <f>IF(B597="","",C597*'入力・概要'!$B$35*1E-9)</f>
        <v/>
      </c>
      <c r="J597" s="195">
        <f>IF(B597="","",H597+'入力・概要'!$B$30*F597)</f>
        <v/>
      </c>
      <c r="K597" s="195">
        <f>IF(B597="","",I597+'入力・概要'!$B$30*G597)</f>
        <v/>
      </c>
      <c r="L597" s="195">
        <f>IF(B597="","",'入力・概要'!$B$30+H597*F597-I597*G597)</f>
        <v/>
      </c>
      <c r="M597" s="195">
        <f>IF(B597="","",H597*G597+I597*F597)</f>
        <v/>
      </c>
      <c r="N597" s="195">
        <f>IF(B597="","",'入力・概要'!$B$30*(J597*L597+K597*M597)/(L597^2+M597^2))</f>
        <v/>
      </c>
      <c r="O597" s="195">
        <f>IF(B597="","",'入力・概要'!$B$30*(K597*L597-J597*M597)/(L597^2+M597^2))</f>
        <v/>
      </c>
      <c r="P597" s="195">
        <f>IF(B597="","",N597+'入力・概要'!$B$36)</f>
        <v/>
      </c>
      <c r="Q597" s="195">
        <f>IF(B597="","",O597+C597*'入力・概要'!$B$37*1E-9)</f>
        <v/>
      </c>
      <c r="R597" s="195">
        <f>IF(B597="","",SQRT(P597^2+Q597^2))</f>
        <v/>
      </c>
      <c r="S597" s="195">
        <f>IF(B597="","",IF(P597&gt;0,DEGREES(ATAN(Q597/P597)),IF(P597&lt;0,IF(Q597&gt;=0,DEGREES(ATAN(Q597/P597))+180,DEGREES(ATAN(Q597/P597))-180),IF(Q597&gt;0,90,IF(Q597&lt;0,-90,0)))))</f>
        <v/>
      </c>
      <c r="T597" s="195">
        <f>IF(B597="","",LOG10(B597))</f>
        <v/>
      </c>
      <c r="U597" s="195">
        <f>IF(R597="","",LOG10(MAX(R597,1E-12)))</f>
        <v/>
      </c>
    </row>
    <row r="598">
      <c r="A598" t="n">
        <v>595</v>
      </c>
      <c r="B598" s="196">
        <f>IF(A598&lt;='入力・概要'!$B$40,10^(LOG10('入力・概要'!$B$38)+(A598-1)*(LOG10('入力・概要'!$B$39)-LOG10('入力・概要'!$B$38))/('入力・概要'!$B$40-1)),"")</f>
        <v/>
      </c>
      <c r="C598" s="195">
        <f>IF(B598="","",2*PI()*B598)</f>
        <v/>
      </c>
      <c r="D598" s="195">
        <f>IF(B598="","",ATANH(MIN(0.999999,(2*'入力・概要'!$B$17*'入力・概要'!$B$6)/'入力・概要'!$B$30))+'入力・概要'!$B$33*SQRT(B598/1E6)+(2*PI()*B598*'入力・概要'!$B$6/(299792458*'入力・概要'!$B$31))*'入力・概要'!$B$32/2)</f>
        <v/>
      </c>
      <c r="E598" s="195">
        <f>IF(B598="","",2*PI()*B598*'入力・概要'!$B$6/(299792458*'入力・概要'!$B$31))</f>
        <v/>
      </c>
      <c r="F598" s="195">
        <f>IF(B598="","",SINH(2*D598)/(COSH(2*D598)+COS(2*E598)))</f>
        <v/>
      </c>
      <c r="G598" s="195">
        <f>IF(B598="","",SIN(2*E598)/(COSH(2*D598)+COS(2*E598)))</f>
        <v/>
      </c>
      <c r="H598" s="195">
        <f>IF(B598="","",'入力・概要'!$B$34)</f>
        <v/>
      </c>
      <c r="I598" s="195">
        <f>IF(B598="","",C598*'入力・概要'!$B$35*1E-9)</f>
        <v/>
      </c>
      <c r="J598" s="195">
        <f>IF(B598="","",H598+'入力・概要'!$B$30*F598)</f>
        <v/>
      </c>
      <c r="K598" s="195">
        <f>IF(B598="","",I598+'入力・概要'!$B$30*G598)</f>
        <v/>
      </c>
      <c r="L598" s="195">
        <f>IF(B598="","",'入力・概要'!$B$30+H598*F598-I598*G598)</f>
        <v/>
      </c>
      <c r="M598" s="195">
        <f>IF(B598="","",H598*G598+I598*F598)</f>
        <v/>
      </c>
      <c r="N598" s="195">
        <f>IF(B598="","",'入力・概要'!$B$30*(J598*L598+K598*M598)/(L598^2+M598^2))</f>
        <v/>
      </c>
      <c r="O598" s="195">
        <f>IF(B598="","",'入力・概要'!$B$30*(K598*L598-J598*M598)/(L598^2+M598^2))</f>
        <v/>
      </c>
      <c r="P598" s="195">
        <f>IF(B598="","",N598+'入力・概要'!$B$36)</f>
        <v/>
      </c>
      <c r="Q598" s="195">
        <f>IF(B598="","",O598+C598*'入力・概要'!$B$37*1E-9)</f>
        <v/>
      </c>
      <c r="R598" s="195">
        <f>IF(B598="","",SQRT(P598^2+Q598^2))</f>
        <v/>
      </c>
      <c r="S598" s="195">
        <f>IF(B598="","",IF(P598&gt;0,DEGREES(ATAN(Q598/P598)),IF(P598&lt;0,IF(Q598&gt;=0,DEGREES(ATAN(Q598/P598))+180,DEGREES(ATAN(Q598/P598))-180),IF(Q598&gt;0,90,IF(Q598&lt;0,-90,0)))))</f>
        <v/>
      </c>
      <c r="T598" s="195">
        <f>IF(B598="","",LOG10(B598))</f>
        <v/>
      </c>
      <c r="U598" s="195">
        <f>IF(R598="","",LOG10(MAX(R598,1E-12)))</f>
        <v/>
      </c>
    </row>
    <row r="599">
      <c r="A599" t="n">
        <v>596</v>
      </c>
      <c r="B599" s="196">
        <f>IF(A599&lt;='入力・概要'!$B$40,10^(LOG10('入力・概要'!$B$38)+(A599-1)*(LOG10('入力・概要'!$B$39)-LOG10('入力・概要'!$B$38))/('入力・概要'!$B$40-1)),"")</f>
        <v/>
      </c>
      <c r="C599" s="195">
        <f>IF(B599="","",2*PI()*B599)</f>
        <v/>
      </c>
      <c r="D599" s="195">
        <f>IF(B599="","",ATANH(MIN(0.999999,(2*'入力・概要'!$B$17*'入力・概要'!$B$6)/'入力・概要'!$B$30))+'入力・概要'!$B$33*SQRT(B599/1E6)+(2*PI()*B599*'入力・概要'!$B$6/(299792458*'入力・概要'!$B$31))*'入力・概要'!$B$32/2)</f>
        <v/>
      </c>
      <c r="E599" s="195">
        <f>IF(B599="","",2*PI()*B599*'入力・概要'!$B$6/(299792458*'入力・概要'!$B$31))</f>
        <v/>
      </c>
      <c r="F599" s="195">
        <f>IF(B599="","",SINH(2*D599)/(COSH(2*D599)+COS(2*E599)))</f>
        <v/>
      </c>
      <c r="G599" s="195">
        <f>IF(B599="","",SIN(2*E599)/(COSH(2*D599)+COS(2*E599)))</f>
        <v/>
      </c>
      <c r="H599" s="195">
        <f>IF(B599="","",'入力・概要'!$B$34)</f>
        <v/>
      </c>
      <c r="I599" s="195">
        <f>IF(B599="","",C599*'入力・概要'!$B$35*1E-9)</f>
        <v/>
      </c>
      <c r="J599" s="195">
        <f>IF(B599="","",H599+'入力・概要'!$B$30*F599)</f>
        <v/>
      </c>
      <c r="K599" s="195">
        <f>IF(B599="","",I599+'入力・概要'!$B$30*G599)</f>
        <v/>
      </c>
      <c r="L599" s="195">
        <f>IF(B599="","",'入力・概要'!$B$30+H599*F599-I599*G599)</f>
        <v/>
      </c>
      <c r="M599" s="195">
        <f>IF(B599="","",H599*G599+I599*F599)</f>
        <v/>
      </c>
      <c r="N599" s="195">
        <f>IF(B599="","",'入力・概要'!$B$30*(J599*L599+K599*M599)/(L599^2+M599^2))</f>
        <v/>
      </c>
      <c r="O599" s="195">
        <f>IF(B599="","",'入力・概要'!$B$30*(K599*L599-J599*M599)/(L599^2+M599^2))</f>
        <v/>
      </c>
      <c r="P599" s="195">
        <f>IF(B599="","",N599+'入力・概要'!$B$36)</f>
        <v/>
      </c>
      <c r="Q599" s="195">
        <f>IF(B599="","",O599+C599*'入力・概要'!$B$37*1E-9)</f>
        <v/>
      </c>
      <c r="R599" s="195">
        <f>IF(B599="","",SQRT(P599^2+Q599^2))</f>
        <v/>
      </c>
      <c r="S599" s="195">
        <f>IF(B599="","",IF(P599&gt;0,DEGREES(ATAN(Q599/P599)),IF(P599&lt;0,IF(Q599&gt;=0,DEGREES(ATAN(Q599/P599))+180,DEGREES(ATAN(Q599/P599))-180),IF(Q599&gt;0,90,IF(Q599&lt;0,-90,0)))))</f>
        <v/>
      </c>
      <c r="T599" s="195">
        <f>IF(B599="","",LOG10(B599))</f>
        <v/>
      </c>
      <c r="U599" s="195">
        <f>IF(R599="","",LOG10(MAX(R599,1E-12)))</f>
        <v/>
      </c>
    </row>
    <row r="600">
      <c r="A600" t="n">
        <v>597</v>
      </c>
      <c r="B600" s="196">
        <f>IF(A600&lt;='入力・概要'!$B$40,10^(LOG10('入力・概要'!$B$38)+(A600-1)*(LOG10('入力・概要'!$B$39)-LOG10('入力・概要'!$B$38))/('入力・概要'!$B$40-1)),"")</f>
        <v/>
      </c>
      <c r="C600" s="195">
        <f>IF(B600="","",2*PI()*B600)</f>
        <v/>
      </c>
      <c r="D600" s="195">
        <f>IF(B600="","",ATANH(MIN(0.999999,(2*'入力・概要'!$B$17*'入力・概要'!$B$6)/'入力・概要'!$B$30))+'入力・概要'!$B$33*SQRT(B600/1E6)+(2*PI()*B600*'入力・概要'!$B$6/(299792458*'入力・概要'!$B$31))*'入力・概要'!$B$32/2)</f>
        <v/>
      </c>
      <c r="E600" s="195">
        <f>IF(B600="","",2*PI()*B600*'入力・概要'!$B$6/(299792458*'入力・概要'!$B$31))</f>
        <v/>
      </c>
      <c r="F600" s="195">
        <f>IF(B600="","",SINH(2*D600)/(COSH(2*D600)+COS(2*E600)))</f>
        <v/>
      </c>
      <c r="G600" s="195">
        <f>IF(B600="","",SIN(2*E600)/(COSH(2*D600)+COS(2*E600)))</f>
        <v/>
      </c>
      <c r="H600" s="195">
        <f>IF(B600="","",'入力・概要'!$B$34)</f>
        <v/>
      </c>
      <c r="I600" s="195">
        <f>IF(B600="","",C600*'入力・概要'!$B$35*1E-9)</f>
        <v/>
      </c>
      <c r="J600" s="195">
        <f>IF(B600="","",H600+'入力・概要'!$B$30*F600)</f>
        <v/>
      </c>
      <c r="K600" s="195">
        <f>IF(B600="","",I600+'入力・概要'!$B$30*G600)</f>
        <v/>
      </c>
      <c r="L600" s="195">
        <f>IF(B600="","",'入力・概要'!$B$30+H600*F600-I600*G600)</f>
        <v/>
      </c>
      <c r="M600" s="195">
        <f>IF(B600="","",H600*G600+I600*F600)</f>
        <v/>
      </c>
      <c r="N600" s="195">
        <f>IF(B600="","",'入力・概要'!$B$30*(J600*L600+K600*M600)/(L600^2+M600^2))</f>
        <v/>
      </c>
      <c r="O600" s="195">
        <f>IF(B600="","",'入力・概要'!$B$30*(K600*L600-J600*M600)/(L600^2+M600^2))</f>
        <v/>
      </c>
      <c r="P600" s="195">
        <f>IF(B600="","",N600+'入力・概要'!$B$36)</f>
        <v/>
      </c>
      <c r="Q600" s="195">
        <f>IF(B600="","",O600+C600*'入力・概要'!$B$37*1E-9)</f>
        <v/>
      </c>
      <c r="R600" s="195">
        <f>IF(B600="","",SQRT(P600^2+Q600^2))</f>
        <v/>
      </c>
      <c r="S600" s="195">
        <f>IF(B600="","",IF(P600&gt;0,DEGREES(ATAN(Q600/P600)),IF(P600&lt;0,IF(Q600&gt;=0,DEGREES(ATAN(Q600/P600))+180,DEGREES(ATAN(Q600/P600))-180),IF(Q600&gt;0,90,IF(Q600&lt;0,-90,0)))))</f>
        <v/>
      </c>
      <c r="T600" s="195">
        <f>IF(B600="","",LOG10(B600))</f>
        <v/>
      </c>
      <c r="U600" s="195">
        <f>IF(R600="","",LOG10(MAX(R600,1E-12)))</f>
        <v/>
      </c>
    </row>
    <row r="601">
      <c r="A601" t="n">
        <v>598</v>
      </c>
      <c r="B601" s="196">
        <f>IF(A601&lt;='入力・概要'!$B$40,10^(LOG10('入力・概要'!$B$38)+(A601-1)*(LOG10('入力・概要'!$B$39)-LOG10('入力・概要'!$B$38))/('入力・概要'!$B$40-1)),"")</f>
        <v/>
      </c>
      <c r="C601" s="195">
        <f>IF(B601="","",2*PI()*B601)</f>
        <v/>
      </c>
      <c r="D601" s="195">
        <f>IF(B601="","",ATANH(MIN(0.999999,(2*'入力・概要'!$B$17*'入力・概要'!$B$6)/'入力・概要'!$B$30))+'入力・概要'!$B$33*SQRT(B601/1E6)+(2*PI()*B601*'入力・概要'!$B$6/(299792458*'入力・概要'!$B$31))*'入力・概要'!$B$32/2)</f>
        <v/>
      </c>
      <c r="E601" s="195">
        <f>IF(B601="","",2*PI()*B601*'入力・概要'!$B$6/(299792458*'入力・概要'!$B$31))</f>
        <v/>
      </c>
      <c r="F601" s="195">
        <f>IF(B601="","",SINH(2*D601)/(COSH(2*D601)+COS(2*E601)))</f>
        <v/>
      </c>
      <c r="G601" s="195">
        <f>IF(B601="","",SIN(2*E601)/(COSH(2*D601)+COS(2*E601)))</f>
        <v/>
      </c>
      <c r="H601" s="195">
        <f>IF(B601="","",'入力・概要'!$B$34)</f>
        <v/>
      </c>
      <c r="I601" s="195">
        <f>IF(B601="","",C601*'入力・概要'!$B$35*1E-9)</f>
        <v/>
      </c>
      <c r="J601" s="195">
        <f>IF(B601="","",H601+'入力・概要'!$B$30*F601)</f>
        <v/>
      </c>
      <c r="K601" s="195">
        <f>IF(B601="","",I601+'入力・概要'!$B$30*G601)</f>
        <v/>
      </c>
      <c r="L601" s="195">
        <f>IF(B601="","",'入力・概要'!$B$30+H601*F601-I601*G601)</f>
        <v/>
      </c>
      <c r="M601" s="195">
        <f>IF(B601="","",H601*G601+I601*F601)</f>
        <v/>
      </c>
      <c r="N601" s="195">
        <f>IF(B601="","",'入力・概要'!$B$30*(J601*L601+K601*M601)/(L601^2+M601^2))</f>
        <v/>
      </c>
      <c r="O601" s="195">
        <f>IF(B601="","",'入力・概要'!$B$30*(K601*L601-J601*M601)/(L601^2+M601^2))</f>
        <v/>
      </c>
      <c r="P601" s="195">
        <f>IF(B601="","",N601+'入力・概要'!$B$36)</f>
        <v/>
      </c>
      <c r="Q601" s="195">
        <f>IF(B601="","",O601+C601*'入力・概要'!$B$37*1E-9)</f>
        <v/>
      </c>
      <c r="R601" s="195">
        <f>IF(B601="","",SQRT(P601^2+Q601^2))</f>
        <v/>
      </c>
      <c r="S601" s="195">
        <f>IF(B601="","",IF(P601&gt;0,DEGREES(ATAN(Q601/P601)),IF(P601&lt;0,IF(Q601&gt;=0,DEGREES(ATAN(Q601/P601))+180,DEGREES(ATAN(Q601/P601))-180),IF(Q601&gt;0,90,IF(Q601&lt;0,-90,0)))))</f>
        <v/>
      </c>
      <c r="T601" s="195">
        <f>IF(B601="","",LOG10(B601))</f>
        <v/>
      </c>
      <c r="U601" s="195">
        <f>IF(R601="","",LOG10(MAX(R601,1E-12)))</f>
        <v/>
      </c>
    </row>
    <row r="602">
      <c r="A602" t="n">
        <v>599</v>
      </c>
      <c r="B602" s="196">
        <f>IF(A602&lt;='入力・概要'!$B$40,10^(LOG10('入力・概要'!$B$38)+(A602-1)*(LOG10('入力・概要'!$B$39)-LOG10('入力・概要'!$B$38))/('入力・概要'!$B$40-1)),"")</f>
        <v/>
      </c>
      <c r="C602" s="195">
        <f>IF(B602="","",2*PI()*B602)</f>
        <v/>
      </c>
      <c r="D602" s="195">
        <f>IF(B602="","",ATANH(MIN(0.999999,(2*'入力・概要'!$B$17*'入力・概要'!$B$6)/'入力・概要'!$B$30))+'入力・概要'!$B$33*SQRT(B602/1E6)+(2*PI()*B602*'入力・概要'!$B$6/(299792458*'入力・概要'!$B$31))*'入力・概要'!$B$32/2)</f>
        <v/>
      </c>
      <c r="E602" s="195">
        <f>IF(B602="","",2*PI()*B602*'入力・概要'!$B$6/(299792458*'入力・概要'!$B$31))</f>
        <v/>
      </c>
      <c r="F602" s="195">
        <f>IF(B602="","",SINH(2*D602)/(COSH(2*D602)+COS(2*E602)))</f>
        <v/>
      </c>
      <c r="G602" s="195">
        <f>IF(B602="","",SIN(2*E602)/(COSH(2*D602)+COS(2*E602)))</f>
        <v/>
      </c>
      <c r="H602" s="195">
        <f>IF(B602="","",'入力・概要'!$B$34)</f>
        <v/>
      </c>
      <c r="I602" s="195">
        <f>IF(B602="","",C602*'入力・概要'!$B$35*1E-9)</f>
        <v/>
      </c>
      <c r="J602" s="195">
        <f>IF(B602="","",H602+'入力・概要'!$B$30*F602)</f>
        <v/>
      </c>
      <c r="K602" s="195">
        <f>IF(B602="","",I602+'入力・概要'!$B$30*G602)</f>
        <v/>
      </c>
      <c r="L602" s="195">
        <f>IF(B602="","",'入力・概要'!$B$30+H602*F602-I602*G602)</f>
        <v/>
      </c>
      <c r="M602" s="195">
        <f>IF(B602="","",H602*G602+I602*F602)</f>
        <v/>
      </c>
      <c r="N602" s="195">
        <f>IF(B602="","",'入力・概要'!$B$30*(J602*L602+K602*M602)/(L602^2+M602^2))</f>
        <v/>
      </c>
      <c r="O602" s="195">
        <f>IF(B602="","",'入力・概要'!$B$30*(K602*L602-J602*M602)/(L602^2+M602^2))</f>
        <v/>
      </c>
      <c r="P602" s="195">
        <f>IF(B602="","",N602+'入力・概要'!$B$36)</f>
        <v/>
      </c>
      <c r="Q602" s="195">
        <f>IF(B602="","",O602+C602*'入力・概要'!$B$37*1E-9)</f>
        <v/>
      </c>
      <c r="R602" s="195">
        <f>IF(B602="","",SQRT(P602^2+Q602^2))</f>
        <v/>
      </c>
      <c r="S602" s="195">
        <f>IF(B602="","",IF(P602&gt;0,DEGREES(ATAN(Q602/P602)),IF(P602&lt;0,IF(Q602&gt;=0,DEGREES(ATAN(Q602/P602))+180,DEGREES(ATAN(Q602/P602))-180),IF(Q602&gt;0,90,IF(Q602&lt;0,-90,0)))))</f>
        <v/>
      </c>
      <c r="T602" s="195">
        <f>IF(B602="","",LOG10(B602))</f>
        <v/>
      </c>
      <c r="U602" s="195">
        <f>IF(R602="","",LOG10(MAX(R602,1E-12)))</f>
        <v/>
      </c>
    </row>
    <row r="603">
      <c r="A603" t="n">
        <v>600</v>
      </c>
      <c r="B603" s="196">
        <f>IF(A603&lt;='入力・概要'!$B$40,10^(LOG10('入力・概要'!$B$38)+(A603-1)*(LOG10('入力・概要'!$B$39)-LOG10('入力・概要'!$B$38))/('入力・概要'!$B$40-1)),"")</f>
        <v/>
      </c>
      <c r="C603" s="195">
        <f>IF(B603="","",2*PI()*B603)</f>
        <v/>
      </c>
      <c r="D603" s="195">
        <f>IF(B603="","",ATANH(MIN(0.999999,(2*'入力・概要'!$B$17*'入力・概要'!$B$6)/'入力・概要'!$B$30))+'入力・概要'!$B$33*SQRT(B603/1E6)+(2*PI()*B603*'入力・概要'!$B$6/(299792458*'入力・概要'!$B$31))*'入力・概要'!$B$32/2)</f>
        <v/>
      </c>
      <c r="E603" s="195">
        <f>IF(B603="","",2*PI()*B603*'入力・概要'!$B$6/(299792458*'入力・概要'!$B$31))</f>
        <v/>
      </c>
      <c r="F603" s="195">
        <f>IF(B603="","",SINH(2*D603)/(COSH(2*D603)+COS(2*E603)))</f>
        <v/>
      </c>
      <c r="G603" s="195">
        <f>IF(B603="","",SIN(2*E603)/(COSH(2*D603)+COS(2*E603)))</f>
        <v/>
      </c>
      <c r="H603" s="195">
        <f>IF(B603="","",'入力・概要'!$B$34)</f>
        <v/>
      </c>
      <c r="I603" s="195">
        <f>IF(B603="","",C603*'入力・概要'!$B$35*1E-9)</f>
        <v/>
      </c>
      <c r="J603" s="195">
        <f>IF(B603="","",H603+'入力・概要'!$B$30*F603)</f>
        <v/>
      </c>
      <c r="K603" s="195">
        <f>IF(B603="","",I603+'入力・概要'!$B$30*G603)</f>
        <v/>
      </c>
      <c r="L603" s="195">
        <f>IF(B603="","",'入力・概要'!$B$30+H603*F603-I603*G603)</f>
        <v/>
      </c>
      <c r="M603" s="195">
        <f>IF(B603="","",H603*G603+I603*F603)</f>
        <v/>
      </c>
      <c r="N603" s="195">
        <f>IF(B603="","",'入力・概要'!$B$30*(J603*L603+K603*M603)/(L603^2+M603^2))</f>
        <v/>
      </c>
      <c r="O603" s="195">
        <f>IF(B603="","",'入力・概要'!$B$30*(K603*L603-J603*M603)/(L603^2+M603^2))</f>
        <v/>
      </c>
      <c r="P603" s="195">
        <f>IF(B603="","",N603+'入力・概要'!$B$36)</f>
        <v/>
      </c>
      <c r="Q603" s="195">
        <f>IF(B603="","",O603+C603*'入力・概要'!$B$37*1E-9)</f>
        <v/>
      </c>
      <c r="R603" s="195">
        <f>IF(B603="","",SQRT(P603^2+Q603^2))</f>
        <v/>
      </c>
      <c r="S603" s="195">
        <f>IF(B603="","",IF(P603&gt;0,DEGREES(ATAN(Q603/P603)),IF(P603&lt;0,IF(Q603&gt;=0,DEGREES(ATAN(Q603/P603))+180,DEGREES(ATAN(Q603/P603))-180),IF(Q603&gt;0,90,IF(Q603&lt;0,-90,0)))))</f>
        <v/>
      </c>
      <c r="T603" s="195">
        <f>IF(B603="","",LOG10(B603))</f>
        <v/>
      </c>
      <c r="U603" s="195">
        <f>IF(R603="","",LOG10(MAX(R603,1E-12)))</f>
        <v/>
      </c>
    </row>
    <row r="604">
      <c r="A604" t="n">
        <v>601</v>
      </c>
      <c r="B604" s="196">
        <f>IF(A604&lt;='入力・概要'!$B$40,10^(LOG10('入力・概要'!$B$38)+(A604-1)*(LOG10('入力・概要'!$B$39)-LOG10('入力・概要'!$B$38))/('入力・概要'!$B$40-1)),"")</f>
        <v/>
      </c>
      <c r="C604" s="195">
        <f>IF(B604="","",2*PI()*B604)</f>
        <v/>
      </c>
      <c r="D604" s="195">
        <f>IF(B604="","",ATANH(MIN(0.999999,(2*'入力・概要'!$B$17*'入力・概要'!$B$6)/'入力・概要'!$B$30))+'入力・概要'!$B$33*SQRT(B604/1E6)+(2*PI()*B604*'入力・概要'!$B$6/(299792458*'入力・概要'!$B$31))*'入力・概要'!$B$32/2)</f>
        <v/>
      </c>
      <c r="E604" s="195">
        <f>IF(B604="","",2*PI()*B604*'入力・概要'!$B$6/(299792458*'入力・概要'!$B$31))</f>
        <v/>
      </c>
      <c r="F604" s="195">
        <f>IF(B604="","",SINH(2*D604)/(COSH(2*D604)+COS(2*E604)))</f>
        <v/>
      </c>
      <c r="G604" s="195">
        <f>IF(B604="","",SIN(2*E604)/(COSH(2*D604)+COS(2*E604)))</f>
        <v/>
      </c>
      <c r="H604" s="195">
        <f>IF(B604="","",'入力・概要'!$B$34)</f>
        <v/>
      </c>
      <c r="I604" s="195">
        <f>IF(B604="","",C604*'入力・概要'!$B$35*1E-9)</f>
        <v/>
      </c>
      <c r="J604" s="195">
        <f>IF(B604="","",H604+'入力・概要'!$B$30*F604)</f>
        <v/>
      </c>
      <c r="K604" s="195">
        <f>IF(B604="","",I604+'入力・概要'!$B$30*G604)</f>
        <v/>
      </c>
      <c r="L604" s="195">
        <f>IF(B604="","",'入力・概要'!$B$30+H604*F604-I604*G604)</f>
        <v/>
      </c>
      <c r="M604" s="195">
        <f>IF(B604="","",H604*G604+I604*F604)</f>
        <v/>
      </c>
      <c r="N604" s="195">
        <f>IF(B604="","",'入力・概要'!$B$30*(J604*L604+K604*M604)/(L604^2+M604^2))</f>
        <v/>
      </c>
      <c r="O604" s="195">
        <f>IF(B604="","",'入力・概要'!$B$30*(K604*L604-J604*M604)/(L604^2+M604^2))</f>
        <v/>
      </c>
      <c r="P604" s="195">
        <f>IF(B604="","",N604+'入力・概要'!$B$36)</f>
        <v/>
      </c>
      <c r="Q604" s="195">
        <f>IF(B604="","",O604+C604*'入力・概要'!$B$37*1E-9)</f>
        <v/>
      </c>
      <c r="R604" s="195">
        <f>IF(B604="","",SQRT(P604^2+Q604^2))</f>
        <v/>
      </c>
      <c r="S604" s="195">
        <f>IF(B604="","",IF(P604&gt;0,DEGREES(ATAN(Q604/P604)),IF(P604&lt;0,IF(Q604&gt;=0,DEGREES(ATAN(Q604/P604))+180,DEGREES(ATAN(Q604/P604))-180),IF(Q604&gt;0,90,IF(Q604&lt;0,-90,0)))))</f>
        <v/>
      </c>
      <c r="T604" s="195">
        <f>IF(B604="","",LOG10(B604))</f>
        <v/>
      </c>
      <c r="U604" s="195">
        <f>IF(R604="","",LOG10(MAX(R604,1E-12)))</f>
        <v/>
      </c>
    </row>
    <row r="605">
      <c r="A605" t="n">
        <v>602</v>
      </c>
      <c r="B605" s="196">
        <f>IF(A605&lt;='入力・概要'!$B$40,10^(LOG10('入力・概要'!$B$38)+(A605-1)*(LOG10('入力・概要'!$B$39)-LOG10('入力・概要'!$B$38))/('入力・概要'!$B$40-1)),"")</f>
        <v/>
      </c>
      <c r="C605" s="195">
        <f>IF(B605="","",2*PI()*B605)</f>
        <v/>
      </c>
      <c r="D605" s="195">
        <f>IF(B605="","",ATANH(MIN(0.999999,(2*'入力・概要'!$B$17*'入力・概要'!$B$6)/'入力・概要'!$B$30))+'入力・概要'!$B$33*SQRT(B605/1E6)+(2*PI()*B605*'入力・概要'!$B$6/(299792458*'入力・概要'!$B$31))*'入力・概要'!$B$32/2)</f>
        <v/>
      </c>
      <c r="E605" s="195">
        <f>IF(B605="","",2*PI()*B605*'入力・概要'!$B$6/(299792458*'入力・概要'!$B$31))</f>
        <v/>
      </c>
      <c r="F605" s="195">
        <f>IF(B605="","",SINH(2*D605)/(COSH(2*D605)+COS(2*E605)))</f>
        <v/>
      </c>
      <c r="G605" s="195">
        <f>IF(B605="","",SIN(2*E605)/(COSH(2*D605)+COS(2*E605)))</f>
        <v/>
      </c>
      <c r="H605" s="195">
        <f>IF(B605="","",'入力・概要'!$B$34)</f>
        <v/>
      </c>
      <c r="I605" s="195">
        <f>IF(B605="","",C605*'入力・概要'!$B$35*1E-9)</f>
        <v/>
      </c>
      <c r="J605" s="195">
        <f>IF(B605="","",H605+'入力・概要'!$B$30*F605)</f>
        <v/>
      </c>
      <c r="K605" s="195">
        <f>IF(B605="","",I605+'入力・概要'!$B$30*G605)</f>
        <v/>
      </c>
      <c r="L605" s="195">
        <f>IF(B605="","",'入力・概要'!$B$30+H605*F605-I605*G605)</f>
        <v/>
      </c>
      <c r="M605" s="195">
        <f>IF(B605="","",H605*G605+I605*F605)</f>
        <v/>
      </c>
      <c r="N605" s="195">
        <f>IF(B605="","",'入力・概要'!$B$30*(J605*L605+K605*M605)/(L605^2+M605^2))</f>
        <v/>
      </c>
      <c r="O605" s="195">
        <f>IF(B605="","",'入力・概要'!$B$30*(K605*L605-J605*M605)/(L605^2+M605^2))</f>
        <v/>
      </c>
      <c r="P605" s="195">
        <f>IF(B605="","",N605+'入力・概要'!$B$36)</f>
        <v/>
      </c>
      <c r="Q605" s="195">
        <f>IF(B605="","",O605+C605*'入力・概要'!$B$37*1E-9)</f>
        <v/>
      </c>
      <c r="R605" s="195">
        <f>IF(B605="","",SQRT(P605^2+Q605^2))</f>
        <v/>
      </c>
      <c r="S605" s="195">
        <f>IF(B605="","",IF(P605&gt;0,DEGREES(ATAN(Q605/P605)),IF(P605&lt;0,IF(Q605&gt;=0,DEGREES(ATAN(Q605/P605))+180,DEGREES(ATAN(Q605/P605))-180),IF(Q605&gt;0,90,IF(Q605&lt;0,-90,0)))))</f>
        <v/>
      </c>
      <c r="T605" s="195">
        <f>IF(B605="","",LOG10(B605))</f>
        <v/>
      </c>
      <c r="U605" s="195">
        <f>IF(R605="","",LOG10(MAX(R605,1E-12)))</f>
        <v/>
      </c>
    </row>
    <row r="606">
      <c r="A606" t="n">
        <v>603</v>
      </c>
      <c r="B606" s="196">
        <f>IF(A606&lt;='入力・概要'!$B$40,10^(LOG10('入力・概要'!$B$38)+(A606-1)*(LOG10('入力・概要'!$B$39)-LOG10('入力・概要'!$B$38))/('入力・概要'!$B$40-1)),"")</f>
        <v/>
      </c>
      <c r="C606" s="195">
        <f>IF(B606="","",2*PI()*B606)</f>
        <v/>
      </c>
      <c r="D606" s="195">
        <f>IF(B606="","",ATANH(MIN(0.999999,(2*'入力・概要'!$B$17*'入力・概要'!$B$6)/'入力・概要'!$B$30))+'入力・概要'!$B$33*SQRT(B606/1E6)+(2*PI()*B606*'入力・概要'!$B$6/(299792458*'入力・概要'!$B$31))*'入力・概要'!$B$32/2)</f>
        <v/>
      </c>
      <c r="E606" s="195">
        <f>IF(B606="","",2*PI()*B606*'入力・概要'!$B$6/(299792458*'入力・概要'!$B$31))</f>
        <v/>
      </c>
      <c r="F606" s="195">
        <f>IF(B606="","",SINH(2*D606)/(COSH(2*D606)+COS(2*E606)))</f>
        <v/>
      </c>
      <c r="G606" s="195">
        <f>IF(B606="","",SIN(2*E606)/(COSH(2*D606)+COS(2*E606)))</f>
        <v/>
      </c>
      <c r="H606" s="195">
        <f>IF(B606="","",'入力・概要'!$B$34)</f>
        <v/>
      </c>
      <c r="I606" s="195">
        <f>IF(B606="","",C606*'入力・概要'!$B$35*1E-9)</f>
        <v/>
      </c>
      <c r="J606" s="195">
        <f>IF(B606="","",H606+'入力・概要'!$B$30*F606)</f>
        <v/>
      </c>
      <c r="K606" s="195">
        <f>IF(B606="","",I606+'入力・概要'!$B$30*G606)</f>
        <v/>
      </c>
      <c r="L606" s="195">
        <f>IF(B606="","",'入力・概要'!$B$30+H606*F606-I606*G606)</f>
        <v/>
      </c>
      <c r="M606" s="195">
        <f>IF(B606="","",H606*G606+I606*F606)</f>
        <v/>
      </c>
      <c r="N606" s="195">
        <f>IF(B606="","",'入力・概要'!$B$30*(J606*L606+K606*M606)/(L606^2+M606^2))</f>
        <v/>
      </c>
      <c r="O606" s="195">
        <f>IF(B606="","",'入力・概要'!$B$30*(K606*L606-J606*M606)/(L606^2+M606^2))</f>
        <v/>
      </c>
      <c r="P606" s="195">
        <f>IF(B606="","",N606+'入力・概要'!$B$36)</f>
        <v/>
      </c>
      <c r="Q606" s="195">
        <f>IF(B606="","",O606+C606*'入力・概要'!$B$37*1E-9)</f>
        <v/>
      </c>
      <c r="R606" s="195">
        <f>IF(B606="","",SQRT(P606^2+Q606^2))</f>
        <v/>
      </c>
      <c r="S606" s="195">
        <f>IF(B606="","",IF(P606&gt;0,DEGREES(ATAN(Q606/P606)),IF(P606&lt;0,IF(Q606&gt;=0,DEGREES(ATAN(Q606/P606))+180,DEGREES(ATAN(Q606/P606))-180),IF(Q606&gt;0,90,IF(Q606&lt;0,-90,0)))))</f>
        <v/>
      </c>
      <c r="T606" s="195">
        <f>IF(B606="","",LOG10(B606))</f>
        <v/>
      </c>
      <c r="U606" s="195">
        <f>IF(R606="","",LOG10(MAX(R606,1E-12)))</f>
        <v/>
      </c>
    </row>
    <row r="607">
      <c r="A607" t="n">
        <v>604</v>
      </c>
      <c r="B607" s="196">
        <f>IF(A607&lt;='入力・概要'!$B$40,10^(LOG10('入力・概要'!$B$38)+(A607-1)*(LOG10('入力・概要'!$B$39)-LOG10('入力・概要'!$B$38))/('入力・概要'!$B$40-1)),"")</f>
        <v/>
      </c>
      <c r="C607" s="195">
        <f>IF(B607="","",2*PI()*B607)</f>
        <v/>
      </c>
      <c r="D607" s="195">
        <f>IF(B607="","",ATANH(MIN(0.999999,(2*'入力・概要'!$B$17*'入力・概要'!$B$6)/'入力・概要'!$B$30))+'入力・概要'!$B$33*SQRT(B607/1E6)+(2*PI()*B607*'入力・概要'!$B$6/(299792458*'入力・概要'!$B$31))*'入力・概要'!$B$32/2)</f>
        <v/>
      </c>
      <c r="E607" s="195">
        <f>IF(B607="","",2*PI()*B607*'入力・概要'!$B$6/(299792458*'入力・概要'!$B$31))</f>
        <v/>
      </c>
      <c r="F607" s="195">
        <f>IF(B607="","",SINH(2*D607)/(COSH(2*D607)+COS(2*E607)))</f>
        <v/>
      </c>
      <c r="G607" s="195">
        <f>IF(B607="","",SIN(2*E607)/(COSH(2*D607)+COS(2*E607)))</f>
        <v/>
      </c>
      <c r="H607" s="195">
        <f>IF(B607="","",'入力・概要'!$B$34)</f>
        <v/>
      </c>
      <c r="I607" s="195">
        <f>IF(B607="","",C607*'入力・概要'!$B$35*1E-9)</f>
        <v/>
      </c>
      <c r="J607" s="195">
        <f>IF(B607="","",H607+'入力・概要'!$B$30*F607)</f>
        <v/>
      </c>
      <c r="K607" s="195">
        <f>IF(B607="","",I607+'入力・概要'!$B$30*G607)</f>
        <v/>
      </c>
      <c r="L607" s="195">
        <f>IF(B607="","",'入力・概要'!$B$30+H607*F607-I607*G607)</f>
        <v/>
      </c>
      <c r="M607" s="195">
        <f>IF(B607="","",H607*G607+I607*F607)</f>
        <v/>
      </c>
      <c r="N607" s="195">
        <f>IF(B607="","",'入力・概要'!$B$30*(J607*L607+K607*M607)/(L607^2+M607^2))</f>
        <v/>
      </c>
      <c r="O607" s="195">
        <f>IF(B607="","",'入力・概要'!$B$30*(K607*L607-J607*M607)/(L607^2+M607^2))</f>
        <v/>
      </c>
      <c r="P607" s="195">
        <f>IF(B607="","",N607+'入力・概要'!$B$36)</f>
        <v/>
      </c>
      <c r="Q607" s="195">
        <f>IF(B607="","",O607+C607*'入力・概要'!$B$37*1E-9)</f>
        <v/>
      </c>
      <c r="R607" s="195">
        <f>IF(B607="","",SQRT(P607^2+Q607^2))</f>
        <v/>
      </c>
      <c r="S607" s="195">
        <f>IF(B607="","",IF(P607&gt;0,DEGREES(ATAN(Q607/P607)),IF(P607&lt;0,IF(Q607&gt;=0,DEGREES(ATAN(Q607/P607))+180,DEGREES(ATAN(Q607/P607))-180),IF(Q607&gt;0,90,IF(Q607&lt;0,-90,0)))))</f>
        <v/>
      </c>
      <c r="T607" s="195">
        <f>IF(B607="","",LOG10(B607))</f>
        <v/>
      </c>
      <c r="U607" s="195">
        <f>IF(R607="","",LOG10(MAX(R607,1E-12)))</f>
        <v/>
      </c>
    </row>
    <row r="608">
      <c r="A608" t="n">
        <v>605</v>
      </c>
      <c r="B608" s="196">
        <f>IF(A608&lt;='入力・概要'!$B$40,10^(LOG10('入力・概要'!$B$38)+(A608-1)*(LOG10('入力・概要'!$B$39)-LOG10('入力・概要'!$B$38))/('入力・概要'!$B$40-1)),"")</f>
        <v/>
      </c>
      <c r="C608" s="195">
        <f>IF(B608="","",2*PI()*B608)</f>
        <v/>
      </c>
      <c r="D608" s="195">
        <f>IF(B608="","",ATANH(MIN(0.999999,(2*'入力・概要'!$B$17*'入力・概要'!$B$6)/'入力・概要'!$B$30))+'入力・概要'!$B$33*SQRT(B608/1E6)+(2*PI()*B608*'入力・概要'!$B$6/(299792458*'入力・概要'!$B$31))*'入力・概要'!$B$32/2)</f>
        <v/>
      </c>
      <c r="E608" s="195">
        <f>IF(B608="","",2*PI()*B608*'入力・概要'!$B$6/(299792458*'入力・概要'!$B$31))</f>
        <v/>
      </c>
      <c r="F608" s="195">
        <f>IF(B608="","",SINH(2*D608)/(COSH(2*D608)+COS(2*E608)))</f>
        <v/>
      </c>
      <c r="G608" s="195">
        <f>IF(B608="","",SIN(2*E608)/(COSH(2*D608)+COS(2*E608)))</f>
        <v/>
      </c>
      <c r="H608" s="195">
        <f>IF(B608="","",'入力・概要'!$B$34)</f>
        <v/>
      </c>
      <c r="I608" s="195">
        <f>IF(B608="","",C608*'入力・概要'!$B$35*1E-9)</f>
        <v/>
      </c>
      <c r="J608" s="195">
        <f>IF(B608="","",H608+'入力・概要'!$B$30*F608)</f>
        <v/>
      </c>
      <c r="K608" s="195">
        <f>IF(B608="","",I608+'入力・概要'!$B$30*G608)</f>
        <v/>
      </c>
      <c r="L608" s="195">
        <f>IF(B608="","",'入力・概要'!$B$30+H608*F608-I608*G608)</f>
        <v/>
      </c>
      <c r="M608" s="195">
        <f>IF(B608="","",H608*G608+I608*F608)</f>
        <v/>
      </c>
      <c r="N608" s="195">
        <f>IF(B608="","",'入力・概要'!$B$30*(J608*L608+K608*M608)/(L608^2+M608^2))</f>
        <v/>
      </c>
      <c r="O608" s="195">
        <f>IF(B608="","",'入力・概要'!$B$30*(K608*L608-J608*M608)/(L608^2+M608^2))</f>
        <v/>
      </c>
      <c r="P608" s="195">
        <f>IF(B608="","",N608+'入力・概要'!$B$36)</f>
        <v/>
      </c>
      <c r="Q608" s="195">
        <f>IF(B608="","",O608+C608*'入力・概要'!$B$37*1E-9)</f>
        <v/>
      </c>
      <c r="R608" s="195">
        <f>IF(B608="","",SQRT(P608^2+Q608^2))</f>
        <v/>
      </c>
      <c r="S608" s="195">
        <f>IF(B608="","",IF(P608&gt;0,DEGREES(ATAN(Q608/P608)),IF(P608&lt;0,IF(Q608&gt;=0,DEGREES(ATAN(Q608/P608))+180,DEGREES(ATAN(Q608/P608))-180),IF(Q608&gt;0,90,IF(Q608&lt;0,-90,0)))))</f>
        <v/>
      </c>
      <c r="T608" s="195">
        <f>IF(B608="","",LOG10(B608))</f>
        <v/>
      </c>
      <c r="U608" s="195">
        <f>IF(R608="","",LOG10(MAX(R608,1E-12)))</f>
        <v/>
      </c>
    </row>
    <row r="609">
      <c r="A609" t="n">
        <v>606</v>
      </c>
      <c r="B609" s="196">
        <f>IF(A609&lt;='入力・概要'!$B$40,10^(LOG10('入力・概要'!$B$38)+(A609-1)*(LOG10('入力・概要'!$B$39)-LOG10('入力・概要'!$B$38))/('入力・概要'!$B$40-1)),"")</f>
        <v/>
      </c>
      <c r="C609" s="195">
        <f>IF(B609="","",2*PI()*B609)</f>
        <v/>
      </c>
      <c r="D609" s="195">
        <f>IF(B609="","",ATANH(MIN(0.999999,(2*'入力・概要'!$B$17*'入力・概要'!$B$6)/'入力・概要'!$B$30))+'入力・概要'!$B$33*SQRT(B609/1E6)+(2*PI()*B609*'入力・概要'!$B$6/(299792458*'入力・概要'!$B$31))*'入力・概要'!$B$32/2)</f>
        <v/>
      </c>
      <c r="E609" s="195">
        <f>IF(B609="","",2*PI()*B609*'入力・概要'!$B$6/(299792458*'入力・概要'!$B$31))</f>
        <v/>
      </c>
      <c r="F609" s="195">
        <f>IF(B609="","",SINH(2*D609)/(COSH(2*D609)+COS(2*E609)))</f>
        <v/>
      </c>
      <c r="G609" s="195">
        <f>IF(B609="","",SIN(2*E609)/(COSH(2*D609)+COS(2*E609)))</f>
        <v/>
      </c>
      <c r="H609" s="195">
        <f>IF(B609="","",'入力・概要'!$B$34)</f>
        <v/>
      </c>
      <c r="I609" s="195">
        <f>IF(B609="","",C609*'入力・概要'!$B$35*1E-9)</f>
        <v/>
      </c>
      <c r="J609" s="195">
        <f>IF(B609="","",H609+'入力・概要'!$B$30*F609)</f>
        <v/>
      </c>
      <c r="K609" s="195">
        <f>IF(B609="","",I609+'入力・概要'!$B$30*G609)</f>
        <v/>
      </c>
      <c r="L609" s="195">
        <f>IF(B609="","",'入力・概要'!$B$30+H609*F609-I609*G609)</f>
        <v/>
      </c>
      <c r="M609" s="195">
        <f>IF(B609="","",H609*G609+I609*F609)</f>
        <v/>
      </c>
      <c r="N609" s="195">
        <f>IF(B609="","",'入力・概要'!$B$30*(J609*L609+K609*M609)/(L609^2+M609^2))</f>
        <v/>
      </c>
      <c r="O609" s="195">
        <f>IF(B609="","",'入力・概要'!$B$30*(K609*L609-J609*M609)/(L609^2+M609^2))</f>
        <v/>
      </c>
      <c r="P609" s="195">
        <f>IF(B609="","",N609+'入力・概要'!$B$36)</f>
        <v/>
      </c>
      <c r="Q609" s="195">
        <f>IF(B609="","",O609+C609*'入力・概要'!$B$37*1E-9)</f>
        <v/>
      </c>
      <c r="R609" s="195">
        <f>IF(B609="","",SQRT(P609^2+Q609^2))</f>
        <v/>
      </c>
      <c r="S609" s="195">
        <f>IF(B609="","",IF(P609&gt;0,DEGREES(ATAN(Q609/P609)),IF(P609&lt;0,IF(Q609&gt;=0,DEGREES(ATAN(Q609/P609))+180,DEGREES(ATAN(Q609/P609))-180),IF(Q609&gt;0,90,IF(Q609&lt;0,-90,0)))))</f>
        <v/>
      </c>
      <c r="T609" s="195">
        <f>IF(B609="","",LOG10(B609))</f>
        <v/>
      </c>
      <c r="U609" s="195">
        <f>IF(R609="","",LOG10(MAX(R609,1E-12)))</f>
        <v/>
      </c>
    </row>
    <row r="610">
      <c r="A610" t="n">
        <v>607</v>
      </c>
      <c r="B610" s="196">
        <f>IF(A610&lt;='入力・概要'!$B$40,10^(LOG10('入力・概要'!$B$38)+(A610-1)*(LOG10('入力・概要'!$B$39)-LOG10('入力・概要'!$B$38))/('入力・概要'!$B$40-1)),"")</f>
        <v/>
      </c>
      <c r="C610" s="195">
        <f>IF(B610="","",2*PI()*B610)</f>
        <v/>
      </c>
      <c r="D610" s="195">
        <f>IF(B610="","",ATANH(MIN(0.999999,(2*'入力・概要'!$B$17*'入力・概要'!$B$6)/'入力・概要'!$B$30))+'入力・概要'!$B$33*SQRT(B610/1E6)+(2*PI()*B610*'入力・概要'!$B$6/(299792458*'入力・概要'!$B$31))*'入力・概要'!$B$32/2)</f>
        <v/>
      </c>
      <c r="E610" s="195">
        <f>IF(B610="","",2*PI()*B610*'入力・概要'!$B$6/(299792458*'入力・概要'!$B$31))</f>
        <v/>
      </c>
      <c r="F610" s="195">
        <f>IF(B610="","",SINH(2*D610)/(COSH(2*D610)+COS(2*E610)))</f>
        <v/>
      </c>
      <c r="G610" s="195">
        <f>IF(B610="","",SIN(2*E610)/(COSH(2*D610)+COS(2*E610)))</f>
        <v/>
      </c>
      <c r="H610" s="195">
        <f>IF(B610="","",'入力・概要'!$B$34)</f>
        <v/>
      </c>
      <c r="I610" s="195">
        <f>IF(B610="","",C610*'入力・概要'!$B$35*1E-9)</f>
        <v/>
      </c>
      <c r="J610" s="195">
        <f>IF(B610="","",H610+'入力・概要'!$B$30*F610)</f>
        <v/>
      </c>
      <c r="K610" s="195">
        <f>IF(B610="","",I610+'入力・概要'!$B$30*G610)</f>
        <v/>
      </c>
      <c r="L610" s="195">
        <f>IF(B610="","",'入力・概要'!$B$30+H610*F610-I610*G610)</f>
        <v/>
      </c>
      <c r="M610" s="195">
        <f>IF(B610="","",H610*G610+I610*F610)</f>
        <v/>
      </c>
      <c r="N610" s="195">
        <f>IF(B610="","",'入力・概要'!$B$30*(J610*L610+K610*M610)/(L610^2+M610^2))</f>
        <v/>
      </c>
      <c r="O610" s="195">
        <f>IF(B610="","",'入力・概要'!$B$30*(K610*L610-J610*M610)/(L610^2+M610^2))</f>
        <v/>
      </c>
      <c r="P610" s="195">
        <f>IF(B610="","",N610+'入力・概要'!$B$36)</f>
        <v/>
      </c>
      <c r="Q610" s="195">
        <f>IF(B610="","",O610+C610*'入力・概要'!$B$37*1E-9)</f>
        <v/>
      </c>
      <c r="R610" s="195">
        <f>IF(B610="","",SQRT(P610^2+Q610^2))</f>
        <v/>
      </c>
      <c r="S610" s="195">
        <f>IF(B610="","",IF(P610&gt;0,DEGREES(ATAN(Q610/P610)),IF(P610&lt;0,IF(Q610&gt;=0,DEGREES(ATAN(Q610/P610))+180,DEGREES(ATAN(Q610/P610))-180),IF(Q610&gt;0,90,IF(Q610&lt;0,-90,0)))))</f>
        <v/>
      </c>
      <c r="T610" s="195">
        <f>IF(B610="","",LOG10(B610))</f>
        <v/>
      </c>
      <c r="U610" s="195">
        <f>IF(R610="","",LOG10(MAX(R610,1E-12)))</f>
        <v/>
      </c>
    </row>
    <row r="611">
      <c r="A611" t="n">
        <v>608</v>
      </c>
      <c r="B611" s="196">
        <f>IF(A611&lt;='入力・概要'!$B$40,10^(LOG10('入力・概要'!$B$38)+(A611-1)*(LOG10('入力・概要'!$B$39)-LOG10('入力・概要'!$B$38))/('入力・概要'!$B$40-1)),"")</f>
        <v/>
      </c>
      <c r="C611" s="195">
        <f>IF(B611="","",2*PI()*B611)</f>
        <v/>
      </c>
      <c r="D611" s="195">
        <f>IF(B611="","",ATANH(MIN(0.999999,(2*'入力・概要'!$B$17*'入力・概要'!$B$6)/'入力・概要'!$B$30))+'入力・概要'!$B$33*SQRT(B611/1E6)+(2*PI()*B611*'入力・概要'!$B$6/(299792458*'入力・概要'!$B$31))*'入力・概要'!$B$32/2)</f>
        <v/>
      </c>
      <c r="E611" s="195">
        <f>IF(B611="","",2*PI()*B611*'入力・概要'!$B$6/(299792458*'入力・概要'!$B$31))</f>
        <v/>
      </c>
      <c r="F611" s="195">
        <f>IF(B611="","",SINH(2*D611)/(COSH(2*D611)+COS(2*E611)))</f>
        <v/>
      </c>
      <c r="G611" s="195">
        <f>IF(B611="","",SIN(2*E611)/(COSH(2*D611)+COS(2*E611)))</f>
        <v/>
      </c>
      <c r="H611" s="195">
        <f>IF(B611="","",'入力・概要'!$B$34)</f>
        <v/>
      </c>
      <c r="I611" s="195">
        <f>IF(B611="","",C611*'入力・概要'!$B$35*1E-9)</f>
        <v/>
      </c>
      <c r="J611" s="195">
        <f>IF(B611="","",H611+'入力・概要'!$B$30*F611)</f>
        <v/>
      </c>
      <c r="K611" s="195">
        <f>IF(B611="","",I611+'入力・概要'!$B$30*G611)</f>
        <v/>
      </c>
      <c r="L611" s="195">
        <f>IF(B611="","",'入力・概要'!$B$30+H611*F611-I611*G611)</f>
        <v/>
      </c>
      <c r="M611" s="195">
        <f>IF(B611="","",H611*G611+I611*F611)</f>
        <v/>
      </c>
      <c r="N611" s="195">
        <f>IF(B611="","",'入力・概要'!$B$30*(J611*L611+K611*M611)/(L611^2+M611^2))</f>
        <v/>
      </c>
      <c r="O611" s="195">
        <f>IF(B611="","",'入力・概要'!$B$30*(K611*L611-J611*M611)/(L611^2+M611^2))</f>
        <v/>
      </c>
      <c r="P611" s="195">
        <f>IF(B611="","",N611+'入力・概要'!$B$36)</f>
        <v/>
      </c>
      <c r="Q611" s="195">
        <f>IF(B611="","",O611+C611*'入力・概要'!$B$37*1E-9)</f>
        <v/>
      </c>
      <c r="R611" s="195">
        <f>IF(B611="","",SQRT(P611^2+Q611^2))</f>
        <v/>
      </c>
      <c r="S611" s="195">
        <f>IF(B611="","",IF(P611&gt;0,DEGREES(ATAN(Q611/P611)),IF(P611&lt;0,IF(Q611&gt;=0,DEGREES(ATAN(Q611/P611))+180,DEGREES(ATAN(Q611/P611))-180),IF(Q611&gt;0,90,IF(Q611&lt;0,-90,0)))))</f>
        <v/>
      </c>
      <c r="T611" s="195">
        <f>IF(B611="","",LOG10(B611))</f>
        <v/>
      </c>
      <c r="U611" s="195">
        <f>IF(R611="","",LOG10(MAX(R611,1E-12)))</f>
        <v/>
      </c>
    </row>
    <row r="612">
      <c r="A612" t="n">
        <v>609</v>
      </c>
      <c r="B612" s="196">
        <f>IF(A612&lt;='入力・概要'!$B$40,10^(LOG10('入力・概要'!$B$38)+(A612-1)*(LOG10('入力・概要'!$B$39)-LOG10('入力・概要'!$B$38))/('入力・概要'!$B$40-1)),"")</f>
        <v/>
      </c>
      <c r="C612" s="195">
        <f>IF(B612="","",2*PI()*B612)</f>
        <v/>
      </c>
      <c r="D612" s="195">
        <f>IF(B612="","",ATANH(MIN(0.999999,(2*'入力・概要'!$B$17*'入力・概要'!$B$6)/'入力・概要'!$B$30))+'入力・概要'!$B$33*SQRT(B612/1E6)+(2*PI()*B612*'入力・概要'!$B$6/(299792458*'入力・概要'!$B$31))*'入力・概要'!$B$32/2)</f>
        <v/>
      </c>
      <c r="E612" s="195">
        <f>IF(B612="","",2*PI()*B612*'入力・概要'!$B$6/(299792458*'入力・概要'!$B$31))</f>
        <v/>
      </c>
      <c r="F612" s="195">
        <f>IF(B612="","",SINH(2*D612)/(COSH(2*D612)+COS(2*E612)))</f>
        <v/>
      </c>
      <c r="G612" s="195">
        <f>IF(B612="","",SIN(2*E612)/(COSH(2*D612)+COS(2*E612)))</f>
        <v/>
      </c>
      <c r="H612" s="195">
        <f>IF(B612="","",'入力・概要'!$B$34)</f>
        <v/>
      </c>
      <c r="I612" s="195">
        <f>IF(B612="","",C612*'入力・概要'!$B$35*1E-9)</f>
        <v/>
      </c>
      <c r="J612" s="195">
        <f>IF(B612="","",H612+'入力・概要'!$B$30*F612)</f>
        <v/>
      </c>
      <c r="K612" s="195">
        <f>IF(B612="","",I612+'入力・概要'!$B$30*G612)</f>
        <v/>
      </c>
      <c r="L612" s="195">
        <f>IF(B612="","",'入力・概要'!$B$30+H612*F612-I612*G612)</f>
        <v/>
      </c>
      <c r="M612" s="195">
        <f>IF(B612="","",H612*G612+I612*F612)</f>
        <v/>
      </c>
      <c r="N612" s="195">
        <f>IF(B612="","",'入力・概要'!$B$30*(J612*L612+K612*M612)/(L612^2+M612^2))</f>
        <v/>
      </c>
      <c r="O612" s="195">
        <f>IF(B612="","",'入力・概要'!$B$30*(K612*L612-J612*M612)/(L612^2+M612^2))</f>
        <v/>
      </c>
      <c r="P612" s="195">
        <f>IF(B612="","",N612+'入力・概要'!$B$36)</f>
        <v/>
      </c>
      <c r="Q612" s="195">
        <f>IF(B612="","",O612+C612*'入力・概要'!$B$37*1E-9)</f>
        <v/>
      </c>
      <c r="R612" s="195">
        <f>IF(B612="","",SQRT(P612^2+Q612^2))</f>
        <v/>
      </c>
      <c r="S612" s="195">
        <f>IF(B612="","",IF(P612&gt;0,DEGREES(ATAN(Q612/P612)),IF(P612&lt;0,IF(Q612&gt;=0,DEGREES(ATAN(Q612/P612))+180,DEGREES(ATAN(Q612/P612))-180),IF(Q612&gt;0,90,IF(Q612&lt;0,-90,0)))))</f>
        <v/>
      </c>
      <c r="T612" s="195">
        <f>IF(B612="","",LOG10(B612))</f>
        <v/>
      </c>
      <c r="U612" s="195">
        <f>IF(R612="","",LOG10(MAX(R612,1E-12)))</f>
        <v/>
      </c>
    </row>
    <row r="613">
      <c r="A613" t="n">
        <v>610</v>
      </c>
      <c r="B613" s="196">
        <f>IF(A613&lt;='入力・概要'!$B$40,10^(LOG10('入力・概要'!$B$38)+(A613-1)*(LOG10('入力・概要'!$B$39)-LOG10('入力・概要'!$B$38))/('入力・概要'!$B$40-1)),"")</f>
        <v/>
      </c>
      <c r="C613" s="195">
        <f>IF(B613="","",2*PI()*B613)</f>
        <v/>
      </c>
      <c r="D613" s="195">
        <f>IF(B613="","",ATANH(MIN(0.999999,(2*'入力・概要'!$B$17*'入力・概要'!$B$6)/'入力・概要'!$B$30))+'入力・概要'!$B$33*SQRT(B613/1E6)+(2*PI()*B613*'入力・概要'!$B$6/(299792458*'入力・概要'!$B$31))*'入力・概要'!$B$32/2)</f>
        <v/>
      </c>
      <c r="E613" s="195">
        <f>IF(B613="","",2*PI()*B613*'入力・概要'!$B$6/(299792458*'入力・概要'!$B$31))</f>
        <v/>
      </c>
      <c r="F613" s="195">
        <f>IF(B613="","",SINH(2*D613)/(COSH(2*D613)+COS(2*E613)))</f>
        <v/>
      </c>
      <c r="G613" s="195">
        <f>IF(B613="","",SIN(2*E613)/(COSH(2*D613)+COS(2*E613)))</f>
        <v/>
      </c>
      <c r="H613" s="195">
        <f>IF(B613="","",'入力・概要'!$B$34)</f>
        <v/>
      </c>
      <c r="I613" s="195">
        <f>IF(B613="","",C613*'入力・概要'!$B$35*1E-9)</f>
        <v/>
      </c>
      <c r="J613" s="195">
        <f>IF(B613="","",H613+'入力・概要'!$B$30*F613)</f>
        <v/>
      </c>
      <c r="K613" s="195">
        <f>IF(B613="","",I613+'入力・概要'!$B$30*G613)</f>
        <v/>
      </c>
      <c r="L613" s="195">
        <f>IF(B613="","",'入力・概要'!$B$30+H613*F613-I613*G613)</f>
        <v/>
      </c>
      <c r="M613" s="195">
        <f>IF(B613="","",H613*G613+I613*F613)</f>
        <v/>
      </c>
      <c r="N613" s="195">
        <f>IF(B613="","",'入力・概要'!$B$30*(J613*L613+K613*M613)/(L613^2+M613^2))</f>
        <v/>
      </c>
      <c r="O613" s="195">
        <f>IF(B613="","",'入力・概要'!$B$30*(K613*L613-J613*M613)/(L613^2+M613^2))</f>
        <v/>
      </c>
      <c r="P613" s="195">
        <f>IF(B613="","",N613+'入力・概要'!$B$36)</f>
        <v/>
      </c>
      <c r="Q613" s="195">
        <f>IF(B613="","",O613+C613*'入力・概要'!$B$37*1E-9)</f>
        <v/>
      </c>
      <c r="R613" s="195">
        <f>IF(B613="","",SQRT(P613^2+Q613^2))</f>
        <v/>
      </c>
      <c r="S613" s="195">
        <f>IF(B613="","",IF(P613&gt;0,DEGREES(ATAN(Q613/P613)),IF(P613&lt;0,IF(Q613&gt;=0,DEGREES(ATAN(Q613/P613))+180,DEGREES(ATAN(Q613/P613))-180),IF(Q613&gt;0,90,IF(Q613&lt;0,-90,0)))))</f>
        <v/>
      </c>
      <c r="T613" s="195">
        <f>IF(B613="","",LOG10(B613))</f>
        <v/>
      </c>
      <c r="U613" s="195">
        <f>IF(R613="","",LOG10(MAX(R613,1E-12)))</f>
        <v/>
      </c>
    </row>
    <row r="614">
      <c r="A614" t="n">
        <v>611</v>
      </c>
      <c r="B614" s="196">
        <f>IF(A614&lt;='入力・概要'!$B$40,10^(LOG10('入力・概要'!$B$38)+(A614-1)*(LOG10('入力・概要'!$B$39)-LOG10('入力・概要'!$B$38))/('入力・概要'!$B$40-1)),"")</f>
        <v/>
      </c>
      <c r="C614" s="195">
        <f>IF(B614="","",2*PI()*B614)</f>
        <v/>
      </c>
      <c r="D614" s="195">
        <f>IF(B614="","",ATANH(MIN(0.999999,(2*'入力・概要'!$B$17*'入力・概要'!$B$6)/'入力・概要'!$B$30))+'入力・概要'!$B$33*SQRT(B614/1E6)+(2*PI()*B614*'入力・概要'!$B$6/(299792458*'入力・概要'!$B$31))*'入力・概要'!$B$32/2)</f>
        <v/>
      </c>
      <c r="E614" s="195">
        <f>IF(B614="","",2*PI()*B614*'入力・概要'!$B$6/(299792458*'入力・概要'!$B$31))</f>
        <v/>
      </c>
      <c r="F614" s="195">
        <f>IF(B614="","",SINH(2*D614)/(COSH(2*D614)+COS(2*E614)))</f>
        <v/>
      </c>
      <c r="G614" s="195">
        <f>IF(B614="","",SIN(2*E614)/(COSH(2*D614)+COS(2*E614)))</f>
        <v/>
      </c>
      <c r="H614" s="195">
        <f>IF(B614="","",'入力・概要'!$B$34)</f>
        <v/>
      </c>
      <c r="I614" s="195">
        <f>IF(B614="","",C614*'入力・概要'!$B$35*1E-9)</f>
        <v/>
      </c>
      <c r="J614" s="195">
        <f>IF(B614="","",H614+'入力・概要'!$B$30*F614)</f>
        <v/>
      </c>
      <c r="K614" s="195">
        <f>IF(B614="","",I614+'入力・概要'!$B$30*G614)</f>
        <v/>
      </c>
      <c r="L614" s="195">
        <f>IF(B614="","",'入力・概要'!$B$30+H614*F614-I614*G614)</f>
        <v/>
      </c>
      <c r="M614" s="195">
        <f>IF(B614="","",H614*G614+I614*F614)</f>
        <v/>
      </c>
      <c r="N614" s="195">
        <f>IF(B614="","",'入力・概要'!$B$30*(J614*L614+K614*M614)/(L614^2+M614^2))</f>
        <v/>
      </c>
      <c r="O614" s="195">
        <f>IF(B614="","",'入力・概要'!$B$30*(K614*L614-J614*M614)/(L614^2+M614^2))</f>
        <v/>
      </c>
      <c r="P614" s="195">
        <f>IF(B614="","",N614+'入力・概要'!$B$36)</f>
        <v/>
      </c>
      <c r="Q614" s="195">
        <f>IF(B614="","",O614+C614*'入力・概要'!$B$37*1E-9)</f>
        <v/>
      </c>
      <c r="R614" s="195">
        <f>IF(B614="","",SQRT(P614^2+Q614^2))</f>
        <v/>
      </c>
      <c r="S614" s="195">
        <f>IF(B614="","",IF(P614&gt;0,DEGREES(ATAN(Q614/P614)),IF(P614&lt;0,IF(Q614&gt;=0,DEGREES(ATAN(Q614/P614))+180,DEGREES(ATAN(Q614/P614))-180),IF(Q614&gt;0,90,IF(Q614&lt;0,-90,0)))))</f>
        <v/>
      </c>
      <c r="T614" s="195">
        <f>IF(B614="","",LOG10(B614))</f>
        <v/>
      </c>
      <c r="U614" s="195">
        <f>IF(R614="","",LOG10(MAX(R614,1E-12)))</f>
        <v/>
      </c>
    </row>
    <row r="615">
      <c r="A615" t="n">
        <v>612</v>
      </c>
      <c r="B615" s="196">
        <f>IF(A615&lt;='入力・概要'!$B$40,10^(LOG10('入力・概要'!$B$38)+(A615-1)*(LOG10('入力・概要'!$B$39)-LOG10('入力・概要'!$B$38))/('入力・概要'!$B$40-1)),"")</f>
        <v/>
      </c>
      <c r="C615" s="195">
        <f>IF(B615="","",2*PI()*B615)</f>
        <v/>
      </c>
      <c r="D615" s="195">
        <f>IF(B615="","",ATANH(MIN(0.999999,(2*'入力・概要'!$B$17*'入力・概要'!$B$6)/'入力・概要'!$B$30))+'入力・概要'!$B$33*SQRT(B615/1E6)+(2*PI()*B615*'入力・概要'!$B$6/(299792458*'入力・概要'!$B$31))*'入力・概要'!$B$32/2)</f>
        <v/>
      </c>
      <c r="E615" s="195">
        <f>IF(B615="","",2*PI()*B615*'入力・概要'!$B$6/(299792458*'入力・概要'!$B$31))</f>
        <v/>
      </c>
      <c r="F615" s="195">
        <f>IF(B615="","",SINH(2*D615)/(COSH(2*D615)+COS(2*E615)))</f>
        <v/>
      </c>
      <c r="G615" s="195">
        <f>IF(B615="","",SIN(2*E615)/(COSH(2*D615)+COS(2*E615)))</f>
        <v/>
      </c>
      <c r="H615" s="195">
        <f>IF(B615="","",'入力・概要'!$B$34)</f>
        <v/>
      </c>
      <c r="I615" s="195">
        <f>IF(B615="","",C615*'入力・概要'!$B$35*1E-9)</f>
        <v/>
      </c>
      <c r="J615" s="195">
        <f>IF(B615="","",H615+'入力・概要'!$B$30*F615)</f>
        <v/>
      </c>
      <c r="K615" s="195">
        <f>IF(B615="","",I615+'入力・概要'!$B$30*G615)</f>
        <v/>
      </c>
      <c r="L615" s="195">
        <f>IF(B615="","",'入力・概要'!$B$30+H615*F615-I615*G615)</f>
        <v/>
      </c>
      <c r="M615" s="195">
        <f>IF(B615="","",H615*G615+I615*F615)</f>
        <v/>
      </c>
      <c r="N615" s="195">
        <f>IF(B615="","",'入力・概要'!$B$30*(J615*L615+K615*M615)/(L615^2+M615^2))</f>
        <v/>
      </c>
      <c r="O615" s="195">
        <f>IF(B615="","",'入力・概要'!$B$30*(K615*L615-J615*M615)/(L615^2+M615^2))</f>
        <v/>
      </c>
      <c r="P615" s="195">
        <f>IF(B615="","",N615+'入力・概要'!$B$36)</f>
        <v/>
      </c>
      <c r="Q615" s="195">
        <f>IF(B615="","",O615+C615*'入力・概要'!$B$37*1E-9)</f>
        <v/>
      </c>
      <c r="R615" s="195">
        <f>IF(B615="","",SQRT(P615^2+Q615^2))</f>
        <v/>
      </c>
      <c r="S615" s="195">
        <f>IF(B615="","",IF(P615&gt;0,DEGREES(ATAN(Q615/P615)),IF(P615&lt;0,IF(Q615&gt;=0,DEGREES(ATAN(Q615/P615))+180,DEGREES(ATAN(Q615/P615))-180),IF(Q615&gt;0,90,IF(Q615&lt;0,-90,0)))))</f>
        <v/>
      </c>
      <c r="T615" s="195">
        <f>IF(B615="","",LOG10(B615))</f>
        <v/>
      </c>
      <c r="U615" s="195">
        <f>IF(R615="","",LOG10(MAX(R615,1E-12)))</f>
        <v/>
      </c>
    </row>
    <row r="616">
      <c r="A616" t="n">
        <v>613</v>
      </c>
      <c r="B616" s="196">
        <f>IF(A616&lt;='入力・概要'!$B$40,10^(LOG10('入力・概要'!$B$38)+(A616-1)*(LOG10('入力・概要'!$B$39)-LOG10('入力・概要'!$B$38))/('入力・概要'!$B$40-1)),"")</f>
        <v/>
      </c>
      <c r="C616" s="195">
        <f>IF(B616="","",2*PI()*B616)</f>
        <v/>
      </c>
      <c r="D616" s="195">
        <f>IF(B616="","",ATANH(MIN(0.999999,(2*'入力・概要'!$B$17*'入力・概要'!$B$6)/'入力・概要'!$B$30))+'入力・概要'!$B$33*SQRT(B616/1E6)+(2*PI()*B616*'入力・概要'!$B$6/(299792458*'入力・概要'!$B$31))*'入力・概要'!$B$32/2)</f>
        <v/>
      </c>
      <c r="E616" s="195">
        <f>IF(B616="","",2*PI()*B616*'入力・概要'!$B$6/(299792458*'入力・概要'!$B$31))</f>
        <v/>
      </c>
      <c r="F616" s="195">
        <f>IF(B616="","",SINH(2*D616)/(COSH(2*D616)+COS(2*E616)))</f>
        <v/>
      </c>
      <c r="G616" s="195">
        <f>IF(B616="","",SIN(2*E616)/(COSH(2*D616)+COS(2*E616)))</f>
        <v/>
      </c>
      <c r="H616" s="195">
        <f>IF(B616="","",'入力・概要'!$B$34)</f>
        <v/>
      </c>
      <c r="I616" s="195">
        <f>IF(B616="","",C616*'入力・概要'!$B$35*1E-9)</f>
        <v/>
      </c>
      <c r="J616" s="195">
        <f>IF(B616="","",H616+'入力・概要'!$B$30*F616)</f>
        <v/>
      </c>
      <c r="K616" s="195">
        <f>IF(B616="","",I616+'入力・概要'!$B$30*G616)</f>
        <v/>
      </c>
      <c r="L616" s="195">
        <f>IF(B616="","",'入力・概要'!$B$30+H616*F616-I616*G616)</f>
        <v/>
      </c>
      <c r="M616" s="195">
        <f>IF(B616="","",H616*G616+I616*F616)</f>
        <v/>
      </c>
      <c r="N616" s="195">
        <f>IF(B616="","",'入力・概要'!$B$30*(J616*L616+K616*M616)/(L616^2+M616^2))</f>
        <v/>
      </c>
      <c r="O616" s="195">
        <f>IF(B616="","",'入力・概要'!$B$30*(K616*L616-J616*M616)/(L616^2+M616^2))</f>
        <v/>
      </c>
      <c r="P616" s="195">
        <f>IF(B616="","",N616+'入力・概要'!$B$36)</f>
        <v/>
      </c>
      <c r="Q616" s="195">
        <f>IF(B616="","",O616+C616*'入力・概要'!$B$37*1E-9)</f>
        <v/>
      </c>
      <c r="R616" s="195">
        <f>IF(B616="","",SQRT(P616^2+Q616^2))</f>
        <v/>
      </c>
      <c r="S616" s="195">
        <f>IF(B616="","",IF(P616&gt;0,DEGREES(ATAN(Q616/P616)),IF(P616&lt;0,IF(Q616&gt;=0,DEGREES(ATAN(Q616/P616))+180,DEGREES(ATAN(Q616/P616))-180),IF(Q616&gt;0,90,IF(Q616&lt;0,-90,0)))))</f>
        <v/>
      </c>
      <c r="T616" s="195">
        <f>IF(B616="","",LOG10(B616))</f>
        <v/>
      </c>
      <c r="U616" s="195">
        <f>IF(R616="","",LOG10(MAX(R616,1E-12)))</f>
        <v/>
      </c>
    </row>
    <row r="617">
      <c r="A617" t="n">
        <v>614</v>
      </c>
      <c r="B617" s="196">
        <f>IF(A617&lt;='入力・概要'!$B$40,10^(LOG10('入力・概要'!$B$38)+(A617-1)*(LOG10('入力・概要'!$B$39)-LOG10('入力・概要'!$B$38))/('入力・概要'!$B$40-1)),"")</f>
        <v/>
      </c>
      <c r="C617" s="195">
        <f>IF(B617="","",2*PI()*B617)</f>
        <v/>
      </c>
      <c r="D617" s="195">
        <f>IF(B617="","",ATANH(MIN(0.999999,(2*'入力・概要'!$B$17*'入力・概要'!$B$6)/'入力・概要'!$B$30))+'入力・概要'!$B$33*SQRT(B617/1E6)+(2*PI()*B617*'入力・概要'!$B$6/(299792458*'入力・概要'!$B$31))*'入力・概要'!$B$32/2)</f>
        <v/>
      </c>
      <c r="E617" s="195">
        <f>IF(B617="","",2*PI()*B617*'入力・概要'!$B$6/(299792458*'入力・概要'!$B$31))</f>
        <v/>
      </c>
      <c r="F617" s="195">
        <f>IF(B617="","",SINH(2*D617)/(COSH(2*D617)+COS(2*E617)))</f>
        <v/>
      </c>
      <c r="G617" s="195">
        <f>IF(B617="","",SIN(2*E617)/(COSH(2*D617)+COS(2*E617)))</f>
        <v/>
      </c>
      <c r="H617" s="195">
        <f>IF(B617="","",'入力・概要'!$B$34)</f>
        <v/>
      </c>
      <c r="I617" s="195">
        <f>IF(B617="","",C617*'入力・概要'!$B$35*1E-9)</f>
        <v/>
      </c>
      <c r="J617" s="195">
        <f>IF(B617="","",H617+'入力・概要'!$B$30*F617)</f>
        <v/>
      </c>
      <c r="K617" s="195">
        <f>IF(B617="","",I617+'入力・概要'!$B$30*G617)</f>
        <v/>
      </c>
      <c r="L617" s="195">
        <f>IF(B617="","",'入力・概要'!$B$30+H617*F617-I617*G617)</f>
        <v/>
      </c>
      <c r="M617" s="195">
        <f>IF(B617="","",H617*G617+I617*F617)</f>
        <v/>
      </c>
      <c r="N617" s="195">
        <f>IF(B617="","",'入力・概要'!$B$30*(J617*L617+K617*M617)/(L617^2+M617^2))</f>
        <v/>
      </c>
      <c r="O617" s="195">
        <f>IF(B617="","",'入力・概要'!$B$30*(K617*L617-J617*M617)/(L617^2+M617^2))</f>
        <v/>
      </c>
      <c r="P617" s="195">
        <f>IF(B617="","",N617+'入力・概要'!$B$36)</f>
        <v/>
      </c>
      <c r="Q617" s="195">
        <f>IF(B617="","",O617+C617*'入力・概要'!$B$37*1E-9)</f>
        <v/>
      </c>
      <c r="R617" s="195">
        <f>IF(B617="","",SQRT(P617^2+Q617^2))</f>
        <v/>
      </c>
      <c r="S617" s="195">
        <f>IF(B617="","",IF(P617&gt;0,DEGREES(ATAN(Q617/P617)),IF(P617&lt;0,IF(Q617&gt;=0,DEGREES(ATAN(Q617/P617))+180,DEGREES(ATAN(Q617/P617))-180),IF(Q617&gt;0,90,IF(Q617&lt;0,-90,0)))))</f>
        <v/>
      </c>
      <c r="T617" s="195">
        <f>IF(B617="","",LOG10(B617))</f>
        <v/>
      </c>
      <c r="U617" s="195">
        <f>IF(R617="","",LOG10(MAX(R617,1E-12)))</f>
        <v/>
      </c>
    </row>
    <row r="618">
      <c r="A618" t="n">
        <v>615</v>
      </c>
      <c r="B618" s="196">
        <f>IF(A618&lt;='入力・概要'!$B$40,10^(LOG10('入力・概要'!$B$38)+(A618-1)*(LOG10('入力・概要'!$B$39)-LOG10('入力・概要'!$B$38))/('入力・概要'!$B$40-1)),"")</f>
        <v/>
      </c>
      <c r="C618" s="195">
        <f>IF(B618="","",2*PI()*B618)</f>
        <v/>
      </c>
      <c r="D618" s="195">
        <f>IF(B618="","",ATANH(MIN(0.999999,(2*'入力・概要'!$B$17*'入力・概要'!$B$6)/'入力・概要'!$B$30))+'入力・概要'!$B$33*SQRT(B618/1E6)+(2*PI()*B618*'入力・概要'!$B$6/(299792458*'入力・概要'!$B$31))*'入力・概要'!$B$32/2)</f>
        <v/>
      </c>
      <c r="E618" s="195">
        <f>IF(B618="","",2*PI()*B618*'入力・概要'!$B$6/(299792458*'入力・概要'!$B$31))</f>
        <v/>
      </c>
      <c r="F618" s="195">
        <f>IF(B618="","",SINH(2*D618)/(COSH(2*D618)+COS(2*E618)))</f>
        <v/>
      </c>
      <c r="G618" s="195">
        <f>IF(B618="","",SIN(2*E618)/(COSH(2*D618)+COS(2*E618)))</f>
        <v/>
      </c>
      <c r="H618" s="195">
        <f>IF(B618="","",'入力・概要'!$B$34)</f>
        <v/>
      </c>
      <c r="I618" s="195">
        <f>IF(B618="","",C618*'入力・概要'!$B$35*1E-9)</f>
        <v/>
      </c>
      <c r="J618" s="195">
        <f>IF(B618="","",H618+'入力・概要'!$B$30*F618)</f>
        <v/>
      </c>
      <c r="K618" s="195">
        <f>IF(B618="","",I618+'入力・概要'!$B$30*G618)</f>
        <v/>
      </c>
      <c r="L618" s="195">
        <f>IF(B618="","",'入力・概要'!$B$30+H618*F618-I618*G618)</f>
        <v/>
      </c>
      <c r="M618" s="195">
        <f>IF(B618="","",H618*G618+I618*F618)</f>
        <v/>
      </c>
      <c r="N618" s="195">
        <f>IF(B618="","",'入力・概要'!$B$30*(J618*L618+K618*M618)/(L618^2+M618^2))</f>
        <v/>
      </c>
      <c r="O618" s="195">
        <f>IF(B618="","",'入力・概要'!$B$30*(K618*L618-J618*M618)/(L618^2+M618^2))</f>
        <v/>
      </c>
      <c r="P618" s="195">
        <f>IF(B618="","",N618+'入力・概要'!$B$36)</f>
        <v/>
      </c>
      <c r="Q618" s="195">
        <f>IF(B618="","",O618+C618*'入力・概要'!$B$37*1E-9)</f>
        <v/>
      </c>
      <c r="R618" s="195">
        <f>IF(B618="","",SQRT(P618^2+Q618^2))</f>
        <v/>
      </c>
      <c r="S618" s="195">
        <f>IF(B618="","",IF(P618&gt;0,DEGREES(ATAN(Q618/P618)),IF(P618&lt;0,IF(Q618&gt;=0,DEGREES(ATAN(Q618/P618))+180,DEGREES(ATAN(Q618/P618))-180),IF(Q618&gt;0,90,IF(Q618&lt;0,-90,0)))))</f>
        <v/>
      </c>
      <c r="T618" s="195">
        <f>IF(B618="","",LOG10(B618))</f>
        <v/>
      </c>
      <c r="U618" s="195">
        <f>IF(R618="","",LOG10(MAX(R618,1E-12)))</f>
        <v/>
      </c>
    </row>
    <row r="619">
      <c r="A619" t="n">
        <v>616</v>
      </c>
      <c r="B619" s="196">
        <f>IF(A619&lt;='入力・概要'!$B$40,10^(LOG10('入力・概要'!$B$38)+(A619-1)*(LOG10('入力・概要'!$B$39)-LOG10('入力・概要'!$B$38))/('入力・概要'!$B$40-1)),"")</f>
        <v/>
      </c>
      <c r="C619" s="195">
        <f>IF(B619="","",2*PI()*B619)</f>
        <v/>
      </c>
      <c r="D619" s="195">
        <f>IF(B619="","",ATANH(MIN(0.999999,(2*'入力・概要'!$B$17*'入力・概要'!$B$6)/'入力・概要'!$B$30))+'入力・概要'!$B$33*SQRT(B619/1E6)+(2*PI()*B619*'入力・概要'!$B$6/(299792458*'入力・概要'!$B$31))*'入力・概要'!$B$32/2)</f>
        <v/>
      </c>
      <c r="E619" s="195">
        <f>IF(B619="","",2*PI()*B619*'入力・概要'!$B$6/(299792458*'入力・概要'!$B$31))</f>
        <v/>
      </c>
      <c r="F619" s="195">
        <f>IF(B619="","",SINH(2*D619)/(COSH(2*D619)+COS(2*E619)))</f>
        <v/>
      </c>
      <c r="G619" s="195">
        <f>IF(B619="","",SIN(2*E619)/(COSH(2*D619)+COS(2*E619)))</f>
        <v/>
      </c>
      <c r="H619" s="195">
        <f>IF(B619="","",'入力・概要'!$B$34)</f>
        <v/>
      </c>
      <c r="I619" s="195">
        <f>IF(B619="","",C619*'入力・概要'!$B$35*1E-9)</f>
        <v/>
      </c>
      <c r="J619" s="195">
        <f>IF(B619="","",H619+'入力・概要'!$B$30*F619)</f>
        <v/>
      </c>
      <c r="K619" s="195">
        <f>IF(B619="","",I619+'入力・概要'!$B$30*G619)</f>
        <v/>
      </c>
      <c r="L619" s="195">
        <f>IF(B619="","",'入力・概要'!$B$30+H619*F619-I619*G619)</f>
        <v/>
      </c>
      <c r="M619" s="195">
        <f>IF(B619="","",H619*G619+I619*F619)</f>
        <v/>
      </c>
      <c r="N619" s="195">
        <f>IF(B619="","",'入力・概要'!$B$30*(J619*L619+K619*M619)/(L619^2+M619^2))</f>
        <v/>
      </c>
      <c r="O619" s="195">
        <f>IF(B619="","",'入力・概要'!$B$30*(K619*L619-J619*M619)/(L619^2+M619^2))</f>
        <v/>
      </c>
      <c r="P619" s="195">
        <f>IF(B619="","",N619+'入力・概要'!$B$36)</f>
        <v/>
      </c>
      <c r="Q619" s="195">
        <f>IF(B619="","",O619+C619*'入力・概要'!$B$37*1E-9)</f>
        <v/>
      </c>
      <c r="R619" s="195">
        <f>IF(B619="","",SQRT(P619^2+Q619^2))</f>
        <v/>
      </c>
      <c r="S619" s="195">
        <f>IF(B619="","",IF(P619&gt;0,DEGREES(ATAN(Q619/P619)),IF(P619&lt;0,IF(Q619&gt;=0,DEGREES(ATAN(Q619/P619))+180,DEGREES(ATAN(Q619/P619))-180),IF(Q619&gt;0,90,IF(Q619&lt;0,-90,0)))))</f>
        <v/>
      </c>
      <c r="T619" s="195">
        <f>IF(B619="","",LOG10(B619))</f>
        <v/>
      </c>
      <c r="U619" s="195">
        <f>IF(R619="","",LOG10(MAX(R619,1E-12)))</f>
        <v/>
      </c>
    </row>
    <row r="620">
      <c r="A620" t="n">
        <v>617</v>
      </c>
      <c r="B620" s="196">
        <f>IF(A620&lt;='入力・概要'!$B$40,10^(LOG10('入力・概要'!$B$38)+(A620-1)*(LOG10('入力・概要'!$B$39)-LOG10('入力・概要'!$B$38))/('入力・概要'!$B$40-1)),"")</f>
        <v/>
      </c>
      <c r="C620" s="195">
        <f>IF(B620="","",2*PI()*B620)</f>
        <v/>
      </c>
      <c r="D620" s="195">
        <f>IF(B620="","",ATANH(MIN(0.999999,(2*'入力・概要'!$B$17*'入力・概要'!$B$6)/'入力・概要'!$B$30))+'入力・概要'!$B$33*SQRT(B620/1E6)+(2*PI()*B620*'入力・概要'!$B$6/(299792458*'入力・概要'!$B$31))*'入力・概要'!$B$32/2)</f>
        <v/>
      </c>
      <c r="E620" s="195">
        <f>IF(B620="","",2*PI()*B620*'入力・概要'!$B$6/(299792458*'入力・概要'!$B$31))</f>
        <v/>
      </c>
      <c r="F620" s="195">
        <f>IF(B620="","",SINH(2*D620)/(COSH(2*D620)+COS(2*E620)))</f>
        <v/>
      </c>
      <c r="G620" s="195">
        <f>IF(B620="","",SIN(2*E620)/(COSH(2*D620)+COS(2*E620)))</f>
        <v/>
      </c>
      <c r="H620" s="195">
        <f>IF(B620="","",'入力・概要'!$B$34)</f>
        <v/>
      </c>
      <c r="I620" s="195">
        <f>IF(B620="","",C620*'入力・概要'!$B$35*1E-9)</f>
        <v/>
      </c>
      <c r="J620" s="195">
        <f>IF(B620="","",H620+'入力・概要'!$B$30*F620)</f>
        <v/>
      </c>
      <c r="K620" s="195">
        <f>IF(B620="","",I620+'入力・概要'!$B$30*G620)</f>
        <v/>
      </c>
      <c r="L620" s="195">
        <f>IF(B620="","",'入力・概要'!$B$30+H620*F620-I620*G620)</f>
        <v/>
      </c>
      <c r="M620" s="195">
        <f>IF(B620="","",H620*G620+I620*F620)</f>
        <v/>
      </c>
      <c r="N620" s="195">
        <f>IF(B620="","",'入力・概要'!$B$30*(J620*L620+K620*M620)/(L620^2+M620^2))</f>
        <v/>
      </c>
      <c r="O620" s="195">
        <f>IF(B620="","",'入力・概要'!$B$30*(K620*L620-J620*M620)/(L620^2+M620^2))</f>
        <v/>
      </c>
      <c r="P620" s="195">
        <f>IF(B620="","",N620+'入力・概要'!$B$36)</f>
        <v/>
      </c>
      <c r="Q620" s="195">
        <f>IF(B620="","",O620+C620*'入力・概要'!$B$37*1E-9)</f>
        <v/>
      </c>
      <c r="R620" s="195">
        <f>IF(B620="","",SQRT(P620^2+Q620^2))</f>
        <v/>
      </c>
      <c r="S620" s="195">
        <f>IF(B620="","",IF(P620&gt;0,DEGREES(ATAN(Q620/P620)),IF(P620&lt;0,IF(Q620&gt;=0,DEGREES(ATAN(Q620/P620))+180,DEGREES(ATAN(Q620/P620))-180),IF(Q620&gt;0,90,IF(Q620&lt;0,-90,0)))))</f>
        <v/>
      </c>
      <c r="T620" s="195">
        <f>IF(B620="","",LOG10(B620))</f>
        <v/>
      </c>
      <c r="U620" s="195">
        <f>IF(R620="","",LOG10(MAX(R620,1E-12)))</f>
        <v/>
      </c>
    </row>
    <row r="621">
      <c r="A621" t="n">
        <v>618</v>
      </c>
      <c r="B621" s="196">
        <f>IF(A621&lt;='入力・概要'!$B$40,10^(LOG10('入力・概要'!$B$38)+(A621-1)*(LOG10('入力・概要'!$B$39)-LOG10('入力・概要'!$B$38))/('入力・概要'!$B$40-1)),"")</f>
        <v/>
      </c>
      <c r="C621" s="195">
        <f>IF(B621="","",2*PI()*B621)</f>
        <v/>
      </c>
      <c r="D621" s="195">
        <f>IF(B621="","",ATANH(MIN(0.999999,(2*'入力・概要'!$B$17*'入力・概要'!$B$6)/'入力・概要'!$B$30))+'入力・概要'!$B$33*SQRT(B621/1E6)+(2*PI()*B621*'入力・概要'!$B$6/(299792458*'入力・概要'!$B$31))*'入力・概要'!$B$32/2)</f>
        <v/>
      </c>
      <c r="E621" s="195">
        <f>IF(B621="","",2*PI()*B621*'入力・概要'!$B$6/(299792458*'入力・概要'!$B$31))</f>
        <v/>
      </c>
      <c r="F621" s="195">
        <f>IF(B621="","",SINH(2*D621)/(COSH(2*D621)+COS(2*E621)))</f>
        <v/>
      </c>
      <c r="G621" s="195">
        <f>IF(B621="","",SIN(2*E621)/(COSH(2*D621)+COS(2*E621)))</f>
        <v/>
      </c>
      <c r="H621" s="195">
        <f>IF(B621="","",'入力・概要'!$B$34)</f>
        <v/>
      </c>
      <c r="I621" s="195">
        <f>IF(B621="","",C621*'入力・概要'!$B$35*1E-9)</f>
        <v/>
      </c>
      <c r="J621" s="195">
        <f>IF(B621="","",H621+'入力・概要'!$B$30*F621)</f>
        <v/>
      </c>
      <c r="K621" s="195">
        <f>IF(B621="","",I621+'入力・概要'!$B$30*G621)</f>
        <v/>
      </c>
      <c r="L621" s="195">
        <f>IF(B621="","",'入力・概要'!$B$30+H621*F621-I621*G621)</f>
        <v/>
      </c>
      <c r="M621" s="195">
        <f>IF(B621="","",H621*G621+I621*F621)</f>
        <v/>
      </c>
      <c r="N621" s="195">
        <f>IF(B621="","",'入力・概要'!$B$30*(J621*L621+K621*M621)/(L621^2+M621^2))</f>
        <v/>
      </c>
      <c r="O621" s="195">
        <f>IF(B621="","",'入力・概要'!$B$30*(K621*L621-J621*M621)/(L621^2+M621^2))</f>
        <v/>
      </c>
      <c r="P621" s="195">
        <f>IF(B621="","",N621+'入力・概要'!$B$36)</f>
        <v/>
      </c>
      <c r="Q621" s="195">
        <f>IF(B621="","",O621+C621*'入力・概要'!$B$37*1E-9)</f>
        <v/>
      </c>
      <c r="R621" s="195">
        <f>IF(B621="","",SQRT(P621^2+Q621^2))</f>
        <v/>
      </c>
      <c r="S621" s="195">
        <f>IF(B621="","",IF(P621&gt;0,DEGREES(ATAN(Q621/P621)),IF(P621&lt;0,IF(Q621&gt;=0,DEGREES(ATAN(Q621/P621))+180,DEGREES(ATAN(Q621/P621))-180),IF(Q621&gt;0,90,IF(Q621&lt;0,-90,0)))))</f>
        <v/>
      </c>
      <c r="T621" s="195">
        <f>IF(B621="","",LOG10(B621))</f>
        <v/>
      </c>
      <c r="U621" s="195">
        <f>IF(R621="","",LOG10(MAX(R621,1E-12)))</f>
        <v/>
      </c>
    </row>
    <row r="622">
      <c r="A622" t="n">
        <v>619</v>
      </c>
      <c r="B622" s="196">
        <f>IF(A622&lt;='入力・概要'!$B$40,10^(LOG10('入力・概要'!$B$38)+(A622-1)*(LOG10('入力・概要'!$B$39)-LOG10('入力・概要'!$B$38))/('入力・概要'!$B$40-1)),"")</f>
        <v/>
      </c>
      <c r="C622" s="195">
        <f>IF(B622="","",2*PI()*B622)</f>
        <v/>
      </c>
      <c r="D622" s="195">
        <f>IF(B622="","",ATANH(MIN(0.999999,(2*'入力・概要'!$B$17*'入力・概要'!$B$6)/'入力・概要'!$B$30))+'入力・概要'!$B$33*SQRT(B622/1E6)+(2*PI()*B622*'入力・概要'!$B$6/(299792458*'入力・概要'!$B$31))*'入力・概要'!$B$32/2)</f>
        <v/>
      </c>
      <c r="E622" s="195">
        <f>IF(B622="","",2*PI()*B622*'入力・概要'!$B$6/(299792458*'入力・概要'!$B$31))</f>
        <v/>
      </c>
      <c r="F622" s="195">
        <f>IF(B622="","",SINH(2*D622)/(COSH(2*D622)+COS(2*E622)))</f>
        <v/>
      </c>
      <c r="G622" s="195">
        <f>IF(B622="","",SIN(2*E622)/(COSH(2*D622)+COS(2*E622)))</f>
        <v/>
      </c>
      <c r="H622" s="195">
        <f>IF(B622="","",'入力・概要'!$B$34)</f>
        <v/>
      </c>
      <c r="I622" s="195">
        <f>IF(B622="","",C622*'入力・概要'!$B$35*1E-9)</f>
        <v/>
      </c>
      <c r="J622" s="195">
        <f>IF(B622="","",H622+'入力・概要'!$B$30*F622)</f>
        <v/>
      </c>
      <c r="K622" s="195">
        <f>IF(B622="","",I622+'入力・概要'!$B$30*G622)</f>
        <v/>
      </c>
      <c r="L622" s="195">
        <f>IF(B622="","",'入力・概要'!$B$30+H622*F622-I622*G622)</f>
        <v/>
      </c>
      <c r="M622" s="195">
        <f>IF(B622="","",H622*G622+I622*F622)</f>
        <v/>
      </c>
      <c r="N622" s="195">
        <f>IF(B622="","",'入力・概要'!$B$30*(J622*L622+K622*M622)/(L622^2+M622^2))</f>
        <v/>
      </c>
      <c r="O622" s="195">
        <f>IF(B622="","",'入力・概要'!$B$30*(K622*L622-J622*M622)/(L622^2+M622^2))</f>
        <v/>
      </c>
      <c r="P622" s="195">
        <f>IF(B622="","",N622+'入力・概要'!$B$36)</f>
        <v/>
      </c>
      <c r="Q622" s="195">
        <f>IF(B622="","",O622+C622*'入力・概要'!$B$37*1E-9)</f>
        <v/>
      </c>
      <c r="R622" s="195">
        <f>IF(B622="","",SQRT(P622^2+Q622^2))</f>
        <v/>
      </c>
      <c r="S622" s="195">
        <f>IF(B622="","",IF(P622&gt;0,DEGREES(ATAN(Q622/P622)),IF(P622&lt;0,IF(Q622&gt;=0,DEGREES(ATAN(Q622/P622))+180,DEGREES(ATAN(Q622/P622))-180),IF(Q622&gt;0,90,IF(Q622&lt;0,-90,0)))))</f>
        <v/>
      </c>
      <c r="T622" s="195">
        <f>IF(B622="","",LOG10(B622))</f>
        <v/>
      </c>
      <c r="U622" s="195">
        <f>IF(R622="","",LOG10(MAX(R622,1E-12)))</f>
        <v/>
      </c>
    </row>
    <row r="623">
      <c r="A623" t="n">
        <v>620</v>
      </c>
      <c r="B623" s="196">
        <f>IF(A623&lt;='入力・概要'!$B$40,10^(LOG10('入力・概要'!$B$38)+(A623-1)*(LOG10('入力・概要'!$B$39)-LOG10('入力・概要'!$B$38))/('入力・概要'!$B$40-1)),"")</f>
        <v/>
      </c>
      <c r="C623" s="195">
        <f>IF(B623="","",2*PI()*B623)</f>
        <v/>
      </c>
      <c r="D623" s="195">
        <f>IF(B623="","",ATANH(MIN(0.999999,(2*'入力・概要'!$B$17*'入力・概要'!$B$6)/'入力・概要'!$B$30))+'入力・概要'!$B$33*SQRT(B623/1E6)+(2*PI()*B623*'入力・概要'!$B$6/(299792458*'入力・概要'!$B$31))*'入力・概要'!$B$32/2)</f>
        <v/>
      </c>
      <c r="E623" s="195">
        <f>IF(B623="","",2*PI()*B623*'入力・概要'!$B$6/(299792458*'入力・概要'!$B$31))</f>
        <v/>
      </c>
      <c r="F623" s="195">
        <f>IF(B623="","",SINH(2*D623)/(COSH(2*D623)+COS(2*E623)))</f>
        <v/>
      </c>
      <c r="G623" s="195">
        <f>IF(B623="","",SIN(2*E623)/(COSH(2*D623)+COS(2*E623)))</f>
        <v/>
      </c>
      <c r="H623" s="195">
        <f>IF(B623="","",'入力・概要'!$B$34)</f>
        <v/>
      </c>
      <c r="I623" s="195">
        <f>IF(B623="","",C623*'入力・概要'!$B$35*1E-9)</f>
        <v/>
      </c>
      <c r="J623" s="195">
        <f>IF(B623="","",H623+'入力・概要'!$B$30*F623)</f>
        <v/>
      </c>
      <c r="K623" s="195">
        <f>IF(B623="","",I623+'入力・概要'!$B$30*G623)</f>
        <v/>
      </c>
      <c r="L623" s="195">
        <f>IF(B623="","",'入力・概要'!$B$30+H623*F623-I623*G623)</f>
        <v/>
      </c>
      <c r="M623" s="195">
        <f>IF(B623="","",H623*G623+I623*F623)</f>
        <v/>
      </c>
      <c r="N623" s="195">
        <f>IF(B623="","",'入力・概要'!$B$30*(J623*L623+K623*M623)/(L623^2+M623^2))</f>
        <v/>
      </c>
      <c r="O623" s="195">
        <f>IF(B623="","",'入力・概要'!$B$30*(K623*L623-J623*M623)/(L623^2+M623^2))</f>
        <v/>
      </c>
      <c r="P623" s="195">
        <f>IF(B623="","",N623+'入力・概要'!$B$36)</f>
        <v/>
      </c>
      <c r="Q623" s="195">
        <f>IF(B623="","",O623+C623*'入力・概要'!$B$37*1E-9)</f>
        <v/>
      </c>
      <c r="R623" s="195">
        <f>IF(B623="","",SQRT(P623^2+Q623^2))</f>
        <v/>
      </c>
      <c r="S623" s="195">
        <f>IF(B623="","",IF(P623&gt;0,DEGREES(ATAN(Q623/P623)),IF(P623&lt;0,IF(Q623&gt;=0,DEGREES(ATAN(Q623/P623))+180,DEGREES(ATAN(Q623/P623))-180),IF(Q623&gt;0,90,IF(Q623&lt;0,-90,0)))))</f>
        <v/>
      </c>
      <c r="T623" s="195">
        <f>IF(B623="","",LOG10(B623))</f>
        <v/>
      </c>
      <c r="U623" s="195">
        <f>IF(R623="","",LOG10(MAX(R623,1E-12)))</f>
        <v/>
      </c>
    </row>
    <row r="624">
      <c r="A624" t="n">
        <v>621</v>
      </c>
      <c r="B624" s="196">
        <f>IF(A624&lt;='入力・概要'!$B$40,10^(LOG10('入力・概要'!$B$38)+(A624-1)*(LOG10('入力・概要'!$B$39)-LOG10('入力・概要'!$B$38))/('入力・概要'!$B$40-1)),"")</f>
        <v/>
      </c>
      <c r="C624" s="195">
        <f>IF(B624="","",2*PI()*B624)</f>
        <v/>
      </c>
      <c r="D624" s="195">
        <f>IF(B624="","",ATANH(MIN(0.999999,(2*'入力・概要'!$B$17*'入力・概要'!$B$6)/'入力・概要'!$B$30))+'入力・概要'!$B$33*SQRT(B624/1E6)+(2*PI()*B624*'入力・概要'!$B$6/(299792458*'入力・概要'!$B$31))*'入力・概要'!$B$32/2)</f>
        <v/>
      </c>
      <c r="E624" s="195">
        <f>IF(B624="","",2*PI()*B624*'入力・概要'!$B$6/(299792458*'入力・概要'!$B$31))</f>
        <v/>
      </c>
      <c r="F624" s="195">
        <f>IF(B624="","",SINH(2*D624)/(COSH(2*D624)+COS(2*E624)))</f>
        <v/>
      </c>
      <c r="G624" s="195">
        <f>IF(B624="","",SIN(2*E624)/(COSH(2*D624)+COS(2*E624)))</f>
        <v/>
      </c>
      <c r="H624" s="195">
        <f>IF(B624="","",'入力・概要'!$B$34)</f>
        <v/>
      </c>
      <c r="I624" s="195">
        <f>IF(B624="","",C624*'入力・概要'!$B$35*1E-9)</f>
        <v/>
      </c>
      <c r="J624" s="195">
        <f>IF(B624="","",H624+'入力・概要'!$B$30*F624)</f>
        <v/>
      </c>
      <c r="K624" s="195">
        <f>IF(B624="","",I624+'入力・概要'!$B$30*G624)</f>
        <v/>
      </c>
      <c r="L624" s="195">
        <f>IF(B624="","",'入力・概要'!$B$30+H624*F624-I624*G624)</f>
        <v/>
      </c>
      <c r="M624" s="195">
        <f>IF(B624="","",H624*G624+I624*F624)</f>
        <v/>
      </c>
      <c r="N624" s="195">
        <f>IF(B624="","",'入力・概要'!$B$30*(J624*L624+K624*M624)/(L624^2+M624^2))</f>
        <v/>
      </c>
      <c r="O624" s="195">
        <f>IF(B624="","",'入力・概要'!$B$30*(K624*L624-J624*M624)/(L624^2+M624^2))</f>
        <v/>
      </c>
      <c r="P624" s="195">
        <f>IF(B624="","",N624+'入力・概要'!$B$36)</f>
        <v/>
      </c>
      <c r="Q624" s="195">
        <f>IF(B624="","",O624+C624*'入力・概要'!$B$37*1E-9)</f>
        <v/>
      </c>
      <c r="R624" s="195">
        <f>IF(B624="","",SQRT(P624^2+Q624^2))</f>
        <v/>
      </c>
      <c r="S624" s="195">
        <f>IF(B624="","",IF(P624&gt;0,DEGREES(ATAN(Q624/P624)),IF(P624&lt;0,IF(Q624&gt;=0,DEGREES(ATAN(Q624/P624))+180,DEGREES(ATAN(Q624/P624))-180),IF(Q624&gt;0,90,IF(Q624&lt;0,-90,0)))))</f>
        <v/>
      </c>
      <c r="T624" s="195">
        <f>IF(B624="","",LOG10(B624))</f>
        <v/>
      </c>
      <c r="U624" s="195">
        <f>IF(R624="","",LOG10(MAX(R624,1E-12)))</f>
        <v/>
      </c>
    </row>
    <row r="625">
      <c r="A625" t="n">
        <v>622</v>
      </c>
      <c r="B625" s="196">
        <f>IF(A625&lt;='入力・概要'!$B$40,10^(LOG10('入力・概要'!$B$38)+(A625-1)*(LOG10('入力・概要'!$B$39)-LOG10('入力・概要'!$B$38))/('入力・概要'!$B$40-1)),"")</f>
        <v/>
      </c>
      <c r="C625" s="195">
        <f>IF(B625="","",2*PI()*B625)</f>
        <v/>
      </c>
      <c r="D625" s="195">
        <f>IF(B625="","",ATANH(MIN(0.999999,(2*'入力・概要'!$B$17*'入力・概要'!$B$6)/'入力・概要'!$B$30))+'入力・概要'!$B$33*SQRT(B625/1E6)+(2*PI()*B625*'入力・概要'!$B$6/(299792458*'入力・概要'!$B$31))*'入力・概要'!$B$32/2)</f>
        <v/>
      </c>
      <c r="E625" s="195">
        <f>IF(B625="","",2*PI()*B625*'入力・概要'!$B$6/(299792458*'入力・概要'!$B$31))</f>
        <v/>
      </c>
      <c r="F625" s="195">
        <f>IF(B625="","",SINH(2*D625)/(COSH(2*D625)+COS(2*E625)))</f>
        <v/>
      </c>
      <c r="G625" s="195">
        <f>IF(B625="","",SIN(2*E625)/(COSH(2*D625)+COS(2*E625)))</f>
        <v/>
      </c>
      <c r="H625" s="195">
        <f>IF(B625="","",'入力・概要'!$B$34)</f>
        <v/>
      </c>
      <c r="I625" s="195">
        <f>IF(B625="","",C625*'入力・概要'!$B$35*1E-9)</f>
        <v/>
      </c>
      <c r="J625" s="195">
        <f>IF(B625="","",H625+'入力・概要'!$B$30*F625)</f>
        <v/>
      </c>
      <c r="K625" s="195">
        <f>IF(B625="","",I625+'入力・概要'!$B$30*G625)</f>
        <v/>
      </c>
      <c r="L625" s="195">
        <f>IF(B625="","",'入力・概要'!$B$30+H625*F625-I625*G625)</f>
        <v/>
      </c>
      <c r="M625" s="195">
        <f>IF(B625="","",H625*G625+I625*F625)</f>
        <v/>
      </c>
      <c r="N625" s="195">
        <f>IF(B625="","",'入力・概要'!$B$30*(J625*L625+K625*M625)/(L625^2+M625^2))</f>
        <v/>
      </c>
      <c r="O625" s="195">
        <f>IF(B625="","",'入力・概要'!$B$30*(K625*L625-J625*M625)/(L625^2+M625^2))</f>
        <v/>
      </c>
      <c r="P625" s="195">
        <f>IF(B625="","",N625+'入力・概要'!$B$36)</f>
        <v/>
      </c>
      <c r="Q625" s="195">
        <f>IF(B625="","",O625+C625*'入力・概要'!$B$37*1E-9)</f>
        <v/>
      </c>
      <c r="R625" s="195">
        <f>IF(B625="","",SQRT(P625^2+Q625^2))</f>
        <v/>
      </c>
      <c r="S625" s="195">
        <f>IF(B625="","",IF(P625&gt;0,DEGREES(ATAN(Q625/P625)),IF(P625&lt;0,IF(Q625&gt;=0,DEGREES(ATAN(Q625/P625))+180,DEGREES(ATAN(Q625/P625))-180),IF(Q625&gt;0,90,IF(Q625&lt;0,-90,0)))))</f>
        <v/>
      </c>
      <c r="T625" s="195">
        <f>IF(B625="","",LOG10(B625))</f>
        <v/>
      </c>
      <c r="U625" s="195">
        <f>IF(R625="","",LOG10(MAX(R625,1E-12)))</f>
        <v/>
      </c>
    </row>
    <row r="626">
      <c r="A626" t="n">
        <v>623</v>
      </c>
      <c r="B626" s="196">
        <f>IF(A626&lt;='入力・概要'!$B$40,10^(LOG10('入力・概要'!$B$38)+(A626-1)*(LOG10('入力・概要'!$B$39)-LOG10('入力・概要'!$B$38))/('入力・概要'!$B$40-1)),"")</f>
        <v/>
      </c>
      <c r="C626" s="195">
        <f>IF(B626="","",2*PI()*B626)</f>
        <v/>
      </c>
      <c r="D626" s="195">
        <f>IF(B626="","",ATANH(MIN(0.999999,(2*'入力・概要'!$B$17*'入力・概要'!$B$6)/'入力・概要'!$B$30))+'入力・概要'!$B$33*SQRT(B626/1E6)+(2*PI()*B626*'入力・概要'!$B$6/(299792458*'入力・概要'!$B$31))*'入力・概要'!$B$32/2)</f>
        <v/>
      </c>
      <c r="E626" s="195">
        <f>IF(B626="","",2*PI()*B626*'入力・概要'!$B$6/(299792458*'入力・概要'!$B$31))</f>
        <v/>
      </c>
      <c r="F626" s="195">
        <f>IF(B626="","",SINH(2*D626)/(COSH(2*D626)+COS(2*E626)))</f>
        <v/>
      </c>
      <c r="G626" s="195">
        <f>IF(B626="","",SIN(2*E626)/(COSH(2*D626)+COS(2*E626)))</f>
        <v/>
      </c>
      <c r="H626" s="195">
        <f>IF(B626="","",'入力・概要'!$B$34)</f>
        <v/>
      </c>
      <c r="I626" s="195">
        <f>IF(B626="","",C626*'入力・概要'!$B$35*1E-9)</f>
        <v/>
      </c>
      <c r="J626" s="195">
        <f>IF(B626="","",H626+'入力・概要'!$B$30*F626)</f>
        <v/>
      </c>
      <c r="K626" s="195">
        <f>IF(B626="","",I626+'入力・概要'!$B$30*G626)</f>
        <v/>
      </c>
      <c r="L626" s="195">
        <f>IF(B626="","",'入力・概要'!$B$30+H626*F626-I626*G626)</f>
        <v/>
      </c>
      <c r="M626" s="195">
        <f>IF(B626="","",H626*G626+I626*F626)</f>
        <v/>
      </c>
      <c r="N626" s="195">
        <f>IF(B626="","",'入力・概要'!$B$30*(J626*L626+K626*M626)/(L626^2+M626^2))</f>
        <v/>
      </c>
      <c r="O626" s="195">
        <f>IF(B626="","",'入力・概要'!$B$30*(K626*L626-J626*M626)/(L626^2+M626^2))</f>
        <v/>
      </c>
      <c r="P626" s="195">
        <f>IF(B626="","",N626+'入力・概要'!$B$36)</f>
        <v/>
      </c>
      <c r="Q626" s="195">
        <f>IF(B626="","",O626+C626*'入力・概要'!$B$37*1E-9)</f>
        <v/>
      </c>
      <c r="R626" s="195">
        <f>IF(B626="","",SQRT(P626^2+Q626^2))</f>
        <v/>
      </c>
      <c r="S626" s="195">
        <f>IF(B626="","",IF(P626&gt;0,DEGREES(ATAN(Q626/P626)),IF(P626&lt;0,IF(Q626&gt;=0,DEGREES(ATAN(Q626/P626))+180,DEGREES(ATAN(Q626/P626))-180),IF(Q626&gt;0,90,IF(Q626&lt;0,-90,0)))))</f>
        <v/>
      </c>
      <c r="T626" s="195">
        <f>IF(B626="","",LOG10(B626))</f>
        <v/>
      </c>
      <c r="U626" s="195">
        <f>IF(R626="","",LOG10(MAX(R626,1E-12)))</f>
        <v/>
      </c>
    </row>
    <row r="627">
      <c r="A627" t="n">
        <v>624</v>
      </c>
      <c r="B627" s="196">
        <f>IF(A627&lt;='入力・概要'!$B$40,10^(LOG10('入力・概要'!$B$38)+(A627-1)*(LOG10('入力・概要'!$B$39)-LOG10('入力・概要'!$B$38))/('入力・概要'!$B$40-1)),"")</f>
        <v/>
      </c>
      <c r="C627" s="195">
        <f>IF(B627="","",2*PI()*B627)</f>
        <v/>
      </c>
      <c r="D627" s="195">
        <f>IF(B627="","",ATANH(MIN(0.999999,(2*'入力・概要'!$B$17*'入力・概要'!$B$6)/'入力・概要'!$B$30))+'入力・概要'!$B$33*SQRT(B627/1E6)+(2*PI()*B627*'入力・概要'!$B$6/(299792458*'入力・概要'!$B$31))*'入力・概要'!$B$32/2)</f>
        <v/>
      </c>
      <c r="E627" s="195">
        <f>IF(B627="","",2*PI()*B627*'入力・概要'!$B$6/(299792458*'入力・概要'!$B$31))</f>
        <v/>
      </c>
      <c r="F627" s="195">
        <f>IF(B627="","",SINH(2*D627)/(COSH(2*D627)+COS(2*E627)))</f>
        <v/>
      </c>
      <c r="G627" s="195">
        <f>IF(B627="","",SIN(2*E627)/(COSH(2*D627)+COS(2*E627)))</f>
        <v/>
      </c>
      <c r="H627" s="195">
        <f>IF(B627="","",'入力・概要'!$B$34)</f>
        <v/>
      </c>
      <c r="I627" s="195">
        <f>IF(B627="","",C627*'入力・概要'!$B$35*1E-9)</f>
        <v/>
      </c>
      <c r="J627" s="195">
        <f>IF(B627="","",H627+'入力・概要'!$B$30*F627)</f>
        <v/>
      </c>
      <c r="K627" s="195">
        <f>IF(B627="","",I627+'入力・概要'!$B$30*G627)</f>
        <v/>
      </c>
      <c r="L627" s="195">
        <f>IF(B627="","",'入力・概要'!$B$30+H627*F627-I627*G627)</f>
        <v/>
      </c>
      <c r="M627" s="195">
        <f>IF(B627="","",H627*G627+I627*F627)</f>
        <v/>
      </c>
      <c r="N627" s="195">
        <f>IF(B627="","",'入力・概要'!$B$30*(J627*L627+K627*M627)/(L627^2+M627^2))</f>
        <v/>
      </c>
      <c r="O627" s="195">
        <f>IF(B627="","",'入力・概要'!$B$30*(K627*L627-J627*M627)/(L627^2+M627^2))</f>
        <v/>
      </c>
      <c r="P627" s="195">
        <f>IF(B627="","",N627+'入力・概要'!$B$36)</f>
        <v/>
      </c>
      <c r="Q627" s="195">
        <f>IF(B627="","",O627+C627*'入力・概要'!$B$37*1E-9)</f>
        <v/>
      </c>
      <c r="R627" s="195">
        <f>IF(B627="","",SQRT(P627^2+Q627^2))</f>
        <v/>
      </c>
      <c r="S627" s="195">
        <f>IF(B627="","",IF(P627&gt;0,DEGREES(ATAN(Q627/P627)),IF(P627&lt;0,IF(Q627&gt;=0,DEGREES(ATAN(Q627/P627))+180,DEGREES(ATAN(Q627/P627))-180),IF(Q627&gt;0,90,IF(Q627&lt;0,-90,0)))))</f>
        <v/>
      </c>
      <c r="T627" s="195">
        <f>IF(B627="","",LOG10(B627))</f>
        <v/>
      </c>
      <c r="U627" s="195">
        <f>IF(R627="","",LOG10(MAX(R627,1E-12)))</f>
        <v/>
      </c>
    </row>
    <row r="628">
      <c r="A628" t="n">
        <v>625</v>
      </c>
      <c r="B628" s="196">
        <f>IF(A628&lt;='入力・概要'!$B$40,10^(LOG10('入力・概要'!$B$38)+(A628-1)*(LOG10('入力・概要'!$B$39)-LOG10('入力・概要'!$B$38))/('入力・概要'!$B$40-1)),"")</f>
        <v/>
      </c>
      <c r="C628" s="195">
        <f>IF(B628="","",2*PI()*B628)</f>
        <v/>
      </c>
      <c r="D628" s="195">
        <f>IF(B628="","",ATANH(MIN(0.999999,(2*'入力・概要'!$B$17*'入力・概要'!$B$6)/'入力・概要'!$B$30))+'入力・概要'!$B$33*SQRT(B628/1E6)+(2*PI()*B628*'入力・概要'!$B$6/(299792458*'入力・概要'!$B$31))*'入力・概要'!$B$32/2)</f>
        <v/>
      </c>
      <c r="E628" s="195">
        <f>IF(B628="","",2*PI()*B628*'入力・概要'!$B$6/(299792458*'入力・概要'!$B$31))</f>
        <v/>
      </c>
      <c r="F628" s="195">
        <f>IF(B628="","",SINH(2*D628)/(COSH(2*D628)+COS(2*E628)))</f>
        <v/>
      </c>
      <c r="G628" s="195">
        <f>IF(B628="","",SIN(2*E628)/(COSH(2*D628)+COS(2*E628)))</f>
        <v/>
      </c>
      <c r="H628" s="195">
        <f>IF(B628="","",'入力・概要'!$B$34)</f>
        <v/>
      </c>
      <c r="I628" s="195">
        <f>IF(B628="","",C628*'入力・概要'!$B$35*1E-9)</f>
        <v/>
      </c>
      <c r="J628" s="195">
        <f>IF(B628="","",H628+'入力・概要'!$B$30*F628)</f>
        <v/>
      </c>
      <c r="K628" s="195">
        <f>IF(B628="","",I628+'入力・概要'!$B$30*G628)</f>
        <v/>
      </c>
      <c r="L628" s="195">
        <f>IF(B628="","",'入力・概要'!$B$30+H628*F628-I628*G628)</f>
        <v/>
      </c>
      <c r="M628" s="195">
        <f>IF(B628="","",H628*G628+I628*F628)</f>
        <v/>
      </c>
      <c r="N628" s="195">
        <f>IF(B628="","",'入力・概要'!$B$30*(J628*L628+K628*M628)/(L628^2+M628^2))</f>
        <v/>
      </c>
      <c r="O628" s="195">
        <f>IF(B628="","",'入力・概要'!$B$30*(K628*L628-J628*M628)/(L628^2+M628^2))</f>
        <v/>
      </c>
      <c r="P628" s="195">
        <f>IF(B628="","",N628+'入力・概要'!$B$36)</f>
        <v/>
      </c>
      <c r="Q628" s="195">
        <f>IF(B628="","",O628+C628*'入力・概要'!$B$37*1E-9)</f>
        <v/>
      </c>
      <c r="R628" s="195">
        <f>IF(B628="","",SQRT(P628^2+Q628^2))</f>
        <v/>
      </c>
      <c r="S628" s="195">
        <f>IF(B628="","",IF(P628&gt;0,DEGREES(ATAN(Q628/P628)),IF(P628&lt;0,IF(Q628&gt;=0,DEGREES(ATAN(Q628/P628))+180,DEGREES(ATAN(Q628/P628))-180),IF(Q628&gt;0,90,IF(Q628&lt;0,-90,0)))))</f>
        <v/>
      </c>
      <c r="T628" s="195">
        <f>IF(B628="","",LOG10(B628))</f>
        <v/>
      </c>
      <c r="U628" s="195">
        <f>IF(R628="","",LOG10(MAX(R628,1E-12)))</f>
        <v/>
      </c>
    </row>
    <row r="629">
      <c r="A629" t="n">
        <v>626</v>
      </c>
      <c r="B629" s="196">
        <f>IF(A629&lt;='入力・概要'!$B$40,10^(LOG10('入力・概要'!$B$38)+(A629-1)*(LOG10('入力・概要'!$B$39)-LOG10('入力・概要'!$B$38))/('入力・概要'!$B$40-1)),"")</f>
        <v/>
      </c>
      <c r="C629" s="195">
        <f>IF(B629="","",2*PI()*B629)</f>
        <v/>
      </c>
      <c r="D629" s="195">
        <f>IF(B629="","",ATANH(MIN(0.999999,(2*'入力・概要'!$B$17*'入力・概要'!$B$6)/'入力・概要'!$B$30))+'入力・概要'!$B$33*SQRT(B629/1E6)+(2*PI()*B629*'入力・概要'!$B$6/(299792458*'入力・概要'!$B$31))*'入力・概要'!$B$32/2)</f>
        <v/>
      </c>
      <c r="E629" s="195">
        <f>IF(B629="","",2*PI()*B629*'入力・概要'!$B$6/(299792458*'入力・概要'!$B$31))</f>
        <v/>
      </c>
      <c r="F629" s="195">
        <f>IF(B629="","",SINH(2*D629)/(COSH(2*D629)+COS(2*E629)))</f>
        <v/>
      </c>
      <c r="G629" s="195">
        <f>IF(B629="","",SIN(2*E629)/(COSH(2*D629)+COS(2*E629)))</f>
        <v/>
      </c>
      <c r="H629" s="195">
        <f>IF(B629="","",'入力・概要'!$B$34)</f>
        <v/>
      </c>
      <c r="I629" s="195">
        <f>IF(B629="","",C629*'入力・概要'!$B$35*1E-9)</f>
        <v/>
      </c>
      <c r="J629" s="195">
        <f>IF(B629="","",H629+'入力・概要'!$B$30*F629)</f>
        <v/>
      </c>
      <c r="K629" s="195">
        <f>IF(B629="","",I629+'入力・概要'!$B$30*G629)</f>
        <v/>
      </c>
      <c r="L629" s="195">
        <f>IF(B629="","",'入力・概要'!$B$30+H629*F629-I629*G629)</f>
        <v/>
      </c>
      <c r="M629" s="195">
        <f>IF(B629="","",H629*G629+I629*F629)</f>
        <v/>
      </c>
      <c r="N629" s="195">
        <f>IF(B629="","",'入力・概要'!$B$30*(J629*L629+K629*M629)/(L629^2+M629^2))</f>
        <v/>
      </c>
      <c r="O629" s="195">
        <f>IF(B629="","",'入力・概要'!$B$30*(K629*L629-J629*M629)/(L629^2+M629^2))</f>
        <v/>
      </c>
      <c r="P629" s="195">
        <f>IF(B629="","",N629+'入力・概要'!$B$36)</f>
        <v/>
      </c>
      <c r="Q629" s="195">
        <f>IF(B629="","",O629+C629*'入力・概要'!$B$37*1E-9)</f>
        <v/>
      </c>
      <c r="R629" s="195">
        <f>IF(B629="","",SQRT(P629^2+Q629^2))</f>
        <v/>
      </c>
      <c r="S629" s="195">
        <f>IF(B629="","",IF(P629&gt;0,DEGREES(ATAN(Q629/P629)),IF(P629&lt;0,IF(Q629&gt;=0,DEGREES(ATAN(Q629/P629))+180,DEGREES(ATAN(Q629/P629))-180),IF(Q629&gt;0,90,IF(Q629&lt;0,-90,0)))))</f>
        <v/>
      </c>
      <c r="T629" s="195">
        <f>IF(B629="","",LOG10(B629))</f>
        <v/>
      </c>
      <c r="U629" s="195">
        <f>IF(R629="","",LOG10(MAX(R629,1E-12)))</f>
        <v/>
      </c>
    </row>
    <row r="630">
      <c r="A630" t="n">
        <v>627</v>
      </c>
      <c r="B630" s="196">
        <f>IF(A630&lt;='入力・概要'!$B$40,10^(LOG10('入力・概要'!$B$38)+(A630-1)*(LOG10('入力・概要'!$B$39)-LOG10('入力・概要'!$B$38))/('入力・概要'!$B$40-1)),"")</f>
        <v/>
      </c>
      <c r="C630" s="195">
        <f>IF(B630="","",2*PI()*B630)</f>
        <v/>
      </c>
      <c r="D630" s="195">
        <f>IF(B630="","",ATANH(MIN(0.999999,(2*'入力・概要'!$B$17*'入力・概要'!$B$6)/'入力・概要'!$B$30))+'入力・概要'!$B$33*SQRT(B630/1E6)+(2*PI()*B630*'入力・概要'!$B$6/(299792458*'入力・概要'!$B$31))*'入力・概要'!$B$32/2)</f>
        <v/>
      </c>
      <c r="E630" s="195">
        <f>IF(B630="","",2*PI()*B630*'入力・概要'!$B$6/(299792458*'入力・概要'!$B$31))</f>
        <v/>
      </c>
      <c r="F630" s="195">
        <f>IF(B630="","",SINH(2*D630)/(COSH(2*D630)+COS(2*E630)))</f>
        <v/>
      </c>
      <c r="G630" s="195">
        <f>IF(B630="","",SIN(2*E630)/(COSH(2*D630)+COS(2*E630)))</f>
        <v/>
      </c>
      <c r="H630" s="195">
        <f>IF(B630="","",'入力・概要'!$B$34)</f>
        <v/>
      </c>
      <c r="I630" s="195">
        <f>IF(B630="","",C630*'入力・概要'!$B$35*1E-9)</f>
        <v/>
      </c>
      <c r="J630" s="195">
        <f>IF(B630="","",H630+'入力・概要'!$B$30*F630)</f>
        <v/>
      </c>
      <c r="K630" s="195">
        <f>IF(B630="","",I630+'入力・概要'!$B$30*G630)</f>
        <v/>
      </c>
      <c r="L630" s="195">
        <f>IF(B630="","",'入力・概要'!$B$30+H630*F630-I630*G630)</f>
        <v/>
      </c>
      <c r="M630" s="195">
        <f>IF(B630="","",H630*G630+I630*F630)</f>
        <v/>
      </c>
      <c r="N630" s="195">
        <f>IF(B630="","",'入力・概要'!$B$30*(J630*L630+K630*M630)/(L630^2+M630^2))</f>
        <v/>
      </c>
      <c r="O630" s="195">
        <f>IF(B630="","",'入力・概要'!$B$30*(K630*L630-J630*M630)/(L630^2+M630^2))</f>
        <v/>
      </c>
      <c r="P630" s="195">
        <f>IF(B630="","",N630+'入力・概要'!$B$36)</f>
        <v/>
      </c>
      <c r="Q630" s="195">
        <f>IF(B630="","",O630+C630*'入力・概要'!$B$37*1E-9)</f>
        <v/>
      </c>
      <c r="R630" s="195">
        <f>IF(B630="","",SQRT(P630^2+Q630^2))</f>
        <v/>
      </c>
      <c r="S630" s="195">
        <f>IF(B630="","",IF(P630&gt;0,DEGREES(ATAN(Q630/P630)),IF(P630&lt;0,IF(Q630&gt;=0,DEGREES(ATAN(Q630/P630))+180,DEGREES(ATAN(Q630/P630))-180),IF(Q630&gt;0,90,IF(Q630&lt;0,-90,0)))))</f>
        <v/>
      </c>
      <c r="T630" s="195">
        <f>IF(B630="","",LOG10(B630))</f>
        <v/>
      </c>
      <c r="U630" s="195">
        <f>IF(R630="","",LOG10(MAX(R630,1E-12)))</f>
        <v/>
      </c>
    </row>
    <row r="631">
      <c r="A631" t="n">
        <v>628</v>
      </c>
      <c r="B631" s="196">
        <f>IF(A631&lt;='入力・概要'!$B$40,10^(LOG10('入力・概要'!$B$38)+(A631-1)*(LOG10('入力・概要'!$B$39)-LOG10('入力・概要'!$B$38))/('入力・概要'!$B$40-1)),"")</f>
        <v/>
      </c>
      <c r="C631" s="195">
        <f>IF(B631="","",2*PI()*B631)</f>
        <v/>
      </c>
      <c r="D631" s="195">
        <f>IF(B631="","",ATANH(MIN(0.999999,(2*'入力・概要'!$B$17*'入力・概要'!$B$6)/'入力・概要'!$B$30))+'入力・概要'!$B$33*SQRT(B631/1E6)+(2*PI()*B631*'入力・概要'!$B$6/(299792458*'入力・概要'!$B$31))*'入力・概要'!$B$32/2)</f>
        <v/>
      </c>
      <c r="E631" s="195">
        <f>IF(B631="","",2*PI()*B631*'入力・概要'!$B$6/(299792458*'入力・概要'!$B$31))</f>
        <v/>
      </c>
      <c r="F631" s="195">
        <f>IF(B631="","",SINH(2*D631)/(COSH(2*D631)+COS(2*E631)))</f>
        <v/>
      </c>
      <c r="G631" s="195">
        <f>IF(B631="","",SIN(2*E631)/(COSH(2*D631)+COS(2*E631)))</f>
        <v/>
      </c>
      <c r="H631" s="195">
        <f>IF(B631="","",'入力・概要'!$B$34)</f>
        <v/>
      </c>
      <c r="I631" s="195">
        <f>IF(B631="","",C631*'入力・概要'!$B$35*1E-9)</f>
        <v/>
      </c>
      <c r="J631" s="195">
        <f>IF(B631="","",H631+'入力・概要'!$B$30*F631)</f>
        <v/>
      </c>
      <c r="K631" s="195">
        <f>IF(B631="","",I631+'入力・概要'!$B$30*G631)</f>
        <v/>
      </c>
      <c r="L631" s="195">
        <f>IF(B631="","",'入力・概要'!$B$30+H631*F631-I631*G631)</f>
        <v/>
      </c>
      <c r="M631" s="195">
        <f>IF(B631="","",H631*G631+I631*F631)</f>
        <v/>
      </c>
      <c r="N631" s="195">
        <f>IF(B631="","",'入力・概要'!$B$30*(J631*L631+K631*M631)/(L631^2+M631^2))</f>
        <v/>
      </c>
      <c r="O631" s="195">
        <f>IF(B631="","",'入力・概要'!$B$30*(K631*L631-J631*M631)/(L631^2+M631^2))</f>
        <v/>
      </c>
      <c r="P631" s="195">
        <f>IF(B631="","",N631+'入力・概要'!$B$36)</f>
        <v/>
      </c>
      <c r="Q631" s="195">
        <f>IF(B631="","",O631+C631*'入力・概要'!$B$37*1E-9)</f>
        <v/>
      </c>
      <c r="R631" s="195">
        <f>IF(B631="","",SQRT(P631^2+Q631^2))</f>
        <v/>
      </c>
      <c r="S631" s="195">
        <f>IF(B631="","",IF(P631&gt;0,DEGREES(ATAN(Q631/P631)),IF(P631&lt;0,IF(Q631&gt;=0,DEGREES(ATAN(Q631/P631))+180,DEGREES(ATAN(Q631/P631))-180),IF(Q631&gt;0,90,IF(Q631&lt;0,-90,0)))))</f>
        <v/>
      </c>
      <c r="T631" s="195">
        <f>IF(B631="","",LOG10(B631))</f>
        <v/>
      </c>
      <c r="U631" s="195">
        <f>IF(R631="","",LOG10(MAX(R631,1E-12)))</f>
        <v/>
      </c>
    </row>
    <row r="632">
      <c r="A632" t="n">
        <v>629</v>
      </c>
      <c r="B632" s="196">
        <f>IF(A632&lt;='入力・概要'!$B$40,10^(LOG10('入力・概要'!$B$38)+(A632-1)*(LOG10('入力・概要'!$B$39)-LOG10('入力・概要'!$B$38))/('入力・概要'!$B$40-1)),"")</f>
        <v/>
      </c>
      <c r="C632" s="195">
        <f>IF(B632="","",2*PI()*B632)</f>
        <v/>
      </c>
      <c r="D632" s="195">
        <f>IF(B632="","",ATANH(MIN(0.999999,(2*'入力・概要'!$B$17*'入力・概要'!$B$6)/'入力・概要'!$B$30))+'入力・概要'!$B$33*SQRT(B632/1E6)+(2*PI()*B632*'入力・概要'!$B$6/(299792458*'入力・概要'!$B$31))*'入力・概要'!$B$32/2)</f>
        <v/>
      </c>
      <c r="E632" s="195">
        <f>IF(B632="","",2*PI()*B632*'入力・概要'!$B$6/(299792458*'入力・概要'!$B$31))</f>
        <v/>
      </c>
      <c r="F632" s="195">
        <f>IF(B632="","",SINH(2*D632)/(COSH(2*D632)+COS(2*E632)))</f>
        <v/>
      </c>
      <c r="G632" s="195">
        <f>IF(B632="","",SIN(2*E632)/(COSH(2*D632)+COS(2*E632)))</f>
        <v/>
      </c>
      <c r="H632" s="195">
        <f>IF(B632="","",'入力・概要'!$B$34)</f>
        <v/>
      </c>
      <c r="I632" s="195">
        <f>IF(B632="","",C632*'入力・概要'!$B$35*1E-9)</f>
        <v/>
      </c>
      <c r="J632" s="195">
        <f>IF(B632="","",H632+'入力・概要'!$B$30*F632)</f>
        <v/>
      </c>
      <c r="K632" s="195">
        <f>IF(B632="","",I632+'入力・概要'!$B$30*G632)</f>
        <v/>
      </c>
      <c r="L632" s="195">
        <f>IF(B632="","",'入力・概要'!$B$30+H632*F632-I632*G632)</f>
        <v/>
      </c>
      <c r="M632" s="195">
        <f>IF(B632="","",H632*G632+I632*F632)</f>
        <v/>
      </c>
      <c r="N632" s="195">
        <f>IF(B632="","",'入力・概要'!$B$30*(J632*L632+K632*M632)/(L632^2+M632^2))</f>
        <v/>
      </c>
      <c r="O632" s="195">
        <f>IF(B632="","",'入力・概要'!$B$30*(K632*L632-J632*M632)/(L632^2+M632^2))</f>
        <v/>
      </c>
      <c r="P632" s="195">
        <f>IF(B632="","",N632+'入力・概要'!$B$36)</f>
        <v/>
      </c>
      <c r="Q632" s="195">
        <f>IF(B632="","",O632+C632*'入力・概要'!$B$37*1E-9)</f>
        <v/>
      </c>
      <c r="R632" s="195">
        <f>IF(B632="","",SQRT(P632^2+Q632^2))</f>
        <v/>
      </c>
      <c r="S632" s="195">
        <f>IF(B632="","",IF(P632&gt;0,DEGREES(ATAN(Q632/P632)),IF(P632&lt;0,IF(Q632&gt;=0,DEGREES(ATAN(Q632/P632))+180,DEGREES(ATAN(Q632/P632))-180),IF(Q632&gt;0,90,IF(Q632&lt;0,-90,0)))))</f>
        <v/>
      </c>
      <c r="T632" s="195">
        <f>IF(B632="","",LOG10(B632))</f>
        <v/>
      </c>
      <c r="U632" s="195">
        <f>IF(R632="","",LOG10(MAX(R632,1E-12)))</f>
        <v/>
      </c>
    </row>
    <row r="633">
      <c r="A633" t="n">
        <v>630</v>
      </c>
      <c r="B633" s="196">
        <f>IF(A633&lt;='入力・概要'!$B$40,10^(LOG10('入力・概要'!$B$38)+(A633-1)*(LOG10('入力・概要'!$B$39)-LOG10('入力・概要'!$B$38))/('入力・概要'!$B$40-1)),"")</f>
        <v/>
      </c>
      <c r="C633" s="195">
        <f>IF(B633="","",2*PI()*B633)</f>
        <v/>
      </c>
      <c r="D633" s="195">
        <f>IF(B633="","",ATANH(MIN(0.999999,(2*'入力・概要'!$B$17*'入力・概要'!$B$6)/'入力・概要'!$B$30))+'入力・概要'!$B$33*SQRT(B633/1E6)+(2*PI()*B633*'入力・概要'!$B$6/(299792458*'入力・概要'!$B$31))*'入力・概要'!$B$32/2)</f>
        <v/>
      </c>
      <c r="E633" s="195">
        <f>IF(B633="","",2*PI()*B633*'入力・概要'!$B$6/(299792458*'入力・概要'!$B$31))</f>
        <v/>
      </c>
      <c r="F633" s="195">
        <f>IF(B633="","",SINH(2*D633)/(COSH(2*D633)+COS(2*E633)))</f>
        <v/>
      </c>
      <c r="G633" s="195">
        <f>IF(B633="","",SIN(2*E633)/(COSH(2*D633)+COS(2*E633)))</f>
        <v/>
      </c>
      <c r="H633" s="195">
        <f>IF(B633="","",'入力・概要'!$B$34)</f>
        <v/>
      </c>
      <c r="I633" s="195">
        <f>IF(B633="","",C633*'入力・概要'!$B$35*1E-9)</f>
        <v/>
      </c>
      <c r="J633" s="195">
        <f>IF(B633="","",H633+'入力・概要'!$B$30*F633)</f>
        <v/>
      </c>
      <c r="K633" s="195">
        <f>IF(B633="","",I633+'入力・概要'!$B$30*G633)</f>
        <v/>
      </c>
      <c r="L633" s="195">
        <f>IF(B633="","",'入力・概要'!$B$30+H633*F633-I633*G633)</f>
        <v/>
      </c>
      <c r="M633" s="195">
        <f>IF(B633="","",H633*G633+I633*F633)</f>
        <v/>
      </c>
      <c r="N633" s="195">
        <f>IF(B633="","",'入力・概要'!$B$30*(J633*L633+K633*M633)/(L633^2+M633^2))</f>
        <v/>
      </c>
      <c r="O633" s="195">
        <f>IF(B633="","",'入力・概要'!$B$30*(K633*L633-J633*M633)/(L633^2+M633^2))</f>
        <v/>
      </c>
      <c r="P633" s="195">
        <f>IF(B633="","",N633+'入力・概要'!$B$36)</f>
        <v/>
      </c>
      <c r="Q633" s="195">
        <f>IF(B633="","",O633+C633*'入力・概要'!$B$37*1E-9)</f>
        <v/>
      </c>
      <c r="R633" s="195">
        <f>IF(B633="","",SQRT(P633^2+Q633^2))</f>
        <v/>
      </c>
      <c r="S633" s="195">
        <f>IF(B633="","",IF(P633&gt;0,DEGREES(ATAN(Q633/P633)),IF(P633&lt;0,IF(Q633&gt;=0,DEGREES(ATAN(Q633/P633))+180,DEGREES(ATAN(Q633/P633))-180),IF(Q633&gt;0,90,IF(Q633&lt;0,-90,0)))))</f>
        <v/>
      </c>
      <c r="T633" s="195">
        <f>IF(B633="","",LOG10(B633))</f>
        <v/>
      </c>
      <c r="U633" s="195">
        <f>IF(R633="","",LOG10(MAX(R633,1E-12)))</f>
        <v/>
      </c>
    </row>
    <row r="634">
      <c r="A634" t="n">
        <v>631</v>
      </c>
      <c r="B634" s="196">
        <f>IF(A634&lt;='入力・概要'!$B$40,10^(LOG10('入力・概要'!$B$38)+(A634-1)*(LOG10('入力・概要'!$B$39)-LOG10('入力・概要'!$B$38))/('入力・概要'!$B$40-1)),"")</f>
        <v/>
      </c>
      <c r="C634" s="195">
        <f>IF(B634="","",2*PI()*B634)</f>
        <v/>
      </c>
      <c r="D634" s="195">
        <f>IF(B634="","",ATANH(MIN(0.999999,(2*'入力・概要'!$B$17*'入力・概要'!$B$6)/'入力・概要'!$B$30))+'入力・概要'!$B$33*SQRT(B634/1E6)+(2*PI()*B634*'入力・概要'!$B$6/(299792458*'入力・概要'!$B$31))*'入力・概要'!$B$32/2)</f>
        <v/>
      </c>
      <c r="E634" s="195">
        <f>IF(B634="","",2*PI()*B634*'入力・概要'!$B$6/(299792458*'入力・概要'!$B$31))</f>
        <v/>
      </c>
      <c r="F634" s="195">
        <f>IF(B634="","",SINH(2*D634)/(COSH(2*D634)+COS(2*E634)))</f>
        <v/>
      </c>
      <c r="G634" s="195">
        <f>IF(B634="","",SIN(2*E634)/(COSH(2*D634)+COS(2*E634)))</f>
        <v/>
      </c>
      <c r="H634" s="195">
        <f>IF(B634="","",'入力・概要'!$B$34)</f>
        <v/>
      </c>
      <c r="I634" s="195">
        <f>IF(B634="","",C634*'入力・概要'!$B$35*1E-9)</f>
        <v/>
      </c>
      <c r="J634" s="195">
        <f>IF(B634="","",H634+'入力・概要'!$B$30*F634)</f>
        <v/>
      </c>
      <c r="K634" s="195">
        <f>IF(B634="","",I634+'入力・概要'!$B$30*G634)</f>
        <v/>
      </c>
      <c r="L634" s="195">
        <f>IF(B634="","",'入力・概要'!$B$30+H634*F634-I634*G634)</f>
        <v/>
      </c>
      <c r="M634" s="195">
        <f>IF(B634="","",H634*G634+I634*F634)</f>
        <v/>
      </c>
      <c r="N634" s="195">
        <f>IF(B634="","",'入力・概要'!$B$30*(J634*L634+K634*M634)/(L634^2+M634^2))</f>
        <v/>
      </c>
      <c r="O634" s="195">
        <f>IF(B634="","",'入力・概要'!$B$30*(K634*L634-J634*M634)/(L634^2+M634^2))</f>
        <v/>
      </c>
      <c r="P634" s="195">
        <f>IF(B634="","",N634+'入力・概要'!$B$36)</f>
        <v/>
      </c>
      <c r="Q634" s="195">
        <f>IF(B634="","",O634+C634*'入力・概要'!$B$37*1E-9)</f>
        <v/>
      </c>
      <c r="R634" s="195">
        <f>IF(B634="","",SQRT(P634^2+Q634^2))</f>
        <v/>
      </c>
      <c r="S634" s="195">
        <f>IF(B634="","",IF(P634&gt;0,DEGREES(ATAN(Q634/P634)),IF(P634&lt;0,IF(Q634&gt;=0,DEGREES(ATAN(Q634/P634))+180,DEGREES(ATAN(Q634/P634))-180),IF(Q634&gt;0,90,IF(Q634&lt;0,-90,0)))))</f>
        <v/>
      </c>
      <c r="T634" s="195">
        <f>IF(B634="","",LOG10(B634))</f>
        <v/>
      </c>
      <c r="U634" s="195">
        <f>IF(R634="","",LOG10(MAX(R634,1E-12)))</f>
        <v/>
      </c>
    </row>
    <row r="635">
      <c r="A635" t="n">
        <v>632</v>
      </c>
      <c r="B635" s="196">
        <f>IF(A635&lt;='入力・概要'!$B$40,10^(LOG10('入力・概要'!$B$38)+(A635-1)*(LOG10('入力・概要'!$B$39)-LOG10('入力・概要'!$B$38))/('入力・概要'!$B$40-1)),"")</f>
        <v/>
      </c>
      <c r="C635" s="195">
        <f>IF(B635="","",2*PI()*B635)</f>
        <v/>
      </c>
      <c r="D635" s="195">
        <f>IF(B635="","",ATANH(MIN(0.999999,(2*'入力・概要'!$B$17*'入力・概要'!$B$6)/'入力・概要'!$B$30))+'入力・概要'!$B$33*SQRT(B635/1E6)+(2*PI()*B635*'入力・概要'!$B$6/(299792458*'入力・概要'!$B$31))*'入力・概要'!$B$32/2)</f>
        <v/>
      </c>
      <c r="E635" s="195">
        <f>IF(B635="","",2*PI()*B635*'入力・概要'!$B$6/(299792458*'入力・概要'!$B$31))</f>
        <v/>
      </c>
      <c r="F635" s="195">
        <f>IF(B635="","",SINH(2*D635)/(COSH(2*D635)+COS(2*E635)))</f>
        <v/>
      </c>
      <c r="G635" s="195">
        <f>IF(B635="","",SIN(2*E635)/(COSH(2*D635)+COS(2*E635)))</f>
        <v/>
      </c>
      <c r="H635" s="195">
        <f>IF(B635="","",'入力・概要'!$B$34)</f>
        <v/>
      </c>
      <c r="I635" s="195">
        <f>IF(B635="","",C635*'入力・概要'!$B$35*1E-9)</f>
        <v/>
      </c>
      <c r="J635" s="195">
        <f>IF(B635="","",H635+'入力・概要'!$B$30*F635)</f>
        <v/>
      </c>
      <c r="K635" s="195">
        <f>IF(B635="","",I635+'入力・概要'!$B$30*G635)</f>
        <v/>
      </c>
      <c r="L635" s="195">
        <f>IF(B635="","",'入力・概要'!$B$30+H635*F635-I635*G635)</f>
        <v/>
      </c>
      <c r="M635" s="195">
        <f>IF(B635="","",H635*G635+I635*F635)</f>
        <v/>
      </c>
      <c r="N635" s="195">
        <f>IF(B635="","",'入力・概要'!$B$30*(J635*L635+K635*M635)/(L635^2+M635^2))</f>
        <v/>
      </c>
      <c r="O635" s="195">
        <f>IF(B635="","",'入力・概要'!$B$30*(K635*L635-J635*M635)/(L635^2+M635^2))</f>
        <v/>
      </c>
      <c r="P635" s="195">
        <f>IF(B635="","",N635+'入力・概要'!$B$36)</f>
        <v/>
      </c>
      <c r="Q635" s="195">
        <f>IF(B635="","",O635+C635*'入力・概要'!$B$37*1E-9)</f>
        <v/>
      </c>
      <c r="R635" s="195">
        <f>IF(B635="","",SQRT(P635^2+Q635^2))</f>
        <v/>
      </c>
      <c r="S635" s="195">
        <f>IF(B635="","",IF(P635&gt;0,DEGREES(ATAN(Q635/P635)),IF(P635&lt;0,IF(Q635&gt;=0,DEGREES(ATAN(Q635/P635))+180,DEGREES(ATAN(Q635/P635))-180),IF(Q635&gt;0,90,IF(Q635&lt;0,-90,0)))))</f>
        <v/>
      </c>
      <c r="T635" s="195">
        <f>IF(B635="","",LOG10(B635))</f>
        <v/>
      </c>
      <c r="U635" s="195">
        <f>IF(R635="","",LOG10(MAX(R635,1E-12)))</f>
        <v/>
      </c>
    </row>
    <row r="636">
      <c r="A636" t="n">
        <v>633</v>
      </c>
      <c r="B636" s="196">
        <f>IF(A636&lt;='入力・概要'!$B$40,10^(LOG10('入力・概要'!$B$38)+(A636-1)*(LOG10('入力・概要'!$B$39)-LOG10('入力・概要'!$B$38))/('入力・概要'!$B$40-1)),"")</f>
        <v/>
      </c>
      <c r="C636" s="195">
        <f>IF(B636="","",2*PI()*B636)</f>
        <v/>
      </c>
      <c r="D636" s="195">
        <f>IF(B636="","",ATANH(MIN(0.999999,(2*'入力・概要'!$B$17*'入力・概要'!$B$6)/'入力・概要'!$B$30))+'入力・概要'!$B$33*SQRT(B636/1E6)+(2*PI()*B636*'入力・概要'!$B$6/(299792458*'入力・概要'!$B$31))*'入力・概要'!$B$32/2)</f>
        <v/>
      </c>
      <c r="E636" s="195">
        <f>IF(B636="","",2*PI()*B636*'入力・概要'!$B$6/(299792458*'入力・概要'!$B$31))</f>
        <v/>
      </c>
      <c r="F636" s="195">
        <f>IF(B636="","",SINH(2*D636)/(COSH(2*D636)+COS(2*E636)))</f>
        <v/>
      </c>
      <c r="G636" s="195">
        <f>IF(B636="","",SIN(2*E636)/(COSH(2*D636)+COS(2*E636)))</f>
        <v/>
      </c>
      <c r="H636" s="195">
        <f>IF(B636="","",'入力・概要'!$B$34)</f>
        <v/>
      </c>
      <c r="I636" s="195">
        <f>IF(B636="","",C636*'入力・概要'!$B$35*1E-9)</f>
        <v/>
      </c>
      <c r="J636" s="195">
        <f>IF(B636="","",H636+'入力・概要'!$B$30*F636)</f>
        <v/>
      </c>
      <c r="K636" s="195">
        <f>IF(B636="","",I636+'入力・概要'!$B$30*G636)</f>
        <v/>
      </c>
      <c r="L636" s="195">
        <f>IF(B636="","",'入力・概要'!$B$30+H636*F636-I636*G636)</f>
        <v/>
      </c>
      <c r="M636" s="195">
        <f>IF(B636="","",H636*G636+I636*F636)</f>
        <v/>
      </c>
      <c r="N636" s="195">
        <f>IF(B636="","",'入力・概要'!$B$30*(J636*L636+K636*M636)/(L636^2+M636^2))</f>
        <v/>
      </c>
      <c r="O636" s="195">
        <f>IF(B636="","",'入力・概要'!$B$30*(K636*L636-J636*M636)/(L636^2+M636^2))</f>
        <v/>
      </c>
      <c r="P636" s="195">
        <f>IF(B636="","",N636+'入力・概要'!$B$36)</f>
        <v/>
      </c>
      <c r="Q636" s="195">
        <f>IF(B636="","",O636+C636*'入力・概要'!$B$37*1E-9)</f>
        <v/>
      </c>
      <c r="R636" s="195">
        <f>IF(B636="","",SQRT(P636^2+Q636^2))</f>
        <v/>
      </c>
      <c r="S636" s="195">
        <f>IF(B636="","",IF(P636&gt;0,DEGREES(ATAN(Q636/P636)),IF(P636&lt;0,IF(Q636&gt;=0,DEGREES(ATAN(Q636/P636))+180,DEGREES(ATAN(Q636/P636))-180),IF(Q636&gt;0,90,IF(Q636&lt;0,-90,0)))))</f>
        <v/>
      </c>
      <c r="T636" s="195">
        <f>IF(B636="","",LOG10(B636))</f>
        <v/>
      </c>
      <c r="U636" s="195">
        <f>IF(R636="","",LOG10(MAX(R636,1E-12)))</f>
        <v/>
      </c>
    </row>
    <row r="637">
      <c r="A637" t="n">
        <v>634</v>
      </c>
      <c r="B637" s="196">
        <f>IF(A637&lt;='入力・概要'!$B$40,10^(LOG10('入力・概要'!$B$38)+(A637-1)*(LOG10('入力・概要'!$B$39)-LOG10('入力・概要'!$B$38))/('入力・概要'!$B$40-1)),"")</f>
        <v/>
      </c>
      <c r="C637" s="195">
        <f>IF(B637="","",2*PI()*B637)</f>
        <v/>
      </c>
      <c r="D637" s="195">
        <f>IF(B637="","",ATANH(MIN(0.999999,(2*'入力・概要'!$B$17*'入力・概要'!$B$6)/'入力・概要'!$B$30))+'入力・概要'!$B$33*SQRT(B637/1E6)+(2*PI()*B637*'入力・概要'!$B$6/(299792458*'入力・概要'!$B$31))*'入力・概要'!$B$32/2)</f>
        <v/>
      </c>
      <c r="E637" s="195">
        <f>IF(B637="","",2*PI()*B637*'入力・概要'!$B$6/(299792458*'入力・概要'!$B$31))</f>
        <v/>
      </c>
      <c r="F637" s="195">
        <f>IF(B637="","",SINH(2*D637)/(COSH(2*D637)+COS(2*E637)))</f>
        <v/>
      </c>
      <c r="G637" s="195">
        <f>IF(B637="","",SIN(2*E637)/(COSH(2*D637)+COS(2*E637)))</f>
        <v/>
      </c>
      <c r="H637" s="195">
        <f>IF(B637="","",'入力・概要'!$B$34)</f>
        <v/>
      </c>
      <c r="I637" s="195">
        <f>IF(B637="","",C637*'入力・概要'!$B$35*1E-9)</f>
        <v/>
      </c>
      <c r="J637" s="195">
        <f>IF(B637="","",H637+'入力・概要'!$B$30*F637)</f>
        <v/>
      </c>
      <c r="K637" s="195">
        <f>IF(B637="","",I637+'入力・概要'!$B$30*G637)</f>
        <v/>
      </c>
      <c r="L637" s="195">
        <f>IF(B637="","",'入力・概要'!$B$30+H637*F637-I637*G637)</f>
        <v/>
      </c>
      <c r="M637" s="195">
        <f>IF(B637="","",H637*G637+I637*F637)</f>
        <v/>
      </c>
      <c r="N637" s="195">
        <f>IF(B637="","",'入力・概要'!$B$30*(J637*L637+K637*M637)/(L637^2+M637^2))</f>
        <v/>
      </c>
      <c r="O637" s="195">
        <f>IF(B637="","",'入力・概要'!$B$30*(K637*L637-J637*M637)/(L637^2+M637^2))</f>
        <v/>
      </c>
      <c r="P637" s="195">
        <f>IF(B637="","",N637+'入力・概要'!$B$36)</f>
        <v/>
      </c>
      <c r="Q637" s="195">
        <f>IF(B637="","",O637+C637*'入力・概要'!$B$37*1E-9)</f>
        <v/>
      </c>
      <c r="R637" s="195">
        <f>IF(B637="","",SQRT(P637^2+Q637^2))</f>
        <v/>
      </c>
      <c r="S637" s="195">
        <f>IF(B637="","",IF(P637&gt;0,DEGREES(ATAN(Q637/P637)),IF(P637&lt;0,IF(Q637&gt;=0,DEGREES(ATAN(Q637/P637))+180,DEGREES(ATAN(Q637/P637))-180),IF(Q637&gt;0,90,IF(Q637&lt;0,-90,0)))))</f>
        <v/>
      </c>
      <c r="T637" s="195">
        <f>IF(B637="","",LOG10(B637))</f>
        <v/>
      </c>
      <c r="U637" s="195">
        <f>IF(R637="","",LOG10(MAX(R637,1E-12)))</f>
        <v/>
      </c>
    </row>
    <row r="638">
      <c r="A638" t="n">
        <v>635</v>
      </c>
      <c r="B638" s="196">
        <f>IF(A638&lt;='入力・概要'!$B$40,10^(LOG10('入力・概要'!$B$38)+(A638-1)*(LOG10('入力・概要'!$B$39)-LOG10('入力・概要'!$B$38))/('入力・概要'!$B$40-1)),"")</f>
        <v/>
      </c>
      <c r="C638" s="195">
        <f>IF(B638="","",2*PI()*B638)</f>
        <v/>
      </c>
      <c r="D638" s="195">
        <f>IF(B638="","",ATANH(MIN(0.999999,(2*'入力・概要'!$B$17*'入力・概要'!$B$6)/'入力・概要'!$B$30))+'入力・概要'!$B$33*SQRT(B638/1E6)+(2*PI()*B638*'入力・概要'!$B$6/(299792458*'入力・概要'!$B$31))*'入力・概要'!$B$32/2)</f>
        <v/>
      </c>
      <c r="E638" s="195">
        <f>IF(B638="","",2*PI()*B638*'入力・概要'!$B$6/(299792458*'入力・概要'!$B$31))</f>
        <v/>
      </c>
      <c r="F638" s="195">
        <f>IF(B638="","",SINH(2*D638)/(COSH(2*D638)+COS(2*E638)))</f>
        <v/>
      </c>
      <c r="G638" s="195">
        <f>IF(B638="","",SIN(2*E638)/(COSH(2*D638)+COS(2*E638)))</f>
        <v/>
      </c>
      <c r="H638" s="195">
        <f>IF(B638="","",'入力・概要'!$B$34)</f>
        <v/>
      </c>
      <c r="I638" s="195">
        <f>IF(B638="","",C638*'入力・概要'!$B$35*1E-9)</f>
        <v/>
      </c>
      <c r="J638" s="195">
        <f>IF(B638="","",H638+'入力・概要'!$B$30*F638)</f>
        <v/>
      </c>
      <c r="K638" s="195">
        <f>IF(B638="","",I638+'入力・概要'!$B$30*G638)</f>
        <v/>
      </c>
      <c r="L638" s="195">
        <f>IF(B638="","",'入力・概要'!$B$30+H638*F638-I638*G638)</f>
        <v/>
      </c>
      <c r="M638" s="195">
        <f>IF(B638="","",H638*G638+I638*F638)</f>
        <v/>
      </c>
      <c r="N638" s="195">
        <f>IF(B638="","",'入力・概要'!$B$30*(J638*L638+K638*M638)/(L638^2+M638^2))</f>
        <v/>
      </c>
      <c r="O638" s="195">
        <f>IF(B638="","",'入力・概要'!$B$30*(K638*L638-J638*M638)/(L638^2+M638^2))</f>
        <v/>
      </c>
      <c r="P638" s="195">
        <f>IF(B638="","",N638+'入力・概要'!$B$36)</f>
        <v/>
      </c>
      <c r="Q638" s="195">
        <f>IF(B638="","",O638+C638*'入力・概要'!$B$37*1E-9)</f>
        <v/>
      </c>
      <c r="R638" s="195">
        <f>IF(B638="","",SQRT(P638^2+Q638^2))</f>
        <v/>
      </c>
      <c r="S638" s="195">
        <f>IF(B638="","",IF(P638&gt;0,DEGREES(ATAN(Q638/P638)),IF(P638&lt;0,IF(Q638&gt;=0,DEGREES(ATAN(Q638/P638))+180,DEGREES(ATAN(Q638/P638))-180),IF(Q638&gt;0,90,IF(Q638&lt;0,-90,0)))))</f>
        <v/>
      </c>
      <c r="T638" s="195">
        <f>IF(B638="","",LOG10(B638))</f>
        <v/>
      </c>
      <c r="U638" s="195">
        <f>IF(R638="","",LOG10(MAX(R638,1E-12)))</f>
        <v/>
      </c>
    </row>
    <row r="639">
      <c r="A639" t="n">
        <v>636</v>
      </c>
      <c r="B639" s="196">
        <f>IF(A639&lt;='入力・概要'!$B$40,10^(LOG10('入力・概要'!$B$38)+(A639-1)*(LOG10('入力・概要'!$B$39)-LOG10('入力・概要'!$B$38))/('入力・概要'!$B$40-1)),"")</f>
        <v/>
      </c>
      <c r="C639" s="195">
        <f>IF(B639="","",2*PI()*B639)</f>
        <v/>
      </c>
      <c r="D639" s="195">
        <f>IF(B639="","",ATANH(MIN(0.999999,(2*'入力・概要'!$B$17*'入力・概要'!$B$6)/'入力・概要'!$B$30))+'入力・概要'!$B$33*SQRT(B639/1E6)+(2*PI()*B639*'入力・概要'!$B$6/(299792458*'入力・概要'!$B$31))*'入力・概要'!$B$32/2)</f>
        <v/>
      </c>
      <c r="E639" s="195">
        <f>IF(B639="","",2*PI()*B639*'入力・概要'!$B$6/(299792458*'入力・概要'!$B$31))</f>
        <v/>
      </c>
      <c r="F639" s="195">
        <f>IF(B639="","",SINH(2*D639)/(COSH(2*D639)+COS(2*E639)))</f>
        <v/>
      </c>
      <c r="G639" s="195">
        <f>IF(B639="","",SIN(2*E639)/(COSH(2*D639)+COS(2*E639)))</f>
        <v/>
      </c>
      <c r="H639" s="195">
        <f>IF(B639="","",'入力・概要'!$B$34)</f>
        <v/>
      </c>
      <c r="I639" s="195">
        <f>IF(B639="","",C639*'入力・概要'!$B$35*1E-9)</f>
        <v/>
      </c>
      <c r="J639" s="195">
        <f>IF(B639="","",H639+'入力・概要'!$B$30*F639)</f>
        <v/>
      </c>
      <c r="K639" s="195">
        <f>IF(B639="","",I639+'入力・概要'!$B$30*G639)</f>
        <v/>
      </c>
      <c r="L639" s="195">
        <f>IF(B639="","",'入力・概要'!$B$30+H639*F639-I639*G639)</f>
        <v/>
      </c>
      <c r="M639" s="195">
        <f>IF(B639="","",H639*G639+I639*F639)</f>
        <v/>
      </c>
      <c r="N639" s="195">
        <f>IF(B639="","",'入力・概要'!$B$30*(J639*L639+K639*M639)/(L639^2+M639^2))</f>
        <v/>
      </c>
      <c r="O639" s="195">
        <f>IF(B639="","",'入力・概要'!$B$30*(K639*L639-J639*M639)/(L639^2+M639^2))</f>
        <v/>
      </c>
      <c r="P639" s="195">
        <f>IF(B639="","",N639+'入力・概要'!$B$36)</f>
        <v/>
      </c>
      <c r="Q639" s="195">
        <f>IF(B639="","",O639+C639*'入力・概要'!$B$37*1E-9)</f>
        <v/>
      </c>
      <c r="R639" s="195">
        <f>IF(B639="","",SQRT(P639^2+Q639^2))</f>
        <v/>
      </c>
      <c r="S639" s="195">
        <f>IF(B639="","",IF(P639&gt;0,DEGREES(ATAN(Q639/P639)),IF(P639&lt;0,IF(Q639&gt;=0,DEGREES(ATAN(Q639/P639))+180,DEGREES(ATAN(Q639/P639))-180),IF(Q639&gt;0,90,IF(Q639&lt;0,-90,0)))))</f>
        <v/>
      </c>
      <c r="T639" s="195">
        <f>IF(B639="","",LOG10(B639))</f>
        <v/>
      </c>
      <c r="U639" s="195">
        <f>IF(R639="","",LOG10(MAX(R639,1E-12)))</f>
        <v/>
      </c>
    </row>
    <row r="640">
      <c r="A640" t="n">
        <v>637</v>
      </c>
      <c r="B640" s="196">
        <f>IF(A640&lt;='入力・概要'!$B$40,10^(LOG10('入力・概要'!$B$38)+(A640-1)*(LOG10('入力・概要'!$B$39)-LOG10('入力・概要'!$B$38))/('入力・概要'!$B$40-1)),"")</f>
        <v/>
      </c>
      <c r="C640" s="195">
        <f>IF(B640="","",2*PI()*B640)</f>
        <v/>
      </c>
      <c r="D640" s="195">
        <f>IF(B640="","",ATANH(MIN(0.999999,(2*'入力・概要'!$B$17*'入力・概要'!$B$6)/'入力・概要'!$B$30))+'入力・概要'!$B$33*SQRT(B640/1E6)+(2*PI()*B640*'入力・概要'!$B$6/(299792458*'入力・概要'!$B$31))*'入力・概要'!$B$32/2)</f>
        <v/>
      </c>
      <c r="E640" s="195">
        <f>IF(B640="","",2*PI()*B640*'入力・概要'!$B$6/(299792458*'入力・概要'!$B$31))</f>
        <v/>
      </c>
      <c r="F640" s="195">
        <f>IF(B640="","",SINH(2*D640)/(COSH(2*D640)+COS(2*E640)))</f>
        <v/>
      </c>
      <c r="G640" s="195">
        <f>IF(B640="","",SIN(2*E640)/(COSH(2*D640)+COS(2*E640)))</f>
        <v/>
      </c>
      <c r="H640" s="195">
        <f>IF(B640="","",'入力・概要'!$B$34)</f>
        <v/>
      </c>
      <c r="I640" s="195">
        <f>IF(B640="","",C640*'入力・概要'!$B$35*1E-9)</f>
        <v/>
      </c>
      <c r="J640" s="195">
        <f>IF(B640="","",H640+'入力・概要'!$B$30*F640)</f>
        <v/>
      </c>
      <c r="K640" s="195">
        <f>IF(B640="","",I640+'入力・概要'!$B$30*G640)</f>
        <v/>
      </c>
      <c r="L640" s="195">
        <f>IF(B640="","",'入力・概要'!$B$30+H640*F640-I640*G640)</f>
        <v/>
      </c>
      <c r="M640" s="195">
        <f>IF(B640="","",H640*G640+I640*F640)</f>
        <v/>
      </c>
      <c r="N640" s="195">
        <f>IF(B640="","",'入力・概要'!$B$30*(J640*L640+K640*M640)/(L640^2+M640^2))</f>
        <v/>
      </c>
      <c r="O640" s="195">
        <f>IF(B640="","",'入力・概要'!$B$30*(K640*L640-J640*M640)/(L640^2+M640^2))</f>
        <v/>
      </c>
      <c r="P640" s="195">
        <f>IF(B640="","",N640+'入力・概要'!$B$36)</f>
        <v/>
      </c>
      <c r="Q640" s="195">
        <f>IF(B640="","",O640+C640*'入力・概要'!$B$37*1E-9)</f>
        <v/>
      </c>
      <c r="R640" s="195">
        <f>IF(B640="","",SQRT(P640^2+Q640^2))</f>
        <v/>
      </c>
      <c r="S640" s="195">
        <f>IF(B640="","",IF(P640&gt;0,DEGREES(ATAN(Q640/P640)),IF(P640&lt;0,IF(Q640&gt;=0,DEGREES(ATAN(Q640/P640))+180,DEGREES(ATAN(Q640/P640))-180),IF(Q640&gt;0,90,IF(Q640&lt;0,-90,0)))))</f>
        <v/>
      </c>
      <c r="T640" s="195">
        <f>IF(B640="","",LOG10(B640))</f>
        <v/>
      </c>
      <c r="U640" s="195">
        <f>IF(R640="","",LOG10(MAX(R640,1E-12)))</f>
        <v/>
      </c>
    </row>
    <row r="641">
      <c r="A641" t="n">
        <v>638</v>
      </c>
      <c r="B641" s="196">
        <f>IF(A641&lt;='入力・概要'!$B$40,10^(LOG10('入力・概要'!$B$38)+(A641-1)*(LOG10('入力・概要'!$B$39)-LOG10('入力・概要'!$B$38))/('入力・概要'!$B$40-1)),"")</f>
        <v/>
      </c>
      <c r="C641" s="195">
        <f>IF(B641="","",2*PI()*B641)</f>
        <v/>
      </c>
      <c r="D641" s="195">
        <f>IF(B641="","",ATANH(MIN(0.999999,(2*'入力・概要'!$B$17*'入力・概要'!$B$6)/'入力・概要'!$B$30))+'入力・概要'!$B$33*SQRT(B641/1E6)+(2*PI()*B641*'入力・概要'!$B$6/(299792458*'入力・概要'!$B$31))*'入力・概要'!$B$32/2)</f>
        <v/>
      </c>
      <c r="E641" s="195">
        <f>IF(B641="","",2*PI()*B641*'入力・概要'!$B$6/(299792458*'入力・概要'!$B$31))</f>
        <v/>
      </c>
      <c r="F641" s="195">
        <f>IF(B641="","",SINH(2*D641)/(COSH(2*D641)+COS(2*E641)))</f>
        <v/>
      </c>
      <c r="G641" s="195">
        <f>IF(B641="","",SIN(2*E641)/(COSH(2*D641)+COS(2*E641)))</f>
        <v/>
      </c>
      <c r="H641" s="195">
        <f>IF(B641="","",'入力・概要'!$B$34)</f>
        <v/>
      </c>
      <c r="I641" s="195">
        <f>IF(B641="","",C641*'入力・概要'!$B$35*1E-9)</f>
        <v/>
      </c>
      <c r="J641" s="195">
        <f>IF(B641="","",H641+'入力・概要'!$B$30*F641)</f>
        <v/>
      </c>
      <c r="K641" s="195">
        <f>IF(B641="","",I641+'入力・概要'!$B$30*G641)</f>
        <v/>
      </c>
      <c r="L641" s="195">
        <f>IF(B641="","",'入力・概要'!$B$30+H641*F641-I641*G641)</f>
        <v/>
      </c>
      <c r="M641" s="195">
        <f>IF(B641="","",H641*G641+I641*F641)</f>
        <v/>
      </c>
      <c r="N641" s="195">
        <f>IF(B641="","",'入力・概要'!$B$30*(J641*L641+K641*M641)/(L641^2+M641^2))</f>
        <v/>
      </c>
      <c r="O641" s="195">
        <f>IF(B641="","",'入力・概要'!$B$30*(K641*L641-J641*M641)/(L641^2+M641^2))</f>
        <v/>
      </c>
      <c r="P641" s="195">
        <f>IF(B641="","",N641+'入力・概要'!$B$36)</f>
        <v/>
      </c>
      <c r="Q641" s="195">
        <f>IF(B641="","",O641+C641*'入力・概要'!$B$37*1E-9)</f>
        <v/>
      </c>
      <c r="R641" s="195">
        <f>IF(B641="","",SQRT(P641^2+Q641^2))</f>
        <v/>
      </c>
      <c r="S641" s="195">
        <f>IF(B641="","",IF(P641&gt;0,DEGREES(ATAN(Q641/P641)),IF(P641&lt;0,IF(Q641&gt;=0,DEGREES(ATAN(Q641/P641))+180,DEGREES(ATAN(Q641/P641))-180),IF(Q641&gt;0,90,IF(Q641&lt;0,-90,0)))))</f>
        <v/>
      </c>
      <c r="T641" s="195">
        <f>IF(B641="","",LOG10(B641))</f>
        <v/>
      </c>
      <c r="U641" s="195">
        <f>IF(R641="","",LOG10(MAX(R641,1E-12)))</f>
        <v/>
      </c>
    </row>
    <row r="642">
      <c r="A642" t="n">
        <v>639</v>
      </c>
      <c r="B642" s="196">
        <f>IF(A642&lt;='入力・概要'!$B$40,10^(LOG10('入力・概要'!$B$38)+(A642-1)*(LOG10('入力・概要'!$B$39)-LOG10('入力・概要'!$B$38))/('入力・概要'!$B$40-1)),"")</f>
        <v/>
      </c>
      <c r="C642" s="195">
        <f>IF(B642="","",2*PI()*B642)</f>
        <v/>
      </c>
      <c r="D642" s="195">
        <f>IF(B642="","",ATANH(MIN(0.999999,(2*'入力・概要'!$B$17*'入力・概要'!$B$6)/'入力・概要'!$B$30))+'入力・概要'!$B$33*SQRT(B642/1E6)+(2*PI()*B642*'入力・概要'!$B$6/(299792458*'入力・概要'!$B$31))*'入力・概要'!$B$32/2)</f>
        <v/>
      </c>
      <c r="E642" s="195">
        <f>IF(B642="","",2*PI()*B642*'入力・概要'!$B$6/(299792458*'入力・概要'!$B$31))</f>
        <v/>
      </c>
      <c r="F642" s="195">
        <f>IF(B642="","",SINH(2*D642)/(COSH(2*D642)+COS(2*E642)))</f>
        <v/>
      </c>
      <c r="G642" s="195">
        <f>IF(B642="","",SIN(2*E642)/(COSH(2*D642)+COS(2*E642)))</f>
        <v/>
      </c>
      <c r="H642" s="195">
        <f>IF(B642="","",'入力・概要'!$B$34)</f>
        <v/>
      </c>
      <c r="I642" s="195">
        <f>IF(B642="","",C642*'入力・概要'!$B$35*1E-9)</f>
        <v/>
      </c>
      <c r="J642" s="195">
        <f>IF(B642="","",H642+'入力・概要'!$B$30*F642)</f>
        <v/>
      </c>
      <c r="K642" s="195">
        <f>IF(B642="","",I642+'入力・概要'!$B$30*G642)</f>
        <v/>
      </c>
      <c r="L642" s="195">
        <f>IF(B642="","",'入力・概要'!$B$30+H642*F642-I642*G642)</f>
        <v/>
      </c>
      <c r="M642" s="195">
        <f>IF(B642="","",H642*G642+I642*F642)</f>
        <v/>
      </c>
      <c r="N642" s="195">
        <f>IF(B642="","",'入力・概要'!$B$30*(J642*L642+K642*M642)/(L642^2+M642^2))</f>
        <v/>
      </c>
      <c r="O642" s="195">
        <f>IF(B642="","",'入力・概要'!$B$30*(K642*L642-J642*M642)/(L642^2+M642^2))</f>
        <v/>
      </c>
      <c r="P642" s="195">
        <f>IF(B642="","",N642+'入力・概要'!$B$36)</f>
        <v/>
      </c>
      <c r="Q642" s="195">
        <f>IF(B642="","",O642+C642*'入力・概要'!$B$37*1E-9)</f>
        <v/>
      </c>
      <c r="R642" s="195">
        <f>IF(B642="","",SQRT(P642^2+Q642^2))</f>
        <v/>
      </c>
      <c r="S642" s="195">
        <f>IF(B642="","",IF(P642&gt;0,DEGREES(ATAN(Q642/P642)),IF(P642&lt;0,IF(Q642&gt;=0,DEGREES(ATAN(Q642/P642))+180,DEGREES(ATAN(Q642/P642))-180),IF(Q642&gt;0,90,IF(Q642&lt;0,-90,0)))))</f>
        <v/>
      </c>
      <c r="T642" s="195">
        <f>IF(B642="","",LOG10(B642))</f>
        <v/>
      </c>
      <c r="U642" s="195">
        <f>IF(R642="","",LOG10(MAX(R642,1E-12)))</f>
        <v/>
      </c>
    </row>
    <row r="643">
      <c r="A643" t="n">
        <v>640</v>
      </c>
      <c r="B643" s="196">
        <f>IF(A643&lt;='入力・概要'!$B$40,10^(LOG10('入力・概要'!$B$38)+(A643-1)*(LOG10('入力・概要'!$B$39)-LOG10('入力・概要'!$B$38))/('入力・概要'!$B$40-1)),"")</f>
        <v/>
      </c>
      <c r="C643" s="195">
        <f>IF(B643="","",2*PI()*B643)</f>
        <v/>
      </c>
      <c r="D643" s="195">
        <f>IF(B643="","",ATANH(MIN(0.999999,(2*'入力・概要'!$B$17*'入力・概要'!$B$6)/'入力・概要'!$B$30))+'入力・概要'!$B$33*SQRT(B643/1E6)+(2*PI()*B643*'入力・概要'!$B$6/(299792458*'入力・概要'!$B$31))*'入力・概要'!$B$32/2)</f>
        <v/>
      </c>
      <c r="E643" s="195">
        <f>IF(B643="","",2*PI()*B643*'入力・概要'!$B$6/(299792458*'入力・概要'!$B$31))</f>
        <v/>
      </c>
      <c r="F643" s="195">
        <f>IF(B643="","",SINH(2*D643)/(COSH(2*D643)+COS(2*E643)))</f>
        <v/>
      </c>
      <c r="G643" s="195">
        <f>IF(B643="","",SIN(2*E643)/(COSH(2*D643)+COS(2*E643)))</f>
        <v/>
      </c>
      <c r="H643" s="195">
        <f>IF(B643="","",'入力・概要'!$B$34)</f>
        <v/>
      </c>
      <c r="I643" s="195">
        <f>IF(B643="","",C643*'入力・概要'!$B$35*1E-9)</f>
        <v/>
      </c>
      <c r="J643" s="195">
        <f>IF(B643="","",H643+'入力・概要'!$B$30*F643)</f>
        <v/>
      </c>
      <c r="K643" s="195">
        <f>IF(B643="","",I643+'入力・概要'!$B$30*G643)</f>
        <v/>
      </c>
      <c r="L643" s="195">
        <f>IF(B643="","",'入力・概要'!$B$30+H643*F643-I643*G643)</f>
        <v/>
      </c>
      <c r="M643" s="195">
        <f>IF(B643="","",H643*G643+I643*F643)</f>
        <v/>
      </c>
      <c r="N643" s="195">
        <f>IF(B643="","",'入力・概要'!$B$30*(J643*L643+K643*M643)/(L643^2+M643^2))</f>
        <v/>
      </c>
      <c r="O643" s="195">
        <f>IF(B643="","",'入力・概要'!$B$30*(K643*L643-J643*M643)/(L643^2+M643^2))</f>
        <v/>
      </c>
      <c r="P643" s="195">
        <f>IF(B643="","",N643+'入力・概要'!$B$36)</f>
        <v/>
      </c>
      <c r="Q643" s="195">
        <f>IF(B643="","",O643+C643*'入力・概要'!$B$37*1E-9)</f>
        <v/>
      </c>
      <c r="R643" s="195">
        <f>IF(B643="","",SQRT(P643^2+Q643^2))</f>
        <v/>
      </c>
      <c r="S643" s="195">
        <f>IF(B643="","",IF(P643&gt;0,DEGREES(ATAN(Q643/P643)),IF(P643&lt;0,IF(Q643&gt;=0,DEGREES(ATAN(Q643/P643))+180,DEGREES(ATAN(Q643/P643))-180),IF(Q643&gt;0,90,IF(Q643&lt;0,-90,0)))))</f>
        <v/>
      </c>
      <c r="T643" s="195">
        <f>IF(B643="","",LOG10(B643))</f>
        <v/>
      </c>
      <c r="U643" s="195">
        <f>IF(R643="","",LOG10(MAX(R643,1E-12)))</f>
        <v/>
      </c>
    </row>
    <row r="644">
      <c r="A644" t="n">
        <v>641</v>
      </c>
      <c r="B644" s="196">
        <f>IF(A644&lt;='入力・概要'!$B$40,10^(LOG10('入力・概要'!$B$38)+(A644-1)*(LOG10('入力・概要'!$B$39)-LOG10('入力・概要'!$B$38))/('入力・概要'!$B$40-1)),"")</f>
        <v/>
      </c>
      <c r="C644" s="195">
        <f>IF(B644="","",2*PI()*B644)</f>
        <v/>
      </c>
      <c r="D644" s="195">
        <f>IF(B644="","",ATANH(MIN(0.999999,(2*'入力・概要'!$B$17*'入力・概要'!$B$6)/'入力・概要'!$B$30))+'入力・概要'!$B$33*SQRT(B644/1E6)+(2*PI()*B644*'入力・概要'!$B$6/(299792458*'入力・概要'!$B$31))*'入力・概要'!$B$32/2)</f>
        <v/>
      </c>
      <c r="E644" s="195">
        <f>IF(B644="","",2*PI()*B644*'入力・概要'!$B$6/(299792458*'入力・概要'!$B$31))</f>
        <v/>
      </c>
      <c r="F644" s="195">
        <f>IF(B644="","",SINH(2*D644)/(COSH(2*D644)+COS(2*E644)))</f>
        <v/>
      </c>
      <c r="G644" s="195">
        <f>IF(B644="","",SIN(2*E644)/(COSH(2*D644)+COS(2*E644)))</f>
        <v/>
      </c>
      <c r="H644" s="195">
        <f>IF(B644="","",'入力・概要'!$B$34)</f>
        <v/>
      </c>
      <c r="I644" s="195">
        <f>IF(B644="","",C644*'入力・概要'!$B$35*1E-9)</f>
        <v/>
      </c>
      <c r="J644" s="195">
        <f>IF(B644="","",H644+'入力・概要'!$B$30*F644)</f>
        <v/>
      </c>
      <c r="K644" s="195">
        <f>IF(B644="","",I644+'入力・概要'!$B$30*G644)</f>
        <v/>
      </c>
      <c r="L644" s="195">
        <f>IF(B644="","",'入力・概要'!$B$30+H644*F644-I644*G644)</f>
        <v/>
      </c>
      <c r="M644" s="195">
        <f>IF(B644="","",H644*G644+I644*F644)</f>
        <v/>
      </c>
      <c r="N644" s="195">
        <f>IF(B644="","",'入力・概要'!$B$30*(J644*L644+K644*M644)/(L644^2+M644^2))</f>
        <v/>
      </c>
      <c r="O644" s="195">
        <f>IF(B644="","",'入力・概要'!$B$30*(K644*L644-J644*M644)/(L644^2+M644^2))</f>
        <v/>
      </c>
      <c r="P644" s="195">
        <f>IF(B644="","",N644+'入力・概要'!$B$36)</f>
        <v/>
      </c>
      <c r="Q644" s="195">
        <f>IF(B644="","",O644+C644*'入力・概要'!$B$37*1E-9)</f>
        <v/>
      </c>
      <c r="R644" s="195">
        <f>IF(B644="","",SQRT(P644^2+Q644^2))</f>
        <v/>
      </c>
      <c r="S644" s="195">
        <f>IF(B644="","",IF(P644&gt;0,DEGREES(ATAN(Q644/P644)),IF(P644&lt;0,IF(Q644&gt;=0,DEGREES(ATAN(Q644/P644))+180,DEGREES(ATAN(Q644/P644))-180),IF(Q644&gt;0,90,IF(Q644&lt;0,-90,0)))))</f>
        <v/>
      </c>
      <c r="T644" s="195">
        <f>IF(B644="","",LOG10(B644))</f>
        <v/>
      </c>
      <c r="U644" s="195">
        <f>IF(R644="","",LOG10(MAX(R644,1E-12)))</f>
        <v/>
      </c>
    </row>
    <row r="645">
      <c r="A645" t="n">
        <v>642</v>
      </c>
      <c r="B645" s="196">
        <f>IF(A645&lt;='入力・概要'!$B$40,10^(LOG10('入力・概要'!$B$38)+(A645-1)*(LOG10('入力・概要'!$B$39)-LOG10('入力・概要'!$B$38))/('入力・概要'!$B$40-1)),"")</f>
        <v/>
      </c>
      <c r="C645" s="195">
        <f>IF(B645="","",2*PI()*B645)</f>
        <v/>
      </c>
      <c r="D645" s="195">
        <f>IF(B645="","",ATANH(MIN(0.999999,(2*'入力・概要'!$B$17*'入力・概要'!$B$6)/'入力・概要'!$B$30))+'入力・概要'!$B$33*SQRT(B645/1E6)+(2*PI()*B645*'入力・概要'!$B$6/(299792458*'入力・概要'!$B$31))*'入力・概要'!$B$32/2)</f>
        <v/>
      </c>
      <c r="E645" s="195">
        <f>IF(B645="","",2*PI()*B645*'入力・概要'!$B$6/(299792458*'入力・概要'!$B$31))</f>
        <v/>
      </c>
      <c r="F645" s="195">
        <f>IF(B645="","",SINH(2*D645)/(COSH(2*D645)+COS(2*E645)))</f>
        <v/>
      </c>
      <c r="G645" s="195">
        <f>IF(B645="","",SIN(2*E645)/(COSH(2*D645)+COS(2*E645)))</f>
        <v/>
      </c>
      <c r="H645" s="195">
        <f>IF(B645="","",'入力・概要'!$B$34)</f>
        <v/>
      </c>
      <c r="I645" s="195">
        <f>IF(B645="","",C645*'入力・概要'!$B$35*1E-9)</f>
        <v/>
      </c>
      <c r="J645" s="195">
        <f>IF(B645="","",H645+'入力・概要'!$B$30*F645)</f>
        <v/>
      </c>
      <c r="K645" s="195">
        <f>IF(B645="","",I645+'入力・概要'!$B$30*G645)</f>
        <v/>
      </c>
      <c r="L645" s="195">
        <f>IF(B645="","",'入力・概要'!$B$30+H645*F645-I645*G645)</f>
        <v/>
      </c>
      <c r="M645" s="195">
        <f>IF(B645="","",H645*G645+I645*F645)</f>
        <v/>
      </c>
      <c r="N645" s="195">
        <f>IF(B645="","",'入力・概要'!$B$30*(J645*L645+K645*M645)/(L645^2+M645^2))</f>
        <v/>
      </c>
      <c r="O645" s="195">
        <f>IF(B645="","",'入力・概要'!$B$30*(K645*L645-J645*M645)/(L645^2+M645^2))</f>
        <v/>
      </c>
      <c r="P645" s="195">
        <f>IF(B645="","",N645+'入力・概要'!$B$36)</f>
        <v/>
      </c>
      <c r="Q645" s="195">
        <f>IF(B645="","",O645+C645*'入力・概要'!$B$37*1E-9)</f>
        <v/>
      </c>
      <c r="R645" s="195">
        <f>IF(B645="","",SQRT(P645^2+Q645^2))</f>
        <v/>
      </c>
      <c r="S645" s="195">
        <f>IF(B645="","",IF(P645&gt;0,DEGREES(ATAN(Q645/P645)),IF(P645&lt;0,IF(Q645&gt;=0,DEGREES(ATAN(Q645/P645))+180,DEGREES(ATAN(Q645/P645))-180),IF(Q645&gt;0,90,IF(Q645&lt;0,-90,0)))))</f>
        <v/>
      </c>
      <c r="T645" s="195">
        <f>IF(B645="","",LOG10(B645))</f>
        <v/>
      </c>
      <c r="U645" s="195">
        <f>IF(R645="","",LOG10(MAX(R645,1E-12)))</f>
        <v/>
      </c>
    </row>
    <row r="646">
      <c r="A646" t="n">
        <v>643</v>
      </c>
      <c r="B646" s="196">
        <f>IF(A646&lt;='入力・概要'!$B$40,10^(LOG10('入力・概要'!$B$38)+(A646-1)*(LOG10('入力・概要'!$B$39)-LOG10('入力・概要'!$B$38))/('入力・概要'!$B$40-1)),"")</f>
        <v/>
      </c>
      <c r="C646" s="195">
        <f>IF(B646="","",2*PI()*B646)</f>
        <v/>
      </c>
      <c r="D646" s="195">
        <f>IF(B646="","",ATANH(MIN(0.999999,(2*'入力・概要'!$B$17*'入力・概要'!$B$6)/'入力・概要'!$B$30))+'入力・概要'!$B$33*SQRT(B646/1E6)+(2*PI()*B646*'入力・概要'!$B$6/(299792458*'入力・概要'!$B$31))*'入力・概要'!$B$32/2)</f>
        <v/>
      </c>
      <c r="E646" s="195">
        <f>IF(B646="","",2*PI()*B646*'入力・概要'!$B$6/(299792458*'入力・概要'!$B$31))</f>
        <v/>
      </c>
      <c r="F646" s="195">
        <f>IF(B646="","",SINH(2*D646)/(COSH(2*D646)+COS(2*E646)))</f>
        <v/>
      </c>
      <c r="G646" s="195">
        <f>IF(B646="","",SIN(2*E646)/(COSH(2*D646)+COS(2*E646)))</f>
        <v/>
      </c>
      <c r="H646" s="195">
        <f>IF(B646="","",'入力・概要'!$B$34)</f>
        <v/>
      </c>
      <c r="I646" s="195">
        <f>IF(B646="","",C646*'入力・概要'!$B$35*1E-9)</f>
        <v/>
      </c>
      <c r="J646" s="195">
        <f>IF(B646="","",H646+'入力・概要'!$B$30*F646)</f>
        <v/>
      </c>
      <c r="K646" s="195">
        <f>IF(B646="","",I646+'入力・概要'!$B$30*G646)</f>
        <v/>
      </c>
      <c r="L646" s="195">
        <f>IF(B646="","",'入力・概要'!$B$30+H646*F646-I646*G646)</f>
        <v/>
      </c>
      <c r="M646" s="195">
        <f>IF(B646="","",H646*G646+I646*F646)</f>
        <v/>
      </c>
      <c r="N646" s="195">
        <f>IF(B646="","",'入力・概要'!$B$30*(J646*L646+K646*M646)/(L646^2+M646^2))</f>
        <v/>
      </c>
      <c r="O646" s="195">
        <f>IF(B646="","",'入力・概要'!$B$30*(K646*L646-J646*M646)/(L646^2+M646^2))</f>
        <v/>
      </c>
      <c r="P646" s="195">
        <f>IF(B646="","",N646+'入力・概要'!$B$36)</f>
        <v/>
      </c>
      <c r="Q646" s="195">
        <f>IF(B646="","",O646+C646*'入力・概要'!$B$37*1E-9)</f>
        <v/>
      </c>
      <c r="R646" s="195">
        <f>IF(B646="","",SQRT(P646^2+Q646^2))</f>
        <v/>
      </c>
      <c r="S646" s="195">
        <f>IF(B646="","",IF(P646&gt;0,DEGREES(ATAN(Q646/P646)),IF(P646&lt;0,IF(Q646&gt;=0,DEGREES(ATAN(Q646/P646))+180,DEGREES(ATAN(Q646/P646))-180),IF(Q646&gt;0,90,IF(Q646&lt;0,-90,0)))))</f>
        <v/>
      </c>
      <c r="T646" s="195">
        <f>IF(B646="","",LOG10(B646))</f>
        <v/>
      </c>
      <c r="U646" s="195">
        <f>IF(R646="","",LOG10(MAX(R646,1E-12)))</f>
        <v/>
      </c>
    </row>
    <row r="647">
      <c r="A647" t="n">
        <v>644</v>
      </c>
      <c r="B647" s="196">
        <f>IF(A647&lt;='入力・概要'!$B$40,10^(LOG10('入力・概要'!$B$38)+(A647-1)*(LOG10('入力・概要'!$B$39)-LOG10('入力・概要'!$B$38))/('入力・概要'!$B$40-1)),"")</f>
        <v/>
      </c>
      <c r="C647" s="195">
        <f>IF(B647="","",2*PI()*B647)</f>
        <v/>
      </c>
      <c r="D647" s="195">
        <f>IF(B647="","",ATANH(MIN(0.999999,(2*'入力・概要'!$B$17*'入力・概要'!$B$6)/'入力・概要'!$B$30))+'入力・概要'!$B$33*SQRT(B647/1E6)+(2*PI()*B647*'入力・概要'!$B$6/(299792458*'入力・概要'!$B$31))*'入力・概要'!$B$32/2)</f>
        <v/>
      </c>
      <c r="E647" s="195">
        <f>IF(B647="","",2*PI()*B647*'入力・概要'!$B$6/(299792458*'入力・概要'!$B$31))</f>
        <v/>
      </c>
      <c r="F647" s="195">
        <f>IF(B647="","",SINH(2*D647)/(COSH(2*D647)+COS(2*E647)))</f>
        <v/>
      </c>
      <c r="G647" s="195">
        <f>IF(B647="","",SIN(2*E647)/(COSH(2*D647)+COS(2*E647)))</f>
        <v/>
      </c>
      <c r="H647" s="195">
        <f>IF(B647="","",'入力・概要'!$B$34)</f>
        <v/>
      </c>
      <c r="I647" s="195">
        <f>IF(B647="","",C647*'入力・概要'!$B$35*1E-9)</f>
        <v/>
      </c>
      <c r="J647" s="195">
        <f>IF(B647="","",H647+'入力・概要'!$B$30*F647)</f>
        <v/>
      </c>
      <c r="K647" s="195">
        <f>IF(B647="","",I647+'入力・概要'!$B$30*G647)</f>
        <v/>
      </c>
      <c r="L647" s="195">
        <f>IF(B647="","",'入力・概要'!$B$30+H647*F647-I647*G647)</f>
        <v/>
      </c>
      <c r="M647" s="195">
        <f>IF(B647="","",H647*G647+I647*F647)</f>
        <v/>
      </c>
      <c r="N647" s="195">
        <f>IF(B647="","",'入力・概要'!$B$30*(J647*L647+K647*M647)/(L647^2+M647^2))</f>
        <v/>
      </c>
      <c r="O647" s="195">
        <f>IF(B647="","",'入力・概要'!$B$30*(K647*L647-J647*M647)/(L647^2+M647^2))</f>
        <v/>
      </c>
      <c r="P647" s="195">
        <f>IF(B647="","",N647+'入力・概要'!$B$36)</f>
        <v/>
      </c>
      <c r="Q647" s="195">
        <f>IF(B647="","",O647+C647*'入力・概要'!$B$37*1E-9)</f>
        <v/>
      </c>
      <c r="R647" s="195">
        <f>IF(B647="","",SQRT(P647^2+Q647^2))</f>
        <v/>
      </c>
      <c r="S647" s="195">
        <f>IF(B647="","",IF(P647&gt;0,DEGREES(ATAN(Q647/P647)),IF(P647&lt;0,IF(Q647&gt;=0,DEGREES(ATAN(Q647/P647))+180,DEGREES(ATAN(Q647/P647))-180),IF(Q647&gt;0,90,IF(Q647&lt;0,-90,0)))))</f>
        <v/>
      </c>
      <c r="T647" s="195">
        <f>IF(B647="","",LOG10(B647))</f>
        <v/>
      </c>
      <c r="U647" s="195">
        <f>IF(R647="","",LOG10(MAX(R647,1E-12)))</f>
        <v/>
      </c>
    </row>
    <row r="648">
      <c r="A648" t="n">
        <v>645</v>
      </c>
      <c r="B648" s="196">
        <f>IF(A648&lt;='入力・概要'!$B$40,10^(LOG10('入力・概要'!$B$38)+(A648-1)*(LOG10('入力・概要'!$B$39)-LOG10('入力・概要'!$B$38))/('入力・概要'!$B$40-1)),"")</f>
        <v/>
      </c>
      <c r="C648" s="195">
        <f>IF(B648="","",2*PI()*B648)</f>
        <v/>
      </c>
      <c r="D648" s="195">
        <f>IF(B648="","",ATANH(MIN(0.999999,(2*'入力・概要'!$B$17*'入力・概要'!$B$6)/'入力・概要'!$B$30))+'入力・概要'!$B$33*SQRT(B648/1E6)+(2*PI()*B648*'入力・概要'!$B$6/(299792458*'入力・概要'!$B$31))*'入力・概要'!$B$32/2)</f>
        <v/>
      </c>
      <c r="E648" s="195">
        <f>IF(B648="","",2*PI()*B648*'入力・概要'!$B$6/(299792458*'入力・概要'!$B$31))</f>
        <v/>
      </c>
      <c r="F648" s="195">
        <f>IF(B648="","",SINH(2*D648)/(COSH(2*D648)+COS(2*E648)))</f>
        <v/>
      </c>
      <c r="G648" s="195">
        <f>IF(B648="","",SIN(2*E648)/(COSH(2*D648)+COS(2*E648)))</f>
        <v/>
      </c>
      <c r="H648" s="195">
        <f>IF(B648="","",'入力・概要'!$B$34)</f>
        <v/>
      </c>
      <c r="I648" s="195">
        <f>IF(B648="","",C648*'入力・概要'!$B$35*1E-9)</f>
        <v/>
      </c>
      <c r="J648" s="195">
        <f>IF(B648="","",H648+'入力・概要'!$B$30*F648)</f>
        <v/>
      </c>
      <c r="K648" s="195">
        <f>IF(B648="","",I648+'入力・概要'!$B$30*G648)</f>
        <v/>
      </c>
      <c r="L648" s="195">
        <f>IF(B648="","",'入力・概要'!$B$30+H648*F648-I648*G648)</f>
        <v/>
      </c>
      <c r="M648" s="195">
        <f>IF(B648="","",H648*G648+I648*F648)</f>
        <v/>
      </c>
      <c r="N648" s="195">
        <f>IF(B648="","",'入力・概要'!$B$30*(J648*L648+K648*M648)/(L648^2+M648^2))</f>
        <v/>
      </c>
      <c r="O648" s="195">
        <f>IF(B648="","",'入力・概要'!$B$30*(K648*L648-J648*M648)/(L648^2+M648^2))</f>
        <v/>
      </c>
      <c r="P648" s="195">
        <f>IF(B648="","",N648+'入力・概要'!$B$36)</f>
        <v/>
      </c>
      <c r="Q648" s="195">
        <f>IF(B648="","",O648+C648*'入力・概要'!$B$37*1E-9)</f>
        <v/>
      </c>
      <c r="R648" s="195">
        <f>IF(B648="","",SQRT(P648^2+Q648^2))</f>
        <v/>
      </c>
      <c r="S648" s="195">
        <f>IF(B648="","",IF(P648&gt;0,DEGREES(ATAN(Q648/P648)),IF(P648&lt;0,IF(Q648&gt;=0,DEGREES(ATAN(Q648/P648))+180,DEGREES(ATAN(Q648/P648))-180),IF(Q648&gt;0,90,IF(Q648&lt;0,-90,0)))))</f>
        <v/>
      </c>
      <c r="T648" s="195">
        <f>IF(B648="","",LOG10(B648))</f>
        <v/>
      </c>
      <c r="U648" s="195">
        <f>IF(R648="","",LOG10(MAX(R648,1E-12)))</f>
        <v/>
      </c>
    </row>
    <row r="649">
      <c r="A649" t="n">
        <v>646</v>
      </c>
      <c r="B649" s="196">
        <f>IF(A649&lt;='入力・概要'!$B$40,10^(LOG10('入力・概要'!$B$38)+(A649-1)*(LOG10('入力・概要'!$B$39)-LOG10('入力・概要'!$B$38))/('入力・概要'!$B$40-1)),"")</f>
        <v/>
      </c>
      <c r="C649" s="195">
        <f>IF(B649="","",2*PI()*B649)</f>
        <v/>
      </c>
      <c r="D649" s="195">
        <f>IF(B649="","",ATANH(MIN(0.999999,(2*'入力・概要'!$B$17*'入力・概要'!$B$6)/'入力・概要'!$B$30))+'入力・概要'!$B$33*SQRT(B649/1E6)+(2*PI()*B649*'入力・概要'!$B$6/(299792458*'入力・概要'!$B$31))*'入力・概要'!$B$32/2)</f>
        <v/>
      </c>
      <c r="E649" s="195">
        <f>IF(B649="","",2*PI()*B649*'入力・概要'!$B$6/(299792458*'入力・概要'!$B$31))</f>
        <v/>
      </c>
      <c r="F649" s="195">
        <f>IF(B649="","",SINH(2*D649)/(COSH(2*D649)+COS(2*E649)))</f>
        <v/>
      </c>
      <c r="G649" s="195">
        <f>IF(B649="","",SIN(2*E649)/(COSH(2*D649)+COS(2*E649)))</f>
        <v/>
      </c>
      <c r="H649" s="195">
        <f>IF(B649="","",'入力・概要'!$B$34)</f>
        <v/>
      </c>
      <c r="I649" s="195">
        <f>IF(B649="","",C649*'入力・概要'!$B$35*1E-9)</f>
        <v/>
      </c>
      <c r="J649" s="195">
        <f>IF(B649="","",H649+'入力・概要'!$B$30*F649)</f>
        <v/>
      </c>
      <c r="K649" s="195">
        <f>IF(B649="","",I649+'入力・概要'!$B$30*G649)</f>
        <v/>
      </c>
      <c r="L649" s="195">
        <f>IF(B649="","",'入力・概要'!$B$30+H649*F649-I649*G649)</f>
        <v/>
      </c>
      <c r="M649" s="195">
        <f>IF(B649="","",H649*G649+I649*F649)</f>
        <v/>
      </c>
      <c r="N649" s="195">
        <f>IF(B649="","",'入力・概要'!$B$30*(J649*L649+K649*M649)/(L649^2+M649^2))</f>
        <v/>
      </c>
      <c r="O649" s="195">
        <f>IF(B649="","",'入力・概要'!$B$30*(K649*L649-J649*M649)/(L649^2+M649^2))</f>
        <v/>
      </c>
      <c r="P649" s="195">
        <f>IF(B649="","",N649+'入力・概要'!$B$36)</f>
        <v/>
      </c>
      <c r="Q649" s="195">
        <f>IF(B649="","",O649+C649*'入力・概要'!$B$37*1E-9)</f>
        <v/>
      </c>
      <c r="R649" s="195">
        <f>IF(B649="","",SQRT(P649^2+Q649^2))</f>
        <v/>
      </c>
      <c r="S649" s="195">
        <f>IF(B649="","",IF(P649&gt;0,DEGREES(ATAN(Q649/P649)),IF(P649&lt;0,IF(Q649&gt;=0,DEGREES(ATAN(Q649/P649))+180,DEGREES(ATAN(Q649/P649))-180),IF(Q649&gt;0,90,IF(Q649&lt;0,-90,0)))))</f>
        <v/>
      </c>
      <c r="T649" s="195">
        <f>IF(B649="","",LOG10(B649))</f>
        <v/>
      </c>
      <c r="U649" s="195">
        <f>IF(R649="","",LOG10(MAX(R649,1E-12)))</f>
        <v/>
      </c>
    </row>
    <row r="650">
      <c r="A650" t="n">
        <v>647</v>
      </c>
      <c r="B650" s="196">
        <f>IF(A650&lt;='入力・概要'!$B$40,10^(LOG10('入力・概要'!$B$38)+(A650-1)*(LOG10('入力・概要'!$B$39)-LOG10('入力・概要'!$B$38))/('入力・概要'!$B$40-1)),"")</f>
        <v/>
      </c>
      <c r="C650" s="195">
        <f>IF(B650="","",2*PI()*B650)</f>
        <v/>
      </c>
      <c r="D650" s="195">
        <f>IF(B650="","",ATANH(MIN(0.999999,(2*'入力・概要'!$B$17*'入力・概要'!$B$6)/'入力・概要'!$B$30))+'入力・概要'!$B$33*SQRT(B650/1E6)+(2*PI()*B650*'入力・概要'!$B$6/(299792458*'入力・概要'!$B$31))*'入力・概要'!$B$32/2)</f>
        <v/>
      </c>
      <c r="E650" s="195">
        <f>IF(B650="","",2*PI()*B650*'入力・概要'!$B$6/(299792458*'入力・概要'!$B$31))</f>
        <v/>
      </c>
      <c r="F650" s="195">
        <f>IF(B650="","",SINH(2*D650)/(COSH(2*D650)+COS(2*E650)))</f>
        <v/>
      </c>
      <c r="G650" s="195">
        <f>IF(B650="","",SIN(2*E650)/(COSH(2*D650)+COS(2*E650)))</f>
        <v/>
      </c>
      <c r="H650" s="195">
        <f>IF(B650="","",'入力・概要'!$B$34)</f>
        <v/>
      </c>
      <c r="I650" s="195">
        <f>IF(B650="","",C650*'入力・概要'!$B$35*1E-9)</f>
        <v/>
      </c>
      <c r="J650" s="195">
        <f>IF(B650="","",H650+'入力・概要'!$B$30*F650)</f>
        <v/>
      </c>
      <c r="K650" s="195">
        <f>IF(B650="","",I650+'入力・概要'!$B$30*G650)</f>
        <v/>
      </c>
      <c r="L650" s="195">
        <f>IF(B650="","",'入力・概要'!$B$30+H650*F650-I650*G650)</f>
        <v/>
      </c>
      <c r="M650" s="195">
        <f>IF(B650="","",H650*G650+I650*F650)</f>
        <v/>
      </c>
      <c r="N650" s="195">
        <f>IF(B650="","",'入力・概要'!$B$30*(J650*L650+K650*M650)/(L650^2+M650^2))</f>
        <v/>
      </c>
      <c r="O650" s="195">
        <f>IF(B650="","",'入力・概要'!$B$30*(K650*L650-J650*M650)/(L650^2+M650^2))</f>
        <v/>
      </c>
      <c r="P650" s="195">
        <f>IF(B650="","",N650+'入力・概要'!$B$36)</f>
        <v/>
      </c>
      <c r="Q650" s="195">
        <f>IF(B650="","",O650+C650*'入力・概要'!$B$37*1E-9)</f>
        <v/>
      </c>
      <c r="R650" s="195">
        <f>IF(B650="","",SQRT(P650^2+Q650^2))</f>
        <v/>
      </c>
      <c r="S650" s="195">
        <f>IF(B650="","",IF(P650&gt;0,DEGREES(ATAN(Q650/P650)),IF(P650&lt;0,IF(Q650&gt;=0,DEGREES(ATAN(Q650/P650))+180,DEGREES(ATAN(Q650/P650))-180),IF(Q650&gt;0,90,IF(Q650&lt;0,-90,0)))))</f>
        <v/>
      </c>
      <c r="T650" s="195">
        <f>IF(B650="","",LOG10(B650))</f>
        <v/>
      </c>
      <c r="U650" s="195">
        <f>IF(R650="","",LOG10(MAX(R650,1E-12)))</f>
        <v/>
      </c>
    </row>
    <row r="651">
      <c r="A651" t="n">
        <v>648</v>
      </c>
      <c r="B651" s="196">
        <f>IF(A651&lt;='入力・概要'!$B$40,10^(LOG10('入力・概要'!$B$38)+(A651-1)*(LOG10('入力・概要'!$B$39)-LOG10('入力・概要'!$B$38))/('入力・概要'!$B$40-1)),"")</f>
        <v/>
      </c>
      <c r="C651" s="195">
        <f>IF(B651="","",2*PI()*B651)</f>
        <v/>
      </c>
      <c r="D651" s="195">
        <f>IF(B651="","",ATANH(MIN(0.999999,(2*'入力・概要'!$B$17*'入力・概要'!$B$6)/'入力・概要'!$B$30))+'入力・概要'!$B$33*SQRT(B651/1E6)+(2*PI()*B651*'入力・概要'!$B$6/(299792458*'入力・概要'!$B$31))*'入力・概要'!$B$32/2)</f>
        <v/>
      </c>
      <c r="E651" s="195">
        <f>IF(B651="","",2*PI()*B651*'入力・概要'!$B$6/(299792458*'入力・概要'!$B$31))</f>
        <v/>
      </c>
      <c r="F651" s="195">
        <f>IF(B651="","",SINH(2*D651)/(COSH(2*D651)+COS(2*E651)))</f>
        <v/>
      </c>
      <c r="G651" s="195">
        <f>IF(B651="","",SIN(2*E651)/(COSH(2*D651)+COS(2*E651)))</f>
        <v/>
      </c>
      <c r="H651" s="195">
        <f>IF(B651="","",'入力・概要'!$B$34)</f>
        <v/>
      </c>
      <c r="I651" s="195">
        <f>IF(B651="","",C651*'入力・概要'!$B$35*1E-9)</f>
        <v/>
      </c>
      <c r="J651" s="195">
        <f>IF(B651="","",H651+'入力・概要'!$B$30*F651)</f>
        <v/>
      </c>
      <c r="K651" s="195">
        <f>IF(B651="","",I651+'入力・概要'!$B$30*G651)</f>
        <v/>
      </c>
      <c r="L651" s="195">
        <f>IF(B651="","",'入力・概要'!$B$30+H651*F651-I651*G651)</f>
        <v/>
      </c>
      <c r="M651" s="195">
        <f>IF(B651="","",H651*G651+I651*F651)</f>
        <v/>
      </c>
      <c r="N651" s="195">
        <f>IF(B651="","",'入力・概要'!$B$30*(J651*L651+K651*M651)/(L651^2+M651^2))</f>
        <v/>
      </c>
      <c r="O651" s="195">
        <f>IF(B651="","",'入力・概要'!$B$30*(K651*L651-J651*M651)/(L651^2+M651^2))</f>
        <v/>
      </c>
      <c r="P651" s="195">
        <f>IF(B651="","",N651+'入力・概要'!$B$36)</f>
        <v/>
      </c>
      <c r="Q651" s="195">
        <f>IF(B651="","",O651+C651*'入力・概要'!$B$37*1E-9)</f>
        <v/>
      </c>
      <c r="R651" s="195">
        <f>IF(B651="","",SQRT(P651^2+Q651^2))</f>
        <v/>
      </c>
      <c r="S651" s="195">
        <f>IF(B651="","",IF(P651&gt;0,DEGREES(ATAN(Q651/P651)),IF(P651&lt;0,IF(Q651&gt;=0,DEGREES(ATAN(Q651/P651))+180,DEGREES(ATAN(Q651/P651))-180),IF(Q651&gt;0,90,IF(Q651&lt;0,-90,0)))))</f>
        <v/>
      </c>
      <c r="T651" s="195">
        <f>IF(B651="","",LOG10(B651))</f>
        <v/>
      </c>
      <c r="U651" s="195">
        <f>IF(R651="","",LOG10(MAX(R651,1E-12)))</f>
        <v/>
      </c>
    </row>
    <row r="652">
      <c r="A652" t="n">
        <v>649</v>
      </c>
      <c r="B652" s="196">
        <f>IF(A652&lt;='入力・概要'!$B$40,10^(LOG10('入力・概要'!$B$38)+(A652-1)*(LOG10('入力・概要'!$B$39)-LOG10('入力・概要'!$B$38))/('入力・概要'!$B$40-1)),"")</f>
        <v/>
      </c>
      <c r="C652" s="195">
        <f>IF(B652="","",2*PI()*B652)</f>
        <v/>
      </c>
      <c r="D652" s="195">
        <f>IF(B652="","",ATANH(MIN(0.999999,(2*'入力・概要'!$B$17*'入力・概要'!$B$6)/'入力・概要'!$B$30))+'入力・概要'!$B$33*SQRT(B652/1E6)+(2*PI()*B652*'入力・概要'!$B$6/(299792458*'入力・概要'!$B$31))*'入力・概要'!$B$32/2)</f>
        <v/>
      </c>
      <c r="E652" s="195">
        <f>IF(B652="","",2*PI()*B652*'入力・概要'!$B$6/(299792458*'入力・概要'!$B$31))</f>
        <v/>
      </c>
      <c r="F652" s="195">
        <f>IF(B652="","",SINH(2*D652)/(COSH(2*D652)+COS(2*E652)))</f>
        <v/>
      </c>
      <c r="G652" s="195">
        <f>IF(B652="","",SIN(2*E652)/(COSH(2*D652)+COS(2*E652)))</f>
        <v/>
      </c>
      <c r="H652" s="195">
        <f>IF(B652="","",'入力・概要'!$B$34)</f>
        <v/>
      </c>
      <c r="I652" s="195">
        <f>IF(B652="","",C652*'入力・概要'!$B$35*1E-9)</f>
        <v/>
      </c>
      <c r="J652" s="195">
        <f>IF(B652="","",H652+'入力・概要'!$B$30*F652)</f>
        <v/>
      </c>
      <c r="K652" s="195">
        <f>IF(B652="","",I652+'入力・概要'!$B$30*G652)</f>
        <v/>
      </c>
      <c r="L652" s="195">
        <f>IF(B652="","",'入力・概要'!$B$30+H652*F652-I652*G652)</f>
        <v/>
      </c>
      <c r="M652" s="195">
        <f>IF(B652="","",H652*G652+I652*F652)</f>
        <v/>
      </c>
      <c r="N652" s="195">
        <f>IF(B652="","",'入力・概要'!$B$30*(J652*L652+K652*M652)/(L652^2+M652^2))</f>
        <v/>
      </c>
      <c r="O652" s="195">
        <f>IF(B652="","",'入力・概要'!$B$30*(K652*L652-J652*M652)/(L652^2+M652^2))</f>
        <v/>
      </c>
      <c r="P652" s="195">
        <f>IF(B652="","",N652+'入力・概要'!$B$36)</f>
        <v/>
      </c>
      <c r="Q652" s="195">
        <f>IF(B652="","",O652+C652*'入力・概要'!$B$37*1E-9)</f>
        <v/>
      </c>
      <c r="R652" s="195">
        <f>IF(B652="","",SQRT(P652^2+Q652^2))</f>
        <v/>
      </c>
      <c r="S652" s="195">
        <f>IF(B652="","",IF(P652&gt;0,DEGREES(ATAN(Q652/P652)),IF(P652&lt;0,IF(Q652&gt;=0,DEGREES(ATAN(Q652/P652))+180,DEGREES(ATAN(Q652/P652))-180),IF(Q652&gt;0,90,IF(Q652&lt;0,-90,0)))))</f>
        <v/>
      </c>
      <c r="T652" s="195">
        <f>IF(B652="","",LOG10(B652))</f>
        <v/>
      </c>
      <c r="U652" s="195">
        <f>IF(R652="","",LOG10(MAX(R652,1E-12)))</f>
        <v/>
      </c>
    </row>
    <row r="653">
      <c r="A653" t="n">
        <v>650</v>
      </c>
      <c r="B653" s="196">
        <f>IF(A653&lt;='入力・概要'!$B$40,10^(LOG10('入力・概要'!$B$38)+(A653-1)*(LOG10('入力・概要'!$B$39)-LOG10('入力・概要'!$B$38))/('入力・概要'!$B$40-1)),"")</f>
        <v/>
      </c>
      <c r="C653" s="195">
        <f>IF(B653="","",2*PI()*B653)</f>
        <v/>
      </c>
      <c r="D653" s="195">
        <f>IF(B653="","",ATANH(MIN(0.999999,(2*'入力・概要'!$B$17*'入力・概要'!$B$6)/'入力・概要'!$B$30))+'入力・概要'!$B$33*SQRT(B653/1E6)+(2*PI()*B653*'入力・概要'!$B$6/(299792458*'入力・概要'!$B$31))*'入力・概要'!$B$32/2)</f>
        <v/>
      </c>
      <c r="E653" s="195">
        <f>IF(B653="","",2*PI()*B653*'入力・概要'!$B$6/(299792458*'入力・概要'!$B$31))</f>
        <v/>
      </c>
      <c r="F653" s="195">
        <f>IF(B653="","",SINH(2*D653)/(COSH(2*D653)+COS(2*E653)))</f>
        <v/>
      </c>
      <c r="G653" s="195">
        <f>IF(B653="","",SIN(2*E653)/(COSH(2*D653)+COS(2*E653)))</f>
        <v/>
      </c>
      <c r="H653" s="195">
        <f>IF(B653="","",'入力・概要'!$B$34)</f>
        <v/>
      </c>
      <c r="I653" s="195">
        <f>IF(B653="","",C653*'入力・概要'!$B$35*1E-9)</f>
        <v/>
      </c>
      <c r="J653" s="195">
        <f>IF(B653="","",H653+'入力・概要'!$B$30*F653)</f>
        <v/>
      </c>
      <c r="K653" s="195">
        <f>IF(B653="","",I653+'入力・概要'!$B$30*G653)</f>
        <v/>
      </c>
      <c r="L653" s="195">
        <f>IF(B653="","",'入力・概要'!$B$30+H653*F653-I653*G653)</f>
        <v/>
      </c>
      <c r="M653" s="195">
        <f>IF(B653="","",H653*G653+I653*F653)</f>
        <v/>
      </c>
      <c r="N653" s="195">
        <f>IF(B653="","",'入力・概要'!$B$30*(J653*L653+K653*M653)/(L653^2+M653^2))</f>
        <v/>
      </c>
      <c r="O653" s="195">
        <f>IF(B653="","",'入力・概要'!$B$30*(K653*L653-J653*M653)/(L653^2+M653^2))</f>
        <v/>
      </c>
      <c r="P653" s="195">
        <f>IF(B653="","",N653+'入力・概要'!$B$36)</f>
        <v/>
      </c>
      <c r="Q653" s="195">
        <f>IF(B653="","",O653+C653*'入力・概要'!$B$37*1E-9)</f>
        <v/>
      </c>
      <c r="R653" s="195">
        <f>IF(B653="","",SQRT(P653^2+Q653^2))</f>
        <v/>
      </c>
      <c r="S653" s="195">
        <f>IF(B653="","",IF(P653&gt;0,DEGREES(ATAN(Q653/P653)),IF(P653&lt;0,IF(Q653&gt;=0,DEGREES(ATAN(Q653/P653))+180,DEGREES(ATAN(Q653/P653))-180),IF(Q653&gt;0,90,IF(Q653&lt;0,-90,0)))))</f>
        <v/>
      </c>
      <c r="T653" s="195">
        <f>IF(B653="","",LOG10(B653))</f>
        <v/>
      </c>
      <c r="U653" s="195">
        <f>IF(R653="","",LOG10(MAX(R653,1E-12)))</f>
        <v/>
      </c>
    </row>
    <row r="654">
      <c r="A654" t="n">
        <v>651</v>
      </c>
      <c r="B654" s="196">
        <f>IF(A654&lt;='入力・概要'!$B$40,10^(LOG10('入力・概要'!$B$38)+(A654-1)*(LOG10('入力・概要'!$B$39)-LOG10('入力・概要'!$B$38))/('入力・概要'!$B$40-1)),"")</f>
        <v/>
      </c>
      <c r="C654" s="195">
        <f>IF(B654="","",2*PI()*B654)</f>
        <v/>
      </c>
      <c r="D654" s="195">
        <f>IF(B654="","",ATANH(MIN(0.999999,(2*'入力・概要'!$B$17*'入力・概要'!$B$6)/'入力・概要'!$B$30))+'入力・概要'!$B$33*SQRT(B654/1E6)+(2*PI()*B654*'入力・概要'!$B$6/(299792458*'入力・概要'!$B$31))*'入力・概要'!$B$32/2)</f>
        <v/>
      </c>
      <c r="E654" s="195">
        <f>IF(B654="","",2*PI()*B654*'入力・概要'!$B$6/(299792458*'入力・概要'!$B$31))</f>
        <v/>
      </c>
      <c r="F654" s="195">
        <f>IF(B654="","",SINH(2*D654)/(COSH(2*D654)+COS(2*E654)))</f>
        <v/>
      </c>
      <c r="G654" s="195">
        <f>IF(B654="","",SIN(2*E654)/(COSH(2*D654)+COS(2*E654)))</f>
        <v/>
      </c>
      <c r="H654" s="195">
        <f>IF(B654="","",'入力・概要'!$B$34)</f>
        <v/>
      </c>
      <c r="I654" s="195">
        <f>IF(B654="","",C654*'入力・概要'!$B$35*1E-9)</f>
        <v/>
      </c>
      <c r="J654" s="195">
        <f>IF(B654="","",H654+'入力・概要'!$B$30*F654)</f>
        <v/>
      </c>
      <c r="K654" s="195">
        <f>IF(B654="","",I654+'入力・概要'!$B$30*G654)</f>
        <v/>
      </c>
      <c r="L654" s="195">
        <f>IF(B654="","",'入力・概要'!$B$30+H654*F654-I654*G654)</f>
        <v/>
      </c>
      <c r="M654" s="195">
        <f>IF(B654="","",H654*G654+I654*F654)</f>
        <v/>
      </c>
      <c r="N654" s="195">
        <f>IF(B654="","",'入力・概要'!$B$30*(J654*L654+K654*M654)/(L654^2+M654^2))</f>
        <v/>
      </c>
      <c r="O654" s="195">
        <f>IF(B654="","",'入力・概要'!$B$30*(K654*L654-J654*M654)/(L654^2+M654^2))</f>
        <v/>
      </c>
      <c r="P654" s="195">
        <f>IF(B654="","",N654+'入力・概要'!$B$36)</f>
        <v/>
      </c>
      <c r="Q654" s="195">
        <f>IF(B654="","",O654+C654*'入力・概要'!$B$37*1E-9)</f>
        <v/>
      </c>
      <c r="R654" s="195">
        <f>IF(B654="","",SQRT(P654^2+Q654^2))</f>
        <v/>
      </c>
      <c r="S654" s="195">
        <f>IF(B654="","",IF(P654&gt;0,DEGREES(ATAN(Q654/P654)),IF(P654&lt;0,IF(Q654&gt;=0,DEGREES(ATAN(Q654/P654))+180,DEGREES(ATAN(Q654/P654))-180),IF(Q654&gt;0,90,IF(Q654&lt;0,-90,0)))))</f>
        <v/>
      </c>
      <c r="T654" s="195">
        <f>IF(B654="","",LOG10(B654))</f>
        <v/>
      </c>
      <c r="U654" s="195">
        <f>IF(R654="","",LOG10(MAX(R654,1E-12)))</f>
        <v/>
      </c>
    </row>
    <row r="655">
      <c r="A655" t="n">
        <v>652</v>
      </c>
      <c r="B655" s="196">
        <f>IF(A655&lt;='入力・概要'!$B$40,10^(LOG10('入力・概要'!$B$38)+(A655-1)*(LOG10('入力・概要'!$B$39)-LOG10('入力・概要'!$B$38))/('入力・概要'!$B$40-1)),"")</f>
        <v/>
      </c>
      <c r="C655" s="195">
        <f>IF(B655="","",2*PI()*B655)</f>
        <v/>
      </c>
      <c r="D655" s="195">
        <f>IF(B655="","",ATANH(MIN(0.999999,(2*'入力・概要'!$B$17*'入力・概要'!$B$6)/'入力・概要'!$B$30))+'入力・概要'!$B$33*SQRT(B655/1E6)+(2*PI()*B655*'入力・概要'!$B$6/(299792458*'入力・概要'!$B$31))*'入力・概要'!$B$32/2)</f>
        <v/>
      </c>
      <c r="E655" s="195">
        <f>IF(B655="","",2*PI()*B655*'入力・概要'!$B$6/(299792458*'入力・概要'!$B$31))</f>
        <v/>
      </c>
      <c r="F655" s="195">
        <f>IF(B655="","",SINH(2*D655)/(COSH(2*D655)+COS(2*E655)))</f>
        <v/>
      </c>
      <c r="G655" s="195">
        <f>IF(B655="","",SIN(2*E655)/(COSH(2*D655)+COS(2*E655)))</f>
        <v/>
      </c>
      <c r="H655" s="195">
        <f>IF(B655="","",'入力・概要'!$B$34)</f>
        <v/>
      </c>
      <c r="I655" s="195">
        <f>IF(B655="","",C655*'入力・概要'!$B$35*1E-9)</f>
        <v/>
      </c>
      <c r="J655" s="195">
        <f>IF(B655="","",H655+'入力・概要'!$B$30*F655)</f>
        <v/>
      </c>
      <c r="K655" s="195">
        <f>IF(B655="","",I655+'入力・概要'!$B$30*G655)</f>
        <v/>
      </c>
      <c r="L655" s="195">
        <f>IF(B655="","",'入力・概要'!$B$30+H655*F655-I655*G655)</f>
        <v/>
      </c>
      <c r="M655" s="195">
        <f>IF(B655="","",H655*G655+I655*F655)</f>
        <v/>
      </c>
      <c r="N655" s="195">
        <f>IF(B655="","",'入力・概要'!$B$30*(J655*L655+K655*M655)/(L655^2+M655^2))</f>
        <v/>
      </c>
      <c r="O655" s="195">
        <f>IF(B655="","",'入力・概要'!$B$30*(K655*L655-J655*M655)/(L655^2+M655^2))</f>
        <v/>
      </c>
      <c r="P655" s="195">
        <f>IF(B655="","",N655+'入力・概要'!$B$36)</f>
        <v/>
      </c>
      <c r="Q655" s="195">
        <f>IF(B655="","",O655+C655*'入力・概要'!$B$37*1E-9)</f>
        <v/>
      </c>
      <c r="R655" s="195">
        <f>IF(B655="","",SQRT(P655^2+Q655^2))</f>
        <v/>
      </c>
      <c r="S655" s="195">
        <f>IF(B655="","",IF(P655&gt;0,DEGREES(ATAN(Q655/P655)),IF(P655&lt;0,IF(Q655&gt;=0,DEGREES(ATAN(Q655/P655))+180,DEGREES(ATAN(Q655/P655))-180),IF(Q655&gt;0,90,IF(Q655&lt;0,-90,0)))))</f>
        <v/>
      </c>
      <c r="T655" s="195">
        <f>IF(B655="","",LOG10(B655))</f>
        <v/>
      </c>
      <c r="U655" s="195">
        <f>IF(R655="","",LOG10(MAX(R655,1E-12)))</f>
        <v/>
      </c>
    </row>
    <row r="656">
      <c r="A656" t="n">
        <v>653</v>
      </c>
      <c r="B656" s="196">
        <f>IF(A656&lt;='入力・概要'!$B$40,10^(LOG10('入力・概要'!$B$38)+(A656-1)*(LOG10('入力・概要'!$B$39)-LOG10('入力・概要'!$B$38))/('入力・概要'!$B$40-1)),"")</f>
        <v/>
      </c>
      <c r="C656" s="195">
        <f>IF(B656="","",2*PI()*B656)</f>
        <v/>
      </c>
      <c r="D656" s="195">
        <f>IF(B656="","",ATANH(MIN(0.999999,(2*'入力・概要'!$B$17*'入力・概要'!$B$6)/'入力・概要'!$B$30))+'入力・概要'!$B$33*SQRT(B656/1E6)+(2*PI()*B656*'入力・概要'!$B$6/(299792458*'入力・概要'!$B$31))*'入力・概要'!$B$32/2)</f>
        <v/>
      </c>
      <c r="E656" s="195">
        <f>IF(B656="","",2*PI()*B656*'入力・概要'!$B$6/(299792458*'入力・概要'!$B$31))</f>
        <v/>
      </c>
      <c r="F656" s="195">
        <f>IF(B656="","",SINH(2*D656)/(COSH(2*D656)+COS(2*E656)))</f>
        <v/>
      </c>
      <c r="G656" s="195">
        <f>IF(B656="","",SIN(2*E656)/(COSH(2*D656)+COS(2*E656)))</f>
        <v/>
      </c>
      <c r="H656" s="195">
        <f>IF(B656="","",'入力・概要'!$B$34)</f>
        <v/>
      </c>
      <c r="I656" s="195">
        <f>IF(B656="","",C656*'入力・概要'!$B$35*1E-9)</f>
        <v/>
      </c>
      <c r="J656" s="195">
        <f>IF(B656="","",H656+'入力・概要'!$B$30*F656)</f>
        <v/>
      </c>
      <c r="K656" s="195">
        <f>IF(B656="","",I656+'入力・概要'!$B$30*G656)</f>
        <v/>
      </c>
      <c r="L656" s="195">
        <f>IF(B656="","",'入力・概要'!$B$30+H656*F656-I656*G656)</f>
        <v/>
      </c>
      <c r="M656" s="195">
        <f>IF(B656="","",H656*G656+I656*F656)</f>
        <v/>
      </c>
      <c r="N656" s="195">
        <f>IF(B656="","",'入力・概要'!$B$30*(J656*L656+K656*M656)/(L656^2+M656^2))</f>
        <v/>
      </c>
      <c r="O656" s="195">
        <f>IF(B656="","",'入力・概要'!$B$30*(K656*L656-J656*M656)/(L656^2+M656^2))</f>
        <v/>
      </c>
      <c r="P656" s="195">
        <f>IF(B656="","",N656+'入力・概要'!$B$36)</f>
        <v/>
      </c>
      <c r="Q656" s="195">
        <f>IF(B656="","",O656+C656*'入力・概要'!$B$37*1E-9)</f>
        <v/>
      </c>
      <c r="R656" s="195">
        <f>IF(B656="","",SQRT(P656^2+Q656^2))</f>
        <v/>
      </c>
      <c r="S656" s="195">
        <f>IF(B656="","",IF(P656&gt;0,DEGREES(ATAN(Q656/P656)),IF(P656&lt;0,IF(Q656&gt;=0,DEGREES(ATAN(Q656/P656))+180,DEGREES(ATAN(Q656/P656))-180),IF(Q656&gt;0,90,IF(Q656&lt;0,-90,0)))))</f>
        <v/>
      </c>
      <c r="T656" s="195">
        <f>IF(B656="","",LOG10(B656))</f>
        <v/>
      </c>
      <c r="U656" s="195">
        <f>IF(R656="","",LOG10(MAX(R656,1E-12)))</f>
        <v/>
      </c>
    </row>
    <row r="657">
      <c r="A657" t="n">
        <v>654</v>
      </c>
      <c r="B657" s="196">
        <f>IF(A657&lt;='入力・概要'!$B$40,10^(LOG10('入力・概要'!$B$38)+(A657-1)*(LOG10('入力・概要'!$B$39)-LOG10('入力・概要'!$B$38))/('入力・概要'!$B$40-1)),"")</f>
        <v/>
      </c>
      <c r="C657" s="195">
        <f>IF(B657="","",2*PI()*B657)</f>
        <v/>
      </c>
      <c r="D657" s="195">
        <f>IF(B657="","",ATANH(MIN(0.999999,(2*'入力・概要'!$B$17*'入力・概要'!$B$6)/'入力・概要'!$B$30))+'入力・概要'!$B$33*SQRT(B657/1E6)+(2*PI()*B657*'入力・概要'!$B$6/(299792458*'入力・概要'!$B$31))*'入力・概要'!$B$32/2)</f>
        <v/>
      </c>
      <c r="E657" s="195">
        <f>IF(B657="","",2*PI()*B657*'入力・概要'!$B$6/(299792458*'入力・概要'!$B$31))</f>
        <v/>
      </c>
      <c r="F657" s="195">
        <f>IF(B657="","",SINH(2*D657)/(COSH(2*D657)+COS(2*E657)))</f>
        <v/>
      </c>
      <c r="G657" s="195">
        <f>IF(B657="","",SIN(2*E657)/(COSH(2*D657)+COS(2*E657)))</f>
        <v/>
      </c>
      <c r="H657" s="195">
        <f>IF(B657="","",'入力・概要'!$B$34)</f>
        <v/>
      </c>
      <c r="I657" s="195">
        <f>IF(B657="","",C657*'入力・概要'!$B$35*1E-9)</f>
        <v/>
      </c>
      <c r="J657" s="195">
        <f>IF(B657="","",H657+'入力・概要'!$B$30*F657)</f>
        <v/>
      </c>
      <c r="K657" s="195">
        <f>IF(B657="","",I657+'入力・概要'!$B$30*G657)</f>
        <v/>
      </c>
      <c r="L657" s="195">
        <f>IF(B657="","",'入力・概要'!$B$30+H657*F657-I657*G657)</f>
        <v/>
      </c>
      <c r="M657" s="195">
        <f>IF(B657="","",H657*G657+I657*F657)</f>
        <v/>
      </c>
      <c r="N657" s="195">
        <f>IF(B657="","",'入力・概要'!$B$30*(J657*L657+K657*M657)/(L657^2+M657^2))</f>
        <v/>
      </c>
      <c r="O657" s="195">
        <f>IF(B657="","",'入力・概要'!$B$30*(K657*L657-J657*M657)/(L657^2+M657^2))</f>
        <v/>
      </c>
      <c r="P657" s="195">
        <f>IF(B657="","",N657+'入力・概要'!$B$36)</f>
        <v/>
      </c>
      <c r="Q657" s="195">
        <f>IF(B657="","",O657+C657*'入力・概要'!$B$37*1E-9)</f>
        <v/>
      </c>
      <c r="R657" s="195">
        <f>IF(B657="","",SQRT(P657^2+Q657^2))</f>
        <v/>
      </c>
      <c r="S657" s="195">
        <f>IF(B657="","",IF(P657&gt;0,DEGREES(ATAN(Q657/P657)),IF(P657&lt;0,IF(Q657&gt;=0,DEGREES(ATAN(Q657/P657))+180,DEGREES(ATAN(Q657/P657))-180),IF(Q657&gt;0,90,IF(Q657&lt;0,-90,0)))))</f>
        <v/>
      </c>
      <c r="T657" s="195">
        <f>IF(B657="","",LOG10(B657))</f>
        <v/>
      </c>
      <c r="U657" s="195">
        <f>IF(R657="","",LOG10(MAX(R657,1E-12)))</f>
        <v/>
      </c>
    </row>
    <row r="658">
      <c r="A658" t="n">
        <v>655</v>
      </c>
      <c r="B658" s="196">
        <f>IF(A658&lt;='入力・概要'!$B$40,10^(LOG10('入力・概要'!$B$38)+(A658-1)*(LOG10('入力・概要'!$B$39)-LOG10('入力・概要'!$B$38))/('入力・概要'!$B$40-1)),"")</f>
        <v/>
      </c>
      <c r="C658" s="195">
        <f>IF(B658="","",2*PI()*B658)</f>
        <v/>
      </c>
      <c r="D658" s="195">
        <f>IF(B658="","",ATANH(MIN(0.999999,(2*'入力・概要'!$B$17*'入力・概要'!$B$6)/'入力・概要'!$B$30))+'入力・概要'!$B$33*SQRT(B658/1E6)+(2*PI()*B658*'入力・概要'!$B$6/(299792458*'入力・概要'!$B$31))*'入力・概要'!$B$32/2)</f>
        <v/>
      </c>
      <c r="E658" s="195">
        <f>IF(B658="","",2*PI()*B658*'入力・概要'!$B$6/(299792458*'入力・概要'!$B$31))</f>
        <v/>
      </c>
      <c r="F658" s="195">
        <f>IF(B658="","",SINH(2*D658)/(COSH(2*D658)+COS(2*E658)))</f>
        <v/>
      </c>
      <c r="G658" s="195">
        <f>IF(B658="","",SIN(2*E658)/(COSH(2*D658)+COS(2*E658)))</f>
        <v/>
      </c>
      <c r="H658" s="195">
        <f>IF(B658="","",'入力・概要'!$B$34)</f>
        <v/>
      </c>
      <c r="I658" s="195">
        <f>IF(B658="","",C658*'入力・概要'!$B$35*1E-9)</f>
        <v/>
      </c>
      <c r="J658" s="195">
        <f>IF(B658="","",H658+'入力・概要'!$B$30*F658)</f>
        <v/>
      </c>
      <c r="K658" s="195">
        <f>IF(B658="","",I658+'入力・概要'!$B$30*G658)</f>
        <v/>
      </c>
      <c r="L658" s="195">
        <f>IF(B658="","",'入力・概要'!$B$30+H658*F658-I658*G658)</f>
        <v/>
      </c>
      <c r="M658" s="195">
        <f>IF(B658="","",H658*G658+I658*F658)</f>
        <v/>
      </c>
      <c r="N658" s="195">
        <f>IF(B658="","",'入力・概要'!$B$30*(J658*L658+K658*M658)/(L658^2+M658^2))</f>
        <v/>
      </c>
      <c r="O658" s="195">
        <f>IF(B658="","",'入力・概要'!$B$30*(K658*L658-J658*M658)/(L658^2+M658^2))</f>
        <v/>
      </c>
      <c r="P658" s="195">
        <f>IF(B658="","",N658+'入力・概要'!$B$36)</f>
        <v/>
      </c>
      <c r="Q658" s="195">
        <f>IF(B658="","",O658+C658*'入力・概要'!$B$37*1E-9)</f>
        <v/>
      </c>
      <c r="R658" s="195">
        <f>IF(B658="","",SQRT(P658^2+Q658^2))</f>
        <v/>
      </c>
      <c r="S658" s="195">
        <f>IF(B658="","",IF(P658&gt;0,DEGREES(ATAN(Q658/P658)),IF(P658&lt;0,IF(Q658&gt;=0,DEGREES(ATAN(Q658/P658))+180,DEGREES(ATAN(Q658/P658))-180),IF(Q658&gt;0,90,IF(Q658&lt;0,-90,0)))))</f>
        <v/>
      </c>
      <c r="T658" s="195">
        <f>IF(B658="","",LOG10(B658))</f>
        <v/>
      </c>
      <c r="U658" s="195">
        <f>IF(R658="","",LOG10(MAX(R658,1E-12)))</f>
        <v/>
      </c>
    </row>
    <row r="659">
      <c r="A659" t="n">
        <v>656</v>
      </c>
      <c r="B659" s="196">
        <f>IF(A659&lt;='入力・概要'!$B$40,10^(LOG10('入力・概要'!$B$38)+(A659-1)*(LOG10('入力・概要'!$B$39)-LOG10('入力・概要'!$B$38))/('入力・概要'!$B$40-1)),"")</f>
        <v/>
      </c>
      <c r="C659" s="195">
        <f>IF(B659="","",2*PI()*B659)</f>
        <v/>
      </c>
      <c r="D659" s="195">
        <f>IF(B659="","",ATANH(MIN(0.999999,(2*'入力・概要'!$B$17*'入力・概要'!$B$6)/'入力・概要'!$B$30))+'入力・概要'!$B$33*SQRT(B659/1E6)+(2*PI()*B659*'入力・概要'!$B$6/(299792458*'入力・概要'!$B$31))*'入力・概要'!$B$32/2)</f>
        <v/>
      </c>
      <c r="E659" s="195">
        <f>IF(B659="","",2*PI()*B659*'入力・概要'!$B$6/(299792458*'入力・概要'!$B$31))</f>
        <v/>
      </c>
      <c r="F659" s="195">
        <f>IF(B659="","",SINH(2*D659)/(COSH(2*D659)+COS(2*E659)))</f>
        <v/>
      </c>
      <c r="G659" s="195">
        <f>IF(B659="","",SIN(2*E659)/(COSH(2*D659)+COS(2*E659)))</f>
        <v/>
      </c>
      <c r="H659" s="195">
        <f>IF(B659="","",'入力・概要'!$B$34)</f>
        <v/>
      </c>
      <c r="I659" s="195">
        <f>IF(B659="","",C659*'入力・概要'!$B$35*1E-9)</f>
        <v/>
      </c>
      <c r="J659" s="195">
        <f>IF(B659="","",H659+'入力・概要'!$B$30*F659)</f>
        <v/>
      </c>
      <c r="K659" s="195">
        <f>IF(B659="","",I659+'入力・概要'!$B$30*G659)</f>
        <v/>
      </c>
      <c r="L659" s="195">
        <f>IF(B659="","",'入力・概要'!$B$30+H659*F659-I659*G659)</f>
        <v/>
      </c>
      <c r="M659" s="195">
        <f>IF(B659="","",H659*G659+I659*F659)</f>
        <v/>
      </c>
      <c r="N659" s="195">
        <f>IF(B659="","",'入力・概要'!$B$30*(J659*L659+K659*M659)/(L659^2+M659^2))</f>
        <v/>
      </c>
      <c r="O659" s="195">
        <f>IF(B659="","",'入力・概要'!$B$30*(K659*L659-J659*M659)/(L659^2+M659^2))</f>
        <v/>
      </c>
      <c r="P659" s="195">
        <f>IF(B659="","",N659+'入力・概要'!$B$36)</f>
        <v/>
      </c>
      <c r="Q659" s="195">
        <f>IF(B659="","",O659+C659*'入力・概要'!$B$37*1E-9)</f>
        <v/>
      </c>
      <c r="R659" s="195">
        <f>IF(B659="","",SQRT(P659^2+Q659^2))</f>
        <v/>
      </c>
      <c r="S659" s="195">
        <f>IF(B659="","",IF(P659&gt;0,DEGREES(ATAN(Q659/P659)),IF(P659&lt;0,IF(Q659&gt;=0,DEGREES(ATAN(Q659/P659))+180,DEGREES(ATAN(Q659/P659))-180),IF(Q659&gt;0,90,IF(Q659&lt;0,-90,0)))))</f>
        <v/>
      </c>
      <c r="T659" s="195">
        <f>IF(B659="","",LOG10(B659))</f>
        <v/>
      </c>
      <c r="U659" s="195">
        <f>IF(R659="","",LOG10(MAX(R659,1E-12)))</f>
        <v/>
      </c>
    </row>
    <row r="660">
      <c r="A660" t="n">
        <v>657</v>
      </c>
      <c r="B660" s="196">
        <f>IF(A660&lt;='入力・概要'!$B$40,10^(LOG10('入力・概要'!$B$38)+(A660-1)*(LOG10('入力・概要'!$B$39)-LOG10('入力・概要'!$B$38))/('入力・概要'!$B$40-1)),"")</f>
        <v/>
      </c>
      <c r="C660" s="195">
        <f>IF(B660="","",2*PI()*B660)</f>
        <v/>
      </c>
      <c r="D660" s="195">
        <f>IF(B660="","",ATANH(MIN(0.999999,(2*'入力・概要'!$B$17*'入力・概要'!$B$6)/'入力・概要'!$B$30))+'入力・概要'!$B$33*SQRT(B660/1E6)+(2*PI()*B660*'入力・概要'!$B$6/(299792458*'入力・概要'!$B$31))*'入力・概要'!$B$32/2)</f>
        <v/>
      </c>
      <c r="E660" s="195">
        <f>IF(B660="","",2*PI()*B660*'入力・概要'!$B$6/(299792458*'入力・概要'!$B$31))</f>
        <v/>
      </c>
      <c r="F660" s="195">
        <f>IF(B660="","",SINH(2*D660)/(COSH(2*D660)+COS(2*E660)))</f>
        <v/>
      </c>
      <c r="G660" s="195">
        <f>IF(B660="","",SIN(2*E660)/(COSH(2*D660)+COS(2*E660)))</f>
        <v/>
      </c>
      <c r="H660" s="195">
        <f>IF(B660="","",'入力・概要'!$B$34)</f>
        <v/>
      </c>
      <c r="I660" s="195">
        <f>IF(B660="","",C660*'入力・概要'!$B$35*1E-9)</f>
        <v/>
      </c>
      <c r="J660" s="195">
        <f>IF(B660="","",H660+'入力・概要'!$B$30*F660)</f>
        <v/>
      </c>
      <c r="K660" s="195">
        <f>IF(B660="","",I660+'入力・概要'!$B$30*G660)</f>
        <v/>
      </c>
      <c r="L660" s="195">
        <f>IF(B660="","",'入力・概要'!$B$30+H660*F660-I660*G660)</f>
        <v/>
      </c>
      <c r="M660" s="195">
        <f>IF(B660="","",H660*G660+I660*F660)</f>
        <v/>
      </c>
      <c r="N660" s="195">
        <f>IF(B660="","",'入力・概要'!$B$30*(J660*L660+K660*M660)/(L660^2+M660^2))</f>
        <v/>
      </c>
      <c r="O660" s="195">
        <f>IF(B660="","",'入力・概要'!$B$30*(K660*L660-J660*M660)/(L660^2+M660^2))</f>
        <v/>
      </c>
      <c r="P660" s="195">
        <f>IF(B660="","",N660+'入力・概要'!$B$36)</f>
        <v/>
      </c>
      <c r="Q660" s="195">
        <f>IF(B660="","",O660+C660*'入力・概要'!$B$37*1E-9)</f>
        <v/>
      </c>
      <c r="R660" s="195">
        <f>IF(B660="","",SQRT(P660^2+Q660^2))</f>
        <v/>
      </c>
      <c r="S660" s="195">
        <f>IF(B660="","",IF(P660&gt;0,DEGREES(ATAN(Q660/P660)),IF(P660&lt;0,IF(Q660&gt;=0,DEGREES(ATAN(Q660/P660))+180,DEGREES(ATAN(Q660/P660))-180),IF(Q660&gt;0,90,IF(Q660&lt;0,-90,0)))))</f>
        <v/>
      </c>
      <c r="T660" s="195">
        <f>IF(B660="","",LOG10(B660))</f>
        <v/>
      </c>
      <c r="U660" s="195">
        <f>IF(R660="","",LOG10(MAX(R660,1E-12)))</f>
        <v/>
      </c>
    </row>
    <row r="661">
      <c r="A661" t="n">
        <v>658</v>
      </c>
      <c r="B661" s="196">
        <f>IF(A661&lt;='入力・概要'!$B$40,10^(LOG10('入力・概要'!$B$38)+(A661-1)*(LOG10('入力・概要'!$B$39)-LOG10('入力・概要'!$B$38))/('入力・概要'!$B$40-1)),"")</f>
        <v/>
      </c>
      <c r="C661" s="195">
        <f>IF(B661="","",2*PI()*B661)</f>
        <v/>
      </c>
      <c r="D661" s="195">
        <f>IF(B661="","",ATANH(MIN(0.999999,(2*'入力・概要'!$B$17*'入力・概要'!$B$6)/'入力・概要'!$B$30))+'入力・概要'!$B$33*SQRT(B661/1E6)+(2*PI()*B661*'入力・概要'!$B$6/(299792458*'入力・概要'!$B$31))*'入力・概要'!$B$32/2)</f>
        <v/>
      </c>
      <c r="E661" s="195">
        <f>IF(B661="","",2*PI()*B661*'入力・概要'!$B$6/(299792458*'入力・概要'!$B$31))</f>
        <v/>
      </c>
      <c r="F661" s="195">
        <f>IF(B661="","",SINH(2*D661)/(COSH(2*D661)+COS(2*E661)))</f>
        <v/>
      </c>
      <c r="G661" s="195">
        <f>IF(B661="","",SIN(2*E661)/(COSH(2*D661)+COS(2*E661)))</f>
        <v/>
      </c>
      <c r="H661" s="195">
        <f>IF(B661="","",'入力・概要'!$B$34)</f>
        <v/>
      </c>
      <c r="I661" s="195">
        <f>IF(B661="","",C661*'入力・概要'!$B$35*1E-9)</f>
        <v/>
      </c>
      <c r="J661" s="195">
        <f>IF(B661="","",H661+'入力・概要'!$B$30*F661)</f>
        <v/>
      </c>
      <c r="K661" s="195">
        <f>IF(B661="","",I661+'入力・概要'!$B$30*G661)</f>
        <v/>
      </c>
      <c r="L661" s="195">
        <f>IF(B661="","",'入力・概要'!$B$30+H661*F661-I661*G661)</f>
        <v/>
      </c>
      <c r="M661" s="195">
        <f>IF(B661="","",H661*G661+I661*F661)</f>
        <v/>
      </c>
      <c r="N661" s="195">
        <f>IF(B661="","",'入力・概要'!$B$30*(J661*L661+K661*M661)/(L661^2+M661^2))</f>
        <v/>
      </c>
      <c r="O661" s="195">
        <f>IF(B661="","",'入力・概要'!$B$30*(K661*L661-J661*M661)/(L661^2+M661^2))</f>
        <v/>
      </c>
      <c r="P661" s="195">
        <f>IF(B661="","",N661+'入力・概要'!$B$36)</f>
        <v/>
      </c>
      <c r="Q661" s="195">
        <f>IF(B661="","",O661+C661*'入力・概要'!$B$37*1E-9)</f>
        <v/>
      </c>
      <c r="R661" s="195">
        <f>IF(B661="","",SQRT(P661^2+Q661^2))</f>
        <v/>
      </c>
      <c r="S661" s="195">
        <f>IF(B661="","",IF(P661&gt;0,DEGREES(ATAN(Q661/P661)),IF(P661&lt;0,IF(Q661&gt;=0,DEGREES(ATAN(Q661/P661))+180,DEGREES(ATAN(Q661/P661))-180),IF(Q661&gt;0,90,IF(Q661&lt;0,-90,0)))))</f>
        <v/>
      </c>
      <c r="T661" s="195">
        <f>IF(B661="","",LOG10(B661))</f>
        <v/>
      </c>
      <c r="U661" s="195">
        <f>IF(R661="","",LOG10(MAX(R661,1E-12)))</f>
        <v/>
      </c>
    </row>
    <row r="662">
      <c r="A662" t="n">
        <v>659</v>
      </c>
      <c r="B662" s="196">
        <f>IF(A662&lt;='入力・概要'!$B$40,10^(LOG10('入力・概要'!$B$38)+(A662-1)*(LOG10('入力・概要'!$B$39)-LOG10('入力・概要'!$B$38))/('入力・概要'!$B$40-1)),"")</f>
        <v/>
      </c>
      <c r="C662" s="195">
        <f>IF(B662="","",2*PI()*B662)</f>
        <v/>
      </c>
      <c r="D662" s="195">
        <f>IF(B662="","",ATANH(MIN(0.999999,(2*'入力・概要'!$B$17*'入力・概要'!$B$6)/'入力・概要'!$B$30))+'入力・概要'!$B$33*SQRT(B662/1E6)+(2*PI()*B662*'入力・概要'!$B$6/(299792458*'入力・概要'!$B$31))*'入力・概要'!$B$32/2)</f>
        <v/>
      </c>
      <c r="E662" s="195">
        <f>IF(B662="","",2*PI()*B662*'入力・概要'!$B$6/(299792458*'入力・概要'!$B$31))</f>
        <v/>
      </c>
      <c r="F662" s="195">
        <f>IF(B662="","",SINH(2*D662)/(COSH(2*D662)+COS(2*E662)))</f>
        <v/>
      </c>
      <c r="G662" s="195">
        <f>IF(B662="","",SIN(2*E662)/(COSH(2*D662)+COS(2*E662)))</f>
        <v/>
      </c>
      <c r="H662" s="195">
        <f>IF(B662="","",'入力・概要'!$B$34)</f>
        <v/>
      </c>
      <c r="I662" s="195">
        <f>IF(B662="","",C662*'入力・概要'!$B$35*1E-9)</f>
        <v/>
      </c>
      <c r="J662" s="195">
        <f>IF(B662="","",H662+'入力・概要'!$B$30*F662)</f>
        <v/>
      </c>
      <c r="K662" s="195">
        <f>IF(B662="","",I662+'入力・概要'!$B$30*G662)</f>
        <v/>
      </c>
      <c r="L662" s="195">
        <f>IF(B662="","",'入力・概要'!$B$30+H662*F662-I662*G662)</f>
        <v/>
      </c>
      <c r="M662" s="195">
        <f>IF(B662="","",H662*G662+I662*F662)</f>
        <v/>
      </c>
      <c r="N662" s="195">
        <f>IF(B662="","",'入力・概要'!$B$30*(J662*L662+K662*M662)/(L662^2+M662^2))</f>
        <v/>
      </c>
      <c r="O662" s="195">
        <f>IF(B662="","",'入力・概要'!$B$30*(K662*L662-J662*M662)/(L662^2+M662^2))</f>
        <v/>
      </c>
      <c r="P662" s="195">
        <f>IF(B662="","",N662+'入力・概要'!$B$36)</f>
        <v/>
      </c>
      <c r="Q662" s="195">
        <f>IF(B662="","",O662+C662*'入力・概要'!$B$37*1E-9)</f>
        <v/>
      </c>
      <c r="R662" s="195">
        <f>IF(B662="","",SQRT(P662^2+Q662^2))</f>
        <v/>
      </c>
      <c r="S662" s="195">
        <f>IF(B662="","",IF(P662&gt;0,DEGREES(ATAN(Q662/P662)),IF(P662&lt;0,IF(Q662&gt;=0,DEGREES(ATAN(Q662/P662))+180,DEGREES(ATAN(Q662/P662))-180),IF(Q662&gt;0,90,IF(Q662&lt;0,-90,0)))))</f>
        <v/>
      </c>
      <c r="T662" s="195">
        <f>IF(B662="","",LOG10(B662))</f>
        <v/>
      </c>
      <c r="U662" s="195">
        <f>IF(R662="","",LOG10(MAX(R662,1E-12)))</f>
        <v/>
      </c>
    </row>
    <row r="663">
      <c r="A663" t="n">
        <v>660</v>
      </c>
      <c r="B663" s="196">
        <f>IF(A663&lt;='入力・概要'!$B$40,10^(LOG10('入力・概要'!$B$38)+(A663-1)*(LOG10('入力・概要'!$B$39)-LOG10('入力・概要'!$B$38))/('入力・概要'!$B$40-1)),"")</f>
        <v/>
      </c>
      <c r="C663" s="195">
        <f>IF(B663="","",2*PI()*B663)</f>
        <v/>
      </c>
      <c r="D663" s="195">
        <f>IF(B663="","",ATANH(MIN(0.999999,(2*'入力・概要'!$B$17*'入力・概要'!$B$6)/'入力・概要'!$B$30))+'入力・概要'!$B$33*SQRT(B663/1E6)+(2*PI()*B663*'入力・概要'!$B$6/(299792458*'入力・概要'!$B$31))*'入力・概要'!$B$32/2)</f>
        <v/>
      </c>
      <c r="E663" s="195">
        <f>IF(B663="","",2*PI()*B663*'入力・概要'!$B$6/(299792458*'入力・概要'!$B$31))</f>
        <v/>
      </c>
      <c r="F663" s="195">
        <f>IF(B663="","",SINH(2*D663)/(COSH(2*D663)+COS(2*E663)))</f>
        <v/>
      </c>
      <c r="G663" s="195">
        <f>IF(B663="","",SIN(2*E663)/(COSH(2*D663)+COS(2*E663)))</f>
        <v/>
      </c>
      <c r="H663" s="195">
        <f>IF(B663="","",'入力・概要'!$B$34)</f>
        <v/>
      </c>
      <c r="I663" s="195">
        <f>IF(B663="","",C663*'入力・概要'!$B$35*1E-9)</f>
        <v/>
      </c>
      <c r="J663" s="195">
        <f>IF(B663="","",H663+'入力・概要'!$B$30*F663)</f>
        <v/>
      </c>
      <c r="K663" s="195">
        <f>IF(B663="","",I663+'入力・概要'!$B$30*G663)</f>
        <v/>
      </c>
      <c r="L663" s="195">
        <f>IF(B663="","",'入力・概要'!$B$30+H663*F663-I663*G663)</f>
        <v/>
      </c>
      <c r="M663" s="195">
        <f>IF(B663="","",H663*G663+I663*F663)</f>
        <v/>
      </c>
      <c r="N663" s="195">
        <f>IF(B663="","",'入力・概要'!$B$30*(J663*L663+K663*M663)/(L663^2+M663^2))</f>
        <v/>
      </c>
      <c r="O663" s="195">
        <f>IF(B663="","",'入力・概要'!$B$30*(K663*L663-J663*M663)/(L663^2+M663^2))</f>
        <v/>
      </c>
      <c r="P663" s="195">
        <f>IF(B663="","",N663+'入力・概要'!$B$36)</f>
        <v/>
      </c>
      <c r="Q663" s="195">
        <f>IF(B663="","",O663+C663*'入力・概要'!$B$37*1E-9)</f>
        <v/>
      </c>
      <c r="R663" s="195">
        <f>IF(B663="","",SQRT(P663^2+Q663^2))</f>
        <v/>
      </c>
      <c r="S663" s="195">
        <f>IF(B663="","",IF(P663&gt;0,DEGREES(ATAN(Q663/P663)),IF(P663&lt;0,IF(Q663&gt;=0,DEGREES(ATAN(Q663/P663))+180,DEGREES(ATAN(Q663/P663))-180),IF(Q663&gt;0,90,IF(Q663&lt;0,-90,0)))))</f>
        <v/>
      </c>
      <c r="T663" s="195">
        <f>IF(B663="","",LOG10(B663))</f>
        <v/>
      </c>
      <c r="U663" s="195">
        <f>IF(R663="","",LOG10(MAX(R663,1E-12)))</f>
        <v/>
      </c>
    </row>
    <row r="664">
      <c r="A664" t="n">
        <v>661</v>
      </c>
      <c r="B664" s="196">
        <f>IF(A664&lt;='入力・概要'!$B$40,10^(LOG10('入力・概要'!$B$38)+(A664-1)*(LOG10('入力・概要'!$B$39)-LOG10('入力・概要'!$B$38))/('入力・概要'!$B$40-1)),"")</f>
        <v/>
      </c>
      <c r="C664" s="195">
        <f>IF(B664="","",2*PI()*B664)</f>
        <v/>
      </c>
      <c r="D664" s="195">
        <f>IF(B664="","",ATANH(MIN(0.999999,(2*'入力・概要'!$B$17*'入力・概要'!$B$6)/'入力・概要'!$B$30))+'入力・概要'!$B$33*SQRT(B664/1E6)+(2*PI()*B664*'入力・概要'!$B$6/(299792458*'入力・概要'!$B$31))*'入力・概要'!$B$32/2)</f>
        <v/>
      </c>
      <c r="E664" s="195">
        <f>IF(B664="","",2*PI()*B664*'入力・概要'!$B$6/(299792458*'入力・概要'!$B$31))</f>
        <v/>
      </c>
      <c r="F664" s="195">
        <f>IF(B664="","",SINH(2*D664)/(COSH(2*D664)+COS(2*E664)))</f>
        <v/>
      </c>
      <c r="G664" s="195">
        <f>IF(B664="","",SIN(2*E664)/(COSH(2*D664)+COS(2*E664)))</f>
        <v/>
      </c>
      <c r="H664" s="195">
        <f>IF(B664="","",'入力・概要'!$B$34)</f>
        <v/>
      </c>
      <c r="I664" s="195">
        <f>IF(B664="","",C664*'入力・概要'!$B$35*1E-9)</f>
        <v/>
      </c>
      <c r="J664" s="195">
        <f>IF(B664="","",H664+'入力・概要'!$B$30*F664)</f>
        <v/>
      </c>
      <c r="K664" s="195">
        <f>IF(B664="","",I664+'入力・概要'!$B$30*G664)</f>
        <v/>
      </c>
      <c r="L664" s="195">
        <f>IF(B664="","",'入力・概要'!$B$30+H664*F664-I664*G664)</f>
        <v/>
      </c>
      <c r="M664" s="195">
        <f>IF(B664="","",H664*G664+I664*F664)</f>
        <v/>
      </c>
      <c r="N664" s="195">
        <f>IF(B664="","",'入力・概要'!$B$30*(J664*L664+K664*M664)/(L664^2+M664^2))</f>
        <v/>
      </c>
      <c r="O664" s="195">
        <f>IF(B664="","",'入力・概要'!$B$30*(K664*L664-J664*M664)/(L664^2+M664^2))</f>
        <v/>
      </c>
      <c r="P664" s="195">
        <f>IF(B664="","",N664+'入力・概要'!$B$36)</f>
        <v/>
      </c>
      <c r="Q664" s="195">
        <f>IF(B664="","",O664+C664*'入力・概要'!$B$37*1E-9)</f>
        <v/>
      </c>
      <c r="R664" s="195">
        <f>IF(B664="","",SQRT(P664^2+Q664^2))</f>
        <v/>
      </c>
      <c r="S664" s="195">
        <f>IF(B664="","",IF(P664&gt;0,DEGREES(ATAN(Q664/P664)),IF(P664&lt;0,IF(Q664&gt;=0,DEGREES(ATAN(Q664/P664))+180,DEGREES(ATAN(Q664/P664))-180),IF(Q664&gt;0,90,IF(Q664&lt;0,-90,0)))))</f>
        <v/>
      </c>
      <c r="T664" s="195">
        <f>IF(B664="","",LOG10(B664))</f>
        <v/>
      </c>
      <c r="U664" s="195">
        <f>IF(R664="","",LOG10(MAX(R664,1E-12)))</f>
        <v/>
      </c>
    </row>
    <row r="665">
      <c r="A665" t="n">
        <v>662</v>
      </c>
      <c r="B665" s="196">
        <f>IF(A665&lt;='入力・概要'!$B$40,10^(LOG10('入力・概要'!$B$38)+(A665-1)*(LOG10('入力・概要'!$B$39)-LOG10('入力・概要'!$B$38))/('入力・概要'!$B$40-1)),"")</f>
        <v/>
      </c>
      <c r="C665" s="195">
        <f>IF(B665="","",2*PI()*B665)</f>
        <v/>
      </c>
      <c r="D665" s="195">
        <f>IF(B665="","",ATANH(MIN(0.999999,(2*'入力・概要'!$B$17*'入力・概要'!$B$6)/'入力・概要'!$B$30))+'入力・概要'!$B$33*SQRT(B665/1E6)+(2*PI()*B665*'入力・概要'!$B$6/(299792458*'入力・概要'!$B$31))*'入力・概要'!$B$32/2)</f>
        <v/>
      </c>
      <c r="E665" s="195">
        <f>IF(B665="","",2*PI()*B665*'入力・概要'!$B$6/(299792458*'入力・概要'!$B$31))</f>
        <v/>
      </c>
      <c r="F665" s="195">
        <f>IF(B665="","",SINH(2*D665)/(COSH(2*D665)+COS(2*E665)))</f>
        <v/>
      </c>
      <c r="G665" s="195">
        <f>IF(B665="","",SIN(2*E665)/(COSH(2*D665)+COS(2*E665)))</f>
        <v/>
      </c>
      <c r="H665" s="195">
        <f>IF(B665="","",'入力・概要'!$B$34)</f>
        <v/>
      </c>
      <c r="I665" s="195">
        <f>IF(B665="","",C665*'入力・概要'!$B$35*1E-9)</f>
        <v/>
      </c>
      <c r="J665" s="195">
        <f>IF(B665="","",H665+'入力・概要'!$B$30*F665)</f>
        <v/>
      </c>
      <c r="K665" s="195">
        <f>IF(B665="","",I665+'入力・概要'!$B$30*G665)</f>
        <v/>
      </c>
      <c r="L665" s="195">
        <f>IF(B665="","",'入力・概要'!$B$30+H665*F665-I665*G665)</f>
        <v/>
      </c>
      <c r="M665" s="195">
        <f>IF(B665="","",H665*G665+I665*F665)</f>
        <v/>
      </c>
      <c r="N665" s="195">
        <f>IF(B665="","",'入力・概要'!$B$30*(J665*L665+K665*M665)/(L665^2+M665^2))</f>
        <v/>
      </c>
      <c r="O665" s="195">
        <f>IF(B665="","",'入力・概要'!$B$30*(K665*L665-J665*M665)/(L665^2+M665^2))</f>
        <v/>
      </c>
      <c r="P665" s="195">
        <f>IF(B665="","",N665+'入力・概要'!$B$36)</f>
        <v/>
      </c>
      <c r="Q665" s="195">
        <f>IF(B665="","",O665+C665*'入力・概要'!$B$37*1E-9)</f>
        <v/>
      </c>
      <c r="R665" s="195">
        <f>IF(B665="","",SQRT(P665^2+Q665^2))</f>
        <v/>
      </c>
      <c r="S665" s="195">
        <f>IF(B665="","",IF(P665&gt;0,DEGREES(ATAN(Q665/P665)),IF(P665&lt;0,IF(Q665&gt;=0,DEGREES(ATAN(Q665/P665))+180,DEGREES(ATAN(Q665/P665))-180),IF(Q665&gt;0,90,IF(Q665&lt;0,-90,0)))))</f>
        <v/>
      </c>
      <c r="T665" s="195">
        <f>IF(B665="","",LOG10(B665))</f>
        <v/>
      </c>
      <c r="U665" s="195">
        <f>IF(R665="","",LOG10(MAX(R665,1E-12)))</f>
        <v/>
      </c>
    </row>
    <row r="666">
      <c r="A666" t="n">
        <v>663</v>
      </c>
      <c r="B666" s="196">
        <f>IF(A666&lt;='入力・概要'!$B$40,10^(LOG10('入力・概要'!$B$38)+(A666-1)*(LOG10('入力・概要'!$B$39)-LOG10('入力・概要'!$B$38))/('入力・概要'!$B$40-1)),"")</f>
        <v/>
      </c>
      <c r="C666" s="195">
        <f>IF(B666="","",2*PI()*B666)</f>
        <v/>
      </c>
      <c r="D666" s="195">
        <f>IF(B666="","",ATANH(MIN(0.999999,(2*'入力・概要'!$B$17*'入力・概要'!$B$6)/'入力・概要'!$B$30))+'入力・概要'!$B$33*SQRT(B666/1E6)+(2*PI()*B666*'入力・概要'!$B$6/(299792458*'入力・概要'!$B$31))*'入力・概要'!$B$32/2)</f>
        <v/>
      </c>
      <c r="E666" s="195">
        <f>IF(B666="","",2*PI()*B666*'入力・概要'!$B$6/(299792458*'入力・概要'!$B$31))</f>
        <v/>
      </c>
      <c r="F666" s="195">
        <f>IF(B666="","",SINH(2*D666)/(COSH(2*D666)+COS(2*E666)))</f>
        <v/>
      </c>
      <c r="G666" s="195">
        <f>IF(B666="","",SIN(2*E666)/(COSH(2*D666)+COS(2*E666)))</f>
        <v/>
      </c>
      <c r="H666" s="195">
        <f>IF(B666="","",'入力・概要'!$B$34)</f>
        <v/>
      </c>
      <c r="I666" s="195">
        <f>IF(B666="","",C666*'入力・概要'!$B$35*1E-9)</f>
        <v/>
      </c>
      <c r="J666" s="195">
        <f>IF(B666="","",H666+'入力・概要'!$B$30*F666)</f>
        <v/>
      </c>
      <c r="K666" s="195">
        <f>IF(B666="","",I666+'入力・概要'!$B$30*G666)</f>
        <v/>
      </c>
      <c r="L666" s="195">
        <f>IF(B666="","",'入力・概要'!$B$30+H666*F666-I666*G666)</f>
        <v/>
      </c>
      <c r="M666" s="195">
        <f>IF(B666="","",H666*G666+I666*F666)</f>
        <v/>
      </c>
      <c r="N666" s="195">
        <f>IF(B666="","",'入力・概要'!$B$30*(J666*L666+K666*M666)/(L666^2+M666^2))</f>
        <v/>
      </c>
      <c r="O666" s="195">
        <f>IF(B666="","",'入力・概要'!$B$30*(K666*L666-J666*M666)/(L666^2+M666^2))</f>
        <v/>
      </c>
      <c r="P666" s="195">
        <f>IF(B666="","",N666+'入力・概要'!$B$36)</f>
        <v/>
      </c>
      <c r="Q666" s="195">
        <f>IF(B666="","",O666+C666*'入力・概要'!$B$37*1E-9)</f>
        <v/>
      </c>
      <c r="R666" s="195">
        <f>IF(B666="","",SQRT(P666^2+Q666^2))</f>
        <v/>
      </c>
      <c r="S666" s="195">
        <f>IF(B666="","",IF(P666&gt;0,DEGREES(ATAN(Q666/P666)),IF(P666&lt;0,IF(Q666&gt;=0,DEGREES(ATAN(Q666/P666))+180,DEGREES(ATAN(Q666/P666))-180),IF(Q666&gt;0,90,IF(Q666&lt;0,-90,0)))))</f>
        <v/>
      </c>
      <c r="T666" s="195">
        <f>IF(B666="","",LOG10(B666))</f>
        <v/>
      </c>
      <c r="U666" s="195">
        <f>IF(R666="","",LOG10(MAX(R666,1E-12)))</f>
        <v/>
      </c>
    </row>
    <row r="667">
      <c r="A667" t="n">
        <v>664</v>
      </c>
      <c r="B667" s="196">
        <f>IF(A667&lt;='入力・概要'!$B$40,10^(LOG10('入力・概要'!$B$38)+(A667-1)*(LOG10('入力・概要'!$B$39)-LOG10('入力・概要'!$B$38))/('入力・概要'!$B$40-1)),"")</f>
        <v/>
      </c>
      <c r="C667" s="195">
        <f>IF(B667="","",2*PI()*B667)</f>
        <v/>
      </c>
      <c r="D667" s="195">
        <f>IF(B667="","",ATANH(MIN(0.999999,(2*'入力・概要'!$B$17*'入力・概要'!$B$6)/'入力・概要'!$B$30))+'入力・概要'!$B$33*SQRT(B667/1E6)+(2*PI()*B667*'入力・概要'!$B$6/(299792458*'入力・概要'!$B$31))*'入力・概要'!$B$32/2)</f>
        <v/>
      </c>
      <c r="E667" s="195">
        <f>IF(B667="","",2*PI()*B667*'入力・概要'!$B$6/(299792458*'入力・概要'!$B$31))</f>
        <v/>
      </c>
      <c r="F667" s="195">
        <f>IF(B667="","",SINH(2*D667)/(COSH(2*D667)+COS(2*E667)))</f>
        <v/>
      </c>
      <c r="G667" s="195">
        <f>IF(B667="","",SIN(2*E667)/(COSH(2*D667)+COS(2*E667)))</f>
        <v/>
      </c>
      <c r="H667" s="195">
        <f>IF(B667="","",'入力・概要'!$B$34)</f>
        <v/>
      </c>
      <c r="I667" s="195">
        <f>IF(B667="","",C667*'入力・概要'!$B$35*1E-9)</f>
        <v/>
      </c>
      <c r="J667" s="195">
        <f>IF(B667="","",H667+'入力・概要'!$B$30*F667)</f>
        <v/>
      </c>
      <c r="K667" s="195">
        <f>IF(B667="","",I667+'入力・概要'!$B$30*G667)</f>
        <v/>
      </c>
      <c r="L667" s="195">
        <f>IF(B667="","",'入力・概要'!$B$30+H667*F667-I667*G667)</f>
        <v/>
      </c>
      <c r="M667" s="195">
        <f>IF(B667="","",H667*G667+I667*F667)</f>
        <v/>
      </c>
      <c r="N667" s="195">
        <f>IF(B667="","",'入力・概要'!$B$30*(J667*L667+K667*M667)/(L667^2+M667^2))</f>
        <v/>
      </c>
      <c r="O667" s="195">
        <f>IF(B667="","",'入力・概要'!$B$30*(K667*L667-J667*M667)/(L667^2+M667^2))</f>
        <v/>
      </c>
      <c r="P667" s="195">
        <f>IF(B667="","",N667+'入力・概要'!$B$36)</f>
        <v/>
      </c>
      <c r="Q667" s="195">
        <f>IF(B667="","",O667+C667*'入力・概要'!$B$37*1E-9)</f>
        <v/>
      </c>
      <c r="R667" s="195">
        <f>IF(B667="","",SQRT(P667^2+Q667^2))</f>
        <v/>
      </c>
      <c r="S667" s="195">
        <f>IF(B667="","",IF(P667&gt;0,DEGREES(ATAN(Q667/P667)),IF(P667&lt;0,IF(Q667&gt;=0,DEGREES(ATAN(Q667/P667))+180,DEGREES(ATAN(Q667/P667))-180),IF(Q667&gt;0,90,IF(Q667&lt;0,-90,0)))))</f>
        <v/>
      </c>
      <c r="T667" s="195">
        <f>IF(B667="","",LOG10(B667))</f>
        <v/>
      </c>
      <c r="U667" s="195">
        <f>IF(R667="","",LOG10(MAX(R667,1E-12)))</f>
        <v/>
      </c>
    </row>
    <row r="668">
      <c r="A668" t="n">
        <v>665</v>
      </c>
      <c r="B668" s="196">
        <f>IF(A668&lt;='入力・概要'!$B$40,10^(LOG10('入力・概要'!$B$38)+(A668-1)*(LOG10('入力・概要'!$B$39)-LOG10('入力・概要'!$B$38))/('入力・概要'!$B$40-1)),"")</f>
        <v/>
      </c>
      <c r="C668" s="195">
        <f>IF(B668="","",2*PI()*B668)</f>
        <v/>
      </c>
      <c r="D668" s="195">
        <f>IF(B668="","",ATANH(MIN(0.999999,(2*'入力・概要'!$B$17*'入力・概要'!$B$6)/'入力・概要'!$B$30))+'入力・概要'!$B$33*SQRT(B668/1E6)+(2*PI()*B668*'入力・概要'!$B$6/(299792458*'入力・概要'!$B$31))*'入力・概要'!$B$32/2)</f>
        <v/>
      </c>
      <c r="E668" s="195">
        <f>IF(B668="","",2*PI()*B668*'入力・概要'!$B$6/(299792458*'入力・概要'!$B$31))</f>
        <v/>
      </c>
      <c r="F668" s="195">
        <f>IF(B668="","",SINH(2*D668)/(COSH(2*D668)+COS(2*E668)))</f>
        <v/>
      </c>
      <c r="G668" s="195">
        <f>IF(B668="","",SIN(2*E668)/(COSH(2*D668)+COS(2*E668)))</f>
        <v/>
      </c>
      <c r="H668" s="195">
        <f>IF(B668="","",'入力・概要'!$B$34)</f>
        <v/>
      </c>
      <c r="I668" s="195">
        <f>IF(B668="","",C668*'入力・概要'!$B$35*1E-9)</f>
        <v/>
      </c>
      <c r="J668" s="195">
        <f>IF(B668="","",H668+'入力・概要'!$B$30*F668)</f>
        <v/>
      </c>
      <c r="K668" s="195">
        <f>IF(B668="","",I668+'入力・概要'!$B$30*G668)</f>
        <v/>
      </c>
      <c r="L668" s="195">
        <f>IF(B668="","",'入力・概要'!$B$30+H668*F668-I668*G668)</f>
        <v/>
      </c>
      <c r="M668" s="195">
        <f>IF(B668="","",H668*G668+I668*F668)</f>
        <v/>
      </c>
      <c r="N668" s="195">
        <f>IF(B668="","",'入力・概要'!$B$30*(J668*L668+K668*M668)/(L668^2+M668^2))</f>
        <v/>
      </c>
      <c r="O668" s="195">
        <f>IF(B668="","",'入力・概要'!$B$30*(K668*L668-J668*M668)/(L668^2+M668^2))</f>
        <v/>
      </c>
      <c r="P668" s="195">
        <f>IF(B668="","",N668+'入力・概要'!$B$36)</f>
        <v/>
      </c>
      <c r="Q668" s="195">
        <f>IF(B668="","",O668+C668*'入力・概要'!$B$37*1E-9)</f>
        <v/>
      </c>
      <c r="R668" s="195">
        <f>IF(B668="","",SQRT(P668^2+Q668^2))</f>
        <v/>
      </c>
      <c r="S668" s="195">
        <f>IF(B668="","",IF(P668&gt;0,DEGREES(ATAN(Q668/P668)),IF(P668&lt;0,IF(Q668&gt;=0,DEGREES(ATAN(Q668/P668))+180,DEGREES(ATAN(Q668/P668))-180),IF(Q668&gt;0,90,IF(Q668&lt;0,-90,0)))))</f>
        <v/>
      </c>
      <c r="T668" s="195">
        <f>IF(B668="","",LOG10(B668))</f>
        <v/>
      </c>
      <c r="U668" s="195">
        <f>IF(R668="","",LOG10(MAX(R668,1E-12)))</f>
        <v/>
      </c>
    </row>
    <row r="669">
      <c r="A669" t="n">
        <v>666</v>
      </c>
      <c r="B669" s="196">
        <f>IF(A669&lt;='入力・概要'!$B$40,10^(LOG10('入力・概要'!$B$38)+(A669-1)*(LOG10('入力・概要'!$B$39)-LOG10('入力・概要'!$B$38))/('入力・概要'!$B$40-1)),"")</f>
        <v/>
      </c>
      <c r="C669" s="195">
        <f>IF(B669="","",2*PI()*B669)</f>
        <v/>
      </c>
      <c r="D669" s="195">
        <f>IF(B669="","",ATANH(MIN(0.999999,(2*'入力・概要'!$B$17*'入力・概要'!$B$6)/'入力・概要'!$B$30))+'入力・概要'!$B$33*SQRT(B669/1E6)+(2*PI()*B669*'入力・概要'!$B$6/(299792458*'入力・概要'!$B$31))*'入力・概要'!$B$32/2)</f>
        <v/>
      </c>
      <c r="E669" s="195">
        <f>IF(B669="","",2*PI()*B669*'入力・概要'!$B$6/(299792458*'入力・概要'!$B$31))</f>
        <v/>
      </c>
      <c r="F669" s="195">
        <f>IF(B669="","",SINH(2*D669)/(COSH(2*D669)+COS(2*E669)))</f>
        <v/>
      </c>
      <c r="G669" s="195">
        <f>IF(B669="","",SIN(2*E669)/(COSH(2*D669)+COS(2*E669)))</f>
        <v/>
      </c>
      <c r="H669" s="195">
        <f>IF(B669="","",'入力・概要'!$B$34)</f>
        <v/>
      </c>
      <c r="I669" s="195">
        <f>IF(B669="","",C669*'入力・概要'!$B$35*1E-9)</f>
        <v/>
      </c>
      <c r="J669" s="195">
        <f>IF(B669="","",H669+'入力・概要'!$B$30*F669)</f>
        <v/>
      </c>
      <c r="K669" s="195">
        <f>IF(B669="","",I669+'入力・概要'!$B$30*G669)</f>
        <v/>
      </c>
      <c r="L669" s="195">
        <f>IF(B669="","",'入力・概要'!$B$30+H669*F669-I669*G669)</f>
        <v/>
      </c>
      <c r="M669" s="195">
        <f>IF(B669="","",H669*G669+I669*F669)</f>
        <v/>
      </c>
      <c r="N669" s="195">
        <f>IF(B669="","",'入力・概要'!$B$30*(J669*L669+K669*M669)/(L669^2+M669^2))</f>
        <v/>
      </c>
      <c r="O669" s="195">
        <f>IF(B669="","",'入力・概要'!$B$30*(K669*L669-J669*M669)/(L669^2+M669^2))</f>
        <v/>
      </c>
      <c r="P669" s="195">
        <f>IF(B669="","",N669+'入力・概要'!$B$36)</f>
        <v/>
      </c>
      <c r="Q669" s="195">
        <f>IF(B669="","",O669+C669*'入力・概要'!$B$37*1E-9)</f>
        <v/>
      </c>
      <c r="R669" s="195">
        <f>IF(B669="","",SQRT(P669^2+Q669^2))</f>
        <v/>
      </c>
      <c r="S669" s="195">
        <f>IF(B669="","",IF(P669&gt;0,DEGREES(ATAN(Q669/P669)),IF(P669&lt;0,IF(Q669&gt;=0,DEGREES(ATAN(Q669/P669))+180,DEGREES(ATAN(Q669/P669))-180),IF(Q669&gt;0,90,IF(Q669&lt;0,-90,0)))))</f>
        <v/>
      </c>
      <c r="T669" s="195">
        <f>IF(B669="","",LOG10(B669))</f>
        <v/>
      </c>
      <c r="U669" s="195">
        <f>IF(R669="","",LOG10(MAX(R669,1E-12)))</f>
        <v/>
      </c>
    </row>
    <row r="670">
      <c r="A670" t="n">
        <v>667</v>
      </c>
      <c r="B670" s="196">
        <f>IF(A670&lt;='入力・概要'!$B$40,10^(LOG10('入力・概要'!$B$38)+(A670-1)*(LOG10('入力・概要'!$B$39)-LOG10('入力・概要'!$B$38))/('入力・概要'!$B$40-1)),"")</f>
        <v/>
      </c>
      <c r="C670" s="195">
        <f>IF(B670="","",2*PI()*B670)</f>
        <v/>
      </c>
      <c r="D670" s="195">
        <f>IF(B670="","",ATANH(MIN(0.999999,(2*'入力・概要'!$B$17*'入力・概要'!$B$6)/'入力・概要'!$B$30))+'入力・概要'!$B$33*SQRT(B670/1E6)+(2*PI()*B670*'入力・概要'!$B$6/(299792458*'入力・概要'!$B$31))*'入力・概要'!$B$32/2)</f>
        <v/>
      </c>
      <c r="E670" s="195">
        <f>IF(B670="","",2*PI()*B670*'入力・概要'!$B$6/(299792458*'入力・概要'!$B$31))</f>
        <v/>
      </c>
      <c r="F670" s="195">
        <f>IF(B670="","",SINH(2*D670)/(COSH(2*D670)+COS(2*E670)))</f>
        <v/>
      </c>
      <c r="G670" s="195">
        <f>IF(B670="","",SIN(2*E670)/(COSH(2*D670)+COS(2*E670)))</f>
        <v/>
      </c>
      <c r="H670" s="195">
        <f>IF(B670="","",'入力・概要'!$B$34)</f>
        <v/>
      </c>
      <c r="I670" s="195">
        <f>IF(B670="","",C670*'入力・概要'!$B$35*1E-9)</f>
        <v/>
      </c>
      <c r="J670" s="195">
        <f>IF(B670="","",H670+'入力・概要'!$B$30*F670)</f>
        <v/>
      </c>
      <c r="K670" s="195">
        <f>IF(B670="","",I670+'入力・概要'!$B$30*G670)</f>
        <v/>
      </c>
      <c r="L670" s="195">
        <f>IF(B670="","",'入力・概要'!$B$30+H670*F670-I670*G670)</f>
        <v/>
      </c>
      <c r="M670" s="195">
        <f>IF(B670="","",H670*G670+I670*F670)</f>
        <v/>
      </c>
      <c r="N670" s="195">
        <f>IF(B670="","",'入力・概要'!$B$30*(J670*L670+K670*M670)/(L670^2+M670^2))</f>
        <v/>
      </c>
      <c r="O670" s="195">
        <f>IF(B670="","",'入力・概要'!$B$30*(K670*L670-J670*M670)/(L670^2+M670^2))</f>
        <v/>
      </c>
      <c r="P670" s="195">
        <f>IF(B670="","",N670+'入力・概要'!$B$36)</f>
        <v/>
      </c>
      <c r="Q670" s="195">
        <f>IF(B670="","",O670+C670*'入力・概要'!$B$37*1E-9)</f>
        <v/>
      </c>
      <c r="R670" s="195">
        <f>IF(B670="","",SQRT(P670^2+Q670^2))</f>
        <v/>
      </c>
      <c r="S670" s="195">
        <f>IF(B670="","",IF(P670&gt;0,DEGREES(ATAN(Q670/P670)),IF(P670&lt;0,IF(Q670&gt;=0,DEGREES(ATAN(Q670/P670))+180,DEGREES(ATAN(Q670/P670))-180),IF(Q670&gt;0,90,IF(Q670&lt;0,-90,0)))))</f>
        <v/>
      </c>
      <c r="T670" s="195">
        <f>IF(B670="","",LOG10(B670))</f>
        <v/>
      </c>
      <c r="U670" s="195">
        <f>IF(R670="","",LOG10(MAX(R670,1E-12)))</f>
        <v/>
      </c>
    </row>
    <row r="671">
      <c r="A671" t="n">
        <v>668</v>
      </c>
      <c r="B671" s="196">
        <f>IF(A671&lt;='入力・概要'!$B$40,10^(LOG10('入力・概要'!$B$38)+(A671-1)*(LOG10('入力・概要'!$B$39)-LOG10('入力・概要'!$B$38))/('入力・概要'!$B$40-1)),"")</f>
        <v/>
      </c>
      <c r="C671" s="195">
        <f>IF(B671="","",2*PI()*B671)</f>
        <v/>
      </c>
      <c r="D671" s="195">
        <f>IF(B671="","",ATANH(MIN(0.999999,(2*'入力・概要'!$B$17*'入力・概要'!$B$6)/'入力・概要'!$B$30))+'入力・概要'!$B$33*SQRT(B671/1E6)+(2*PI()*B671*'入力・概要'!$B$6/(299792458*'入力・概要'!$B$31))*'入力・概要'!$B$32/2)</f>
        <v/>
      </c>
      <c r="E671" s="195">
        <f>IF(B671="","",2*PI()*B671*'入力・概要'!$B$6/(299792458*'入力・概要'!$B$31))</f>
        <v/>
      </c>
      <c r="F671" s="195">
        <f>IF(B671="","",SINH(2*D671)/(COSH(2*D671)+COS(2*E671)))</f>
        <v/>
      </c>
      <c r="G671" s="195">
        <f>IF(B671="","",SIN(2*E671)/(COSH(2*D671)+COS(2*E671)))</f>
        <v/>
      </c>
      <c r="H671" s="195">
        <f>IF(B671="","",'入力・概要'!$B$34)</f>
        <v/>
      </c>
      <c r="I671" s="195">
        <f>IF(B671="","",C671*'入力・概要'!$B$35*1E-9)</f>
        <v/>
      </c>
      <c r="J671" s="195">
        <f>IF(B671="","",H671+'入力・概要'!$B$30*F671)</f>
        <v/>
      </c>
      <c r="K671" s="195">
        <f>IF(B671="","",I671+'入力・概要'!$B$30*G671)</f>
        <v/>
      </c>
      <c r="L671" s="195">
        <f>IF(B671="","",'入力・概要'!$B$30+H671*F671-I671*G671)</f>
        <v/>
      </c>
      <c r="M671" s="195">
        <f>IF(B671="","",H671*G671+I671*F671)</f>
        <v/>
      </c>
      <c r="N671" s="195">
        <f>IF(B671="","",'入力・概要'!$B$30*(J671*L671+K671*M671)/(L671^2+M671^2))</f>
        <v/>
      </c>
      <c r="O671" s="195">
        <f>IF(B671="","",'入力・概要'!$B$30*(K671*L671-J671*M671)/(L671^2+M671^2))</f>
        <v/>
      </c>
      <c r="P671" s="195">
        <f>IF(B671="","",N671+'入力・概要'!$B$36)</f>
        <v/>
      </c>
      <c r="Q671" s="195">
        <f>IF(B671="","",O671+C671*'入力・概要'!$B$37*1E-9)</f>
        <v/>
      </c>
      <c r="R671" s="195">
        <f>IF(B671="","",SQRT(P671^2+Q671^2))</f>
        <v/>
      </c>
      <c r="S671" s="195">
        <f>IF(B671="","",IF(P671&gt;0,DEGREES(ATAN(Q671/P671)),IF(P671&lt;0,IF(Q671&gt;=0,DEGREES(ATAN(Q671/P671))+180,DEGREES(ATAN(Q671/P671))-180),IF(Q671&gt;0,90,IF(Q671&lt;0,-90,0)))))</f>
        <v/>
      </c>
      <c r="T671" s="195">
        <f>IF(B671="","",LOG10(B671))</f>
        <v/>
      </c>
      <c r="U671" s="195">
        <f>IF(R671="","",LOG10(MAX(R671,1E-12)))</f>
        <v/>
      </c>
    </row>
    <row r="672">
      <c r="A672" t="n">
        <v>669</v>
      </c>
      <c r="B672" s="196">
        <f>IF(A672&lt;='入力・概要'!$B$40,10^(LOG10('入力・概要'!$B$38)+(A672-1)*(LOG10('入力・概要'!$B$39)-LOG10('入力・概要'!$B$38))/('入力・概要'!$B$40-1)),"")</f>
        <v/>
      </c>
      <c r="C672" s="195">
        <f>IF(B672="","",2*PI()*B672)</f>
        <v/>
      </c>
      <c r="D672" s="195">
        <f>IF(B672="","",ATANH(MIN(0.999999,(2*'入力・概要'!$B$17*'入力・概要'!$B$6)/'入力・概要'!$B$30))+'入力・概要'!$B$33*SQRT(B672/1E6)+(2*PI()*B672*'入力・概要'!$B$6/(299792458*'入力・概要'!$B$31))*'入力・概要'!$B$32/2)</f>
        <v/>
      </c>
      <c r="E672" s="195">
        <f>IF(B672="","",2*PI()*B672*'入力・概要'!$B$6/(299792458*'入力・概要'!$B$31))</f>
        <v/>
      </c>
      <c r="F672" s="195">
        <f>IF(B672="","",SINH(2*D672)/(COSH(2*D672)+COS(2*E672)))</f>
        <v/>
      </c>
      <c r="G672" s="195">
        <f>IF(B672="","",SIN(2*E672)/(COSH(2*D672)+COS(2*E672)))</f>
        <v/>
      </c>
      <c r="H672" s="195">
        <f>IF(B672="","",'入力・概要'!$B$34)</f>
        <v/>
      </c>
      <c r="I672" s="195">
        <f>IF(B672="","",C672*'入力・概要'!$B$35*1E-9)</f>
        <v/>
      </c>
      <c r="J672" s="195">
        <f>IF(B672="","",H672+'入力・概要'!$B$30*F672)</f>
        <v/>
      </c>
      <c r="K672" s="195">
        <f>IF(B672="","",I672+'入力・概要'!$B$30*G672)</f>
        <v/>
      </c>
      <c r="L672" s="195">
        <f>IF(B672="","",'入力・概要'!$B$30+H672*F672-I672*G672)</f>
        <v/>
      </c>
      <c r="M672" s="195">
        <f>IF(B672="","",H672*G672+I672*F672)</f>
        <v/>
      </c>
      <c r="N672" s="195">
        <f>IF(B672="","",'入力・概要'!$B$30*(J672*L672+K672*M672)/(L672^2+M672^2))</f>
        <v/>
      </c>
      <c r="O672" s="195">
        <f>IF(B672="","",'入力・概要'!$B$30*(K672*L672-J672*M672)/(L672^2+M672^2))</f>
        <v/>
      </c>
      <c r="P672" s="195">
        <f>IF(B672="","",N672+'入力・概要'!$B$36)</f>
        <v/>
      </c>
      <c r="Q672" s="195">
        <f>IF(B672="","",O672+C672*'入力・概要'!$B$37*1E-9)</f>
        <v/>
      </c>
      <c r="R672" s="195">
        <f>IF(B672="","",SQRT(P672^2+Q672^2))</f>
        <v/>
      </c>
      <c r="S672" s="195">
        <f>IF(B672="","",IF(P672&gt;0,DEGREES(ATAN(Q672/P672)),IF(P672&lt;0,IF(Q672&gt;=0,DEGREES(ATAN(Q672/P672))+180,DEGREES(ATAN(Q672/P672))-180),IF(Q672&gt;0,90,IF(Q672&lt;0,-90,0)))))</f>
        <v/>
      </c>
      <c r="T672" s="195">
        <f>IF(B672="","",LOG10(B672))</f>
        <v/>
      </c>
      <c r="U672" s="195">
        <f>IF(R672="","",LOG10(MAX(R672,1E-12)))</f>
        <v/>
      </c>
    </row>
    <row r="673">
      <c r="A673" t="n">
        <v>670</v>
      </c>
      <c r="B673" s="196">
        <f>IF(A673&lt;='入力・概要'!$B$40,10^(LOG10('入力・概要'!$B$38)+(A673-1)*(LOG10('入力・概要'!$B$39)-LOG10('入力・概要'!$B$38))/('入力・概要'!$B$40-1)),"")</f>
        <v/>
      </c>
      <c r="C673" s="195">
        <f>IF(B673="","",2*PI()*B673)</f>
        <v/>
      </c>
      <c r="D673" s="195">
        <f>IF(B673="","",ATANH(MIN(0.999999,(2*'入力・概要'!$B$17*'入力・概要'!$B$6)/'入力・概要'!$B$30))+'入力・概要'!$B$33*SQRT(B673/1E6)+(2*PI()*B673*'入力・概要'!$B$6/(299792458*'入力・概要'!$B$31))*'入力・概要'!$B$32/2)</f>
        <v/>
      </c>
      <c r="E673" s="195">
        <f>IF(B673="","",2*PI()*B673*'入力・概要'!$B$6/(299792458*'入力・概要'!$B$31))</f>
        <v/>
      </c>
      <c r="F673" s="195">
        <f>IF(B673="","",SINH(2*D673)/(COSH(2*D673)+COS(2*E673)))</f>
        <v/>
      </c>
      <c r="G673" s="195">
        <f>IF(B673="","",SIN(2*E673)/(COSH(2*D673)+COS(2*E673)))</f>
        <v/>
      </c>
      <c r="H673" s="195">
        <f>IF(B673="","",'入力・概要'!$B$34)</f>
        <v/>
      </c>
      <c r="I673" s="195">
        <f>IF(B673="","",C673*'入力・概要'!$B$35*1E-9)</f>
        <v/>
      </c>
      <c r="J673" s="195">
        <f>IF(B673="","",H673+'入力・概要'!$B$30*F673)</f>
        <v/>
      </c>
      <c r="K673" s="195">
        <f>IF(B673="","",I673+'入力・概要'!$B$30*G673)</f>
        <v/>
      </c>
      <c r="L673" s="195">
        <f>IF(B673="","",'入力・概要'!$B$30+H673*F673-I673*G673)</f>
        <v/>
      </c>
      <c r="M673" s="195">
        <f>IF(B673="","",H673*G673+I673*F673)</f>
        <v/>
      </c>
      <c r="N673" s="195">
        <f>IF(B673="","",'入力・概要'!$B$30*(J673*L673+K673*M673)/(L673^2+M673^2))</f>
        <v/>
      </c>
      <c r="O673" s="195">
        <f>IF(B673="","",'入力・概要'!$B$30*(K673*L673-J673*M673)/(L673^2+M673^2))</f>
        <v/>
      </c>
      <c r="P673" s="195">
        <f>IF(B673="","",N673+'入力・概要'!$B$36)</f>
        <v/>
      </c>
      <c r="Q673" s="195">
        <f>IF(B673="","",O673+C673*'入力・概要'!$B$37*1E-9)</f>
        <v/>
      </c>
      <c r="R673" s="195">
        <f>IF(B673="","",SQRT(P673^2+Q673^2))</f>
        <v/>
      </c>
      <c r="S673" s="195">
        <f>IF(B673="","",IF(P673&gt;0,DEGREES(ATAN(Q673/P673)),IF(P673&lt;0,IF(Q673&gt;=0,DEGREES(ATAN(Q673/P673))+180,DEGREES(ATAN(Q673/P673))-180),IF(Q673&gt;0,90,IF(Q673&lt;0,-90,0)))))</f>
        <v/>
      </c>
      <c r="T673" s="195">
        <f>IF(B673="","",LOG10(B673))</f>
        <v/>
      </c>
      <c r="U673" s="195">
        <f>IF(R673="","",LOG10(MAX(R673,1E-12)))</f>
        <v/>
      </c>
    </row>
    <row r="674">
      <c r="A674" t="n">
        <v>671</v>
      </c>
      <c r="B674" s="196">
        <f>IF(A674&lt;='入力・概要'!$B$40,10^(LOG10('入力・概要'!$B$38)+(A674-1)*(LOG10('入力・概要'!$B$39)-LOG10('入力・概要'!$B$38))/('入力・概要'!$B$40-1)),"")</f>
        <v/>
      </c>
      <c r="C674" s="195">
        <f>IF(B674="","",2*PI()*B674)</f>
        <v/>
      </c>
      <c r="D674" s="195">
        <f>IF(B674="","",ATANH(MIN(0.999999,(2*'入力・概要'!$B$17*'入力・概要'!$B$6)/'入力・概要'!$B$30))+'入力・概要'!$B$33*SQRT(B674/1E6)+(2*PI()*B674*'入力・概要'!$B$6/(299792458*'入力・概要'!$B$31))*'入力・概要'!$B$32/2)</f>
        <v/>
      </c>
      <c r="E674" s="195">
        <f>IF(B674="","",2*PI()*B674*'入力・概要'!$B$6/(299792458*'入力・概要'!$B$31))</f>
        <v/>
      </c>
      <c r="F674" s="195">
        <f>IF(B674="","",SINH(2*D674)/(COSH(2*D674)+COS(2*E674)))</f>
        <v/>
      </c>
      <c r="G674" s="195">
        <f>IF(B674="","",SIN(2*E674)/(COSH(2*D674)+COS(2*E674)))</f>
        <v/>
      </c>
      <c r="H674" s="195">
        <f>IF(B674="","",'入力・概要'!$B$34)</f>
        <v/>
      </c>
      <c r="I674" s="195">
        <f>IF(B674="","",C674*'入力・概要'!$B$35*1E-9)</f>
        <v/>
      </c>
      <c r="J674" s="195">
        <f>IF(B674="","",H674+'入力・概要'!$B$30*F674)</f>
        <v/>
      </c>
      <c r="K674" s="195">
        <f>IF(B674="","",I674+'入力・概要'!$B$30*G674)</f>
        <v/>
      </c>
      <c r="L674" s="195">
        <f>IF(B674="","",'入力・概要'!$B$30+H674*F674-I674*G674)</f>
        <v/>
      </c>
      <c r="M674" s="195">
        <f>IF(B674="","",H674*G674+I674*F674)</f>
        <v/>
      </c>
      <c r="N674" s="195">
        <f>IF(B674="","",'入力・概要'!$B$30*(J674*L674+K674*M674)/(L674^2+M674^2))</f>
        <v/>
      </c>
      <c r="O674" s="195">
        <f>IF(B674="","",'入力・概要'!$B$30*(K674*L674-J674*M674)/(L674^2+M674^2))</f>
        <v/>
      </c>
      <c r="P674" s="195">
        <f>IF(B674="","",N674+'入力・概要'!$B$36)</f>
        <v/>
      </c>
      <c r="Q674" s="195">
        <f>IF(B674="","",O674+C674*'入力・概要'!$B$37*1E-9)</f>
        <v/>
      </c>
      <c r="R674" s="195">
        <f>IF(B674="","",SQRT(P674^2+Q674^2))</f>
        <v/>
      </c>
      <c r="S674" s="195">
        <f>IF(B674="","",IF(P674&gt;0,DEGREES(ATAN(Q674/P674)),IF(P674&lt;0,IF(Q674&gt;=0,DEGREES(ATAN(Q674/P674))+180,DEGREES(ATAN(Q674/P674))-180),IF(Q674&gt;0,90,IF(Q674&lt;0,-90,0)))))</f>
        <v/>
      </c>
      <c r="T674" s="195">
        <f>IF(B674="","",LOG10(B674))</f>
        <v/>
      </c>
      <c r="U674" s="195">
        <f>IF(R674="","",LOG10(MAX(R674,1E-12)))</f>
        <v/>
      </c>
    </row>
    <row r="675">
      <c r="A675" t="n">
        <v>672</v>
      </c>
      <c r="B675" s="196">
        <f>IF(A675&lt;='入力・概要'!$B$40,10^(LOG10('入力・概要'!$B$38)+(A675-1)*(LOG10('入力・概要'!$B$39)-LOG10('入力・概要'!$B$38))/('入力・概要'!$B$40-1)),"")</f>
        <v/>
      </c>
      <c r="C675" s="195">
        <f>IF(B675="","",2*PI()*B675)</f>
        <v/>
      </c>
      <c r="D675" s="195">
        <f>IF(B675="","",ATANH(MIN(0.999999,(2*'入力・概要'!$B$17*'入力・概要'!$B$6)/'入力・概要'!$B$30))+'入力・概要'!$B$33*SQRT(B675/1E6)+(2*PI()*B675*'入力・概要'!$B$6/(299792458*'入力・概要'!$B$31))*'入力・概要'!$B$32/2)</f>
        <v/>
      </c>
      <c r="E675" s="195">
        <f>IF(B675="","",2*PI()*B675*'入力・概要'!$B$6/(299792458*'入力・概要'!$B$31))</f>
        <v/>
      </c>
      <c r="F675" s="195">
        <f>IF(B675="","",SINH(2*D675)/(COSH(2*D675)+COS(2*E675)))</f>
        <v/>
      </c>
      <c r="G675" s="195">
        <f>IF(B675="","",SIN(2*E675)/(COSH(2*D675)+COS(2*E675)))</f>
        <v/>
      </c>
      <c r="H675" s="195">
        <f>IF(B675="","",'入力・概要'!$B$34)</f>
        <v/>
      </c>
      <c r="I675" s="195">
        <f>IF(B675="","",C675*'入力・概要'!$B$35*1E-9)</f>
        <v/>
      </c>
      <c r="J675" s="195">
        <f>IF(B675="","",H675+'入力・概要'!$B$30*F675)</f>
        <v/>
      </c>
      <c r="K675" s="195">
        <f>IF(B675="","",I675+'入力・概要'!$B$30*G675)</f>
        <v/>
      </c>
      <c r="L675" s="195">
        <f>IF(B675="","",'入力・概要'!$B$30+H675*F675-I675*G675)</f>
        <v/>
      </c>
      <c r="M675" s="195">
        <f>IF(B675="","",H675*G675+I675*F675)</f>
        <v/>
      </c>
      <c r="N675" s="195">
        <f>IF(B675="","",'入力・概要'!$B$30*(J675*L675+K675*M675)/(L675^2+M675^2))</f>
        <v/>
      </c>
      <c r="O675" s="195">
        <f>IF(B675="","",'入力・概要'!$B$30*(K675*L675-J675*M675)/(L675^2+M675^2))</f>
        <v/>
      </c>
      <c r="P675" s="195">
        <f>IF(B675="","",N675+'入力・概要'!$B$36)</f>
        <v/>
      </c>
      <c r="Q675" s="195">
        <f>IF(B675="","",O675+C675*'入力・概要'!$B$37*1E-9)</f>
        <v/>
      </c>
      <c r="R675" s="195">
        <f>IF(B675="","",SQRT(P675^2+Q675^2))</f>
        <v/>
      </c>
      <c r="S675" s="195">
        <f>IF(B675="","",IF(P675&gt;0,DEGREES(ATAN(Q675/P675)),IF(P675&lt;0,IF(Q675&gt;=0,DEGREES(ATAN(Q675/P675))+180,DEGREES(ATAN(Q675/P675))-180),IF(Q675&gt;0,90,IF(Q675&lt;0,-90,0)))))</f>
        <v/>
      </c>
      <c r="T675" s="195">
        <f>IF(B675="","",LOG10(B675))</f>
        <v/>
      </c>
      <c r="U675" s="195">
        <f>IF(R675="","",LOG10(MAX(R675,1E-12)))</f>
        <v/>
      </c>
    </row>
    <row r="676">
      <c r="A676" t="n">
        <v>673</v>
      </c>
      <c r="B676" s="196">
        <f>IF(A676&lt;='入力・概要'!$B$40,10^(LOG10('入力・概要'!$B$38)+(A676-1)*(LOG10('入力・概要'!$B$39)-LOG10('入力・概要'!$B$38))/('入力・概要'!$B$40-1)),"")</f>
        <v/>
      </c>
      <c r="C676" s="195">
        <f>IF(B676="","",2*PI()*B676)</f>
        <v/>
      </c>
      <c r="D676" s="195">
        <f>IF(B676="","",ATANH(MIN(0.999999,(2*'入力・概要'!$B$17*'入力・概要'!$B$6)/'入力・概要'!$B$30))+'入力・概要'!$B$33*SQRT(B676/1E6)+(2*PI()*B676*'入力・概要'!$B$6/(299792458*'入力・概要'!$B$31))*'入力・概要'!$B$32/2)</f>
        <v/>
      </c>
      <c r="E676" s="195">
        <f>IF(B676="","",2*PI()*B676*'入力・概要'!$B$6/(299792458*'入力・概要'!$B$31))</f>
        <v/>
      </c>
      <c r="F676" s="195">
        <f>IF(B676="","",SINH(2*D676)/(COSH(2*D676)+COS(2*E676)))</f>
        <v/>
      </c>
      <c r="G676" s="195">
        <f>IF(B676="","",SIN(2*E676)/(COSH(2*D676)+COS(2*E676)))</f>
        <v/>
      </c>
      <c r="H676" s="195">
        <f>IF(B676="","",'入力・概要'!$B$34)</f>
        <v/>
      </c>
      <c r="I676" s="195">
        <f>IF(B676="","",C676*'入力・概要'!$B$35*1E-9)</f>
        <v/>
      </c>
      <c r="J676" s="195">
        <f>IF(B676="","",H676+'入力・概要'!$B$30*F676)</f>
        <v/>
      </c>
      <c r="K676" s="195">
        <f>IF(B676="","",I676+'入力・概要'!$B$30*G676)</f>
        <v/>
      </c>
      <c r="L676" s="195">
        <f>IF(B676="","",'入力・概要'!$B$30+H676*F676-I676*G676)</f>
        <v/>
      </c>
      <c r="M676" s="195">
        <f>IF(B676="","",H676*G676+I676*F676)</f>
        <v/>
      </c>
      <c r="N676" s="195">
        <f>IF(B676="","",'入力・概要'!$B$30*(J676*L676+K676*M676)/(L676^2+M676^2))</f>
        <v/>
      </c>
      <c r="O676" s="195">
        <f>IF(B676="","",'入力・概要'!$B$30*(K676*L676-J676*M676)/(L676^2+M676^2))</f>
        <v/>
      </c>
      <c r="P676" s="195">
        <f>IF(B676="","",N676+'入力・概要'!$B$36)</f>
        <v/>
      </c>
      <c r="Q676" s="195">
        <f>IF(B676="","",O676+C676*'入力・概要'!$B$37*1E-9)</f>
        <v/>
      </c>
      <c r="R676" s="195">
        <f>IF(B676="","",SQRT(P676^2+Q676^2))</f>
        <v/>
      </c>
      <c r="S676" s="195">
        <f>IF(B676="","",IF(P676&gt;0,DEGREES(ATAN(Q676/P676)),IF(P676&lt;0,IF(Q676&gt;=0,DEGREES(ATAN(Q676/P676))+180,DEGREES(ATAN(Q676/P676))-180),IF(Q676&gt;0,90,IF(Q676&lt;0,-90,0)))))</f>
        <v/>
      </c>
      <c r="T676" s="195">
        <f>IF(B676="","",LOG10(B676))</f>
        <v/>
      </c>
      <c r="U676" s="195">
        <f>IF(R676="","",LOG10(MAX(R676,1E-12)))</f>
        <v/>
      </c>
    </row>
    <row r="677">
      <c r="A677" t="n">
        <v>674</v>
      </c>
      <c r="B677" s="196">
        <f>IF(A677&lt;='入力・概要'!$B$40,10^(LOG10('入力・概要'!$B$38)+(A677-1)*(LOG10('入力・概要'!$B$39)-LOG10('入力・概要'!$B$38))/('入力・概要'!$B$40-1)),"")</f>
        <v/>
      </c>
      <c r="C677" s="195">
        <f>IF(B677="","",2*PI()*B677)</f>
        <v/>
      </c>
      <c r="D677" s="195">
        <f>IF(B677="","",ATANH(MIN(0.999999,(2*'入力・概要'!$B$17*'入力・概要'!$B$6)/'入力・概要'!$B$30))+'入力・概要'!$B$33*SQRT(B677/1E6)+(2*PI()*B677*'入力・概要'!$B$6/(299792458*'入力・概要'!$B$31))*'入力・概要'!$B$32/2)</f>
        <v/>
      </c>
      <c r="E677" s="195">
        <f>IF(B677="","",2*PI()*B677*'入力・概要'!$B$6/(299792458*'入力・概要'!$B$31))</f>
        <v/>
      </c>
      <c r="F677" s="195">
        <f>IF(B677="","",SINH(2*D677)/(COSH(2*D677)+COS(2*E677)))</f>
        <v/>
      </c>
      <c r="G677" s="195">
        <f>IF(B677="","",SIN(2*E677)/(COSH(2*D677)+COS(2*E677)))</f>
        <v/>
      </c>
      <c r="H677" s="195">
        <f>IF(B677="","",'入力・概要'!$B$34)</f>
        <v/>
      </c>
      <c r="I677" s="195">
        <f>IF(B677="","",C677*'入力・概要'!$B$35*1E-9)</f>
        <v/>
      </c>
      <c r="J677" s="195">
        <f>IF(B677="","",H677+'入力・概要'!$B$30*F677)</f>
        <v/>
      </c>
      <c r="K677" s="195">
        <f>IF(B677="","",I677+'入力・概要'!$B$30*G677)</f>
        <v/>
      </c>
      <c r="L677" s="195">
        <f>IF(B677="","",'入力・概要'!$B$30+H677*F677-I677*G677)</f>
        <v/>
      </c>
      <c r="M677" s="195">
        <f>IF(B677="","",H677*G677+I677*F677)</f>
        <v/>
      </c>
      <c r="N677" s="195">
        <f>IF(B677="","",'入力・概要'!$B$30*(J677*L677+K677*M677)/(L677^2+M677^2))</f>
        <v/>
      </c>
      <c r="O677" s="195">
        <f>IF(B677="","",'入力・概要'!$B$30*(K677*L677-J677*M677)/(L677^2+M677^2))</f>
        <v/>
      </c>
      <c r="P677" s="195">
        <f>IF(B677="","",N677+'入力・概要'!$B$36)</f>
        <v/>
      </c>
      <c r="Q677" s="195">
        <f>IF(B677="","",O677+C677*'入力・概要'!$B$37*1E-9)</f>
        <v/>
      </c>
      <c r="R677" s="195">
        <f>IF(B677="","",SQRT(P677^2+Q677^2))</f>
        <v/>
      </c>
      <c r="S677" s="195">
        <f>IF(B677="","",IF(P677&gt;0,DEGREES(ATAN(Q677/P677)),IF(P677&lt;0,IF(Q677&gt;=0,DEGREES(ATAN(Q677/P677))+180,DEGREES(ATAN(Q677/P677))-180),IF(Q677&gt;0,90,IF(Q677&lt;0,-90,0)))))</f>
        <v/>
      </c>
      <c r="T677" s="195">
        <f>IF(B677="","",LOG10(B677))</f>
        <v/>
      </c>
      <c r="U677" s="195">
        <f>IF(R677="","",LOG10(MAX(R677,1E-12)))</f>
        <v/>
      </c>
    </row>
    <row r="678">
      <c r="A678" t="n">
        <v>675</v>
      </c>
      <c r="B678" s="196">
        <f>IF(A678&lt;='入力・概要'!$B$40,10^(LOG10('入力・概要'!$B$38)+(A678-1)*(LOG10('入力・概要'!$B$39)-LOG10('入力・概要'!$B$38))/('入力・概要'!$B$40-1)),"")</f>
        <v/>
      </c>
      <c r="C678" s="195">
        <f>IF(B678="","",2*PI()*B678)</f>
        <v/>
      </c>
      <c r="D678" s="195">
        <f>IF(B678="","",ATANH(MIN(0.999999,(2*'入力・概要'!$B$17*'入力・概要'!$B$6)/'入力・概要'!$B$30))+'入力・概要'!$B$33*SQRT(B678/1E6)+(2*PI()*B678*'入力・概要'!$B$6/(299792458*'入力・概要'!$B$31))*'入力・概要'!$B$32/2)</f>
        <v/>
      </c>
      <c r="E678" s="195">
        <f>IF(B678="","",2*PI()*B678*'入力・概要'!$B$6/(299792458*'入力・概要'!$B$31))</f>
        <v/>
      </c>
      <c r="F678" s="195">
        <f>IF(B678="","",SINH(2*D678)/(COSH(2*D678)+COS(2*E678)))</f>
        <v/>
      </c>
      <c r="G678" s="195">
        <f>IF(B678="","",SIN(2*E678)/(COSH(2*D678)+COS(2*E678)))</f>
        <v/>
      </c>
      <c r="H678" s="195">
        <f>IF(B678="","",'入力・概要'!$B$34)</f>
        <v/>
      </c>
      <c r="I678" s="195">
        <f>IF(B678="","",C678*'入力・概要'!$B$35*1E-9)</f>
        <v/>
      </c>
      <c r="J678" s="195">
        <f>IF(B678="","",H678+'入力・概要'!$B$30*F678)</f>
        <v/>
      </c>
      <c r="K678" s="195">
        <f>IF(B678="","",I678+'入力・概要'!$B$30*G678)</f>
        <v/>
      </c>
      <c r="L678" s="195">
        <f>IF(B678="","",'入力・概要'!$B$30+H678*F678-I678*G678)</f>
        <v/>
      </c>
      <c r="M678" s="195">
        <f>IF(B678="","",H678*G678+I678*F678)</f>
        <v/>
      </c>
      <c r="N678" s="195">
        <f>IF(B678="","",'入力・概要'!$B$30*(J678*L678+K678*M678)/(L678^2+M678^2))</f>
        <v/>
      </c>
      <c r="O678" s="195">
        <f>IF(B678="","",'入力・概要'!$B$30*(K678*L678-J678*M678)/(L678^2+M678^2))</f>
        <v/>
      </c>
      <c r="P678" s="195">
        <f>IF(B678="","",N678+'入力・概要'!$B$36)</f>
        <v/>
      </c>
      <c r="Q678" s="195">
        <f>IF(B678="","",O678+C678*'入力・概要'!$B$37*1E-9)</f>
        <v/>
      </c>
      <c r="R678" s="195">
        <f>IF(B678="","",SQRT(P678^2+Q678^2))</f>
        <v/>
      </c>
      <c r="S678" s="195">
        <f>IF(B678="","",IF(P678&gt;0,DEGREES(ATAN(Q678/P678)),IF(P678&lt;0,IF(Q678&gt;=0,DEGREES(ATAN(Q678/P678))+180,DEGREES(ATAN(Q678/P678))-180),IF(Q678&gt;0,90,IF(Q678&lt;0,-90,0)))))</f>
        <v/>
      </c>
      <c r="T678" s="195">
        <f>IF(B678="","",LOG10(B678))</f>
        <v/>
      </c>
      <c r="U678" s="195">
        <f>IF(R678="","",LOG10(MAX(R678,1E-12)))</f>
        <v/>
      </c>
    </row>
    <row r="679">
      <c r="A679" t="n">
        <v>676</v>
      </c>
      <c r="B679" s="196">
        <f>IF(A679&lt;='入力・概要'!$B$40,10^(LOG10('入力・概要'!$B$38)+(A679-1)*(LOG10('入力・概要'!$B$39)-LOG10('入力・概要'!$B$38))/('入力・概要'!$B$40-1)),"")</f>
        <v/>
      </c>
      <c r="C679" s="195">
        <f>IF(B679="","",2*PI()*B679)</f>
        <v/>
      </c>
      <c r="D679" s="195">
        <f>IF(B679="","",ATANH(MIN(0.999999,(2*'入力・概要'!$B$17*'入力・概要'!$B$6)/'入力・概要'!$B$30))+'入力・概要'!$B$33*SQRT(B679/1E6)+(2*PI()*B679*'入力・概要'!$B$6/(299792458*'入力・概要'!$B$31))*'入力・概要'!$B$32/2)</f>
        <v/>
      </c>
      <c r="E679" s="195">
        <f>IF(B679="","",2*PI()*B679*'入力・概要'!$B$6/(299792458*'入力・概要'!$B$31))</f>
        <v/>
      </c>
      <c r="F679" s="195">
        <f>IF(B679="","",SINH(2*D679)/(COSH(2*D679)+COS(2*E679)))</f>
        <v/>
      </c>
      <c r="G679" s="195">
        <f>IF(B679="","",SIN(2*E679)/(COSH(2*D679)+COS(2*E679)))</f>
        <v/>
      </c>
      <c r="H679" s="195">
        <f>IF(B679="","",'入力・概要'!$B$34)</f>
        <v/>
      </c>
      <c r="I679" s="195">
        <f>IF(B679="","",C679*'入力・概要'!$B$35*1E-9)</f>
        <v/>
      </c>
      <c r="J679" s="195">
        <f>IF(B679="","",H679+'入力・概要'!$B$30*F679)</f>
        <v/>
      </c>
      <c r="K679" s="195">
        <f>IF(B679="","",I679+'入力・概要'!$B$30*G679)</f>
        <v/>
      </c>
      <c r="L679" s="195">
        <f>IF(B679="","",'入力・概要'!$B$30+H679*F679-I679*G679)</f>
        <v/>
      </c>
      <c r="M679" s="195">
        <f>IF(B679="","",H679*G679+I679*F679)</f>
        <v/>
      </c>
      <c r="N679" s="195">
        <f>IF(B679="","",'入力・概要'!$B$30*(J679*L679+K679*M679)/(L679^2+M679^2))</f>
        <v/>
      </c>
      <c r="O679" s="195">
        <f>IF(B679="","",'入力・概要'!$B$30*(K679*L679-J679*M679)/(L679^2+M679^2))</f>
        <v/>
      </c>
      <c r="P679" s="195">
        <f>IF(B679="","",N679+'入力・概要'!$B$36)</f>
        <v/>
      </c>
      <c r="Q679" s="195">
        <f>IF(B679="","",O679+C679*'入力・概要'!$B$37*1E-9)</f>
        <v/>
      </c>
      <c r="R679" s="195">
        <f>IF(B679="","",SQRT(P679^2+Q679^2))</f>
        <v/>
      </c>
      <c r="S679" s="195">
        <f>IF(B679="","",IF(P679&gt;0,DEGREES(ATAN(Q679/P679)),IF(P679&lt;0,IF(Q679&gt;=0,DEGREES(ATAN(Q679/P679))+180,DEGREES(ATAN(Q679/P679))-180),IF(Q679&gt;0,90,IF(Q679&lt;0,-90,0)))))</f>
        <v/>
      </c>
      <c r="T679" s="195">
        <f>IF(B679="","",LOG10(B679))</f>
        <v/>
      </c>
      <c r="U679" s="195">
        <f>IF(R679="","",LOG10(MAX(R679,1E-12)))</f>
        <v/>
      </c>
    </row>
    <row r="680">
      <c r="A680" t="n">
        <v>677</v>
      </c>
      <c r="B680" s="196">
        <f>IF(A680&lt;='入力・概要'!$B$40,10^(LOG10('入力・概要'!$B$38)+(A680-1)*(LOG10('入力・概要'!$B$39)-LOG10('入力・概要'!$B$38))/('入力・概要'!$B$40-1)),"")</f>
        <v/>
      </c>
      <c r="C680" s="195">
        <f>IF(B680="","",2*PI()*B680)</f>
        <v/>
      </c>
      <c r="D680" s="195">
        <f>IF(B680="","",ATANH(MIN(0.999999,(2*'入力・概要'!$B$17*'入力・概要'!$B$6)/'入力・概要'!$B$30))+'入力・概要'!$B$33*SQRT(B680/1E6)+(2*PI()*B680*'入力・概要'!$B$6/(299792458*'入力・概要'!$B$31))*'入力・概要'!$B$32/2)</f>
        <v/>
      </c>
      <c r="E680" s="195">
        <f>IF(B680="","",2*PI()*B680*'入力・概要'!$B$6/(299792458*'入力・概要'!$B$31))</f>
        <v/>
      </c>
      <c r="F680" s="195">
        <f>IF(B680="","",SINH(2*D680)/(COSH(2*D680)+COS(2*E680)))</f>
        <v/>
      </c>
      <c r="G680" s="195">
        <f>IF(B680="","",SIN(2*E680)/(COSH(2*D680)+COS(2*E680)))</f>
        <v/>
      </c>
      <c r="H680" s="195">
        <f>IF(B680="","",'入力・概要'!$B$34)</f>
        <v/>
      </c>
      <c r="I680" s="195">
        <f>IF(B680="","",C680*'入力・概要'!$B$35*1E-9)</f>
        <v/>
      </c>
      <c r="J680" s="195">
        <f>IF(B680="","",H680+'入力・概要'!$B$30*F680)</f>
        <v/>
      </c>
      <c r="K680" s="195">
        <f>IF(B680="","",I680+'入力・概要'!$B$30*G680)</f>
        <v/>
      </c>
      <c r="L680" s="195">
        <f>IF(B680="","",'入力・概要'!$B$30+H680*F680-I680*G680)</f>
        <v/>
      </c>
      <c r="M680" s="195">
        <f>IF(B680="","",H680*G680+I680*F680)</f>
        <v/>
      </c>
      <c r="N680" s="195">
        <f>IF(B680="","",'入力・概要'!$B$30*(J680*L680+K680*M680)/(L680^2+M680^2))</f>
        <v/>
      </c>
      <c r="O680" s="195">
        <f>IF(B680="","",'入力・概要'!$B$30*(K680*L680-J680*M680)/(L680^2+M680^2))</f>
        <v/>
      </c>
      <c r="P680" s="195">
        <f>IF(B680="","",N680+'入力・概要'!$B$36)</f>
        <v/>
      </c>
      <c r="Q680" s="195">
        <f>IF(B680="","",O680+C680*'入力・概要'!$B$37*1E-9)</f>
        <v/>
      </c>
      <c r="R680" s="195">
        <f>IF(B680="","",SQRT(P680^2+Q680^2))</f>
        <v/>
      </c>
      <c r="S680" s="195">
        <f>IF(B680="","",IF(P680&gt;0,DEGREES(ATAN(Q680/P680)),IF(P680&lt;0,IF(Q680&gt;=0,DEGREES(ATAN(Q680/P680))+180,DEGREES(ATAN(Q680/P680))-180),IF(Q680&gt;0,90,IF(Q680&lt;0,-90,0)))))</f>
        <v/>
      </c>
      <c r="T680" s="195">
        <f>IF(B680="","",LOG10(B680))</f>
        <v/>
      </c>
      <c r="U680" s="195">
        <f>IF(R680="","",LOG10(MAX(R680,1E-12)))</f>
        <v/>
      </c>
    </row>
    <row r="681">
      <c r="A681" t="n">
        <v>678</v>
      </c>
      <c r="B681" s="196">
        <f>IF(A681&lt;='入力・概要'!$B$40,10^(LOG10('入力・概要'!$B$38)+(A681-1)*(LOG10('入力・概要'!$B$39)-LOG10('入力・概要'!$B$38))/('入力・概要'!$B$40-1)),"")</f>
        <v/>
      </c>
      <c r="C681" s="195">
        <f>IF(B681="","",2*PI()*B681)</f>
        <v/>
      </c>
      <c r="D681" s="195">
        <f>IF(B681="","",ATANH(MIN(0.999999,(2*'入力・概要'!$B$17*'入力・概要'!$B$6)/'入力・概要'!$B$30))+'入力・概要'!$B$33*SQRT(B681/1E6)+(2*PI()*B681*'入力・概要'!$B$6/(299792458*'入力・概要'!$B$31))*'入力・概要'!$B$32/2)</f>
        <v/>
      </c>
      <c r="E681" s="195">
        <f>IF(B681="","",2*PI()*B681*'入力・概要'!$B$6/(299792458*'入力・概要'!$B$31))</f>
        <v/>
      </c>
      <c r="F681" s="195">
        <f>IF(B681="","",SINH(2*D681)/(COSH(2*D681)+COS(2*E681)))</f>
        <v/>
      </c>
      <c r="G681" s="195">
        <f>IF(B681="","",SIN(2*E681)/(COSH(2*D681)+COS(2*E681)))</f>
        <v/>
      </c>
      <c r="H681" s="195">
        <f>IF(B681="","",'入力・概要'!$B$34)</f>
        <v/>
      </c>
      <c r="I681" s="195">
        <f>IF(B681="","",C681*'入力・概要'!$B$35*1E-9)</f>
        <v/>
      </c>
      <c r="J681" s="195">
        <f>IF(B681="","",H681+'入力・概要'!$B$30*F681)</f>
        <v/>
      </c>
      <c r="K681" s="195">
        <f>IF(B681="","",I681+'入力・概要'!$B$30*G681)</f>
        <v/>
      </c>
      <c r="L681" s="195">
        <f>IF(B681="","",'入力・概要'!$B$30+H681*F681-I681*G681)</f>
        <v/>
      </c>
      <c r="M681" s="195">
        <f>IF(B681="","",H681*G681+I681*F681)</f>
        <v/>
      </c>
      <c r="N681" s="195">
        <f>IF(B681="","",'入力・概要'!$B$30*(J681*L681+K681*M681)/(L681^2+M681^2))</f>
        <v/>
      </c>
      <c r="O681" s="195">
        <f>IF(B681="","",'入力・概要'!$B$30*(K681*L681-J681*M681)/(L681^2+M681^2))</f>
        <v/>
      </c>
      <c r="P681" s="195">
        <f>IF(B681="","",N681+'入力・概要'!$B$36)</f>
        <v/>
      </c>
      <c r="Q681" s="195">
        <f>IF(B681="","",O681+C681*'入力・概要'!$B$37*1E-9)</f>
        <v/>
      </c>
      <c r="R681" s="195">
        <f>IF(B681="","",SQRT(P681^2+Q681^2))</f>
        <v/>
      </c>
      <c r="S681" s="195">
        <f>IF(B681="","",IF(P681&gt;0,DEGREES(ATAN(Q681/P681)),IF(P681&lt;0,IF(Q681&gt;=0,DEGREES(ATAN(Q681/P681))+180,DEGREES(ATAN(Q681/P681))-180),IF(Q681&gt;0,90,IF(Q681&lt;0,-90,0)))))</f>
        <v/>
      </c>
      <c r="T681" s="195">
        <f>IF(B681="","",LOG10(B681))</f>
        <v/>
      </c>
      <c r="U681" s="195">
        <f>IF(R681="","",LOG10(MAX(R681,1E-12)))</f>
        <v/>
      </c>
    </row>
    <row r="682">
      <c r="A682" t="n">
        <v>679</v>
      </c>
      <c r="B682" s="196">
        <f>IF(A682&lt;='入力・概要'!$B$40,10^(LOG10('入力・概要'!$B$38)+(A682-1)*(LOG10('入力・概要'!$B$39)-LOG10('入力・概要'!$B$38))/('入力・概要'!$B$40-1)),"")</f>
        <v/>
      </c>
      <c r="C682" s="195">
        <f>IF(B682="","",2*PI()*B682)</f>
        <v/>
      </c>
      <c r="D682" s="195">
        <f>IF(B682="","",ATANH(MIN(0.999999,(2*'入力・概要'!$B$17*'入力・概要'!$B$6)/'入力・概要'!$B$30))+'入力・概要'!$B$33*SQRT(B682/1E6)+(2*PI()*B682*'入力・概要'!$B$6/(299792458*'入力・概要'!$B$31))*'入力・概要'!$B$32/2)</f>
        <v/>
      </c>
      <c r="E682" s="195">
        <f>IF(B682="","",2*PI()*B682*'入力・概要'!$B$6/(299792458*'入力・概要'!$B$31))</f>
        <v/>
      </c>
      <c r="F682" s="195">
        <f>IF(B682="","",SINH(2*D682)/(COSH(2*D682)+COS(2*E682)))</f>
        <v/>
      </c>
      <c r="G682" s="195">
        <f>IF(B682="","",SIN(2*E682)/(COSH(2*D682)+COS(2*E682)))</f>
        <v/>
      </c>
      <c r="H682" s="195">
        <f>IF(B682="","",'入力・概要'!$B$34)</f>
        <v/>
      </c>
      <c r="I682" s="195">
        <f>IF(B682="","",C682*'入力・概要'!$B$35*1E-9)</f>
        <v/>
      </c>
      <c r="J682" s="195">
        <f>IF(B682="","",H682+'入力・概要'!$B$30*F682)</f>
        <v/>
      </c>
      <c r="K682" s="195">
        <f>IF(B682="","",I682+'入力・概要'!$B$30*G682)</f>
        <v/>
      </c>
      <c r="L682" s="195">
        <f>IF(B682="","",'入力・概要'!$B$30+H682*F682-I682*G682)</f>
        <v/>
      </c>
      <c r="M682" s="195">
        <f>IF(B682="","",H682*G682+I682*F682)</f>
        <v/>
      </c>
      <c r="N682" s="195">
        <f>IF(B682="","",'入力・概要'!$B$30*(J682*L682+K682*M682)/(L682^2+M682^2))</f>
        <v/>
      </c>
      <c r="O682" s="195">
        <f>IF(B682="","",'入力・概要'!$B$30*(K682*L682-J682*M682)/(L682^2+M682^2))</f>
        <v/>
      </c>
      <c r="P682" s="195">
        <f>IF(B682="","",N682+'入力・概要'!$B$36)</f>
        <v/>
      </c>
      <c r="Q682" s="195">
        <f>IF(B682="","",O682+C682*'入力・概要'!$B$37*1E-9)</f>
        <v/>
      </c>
      <c r="R682" s="195">
        <f>IF(B682="","",SQRT(P682^2+Q682^2))</f>
        <v/>
      </c>
      <c r="S682" s="195">
        <f>IF(B682="","",IF(P682&gt;0,DEGREES(ATAN(Q682/P682)),IF(P682&lt;0,IF(Q682&gt;=0,DEGREES(ATAN(Q682/P682))+180,DEGREES(ATAN(Q682/P682))-180),IF(Q682&gt;0,90,IF(Q682&lt;0,-90,0)))))</f>
        <v/>
      </c>
      <c r="T682" s="195">
        <f>IF(B682="","",LOG10(B682))</f>
        <v/>
      </c>
      <c r="U682" s="195">
        <f>IF(R682="","",LOG10(MAX(R682,1E-12)))</f>
        <v/>
      </c>
    </row>
    <row r="683">
      <c r="A683" t="n">
        <v>680</v>
      </c>
      <c r="B683" s="196">
        <f>IF(A683&lt;='入力・概要'!$B$40,10^(LOG10('入力・概要'!$B$38)+(A683-1)*(LOG10('入力・概要'!$B$39)-LOG10('入力・概要'!$B$38))/('入力・概要'!$B$40-1)),"")</f>
        <v/>
      </c>
      <c r="C683" s="195">
        <f>IF(B683="","",2*PI()*B683)</f>
        <v/>
      </c>
      <c r="D683" s="195">
        <f>IF(B683="","",ATANH(MIN(0.999999,(2*'入力・概要'!$B$17*'入力・概要'!$B$6)/'入力・概要'!$B$30))+'入力・概要'!$B$33*SQRT(B683/1E6)+(2*PI()*B683*'入力・概要'!$B$6/(299792458*'入力・概要'!$B$31))*'入力・概要'!$B$32/2)</f>
        <v/>
      </c>
      <c r="E683" s="195">
        <f>IF(B683="","",2*PI()*B683*'入力・概要'!$B$6/(299792458*'入力・概要'!$B$31))</f>
        <v/>
      </c>
      <c r="F683" s="195">
        <f>IF(B683="","",SINH(2*D683)/(COSH(2*D683)+COS(2*E683)))</f>
        <v/>
      </c>
      <c r="G683" s="195">
        <f>IF(B683="","",SIN(2*E683)/(COSH(2*D683)+COS(2*E683)))</f>
        <v/>
      </c>
      <c r="H683" s="195">
        <f>IF(B683="","",'入力・概要'!$B$34)</f>
        <v/>
      </c>
      <c r="I683" s="195">
        <f>IF(B683="","",C683*'入力・概要'!$B$35*1E-9)</f>
        <v/>
      </c>
      <c r="J683" s="195">
        <f>IF(B683="","",H683+'入力・概要'!$B$30*F683)</f>
        <v/>
      </c>
      <c r="K683" s="195">
        <f>IF(B683="","",I683+'入力・概要'!$B$30*G683)</f>
        <v/>
      </c>
      <c r="L683" s="195">
        <f>IF(B683="","",'入力・概要'!$B$30+H683*F683-I683*G683)</f>
        <v/>
      </c>
      <c r="M683" s="195">
        <f>IF(B683="","",H683*G683+I683*F683)</f>
        <v/>
      </c>
      <c r="N683" s="195">
        <f>IF(B683="","",'入力・概要'!$B$30*(J683*L683+K683*M683)/(L683^2+M683^2))</f>
        <v/>
      </c>
      <c r="O683" s="195">
        <f>IF(B683="","",'入力・概要'!$B$30*(K683*L683-J683*M683)/(L683^2+M683^2))</f>
        <v/>
      </c>
      <c r="P683" s="195">
        <f>IF(B683="","",N683+'入力・概要'!$B$36)</f>
        <v/>
      </c>
      <c r="Q683" s="195">
        <f>IF(B683="","",O683+C683*'入力・概要'!$B$37*1E-9)</f>
        <v/>
      </c>
      <c r="R683" s="195">
        <f>IF(B683="","",SQRT(P683^2+Q683^2))</f>
        <v/>
      </c>
      <c r="S683" s="195">
        <f>IF(B683="","",IF(P683&gt;0,DEGREES(ATAN(Q683/P683)),IF(P683&lt;0,IF(Q683&gt;=0,DEGREES(ATAN(Q683/P683))+180,DEGREES(ATAN(Q683/P683))-180),IF(Q683&gt;0,90,IF(Q683&lt;0,-90,0)))))</f>
        <v/>
      </c>
      <c r="T683" s="195">
        <f>IF(B683="","",LOG10(B683))</f>
        <v/>
      </c>
      <c r="U683" s="195">
        <f>IF(R683="","",LOG10(MAX(R683,1E-12)))</f>
        <v/>
      </c>
    </row>
    <row r="684">
      <c r="A684" t="n">
        <v>681</v>
      </c>
      <c r="B684" s="196">
        <f>IF(A684&lt;='入力・概要'!$B$40,10^(LOG10('入力・概要'!$B$38)+(A684-1)*(LOG10('入力・概要'!$B$39)-LOG10('入力・概要'!$B$38))/('入力・概要'!$B$40-1)),"")</f>
        <v/>
      </c>
      <c r="C684" s="195">
        <f>IF(B684="","",2*PI()*B684)</f>
        <v/>
      </c>
      <c r="D684" s="195">
        <f>IF(B684="","",ATANH(MIN(0.999999,(2*'入力・概要'!$B$17*'入力・概要'!$B$6)/'入力・概要'!$B$30))+'入力・概要'!$B$33*SQRT(B684/1E6)+(2*PI()*B684*'入力・概要'!$B$6/(299792458*'入力・概要'!$B$31))*'入力・概要'!$B$32/2)</f>
        <v/>
      </c>
      <c r="E684" s="195">
        <f>IF(B684="","",2*PI()*B684*'入力・概要'!$B$6/(299792458*'入力・概要'!$B$31))</f>
        <v/>
      </c>
      <c r="F684" s="195">
        <f>IF(B684="","",SINH(2*D684)/(COSH(2*D684)+COS(2*E684)))</f>
        <v/>
      </c>
      <c r="G684" s="195">
        <f>IF(B684="","",SIN(2*E684)/(COSH(2*D684)+COS(2*E684)))</f>
        <v/>
      </c>
      <c r="H684" s="195">
        <f>IF(B684="","",'入力・概要'!$B$34)</f>
        <v/>
      </c>
      <c r="I684" s="195">
        <f>IF(B684="","",C684*'入力・概要'!$B$35*1E-9)</f>
        <v/>
      </c>
      <c r="J684" s="195">
        <f>IF(B684="","",H684+'入力・概要'!$B$30*F684)</f>
        <v/>
      </c>
      <c r="K684" s="195">
        <f>IF(B684="","",I684+'入力・概要'!$B$30*G684)</f>
        <v/>
      </c>
      <c r="L684" s="195">
        <f>IF(B684="","",'入力・概要'!$B$30+H684*F684-I684*G684)</f>
        <v/>
      </c>
      <c r="M684" s="195">
        <f>IF(B684="","",H684*G684+I684*F684)</f>
        <v/>
      </c>
      <c r="N684" s="195">
        <f>IF(B684="","",'入力・概要'!$B$30*(J684*L684+K684*M684)/(L684^2+M684^2))</f>
        <v/>
      </c>
      <c r="O684" s="195">
        <f>IF(B684="","",'入力・概要'!$B$30*(K684*L684-J684*M684)/(L684^2+M684^2))</f>
        <v/>
      </c>
      <c r="P684" s="195">
        <f>IF(B684="","",N684+'入力・概要'!$B$36)</f>
        <v/>
      </c>
      <c r="Q684" s="195">
        <f>IF(B684="","",O684+C684*'入力・概要'!$B$37*1E-9)</f>
        <v/>
      </c>
      <c r="R684" s="195">
        <f>IF(B684="","",SQRT(P684^2+Q684^2))</f>
        <v/>
      </c>
      <c r="S684" s="195">
        <f>IF(B684="","",IF(P684&gt;0,DEGREES(ATAN(Q684/P684)),IF(P684&lt;0,IF(Q684&gt;=0,DEGREES(ATAN(Q684/P684))+180,DEGREES(ATAN(Q684/P684))-180),IF(Q684&gt;0,90,IF(Q684&lt;0,-90,0)))))</f>
        <v/>
      </c>
      <c r="T684" s="195">
        <f>IF(B684="","",LOG10(B684))</f>
        <v/>
      </c>
      <c r="U684" s="195">
        <f>IF(R684="","",LOG10(MAX(R684,1E-12)))</f>
        <v/>
      </c>
    </row>
    <row r="685">
      <c r="A685" t="n">
        <v>682</v>
      </c>
      <c r="B685" s="196">
        <f>IF(A685&lt;='入力・概要'!$B$40,10^(LOG10('入力・概要'!$B$38)+(A685-1)*(LOG10('入力・概要'!$B$39)-LOG10('入力・概要'!$B$38))/('入力・概要'!$B$40-1)),"")</f>
        <v/>
      </c>
      <c r="C685" s="195">
        <f>IF(B685="","",2*PI()*B685)</f>
        <v/>
      </c>
      <c r="D685" s="195">
        <f>IF(B685="","",ATANH(MIN(0.999999,(2*'入力・概要'!$B$17*'入力・概要'!$B$6)/'入力・概要'!$B$30))+'入力・概要'!$B$33*SQRT(B685/1E6)+(2*PI()*B685*'入力・概要'!$B$6/(299792458*'入力・概要'!$B$31))*'入力・概要'!$B$32/2)</f>
        <v/>
      </c>
      <c r="E685" s="195">
        <f>IF(B685="","",2*PI()*B685*'入力・概要'!$B$6/(299792458*'入力・概要'!$B$31))</f>
        <v/>
      </c>
      <c r="F685" s="195">
        <f>IF(B685="","",SINH(2*D685)/(COSH(2*D685)+COS(2*E685)))</f>
        <v/>
      </c>
      <c r="G685" s="195">
        <f>IF(B685="","",SIN(2*E685)/(COSH(2*D685)+COS(2*E685)))</f>
        <v/>
      </c>
      <c r="H685" s="195">
        <f>IF(B685="","",'入力・概要'!$B$34)</f>
        <v/>
      </c>
      <c r="I685" s="195">
        <f>IF(B685="","",C685*'入力・概要'!$B$35*1E-9)</f>
        <v/>
      </c>
      <c r="J685" s="195">
        <f>IF(B685="","",H685+'入力・概要'!$B$30*F685)</f>
        <v/>
      </c>
      <c r="K685" s="195">
        <f>IF(B685="","",I685+'入力・概要'!$B$30*G685)</f>
        <v/>
      </c>
      <c r="L685" s="195">
        <f>IF(B685="","",'入力・概要'!$B$30+H685*F685-I685*G685)</f>
        <v/>
      </c>
      <c r="M685" s="195">
        <f>IF(B685="","",H685*G685+I685*F685)</f>
        <v/>
      </c>
      <c r="N685" s="195">
        <f>IF(B685="","",'入力・概要'!$B$30*(J685*L685+K685*M685)/(L685^2+M685^2))</f>
        <v/>
      </c>
      <c r="O685" s="195">
        <f>IF(B685="","",'入力・概要'!$B$30*(K685*L685-J685*M685)/(L685^2+M685^2))</f>
        <v/>
      </c>
      <c r="P685" s="195">
        <f>IF(B685="","",N685+'入力・概要'!$B$36)</f>
        <v/>
      </c>
      <c r="Q685" s="195">
        <f>IF(B685="","",O685+C685*'入力・概要'!$B$37*1E-9)</f>
        <v/>
      </c>
      <c r="R685" s="195">
        <f>IF(B685="","",SQRT(P685^2+Q685^2))</f>
        <v/>
      </c>
      <c r="S685" s="195">
        <f>IF(B685="","",IF(P685&gt;0,DEGREES(ATAN(Q685/P685)),IF(P685&lt;0,IF(Q685&gt;=0,DEGREES(ATAN(Q685/P685))+180,DEGREES(ATAN(Q685/P685))-180),IF(Q685&gt;0,90,IF(Q685&lt;0,-90,0)))))</f>
        <v/>
      </c>
      <c r="T685" s="195">
        <f>IF(B685="","",LOG10(B685))</f>
        <v/>
      </c>
      <c r="U685" s="195">
        <f>IF(R685="","",LOG10(MAX(R685,1E-12)))</f>
        <v/>
      </c>
    </row>
    <row r="686">
      <c r="A686" t="n">
        <v>683</v>
      </c>
      <c r="B686" s="196">
        <f>IF(A686&lt;='入力・概要'!$B$40,10^(LOG10('入力・概要'!$B$38)+(A686-1)*(LOG10('入力・概要'!$B$39)-LOG10('入力・概要'!$B$38))/('入力・概要'!$B$40-1)),"")</f>
        <v/>
      </c>
      <c r="C686" s="195">
        <f>IF(B686="","",2*PI()*B686)</f>
        <v/>
      </c>
      <c r="D686" s="195">
        <f>IF(B686="","",ATANH(MIN(0.999999,(2*'入力・概要'!$B$17*'入力・概要'!$B$6)/'入力・概要'!$B$30))+'入力・概要'!$B$33*SQRT(B686/1E6)+(2*PI()*B686*'入力・概要'!$B$6/(299792458*'入力・概要'!$B$31))*'入力・概要'!$B$32/2)</f>
        <v/>
      </c>
      <c r="E686" s="195">
        <f>IF(B686="","",2*PI()*B686*'入力・概要'!$B$6/(299792458*'入力・概要'!$B$31))</f>
        <v/>
      </c>
      <c r="F686" s="195">
        <f>IF(B686="","",SINH(2*D686)/(COSH(2*D686)+COS(2*E686)))</f>
        <v/>
      </c>
      <c r="G686" s="195">
        <f>IF(B686="","",SIN(2*E686)/(COSH(2*D686)+COS(2*E686)))</f>
        <v/>
      </c>
      <c r="H686" s="195">
        <f>IF(B686="","",'入力・概要'!$B$34)</f>
        <v/>
      </c>
      <c r="I686" s="195">
        <f>IF(B686="","",C686*'入力・概要'!$B$35*1E-9)</f>
        <v/>
      </c>
      <c r="J686" s="195">
        <f>IF(B686="","",H686+'入力・概要'!$B$30*F686)</f>
        <v/>
      </c>
      <c r="K686" s="195">
        <f>IF(B686="","",I686+'入力・概要'!$B$30*G686)</f>
        <v/>
      </c>
      <c r="L686" s="195">
        <f>IF(B686="","",'入力・概要'!$B$30+H686*F686-I686*G686)</f>
        <v/>
      </c>
      <c r="M686" s="195">
        <f>IF(B686="","",H686*G686+I686*F686)</f>
        <v/>
      </c>
      <c r="N686" s="195">
        <f>IF(B686="","",'入力・概要'!$B$30*(J686*L686+K686*M686)/(L686^2+M686^2))</f>
        <v/>
      </c>
      <c r="O686" s="195">
        <f>IF(B686="","",'入力・概要'!$B$30*(K686*L686-J686*M686)/(L686^2+M686^2))</f>
        <v/>
      </c>
      <c r="P686" s="195">
        <f>IF(B686="","",N686+'入力・概要'!$B$36)</f>
        <v/>
      </c>
      <c r="Q686" s="195">
        <f>IF(B686="","",O686+C686*'入力・概要'!$B$37*1E-9)</f>
        <v/>
      </c>
      <c r="R686" s="195">
        <f>IF(B686="","",SQRT(P686^2+Q686^2))</f>
        <v/>
      </c>
      <c r="S686" s="195">
        <f>IF(B686="","",IF(P686&gt;0,DEGREES(ATAN(Q686/P686)),IF(P686&lt;0,IF(Q686&gt;=0,DEGREES(ATAN(Q686/P686))+180,DEGREES(ATAN(Q686/P686))-180),IF(Q686&gt;0,90,IF(Q686&lt;0,-90,0)))))</f>
        <v/>
      </c>
      <c r="T686" s="195">
        <f>IF(B686="","",LOG10(B686))</f>
        <v/>
      </c>
      <c r="U686" s="195">
        <f>IF(R686="","",LOG10(MAX(R686,1E-12)))</f>
        <v/>
      </c>
    </row>
    <row r="687">
      <c r="A687" t="n">
        <v>684</v>
      </c>
      <c r="B687" s="196">
        <f>IF(A687&lt;='入力・概要'!$B$40,10^(LOG10('入力・概要'!$B$38)+(A687-1)*(LOG10('入力・概要'!$B$39)-LOG10('入力・概要'!$B$38))/('入力・概要'!$B$40-1)),"")</f>
        <v/>
      </c>
      <c r="C687" s="195">
        <f>IF(B687="","",2*PI()*B687)</f>
        <v/>
      </c>
      <c r="D687" s="195">
        <f>IF(B687="","",ATANH(MIN(0.999999,(2*'入力・概要'!$B$17*'入力・概要'!$B$6)/'入力・概要'!$B$30))+'入力・概要'!$B$33*SQRT(B687/1E6)+(2*PI()*B687*'入力・概要'!$B$6/(299792458*'入力・概要'!$B$31))*'入力・概要'!$B$32/2)</f>
        <v/>
      </c>
      <c r="E687" s="195">
        <f>IF(B687="","",2*PI()*B687*'入力・概要'!$B$6/(299792458*'入力・概要'!$B$31))</f>
        <v/>
      </c>
      <c r="F687" s="195">
        <f>IF(B687="","",SINH(2*D687)/(COSH(2*D687)+COS(2*E687)))</f>
        <v/>
      </c>
      <c r="G687" s="195">
        <f>IF(B687="","",SIN(2*E687)/(COSH(2*D687)+COS(2*E687)))</f>
        <v/>
      </c>
      <c r="H687" s="195">
        <f>IF(B687="","",'入力・概要'!$B$34)</f>
        <v/>
      </c>
      <c r="I687" s="195">
        <f>IF(B687="","",C687*'入力・概要'!$B$35*1E-9)</f>
        <v/>
      </c>
      <c r="J687" s="195">
        <f>IF(B687="","",H687+'入力・概要'!$B$30*F687)</f>
        <v/>
      </c>
      <c r="K687" s="195">
        <f>IF(B687="","",I687+'入力・概要'!$B$30*G687)</f>
        <v/>
      </c>
      <c r="L687" s="195">
        <f>IF(B687="","",'入力・概要'!$B$30+H687*F687-I687*G687)</f>
        <v/>
      </c>
      <c r="M687" s="195">
        <f>IF(B687="","",H687*G687+I687*F687)</f>
        <v/>
      </c>
      <c r="N687" s="195">
        <f>IF(B687="","",'入力・概要'!$B$30*(J687*L687+K687*M687)/(L687^2+M687^2))</f>
        <v/>
      </c>
      <c r="O687" s="195">
        <f>IF(B687="","",'入力・概要'!$B$30*(K687*L687-J687*M687)/(L687^2+M687^2))</f>
        <v/>
      </c>
      <c r="P687" s="195">
        <f>IF(B687="","",N687+'入力・概要'!$B$36)</f>
        <v/>
      </c>
      <c r="Q687" s="195">
        <f>IF(B687="","",O687+C687*'入力・概要'!$B$37*1E-9)</f>
        <v/>
      </c>
      <c r="R687" s="195">
        <f>IF(B687="","",SQRT(P687^2+Q687^2))</f>
        <v/>
      </c>
      <c r="S687" s="195">
        <f>IF(B687="","",IF(P687&gt;0,DEGREES(ATAN(Q687/P687)),IF(P687&lt;0,IF(Q687&gt;=0,DEGREES(ATAN(Q687/P687))+180,DEGREES(ATAN(Q687/P687))-180),IF(Q687&gt;0,90,IF(Q687&lt;0,-90,0)))))</f>
        <v/>
      </c>
      <c r="T687" s="195">
        <f>IF(B687="","",LOG10(B687))</f>
        <v/>
      </c>
      <c r="U687" s="195">
        <f>IF(R687="","",LOG10(MAX(R687,1E-12)))</f>
        <v/>
      </c>
    </row>
    <row r="688">
      <c r="A688" t="n">
        <v>685</v>
      </c>
      <c r="B688" s="196">
        <f>IF(A688&lt;='入力・概要'!$B$40,10^(LOG10('入力・概要'!$B$38)+(A688-1)*(LOG10('入力・概要'!$B$39)-LOG10('入力・概要'!$B$38))/('入力・概要'!$B$40-1)),"")</f>
        <v/>
      </c>
      <c r="C688" s="195">
        <f>IF(B688="","",2*PI()*B688)</f>
        <v/>
      </c>
      <c r="D688" s="195">
        <f>IF(B688="","",ATANH(MIN(0.999999,(2*'入力・概要'!$B$17*'入力・概要'!$B$6)/'入力・概要'!$B$30))+'入力・概要'!$B$33*SQRT(B688/1E6)+(2*PI()*B688*'入力・概要'!$B$6/(299792458*'入力・概要'!$B$31))*'入力・概要'!$B$32/2)</f>
        <v/>
      </c>
      <c r="E688" s="195">
        <f>IF(B688="","",2*PI()*B688*'入力・概要'!$B$6/(299792458*'入力・概要'!$B$31))</f>
        <v/>
      </c>
      <c r="F688" s="195">
        <f>IF(B688="","",SINH(2*D688)/(COSH(2*D688)+COS(2*E688)))</f>
        <v/>
      </c>
      <c r="G688" s="195">
        <f>IF(B688="","",SIN(2*E688)/(COSH(2*D688)+COS(2*E688)))</f>
        <v/>
      </c>
      <c r="H688" s="195">
        <f>IF(B688="","",'入力・概要'!$B$34)</f>
        <v/>
      </c>
      <c r="I688" s="195">
        <f>IF(B688="","",C688*'入力・概要'!$B$35*1E-9)</f>
        <v/>
      </c>
      <c r="J688" s="195">
        <f>IF(B688="","",H688+'入力・概要'!$B$30*F688)</f>
        <v/>
      </c>
      <c r="K688" s="195">
        <f>IF(B688="","",I688+'入力・概要'!$B$30*G688)</f>
        <v/>
      </c>
      <c r="L688" s="195">
        <f>IF(B688="","",'入力・概要'!$B$30+H688*F688-I688*G688)</f>
        <v/>
      </c>
      <c r="M688" s="195">
        <f>IF(B688="","",H688*G688+I688*F688)</f>
        <v/>
      </c>
      <c r="N688" s="195">
        <f>IF(B688="","",'入力・概要'!$B$30*(J688*L688+K688*M688)/(L688^2+M688^2))</f>
        <v/>
      </c>
      <c r="O688" s="195">
        <f>IF(B688="","",'入力・概要'!$B$30*(K688*L688-J688*M688)/(L688^2+M688^2))</f>
        <v/>
      </c>
      <c r="P688" s="195">
        <f>IF(B688="","",N688+'入力・概要'!$B$36)</f>
        <v/>
      </c>
      <c r="Q688" s="195">
        <f>IF(B688="","",O688+C688*'入力・概要'!$B$37*1E-9)</f>
        <v/>
      </c>
      <c r="R688" s="195">
        <f>IF(B688="","",SQRT(P688^2+Q688^2))</f>
        <v/>
      </c>
      <c r="S688" s="195">
        <f>IF(B688="","",IF(P688&gt;0,DEGREES(ATAN(Q688/P688)),IF(P688&lt;0,IF(Q688&gt;=0,DEGREES(ATAN(Q688/P688))+180,DEGREES(ATAN(Q688/P688))-180),IF(Q688&gt;0,90,IF(Q688&lt;0,-90,0)))))</f>
        <v/>
      </c>
      <c r="T688" s="195">
        <f>IF(B688="","",LOG10(B688))</f>
        <v/>
      </c>
      <c r="U688" s="195">
        <f>IF(R688="","",LOG10(MAX(R688,1E-12)))</f>
        <v/>
      </c>
    </row>
    <row r="689">
      <c r="A689" t="n">
        <v>686</v>
      </c>
      <c r="B689" s="196">
        <f>IF(A689&lt;='入力・概要'!$B$40,10^(LOG10('入力・概要'!$B$38)+(A689-1)*(LOG10('入力・概要'!$B$39)-LOG10('入力・概要'!$B$38))/('入力・概要'!$B$40-1)),"")</f>
        <v/>
      </c>
      <c r="C689" s="195">
        <f>IF(B689="","",2*PI()*B689)</f>
        <v/>
      </c>
      <c r="D689" s="195">
        <f>IF(B689="","",ATANH(MIN(0.999999,(2*'入力・概要'!$B$17*'入力・概要'!$B$6)/'入力・概要'!$B$30))+'入力・概要'!$B$33*SQRT(B689/1E6)+(2*PI()*B689*'入力・概要'!$B$6/(299792458*'入力・概要'!$B$31))*'入力・概要'!$B$32/2)</f>
        <v/>
      </c>
      <c r="E689" s="195">
        <f>IF(B689="","",2*PI()*B689*'入力・概要'!$B$6/(299792458*'入力・概要'!$B$31))</f>
        <v/>
      </c>
      <c r="F689" s="195">
        <f>IF(B689="","",SINH(2*D689)/(COSH(2*D689)+COS(2*E689)))</f>
        <v/>
      </c>
      <c r="G689" s="195">
        <f>IF(B689="","",SIN(2*E689)/(COSH(2*D689)+COS(2*E689)))</f>
        <v/>
      </c>
      <c r="H689" s="195">
        <f>IF(B689="","",'入力・概要'!$B$34)</f>
        <v/>
      </c>
      <c r="I689" s="195">
        <f>IF(B689="","",C689*'入力・概要'!$B$35*1E-9)</f>
        <v/>
      </c>
      <c r="J689" s="195">
        <f>IF(B689="","",H689+'入力・概要'!$B$30*F689)</f>
        <v/>
      </c>
      <c r="K689" s="195">
        <f>IF(B689="","",I689+'入力・概要'!$B$30*G689)</f>
        <v/>
      </c>
      <c r="L689" s="195">
        <f>IF(B689="","",'入力・概要'!$B$30+H689*F689-I689*G689)</f>
        <v/>
      </c>
      <c r="M689" s="195">
        <f>IF(B689="","",H689*G689+I689*F689)</f>
        <v/>
      </c>
      <c r="N689" s="195">
        <f>IF(B689="","",'入力・概要'!$B$30*(J689*L689+K689*M689)/(L689^2+M689^2))</f>
        <v/>
      </c>
      <c r="O689" s="195">
        <f>IF(B689="","",'入力・概要'!$B$30*(K689*L689-J689*M689)/(L689^2+M689^2))</f>
        <v/>
      </c>
      <c r="P689" s="195">
        <f>IF(B689="","",N689+'入力・概要'!$B$36)</f>
        <v/>
      </c>
      <c r="Q689" s="195">
        <f>IF(B689="","",O689+C689*'入力・概要'!$B$37*1E-9)</f>
        <v/>
      </c>
      <c r="R689" s="195">
        <f>IF(B689="","",SQRT(P689^2+Q689^2))</f>
        <v/>
      </c>
      <c r="S689" s="195">
        <f>IF(B689="","",IF(P689&gt;0,DEGREES(ATAN(Q689/P689)),IF(P689&lt;0,IF(Q689&gt;=0,DEGREES(ATAN(Q689/P689))+180,DEGREES(ATAN(Q689/P689))-180),IF(Q689&gt;0,90,IF(Q689&lt;0,-90,0)))))</f>
        <v/>
      </c>
      <c r="T689" s="195">
        <f>IF(B689="","",LOG10(B689))</f>
        <v/>
      </c>
      <c r="U689" s="195">
        <f>IF(R689="","",LOG10(MAX(R689,1E-12)))</f>
        <v/>
      </c>
    </row>
    <row r="690">
      <c r="A690" t="n">
        <v>687</v>
      </c>
      <c r="B690" s="196">
        <f>IF(A690&lt;='入力・概要'!$B$40,10^(LOG10('入力・概要'!$B$38)+(A690-1)*(LOG10('入力・概要'!$B$39)-LOG10('入力・概要'!$B$38))/('入力・概要'!$B$40-1)),"")</f>
        <v/>
      </c>
      <c r="C690" s="195">
        <f>IF(B690="","",2*PI()*B690)</f>
        <v/>
      </c>
      <c r="D690" s="195">
        <f>IF(B690="","",ATANH(MIN(0.999999,(2*'入力・概要'!$B$17*'入力・概要'!$B$6)/'入力・概要'!$B$30))+'入力・概要'!$B$33*SQRT(B690/1E6)+(2*PI()*B690*'入力・概要'!$B$6/(299792458*'入力・概要'!$B$31))*'入力・概要'!$B$32/2)</f>
        <v/>
      </c>
      <c r="E690" s="195">
        <f>IF(B690="","",2*PI()*B690*'入力・概要'!$B$6/(299792458*'入力・概要'!$B$31))</f>
        <v/>
      </c>
      <c r="F690" s="195">
        <f>IF(B690="","",SINH(2*D690)/(COSH(2*D690)+COS(2*E690)))</f>
        <v/>
      </c>
      <c r="G690" s="195">
        <f>IF(B690="","",SIN(2*E690)/(COSH(2*D690)+COS(2*E690)))</f>
        <v/>
      </c>
      <c r="H690" s="195">
        <f>IF(B690="","",'入力・概要'!$B$34)</f>
        <v/>
      </c>
      <c r="I690" s="195">
        <f>IF(B690="","",C690*'入力・概要'!$B$35*1E-9)</f>
        <v/>
      </c>
      <c r="J690" s="195">
        <f>IF(B690="","",H690+'入力・概要'!$B$30*F690)</f>
        <v/>
      </c>
      <c r="K690" s="195">
        <f>IF(B690="","",I690+'入力・概要'!$B$30*G690)</f>
        <v/>
      </c>
      <c r="L690" s="195">
        <f>IF(B690="","",'入力・概要'!$B$30+H690*F690-I690*G690)</f>
        <v/>
      </c>
      <c r="M690" s="195">
        <f>IF(B690="","",H690*G690+I690*F690)</f>
        <v/>
      </c>
      <c r="N690" s="195">
        <f>IF(B690="","",'入力・概要'!$B$30*(J690*L690+K690*M690)/(L690^2+M690^2))</f>
        <v/>
      </c>
      <c r="O690" s="195">
        <f>IF(B690="","",'入力・概要'!$B$30*(K690*L690-J690*M690)/(L690^2+M690^2))</f>
        <v/>
      </c>
      <c r="P690" s="195">
        <f>IF(B690="","",N690+'入力・概要'!$B$36)</f>
        <v/>
      </c>
      <c r="Q690" s="195">
        <f>IF(B690="","",O690+C690*'入力・概要'!$B$37*1E-9)</f>
        <v/>
      </c>
      <c r="R690" s="195">
        <f>IF(B690="","",SQRT(P690^2+Q690^2))</f>
        <v/>
      </c>
      <c r="S690" s="195">
        <f>IF(B690="","",IF(P690&gt;0,DEGREES(ATAN(Q690/P690)),IF(P690&lt;0,IF(Q690&gt;=0,DEGREES(ATAN(Q690/P690))+180,DEGREES(ATAN(Q690/P690))-180),IF(Q690&gt;0,90,IF(Q690&lt;0,-90,0)))))</f>
        <v/>
      </c>
      <c r="T690" s="195">
        <f>IF(B690="","",LOG10(B690))</f>
        <v/>
      </c>
      <c r="U690" s="195">
        <f>IF(R690="","",LOG10(MAX(R690,1E-12)))</f>
        <v/>
      </c>
    </row>
    <row r="691">
      <c r="A691" t="n">
        <v>688</v>
      </c>
      <c r="B691" s="196">
        <f>IF(A691&lt;='入力・概要'!$B$40,10^(LOG10('入力・概要'!$B$38)+(A691-1)*(LOG10('入力・概要'!$B$39)-LOG10('入力・概要'!$B$38))/('入力・概要'!$B$40-1)),"")</f>
        <v/>
      </c>
      <c r="C691" s="195">
        <f>IF(B691="","",2*PI()*B691)</f>
        <v/>
      </c>
      <c r="D691" s="195">
        <f>IF(B691="","",ATANH(MIN(0.999999,(2*'入力・概要'!$B$17*'入力・概要'!$B$6)/'入力・概要'!$B$30))+'入力・概要'!$B$33*SQRT(B691/1E6)+(2*PI()*B691*'入力・概要'!$B$6/(299792458*'入力・概要'!$B$31))*'入力・概要'!$B$32/2)</f>
        <v/>
      </c>
      <c r="E691" s="195">
        <f>IF(B691="","",2*PI()*B691*'入力・概要'!$B$6/(299792458*'入力・概要'!$B$31))</f>
        <v/>
      </c>
      <c r="F691" s="195">
        <f>IF(B691="","",SINH(2*D691)/(COSH(2*D691)+COS(2*E691)))</f>
        <v/>
      </c>
      <c r="G691" s="195">
        <f>IF(B691="","",SIN(2*E691)/(COSH(2*D691)+COS(2*E691)))</f>
        <v/>
      </c>
      <c r="H691" s="195">
        <f>IF(B691="","",'入力・概要'!$B$34)</f>
        <v/>
      </c>
      <c r="I691" s="195">
        <f>IF(B691="","",C691*'入力・概要'!$B$35*1E-9)</f>
        <v/>
      </c>
      <c r="J691" s="195">
        <f>IF(B691="","",H691+'入力・概要'!$B$30*F691)</f>
        <v/>
      </c>
      <c r="K691" s="195">
        <f>IF(B691="","",I691+'入力・概要'!$B$30*G691)</f>
        <v/>
      </c>
      <c r="L691" s="195">
        <f>IF(B691="","",'入力・概要'!$B$30+H691*F691-I691*G691)</f>
        <v/>
      </c>
      <c r="M691" s="195">
        <f>IF(B691="","",H691*G691+I691*F691)</f>
        <v/>
      </c>
      <c r="N691" s="195">
        <f>IF(B691="","",'入力・概要'!$B$30*(J691*L691+K691*M691)/(L691^2+M691^2))</f>
        <v/>
      </c>
      <c r="O691" s="195">
        <f>IF(B691="","",'入力・概要'!$B$30*(K691*L691-J691*M691)/(L691^2+M691^2))</f>
        <v/>
      </c>
      <c r="P691" s="195">
        <f>IF(B691="","",N691+'入力・概要'!$B$36)</f>
        <v/>
      </c>
      <c r="Q691" s="195">
        <f>IF(B691="","",O691+C691*'入力・概要'!$B$37*1E-9)</f>
        <v/>
      </c>
      <c r="R691" s="195">
        <f>IF(B691="","",SQRT(P691^2+Q691^2))</f>
        <v/>
      </c>
      <c r="S691" s="195">
        <f>IF(B691="","",IF(P691&gt;0,DEGREES(ATAN(Q691/P691)),IF(P691&lt;0,IF(Q691&gt;=0,DEGREES(ATAN(Q691/P691))+180,DEGREES(ATAN(Q691/P691))-180),IF(Q691&gt;0,90,IF(Q691&lt;0,-90,0)))))</f>
        <v/>
      </c>
      <c r="T691" s="195">
        <f>IF(B691="","",LOG10(B691))</f>
        <v/>
      </c>
      <c r="U691" s="195">
        <f>IF(R691="","",LOG10(MAX(R691,1E-12)))</f>
        <v/>
      </c>
    </row>
    <row r="692">
      <c r="A692" t="n">
        <v>689</v>
      </c>
      <c r="B692" s="196">
        <f>IF(A692&lt;='入力・概要'!$B$40,10^(LOG10('入力・概要'!$B$38)+(A692-1)*(LOG10('入力・概要'!$B$39)-LOG10('入力・概要'!$B$38))/('入力・概要'!$B$40-1)),"")</f>
        <v/>
      </c>
      <c r="C692" s="195">
        <f>IF(B692="","",2*PI()*B692)</f>
        <v/>
      </c>
      <c r="D692" s="195">
        <f>IF(B692="","",ATANH(MIN(0.999999,(2*'入力・概要'!$B$17*'入力・概要'!$B$6)/'入力・概要'!$B$30))+'入力・概要'!$B$33*SQRT(B692/1E6)+(2*PI()*B692*'入力・概要'!$B$6/(299792458*'入力・概要'!$B$31))*'入力・概要'!$B$32/2)</f>
        <v/>
      </c>
      <c r="E692" s="195">
        <f>IF(B692="","",2*PI()*B692*'入力・概要'!$B$6/(299792458*'入力・概要'!$B$31))</f>
        <v/>
      </c>
      <c r="F692" s="195">
        <f>IF(B692="","",SINH(2*D692)/(COSH(2*D692)+COS(2*E692)))</f>
        <v/>
      </c>
      <c r="G692" s="195">
        <f>IF(B692="","",SIN(2*E692)/(COSH(2*D692)+COS(2*E692)))</f>
        <v/>
      </c>
      <c r="H692" s="195">
        <f>IF(B692="","",'入力・概要'!$B$34)</f>
        <v/>
      </c>
      <c r="I692" s="195">
        <f>IF(B692="","",C692*'入力・概要'!$B$35*1E-9)</f>
        <v/>
      </c>
      <c r="J692" s="195">
        <f>IF(B692="","",H692+'入力・概要'!$B$30*F692)</f>
        <v/>
      </c>
      <c r="K692" s="195">
        <f>IF(B692="","",I692+'入力・概要'!$B$30*G692)</f>
        <v/>
      </c>
      <c r="L692" s="195">
        <f>IF(B692="","",'入力・概要'!$B$30+H692*F692-I692*G692)</f>
        <v/>
      </c>
      <c r="M692" s="195">
        <f>IF(B692="","",H692*G692+I692*F692)</f>
        <v/>
      </c>
      <c r="N692" s="195">
        <f>IF(B692="","",'入力・概要'!$B$30*(J692*L692+K692*M692)/(L692^2+M692^2))</f>
        <v/>
      </c>
      <c r="O692" s="195">
        <f>IF(B692="","",'入力・概要'!$B$30*(K692*L692-J692*M692)/(L692^2+M692^2))</f>
        <v/>
      </c>
      <c r="P692" s="195">
        <f>IF(B692="","",N692+'入力・概要'!$B$36)</f>
        <v/>
      </c>
      <c r="Q692" s="195">
        <f>IF(B692="","",O692+C692*'入力・概要'!$B$37*1E-9)</f>
        <v/>
      </c>
      <c r="R692" s="195">
        <f>IF(B692="","",SQRT(P692^2+Q692^2))</f>
        <v/>
      </c>
      <c r="S692" s="195">
        <f>IF(B692="","",IF(P692&gt;0,DEGREES(ATAN(Q692/P692)),IF(P692&lt;0,IF(Q692&gt;=0,DEGREES(ATAN(Q692/P692))+180,DEGREES(ATAN(Q692/P692))-180),IF(Q692&gt;0,90,IF(Q692&lt;0,-90,0)))))</f>
        <v/>
      </c>
      <c r="T692" s="195">
        <f>IF(B692="","",LOG10(B692))</f>
        <v/>
      </c>
      <c r="U692" s="195">
        <f>IF(R692="","",LOG10(MAX(R692,1E-12)))</f>
        <v/>
      </c>
    </row>
    <row r="693">
      <c r="A693" t="n">
        <v>690</v>
      </c>
      <c r="B693" s="196">
        <f>IF(A693&lt;='入力・概要'!$B$40,10^(LOG10('入力・概要'!$B$38)+(A693-1)*(LOG10('入力・概要'!$B$39)-LOG10('入力・概要'!$B$38))/('入力・概要'!$B$40-1)),"")</f>
        <v/>
      </c>
      <c r="C693" s="195">
        <f>IF(B693="","",2*PI()*B693)</f>
        <v/>
      </c>
      <c r="D693" s="195">
        <f>IF(B693="","",ATANH(MIN(0.999999,(2*'入力・概要'!$B$17*'入力・概要'!$B$6)/'入力・概要'!$B$30))+'入力・概要'!$B$33*SQRT(B693/1E6)+(2*PI()*B693*'入力・概要'!$B$6/(299792458*'入力・概要'!$B$31))*'入力・概要'!$B$32/2)</f>
        <v/>
      </c>
      <c r="E693" s="195">
        <f>IF(B693="","",2*PI()*B693*'入力・概要'!$B$6/(299792458*'入力・概要'!$B$31))</f>
        <v/>
      </c>
      <c r="F693" s="195">
        <f>IF(B693="","",SINH(2*D693)/(COSH(2*D693)+COS(2*E693)))</f>
        <v/>
      </c>
      <c r="G693" s="195">
        <f>IF(B693="","",SIN(2*E693)/(COSH(2*D693)+COS(2*E693)))</f>
        <v/>
      </c>
      <c r="H693" s="195">
        <f>IF(B693="","",'入力・概要'!$B$34)</f>
        <v/>
      </c>
      <c r="I693" s="195">
        <f>IF(B693="","",C693*'入力・概要'!$B$35*1E-9)</f>
        <v/>
      </c>
      <c r="J693" s="195">
        <f>IF(B693="","",H693+'入力・概要'!$B$30*F693)</f>
        <v/>
      </c>
      <c r="K693" s="195">
        <f>IF(B693="","",I693+'入力・概要'!$B$30*G693)</f>
        <v/>
      </c>
      <c r="L693" s="195">
        <f>IF(B693="","",'入力・概要'!$B$30+H693*F693-I693*G693)</f>
        <v/>
      </c>
      <c r="M693" s="195">
        <f>IF(B693="","",H693*G693+I693*F693)</f>
        <v/>
      </c>
      <c r="N693" s="195">
        <f>IF(B693="","",'入力・概要'!$B$30*(J693*L693+K693*M693)/(L693^2+M693^2))</f>
        <v/>
      </c>
      <c r="O693" s="195">
        <f>IF(B693="","",'入力・概要'!$B$30*(K693*L693-J693*M693)/(L693^2+M693^2))</f>
        <v/>
      </c>
      <c r="P693" s="195">
        <f>IF(B693="","",N693+'入力・概要'!$B$36)</f>
        <v/>
      </c>
      <c r="Q693" s="195">
        <f>IF(B693="","",O693+C693*'入力・概要'!$B$37*1E-9)</f>
        <v/>
      </c>
      <c r="R693" s="195">
        <f>IF(B693="","",SQRT(P693^2+Q693^2))</f>
        <v/>
      </c>
      <c r="S693" s="195">
        <f>IF(B693="","",IF(P693&gt;0,DEGREES(ATAN(Q693/P693)),IF(P693&lt;0,IF(Q693&gt;=0,DEGREES(ATAN(Q693/P693))+180,DEGREES(ATAN(Q693/P693))-180),IF(Q693&gt;0,90,IF(Q693&lt;0,-90,0)))))</f>
        <v/>
      </c>
      <c r="T693" s="195">
        <f>IF(B693="","",LOG10(B693))</f>
        <v/>
      </c>
      <c r="U693" s="195">
        <f>IF(R693="","",LOG10(MAX(R693,1E-12)))</f>
        <v/>
      </c>
    </row>
    <row r="694">
      <c r="A694" t="n">
        <v>691</v>
      </c>
      <c r="B694" s="196">
        <f>IF(A694&lt;='入力・概要'!$B$40,10^(LOG10('入力・概要'!$B$38)+(A694-1)*(LOG10('入力・概要'!$B$39)-LOG10('入力・概要'!$B$38))/('入力・概要'!$B$40-1)),"")</f>
        <v/>
      </c>
      <c r="C694" s="195">
        <f>IF(B694="","",2*PI()*B694)</f>
        <v/>
      </c>
      <c r="D694" s="195">
        <f>IF(B694="","",ATANH(MIN(0.999999,(2*'入力・概要'!$B$17*'入力・概要'!$B$6)/'入力・概要'!$B$30))+'入力・概要'!$B$33*SQRT(B694/1E6)+(2*PI()*B694*'入力・概要'!$B$6/(299792458*'入力・概要'!$B$31))*'入力・概要'!$B$32/2)</f>
        <v/>
      </c>
      <c r="E694" s="195">
        <f>IF(B694="","",2*PI()*B694*'入力・概要'!$B$6/(299792458*'入力・概要'!$B$31))</f>
        <v/>
      </c>
      <c r="F694" s="195">
        <f>IF(B694="","",SINH(2*D694)/(COSH(2*D694)+COS(2*E694)))</f>
        <v/>
      </c>
      <c r="G694" s="195">
        <f>IF(B694="","",SIN(2*E694)/(COSH(2*D694)+COS(2*E694)))</f>
        <v/>
      </c>
      <c r="H694" s="195">
        <f>IF(B694="","",'入力・概要'!$B$34)</f>
        <v/>
      </c>
      <c r="I694" s="195">
        <f>IF(B694="","",C694*'入力・概要'!$B$35*1E-9)</f>
        <v/>
      </c>
      <c r="J694" s="195">
        <f>IF(B694="","",H694+'入力・概要'!$B$30*F694)</f>
        <v/>
      </c>
      <c r="K694" s="195">
        <f>IF(B694="","",I694+'入力・概要'!$B$30*G694)</f>
        <v/>
      </c>
      <c r="L694" s="195">
        <f>IF(B694="","",'入力・概要'!$B$30+H694*F694-I694*G694)</f>
        <v/>
      </c>
      <c r="M694" s="195">
        <f>IF(B694="","",H694*G694+I694*F694)</f>
        <v/>
      </c>
      <c r="N694" s="195">
        <f>IF(B694="","",'入力・概要'!$B$30*(J694*L694+K694*M694)/(L694^2+M694^2))</f>
        <v/>
      </c>
      <c r="O694" s="195">
        <f>IF(B694="","",'入力・概要'!$B$30*(K694*L694-J694*M694)/(L694^2+M694^2))</f>
        <v/>
      </c>
      <c r="P694" s="195">
        <f>IF(B694="","",N694+'入力・概要'!$B$36)</f>
        <v/>
      </c>
      <c r="Q694" s="195">
        <f>IF(B694="","",O694+C694*'入力・概要'!$B$37*1E-9)</f>
        <v/>
      </c>
      <c r="R694" s="195">
        <f>IF(B694="","",SQRT(P694^2+Q694^2))</f>
        <v/>
      </c>
      <c r="S694" s="195">
        <f>IF(B694="","",IF(P694&gt;0,DEGREES(ATAN(Q694/P694)),IF(P694&lt;0,IF(Q694&gt;=0,DEGREES(ATAN(Q694/P694))+180,DEGREES(ATAN(Q694/P694))-180),IF(Q694&gt;0,90,IF(Q694&lt;0,-90,0)))))</f>
        <v/>
      </c>
      <c r="T694" s="195">
        <f>IF(B694="","",LOG10(B694))</f>
        <v/>
      </c>
      <c r="U694" s="195">
        <f>IF(R694="","",LOG10(MAX(R694,1E-12)))</f>
        <v/>
      </c>
    </row>
    <row r="695">
      <c r="A695" t="n">
        <v>692</v>
      </c>
      <c r="B695" s="196">
        <f>IF(A695&lt;='入力・概要'!$B$40,10^(LOG10('入力・概要'!$B$38)+(A695-1)*(LOG10('入力・概要'!$B$39)-LOG10('入力・概要'!$B$38))/('入力・概要'!$B$40-1)),"")</f>
        <v/>
      </c>
      <c r="C695" s="195">
        <f>IF(B695="","",2*PI()*B695)</f>
        <v/>
      </c>
      <c r="D695" s="195">
        <f>IF(B695="","",ATANH(MIN(0.999999,(2*'入力・概要'!$B$17*'入力・概要'!$B$6)/'入力・概要'!$B$30))+'入力・概要'!$B$33*SQRT(B695/1E6)+(2*PI()*B695*'入力・概要'!$B$6/(299792458*'入力・概要'!$B$31))*'入力・概要'!$B$32/2)</f>
        <v/>
      </c>
      <c r="E695" s="195">
        <f>IF(B695="","",2*PI()*B695*'入力・概要'!$B$6/(299792458*'入力・概要'!$B$31))</f>
        <v/>
      </c>
      <c r="F695" s="195">
        <f>IF(B695="","",SINH(2*D695)/(COSH(2*D695)+COS(2*E695)))</f>
        <v/>
      </c>
      <c r="G695" s="195">
        <f>IF(B695="","",SIN(2*E695)/(COSH(2*D695)+COS(2*E695)))</f>
        <v/>
      </c>
      <c r="H695" s="195">
        <f>IF(B695="","",'入力・概要'!$B$34)</f>
        <v/>
      </c>
      <c r="I695" s="195">
        <f>IF(B695="","",C695*'入力・概要'!$B$35*1E-9)</f>
        <v/>
      </c>
      <c r="J695" s="195">
        <f>IF(B695="","",H695+'入力・概要'!$B$30*F695)</f>
        <v/>
      </c>
      <c r="K695" s="195">
        <f>IF(B695="","",I695+'入力・概要'!$B$30*G695)</f>
        <v/>
      </c>
      <c r="L695" s="195">
        <f>IF(B695="","",'入力・概要'!$B$30+H695*F695-I695*G695)</f>
        <v/>
      </c>
      <c r="M695" s="195">
        <f>IF(B695="","",H695*G695+I695*F695)</f>
        <v/>
      </c>
      <c r="N695" s="195">
        <f>IF(B695="","",'入力・概要'!$B$30*(J695*L695+K695*M695)/(L695^2+M695^2))</f>
        <v/>
      </c>
      <c r="O695" s="195">
        <f>IF(B695="","",'入力・概要'!$B$30*(K695*L695-J695*M695)/(L695^2+M695^2))</f>
        <v/>
      </c>
      <c r="P695" s="195">
        <f>IF(B695="","",N695+'入力・概要'!$B$36)</f>
        <v/>
      </c>
      <c r="Q695" s="195">
        <f>IF(B695="","",O695+C695*'入力・概要'!$B$37*1E-9)</f>
        <v/>
      </c>
      <c r="R695" s="195">
        <f>IF(B695="","",SQRT(P695^2+Q695^2))</f>
        <v/>
      </c>
      <c r="S695" s="195">
        <f>IF(B695="","",IF(P695&gt;0,DEGREES(ATAN(Q695/P695)),IF(P695&lt;0,IF(Q695&gt;=0,DEGREES(ATAN(Q695/P695))+180,DEGREES(ATAN(Q695/P695))-180),IF(Q695&gt;0,90,IF(Q695&lt;0,-90,0)))))</f>
        <v/>
      </c>
      <c r="T695" s="195">
        <f>IF(B695="","",LOG10(B695))</f>
        <v/>
      </c>
      <c r="U695" s="195">
        <f>IF(R695="","",LOG10(MAX(R695,1E-12)))</f>
        <v/>
      </c>
    </row>
    <row r="696">
      <c r="A696" t="n">
        <v>693</v>
      </c>
      <c r="B696" s="196">
        <f>IF(A696&lt;='入力・概要'!$B$40,10^(LOG10('入力・概要'!$B$38)+(A696-1)*(LOG10('入力・概要'!$B$39)-LOG10('入力・概要'!$B$38))/('入力・概要'!$B$40-1)),"")</f>
        <v/>
      </c>
      <c r="C696" s="195">
        <f>IF(B696="","",2*PI()*B696)</f>
        <v/>
      </c>
      <c r="D696" s="195">
        <f>IF(B696="","",ATANH(MIN(0.999999,(2*'入力・概要'!$B$17*'入力・概要'!$B$6)/'入力・概要'!$B$30))+'入力・概要'!$B$33*SQRT(B696/1E6)+(2*PI()*B696*'入力・概要'!$B$6/(299792458*'入力・概要'!$B$31))*'入力・概要'!$B$32/2)</f>
        <v/>
      </c>
      <c r="E696" s="195">
        <f>IF(B696="","",2*PI()*B696*'入力・概要'!$B$6/(299792458*'入力・概要'!$B$31))</f>
        <v/>
      </c>
      <c r="F696" s="195">
        <f>IF(B696="","",SINH(2*D696)/(COSH(2*D696)+COS(2*E696)))</f>
        <v/>
      </c>
      <c r="G696" s="195">
        <f>IF(B696="","",SIN(2*E696)/(COSH(2*D696)+COS(2*E696)))</f>
        <v/>
      </c>
      <c r="H696" s="195">
        <f>IF(B696="","",'入力・概要'!$B$34)</f>
        <v/>
      </c>
      <c r="I696" s="195">
        <f>IF(B696="","",C696*'入力・概要'!$B$35*1E-9)</f>
        <v/>
      </c>
      <c r="J696" s="195">
        <f>IF(B696="","",H696+'入力・概要'!$B$30*F696)</f>
        <v/>
      </c>
      <c r="K696" s="195">
        <f>IF(B696="","",I696+'入力・概要'!$B$30*G696)</f>
        <v/>
      </c>
      <c r="L696" s="195">
        <f>IF(B696="","",'入力・概要'!$B$30+H696*F696-I696*G696)</f>
        <v/>
      </c>
      <c r="M696" s="195">
        <f>IF(B696="","",H696*G696+I696*F696)</f>
        <v/>
      </c>
      <c r="N696" s="195">
        <f>IF(B696="","",'入力・概要'!$B$30*(J696*L696+K696*M696)/(L696^2+M696^2))</f>
        <v/>
      </c>
      <c r="O696" s="195">
        <f>IF(B696="","",'入力・概要'!$B$30*(K696*L696-J696*M696)/(L696^2+M696^2))</f>
        <v/>
      </c>
      <c r="P696" s="195">
        <f>IF(B696="","",N696+'入力・概要'!$B$36)</f>
        <v/>
      </c>
      <c r="Q696" s="195">
        <f>IF(B696="","",O696+C696*'入力・概要'!$B$37*1E-9)</f>
        <v/>
      </c>
      <c r="R696" s="195">
        <f>IF(B696="","",SQRT(P696^2+Q696^2))</f>
        <v/>
      </c>
      <c r="S696" s="195">
        <f>IF(B696="","",IF(P696&gt;0,DEGREES(ATAN(Q696/P696)),IF(P696&lt;0,IF(Q696&gt;=0,DEGREES(ATAN(Q696/P696))+180,DEGREES(ATAN(Q696/P696))-180),IF(Q696&gt;0,90,IF(Q696&lt;0,-90,0)))))</f>
        <v/>
      </c>
      <c r="T696" s="195">
        <f>IF(B696="","",LOG10(B696))</f>
        <v/>
      </c>
      <c r="U696" s="195">
        <f>IF(R696="","",LOG10(MAX(R696,1E-12)))</f>
        <v/>
      </c>
    </row>
    <row r="697">
      <c r="A697" t="n">
        <v>694</v>
      </c>
      <c r="B697" s="196">
        <f>IF(A697&lt;='入力・概要'!$B$40,10^(LOG10('入力・概要'!$B$38)+(A697-1)*(LOG10('入力・概要'!$B$39)-LOG10('入力・概要'!$B$38))/('入力・概要'!$B$40-1)),"")</f>
        <v/>
      </c>
      <c r="C697" s="195">
        <f>IF(B697="","",2*PI()*B697)</f>
        <v/>
      </c>
      <c r="D697" s="195">
        <f>IF(B697="","",ATANH(MIN(0.999999,(2*'入力・概要'!$B$17*'入力・概要'!$B$6)/'入力・概要'!$B$30))+'入力・概要'!$B$33*SQRT(B697/1E6)+(2*PI()*B697*'入力・概要'!$B$6/(299792458*'入力・概要'!$B$31))*'入力・概要'!$B$32/2)</f>
        <v/>
      </c>
      <c r="E697" s="195">
        <f>IF(B697="","",2*PI()*B697*'入力・概要'!$B$6/(299792458*'入力・概要'!$B$31))</f>
        <v/>
      </c>
      <c r="F697" s="195">
        <f>IF(B697="","",SINH(2*D697)/(COSH(2*D697)+COS(2*E697)))</f>
        <v/>
      </c>
      <c r="G697" s="195">
        <f>IF(B697="","",SIN(2*E697)/(COSH(2*D697)+COS(2*E697)))</f>
        <v/>
      </c>
      <c r="H697" s="195">
        <f>IF(B697="","",'入力・概要'!$B$34)</f>
        <v/>
      </c>
      <c r="I697" s="195">
        <f>IF(B697="","",C697*'入力・概要'!$B$35*1E-9)</f>
        <v/>
      </c>
      <c r="J697" s="195">
        <f>IF(B697="","",H697+'入力・概要'!$B$30*F697)</f>
        <v/>
      </c>
      <c r="K697" s="195">
        <f>IF(B697="","",I697+'入力・概要'!$B$30*G697)</f>
        <v/>
      </c>
      <c r="L697" s="195">
        <f>IF(B697="","",'入力・概要'!$B$30+H697*F697-I697*G697)</f>
        <v/>
      </c>
      <c r="M697" s="195">
        <f>IF(B697="","",H697*G697+I697*F697)</f>
        <v/>
      </c>
      <c r="N697" s="195">
        <f>IF(B697="","",'入力・概要'!$B$30*(J697*L697+K697*M697)/(L697^2+M697^2))</f>
        <v/>
      </c>
      <c r="O697" s="195">
        <f>IF(B697="","",'入力・概要'!$B$30*(K697*L697-J697*M697)/(L697^2+M697^2))</f>
        <v/>
      </c>
      <c r="P697" s="195">
        <f>IF(B697="","",N697+'入力・概要'!$B$36)</f>
        <v/>
      </c>
      <c r="Q697" s="195">
        <f>IF(B697="","",O697+C697*'入力・概要'!$B$37*1E-9)</f>
        <v/>
      </c>
      <c r="R697" s="195">
        <f>IF(B697="","",SQRT(P697^2+Q697^2))</f>
        <v/>
      </c>
      <c r="S697" s="195">
        <f>IF(B697="","",IF(P697&gt;0,DEGREES(ATAN(Q697/P697)),IF(P697&lt;0,IF(Q697&gt;=0,DEGREES(ATAN(Q697/P697))+180,DEGREES(ATAN(Q697/P697))-180),IF(Q697&gt;0,90,IF(Q697&lt;0,-90,0)))))</f>
        <v/>
      </c>
      <c r="T697" s="195">
        <f>IF(B697="","",LOG10(B697))</f>
        <v/>
      </c>
      <c r="U697" s="195">
        <f>IF(R697="","",LOG10(MAX(R697,1E-12)))</f>
        <v/>
      </c>
    </row>
    <row r="698">
      <c r="A698" t="n">
        <v>695</v>
      </c>
      <c r="B698" s="196">
        <f>IF(A698&lt;='入力・概要'!$B$40,10^(LOG10('入力・概要'!$B$38)+(A698-1)*(LOG10('入力・概要'!$B$39)-LOG10('入力・概要'!$B$38))/('入力・概要'!$B$40-1)),"")</f>
        <v/>
      </c>
      <c r="C698" s="195">
        <f>IF(B698="","",2*PI()*B698)</f>
        <v/>
      </c>
      <c r="D698" s="195">
        <f>IF(B698="","",ATANH(MIN(0.999999,(2*'入力・概要'!$B$17*'入力・概要'!$B$6)/'入力・概要'!$B$30))+'入力・概要'!$B$33*SQRT(B698/1E6)+(2*PI()*B698*'入力・概要'!$B$6/(299792458*'入力・概要'!$B$31))*'入力・概要'!$B$32/2)</f>
        <v/>
      </c>
      <c r="E698" s="195">
        <f>IF(B698="","",2*PI()*B698*'入力・概要'!$B$6/(299792458*'入力・概要'!$B$31))</f>
        <v/>
      </c>
      <c r="F698" s="195">
        <f>IF(B698="","",SINH(2*D698)/(COSH(2*D698)+COS(2*E698)))</f>
        <v/>
      </c>
      <c r="G698" s="195">
        <f>IF(B698="","",SIN(2*E698)/(COSH(2*D698)+COS(2*E698)))</f>
        <v/>
      </c>
      <c r="H698" s="195">
        <f>IF(B698="","",'入力・概要'!$B$34)</f>
        <v/>
      </c>
      <c r="I698" s="195">
        <f>IF(B698="","",C698*'入力・概要'!$B$35*1E-9)</f>
        <v/>
      </c>
      <c r="J698" s="195">
        <f>IF(B698="","",H698+'入力・概要'!$B$30*F698)</f>
        <v/>
      </c>
      <c r="K698" s="195">
        <f>IF(B698="","",I698+'入力・概要'!$B$30*G698)</f>
        <v/>
      </c>
      <c r="L698" s="195">
        <f>IF(B698="","",'入力・概要'!$B$30+H698*F698-I698*G698)</f>
        <v/>
      </c>
      <c r="M698" s="195">
        <f>IF(B698="","",H698*G698+I698*F698)</f>
        <v/>
      </c>
      <c r="N698" s="195">
        <f>IF(B698="","",'入力・概要'!$B$30*(J698*L698+K698*M698)/(L698^2+M698^2))</f>
        <v/>
      </c>
      <c r="O698" s="195">
        <f>IF(B698="","",'入力・概要'!$B$30*(K698*L698-J698*M698)/(L698^2+M698^2))</f>
        <v/>
      </c>
      <c r="P698" s="195">
        <f>IF(B698="","",N698+'入力・概要'!$B$36)</f>
        <v/>
      </c>
      <c r="Q698" s="195">
        <f>IF(B698="","",O698+C698*'入力・概要'!$B$37*1E-9)</f>
        <v/>
      </c>
      <c r="R698" s="195">
        <f>IF(B698="","",SQRT(P698^2+Q698^2))</f>
        <v/>
      </c>
      <c r="S698" s="195">
        <f>IF(B698="","",IF(P698&gt;0,DEGREES(ATAN(Q698/P698)),IF(P698&lt;0,IF(Q698&gt;=0,DEGREES(ATAN(Q698/P698))+180,DEGREES(ATAN(Q698/P698))-180),IF(Q698&gt;0,90,IF(Q698&lt;0,-90,0)))))</f>
        <v/>
      </c>
      <c r="T698" s="195">
        <f>IF(B698="","",LOG10(B698))</f>
        <v/>
      </c>
      <c r="U698" s="195">
        <f>IF(R698="","",LOG10(MAX(R698,1E-12)))</f>
        <v/>
      </c>
    </row>
    <row r="699">
      <c r="A699" t="n">
        <v>696</v>
      </c>
      <c r="B699" s="196">
        <f>IF(A699&lt;='入力・概要'!$B$40,10^(LOG10('入力・概要'!$B$38)+(A699-1)*(LOG10('入力・概要'!$B$39)-LOG10('入力・概要'!$B$38))/('入力・概要'!$B$40-1)),"")</f>
        <v/>
      </c>
      <c r="C699" s="195">
        <f>IF(B699="","",2*PI()*B699)</f>
        <v/>
      </c>
      <c r="D699" s="195">
        <f>IF(B699="","",ATANH(MIN(0.999999,(2*'入力・概要'!$B$17*'入力・概要'!$B$6)/'入力・概要'!$B$30))+'入力・概要'!$B$33*SQRT(B699/1E6)+(2*PI()*B699*'入力・概要'!$B$6/(299792458*'入力・概要'!$B$31))*'入力・概要'!$B$32/2)</f>
        <v/>
      </c>
      <c r="E699" s="195">
        <f>IF(B699="","",2*PI()*B699*'入力・概要'!$B$6/(299792458*'入力・概要'!$B$31))</f>
        <v/>
      </c>
      <c r="F699" s="195">
        <f>IF(B699="","",SINH(2*D699)/(COSH(2*D699)+COS(2*E699)))</f>
        <v/>
      </c>
      <c r="G699" s="195">
        <f>IF(B699="","",SIN(2*E699)/(COSH(2*D699)+COS(2*E699)))</f>
        <v/>
      </c>
      <c r="H699" s="195">
        <f>IF(B699="","",'入力・概要'!$B$34)</f>
        <v/>
      </c>
      <c r="I699" s="195">
        <f>IF(B699="","",C699*'入力・概要'!$B$35*1E-9)</f>
        <v/>
      </c>
      <c r="J699" s="195">
        <f>IF(B699="","",H699+'入力・概要'!$B$30*F699)</f>
        <v/>
      </c>
      <c r="K699" s="195">
        <f>IF(B699="","",I699+'入力・概要'!$B$30*G699)</f>
        <v/>
      </c>
      <c r="L699" s="195">
        <f>IF(B699="","",'入力・概要'!$B$30+H699*F699-I699*G699)</f>
        <v/>
      </c>
      <c r="M699" s="195">
        <f>IF(B699="","",H699*G699+I699*F699)</f>
        <v/>
      </c>
      <c r="N699" s="195">
        <f>IF(B699="","",'入力・概要'!$B$30*(J699*L699+K699*M699)/(L699^2+M699^2))</f>
        <v/>
      </c>
      <c r="O699" s="195">
        <f>IF(B699="","",'入力・概要'!$B$30*(K699*L699-J699*M699)/(L699^2+M699^2))</f>
        <v/>
      </c>
      <c r="P699" s="195">
        <f>IF(B699="","",N699+'入力・概要'!$B$36)</f>
        <v/>
      </c>
      <c r="Q699" s="195">
        <f>IF(B699="","",O699+C699*'入力・概要'!$B$37*1E-9)</f>
        <v/>
      </c>
      <c r="R699" s="195">
        <f>IF(B699="","",SQRT(P699^2+Q699^2))</f>
        <v/>
      </c>
      <c r="S699" s="195">
        <f>IF(B699="","",IF(P699&gt;0,DEGREES(ATAN(Q699/P699)),IF(P699&lt;0,IF(Q699&gt;=0,DEGREES(ATAN(Q699/P699))+180,DEGREES(ATAN(Q699/P699))-180),IF(Q699&gt;0,90,IF(Q699&lt;0,-90,0)))))</f>
        <v/>
      </c>
      <c r="T699" s="195">
        <f>IF(B699="","",LOG10(B699))</f>
        <v/>
      </c>
      <c r="U699" s="195">
        <f>IF(R699="","",LOG10(MAX(R699,1E-12)))</f>
        <v/>
      </c>
    </row>
    <row r="700">
      <c r="A700" t="n">
        <v>697</v>
      </c>
      <c r="B700" s="196">
        <f>IF(A700&lt;='入力・概要'!$B$40,10^(LOG10('入力・概要'!$B$38)+(A700-1)*(LOG10('入力・概要'!$B$39)-LOG10('入力・概要'!$B$38))/('入力・概要'!$B$40-1)),"")</f>
        <v/>
      </c>
      <c r="C700" s="195">
        <f>IF(B700="","",2*PI()*B700)</f>
        <v/>
      </c>
      <c r="D700" s="195">
        <f>IF(B700="","",ATANH(MIN(0.999999,(2*'入力・概要'!$B$17*'入力・概要'!$B$6)/'入力・概要'!$B$30))+'入力・概要'!$B$33*SQRT(B700/1E6)+(2*PI()*B700*'入力・概要'!$B$6/(299792458*'入力・概要'!$B$31))*'入力・概要'!$B$32/2)</f>
        <v/>
      </c>
      <c r="E700" s="195">
        <f>IF(B700="","",2*PI()*B700*'入力・概要'!$B$6/(299792458*'入力・概要'!$B$31))</f>
        <v/>
      </c>
      <c r="F700" s="195">
        <f>IF(B700="","",SINH(2*D700)/(COSH(2*D700)+COS(2*E700)))</f>
        <v/>
      </c>
      <c r="G700" s="195">
        <f>IF(B700="","",SIN(2*E700)/(COSH(2*D700)+COS(2*E700)))</f>
        <v/>
      </c>
      <c r="H700" s="195">
        <f>IF(B700="","",'入力・概要'!$B$34)</f>
        <v/>
      </c>
      <c r="I700" s="195">
        <f>IF(B700="","",C700*'入力・概要'!$B$35*1E-9)</f>
        <v/>
      </c>
      <c r="J700" s="195">
        <f>IF(B700="","",H700+'入力・概要'!$B$30*F700)</f>
        <v/>
      </c>
      <c r="K700" s="195">
        <f>IF(B700="","",I700+'入力・概要'!$B$30*G700)</f>
        <v/>
      </c>
      <c r="L700" s="195">
        <f>IF(B700="","",'入力・概要'!$B$30+H700*F700-I700*G700)</f>
        <v/>
      </c>
      <c r="M700" s="195">
        <f>IF(B700="","",H700*G700+I700*F700)</f>
        <v/>
      </c>
      <c r="N700" s="195">
        <f>IF(B700="","",'入力・概要'!$B$30*(J700*L700+K700*M700)/(L700^2+M700^2))</f>
        <v/>
      </c>
      <c r="O700" s="195">
        <f>IF(B700="","",'入力・概要'!$B$30*(K700*L700-J700*M700)/(L700^2+M700^2))</f>
        <v/>
      </c>
      <c r="P700" s="195">
        <f>IF(B700="","",N700+'入力・概要'!$B$36)</f>
        <v/>
      </c>
      <c r="Q700" s="195">
        <f>IF(B700="","",O700+C700*'入力・概要'!$B$37*1E-9)</f>
        <v/>
      </c>
      <c r="R700" s="195">
        <f>IF(B700="","",SQRT(P700^2+Q700^2))</f>
        <v/>
      </c>
      <c r="S700" s="195">
        <f>IF(B700="","",IF(P700&gt;0,DEGREES(ATAN(Q700/P700)),IF(P700&lt;0,IF(Q700&gt;=0,DEGREES(ATAN(Q700/P700))+180,DEGREES(ATAN(Q700/P700))-180),IF(Q700&gt;0,90,IF(Q700&lt;0,-90,0)))))</f>
        <v/>
      </c>
      <c r="T700" s="195">
        <f>IF(B700="","",LOG10(B700))</f>
        <v/>
      </c>
      <c r="U700" s="195">
        <f>IF(R700="","",LOG10(MAX(R700,1E-12)))</f>
        <v/>
      </c>
    </row>
    <row r="701">
      <c r="A701" t="n">
        <v>698</v>
      </c>
      <c r="B701" s="196">
        <f>IF(A701&lt;='入力・概要'!$B$40,10^(LOG10('入力・概要'!$B$38)+(A701-1)*(LOG10('入力・概要'!$B$39)-LOG10('入力・概要'!$B$38))/('入力・概要'!$B$40-1)),"")</f>
        <v/>
      </c>
      <c r="C701" s="195">
        <f>IF(B701="","",2*PI()*B701)</f>
        <v/>
      </c>
      <c r="D701" s="195">
        <f>IF(B701="","",ATANH(MIN(0.999999,(2*'入力・概要'!$B$17*'入力・概要'!$B$6)/'入力・概要'!$B$30))+'入力・概要'!$B$33*SQRT(B701/1E6)+(2*PI()*B701*'入力・概要'!$B$6/(299792458*'入力・概要'!$B$31))*'入力・概要'!$B$32/2)</f>
        <v/>
      </c>
      <c r="E701" s="195">
        <f>IF(B701="","",2*PI()*B701*'入力・概要'!$B$6/(299792458*'入力・概要'!$B$31))</f>
        <v/>
      </c>
      <c r="F701" s="195">
        <f>IF(B701="","",SINH(2*D701)/(COSH(2*D701)+COS(2*E701)))</f>
        <v/>
      </c>
      <c r="G701" s="195">
        <f>IF(B701="","",SIN(2*E701)/(COSH(2*D701)+COS(2*E701)))</f>
        <v/>
      </c>
      <c r="H701" s="195">
        <f>IF(B701="","",'入力・概要'!$B$34)</f>
        <v/>
      </c>
      <c r="I701" s="195">
        <f>IF(B701="","",C701*'入力・概要'!$B$35*1E-9)</f>
        <v/>
      </c>
      <c r="J701" s="195">
        <f>IF(B701="","",H701+'入力・概要'!$B$30*F701)</f>
        <v/>
      </c>
      <c r="K701" s="195">
        <f>IF(B701="","",I701+'入力・概要'!$B$30*G701)</f>
        <v/>
      </c>
      <c r="L701" s="195">
        <f>IF(B701="","",'入力・概要'!$B$30+H701*F701-I701*G701)</f>
        <v/>
      </c>
      <c r="M701" s="195">
        <f>IF(B701="","",H701*G701+I701*F701)</f>
        <v/>
      </c>
      <c r="N701" s="195">
        <f>IF(B701="","",'入力・概要'!$B$30*(J701*L701+K701*M701)/(L701^2+M701^2))</f>
        <v/>
      </c>
      <c r="O701" s="195">
        <f>IF(B701="","",'入力・概要'!$B$30*(K701*L701-J701*M701)/(L701^2+M701^2))</f>
        <v/>
      </c>
      <c r="P701" s="195">
        <f>IF(B701="","",N701+'入力・概要'!$B$36)</f>
        <v/>
      </c>
      <c r="Q701" s="195">
        <f>IF(B701="","",O701+C701*'入力・概要'!$B$37*1E-9)</f>
        <v/>
      </c>
      <c r="R701" s="195">
        <f>IF(B701="","",SQRT(P701^2+Q701^2))</f>
        <v/>
      </c>
      <c r="S701" s="195">
        <f>IF(B701="","",IF(P701&gt;0,DEGREES(ATAN(Q701/P701)),IF(P701&lt;0,IF(Q701&gt;=0,DEGREES(ATAN(Q701/P701))+180,DEGREES(ATAN(Q701/P701))-180),IF(Q701&gt;0,90,IF(Q701&lt;0,-90,0)))))</f>
        <v/>
      </c>
      <c r="T701" s="195">
        <f>IF(B701="","",LOG10(B701))</f>
        <v/>
      </c>
      <c r="U701" s="195">
        <f>IF(R701="","",LOG10(MAX(R701,1E-12)))</f>
        <v/>
      </c>
    </row>
    <row r="702">
      <c r="A702" t="n">
        <v>699</v>
      </c>
      <c r="B702" s="196">
        <f>IF(A702&lt;='入力・概要'!$B$40,10^(LOG10('入力・概要'!$B$38)+(A702-1)*(LOG10('入力・概要'!$B$39)-LOG10('入力・概要'!$B$38))/('入力・概要'!$B$40-1)),"")</f>
        <v/>
      </c>
      <c r="C702" s="195">
        <f>IF(B702="","",2*PI()*B702)</f>
        <v/>
      </c>
      <c r="D702" s="195">
        <f>IF(B702="","",ATANH(MIN(0.999999,(2*'入力・概要'!$B$17*'入力・概要'!$B$6)/'入力・概要'!$B$30))+'入力・概要'!$B$33*SQRT(B702/1E6)+(2*PI()*B702*'入力・概要'!$B$6/(299792458*'入力・概要'!$B$31))*'入力・概要'!$B$32/2)</f>
        <v/>
      </c>
      <c r="E702" s="195">
        <f>IF(B702="","",2*PI()*B702*'入力・概要'!$B$6/(299792458*'入力・概要'!$B$31))</f>
        <v/>
      </c>
      <c r="F702" s="195">
        <f>IF(B702="","",SINH(2*D702)/(COSH(2*D702)+COS(2*E702)))</f>
        <v/>
      </c>
      <c r="G702" s="195">
        <f>IF(B702="","",SIN(2*E702)/(COSH(2*D702)+COS(2*E702)))</f>
        <v/>
      </c>
      <c r="H702" s="195">
        <f>IF(B702="","",'入力・概要'!$B$34)</f>
        <v/>
      </c>
      <c r="I702" s="195">
        <f>IF(B702="","",C702*'入力・概要'!$B$35*1E-9)</f>
        <v/>
      </c>
      <c r="J702" s="195">
        <f>IF(B702="","",H702+'入力・概要'!$B$30*F702)</f>
        <v/>
      </c>
      <c r="K702" s="195">
        <f>IF(B702="","",I702+'入力・概要'!$B$30*G702)</f>
        <v/>
      </c>
      <c r="L702" s="195">
        <f>IF(B702="","",'入力・概要'!$B$30+H702*F702-I702*G702)</f>
        <v/>
      </c>
      <c r="M702" s="195">
        <f>IF(B702="","",H702*G702+I702*F702)</f>
        <v/>
      </c>
      <c r="N702" s="195">
        <f>IF(B702="","",'入力・概要'!$B$30*(J702*L702+K702*M702)/(L702^2+M702^2))</f>
        <v/>
      </c>
      <c r="O702" s="195">
        <f>IF(B702="","",'入力・概要'!$B$30*(K702*L702-J702*M702)/(L702^2+M702^2))</f>
        <v/>
      </c>
      <c r="P702" s="195">
        <f>IF(B702="","",N702+'入力・概要'!$B$36)</f>
        <v/>
      </c>
      <c r="Q702" s="195">
        <f>IF(B702="","",O702+C702*'入力・概要'!$B$37*1E-9)</f>
        <v/>
      </c>
      <c r="R702" s="195">
        <f>IF(B702="","",SQRT(P702^2+Q702^2))</f>
        <v/>
      </c>
      <c r="S702" s="195">
        <f>IF(B702="","",IF(P702&gt;0,DEGREES(ATAN(Q702/P702)),IF(P702&lt;0,IF(Q702&gt;=0,DEGREES(ATAN(Q702/P702))+180,DEGREES(ATAN(Q702/P702))-180),IF(Q702&gt;0,90,IF(Q702&lt;0,-90,0)))))</f>
        <v/>
      </c>
      <c r="T702" s="195">
        <f>IF(B702="","",LOG10(B702))</f>
        <v/>
      </c>
      <c r="U702" s="195">
        <f>IF(R702="","",LOG10(MAX(R702,1E-12)))</f>
        <v/>
      </c>
    </row>
    <row r="703">
      <c r="A703" t="n">
        <v>700</v>
      </c>
      <c r="B703" s="196">
        <f>IF(A703&lt;='入力・概要'!$B$40,10^(LOG10('入力・概要'!$B$38)+(A703-1)*(LOG10('入力・概要'!$B$39)-LOG10('入力・概要'!$B$38))/('入力・概要'!$B$40-1)),"")</f>
        <v/>
      </c>
      <c r="C703" s="195">
        <f>IF(B703="","",2*PI()*B703)</f>
        <v/>
      </c>
      <c r="D703" s="195">
        <f>IF(B703="","",ATANH(MIN(0.999999,(2*'入力・概要'!$B$17*'入力・概要'!$B$6)/'入力・概要'!$B$30))+'入力・概要'!$B$33*SQRT(B703/1E6)+(2*PI()*B703*'入力・概要'!$B$6/(299792458*'入力・概要'!$B$31))*'入力・概要'!$B$32/2)</f>
        <v/>
      </c>
      <c r="E703" s="195">
        <f>IF(B703="","",2*PI()*B703*'入力・概要'!$B$6/(299792458*'入力・概要'!$B$31))</f>
        <v/>
      </c>
      <c r="F703" s="195">
        <f>IF(B703="","",SINH(2*D703)/(COSH(2*D703)+COS(2*E703)))</f>
        <v/>
      </c>
      <c r="G703" s="195">
        <f>IF(B703="","",SIN(2*E703)/(COSH(2*D703)+COS(2*E703)))</f>
        <v/>
      </c>
      <c r="H703" s="195">
        <f>IF(B703="","",'入力・概要'!$B$34)</f>
        <v/>
      </c>
      <c r="I703" s="195">
        <f>IF(B703="","",C703*'入力・概要'!$B$35*1E-9)</f>
        <v/>
      </c>
      <c r="J703" s="195">
        <f>IF(B703="","",H703+'入力・概要'!$B$30*F703)</f>
        <v/>
      </c>
      <c r="K703" s="195">
        <f>IF(B703="","",I703+'入力・概要'!$B$30*G703)</f>
        <v/>
      </c>
      <c r="L703" s="195">
        <f>IF(B703="","",'入力・概要'!$B$30+H703*F703-I703*G703)</f>
        <v/>
      </c>
      <c r="M703" s="195">
        <f>IF(B703="","",H703*G703+I703*F703)</f>
        <v/>
      </c>
      <c r="N703" s="195">
        <f>IF(B703="","",'入力・概要'!$B$30*(J703*L703+K703*M703)/(L703^2+M703^2))</f>
        <v/>
      </c>
      <c r="O703" s="195">
        <f>IF(B703="","",'入力・概要'!$B$30*(K703*L703-J703*M703)/(L703^2+M703^2))</f>
        <v/>
      </c>
      <c r="P703" s="195">
        <f>IF(B703="","",N703+'入力・概要'!$B$36)</f>
        <v/>
      </c>
      <c r="Q703" s="195">
        <f>IF(B703="","",O703+C703*'入力・概要'!$B$37*1E-9)</f>
        <v/>
      </c>
      <c r="R703" s="195">
        <f>IF(B703="","",SQRT(P703^2+Q703^2))</f>
        <v/>
      </c>
      <c r="S703" s="195">
        <f>IF(B703="","",IF(P703&gt;0,DEGREES(ATAN(Q703/P703)),IF(P703&lt;0,IF(Q703&gt;=0,DEGREES(ATAN(Q703/P703))+180,DEGREES(ATAN(Q703/P703))-180),IF(Q703&gt;0,90,IF(Q703&lt;0,-90,0)))))</f>
        <v/>
      </c>
      <c r="T703" s="195">
        <f>IF(B703="","",LOG10(B703))</f>
        <v/>
      </c>
      <c r="U703" s="195">
        <f>IF(R703="","",LOG10(MAX(R703,1E-12)))</f>
        <v/>
      </c>
    </row>
    <row r="704">
      <c r="A704" t="n">
        <v>701</v>
      </c>
      <c r="B704" s="196">
        <f>IF(A704&lt;='入力・概要'!$B$40,10^(LOG10('入力・概要'!$B$38)+(A704-1)*(LOG10('入力・概要'!$B$39)-LOG10('入力・概要'!$B$38))/('入力・概要'!$B$40-1)),"")</f>
        <v/>
      </c>
      <c r="C704" s="195">
        <f>IF(B704="","",2*PI()*B704)</f>
        <v/>
      </c>
      <c r="D704" s="195">
        <f>IF(B704="","",ATANH(MIN(0.999999,(2*'入力・概要'!$B$17*'入力・概要'!$B$6)/'入力・概要'!$B$30))+'入力・概要'!$B$33*SQRT(B704/1E6)+(2*PI()*B704*'入力・概要'!$B$6/(299792458*'入力・概要'!$B$31))*'入力・概要'!$B$32/2)</f>
        <v/>
      </c>
      <c r="E704" s="195">
        <f>IF(B704="","",2*PI()*B704*'入力・概要'!$B$6/(299792458*'入力・概要'!$B$31))</f>
        <v/>
      </c>
      <c r="F704" s="195">
        <f>IF(B704="","",SINH(2*D704)/(COSH(2*D704)+COS(2*E704)))</f>
        <v/>
      </c>
      <c r="G704" s="195">
        <f>IF(B704="","",SIN(2*E704)/(COSH(2*D704)+COS(2*E704)))</f>
        <v/>
      </c>
      <c r="H704" s="195">
        <f>IF(B704="","",'入力・概要'!$B$34)</f>
        <v/>
      </c>
      <c r="I704" s="195">
        <f>IF(B704="","",C704*'入力・概要'!$B$35*1E-9)</f>
        <v/>
      </c>
      <c r="J704" s="195">
        <f>IF(B704="","",H704+'入力・概要'!$B$30*F704)</f>
        <v/>
      </c>
      <c r="K704" s="195">
        <f>IF(B704="","",I704+'入力・概要'!$B$30*G704)</f>
        <v/>
      </c>
      <c r="L704" s="195">
        <f>IF(B704="","",'入力・概要'!$B$30+H704*F704-I704*G704)</f>
        <v/>
      </c>
      <c r="M704" s="195">
        <f>IF(B704="","",H704*G704+I704*F704)</f>
        <v/>
      </c>
      <c r="N704" s="195">
        <f>IF(B704="","",'入力・概要'!$B$30*(J704*L704+K704*M704)/(L704^2+M704^2))</f>
        <v/>
      </c>
      <c r="O704" s="195">
        <f>IF(B704="","",'入力・概要'!$B$30*(K704*L704-J704*M704)/(L704^2+M704^2))</f>
        <v/>
      </c>
      <c r="P704" s="195">
        <f>IF(B704="","",N704+'入力・概要'!$B$36)</f>
        <v/>
      </c>
      <c r="Q704" s="195">
        <f>IF(B704="","",O704+C704*'入力・概要'!$B$37*1E-9)</f>
        <v/>
      </c>
      <c r="R704" s="195">
        <f>IF(B704="","",SQRT(P704^2+Q704^2))</f>
        <v/>
      </c>
      <c r="S704" s="195">
        <f>IF(B704="","",IF(P704&gt;0,DEGREES(ATAN(Q704/P704)),IF(P704&lt;0,IF(Q704&gt;=0,DEGREES(ATAN(Q704/P704))+180,DEGREES(ATAN(Q704/P704))-180),IF(Q704&gt;0,90,IF(Q704&lt;0,-90,0)))))</f>
        <v/>
      </c>
      <c r="T704" s="195">
        <f>IF(B704="","",LOG10(B704))</f>
        <v/>
      </c>
      <c r="U704" s="195">
        <f>IF(R704="","",LOG10(MAX(R704,1E-12)))</f>
        <v/>
      </c>
    </row>
    <row r="705">
      <c r="A705" t="n">
        <v>702</v>
      </c>
      <c r="B705" s="196">
        <f>IF(A705&lt;='入力・概要'!$B$40,10^(LOG10('入力・概要'!$B$38)+(A705-1)*(LOG10('入力・概要'!$B$39)-LOG10('入力・概要'!$B$38))/('入力・概要'!$B$40-1)),"")</f>
        <v/>
      </c>
      <c r="C705" s="195">
        <f>IF(B705="","",2*PI()*B705)</f>
        <v/>
      </c>
      <c r="D705" s="195">
        <f>IF(B705="","",ATANH(MIN(0.999999,(2*'入力・概要'!$B$17*'入力・概要'!$B$6)/'入力・概要'!$B$30))+'入力・概要'!$B$33*SQRT(B705/1E6)+(2*PI()*B705*'入力・概要'!$B$6/(299792458*'入力・概要'!$B$31))*'入力・概要'!$B$32/2)</f>
        <v/>
      </c>
      <c r="E705" s="195">
        <f>IF(B705="","",2*PI()*B705*'入力・概要'!$B$6/(299792458*'入力・概要'!$B$31))</f>
        <v/>
      </c>
      <c r="F705" s="195">
        <f>IF(B705="","",SINH(2*D705)/(COSH(2*D705)+COS(2*E705)))</f>
        <v/>
      </c>
      <c r="G705" s="195">
        <f>IF(B705="","",SIN(2*E705)/(COSH(2*D705)+COS(2*E705)))</f>
        <v/>
      </c>
      <c r="H705" s="195">
        <f>IF(B705="","",'入力・概要'!$B$34)</f>
        <v/>
      </c>
      <c r="I705" s="195">
        <f>IF(B705="","",C705*'入力・概要'!$B$35*1E-9)</f>
        <v/>
      </c>
      <c r="J705" s="195">
        <f>IF(B705="","",H705+'入力・概要'!$B$30*F705)</f>
        <v/>
      </c>
      <c r="K705" s="195">
        <f>IF(B705="","",I705+'入力・概要'!$B$30*G705)</f>
        <v/>
      </c>
      <c r="L705" s="195">
        <f>IF(B705="","",'入力・概要'!$B$30+H705*F705-I705*G705)</f>
        <v/>
      </c>
      <c r="M705" s="195">
        <f>IF(B705="","",H705*G705+I705*F705)</f>
        <v/>
      </c>
      <c r="N705" s="195">
        <f>IF(B705="","",'入力・概要'!$B$30*(J705*L705+K705*M705)/(L705^2+M705^2))</f>
        <v/>
      </c>
      <c r="O705" s="195">
        <f>IF(B705="","",'入力・概要'!$B$30*(K705*L705-J705*M705)/(L705^2+M705^2))</f>
        <v/>
      </c>
      <c r="P705" s="195">
        <f>IF(B705="","",N705+'入力・概要'!$B$36)</f>
        <v/>
      </c>
      <c r="Q705" s="195">
        <f>IF(B705="","",O705+C705*'入力・概要'!$B$37*1E-9)</f>
        <v/>
      </c>
      <c r="R705" s="195">
        <f>IF(B705="","",SQRT(P705^2+Q705^2))</f>
        <v/>
      </c>
      <c r="S705" s="195">
        <f>IF(B705="","",IF(P705&gt;0,DEGREES(ATAN(Q705/P705)),IF(P705&lt;0,IF(Q705&gt;=0,DEGREES(ATAN(Q705/P705))+180,DEGREES(ATAN(Q705/P705))-180),IF(Q705&gt;0,90,IF(Q705&lt;0,-90,0)))))</f>
        <v/>
      </c>
      <c r="T705" s="195">
        <f>IF(B705="","",LOG10(B705))</f>
        <v/>
      </c>
      <c r="U705" s="195">
        <f>IF(R705="","",LOG10(MAX(R705,1E-12)))</f>
        <v/>
      </c>
    </row>
    <row r="706">
      <c r="A706" t="n">
        <v>703</v>
      </c>
      <c r="B706" s="196">
        <f>IF(A706&lt;='入力・概要'!$B$40,10^(LOG10('入力・概要'!$B$38)+(A706-1)*(LOG10('入力・概要'!$B$39)-LOG10('入力・概要'!$B$38))/('入力・概要'!$B$40-1)),"")</f>
        <v/>
      </c>
      <c r="C706" s="195">
        <f>IF(B706="","",2*PI()*B706)</f>
        <v/>
      </c>
      <c r="D706" s="195">
        <f>IF(B706="","",ATANH(MIN(0.999999,(2*'入力・概要'!$B$17*'入力・概要'!$B$6)/'入力・概要'!$B$30))+'入力・概要'!$B$33*SQRT(B706/1E6)+(2*PI()*B706*'入力・概要'!$B$6/(299792458*'入力・概要'!$B$31))*'入力・概要'!$B$32/2)</f>
        <v/>
      </c>
      <c r="E706" s="195">
        <f>IF(B706="","",2*PI()*B706*'入力・概要'!$B$6/(299792458*'入力・概要'!$B$31))</f>
        <v/>
      </c>
      <c r="F706" s="195">
        <f>IF(B706="","",SINH(2*D706)/(COSH(2*D706)+COS(2*E706)))</f>
        <v/>
      </c>
      <c r="G706" s="195">
        <f>IF(B706="","",SIN(2*E706)/(COSH(2*D706)+COS(2*E706)))</f>
        <v/>
      </c>
      <c r="H706" s="195">
        <f>IF(B706="","",'入力・概要'!$B$34)</f>
        <v/>
      </c>
      <c r="I706" s="195">
        <f>IF(B706="","",C706*'入力・概要'!$B$35*1E-9)</f>
        <v/>
      </c>
      <c r="J706" s="195">
        <f>IF(B706="","",H706+'入力・概要'!$B$30*F706)</f>
        <v/>
      </c>
      <c r="K706" s="195">
        <f>IF(B706="","",I706+'入力・概要'!$B$30*G706)</f>
        <v/>
      </c>
      <c r="L706" s="195">
        <f>IF(B706="","",'入力・概要'!$B$30+H706*F706-I706*G706)</f>
        <v/>
      </c>
      <c r="M706" s="195">
        <f>IF(B706="","",H706*G706+I706*F706)</f>
        <v/>
      </c>
      <c r="N706" s="195">
        <f>IF(B706="","",'入力・概要'!$B$30*(J706*L706+K706*M706)/(L706^2+M706^2))</f>
        <v/>
      </c>
      <c r="O706" s="195">
        <f>IF(B706="","",'入力・概要'!$B$30*(K706*L706-J706*M706)/(L706^2+M706^2))</f>
        <v/>
      </c>
      <c r="P706" s="195">
        <f>IF(B706="","",N706+'入力・概要'!$B$36)</f>
        <v/>
      </c>
      <c r="Q706" s="195">
        <f>IF(B706="","",O706+C706*'入力・概要'!$B$37*1E-9)</f>
        <v/>
      </c>
      <c r="R706" s="195">
        <f>IF(B706="","",SQRT(P706^2+Q706^2))</f>
        <v/>
      </c>
      <c r="S706" s="195">
        <f>IF(B706="","",IF(P706&gt;0,DEGREES(ATAN(Q706/P706)),IF(P706&lt;0,IF(Q706&gt;=0,DEGREES(ATAN(Q706/P706))+180,DEGREES(ATAN(Q706/P706))-180),IF(Q706&gt;0,90,IF(Q706&lt;0,-90,0)))))</f>
        <v/>
      </c>
      <c r="T706" s="195">
        <f>IF(B706="","",LOG10(B706))</f>
        <v/>
      </c>
      <c r="U706" s="195">
        <f>IF(R706="","",LOG10(MAX(R706,1E-12)))</f>
        <v/>
      </c>
    </row>
    <row r="707">
      <c r="A707" t="n">
        <v>704</v>
      </c>
      <c r="B707" s="196">
        <f>IF(A707&lt;='入力・概要'!$B$40,10^(LOG10('入力・概要'!$B$38)+(A707-1)*(LOG10('入力・概要'!$B$39)-LOG10('入力・概要'!$B$38))/('入力・概要'!$B$40-1)),"")</f>
        <v/>
      </c>
      <c r="C707" s="195">
        <f>IF(B707="","",2*PI()*B707)</f>
        <v/>
      </c>
      <c r="D707" s="195">
        <f>IF(B707="","",ATANH(MIN(0.999999,(2*'入力・概要'!$B$17*'入力・概要'!$B$6)/'入力・概要'!$B$30))+'入力・概要'!$B$33*SQRT(B707/1E6)+(2*PI()*B707*'入力・概要'!$B$6/(299792458*'入力・概要'!$B$31))*'入力・概要'!$B$32/2)</f>
        <v/>
      </c>
      <c r="E707" s="195">
        <f>IF(B707="","",2*PI()*B707*'入力・概要'!$B$6/(299792458*'入力・概要'!$B$31))</f>
        <v/>
      </c>
      <c r="F707" s="195">
        <f>IF(B707="","",SINH(2*D707)/(COSH(2*D707)+COS(2*E707)))</f>
        <v/>
      </c>
      <c r="G707" s="195">
        <f>IF(B707="","",SIN(2*E707)/(COSH(2*D707)+COS(2*E707)))</f>
        <v/>
      </c>
      <c r="H707" s="195">
        <f>IF(B707="","",'入力・概要'!$B$34)</f>
        <v/>
      </c>
      <c r="I707" s="195">
        <f>IF(B707="","",C707*'入力・概要'!$B$35*1E-9)</f>
        <v/>
      </c>
      <c r="J707" s="195">
        <f>IF(B707="","",H707+'入力・概要'!$B$30*F707)</f>
        <v/>
      </c>
      <c r="K707" s="195">
        <f>IF(B707="","",I707+'入力・概要'!$B$30*G707)</f>
        <v/>
      </c>
      <c r="L707" s="195">
        <f>IF(B707="","",'入力・概要'!$B$30+H707*F707-I707*G707)</f>
        <v/>
      </c>
      <c r="M707" s="195">
        <f>IF(B707="","",H707*G707+I707*F707)</f>
        <v/>
      </c>
      <c r="N707" s="195">
        <f>IF(B707="","",'入力・概要'!$B$30*(J707*L707+K707*M707)/(L707^2+M707^2))</f>
        <v/>
      </c>
      <c r="O707" s="195">
        <f>IF(B707="","",'入力・概要'!$B$30*(K707*L707-J707*M707)/(L707^2+M707^2))</f>
        <v/>
      </c>
      <c r="P707" s="195">
        <f>IF(B707="","",N707+'入力・概要'!$B$36)</f>
        <v/>
      </c>
      <c r="Q707" s="195">
        <f>IF(B707="","",O707+C707*'入力・概要'!$B$37*1E-9)</f>
        <v/>
      </c>
      <c r="R707" s="195">
        <f>IF(B707="","",SQRT(P707^2+Q707^2))</f>
        <v/>
      </c>
      <c r="S707" s="195">
        <f>IF(B707="","",IF(P707&gt;0,DEGREES(ATAN(Q707/P707)),IF(P707&lt;0,IF(Q707&gt;=0,DEGREES(ATAN(Q707/P707))+180,DEGREES(ATAN(Q707/P707))-180),IF(Q707&gt;0,90,IF(Q707&lt;0,-90,0)))))</f>
        <v/>
      </c>
      <c r="T707" s="195">
        <f>IF(B707="","",LOG10(B707))</f>
        <v/>
      </c>
      <c r="U707" s="195">
        <f>IF(R707="","",LOG10(MAX(R707,1E-12)))</f>
        <v/>
      </c>
    </row>
    <row r="708">
      <c r="A708" t="n">
        <v>705</v>
      </c>
      <c r="B708" s="196">
        <f>IF(A708&lt;='入力・概要'!$B$40,10^(LOG10('入力・概要'!$B$38)+(A708-1)*(LOG10('入力・概要'!$B$39)-LOG10('入力・概要'!$B$38))/('入力・概要'!$B$40-1)),"")</f>
        <v/>
      </c>
      <c r="C708" s="195">
        <f>IF(B708="","",2*PI()*B708)</f>
        <v/>
      </c>
      <c r="D708" s="195">
        <f>IF(B708="","",ATANH(MIN(0.999999,(2*'入力・概要'!$B$17*'入力・概要'!$B$6)/'入力・概要'!$B$30))+'入力・概要'!$B$33*SQRT(B708/1E6)+(2*PI()*B708*'入力・概要'!$B$6/(299792458*'入力・概要'!$B$31))*'入力・概要'!$B$32/2)</f>
        <v/>
      </c>
      <c r="E708" s="195">
        <f>IF(B708="","",2*PI()*B708*'入力・概要'!$B$6/(299792458*'入力・概要'!$B$31))</f>
        <v/>
      </c>
      <c r="F708" s="195">
        <f>IF(B708="","",SINH(2*D708)/(COSH(2*D708)+COS(2*E708)))</f>
        <v/>
      </c>
      <c r="G708" s="195">
        <f>IF(B708="","",SIN(2*E708)/(COSH(2*D708)+COS(2*E708)))</f>
        <v/>
      </c>
      <c r="H708" s="195">
        <f>IF(B708="","",'入力・概要'!$B$34)</f>
        <v/>
      </c>
      <c r="I708" s="195">
        <f>IF(B708="","",C708*'入力・概要'!$B$35*1E-9)</f>
        <v/>
      </c>
      <c r="J708" s="195">
        <f>IF(B708="","",H708+'入力・概要'!$B$30*F708)</f>
        <v/>
      </c>
      <c r="K708" s="195">
        <f>IF(B708="","",I708+'入力・概要'!$B$30*G708)</f>
        <v/>
      </c>
      <c r="L708" s="195">
        <f>IF(B708="","",'入力・概要'!$B$30+H708*F708-I708*G708)</f>
        <v/>
      </c>
      <c r="M708" s="195">
        <f>IF(B708="","",H708*G708+I708*F708)</f>
        <v/>
      </c>
      <c r="N708" s="195">
        <f>IF(B708="","",'入力・概要'!$B$30*(J708*L708+K708*M708)/(L708^2+M708^2))</f>
        <v/>
      </c>
      <c r="O708" s="195">
        <f>IF(B708="","",'入力・概要'!$B$30*(K708*L708-J708*M708)/(L708^2+M708^2))</f>
        <v/>
      </c>
      <c r="P708" s="195">
        <f>IF(B708="","",N708+'入力・概要'!$B$36)</f>
        <v/>
      </c>
      <c r="Q708" s="195">
        <f>IF(B708="","",O708+C708*'入力・概要'!$B$37*1E-9)</f>
        <v/>
      </c>
      <c r="R708" s="195">
        <f>IF(B708="","",SQRT(P708^2+Q708^2))</f>
        <v/>
      </c>
      <c r="S708" s="195">
        <f>IF(B708="","",IF(P708&gt;0,DEGREES(ATAN(Q708/P708)),IF(P708&lt;0,IF(Q708&gt;=0,DEGREES(ATAN(Q708/P708))+180,DEGREES(ATAN(Q708/P708))-180),IF(Q708&gt;0,90,IF(Q708&lt;0,-90,0)))))</f>
        <v/>
      </c>
      <c r="T708" s="195">
        <f>IF(B708="","",LOG10(B708))</f>
        <v/>
      </c>
      <c r="U708" s="195">
        <f>IF(R708="","",LOG10(MAX(R708,1E-12)))</f>
        <v/>
      </c>
    </row>
    <row r="709">
      <c r="A709" t="n">
        <v>706</v>
      </c>
      <c r="B709" s="196">
        <f>IF(A709&lt;='入力・概要'!$B$40,10^(LOG10('入力・概要'!$B$38)+(A709-1)*(LOG10('入力・概要'!$B$39)-LOG10('入力・概要'!$B$38))/('入力・概要'!$B$40-1)),"")</f>
        <v/>
      </c>
      <c r="C709" s="195">
        <f>IF(B709="","",2*PI()*B709)</f>
        <v/>
      </c>
      <c r="D709" s="195">
        <f>IF(B709="","",ATANH(MIN(0.999999,(2*'入力・概要'!$B$17*'入力・概要'!$B$6)/'入力・概要'!$B$30))+'入力・概要'!$B$33*SQRT(B709/1E6)+(2*PI()*B709*'入力・概要'!$B$6/(299792458*'入力・概要'!$B$31))*'入力・概要'!$B$32/2)</f>
        <v/>
      </c>
      <c r="E709" s="195">
        <f>IF(B709="","",2*PI()*B709*'入力・概要'!$B$6/(299792458*'入力・概要'!$B$31))</f>
        <v/>
      </c>
      <c r="F709" s="195">
        <f>IF(B709="","",SINH(2*D709)/(COSH(2*D709)+COS(2*E709)))</f>
        <v/>
      </c>
      <c r="G709" s="195">
        <f>IF(B709="","",SIN(2*E709)/(COSH(2*D709)+COS(2*E709)))</f>
        <v/>
      </c>
      <c r="H709" s="195">
        <f>IF(B709="","",'入力・概要'!$B$34)</f>
        <v/>
      </c>
      <c r="I709" s="195">
        <f>IF(B709="","",C709*'入力・概要'!$B$35*1E-9)</f>
        <v/>
      </c>
      <c r="J709" s="195">
        <f>IF(B709="","",H709+'入力・概要'!$B$30*F709)</f>
        <v/>
      </c>
      <c r="K709" s="195">
        <f>IF(B709="","",I709+'入力・概要'!$B$30*G709)</f>
        <v/>
      </c>
      <c r="L709" s="195">
        <f>IF(B709="","",'入力・概要'!$B$30+H709*F709-I709*G709)</f>
        <v/>
      </c>
      <c r="M709" s="195">
        <f>IF(B709="","",H709*G709+I709*F709)</f>
        <v/>
      </c>
      <c r="N709" s="195">
        <f>IF(B709="","",'入力・概要'!$B$30*(J709*L709+K709*M709)/(L709^2+M709^2))</f>
        <v/>
      </c>
      <c r="O709" s="195">
        <f>IF(B709="","",'入力・概要'!$B$30*(K709*L709-J709*M709)/(L709^2+M709^2))</f>
        <v/>
      </c>
      <c r="P709" s="195">
        <f>IF(B709="","",N709+'入力・概要'!$B$36)</f>
        <v/>
      </c>
      <c r="Q709" s="195">
        <f>IF(B709="","",O709+C709*'入力・概要'!$B$37*1E-9)</f>
        <v/>
      </c>
      <c r="R709" s="195">
        <f>IF(B709="","",SQRT(P709^2+Q709^2))</f>
        <v/>
      </c>
      <c r="S709" s="195">
        <f>IF(B709="","",IF(P709&gt;0,DEGREES(ATAN(Q709/P709)),IF(P709&lt;0,IF(Q709&gt;=0,DEGREES(ATAN(Q709/P709))+180,DEGREES(ATAN(Q709/P709))-180),IF(Q709&gt;0,90,IF(Q709&lt;0,-90,0)))))</f>
        <v/>
      </c>
      <c r="T709" s="195">
        <f>IF(B709="","",LOG10(B709))</f>
        <v/>
      </c>
      <c r="U709" s="195">
        <f>IF(R709="","",LOG10(MAX(R709,1E-12)))</f>
        <v/>
      </c>
    </row>
    <row r="710">
      <c r="A710" t="n">
        <v>707</v>
      </c>
      <c r="B710" s="196">
        <f>IF(A710&lt;='入力・概要'!$B$40,10^(LOG10('入力・概要'!$B$38)+(A710-1)*(LOG10('入力・概要'!$B$39)-LOG10('入力・概要'!$B$38))/('入力・概要'!$B$40-1)),"")</f>
        <v/>
      </c>
      <c r="C710" s="195">
        <f>IF(B710="","",2*PI()*B710)</f>
        <v/>
      </c>
      <c r="D710" s="195">
        <f>IF(B710="","",ATANH(MIN(0.999999,(2*'入力・概要'!$B$17*'入力・概要'!$B$6)/'入力・概要'!$B$30))+'入力・概要'!$B$33*SQRT(B710/1E6)+(2*PI()*B710*'入力・概要'!$B$6/(299792458*'入力・概要'!$B$31))*'入力・概要'!$B$32/2)</f>
        <v/>
      </c>
      <c r="E710" s="195">
        <f>IF(B710="","",2*PI()*B710*'入力・概要'!$B$6/(299792458*'入力・概要'!$B$31))</f>
        <v/>
      </c>
      <c r="F710" s="195">
        <f>IF(B710="","",SINH(2*D710)/(COSH(2*D710)+COS(2*E710)))</f>
        <v/>
      </c>
      <c r="G710" s="195">
        <f>IF(B710="","",SIN(2*E710)/(COSH(2*D710)+COS(2*E710)))</f>
        <v/>
      </c>
      <c r="H710" s="195">
        <f>IF(B710="","",'入力・概要'!$B$34)</f>
        <v/>
      </c>
      <c r="I710" s="195">
        <f>IF(B710="","",C710*'入力・概要'!$B$35*1E-9)</f>
        <v/>
      </c>
      <c r="J710" s="195">
        <f>IF(B710="","",H710+'入力・概要'!$B$30*F710)</f>
        <v/>
      </c>
      <c r="K710" s="195">
        <f>IF(B710="","",I710+'入力・概要'!$B$30*G710)</f>
        <v/>
      </c>
      <c r="L710" s="195">
        <f>IF(B710="","",'入力・概要'!$B$30+H710*F710-I710*G710)</f>
        <v/>
      </c>
      <c r="M710" s="195">
        <f>IF(B710="","",H710*G710+I710*F710)</f>
        <v/>
      </c>
      <c r="N710" s="195">
        <f>IF(B710="","",'入力・概要'!$B$30*(J710*L710+K710*M710)/(L710^2+M710^2))</f>
        <v/>
      </c>
      <c r="O710" s="195">
        <f>IF(B710="","",'入力・概要'!$B$30*(K710*L710-J710*M710)/(L710^2+M710^2))</f>
        <v/>
      </c>
      <c r="P710" s="195">
        <f>IF(B710="","",N710+'入力・概要'!$B$36)</f>
        <v/>
      </c>
      <c r="Q710" s="195">
        <f>IF(B710="","",O710+C710*'入力・概要'!$B$37*1E-9)</f>
        <v/>
      </c>
      <c r="R710" s="195">
        <f>IF(B710="","",SQRT(P710^2+Q710^2))</f>
        <v/>
      </c>
      <c r="S710" s="195">
        <f>IF(B710="","",IF(P710&gt;0,DEGREES(ATAN(Q710/P710)),IF(P710&lt;0,IF(Q710&gt;=0,DEGREES(ATAN(Q710/P710))+180,DEGREES(ATAN(Q710/P710))-180),IF(Q710&gt;0,90,IF(Q710&lt;0,-90,0)))))</f>
        <v/>
      </c>
      <c r="T710" s="195">
        <f>IF(B710="","",LOG10(B710))</f>
        <v/>
      </c>
      <c r="U710" s="195">
        <f>IF(R710="","",LOG10(MAX(R710,1E-12)))</f>
        <v/>
      </c>
    </row>
    <row r="711">
      <c r="A711" t="n">
        <v>708</v>
      </c>
      <c r="B711" s="196">
        <f>IF(A711&lt;='入力・概要'!$B$40,10^(LOG10('入力・概要'!$B$38)+(A711-1)*(LOG10('入力・概要'!$B$39)-LOG10('入力・概要'!$B$38))/('入力・概要'!$B$40-1)),"")</f>
        <v/>
      </c>
      <c r="C711" s="195">
        <f>IF(B711="","",2*PI()*B711)</f>
        <v/>
      </c>
      <c r="D711" s="195">
        <f>IF(B711="","",ATANH(MIN(0.999999,(2*'入力・概要'!$B$17*'入力・概要'!$B$6)/'入力・概要'!$B$30))+'入力・概要'!$B$33*SQRT(B711/1E6)+(2*PI()*B711*'入力・概要'!$B$6/(299792458*'入力・概要'!$B$31))*'入力・概要'!$B$32/2)</f>
        <v/>
      </c>
      <c r="E711" s="195">
        <f>IF(B711="","",2*PI()*B711*'入力・概要'!$B$6/(299792458*'入力・概要'!$B$31))</f>
        <v/>
      </c>
      <c r="F711" s="195">
        <f>IF(B711="","",SINH(2*D711)/(COSH(2*D711)+COS(2*E711)))</f>
        <v/>
      </c>
      <c r="G711" s="195">
        <f>IF(B711="","",SIN(2*E711)/(COSH(2*D711)+COS(2*E711)))</f>
        <v/>
      </c>
      <c r="H711" s="195">
        <f>IF(B711="","",'入力・概要'!$B$34)</f>
        <v/>
      </c>
      <c r="I711" s="195">
        <f>IF(B711="","",C711*'入力・概要'!$B$35*1E-9)</f>
        <v/>
      </c>
      <c r="J711" s="195">
        <f>IF(B711="","",H711+'入力・概要'!$B$30*F711)</f>
        <v/>
      </c>
      <c r="K711" s="195">
        <f>IF(B711="","",I711+'入力・概要'!$B$30*G711)</f>
        <v/>
      </c>
      <c r="L711" s="195">
        <f>IF(B711="","",'入力・概要'!$B$30+H711*F711-I711*G711)</f>
        <v/>
      </c>
      <c r="M711" s="195">
        <f>IF(B711="","",H711*G711+I711*F711)</f>
        <v/>
      </c>
      <c r="N711" s="195">
        <f>IF(B711="","",'入力・概要'!$B$30*(J711*L711+K711*M711)/(L711^2+M711^2))</f>
        <v/>
      </c>
      <c r="O711" s="195">
        <f>IF(B711="","",'入力・概要'!$B$30*(K711*L711-J711*M711)/(L711^2+M711^2))</f>
        <v/>
      </c>
      <c r="P711" s="195">
        <f>IF(B711="","",N711+'入力・概要'!$B$36)</f>
        <v/>
      </c>
      <c r="Q711" s="195">
        <f>IF(B711="","",O711+C711*'入力・概要'!$B$37*1E-9)</f>
        <v/>
      </c>
      <c r="R711" s="195">
        <f>IF(B711="","",SQRT(P711^2+Q711^2))</f>
        <v/>
      </c>
      <c r="S711" s="195">
        <f>IF(B711="","",IF(P711&gt;0,DEGREES(ATAN(Q711/P711)),IF(P711&lt;0,IF(Q711&gt;=0,DEGREES(ATAN(Q711/P711))+180,DEGREES(ATAN(Q711/P711))-180),IF(Q711&gt;0,90,IF(Q711&lt;0,-90,0)))))</f>
        <v/>
      </c>
      <c r="T711" s="195">
        <f>IF(B711="","",LOG10(B711))</f>
        <v/>
      </c>
      <c r="U711" s="195">
        <f>IF(R711="","",LOG10(MAX(R711,1E-12)))</f>
        <v/>
      </c>
    </row>
    <row r="712">
      <c r="A712" t="n">
        <v>709</v>
      </c>
      <c r="B712" s="196">
        <f>IF(A712&lt;='入力・概要'!$B$40,10^(LOG10('入力・概要'!$B$38)+(A712-1)*(LOG10('入力・概要'!$B$39)-LOG10('入力・概要'!$B$38))/('入力・概要'!$B$40-1)),"")</f>
        <v/>
      </c>
      <c r="C712" s="195">
        <f>IF(B712="","",2*PI()*B712)</f>
        <v/>
      </c>
      <c r="D712" s="195">
        <f>IF(B712="","",ATANH(MIN(0.999999,(2*'入力・概要'!$B$17*'入力・概要'!$B$6)/'入力・概要'!$B$30))+'入力・概要'!$B$33*SQRT(B712/1E6)+(2*PI()*B712*'入力・概要'!$B$6/(299792458*'入力・概要'!$B$31))*'入力・概要'!$B$32/2)</f>
        <v/>
      </c>
      <c r="E712" s="195">
        <f>IF(B712="","",2*PI()*B712*'入力・概要'!$B$6/(299792458*'入力・概要'!$B$31))</f>
        <v/>
      </c>
      <c r="F712" s="195">
        <f>IF(B712="","",SINH(2*D712)/(COSH(2*D712)+COS(2*E712)))</f>
        <v/>
      </c>
      <c r="G712" s="195">
        <f>IF(B712="","",SIN(2*E712)/(COSH(2*D712)+COS(2*E712)))</f>
        <v/>
      </c>
      <c r="H712" s="195">
        <f>IF(B712="","",'入力・概要'!$B$34)</f>
        <v/>
      </c>
      <c r="I712" s="195">
        <f>IF(B712="","",C712*'入力・概要'!$B$35*1E-9)</f>
        <v/>
      </c>
      <c r="J712" s="195">
        <f>IF(B712="","",H712+'入力・概要'!$B$30*F712)</f>
        <v/>
      </c>
      <c r="K712" s="195">
        <f>IF(B712="","",I712+'入力・概要'!$B$30*G712)</f>
        <v/>
      </c>
      <c r="L712" s="195">
        <f>IF(B712="","",'入力・概要'!$B$30+H712*F712-I712*G712)</f>
        <v/>
      </c>
      <c r="M712" s="195">
        <f>IF(B712="","",H712*G712+I712*F712)</f>
        <v/>
      </c>
      <c r="N712" s="195">
        <f>IF(B712="","",'入力・概要'!$B$30*(J712*L712+K712*M712)/(L712^2+M712^2))</f>
        <v/>
      </c>
      <c r="O712" s="195">
        <f>IF(B712="","",'入力・概要'!$B$30*(K712*L712-J712*M712)/(L712^2+M712^2))</f>
        <v/>
      </c>
      <c r="P712" s="195">
        <f>IF(B712="","",N712+'入力・概要'!$B$36)</f>
        <v/>
      </c>
      <c r="Q712" s="195">
        <f>IF(B712="","",O712+C712*'入力・概要'!$B$37*1E-9)</f>
        <v/>
      </c>
      <c r="R712" s="195">
        <f>IF(B712="","",SQRT(P712^2+Q712^2))</f>
        <v/>
      </c>
      <c r="S712" s="195">
        <f>IF(B712="","",IF(P712&gt;0,DEGREES(ATAN(Q712/P712)),IF(P712&lt;0,IF(Q712&gt;=0,DEGREES(ATAN(Q712/P712))+180,DEGREES(ATAN(Q712/P712))-180),IF(Q712&gt;0,90,IF(Q712&lt;0,-90,0)))))</f>
        <v/>
      </c>
      <c r="T712" s="195">
        <f>IF(B712="","",LOG10(B712))</f>
        <v/>
      </c>
      <c r="U712" s="195">
        <f>IF(R712="","",LOG10(MAX(R712,1E-12)))</f>
        <v/>
      </c>
    </row>
    <row r="713">
      <c r="A713" t="n">
        <v>710</v>
      </c>
      <c r="B713" s="196">
        <f>IF(A713&lt;='入力・概要'!$B$40,10^(LOG10('入力・概要'!$B$38)+(A713-1)*(LOG10('入力・概要'!$B$39)-LOG10('入力・概要'!$B$38))/('入力・概要'!$B$40-1)),"")</f>
        <v/>
      </c>
      <c r="C713" s="195">
        <f>IF(B713="","",2*PI()*B713)</f>
        <v/>
      </c>
      <c r="D713" s="195">
        <f>IF(B713="","",ATANH(MIN(0.999999,(2*'入力・概要'!$B$17*'入力・概要'!$B$6)/'入力・概要'!$B$30))+'入力・概要'!$B$33*SQRT(B713/1E6)+(2*PI()*B713*'入力・概要'!$B$6/(299792458*'入力・概要'!$B$31))*'入力・概要'!$B$32/2)</f>
        <v/>
      </c>
      <c r="E713" s="195">
        <f>IF(B713="","",2*PI()*B713*'入力・概要'!$B$6/(299792458*'入力・概要'!$B$31))</f>
        <v/>
      </c>
      <c r="F713" s="195">
        <f>IF(B713="","",SINH(2*D713)/(COSH(2*D713)+COS(2*E713)))</f>
        <v/>
      </c>
      <c r="G713" s="195">
        <f>IF(B713="","",SIN(2*E713)/(COSH(2*D713)+COS(2*E713)))</f>
        <v/>
      </c>
      <c r="H713" s="195">
        <f>IF(B713="","",'入力・概要'!$B$34)</f>
        <v/>
      </c>
      <c r="I713" s="195">
        <f>IF(B713="","",C713*'入力・概要'!$B$35*1E-9)</f>
        <v/>
      </c>
      <c r="J713" s="195">
        <f>IF(B713="","",H713+'入力・概要'!$B$30*F713)</f>
        <v/>
      </c>
      <c r="K713" s="195">
        <f>IF(B713="","",I713+'入力・概要'!$B$30*G713)</f>
        <v/>
      </c>
      <c r="L713" s="195">
        <f>IF(B713="","",'入力・概要'!$B$30+H713*F713-I713*G713)</f>
        <v/>
      </c>
      <c r="M713" s="195">
        <f>IF(B713="","",H713*G713+I713*F713)</f>
        <v/>
      </c>
      <c r="N713" s="195">
        <f>IF(B713="","",'入力・概要'!$B$30*(J713*L713+K713*M713)/(L713^2+M713^2))</f>
        <v/>
      </c>
      <c r="O713" s="195">
        <f>IF(B713="","",'入力・概要'!$B$30*(K713*L713-J713*M713)/(L713^2+M713^2))</f>
        <v/>
      </c>
      <c r="P713" s="195">
        <f>IF(B713="","",N713+'入力・概要'!$B$36)</f>
        <v/>
      </c>
      <c r="Q713" s="195">
        <f>IF(B713="","",O713+C713*'入力・概要'!$B$37*1E-9)</f>
        <v/>
      </c>
      <c r="R713" s="195">
        <f>IF(B713="","",SQRT(P713^2+Q713^2))</f>
        <v/>
      </c>
      <c r="S713" s="195">
        <f>IF(B713="","",IF(P713&gt;0,DEGREES(ATAN(Q713/P713)),IF(P713&lt;0,IF(Q713&gt;=0,DEGREES(ATAN(Q713/P713))+180,DEGREES(ATAN(Q713/P713))-180),IF(Q713&gt;0,90,IF(Q713&lt;0,-90,0)))))</f>
        <v/>
      </c>
      <c r="T713" s="195">
        <f>IF(B713="","",LOG10(B713))</f>
        <v/>
      </c>
      <c r="U713" s="195">
        <f>IF(R713="","",LOG10(MAX(R713,1E-12)))</f>
        <v/>
      </c>
    </row>
    <row r="714">
      <c r="A714" t="n">
        <v>711</v>
      </c>
      <c r="B714" s="196">
        <f>IF(A714&lt;='入力・概要'!$B$40,10^(LOG10('入力・概要'!$B$38)+(A714-1)*(LOG10('入力・概要'!$B$39)-LOG10('入力・概要'!$B$38))/('入力・概要'!$B$40-1)),"")</f>
        <v/>
      </c>
      <c r="C714" s="195">
        <f>IF(B714="","",2*PI()*B714)</f>
        <v/>
      </c>
      <c r="D714" s="195">
        <f>IF(B714="","",ATANH(MIN(0.999999,(2*'入力・概要'!$B$17*'入力・概要'!$B$6)/'入力・概要'!$B$30))+'入力・概要'!$B$33*SQRT(B714/1E6)+(2*PI()*B714*'入力・概要'!$B$6/(299792458*'入力・概要'!$B$31))*'入力・概要'!$B$32/2)</f>
        <v/>
      </c>
      <c r="E714" s="195">
        <f>IF(B714="","",2*PI()*B714*'入力・概要'!$B$6/(299792458*'入力・概要'!$B$31))</f>
        <v/>
      </c>
      <c r="F714" s="195">
        <f>IF(B714="","",SINH(2*D714)/(COSH(2*D714)+COS(2*E714)))</f>
        <v/>
      </c>
      <c r="G714" s="195">
        <f>IF(B714="","",SIN(2*E714)/(COSH(2*D714)+COS(2*E714)))</f>
        <v/>
      </c>
      <c r="H714" s="195">
        <f>IF(B714="","",'入力・概要'!$B$34)</f>
        <v/>
      </c>
      <c r="I714" s="195">
        <f>IF(B714="","",C714*'入力・概要'!$B$35*1E-9)</f>
        <v/>
      </c>
      <c r="J714" s="195">
        <f>IF(B714="","",H714+'入力・概要'!$B$30*F714)</f>
        <v/>
      </c>
      <c r="K714" s="195">
        <f>IF(B714="","",I714+'入力・概要'!$B$30*G714)</f>
        <v/>
      </c>
      <c r="L714" s="195">
        <f>IF(B714="","",'入力・概要'!$B$30+H714*F714-I714*G714)</f>
        <v/>
      </c>
      <c r="M714" s="195">
        <f>IF(B714="","",H714*G714+I714*F714)</f>
        <v/>
      </c>
      <c r="N714" s="195">
        <f>IF(B714="","",'入力・概要'!$B$30*(J714*L714+K714*M714)/(L714^2+M714^2))</f>
        <v/>
      </c>
      <c r="O714" s="195">
        <f>IF(B714="","",'入力・概要'!$B$30*(K714*L714-J714*M714)/(L714^2+M714^2))</f>
        <v/>
      </c>
      <c r="P714" s="195">
        <f>IF(B714="","",N714+'入力・概要'!$B$36)</f>
        <v/>
      </c>
      <c r="Q714" s="195">
        <f>IF(B714="","",O714+C714*'入力・概要'!$B$37*1E-9)</f>
        <v/>
      </c>
      <c r="R714" s="195">
        <f>IF(B714="","",SQRT(P714^2+Q714^2))</f>
        <v/>
      </c>
      <c r="S714" s="195">
        <f>IF(B714="","",IF(P714&gt;0,DEGREES(ATAN(Q714/P714)),IF(P714&lt;0,IF(Q714&gt;=0,DEGREES(ATAN(Q714/P714))+180,DEGREES(ATAN(Q714/P714))-180),IF(Q714&gt;0,90,IF(Q714&lt;0,-90,0)))))</f>
        <v/>
      </c>
      <c r="T714" s="195">
        <f>IF(B714="","",LOG10(B714))</f>
        <v/>
      </c>
      <c r="U714" s="195">
        <f>IF(R714="","",LOG10(MAX(R714,1E-12)))</f>
        <v/>
      </c>
    </row>
    <row r="715">
      <c r="A715" t="n">
        <v>712</v>
      </c>
      <c r="B715" s="196">
        <f>IF(A715&lt;='入力・概要'!$B$40,10^(LOG10('入力・概要'!$B$38)+(A715-1)*(LOG10('入力・概要'!$B$39)-LOG10('入力・概要'!$B$38))/('入力・概要'!$B$40-1)),"")</f>
        <v/>
      </c>
      <c r="C715" s="195">
        <f>IF(B715="","",2*PI()*B715)</f>
        <v/>
      </c>
      <c r="D715" s="195">
        <f>IF(B715="","",ATANH(MIN(0.999999,(2*'入力・概要'!$B$17*'入力・概要'!$B$6)/'入力・概要'!$B$30))+'入力・概要'!$B$33*SQRT(B715/1E6)+(2*PI()*B715*'入力・概要'!$B$6/(299792458*'入力・概要'!$B$31))*'入力・概要'!$B$32/2)</f>
        <v/>
      </c>
      <c r="E715" s="195">
        <f>IF(B715="","",2*PI()*B715*'入力・概要'!$B$6/(299792458*'入力・概要'!$B$31))</f>
        <v/>
      </c>
      <c r="F715" s="195">
        <f>IF(B715="","",SINH(2*D715)/(COSH(2*D715)+COS(2*E715)))</f>
        <v/>
      </c>
      <c r="G715" s="195">
        <f>IF(B715="","",SIN(2*E715)/(COSH(2*D715)+COS(2*E715)))</f>
        <v/>
      </c>
      <c r="H715" s="195">
        <f>IF(B715="","",'入力・概要'!$B$34)</f>
        <v/>
      </c>
      <c r="I715" s="195">
        <f>IF(B715="","",C715*'入力・概要'!$B$35*1E-9)</f>
        <v/>
      </c>
      <c r="J715" s="195">
        <f>IF(B715="","",H715+'入力・概要'!$B$30*F715)</f>
        <v/>
      </c>
      <c r="K715" s="195">
        <f>IF(B715="","",I715+'入力・概要'!$B$30*G715)</f>
        <v/>
      </c>
      <c r="L715" s="195">
        <f>IF(B715="","",'入力・概要'!$B$30+H715*F715-I715*G715)</f>
        <v/>
      </c>
      <c r="M715" s="195">
        <f>IF(B715="","",H715*G715+I715*F715)</f>
        <v/>
      </c>
      <c r="N715" s="195">
        <f>IF(B715="","",'入力・概要'!$B$30*(J715*L715+K715*M715)/(L715^2+M715^2))</f>
        <v/>
      </c>
      <c r="O715" s="195">
        <f>IF(B715="","",'入力・概要'!$B$30*(K715*L715-J715*M715)/(L715^2+M715^2))</f>
        <v/>
      </c>
      <c r="P715" s="195">
        <f>IF(B715="","",N715+'入力・概要'!$B$36)</f>
        <v/>
      </c>
      <c r="Q715" s="195">
        <f>IF(B715="","",O715+C715*'入力・概要'!$B$37*1E-9)</f>
        <v/>
      </c>
      <c r="R715" s="195">
        <f>IF(B715="","",SQRT(P715^2+Q715^2))</f>
        <v/>
      </c>
      <c r="S715" s="195">
        <f>IF(B715="","",IF(P715&gt;0,DEGREES(ATAN(Q715/P715)),IF(P715&lt;0,IF(Q715&gt;=0,DEGREES(ATAN(Q715/P715))+180,DEGREES(ATAN(Q715/P715))-180),IF(Q715&gt;0,90,IF(Q715&lt;0,-90,0)))))</f>
        <v/>
      </c>
      <c r="T715" s="195">
        <f>IF(B715="","",LOG10(B715))</f>
        <v/>
      </c>
      <c r="U715" s="195">
        <f>IF(R715="","",LOG10(MAX(R715,1E-12)))</f>
        <v/>
      </c>
    </row>
    <row r="716">
      <c r="A716" t="n">
        <v>713</v>
      </c>
      <c r="B716" s="196">
        <f>IF(A716&lt;='入力・概要'!$B$40,10^(LOG10('入力・概要'!$B$38)+(A716-1)*(LOG10('入力・概要'!$B$39)-LOG10('入力・概要'!$B$38))/('入力・概要'!$B$40-1)),"")</f>
        <v/>
      </c>
      <c r="C716" s="195">
        <f>IF(B716="","",2*PI()*B716)</f>
        <v/>
      </c>
      <c r="D716" s="195">
        <f>IF(B716="","",ATANH(MIN(0.999999,(2*'入力・概要'!$B$17*'入力・概要'!$B$6)/'入力・概要'!$B$30))+'入力・概要'!$B$33*SQRT(B716/1E6)+(2*PI()*B716*'入力・概要'!$B$6/(299792458*'入力・概要'!$B$31))*'入力・概要'!$B$32/2)</f>
        <v/>
      </c>
      <c r="E716" s="195">
        <f>IF(B716="","",2*PI()*B716*'入力・概要'!$B$6/(299792458*'入力・概要'!$B$31))</f>
        <v/>
      </c>
      <c r="F716" s="195">
        <f>IF(B716="","",SINH(2*D716)/(COSH(2*D716)+COS(2*E716)))</f>
        <v/>
      </c>
      <c r="G716" s="195">
        <f>IF(B716="","",SIN(2*E716)/(COSH(2*D716)+COS(2*E716)))</f>
        <v/>
      </c>
      <c r="H716" s="195">
        <f>IF(B716="","",'入力・概要'!$B$34)</f>
        <v/>
      </c>
      <c r="I716" s="195">
        <f>IF(B716="","",C716*'入力・概要'!$B$35*1E-9)</f>
        <v/>
      </c>
      <c r="J716" s="195">
        <f>IF(B716="","",H716+'入力・概要'!$B$30*F716)</f>
        <v/>
      </c>
      <c r="K716" s="195">
        <f>IF(B716="","",I716+'入力・概要'!$B$30*G716)</f>
        <v/>
      </c>
      <c r="L716" s="195">
        <f>IF(B716="","",'入力・概要'!$B$30+H716*F716-I716*G716)</f>
        <v/>
      </c>
      <c r="M716" s="195">
        <f>IF(B716="","",H716*G716+I716*F716)</f>
        <v/>
      </c>
      <c r="N716" s="195">
        <f>IF(B716="","",'入力・概要'!$B$30*(J716*L716+K716*M716)/(L716^2+M716^2))</f>
        <v/>
      </c>
      <c r="O716" s="195">
        <f>IF(B716="","",'入力・概要'!$B$30*(K716*L716-J716*M716)/(L716^2+M716^2))</f>
        <v/>
      </c>
      <c r="P716" s="195">
        <f>IF(B716="","",N716+'入力・概要'!$B$36)</f>
        <v/>
      </c>
      <c r="Q716" s="195">
        <f>IF(B716="","",O716+C716*'入力・概要'!$B$37*1E-9)</f>
        <v/>
      </c>
      <c r="R716" s="195">
        <f>IF(B716="","",SQRT(P716^2+Q716^2))</f>
        <v/>
      </c>
      <c r="S716" s="195">
        <f>IF(B716="","",IF(P716&gt;0,DEGREES(ATAN(Q716/P716)),IF(P716&lt;0,IF(Q716&gt;=0,DEGREES(ATAN(Q716/P716))+180,DEGREES(ATAN(Q716/P716))-180),IF(Q716&gt;0,90,IF(Q716&lt;0,-90,0)))))</f>
        <v/>
      </c>
      <c r="T716" s="195">
        <f>IF(B716="","",LOG10(B716))</f>
        <v/>
      </c>
      <c r="U716" s="195">
        <f>IF(R716="","",LOG10(MAX(R716,1E-12)))</f>
        <v/>
      </c>
    </row>
    <row r="717">
      <c r="A717" t="n">
        <v>714</v>
      </c>
      <c r="B717" s="196">
        <f>IF(A717&lt;='入力・概要'!$B$40,10^(LOG10('入力・概要'!$B$38)+(A717-1)*(LOG10('入力・概要'!$B$39)-LOG10('入力・概要'!$B$38))/('入力・概要'!$B$40-1)),"")</f>
        <v/>
      </c>
      <c r="C717" s="195">
        <f>IF(B717="","",2*PI()*B717)</f>
        <v/>
      </c>
      <c r="D717" s="195">
        <f>IF(B717="","",ATANH(MIN(0.999999,(2*'入力・概要'!$B$17*'入力・概要'!$B$6)/'入力・概要'!$B$30))+'入力・概要'!$B$33*SQRT(B717/1E6)+(2*PI()*B717*'入力・概要'!$B$6/(299792458*'入力・概要'!$B$31))*'入力・概要'!$B$32/2)</f>
        <v/>
      </c>
      <c r="E717" s="195">
        <f>IF(B717="","",2*PI()*B717*'入力・概要'!$B$6/(299792458*'入力・概要'!$B$31))</f>
        <v/>
      </c>
      <c r="F717" s="195">
        <f>IF(B717="","",SINH(2*D717)/(COSH(2*D717)+COS(2*E717)))</f>
        <v/>
      </c>
      <c r="G717" s="195">
        <f>IF(B717="","",SIN(2*E717)/(COSH(2*D717)+COS(2*E717)))</f>
        <v/>
      </c>
      <c r="H717" s="195">
        <f>IF(B717="","",'入力・概要'!$B$34)</f>
        <v/>
      </c>
      <c r="I717" s="195">
        <f>IF(B717="","",C717*'入力・概要'!$B$35*1E-9)</f>
        <v/>
      </c>
      <c r="J717" s="195">
        <f>IF(B717="","",H717+'入力・概要'!$B$30*F717)</f>
        <v/>
      </c>
      <c r="K717" s="195">
        <f>IF(B717="","",I717+'入力・概要'!$B$30*G717)</f>
        <v/>
      </c>
      <c r="L717" s="195">
        <f>IF(B717="","",'入力・概要'!$B$30+H717*F717-I717*G717)</f>
        <v/>
      </c>
      <c r="M717" s="195">
        <f>IF(B717="","",H717*G717+I717*F717)</f>
        <v/>
      </c>
      <c r="N717" s="195">
        <f>IF(B717="","",'入力・概要'!$B$30*(J717*L717+K717*M717)/(L717^2+M717^2))</f>
        <v/>
      </c>
      <c r="O717" s="195">
        <f>IF(B717="","",'入力・概要'!$B$30*(K717*L717-J717*M717)/(L717^2+M717^2))</f>
        <v/>
      </c>
      <c r="P717" s="195">
        <f>IF(B717="","",N717+'入力・概要'!$B$36)</f>
        <v/>
      </c>
      <c r="Q717" s="195">
        <f>IF(B717="","",O717+C717*'入力・概要'!$B$37*1E-9)</f>
        <v/>
      </c>
      <c r="R717" s="195">
        <f>IF(B717="","",SQRT(P717^2+Q717^2))</f>
        <v/>
      </c>
      <c r="S717" s="195">
        <f>IF(B717="","",IF(P717&gt;0,DEGREES(ATAN(Q717/P717)),IF(P717&lt;0,IF(Q717&gt;=0,DEGREES(ATAN(Q717/P717))+180,DEGREES(ATAN(Q717/P717))-180),IF(Q717&gt;0,90,IF(Q717&lt;0,-90,0)))))</f>
        <v/>
      </c>
      <c r="T717" s="195">
        <f>IF(B717="","",LOG10(B717))</f>
        <v/>
      </c>
      <c r="U717" s="195">
        <f>IF(R717="","",LOG10(MAX(R717,1E-12)))</f>
        <v/>
      </c>
    </row>
    <row r="718">
      <c r="A718" t="n">
        <v>715</v>
      </c>
      <c r="B718" s="196">
        <f>IF(A718&lt;='入力・概要'!$B$40,10^(LOG10('入力・概要'!$B$38)+(A718-1)*(LOG10('入力・概要'!$B$39)-LOG10('入力・概要'!$B$38))/('入力・概要'!$B$40-1)),"")</f>
        <v/>
      </c>
      <c r="C718" s="195">
        <f>IF(B718="","",2*PI()*B718)</f>
        <v/>
      </c>
      <c r="D718" s="195">
        <f>IF(B718="","",ATANH(MIN(0.999999,(2*'入力・概要'!$B$17*'入力・概要'!$B$6)/'入力・概要'!$B$30))+'入力・概要'!$B$33*SQRT(B718/1E6)+(2*PI()*B718*'入力・概要'!$B$6/(299792458*'入力・概要'!$B$31))*'入力・概要'!$B$32/2)</f>
        <v/>
      </c>
      <c r="E718" s="195">
        <f>IF(B718="","",2*PI()*B718*'入力・概要'!$B$6/(299792458*'入力・概要'!$B$31))</f>
        <v/>
      </c>
      <c r="F718" s="195">
        <f>IF(B718="","",SINH(2*D718)/(COSH(2*D718)+COS(2*E718)))</f>
        <v/>
      </c>
      <c r="G718" s="195">
        <f>IF(B718="","",SIN(2*E718)/(COSH(2*D718)+COS(2*E718)))</f>
        <v/>
      </c>
      <c r="H718" s="195">
        <f>IF(B718="","",'入力・概要'!$B$34)</f>
        <v/>
      </c>
      <c r="I718" s="195">
        <f>IF(B718="","",C718*'入力・概要'!$B$35*1E-9)</f>
        <v/>
      </c>
      <c r="J718" s="195">
        <f>IF(B718="","",H718+'入力・概要'!$B$30*F718)</f>
        <v/>
      </c>
      <c r="K718" s="195">
        <f>IF(B718="","",I718+'入力・概要'!$B$30*G718)</f>
        <v/>
      </c>
      <c r="L718" s="195">
        <f>IF(B718="","",'入力・概要'!$B$30+H718*F718-I718*G718)</f>
        <v/>
      </c>
      <c r="M718" s="195">
        <f>IF(B718="","",H718*G718+I718*F718)</f>
        <v/>
      </c>
      <c r="N718" s="195">
        <f>IF(B718="","",'入力・概要'!$B$30*(J718*L718+K718*M718)/(L718^2+M718^2))</f>
        <v/>
      </c>
      <c r="O718" s="195">
        <f>IF(B718="","",'入力・概要'!$B$30*(K718*L718-J718*M718)/(L718^2+M718^2))</f>
        <v/>
      </c>
      <c r="P718" s="195">
        <f>IF(B718="","",N718+'入力・概要'!$B$36)</f>
        <v/>
      </c>
      <c r="Q718" s="195">
        <f>IF(B718="","",O718+C718*'入力・概要'!$B$37*1E-9)</f>
        <v/>
      </c>
      <c r="R718" s="195">
        <f>IF(B718="","",SQRT(P718^2+Q718^2))</f>
        <v/>
      </c>
      <c r="S718" s="195">
        <f>IF(B718="","",IF(P718&gt;0,DEGREES(ATAN(Q718/P718)),IF(P718&lt;0,IF(Q718&gt;=0,DEGREES(ATAN(Q718/P718))+180,DEGREES(ATAN(Q718/P718))-180),IF(Q718&gt;0,90,IF(Q718&lt;0,-90,0)))))</f>
        <v/>
      </c>
      <c r="T718" s="195">
        <f>IF(B718="","",LOG10(B718))</f>
        <v/>
      </c>
      <c r="U718" s="195">
        <f>IF(R718="","",LOG10(MAX(R718,1E-12)))</f>
        <v/>
      </c>
    </row>
    <row r="719">
      <c r="A719" t="n">
        <v>716</v>
      </c>
      <c r="B719" s="196">
        <f>IF(A719&lt;='入力・概要'!$B$40,10^(LOG10('入力・概要'!$B$38)+(A719-1)*(LOG10('入力・概要'!$B$39)-LOG10('入力・概要'!$B$38))/('入力・概要'!$B$40-1)),"")</f>
        <v/>
      </c>
      <c r="C719" s="195">
        <f>IF(B719="","",2*PI()*B719)</f>
        <v/>
      </c>
      <c r="D719" s="195">
        <f>IF(B719="","",ATANH(MIN(0.999999,(2*'入力・概要'!$B$17*'入力・概要'!$B$6)/'入力・概要'!$B$30))+'入力・概要'!$B$33*SQRT(B719/1E6)+(2*PI()*B719*'入力・概要'!$B$6/(299792458*'入力・概要'!$B$31))*'入力・概要'!$B$32/2)</f>
        <v/>
      </c>
      <c r="E719" s="195">
        <f>IF(B719="","",2*PI()*B719*'入力・概要'!$B$6/(299792458*'入力・概要'!$B$31))</f>
        <v/>
      </c>
      <c r="F719" s="195">
        <f>IF(B719="","",SINH(2*D719)/(COSH(2*D719)+COS(2*E719)))</f>
        <v/>
      </c>
      <c r="G719" s="195">
        <f>IF(B719="","",SIN(2*E719)/(COSH(2*D719)+COS(2*E719)))</f>
        <v/>
      </c>
      <c r="H719" s="195">
        <f>IF(B719="","",'入力・概要'!$B$34)</f>
        <v/>
      </c>
      <c r="I719" s="195">
        <f>IF(B719="","",C719*'入力・概要'!$B$35*1E-9)</f>
        <v/>
      </c>
      <c r="J719" s="195">
        <f>IF(B719="","",H719+'入力・概要'!$B$30*F719)</f>
        <v/>
      </c>
      <c r="K719" s="195">
        <f>IF(B719="","",I719+'入力・概要'!$B$30*G719)</f>
        <v/>
      </c>
      <c r="L719" s="195">
        <f>IF(B719="","",'入力・概要'!$B$30+H719*F719-I719*G719)</f>
        <v/>
      </c>
      <c r="M719" s="195">
        <f>IF(B719="","",H719*G719+I719*F719)</f>
        <v/>
      </c>
      <c r="N719" s="195">
        <f>IF(B719="","",'入力・概要'!$B$30*(J719*L719+K719*M719)/(L719^2+M719^2))</f>
        <v/>
      </c>
      <c r="O719" s="195">
        <f>IF(B719="","",'入力・概要'!$B$30*(K719*L719-J719*M719)/(L719^2+M719^2))</f>
        <v/>
      </c>
      <c r="P719" s="195">
        <f>IF(B719="","",N719+'入力・概要'!$B$36)</f>
        <v/>
      </c>
      <c r="Q719" s="195">
        <f>IF(B719="","",O719+C719*'入力・概要'!$B$37*1E-9)</f>
        <v/>
      </c>
      <c r="R719" s="195">
        <f>IF(B719="","",SQRT(P719^2+Q719^2))</f>
        <v/>
      </c>
      <c r="S719" s="195">
        <f>IF(B719="","",IF(P719&gt;0,DEGREES(ATAN(Q719/P719)),IF(P719&lt;0,IF(Q719&gt;=0,DEGREES(ATAN(Q719/P719))+180,DEGREES(ATAN(Q719/P719))-180),IF(Q719&gt;0,90,IF(Q719&lt;0,-90,0)))))</f>
        <v/>
      </c>
      <c r="T719" s="195">
        <f>IF(B719="","",LOG10(B719))</f>
        <v/>
      </c>
      <c r="U719" s="195">
        <f>IF(R719="","",LOG10(MAX(R719,1E-12)))</f>
        <v/>
      </c>
    </row>
    <row r="720">
      <c r="A720" t="n">
        <v>717</v>
      </c>
      <c r="B720" s="196">
        <f>IF(A720&lt;='入力・概要'!$B$40,10^(LOG10('入力・概要'!$B$38)+(A720-1)*(LOG10('入力・概要'!$B$39)-LOG10('入力・概要'!$B$38))/('入力・概要'!$B$40-1)),"")</f>
        <v/>
      </c>
      <c r="C720" s="195">
        <f>IF(B720="","",2*PI()*B720)</f>
        <v/>
      </c>
      <c r="D720" s="195">
        <f>IF(B720="","",ATANH(MIN(0.999999,(2*'入力・概要'!$B$17*'入力・概要'!$B$6)/'入力・概要'!$B$30))+'入力・概要'!$B$33*SQRT(B720/1E6)+(2*PI()*B720*'入力・概要'!$B$6/(299792458*'入力・概要'!$B$31))*'入力・概要'!$B$32/2)</f>
        <v/>
      </c>
      <c r="E720" s="195">
        <f>IF(B720="","",2*PI()*B720*'入力・概要'!$B$6/(299792458*'入力・概要'!$B$31))</f>
        <v/>
      </c>
      <c r="F720" s="195">
        <f>IF(B720="","",SINH(2*D720)/(COSH(2*D720)+COS(2*E720)))</f>
        <v/>
      </c>
      <c r="G720" s="195">
        <f>IF(B720="","",SIN(2*E720)/(COSH(2*D720)+COS(2*E720)))</f>
        <v/>
      </c>
      <c r="H720" s="195">
        <f>IF(B720="","",'入力・概要'!$B$34)</f>
        <v/>
      </c>
      <c r="I720" s="195">
        <f>IF(B720="","",C720*'入力・概要'!$B$35*1E-9)</f>
        <v/>
      </c>
      <c r="J720" s="195">
        <f>IF(B720="","",H720+'入力・概要'!$B$30*F720)</f>
        <v/>
      </c>
      <c r="K720" s="195">
        <f>IF(B720="","",I720+'入力・概要'!$B$30*G720)</f>
        <v/>
      </c>
      <c r="L720" s="195">
        <f>IF(B720="","",'入力・概要'!$B$30+H720*F720-I720*G720)</f>
        <v/>
      </c>
      <c r="M720" s="195">
        <f>IF(B720="","",H720*G720+I720*F720)</f>
        <v/>
      </c>
      <c r="N720" s="195">
        <f>IF(B720="","",'入力・概要'!$B$30*(J720*L720+K720*M720)/(L720^2+M720^2))</f>
        <v/>
      </c>
      <c r="O720" s="195">
        <f>IF(B720="","",'入力・概要'!$B$30*(K720*L720-J720*M720)/(L720^2+M720^2))</f>
        <v/>
      </c>
      <c r="P720" s="195">
        <f>IF(B720="","",N720+'入力・概要'!$B$36)</f>
        <v/>
      </c>
      <c r="Q720" s="195">
        <f>IF(B720="","",O720+C720*'入力・概要'!$B$37*1E-9)</f>
        <v/>
      </c>
      <c r="R720" s="195">
        <f>IF(B720="","",SQRT(P720^2+Q720^2))</f>
        <v/>
      </c>
      <c r="S720" s="195">
        <f>IF(B720="","",IF(P720&gt;0,DEGREES(ATAN(Q720/P720)),IF(P720&lt;0,IF(Q720&gt;=0,DEGREES(ATAN(Q720/P720))+180,DEGREES(ATAN(Q720/P720))-180),IF(Q720&gt;0,90,IF(Q720&lt;0,-90,0)))))</f>
        <v/>
      </c>
      <c r="T720" s="195">
        <f>IF(B720="","",LOG10(B720))</f>
        <v/>
      </c>
      <c r="U720" s="195">
        <f>IF(R720="","",LOG10(MAX(R720,1E-12)))</f>
        <v/>
      </c>
    </row>
    <row r="721">
      <c r="A721" t="n">
        <v>718</v>
      </c>
      <c r="B721" s="196">
        <f>IF(A721&lt;='入力・概要'!$B$40,10^(LOG10('入力・概要'!$B$38)+(A721-1)*(LOG10('入力・概要'!$B$39)-LOG10('入力・概要'!$B$38))/('入力・概要'!$B$40-1)),"")</f>
        <v/>
      </c>
      <c r="C721" s="195">
        <f>IF(B721="","",2*PI()*B721)</f>
        <v/>
      </c>
      <c r="D721" s="195">
        <f>IF(B721="","",ATANH(MIN(0.999999,(2*'入力・概要'!$B$17*'入力・概要'!$B$6)/'入力・概要'!$B$30))+'入力・概要'!$B$33*SQRT(B721/1E6)+(2*PI()*B721*'入力・概要'!$B$6/(299792458*'入力・概要'!$B$31))*'入力・概要'!$B$32/2)</f>
        <v/>
      </c>
      <c r="E721" s="195">
        <f>IF(B721="","",2*PI()*B721*'入力・概要'!$B$6/(299792458*'入力・概要'!$B$31))</f>
        <v/>
      </c>
      <c r="F721" s="195">
        <f>IF(B721="","",SINH(2*D721)/(COSH(2*D721)+COS(2*E721)))</f>
        <v/>
      </c>
      <c r="G721" s="195">
        <f>IF(B721="","",SIN(2*E721)/(COSH(2*D721)+COS(2*E721)))</f>
        <v/>
      </c>
      <c r="H721" s="195">
        <f>IF(B721="","",'入力・概要'!$B$34)</f>
        <v/>
      </c>
      <c r="I721" s="195">
        <f>IF(B721="","",C721*'入力・概要'!$B$35*1E-9)</f>
        <v/>
      </c>
      <c r="J721" s="195">
        <f>IF(B721="","",H721+'入力・概要'!$B$30*F721)</f>
        <v/>
      </c>
      <c r="K721" s="195">
        <f>IF(B721="","",I721+'入力・概要'!$B$30*G721)</f>
        <v/>
      </c>
      <c r="L721" s="195">
        <f>IF(B721="","",'入力・概要'!$B$30+H721*F721-I721*G721)</f>
        <v/>
      </c>
      <c r="M721" s="195">
        <f>IF(B721="","",H721*G721+I721*F721)</f>
        <v/>
      </c>
      <c r="N721" s="195">
        <f>IF(B721="","",'入力・概要'!$B$30*(J721*L721+K721*M721)/(L721^2+M721^2))</f>
        <v/>
      </c>
      <c r="O721" s="195">
        <f>IF(B721="","",'入力・概要'!$B$30*(K721*L721-J721*M721)/(L721^2+M721^2))</f>
        <v/>
      </c>
      <c r="P721" s="195">
        <f>IF(B721="","",N721+'入力・概要'!$B$36)</f>
        <v/>
      </c>
      <c r="Q721" s="195">
        <f>IF(B721="","",O721+C721*'入力・概要'!$B$37*1E-9)</f>
        <v/>
      </c>
      <c r="R721" s="195">
        <f>IF(B721="","",SQRT(P721^2+Q721^2))</f>
        <v/>
      </c>
      <c r="S721" s="195">
        <f>IF(B721="","",IF(P721&gt;0,DEGREES(ATAN(Q721/P721)),IF(P721&lt;0,IF(Q721&gt;=0,DEGREES(ATAN(Q721/P721))+180,DEGREES(ATAN(Q721/P721))-180),IF(Q721&gt;0,90,IF(Q721&lt;0,-90,0)))))</f>
        <v/>
      </c>
      <c r="T721" s="195">
        <f>IF(B721="","",LOG10(B721))</f>
        <v/>
      </c>
      <c r="U721" s="195">
        <f>IF(R721="","",LOG10(MAX(R721,1E-12)))</f>
        <v/>
      </c>
    </row>
    <row r="722">
      <c r="A722" t="n">
        <v>719</v>
      </c>
      <c r="B722" s="196">
        <f>IF(A722&lt;='入力・概要'!$B$40,10^(LOG10('入力・概要'!$B$38)+(A722-1)*(LOG10('入力・概要'!$B$39)-LOG10('入力・概要'!$B$38))/('入力・概要'!$B$40-1)),"")</f>
        <v/>
      </c>
      <c r="C722" s="195">
        <f>IF(B722="","",2*PI()*B722)</f>
        <v/>
      </c>
      <c r="D722" s="195">
        <f>IF(B722="","",ATANH(MIN(0.999999,(2*'入力・概要'!$B$17*'入力・概要'!$B$6)/'入力・概要'!$B$30))+'入力・概要'!$B$33*SQRT(B722/1E6)+(2*PI()*B722*'入力・概要'!$B$6/(299792458*'入力・概要'!$B$31))*'入力・概要'!$B$32/2)</f>
        <v/>
      </c>
      <c r="E722" s="195">
        <f>IF(B722="","",2*PI()*B722*'入力・概要'!$B$6/(299792458*'入力・概要'!$B$31))</f>
        <v/>
      </c>
      <c r="F722" s="195">
        <f>IF(B722="","",SINH(2*D722)/(COSH(2*D722)+COS(2*E722)))</f>
        <v/>
      </c>
      <c r="G722" s="195">
        <f>IF(B722="","",SIN(2*E722)/(COSH(2*D722)+COS(2*E722)))</f>
        <v/>
      </c>
      <c r="H722" s="195">
        <f>IF(B722="","",'入力・概要'!$B$34)</f>
        <v/>
      </c>
      <c r="I722" s="195">
        <f>IF(B722="","",C722*'入力・概要'!$B$35*1E-9)</f>
        <v/>
      </c>
      <c r="J722" s="195">
        <f>IF(B722="","",H722+'入力・概要'!$B$30*F722)</f>
        <v/>
      </c>
      <c r="K722" s="195">
        <f>IF(B722="","",I722+'入力・概要'!$B$30*G722)</f>
        <v/>
      </c>
      <c r="L722" s="195">
        <f>IF(B722="","",'入力・概要'!$B$30+H722*F722-I722*G722)</f>
        <v/>
      </c>
      <c r="M722" s="195">
        <f>IF(B722="","",H722*G722+I722*F722)</f>
        <v/>
      </c>
      <c r="N722" s="195">
        <f>IF(B722="","",'入力・概要'!$B$30*(J722*L722+K722*M722)/(L722^2+M722^2))</f>
        <v/>
      </c>
      <c r="O722" s="195">
        <f>IF(B722="","",'入力・概要'!$B$30*(K722*L722-J722*M722)/(L722^2+M722^2))</f>
        <v/>
      </c>
      <c r="P722" s="195">
        <f>IF(B722="","",N722+'入力・概要'!$B$36)</f>
        <v/>
      </c>
      <c r="Q722" s="195">
        <f>IF(B722="","",O722+C722*'入力・概要'!$B$37*1E-9)</f>
        <v/>
      </c>
      <c r="R722" s="195">
        <f>IF(B722="","",SQRT(P722^2+Q722^2))</f>
        <v/>
      </c>
      <c r="S722" s="195">
        <f>IF(B722="","",IF(P722&gt;0,DEGREES(ATAN(Q722/P722)),IF(P722&lt;0,IF(Q722&gt;=0,DEGREES(ATAN(Q722/P722))+180,DEGREES(ATAN(Q722/P722))-180),IF(Q722&gt;0,90,IF(Q722&lt;0,-90,0)))))</f>
        <v/>
      </c>
      <c r="T722" s="195">
        <f>IF(B722="","",LOG10(B722))</f>
        <v/>
      </c>
      <c r="U722" s="195">
        <f>IF(R722="","",LOG10(MAX(R722,1E-12)))</f>
        <v/>
      </c>
    </row>
    <row r="723">
      <c r="A723" t="n">
        <v>720</v>
      </c>
      <c r="B723" s="196">
        <f>IF(A723&lt;='入力・概要'!$B$40,10^(LOG10('入力・概要'!$B$38)+(A723-1)*(LOG10('入力・概要'!$B$39)-LOG10('入力・概要'!$B$38))/('入力・概要'!$B$40-1)),"")</f>
        <v/>
      </c>
      <c r="C723" s="195">
        <f>IF(B723="","",2*PI()*B723)</f>
        <v/>
      </c>
      <c r="D723" s="195">
        <f>IF(B723="","",ATANH(MIN(0.999999,(2*'入力・概要'!$B$17*'入力・概要'!$B$6)/'入力・概要'!$B$30))+'入力・概要'!$B$33*SQRT(B723/1E6)+(2*PI()*B723*'入力・概要'!$B$6/(299792458*'入力・概要'!$B$31))*'入力・概要'!$B$32/2)</f>
        <v/>
      </c>
      <c r="E723" s="195">
        <f>IF(B723="","",2*PI()*B723*'入力・概要'!$B$6/(299792458*'入力・概要'!$B$31))</f>
        <v/>
      </c>
      <c r="F723" s="195">
        <f>IF(B723="","",SINH(2*D723)/(COSH(2*D723)+COS(2*E723)))</f>
        <v/>
      </c>
      <c r="G723" s="195">
        <f>IF(B723="","",SIN(2*E723)/(COSH(2*D723)+COS(2*E723)))</f>
        <v/>
      </c>
      <c r="H723" s="195">
        <f>IF(B723="","",'入力・概要'!$B$34)</f>
        <v/>
      </c>
      <c r="I723" s="195">
        <f>IF(B723="","",C723*'入力・概要'!$B$35*1E-9)</f>
        <v/>
      </c>
      <c r="J723" s="195">
        <f>IF(B723="","",H723+'入力・概要'!$B$30*F723)</f>
        <v/>
      </c>
      <c r="K723" s="195">
        <f>IF(B723="","",I723+'入力・概要'!$B$30*G723)</f>
        <v/>
      </c>
      <c r="L723" s="195">
        <f>IF(B723="","",'入力・概要'!$B$30+H723*F723-I723*G723)</f>
        <v/>
      </c>
      <c r="M723" s="195">
        <f>IF(B723="","",H723*G723+I723*F723)</f>
        <v/>
      </c>
      <c r="N723" s="195">
        <f>IF(B723="","",'入力・概要'!$B$30*(J723*L723+K723*M723)/(L723^2+M723^2))</f>
        <v/>
      </c>
      <c r="O723" s="195">
        <f>IF(B723="","",'入力・概要'!$B$30*(K723*L723-J723*M723)/(L723^2+M723^2))</f>
        <v/>
      </c>
      <c r="P723" s="195">
        <f>IF(B723="","",N723+'入力・概要'!$B$36)</f>
        <v/>
      </c>
      <c r="Q723" s="195">
        <f>IF(B723="","",O723+C723*'入力・概要'!$B$37*1E-9)</f>
        <v/>
      </c>
      <c r="R723" s="195">
        <f>IF(B723="","",SQRT(P723^2+Q723^2))</f>
        <v/>
      </c>
      <c r="S723" s="195">
        <f>IF(B723="","",IF(P723&gt;0,DEGREES(ATAN(Q723/P723)),IF(P723&lt;0,IF(Q723&gt;=0,DEGREES(ATAN(Q723/P723))+180,DEGREES(ATAN(Q723/P723))-180),IF(Q723&gt;0,90,IF(Q723&lt;0,-90,0)))))</f>
        <v/>
      </c>
      <c r="T723" s="195">
        <f>IF(B723="","",LOG10(B723))</f>
        <v/>
      </c>
      <c r="U723" s="195">
        <f>IF(R723="","",LOG10(MAX(R723,1E-12)))</f>
        <v/>
      </c>
    </row>
    <row r="724">
      <c r="A724" t="n">
        <v>721</v>
      </c>
      <c r="B724" s="196">
        <f>IF(A724&lt;='入力・概要'!$B$40,10^(LOG10('入力・概要'!$B$38)+(A724-1)*(LOG10('入力・概要'!$B$39)-LOG10('入力・概要'!$B$38))/('入力・概要'!$B$40-1)),"")</f>
        <v/>
      </c>
      <c r="C724" s="195">
        <f>IF(B724="","",2*PI()*B724)</f>
        <v/>
      </c>
      <c r="D724" s="195">
        <f>IF(B724="","",ATANH(MIN(0.999999,(2*'入力・概要'!$B$17*'入力・概要'!$B$6)/'入力・概要'!$B$30))+'入力・概要'!$B$33*SQRT(B724/1E6)+(2*PI()*B724*'入力・概要'!$B$6/(299792458*'入力・概要'!$B$31))*'入力・概要'!$B$32/2)</f>
        <v/>
      </c>
      <c r="E724" s="195">
        <f>IF(B724="","",2*PI()*B724*'入力・概要'!$B$6/(299792458*'入力・概要'!$B$31))</f>
        <v/>
      </c>
      <c r="F724" s="195">
        <f>IF(B724="","",SINH(2*D724)/(COSH(2*D724)+COS(2*E724)))</f>
        <v/>
      </c>
      <c r="G724" s="195">
        <f>IF(B724="","",SIN(2*E724)/(COSH(2*D724)+COS(2*E724)))</f>
        <v/>
      </c>
      <c r="H724" s="195">
        <f>IF(B724="","",'入力・概要'!$B$34)</f>
        <v/>
      </c>
      <c r="I724" s="195">
        <f>IF(B724="","",C724*'入力・概要'!$B$35*1E-9)</f>
        <v/>
      </c>
      <c r="J724" s="195">
        <f>IF(B724="","",H724+'入力・概要'!$B$30*F724)</f>
        <v/>
      </c>
      <c r="K724" s="195">
        <f>IF(B724="","",I724+'入力・概要'!$B$30*G724)</f>
        <v/>
      </c>
      <c r="L724" s="195">
        <f>IF(B724="","",'入力・概要'!$B$30+H724*F724-I724*G724)</f>
        <v/>
      </c>
      <c r="M724" s="195">
        <f>IF(B724="","",H724*G724+I724*F724)</f>
        <v/>
      </c>
      <c r="N724" s="195">
        <f>IF(B724="","",'入力・概要'!$B$30*(J724*L724+K724*M724)/(L724^2+M724^2))</f>
        <v/>
      </c>
      <c r="O724" s="195">
        <f>IF(B724="","",'入力・概要'!$B$30*(K724*L724-J724*M724)/(L724^2+M724^2))</f>
        <v/>
      </c>
      <c r="P724" s="195">
        <f>IF(B724="","",N724+'入力・概要'!$B$36)</f>
        <v/>
      </c>
      <c r="Q724" s="195">
        <f>IF(B724="","",O724+C724*'入力・概要'!$B$37*1E-9)</f>
        <v/>
      </c>
      <c r="R724" s="195">
        <f>IF(B724="","",SQRT(P724^2+Q724^2))</f>
        <v/>
      </c>
      <c r="S724" s="195">
        <f>IF(B724="","",IF(P724&gt;0,DEGREES(ATAN(Q724/P724)),IF(P724&lt;0,IF(Q724&gt;=0,DEGREES(ATAN(Q724/P724))+180,DEGREES(ATAN(Q724/P724))-180),IF(Q724&gt;0,90,IF(Q724&lt;0,-90,0)))))</f>
        <v/>
      </c>
      <c r="T724" s="195">
        <f>IF(B724="","",LOG10(B724))</f>
        <v/>
      </c>
      <c r="U724" s="195">
        <f>IF(R724="","",LOG10(MAX(R724,1E-12)))</f>
        <v/>
      </c>
    </row>
    <row r="725">
      <c r="A725" t="n">
        <v>722</v>
      </c>
      <c r="B725" s="196">
        <f>IF(A725&lt;='入力・概要'!$B$40,10^(LOG10('入力・概要'!$B$38)+(A725-1)*(LOG10('入力・概要'!$B$39)-LOG10('入力・概要'!$B$38))/('入力・概要'!$B$40-1)),"")</f>
        <v/>
      </c>
      <c r="C725" s="195">
        <f>IF(B725="","",2*PI()*B725)</f>
        <v/>
      </c>
      <c r="D725" s="195">
        <f>IF(B725="","",ATANH(MIN(0.999999,(2*'入力・概要'!$B$17*'入力・概要'!$B$6)/'入力・概要'!$B$30))+'入力・概要'!$B$33*SQRT(B725/1E6)+(2*PI()*B725*'入力・概要'!$B$6/(299792458*'入力・概要'!$B$31))*'入力・概要'!$B$32/2)</f>
        <v/>
      </c>
      <c r="E725" s="195">
        <f>IF(B725="","",2*PI()*B725*'入力・概要'!$B$6/(299792458*'入力・概要'!$B$31))</f>
        <v/>
      </c>
      <c r="F725" s="195">
        <f>IF(B725="","",SINH(2*D725)/(COSH(2*D725)+COS(2*E725)))</f>
        <v/>
      </c>
      <c r="G725" s="195">
        <f>IF(B725="","",SIN(2*E725)/(COSH(2*D725)+COS(2*E725)))</f>
        <v/>
      </c>
      <c r="H725" s="195">
        <f>IF(B725="","",'入力・概要'!$B$34)</f>
        <v/>
      </c>
      <c r="I725" s="195">
        <f>IF(B725="","",C725*'入力・概要'!$B$35*1E-9)</f>
        <v/>
      </c>
      <c r="J725" s="195">
        <f>IF(B725="","",H725+'入力・概要'!$B$30*F725)</f>
        <v/>
      </c>
      <c r="K725" s="195">
        <f>IF(B725="","",I725+'入力・概要'!$B$30*G725)</f>
        <v/>
      </c>
      <c r="L725" s="195">
        <f>IF(B725="","",'入力・概要'!$B$30+H725*F725-I725*G725)</f>
        <v/>
      </c>
      <c r="M725" s="195">
        <f>IF(B725="","",H725*G725+I725*F725)</f>
        <v/>
      </c>
      <c r="N725" s="195">
        <f>IF(B725="","",'入力・概要'!$B$30*(J725*L725+K725*M725)/(L725^2+M725^2))</f>
        <v/>
      </c>
      <c r="O725" s="195">
        <f>IF(B725="","",'入力・概要'!$B$30*(K725*L725-J725*M725)/(L725^2+M725^2))</f>
        <v/>
      </c>
      <c r="P725" s="195">
        <f>IF(B725="","",N725+'入力・概要'!$B$36)</f>
        <v/>
      </c>
      <c r="Q725" s="195">
        <f>IF(B725="","",O725+C725*'入力・概要'!$B$37*1E-9)</f>
        <v/>
      </c>
      <c r="R725" s="195">
        <f>IF(B725="","",SQRT(P725^2+Q725^2))</f>
        <v/>
      </c>
      <c r="S725" s="195">
        <f>IF(B725="","",IF(P725&gt;0,DEGREES(ATAN(Q725/P725)),IF(P725&lt;0,IF(Q725&gt;=0,DEGREES(ATAN(Q725/P725))+180,DEGREES(ATAN(Q725/P725))-180),IF(Q725&gt;0,90,IF(Q725&lt;0,-90,0)))))</f>
        <v/>
      </c>
      <c r="T725" s="195">
        <f>IF(B725="","",LOG10(B725))</f>
        <v/>
      </c>
      <c r="U725" s="195">
        <f>IF(R725="","",LOG10(MAX(R725,1E-12)))</f>
        <v/>
      </c>
    </row>
    <row r="726">
      <c r="A726" t="n">
        <v>723</v>
      </c>
      <c r="B726" s="196">
        <f>IF(A726&lt;='入力・概要'!$B$40,10^(LOG10('入力・概要'!$B$38)+(A726-1)*(LOG10('入力・概要'!$B$39)-LOG10('入力・概要'!$B$38))/('入力・概要'!$B$40-1)),"")</f>
        <v/>
      </c>
      <c r="C726" s="195">
        <f>IF(B726="","",2*PI()*B726)</f>
        <v/>
      </c>
      <c r="D726" s="195">
        <f>IF(B726="","",ATANH(MIN(0.999999,(2*'入力・概要'!$B$17*'入力・概要'!$B$6)/'入力・概要'!$B$30))+'入力・概要'!$B$33*SQRT(B726/1E6)+(2*PI()*B726*'入力・概要'!$B$6/(299792458*'入力・概要'!$B$31))*'入力・概要'!$B$32/2)</f>
        <v/>
      </c>
      <c r="E726" s="195">
        <f>IF(B726="","",2*PI()*B726*'入力・概要'!$B$6/(299792458*'入力・概要'!$B$31))</f>
        <v/>
      </c>
      <c r="F726" s="195">
        <f>IF(B726="","",SINH(2*D726)/(COSH(2*D726)+COS(2*E726)))</f>
        <v/>
      </c>
      <c r="G726" s="195">
        <f>IF(B726="","",SIN(2*E726)/(COSH(2*D726)+COS(2*E726)))</f>
        <v/>
      </c>
      <c r="H726" s="195">
        <f>IF(B726="","",'入力・概要'!$B$34)</f>
        <v/>
      </c>
      <c r="I726" s="195">
        <f>IF(B726="","",C726*'入力・概要'!$B$35*1E-9)</f>
        <v/>
      </c>
      <c r="J726" s="195">
        <f>IF(B726="","",H726+'入力・概要'!$B$30*F726)</f>
        <v/>
      </c>
      <c r="K726" s="195">
        <f>IF(B726="","",I726+'入力・概要'!$B$30*G726)</f>
        <v/>
      </c>
      <c r="L726" s="195">
        <f>IF(B726="","",'入力・概要'!$B$30+H726*F726-I726*G726)</f>
        <v/>
      </c>
      <c r="M726" s="195">
        <f>IF(B726="","",H726*G726+I726*F726)</f>
        <v/>
      </c>
      <c r="N726" s="195">
        <f>IF(B726="","",'入力・概要'!$B$30*(J726*L726+K726*M726)/(L726^2+M726^2))</f>
        <v/>
      </c>
      <c r="O726" s="195">
        <f>IF(B726="","",'入力・概要'!$B$30*(K726*L726-J726*M726)/(L726^2+M726^2))</f>
        <v/>
      </c>
      <c r="P726" s="195">
        <f>IF(B726="","",N726+'入力・概要'!$B$36)</f>
        <v/>
      </c>
      <c r="Q726" s="195">
        <f>IF(B726="","",O726+C726*'入力・概要'!$B$37*1E-9)</f>
        <v/>
      </c>
      <c r="R726" s="195">
        <f>IF(B726="","",SQRT(P726^2+Q726^2))</f>
        <v/>
      </c>
      <c r="S726" s="195">
        <f>IF(B726="","",IF(P726&gt;0,DEGREES(ATAN(Q726/P726)),IF(P726&lt;0,IF(Q726&gt;=0,DEGREES(ATAN(Q726/P726))+180,DEGREES(ATAN(Q726/P726))-180),IF(Q726&gt;0,90,IF(Q726&lt;0,-90,0)))))</f>
        <v/>
      </c>
      <c r="T726" s="195">
        <f>IF(B726="","",LOG10(B726))</f>
        <v/>
      </c>
      <c r="U726" s="195">
        <f>IF(R726="","",LOG10(MAX(R726,1E-12)))</f>
        <v/>
      </c>
    </row>
    <row r="727">
      <c r="A727" t="n">
        <v>724</v>
      </c>
      <c r="B727" s="196">
        <f>IF(A727&lt;='入力・概要'!$B$40,10^(LOG10('入力・概要'!$B$38)+(A727-1)*(LOG10('入力・概要'!$B$39)-LOG10('入力・概要'!$B$38))/('入力・概要'!$B$40-1)),"")</f>
        <v/>
      </c>
      <c r="C727" s="195">
        <f>IF(B727="","",2*PI()*B727)</f>
        <v/>
      </c>
      <c r="D727" s="195">
        <f>IF(B727="","",ATANH(MIN(0.999999,(2*'入力・概要'!$B$17*'入力・概要'!$B$6)/'入力・概要'!$B$30))+'入力・概要'!$B$33*SQRT(B727/1E6)+(2*PI()*B727*'入力・概要'!$B$6/(299792458*'入力・概要'!$B$31))*'入力・概要'!$B$32/2)</f>
        <v/>
      </c>
      <c r="E727" s="195">
        <f>IF(B727="","",2*PI()*B727*'入力・概要'!$B$6/(299792458*'入力・概要'!$B$31))</f>
        <v/>
      </c>
      <c r="F727" s="195">
        <f>IF(B727="","",SINH(2*D727)/(COSH(2*D727)+COS(2*E727)))</f>
        <v/>
      </c>
      <c r="G727" s="195">
        <f>IF(B727="","",SIN(2*E727)/(COSH(2*D727)+COS(2*E727)))</f>
        <v/>
      </c>
      <c r="H727" s="195">
        <f>IF(B727="","",'入力・概要'!$B$34)</f>
        <v/>
      </c>
      <c r="I727" s="195">
        <f>IF(B727="","",C727*'入力・概要'!$B$35*1E-9)</f>
        <v/>
      </c>
      <c r="J727" s="195">
        <f>IF(B727="","",H727+'入力・概要'!$B$30*F727)</f>
        <v/>
      </c>
      <c r="K727" s="195">
        <f>IF(B727="","",I727+'入力・概要'!$B$30*G727)</f>
        <v/>
      </c>
      <c r="L727" s="195">
        <f>IF(B727="","",'入力・概要'!$B$30+H727*F727-I727*G727)</f>
        <v/>
      </c>
      <c r="M727" s="195">
        <f>IF(B727="","",H727*G727+I727*F727)</f>
        <v/>
      </c>
      <c r="N727" s="195">
        <f>IF(B727="","",'入力・概要'!$B$30*(J727*L727+K727*M727)/(L727^2+M727^2))</f>
        <v/>
      </c>
      <c r="O727" s="195">
        <f>IF(B727="","",'入力・概要'!$B$30*(K727*L727-J727*M727)/(L727^2+M727^2))</f>
        <v/>
      </c>
      <c r="P727" s="195">
        <f>IF(B727="","",N727+'入力・概要'!$B$36)</f>
        <v/>
      </c>
      <c r="Q727" s="195">
        <f>IF(B727="","",O727+C727*'入力・概要'!$B$37*1E-9)</f>
        <v/>
      </c>
      <c r="R727" s="195">
        <f>IF(B727="","",SQRT(P727^2+Q727^2))</f>
        <v/>
      </c>
      <c r="S727" s="195">
        <f>IF(B727="","",IF(P727&gt;0,DEGREES(ATAN(Q727/P727)),IF(P727&lt;0,IF(Q727&gt;=0,DEGREES(ATAN(Q727/P727))+180,DEGREES(ATAN(Q727/P727))-180),IF(Q727&gt;0,90,IF(Q727&lt;0,-90,0)))))</f>
        <v/>
      </c>
      <c r="T727" s="195">
        <f>IF(B727="","",LOG10(B727))</f>
        <v/>
      </c>
      <c r="U727" s="195">
        <f>IF(R727="","",LOG10(MAX(R727,1E-12)))</f>
        <v/>
      </c>
    </row>
    <row r="728">
      <c r="A728" t="n">
        <v>725</v>
      </c>
      <c r="B728" s="196">
        <f>IF(A728&lt;='入力・概要'!$B$40,10^(LOG10('入力・概要'!$B$38)+(A728-1)*(LOG10('入力・概要'!$B$39)-LOG10('入力・概要'!$B$38))/('入力・概要'!$B$40-1)),"")</f>
        <v/>
      </c>
      <c r="C728" s="195">
        <f>IF(B728="","",2*PI()*B728)</f>
        <v/>
      </c>
      <c r="D728" s="195">
        <f>IF(B728="","",ATANH(MIN(0.999999,(2*'入力・概要'!$B$17*'入力・概要'!$B$6)/'入力・概要'!$B$30))+'入力・概要'!$B$33*SQRT(B728/1E6)+(2*PI()*B728*'入力・概要'!$B$6/(299792458*'入力・概要'!$B$31))*'入力・概要'!$B$32/2)</f>
        <v/>
      </c>
      <c r="E728" s="195">
        <f>IF(B728="","",2*PI()*B728*'入力・概要'!$B$6/(299792458*'入力・概要'!$B$31))</f>
        <v/>
      </c>
      <c r="F728" s="195">
        <f>IF(B728="","",SINH(2*D728)/(COSH(2*D728)+COS(2*E728)))</f>
        <v/>
      </c>
      <c r="G728" s="195">
        <f>IF(B728="","",SIN(2*E728)/(COSH(2*D728)+COS(2*E728)))</f>
        <v/>
      </c>
      <c r="H728" s="195">
        <f>IF(B728="","",'入力・概要'!$B$34)</f>
        <v/>
      </c>
      <c r="I728" s="195">
        <f>IF(B728="","",C728*'入力・概要'!$B$35*1E-9)</f>
        <v/>
      </c>
      <c r="J728" s="195">
        <f>IF(B728="","",H728+'入力・概要'!$B$30*F728)</f>
        <v/>
      </c>
      <c r="K728" s="195">
        <f>IF(B728="","",I728+'入力・概要'!$B$30*G728)</f>
        <v/>
      </c>
      <c r="L728" s="195">
        <f>IF(B728="","",'入力・概要'!$B$30+H728*F728-I728*G728)</f>
        <v/>
      </c>
      <c r="M728" s="195">
        <f>IF(B728="","",H728*G728+I728*F728)</f>
        <v/>
      </c>
      <c r="N728" s="195">
        <f>IF(B728="","",'入力・概要'!$B$30*(J728*L728+K728*M728)/(L728^2+M728^2))</f>
        <v/>
      </c>
      <c r="O728" s="195">
        <f>IF(B728="","",'入力・概要'!$B$30*(K728*L728-J728*M728)/(L728^2+M728^2))</f>
        <v/>
      </c>
      <c r="P728" s="195">
        <f>IF(B728="","",N728+'入力・概要'!$B$36)</f>
        <v/>
      </c>
      <c r="Q728" s="195">
        <f>IF(B728="","",O728+C728*'入力・概要'!$B$37*1E-9)</f>
        <v/>
      </c>
      <c r="R728" s="195">
        <f>IF(B728="","",SQRT(P728^2+Q728^2))</f>
        <v/>
      </c>
      <c r="S728" s="195">
        <f>IF(B728="","",IF(P728&gt;0,DEGREES(ATAN(Q728/P728)),IF(P728&lt;0,IF(Q728&gt;=0,DEGREES(ATAN(Q728/P728))+180,DEGREES(ATAN(Q728/P728))-180),IF(Q728&gt;0,90,IF(Q728&lt;0,-90,0)))))</f>
        <v/>
      </c>
      <c r="T728" s="195">
        <f>IF(B728="","",LOG10(B728))</f>
        <v/>
      </c>
      <c r="U728" s="195">
        <f>IF(R728="","",LOG10(MAX(R728,1E-12)))</f>
        <v/>
      </c>
    </row>
    <row r="729">
      <c r="A729" t="n">
        <v>726</v>
      </c>
      <c r="B729" s="196">
        <f>IF(A729&lt;='入力・概要'!$B$40,10^(LOG10('入力・概要'!$B$38)+(A729-1)*(LOG10('入力・概要'!$B$39)-LOG10('入力・概要'!$B$38))/('入力・概要'!$B$40-1)),"")</f>
        <v/>
      </c>
      <c r="C729" s="195">
        <f>IF(B729="","",2*PI()*B729)</f>
        <v/>
      </c>
      <c r="D729" s="195">
        <f>IF(B729="","",ATANH(MIN(0.999999,(2*'入力・概要'!$B$17*'入力・概要'!$B$6)/'入力・概要'!$B$30))+'入力・概要'!$B$33*SQRT(B729/1E6)+(2*PI()*B729*'入力・概要'!$B$6/(299792458*'入力・概要'!$B$31))*'入力・概要'!$B$32/2)</f>
        <v/>
      </c>
      <c r="E729" s="195">
        <f>IF(B729="","",2*PI()*B729*'入力・概要'!$B$6/(299792458*'入力・概要'!$B$31))</f>
        <v/>
      </c>
      <c r="F729" s="195">
        <f>IF(B729="","",SINH(2*D729)/(COSH(2*D729)+COS(2*E729)))</f>
        <v/>
      </c>
      <c r="G729" s="195">
        <f>IF(B729="","",SIN(2*E729)/(COSH(2*D729)+COS(2*E729)))</f>
        <v/>
      </c>
      <c r="H729" s="195">
        <f>IF(B729="","",'入力・概要'!$B$34)</f>
        <v/>
      </c>
      <c r="I729" s="195">
        <f>IF(B729="","",C729*'入力・概要'!$B$35*1E-9)</f>
        <v/>
      </c>
      <c r="J729" s="195">
        <f>IF(B729="","",H729+'入力・概要'!$B$30*F729)</f>
        <v/>
      </c>
      <c r="K729" s="195">
        <f>IF(B729="","",I729+'入力・概要'!$B$30*G729)</f>
        <v/>
      </c>
      <c r="L729" s="195">
        <f>IF(B729="","",'入力・概要'!$B$30+H729*F729-I729*G729)</f>
        <v/>
      </c>
      <c r="M729" s="195">
        <f>IF(B729="","",H729*G729+I729*F729)</f>
        <v/>
      </c>
      <c r="N729" s="195">
        <f>IF(B729="","",'入力・概要'!$B$30*(J729*L729+K729*M729)/(L729^2+M729^2))</f>
        <v/>
      </c>
      <c r="O729" s="195">
        <f>IF(B729="","",'入力・概要'!$B$30*(K729*L729-J729*M729)/(L729^2+M729^2))</f>
        <v/>
      </c>
      <c r="P729" s="195">
        <f>IF(B729="","",N729+'入力・概要'!$B$36)</f>
        <v/>
      </c>
      <c r="Q729" s="195">
        <f>IF(B729="","",O729+C729*'入力・概要'!$B$37*1E-9)</f>
        <v/>
      </c>
      <c r="R729" s="195">
        <f>IF(B729="","",SQRT(P729^2+Q729^2))</f>
        <v/>
      </c>
      <c r="S729" s="195">
        <f>IF(B729="","",IF(P729&gt;0,DEGREES(ATAN(Q729/P729)),IF(P729&lt;0,IF(Q729&gt;=0,DEGREES(ATAN(Q729/P729))+180,DEGREES(ATAN(Q729/P729))-180),IF(Q729&gt;0,90,IF(Q729&lt;0,-90,0)))))</f>
        <v/>
      </c>
      <c r="T729" s="195">
        <f>IF(B729="","",LOG10(B729))</f>
        <v/>
      </c>
      <c r="U729" s="195">
        <f>IF(R729="","",LOG10(MAX(R729,1E-12)))</f>
        <v/>
      </c>
    </row>
    <row r="730">
      <c r="A730" t="n">
        <v>727</v>
      </c>
      <c r="B730" s="196">
        <f>IF(A730&lt;='入力・概要'!$B$40,10^(LOG10('入力・概要'!$B$38)+(A730-1)*(LOG10('入力・概要'!$B$39)-LOG10('入力・概要'!$B$38))/('入力・概要'!$B$40-1)),"")</f>
        <v/>
      </c>
      <c r="C730" s="195">
        <f>IF(B730="","",2*PI()*B730)</f>
        <v/>
      </c>
      <c r="D730" s="195">
        <f>IF(B730="","",ATANH(MIN(0.999999,(2*'入力・概要'!$B$17*'入力・概要'!$B$6)/'入力・概要'!$B$30))+'入力・概要'!$B$33*SQRT(B730/1E6)+(2*PI()*B730*'入力・概要'!$B$6/(299792458*'入力・概要'!$B$31))*'入力・概要'!$B$32/2)</f>
        <v/>
      </c>
      <c r="E730" s="195">
        <f>IF(B730="","",2*PI()*B730*'入力・概要'!$B$6/(299792458*'入力・概要'!$B$31))</f>
        <v/>
      </c>
      <c r="F730" s="195">
        <f>IF(B730="","",SINH(2*D730)/(COSH(2*D730)+COS(2*E730)))</f>
        <v/>
      </c>
      <c r="G730" s="195">
        <f>IF(B730="","",SIN(2*E730)/(COSH(2*D730)+COS(2*E730)))</f>
        <v/>
      </c>
      <c r="H730" s="195">
        <f>IF(B730="","",'入力・概要'!$B$34)</f>
        <v/>
      </c>
      <c r="I730" s="195">
        <f>IF(B730="","",C730*'入力・概要'!$B$35*1E-9)</f>
        <v/>
      </c>
      <c r="J730" s="195">
        <f>IF(B730="","",H730+'入力・概要'!$B$30*F730)</f>
        <v/>
      </c>
      <c r="K730" s="195">
        <f>IF(B730="","",I730+'入力・概要'!$B$30*G730)</f>
        <v/>
      </c>
      <c r="L730" s="195">
        <f>IF(B730="","",'入力・概要'!$B$30+H730*F730-I730*G730)</f>
        <v/>
      </c>
      <c r="M730" s="195">
        <f>IF(B730="","",H730*G730+I730*F730)</f>
        <v/>
      </c>
      <c r="N730" s="195">
        <f>IF(B730="","",'入力・概要'!$B$30*(J730*L730+K730*M730)/(L730^2+M730^2))</f>
        <v/>
      </c>
      <c r="O730" s="195">
        <f>IF(B730="","",'入力・概要'!$B$30*(K730*L730-J730*M730)/(L730^2+M730^2))</f>
        <v/>
      </c>
      <c r="P730" s="195">
        <f>IF(B730="","",N730+'入力・概要'!$B$36)</f>
        <v/>
      </c>
      <c r="Q730" s="195">
        <f>IF(B730="","",O730+C730*'入力・概要'!$B$37*1E-9)</f>
        <v/>
      </c>
      <c r="R730" s="195">
        <f>IF(B730="","",SQRT(P730^2+Q730^2))</f>
        <v/>
      </c>
      <c r="S730" s="195">
        <f>IF(B730="","",IF(P730&gt;0,DEGREES(ATAN(Q730/P730)),IF(P730&lt;0,IF(Q730&gt;=0,DEGREES(ATAN(Q730/P730))+180,DEGREES(ATAN(Q730/P730))-180),IF(Q730&gt;0,90,IF(Q730&lt;0,-90,0)))))</f>
        <v/>
      </c>
      <c r="T730" s="195">
        <f>IF(B730="","",LOG10(B730))</f>
        <v/>
      </c>
      <c r="U730" s="195">
        <f>IF(R730="","",LOG10(MAX(R730,1E-12)))</f>
        <v/>
      </c>
    </row>
    <row r="731">
      <c r="A731" t="n">
        <v>728</v>
      </c>
      <c r="B731" s="196">
        <f>IF(A731&lt;='入力・概要'!$B$40,10^(LOG10('入力・概要'!$B$38)+(A731-1)*(LOG10('入力・概要'!$B$39)-LOG10('入力・概要'!$B$38))/('入力・概要'!$B$40-1)),"")</f>
        <v/>
      </c>
      <c r="C731" s="195">
        <f>IF(B731="","",2*PI()*B731)</f>
        <v/>
      </c>
      <c r="D731" s="195">
        <f>IF(B731="","",ATANH(MIN(0.999999,(2*'入力・概要'!$B$17*'入力・概要'!$B$6)/'入力・概要'!$B$30))+'入力・概要'!$B$33*SQRT(B731/1E6)+(2*PI()*B731*'入力・概要'!$B$6/(299792458*'入力・概要'!$B$31))*'入力・概要'!$B$32/2)</f>
        <v/>
      </c>
      <c r="E731" s="195">
        <f>IF(B731="","",2*PI()*B731*'入力・概要'!$B$6/(299792458*'入力・概要'!$B$31))</f>
        <v/>
      </c>
      <c r="F731" s="195">
        <f>IF(B731="","",SINH(2*D731)/(COSH(2*D731)+COS(2*E731)))</f>
        <v/>
      </c>
      <c r="G731" s="195">
        <f>IF(B731="","",SIN(2*E731)/(COSH(2*D731)+COS(2*E731)))</f>
        <v/>
      </c>
      <c r="H731" s="195">
        <f>IF(B731="","",'入力・概要'!$B$34)</f>
        <v/>
      </c>
      <c r="I731" s="195">
        <f>IF(B731="","",C731*'入力・概要'!$B$35*1E-9)</f>
        <v/>
      </c>
      <c r="J731" s="195">
        <f>IF(B731="","",H731+'入力・概要'!$B$30*F731)</f>
        <v/>
      </c>
      <c r="K731" s="195">
        <f>IF(B731="","",I731+'入力・概要'!$B$30*G731)</f>
        <v/>
      </c>
      <c r="L731" s="195">
        <f>IF(B731="","",'入力・概要'!$B$30+H731*F731-I731*G731)</f>
        <v/>
      </c>
      <c r="M731" s="195">
        <f>IF(B731="","",H731*G731+I731*F731)</f>
        <v/>
      </c>
      <c r="N731" s="195">
        <f>IF(B731="","",'入力・概要'!$B$30*(J731*L731+K731*M731)/(L731^2+M731^2))</f>
        <v/>
      </c>
      <c r="O731" s="195">
        <f>IF(B731="","",'入力・概要'!$B$30*(K731*L731-J731*M731)/(L731^2+M731^2))</f>
        <v/>
      </c>
      <c r="P731" s="195">
        <f>IF(B731="","",N731+'入力・概要'!$B$36)</f>
        <v/>
      </c>
      <c r="Q731" s="195">
        <f>IF(B731="","",O731+C731*'入力・概要'!$B$37*1E-9)</f>
        <v/>
      </c>
      <c r="R731" s="195">
        <f>IF(B731="","",SQRT(P731^2+Q731^2))</f>
        <v/>
      </c>
      <c r="S731" s="195">
        <f>IF(B731="","",IF(P731&gt;0,DEGREES(ATAN(Q731/P731)),IF(P731&lt;0,IF(Q731&gt;=0,DEGREES(ATAN(Q731/P731))+180,DEGREES(ATAN(Q731/P731))-180),IF(Q731&gt;0,90,IF(Q731&lt;0,-90,0)))))</f>
        <v/>
      </c>
      <c r="T731" s="195">
        <f>IF(B731="","",LOG10(B731))</f>
        <v/>
      </c>
      <c r="U731" s="195">
        <f>IF(R731="","",LOG10(MAX(R731,1E-12)))</f>
        <v/>
      </c>
    </row>
    <row r="732">
      <c r="A732" t="n">
        <v>729</v>
      </c>
      <c r="B732" s="196">
        <f>IF(A732&lt;='入力・概要'!$B$40,10^(LOG10('入力・概要'!$B$38)+(A732-1)*(LOG10('入力・概要'!$B$39)-LOG10('入力・概要'!$B$38))/('入力・概要'!$B$40-1)),"")</f>
        <v/>
      </c>
      <c r="C732" s="195">
        <f>IF(B732="","",2*PI()*B732)</f>
        <v/>
      </c>
      <c r="D732" s="195">
        <f>IF(B732="","",ATANH(MIN(0.999999,(2*'入力・概要'!$B$17*'入力・概要'!$B$6)/'入力・概要'!$B$30))+'入力・概要'!$B$33*SQRT(B732/1E6)+(2*PI()*B732*'入力・概要'!$B$6/(299792458*'入力・概要'!$B$31))*'入力・概要'!$B$32/2)</f>
        <v/>
      </c>
      <c r="E732" s="195">
        <f>IF(B732="","",2*PI()*B732*'入力・概要'!$B$6/(299792458*'入力・概要'!$B$31))</f>
        <v/>
      </c>
      <c r="F732" s="195">
        <f>IF(B732="","",SINH(2*D732)/(COSH(2*D732)+COS(2*E732)))</f>
        <v/>
      </c>
      <c r="G732" s="195">
        <f>IF(B732="","",SIN(2*E732)/(COSH(2*D732)+COS(2*E732)))</f>
        <v/>
      </c>
      <c r="H732" s="195">
        <f>IF(B732="","",'入力・概要'!$B$34)</f>
        <v/>
      </c>
      <c r="I732" s="195">
        <f>IF(B732="","",C732*'入力・概要'!$B$35*1E-9)</f>
        <v/>
      </c>
      <c r="J732" s="195">
        <f>IF(B732="","",H732+'入力・概要'!$B$30*F732)</f>
        <v/>
      </c>
      <c r="K732" s="195">
        <f>IF(B732="","",I732+'入力・概要'!$B$30*G732)</f>
        <v/>
      </c>
      <c r="L732" s="195">
        <f>IF(B732="","",'入力・概要'!$B$30+H732*F732-I732*G732)</f>
        <v/>
      </c>
      <c r="M732" s="195">
        <f>IF(B732="","",H732*G732+I732*F732)</f>
        <v/>
      </c>
      <c r="N732" s="195">
        <f>IF(B732="","",'入力・概要'!$B$30*(J732*L732+K732*M732)/(L732^2+M732^2))</f>
        <v/>
      </c>
      <c r="O732" s="195">
        <f>IF(B732="","",'入力・概要'!$B$30*(K732*L732-J732*M732)/(L732^2+M732^2))</f>
        <v/>
      </c>
      <c r="P732" s="195">
        <f>IF(B732="","",N732+'入力・概要'!$B$36)</f>
        <v/>
      </c>
      <c r="Q732" s="195">
        <f>IF(B732="","",O732+C732*'入力・概要'!$B$37*1E-9)</f>
        <v/>
      </c>
      <c r="R732" s="195">
        <f>IF(B732="","",SQRT(P732^2+Q732^2))</f>
        <v/>
      </c>
      <c r="S732" s="195">
        <f>IF(B732="","",IF(P732&gt;0,DEGREES(ATAN(Q732/P732)),IF(P732&lt;0,IF(Q732&gt;=0,DEGREES(ATAN(Q732/P732))+180,DEGREES(ATAN(Q732/P732))-180),IF(Q732&gt;0,90,IF(Q732&lt;0,-90,0)))))</f>
        <v/>
      </c>
      <c r="T732" s="195">
        <f>IF(B732="","",LOG10(B732))</f>
        <v/>
      </c>
      <c r="U732" s="195">
        <f>IF(R732="","",LOG10(MAX(R732,1E-12)))</f>
        <v/>
      </c>
    </row>
    <row r="733">
      <c r="A733" t="n">
        <v>730</v>
      </c>
      <c r="B733" s="196">
        <f>IF(A733&lt;='入力・概要'!$B$40,10^(LOG10('入力・概要'!$B$38)+(A733-1)*(LOG10('入力・概要'!$B$39)-LOG10('入力・概要'!$B$38))/('入力・概要'!$B$40-1)),"")</f>
        <v/>
      </c>
      <c r="C733" s="195">
        <f>IF(B733="","",2*PI()*B733)</f>
        <v/>
      </c>
      <c r="D733" s="195">
        <f>IF(B733="","",ATANH(MIN(0.999999,(2*'入力・概要'!$B$17*'入力・概要'!$B$6)/'入力・概要'!$B$30))+'入力・概要'!$B$33*SQRT(B733/1E6)+(2*PI()*B733*'入力・概要'!$B$6/(299792458*'入力・概要'!$B$31))*'入力・概要'!$B$32/2)</f>
        <v/>
      </c>
      <c r="E733" s="195">
        <f>IF(B733="","",2*PI()*B733*'入力・概要'!$B$6/(299792458*'入力・概要'!$B$31))</f>
        <v/>
      </c>
      <c r="F733" s="195">
        <f>IF(B733="","",SINH(2*D733)/(COSH(2*D733)+COS(2*E733)))</f>
        <v/>
      </c>
      <c r="G733" s="195">
        <f>IF(B733="","",SIN(2*E733)/(COSH(2*D733)+COS(2*E733)))</f>
        <v/>
      </c>
      <c r="H733" s="195">
        <f>IF(B733="","",'入力・概要'!$B$34)</f>
        <v/>
      </c>
      <c r="I733" s="195">
        <f>IF(B733="","",C733*'入力・概要'!$B$35*1E-9)</f>
        <v/>
      </c>
      <c r="J733" s="195">
        <f>IF(B733="","",H733+'入力・概要'!$B$30*F733)</f>
        <v/>
      </c>
      <c r="K733" s="195">
        <f>IF(B733="","",I733+'入力・概要'!$B$30*G733)</f>
        <v/>
      </c>
      <c r="L733" s="195">
        <f>IF(B733="","",'入力・概要'!$B$30+H733*F733-I733*G733)</f>
        <v/>
      </c>
      <c r="M733" s="195">
        <f>IF(B733="","",H733*G733+I733*F733)</f>
        <v/>
      </c>
      <c r="N733" s="195">
        <f>IF(B733="","",'入力・概要'!$B$30*(J733*L733+K733*M733)/(L733^2+M733^2))</f>
        <v/>
      </c>
      <c r="O733" s="195">
        <f>IF(B733="","",'入力・概要'!$B$30*(K733*L733-J733*M733)/(L733^2+M733^2))</f>
        <v/>
      </c>
      <c r="P733" s="195">
        <f>IF(B733="","",N733+'入力・概要'!$B$36)</f>
        <v/>
      </c>
      <c r="Q733" s="195">
        <f>IF(B733="","",O733+C733*'入力・概要'!$B$37*1E-9)</f>
        <v/>
      </c>
      <c r="R733" s="195">
        <f>IF(B733="","",SQRT(P733^2+Q733^2))</f>
        <v/>
      </c>
      <c r="S733" s="195">
        <f>IF(B733="","",IF(P733&gt;0,DEGREES(ATAN(Q733/P733)),IF(P733&lt;0,IF(Q733&gt;=0,DEGREES(ATAN(Q733/P733))+180,DEGREES(ATAN(Q733/P733))-180),IF(Q733&gt;0,90,IF(Q733&lt;0,-90,0)))))</f>
        <v/>
      </c>
      <c r="T733" s="195">
        <f>IF(B733="","",LOG10(B733))</f>
        <v/>
      </c>
      <c r="U733" s="195">
        <f>IF(R733="","",LOG10(MAX(R733,1E-12)))</f>
        <v/>
      </c>
    </row>
    <row r="734">
      <c r="A734" t="n">
        <v>731</v>
      </c>
      <c r="B734" s="196">
        <f>IF(A734&lt;='入力・概要'!$B$40,10^(LOG10('入力・概要'!$B$38)+(A734-1)*(LOG10('入力・概要'!$B$39)-LOG10('入力・概要'!$B$38))/('入力・概要'!$B$40-1)),"")</f>
        <v/>
      </c>
      <c r="C734" s="195">
        <f>IF(B734="","",2*PI()*B734)</f>
        <v/>
      </c>
      <c r="D734" s="195">
        <f>IF(B734="","",ATANH(MIN(0.999999,(2*'入力・概要'!$B$17*'入力・概要'!$B$6)/'入力・概要'!$B$30))+'入力・概要'!$B$33*SQRT(B734/1E6)+(2*PI()*B734*'入力・概要'!$B$6/(299792458*'入力・概要'!$B$31))*'入力・概要'!$B$32/2)</f>
        <v/>
      </c>
      <c r="E734" s="195">
        <f>IF(B734="","",2*PI()*B734*'入力・概要'!$B$6/(299792458*'入力・概要'!$B$31))</f>
        <v/>
      </c>
      <c r="F734" s="195">
        <f>IF(B734="","",SINH(2*D734)/(COSH(2*D734)+COS(2*E734)))</f>
        <v/>
      </c>
      <c r="G734" s="195">
        <f>IF(B734="","",SIN(2*E734)/(COSH(2*D734)+COS(2*E734)))</f>
        <v/>
      </c>
      <c r="H734" s="195">
        <f>IF(B734="","",'入力・概要'!$B$34)</f>
        <v/>
      </c>
      <c r="I734" s="195">
        <f>IF(B734="","",C734*'入力・概要'!$B$35*1E-9)</f>
        <v/>
      </c>
      <c r="J734" s="195">
        <f>IF(B734="","",H734+'入力・概要'!$B$30*F734)</f>
        <v/>
      </c>
      <c r="K734" s="195">
        <f>IF(B734="","",I734+'入力・概要'!$B$30*G734)</f>
        <v/>
      </c>
      <c r="L734" s="195">
        <f>IF(B734="","",'入力・概要'!$B$30+H734*F734-I734*G734)</f>
        <v/>
      </c>
      <c r="M734" s="195">
        <f>IF(B734="","",H734*G734+I734*F734)</f>
        <v/>
      </c>
      <c r="N734" s="195">
        <f>IF(B734="","",'入力・概要'!$B$30*(J734*L734+K734*M734)/(L734^2+M734^2))</f>
        <v/>
      </c>
      <c r="O734" s="195">
        <f>IF(B734="","",'入力・概要'!$B$30*(K734*L734-J734*M734)/(L734^2+M734^2))</f>
        <v/>
      </c>
      <c r="P734" s="195">
        <f>IF(B734="","",N734+'入力・概要'!$B$36)</f>
        <v/>
      </c>
      <c r="Q734" s="195">
        <f>IF(B734="","",O734+C734*'入力・概要'!$B$37*1E-9)</f>
        <v/>
      </c>
      <c r="R734" s="195">
        <f>IF(B734="","",SQRT(P734^2+Q734^2))</f>
        <v/>
      </c>
      <c r="S734" s="195">
        <f>IF(B734="","",IF(P734&gt;0,DEGREES(ATAN(Q734/P734)),IF(P734&lt;0,IF(Q734&gt;=0,DEGREES(ATAN(Q734/P734))+180,DEGREES(ATAN(Q734/P734))-180),IF(Q734&gt;0,90,IF(Q734&lt;0,-90,0)))))</f>
        <v/>
      </c>
      <c r="T734" s="195">
        <f>IF(B734="","",LOG10(B734))</f>
        <v/>
      </c>
      <c r="U734" s="195">
        <f>IF(R734="","",LOG10(MAX(R734,1E-12)))</f>
        <v/>
      </c>
    </row>
    <row r="735">
      <c r="A735" t="n">
        <v>732</v>
      </c>
      <c r="B735" s="196">
        <f>IF(A735&lt;='入力・概要'!$B$40,10^(LOG10('入力・概要'!$B$38)+(A735-1)*(LOG10('入力・概要'!$B$39)-LOG10('入力・概要'!$B$38))/('入力・概要'!$B$40-1)),"")</f>
        <v/>
      </c>
      <c r="C735" s="195">
        <f>IF(B735="","",2*PI()*B735)</f>
        <v/>
      </c>
      <c r="D735" s="195">
        <f>IF(B735="","",ATANH(MIN(0.999999,(2*'入力・概要'!$B$17*'入力・概要'!$B$6)/'入力・概要'!$B$30))+'入力・概要'!$B$33*SQRT(B735/1E6)+(2*PI()*B735*'入力・概要'!$B$6/(299792458*'入力・概要'!$B$31))*'入力・概要'!$B$32/2)</f>
        <v/>
      </c>
      <c r="E735" s="195">
        <f>IF(B735="","",2*PI()*B735*'入力・概要'!$B$6/(299792458*'入力・概要'!$B$31))</f>
        <v/>
      </c>
      <c r="F735" s="195">
        <f>IF(B735="","",SINH(2*D735)/(COSH(2*D735)+COS(2*E735)))</f>
        <v/>
      </c>
      <c r="G735" s="195">
        <f>IF(B735="","",SIN(2*E735)/(COSH(2*D735)+COS(2*E735)))</f>
        <v/>
      </c>
      <c r="H735" s="195">
        <f>IF(B735="","",'入力・概要'!$B$34)</f>
        <v/>
      </c>
      <c r="I735" s="195">
        <f>IF(B735="","",C735*'入力・概要'!$B$35*1E-9)</f>
        <v/>
      </c>
      <c r="J735" s="195">
        <f>IF(B735="","",H735+'入力・概要'!$B$30*F735)</f>
        <v/>
      </c>
      <c r="K735" s="195">
        <f>IF(B735="","",I735+'入力・概要'!$B$30*G735)</f>
        <v/>
      </c>
      <c r="L735" s="195">
        <f>IF(B735="","",'入力・概要'!$B$30+H735*F735-I735*G735)</f>
        <v/>
      </c>
      <c r="M735" s="195">
        <f>IF(B735="","",H735*G735+I735*F735)</f>
        <v/>
      </c>
      <c r="N735" s="195">
        <f>IF(B735="","",'入力・概要'!$B$30*(J735*L735+K735*M735)/(L735^2+M735^2))</f>
        <v/>
      </c>
      <c r="O735" s="195">
        <f>IF(B735="","",'入力・概要'!$B$30*(K735*L735-J735*M735)/(L735^2+M735^2))</f>
        <v/>
      </c>
      <c r="P735" s="195">
        <f>IF(B735="","",N735+'入力・概要'!$B$36)</f>
        <v/>
      </c>
      <c r="Q735" s="195">
        <f>IF(B735="","",O735+C735*'入力・概要'!$B$37*1E-9)</f>
        <v/>
      </c>
      <c r="R735" s="195">
        <f>IF(B735="","",SQRT(P735^2+Q735^2))</f>
        <v/>
      </c>
      <c r="S735" s="195">
        <f>IF(B735="","",IF(P735&gt;0,DEGREES(ATAN(Q735/P735)),IF(P735&lt;0,IF(Q735&gt;=0,DEGREES(ATAN(Q735/P735))+180,DEGREES(ATAN(Q735/P735))-180),IF(Q735&gt;0,90,IF(Q735&lt;0,-90,0)))))</f>
        <v/>
      </c>
      <c r="T735" s="195">
        <f>IF(B735="","",LOG10(B735))</f>
        <v/>
      </c>
      <c r="U735" s="195">
        <f>IF(R735="","",LOG10(MAX(R735,1E-12)))</f>
        <v/>
      </c>
    </row>
    <row r="736">
      <c r="A736" t="n">
        <v>733</v>
      </c>
      <c r="B736" s="196">
        <f>IF(A736&lt;='入力・概要'!$B$40,10^(LOG10('入力・概要'!$B$38)+(A736-1)*(LOG10('入力・概要'!$B$39)-LOG10('入力・概要'!$B$38))/('入力・概要'!$B$40-1)),"")</f>
        <v/>
      </c>
      <c r="C736" s="195">
        <f>IF(B736="","",2*PI()*B736)</f>
        <v/>
      </c>
      <c r="D736" s="195">
        <f>IF(B736="","",ATANH(MIN(0.999999,(2*'入力・概要'!$B$17*'入力・概要'!$B$6)/'入力・概要'!$B$30))+'入力・概要'!$B$33*SQRT(B736/1E6)+(2*PI()*B736*'入力・概要'!$B$6/(299792458*'入力・概要'!$B$31))*'入力・概要'!$B$32/2)</f>
        <v/>
      </c>
      <c r="E736" s="195">
        <f>IF(B736="","",2*PI()*B736*'入力・概要'!$B$6/(299792458*'入力・概要'!$B$31))</f>
        <v/>
      </c>
      <c r="F736" s="195">
        <f>IF(B736="","",SINH(2*D736)/(COSH(2*D736)+COS(2*E736)))</f>
        <v/>
      </c>
      <c r="G736" s="195">
        <f>IF(B736="","",SIN(2*E736)/(COSH(2*D736)+COS(2*E736)))</f>
        <v/>
      </c>
      <c r="H736" s="195">
        <f>IF(B736="","",'入力・概要'!$B$34)</f>
        <v/>
      </c>
      <c r="I736" s="195">
        <f>IF(B736="","",C736*'入力・概要'!$B$35*1E-9)</f>
        <v/>
      </c>
      <c r="J736" s="195">
        <f>IF(B736="","",H736+'入力・概要'!$B$30*F736)</f>
        <v/>
      </c>
      <c r="K736" s="195">
        <f>IF(B736="","",I736+'入力・概要'!$B$30*G736)</f>
        <v/>
      </c>
      <c r="L736" s="195">
        <f>IF(B736="","",'入力・概要'!$B$30+H736*F736-I736*G736)</f>
        <v/>
      </c>
      <c r="M736" s="195">
        <f>IF(B736="","",H736*G736+I736*F736)</f>
        <v/>
      </c>
      <c r="N736" s="195">
        <f>IF(B736="","",'入力・概要'!$B$30*(J736*L736+K736*M736)/(L736^2+M736^2))</f>
        <v/>
      </c>
      <c r="O736" s="195">
        <f>IF(B736="","",'入力・概要'!$B$30*(K736*L736-J736*M736)/(L736^2+M736^2))</f>
        <v/>
      </c>
      <c r="P736" s="195">
        <f>IF(B736="","",N736+'入力・概要'!$B$36)</f>
        <v/>
      </c>
      <c r="Q736" s="195">
        <f>IF(B736="","",O736+C736*'入力・概要'!$B$37*1E-9)</f>
        <v/>
      </c>
      <c r="R736" s="195">
        <f>IF(B736="","",SQRT(P736^2+Q736^2))</f>
        <v/>
      </c>
      <c r="S736" s="195">
        <f>IF(B736="","",IF(P736&gt;0,DEGREES(ATAN(Q736/P736)),IF(P736&lt;0,IF(Q736&gt;=0,DEGREES(ATAN(Q736/P736))+180,DEGREES(ATAN(Q736/P736))-180),IF(Q736&gt;0,90,IF(Q736&lt;0,-90,0)))))</f>
        <v/>
      </c>
      <c r="T736" s="195">
        <f>IF(B736="","",LOG10(B736))</f>
        <v/>
      </c>
      <c r="U736" s="195">
        <f>IF(R736="","",LOG10(MAX(R736,1E-12)))</f>
        <v/>
      </c>
    </row>
    <row r="737">
      <c r="A737" t="n">
        <v>734</v>
      </c>
      <c r="B737" s="196">
        <f>IF(A737&lt;='入力・概要'!$B$40,10^(LOG10('入力・概要'!$B$38)+(A737-1)*(LOG10('入力・概要'!$B$39)-LOG10('入力・概要'!$B$38))/('入力・概要'!$B$40-1)),"")</f>
        <v/>
      </c>
      <c r="C737" s="195">
        <f>IF(B737="","",2*PI()*B737)</f>
        <v/>
      </c>
      <c r="D737" s="195">
        <f>IF(B737="","",ATANH(MIN(0.999999,(2*'入力・概要'!$B$17*'入力・概要'!$B$6)/'入力・概要'!$B$30))+'入力・概要'!$B$33*SQRT(B737/1E6)+(2*PI()*B737*'入力・概要'!$B$6/(299792458*'入力・概要'!$B$31))*'入力・概要'!$B$32/2)</f>
        <v/>
      </c>
      <c r="E737" s="195">
        <f>IF(B737="","",2*PI()*B737*'入力・概要'!$B$6/(299792458*'入力・概要'!$B$31))</f>
        <v/>
      </c>
      <c r="F737" s="195">
        <f>IF(B737="","",SINH(2*D737)/(COSH(2*D737)+COS(2*E737)))</f>
        <v/>
      </c>
      <c r="G737" s="195">
        <f>IF(B737="","",SIN(2*E737)/(COSH(2*D737)+COS(2*E737)))</f>
        <v/>
      </c>
      <c r="H737" s="195">
        <f>IF(B737="","",'入力・概要'!$B$34)</f>
        <v/>
      </c>
      <c r="I737" s="195">
        <f>IF(B737="","",C737*'入力・概要'!$B$35*1E-9)</f>
        <v/>
      </c>
      <c r="J737" s="195">
        <f>IF(B737="","",H737+'入力・概要'!$B$30*F737)</f>
        <v/>
      </c>
      <c r="K737" s="195">
        <f>IF(B737="","",I737+'入力・概要'!$B$30*G737)</f>
        <v/>
      </c>
      <c r="L737" s="195">
        <f>IF(B737="","",'入力・概要'!$B$30+H737*F737-I737*G737)</f>
        <v/>
      </c>
      <c r="M737" s="195">
        <f>IF(B737="","",H737*G737+I737*F737)</f>
        <v/>
      </c>
      <c r="N737" s="195">
        <f>IF(B737="","",'入力・概要'!$B$30*(J737*L737+K737*M737)/(L737^2+M737^2))</f>
        <v/>
      </c>
      <c r="O737" s="195">
        <f>IF(B737="","",'入力・概要'!$B$30*(K737*L737-J737*M737)/(L737^2+M737^2))</f>
        <v/>
      </c>
      <c r="P737" s="195">
        <f>IF(B737="","",N737+'入力・概要'!$B$36)</f>
        <v/>
      </c>
      <c r="Q737" s="195">
        <f>IF(B737="","",O737+C737*'入力・概要'!$B$37*1E-9)</f>
        <v/>
      </c>
      <c r="R737" s="195">
        <f>IF(B737="","",SQRT(P737^2+Q737^2))</f>
        <v/>
      </c>
      <c r="S737" s="195">
        <f>IF(B737="","",IF(P737&gt;0,DEGREES(ATAN(Q737/P737)),IF(P737&lt;0,IF(Q737&gt;=0,DEGREES(ATAN(Q737/P737))+180,DEGREES(ATAN(Q737/P737))-180),IF(Q737&gt;0,90,IF(Q737&lt;0,-90,0)))))</f>
        <v/>
      </c>
      <c r="T737" s="195">
        <f>IF(B737="","",LOG10(B737))</f>
        <v/>
      </c>
      <c r="U737" s="195">
        <f>IF(R737="","",LOG10(MAX(R737,1E-12)))</f>
        <v/>
      </c>
    </row>
    <row r="738">
      <c r="A738" t="n">
        <v>735</v>
      </c>
      <c r="B738" s="196">
        <f>IF(A738&lt;='入力・概要'!$B$40,10^(LOG10('入力・概要'!$B$38)+(A738-1)*(LOG10('入力・概要'!$B$39)-LOG10('入力・概要'!$B$38))/('入力・概要'!$B$40-1)),"")</f>
        <v/>
      </c>
      <c r="C738" s="195">
        <f>IF(B738="","",2*PI()*B738)</f>
        <v/>
      </c>
      <c r="D738" s="195">
        <f>IF(B738="","",ATANH(MIN(0.999999,(2*'入力・概要'!$B$17*'入力・概要'!$B$6)/'入力・概要'!$B$30))+'入力・概要'!$B$33*SQRT(B738/1E6)+(2*PI()*B738*'入力・概要'!$B$6/(299792458*'入力・概要'!$B$31))*'入力・概要'!$B$32/2)</f>
        <v/>
      </c>
      <c r="E738" s="195">
        <f>IF(B738="","",2*PI()*B738*'入力・概要'!$B$6/(299792458*'入力・概要'!$B$31))</f>
        <v/>
      </c>
      <c r="F738" s="195">
        <f>IF(B738="","",SINH(2*D738)/(COSH(2*D738)+COS(2*E738)))</f>
        <v/>
      </c>
      <c r="G738" s="195">
        <f>IF(B738="","",SIN(2*E738)/(COSH(2*D738)+COS(2*E738)))</f>
        <v/>
      </c>
      <c r="H738" s="195">
        <f>IF(B738="","",'入力・概要'!$B$34)</f>
        <v/>
      </c>
      <c r="I738" s="195">
        <f>IF(B738="","",C738*'入力・概要'!$B$35*1E-9)</f>
        <v/>
      </c>
      <c r="J738" s="195">
        <f>IF(B738="","",H738+'入力・概要'!$B$30*F738)</f>
        <v/>
      </c>
      <c r="K738" s="195">
        <f>IF(B738="","",I738+'入力・概要'!$B$30*G738)</f>
        <v/>
      </c>
      <c r="L738" s="195">
        <f>IF(B738="","",'入力・概要'!$B$30+H738*F738-I738*G738)</f>
        <v/>
      </c>
      <c r="M738" s="195">
        <f>IF(B738="","",H738*G738+I738*F738)</f>
        <v/>
      </c>
      <c r="N738" s="195">
        <f>IF(B738="","",'入力・概要'!$B$30*(J738*L738+K738*M738)/(L738^2+M738^2))</f>
        <v/>
      </c>
      <c r="O738" s="195">
        <f>IF(B738="","",'入力・概要'!$B$30*(K738*L738-J738*M738)/(L738^2+M738^2))</f>
        <v/>
      </c>
      <c r="P738" s="195">
        <f>IF(B738="","",N738+'入力・概要'!$B$36)</f>
        <v/>
      </c>
      <c r="Q738" s="195">
        <f>IF(B738="","",O738+C738*'入力・概要'!$B$37*1E-9)</f>
        <v/>
      </c>
      <c r="R738" s="195">
        <f>IF(B738="","",SQRT(P738^2+Q738^2))</f>
        <v/>
      </c>
      <c r="S738" s="195">
        <f>IF(B738="","",IF(P738&gt;0,DEGREES(ATAN(Q738/P738)),IF(P738&lt;0,IF(Q738&gt;=0,DEGREES(ATAN(Q738/P738))+180,DEGREES(ATAN(Q738/P738))-180),IF(Q738&gt;0,90,IF(Q738&lt;0,-90,0)))))</f>
        <v/>
      </c>
      <c r="T738" s="195">
        <f>IF(B738="","",LOG10(B738))</f>
        <v/>
      </c>
      <c r="U738" s="195">
        <f>IF(R738="","",LOG10(MAX(R738,1E-12)))</f>
        <v/>
      </c>
    </row>
    <row r="739">
      <c r="A739" t="n">
        <v>736</v>
      </c>
      <c r="B739" s="196">
        <f>IF(A739&lt;='入力・概要'!$B$40,10^(LOG10('入力・概要'!$B$38)+(A739-1)*(LOG10('入力・概要'!$B$39)-LOG10('入力・概要'!$B$38))/('入力・概要'!$B$40-1)),"")</f>
        <v/>
      </c>
      <c r="C739" s="195">
        <f>IF(B739="","",2*PI()*B739)</f>
        <v/>
      </c>
      <c r="D739" s="195">
        <f>IF(B739="","",ATANH(MIN(0.999999,(2*'入力・概要'!$B$17*'入力・概要'!$B$6)/'入力・概要'!$B$30))+'入力・概要'!$B$33*SQRT(B739/1E6)+(2*PI()*B739*'入力・概要'!$B$6/(299792458*'入力・概要'!$B$31))*'入力・概要'!$B$32/2)</f>
        <v/>
      </c>
      <c r="E739" s="195">
        <f>IF(B739="","",2*PI()*B739*'入力・概要'!$B$6/(299792458*'入力・概要'!$B$31))</f>
        <v/>
      </c>
      <c r="F739" s="195">
        <f>IF(B739="","",SINH(2*D739)/(COSH(2*D739)+COS(2*E739)))</f>
        <v/>
      </c>
      <c r="G739" s="195">
        <f>IF(B739="","",SIN(2*E739)/(COSH(2*D739)+COS(2*E739)))</f>
        <v/>
      </c>
      <c r="H739" s="195">
        <f>IF(B739="","",'入力・概要'!$B$34)</f>
        <v/>
      </c>
      <c r="I739" s="195">
        <f>IF(B739="","",C739*'入力・概要'!$B$35*1E-9)</f>
        <v/>
      </c>
      <c r="J739" s="195">
        <f>IF(B739="","",H739+'入力・概要'!$B$30*F739)</f>
        <v/>
      </c>
      <c r="K739" s="195">
        <f>IF(B739="","",I739+'入力・概要'!$B$30*G739)</f>
        <v/>
      </c>
      <c r="L739" s="195">
        <f>IF(B739="","",'入力・概要'!$B$30+H739*F739-I739*G739)</f>
        <v/>
      </c>
      <c r="M739" s="195">
        <f>IF(B739="","",H739*G739+I739*F739)</f>
        <v/>
      </c>
      <c r="N739" s="195">
        <f>IF(B739="","",'入力・概要'!$B$30*(J739*L739+K739*M739)/(L739^2+M739^2))</f>
        <v/>
      </c>
      <c r="O739" s="195">
        <f>IF(B739="","",'入力・概要'!$B$30*(K739*L739-J739*M739)/(L739^2+M739^2))</f>
        <v/>
      </c>
      <c r="P739" s="195">
        <f>IF(B739="","",N739+'入力・概要'!$B$36)</f>
        <v/>
      </c>
      <c r="Q739" s="195">
        <f>IF(B739="","",O739+C739*'入力・概要'!$B$37*1E-9)</f>
        <v/>
      </c>
      <c r="R739" s="195">
        <f>IF(B739="","",SQRT(P739^2+Q739^2))</f>
        <v/>
      </c>
      <c r="S739" s="195">
        <f>IF(B739="","",IF(P739&gt;0,DEGREES(ATAN(Q739/P739)),IF(P739&lt;0,IF(Q739&gt;=0,DEGREES(ATAN(Q739/P739))+180,DEGREES(ATAN(Q739/P739))-180),IF(Q739&gt;0,90,IF(Q739&lt;0,-90,0)))))</f>
        <v/>
      </c>
      <c r="T739" s="195">
        <f>IF(B739="","",LOG10(B739))</f>
        <v/>
      </c>
      <c r="U739" s="195">
        <f>IF(R739="","",LOG10(MAX(R739,1E-12)))</f>
        <v/>
      </c>
    </row>
    <row r="740">
      <c r="A740" t="n">
        <v>737</v>
      </c>
      <c r="B740" s="196">
        <f>IF(A740&lt;='入力・概要'!$B$40,10^(LOG10('入力・概要'!$B$38)+(A740-1)*(LOG10('入力・概要'!$B$39)-LOG10('入力・概要'!$B$38))/('入力・概要'!$B$40-1)),"")</f>
        <v/>
      </c>
      <c r="C740" s="195">
        <f>IF(B740="","",2*PI()*B740)</f>
        <v/>
      </c>
      <c r="D740" s="195">
        <f>IF(B740="","",ATANH(MIN(0.999999,(2*'入力・概要'!$B$17*'入力・概要'!$B$6)/'入力・概要'!$B$30))+'入力・概要'!$B$33*SQRT(B740/1E6)+(2*PI()*B740*'入力・概要'!$B$6/(299792458*'入力・概要'!$B$31))*'入力・概要'!$B$32/2)</f>
        <v/>
      </c>
      <c r="E740" s="195">
        <f>IF(B740="","",2*PI()*B740*'入力・概要'!$B$6/(299792458*'入力・概要'!$B$31))</f>
        <v/>
      </c>
      <c r="F740" s="195">
        <f>IF(B740="","",SINH(2*D740)/(COSH(2*D740)+COS(2*E740)))</f>
        <v/>
      </c>
      <c r="G740" s="195">
        <f>IF(B740="","",SIN(2*E740)/(COSH(2*D740)+COS(2*E740)))</f>
        <v/>
      </c>
      <c r="H740" s="195">
        <f>IF(B740="","",'入力・概要'!$B$34)</f>
        <v/>
      </c>
      <c r="I740" s="195">
        <f>IF(B740="","",C740*'入力・概要'!$B$35*1E-9)</f>
        <v/>
      </c>
      <c r="J740" s="195">
        <f>IF(B740="","",H740+'入力・概要'!$B$30*F740)</f>
        <v/>
      </c>
      <c r="K740" s="195">
        <f>IF(B740="","",I740+'入力・概要'!$B$30*G740)</f>
        <v/>
      </c>
      <c r="L740" s="195">
        <f>IF(B740="","",'入力・概要'!$B$30+H740*F740-I740*G740)</f>
        <v/>
      </c>
      <c r="M740" s="195">
        <f>IF(B740="","",H740*G740+I740*F740)</f>
        <v/>
      </c>
      <c r="N740" s="195">
        <f>IF(B740="","",'入力・概要'!$B$30*(J740*L740+K740*M740)/(L740^2+M740^2))</f>
        <v/>
      </c>
      <c r="O740" s="195">
        <f>IF(B740="","",'入力・概要'!$B$30*(K740*L740-J740*M740)/(L740^2+M740^2))</f>
        <v/>
      </c>
      <c r="P740" s="195">
        <f>IF(B740="","",N740+'入力・概要'!$B$36)</f>
        <v/>
      </c>
      <c r="Q740" s="195">
        <f>IF(B740="","",O740+C740*'入力・概要'!$B$37*1E-9)</f>
        <v/>
      </c>
      <c r="R740" s="195">
        <f>IF(B740="","",SQRT(P740^2+Q740^2))</f>
        <v/>
      </c>
      <c r="S740" s="195">
        <f>IF(B740="","",IF(P740&gt;0,DEGREES(ATAN(Q740/P740)),IF(P740&lt;0,IF(Q740&gt;=0,DEGREES(ATAN(Q740/P740))+180,DEGREES(ATAN(Q740/P740))-180),IF(Q740&gt;0,90,IF(Q740&lt;0,-90,0)))))</f>
        <v/>
      </c>
      <c r="T740" s="195">
        <f>IF(B740="","",LOG10(B740))</f>
        <v/>
      </c>
      <c r="U740" s="195">
        <f>IF(R740="","",LOG10(MAX(R740,1E-12)))</f>
        <v/>
      </c>
    </row>
    <row r="741">
      <c r="A741" t="n">
        <v>738</v>
      </c>
      <c r="B741" s="196">
        <f>IF(A741&lt;='入力・概要'!$B$40,10^(LOG10('入力・概要'!$B$38)+(A741-1)*(LOG10('入力・概要'!$B$39)-LOG10('入力・概要'!$B$38))/('入力・概要'!$B$40-1)),"")</f>
        <v/>
      </c>
      <c r="C741" s="195">
        <f>IF(B741="","",2*PI()*B741)</f>
        <v/>
      </c>
      <c r="D741" s="195">
        <f>IF(B741="","",ATANH(MIN(0.999999,(2*'入力・概要'!$B$17*'入力・概要'!$B$6)/'入力・概要'!$B$30))+'入力・概要'!$B$33*SQRT(B741/1E6)+(2*PI()*B741*'入力・概要'!$B$6/(299792458*'入力・概要'!$B$31))*'入力・概要'!$B$32/2)</f>
        <v/>
      </c>
      <c r="E741" s="195">
        <f>IF(B741="","",2*PI()*B741*'入力・概要'!$B$6/(299792458*'入力・概要'!$B$31))</f>
        <v/>
      </c>
      <c r="F741" s="195">
        <f>IF(B741="","",SINH(2*D741)/(COSH(2*D741)+COS(2*E741)))</f>
        <v/>
      </c>
      <c r="G741" s="195">
        <f>IF(B741="","",SIN(2*E741)/(COSH(2*D741)+COS(2*E741)))</f>
        <v/>
      </c>
      <c r="H741" s="195">
        <f>IF(B741="","",'入力・概要'!$B$34)</f>
        <v/>
      </c>
      <c r="I741" s="195">
        <f>IF(B741="","",C741*'入力・概要'!$B$35*1E-9)</f>
        <v/>
      </c>
      <c r="J741" s="195">
        <f>IF(B741="","",H741+'入力・概要'!$B$30*F741)</f>
        <v/>
      </c>
      <c r="K741" s="195">
        <f>IF(B741="","",I741+'入力・概要'!$B$30*G741)</f>
        <v/>
      </c>
      <c r="L741" s="195">
        <f>IF(B741="","",'入力・概要'!$B$30+H741*F741-I741*G741)</f>
        <v/>
      </c>
      <c r="M741" s="195">
        <f>IF(B741="","",H741*G741+I741*F741)</f>
        <v/>
      </c>
      <c r="N741" s="195">
        <f>IF(B741="","",'入力・概要'!$B$30*(J741*L741+K741*M741)/(L741^2+M741^2))</f>
        <v/>
      </c>
      <c r="O741" s="195">
        <f>IF(B741="","",'入力・概要'!$B$30*(K741*L741-J741*M741)/(L741^2+M741^2))</f>
        <v/>
      </c>
      <c r="P741" s="195">
        <f>IF(B741="","",N741+'入力・概要'!$B$36)</f>
        <v/>
      </c>
      <c r="Q741" s="195">
        <f>IF(B741="","",O741+C741*'入力・概要'!$B$37*1E-9)</f>
        <v/>
      </c>
      <c r="R741" s="195">
        <f>IF(B741="","",SQRT(P741^2+Q741^2))</f>
        <v/>
      </c>
      <c r="S741" s="195">
        <f>IF(B741="","",IF(P741&gt;0,DEGREES(ATAN(Q741/P741)),IF(P741&lt;0,IF(Q741&gt;=0,DEGREES(ATAN(Q741/P741))+180,DEGREES(ATAN(Q741/P741))-180),IF(Q741&gt;0,90,IF(Q741&lt;0,-90,0)))))</f>
        <v/>
      </c>
      <c r="T741" s="195">
        <f>IF(B741="","",LOG10(B741))</f>
        <v/>
      </c>
      <c r="U741" s="195">
        <f>IF(R741="","",LOG10(MAX(R741,1E-12)))</f>
        <v/>
      </c>
    </row>
    <row r="742">
      <c r="A742" t="n">
        <v>739</v>
      </c>
      <c r="B742" s="196">
        <f>IF(A742&lt;='入力・概要'!$B$40,10^(LOG10('入力・概要'!$B$38)+(A742-1)*(LOG10('入力・概要'!$B$39)-LOG10('入力・概要'!$B$38))/('入力・概要'!$B$40-1)),"")</f>
        <v/>
      </c>
      <c r="C742" s="195">
        <f>IF(B742="","",2*PI()*B742)</f>
        <v/>
      </c>
      <c r="D742" s="195">
        <f>IF(B742="","",ATANH(MIN(0.999999,(2*'入力・概要'!$B$17*'入力・概要'!$B$6)/'入力・概要'!$B$30))+'入力・概要'!$B$33*SQRT(B742/1E6)+(2*PI()*B742*'入力・概要'!$B$6/(299792458*'入力・概要'!$B$31))*'入力・概要'!$B$32/2)</f>
        <v/>
      </c>
      <c r="E742" s="195">
        <f>IF(B742="","",2*PI()*B742*'入力・概要'!$B$6/(299792458*'入力・概要'!$B$31))</f>
        <v/>
      </c>
      <c r="F742" s="195">
        <f>IF(B742="","",SINH(2*D742)/(COSH(2*D742)+COS(2*E742)))</f>
        <v/>
      </c>
      <c r="G742" s="195">
        <f>IF(B742="","",SIN(2*E742)/(COSH(2*D742)+COS(2*E742)))</f>
        <v/>
      </c>
      <c r="H742" s="195">
        <f>IF(B742="","",'入力・概要'!$B$34)</f>
        <v/>
      </c>
      <c r="I742" s="195">
        <f>IF(B742="","",C742*'入力・概要'!$B$35*1E-9)</f>
        <v/>
      </c>
      <c r="J742" s="195">
        <f>IF(B742="","",H742+'入力・概要'!$B$30*F742)</f>
        <v/>
      </c>
      <c r="K742" s="195">
        <f>IF(B742="","",I742+'入力・概要'!$B$30*G742)</f>
        <v/>
      </c>
      <c r="L742" s="195">
        <f>IF(B742="","",'入力・概要'!$B$30+H742*F742-I742*G742)</f>
        <v/>
      </c>
      <c r="M742" s="195">
        <f>IF(B742="","",H742*G742+I742*F742)</f>
        <v/>
      </c>
      <c r="N742" s="195">
        <f>IF(B742="","",'入力・概要'!$B$30*(J742*L742+K742*M742)/(L742^2+M742^2))</f>
        <v/>
      </c>
      <c r="O742" s="195">
        <f>IF(B742="","",'入力・概要'!$B$30*(K742*L742-J742*M742)/(L742^2+M742^2))</f>
        <v/>
      </c>
      <c r="P742" s="195">
        <f>IF(B742="","",N742+'入力・概要'!$B$36)</f>
        <v/>
      </c>
      <c r="Q742" s="195">
        <f>IF(B742="","",O742+C742*'入力・概要'!$B$37*1E-9)</f>
        <v/>
      </c>
      <c r="R742" s="195">
        <f>IF(B742="","",SQRT(P742^2+Q742^2))</f>
        <v/>
      </c>
      <c r="S742" s="195">
        <f>IF(B742="","",IF(P742&gt;0,DEGREES(ATAN(Q742/P742)),IF(P742&lt;0,IF(Q742&gt;=0,DEGREES(ATAN(Q742/P742))+180,DEGREES(ATAN(Q742/P742))-180),IF(Q742&gt;0,90,IF(Q742&lt;0,-90,0)))))</f>
        <v/>
      </c>
      <c r="T742" s="195">
        <f>IF(B742="","",LOG10(B742))</f>
        <v/>
      </c>
      <c r="U742" s="195">
        <f>IF(R742="","",LOG10(MAX(R742,1E-12)))</f>
        <v/>
      </c>
    </row>
    <row r="743">
      <c r="A743" t="n">
        <v>740</v>
      </c>
      <c r="B743" s="196">
        <f>IF(A743&lt;='入力・概要'!$B$40,10^(LOG10('入力・概要'!$B$38)+(A743-1)*(LOG10('入力・概要'!$B$39)-LOG10('入力・概要'!$B$38))/('入力・概要'!$B$40-1)),"")</f>
        <v/>
      </c>
      <c r="C743" s="195">
        <f>IF(B743="","",2*PI()*B743)</f>
        <v/>
      </c>
      <c r="D743" s="195">
        <f>IF(B743="","",ATANH(MIN(0.999999,(2*'入力・概要'!$B$17*'入力・概要'!$B$6)/'入力・概要'!$B$30))+'入力・概要'!$B$33*SQRT(B743/1E6)+(2*PI()*B743*'入力・概要'!$B$6/(299792458*'入力・概要'!$B$31))*'入力・概要'!$B$32/2)</f>
        <v/>
      </c>
      <c r="E743" s="195">
        <f>IF(B743="","",2*PI()*B743*'入力・概要'!$B$6/(299792458*'入力・概要'!$B$31))</f>
        <v/>
      </c>
      <c r="F743" s="195">
        <f>IF(B743="","",SINH(2*D743)/(COSH(2*D743)+COS(2*E743)))</f>
        <v/>
      </c>
      <c r="G743" s="195">
        <f>IF(B743="","",SIN(2*E743)/(COSH(2*D743)+COS(2*E743)))</f>
        <v/>
      </c>
      <c r="H743" s="195">
        <f>IF(B743="","",'入力・概要'!$B$34)</f>
        <v/>
      </c>
      <c r="I743" s="195">
        <f>IF(B743="","",C743*'入力・概要'!$B$35*1E-9)</f>
        <v/>
      </c>
      <c r="J743" s="195">
        <f>IF(B743="","",H743+'入力・概要'!$B$30*F743)</f>
        <v/>
      </c>
      <c r="K743" s="195">
        <f>IF(B743="","",I743+'入力・概要'!$B$30*G743)</f>
        <v/>
      </c>
      <c r="L743" s="195">
        <f>IF(B743="","",'入力・概要'!$B$30+H743*F743-I743*G743)</f>
        <v/>
      </c>
      <c r="M743" s="195">
        <f>IF(B743="","",H743*G743+I743*F743)</f>
        <v/>
      </c>
      <c r="N743" s="195">
        <f>IF(B743="","",'入力・概要'!$B$30*(J743*L743+K743*M743)/(L743^2+M743^2))</f>
        <v/>
      </c>
      <c r="O743" s="195">
        <f>IF(B743="","",'入力・概要'!$B$30*(K743*L743-J743*M743)/(L743^2+M743^2))</f>
        <v/>
      </c>
      <c r="P743" s="195">
        <f>IF(B743="","",N743+'入力・概要'!$B$36)</f>
        <v/>
      </c>
      <c r="Q743" s="195">
        <f>IF(B743="","",O743+C743*'入力・概要'!$B$37*1E-9)</f>
        <v/>
      </c>
      <c r="R743" s="195">
        <f>IF(B743="","",SQRT(P743^2+Q743^2))</f>
        <v/>
      </c>
      <c r="S743" s="195">
        <f>IF(B743="","",IF(P743&gt;0,DEGREES(ATAN(Q743/P743)),IF(P743&lt;0,IF(Q743&gt;=0,DEGREES(ATAN(Q743/P743))+180,DEGREES(ATAN(Q743/P743))-180),IF(Q743&gt;0,90,IF(Q743&lt;0,-90,0)))))</f>
        <v/>
      </c>
      <c r="T743" s="195">
        <f>IF(B743="","",LOG10(B743))</f>
        <v/>
      </c>
      <c r="U743" s="195">
        <f>IF(R743="","",LOG10(MAX(R743,1E-12)))</f>
        <v/>
      </c>
    </row>
    <row r="744">
      <c r="A744" t="n">
        <v>741</v>
      </c>
      <c r="B744" s="196">
        <f>IF(A744&lt;='入力・概要'!$B$40,10^(LOG10('入力・概要'!$B$38)+(A744-1)*(LOG10('入力・概要'!$B$39)-LOG10('入力・概要'!$B$38))/('入力・概要'!$B$40-1)),"")</f>
        <v/>
      </c>
      <c r="C744" s="195">
        <f>IF(B744="","",2*PI()*B744)</f>
        <v/>
      </c>
      <c r="D744" s="195">
        <f>IF(B744="","",ATANH(MIN(0.999999,(2*'入力・概要'!$B$17*'入力・概要'!$B$6)/'入力・概要'!$B$30))+'入力・概要'!$B$33*SQRT(B744/1E6)+(2*PI()*B744*'入力・概要'!$B$6/(299792458*'入力・概要'!$B$31))*'入力・概要'!$B$32/2)</f>
        <v/>
      </c>
      <c r="E744" s="195">
        <f>IF(B744="","",2*PI()*B744*'入力・概要'!$B$6/(299792458*'入力・概要'!$B$31))</f>
        <v/>
      </c>
      <c r="F744" s="195">
        <f>IF(B744="","",SINH(2*D744)/(COSH(2*D744)+COS(2*E744)))</f>
        <v/>
      </c>
      <c r="G744" s="195">
        <f>IF(B744="","",SIN(2*E744)/(COSH(2*D744)+COS(2*E744)))</f>
        <v/>
      </c>
      <c r="H744" s="195">
        <f>IF(B744="","",'入力・概要'!$B$34)</f>
        <v/>
      </c>
      <c r="I744" s="195">
        <f>IF(B744="","",C744*'入力・概要'!$B$35*1E-9)</f>
        <v/>
      </c>
      <c r="J744" s="195">
        <f>IF(B744="","",H744+'入力・概要'!$B$30*F744)</f>
        <v/>
      </c>
      <c r="K744" s="195">
        <f>IF(B744="","",I744+'入力・概要'!$B$30*G744)</f>
        <v/>
      </c>
      <c r="L744" s="195">
        <f>IF(B744="","",'入力・概要'!$B$30+H744*F744-I744*G744)</f>
        <v/>
      </c>
      <c r="M744" s="195">
        <f>IF(B744="","",H744*G744+I744*F744)</f>
        <v/>
      </c>
      <c r="N744" s="195">
        <f>IF(B744="","",'入力・概要'!$B$30*(J744*L744+K744*M744)/(L744^2+M744^2))</f>
        <v/>
      </c>
      <c r="O744" s="195">
        <f>IF(B744="","",'入力・概要'!$B$30*(K744*L744-J744*M744)/(L744^2+M744^2))</f>
        <v/>
      </c>
      <c r="P744" s="195">
        <f>IF(B744="","",N744+'入力・概要'!$B$36)</f>
        <v/>
      </c>
      <c r="Q744" s="195">
        <f>IF(B744="","",O744+C744*'入力・概要'!$B$37*1E-9)</f>
        <v/>
      </c>
      <c r="R744" s="195">
        <f>IF(B744="","",SQRT(P744^2+Q744^2))</f>
        <v/>
      </c>
      <c r="S744" s="195">
        <f>IF(B744="","",IF(P744&gt;0,DEGREES(ATAN(Q744/P744)),IF(P744&lt;0,IF(Q744&gt;=0,DEGREES(ATAN(Q744/P744))+180,DEGREES(ATAN(Q744/P744))-180),IF(Q744&gt;0,90,IF(Q744&lt;0,-90,0)))))</f>
        <v/>
      </c>
      <c r="T744" s="195">
        <f>IF(B744="","",LOG10(B744))</f>
        <v/>
      </c>
      <c r="U744" s="195">
        <f>IF(R744="","",LOG10(MAX(R744,1E-12)))</f>
        <v/>
      </c>
    </row>
    <row r="745">
      <c r="A745" t="n">
        <v>742</v>
      </c>
      <c r="B745" s="196">
        <f>IF(A745&lt;='入力・概要'!$B$40,10^(LOG10('入力・概要'!$B$38)+(A745-1)*(LOG10('入力・概要'!$B$39)-LOG10('入力・概要'!$B$38))/('入力・概要'!$B$40-1)),"")</f>
        <v/>
      </c>
      <c r="C745" s="195">
        <f>IF(B745="","",2*PI()*B745)</f>
        <v/>
      </c>
      <c r="D745" s="195">
        <f>IF(B745="","",ATANH(MIN(0.999999,(2*'入力・概要'!$B$17*'入力・概要'!$B$6)/'入力・概要'!$B$30))+'入力・概要'!$B$33*SQRT(B745/1E6)+(2*PI()*B745*'入力・概要'!$B$6/(299792458*'入力・概要'!$B$31))*'入力・概要'!$B$32/2)</f>
        <v/>
      </c>
      <c r="E745" s="195">
        <f>IF(B745="","",2*PI()*B745*'入力・概要'!$B$6/(299792458*'入力・概要'!$B$31))</f>
        <v/>
      </c>
      <c r="F745" s="195">
        <f>IF(B745="","",SINH(2*D745)/(COSH(2*D745)+COS(2*E745)))</f>
        <v/>
      </c>
      <c r="G745" s="195">
        <f>IF(B745="","",SIN(2*E745)/(COSH(2*D745)+COS(2*E745)))</f>
        <v/>
      </c>
      <c r="H745" s="195">
        <f>IF(B745="","",'入力・概要'!$B$34)</f>
        <v/>
      </c>
      <c r="I745" s="195">
        <f>IF(B745="","",C745*'入力・概要'!$B$35*1E-9)</f>
        <v/>
      </c>
      <c r="J745" s="195">
        <f>IF(B745="","",H745+'入力・概要'!$B$30*F745)</f>
        <v/>
      </c>
      <c r="K745" s="195">
        <f>IF(B745="","",I745+'入力・概要'!$B$30*G745)</f>
        <v/>
      </c>
      <c r="L745" s="195">
        <f>IF(B745="","",'入力・概要'!$B$30+H745*F745-I745*G745)</f>
        <v/>
      </c>
      <c r="M745" s="195">
        <f>IF(B745="","",H745*G745+I745*F745)</f>
        <v/>
      </c>
      <c r="N745" s="195">
        <f>IF(B745="","",'入力・概要'!$B$30*(J745*L745+K745*M745)/(L745^2+M745^2))</f>
        <v/>
      </c>
      <c r="O745" s="195">
        <f>IF(B745="","",'入力・概要'!$B$30*(K745*L745-J745*M745)/(L745^2+M745^2))</f>
        <v/>
      </c>
      <c r="P745" s="195">
        <f>IF(B745="","",N745+'入力・概要'!$B$36)</f>
        <v/>
      </c>
      <c r="Q745" s="195">
        <f>IF(B745="","",O745+C745*'入力・概要'!$B$37*1E-9)</f>
        <v/>
      </c>
      <c r="R745" s="195">
        <f>IF(B745="","",SQRT(P745^2+Q745^2))</f>
        <v/>
      </c>
      <c r="S745" s="195">
        <f>IF(B745="","",IF(P745&gt;0,DEGREES(ATAN(Q745/P745)),IF(P745&lt;0,IF(Q745&gt;=0,DEGREES(ATAN(Q745/P745))+180,DEGREES(ATAN(Q745/P745))-180),IF(Q745&gt;0,90,IF(Q745&lt;0,-90,0)))))</f>
        <v/>
      </c>
      <c r="T745" s="195">
        <f>IF(B745="","",LOG10(B745))</f>
        <v/>
      </c>
      <c r="U745" s="195">
        <f>IF(R745="","",LOG10(MAX(R745,1E-12)))</f>
        <v/>
      </c>
    </row>
    <row r="746">
      <c r="A746" t="n">
        <v>743</v>
      </c>
      <c r="B746" s="196">
        <f>IF(A746&lt;='入力・概要'!$B$40,10^(LOG10('入力・概要'!$B$38)+(A746-1)*(LOG10('入力・概要'!$B$39)-LOG10('入力・概要'!$B$38))/('入力・概要'!$B$40-1)),"")</f>
        <v/>
      </c>
      <c r="C746" s="195">
        <f>IF(B746="","",2*PI()*B746)</f>
        <v/>
      </c>
      <c r="D746" s="195">
        <f>IF(B746="","",ATANH(MIN(0.999999,(2*'入力・概要'!$B$17*'入力・概要'!$B$6)/'入力・概要'!$B$30))+'入力・概要'!$B$33*SQRT(B746/1E6)+(2*PI()*B746*'入力・概要'!$B$6/(299792458*'入力・概要'!$B$31))*'入力・概要'!$B$32/2)</f>
        <v/>
      </c>
      <c r="E746" s="195">
        <f>IF(B746="","",2*PI()*B746*'入力・概要'!$B$6/(299792458*'入力・概要'!$B$31))</f>
        <v/>
      </c>
      <c r="F746" s="195">
        <f>IF(B746="","",SINH(2*D746)/(COSH(2*D746)+COS(2*E746)))</f>
        <v/>
      </c>
      <c r="G746" s="195">
        <f>IF(B746="","",SIN(2*E746)/(COSH(2*D746)+COS(2*E746)))</f>
        <v/>
      </c>
      <c r="H746" s="195">
        <f>IF(B746="","",'入力・概要'!$B$34)</f>
        <v/>
      </c>
      <c r="I746" s="195">
        <f>IF(B746="","",C746*'入力・概要'!$B$35*1E-9)</f>
        <v/>
      </c>
      <c r="J746" s="195">
        <f>IF(B746="","",H746+'入力・概要'!$B$30*F746)</f>
        <v/>
      </c>
      <c r="K746" s="195">
        <f>IF(B746="","",I746+'入力・概要'!$B$30*G746)</f>
        <v/>
      </c>
      <c r="L746" s="195">
        <f>IF(B746="","",'入力・概要'!$B$30+H746*F746-I746*G746)</f>
        <v/>
      </c>
      <c r="M746" s="195">
        <f>IF(B746="","",H746*G746+I746*F746)</f>
        <v/>
      </c>
      <c r="N746" s="195">
        <f>IF(B746="","",'入力・概要'!$B$30*(J746*L746+K746*M746)/(L746^2+M746^2))</f>
        <v/>
      </c>
      <c r="O746" s="195">
        <f>IF(B746="","",'入力・概要'!$B$30*(K746*L746-J746*M746)/(L746^2+M746^2))</f>
        <v/>
      </c>
      <c r="P746" s="195">
        <f>IF(B746="","",N746+'入力・概要'!$B$36)</f>
        <v/>
      </c>
      <c r="Q746" s="195">
        <f>IF(B746="","",O746+C746*'入力・概要'!$B$37*1E-9)</f>
        <v/>
      </c>
      <c r="R746" s="195">
        <f>IF(B746="","",SQRT(P746^2+Q746^2))</f>
        <v/>
      </c>
      <c r="S746" s="195">
        <f>IF(B746="","",IF(P746&gt;0,DEGREES(ATAN(Q746/P746)),IF(P746&lt;0,IF(Q746&gt;=0,DEGREES(ATAN(Q746/P746))+180,DEGREES(ATAN(Q746/P746))-180),IF(Q746&gt;0,90,IF(Q746&lt;0,-90,0)))))</f>
        <v/>
      </c>
      <c r="T746" s="195">
        <f>IF(B746="","",LOG10(B746))</f>
        <v/>
      </c>
      <c r="U746" s="195">
        <f>IF(R746="","",LOG10(MAX(R746,1E-12)))</f>
        <v/>
      </c>
    </row>
    <row r="747">
      <c r="A747" t="n">
        <v>744</v>
      </c>
      <c r="B747" s="196">
        <f>IF(A747&lt;='入力・概要'!$B$40,10^(LOG10('入力・概要'!$B$38)+(A747-1)*(LOG10('入力・概要'!$B$39)-LOG10('入力・概要'!$B$38))/('入力・概要'!$B$40-1)),"")</f>
        <v/>
      </c>
      <c r="C747" s="195">
        <f>IF(B747="","",2*PI()*B747)</f>
        <v/>
      </c>
      <c r="D747" s="195">
        <f>IF(B747="","",ATANH(MIN(0.999999,(2*'入力・概要'!$B$17*'入力・概要'!$B$6)/'入力・概要'!$B$30))+'入力・概要'!$B$33*SQRT(B747/1E6)+(2*PI()*B747*'入力・概要'!$B$6/(299792458*'入力・概要'!$B$31))*'入力・概要'!$B$32/2)</f>
        <v/>
      </c>
      <c r="E747" s="195">
        <f>IF(B747="","",2*PI()*B747*'入力・概要'!$B$6/(299792458*'入力・概要'!$B$31))</f>
        <v/>
      </c>
      <c r="F747" s="195">
        <f>IF(B747="","",SINH(2*D747)/(COSH(2*D747)+COS(2*E747)))</f>
        <v/>
      </c>
      <c r="G747" s="195">
        <f>IF(B747="","",SIN(2*E747)/(COSH(2*D747)+COS(2*E747)))</f>
        <v/>
      </c>
      <c r="H747" s="195">
        <f>IF(B747="","",'入力・概要'!$B$34)</f>
        <v/>
      </c>
      <c r="I747" s="195">
        <f>IF(B747="","",C747*'入力・概要'!$B$35*1E-9)</f>
        <v/>
      </c>
      <c r="J747" s="195">
        <f>IF(B747="","",H747+'入力・概要'!$B$30*F747)</f>
        <v/>
      </c>
      <c r="K747" s="195">
        <f>IF(B747="","",I747+'入力・概要'!$B$30*G747)</f>
        <v/>
      </c>
      <c r="L747" s="195">
        <f>IF(B747="","",'入力・概要'!$B$30+H747*F747-I747*G747)</f>
        <v/>
      </c>
      <c r="M747" s="195">
        <f>IF(B747="","",H747*G747+I747*F747)</f>
        <v/>
      </c>
      <c r="N747" s="195">
        <f>IF(B747="","",'入力・概要'!$B$30*(J747*L747+K747*M747)/(L747^2+M747^2))</f>
        <v/>
      </c>
      <c r="O747" s="195">
        <f>IF(B747="","",'入力・概要'!$B$30*(K747*L747-J747*M747)/(L747^2+M747^2))</f>
        <v/>
      </c>
      <c r="P747" s="195">
        <f>IF(B747="","",N747+'入力・概要'!$B$36)</f>
        <v/>
      </c>
      <c r="Q747" s="195">
        <f>IF(B747="","",O747+C747*'入力・概要'!$B$37*1E-9)</f>
        <v/>
      </c>
      <c r="R747" s="195">
        <f>IF(B747="","",SQRT(P747^2+Q747^2))</f>
        <v/>
      </c>
      <c r="S747" s="195">
        <f>IF(B747="","",IF(P747&gt;0,DEGREES(ATAN(Q747/P747)),IF(P747&lt;0,IF(Q747&gt;=0,DEGREES(ATAN(Q747/P747))+180,DEGREES(ATAN(Q747/P747))-180),IF(Q747&gt;0,90,IF(Q747&lt;0,-90,0)))))</f>
        <v/>
      </c>
      <c r="T747" s="195">
        <f>IF(B747="","",LOG10(B747))</f>
        <v/>
      </c>
      <c r="U747" s="195">
        <f>IF(R747="","",LOG10(MAX(R747,1E-12)))</f>
        <v/>
      </c>
    </row>
    <row r="748">
      <c r="A748" t="n">
        <v>745</v>
      </c>
      <c r="B748" s="196">
        <f>IF(A748&lt;='入力・概要'!$B$40,10^(LOG10('入力・概要'!$B$38)+(A748-1)*(LOG10('入力・概要'!$B$39)-LOG10('入力・概要'!$B$38))/('入力・概要'!$B$40-1)),"")</f>
        <v/>
      </c>
      <c r="C748" s="195">
        <f>IF(B748="","",2*PI()*B748)</f>
        <v/>
      </c>
      <c r="D748" s="195">
        <f>IF(B748="","",ATANH(MIN(0.999999,(2*'入力・概要'!$B$17*'入力・概要'!$B$6)/'入力・概要'!$B$30))+'入力・概要'!$B$33*SQRT(B748/1E6)+(2*PI()*B748*'入力・概要'!$B$6/(299792458*'入力・概要'!$B$31))*'入力・概要'!$B$32/2)</f>
        <v/>
      </c>
      <c r="E748" s="195">
        <f>IF(B748="","",2*PI()*B748*'入力・概要'!$B$6/(299792458*'入力・概要'!$B$31))</f>
        <v/>
      </c>
      <c r="F748" s="195">
        <f>IF(B748="","",SINH(2*D748)/(COSH(2*D748)+COS(2*E748)))</f>
        <v/>
      </c>
      <c r="G748" s="195">
        <f>IF(B748="","",SIN(2*E748)/(COSH(2*D748)+COS(2*E748)))</f>
        <v/>
      </c>
      <c r="H748" s="195">
        <f>IF(B748="","",'入力・概要'!$B$34)</f>
        <v/>
      </c>
      <c r="I748" s="195">
        <f>IF(B748="","",C748*'入力・概要'!$B$35*1E-9)</f>
        <v/>
      </c>
      <c r="J748" s="195">
        <f>IF(B748="","",H748+'入力・概要'!$B$30*F748)</f>
        <v/>
      </c>
      <c r="K748" s="195">
        <f>IF(B748="","",I748+'入力・概要'!$B$30*G748)</f>
        <v/>
      </c>
      <c r="L748" s="195">
        <f>IF(B748="","",'入力・概要'!$B$30+H748*F748-I748*G748)</f>
        <v/>
      </c>
      <c r="M748" s="195">
        <f>IF(B748="","",H748*G748+I748*F748)</f>
        <v/>
      </c>
      <c r="N748" s="195">
        <f>IF(B748="","",'入力・概要'!$B$30*(J748*L748+K748*M748)/(L748^2+M748^2))</f>
        <v/>
      </c>
      <c r="O748" s="195">
        <f>IF(B748="","",'入力・概要'!$B$30*(K748*L748-J748*M748)/(L748^2+M748^2))</f>
        <v/>
      </c>
      <c r="P748" s="195">
        <f>IF(B748="","",N748+'入力・概要'!$B$36)</f>
        <v/>
      </c>
      <c r="Q748" s="195">
        <f>IF(B748="","",O748+C748*'入力・概要'!$B$37*1E-9)</f>
        <v/>
      </c>
      <c r="R748" s="195">
        <f>IF(B748="","",SQRT(P748^2+Q748^2))</f>
        <v/>
      </c>
      <c r="S748" s="195">
        <f>IF(B748="","",IF(P748&gt;0,DEGREES(ATAN(Q748/P748)),IF(P748&lt;0,IF(Q748&gt;=0,DEGREES(ATAN(Q748/P748))+180,DEGREES(ATAN(Q748/P748))-180),IF(Q748&gt;0,90,IF(Q748&lt;0,-90,0)))))</f>
        <v/>
      </c>
      <c r="T748" s="195">
        <f>IF(B748="","",LOG10(B748))</f>
        <v/>
      </c>
      <c r="U748" s="195">
        <f>IF(R748="","",LOG10(MAX(R748,1E-12)))</f>
        <v/>
      </c>
    </row>
    <row r="749">
      <c r="A749" t="n">
        <v>746</v>
      </c>
      <c r="B749" s="196">
        <f>IF(A749&lt;='入力・概要'!$B$40,10^(LOG10('入力・概要'!$B$38)+(A749-1)*(LOG10('入力・概要'!$B$39)-LOG10('入力・概要'!$B$38))/('入力・概要'!$B$40-1)),"")</f>
        <v/>
      </c>
      <c r="C749" s="195">
        <f>IF(B749="","",2*PI()*B749)</f>
        <v/>
      </c>
      <c r="D749" s="195">
        <f>IF(B749="","",ATANH(MIN(0.999999,(2*'入力・概要'!$B$17*'入力・概要'!$B$6)/'入力・概要'!$B$30))+'入力・概要'!$B$33*SQRT(B749/1E6)+(2*PI()*B749*'入力・概要'!$B$6/(299792458*'入力・概要'!$B$31))*'入力・概要'!$B$32/2)</f>
        <v/>
      </c>
      <c r="E749" s="195">
        <f>IF(B749="","",2*PI()*B749*'入力・概要'!$B$6/(299792458*'入力・概要'!$B$31))</f>
        <v/>
      </c>
      <c r="F749" s="195">
        <f>IF(B749="","",SINH(2*D749)/(COSH(2*D749)+COS(2*E749)))</f>
        <v/>
      </c>
      <c r="G749" s="195">
        <f>IF(B749="","",SIN(2*E749)/(COSH(2*D749)+COS(2*E749)))</f>
        <v/>
      </c>
      <c r="H749" s="195">
        <f>IF(B749="","",'入力・概要'!$B$34)</f>
        <v/>
      </c>
      <c r="I749" s="195">
        <f>IF(B749="","",C749*'入力・概要'!$B$35*1E-9)</f>
        <v/>
      </c>
      <c r="J749" s="195">
        <f>IF(B749="","",H749+'入力・概要'!$B$30*F749)</f>
        <v/>
      </c>
      <c r="K749" s="195">
        <f>IF(B749="","",I749+'入力・概要'!$B$30*G749)</f>
        <v/>
      </c>
      <c r="L749" s="195">
        <f>IF(B749="","",'入力・概要'!$B$30+H749*F749-I749*G749)</f>
        <v/>
      </c>
      <c r="M749" s="195">
        <f>IF(B749="","",H749*G749+I749*F749)</f>
        <v/>
      </c>
      <c r="N749" s="195">
        <f>IF(B749="","",'入力・概要'!$B$30*(J749*L749+K749*M749)/(L749^2+M749^2))</f>
        <v/>
      </c>
      <c r="O749" s="195">
        <f>IF(B749="","",'入力・概要'!$B$30*(K749*L749-J749*M749)/(L749^2+M749^2))</f>
        <v/>
      </c>
      <c r="P749" s="195">
        <f>IF(B749="","",N749+'入力・概要'!$B$36)</f>
        <v/>
      </c>
      <c r="Q749" s="195">
        <f>IF(B749="","",O749+C749*'入力・概要'!$B$37*1E-9)</f>
        <v/>
      </c>
      <c r="R749" s="195">
        <f>IF(B749="","",SQRT(P749^2+Q749^2))</f>
        <v/>
      </c>
      <c r="S749" s="195">
        <f>IF(B749="","",IF(P749&gt;0,DEGREES(ATAN(Q749/P749)),IF(P749&lt;0,IF(Q749&gt;=0,DEGREES(ATAN(Q749/P749))+180,DEGREES(ATAN(Q749/P749))-180),IF(Q749&gt;0,90,IF(Q749&lt;0,-90,0)))))</f>
        <v/>
      </c>
      <c r="T749" s="195">
        <f>IF(B749="","",LOG10(B749))</f>
        <v/>
      </c>
      <c r="U749" s="195">
        <f>IF(R749="","",LOG10(MAX(R749,1E-12)))</f>
        <v/>
      </c>
    </row>
    <row r="750">
      <c r="A750" t="n">
        <v>747</v>
      </c>
      <c r="B750" s="196">
        <f>IF(A750&lt;='入力・概要'!$B$40,10^(LOG10('入力・概要'!$B$38)+(A750-1)*(LOG10('入力・概要'!$B$39)-LOG10('入力・概要'!$B$38))/('入力・概要'!$B$40-1)),"")</f>
        <v/>
      </c>
      <c r="C750" s="195">
        <f>IF(B750="","",2*PI()*B750)</f>
        <v/>
      </c>
      <c r="D750" s="195">
        <f>IF(B750="","",ATANH(MIN(0.999999,(2*'入力・概要'!$B$17*'入力・概要'!$B$6)/'入力・概要'!$B$30))+'入力・概要'!$B$33*SQRT(B750/1E6)+(2*PI()*B750*'入力・概要'!$B$6/(299792458*'入力・概要'!$B$31))*'入力・概要'!$B$32/2)</f>
        <v/>
      </c>
      <c r="E750" s="195">
        <f>IF(B750="","",2*PI()*B750*'入力・概要'!$B$6/(299792458*'入力・概要'!$B$31))</f>
        <v/>
      </c>
      <c r="F750" s="195">
        <f>IF(B750="","",SINH(2*D750)/(COSH(2*D750)+COS(2*E750)))</f>
        <v/>
      </c>
      <c r="G750" s="195">
        <f>IF(B750="","",SIN(2*E750)/(COSH(2*D750)+COS(2*E750)))</f>
        <v/>
      </c>
      <c r="H750" s="195">
        <f>IF(B750="","",'入力・概要'!$B$34)</f>
        <v/>
      </c>
      <c r="I750" s="195">
        <f>IF(B750="","",C750*'入力・概要'!$B$35*1E-9)</f>
        <v/>
      </c>
      <c r="J750" s="195">
        <f>IF(B750="","",H750+'入力・概要'!$B$30*F750)</f>
        <v/>
      </c>
      <c r="K750" s="195">
        <f>IF(B750="","",I750+'入力・概要'!$B$30*G750)</f>
        <v/>
      </c>
      <c r="L750" s="195">
        <f>IF(B750="","",'入力・概要'!$B$30+H750*F750-I750*G750)</f>
        <v/>
      </c>
      <c r="M750" s="195">
        <f>IF(B750="","",H750*G750+I750*F750)</f>
        <v/>
      </c>
      <c r="N750" s="195">
        <f>IF(B750="","",'入力・概要'!$B$30*(J750*L750+K750*M750)/(L750^2+M750^2))</f>
        <v/>
      </c>
      <c r="O750" s="195">
        <f>IF(B750="","",'入力・概要'!$B$30*(K750*L750-J750*M750)/(L750^2+M750^2))</f>
        <v/>
      </c>
      <c r="P750" s="195">
        <f>IF(B750="","",N750+'入力・概要'!$B$36)</f>
        <v/>
      </c>
      <c r="Q750" s="195">
        <f>IF(B750="","",O750+C750*'入力・概要'!$B$37*1E-9)</f>
        <v/>
      </c>
      <c r="R750" s="195">
        <f>IF(B750="","",SQRT(P750^2+Q750^2))</f>
        <v/>
      </c>
      <c r="S750" s="195">
        <f>IF(B750="","",IF(P750&gt;0,DEGREES(ATAN(Q750/P750)),IF(P750&lt;0,IF(Q750&gt;=0,DEGREES(ATAN(Q750/P750))+180,DEGREES(ATAN(Q750/P750))-180),IF(Q750&gt;0,90,IF(Q750&lt;0,-90,0)))))</f>
        <v/>
      </c>
      <c r="T750" s="195">
        <f>IF(B750="","",LOG10(B750))</f>
        <v/>
      </c>
      <c r="U750" s="195">
        <f>IF(R750="","",LOG10(MAX(R750,1E-12)))</f>
        <v/>
      </c>
    </row>
    <row r="751">
      <c r="A751" t="n">
        <v>748</v>
      </c>
      <c r="B751" s="196">
        <f>IF(A751&lt;='入力・概要'!$B$40,10^(LOG10('入力・概要'!$B$38)+(A751-1)*(LOG10('入力・概要'!$B$39)-LOG10('入力・概要'!$B$38))/('入力・概要'!$B$40-1)),"")</f>
        <v/>
      </c>
      <c r="C751" s="195">
        <f>IF(B751="","",2*PI()*B751)</f>
        <v/>
      </c>
      <c r="D751" s="195">
        <f>IF(B751="","",ATANH(MIN(0.999999,(2*'入力・概要'!$B$17*'入力・概要'!$B$6)/'入力・概要'!$B$30))+'入力・概要'!$B$33*SQRT(B751/1E6)+(2*PI()*B751*'入力・概要'!$B$6/(299792458*'入力・概要'!$B$31))*'入力・概要'!$B$32/2)</f>
        <v/>
      </c>
      <c r="E751" s="195">
        <f>IF(B751="","",2*PI()*B751*'入力・概要'!$B$6/(299792458*'入力・概要'!$B$31))</f>
        <v/>
      </c>
      <c r="F751" s="195">
        <f>IF(B751="","",SINH(2*D751)/(COSH(2*D751)+COS(2*E751)))</f>
        <v/>
      </c>
      <c r="G751" s="195">
        <f>IF(B751="","",SIN(2*E751)/(COSH(2*D751)+COS(2*E751)))</f>
        <v/>
      </c>
      <c r="H751" s="195">
        <f>IF(B751="","",'入力・概要'!$B$34)</f>
        <v/>
      </c>
      <c r="I751" s="195">
        <f>IF(B751="","",C751*'入力・概要'!$B$35*1E-9)</f>
        <v/>
      </c>
      <c r="J751" s="195">
        <f>IF(B751="","",H751+'入力・概要'!$B$30*F751)</f>
        <v/>
      </c>
      <c r="K751" s="195">
        <f>IF(B751="","",I751+'入力・概要'!$B$30*G751)</f>
        <v/>
      </c>
      <c r="L751" s="195">
        <f>IF(B751="","",'入力・概要'!$B$30+H751*F751-I751*G751)</f>
        <v/>
      </c>
      <c r="M751" s="195">
        <f>IF(B751="","",H751*G751+I751*F751)</f>
        <v/>
      </c>
      <c r="N751" s="195">
        <f>IF(B751="","",'入力・概要'!$B$30*(J751*L751+K751*M751)/(L751^2+M751^2))</f>
        <v/>
      </c>
      <c r="O751" s="195">
        <f>IF(B751="","",'入力・概要'!$B$30*(K751*L751-J751*M751)/(L751^2+M751^2))</f>
        <v/>
      </c>
      <c r="P751" s="195">
        <f>IF(B751="","",N751+'入力・概要'!$B$36)</f>
        <v/>
      </c>
      <c r="Q751" s="195">
        <f>IF(B751="","",O751+C751*'入力・概要'!$B$37*1E-9)</f>
        <v/>
      </c>
      <c r="R751" s="195">
        <f>IF(B751="","",SQRT(P751^2+Q751^2))</f>
        <v/>
      </c>
      <c r="S751" s="195">
        <f>IF(B751="","",IF(P751&gt;0,DEGREES(ATAN(Q751/P751)),IF(P751&lt;0,IF(Q751&gt;=0,DEGREES(ATAN(Q751/P751))+180,DEGREES(ATAN(Q751/P751))-180),IF(Q751&gt;0,90,IF(Q751&lt;0,-90,0)))))</f>
        <v/>
      </c>
      <c r="T751" s="195">
        <f>IF(B751="","",LOG10(B751))</f>
        <v/>
      </c>
      <c r="U751" s="195">
        <f>IF(R751="","",LOG10(MAX(R751,1E-12)))</f>
        <v/>
      </c>
    </row>
    <row r="752">
      <c r="A752" t="n">
        <v>749</v>
      </c>
      <c r="B752" s="196">
        <f>IF(A752&lt;='入力・概要'!$B$40,10^(LOG10('入力・概要'!$B$38)+(A752-1)*(LOG10('入力・概要'!$B$39)-LOG10('入力・概要'!$B$38))/('入力・概要'!$B$40-1)),"")</f>
        <v/>
      </c>
      <c r="C752" s="195">
        <f>IF(B752="","",2*PI()*B752)</f>
        <v/>
      </c>
      <c r="D752" s="195">
        <f>IF(B752="","",ATANH(MIN(0.999999,(2*'入力・概要'!$B$17*'入力・概要'!$B$6)/'入力・概要'!$B$30))+'入力・概要'!$B$33*SQRT(B752/1E6)+(2*PI()*B752*'入力・概要'!$B$6/(299792458*'入力・概要'!$B$31))*'入力・概要'!$B$32/2)</f>
        <v/>
      </c>
      <c r="E752" s="195">
        <f>IF(B752="","",2*PI()*B752*'入力・概要'!$B$6/(299792458*'入力・概要'!$B$31))</f>
        <v/>
      </c>
      <c r="F752" s="195">
        <f>IF(B752="","",SINH(2*D752)/(COSH(2*D752)+COS(2*E752)))</f>
        <v/>
      </c>
      <c r="G752" s="195">
        <f>IF(B752="","",SIN(2*E752)/(COSH(2*D752)+COS(2*E752)))</f>
        <v/>
      </c>
      <c r="H752" s="195">
        <f>IF(B752="","",'入力・概要'!$B$34)</f>
        <v/>
      </c>
      <c r="I752" s="195">
        <f>IF(B752="","",C752*'入力・概要'!$B$35*1E-9)</f>
        <v/>
      </c>
      <c r="J752" s="195">
        <f>IF(B752="","",H752+'入力・概要'!$B$30*F752)</f>
        <v/>
      </c>
      <c r="K752" s="195">
        <f>IF(B752="","",I752+'入力・概要'!$B$30*G752)</f>
        <v/>
      </c>
      <c r="L752" s="195">
        <f>IF(B752="","",'入力・概要'!$B$30+H752*F752-I752*G752)</f>
        <v/>
      </c>
      <c r="M752" s="195">
        <f>IF(B752="","",H752*G752+I752*F752)</f>
        <v/>
      </c>
      <c r="N752" s="195">
        <f>IF(B752="","",'入力・概要'!$B$30*(J752*L752+K752*M752)/(L752^2+M752^2))</f>
        <v/>
      </c>
      <c r="O752" s="195">
        <f>IF(B752="","",'入力・概要'!$B$30*(K752*L752-J752*M752)/(L752^2+M752^2))</f>
        <v/>
      </c>
      <c r="P752" s="195">
        <f>IF(B752="","",N752+'入力・概要'!$B$36)</f>
        <v/>
      </c>
      <c r="Q752" s="195">
        <f>IF(B752="","",O752+C752*'入力・概要'!$B$37*1E-9)</f>
        <v/>
      </c>
      <c r="R752" s="195">
        <f>IF(B752="","",SQRT(P752^2+Q752^2))</f>
        <v/>
      </c>
      <c r="S752" s="195">
        <f>IF(B752="","",IF(P752&gt;0,DEGREES(ATAN(Q752/P752)),IF(P752&lt;0,IF(Q752&gt;=0,DEGREES(ATAN(Q752/P752))+180,DEGREES(ATAN(Q752/P752))-180),IF(Q752&gt;0,90,IF(Q752&lt;0,-90,0)))))</f>
        <v/>
      </c>
      <c r="T752" s="195">
        <f>IF(B752="","",LOG10(B752))</f>
        <v/>
      </c>
      <c r="U752" s="195">
        <f>IF(R752="","",LOG10(MAX(R752,1E-12)))</f>
        <v/>
      </c>
    </row>
    <row r="753">
      <c r="A753" t="n">
        <v>750</v>
      </c>
      <c r="B753" s="196">
        <f>IF(A753&lt;='入力・概要'!$B$40,10^(LOG10('入力・概要'!$B$38)+(A753-1)*(LOG10('入力・概要'!$B$39)-LOG10('入力・概要'!$B$38))/('入力・概要'!$B$40-1)),"")</f>
        <v/>
      </c>
      <c r="C753" s="195">
        <f>IF(B753="","",2*PI()*B753)</f>
        <v/>
      </c>
      <c r="D753" s="195">
        <f>IF(B753="","",ATANH(MIN(0.999999,(2*'入力・概要'!$B$17*'入力・概要'!$B$6)/'入力・概要'!$B$30))+'入力・概要'!$B$33*SQRT(B753/1E6)+(2*PI()*B753*'入力・概要'!$B$6/(299792458*'入力・概要'!$B$31))*'入力・概要'!$B$32/2)</f>
        <v/>
      </c>
      <c r="E753" s="195">
        <f>IF(B753="","",2*PI()*B753*'入力・概要'!$B$6/(299792458*'入力・概要'!$B$31))</f>
        <v/>
      </c>
      <c r="F753" s="195">
        <f>IF(B753="","",SINH(2*D753)/(COSH(2*D753)+COS(2*E753)))</f>
        <v/>
      </c>
      <c r="G753" s="195">
        <f>IF(B753="","",SIN(2*E753)/(COSH(2*D753)+COS(2*E753)))</f>
        <v/>
      </c>
      <c r="H753" s="195">
        <f>IF(B753="","",'入力・概要'!$B$34)</f>
        <v/>
      </c>
      <c r="I753" s="195">
        <f>IF(B753="","",C753*'入力・概要'!$B$35*1E-9)</f>
        <v/>
      </c>
      <c r="J753" s="195">
        <f>IF(B753="","",H753+'入力・概要'!$B$30*F753)</f>
        <v/>
      </c>
      <c r="K753" s="195">
        <f>IF(B753="","",I753+'入力・概要'!$B$30*G753)</f>
        <v/>
      </c>
      <c r="L753" s="195">
        <f>IF(B753="","",'入力・概要'!$B$30+H753*F753-I753*G753)</f>
        <v/>
      </c>
      <c r="M753" s="195">
        <f>IF(B753="","",H753*G753+I753*F753)</f>
        <v/>
      </c>
      <c r="N753" s="195">
        <f>IF(B753="","",'入力・概要'!$B$30*(J753*L753+K753*M753)/(L753^2+M753^2))</f>
        <v/>
      </c>
      <c r="O753" s="195">
        <f>IF(B753="","",'入力・概要'!$B$30*(K753*L753-J753*M753)/(L753^2+M753^2))</f>
        <v/>
      </c>
      <c r="P753" s="195">
        <f>IF(B753="","",N753+'入力・概要'!$B$36)</f>
        <v/>
      </c>
      <c r="Q753" s="195">
        <f>IF(B753="","",O753+C753*'入力・概要'!$B$37*1E-9)</f>
        <v/>
      </c>
      <c r="R753" s="195">
        <f>IF(B753="","",SQRT(P753^2+Q753^2))</f>
        <v/>
      </c>
      <c r="S753" s="195">
        <f>IF(B753="","",IF(P753&gt;0,DEGREES(ATAN(Q753/P753)),IF(P753&lt;0,IF(Q753&gt;=0,DEGREES(ATAN(Q753/P753))+180,DEGREES(ATAN(Q753/P753))-180),IF(Q753&gt;0,90,IF(Q753&lt;0,-90,0)))))</f>
        <v/>
      </c>
      <c r="T753" s="195">
        <f>IF(B753="","",LOG10(B753))</f>
        <v/>
      </c>
      <c r="U753" s="195">
        <f>IF(R753="","",LOG10(MAX(R753,1E-12)))</f>
        <v/>
      </c>
    </row>
    <row r="754">
      <c r="A754" t="n">
        <v>751</v>
      </c>
      <c r="B754" s="196">
        <f>IF(A754&lt;='入力・概要'!$B$40,10^(LOG10('入力・概要'!$B$38)+(A754-1)*(LOG10('入力・概要'!$B$39)-LOG10('入力・概要'!$B$38))/('入力・概要'!$B$40-1)),"")</f>
        <v/>
      </c>
      <c r="C754" s="195">
        <f>IF(B754="","",2*PI()*B754)</f>
        <v/>
      </c>
      <c r="D754" s="195">
        <f>IF(B754="","",ATANH(MIN(0.999999,(2*'入力・概要'!$B$17*'入力・概要'!$B$6)/'入力・概要'!$B$30))+'入力・概要'!$B$33*SQRT(B754/1E6)+(2*PI()*B754*'入力・概要'!$B$6/(299792458*'入力・概要'!$B$31))*'入力・概要'!$B$32/2)</f>
        <v/>
      </c>
      <c r="E754" s="195">
        <f>IF(B754="","",2*PI()*B754*'入力・概要'!$B$6/(299792458*'入力・概要'!$B$31))</f>
        <v/>
      </c>
      <c r="F754" s="195">
        <f>IF(B754="","",SINH(2*D754)/(COSH(2*D754)+COS(2*E754)))</f>
        <v/>
      </c>
      <c r="G754" s="195">
        <f>IF(B754="","",SIN(2*E754)/(COSH(2*D754)+COS(2*E754)))</f>
        <v/>
      </c>
      <c r="H754" s="195">
        <f>IF(B754="","",'入力・概要'!$B$34)</f>
        <v/>
      </c>
      <c r="I754" s="195">
        <f>IF(B754="","",C754*'入力・概要'!$B$35*1E-9)</f>
        <v/>
      </c>
      <c r="J754" s="195">
        <f>IF(B754="","",H754+'入力・概要'!$B$30*F754)</f>
        <v/>
      </c>
      <c r="K754" s="195">
        <f>IF(B754="","",I754+'入力・概要'!$B$30*G754)</f>
        <v/>
      </c>
      <c r="L754" s="195">
        <f>IF(B754="","",'入力・概要'!$B$30+H754*F754-I754*G754)</f>
        <v/>
      </c>
      <c r="M754" s="195">
        <f>IF(B754="","",H754*G754+I754*F754)</f>
        <v/>
      </c>
      <c r="N754" s="195">
        <f>IF(B754="","",'入力・概要'!$B$30*(J754*L754+K754*M754)/(L754^2+M754^2))</f>
        <v/>
      </c>
      <c r="O754" s="195">
        <f>IF(B754="","",'入力・概要'!$B$30*(K754*L754-J754*M754)/(L754^2+M754^2))</f>
        <v/>
      </c>
      <c r="P754" s="195">
        <f>IF(B754="","",N754+'入力・概要'!$B$36)</f>
        <v/>
      </c>
      <c r="Q754" s="195">
        <f>IF(B754="","",O754+C754*'入力・概要'!$B$37*1E-9)</f>
        <v/>
      </c>
      <c r="R754" s="195">
        <f>IF(B754="","",SQRT(P754^2+Q754^2))</f>
        <v/>
      </c>
      <c r="S754" s="195">
        <f>IF(B754="","",IF(P754&gt;0,DEGREES(ATAN(Q754/P754)),IF(P754&lt;0,IF(Q754&gt;=0,DEGREES(ATAN(Q754/P754))+180,DEGREES(ATAN(Q754/P754))-180),IF(Q754&gt;0,90,IF(Q754&lt;0,-90,0)))))</f>
        <v/>
      </c>
      <c r="T754" s="195">
        <f>IF(B754="","",LOG10(B754))</f>
        <v/>
      </c>
      <c r="U754" s="195">
        <f>IF(R754="","",LOG10(MAX(R754,1E-12)))</f>
        <v/>
      </c>
    </row>
    <row r="755">
      <c r="A755" t="n">
        <v>752</v>
      </c>
      <c r="B755" s="196">
        <f>IF(A755&lt;='入力・概要'!$B$40,10^(LOG10('入力・概要'!$B$38)+(A755-1)*(LOG10('入力・概要'!$B$39)-LOG10('入力・概要'!$B$38))/('入力・概要'!$B$40-1)),"")</f>
        <v/>
      </c>
      <c r="C755" s="195">
        <f>IF(B755="","",2*PI()*B755)</f>
        <v/>
      </c>
      <c r="D755" s="195">
        <f>IF(B755="","",ATANH(MIN(0.999999,(2*'入力・概要'!$B$17*'入力・概要'!$B$6)/'入力・概要'!$B$30))+'入力・概要'!$B$33*SQRT(B755/1E6)+(2*PI()*B755*'入力・概要'!$B$6/(299792458*'入力・概要'!$B$31))*'入力・概要'!$B$32/2)</f>
        <v/>
      </c>
      <c r="E755" s="195">
        <f>IF(B755="","",2*PI()*B755*'入力・概要'!$B$6/(299792458*'入力・概要'!$B$31))</f>
        <v/>
      </c>
      <c r="F755" s="195">
        <f>IF(B755="","",SINH(2*D755)/(COSH(2*D755)+COS(2*E755)))</f>
        <v/>
      </c>
      <c r="G755" s="195">
        <f>IF(B755="","",SIN(2*E755)/(COSH(2*D755)+COS(2*E755)))</f>
        <v/>
      </c>
      <c r="H755" s="195">
        <f>IF(B755="","",'入力・概要'!$B$34)</f>
        <v/>
      </c>
      <c r="I755" s="195">
        <f>IF(B755="","",C755*'入力・概要'!$B$35*1E-9)</f>
        <v/>
      </c>
      <c r="J755" s="195">
        <f>IF(B755="","",H755+'入力・概要'!$B$30*F755)</f>
        <v/>
      </c>
      <c r="K755" s="195">
        <f>IF(B755="","",I755+'入力・概要'!$B$30*G755)</f>
        <v/>
      </c>
      <c r="L755" s="195">
        <f>IF(B755="","",'入力・概要'!$B$30+H755*F755-I755*G755)</f>
        <v/>
      </c>
      <c r="M755" s="195">
        <f>IF(B755="","",H755*G755+I755*F755)</f>
        <v/>
      </c>
      <c r="N755" s="195">
        <f>IF(B755="","",'入力・概要'!$B$30*(J755*L755+K755*M755)/(L755^2+M755^2))</f>
        <v/>
      </c>
      <c r="O755" s="195">
        <f>IF(B755="","",'入力・概要'!$B$30*(K755*L755-J755*M755)/(L755^2+M755^2))</f>
        <v/>
      </c>
      <c r="P755" s="195">
        <f>IF(B755="","",N755+'入力・概要'!$B$36)</f>
        <v/>
      </c>
      <c r="Q755" s="195">
        <f>IF(B755="","",O755+C755*'入力・概要'!$B$37*1E-9)</f>
        <v/>
      </c>
      <c r="R755" s="195">
        <f>IF(B755="","",SQRT(P755^2+Q755^2))</f>
        <v/>
      </c>
      <c r="S755" s="195">
        <f>IF(B755="","",IF(P755&gt;0,DEGREES(ATAN(Q755/P755)),IF(P755&lt;0,IF(Q755&gt;=0,DEGREES(ATAN(Q755/P755))+180,DEGREES(ATAN(Q755/P755))-180),IF(Q755&gt;0,90,IF(Q755&lt;0,-90,0)))))</f>
        <v/>
      </c>
      <c r="T755" s="195">
        <f>IF(B755="","",LOG10(B755))</f>
        <v/>
      </c>
      <c r="U755" s="195">
        <f>IF(R755="","",LOG10(MAX(R755,1E-12)))</f>
        <v/>
      </c>
    </row>
    <row r="756">
      <c r="A756" t="n">
        <v>753</v>
      </c>
      <c r="B756" s="196">
        <f>IF(A756&lt;='入力・概要'!$B$40,10^(LOG10('入力・概要'!$B$38)+(A756-1)*(LOG10('入力・概要'!$B$39)-LOG10('入力・概要'!$B$38))/('入力・概要'!$B$40-1)),"")</f>
        <v/>
      </c>
      <c r="C756" s="195">
        <f>IF(B756="","",2*PI()*B756)</f>
        <v/>
      </c>
      <c r="D756" s="195">
        <f>IF(B756="","",ATANH(MIN(0.999999,(2*'入力・概要'!$B$17*'入力・概要'!$B$6)/'入力・概要'!$B$30))+'入力・概要'!$B$33*SQRT(B756/1E6)+(2*PI()*B756*'入力・概要'!$B$6/(299792458*'入力・概要'!$B$31))*'入力・概要'!$B$32/2)</f>
        <v/>
      </c>
      <c r="E756" s="195">
        <f>IF(B756="","",2*PI()*B756*'入力・概要'!$B$6/(299792458*'入力・概要'!$B$31))</f>
        <v/>
      </c>
      <c r="F756" s="195">
        <f>IF(B756="","",SINH(2*D756)/(COSH(2*D756)+COS(2*E756)))</f>
        <v/>
      </c>
      <c r="G756" s="195">
        <f>IF(B756="","",SIN(2*E756)/(COSH(2*D756)+COS(2*E756)))</f>
        <v/>
      </c>
      <c r="H756" s="195">
        <f>IF(B756="","",'入力・概要'!$B$34)</f>
        <v/>
      </c>
      <c r="I756" s="195">
        <f>IF(B756="","",C756*'入力・概要'!$B$35*1E-9)</f>
        <v/>
      </c>
      <c r="J756" s="195">
        <f>IF(B756="","",H756+'入力・概要'!$B$30*F756)</f>
        <v/>
      </c>
      <c r="K756" s="195">
        <f>IF(B756="","",I756+'入力・概要'!$B$30*G756)</f>
        <v/>
      </c>
      <c r="L756" s="195">
        <f>IF(B756="","",'入力・概要'!$B$30+H756*F756-I756*G756)</f>
        <v/>
      </c>
      <c r="M756" s="195">
        <f>IF(B756="","",H756*G756+I756*F756)</f>
        <v/>
      </c>
      <c r="N756" s="195">
        <f>IF(B756="","",'入力・概要'!$B$30*(J756*L756+K756*M756)/(L756^2+M756^2))</f>
        <v/>
      </c>
      <c r="O756" s="195">
        <f>IF(B756="","",'入力・概要'!$B$30*(K756*L756-J756*M756)/(L756^2+M756^2))</f>
        <v/>
      </c>
      <c r="P756" s="195">
        <f>IF(B756="","",N756+'入力・概要'!$B$36)</f>
        <v/>
      </c>
      <c r="Q756" s="195">
        <f>IF(B756="","",O756+C756*'入力・概要'!$B$37*1E-9)</f>
        <v/>
      </c>
      <c r="R756" s="195">
        <f>IF(B756="","",SQRT(P756^2+Q756^2))</f>
        <v/>
      </c>
      <c r="S756" s="195">
        <f>IF(B756="","",IF(P756&gt;0,DEGREES(ATAN(Q756/P756)),IF(P756&lt;0,IF(Q756&gt;=0,DEGREES(ATAN(Q756/P756))+180,DEGREES(ATAN(Q756/P756))-180),IF(Q756&gt;0,90,IF(Q756&lt;0,-90,0)))))</f>
        <v/>
      </c>
      <c r="T756" s="195">
        <f>IF(B756="","",LOG10(B756))</f>
        <v/>
      </c>
      <c r="U756" s="195">
        <f>IF(R756="","",LOG10(MAX(R756,1E-12)))</f>
        <v/>
      </c>
    </row>
    <row r="757">
      <c r="A757" t="n">
        <v>754</v>
      </c>
      <c r="B757" s="196">
        <f>IF(A757&lt;='入力・概要'!$B$40,10^(LOG10('入力・概要'!$B$38)+(A757-1)*(LOG10('入力・概要'!$B$39)-LOG10('入力・概要'!$B$38))/('入力・概要'!$B$40-1)),"")</f>
        <v/>
      </c>
      <c r="C757" s="195">
        <f>IF(B757="","",2*PI()*B757)</f>
        <v/>
      </c>
      <c r="D757" s="195">
        <f>IF(B757="","",ATANH(MIN(0.999999,(2*'入力・概要'!$B$17*'入力・概要'!$B$6)/'入力・概要'!$B$30))+'入力・概要'!$B$33*SQRT(B757/1E6)+(2*PI()*B757*'入力・概要'!$B$6/(299792458*'入力・概要'!$B$31))*'入力・概要'!$B$32/2)</f>
        <v/>
      </c>
      <c r="E757" s="195">
        <f>IF(B757="","",2*PI()*B757*'入力・概要'!$B$6/(299792458*'入力・概要'!$B$31))</f>
        <v/>
      </c>
      <c r="F757" s="195">
        <f>IF(B757="","",SINH(2*D757)/(COSH(2*D757)+COS(2*E757)))</f>
        <v/>
      </c>
      <c r="G757" s="195">
        <f>IF(B757="","",SIN(2*E757)/(COSH(2*D757)+COS(2*E757)))</f>
        <v/>
      </c>
      <c r="H757" s="195">
        <f>IF(B757="","",'入力・概要'!$B$34)</f>
        <v/>
      </c>
      <c r="I757" s="195">
        <f>IF(B757="","",C757*'入力・概要'!$B$35*1E-9)</f>
        <v/>
      </c>
      <c r="J757" s="195">
        <f>IF(B757="","",H757+'入力・概要'!$B$30*F757)</f>
        <v/>
      </c>
      <c r="K757" s="195">
        <f>IF(B757="","",I757+'入力・概要'!$B$30*G757)</f>
        <v/>
      </c>
      <c r="L757" s="195">
        <f>IF(B757="","",'入力・概要'!$B$30+H757*F757-I757*G757)</f>
        <v/>
      </c>
      <c r="M757" s="195">
        <f>IF(B757="","",H757*G757+I757*F757)</f>
        <v/>
      </c>
      <c r="N757" s="195">
        <f>IF(B757="","",'入力・概要'!$B$30*(J757*L757+K757*M757)/(L757^2+M757^2))</f>
        <v/>
      </c>
      <c r="O757" s="195">
        <f>IF(B757="","",'入力・概要'!$B$30*(K757*L757-J757*M757)/(L757^2+M757^2))</f>
        <v/>
      </c>
      <c r="P757" s="195">
        <f>IF(B757="","",N757+'入力・概要'!$B$36)</f>
        <v/>
      </c>
      <c r="Q757" s="195">
        <f>IF(B757="","",O757+C757*'入力・概要'!$B$37*1E-9)</f>
        <v/>
      </c>
      <c r="R757" s="195">
        <f>IF(B757="","",SQRT(P757^2+Q757^2))</f>
        <v/>
      </c>
      <c r="S757" s="195">
        <f>IF(B757="","",IF(P757&gt;0,DEGREES(ATAN(Q757/P757)),IF(P757&lt;0,IF(Q757&gt;=0,DEGREES(ATAN(Q757/P757))+180,DEGREES(ATAN(Q757/P757))-180),IF(Q757&gt;0,90,IF(Q757&lt;0,-90,0)))))</f>
        <v/>
      </c>
      <c r="T757" s="195">
        <f>IF(B757="","",LOG10(B757))</f>
        <v/>
      </c>
      <c r="U757" s="195">
        <f>IF(R757="","",LOG10(MAX(R757,1E-12)))</f>
        <v/>
      </c>
    </row>
    <row r="758">
      <c r="A758" t="n">
        <v>755</v>
      </c>
      <c r="B758" s="196">
        <f>IF(A758&lt;='入力・概要'!$B$40,10^(LOG10('入力・概要'!$B$38)+(A758-1)*(LOG10('入力・概要'!$B$39)-LOG10('入力・概要'!$B$38))/('入力・概要'!$B$40-1)),"")</f>
        <v/>
      </c>
      <c r="C758" s="195">
        <f>IF(B758="","",2*PI()*B758)</f>
        <v/>
      </c>
      <c r="D758" s="195">
        <f>IF(B758="","",ATANH(MIN(0.999999,(2*'入力・概要'!$B$17*'入力・概要'!$B$6)/'入力・概要'!$B$30))+'入力・概要'!$B$33*SQRT(B758/1E6)+(2*PI()*B758*'入力・概要'!$B$6/(299792458*'入力・概要'!$B$31))*'入力・概要'!$B$32/2)</f>
        <v/>
      </c>
      <c r="E758" s="195">
        <f>IF(B758="","",2*PI()*B758*'入力・概要'!$B$6/(299792458*'入力・概要'!$B$31))</f>
        <v/>
      </c>
      <c r="F758" s="195">
        <f>IF(B758="","",SINH(2*D758)/(COSH(2*D758)+COS(2*E758)))</f>
        <v/>
      </c>
      <c r="G758" s="195">
        <f>IF(B758="","",SIN(2*E758)/(COSH(2*D758)+COS(2*E758)))</f>
        <v/>
      </c>
      <c r="H758" s="195">
        <f>IF(B758="","",'入力・概要'!$B$34)</f>
        <v/>
      </c>
      <c r="I758" s="195">
        <f>IF(B758="","",C758*'入力・概要'!$B$35*1E-9)</f>
        <v/>
      </c>
      <c r="J758" s="195">
        <f>IF(B758="","",H758+'入力・概要'!$B$30*F758)</f>
        <v/>
      </c>
      <c r="K758" s="195">
        <f>IF(B758="","",I758+'入力・概要'!$B$30*G758)</f>
        <v/>
      </c>
      <c r="L758" s="195">
        <f>IF(B758="","",'入力・概要'!$B$30+H758*F758-I758*G758)</f>
        <v/>
      </c>
      <c r="M758" s="195">
        <f>IF(B758="","",H758*G758+I758*F758)</f>
        <v/>
      </c>
      <c r="N758" s="195">
        <f>IF(B758="","",'入力・概要'!$B$30*(J758*L758+K758*M758)/(L758^2+M758^2))</f>
        <v/>
      </c>
      <c r="O758" s="195">
        <f>IF(B758="","",'入力・概要'!$B$30*(K758*L758-J758*M758)/(L758^2+M758^2))</f>
        <v/>
      </c>
      <c r="P758" s="195">
        <f>IF(B758="","",N758+'入力・概要'!$B$36)</f>
        <v/>
      </c>
      <c r="Q758" s="195">
        <f>IF(B758="","",O758+C758*'入力・概要'!$B$37*1E-9)</f>
        <v/>
      </c>
      <c r="R758" s="195">
        <f>IF(B758="","",SQRT(P758^2+Q758^2))</f>
        <v/>
      </c>
      <c r="S758" s="195">
        <f>IF(B758="","",IF(P758&gt;0,DEGREES(ATAN(Q758/P758)),IF(P758&lt;0,IF(Q758&gt;=0,DEGREES(ATAN(Q758/P758))+180,DEGREES(ATAN(Q758/P758))-180),IF(Q758&gt;0,90,IF(Q758&lt;0,-90,0)))))</f>
        <v/>
      </c>
      <c r="T758" s="195">
        <f>IF(B758="","",LOG10(B758))</f>
        <v/>
      </c>
      <c r="U758" s="195">
        <f>IF(R758="","",LOG10(MAX(R758,1E-12)))</f>
        <v/>
      </c>
    </row>
    <row r="759">
      <c r="A759" t="n">
        <v>756</v>
      </c>
      <c r="B759" s="196">
        <f>IF(A759&lt;='入力・概要'!$B$40,10^(LOG10('入力・概要'!$B$38)+(A759-1)*(LOG10('入力・概要'!$B$39)-LOG10('入力・概要'!$B$38))/('入力・概要'!$B$40-1)),"")</f>
        <v/>
      </c>
      <c r="C759" s="195">
        <f>IF(B759="","",2*PI()*B759)</f>
        <v/>
      </c>
      <c r="D759" s="195">
        <f>IF(B759="","",ATANH(MIN(0.999999,(2*'入力・概要'!$B$17*'入力・概要'!$B$6)/'入力・概要'!$B$30))+'入力・概要'!$B$33*SQRT(B759/1E6)+(2*PI()*B759*'入力・概要'!$B$6/(299792458*'入力・概要'!$B$31))*'入力・概要'!$B$32/2)</f>
        <v/>
      </c>
      <c r="E759" s="195">
        <f>IF(B759="","",2*PI()*B759*'入力・概要'!$B$6/(299792458*'入力・概要'!$B$31))</f>
        <v/>
      </c>
      <c r="F759" s="195">
        <f>IF(B759="","",SINH(2*D759)/(COSH(2*D759)+COS(2*E759)))</f>
        <v/>
      </c>
      <c r="G759" s="195">
        <f>IF(B759="","",SIN(2*E759)/(COSH(2*D759)+COS(2*E759)))</f>
        <v/>
      </c>
      <c r="H759" s="195">
        <f>IF(B759="","",'入力・概要'!$B$34)</f>
        <v/>
      </c>
      <c r="I759" s="195">
        <f>IF(B759="","",C759*'入力・概要'!$B$35*1E-9)</f>
        <v/>
      </c>
      <c r="J759" s="195">
        <f>IF(B759="","",H759+'入力・概要'!$B$30*F759)</f>
        <v/>
      </c>
      <c r="K759" s="195">
        <f>IF(B759="","",I759+'入力・概要'!$B$30*G759)</f>
        <v/>
      </c>
      <c r="L759" s="195">
        <f>IF(B759="","",'入力・概要'!$B$30+H759*F759-I759*G759)</f>
        <v/>
      </c>
      <c r="M759" s="195">
        <f>IF(B759="","",H759*G759+I759*F759)</f>
        <v/>
      </c>
      <c r="N759" s="195">
        <f>IF(B759="","",'入力・概要'!$B$30*(J759*L759+K759*M759)/(L759^2+M759^2))</f>
        <v/>
      </c>
      <c r="O759" s="195">
        <f>IF(B759="","",'入力・概要'!$B$30*(K759*L759-J759*M759)/(L759^2+M759^2))</f>
        <v/>
      </c>
      <c r="P759" s="195">
        <f>IF(B759="","",N759+'入力・概要'!$B$36)</f>
        <v/>
      </c>
      <c r="Q759" s="195">
        <f>IF(B759="","",O759+C759*'入力・概要'!$B$37*1E-9)</f>
        <v/>
      </c>
      <c r="R759" s="195">
        <f>IF(B759="","",SQRT(P759^2+Q759^2))</f>
        <v/>
      </c>
      <c r="S759" s="195">
        <f>IF(B759="","",IF(P759&gt;0,DEGREES(ATAN(Q759/P759)),IF(P759&lt;0,IF(Q759&gt;=0,DEGREES(ATAN(Q759/P759))+180,DEGREES(ATAN(Q759/P759))-180),IF(Q759&gt;0,90,IF(Q759&lt;0,-90,0)))))</f>
        <v/>
      </c>
      <c r="T759" s="195">
        <f>IF(B759="","",LOG10(B759))</f>
        <v/>
      </c>
      <c r="U759" s="195">
        <f>IF(R759="","",LOG10(MAX(R759,1E-12)))</f>
        <v/>
      </c>
    </row>
    <row r="760">
      <c r="A760" t="n">
        <v>757</v>
      </c>
      <c r="B760" s="196">
        <f>IF(A760&lt;='入力・概要'!$B$40,10^(LOG10('入力・概要'!$B$38)+(A760-1)*(LOG10('入力・概要'!$B$39)-LOG10('入力・概要'!$B$38))/('入力・概要'!$B$40-1)),"")</f>
        <v/>
      </c>
      <c r="C760" s="195">
        <f>IF(B760="","",2*PI()*B760)</f>
        <v/>
      </c>
      <c r="D760" s="195">
        <f>IF(B760="","",ATANH(MIN(0.999999,(2*'入力・概要'!$B$17*'入力・概要'!$B$6)/'入力・概要'!$B$30))+'入力・概要'!$B$33*SQRT(B760/1E6)+(2*PI()*B760*'入力・概要'!$B$6/(299792458*'入力・概要'!$B$31))*'入力・概要'!$B$32/2)</f>
        <v/>
      </c>
      <c r="E760" s="195">
        <f>IF(B760="","",2*PI()*B760*'入力・概要'!$B$6/(299792458*'入力・概要'!$B$31))</f>
        <v/>
      </c>
      <c r="F760" s="195">
        <f>IF(B760="","",SINH(2*D760)/(COSH(2*D760)+COS(2*E760)))</f>
        <v/>
      </c>
      <c r="G760" s="195">
        <f>IF(B760="","",SIN(2*E760)/(COSH(2*D760)+COS(2*E760)))</f>
        <v/>
      </c>
      <c r="H760" s="195">
        <f>IF(B760="","",'入力・概要'!$B$34)</f>
        <v/>
      </c>
      <c r="I760" s="195">
        <f>IF(B760="","",C760*'入力・概要'!$B$35*1E-9)</f>
        <v/>
      </c>
      <c r="J760" s="195">
        <f>IF(B760="","",H760+'入力・概要'!$B$30*F760)</f>
        <v/>
      </c>
      <c r="K760" s="195">
        <f>IF(B760="","",I760+'入力・概要'!$B$30*G760)</f>
        <v/>
      </c>
      <c r="L760" s="195">
        <f>IF(B760="","",'入力・概要'!$B$30+H760*F760-I760*G760)</f>
        <v/>
      </c>
      <c r="M760" s="195">
        <f>IF(B760="","",H760*G760+I760*F760)</f>
        <v/>
      </c>
      <c r="N760" s="195">
        <f>IF(B760="","",'入力・概要'!$B$30*(J760*L760+K760*M760)/(L760^2+M760^2))</f>
        <v/>
      </c>
      <c r="O760" s="195">
        <f>IF(B760="","",'入力・概要'!$B$30*(K760*L760-J760*M760)/(L760^2+M760^2))</f>
        <v/>
      </c>
      <c r="P760" s="195">
        <f>IF(B760="","",N760+'入力・概要'!$B$36)</f>
        <v/>
      </c>
      <c r="Q760" s="195">
        <f>IF(B760="","",O760+C760*'入力・概要'!$B$37*1E-9)</f>
        <v/>
      </c>
      <c r="R760" s="195">
        <f>IF(B760="","",SQRT(P760^2+Q760^2))</f>
        <v/>
      </c>
      <c r="S760" s="195">
        <f>IF(B760="","",IF(P760&gt;0,DEGREES(ATAN(Q760/P760)),IF(P760&lt;0,IF(Q760&gt;=0,DEGREES(ATAN(Q760/P760))+180,DEGREES(ATAN(Q760/P760))-180),IF(Q760&gt;0,90,IF(Q760&lt;0,-90,0)))))</f>
        <v/>
      </c>
      <c r="T760" s="195">
        <f>IF(B760="","",LOG10(B760))</f>
        <v/>
      </c>
      <c r="U760" s="195">
        <f>IF(R760="","",LOG10(MAX(R760,1E-12)))</f>
        <v/>
      </c>
    </row>
    <row r="761">
      <c r="A761" t="n">
        <v>758</v>
      </c>
      <c r="B761" s="196">
        <f>IF(A761&lt;='入力・概要'!$B$40,10^(LOG10('入力・概要'!$B$38)+(A761-1)*(LOG10('入力・概要'!$B$39)-LOG10('入力・概要'!$B$38))/('入力・概要'!$B$40-1)),"")</f>
        <v/>
      </c>
      <c r="C761" s="195">
        <f>IF(B761="","",2*PI()*B761)</f>
        <v/>
      </c>
      <c r="D761" s="195">
        <f>IF(B761="","",ATANH(MIN(0.999999,(2*'入力・概要'!$B$17*'入力・概要'!$B$6)/'入力・概要'!$B$30))+'入力・概要'!$B$33*SQRT(B761/1E6)+(2*PI()*B761*'入力・概要'!$B$6/(299792458*'入力・概要'!$B$31))*'入力・概要'!$B$32/2)</f>
        <v/>
      </c>
      <c r="E761" s="195">
        <f>IF(B761="","",2*PI()*B761*'入力・概要'!$B$6/(299792458*'入力・概要'!$B$31))</f>
        <v/>
      </c>
      <c r="F761" s="195">
        <f>IF(B761="","",SINH(2*D761)/(COSH(2*D761)+COS(2*E761)))</f>
        <v/>
      </c>
      <c r="G761" s="195">
        <f>IF(B761="","",SIN(2*E761)/(COSH(2*D761)+COS(2*E761)))</f>
        <v/>
      </c>
      <c r="H761" s="195">
        <f>IF(B761="","",'入力・概要'!$B$34)</f>
        <v/>
      </c>
      <c r="I761" s="195">
        <f>IF(B761="","",C761*'入力・概要'!$B$35*1E-9)</f>
        <v/>
      </c>
      <c r="J761" s="195">
        <f>IF(B761="","",H761+'入力・概要'!$B$30*F761)</f>
        <v/>
      </c>
      <c r="K761" s="195">
        <f>IF(B761="","",I761+'入力・概要'!$B$30*G761)</f>
        <v/>
      </c>
      <c r="L761" s="195">
        <f>IF(B761="","",'入力・概要'!$B$30+H761*F761-I761*G761)</f>
        <v/>
      </c>
      <c r="M761" s="195">
        <f>IF(B761="","",H761*G761+I761*F761)</f>
        <v/>
      </c>
      <c r="N761" s="195">
        <f>IF(B761="","",'入力・概要'!$B$30*(J761*L761+K761*M761)/(L761^2+M761^2))</f>
        <v/>
      </c>
      <c r="O761" s="195">
        <f>IF(B761="","",'入力・概要'!$B$30*(K761*L761-J761*M761)/(L761^2+M761^2))</f>
        <v/>
      </c>
      <c r="P761" s="195">
        <f>IF(B761="","",N761+'入力・概要'!$B$36)</f>
        <v/>
      </c>
      <c r="Q761" s="195">
        <f>IF(B761="","",O761+C761*'入力・概要'!$B$37*1E-9)</f>
        <v/>
      </c>
      <c r="R761" s="195">
        <f>IF(B761="","",SQRT(P761^2+Q761^2))</f>
        <v/>
      </c>
      <c r="S761" s="195">
        <f>IF(B761="","",IF(P761&gt;0,DEGREES(ATAN(Q761/P761)),IF(P761&lt;0,IF(Q761&gt;=0,DEGREES(ATAN(Q761/P761))+180,DEGREES(ATAN(Q761/P761))-180),IF(Q761&gt;0,90,IF(Q761&lt;0,-90,0)))))</f>
        <v/>
      </c>
      <c r="T761" s="195">
        <f>IF(B761="","",LOG10(B761))</f>
        <v/>
      </c>
      <c r="U761" s="195">
        <f>IF(R761="","",LOG10(MAX(R761,1E-12)))</f>
        <v/>
      </c>
    </row>
    <row r="762">
      <c r="A762" t="n">
        <v>759</v>
      </c>
      <c r="B762" s="196">
        <f>IF(A762&lt;='入力・概要'!$B$40,10^(LOG10('入力・概要'!$B$38)+(A762-1)*(LOG10('入力・概要'!$B$39)-LOG10('入力・概要'!$B$38))/('入力・概要'!$B$40-1)),"")</f>
        <v/>
      </c>
      <c r="C762" s="195">
        <f>IF(B762="","",2*PI()*B762)</f>
        <v/>
      </c>
      <c r="D762" s="195">
        <f>IF(B762="","",ATANH(MIN(0.999999,(2*'入力・概要'!$B$17*'入力・概要'!$B$6)/'入力・概要'!$B$30))+'入力・概要'!$B$33*SQRT(B762/1E6)+(2*PI()*B762*'入力・概要'!$B$6/(299792458*'入力・概要'!$B$31))*'入力・概要'!$B$32/2)</f>
        <v/>
      </c>
      <c r="E762" s="195">
        <f>IF(B762="","",2*PI()*B762*'入力・概要'!$B$6/(299792458*'入力・概要'!$B$31))</f>
        <v/>
      </c>
      <c r="F762" s="195">
        <f>IF(B762="","",SINH(2*D762)/(COSH(2*D762)+COS(2*E762)))</f>
        <v/>
      </c>
      <c r="G762" s="195">
        <f>IF(B762="","",SIN(2*E762)/(COSH(2*D762)+COS(2*E762)))</f>
        <v/>
      </c>
      <c r="H762" s="195">
        <f>IF(B762="","",'入力・概要'!$B$34)</f>
        <v/>
      </c>
      <c r="I762" s="195">
        <f>IF(B762="","",C762*'入力・概要'!$B$35*1E-9)</f>
        <v/>
      </c>
      <c r="J762" s="195">
        <f>IF(B762="","",H762+'入力・概要'!$B$30*F762)</f>
        <v/>
      </c>
      <c r="K762" s="195">
        <f>IF(B762="","",I762+'入力・概要'!$B$30*G762)</f>
        <v/>
      </c>
      <c r="L762" s="195">
        <f>IF(B762="","",'入力・概要'!$B$30+H762*F762-I762*G762)</f>
        <v/>
      </c>
      <c r="M762" s="195">
        <f>IF(B762="","",H762*G762+I762*F762)</f>
        <v/>
      </c>
      <c r="N762" s="195">
        <f>IF(B762="","",'入力・概要'!$B$30*(J762*L762+K762*M762)/(L762^2+M762^2))</f>
        <v/>
      </c>
      <c r="O762" s="195">
        <f>IF(B762="","",'入力・概要'!$B$30*(K762*L762-J762*M762)/(L762^2+M762^2))</f>
        <v/>
      </c>
      <c r="P762" s="195">
        <f>IF(B762="","",N762+'入力・概要'!$B$36)</f>
        <v/>
      </c>
      <c r="Q762" s="195">
        <f>IF(B762="","",O762+C762*'入力・概要'!$B$37*1E-9)</f>
        <v/>
      </c>
      <c r="R762" s="195">
        <f>IF(B762="","",SQRT(P762^2+Q762^2))</f>
        <v/>
      </c>
      <c r="S762" s="195">
        <f>IF(B762="","",IF(P762&gt;0,DEGREES(ATAN(Q762/P762)),IF(P762&lt;0,IF(Q762&gt;=0,DEGREES(ATAN(Q762/P762))+180,DEGREES(ATAN(Q762/P762))-180),IF(Q762&gt;0,90,IF(Q762&lt;0,-90,0)))))</f>
        <v/>
      </c>
      <c r="T762" s="195">
        <f>IF(B762="","",LOG10(B762))</f>
        <v/>
      </c>
      <c r="U762" s="195">
        <f>IF(R762="","",LOG10(MAX(R762,1E-12)))</f>
        <v/>
      </c>
    </row>
    <row r="763">
      <c r="A763" t="n">
        <v>760</v>
      </c>
      <c r="B763" s="196">
        <f>IF(A763&lt;='入力・概要'!$B$40,10^(LOG10('入力・概要'!$B$38)+(A763-1)*(LOG10('入力・概要'!$B$39)-LOG10('入力・概要'!$B$38))/('入力・概要'!$B$40-1)),"")</f>
        <v/>
      </c>
      <c r="C763" s="195">
        <f>IF(B763="","",2*PI()*B763)</f>
        <v/>
      </c>
      <c r="D763" s="195">
        <f>IF(B763="","",ATANH(MIN(0.999999,(2*'入力・概要'!$B$17*'入力・概要'!$B$6)/'入力・概要'!$B$30))+'入力・概要'!$B$33*SQRT(B763/1E6)+(2*PI()*B763*'入力・概要'!$B$6/(299792458*'入力・概要'!$B$31))*'入力・概要'!$B$32/2)</f>
        <v/>
      </c>
      <c r="E763" s="195">
        <f>IF(B763="","",2*PI()*B763*'入力・概要'!$B$6/(299792458*'入力・概要'!$B$31))</f>
        <v/>
      </c>
      <c r="F763" s="195">
        <f>IF(B763="","",SINH(2*D763)/(COSH(2*D763)+COS(2*E763)))</f>
        <v/>
      </c>
      <c r="G763" s="195">
        <f>IF(B763="","",SIN(2*E763)/(COSH(2*D763)+COS(2*E763)))</f>
        <v/>
      </c>
      <c r="H763" s="195">
        <f>IF(B763="","",'入力・概要'!$B$34)</f>
        <v/>
      </c>
      <c r="I763" s="195">
        <f>IF(B763="","",C763*'入力・概要'!$B$35*1E-9)</f>
        <v/>
      </c>
      <c r="J763" s="195">
        <f>IF(B763="","",H763+'入力・概要'!$B$30*F763)</f>
        <v/>
      </c>
      <c r="K763" s="195">
        <f>IF(B763="","",I763+'入力・概要'!$B$30*G763)</f>
        <v/>
      </c>
      <c r="L763" s="195">
        <f>IF(B763="","",'入力・概要'!$B$30+H763*F763-I763*G763)</f>
        <v/>
      </c>
      <c r="M763" s="195">
        <f>IF(B763="","",H763*G763+I763*F763)</f>
        <v/>
      </c>
      <c r="N763" s="195">
        <f>IF(B763="","",'入力・概要'!$B$30*(J763*L763+K763*M763)/(L763^2+M763^2))</f>
        <v/>
      </c>
      <c r="O763" s="195">
        <f>IF(B763="","",'入力・概要'!$B$30*(K763*L763-J763*M763)/(L763^2+M763^2))</f>
        <v/>
      </c>
      <c r="P763" s="195">
        <f>IF(B763="","",N763+'入力・概要'!$B$36)</f>
        <v/>
      </c>
      <c r="Q763" s="195">
        <f>IF(B763="","",O763+C763*'入力・概要'!$B$37*1E-9)</f>
        <v/>
      </c>
      <c r="R763" s="195">
        <f>IF(B763="","",SQRT(P763^2+Q763^2))</f>
        <v/>
      </c>
      <c r="S763" s="195">
        <f>IF(B763="","",IF(P763&gt;0,DEGREES(ATAN(Q763/P763)),IF(P763&lt;0,IF(Q763&gt;=0,DEGREES(ATAN(Q763/P763))+180,DEGREES(ATAN(Q763/P763))-180),IF(Q763&gt;0,90,IF(Q763&lt;0,-90,0)))))</f>
        <v/>
      </c>
      <c r="T763" s="195">
        <f>IF(B763="","",LOG10(B763))</f>
        <v/>
      </c>
      <c r="U763" s="195">
        <f>IF(R763="","",LOG10(MAX(R763,1E-12)))</f>
        <v/>
      </c>
    </row>
    <row r="764">
      <c r="A764" t="n">
        <v>761</v>
      </c>
      <c r="B764" s="196">
        <f>IF(A764&lt;='入力・概要'!$B$40,10^(LOG10('入力・概要'!$B$38)+(A764-1)*(LOG10('入力・概要'!$B$39)-LOG10('入力・概要'!$B$38))/('入力・概要'!$B$40-1)),"")</f>
        <v/>
      </c>
      <c r="C764" s="195">
        <f>IF(B764="","",2*PI()*B764)</f>
        <v/>
      </c>
      <c r="D764" s="195">
        <f>IF(B764="","",ATANH(MIN(0.999999,(2*'入力・概要'!$B$17*'入力・概要'!$B$6)/'入力・概要'!$B$30))+'入力・概要'!$B$33*SQRT(B764/1E6)+(2*PI()*B764*'入力・概要'!$B$6/(299792458*'入力・概要'!$B$31))*'入力・概要'!$B$32/2)</f>
        <v/>
      </c>
      <c r="E764" s="195">
        <f>IF(B764="","",2*PI()*B764*'入力・概要'!$B$6/(299792458*'入力・概要'!$B$31))</f>
        <v/>
      </c>
      <c r="F764" s="195">
        <f>IF(B764="","",SINH(2*D764)/(COSH(2*D764)+COS(2*E764)))</f>
        <v/>
      </c>
      <c r="G764" s="195">
        <f>IF(B764="","",SIN(2*E764)/(COSH(2*D764)+COS(2*E764)))</f>
        <v/>
      </c>
      <c r="H764" s="195">
        <f>IF(B764="","",'入力・概要'!$B$34)</f>
        <v/>
      </c>
      <c r="I764" s="195">
        <f>IF(B764="","",C764*'入力・概要'!$B$35*1E-9)</f>
        <v/>
      </c>
      <c r="J764" s="195">
        <f>IF(B764="","",H764+'入力・概要'!$B$30*F764)</f>
        <v/>
      </c>
      <c r="K764" s="195">
        <f>IF(B764="","",I764+'入力・概要'!$B$30*G764)</f>
        <v/>
      </c>
      <c r="L764" s="195">
        <f>IF(B764="","",'入力・概要'!$B$30+H764*F764-I764*G764)</f>
        <v/>
      </c>
      <c r="M764" s="195">
        <f>IF(B764="","",H764*G764+I764*F764)</f>
        <v/>
      </c>
      <c r="N764" s="195">
        <f>IF(B764="","",'入力・概要'!$B$30*(J764*L764+K764*M764)/(L764^2+M764^2))</f>
        <v/>
      </c>
      <c r="O764" s="195">
        <f>IF(B764="","",'入力・概要'!$B$30*(K764*L764-J764*M764)/(L764^2+M764^2))</f>
        <v/>
      </c>
      <c r="P764" s="195">
        <f>IF(B764="","",N764+'入力・概要'!$B$36)</f>
        <v/>
      </c>
      <c r="Q764" s="195">
        <f>IF(B764="","",O764+C764*'入力・概要'!$B$37*1E-9)</f>
        <v/>
      </c>
      <c r="R764" s="195">
        <f>IF(B764="","",SQRT(P764^2+Q764^2))</f>
        <v/>
      </c>
      <c r="S764" s="195">
        <f>IF(B764="","",IF(P764&gt;0,DEGREES(ATAN(Q764/P764)),IF(P764&lt;0,IF(Q764&gt;=0,DEGREES(ATAN(Q764/P764))+180,DEGREES(ATAN(Q764/P764))-180),IF(Q764&gt;0,90,IF(Q764&lt;0,-90,0)))))</f>
        <v/>
      </c>
      <c r="T764" s="195">
        <f>IF(B764="","",LOG10(B764))</f>
        <v/>
      </c>
      <c r="U764" s="195">
        <f>IF(R764="","",LOG10(MAX(R764,1E-12)))</f>
        <v/>
      </c>
    </row>
    <row r="765">
      <c r="A765" t="n">
        <v>762</v>
      </c>
      <c r="B765" s="196">
        <f>IF(A765&lt;='入力・概要'!$B$40,10^(LOG10('入力・概要'!$B$38)+(A765-1)*(LOG10('入力・概要'!$B$39)-LOG10('入力・概要'!$B$38))/('入力・概要'!$B$40-1)),"")</f>
        <v/>
      </c>
      <c r="C765" s="195">
        <f>IF(B765="","",2*PI()*B765)</f>
        <v/>
      </c>
      <c r="D765" s="195">
        <f>IF(B765="","",ATANH(MIN(0.999999,(2*'入力・概要'!$B$17*'入力・概要'!$B$6)/'入力・概要'!$B$30))+'入力・概要'!$B$33*SQRT(B765/1E6)+(2*PI()*B765*'入力・概要'!$B$6/(299792458*'入力・概要'!$B$31))*'入力・概要'!$B$32/2)</f>
        <v/>
      </c>
      <c r="E765" s="195">
        <f>IF(B765="","",2*PI()*B765*'入力・概要'!$B$6/(299792458*'入力・概要'!$B$31))</f>
        <v/>
      </c>
      <c r="F765" s="195">
        <f>IF(B765="","",SINH(2*D765)/(COSH(2*D765)+COS(2*E765)))</f>
        <v/>
      </c>
      <c r="G765" s="195">
        <f>IF(B765="","",SIN(2*E765)/(COSH(2*D765)+COS(2*E765)))</f>
        <v/>
      </c>
      <c r="H765" s="195">
        <f>IF(B765="","",'入力・概要'!$B$34)</f>
        <v/>
      </c>
      <c r="I765" s="195">
        <f>IF(B765="","",C765*'入力・概要'!$B$35*1E-9)</f>
        <v/>
      </c>
      <c r="J765" s="195">
        <f>IF(B765="","",H765+'入力・概要'!$B$30*F765)</f>
        <v/>
      </c>
      <c r="K765" s="195">
        <f>IF(B765="","",I765+'入力・概要'!$B$30*G765)</f>
        <v/>
      </c>
      <c r="L765" s="195">
        <f>IF(B765="","",'入力・概要'!$B$30+H765*F765-I765*G765)</f>
        <v/>
      </c>
      <c r="M765" s="195">
        <f>IF(B765="","",H765*G765+I765*F765)</f>
        <v/>
      </c>
      <c r="N765" s="195">
        <f>IF(B765="","",'入力・概要'!$B$30*(J765*L765+K765*M765)/(L765^2+M765^2))</f>
        <v/>
      </c>
      <c r="O765" s="195">
        <f>IF(B765="","",'入力・概要'!$B$30*(K765*L765-J765*M765)/(L765^2+M765^2))</f>
        <v/>
      </c>
      <c r="P765" s="195">
        <f>IF(B765="","",N765+'入力・概要'!$B$36)</f>
        <v/>
      </c>
      <c r="Q765" s="195">
        <f>IF(B765="","",O765+C765*'入力・概要'!$B$37*1E-9)</f>
        <v/>
      </c>
      <c r="R765" s="195">
        <f>IF(B765="","",SQRT(P765^2+Q765^2))</f>
        <v/>
      </c>
      <c r="S765" s="195">
        <f>IF(B765="","",IF(P765&gt;0,DEGREES(ATAN(Q765/P765)),IF(P765&lt;0,IF(Q765&gt;=0,DEGREES(ATAN(Q765/P765))+180,DEGREES(ATAN(Q765/P765))-180),IF(Q765&gt;0,90,IF(Q765&lt;0,-90,0)))))</f>
        <v/>
      </c>
      <c r="T765" s="195">
        <f>IF(B765="","",LOG10(B765))</f>
        <v/>
      </c>
      <c r="U765" s="195">
        <f>IF(R765="","",LOG10(MAX(R765,1E-12)))</f>
        <v/>
      </c>
    </row>
    <row r="766">
      <c r="A766" t="n">
        <v>763</v>
      </c>
      <c r="B766" s="196">
        <f>IF(A766&lt;='入力・概要'!$B$40,10^(LOG10('入力・概要'!$B$38)+(A766-1)*(LOG10('入力・概要'!$B$39)-LOG10('入力・概要'!$B$38))/('入力・概要'!$B$40-1)),"")</f>
        <v/>
      </c>
      <c r="C766" s="195">
        <f>IF(B766="","",2*PI()*B766)</f>
        <v/>
      </c>
      <c r="D766" s="195">
        <f>IF(B766="","",ATANH(MIN(0.999999,(2*'入力・概要'!$B$17*'入力・概要'!$B$6)/'入力・概要'!$B$30))+'入力・概要'!$B$33*SQRT(B766/1E6)+(2*PI()*B766*'入力・概要'!$B$6/(299792458*'入力・概要'!$B$31))*'入力・概要'!$B$32/2)</f>
        <v/>
      </c>
      <c r="E766" s="195">
        <f>IF(B766="","",2*PI()*B766*'入力・概要'!$B$6/(299792458*'入力・概要'!$B$31))</f>
        <v/>
      </c>
      <c r="F766" s="195">
        <f>IF(B766="","",SINH(2*D766)/(COSH(2*D766)+COS(2*E766)))</f>
        <v/>
      </c>
      <c r="G766" s="195">
        <f>IF(B766="","",SIN(2*E766)/(COSH(2*D766)+COS(2*E766)))</f>
        <v/>
      </c>
      <c r="H766" s="195">
        <f>IF(B766="","",'入力・概要'!$B$34)</f>
        <v/>
      </c>
      <c r="I766" s="195">
        <f>IF(B766="","",C766*'入力・概要'!$B$35*1E-9)</f>
        <v/>
      </c>
      <c r="J766" s="195">
        <f>IF(B766="","",H766+'入力・概要'!$B$30*F766)</f>
        <v/>
      </c>
      <c r="K766" s="195">
        <f>IF(B766="","",I766+'入力・概要'!$B$30*G766)</f>
        <v/>
      </c>
      <c r="L766" s="195">
        <f>IF(B766="","",'入力・概要'!$B$30+H766*F766-I766*G766)</f>
        <v/>
      </c>
      <c r="M766" s="195">
        <f>IF(B766="","",H766*G766+I766*F766)</f>
        <v/>
      </c>
      <c r="N766" s="195">
        <f>IF(B766="","",'入力・概要'!$B$30*(J766*L766+K766*M766)/(L766^2+M766^2))</f>
        <v/>
      </c>
      <c r="O766" s="195">
        <f>IF(B766="","",'入力・概要'!$B$30*(K766*L766-J766*M766)/(L766^2+M766^2))</f>
        <v/>
      </c>
      <c r="P766" s="195">
        <f>IF(B766="","",N766+'入力・概要'!$B$36)</f>
        <v/>
      </c>
      <c r="Q766" s="195">
        <f>IF(B766="","",O766+C766*'入力・概要'!$B$37*1E-9)</f>
        <v/>
      </c>
      <c r="R766" s="195">
        <f>IF(B766="","",SQRT(P766^2+Q766^2))</f>
        <v/>
      </c>
      <c r="S766" s="195">
        <f>IF(B766="","",IF(P766&gt;0,DEGREES(ATAN(Q766/P766)),IF(P766&lt;0,IF(Q766&gt;=0,DEGREES(ATAN(Q766/P766))+180,DEGREES(ATAN(Q766/P766))-180),IF(Q766&gt;0,90,IF(Q766&lt;0,-90,0)))))</f>
        <v/>
      </c>
      <c r="T766" s="195">
        <f>IF(B766="","",LOG10(B766))</f>
        <v/>
      </c>
      <c r="U766" s="195">
        <f>IF(R766="","",LOG10(MAX(R766,1E-12)))</f>
        <v/>
      </c>
    </row>
    <row r="767">
      <c r="A767" t="n">
        <v>764</v>
      </c>
      <c r="B767" s="196">
        <f>IF(A767&lt;='入力・概要'!$B$40,10^(LOG10('入力・概要'!$B$38)+(A767-1)*(LOG10('入力・概要'!$B$39)-LOG10('入力・概要'!$B$38))/('入力・概要'!$B$40-1)),"")</f>
        <v/>
      </c>
      <c r="C767" s="195">
        <f>IF(B767="","",2*PI()*B767)</f>
        <v/>
      </c>
      <c r="D767" s="195">
        <f>IF(B767="","",ATANH(MIN(0.999999,(2*'入力・概要'!$B$17*'入力・概要'!$B$6)/'入力・概要'!$B$30))+'入力・概要'!$B$33*SQRT(B767/1E6)+(2*PI()*B767*'入力・概要'!$B$6/(299792458*'入力・概要'!$B$31))*'入力・概要'!$B$32/2)</f>
        <v/>
      </c>
      <c r="E767" s="195">
        <f>IF(B767="","",2*PI()*B767*'入力・概要'!$B$6/(299792458*'入力・概要'!$B$31))</f>
        <v/>
      </c>
      <c r="F767" s="195">
        <f>IF(B767="","",SINH(2*D767)/(COSH(2*D767)+COS(2*E767)))</f>
        <v/>
      </c>
      <c r="G767" s="195">
        <f>IF(B767="","",SIN(2*E767)/(COSH(2*D767)+COS(2*E767)))</f>
        <v/>
      </c>
      <c r="H767" s="195">
        <f>IF(B767="","",'入力・概要'!$B$34)</f>
        <v/>
      </c>
      <c r="I767" s="195">
        <f>IF(B767="","",C767*'入力・概要'!$B$35*1E-9)</f>
        <v/>
      </c>
      <c r="J767" s="195">
        <f>IF(B767="","",H767+'入力・概要'!$B$30*F767)</f>
        <v/>
      </c>
      <c r="K767" s="195">
        <f>IF(B767="","",I767+'入力・概要'!$B$30*G767)</f>
        <v/>
      </c>
      <c r="L767" s="195">
        <f>IF(B767="","",'入力・概要'!$B$30+H767*F767-I767*G767)</f>
        <v/>
      </c>
      <c r="M767" s="195">
        <f>IF(B767="","",H767*G767+I767*F767)</f>
        <v/>
      </c>
      <c r="N767" s="195">
        <f>IF(B767="","",'入力・概要'!$B$30*(J767*L767+K767*M767)/(L767^2+M767^2))</f>
        <v/>
      </c>
      <c r="O767" s="195">
        <f>IF(B767="","",'入力・概要'!$B$30*(K767*L767-J767*M767)/(L767^2+M767^2))</f>
        <v/>
      </c>
      <c r="P767" s="195">
        <f>IF(B767="","",N767+'入力・概要'!$B$36)</f>
        <v/>
      </c>
      <c r="Q767" s="195">
        <f>IF(B767="","",O767+C767*'入力・概要'!$B$37*1E-9)</f>
        <v/>
      </c>
      <c r="R767" s="195">
        <f>IF(B767="","",SQRT(P767^2+Q767^2))</f>
        <v/>
      </c>
      <c r="S767" s="195">
        <f>IF(B767="","",IF(P767&gt;0,DEGREES(ATAN(Q767/P767)),IF(P767&lt;0,IF(Q767&gt;=0,DEGREES(ATAN(Q767/P767))+180,DEGREES(ATAN(Q767/P767))-180),IF(Q767&gt;0,90,IF(Q767&lt;0,-90,0)))))</f>
        <v/>
      </c>
      <c r="T767" s="195">
        <f>IF(B767="","",LOG10(B767))</f>
        <v/>
      </c>
      <c r="U767" s="195">
        <f>IF(R767="","",LOG10(MAX(R767,1E-12)))</f>
        <v/>
      </c>
    </row>
    <row r="768">
      <c r="A768" t="n">
        <v>765</v>
      </c>
      <c r="B768" s="196">
        <f>IF(A768&lt;='入力・概要'!$B$40,10^(LOG10('入力・概要'!$B$38)+(A768-1)*(LOG10('入力・概要'!$B$39)-LOG10('入力・概要'!$B$38))/('入力・概要'!$B$40-1)),"")</f>
        <v/>
      </c>
      <c r="C768" s="195">
        <f>IF(B768="","",2*PI()*B768)</f>
        <v/>
      </c>
      <c r="D768" s="195">
        <f>IF(B768="","",ATANH(MIN(0.999999,(2*'入力・概要'!$B$17*'入力・概要'!$B$6)/'入力・概要'!$B$30))+'入力・概要'!$B$33*SQRT(B768/1E6)+(2*PI()*B768*'入力・概要'!$B$6/(299792458*'入力・概要'!$B$31))*'入力・概要'!$B$32/2)</f>
        <v/>
      </c>
      <c r="E768" s="195">
        <f>IF(B768="","",2*PI()*B768*'入力・概要'!$B$6/(299792458*'入力・概要'!$B$31))</f>
        <v/>
      </c>
      <c r="F768" s="195">
        <f>IF(B768="","",SINH(2*D768)/(COSH(2*D768)+COS(2*E768)))</f>
        <v/>
      </c>
      <c r="G768" s="195">
        <f>IF(B768="","",SIN(2*E768)/(COSH(2*D768)+COS(2*E768)))</f>
        <v/>
      </c>
      <c r="H768" s="195">
        <f>IF(B768="","",'入力・概要'!$B$34)</f>
        <v/>
      </c>
      <c r="I768" s="195">
        <f>IF(B768="","",C768*'入力・概要'!$B$35*1E-9)</f>
        <v/>
      </c>
      <c r="J768" s="195">
        <f>IF(B768="","",H768+'入力・概要'!$B$30*F768)</f>
        <v/>
      </c>
      <c r="K768" s="195">
        <f>IF(B768="","",I768+'入力・概要'!$B$30*G768)</f>
        <v/>
      </c>
      <c r="L768" s="195">
        <f>IF(B768="","",'入力・概要'!$B$30+H768*F768-I768*G768)</f>
        <v/>
      </c>
      <c r="M768" s="195">
        <f>IF(B768="","",H768*G768+I768*F768)</f>
        <v/>
      </c>
      <c r="N768" s="195">
        <f>IF(B768="","",'入力・概要'!$B$30*(J768*L768+K768*M768)/(L768^2+M768^2))</f>
        <v/>
      </c>
      <c r="O768" s="195">
        <f>IF(B768="","",'入力・概要'!$B$30*(K768*L768-J768*M768)/(L768^2+M768^2))</f>
        <v/>
      </c>
      <c r="P768" s="195">
        <f>IF(B768="","",N768+'入力・概要'!$B$36)</f>
        <v/>
      </c>
      <c r="Q768" s="195">
        <f>IF(B768="","",O768+C768*'入力・概要'!$B$37*1E-9)</f>
        <v/>
      </c>
      <c r="R768" s="195">
        <f>IF(B768="","",SQRT(P768^2+Q768^2))</f>
        <v/>
      </c>
      <c r="S768" s="195">
        <f>IF(B768="","",IF(P768&gt;0,DEGREES(ATAN(Q768/P768)),IF(P768&lt;0,IF(Q768&gt;=0,DEGREES(ATAN(Q768/P768))+180,DEGREES(ATAN(Q768/P768))-180),IF(Q768&gt;0,90,IF(Q768&lt;0,-90,0)))))</f>
        <v/>
      </c>
      <c r="T768" s="195">
        <f>IF(B768="","",LOG10(B768))</f>
        <v/>
      </c>
      <c r="U768" s="195">
        <f>IF(R768="","",LOG10(MAX(R768,1E-12)))</f>
        <v/>
      </c>
    </row>
    <row r="769">
      <c r="A769" t="n">
        <v>766</v>
      </c>
      <c r="B769" s="196">
        <f>IF(A769&lt;='入力・概要'!$B$40,10^(LOG10('入力・概要'!$B$38)+(A769-1)*(LOG10('入力・概要'!$B$39)-LOG10('入力・概要'!$B$38))/('入力・概要'!$B$40-1)),"")</f>
        <v/>
      </c>
      <c r="C769" s="195">
        <f>IF(B769="","",2*PI()*B769)</f>
        <v/>
      </c>
      <c r="D769" s="195">
        <f>IF(B769="","",ATANH(MIN(0.999999,(2*'入力・概要'!$B$17*'入力・概要'!$B$6)/'入力・概要'!$B$30))+'入力・概要'!$B$33*SQRT(B769/1E6)+(2*PI()*B769*'入力・概要'!$B$6/(299792458*'入力・概要'!$B$31))*'入力・概要'!$B$32/2)</f>
        <v/>
      </c>
      <c r="E769" s="195">
        <f>IF(B769="","",2*PI()*B769*'入力・概要'!$B$6/(299792458*'入力・概要'!$B$31))</f>
        <v/>
      </c>
      <c r="F769" s="195">
        <f>IF(B769="","",SINH(2*D769)/(COSH(2*D769)+COS(2*E769)))</f>
        <v/>
      </c>
      <c r="G769" s="195">
        <f>IF(B769="","",SIN(2*E769)/(COSH(2*D769)+COS(2*E769)))</f>
        <v/>
      </c>
      <c r="H769" s="195">
        <f>IF(B769="","",'入力・概要'!$B$34)</f>
        <v/>
      </c>
      <c r="I769" s="195">
        <f>IF(B769="","",C769*'入力・概要'!$B$35*1E-9)</f>
        <v/>
      </c>
      <c r="J769" s="195">
        <f>IF(B769="","",H769+'入力・概要'!$B$30*F769)</f>
        <v/>
      </c>
      <c r="K769" s="195">
        <f>IF(B769="","",I769+'入力・概要'!$B$30*G769)</f>
        <v/>
      </c>
      <c r="L769" s="195">
        <f>IF(B769="","",'入力・概要'!$B$30+H769*F769-I769*G769)</f>
        <v/>
      </c>
      <c r="M769" s="195">
        <f>IF(B769="","",H769*G769+I769*F769)</f>
        <v/>
      </c>
      <c r="N769" s="195">
        <f>IF(B769="","",'入力・概要'!$B$30*(J769*L769+K769*M769)/(L769^2+M769^2))</f>
        <v/>
      </c>
      <c r="O769" s="195">
        <f>IF(B769="","",'入力・概要'!$B$30*(K769*L769-J769*M769)/(L769^2+M769^2))</f>
        <v/>
      </c>
      <c r="P769" s="195">
        <f>IF(B769="","",N769+'入力・概要'!$B$36)</f>
        <v/>
      </c>
      <c r="Q769" s="195">
        <f>IF(B769="","",O769+C769*'入力・概要'!$B$37*1E-9)</f>
        <v/>
      </c>
      <c r="R769" s="195">
        <f>IF(B769="","",SQRT(P769^2+Q769^2))</f>
        <v/>
      </c>
      <c r="S769" s="195">
        <f>IF(B769="","",IF(P769&gt;0,DEGREES(ATAN(Q769/P769)),IF(P769&lt;0,IF(Q769&gt;=0,DEGREES(ATAN(Q769/P769))+180,DEGREES(ATAN(Q769/P769))-180),IF(Q769&gt;0,90,IF(Q769&lt;0,-90,0)))))</f>
        <v/>
      </c>
      <c r="T769" s="195">
        <f>IF(B769="","",LOG10(B769))</f>
        <v/>
      </c>
      <c r="U769" s="195">
        <f>IF(R769="","",LOG10(MAX(R769,1E-12)))</f>
        <v/>
      </c>
    </row>
    <row r="770">
      <c r="A770" t="n">
        <v>767</v>
      </c>
      <c r="B770" s="196">
        <f>IF(A770&lt;='入力・概要'!$B$40,10^(LOG10('入力・概要'!$B$38)+(A770-1)*(LOG10('入力・概要'!$B$39)-LOG10('入力・概要'!$B$38))/('入力・概要'!$B$40-1)),"")</f>
        <v/>
      </c>
      <c r="C770" s="195">
        <f>IF(B770="","",2*PI()*B770)</f>
        <v/>
      </c>
      <c r="D770" s="195">
        <f>IF(B770="","",ATANH(MIN(0.999999,(2*'入力・概要'!$B$17*'入力・概要'!$B$6)/'入力・概要'!$B$30))+'入力・概要'!$B$33*SQRT(B770/1E6)+(2*PI()*B770*'入力・概要'!$B$6/(299792458*'入力・概要'!$B$31))*'入力・概要'!$B$32/2)</f>
        <v/>
      </c>
      <c r="E770" s="195">
        <f>IF(B770="","",2*PI()*B770*'入力・概要'!$B$6/(299792458*'入力・概要'!$B$31))</f>
        <v/>
      </c>
      <c r="F770" s="195">
        <f>IF(B770="","",SINH(2*D770)/(COSH(2*D770)+COS(2*E770)))</f>
        <v/>
      </c>
      <c r="G770" s="195">
        <f>IF(B770="","",SIN(2*E770)/(COSH(2*D770)+COS(2*E770)))</f>
        <v/>
      </c>
      <c r="H770" s="195">
        <f>IF(B770="","",'入力・概要'!$B$34)</f>
        <v/>
      </c>
      <c r="I770" s="195">
        <f>IF(B770="","",C770*'入力・概要'!$B$35*1E-9)</f>
        <v/>
      </c>
      <c r="J770" s="195">
        <f>IF(B770="","",H770+'入力・概要'!$B$30*F770)</f>
        <v/>
      </c>
      <c r="K770" s="195">
        <f>IF(B770="","",I770+'入力・概要'!$B$30*G770)</f>
        <v/>
      </c>
      <c r="L770" s="195">
        <f>IF(B770="","",'入力・概要'!$B$30+H770*F770-I770*G770)</f>
        <v/>
      </c>
      <c r="M770" s="195">
        <f>IF(B770="","",H770*G770+I770*F770)</f>
        <v/>
      </c>
      <c r="N770" s="195">
        <f>IF(B770="","",'入力・概要'!$B$30*(J770*L770+K770*M770)/(L770^2+M770^2))</f>
        <v/>
      </c>
      <c r="O770" s="195">
        <f>IF(B770="","",'入力・概要'!$B$30*(K770*L770-J770*M770)/(L770^2+M770^2))</f>
        <v/>
      </c>
      <c r="P770" s="195">
        <f>IF(B770="","",N770+'入力・概要'!$B$36)</f>
        <v/>
      </c>
      <c r="Q770" s="195">
        <f>IF(B770="","",O770+C770*'入力・概要'!$B$37*1E-9)</f>
        <v/>
      </c>
      <c r="R770" s="195">
        <f>IF(B770="","",SQRT(P770^2+Q770^2))</f>
        <v/>
      </c>
      <c r="S770" s="195">
        <f>IF(B770="","",IF(P770&gt;0,DEGREES(ATAN(Q770/P770)),IF(P770&lt;0,IF(Q770&gt;=0,DEGREES(ATAN(Q770/P770))+180,DEGREES(ATAN(Q770/P770))-180),IF(Q770&gt;0,90,IF(Q770&lt;0,-90,0)))))</f>
        <v/>
      </c>
      <c r="T770" s="195">
        <f>IF(B770="","",LOG10(B770))</f>
        <v/>
      </c>
      <c r="U770" s="195">
        <f>IF(R770="","",LOG10(MAX(R770,1E-12)))</f>
        <v/>
      </c>
    </row>
    <row r="771">
      <c r="A771" t="n">
        <v>768</v>
      </c>
      <c r="B771" s="196">
        <f>IF(A771&lt;='入力・概要'!$B$40,10^(LOG10('入力・概要'!$B$38)+(A771-1)*(LOG10('入力・概要'!$B$39)-LOG10('入力・概要'!$B$38))/('入力・概要'!$B$40-1)),"")</f>
        <v/>
      </c>
      <c r="C771" s="195">
        <f>IF(B771="","",2*PI()*B771)</f>
        <v/>
      </c>
      <c r="D771" s="195">
        <f>IF(B771="","",ATANH(MIN(0.999999,(2*'入力・概要'!$B$17*'入力・概要'!$B$6)/'入力・概要'!$B$30))+'入力・概要'!$B$33*SQRT(B771/1E6)+(2*PI()*B771*'入力・概要'!$B$6/(299792458*'入力・概要'!$B$31))*'入力・概要'!$B$32/2)</f>
        <v/>
      </c>
      <c r="E771" s="195">
        <f>IF(B771="","",2*PI()*B771*'入力・概要'!$B$6/(299792458*'入力・概要'!$B$31))</f>
        <v/>
      </c>
      <c r="F771" s="195">
        <f>IF(B771="","",SINH(2*D771)/(COSH(2*D771)+COS(2*E771)))</f>
        <v/>
      </c>
      <c r="G771" s="195">
        <f>IF(B771="","",SIN(2*E771)/(COSH(2*D771)+COS(2*E771)))</f>
        <v/>
      </c>
      <c r="H771" s="195">
        <f>IF(B771="","",'入力・概要'!$B$34)</f>
        <v/>
      </c>
      <c r="I771" s="195">
        <f>IF(B771="","",C771*'入力・概要'!$B$35*1E-9)</f>
        <v/>
      </c>
      <c r="J771" s="195">
        <f>IF(B771="","",H771+'入力・概要'!$B$30*F771)</f>
        <v/>
      </c>
      <c r="K771" s="195">
        <f>IF(B771="","",I771+'入力・概要'!$B$30*G771)</f>
        <v/>
      </c>
      <c r="L771" s="195">
        <f>IF(B771="","",'入力・概要'!$B$30+H771*F771-I771*G771)</f>
        <v/>
      </c>
      <c r="M771" s="195">
        <f>IF(B771="","",H771*G771+I771*F771)</f>
        <v/>
      </c>
      <c r="N771" s="195">
        <f>IF(B771="","",'入力・概要'!$B$30*(J771*L771+K771*M771)/(L771^2+M771^2))</f>
        <v/>
      </c>
      <c r="O771" s="195">
        <f>IF(B771="","",'入力・概要'!$B$30*(K771*L771-J771*M771)/(L771^2+M771^2))</f>
        <v/>
      </c>
      <c r="P771" s="195">
        <f>IF(B771="","",N771+'入力・概要'!$B$36)</f>
        <v/>
      </c>
      <c r="Q771" s="195">
        <f>IF(B771="","",O771+C771*'入力・概要'!$B$37*1E-9)</f>
        <v/>
      </c>
      <c r="R771" s="195">
        <f>IF(B771="","",SQRT(P771^2+Q771^2))</f>
        <v/>
      </c>
      <c r="S771" s="195">
        <f>IF(B771="","",IF(P771&gt;0,DEGREES(ATAN(Q771/P771)),IF(P771&lt;0,IF(Q771&gt;=0,DEGREES(ATAN(Q771/P771))+180,DEGREES(ATAN(Q771/P771))-180),IF(Q771&gt;0,90,IF(Q771&lt;0,-90,0)))))</f>
        <v/>
      </c>
      <c r="T771" s="195">
        <f>IF(B771="","",LOG10(B771))</f>
        <v/>
      </c>
      <c r="U771" s="195">
        <f>IF(R771="","",LOG10(MAX(R771,1E-12)))</f>
        <v/>
      </c>
    </row>
    <row r="772">
      <c r="A772" t="n">
        <v>769</v>
      </c>
      <c r="B772" s="196">
        <f>IF(A772&lt;='入力・概要'!$B$40,10^(LOG10('入力・概要'!$B$38)+(A772-1)*(LOG10('入力・概要'!$B$39)-LOG10('入力・概要'!$B$38))/('入力・概要'!$B$40-1)),"")</f>
        <v/>
      </c>
      <c r="C772" s="195">
        <f>IF(B772="","",2*PI()*B772)</f>
        <v/>
      </c>
      <c r="D772" s="195">
        <f>IF(B772="","",ATANH(MIN(0.999999,(2*'入力・概要'!$B$17*'入力・概要'!$B$6)/'入力・概要'!$B$30))+'入力・概要'!$B$33*SQRT(B772/1E6)+(2*PI()*B772*'入力・概要'!$B$6/(299792458*'入力・概要'!$B$31))*'入力・概要'!$B$32/2)</f>
        <v/>
      </c>
      <c r="E772" s="195">
        <f>IF(B772="","",2*PI()*B772*'入力・概要'!$B$6/(299792458*'入力・概要'!$B$31))</f>
        <v/>
      </c>
      <c r="F772" s="195">
        <f>IF(B772="","",SINH(2*D772)/(COSH(2*D772)+COS(2*E772)))</f>
        <v/>
      </c>
      <c r="G772" s="195">
        <f>IF(B772="","",SIN(2*E772)/(COSH(2*D772)+COS(2*E772)))</f>
        <v/>
      </c>
      <c r="H772" s="195">
        <f>IF(B772="","",'入力・概要'!$B$34)</f>
        <v/>
      </c>
      <c r="I772" s="195">
        <f>IF(B772="","",C772*'入力・概要'!$B$35*1E-9)</f>
        <v/>
      </c>
      <c r="J772" s="195">
        <f>IF(B772="","",H772+'入力・概要'!$B$30*F772)</f>
        <v/>
      </c>
      <c r="K772" s="195">
        <f>IF(B772="","",I772+'入力・概要'!$B$30*G772)</f>
        <v/>
      </c>
      <c r="L772" s="195">
        <f>IF(B772="","",'入力・概要'!$B$30+H772*F772-I772*G772)</f>
        <v/>
      </c>
      <c r="M772" s="195">
        <f>IF(B772="","",H772*G772+I772*F772)</f>
        <v/>
      </c>
      <c r="N772" s="195">
        <f>IF(B772="","",'入力・概要'!$B$30*(J772*L772+K772*M772)/(L772^2+M772^2))</f>
        <v/>
      </c>
      <c r="O772" s="195">
        <f>IF(B772="","",'入力・概要'!$B$30*(K772*L772-J772*M772)/(L772^2+M772^2))</f>
        <v/>
      </c>
      <c r="P772" s="195">
        <f>IF(B772="","",N772+'入力・概要'!$B$36)</f>
        <v/>
      </c>
      <c r="Q772" s="195">
        <f>IF(B772="","",O772+C772*'入力・概要'!$B$37*1E-9)</f>
        <v/>
      </c>
      <c r="R772" s="195">
        <f>IF(B772="","",SQRT(P772^2+Q772^2))</f>
        <v/>
      </c>
      <c r="S772" s="195">
        <f>IF(B772="","",IF(P772&gt;0,DEGREES(ATAN(Q772/P772)),IF(P772&lt;0,IF(Q772&gt;=0,DEGREES(ATAN(Q772/P772))+180,DEGREES(ATAN(Q772/P772))-180),IF(Q772&gt;0,90,IF(Q772&lt;0,-90,0)))))</f>
        <v/>
      </c>
      <c r="T772" s="195">
        <f>IF(B772="","",LOG10(B772))</f>
        <v/>
      </c>
      <c r="U772" s="195">
        <f>IF(R772="","",LOG10(MAX(R772,1E-12)))</f>
        <v/>
      </c>
    </row>
    <row r="773">
      <c r="A773" t="n">
        <v>770</v>
      </c>
      <c r="B773" s="196">
        <f>IF(A773&lt;='入力・概要'!$B$40,10^(LOG10('入力・概要'!$B$38)+(A773-1)*(LOG10('入力・概要'!$B$39)-LOG10('入力・概要'!$B$38))/('入力・概要'!$B$40-1)),"")</f>
        <v/>
      </c>
      <c r="C773" s="195">
        <f>IF(B773="","",2*PI()*B773)</f>
        <v/>
      </c>
      <c r="D773" s="195">
        <f>IF(B773="","",ATANH(MIN(0.999999,(2*'入力・概要'!$B$17*'入力・概要'!$B$6)/'入力・概要'!$B$30))+'入力・概要'!$B$33*SQRT(B773/1E6)+(2*PI()*B773*'入力・概要'!$B$6/(299792458*'入力・概要'!$B$31))*'入力・概要'!$B$32/2)</f>
        <v/>
      </c>
      <c r="E773" s="195">
        <f>IF(B773="","",2*PI()*B773*'入力・概要'!$B$6/(299792458*'入力・概要'!$B$31))</f>
        <v/>
      </c>
      <c r="F773" s="195">
        <f>IF(B773="","",SINH(2*D773)/(COSH(2*D773)+COS(2*E773)))</f>
        <v/>
      </c>
      <c r="G773" s="195">
        <f>IF(B773="","",SIN(2*E773)/(COSH(2*D773)+COS(2*E773)))</f>
        <v/>
      </c>
      <c r="H773" s="195">
        <f>IF(B773="","",'入力・概要'!$B$34)</f>
        <v/>
      </c>
      <c r="I773" s="195">
        <f>IF(B773="","",C773*'入力・概要'!$B$35*1E-9)</f>
        <v/>
      </c>
      <c r="J773" s="195">
        <f>IF(B773="","",H773+'入力・概要'!$B$30*F773)</f>
        <v/>
      </c>
      <c r="K773" s="195">
        <f>IF(B773="","",I773+'入力・概要'!$B$30*G773)</f>
        <v/>
      </c>
      <c r="L773" s="195">
        <f>IF(B773="","",'入力・概要'!$B$30+H773*F773-I773*G773)</f>
        <v/>
      </c>
      <c r="M773" s="195">
        <f>IF(B773="","",H773*G773+I773*F773)</f>
        <v/>
      </c>
      <c r="N773" s="195">
        <f>IF(B773="","",'入力・概要'!$B$30*(J773*L773+K773*M773)/(L773^2+M773^2))</f>
        <v/>
      </c>
      <c r="O773" s="195">
        <f>IF(B773="","",'入力・概要'!$B$30*(K773*L773-J773*M773)/(L773^2+M773^2))</f>
        <v/>
      </c>
      <c r="P773" s="195">
        <f>IF(B773="","",N773+'入力・概要'!$B$36)</f>
        <v/>
      </c>
      <c r="Q773" s="195">
        <f>IF(B773="","",O773+C773*'入力・概要'!$B$37*1E-9)</f>
        <v/>
      </c>
      <c r="R773" s="195">
        <f>IF(B773="","",SQRT(P773^2+Q773^2))</f>
        <v/>
      </c>
      <c r="S773" s="195">
        <f>IF(B773="","",IF(P773&gt;0,DEGREES(ATAN(Q773/P773)),IF(P773&lt;0,IF(Q773&gt;=0,DEGREES(ATAN(Q773/P773))+180,DEGREES(ATAN(Q773/P773))-180),IF(Q773&gt;0,90,IF(Q773&lt;0,-90,0)))))</f>
        <v/>
      </c>
      <c r="T773" s="195">
        <f>IF(B773="","",LOG10(B773))</f>
        <v/>
      </c>
      <c r="U773" s="195">
        <f>IF(R773="","",LOG10(MAX(R773,1E-12)))</f>
        <v/>
      </c>
    </row>
    <row r="774">
      <c r="A774" t="n">
        <v>771</v>
      </c>
      <c r="B774" s="196">
        <f>IF(A774&lt;='入力・概要'!$B$40,10^(LOG10('入力・概要'!$B$38)+(A774-1)*(LOG10('入力・概要'!$B$39)-LOG10('入力・概要'!$B$38))/('入力・概要'!$B$40-1)),"")</f>
        <v/>
      </c>
      <c r="C774" s="195">
        <f>IF(B774="","",2*PI()*B774)</f>
        <v/>
      </c>
      <c r="D774" s="195">
        <f>IF(B774="","",ATANH(MIN(0.999999,(2*'入力・概要'!$B$17*'入力・概要'!$B$6)/'入力・概要'!$B$30))+'入力・概要'!$B$33*SQRT(B774/1E6)+(2*PI()*B774*'入力・概要'!$B$6/(299792458*'入力・概要'!$B$31))*'入力・概要'!$B$32/2)</f>
        <v/>
      </c>
      <c r="E774" s="195">
        <f>IF(B774="","",2*PI()*B774*'入力・概要'!$B$6/(299792458*'入力・概要'!$B$31))</f>
        <v/>
      </c>
      <c r="F774" s="195">
        <f>IF(B774="","",SINH(2*D774)/(COSH(2*D774)+COS(2*E774)))</f>
        <v/>
      </c>
      <c r="G774" s="195">
        <f>IF(B774="","",SIN(2*E774)/(COSH(2*D774)+COS(2*E774)))</f>
        <v/>
      </c>
      <c r="H774" s="195">
        <f>IF(B774="","",'入力・概要'!$B$34)</f>
        <v/>
      </c>
      <c r="I774" s="195">
        <f>IF(B774="","",C774*'入力・概要'!$B$35*1E-9)</f>
        <v/>
      </c>
      <c r="J774" s="195">
        <f>IF(B774="","",H774+'入力・概要'!$B$30*F774)</f>
        <v/>
      </c>
      <c r="K774" s="195">
        <f>IF(B774="","",I774+'入力・概要'!$B$30*G774)</f>
        <v/>
      </c>
      <c r="L774" s="195">
        <f>IF(B774="","",'入力・概要'!$B$30+H774*F774-I774*G774)</f>
        <v/>
      </c>
      <c r="M774" s="195">
        <f>IF(B774="","",H774*G774+I774*F774)</f>
        <v/>
      </c>
      <c r="N774" s="195">
        <f>IF(B774="","",'入力・概要'!$B$30*(J774*L774+K774*M774)/(L774^2+M774^2))</f>
        <v/>
      </c>
      <c r="O774" s="195">
        <f>IF(B774="","",'入力・概要'!$B$30*(K774*L774-J774*M774)/(L774^2+M774^2))</f>
        <v/>
      </c>
      <c r="P774" s="195">
        <f>IF(B774="","",N774+'入力・概要'!$B$36)</f>
        <v/>
      </c>
      <c r="Q774" s="195">
        <f>IF(B774="","",O774+C774*'入力・概要'!$B$37*1E-9)</f>
        <v/>
      </c>
      <c r="R774" s="195">
        <f>IF(B774="","",SQRT(P774^2+Q774^2))</f>
        <v/>
      </c>
      <c r="S774" s="195">
        <f>IF(B774="","",IF(P774&gt;0,DEGREES(ATAN(Q774/P774)),IF(P774&lt;0,IF(Q774&gt;=0,DEGREES(ATAN(Q774/P774))+180,DEGREES(ATAN(Q774/P774))-180),IF(Q774&gt;0,90,IF(Q774&lt;0,-90,0)))))</f>
        <v/>
      </c>
      <c r="T774" s="195">
        <f>IF(B774="","",LOG10(B774))</f>
        <v/>
      </c>
      <c r="U774" s="195">
        <f>IF(R774="","",LOG10(MAX(R774,1E-12)))</f>
        <v/>
      </c>
    </row>
    <row r="775">
      <c r="A775" t="n">
        <v>772</v>
      </c>
      <c r="B775" s="196">
        <f>IF(A775&lt;='入力・概要'!$B$40,10^(LOG10('入力・概要'!$B$38)+(A775-1)*(LOG10('入力・概要'!$B$39)-LOG10('入力・概要'!$B$38))/('入力・概要'!$B$40-1)),"")</f>
        <v/>
      </c>
      <c r="C775" s="195">
        <f>IF(B775="","",2*PI()*B775)</f>
        <v/>
      </c>
      <c r="D775" s="195">
        <f>IF(B775="","",ATANH(MIN(0.999999,(2*'入力・概要'!$B$17*'入力・概要'!$B$6)/'入力・概要'!$B$30))+'入力・概要'!$B$33*SQRT(B775/1E6)+(2*PI()*B775*'入力・概要'!$B$6/(299792458*'入力・概要'!$B$31))*'入力・概要'!$B$32/2)</f>
        <v/>
      </c>
      <c r="E775" s="195">
        <f>IF(B775="","",2*PI()*B775*'入力・概要'!$B$6/(299792458*'入力・概要'!$B$31))</f>
        <v/>
      </c>
      <c r="F775" s="195">
        <f>IF(B775="","",SINH(2*D775)/(COSH(2*D775)+COS(2*E775)))</f>
        <v/>
      </c>
      <c r="G775" s="195">
        <f>IF(B775="","",SIN(2*E775)/(COSH(2*D775)+COS(2*E775)))</f>
        <v/>
      </c>
      <c r="H775" s="195">
        <f>IF(B775="","",'入力・概要'!$B$34)</f>
        <v/>
      </c>
      <c r="I775" s="195">
        <f>IF(B775="","",C775*'入力・概要'!$B$35*1E-9)</f>
        <v/>
      </c>
      <c r="J775" s="195">
        <f>IF(B775="","",H775+'入力・概要'!$B$30*F775)</f>
        <v/>
      </c>
      <c r="K775" s="195">
        <f>IF(B775="","",I775+'入力・概要'!$B$30*G775)</f>
        <v/>
      </c>
      <c r="L775" s="195">
        <f>IF(B775="","",'入力・概要'!$B$30+H775*F775-I775*G775)</f>
        <v/>
      </c>
      <c r="M775" s="195">
        <f>IF(B775="","",H775*G775+I775*F775)</f>
        <v/>
      </c>
      <c r="N775" s="195">
        <f>IF(B775="","",'入力・概要'!$B$30*(J775*L775+K775*M775)/(L775^2+M775^2))</f>
        <v/>
      </c>
      <c r="O775" s="195">
        <f>IF(B775="","",'入力・概要'!$B$30*(K775*L775-J775*M775)/(L775^2+M775^2))</f>
        <v/>
      </c>
      <c r="P775" s="195">
        <f>IF(B775="","",N775+'入力・概要'!$B$36)</f>
        <v/>
      </c>
      <c r="Q775" s="195">
        <f>IF(B775="","",O775+C775*'入力・概要'!$B$37*1E-9)</f>
        <v/>
      </c>
      <c r="R775" s="195">
        <f>IF(B775="","",SQRT(P775^2+Q775^2))</f>
        <v/>
      </c>
      <c r="S775" s="195">
        <f>IF(B775="","",IF(P775&gt;0,DEGREES(ATAN(Q775/P775)),IF(P775&lt;0,IF(Q775&gt;=0,DEGREES(ATAN(Q775/P775))+180,DEGREES(ATAN(Q775/P775))-180),IF(Q775&gt;0,90,IF(Q775&lt;0,-90,0)))))</f>
        <v/>
      </c>
      <c r="T775" s="195">
        <f>IF(B775="","",LOG10(B775))</f>
        <v/>
      </c>
      <c r="U775" s="195">
        <f>IF(R775="","",LOG10(MAX(R775,1E-12)))</f>
        <v/>
      </c>
    </row>
    <row r="776">
      <c r="A776" t="n">
        <v>773</v>
      </c>
      <c r="B776" s="196">
        <f>IF(A776&lt;='入力・概要'!$B$40,10^(LOG10('入力・概要'!$B$38)+(A776-1)*(LOG10('入力・概要'!$B$39)-LOG10('入力・概要'!$B$38))/('入力・概要'!$B$40-1)),"")</f>
        <v/>
      </c>
      <c r="C776" s="195">
        <f>IF(B776="","",2*PI()*B776)</f>
        <v/>
      </c>
      <c r="D776" s="195">
        <f>IF(B776="","",ATANH(MIN(0.999999,(2*'入力・概要'!$B$17*'入力・概要'!$B$6)/'入力・概要'!$B$30))+'入力・概要'!$B$33*SQRT(B776/1E6)+(2*PI()*B776*'入力・概要'!$B$6/(299792458*'入力・概要'!$B$31))*'入力・概要'!$B$32/2)</f>
        <v/>
      </c>
      <c r="E776" s="195">
        <f>IF(B776="","",2*PI()*B776*'入力・概要'!$B$6/(299792458*'入力・概要'!$B$31))</f>
        <v/>
      </c>
      <c r="F776" s="195">
        <f>IF(B776="","",SINH(2*D776)/(COSH(2*D776)+COS(2*E776)))</f>
        <v/>
      </c>
      <c r="G776" s="195">
        <f>IF(B776="","",SIN(2*E776)/(COSH(2*D776)+COS(2*E776)))</f>
        <v/>
      </c>
      <c r="H776" s="195">
        <f>IF(B776="","",'入力・概要'!$B$34)</f>
        <v/>
      </c>
      <c r="I776" s="195">
        <f>IF(B776="","",C776*'入力・概要'!$B$35*1E-9)</f>
        <v/>
      </c>
      <c r="J776" s="195">
        <f>IF(B776="","",H776+'入力・概要'!$B$30*F776)</f>
        <v/>
      </c>
      <c r="K776" s="195">
        <f>IF(B776="","",I776+'入力・概要'!$B$30*G776)</f>
        <v/>
      </c>
      <c r="L776" s="195">
        <f>IF(B776="","",'入力・概要'!$B$30+H776*F776-I776*G776)</f>
        <v/>
      </c>
      <c r="M776" s="195">
        <f>IF(B776="","",H776*G776+I776*F776)</f>
        <v/>
      </c>
      <c r="N776" s="195">
        <f>IF(B776="","",'入力・概要'!$B$30*(J776*L776+K776*M776)/(L776^2+M776^2))</f>
        <v/>
      </c>
      <c r="O776" s="195">
        <f>IF(B776="","",'入力・概要'!$B$30*(K776*L776-J776*M776)/(L776^2+M776^2))</f>
        <v/>
      </c>
      <c r="P776" s="195">
        <f>IF(B776="","",N776+'入力・概要'!$B$36)</f>
        <v/>
      </c>
      <c r="Q776" s="195">
        <f>IF(B776="","",O776+C776*'入力・概要'!$B$37*1E-9)</f>
        <v/>
      </c>
      <c r="R776" s="195">
        <f>IF(B776="","",SQRT(P776^2+Q776^2))</f>
        <v/>
      </c>
      <c r="S776" s="195">
        <f>IF(B776="","",IF(P776&gt;0,DEGREES(ATAN(Q776/P776)),IF(P776&lt;0,IF(Q776&gt;=0,DEGREES(ATAN(Q776/P776))+180,DEGREES(ATAN(Q776/P776))-180),IF(Q776&gt;0,90,IF(Q776&lt;0,-90,0)))))</f>
        <v/>
      </c>
      <c r="T776" s="195">
        <f>IF(B776="","",LOG10(B776))</f>
        <v/>
      </c>
      <c r="U776" s="195">
        <f>IF(R776="","",LOG10(MAX(R776,1E-12)))</f>
        <v/>
      </c>
    </row>
    <row r="777">
      <c r="A777" t="n">
        <v>774</v>
      </c>
      <c r="B777" s="196">
        <f>IF(A777&lt;='入力・概要'!$B$40,10^(LOG10('入力・概要'!$B$38)+(A777-1)*(LOG10('入力・概要'!$B$39)-LOG10('入力・概要'!$B$38))/('入力・概要'!$B$40-1)),"")</f>
        <v/>
      </c>
      <c r="C777" s="195">
        <f>IF(B777="","",2*PI()*B777)</f>
        <v/>
      </c>
      <c r="D777" s="195">
        <f>IF(B777="","",ATANH(MIN(0.999999,(2*'入力・概要'!$B$17*'入力・概要'!$B$6)/'入力・概要'!$B$30))+'入力・概要'!$B$33*SQRT(B777/1E6)+(2*PI()*B777*'入力・概要'!$B$6/(299792458*'入力・概要'!$B$31))*'入力・概要'!$B$32/2)</f>
        <v/>
      </c>
      <c r="E777" s="195">
        <f>IF(B777="","",2*PI()*B777*'入力・概要'!$B$6/(299792458*'入力・概要'!$B$31))</f>
        <v/>
      </c>
      <c r="F777" s="195">
        <f>IF(B777="","",SINH(2*D777)/(COSH(2*D777)+COS(2*E777)))</f>
        <v/>
      </c>
      <c r="G777" s="195">
        <f>IF(B777="","",SIN(2*E777)/(COSH(2*D777)+COS(2*E777)))</f>
        <v/>
      </c>
      <c r="H777" s="195">
        <f>IF(B777="","",'入力・概要'!$B$34)</f>
        <v/>
      </c>
      <c r="I777" s="195">
        <f>IF(B777="","",C777*'入力・概要'!$B$35*1E-9)</f>
        <v/>
      </c>
      <c r="J777" s="195">
        <f>IF(B777="","",H777+'入力・概要'!$B$30*F777)</f>
        <v/>
      </c>
      <c r="K777" s="195">
        <f>IF(B777="","",I777+'入力・概要'!$B$30*G777)</f>
        <v/>
      </c>
      <c r="L777" s="195">
        <f>IF(B777="","",'入力・概要'!$B$30+H777*F777-I777*G777)</f>
        <v/>
      </c>
      <c r="M777" s="195">
        <f>IF(B777="","",H777*G777+I777*F777)</f>
        <v/>
      </c>
      <c r="N777" s="195">
        <f>IF(B777="","",'入力・概要'!$B$30*(J777*L777+K777*M777)/(L777^2+M777^2))</f>
        <v/>
      </c>
      <c r="O777" s="195">
        <f>IF(B777="","",'入力・概要'!$B$30*(K777*L777-J777*M777)/(L777^2+M777^2))</f>
        <v/>
      </c>
      <c r="P777" s="195">
        <f>IF(B777="","",N777+'入力・概要'!$B$36)</f>
        <v/>
      </c>
      <c r="Q777" s="195">
        <f>IF(B777="","",O777+C777*'入力・概要'!$B$37*1E-9)</f>
        <v/>
      </c>
      <c r="R777" s="195">
        <f>IF(B777="","",SQRT(P777^2+Q777^2))</f>
        <v/>
      </c>
      <c r="S777" s="195">
        <f>IF(B777="","",IF(P777&gt;0,DEGREES(ATAN(Q777/P777)),IF(P777&lt;0,IF(Q777&gt;=0,DEGREES(ATAN(Q777/P777))+180,DEGREES(ATAN(Q777/P777))-180),IF(Q777&gt;0,90,IF(Q777&lt;0,-90,0)))))</f>
        <v/>
      </c>
      <c r="T777" s="195">
        <f>IF(B777="","",LOG10(B777))</f>
        <v/>
      </c>
      <c r="U777" s="195">
        <f>IF(R777="","",LOG10(MAX(R777,1E-12)))</f>
        <v/>
      </c>
    </row>
    <row r="778">
      <c r="A778" t="n">
        <v>775</v>
      </c>
      <c r="B778" s="196">
        <f>IF(A778&lt;='入力・概要'!$B$40,10^(LOG10('入力・概要'!$B$38)+(A778-1)*(LOG10('入力・概要'!$B$39)-LOG10('入力・概要'!$B$38))/('入力・概要'!$B$40-1)),"")</f>
        <v/>
      </c>
      <c r="C778" s="195">
        <f>IF(B778="","",2*PI()*B778)</f>
        <v/>
      </c>
      <c r="D778" s="195">
        <f>IF(B778="","",ATANH(MIN(0.999999,(2*'入力・概要'!$B$17*'入力・概要'!$B$6)/'入力・概要'!$B$30))+'入力・概要'!$B$33*SQRT(B778/1E6)+(2*PI()*B778*'入力・概要'!$B$6/(299792458*'入力・概要'!$B$31))*'入力・概要'!$B$32/2)</f>
        <v/>
      </c>
      <c r="E778" s="195">
        <f>IF(B778="","",2*PI()*B778*'入力・概要'!$B$6/(299792458*'入力・概要'!$B$31))</f>
        <v/>
      </c>
      <c r="F778" s="195">
        <f>IF(B778="","",SINH(2*D778)/(COSH(2*D778)+COS(2*E778)))</f>
        <v/>
      </c>
      <c r="G778" s="195">
        <f>IF(B778="","",SIN(2*E778)/(COSH(2*D778)+COS(2*E778)))</f>
        <v/>
      </c>
      <c r="H778" s="195">
        <f>IF(B778="","",'入力・概要'!$B$34)</f>
        <v/>
      </c>
      <c r="I778" s="195">
        <f>IF(B778="","",C778*'入力・概要'!$B$35*1E-9)</f>
        <v/>
      </c>
      <c r="J778" s="195">
        <f>IF(B778="","",H778+'入力・概要'!$B$30*F778)</f>
        <v/>
      </c>
      <c r="K778" s="195">
        <f>IF(B778="","",I778+'入力・概要'!$B$30*G778)</f>
        <v/>
      </c>
      <c r="L778" s="195">
        <f>IF(B778="","",'入力・概要'!$B$30+H778*F778-I778*G778)</f>
        <v/>
      </c>
      <c r="M778" s="195">
        <f>IF(B778="","",H778*G778+I778*F778)</f>
        <v/>
      </c>
      <c r="N778" s="195">
        <f>IF(B778="","",'入力・概要'!$B$30*(J778*L778+K778*M778)/(L778^2+M778^2))</f>
        <v/>
      </c>
      <c r="O778" s="195">
        <f>IF(B778="","",'入力・概要'!$B$30*(K778*L778-J778*M778)/(L778^2+M778^2))</f>
        <v/>
      </c>
      <c r="P778" s="195">
        <f>IF(B778="","",N778+'入力・概要'!$B$36)</f>
        <v/>
      </c>
      <c r="Q778" s="195">
        <f>IF(B778="","",O778+C778*'入力・概要'!$B$37*1E-9)</f>
        <v/>
      </c>
      <c r="R778" s="195">
        <f>IF(B778="","",SQRT(P778^2+Q778^2))</f>
        <v/>
      </c>
      <c r="S778" s="195">
        <f>IF(B778="","",IF(P778&gt;0,DEGREES(ATAN(Q778/P778)),IF(P778&lt;0,IF(Q778&gt;=0,DEGREES(ATAN(Q778/P778))+180,DEGREES(ATAN(Q778/P778))-180),IF(Q778&gt;0,90,IF(Q778&lt;0,-90,0)))))</f>
        <v/>
      </c>
      <c r="T778" s="195">
        <f>IF(B778="","",LOG10(B778))</f>
        <v/>
      </c>
      <c r="U778" s="195">
        <f>IF(R778="","",LOG10(MAX(R778,1E-12)))</f>
        <v/>
      </c>
    </row>
    <row r="779">
      <c r="A779" t="n">
        <v>776</v>
      </c>
      <c r="B779" s="196">
        <f>IF(A779&lt;='入力・概要'!$B$40,10^(LOG10('入力・概要'!$B$38)+(A779-1)*(LOG10('入力・概要'!$B$39)-LOG10('入力・概要'!$B$38))/('入力・概要'!$B$40-1)),"")</f>
        <v/>
      </c>
      <c r="C779" s="195">
        <f>IF(B779="","",2*PI()*B779)</f>
        <v/>
      </c>
      <c r="D779" s="195">
        <f>IF(B779="","",ATANH(MIN(0.999999,(2*'入力・概要'!$B$17*'入力・概要'!$B$6)/'入力・概要'!$B$30))+'入力・概要'!$B$33*SQRT(B779/1E6)+(2*PI()*B779*'入力・概要'!$B$6/(299792458*'入力・概要'!$B$31))*'入力・概要'!$B$32/2)</f>
        <v/>
      </c>
      <c r="E779" s="195">
        <f>IF(B779="","",2*PI()*B779*'入力・概要'!$B$6/(299792458*'入力・概要'!$B$31))</f>
        <v/>
      </c>
      <c r="F779" s="195">
        <f>IF(B779="","",SINH(2*D779)/(COSH(2*D779)+COS(2*E779)))</f>
        <v/>
      </c>
      <c r="G779" s="195">
        <f>IF(B779="","",SIN(2*E779)/(COSH(2*D779)+COS(2*E779)))</f>
        <v/>
      </c>
      <c r="H779" s="195">
        <f>IF(B779="","",'入力・概要'!$B$34)</f>
        <v/>
      </c>
      <c r="I779" s="195">
        <f>IF(B779="","",C779*'入力・概要'!$B$35*1E-9)</f>
        <v/>
      </c>
      <c r="J779" s="195">
        <f>IF(B779="","",H779+'入力・概要'!$B$30*F779)</f>
        <v/>
      </c>
      <c r="K779" s="195">
        <f>IF(B779="","",I779+'入力・概要'!$B$30*G779)</f>
        <v/>
      </c>
      <c r="L779" s="195">
        <f>IF(B779="","",'入力・概要'!$B$30+H779*F779-I779*G779)</f>
        <v/>
      </c>
      <c r="M779" s="195">
        <f>IF(B779="","",H779*G779+I779*F779)</f>
        <v/>
      </c>
      <c r="N779" s="195">
        <f>IF(B779="","",'入力・概要'!$B$30*(J779*L779+K779*M779)/(L779^2+M779^2))</f>
        <v/>
      </c>
      <c r="O779" s="195">
        <f>IF(B779="","",'入力・概要'!$B$30*(K779*L779-J779*M779)/(L779^2+M779^2))</f>
        <v/>
      </c>
      <c r="P779" s="195">
        <f>IF(B779="","",N779+'入力・概要'!$B$36)</f>
        <v/>
      </c>
      <c r="Q779" s="195">
        <f>IF(B779="","",O779+C779*'入力・概要'!$B$37*1E-9)</f>
        <v/>
      </c>
      <c r="R779" s="195">
        <f>IF(B779="","",SQRT(P779^2+Q779^2))</f>
        <v/>
      </c>
      <c r="S779" s="195">
        <f>IF(B779="","",IF(P779&gt;0,DEGREES(ATAN(Q779/P779)),IF(P779&lt;0,IF(Q779&gt;=0,DEGREES(ATAN(Q779/P779))+180,DEGREES(ATAN(Q779/P779))-180),IF(Q779&gt;0,90,IF(Q779&lt;0,-90,0)))))</f>
        <v/>
      </c>
      <c r="T779" s="195">
        <f>IF(B779="","",LOG10(B779))</f>
        <v/>
      </c>
      <c r="U779" s="195">
        <f>IF(R779="","",LOG10(MAX(R779,1E-12)))</f>
        <v/>
      </c>
    </row>
    <row r="780">
      <c r="A780" t="n">
        <v>777</v>
      </c>
      <c r="B780" s="196">
        <f>IF(A780&lt;='入力・概要'!$B$40,10^(LOG10('入力・概要'!$B$38)+(A780-1)*(LOG10('入力・概要'!$B$39)-LOG10('入力・概要'!$B$38))/('入力・概要'!$B$40-1)),"")</f>
        <v/>
      </c>
      <c r="C780" s="195">
        <f>IF(B780="","",2*PI()*B780)</f>
        <v/>
      </c>
      <c r="D780" s="195">
        <f>IF(B780="","",ATANH(MIN(0.999999,(2*'入力・概要'!$B$17*'入力・概要'!$B$6)/'入力・概要'!$B$30))+'入力・概要'!$B$33*SQRT(B780/1E6)+(2*PI()*B780*'入力・概要'!$B$6/(299792458*'入力・概要'!$B$31))*'入力・概要'!$B$32/2)</f>
        <v/>
      </c>
      <c r="E780" s="195">
        <f>IF(B780="","",2*PI()*B780*'入力・概要'!$B$6/(299792458*'入力・概要'!$B$31))</f>
        <v/>
      </c>
      <c r="F780" s="195">
        <f>IF(B780="","",SINH(2*D780)/(COSH(2*D780)+COS(2*E780)))</f>
        <v/>
      </c>
      <c r="G780" s="195">
        <f>IF(B780="","",SIN(2*E780)/(COSH(2*D780)+COS(2*E780)))</f>
        <v/>
      </c>
      <c r="H780" s="195">
        <f>IF(B780="","",'入力・概要'!$B$34)</f>
        <v/>
      </c>
      <c r="I780" s="195">
        <f>IF(B780="","",C780*'入力・概要'!$B$35*1E-9)</f>
        <v/>
      </c>
      <c r="J780" s="195">
        <f>IF(B780="","",H780+'入力・概要'!$B$30*F780)</f>
        <v/>
      </c>
      <c r="K780" s="195">
        <f>IF(B780="","",I780+'入力・概要'!$B$30*G780)</f>
        <v/>
      </c>
      <c r="L780" s="195">
        <f>IF(B780="","",'入力・概要'!$B$30+H780*F780-I780*G780)</f>
        <v/>
      </c>
      <c r="M780" s="195">
        <f>IF(B780="","",H780*G780+I780*F780)</f>
        <v/>
      </c>
      <c r="N780" s="195">
        <f>IF(B780="","",'入力・概要'!$B$30*(J780*L780+K780*M780)/(L780^2+M780^2))</f>
        <v/>
      </c>
      <c r="O780" s="195">
        <f>IF(B780="","",'入力・概要'!$B$30*(K780*L780-J780*M780)/(L780^2+M780^2))</f>
        <v/>
      </c>
      <c r="P780" s="195">
        <f>IF(B780="","",N780+'入力・概要'!$B$36)</f>
        <v/>
      </c>
      <c r="Q780" s="195">
        <f>IF(B780="","",O780+C780*'入力・概要'!$B$37*1E-9)</f>
        <v/>
      </c>
      <c r="R780" s="195">
        <f>IF(B780="","",SQRT(P780^2+Q780^2))</f>
        <v/>
      </c>
      <c r="S780" s="195">
        <f>IF(B780="","",IF(P780&gt;0,DEGREES(ATAN(Q780/P780)),IF(P780&lt;0,IF(Q780&gt;=0,DEGREES(ATAN(Q780/P780))+180,DEGREES(ATAN(Q780/P780))-180),IF(Q780&gt;0,90,IF(Q780&lt;0,-90,0)))))</f>
        <v/>
      </c>
      <c r="T780" s="195">
        <f>IF(B780="","",LOG10(B780))</f>
        <v/>
      </c>
      <c r="U780" s="195">
        <f>IF(R780="","",LOG10(MAX(R780,1E-12)))</f>
        <v/>
      </c>
    </row>
    <row r="781">
      <c r="A781" t="n">
        <v>778</v>
      </c>
      <c r="B781" s="196">
        <f>IF(A781&lt;='入力・概要'!$B$40,10^(LOG10('入力・概要'!$B$38)+(A781-1)*(LOG10('入力・概要'!$B$39)-LOG10('入力・概要'!$B$38))/('入力・概要'!$B$40-1)),"")</f>
        <v/>
      </c>
      <c r="C781" s="195">
        <f>IF(B781="","",2*PI()*B781)</f>
        <v/>
      </c>
      <c r="D781" s="195">
        <f>IF(B781="","",ATANH(MIN(0.999999,(2*'入力・概要'!$B$17*'入力・概要'!$B$6)/'入力・概要'!$B$30))+'入力・概要'!$B$33*SQRT(B781/1E6)+(2*PI()*B781*'入力・概要'!$B$6/(299792458*'入力・概要'!$B$31))*'入力・概要'!$B$32/2)</f>
        <v/>
      </c>
      <c r="E781" s="195">
        <f>IF(B781="","",2*PI()*B781*'入力・概要'!$B$6/(299792458*'入力・概要'!$B$31))</f>
        <v/>
      </c>
      <c r="F781" s="195">
        <f>IF(B781="","",SINH(2*D781)/(COSH(2*D781)+COS(2*E781)))</f>
        <v/>
      </c>
      <c r="G781" s="195">
        <f>IF(B781="","",SIN(2*E781)/(COSH(2*D781)+COS(2*E781)))</f>
        <v/>
      </c>
      <c r="H781" s="195">
        <f>IF(B781="","",'入力・概要'!$B$34)</f>
        <v/>
      </c>
      <c r="I781" s="195">
        <f>IF(B781="","",C781*'入力・概要'!$B$35*1E-9)</f>
        <v/>
      </c>
      <c r="J781" s="195">
        <f>IF(B781="","",H781+'入力・概要'!$B$30*F781)</f>
        <v/>
      </c>
      <c r="K781" s="195">
        <f>IF(B781="","",I781+'入力・概要'!$B$30*G781)</f>
        <v/>
      </c>
      <c r="L781" s="195">
        <f>IF(B781="","",'入力・概要'!$B$30+H781*F781-I781*G781)</f>
        <v/>
      </c>
      <c r="M781" s="195">
        <f>IF(B781="","",H781*G781+I781*F781)</f>
        <v/>
      </c>
      <c r="N781" s="195">
        <f>IF(B781="","",'入力・概要'!$B$30*(J781*L781+K781*M781)/(L781^2+M781^2))</f>
        <v/>
      </c>
      <c r="O781" s="195">
        <f>IF(B781="","",'入力・概要'!$B$30*(K781*L781-J781*M781)/(L781^2+M781^2))</f>
        <v/>
      </c>
      <c r="P781" s="195">
        <f>IF(B781="","",N781+'入力・概要'!$B$36)</f>
        <v/>
      </c>
      <c r="Q781" s="195">
        <f>IF(B781="","",O781+C781*'入力・概要'!$B$37*1E-9)</f>
        <v/>
      </c>
      <c r="R781" s="195">
        <f>IF(B781="","",SQRT(P781^2+Q781^2))</f>
        <v/>
      </c>
      <c r="S781" s="195">
        <f>IF(B781="","",IF(P781&gt;0,DEGREES(ATAN(Q781/P781)),IF(P781&lt;0,IF(Q781&gt;=0,DEGREES(ATAN(Q781/P781))+180,DEGREES(ATAN(Q781/P781))-180),IF(Q781&gt;0,90,IF(Q781&lt;0,-90,0)))))</f>
        <v/>
      </c>
      <c r="T781" s="195">
        <f>IF(B781="","",LOG10(B781))</f>
        <v/>
      </c>
      <c r="U781" s="195">
        <f>IF(R781="","",LOG10(MAX(R781,1E-12)))</f>
        <v/>
      </c>
    </row>
    <row r="782">
      <c r="A782" t="n">
        <v>779</v>
      </c>
      <c r="B782" s="196">
        <f>IF(A782&lt;='入力・概要'!$B$40,10^(LOG10('入力・概要'!$B$38)+(A782-1)*(LOG10('入力・概要'!$B$39)-LOG10('入力・概要'!$B$38))/('入力・概要'!$B$40-1)),"")</f>
        <v/>
      </c>
      <c r="C782" s="195">
        <f>IF(B782="","",2*PI()*B782)</f>
        <v/>
      </c>
      <c r="D782" s="195">
        <f>IF(B782="","",ATANH(MIN(0.999999,(2*'入力・概要'!$B$17*'入力・概要'!$B$6)/'入力・概要'!$B$30))+'入力・概要'!$B$33*SQRT(B782/1E6)+(2*PI()*B782*'入力・概要'!$B$6/(299792458*'入力・概要'!$B$31))*'入力・概要'!$B$32/2)</f>
        <v/>
      </c>
      <c r="E782" s="195">
        <f>IF(B782="","",2*PI()*B782*'入力・概要'!$B$6/(299792458*'入力・概要'!$B$31))</f>
        <v/>
      </c>
      <c r="F782" s="195">
        <f>IF(B782="","",SINH(2*D782)/(COSH(2*D782)+COS(2*E782)))</f>
        <v/>
      </c>
      <c r="G782" s="195">
        <f>IF(B782="","",SIN(2*E782)/(COSH(2*D782)+COS(2*E782)))</f>
        <v/>
      </c>
      <c r="H782" s="195">
        <f>IF(B782="","",'入力・概要'!$B$34)</f>
        <v/>
      </c>
      <c r="I782" s="195">
        <f>IF(B782="","",C782*'入力・概要'!$B$35*1E-9)</f>
        <v/>
      </c>
      <c r="J782" s="195">
        <f>IF(B782="","",H782+'入力・概要'!$B$30*F782)</f>
        <v/>
      </c>
      <c r="K782" s="195">
        <f>IF(B782="","",I782+'入力・概要'!$B$30*G782)</f>
        <v/>
      </c>
      <c r="L782" s="195">
        <f>IF(B782="","",'入力・概要'!$B$30+H782*F782-I782*G782)</f>
        <v/>
      </c>
      <c r="M782" s="195">
        <f>IF(B782="","",H782*G782+I782*F782)</f>
        <v/>
      </c>
      <c r="N782" s="195">
        <f>IF(B782="","",'入力・概要'!$B$30*(J782*L782+K782*M782)/(L782^2+M782^2))</f>
        <v/>
      </c>
      <c r="O782" s="195">
        <f>IF(B782="","",'入力・概要'!$B$30*(K782*L782-J782*M782)/(L782^2+M782^2))</f>
        <v/>
      </c>
      <c r="P782" s="195">
        <f>IF(B782="","",N782+'入力・概要'!$B$36)</f>
        <v/>
      </c>
      <c r="Q782" s="195">
        <f>IF(B782="","",O782+C782*'入力・概要'!$B$37*1E-9)</f>
        <v/>
      </c>
      <c r="R782" s="195">
        <f>IF(B782="","",SQRT(P782^2+Q782^2))</f>
        <v/>
      </c>
      <c r="S782" s="195">
        <f>IF(B782="","",IF(P782&gt;0,DEGREES(ATAN(Q782/P782)),IF(P782&lt;0,IF(Q782&gt;=0,DEGREES(ATAN(Q782/P782))+180,DEGREES(ATAN(Q782/P782))-180),IF(Q782&gt;0,90,IF(Q782&lt;0,-90,0)))))</f>
        <v/>
      </c>
      <c r="T782" s="195">
        <f>IF(B782="","",LOG10(B782))</f>
        <v/>
      </c>
      <c r="U782" s="195">
        <f>IF(R782="","",LOG10(MAX(R782,1E-12)))</f>
        <v/>
      </c>
    </row>
    <row r="783">
      <c r="A783" t="n">
        <v>780</v>
      </c>
      <c r="B783" s="196">
        <f>IF(A783&lt;='入力・概要'!$B$40,10^(LOG10('入力・概要'!$B$38)+(A783-1)*(LOG10('入力・概要'!$B$39)-LOG10('入力・概要'!$B$38))/('入力・概要'!$B$40-1)),"")</f>
        <v/>
      </c>
      <c r="C783" s="195">
        <f>IF(B783="","",2*PI()*B783)</f>
        <v/>
      </c>
      <c r="D783" s="195">
        <f>IF(B783="","",ATANH(MIN(0.999999,(2*'入力・概要'!$B$17*'入力・概要'!$B$6)/'入力・概要'!$B$30))+'入力・概要'!$B$33*SQRT(B783/1E6)+(2*PI()*B783*'入力・概要'!$B$6/(299792458*'入力・概要'!$B$31))*'入力・概要'!$B$32/2)</f>
        <v/>
      </c>
      <c r="E783" s="195">
        <f>IF(B783="","",2*PI()*B783*'入力・概要'!$B$6/(299792458*'入力・概要'!$B$31))</f>
        <v/>
      </c>
      <c r="F783" s="195">
        <f>IF(B783="","",SINH(2*D783)/(COSH(2*D783)+COS(2*E783)))</f>
        <v/>
      </c>
      <c r="G783" s="195">
        <f>IF(B783="","",SIN(2*E783)/(COSH(2*D783)+COS(2*E783)))</f>
        <v/>
      </c>
      <c r="H783" s="195">
        <f>IF(B783="","",'入力・概要'!$B$34)</f>
        <v/>
      </c>
      <c r="I783" s="195">
        <f>IF(B783="","",C783*'入力・概要'!$B$35*1E-9)</f>
        <v/>
      </c>
      <c r="J783" s="195">
        <f>IF(B783="","",H783+'入力・概要'!$B$30*F783)</f>
        <v/>
      </c>
      <c r="K783" s="195">
        <f>IF(B783="","",I783+'入力・概要'!$B$30*G783)</f>
        <v/>
      </c>
      <c r="L783" s="195">
        <f>IF(B783="","",'入力・概要'!$B$30+H783*F783-I783*G783)</f>
        <v/>
      </c>
      <c r="M783" s="195">
        <f>IF(B783="","",H783*G783+I783*F783)</f>
        <v/>
      </c>
      <c r="N783" s="195">
        <f>IF(B783="","",'入力・概要'!$B$30*(J783*L783+K783*M783)/(L783^2+M783^2))</f>
        <v/>
      </c>
      <c r="O783" s="195">
        <f>IF(B783="","",'入力・概要'!$B$30*(K783*L783-J783*M783)/(L783^2+M783^2))</f>
        <v/>
      </c>
      <c r="P783" s="195">
        <f>IF(B783="","",N783+'入力・概要'!$B$36)</f>
        <v/>
      </c>
      <c r="Q783" s="195">
        <f>IF(B783="","",O783+C783*'入力・概要'!$B$37*1E-9)</f>
        <v/>
      </c>
      <c r="R783" s="195">
        <f>IF(B783="","",SQRT(P783^2+Q783^2))</f>
        <v/>
      </c>
      <c r="S783" s="195">
        <f>IF(B783="","",IF(P783&gt;0,DEGREES(ATAN(Q783/P783)),IF(P783&lt;0,IF(Q783&gt;=0,DEGREES(ATAN(Q783/P783))+180,DEGREES(ATAN(Q783/P783))-180),IF(Q783&gt;0,90,IF(Q783&lt;0,-90,0)))))</f>
        <v/>
      </c>
      <c r="T783" s="195">
        <f>IF(B783="","",LOG10(B783))</f>
        <v/>
      </c>
      <c r="U783" s="195">
        <f>IF(R783="","",LOG10(MAX(R783,1E-12)))</f>
        <v/>
      </c>
    </row>
    <row r="784">
      <c r="A784" t="n">
        <v>781</v>
      </c>
      <c r="B784" s="196">
        <f>IF(A784&lt;='入力・概要'!$B$40,10^(LOG10('入力・概要'!$B$38)+(A784-1)*(LOG10('入力・概要'!$B$39)-LOG10('入力・概要'!$B$38))/('入力・概要'!$B$40-1)),"")</f>
        <v/>
      </c>
      <c r="C784" s="195">
        <f>IF(B784="","",2*PI()*B784)</f>
        <v/>
      </c>
      <c r="D784" s="195">
        <f>IF(B784="","",ATANH(MIN(0.999999,(2*'入力・概要'!$B$17*'入力・概要'!$B$6)/'入力・概要'!$B$30))+'入力・概要'!$B$33*SQRT(B784/1E6)+(2*PI()*B784*'入力・概要'!$B$6/(299792458*'入力・概要'!$B$31))*'入力・概要'!$B$32/2)</f>
        <v/>
      </c>
      <c r="E784" s="195">
        <f>IF(B784="","",2*PI()*B784*'入力・概要'!$B$6/(299792458*'入力・概要'!$B$31))</f>
        <v/>
      </c>
      <c r="F784" s="195">
        <f>IF(B784="","",SINH(2*D784)/(COSH(2*D784)+COS(2*E784)))</f>
        <v/>
      </c>
      <c r="G784" s="195">
        <f>IF(B784="","",SIN(2*E784)/(COSH(2*D784)+COS(2*E784)))</f>
        <v/>
      </c>
      <c r="H784" s="195">
        <f>IF(B784="","",'入力・概要'!$B$34)</f>
        <v/>
      </c>
      <c r="I784" s="195">
        <f>IF(B784="","",C784*'入力・概要'!$B$35*1E-9)</f>
        <v/>
      </c>
      <c r="J784" s="195">
        <f>IF(B784="","",H784+'入力・概要'!$B$30*F784)</f>
        <v/>
      </c>
      <c r="K784" s="195">
        <f>IF(B784="","",I784+'入力・概要'!$B$30*G784)</f>
        <v/>
      </c>
      <c r="L784" s="195">
        <f>IF(B784="","",'入力・概要'!$B$30+H784*F784-I784*G784)</f>
        <v/>
      </c>
      <c r="M784" s="195">
        <f>IF(B784="","",H784*G784+I784*F784)</f>
        <v/>
      </c>
      <c r="N784" s="195">
        <f>IF(B784="","",'入力・概要'!$B$30*(J784*L784+K784*M784)/(L784^2+M784^2))</f>
        <v/>
      </c>
      <c r="O784" s="195">
        <f>IF(B784="","",'入力・概要'!$B$30*(K784*L784-J784*M784)/(L784^2+M784^2))</f>
        <v/>
      </c>
      <c r="P784" s="195">
        <f>IF(B784="","",N784+'入力・概要'!$B$36)</f>
        <v/>
      </c>
      <c r="Q784" s="195">
        <f>IF(B784="","",O784+C784*'入力・概要'!$B$37*1E-9)</f>
        <v/>
      </c>
      <c r="R784" s="195">
        <f>IF(B784="","",SQRT(P784^2+Q784^2))</f>
        <v/>
      </c>
      <c r="S784" s="195">
        <f>IF(B784="","",IF(P784&gt;0,DEGREES(ATAN(Q784/P784)),IF(P784&lt;0,IF(Q784&gt;=0,DEGREES(ATAN(Q784/P784))+180,DEGREES(ATAN(Q784/P784))-180),IF(Q784&gt;0,90,IF(Q784&lt;0,-90,0)))))</f>
        <v/>
      </c>
      <c r="T784" s="195">
        <f>IF(B784="","",LOG10(B784))</f>
        <v/>
      </c>
      <c r="U784" s="195">
        <f>IF(R784="","",LOG10(MAX(R784,1E-12)))</f>
        <v/>
      </c>
    </row>
    <row r="785">
      <c r="A785" t="n">
        <v>782</v>
      </c>
      <c r="B785" s="196">
        <f>IF(A785&lt;='入力・概要'!$B$40,10^(LOG10('入力・概要'!$B$38)+(A785-1)*(LOG10('入力・概要'!$B$39)-LOG10('入力・概要'!$B$38))/('入力・概要'!$B$40-1)),"")</f>
        <v/>
      </c>
      <c r="C785" s="195">
        <f>IF(B785="","",2*PI()*B785)</f>
        <v/>
      </c>
      <c r="D785" s="195">
        <f>IF(B785="","",ATANH(MIN(0.999999,(2*'入力・概要'!$B$17*'入力・概要'!$B$6)/'入力・概要'!$B$30))+'入力・概要'!$B$33*SQRT(B785/1E6)+(2*PI()*B785*'入力・概要'!$B$6/(299792458*'入力・概要'!$B$31))*'入力・概要'!$B$32/2)</f>
        <v/>
      </c>
      <c r="E785" s="195">
        <f>IF(B785="","",2*PI()*B785*'入力・概要'!$B$6/(299792458*'入力・概要'!$B$31))</f>
        <v/>
      </c>
      <c r="F785" s="195">
        <f>IF(B785="","",SINH(2*D785)/(COSH(2*D785)+COS(2*E785)))</f>
        <v/>
      </c>
      <c r="G785" s="195">
        <f>IF(B785="","",SIN(2*E785)/(COSH(2*D785)+COS(2*E785)))</f>
        <v/>
      </c>
      <c r="H785" s="195">
        <f>IF(B785="","",'入力・概要'!$B$34)</f>
        <v/>
      </c>
      <c r="I785" s="195">
        <f>IF(B785="","",C785*'入力・概要'!$B$35*1E-9)</f>
        <v/>
      </c>
      <c r="J785" s="195">
        <f>IF(B785="","",H785+'入力・概要'!$B$30*F785)</f>
        <v/>
      </c>
      <c r="K785" s="195">
        <f>IF(B785="","",I785+'入力・概要'!$B$30*G785)</f>
        <v/>
      </c>
      <c r="L785" s="195">
        <f>IF(B785="","",'入力・概要'!$B$30+H785*F785-I785*G785)</f>
        <v/>
      </c>
      <c r="M785" s="195">
        <f>IF(B785="","",H785*G785+I785*F785)</f>
        <v/>
      </c>
      <c r="N785" s="195">
        <f>IF(B785="","",'入力・概要'!$B$30*(J785*L785+K785*M785)/(L785^2+M785^2))</f>
        <v/>
      </c>
      <c r="O785" s="195">
        <f>IF(B785="","",'入力・概要'!$B$30*(K785*L785-J785*M785)/(L785^2+M785^2))</f>
        <v/>
      </c>
      <c r="P785" s="195">
        <f>IF(B785="","",N785+'入力・概要'!$B$36)</f>
        <v/>
      </c>
      <c r="Q785" s="195">
        <f>IF(B785="","",O785+C785*'入力・概要'!$B$37*1E-9)</f>
        <v/>
      </c>
      <c r="R785" s="195">
        <f>IF(B785="","",SQRT(P785^2+Q785^2))</f>
        <v/>
      </c>
      <c r="S785" s="195">
        <f>IF(B785="","",IF(P785&gt;0,DEGREES(ATAN(Q785/P785)),IF(P785&lt;0,IF(Q785&gt;=0,DEGREES(ATAN(Q785/P785))+180,DEGREES(ATAN(Q785/P785))-180),IF(Q785&gt;0,90,IF(Q785&lt;0,-90,0)))))</f>
        <v/>
      </c>
      <c r="T785" s="195">
        <f>IF(B785="","",LOG10(B785))</f>
        <v/>
      </c>
      <c r="U785" s="195">
        <f>IF(R785="","",LOG10(MAX(R785,1E-12)))</f>
        <v/>
      </c>
    </row>
    <row r="786">
      <c r="A786" t="n">
        <v>783</v>
      </c>
      <c r="B786" s="196">
        <f>IF(A786&lt;='入力・概要'!$B$40,10^(LOG10('入力・概要'!$B$38)+(A786-1)*(LOG10('入力・概要'!$B$39)-LOG10('入力・概要'!$B$38))/('入力・概要'!$B$40-1)),"")</f>
        <v/>
      </c>
      <c r="C786" s="195">
        <f>IF(B786="","",2*PI()*B786)</f>
        <v/>
      </c>
      <c r="D786" s="195">
        <f>IF(B786="","",ATANH(MIN(0.999999,(2*'入力・概要'!$B$17*'入力・概要'!$B$6)/'入力・概要'!$B$30))+'入力・概要'!$B$33*SQRT(B786/1E6)+(2*PI()*B786*'入力・概要'!$B$6/(299792458*'入力・概要'!$B$31))*'入力・概要'!$B$32/2)</f>
        <v/>
      </c>
      <c r="E786" s="195">
        <f>IF(B786="","",2*PI()*B786*'入力・概要'!$B$6/(299792458*'入力・概要'!$B$31))</f>
        <v/>
      </c>
      <c r="F786" s="195">
        <f>IF(B786="","",SINH(2*D786)/(COSH(2*D786)+COS(2*E786)))</f>
        <v/>
      </c>
      <c r="G786" s="195">
        <f>IF(B786="","",SIN(2*E786)/(COSH(2*D786)+COS(2*E786)))</f>
        <v/>
      </c>
      <c r="H786" s="195">
        <f>IF(B786="","",'入力・概要'!$B$34)</f>
        <v/>
      </c>
      <c r="I786" s="195">
        <f>IF(B786="","",C786*'入力・概要'!$B$35*1E-9)</f>
        <v/>
      </c>
      <c r="J786" s="195">
        <f>IF(B786="","",H786+'入力・概要'!$B$30*F786)</f>
        <v/>
      </c>
      <c r="K786" s="195">
        <f>IF(B786="","",I786+'入力・概要'!$B$30*G786)</f>
        <v/>
      </c>
      <c r="L786" s="195">
        <f>IF(B786="","",'入力・概要'!$B$30+H786*F786-I786*G786)</f>
        <v/>
      </c>
      <c r="M786" s="195">
        <f>IF(B786="","",H786*G786+I786*F786)</f>
        <v/>
      </c>
      <c r="N786" s="195">
        <f>IF(B786="","",'入力・概要'!$B$30*(J786*L786+K786*M786)/(L786^2+M786^2))</f>
        <v/>
      </c>
      <c r="O786" s="195">
        <f>IF(B786="","",'入力・概要'!$B$30*(K786*L786-J786*M786)/(L786^2+M786^2))</f>
        <v/>
      </c>
      <c r="P786" s="195">
        <f>IF(B786="","",N786+'入力・概要'!$B$36)</f>
        <v/>
      </c>
      <c r="Q786" s="195">
        <f>IF(B786="","",O786+C786*'入力・概要'!$B$37*1E-9)</f>
        <v/>
      </c>
      <c r="R786" s="195">
        <f>IF(B786="","",SQRT(P786^2+Q786^2))</f>
        <v/>
      </c>
      <c r="S786" s="195">
        <f>IF(B786="","",IF(P786&gt;0,DEGREES(ATAN(Q786/P786)),IF(P786&lt;0,IF(Q786&gt;=0,DEGREES(ATAN(Q786/P786))+180,DEGREES(ATAN(Q786/P786))-180),IF(Q786&gt;0,90,IF(Q786&lt;0,-90,0)))))</f>
        <v/>
      </c>
      <c r="T786" s="195">
        <f>IF(B786="","",LOG10(B786))</f>
        <v/>
      </c>
      <c r="U786" s="195">
        <f>IF(R786="","",LOG10(MAX(R786,1E-12)))</f>
        <v/>
      </c>
    </row>
    <row r="787">
      <c r="A787" t="n">
        <v>784</v>
      </c>
      <c r="B787" s="196">
        <f>IF(A787&lt;='入力・概要'!$B$40,10^(LOG10('入力・概要'!$B$38)+(A787-1)*(LOG10('入力・概要'!$B$39)-LOG10('入力・概要'!$B$38))/('入力・概要'!$B$40-1)),"")</f>
        <v/>
      </c>
      <c r="C787" s="195">
        <f>IF(B787="","",2*PI()*B787)</f>
        <v/>
      </c>
      <c r="D787" s="195">
        <f>IF(B787="","",ATANH(MIN(0.999999,(2*'入力・概要'!$B$17*'入力・概要'!$B$6)/'入力・概要'!$B$30))+'入力・概要'!$B$33*SQRT(B787/1E6)+(2*PI()*B787*'入力・概要'!$B$6/(299792458*'入力・概要'!$B$31))*'入力・概要'!$B$32/2)</f>
        <v/>
      </c>
      <c r="E787" s="195">
        <f>IF(B787="","",2*PI()*B787*'入力・概要'!$B$6/(299792458*'入力・概要'!$B$31))</f>
        <v/>
      </c>
      <c r="F787" s="195">
        <f>IF(B787="","",SINH(2*D787)/(COSH(2*D787)+COS(2*E787)))</f>
        <v/>
      </c>
      <c r="G787" s="195">
        <f>IF(B787="","",SIN(2*E787)/(COSH(2*D787)+COS(2*E787)))</f>
        <v/>
      </c>
      <c r="H787" s="195">
        <f>IF(B787="","",'入力・概要'!$B$34)</f>
        <v/>
      </c>
      <c r="I787" s="195">
        <f>IF(B787="","",C787*'入力・概要'!$B$35*1E-9)</f>
        <v/>
      </c>
      <c r="J787" s="195">
        <f>IF(B787="","",H787+'入力・概要'!$B$30*F787)</f>
        <v/>
      </c>
      <c r="K787" s="195">
        <f>IF(B787="","",I787+'入力・概要'!$B$30*G787)</f>
        <v/>
      </c>
      <c r="L787" s="195">
        <f>IF(B787="","",'入力・概要'!$B$30+H787*F787-I787*G787)</f>
        <v/>
      </c>
      <c r="M787" s="195">
        <f>IF(B787="","",H787*G787+I787*F787)</f>
        <v/>
      </c>
      <c r="N787" s="195">
        <f>IF(B787="","",'入力・概要'!$B$30*(J787*L787+K787*M787)/(L787^2+M787^2))</f>
        <v/>
      </c>
      <c r="O787" s="195">
        <f>IF(B787="","",'入力・概要'!$B$30*(K787*L787-J787*M787)/(L787^2+M787^2))</f>
        <v/>
      </c>
      <c r="P787" s="195">
        <f>IF(B787="","",N787+'入力・概要'!$B$36)</f>
        <v/>
      </c>
      <c r="Q787" s="195">
        <f>IF(B787="","",O787+C787*'入力・概要'!$B$37*1E-9)</f>
        <v/>
      </c>
      <c r="R787" s="195">
        <f>IF(B787="","",SQRT(P787^2+Q787^2))</f>
        <v/>
      </c>
      <c r="S787" s="195">
        <f>IF(B787="","",IF(P787&gt;0,DEGREES(ATAN(Q787/P787)),IF(P787&lt;0,IF(Q787&gt;=0,DEGREES(ATAN(Q787/P787))+180,DEGREES(ATAN(Q787/P787))-180),IF(Q787&gt;0,90,IF(Q787&lt;0,-90,0)))))</f>
        <v/>
      </c>
      <c r="T787" s="195">
        <f>IF(B787="","",LOG10(B787))</f>
        <v/>
      </c>
      <c r="U787" s="195">
        <f>IF(R787="","",LOG10(MAX(R787,1E-12)))</f>
        <v/>
      </c>
    </row>
    <row r="788">
      <c r="A788" t="n">
        <v>785</v>
      </c>
      <c r="B788" s="196">
        <f>IF(A788&lt;='入力・概要'!$B$40,10^(LOG10('入力・概要'!$B$38)+(A788-1)*(LOG10('入力・概要'!$B$39)-LOG10('入力・概要'!$B$38))/('入力・概要'!$B$40-1)),"")</f>
        <v/>
      </c>
      <c r="C788" s="195">
        <f>IF(B788="","",2*PI()*B788)</f>
        <v/>
      </c>
      <c r="D788" s="195">
        <f>IF(B788="","",ATANH(MIN(0.999999,(2*'入力・概要'!$B$17*'入力・概要'!$B$6)/'入力・概要'!$B$30))+'入力・概要'!$B$33*SQRT(B788/1E6)+(2*PI()*B788*'入力・概要'!$B$6/(299792458*'入力・概要'!$B$31))*'入力・概要'!$B$32/2)</f>
        <v/>
      </c>
      <c r="E788" s="195">
        <f>IF(B788="","",2*PI()*B788*'入力・概要'!$B$6/(299792458*'入力・概要'!$B$31))</f>
        <v/>
      </c>
      <c r="F788" s="195">
        <f>IF(B788="","",SINH(2*D788)/(COSH(2*D788)+COS(2*E788)))</f>
        <v/>
      </c>
      <c r="G788" s="195">
        <f>IF(B788="","",SIN(2*E788)/(COSH(2*D788)+COS(2*E788)))</f>
        <v/>
      </c>
      <c r="H788" s="195">
        <f>IF(B788="","",'入力・概要'!$B$34)</f>
        <v/>
      </c>
      <c r="I788" s="195">
        <f>IF(B788="","",C788*'入力・概要'!$B$35*1E-9)</f>
        <v/>
      </c>
      <c r="J788" s="195">
        <f>IF(B788="","",H788+'入力・概要'!$B$30*F788)</f>
        <v/>
      </c>
      <c r="K788" s="195">
        <f>IF(B788="","",I788+'入力・概要'!$B$30*G788)</f>
        <v/>
      </c>
      <c r="L788" s="195">
        <f>IF(B788="","",'入力・概要'!$B$30+H788*F788-I788*G788)</f>
        <v/>
      </c>
      <c r="M788" s="195">
        <f>IF(B788="","",H788*G788+I788*F788)</f>
        <v/>
      </c>
      <c r="N788" s="195">
        <f>IF(B788="","",'入力・概要'!$B$30*(J788*L788+K788*M788)/(L788^2+M788^2))</f>
        <v/>
      </c>
      <c r="O788" s="195">
        <f>IF(B788="","",'入力・概要'!$B$30*(K788*L788-J788*M788)/(L788^2+M788^2))</f>
        <v/>
      </c>
      <c r="P788" s="195">
        <f>IF(B788="","",N788+'入力・概要'!$B$36)</f>
        <v/>
      </c>
      <c r="Q788" s="195">
        <f>IF(B788="","",O788+C788*'入力・概要'!$B$37*1E-9)</f>
        <v/>
      </c>
      <c r="R788" s="195">
        <f>IF(B788="","",SQRT(P788^2+Q788^2))</f>
        <v/>
      </c>
      <c r="S788" s="195">
        <f>IF(B788="","",IF(P788&gt;0,DEGREES(ATAN(Q788/P788)),IF(P788&lt;0,IF(Q788&gt;=0,DEGREES(ATAN(Q788/P788))+180,DEGREES(ATAN(Q788/P788))-180),IF(Q788&gt;0,90,IF(Q788&lt;0,-90,0)))))</f>
        <v/>
      </c>
      <c r="T788" s="195">
        <f>IF(B788="","",LOG10(B788))</f>
        <v/>
      </c>
      <c r="U788" s="195">
        <f>IF(R788="","",LOG10(MAX(R788,1E-12)))</f>
        <v/>
      </c>
    </row>
    <row r="789">
      <c r="A789" t="n">
        <v>786</v>
      </c>
      <c r="B789" s="196">
        <f>IF(A789&lt;='入力・概要'!$B$40,10^(LOG10('入力・概要'!$B$38)+(A789-1)*(LOG10('入力・概要'!$B$39)-LOG10('入力・概要'!$B$38))/('入力・概要'!$B$40-1)),"")</f>
        <v/>
      </c>
      <c r="C789" s="195">
        <f>IF(B789="","",2*PI()*B789)</f>
        <v/>
      </c>
      <c r="D789" s="195">
        <f>IF(B789="","",ATANH(MIN(0.999999,(2*'入力・概要'!$B$17*'入力・概要'!$B$6)/'入力・概要'!$B$30))+'入力・概要'!$B$33*SQRT(B789/1E6)+(2*PI()*B789*'入力・概要'!$B$6/(299792458*'入力・概要'!$B$31))*'入力・概要'!$B$32/2)</f>
        <v/>
      </c>
      <c r="E789" s="195">
        <f>IF(B789="","",2*PI()*B789*'入力・概要'!$B$6/(299792458*'入力・概要'!$B$31))</f>
        <v/>
      </c>
      <c r="F789" s="195">
        <f>IF(B789="","",SINH(2*D789)/(COSH(2*D789)+COS(2*E789)))</f>
        <v/>
      </c>
      <c r="G789" s="195">
        <f>IF(B789="","",SIN(2*E789)/(COSH(2*D789)+COS(2*E789)))</f>
        <v/>
      </c>
      <c r="H789" s="195">
        <f>IF(B789="","",'入力・概要'!$B$34)</f>
        <v/>
      </c>
      <c r="I789" s="195">
        <f>IF(B789="","",C789*'入力・概要'!$B$35*1E-9)</f>
        <v/>
      </c>
      <c r="J789" s="195">
        <f>IF(B789="","",H789+'入力・概要'!$B$30*F789)</f>
        <v/>
      </c>
      <c r="K789" s="195">
        <f>IF(B789="","",I789+'入力・概要'!$B$30*G789)</f>
        <v/>
      </c>
      <c r="L789" s="195">
        <f>IF(B789="","",'入力・概要'!$B$30+H789*F789-I789*G789)</f>
        <v/>
      </c>
      <c r="M789" s="195">
        <f>IF(B789="","",H789*G789+I789*F789)</f>
        <v/>
      </c>
      <c r="N789" s="195">
        <f>IF(B789="","",'入力・概要'!$B$30*(J789*L789+K789*M789)/(L789^2+M789^2))</f>
        <v/>
      </c>
      <c r="O789" s="195">
        <f>IF(B789="","",'入力・概要'!$B$30*(K789*L789-J789*M789)/(L789^2+M789^2))</f>
        <v/>
      </c>
      <c r="P789" s="195">
        <f>IF(B789="","",N789+'入力・概要'!$B$36)</f>
        <v/>
      </c>
      <c r="Q789" s="195">
        <f>IF(B789="","",O789+C789*'入力・概要'!$B$37*1E-9)</f>
        <v/>
      </c>
      <c r="R789" s="195">
        <f>IF(B789="","",SQRT(P789^2+Q789^2))</f>
        <v/>
      </c>
      <c r="S789" s="195">
        <f>IF(B789="","",IF(P789&gt;0,DEGREES(ATAN(Q789/P789)),IF(P789&lt;0,IF(Q789&gt;=0,DEGREES(ATAN(Q789/P789))+180,DEGREES(ATAN(Q789/P789))-180),IF(Q789&gt;0,90,IF(Q789&lt;0,-90,0)))))</f>
        <v/>
      </c>
      <c r="T789" s="195">
        <f>IF(B789="","",LOG10(B789))</f>
        <v/>
      </c>
      <c r="U789" s="195">
        <f>IF(R789="","",LOG10(MAX(R789,1E-12)))</f>
        <v/>
      </c>
    </row>
    <row r="790">
      <c r="A790" t="n">
        <v>787</v>
      </c>
      <c r="B790" s="196">
        <f>IF(A790&lt;='入力・概要'!$B$40,10^(LOG10('入力・概要'!$B$38)+(A790-1)*(LOG10('入力・概要'!$B$39)-LOG10('入力・概要'!$B$38))/('入力・概要'!$B$40-1)),"")</f>
        <v/>
      </c>
      <c r="C790" s="195">
        <f>IF(B790="","",2*PI()*B790)</f>
        <v/>
      </c>
      <c r="D790" s="195">
        <f>IF(B790="","",ATANH(MIN(0.999999,(2*'入力・概要'!$B$17*'入力・概要'!$B$6)/'入力・概要'!$B$30))+'入力・概要'!$B$33*SQRT(B790/1E6)+(2*PI()*B790*'入力・概要'!$B$6/(299792458*'入力・概要'!$B$31))*'入力・概要'!$B$32/2)</f>
        <v/>
      </c>
      <c r="E790" s="195">
        <f>IF(B790="","",2*PI()*B790*'入力・概要'!$B$6/(299792458*'入力・概要'!$B$31))</f>
        <v/>
      </c>
      <c r="F790" s="195">
        <f>IF(B790="","",SINH(2*D790)/(COSH(2*D790)+COS(2*E790)))</f>
        <v/>
      </c>
      <c r="G790" s="195">
        <f>IF(B790="","",SIN(2*E790)/(COSH(2*D790)+COS(2*E790)))</f>
        <v/>
      </c>
      <c r="H790" s="195">
        <f>IF(B790="","",'入力・概要'!$B$34)</f>
        <v/>
      </c>
      <c r="I790" s="195">
        <f>IF(B790="","",C790*'入力・概要'!$B$35*1E-9)</f>
        <v/>
      </c>
      <c r="J790" s="195">
        <f>IF(B790="","",H790+'入力・概要'!$B$30*F790)</f>
        <v/>
      </c>
      <c r="K790" s="195">
        <f>IF(B790="","",I790+'入力・概要'!$B$30*G790)</f>
        <v/>
      </c>
      <c r="L790" s="195">
        <f>IF(B790="","",'入力・概要'!$B$30+H790*F790-I790*G790)</f>
        <v/>
      </c>
      <c r="M790" s="195">
        <f>IF(B790="","",H790*G790+I790*F790)</f>
        <v/>
      </c>
      <c r="N790" s="195">
        <f>IF(B790="","",'入力・概要'!$B$30*(J790*L790+K790*M790)/(L790^2+M790^2))</f>
        <v/>
      </c>
      <c r="O790" s="195">
        <f>IF(B790="","",'入力・概要'!$B$30*(K790*L790-J790*M790)/(L790^2+M790^2))</f>
        <v/>
      </c>
      <c r="P790" s="195">
        <f>IF(B790="","",N790+'入力・概要'!$B$36)</f>
        <v/>
      </c>
      <c r="Q790" s="195">
        <f>IF(B790="","",O790+C790*'入力・概要'!$B$37*1E-9)</f>
        <v/>
      </c>
      <c r="R790" s="195">
        <f>IF(B790="","",SQRT(P790^2+Q790^2))</f>
        <v/>
      </c>
      <c r="S790" s="195">
        <f>IF(B790="","",IF(P790&gt;0,DEGREES(ATAN(Q790/P790)),IF(P790&lt;0,IF(Q790&gt;=0,DEGREES(ATAN(Q790/P790))+180,DEGREES(ATAN(Q790/P790))-180),IF(Q790&gt;0,90,IF(Q790&lt;0,-90,0)))))</f>
        <v/>
      </c>
      <c r="T790" s="195">
        <f>IF(B790="","",LOG10(B790))</f>
        <v/>
      </c>
      <c r="U790" s="195">
        <f>IF(R790="","",LOG10(MAX(R790,1E-12)))</f>
        <v/>
      </c>
    </row>
    <row r="791">
      <c r="A791" t="n">
        <v>788</v>
      </c>
      <c r="B791" s="196">
        <f>IF(A791&lt;='入力・概要'!$B$40,10^(LOG10('入力・概要'!$B$38)+(A791-1)*(LOG10('入力・概要'!$B$39)-LOG10('入力・概要'!$B$38))/('入力・概要'!$B$40-1)),"")</f>
        <v/>
      </c>
      <c r="C791" s="195">
        <f>IF(B791="","",2*PI()*B791)</f>
        <v/>
      </c>
      <c r="D791" s="195">
        <f>IF(B791="","",ATANH(MIN(0.999999,(2*'入力・概要'!$B$17*'入力・概要'!$B$6)/'入力・概要'!$B$30))+'入力・概要'!$B$33*SQRT(B791/1E6)+(2*PI()*B791*'入力・概要'!$B$6/(299792458*'入力・概要'!$B$31))*'入力・概要'!$B$32/2)</f>
        <v/>
      </c>
      <c r="E791" s="195">
        <f>IF(B791="","",2*PI()*B791*'入力・概要'!$B$6/(299792458*'入力・概要'!$B$31))</f>
        <v/>
      </c>
      <c r="F791" s="195">
        <f>IF(B791="","",SINH(2*D791)/(COSH(2*D791)+COS(2*E791)))</f>
        <v/>
      </c>
      <c r="G791" s="195">
        <f>IF(B791="","",SIN(2*E791)/(COSH(2*D791)+COS(2*E791)))</f>
        <v/>
      </c>
      <c r="H791" s="195">
        <f>IF(B791="","",'入力・概要'!$B$34)</f>
        <v/>
      </c>
      <c r="I791" s="195">
        <f>IF(B791="","",C791*'入力・概要'!$B$35*1E-9)</f>
        <v/>
      </c>
      <c r="J791" s="195">
        <f>IF(B791="","",H791+'入力・概要'!$B$30*F791)</f>
        <v/>
      </c>
      <c r="K791" s="195">
        <f>IF(B791="","",I791+'入力・概要'!$B$30*G791)</f>
        <v/>
      </c>
      <c r="L791" s="195">
        <f>IF(B791="","",'入力・概要'!$B$30+H791*F791-I791*G791)</f>
        <v/>
      </c>
      <c r="M791" s="195">
        <f>IF(B791="","",H791*G791+I791*F791)</f>
        <v/>
      </c>
      <c r="N791" s="195">
        <f>IF(B791="","",'入力・概要'!$B$30*(J791*L791+K791*M791)/(L791^2+M791^2))</f>
        <v/>
      </c>
      <c r="O791" s="195">
        <f>IF(B791="","",'入力・概要'!$B$30*(K791*L791-J791*M791)/(L791^2+M791^2))</f>
        <v/>
      </c>
      <c r="P791" s="195">
        <f>IF(B791="","",N791+'入力・概要'!$B$36)</f>
        <v/>
      </c>
      <c r="Q791" s="195">
        <f>IF(B791="","",O791+C791*'入力・概要'!$B$37*1E-9)</f>
        <v/>
      </c>
      <c r="R791" s="195">
        <f>IF(B791="","",SQRT(P791^2+Q791^2))</f>
        <v/>
      </c>
      <c r="S791" s="195">
        <f>IF(B791="","",IF(P791&gt;0,DEGREES(ATAN(Q791/P791)),IF(P791&lt;0,IF(Q791&gt;=0,DEGREES(ATAN(Q791/P791))+180,DEGREES(ATAN(Q791/P791))-180),IF(Q791&gt;0,90,IF(Q791&lt;0,-90,0)))))</f>
        <v/>
      </c>
      <c r="T791" s="195">
        <f>IF(B791="","",LOG10(B791))</f>
        <v/>
      </c>
      <c r="U791" s="195">
        <f>IF(R791="","",LOG10(MAX(R791,1E-12)))</f>
        <v/>
      </c>
    </row>
    <row r="792">
      <c r="A792" t="n">
        <v>789</v>
      </c>
      <c r="B792" s="196">
        <f>IF(A792&lt;='入力・概要'!$B$40,10^(LOG10('入力・概要'!$B$38)+(A792-1)*(LOG10('入力・概要'!$B$39)-LOG10('入力・概要'!$B$38))/('入力・概要'!$B$40-1)),"")</f>
        <v/>
      </c>
      <c r="C792" s="195">
        <f>IF(B792="","",2*PI()*B792)</f>
        <v/>
      </c>
      <c r="D792" s="195">
        <f>IF(B792="","",ATANH(MIN(0.999999,(2*'入力・概要'!$B$17*'入力・概要'!$B$6)/'入力・概要'!$B$30))+'入力・概要'!$B$33*SQRT(B792/1E6)+(2*PI()*B792*'入力・概要'!$B$6/(299792458*'入力・概要'!$B$31))*'入力・概要'!$B$32/2)</f>
        <v/>
      </c>
      <c r="E792" s="195">
        <f>IF(B792="","",2*PI()*B792*'入力・概要'!$B$6/(299792458*'入力・概要'!$B$31))</f>
        <v/>
      </c>
      <c r="F792" s="195">
        <f>IF(B792="","",SINH(2*D792)/(COSH(2*D792)+COS(2*E792)))</f>
        <v/>
      </c>
      <c r="G792" s="195">
        <f>IF(B792="","",SIN(2*E792)/(COSH(2*D792)+COS(2*E792)))</f>
        <v/>
      </c>
      <c r="H792" s="195">
        <f>IF(B792="","",'入力・概要'!$B$34)</f>
        <v/>
      </c>
      <c r="I792" s="195">
        <f>IF(B792="","",C792*'入力・概要'!$B$35*1E-9)</f>
        <v/>
      </c>
      <c r="J792" s="195">
        <f>IF(B792="","",H792+'入力・概要'!$B$30*F792)</f>
        <v/>
      </c>
      <c r="K792" s="195">
        <f>IF(B792="","",I792+'入力・概要'!$B$30*G792)</f>
        <v/>
      </c>
      <c r="L792" s="195">
        <f>IF(B792="","",'入力・概要'!$B$30+H792*F792-I792*G792)</f>
        <v/>
      </c>
      <c r="M792" s="195">
        <f>IF(B792="","",H792*G792+I792*F792)</f>
        <v/>
      </c>
      <c r="N792" s="195">
        <f>IF(B792="","",'入力・概要'!$B$30*(J792*L792+K792*M792)/(L792^2+M792^2))</f>
        <v/>
      </c>
      <c r="O792" s="195">
        <f>IF(B792="","",'入力・概要'!$B$30*(K792*L792-J792*M792)/(L792^2+M792^2))</f>
        <v/>
      </c>
      <c r="P792" s="195">
        <f>IF(B792="","",N792+'入力・概要'!$B$36)</f>
        <v/>
      </c>
      <c r="Q792" s="195">
        <f>IF(B792="","",O792+C792*'入力・概要'!$B$37*1E-9)</f>
        <v/>
      </c>
      <c r="R792" s="195">
        <f>IF(B792="","",SQRT(P792^2+Q792^2))</f>
        <v/>
      </c>
      <c r="S792" s="195">
        <f>IF(B792="","",IF(P792&gt;0,DEGREES(ATAN(Q792/P792)),IF(P792&lt;0,IF(Q792&gt;=0,DEGREES(ATAN(Q792/P792))+180,DEGREES(ATAN(Q792/P792))-180),IF(Q792&gt;0,90,IF(Q792&lt;0,-90,0)))))</f>
        <v/>
      </c>
      <c r="T792" s="195">
        <f>IF(B792="","",LOG10(B792))</f>
        <v/>
      </c>
      <c r="U792" s="195">
        <f>IF(R792="","",LOG10(MAX(R792,1E-12)))</f>
        <v/>
      </c>
    </row>
    <row r="793">
      <c r="A793" t="n">
        <v>790</v>
      </c>
      <c r="B793" s="196">
        <f>IF(A793&lt;='入力・概要'!$B$40,10^(LOG10('入力・概要'!$B$38)+(A793-1)*(LOG10('入力・概要'!$B$39)-LOG10('入力・概要'!$B$38))/('入力・概要'!$B$40-1)),"")</f>
        <v/>
      </c>
      <c r="C793" s="195">
        <f>IF(B793="","",2*PI()*B793)</f>
        <v/>
      </c>
      <c r="D793" s="195">
        <f>IF(B793="","",ATANH(MIN(0.999999,(2*'入力・概要'!$B$17*'入力・概要'!$B$6)/'入力・概要'!$B$30))+'入力・概要'!$B$33*SQRT(B793/1E6)+(2*PI()*B793*'入力・概要'!$B$6/(299792458*'入力・概要'!$B$31))*'入力・概要'!$B$32/2)</f>
        <v/>
      </c>
      <c r="E793" s="195">
        <f>IF(B793="","",2*PI()*B793*'入力・概要'!$B$6/(299792458*'入力・概要'!$B$31))</f>
        <v/>
      </c>
      <c r="F793" s="195">
        <f>IF(B793="","",SINH(2*D793)/(COSH(2*D793)+COS(2*E793)))</f>
        <v/>
      </c>
      <c r="G793" s="195">
        <f>IF(B793="","",SIN(2*E793)/(COSH(2*D793)+COS(2*E793)))</f>
        <v/>
      </c>
      <c r="H793" s="195">
        <f>IF(B793="","",'入力・概要'!$B$34)</f>
        <v/>
      </c>
      <c r="I793" s="195">
        <f>IF(B793="","",C793*'入力・概要'!$B$35*1E-9)</f>
        <v/>
      </c>
      <c r="J793" s="195">
        <f>IF(B793="","",H793+'入力・概要'!$B$30*F793)</f>
        <v/>
      </c>
      <c r="K793" s="195">
        <f>IF(B793="","",I793+'入力・概要'!$B$30*G793)</f>
        <v/>
      </c>
      <c r="L793" s="195">
        <f>IF(B793="","",'入力・概要'!$B$30+H793*F793-I793*G793)</f>
        <v/>
      </c>
      <c r="M793" s="195">
        <f>IF(B793="","",H793*G793+I793*F793)</f>
        <v/>
      </c>
      <c r="N793" s="195">
        <f>IF(B793="","",'入力・概要'!$B$30*(J793*L793+K793*M793)/(L793^2+M793^2))</f>
        <v/>
      </c>
      <c r="O793" s="195">
        <f>IF(B793="","",'入力・概要'!$B$30*(K793*L793-J793*M793)/(L793^2+M793^2))</f>
        <v/>
      </c>
      <c r="P793" s="195">
        <f>IF(B793="","",N793+'入力・概要'!$B$36)</f>
        <v/>
      </c>
      <c r="Q793" s="195">
        <f>IF(B793="","",O793+C793*'入力・概要'!$B$37*1E-9)</f>
        <v/>
      </c>
      <c r="R793" s="195">
        <f>IF(B793="","",SQRT(P793^2+Q793^2))</f>
        <v/>
      </c>
      <c r="S793" s="195">
        <f>IF(B793="","",IF(P793&gt;0,DEGREES(ATAN(Q793/P793)),IF(P793&lt;0,IF(Q793&gt;=0,DEGREES(ATAN(Q793/P793))+180,DEGREES(ATAN(Q793/P793))-180),IF(Q793&gt;0,90,IF(Q793&lt;0,-90,0)))))</f>
        <v/>
      </c>
      <c r="T793" s="195">
        <f>IF(B793="","",LOG10(B793))</f>
        <v/>
      </c>
      <c r="U793" s="195">
        <f>IF(R793="","",LOG10(MAX(R793,1E-12)))</f>
        <v/>
      </c>
    </row>
    <row r="794">
      <c r="A794" t="n">
        <v>791</v>
      </c>
      <c r="B794" s="196">
        <f>IF(A794&lt;='入力・概要'!$B$40,10^(LOG10('入力・概要'!$B$38)+(A794-1)*(LOG10('入力・概要'!$B$39)-LOG10('入力・概要'!$B$38))/('入力・概要'!$B$40-1)),"")</f>
        <v/>
      </c>
      <c r="C794" s="195">
        <f>IF(B794="","",2*PI()*B794)</f>
        <v/>
      </c>
      <c r="D794" s="195">
        <f>IF(B794="","",ATANH(MIN(0.999999,(2*'入力・概要'!$B$17*'入力・概要'!$B$6)/'入力・概要'!$B$30))+'入力・概要'!$B$33*SQRT(B794/1E6)+(2*PI()*B794*'入力・概要'!$B$6/(299792458*'入力・概要'!$B$31))*'入力・概要'!$B$32/2)</f>
        <v/>
      </c>
      <c r="E794" s="195">
        <f>IF(B794="","",2*PI()*B794*'入力・概要'!$B$6/(299792458*'入力・概要'!$B$31))</f>
        <v/>
      </c>
      <c r="F794" s="195">
        <f>IF(B794="","",SINH(2*D794)/(COSH(2*D794)+COS(2*E794)))</f>
        <v/>
      </c>
      <c r="G794" s="195">
        <f>IF(B794="","",SIN(2*E794)/(COSH(2*D794)+COS(2*E794)))</f>
        <v/>
      </c>
      <c r="H794" s="195">
        <f>IF(B794="","",'入力・概要'!$B$34)</f>
        <v/>
      </c>
      <c r="I794" s="195">
        <f>IF(B794="","",C794*'入力・概要'!$B$35*1E-9)</f>
        <v/>
      </c>
      <c r="J794" s="195">
        <f>IF(B794="","",H794+'入力・概要'!$B$30*F794)</f>
        <v/>
      </c>
      <c r="K794" s="195">
        <f>IF(B794="","",I794+'入力・概要'!$B$30*G794)</f>
        <v/>
      </c>
      <c r="L794" s="195">
        <f>IF(B794="","",'入力・概要'!$B$30+H794*F794-I794*G794)</f>
        <v/>
      </c>
      <c r="M794" s="195">
        <f>IF(B794="","",H794*G794+I794*F794)</f>
        <v/>
      </c>
      <c r="N794" s="195">
        <f>IF(B794="","",'入力・概要'!$B$30*(J794*L794+K794*M794)/(L794^2+M794^2))</f>
        <v/>
      </c>
      <c r="O794" s="195">
        <f>IF(B794="","",'入力・概要'!$B$30*(K794*L794-J794*M794)/(L794^2+M794^2))</f>
        <v/>
      </c>
      <c r="P794" s="195">
        <f>IF(B794="","",N794+'入力・概要'!$B$36)</f>
        <v/>
      </c>
      <c r="Q794" s="195">
        <f>IF(B794="","",O794+C794*'入力・概要'!$B$37*1E-9)</f>
        <v/>
      </c>
      <c r="R794" s="195">
        <f>IF(B794="","",SQRT(P794^2+Q794^2))</f>
        <v/>
      </c>
      <c r="S794" s="195">
        <f>IF(B794="","",IF(P794&gt;0,DEGREES(ATAN(Q794/P794)),IF(P794&lt;0,IF(Q794&gt;=0,DEGREES(ATAN(Q794/P794))+180,DEGREES(ATAN(Q794/P794))-180),IF(Q794&gt;0,90,IF(Q794&lt;0,-90,0)))))</f>
        <v/>
      </c>
      <c r="T794" s="195">
        <f>IF(B794="","",LOG10(B794))</f>
        <v/>
      </c>
      <c r="U794" s="195">
        <f>IF(R794="","",LOG10(MAX(R794,1E-12)))</f>
        <v/>
      </c>
    </row>
    <row r="795">
      <c r="A795" t="n">
        <v>792</v>
      </c>
      <c r="B795" s="196">
        <f>IF(A795&lt;='入力・概要'!$B$40,10^(LOG10('入力・概要'!$B$38)+(A795-1)*(LOG10('入力・概要'!$B$39)-LOG10('入力・概要'!$B$38))/('入力・概要'!$B$40-1)),"")</f>
        <v/>
      </c>
      <c r="C795" s="195">
        <f>IF(B795="","",2*PI()*B795)</f>
        <v/>
      </c>
      <c r="D795" s="195">
        <f>IF(B795="","",ATANH(MIN(0.999999,(2*'入力・概要'!$B$17*'入力・概要'!$B$6)/'入力・概要'!$B$30))+'入力・概要'!$B$33*SQRT(B795/1E6)+(2*PI()*B795*'入力・概要'!$B$6/(299792458*'入力・概要'!$B$31))*'入力・概要'!$B$32/2)</f>
        <v/>
      </c>
      <c r="E795" s="195">
        <f>IF(B795="","",2*PI()*B795*'入力・概要'!$B$6/(299792458*'入力・概要'!$B$31))</f>
        <v/>
      </c>
      <c r="F795" s="195">
        <f>IF(B795="","",SINH(2*D795)/(COSH(2*D795)+COS(2*E795)))</f>
        <v/>
      </c>
      <c r="G795" s="195">
        <f>IF(B795="","",SIN(2*E795)/(COSH(2*D795)+COS(2*E795)))</f>
        <v/>
      </c>
      <c r="H795" s="195">
        <f>IF(B795="","",'入力・概要'!$B$34)</f>
        <v/>
      </c>
      <c r="I795" s="195">
        <f>IF(B795="","",C795*'入力・概要'!$B$35*1E-9)</f>
        <v/>
      </c>
      <c r="J795" s="195">
        <f>IF(B795="","",H795+'入力・概要'!$B$30*F795)</f>
        <v/>
      </c>
      <c r="K795" s="195">
        <f>IF(B795="","",I795+'入力・概要'!$B$30*G795)</f>
        <v/>
      </c>
      <c r="L795" s="195">
        <f>IF(B795="","",'入力・概要'!$B$30+H795*F795-I795*G795)</f>
        <v/>
      </c>
      <c r="M795" s="195">
        <f>IF(B795="","",H795*G795+I795*F795)</f>
        <v/>
      </c>
      <c r="N795" s="195">
        <f>IF(B795="","",'入力・概要'!$B$30*(J795*L795+K795*M795)/(L795^2+M795^2))</f>
        <v/>
      </c>
      <c r="O795" s="195">
        <f>IF(B795="","",'入力・概要'!$B$30*(K795*L795-J795*M795)/(L795^2+M795^2))</f>
        <v/>
      </c>
      <c r="P795" s="195">
        <f>IF(B795="","",N795+'入力・概要'!$B$36)</f>
        <v/>
      </c>
      <c r="Q795" s="195">
        <f>IF(B795="","",O795+C795*'入力・概要'!$B$37*1E-9)</f>
        <v/>
      </c>
      <c r="R795" s="195">
        <f>IF(B795="","",SQRT(P795^2+Q795^2))</f>
        <v/>
      </c>
      <c r="S795" s="195">
        <f>IF(B795="","",IF(P795&gt;0,DEGREES(ATAN(Q795/P795)),IF(P795&lt;0,IF(Q795&gt;=0,DEGREES(ATAN(Q795/P795))+180,DEGREES(ATAN(Q795/P795))-180),IF(Q795&gt;0,90,IF(Q795&lt;0,-90,0)))))</f>
        <v/>
      </c>
      <c r="T795" s="195">
        <f>IF(B795="","",LOG10(B795))</f>
        <v/>
      </c>
      <c r="U795" s="195">
        <f>IF(R795="","",LOG10(MAX(R795,1E-12)))</f>
        <v/>
      </c>
    </row>
    <row r="796">
      <c r="A796" t="n">
        <v>793</v>
      </c>
      <c r="B796" s="196">
        <f>IF(A796&lt;='入力・概要'!$B$40,10^(LOG10('入力・概要'!$B$38)+(A796-1)*(LOG10('入力・概要'!$B$39)-LOG10('入力・概要'!$B$38))/('入力・概要'!$B$40-1)),"")</f>
        <v/>
      </c>
      <c r="C796" s="195">
        <f>IF(B796="","",2*PI()*B796)</f>
        <v/>
      </c>
      <c r="D796" s="195">
        <f>IF(B796="","",ATANH(MIN(0.999999,(2*'入力・概要'!$B$17*'入力・概要'!$B$6)/'入力・概要'!$B$30))+'入力・概要'!$B$33*SQRT(B796/1E6)+(2*PI()*B796*'入力・概要'!$B$6/(299792458*'入力・概要'!$B$31))*'入力・概要'!$B$32/2)</f>
        <v/>
      </c>
      <c r="E796" s="195">
        <f>IF(B796="","",2*PI()*B796*'入力・概要'!$B$6/(299792458*'入力・概要'!$B$31))</f>
        <v/>
      </c>
      <c r="F796" s="195">
        <f>IF(B796="","",SINH(2*D796)/(COSH(2*D796)+COS(2*E796)))</f>
        <v/>
      </c>
      <c r="G796" s="195">
        <f>IF(B796="","",SIN(2*E796)/(COSH(2*D796)+COS(2*E796)))</f>
        <v/>
      </c>
      <c r="H796" s="195">
        <f>IF(B796="","",'入力・概要'!$B$34)</f>
        <v/>
      </c>
      <c r="I796" s="195">
        <f>IF(B796="","",C796*'入力・概要'!$B$35*1E-9)</f>
        <v/>
      </c>
      <c r="J796" s="195">
        <f>IF(B796="","",H796+'入力・概要'!$B$30*F796)</f>
        <v/>
      </c>
      <c r="K796" s="195">
        <f>IF(B796="","",I796+'入力・概要'!$B$30*G796)</f>
        <v/>
      </c>
      <c r="L796" s="195">
        <f>IF(B796="","",'入力・概要'!$B$30+H796*F796-I796*G796)</f>
        <v/>
      </c>
      <c r="M796" s="195">
        <f>IF(B796="","",H796*G796+I796*F796)</f>
        <v/>
      </c>
      <c r="N796" s="195">
        <f>IF(B796="","",'入力・概要'!$B$30*(J796*L796+K796*M796)/(L796^2+M796^2))</f>
        <v/>
      </c>
      <c r="O796" s="195">
        <f>IF(B796="","",'入力・概要'!$B$30*(K796*L796-J796*M796)/(L796^2+M796^2))</f>
        <v/>
      </c>
      <c r="P796" s="195">
        <f>IF(B796="","",N796+'入力・概要'!$B$36)</f>
        <v/>
      </c>
      <c r="Q796" s="195">
        <f>IF(B796="","",O796+C796*'入力・概要'!$B$37*1E-9)</f>
        <v/>
      </c>
      <c r="R796" s="195">
        <f>IF(B796="","",SQRT(P796^2+Q796^2))</f>
        <v/>
      </c>
      <c r="S796" s="195">
        <f>IF(B796="","",IF(P796&gt;0,DEGREES(ATAN(Q796/P796)),IF(P796&lt;0,IF(Q796&gt;=0,DEGREES(ATAN(Q796/P796))+180,DEGREES(ATAN(Q796/P796))-180),IF(Q796&gt;0,90,IF(Q796&lt;0,-90,0)))))</f>
        <v/>
      </c>
      <c r="T796" s="195">
        <f>IF(B796="","",LOG10(B796))</f>
        <v/>
      </c>
      <c r="U796" s="195">
        <f>IF(R796="","",LOG10(MAX(R796,1E-12)))</f>
        <v/>
      </c>
    </row>
    <row r="797">
      <c r="A797" t="n">
        <v>794</v>
      </c>
      <c r="B797" s="196">
        <f>IF(A797&lt;='入力・概要'!$B$40,10^(LOG10('入力・概要'!$B$38)+(A797-1)*(LOG10('入力・概要'!$B$39)-LOG10('入力・概要'!$B$38))/('入力・概要'!$B$40-1)),"")</f>
        <v/>
      </c>
      <c r="C797" s="195">
        <f>IF(B797="","",2*PI()*B797)</f>
        <v/>
      </c>
      <c r="D797" s="195">
        <f>IF(B797="","",ATANH(MIN(0.999999,(2*'入力・概要'!$B$17*'入力・概要'!$B$6)/'入力・概要'!$B$30))+'入力・概要'!$B$33*SQRT(B797/1E6)+(2*PI()*B797*'入力・概要'!$B$6/(299792458*'入力・概要'!$B$31))*'入力・概要'!$B$32/2)</f>
        <v/>
      </c>
      <c r="E797" s="195">
        <f>IF(B797="","",2*PI()*B797*'入力・概要'!$B$6/(299792458*'入力・概要'!$B$31))</f>
        <v/>
      </c>
      <c r="F797" s="195">
        <f>IF(B797="","",SINH(2*D797)/(COSH(2*D797)+COS(2*E797)))</f>
        <v/>
      </c>
      <c r="G797" s="195">
        <f>IF(B797="","",SIN(2*E797)/(COSH(2*D797)+COS(2*E797)))</f>
        <v/>
      </c>
      <c r="H797" s="195">
        <f>IF(B797="","",'入力・概要'!$B$34)</f>
        <v/>
      </c>
      <c r="I797" s="195">
        <f>IF(B797="","",C797*'入力・概要'!$B$35*1E-9)</f>
        <v/>
      </c>
      <c r="J797" s="195">
        <f>IF(B797="","",H797+'入力・概要'!$B$30*F797)</f>
        <v/>
      </c>
      <c r="K797" s="195">
        <f>IF(B797="","",I797+'入力・概要'!$B$30*G797)</f>
        <v/>
      </c>
      <c r="L797" s="195">
        <f>IF(B797="","",'入力・概要'!$B$30+H797*F797-I797*G797)</f>
        <v/>
      </c>
      <c r="M797" s="195">
        <f>IF(B797="","",H797*G797+I797*F797)</f>
        <v/>
      </c>
      <c r="N797" s="195">
        <f>IF(B797="","",'入力・概要'!$B$30*(J797*L797+K797*M797)/(L797^2+M797^2))</f>
        <v/>
      </c>
      <c r="O797" s="195">
        <f>IF(B797="","",'入力・概要'!$B$30*(K797*L797-J797*M797)/(L797^2+M797^2))</f>
        <v/>
      </c>
      <c r="P797" s="195">
        <f>IF(B797="","",N797+'入力・概要'!$B$36)</f>
        <v/>
      </c>
      <c r="Q797" s="195">
        <f>IF(B797="","",O797+C797*'入力・概要'!$B$37*1E-9)</f>
        <v/>
      </c>
      <c r="R797" s="195">
        <f>IF(B797="","",SQRT(P797^2+Q797^2))</f>
        <v/>
      </c>
      <c r="S797" s="195">
        <f>IF(B797="","",IF(P797&gt;0,DEGREES(ATAN(Q797/P797)),IF(P797&lt;0,IF(Q797&gt;=0,DEGREES(ATAN(Q797/P797))+180,DEGREES(ATAN(Q797/P797))-180),IF(Q797&gt;0,90,IF(Q797&lt;0,-90,0)))))</f>
        <v/>
      </c>
      <c r="T797" s="195">
        <f>IF(B797="","",LOG10(B797))</f>
        <v/>
      </c>
      <c r="U797" s="195">
        <f>IF(R797="","",LOG10(MAX(R797,1E-12)))</f>
        <v/>
      </c>
    </row>
    <row r="798">
      <c r="A798" t="n">
        <v>795</v>
      </c>
      <c r="B798" s="196">
        <f>IF(A798&lt;='入力・概要'!$B$40,10^(LOG10('入力・概要'!$B$38)+(A798-1)*(LOG10('入力・概要'!$B$39)-LOG10('入力・概要'!$B$38))/('入力・概要'!$B$40-1)),"")</f>
        <v/>
      </c>
      <c r="C798" s="195">
        <f>IF(B798="","",2*PI()*B798)</f>
        <v/>
      </c>
      <c r="D798" s="195">
        <f>IF(B798="","",ATANH(MIN(0.999999,(2*'入力・概要'!$B$17*'入力・概要'!$B$6)/'入力・概要'!$B$30))+'入力・概要'!$B$33*SQRT(B798/1E6)+(2*PI()*B798*'入力・概要'!$B$6/(299792458*'入力・概要'!$B$31))*'入力・概要'!$B$32/2)</f>
        <v/>
      </c>
      <c r="E798" s="195">
        <f>IF(B798="","",2*PI()*B798*'入力・概要'!$B$6/(299792458*'入力・概要'!$B$31))</f>
        <v/>
      </c>
      <c r="F798" s="195">
        <f>IF(B798="","",SINH(2*D798)/(COSH(2*D798)+COS(2*E798)))</f>
        <v/>
      </c>
      <c r="G798" s="195">
        <f>IF(B798="","",SIN(2*E798)/(COSH(2*D798)+COS(2*E798)))</f>
        <v/>
      </c>
      <c r="H798" s="195">
        <f>IF(B798="","",'入力・概要'!$B$34)</f>
        <v/>
      </c>
      <c r="I798" s="195">
        <f>IF(B798="","",C798*'入力・概要'!$B$35*1E-9)</f>
        <v/>
      </c>
      <c r="J798" s="195">
        <f>IF(B798="","",H798+'入力・概要'!$B$30*F798)</f>
        <v/>
      </c>
      <c r="K798" s="195">
        <f>IF(B798="","",I798+'入力・概要'!$B$30*G798)</f>
        <v/>
      </c>
      <c r="L798" s="195">
        <f>IF(B798="","",'入力・概要'!$B$30+H798*F798-I798*G798)</f>
        <v/>
      </c>
      <c r="M798" s="195">
        <f>IF(B798="","",H798*G798+I798*F798)</f>
        <v/>
      </c>
      <c r="N798" s="195">
        <f>IF(B798="","",'入力・概要'!$B$30*(J798*L798+K798*M798)/(L798^2+M798^2))</f>
        <v/>
      </c>
      <c r="O798" s="195">
        <f>IF(B798="","",'入力・概要'!$B$30*(K798*L798-J798*M798)/(L798^2+M798^2))</f>
        <v/>
      </c>
      <c r="P798" s="195">
        <f>IF(B798="","",N798+'入力・概要'!$B$36)</f>
        <v/>
      </c>
      <c r="Q798" s="195">
        <f>IF(B798="","",O798+C798*'入力・概要'!$B$37*1E-9)</f>
        <v/>
      </c>
      <c r="R798" s="195">
        <f>IF(B798="","",SQRT(P798^2+Q798^2))</f>
        <v/>
      </c>
      <c r="S798" s="195">
        <f>IF(B798="","",IF(P798&gt;0,DEGREES(ATAN(Q798/P798)),IF(P798&lt;0,IF(Q798&gt;=0,DEGREES(ATAN(Q798/P798))+180,DEGREES(ATAN(Q798/P798))-180),IF(Q798&gt;0,90,IF(Q798&lt;0,-90,0)))))</f>
        <v/>
      </c>
      <c r="T798" s="195">
        <f>IF(B798="","",LOG10(B798))</f>
        <v/>
      </c>
      <c r="U798" s="195">
        <f>IF(R798="","",LOG10(MAX(R798,1E-12)))</f>
        <v/>
      </c>
    </row>
    <row r="799">
      <c r="A799" t="n">
        <v>796</v>
      </c>
      <c r="B799" s="196">
        <f>IF(A799&lt;='入力・概要'!$B$40,10^(LOG10('入力・概要'!$B$38)+(A799-1)*(LOG10('入力・概要'!$B$39)-LOG10('入力・概要'!$B$38))/('入力・概要'!$B$40-1)),"")</f>
        <v/>
      </c>
      <c r="C799" s="195">
        <f>IF(B799="","",2*PI()*B799)</f>
        <v/>
      </c>
      <c r="D799" s="195">
        <f>IF(B799="","",ATANH(MIN(0.999999,(2*'入力・概要'!$B$17*'入力・概要'!$B$6)/'入力・概要'!$B$30))+'入力・概要'!$B$33*SQRT(B799/1E6)+(2*PI()*B799*'入力・概要'!$B$6/(299792458*'入力・概要'!$B$31))*'入力・概要'!$B$32/2)</f>
        <v/>
      </c>
      <c r="E799" s="195">
        <f>IF(B799="","",2*PI()*B799*'入力・概要'!$B$6/(299792458*'入力・概要'!$B$31))</f>
        <v/>
      </c>
      <c r="F799" s="195">
        <f>IF(B799="","",SINH(2*D799)/(COSH(2*D799)+COS(2*E799)))</f>
        <v/>
      </c>
      <c r="G799" s="195">
        <f>IF(B799="","",SIN(2*E799)/(COSH(2*D799)+COS(2*E799)))</f>
        <v/>
      </c>
      <c r="H799" s="195">
        <f>IF(B799="","",'入力・概要'!$B$34)</f>
        <v/>
      </c>
      <c r="I799" s="195">
        <f>IF(B799="","",C799*'入力・概要'!$B$35*1E-9)</f>
        <v/>
      </c>
      <c r="J799" s="195">
        <f>IF(B799="","",H799+'入力・概要'!$B$30*F799)</f>
        <v/>
      </c>
      <c r="K799" s="195">
        <f>IF(B799="","",I799+'入力・概要'!$B$30*G799)</f>
        <v/>
      </c>
      <c r="L799" s="195">
        <f>IF(B799="","",'入力・概要'!$B$30+H799*F799-I799*G799)</f>
        <v/>
      </c>
      <c r="M799" s="195">
        <f>IF(B799="","",H799*G799+I799*F799)</f>
        <v/>
      </c>
      <c r="N799" s="195">
        <f>IF(B799="","",'入力・概要'!$B$30*(J799*L799+K799*M799)/(L799^2+M799^2))</f>
        <v/>
      </c>
      <c r="O799" s="195">
        <f>IF(B799="","",'入力・概要'!$B$30*(K799*L799-J799*M799)/(L799^2+M799^2))</f>
        <v/>
      </c>
      <c r="P799" s="195">
        <f>IF(B799="","",N799+'入力・概要'!$B$36)</f>
        <v/>
      </c>
      <c r="Q799" s="195">
        <f>IF(B799="","",O799+C799*'入力・概要'!$B$37*1E-9)</f>
        <v/>
      </c>
      <c r="R799" s="195">
        <f>IF(B799="","",SQRT(P799^2+Q799^2))</f>
        <v/>
      </c>
      <c r="S799" s="195">
        <f>IF(B799="","",IF(P799&gt;0,DEGREES(ATAN(Q799/P799)),IF(P799&lt;0,IF(Q799&gt;=0,DEGREES(ATAN(Q799/P799))+180,DEGREES(ATAN(Q799/P799))-180),IF(Q799&gt;0,90,IF(Q799&lt;0,-90,0)))))</f>
        <v/>
      </c>
      <c r="T799" s="195">
        <f>IF(B799="","",LOG10(B799))</f>
        <v/>
      </c>
      <c r="U799" s="195">
        <f>IF(R799="","",LOG10(MAX(R799,1E-12)))</f>
        <v/>
      </c>
    </row>
    <row r="800">
      <c r="A800" t="n">
        <v>797</v>
      </c>
      <c r="B800" s="196">
        <f>IF(A800&lt;='入力・概要'!$B$40,10^(LOG10('入力・概要'!$B$38)+(A800-1)*(LOG10('入力・概要'!$B$39)-LOG10('入力・概要'!$B$38))/('入力・概要'!$B$40-1)),"")</f>
        <v/>
      </c>
      <c r="C800" s="195">
        <f>IF(B800="","",2*PI()*B800)</f>
        <v/>
      </c>
      <c r="D800" s="195">
        <f>IF(B800="","",ATANH(MIN(0.999999,(2*'入力・概要'!$B$17*'入力・概要'!$B$6)/'入力・概要'!$B$30))+'入力・概要'!$B$33*SQRT(B800/1E6)+(2*PI()*B800*'入力・概要'!$B$6/(299792458*'入力・概要'!$B$31))*'入力・概要'!$B$32/2)</f>
        <v/>
      </c>
      <c r="E800" s="195">
        <f>IF(B800="","",2*PI()*B800*'入力・概要'!$B$6/(299792458*'入力・概要'!$B$31))</f>
        <v/>
      </c>
      <c r="F800" s="195">
        <f>IF(B800="","",SINH(2*D800)/(COSH(2*D800)+COS(2*E800)))</f>
        <v/>
      </c>
      <c r="G800" s="195">
        <f>IF(B800="","",SIN(2*E800)/(COSH(2*D800)+COS(2*E800)))</f>
        <v/>
      </c>
      <c r="H800" s="195">
        <f>IF(B800="","",'入力・概要'!$B$34)</f>
        <v/>
      </c>
      <c r="I800" s="195">
        <f>IF(B800="","",C800*'入力・概要'!$B$35*1E-9)</f>
        <v/>
      </c>
      <c r="J800" s="195">
        <f>IF(B800="","",H800+'入力・概要'!$B$30*F800)</f>
        <v/>
      </c>
      <c r="K800" s="195">
        <f>IF(B800="","",I800+'入力・概要'!$B$30*G800)</f>
        <v/>
      </c>
      <c r="L800" s="195">
        <f>IF(B800="","",'入力・概要'!$B$30+H800*F800-I800*G800)</f>
        <v/>
      </c>
      <c r="M800" s="195">
        <f>IF(B800="","",H800*G800+I800*F800)</f>
        <v/>
      </c>
      <c r="N800" s="195">
        <f>IF(B800="","",'入力・概要'!$B$30*(J800*L800+K800*M800)/(L800^2+M800^2))</f>
        <v/>
      </c>
      <c r="O800" s="195">
        <f>IF(B800="","",'入力・概要'!$B$30*(K800*L800-J800*M800)/(L800^2+M800^2))</f>
        <v/>
      </c>
      <c r="P800" s="195">
        <f>IF(B800="","",N800+'入力・概要'!$B$36)</f>
        <v/>
      </c>
      <c r="Q800" s="195">
        <f>IF(B800="","",O800+C800*'入力・概要'!$B$37*1E-9)</f>
        <v/>
      </c>
      <c r="R800" s="195">
        <f>IF(B800="","",SQRT(P800^2+Q800^2))</f>
        <v/>
      </c>
      <c r="S800" s="195">
        <f>IF(B800="","",IF(P800&gt;0,DEGREES(ATAN(Q800/P800)),IF(P800&lt;0,IF(Q800&gt;=0,DEGREES(ATAN(Q800/P800))+180,DEGREES(ATAN(Q800/P800))-180),IF(Q800&gt;0,90,IF(Q800&lt;0,-90,0)))))</f>
        <v/>
      </c>
      <c r="T800" s="195">
        <f>IF(B800="","",LOG10(B800))</f>
        <v/>
      </c>
      <c r="U800" s="195">
        <f>IF(R800="","",LOG10(MAX(R800,1E-12)))</f>
        <v/>
      </c>
    </row>
    <row r="801">
      <c r="A801" t="n">
        <v>798</v>
      </c>
      <c r="B801" s="196">
        <f>IF(A801&lt;='入力・概要'!$B$40,10^(LOG10('入力・概要'!$B$38)+(A801-1)*(LOG10('入力・概要'!$B$39)-LOG10('入力・概要'!$B$38))/('入力・概要'!$B$40-1)),"")</f>
        <v/>
      </c>
      <c r="C801" s="195">
        <f>IF(B801="","",2*PI()*B801)</f>
        <v/>
      </c>
      <c r="D801" s="195">
        <f>IF(B801="","",ATANH(MIN(0.999999,(2*'入力・概要'!$B$17*'入力・概要'!$B$6)/'入力・概要'!$B$30))+'入力・概要'!$B$33*SQRT(B801/1E6)+(2*PI()*B801*'入力・概要'!$B$6/(299792458*'入力・概要'!$B$31))*'入力・概要'!$B$32/2)</f>
        <v/>
      </c>
      <c r="E801" s="195">
        <f>IF(B801="","",2*PI()*B801*'入力・概要'!$B$6/(299792458*'入力・概要'!$B$31))</f>
        <v/>
      </c>
      <c r="F801" s="195">
        <f>IF(B801="","",SINH(2*D801)/(COSH(2*D801)+COS(2*E801)))</f>
        <v/>
      </c>
      <c r="G801" s="195">
        <f>IF(B801="","",SIN(2*E801)/(COSH(2*D801)+COS(2*E801)))</f>
        <v/>
      </c>
      <c r="H801" s="195">
        <f>IF(B801="","",'入力・概要'!$B$34)</f>
        <v/>
      </c>
      <c r="I801" s="195">
        <f>IF(B801="","",C801*'入力・概要'!$B$35*1E-9)</f>
        <v/>
      </c>
      <c r="J801" s="195">
        <f>IF(B801="","",H801+'入力・概要'!$B$30*F801)</f>
        <v/>
      </c>
      <c r="K801" s="195">
        <f>IF(B801="","",I801+'入力・概要'!$B$30*G801)</f>
        <v/>
      </c>
      <c r="L801" s="195">
        <f>IF(B801="","",'入力・概要'!$B$30+H801*F801-I801*G801)</f>
        <v/>
      </c>
      <c r="M801" s="195">
        <f>IF(B801="","",H801*G801+I801*F801)</f>
        <v/>
      </c>
      <c r="N801" s="195">
        <f>IF(B801="","",'入力・概要'!$B$30*(J801*L801+K801*M801)/(L801^2+M801^2))</f>
        <v/>
      </c>
      <c r="O801" s="195">
        <f>IF(B801="","",'入力・概要'!$B$30*(K801*L801-J801*M801)/(L801^2+M801^2))</f>
        <v/>
      </c>
      <c r="P801" s="195">
        <f>IF(B801="","",N801+'入力・概要'!$B$36)</f>
        <v/>
      </c>
      <c r="Q801" s="195">
        <f>IF(B801="","",O801+C801*'入力・概要'!$B$37*1E-9)</f>
        <v/>
      </c>
      <c r="R801" s="195">
        <f>IF(B801="","",SQRT(P801^2+Q801^2))</f>
        <v/>
      </c>
      <c r="S801" s="195">
        <f>IF(B801="","",IF(P801&gt;0,DEGREES(ATAN(Q801/P801)),IF(P801&lt;0,IF(Q801&gt;=0,DEGREES(ATAN(Q801/P801))+180,DEGREES(ATAN(Q801/P801))-180),IF(Q801&gt;0,90,IF(Q801&lt;0,-90,0)))))</f>
        <v/>
      </c>
      <c r="T801" s="195">
        <f>IF(B801="","",LOG10(B801))</f>
        <v/>
      </c>
      <c r="U801" s="195">
        <f>IF(R801="","",LOG10(MAX(R801,1E-12)))</f>
        <v/>
      </c>
    </row>
    <row r="802">
      <c r="A802" t="n">
        <v>799</v>
      </c>
      <c r="B802" s="196">
        <f>IF(A802&lt;='入力・概要'!$B$40,10^(LOG10('入力・概要'!$B$38)+(A802-1)*(LOG10('入力・概要'!$B$39)-LOG10('入力・概要'!$B$38))/('入力・概要'!$B$40-1)),"")</f>
        <v/>
      </c>
      <c r="C802" s="195">
        <f>IF(B802="","",2*PI()*B802)</f>
        <v/>
      </c>
      <c r="D802" s="195">
        <f>IF(B802="","",ATANH(MIN(0.999999,(2*'入力・概要'!$B$17*'入力・概要'!$B$6)/'入力・概要'!$B$30))+'入力・概要'!$B$33*SQRT(B802/1E6)+(2*PI()*B802*'入力・概要'!$B$6/(299792458*'入力・概要'!$B$31))*'入力・概要'!$B$32/2)</f>
        <v/>
      </c>
      <c r="E802" s="195">
        <f>IF(B802="","",2*PI()*B802*'入力・概要'!$B$6/(299792458*'入力・概要'!$B$31))</f>
        <v/>
      </c>
      <c r="F802" s="195">
        <f>IF(B802="","",SINH(2*D802)/(COSH(2*D802)+COS(2*E802)))</f>
        <v/>
      </c>
      <c r="G802" s="195">
        <f>IF(B802="","",SIN(2*E802)/(COSH(2*D802)+COS(2*E802)))</f>
        <v/>
      </c>
      <c r="H802" s="195">
        <f>IF(B802="","",'入力・概要'!$B$34)</f>
        <v/>
      </c>
      <c r="I802" s="195">
        <f>IF(B802="","",C802*'入力・概要'!$B$35*1E-9)</f>
        <v/>
      </c>
      <c r="J802" s="195">
        <f>IF(B802="","",H802+'入力・概要'!$B$30*F802)</f>
        <v/>
      </c>
      <c r="K802" s="195">
        <f>IF(B802="","",I802+'入力・概要'!$B$30*G802)</f>
        <v/>
      </c>
      <c r="L802" s="195">
        <f>IF(B802="","",'入力・概要'!$B$30+H802*F802-I802*G802)</f>
        <v/>
      </c>
      <c r="M802" s="195">
        <f>IF(B802="","",H802*G802+I802*F802)</f>
        <v/>
      </c>
      <c r="N802" s="195">
        <f>IF(B802="","",'入力・概要'!$B$30*(J802*L802+K802*M802)/(L802^2+M802^2))</f>
        <v/>
      </c>
      <c r="O802" s="195">
        <f>IF(B802="","",'入力・概要'!$B$30*(K802*L802-J802*M802)/(L802^2+M802^2))</f>
        <v/>
      </c>
      <c r="P802" s="195">
        <f>IF(B802="","",N802+'入力・概要'!$B$36)</f>
        <v/>
      </c>
      <c r="Q802" s="195">
        <f>IF(B802="","",O802+C802*'入力・概要'!$B$37*1E-9)</f>
        <v/>
      </c>
      <c r="R802" s="195">
        <f>IF(B802="","",SQRT(P802^2+Q802^2))</f>
        <v/>
      </c>
      <c r="S802" s="195">
        <f>IF(B802="","",IF(P802&gt;0,DEGREES(ATAN(Q802/P802)),IF(P802&lt;0,IF(Q802&gt;=0,DEGREES(ATAN(Q802/P802))+180,DEGREES(ATAN(Q802/P802))-180),IF(Q802&gt;0,90,IF(Q802&lt;0,-90,0)))))</f>
        <v/>
      </c>
      <c r="T802" s="195">
        <f>IF(B802="","",LOG10(B802))</f>
        <v/>
      </c>
      <c r="U802" s="195">
        <f>IF(R802="","",LOG10(MAX(R802,1E-12)))</f>
        <v/>
      </c>
    </row>
    <row r="803">
      <c r="A803" t="n">
        <v>800</v>
      </c>
      <c r="B803" s="196">
        <f>IF(A803&lt;='入力・概要'!$B$40,10^(LOG10('入力・概要'!$B$38)+(A803-1)*(LOG10('入力・概要'!$B$39)-LOG10('入力・概要'!$B$38))/('入力・概要'!$B$40-1)),"")</f>
        <v/>
      </c>
      <c r="C803" s="195">
        <f>IF(B803="","",2*PI()*B803)</f>
        <v/>
      </c>
      <c r="D803" s="195">
        <f>IF(B803="","",ATANH(MIN(0.999999,(2*'入力・概要'!$B$17*'入力・概要'!$B$6)/'入力・概要'!$B$30))+'入力・概要'!$B$33*SQRT(B803/1E6)+(2*PI()*B803*'入力・概要'!$B$6/(299792458*'入力・概要'!$B$31))*'入力・概要'!$B$32/2)</f>
        <v/>
      </c>
      <c r="E803" s="195">
        <f>IF(B803="","",2*PI()*B803*'入力・概要'!$B$6/(299792458*'入力・概要'!$B$31))</f>
        <v/>
      </c>
      <c r="F803" s="195">
        <f>IF(B803="","",SINH(2*D803)/(COSH(2*D803)+COS(2*E803)))</f>
        <v/>
      </c>
      <c r="G803" s="195">
        <f>IF(B803="","",SIN(2*E803)/(COSH(2*D803)+COS(2*E803)))</f>
        <v/>
      </c>
      <c r="H803" s="195">
        <f>IF(B803="","",'入力・概要'!$B$34)</f>
        <v/>
      </c>
      <c r="I803" s="195">
        <f>IF(B803="","",C803*'入力・概要'!$B$35*1E-9)</f>
        <v/>
      </c>
      <c r="J803" s="195">
        <f>IF(B803="","",H803+'入力・概要'!$B$30*F803)</f>
        <v/>
      </c>
      <c r="K803" s="195">
        <f>IF(B803="","",I803+'入力・概要'!$B$30*G803)</f>
        <v/>
      </c>
      <c r="L803" s="195">
        <f>IF(B803="","",'入力・概要'!$B$30+H803*F803-I803*G803)</f>
        <v/>
      </c>
      <c r="M803" s="195">
        <f>IF(B803="","",H803*G803+I803*F803)</f>
        <v/>
      </c>
      <c r="N803" s="195">
        <f>IF(B803="","",'入力・概要'!$B$30*(J803*L803+K803*M803)/(L803^2+M803^2))</f>
        <v/>
      </c>
      <c r="O803" s="195">
        <f>IF(B803="","",'入力・概要'!$B$30*(K803*L803-J803*M803)/(L803^2+M803^2))</f>
        <v/>
      </c>
      <c r="P803" s="195">
        <f>IF(B803="","",N803+'入力・概要'!$B$36)</f>
        <v/>
      </c>
      <c r="Q803" s="195">
        <f>IF(B803="","",O803+C803*'入力・概要'!$B$37*1E-9)</f>
        <v/>
      </c>
      <c r="R803" s="195">
        <f>IF(B803="","",SQRT(P803^2+Q803^2))</f>
        <v/>
      </c>
      <c r="S803" s="195">
        <f>IF(B803="","",IF(P803&gt;0,DEGREES(ATAN(Q803/P803)),IF(P803&lt;0,IF(Q803&gt;=0,DEGREES(ATAN(Q803/P803))+180,DEGREES(ATAN(Q803/P803))-180),IF(Q803&gt;0,90,IF(Q803&lt;0,-90,0)))))</f>
        <v/>
      </c>
      <c r="T803" s="195">
        <f>IF(B803="","",LOG10(B803))</f>
        <v/>
      </c>
      <c r="U803" s="195">
        <f>IF(R803="","",LOG10(MAX(R803,1E-12)))</f>
        <v/>
      </c>
    </row>
    <row r="804">
      <c r="A804" t="n">
        <v>801</v>
      </c>
      <c r="B804" s="196">
        <f>IF(A804&lt;='入力・概要'!$B$40,10^(LOG10('入力・概要'!$B$38)+(A804-1)*(LOG10('入力・概要'!$B$39)-LOG10('入力・概要'!$B$38))/('入力・概要'!$B$40-1)),"")</f>
        <v/>
      </c>
      <c r="C804" s="195">
        <f>IF(B804="","",2*PI()*B804)</f>
        <v/>
      </c>
      <c r="D804" s="195">
        <f>IF(B804="","",ATANH(MIN(0.999999,(2*'入力・概要'!$B$17*'入力・概要'!$B$6)/'入力・概要'!$B$30))+'入力・概要'!$B$33*SQRT(B804/1E6)+(2*PI()*B804*'入力・概要'!$B$6/(299792458*'入力・概要'!$B$31))*'入力・概要'!$B$32/2)</f>
        <v/>
      </c>
      <c r="E804" s="195">
        <f>IF(B804="","",2*PI()*B804*'入力・概要'!$B$6/(299792458*'入力・概要'!$B$31))</f>
        <v/>
      </c>
      <c r="F804" s="195">
        <f>IF(B804="","",SINH(2*D804)/(COSH(2*D804)+COS(2*E804)))</f>
        <v/>
      </c>
      <c r="G804" s="195">
        <f>IF(B804="","",SIN(2*E804)/(COSH(2*D804)+COS(2*E804)))</f>
        <v/>
      </c>
      <c r="H804" s="195">
        <f>IF(B804="","",'入力・概要'!$B$34)</f>
        <v/>
      </c>
      <c r="I804" s="195">
        <f>IF(B804="","",C804*'入力・概要'!$B$35*1E-9)</f>
        <v/>
      </c>
      <c r="J804" s="195">
        <f>IF(B804="","",H804+'入力・概要'!$B$30*F804)</f>
        <v/>
      </c>
      <c r="K804" s="195">
        <f>IF(B804="","",I804+'入力・概要'!$B$30*G804)</f>
        <v/>
      </c>
      <c r="L804" s="195">
        <f>IF(B804="","",'入力・概要'!$B$30+H804*F804-I804*G804)</f>
        <v/>
      </c>
      <c r="M804" s="195">
        <f>IF(B804="","",H804*G804+I804*F804)</f>
        <v/>
      </c>
      <c r="N804" s="195">
        <f>IF(B804="","",'入力・概要'!$B$30*(J804*L804+K804*M804)/(L804^2+M804^2))</f>
        <v/>
      </c>
      <c r="O804" s="195">
        <f>IF(B804="","",'入力・概要'!$B$30*(K804*L804-J804*M804)/(L804^2+M804^2))</f>
        <v/>
      </c>
      <c r="P804" s="195">
        <f>IF(B804="","",N804+'入力・概要'!$B$36)</f>
        <v/>
      </c>
      <c r="Q804" s="195">
        <f>IF(B804="","",O804+C804*'入力・概要'!$B$37*1E-9)</f>
        <v/>
      </c>
      <c r="R804" s="195">
        <f>IF(B804="","",SQRT(P804^2+Q804^2))</f>
        <v/>
      </c>
      <c r="S804" s="195">
        <f>IF(B804="","",IF(P804&gt;0,DEGREES(ATAN(Q804/P804)),IF(P804&lt;0,IF(Q804&gt;=0,DEGREES(ATAN(Q804/P804))+180,DEGREES(ATAN(Q804/P804))-180),IF(Q804&gt;0,90,IF(Q804&lt;0,-90,0)))))</f>
        <v/>
      </c>
      <c r="T804" s="195">
        <f>IF(B804="","",LOG10(B804))</f>
        <v/>
      </c>
      <c r="U804" s="195">
        <f>IF(R804="","",LOG10(MAX(R804,1E-12)))</f>
        <v/>
      </c>
    </row>
  </sheetData>
  <mergeCells count="1">
    <mergeCell ref="A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04"/>
  <sheetViews>
    <sheetView workbookViewId="0">
      <selection activeCell="A1" sqref="A1"/>
    </sheetView>
  </sheetViews>
  <sheetFormatPr baseColWidth="8" defaultRowHeight="15"/>
  <cols>
    <col width="7" customWidth="1" style="165" min="1" max="1"/>
    <col width="15" customWidth="1" style="165" min="2" max="2"/>
    <col width="15" customWidth="1" style="165" min="3" max="3"/>
    <col width="12" customWidth="1" style="165" min="4" max="4"/>
    <col width="12" customWidth="1" style="165" min="5" max="5"/>
    <col width="12" customWidth="1" style="165" min="6" max="6"/>
    <col width="12" customWidth="1" style="165" min="7" max="7"/>
    <col width="12" customWidth="1" style="165" min="8" max="8"/>
    <col width="12" customWidth="1" style="165" min="9" max="9"/>
    <col width="12" customWidth="1" style="165" min="10" max="10"/>
    <col width="12" customWidth="1" style="165" min="11" max="11"/>
    <col width="13" customWidth="1" style="165" min="12" max="12"/>
    <col width="13" customWidth="1" style="165" min="13" max="13"/>
    <col width="13" customWidth="1" style="165" min="14" max="14"/>
    <col width="13" customWidth="1" style="165" min="15" max="15"/>
    <col width="14" customWidth="1" style="165" min="16" max="16"/>
    <col width="14" customWidth="1" style="165" min="17" max="17"/>
    <col width="14" customWidth="1" style="165" min="18" max="18"/>
    <col width="14" customWidth="1" style="165" min="19" max="19"/>
    <col width="14" customWidth="1" style="165" min="20" max="20"/>
    <col width="14" customWidth="1" style="165" min="21" max="21"/>
    <col width="13" customWidth="1" style="165" min="22" max="22"/>
    <col width="13" customWidth="1" style="165" min="23" max="23"/>
    <col width="13" customWidth="1" style="165" min="24" max="24"/>
    <col width="13" customWidth="1" style="165" min="25" max="25"/>
    <col width="14" customWidth="1" style="165" min="26" max="26"/>
    <col width="14" customWidth="1" style="165" min="27" max="27"/>
    <col width="15" customWidth="1" style="165" min="28" max="28"/>
    <col width="13" customWidth="1" style="165" min="29" max="29"/>
    <col width="12" customWidth="1" style="165" min="30" max="30"/>
    <col width="12" customWidth="1" style="165" min="31" max="31"/>
    <col width="13" customWidth="1" style="165" min="32" max="32"/>
    <col width="13" customWidth="1" style="165" min="33" max="33"/>
  </cols>
  <sheetData>
    <row r="1">
      <c r="A1" s="227" t="inlineStr">
        <is>
          <t>同相モード：P(2芯一括)－FG1　3導体MTLモード解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  <c r="O1" s="228" t="n"/>
      <c r="P1" s="228" t="n"/>
      <c r="Q1" s="228" t="n"/>
      <c r="R1" s="228" t="n"/>
      <c r="S1" s="228" t="n"/>
      <c r="T1" s="228" t="n"/>
      <c r="U1" s="228" t="n"/>
      <c r="V1" s="228" t="n"/>
      <c r="W1" s="228" t="n"/>
      <c r="X1" s="228" t="n"/>
      <c r="Y1" s="228" t="n"/>
      <c r="Z1" s="228" t="n"/>
      <c r="AA1" s="228" t="n"/>
      <c r="AB1" s="228" t="n"/>
      <c r="AC1" s="228" t="n"/>
      <c r="AD1" s="228" t="n"/>
      <c r="AE1" s="228" t="n"/>
      <c r="AF1" s="228" t="n"/>
      <c r="AG1" s="228" t="n"/>
    </row>
    <row r="2">
      <c r="A2" s="202" t="n"/>
      <c r="B2" s="202" t="n"/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</row>
    <row r="3">
      <c r="A3" s="211" t="inlineStr">
        <is>
          <t>No.</t>
        </is>
      </c>
      <c r="B3" s="211" t="inlineStr">
        <is>
          <t>周波数 [Hz]</t>
        </is>
      </c>
      <c r="C3" s="211" t="inlineStr">
        <is>
          <t>ω</t>
        </is>
      </c>
      <c r="D3" s="211" t="inlineStr">
        <is>
          <t>内部A1</t>
        </is>
      </c>
      <c r="E3" s="211" t="inlineStr">
        <is>
          <t>内部θ1</t>
        </is>
      </c>
      <c r="F3" s="211" t="inlineStr">
        <is>
          <t>tanh1 Re</t>
        </is>
      </c>
      <c r="G3" s="211" t="inlineStr">
        <is>
          <t>tanh1 Im</t>
        </is>
      </c>
      <c r="H3" s="211" t="inlineStr">
        <is>
          <t>外部A2</t>
        </is>
      </c>
      <c r="I3" s="211" t="inlineStr">
        <is>
          <t>外部θ2</t>
        </is>
      </c>
      <c r="J3" s="211" t="inlineStr">
        <is>
          <t>tanh2 Re</t>
        </is>
      </c>
      <c r="K3" s="211" t="inlineStr">
        <is>
          <t>tanh2 Im</t>
        </is>
      </c>
      <c r="L3" s="211" t="inlineStr">
        <is>
          <t>C1 Re</t>
        </is>
      </c>
      <c r="M3" s="211" t="inlineStr">
        <is>
          <t>C1 Im</t>
        </is>
      </c>
      <c r="N3" s="211" t="inlineStr">
        <is>
          <t>C2 Re</t>
        </is>
      </c>
      <c r="O3" s="211" t="inlineStr">
        <is>
          <t>C2 Im</t>
        </is>
      </c>
      <c r="P3" s="211" t="inlineStr">
        <is>
          <t>負荷 Re</t>
        </is>
      </c>
      <c r="Q3" s="211" t="inlineStr">
        <is>
          <t>負荷 Im</t>
        </is>
      </c>
      <c r="R3" s="211" t="inlineStr">
        <is>
          <t>外部Zext Re</t>
        </is>
      </c>
      <c r="S3" s="211" t="inlineStr">
        <is>
          <t>外部Zext Im</t>
        </is>
      </c>
      <c r="T3" s="211" t="inlineStr">
        <is>
          <t>内部実効負荷 Re</t>
        </is>
      </c>
      <c r="U3" s="211" t="inlineStr">
        <is>
          <t>内部実効負荷 Im</t>
        </is>
      </c>
      <c r="V3" s="211" t="inlineStr">
        <is>
          <t>分子 Re</t>
        </is>
      </c>
      <c r="W3" s="211" t="inlineStr">
        <is>
          <t>分子 Im</t>
        </is>
      </c>
      <c r="X3" s="211" t="inlineStr">
        <is>
          <t>分母 Re</t>
        </is>
      </c>
      <c r="Y3" s="211" t="inlineStr">
        <is>
          <t>分母 Im</t>
        </is>
      </c>
      <c r="Z3" s="211" t="inlineStr">
        <is>
          <t>Zin Re</t>
        </is>
      </c>
      <c r="AA3" s="211" t="inlineStr">
        <is>
          <t>Zin Im</t>
        </is>
      </c>
      <c r="AB3" s="211" t="inlineStr">
        <is>
          <t>|ZCM| [Ω]</t>
        </is>
      </c>
      <c r="AC3" s="211" t="inlineStr">
        <is>
          <t>位相 [deg]</t>
        </is>
      </c>
      <c r="AD3" s="211" t="inlineStr">
        <is>
          <t>log10(f)</t>
        </is>
      </c>
      <c r="AE3" s="211" t="inlineStr">
        <is>
          <t>log10(|ZCM|)</t>
        </is>
      </c>
      <c r="AF3" s="211" t="inlineStr">
        <is>
          <t>|Zload|</t>
        </is>
      </c>
      <c r="AG3" s="211" t="inlineStr">
        <is>
          <t>|Zext|</t>
        </is>
      </c>
    </row>
    <row r="4">
      <c r="A4" s="202" t="n">
        <v>1</v>
      </c>
      <c r="B4" s="213">
        <f>IF(A4&lt;='入力・概要'!$B$40,10^(LOG10('入力・概要'!$B$38)+(A4-1)*(LOG10('入力・概要'!$B$39)-LOG10('入力・概要'!$B$38))/('入力・概要'!$B$40-1)),"")</f>
        <v/>
      </c>
      <c r="C4" s="212">
        <f>IF(B4="","",2*PI()*B4)</f>
        <v/>
      </c>
      <c r="D4" s="212">
        <f>IF(B4="","",ATANH(MIN(0.999999,'入力・概要'!$E$20/'入力・概要'!$E$9))+'入力・概要'!$B$20*SQRT(B4/1E6)+E4*'入力・概要'!$B$15/2)</f>
        <v/>
      </c>
      <c r="E4" s="212">
        <f>IF(B4="","",C4*('入力・概要'!$E$11*1E-9))</f>
        <v/>
      </c>
      <c r="F4" s="212">
        <f>IF(B4="","",SINH(2*D4)/(COSH(2*D4)+COS(2*E4)))</f>
        <v/>
      </c>
      <c r="G4" s="212">
        <f>IF(B4="","",SIN(2*E4)/(COSH(2*D4)+COS(2*E4)))</f>
        <v/>
      </c>
      <c r="H4" s="212">
        <f>IF(B4="","",ATANH(MIN(0.999999,'入力・概要'!$E$21/'入力・概要'!$E$15))+'入力・概要'!$B$21*SQRT(B4/1E6)+I4*'入力・概要'!$B$16/2)</f>
        <v/>
      </c>
      <c r="I4" s="212">
        <f>IF(B4="","",C4*('入力・概要'!$E$17*1E-9))</f>
        <v/>
      </c>
      <c r="J4" s="212">
        <f>IF(B4="","",SINH(2*H4)/(COSH(2*H4)+COS(2*I4)))</f>
        <v/>
      </c>
      <c r="K4" s="212">
        <f>IF(B4="","",SIN(2*I4)/(COSH(2*H4)+COS(2*I4)))</f>
        <v/>
      </c>
      <c r="L4" s="212">
        <f>IF(B4="","",'入力・概要'!$B$25)</f>
        <v/>
      </c>
      <c r="M4" s="212">
        <f>IF(B4="","",C4*'入力・概要'!$B$26*1E-9-1/(C4*'入力・概要'!$B$24*1E-6))</f>
        <v/>
      </c>
      <c r="N4" s="212">
        <f>IF(B4="","",'入力・概要'!$B$28)</f>
        <v/>
      </c>
      <c r="O4" s="212">
        <f>IF(B4="","",C4*'入力・概要'!$B$29*1E-9-1/(C4*'入力・概要'!$B$27*1E-6))</f>
        <v/>
      </c>
      <c r="P4" s="212">
        <f>IF(B4="","",((L4*N4-M4*O4)*(L4+N4)+(L4*O4+M4*N4)*(M4+O4))/((L4+N4)^2+(M4+O4)^2))</f>
        <v/>
      </c>
      <c r="Q4" s="212">
        <f>IF(B4="","",((L4*O4+M4*N4)*(L4+N4)-(L4*N4-M4*O4)*(M4+O4))/((L4+N4)^2+(M4+O4)^2))</f>
        <v/>
      </c>
      <c r="R4" s="212">
        <f>IF(B4="","",'入力・概要'!$E$15*J4)</f>
        <v/>
      </c>
      <c r="S4" s="212">
        <f>IF(B4="","",'入力・概要'!$E$15*K4)</f>
        <v/>
      </c>
      <c r="T4" s="212">
        <f>IF(B4="","",P4+R4)</f>
        <v/>
      </c>
      <c r="U4" s="212">
        <f>IF(B4="","",Q4+S4)</f>
        <v/>
      </c>
      <c r="V4" s="212">
        <f>IF(B4="","",T4+'入力・概要'!$E$9*F4)</f>
        <v/>
      </c>
      <c r="W4" s="212">
        <f>IF(B4="","",U4+'入力・概要'!$E$9*G4)</f>
        <v/>
      </c>
      <c r="X4" s="212">
        <f>IF(B4="","",'入力・概要'!$E$9+T4*F4-U4*G4)</f>
        <v/>
      </c>
      <c r="Y4" s="212">
        <f>IF(B4="","",T4*G4+U4*F4)</f>
        <v/>
      </c>
      <c r="Z4" s="212">
        <f>IF(B4="","",'入力・概要'!$E$9*(V4*X4+W4*Y4)/(X4^2+Y4^2)+'入力・概要'!$B$36)</f>
        <v/>
      </c>
      <c r="AA4" s="212">
        <f>IF(B4="","",'入力・概要'!$E$9*(W4*X4-V4*Y4)/(X4^2+Y4^2)+C4*'入力・概要'!$B$37*1E-9)</f>
        <v/>
      </c>
      <c r="AB4" s="212">
        <f>IF(B4="","",SQRT(Z4^2+AA4^2))</f>
        <v/>
      </c>
      <c r="AC4" s="212">
        <f>IF(B4="","",IF(Z4&gt;0,DEGREES(ATAN(AA4/Z4)),IF(Z4&lt;0,IF(AA4&gt;=0,DEGREES(ATAN(AA4/Z4))+180,DEGREES(ATAN(AA4/Z4))-180),IF(AA4&gt;0,90,IF(AA4&lt;0,-90,0)))))</f>
        <v/>
      </c>
      <c r="AD4" s="212">
        <f>IF(B4="","",LOG10(B4))</f>
        <v/>
      </c>
      <c r="AE4" s="212">
        <f>IF(AB4="","",LOG10(MAX(AB4,1E-12)))</f>
        <v/>
      </c>
      <c r="AF4" s="212">
        <f>IF(B4="","",SQRT(P4^2+Q4^2))</f>
        <v/>
      </c>
      <c r="AG4" s="212">
        <f>IF(B4="","",SQRT(R4^2+S4^2))</f>
        <v/>
      </c>
    </row>
    <row r="5">
      <c r="A5" s="202" t="n">
        <v>2</v>
      </c>
      <c r="B5" s="213">
        <f>IF(A5&lt;='入力・概要'!$B$40,10^(LOG10('入力・概要'!$B$38)+(A5-1)*(LOG10('入力・概要'!$B$39)-LOG10('入力・概要'!$B$38))/('入力・概要'!$B$40-1)),"")</f>
        <v/>
      </c>
      <c r="C5" s="212">
        <f>IF(B5="","",2*PI()*B5)</f>
        <v/>
      </c>
      <c r="D5" s="212">
        <f>IF(B5="","",ATANH(MIN(0.999999,'入力・概要'!$E$20/'入力・概要'!$E$9))+'入力・概要'!$B$20*SQRT(B5/1E6)+E5*'入力・概要'!$B$15/2)</f>
        <v/>
      </c>
      <c r="E5" s="212">
        <f>IF(B5="","",C5*('入力・概要'!$E$11*1E-9))</f>
        <v/>
      </c>
      <c r="F5" s="212">
        <f>IF(B5="","",SINH(2*D5)/(COSH(2*D5)+COS(2*E5)))</f>
        <v/>
      </c>
      <c r="G5" s="212">
        <f>IF(B5="","",SIN(2*E5)/(COSH(2*D5)+COS(2*E5)))</f>
        <v/>
      </c>
      <c r="H5" s="212">
        <f>IF(B5="","",ATANH(MIN(0.999999,'入力・概要'!$E$21/'入力・概要'!$E$15))+'入力・概要'!$B$21*SQRT(B5/1E6)+I5*'入力・概要'!$B$16/2)</f>
        <v/>
      </c>
      <c r="I5" s="212">
        <f>IF(B5="","",C5*('入力・概要'!$E$17*1E-9))</f>
        <v/>
      </c>
      <c r="J5" s="212">
        <f>IF(B5="","",SINH(2*H5)/(COSH(2*H5)+COS(2*I5)))</f>
        <v/>
      </c>
      <c r="K5" s="212">
        <f>IF(B5="","",SIN(2*I5)/(COSH(2*H5)+COS(2*I5)))</f>
        <v/>
      </c>
      <c r="L5" s="212">
        <f>IF(B5="","",'入力・概要'!$B$25)</f>
        <v/>
      </c>
      <c r="M5" s="212">
        <f>IF(B5="","",C5*'入力・概要'!$B$26*1E-9-1/(C5*'入力・概要'!$B$24*1E-6))</f>
        <v/>
      </c>
      <c r="N5" s="212">
        <f>IF(B5="","",'入力・概要'!$B$28)</f>
        <v/>
      </c>
      <c r="O5" s="212">
        <f>IF(B5="","",C5*'入力・概要'!$B$29*1E-9-1/(C5*'入力・概要'!$B$27*1E-6))</f>
        <v/>
      </c>
      <c r="P5" s="212">
        <f>IF(B5="","",((L5*N5-M5*O5)*(L5+N5)+(L5*O5+M5*N5)*(M5+O5))/((L5+N5)^2+(M5+O5)^2))</f>
        <v/>
      </c>
      <c r="Q5" s="212">
        <f>IF(B5="","",((L5*O5+M5*N5)*(L5+N5)-(L5*N5-M5*O5)*(M5+O5))/((L5+N5)^2+(M5+O5)^2))</f>
        <v/>
      </c>
      <c r="R5" s="212">
        <f>IF(B5="","",'入力・概要'!$E$15*J5)</f>
        <v/>
      </c>
      <c r="S5" s="212">
        <f>IF(B5="","",'入力・概要'!$E$15*K5)</f>
        <v/>
      </c>
      <c r="T5" s="212">
        <f>IF(B5="","",P5+R5)</f>
        <v/>
      </c>
      <c r="U5" s="212">
        <f>IF(B5="","",Q5+S5)</f>
        <v/>
      </c>
      <c r="V5" s="212">
        <f>IF(B5="","",T5+'入力・概要'!$E$9*F5)</f>
        <v/>
      </c>
      <c r="W5" s="212">
        <f>IF(B5="","",U5+'入力・概要'!$E$9*G5)</f>
        <v/>
      </c>
      <c r="X5" s="212">
        <f>IF(B5="","",'入力・概要'!$E$9+T5*F5-U5*G5)</f>
        <v/>
      </c>
      <c r="Y5" s="212">
        <f>IF(B5="","",T5*G5+U5*F5)</f>
        <v/>
      </c>
      <c r="Z5" s="212">
        <f>IF(B5="","",'入力・概要'!$E$9*(V5*X5+W5*Y5)/(X5^2+Y5^2)+'入力・概要'!$B$36)</f>
        <v/>
      </c>
      <c r="AA5" s="212">
        <f>IF(B5="","",'入力・概要'!$E$9*(W5*X5-V5*Y5)/(X5^2+Y5^2)+C5*'入力・概要'!$B$37*1E-9)</f>
        <v/>
      </c>
      <c r="AB5" s="212">
        <f>IF(B5="","",SQRT(Z5^2+AA5^2))</f>
        <v/>
      </c>
      <c r="AC5" s="212">
        <f>IF(B5="","",IF(Z5&gt;0,DEGREES(ATAN(AA5/Z5)),IF(Z5&lt;0,IF(AA5&gt;=0,DEGREES(ATAN(AA5/Z5))+180,DEGREES(ATAN(AA5/Z5))-180),IF(AA5&gt;0,90,IF(AA5&lt;0,-90,0)))))</f>
        <v/>
      </c>
      <c r="AD5" s="212">
        <f>IF(B5="","",LOG10(B5))</f>
        <v/>
      </c>
      <c r="AE5" s="212">
        <f>IF(AB5="","",LOG10(MAX(AB5,1E-12)))</f>
        <v/>
      </c>
      <c r="AF5" s="212">
        <f>IF(B5="","",SQRT(P5^2+Q5^2))</f>
        <v/>
      </c>
      <c r="AG5" s="212">
        <f>IF(B5="","",SQRT(R5^2+S5^2))</f>
        <v/>
      </c>
    </row>
    <row r="6">
      <c r="A6" s="202" t="n">
        <v>3</v>
      </c>
      <c r="B6" s="213">
        <f>IF(A6&lt;='入力・概要'!$B$40,10^(LOG10('入力・概要'!$B$38)+(A6-1)*(LOG10('入力・概要'!$B$39)-LOG10('入力・概要'!$B$38))/('入力・概要'!$B$40-1)),"")</f>
        <v/>
      </c>
      <c r="C6" s="212">
        <f>IF(B6="","",2*PI()*B6)</f>
        <v/>
      </c>
      <c r="D6" s="212">
        <f>IF(B6="","",ATANH(MIN(0.999999,'入力・概要'!$E$20/'入力・概要'!$E$9))+'入力・概要'!$B$20*SQRT(B6/1E6)+E6*'入力・概要'!$B$15/2)</f>
        <v/>
      </c>
      <c r="E6" s="212">
        <f>IF(B6="","",C6*('入力・概要'!$E$11*1E-9))</f>
        <v/>
      </c>
      <c r="F6" s="212">
        <f>IF(B6="","",SINH(2*D6)/(COSH(2*D6)+COS(2*E6)))</f>
        <v/>
      </c>
      <c r="G6" s="212">
        <f>IF(B6="","",SIN(2*E6)/(COSH(2*D6)+COS(2*E6)))</f>
        <v/>
      </c>
      <c r="H6" s="212">
        <f>IF(B6="","",ATANH(MIN(0.999999,'入力・概要'!$E$21/'入力・概要'!$E$15))+'入力・概要'!$B$21*SQRT(B6/1E6)+I6*'入力・概要'!$B$16/2)</f>
        <v/>
      </c>
      <c r="I6" s="212">
        <f>IF(B6="","",C6*('入力・概要'!$E$17*1E-9))</f>
        <v/>
      </c>
      <c r="J6" s="212">
        <f>IF(B6="","",SINH(2*H6)/(COSH(2*H6)+COS(2*I6)))</f>
        <v/>
      </c>
      <c r="K6" s="212">
        <f>IF(B6="","",SIN(2*I6)/(COSH(2*H6)+COS(2*I6)))</f>
        <v/>
      </c>
      <c r="L6" s="212">
        <f>IF(B6="","",'入力・概要'!$B$25)</f>
        <v/>
      </c>
      <c r="M6" s="212">
        <f>IF(B6="","",C6*'入力・概要'!$B$26*1E-9-1/(C6*'入力・概要'!$B$24*1E-6))</f>
        <v/>
      </c>
      <c r="N6" s="212">
        <f>IF(B6="","",'入力・概要'!$B$28)</f>
        <v/>
      </c>
      <c r="O6" s="212">
        <f>IF(B6="","",C6*'入力・概要'!$B$29*1E-9-1/(C6*'入力・概要'!$B$27*1E-6))</f>
        <v/>
      </c>
      <c r="P6" s="212">
        <f>IF(B6="","",((L6*N6-M6*O6)*(L6+N6)+(L6*O6+M6*N6)*(M6+O6))/((L6+N6)^2+(M6+O6)^2))</f>
        <v/>
      </c>
      <c r="Q6" s="212">
        <f>IF(B6="","",((L6*O6+M6*N6)*(L6+N6)-(L6*N6-M6*O6)*(M6+O6))/((L6+N6)^2+(M6+O6)^2))</f>
        <v/>
      </c>
      <c r="R6" s="212">
        <f>IF(B6="","",'入力・概要'!$E$15*J6)</f>
        <v/>
      </c>
      <c r="S6" s="212">
        <f>IF(B6="","",'入力・概要'!$E$15*K6)</f>
        <v/>
      </c>
      <c r="T6" s="212">
        <f>IF(B6="","",P6+R6)</f>
        <v/>
      </c>
      <c r="U6" s="212">
        <f>IF(B6="","",Q6+S6)</f>
        <v/>
      </c>
      <c r="V6" s="212">
        <f>IF(B6="","",T6+'入力・概要'!$E$9*F6)</f>
        <v/>
      </c>
      <c r="W6" s="212">
        <f>IF(B6="","",U6+'入力・概要'!$E$9*G6)</f>
        <v/>
      </c>
      <c r="X6" s="212">
        <f>IF(B6="","",'入力・概要'!$E$9+T6*F6-U6*G6)</f>
        <v/>
      </c>
      <c r="Y6" s="212">
        <f>IF(B6="","",T6*G6+U6*F6)</f>
        <v/>
      </c>
      <c r="Z6" s="212">
        <f>IF(B6="","",'入力・概要'!$E$9*(V6*X6+W6*Y6)/(X6^2+Y6^2)+'入力・概要'!$B$36)</f>
        <v/>
      </c>
      <c r="AA6" s="212">
        <f>IF(B6="","",'入力・概要'!$E$9*(W6*X6-V6*Y6)/(X6^2+Y6^2)+C6*'入力・概要'!$B$37*1E-9)</f>
        <v/>
      </c>
      <c r="AB6" s="212">
        <f>IF(B6="","",SQRT(Z6^2+AA6^2))</f>
        <v/>
      </c>
      <c r="AC6" s="212">
        <f>IF(B6="","",IF(Z6&gt;0,DEGREES(ATAN(AA6/Z6)),IF(Z6&lt;0,IF(AA6&gt;=0,DEGREES(ATAN(AA6/Z6))+180,DEGREES(ATAN(AA6/Z6))-180),IF(AA6&gt;0,90,IF(AA6&lt;0,-90,0)))))</f>
        <v/>
      </c>
      <c r="AD6" s="212">
        <f>IF(B6="","",LOG10(B6))</f>
        <v/>
      </c>
      <c r="AE6" s="212">
        <f>IF(AB6="","",LOG10(MAX(AB6,1E-12)))</f>
        <v/>
      </c>
      <c r="AF6" s="212">
        <f>IF(B6="","",SQRT(P6^2+Q6^2))</f>
        <v/>
      </c>
      <c r="AG6" s="212">
        <f>IF(B6="","",SQRT(R6^2+S6^2))</f>
        <v/>
      </c>
    </row>
    <row r="7">
      <c r="A7" s="202" t="n">
        <v>4</v>
      </c>
      <c r="B7" s="213">
        <f>IF(A7&lt;='入力・概要'!$B$40,10^(LOG10('入力・概要'!$B$38)+(A7-1)*(LOG10('入力・概要'!$B$39)-LOG10('入力・概要'!$B$38))/('入力・概要'!$B$40-1)),"")</f>
        <v/>
      </c>
      <c r="C7" s="212">
        <f>IF(B7="","",2*PI()*B7)</f>
        <v/>
      </c>
      <c r="D7" s="212">
        <f>IF(B7="","",ATANH(MIN(0.999999,'入力・概要'!$E$20/'入力・概要'!$E$9))+'入力・概要'!$B$20*SQRT(B7/1E6)+E7*'入力・概要'!$B$15/2)</f>
        <v/>
      </c>
      <c r="E7" s="212">
        <f>IF(B7="","",C7*('入力・概要'!$E$11*1E-9))</f>
        <v/>
      </c>
      <c r="F7" s="212">
        <f>IF(B7="","",SINH(2*D7)/(COSH(2*D7)+COS(2*E7)))</f>
        <v/>
      </c>
      <c r="G7" s="212">
        <f>IF(B7="","",SIN(2*E7)/(COSH(2*D7)+COS(2*E7)))</f>
        <v/>
      </c>
      <c r="H7" s="212">
        <f>IF(B7="","",ATANH(MIN(0.999999,'入力・概要'!$E$21/'入力・概要'!$E$15))+'入力・概要'!$B$21*SQRT(B7/1E6)+I7*'入力・概要'!$B$16/2)</f>
        <v/>
      </c>
      <c r="I7" s="212">
        <f>IF(B7="","",C7*('入力・概要'!$E$17*1E-9))</f>
        <v/>
      </c>
      <c r="J7" s="212">
        <f>IF(B7="","",SINH(2*H7)/(COSH(2*H7)+COS(2*I7)))</f>
        <v/>
      </c>
      <c r="K7" s="212">
        <f>IF(B7="","",SIN(2*I7)/(COSH(2*H7)+COS(2*I7)))</f>
        <v/>
      </c>
      <c r="L7" s="212">
        <f>IF(B7="","",'入力・概要'!$B$25)</f>
        <v/>
      </c>
      <c r="M7" s="212">
        <f>IF(B7="","",C7*'入力・概要'!$B$26*1E-9-1/(C7*'入力・概要'!$B$24*1E-6))</f>
        <v/>
      </c>
      <c r="N7" s="212">
        <f>IF(B7="","",'入力・概要'!$B$28)</f>
        <v/>
      </c>
      <c r="O7" s="212">
        <f>IF(B7="","",C7*'入力・概要'!$B$29*1E-9-1/(C7*'入力・概要'!$B$27*1E-6))</f>
        <v/>
      </c>
      <c r="P7" s="212">
        <f>IF(B7="","",((L7*N7-M7*O7)*(L7+N7)+(L7*O7+M7*N7)*(M7+O7))/((L7+N7)^2+(M7+O7)^2))</f>
        <v/>
      </c>
      <c r="Q7" s="212">
        <f>IF(B7="","",((L7*O7+M7*N7)*(L7+N7)-(L7*N7-M7*O7)*(M7+O7))/((L7+N7)^2+(M7+O7)^2))</f>
        <v/>
      </c>
      <c r="R7" s="212">
        <f>IF(B7="","",'入力・概要'!$E$15*J7)</f>
        <v/>
      </c>
      <c r="S7" s="212">
        <f>IF(B7="","",'入力・概要'!$E$15*K7)</f>
        <v/>
      </c>
      <c r="T7" s="212">
        <f>IF(B7="","",P7+R7)</f>
        <v/>
      </c>
      <c r="U7" s="212">
        <f>IF(B7="","",Q7+S7)</f>
        <v/>
      </c>
      <c r="V7" s="212">
        <f>IF(B7="","",T7+'入力・概要'!$E$9*F7)</f>
        <v/>
      </c>
      <c r="W7" s="212">
        <f>IF(B7="","",U7+'入力・概要'!$E$9*G7)</f>
        <v/>
      </c>
      <c r="X7" s="212">
        <f>IF(B7="","",'入力・概要'!$E$9+T7*F7-U7*G7)</f>
        <v/>
      </c>
      <c r="Y7" s="212">
        <f>IF(B7="","",T7*G7+U7*F7)</f>
        <v/>
      </c>
      <c r="Z7" s="212">
        <f>IF(B7="","",'入力・概要'!$E$9*(V7*X7+W7*Y7)/(X7^2+Y7^2)+'入力・概要'!$B$36)</f>
        <v/>
      </c>
      <c r="AA7" s="212">
        <f>IF(B7="","",'入力・概要'!$E$9*(W7*X7-V7*Y7)/(X7^2+Y7^2)+C7*'入力・概要'!$B$37*1E-9)</f>
        <v/>
      </c>
      <c r="AB7" s="212">
        <f>IF(B7="","",SQRT(Z7^2+AA7^2))</f>
        <v/>
      </c>
      <c r="AC7" s="212">
        <f>IF(B7="","",IF(Z7&gt;0,DEGREES(ATAN(AA7/Z7)),IF(Z7&lt;0,IF(AA7&gt;=0,DEGREES(ATAN(AA7/Z7))+180,DEGREES(ATAN(AA7/Z7))-180),IF(AA7&gt;0,90,IF(AA7&lt;0,-90,0)))))</f>
        <v/>
      </c>
      <c r="AD7" s="212">
        <f>IF(B7="","",LOG10(B7))</f>
        <v/>
      </c>
      <c r="AE7" s="212">
        <f>IF(AB7="","",LOG10(MAX(AB7,1E-12)))</f>
        <v/>
      </c>
      <c r="AF7" s="212">
        <f>IF(B7="","",SQRT(P7^2+Q7^2))</f>
        <v/>
      </c>
      <c r="AG7" s="212">
        <f>IF(B7="","",SQRT(R7^2+S7^2))</f>
        <v/>
      </c>
    </row>
    <row r="8">
      <c r="A8" s="202" t="n">
        <v>5</v>
      </c>
      <c r="B8" s="213">
        <f>IF(A8&lt;='入力・概要'!$B$40,10^(LOG10('入力・概要'!$B$38)+(A8-1)*(LOG10('入力・概要'!$B$39)-LOG10('入力・概要'!$B$38))/('入力・概要'!$B$40-1)),"")</f>
        <v/>
      </c>
      <c r="C8" s="212">
        <f>IF(B8="","",2*PI()*B8)</f>
        <v/>
      </c>
      <c r="D8" s="212">
        <f>IF(B8="","",ATANH(MIN(0.999999,'入力・概要'!$E$20/'入力・概要'!$E$9))+'入力・概要'!$B$20*SQRT(B8/1E6)+E8*'入力・概要'!$B$15/2)</f>
        <v/>
      </c>
      <c r="E8" s="212">
        <f>IF(B8="","",C8*('入力・概要'!$E$11*1E-9))</f>
        <v/>
      </c>
      <c r="F8" s="212">
        <f>IF(B8="","",SINH(2*D8)/(COSH(2*D8)+COS(2*E8)))</f>
        <v/>
      </c>
      <c r="G8" s="212">
        <f>IF(B8="","",SIN(2*E8)/(COSH(2*D8)+COS(2*E8)))</f>
        <v/>
      </c>
      <c r="H8" s="212">
        <f>IF(B8="","",ATANH(MIN(0.999999,'入力・概要'!$E$21/'入力・概要'!$E$15))+'入力・概要'!$B$21*SQRT(B8/1E6)+I8*'入力・概要'!$B$16/2)</f>
        <v/>
      </c>
      <c r="I8" s="212">
        <f>IF(B8="","",C8*('入力・概要'!$E$17*1E-9))</f>
        <v/>
      </c>
      <c r="J8" s="212">
        <f>IF(B8="","",SINH(2*H8)/(COSH(2*H8)+COS(2*I8)))</f>
        <v/>
      </c>
      <c r="K8" s="212">
        <f>IF(B8="","",SIN(2*I8)/(COSH(2*H8)+COS(2*I8)))</f>
        <v/>
      </c>
      <c r="L8" s="212">
        <f>IF(B8="","",'入力・概要'!$B$25)</f>
        <v/>
      </c>
      <c r="M8" s="212">
        <f>IF(B8="","",C8*'入力・概要'!$B$26*1E-9-1/(C8*'入力・概要'!$B$24*1E-6))</f>
        <v/>
      </c>
      <c r="N8" s="212">
        <f>IF(B8="","",'入力・概要'!$B$28)</f>
        <v/>
      </c>
      <c r="O8" s="212">
        <f>IF(B8="","",C8*'入力・概要'!$B$29*1E-9-1/(C8*'入力・概要'!$B$27*1E-6))</f>
        <v/>
      </c>
      <c r="P8" s="212">
        <f>IF(B8="","",((L8*N8-M8*O8)*(L8+N8)+(L8*O8+M8*N8)*(M8+O8))/((L8+N8)^2+(M8+O8)^2))</f>
        <v/>
      </c>
      <c r="Q8" s="212">
        <f>IF(B8="","",((L8*O8+M8*N8)*(L8+N8)-(L8*N8-M8*O8)*(M8+O8))/((L8+N8)^2+(M8+O8)^2))</f>
        <v/>
      </c>
      <c r="R8" s="212">
        <f>IF(B8="","",'入力・概要'!$E$15*J8)</f>
        <v/>
      </c>
      <c r="S8" s="212">
        <f>IF(B8="","",'入力・概要'!$E$15*K8)</f>
        <v/>
      </c>
      <c r="T8" s="212">
        <f>IF(B8="","",P8+R8)</f>
        <v/>
      </c>
      <c r="U8" s="212">
        <f>IF(B8="","",Q8+S8)</f>
        <v/>
      </c>
      <c r="V8" s="212">
        <f>IF(B8="","",T8+'入力・概要'!$E$9*F8)</f>
        <v/>
      </c>
      <c r="W8" s="212">
        <f>IF(B8="","",U8+'入力・概要'!$E$9*G8)</f>
        <v/>
      </c>
      <c r="X8" s="212">
        <f>IF(B8="","",'入力・概要'!$E$9+T8*F8-U8*G8)</f>
        <v/>
      </c>
      <c r="Y8" s="212">
        <f>IF(B8="","",T8*G8+U8*F8)</f>
        <v/>
      </c>
      <c r="Z8" s="212">
        <f>IF(B8="","",'入力・概要'!$E$9*(V8*X8+W8*Y8)/(X8^2+Y8^2)+'入力・概要'!$B$36)</f>
        <v/>
      </c>
      <c r="AA8" s="212">
        <f>IF(B8="","",'入力・概要'!$E$9*(W8*X8-V8*Y8)/(X8^2+Y8^2)+C8*'入力・概要'!$B$37*1E-9)</f>
        <v/>
      </c>
      <c r="AB8" s="212">
        <f>IF(B8="","",SQRT(Z8^2+AA8^2))</f>
        <v/>
      </c>
      <c r="AC8" s="212">
        <f>IF(B8="","",IF(Z8&gt;0,DEGREES(ATAN(AA8/Z8)),IF(Z8&lt;0,IF(AA8&gt;=0,DEGREES(ATAN(AA8/Z8))+180,DEGREES(ATAN(AA8/Z8))-180),IF(AA8&gt;0,90,IF(AA8&lt;0,-90,0)))))</f>
        <v/>
      </c>
      <c r="AD8" s="212">
        <f>IF(B8="","",LOG10(B8))</f>
        <v/>
      </c>
      <c r="AE8" s="212">
        <f>IF(AB8="","",LOG10(MAX(AB8,1E-12)))</f>
        <v/>
      </c>
      <c r="AF8" s="212">
        <f>IF(B8="","",SQRT(P8^2+Q8^2))</f>
        <v/>
      </c>
      <c r="AG8" s="212">
        <f>IF(B8="","",SQRT(R8^2+S8^2))</f>
        <v/>
      </c>
    </row>
    <row r="9">
      <c r="A9" s="202" t="n">
        <v>6</v>
      </c>
      <c r="B9" s="213">
        <f>IF(A9&lt;='入力・概要'!$B$40,10^(LOG10('入力・概要'!$B$38)+(A9-1)*(LOG10('入力・概要'!$B$39)-LOG10('入力・概要'!$B$38))/('入力・概要'!$B$40-1)),"")</f>
        <v/>
      </c>
      <c r="C9" s="212">
        <f>IF(B9="","",2*PI()*B9)</f>
        <v/>
      </c>
      <c r="D9" s="212">
        <f>IF(B9="","",ATANH(MIN(0.999999,'入力・概要'!$E$20/'入力・概要'!$E$9))+'入力・概要'!$B$20*SQRT(B9/1E6)+E9*'入力・概要'!$B$15/2)</f>
        <v/>
      </c>
      <c r="E9" s="212">
        <f>IF(B9="","",C9*('入力・概要'!$E$11*1E-9))</f>
        <v/>
      </c>
      <c r="F9" s="212">
        <f>IF(B9="","",SINH(2*D9)/(COSH(2*D9)+COS(2*E9)))</f>
        <v/>
      </c>
      <c r="G9" s="212">
        <f>IF(B9="","",SIN(2*E9)/(COSH(2*D9)+COS(2*E9)))</f>
        <v/>
      </c>
      <c r="H9" s="212">
        <f>IF(B9="","",ATANH(MIN(0.999999,'入力・概要'!$E$21/'入力・概要'!$E$15))+'入力・概要'!$B$21*SQRT(B9/1E6)+I9*'入力・概要'!$B$16/2)</f>
        <v/>
      </c>
      <c r="I9" s="212">
        <f>IF(B9="","",C9*('入力・概要'!$E$17*1E-9))</f>
        <v/>
      </c>
      <c r="J9" s="212">
        <f>IF(B9="","",SINH(2*H9)/(COSH(2*H9)+COS(2*I9)))</f>
        <v/>
      </c>
      <c r="K9" s="212">
        <f>IF(B9="","",SIN(2*I9)/(COSH(2*H9)+COS(2*I9)))</f>
        <v/>
      </c>
      <c r="L9" s="212">
        <f>IF(B9="","",'入力・概要'!$B$25)</f>
        <v/>
      </c>
      <c r="M9" s="212">
        <f>IF(B9="","",C9*'入力・概要'!$B$26*1E-9-1/(C9*'入力・概要'!$B$24*1E-6))</f>
        <v/>
      </c>
      <c r="N9" s="212">
        <f>IF(B9="","",'入力・概要'!$B$28)</f>
        <v/>
      </c>
      <c r="O9" s="212">
        <f>IF(B9="","",C9*'入力・概要'!$B$29*1E-9-1/(C9*'入力・概要'!$B$27*1E-6))</f>
        <v/>
      </c>
      <c r="P9" s="212">
        <f>IF(B9="","",((L9*N9-M9*O9)*(L9+N9)+(L9*O9+M9*N9)*(M9+O9))/((L9+N9)^2+(M9+O9)^2))</f>
        <v/>
      </c>
      <c r="Q9" s="212">
        <f>IF(B9="","",((L9*O9+M9*N9)*(L9+N9)-(L9*N9-M9*O9)*(M9+O9))/((L9+N9)^2+(M9+O9)^2))</f>
        <v/>
      </c>
      <c r="R9" s="212">
        <f>IF(B9="","",'入力・概要'!$E$15*J9)</f>
        <v/>
      </c>
      <c r="S9" s="212">
        <f>IF(B9="","",'入力・概要'!$E$15*K9)</f>
        <v/>
      </c>
      <c r="T9" s="212">
        <f>IF(B9="","",P9+R9)</f>
        <v/>
      </c>
      <c r="U9" s="212">
        <f>IF(B9="","",Q9+S9)</f>
        <v/>
      </c>
      <c r="V9" s="212">
        <f>IF(B9="","",T9+'入力・概要'!$E$9*F9)</f>
        <v/>
      </c>
      <c r="W9" s="212">
        <f>IF(B9="","",U9+'入力・概要'!$E$9*G9)</f>
        <v/>
      </c>
      <c r="X9" s="212">
        <f>IF(B9="","",'入力・概要'!$E$9+T9*F9-U9*G9)</f>
        <v/>
      </c>
      <c r="Y9" s="212">
        <f>IF(B9="","",T9*G9+U9*F9)</f>
        <v/>
      </c>
      <c r="Z9" s="212">
        <f>IF(B9="","",'入力・概要'!$E$9*(V9*X9+W9*Y9)/(X9^2+Y9^2)+'入力・概要'!$B$36)</f>
        <v/>
      </c>
      <c r="AA9" s="212">
        <f>IF(B9="","",'入力・概要'!$E$9*(W9*X9-V9*Y9)/(X9^2+Y9^2)+C9*'入力・概要'!$B$37*1E-9)</f>
        <v/>
      </c>
      <c r="AB9" s="212">
        <f>IF(B9="","",SQRT(Z9^2+AA9^2))</f>
        <v/>
      </c>
      <c r="AC9" s="212">
        <f>IF(B9="","",IF(Z9&gt;0,DEGREES(ATAN(AA9/Z9)),IF(Z9&lt;0,IF(AA9&gt;=0,DEGREES(ATAN(AA9/Z9))+180,DEGREES(ATAN(AA9/Z9))-180),IF(AA9&gt;0,90,IF(AA9&lt;0,-90,0)))))</f>
        <v/>
      </c>
      <c r="AD9" s="212">
        <f>IF(B9="","",LOG10(B9))</f>
        <v/>
      </c>
      <c r="AE9" s="212">
        <f>IF(AB9="","",LOG10(MAX(AB9,1E-12)))</f>
        <v/>
      </c>
      <c r="AF9" s="212">
        <f>IF(B9="","",SQRT(P9^2+Q9^2))</f>
        <v/>
      </c>
      <c r="AG9" s="212">
        <f>IF(B9="","",SQRT(R9^2+S9^2))</f>
        <v/>
      </c>
    </row>
    <row r="10">
      <c r="A10" s="202" t="n">
        <v>7</v>
      </c>
      <c r="B10" s="213">
        <f>IF(A10&lt;='入力・概要'!$B$40,10^(LOG10('入力・概要'!$B$38)+(A10-1)*(LOG10('入力・概要'!$B$39)-LOG10('入力・概要'!$B$38))/('入力・概要'!$B$40-1)),"")</f>
        <v/>
      </c>
      <c r="C10" s="212">
        <f>IF(B10="","",2*PI()*B10)</f>
        <v/>
      </c>
      <c r="D10" s="212">
        <f>IF(B10="","",ATANH(MIN(0.999999,'入力・概要'!$E$20/'入力・概要'!$E$9))+'入力・概要'!$B$20*SQRT(B10/1E6)+E10*'入力・概要'!$B$15/2)</f>
        <v/>
      </c>
      <c r="E10" s="212">
        <f>IF(B10="","",C10*('入力・概要'!$E$11*1E-9))</f>
        <v/>
      </c>
      <c r="F10" s="212">
        <f>IF(B10="","",SINH(2*D10)/(COSH(2*D10)+COS(2*E10)))</f>
        <v/>
      </c>
      <c r="G10" s="212">
        <f>IF(B10="","",SIN(2*E10)/(COSH(2*D10)+COS(2*E10)))</f>
        <v/>
      </c>
      <c r="H10" s="212">
        <f>IF(B10="","",ATANH(MIN(0.999999,'入力・概要'!$E$21/'入力・概要'!$E$15))+'入力・概要'!$B$21*SQRT(B10/1E6)+I10*'入力・概要'!$B$16/2)</f>
        <v/>
      </c>
      <c r="I10" s="212">
        <f>IF(B10="","",C10*('入力・概要'!$E$17*1E-9))</f>
        <v/>
      </c>
      <c r="J10" s="212">
        <f>IF(B10="","",SINH(2*H10)/(COSH(2*H10)+COS(2*I10)))</f>
        <v/>
      </c>
      <c r="K10" s="212">
        <f>IF(B10="","",SIN(2*I10)/(COSH(2*H10)+COS(2*I10)))</f>
        <v/>
      </c>
      <c r="L10" s="212">
        <f>IF(B10="","",'入力・概要'!$B$25)</f>
        <v/>
      </c>
      <c r="M10" s="212">
        <f>IF(B10="","",C10*'入力・概要'!$B$26*1E-9-1/(C10*'入力・概要'!$B$24*1E-6))</f>
        <v/>
      </c>
      <c r="N10" s="212">
        <f>IF(B10="","",'入力・概要'!$B$28)</f>
        <v/>
      </c>
      <c r="O10" s="212">
        <f>IF(B10="","",C10*'入力・概要'!$B$29*1E-9-1/(C10*'入力・概要'!$B$27*1E-6))</f>
        <v/>
      </c>
      <c r="P10" s="212">
        <f>IF(B10="","",((L10*N10-M10*O10)*(L10+N10)+(L10*O10+M10*N10)*(M10+O10))/((L10+N10)^2+(M10+O10)^2))</f>
        <v/>
      </c>
      <c r="Q10" s="212">
        <f>IF(B10="","",((L10*O10+M10*N10)*(L10+N10)-(L10*N10-M10*O10)*(M10+O10))/((L10+N10)^2+(M10+O10)^2))</f>
        <v/>
      </c>
      <c r="R10" s="212">
        <f>IF(B10="","",'入力・概要'!$E$15*J10)</f>
        <v/>
      </c>
      <c r="S10" s="212">
        <f>IF(B10="","",'入力・概要'!$E$15*K10)</f>
        <v/>
      </c>
      <c r="T10" s="212">
        <f>IF(B10="","",P10+R10)</f>
        <v/>
      </c>
      <c r="U10" s="212">
        <f>IF(B10="","",Q10+S10)</f>
        <v/>
      </c>
      <c r="V10" s="212">
        <f>IF(B10="","",T10+'入力・概要'!$E$9*F10)</f>
        <v/>
      </c>
      <c r="W10" s="212">
        <f>IF(B10="","",U10+'入力・概要'!$E$9*G10)</f>
        <v/>
      </c>
      <c r="X10" s="212">
        <f>IF(B10="","",'入力・概要'!$E$9+T10*F10-U10*G10)</f>
        <v/>
      </c>
      <c r="Y10" s="212">
        <f>IF(B10="","",T10*G10+U10*F10)</f>
        <v/>
      </c>
      <c r="Z10" s="212">
        <f>IF(B10="","",'入力・概要'!$E$9*(V10*X10+W10*Y10)/(X10^2+Y10^2)+'入力・概要'!$B$36)</f>
        <v/>
      </c>
      <c r="AA10" s="212">
        <f>IF(B10="","",'入力・概要'!$E$9*(W10*X10-V10*Y10)/(X10^2+Y10^2)+C10*'入力・概要'!$B$37*1E-9)</f>
        <v/>
      </c>
      <c r="AB10" s="212">
        <f>IF(B10="","",SQRT(Z10^2+AA10^2))</f>
        <v/>
      </c>
      <c r="AC10" s="212">
        <f>IF(B10="","",IF(Z10&gt;0,DEGREES(ATAN(AA10/Z10)),IF(Z10&lt;0,IF(AA10&gt;=0,DEGREES(ATAN(AA10/Z10))+180,DEGREES(ATAN(AA10/Z10))-180),IF(AA10&gt;0,90,IF(AA10&lt;0,-90,0)))))</f>
        <v/>
      </c>
      <c r="AD10" s="212">
        <f>IF(B10="","",LOG10(B10))</f>
        <v/>
      </c>
      <c r="AE10" s="212">
        <f>IF(AB10="","",LOG10(MAX(AB10,1E-12)))</f>
        <v/>
      </c>
      <c r="AF10" s="212">
        <f>IF(B10="","",SQRT(P10^2+Q10^2))</f>
        <v/>
      </c>
      <c r="AG10" s="212">
        <f>IF(B10="","",SQRT(R10^2+S10^2))</f>
        <v/>
      </c>
    </row>
    <row r="11">
      <c r="A11" s="202" t="n">
        <v>8</v>
      </c>
      <c r="B11" s="213">
        <f>IF(A11&lt;='入力・概要'!$B$40,10^(LOG10('入力・概要'!$B$38)+(A11-1)*(LOG10('入力・概要'!$B$39)-LOG10('入力・概要'!$B$38))/('入力・概要'!$B$40-1)),"")</f>
        <v/>
      </c>
      <c r="C11" s="212">
        <f>IF(B11="","",2*PI()*B11)</f>
        <v/>
      </c>
      <c r="D11" s="212">
        <f>IF(B11="","",ATANH(MIN(0.999999,'入力・概要'!$E$20/'入力・概要'!$E$9))+'入力・概要'!$B$20*SQRT(B11/1E6)+E11*'入力・概要'!$B$15/2)</f>
        <v/>
      </c>
      <c r="E11" s="212">
        <f>IF(B11="","",C11*('入力・概要'!$E$11*1E-9))</f>
        <v/>
      </c>
      <c r="F11" s="212">
        <f>IF(B11="","",SINH(2*D11)/(COSH(2*D11)+COS(2*E11)))</f>
        <v/>
      </c>
      <c r="G11" s="212">
        <f>IF(B11="","",SIN(2*E11)/(COSH(2*D11)+COS(2*E11)))</f>
        <v/>
      </c>
      <c r="H11" s="212">
        <f>IF(B11="","",ATANH(MIN(0.999999,'入力・概要'!$E$21/'入力・概要'!$E$15))+'入力・概要'!$B$21*SQRT(B11/1E6)+I11*'入力・概要'!$B$16/2)</f>
        <v/>
      </c>
      <c r="I11" s="212">
        <f>IF(B11="","",C11*('入力・概要'!$E$17*1E-9))</f>
        <v/>
      </c>
      <c r="J11" s="212">
        <f>IF(B11="","",SINH(2*H11)/(COSH(2*H11)+COS(2*I11)))</f>
        <v/>
      </c>
      <c r="K11" s="212">
        <f>IF(B11="","",SIN(2*I11)/(COSH(2*H11)+COS(2*I11)))</f>
        <v/>
      </c>
      <c r="L11" s="212">
        <f>IF(B11="","",'入力・概要'!$B$25)</f>
        <v/>
      </c>
      <c r="M11" s="212">
        <f>IF(B11="","",C11*'入力・概要'!$B$26*1E-9-1/(C11*'入力・概要'!$B$24*1E-6))</f>
        <v/>
      </c>
      <c r="N11" s="212">
        <f>IF(B11="","",'入力・概要'!$B$28)</f>
        <v/>
      </c>
      <c r="O11" s="212">
        <f>IF(B11="","",C11*'入力・概要'!$B$29*1E-9-1/(C11*'入力・概要'!$B$27*1E-6))</f>
        <v/>
      </c>
      <c r="P11" s="212">
        <f>IF(B11="","",((L11*N11-M11*O11)*(L11+N11)+(L11*O11+M11*N11)*(M11+O11))/((L11+N11)^2+(M11+O11)^2))</f>
        <v/>
      </c>
      <c r="Q11" s="212">
        <f>IF(B11="","",((L11*O11+M11*N11)*(L11+N11)-(L11*N11-M11*O11)*(M11+O11))/((L11+N11)^2+(M11+O11)^2))</f>
        <v/>
      </c>
      <c r="R11" s="212">
        <f>IF(B11="","",'入力・概要'!$E$15*J11)</f>
        <v/>
      </c>
      <c r="S11" s="212">
        <f>IF(B11="","",'入力・概要'!$E$15*K11)</f>
        <v/>
      </c>
      <c r="T11" s="212">
        <f>IF(B11="","",P11+R11)</f>
        <v/>
      </c>
      <c r="U11" s="212">
        <f>IF(B11="","",Q11+S11)</f>
        <v/>
      </c>
      <c r="V11" s="212">
        <f>IF(B11="","",T11+'入力・概要'!$E$9*F11)</f>
        <v/>
      </c>
      <c r="W11" s="212">
        <f>IF(B11="","",U11+'入力・概要'!$E$9*G11)</f>
        <v/>
      </c>
      <c r="X11" s="212">
        <f>IF(B11="","",'入力・概要'!$E$9+T11*F11-U11*G11)</f>
        <v/>
      </c>
      <c r="Y11" s="212">
        <f>IF(B11="","",T11*G11+U11*F11)</f>
        <v/>
      </c>
      <c r="Z11" s="212">
        <f>IF(B11="","",'入力・概要'!$E$9*(V11*X11+W11*Y11)/(X11^2+Y11^2)+'入力・概要'!$B$36)</f>
        <v/>
      </c>
      <c r="AA11" s="212">
        <f>IF(B11="","",'入力・概要'!$E$9*(W11*X11-V11*Y11)/(X11^2+Y11^2)+C11*'入力・概要'!$B$37*1E-9)</f>
        <v/>
      </c>
      <c r="AB11" s="212">
        <f>IF(B11="","",SQRT(Z11^2+AA11^2))</f>
        <v/>
      </c>
      <c r="AC11" s="212">
        <f>IF(B11="","",IF(Z11&gt;0,DEGREES(ATAN(AA11/Z11)),IF(Z11&lt;0,IF(AA11&gt;=0,DEGREES(ATAN(AA11/Z11))+180,DEGREES(ATAN(AA11/Z11))-180),IF(AA11&gt;0,90,IF(AA11&lt;0,-90,0)))))</f>
        <v/>
      </c>
      <c r="AD11" s="212">
        <f>IF(B11="","",LOG10(B11))</f>
        <v/>
      </c>
      <c r="AE11" s="212">
        <f>IF(AB11="","",LOG10(MAX(AB11,1E-12)))</f>
        <v/>
      </c>
      <c r="AF11" s="212">
        <f>IF(B11="","",SQRT(P11^2+Q11^2))</f>
        <v/>
      </c>
      <c r="AG11" s="212">
        <f>IF(B11="","",SQRT(R11^2+S11^2))</f>
        <v/>
      </c>
    </row>
    <row r="12">
      <c r="A12" s="202" t="n">
        <v>9</v>
      </c>
      <c r="B12" s="213">
        <f>IF(A12&lt;='入力・概要'!$B$40,10^(LOG10('入力・概要'!$B$38)+(A12-1)*(LOG10('入力・概要'!$B$39)-LOG10('入力・概要'!$B$38))/('入力・概要'!$B$40-1)),"")</f>
        <v/>
      </c>
      <c r="C12" s="212">
        <f>IF(B12="","",2*PI()*B12)</f>
        <v/>
      </c>
      <c r="D12" s="212">
        <f>IF(B12="","",ATANH(MIN(0.999999,'入力・概要'!$E$20/'入力・概要'!$E$9))+'入力・概要'!$B$20*SQRT(B12/1E6)+E12*'入力・概要'!$B$15/2)</f>
        <v/>
      </c>
      <c r="E12" s="212">
        <f>IF(B12="","",C12*('入力・概要'!$E$11*1E-9))</f>
        <v/>
      </c>
      <c r="F12" s="212">
        <f>IF(B12="","",SINH(2*D12)/(COSH(2*D12)+COS(2*E12)))</f>
        <v/>
      </c>
      <c r="G12" s="212">
        <f>IF(B12="","",SIN(2*E12)/(COSH(2*D12)+COS(2*E12)))</f>
        <v/>
      </c>
      <c r="H12" s="212">
        <f>IF(B12="","",ATANH(MIN(0.999999,'入力・概要'!$E$21/'入力・概要'!$E$15))+'入力・概要'!$B$21*SQRT(B12/1E6)+I12*'入力・概要'!$B$16/2)</f>
        <v/>
      </c>
      <c r="I12" s="212">
        <f>IF(B12="","",C12*('入力・概要'!$E$17*1E-9))</f>
        <v/>
      </c>
      <c r="J12" s="212">
        <f>IF(B12="","",SINH(2*H12)/(COSH(2*H12)+COS(2*I12)))</f>
        <v/>
      </c>
      <c r="K12" s="212">
        <f>IF(B12="","",SIN(2*I12)/(COSH(2*H12)+COS(2*I12)))</f>
        <v/>
      </c>
      <c r="L12" s="212">
        <f>IF(B12="","",'入力・概要'!$B$25)</f>
        <v/>
      </c>
      <c r="M12" s="212">
        <f>IF(B12="","",C12*'入力・概要'!$B$26*1E-9-1/(C12*'入力・概要'!$B$24*1E-6))</f>
        <v/>
      </c>
      <c r="N12" s="212">
        <f>IF(B12="","",'入力・概要'!$B$28)</f>
        <v/>
      </c>
      <c r="O12" s="212">
        <f>IF(B12="","",C12*'入力・概要'!$B$29*1E-9-1/(C12*'入力・概要'!$B$27*1E-6))</f>
        <v/>
      </c>
      <c r="P12" s="212">
        <f>IF(B12="","",((L12*N12-M12*O12)*(L12+N12)+(L12*O12+M12*N12)*(M12+O12))/((L12+N12)^2+(M12+O12)^2))</f>
        <v/>
      </c>
      <c r="Q12" s="212">
        <f>IF(B12="","",((L12*O12+M12*N12)*(L12+N12)-(L12*N12-M12*O12)*(M12+O12))/((L12+N12)^2+(M12+O12)^2))</f>
        <v/>
      </c>
      <c r="R12" s="212">
        <f>IF(B12="","",'入力・概要'!$E$15*J12)</f>
        <v/>
      </c>
      <c r="S12" s="212">
        <f>IF(B12="","",'入力・概要'!$E$15*K12)</f>
        <v/>
      </c>
      <c r="T12" s="212">
        <f>IF(B12="","",P12+R12)</f>
        <v/>
      </c>
      <c r="U12" s="212">
        <f>IF(B12="","",Q12+S12)</f>
        <v/>
      </c>
      <c r="V12" s="212">
        <f>IF(B12="","",T12+'入力・概要'!$E$9*F12)</f>
        <v/>
      </c>
      <c r="W12" s="212">
        <f>IF(B12="","",U12+'入力・概要'!$E$9*G12)</f>
        <v/>
      </c>
      <c r="X12" s="212">
        <f>IF(B12="","",'入力・概要'!$E$9+T12*F12-U12*G12)</f>
        <v/>
      </c>
      <c r="Y12" s="212">
        <f>IF(B12="","",T12*G12+U12*F12)</f>
        <v/>
      </c>
      <c r="Z12" s="212">
        <f>IF(B12="","",'入力・概要'!$E$9*(V12*X12+W12*Y12)/(X12^2+Y12^2)+'入力・概要'!$B$36)</f>
        <v/>
      </c>
      <c r="AA12" s="212">
        <f>IF(B12="","",'入力・概要'!$E$9*(W12*X12-V12*Y12)/(X12^2+Y12^2)+C12*'入力・概要'!$B$37*1E-9)</f>
        <v/>
      </c>
      <c r="AB12" s="212">
        <f>IF(B12="","",SQRT(Z12^2+AA12^2))</f>
        <v/>
      </c>
      <c r="AC12" s="212">
        <f>IF(B12="","",IF(Z12&gt;0,DEGREES(ATAN(AA12/Z12)),IF(Z12&lt;0,IF(AA12&gt;=0,DEGREES(ATAN(AA12/Z12))+180,DEGREES(ATAN(AA12/Z12))-180),IF(AA12&gt;0,90,IF(AA12&lt;0,-90,0)))))</f>
        <v/>
      </c>
      <c r="AD12" s="212">
        <f>IF(B12="","",LOG10(B12))</f>
        <v/>
      </c>
      <c r="AE12" s="212">
        <f>IF(AB12="","",LOG10(MAX(AB12,1E-12)))</f>
        <v/>
      </c>
      <c r="AF12" s="212">
        <f>IF(B12="","",SQRT(P12^2+Q12^2))</f>
        <v/>
      </c>
      <c r="AG12" s="212">
        <f>IF(B12="","",SQRT(R12^2+S12^2))</f>
        <v/>
      </c>
    </row>
    <row r="13">
      <c r="A13" s="202" t="n">
        <v>10</v>
      </c>
      <c r="B13" s="213">
        <f>IF(A13&lt;='入力・概要'!$B$40,10^(LOG10('入力・概要'!$B$38)+(A13-1)*(LOG10('入力・概要'!$B$39)-LOG10('入力・概要'!$B$38))/('入力・概要'!$B$40-1)),"")</f>
        <v/>
      </c>
      <c r="C13" s="212">
        <f>IF(B13="","",2*PI()*B13)</f>
        <v/>
      </c>
      <c r="D13" s="212">
        <f>IF(B13="","",ATANH(MIN(0.999999,'入力・概要'!$E$20/'入力・概要'!$E$9))+'入力・概要'!$B$20*SQRT(B13/1E6)+E13*'入力・概要'!$B$15/2)</f>
        <v/>
      </c>
      <c r="E13" s="212">
        <f>IF(B13="","",C13*('入力・概要'!$E$11*1E-9))</f>
        <v/>
      </c>
      <c r="F13" s="212">
        <f>IF(B13="","",SINH(2*D13)/(COSH(2*D13)+COS(2*E13)))</f>
        <v/>
      </c>
      <c r="G13" s="212">
        <f>IF(B13="","",SIN(2*E13)/(COSH(2*D13)+COS(2*E13)))</f>
        <v/>
      </c>
      <c r="H13" s="212">
        <f>IF(B13="","",ATANH(MIN(0.999999,'入力・概要'!$E$21/'入力・概要'!$E$15))+'入力・概要'!$B$21*SQRT(B13/1E6)+I13*'入力・概要'!$B$16/2)</f>
        <v/>
      </c>
      <c r="I13" s="212">
        <f>IF(B13="","",C13*('入力・概要'!$E$17*1E-9))</f>
        <v/>
      </c>
      <c r="J13" s="212">
        <f>IF(B13="","",SINH(2*H13)/(COSH(2*H13)+COS(2*I13)))</f>
        <v/>
      </c>
      <c r="K13" s="212">
        <f>IF(B13="","",SIN(2*I13)/(COSH(2*H13)+COS(2*I13)))</f>
        <v/>
      </c>
      <c r="L13" s="212">
        <f>IF(B13="","",'入力・概要'!$B$25)</f>
        <v/>
      </c>
      <c r="M13" s="212">
        <f>IF(B13="","",C13*'入力・概要'!$B$26*1E-9-1/(C13*'入力・概要'!$B$24*1E-6))</f>
        <v/>
      </c>
      <c r="N13" s="212">
        <f>IF(B13="","",'入力・概要'!$B$28)</f>
        <v/>
      </c>
      <c r="O13" s="212">
        <f>IF(B13="","",C13*'入力・概要'!$B$29*1E-9-1/(C13*'入力・概要'!$B$27*1E-6))</f>
        <v/>
      </c>
      <c r="P13" s="212">
        <f>IF(B13="","",((L13*N13-M13*O13)*(L13+N13)+(L13*O13+M13*N13)*(M13+O13))/((L13+N13)^2+(M13+O13)^2))</f>
        <v/>
      </c>
      <c r="Q13" s="212">
        <f>IF(B13="","",((L13*O13+M13*N13)*(L13+N13)-(L13*N13-M13*O13)*(M13+O13))/((L13+N13)^2+(M13+O13)^2))</f>
        <v/>
      </c>
      <c r="R13" s="212">
        <f>IF(B13="","",'入力・概要'!$E$15*J13)</f>
        <v/>
      </c>
      <c r="S13" s="212">
        <f>IF(B13="","",'入力・概要'!$E$15*K13)</f>
        <v/>
      </c>
      <c r="T13" s="212">
        <f>IF(B13="","",P13+R13)</f>
        <v/>
      </c>
      <c r="U13" s="212">
        <f>IF(B13="","",Q13+S13)</f>
        <v/>
      </c>
      <c r="V13" s="212">
        <f>IF(B13="","",T13+'入力・概要'!$E$9*F13)</f>
        <v/>
      </c>
      <c r="W13" s="212">
        <f>IF(B13="","",U13+'入力・概要'!$E$9*G13)</f>
        <v/>
      </c>
      <c r="X13" s="212">
        <f>IF(B13="","",'入力・概要'!$E$9+T13*F13-U13*G13)</f>
        <v/>
      </c>
      <c r="Y13" s="212">
        <f>IF(B13="","",T13*G13+U13*F13)</f>
        <v/>
      </c>
      <c r="Z13" s="212">
        <f>IF(B13="","",'入力・概要'!$E$9*(V13*X13+W13*Y13)/(X13^2+Y13^2)+'入力・概要'!$B$36)</f>
        <v/>
      </c>
      <c r="AA13" s="212">
        <f>IF(B13="","",'入力・概要'!$E$9*(W13*X13-V13*Y13)/(X13^2+Y13^2)+C13*'入力・概要'!$B$37*1E-9)</f>
        <v/>
      </c>
      <c r="AB13" s="212">
        <f>IF(B13="","",SQRT(Z13^2+AA13^2))</f>
        <v/>
      </c>
      <c r="AC13" s="212">
        <f>IF(B13="","",IF(Z13&gt;0,DEGREES(ATAN(AA13/Z13)),IF(Z13&lt;0,IF(AA13&gt;=0,DEGREES(ATAN(AA13/Z13))+180,DEGREES(ATAN(AA13/Z13))-180),IF(AA13&gt;0,90,IF(AA13&lt;0,-90,0)))))</f>
        <v/>
      </c>
      <c r="AD13" s="212">
        <f>IF(B13="","",LOG10(B13))</f>
        <v/>
      </c>
      <c r="AE13" s="212">
        <f>IF(AB13="","",LOG10(MAX(AB13,1E-12)))</f>
        <v/>
      </c>
      <c r="AF13" s="212">
        <f>IF(B13="","",SQRT(P13^2+Q13^2))</f>
        <v/>
      </c>
      <c r="AG13" s="212">
        <f>IF(B13="","",SQRT(R13^2+S13^2))</f>
        <v/>
      </c>
    </row>
    <row r="14">
      <c r="A14" s="202" t="n">
        <v>11</v>
      </c>
      <c r="B14" s="213">
        <f>IF(A14&lt;='入力・概要'!$B$40,10^(LOG10('入力・概要'!$B$38)+(A14-1)*(LOG10('入力・概要'!$B$39)-LOG10('入力・概要'!$B$38))/('入力・概要'!$B$40-1)),"")</f>
        <v/>
      </c>
      <c r="C14" s="212">
        <f>IF(B14="","",2*PI()*B14)</f>
        <v/>
      </c>
      <c r="D14" s="212">
        <f>IF(B14="","",ATANH(MIN(0.999999,'入力・概要'!$E$20/'入力・概要'!$E$9))+'入力・概要'!$B$20*SQRT(B14/1E6)+E14*'入力・概要'!$B$15/2)</f>
        <v/>
      </c>
      <c r="E14" s="212">
        <f>IF(B14="","",C14*('入力・概要'!$E$11*1E-9))</f>
        <v/>
      </c>
      <c r="F14" s="212">
        <f>IF(B14="","",SINH(2*D14)/(COSH(2*D14)+COS(2*E14)))</f>
        <v/>
      </c>
      <c r="G14" s="212">
        <f>IF(B14="","",SIN(2*E14)/(COSH(2*D14)+COS(2*E14)))</f>
        <v/>
      </c>
      <c r="H14" s="212">
        <f>IF(B14="","",ATANH(MIN(0.999999,'入力・概要'!$E$21/'入力・概要'!$E$15))+'入力・概要'!$B$21*SQRT(B14/1E6)+I14*'入力・概要'!$B$16/2)</f>
        <v/>
      </c>
      <c r="I14" s="212">
        <f>IF(B14="","",C14*('入力・概要'!$E$17*1E-9))</f>
        <v/>
      </c>
      <c r="J14" s="212">
        <f>IF(B14="","",SINH(2*H14)/(COSH(2*H14)+COS(2*I14)))</f>
        <v/>
      </c>
      <c r="K14" s="212">
        <f>IF(B14="","",SIN(2*I14)/(COSH(2*H14)+COS(2*I14)))</f>
        <v/>
      </c>
      <c r="L14" s="212">
        <f>IF(B14="","",'入力・概要'!$B$25)</f>
        <v/>
      </c>
      <c r="M14" s="212">
        <f>IF(B14="","",C14*'入力・概要'!$B$26*1E-9-1/(C14*'入力・概要'!$B$24*1E-6))</f>
        <v/>
      </c>
      <c r="N14" s="212">
        <f>IF(B14="","",'入力・概要'!$B$28)</f>
        <v/>
      </c>
      <c r="O14" s="212">
        <f>IF(B14="","",C14*'入力・概要'!$B$29*1E-9-1/(C14*'入力・概要'!$B$27*1E-6))</f>
        <v/>
      </c>
      <c r="P14" s="212">
        <f>IF(B14="","",((L14*N14-M14*O14)*(L14+N14)+(L14*O14+M14*N14)*(M14+O14))/((L14+N14)^2+(M14+O14)^2))</f>
        <v/>
      </c>
      <c r="Q14" s="212">
        <f>IF(B14="","",((L14*O14+M14*N14)*(L14+N14)-(L14*N14-M14*O14)*(M14+O14))/((L14+N14)^2+(M14+O14)^2))</f>
        <v/>
      </c>
      <c r="R14" s="212">
        <f>IF(B14="","",'入力・概要'!$E$15*J14)</f>
        <v/>
      </c>
      <c r="S14" s="212">
        <f>IF(B14="","",'入力・概要'!$E$15*K14)</f>
        <v/>
      </c>
      <c r="T14" s="212">
        <f>IF(B14="","",P14+R14)</f>
        <v/>
      </c>
      <c r="U14" s="212">
        <f>IF(B14="","",Q14+S14)</f>
        <v/>
      </c>
      <c r="V14" s="212">
        <f>IF(B14="","",T14+'入力・概要'!$E$9*F14)</f>
        <v/>
      </c>
      <c r="W14" s="212">
        <f>IF(B14="","",U14+'入力・概要'!$E$9*G14)</f>
        <v/>
      </c>
      <c r="X14" s="212">
        <f>IF(B14="","",'入力・概要'!$E$9+T14*F14-U14*G14)</f>
        <v/>
      </c>
      <c r="Y14" s="212">
        <f>IF(B14="","",T14*G14+U14*F14)</f>
        <v/>
      </c>
      <c r="Z14" s="212">
        <f>IF(B14="","",'入力・概要'!$E$9*(V14*X14+W14*Y14)/(X14^2+Y14^2)+'入力・概要'!$B$36)</f>
        <v/>
      </c>
      <c r="AA14" s="212">
        <f>IF(B14="","",'入力・概要'!$E$9*(W14*X14-V14*Y14)/(X14^2+Y14^2)+C14*'入力・概要'!$B$37*1E-9)</f>
        <v/>
      </c>
      <c r="AB14" s="212">
        <f>IF(B14="","",SQRT(Z14^2+AA14^2))</f>
        <v/>
      </c>
      <c r="AC14" s="212">
        <f>IF(B14="","",IF(Z14&gt;0,DEGREES(ATAN(AA14/Z14)),IF(Z14&lt;0,IF(AA14&gt;=0,DEGREES(ATAN(AA14/Z14))+180,DEGREES(ATAN(AA14/Z14))-180),IF(AA14&gt;0,90,IF(AA14&lt;0,-90,0)))))</f>
        <v/>
      </c>
      <c r="AD14" s="212">
        <f>IF(B14="","",LOG10(B14))</f>
        <v/>
      </c>
      <c r="AE14" s="212">
        <f>IF(AB14="","",LOG10(MAX(AB14,1E-12)))</f>
        <v/>
      </c>
      <c r="AF14" s="212">
        <f>IF(B14="","",SQRT(P14^2+Q14^2))</f>
        <v/>
      </c>
      <c r="AG14" s="212">
        <f>IF(B14="","",SQRT(R14^2+S14^2))</f>
        <v/>
      </c>
    </row>
    <row r="15">
      <c r="A15" s="202" t="n">
        <v>12</v>
      </c>
      <c r="B15" s="213">
        <f>IF(A15&lt;='入力・概要'!$B$40,10^(LOG10('入力・概要'!$B$38)+(A15-1)*(LOG10('入力・概要'!$B$39)-LOG10('入力・概要'!$B$38))/('入力・概要'!$B$40-1)),"")</f>
        <v/>
      </c>
      <c r="C15" s="212">
        <f>IF(B15="","",2*PI()*B15)</f>
        <v/>
      </c>
      <c r="D15" s="212">
        <f>IF(B15="","",ATANH(MIN(0.999999,'入力・概要'!$E$20/'入力・概要'!$E$9))+'入力・概要'!$B$20*SQRT(B15/1E6)+E15*'入力・概要'!$B$15/2)</f>
        <v/>
      </c>
      <c r="E15" s="212">
        <f>IF(B15="","",C15*('入力・概要'!$E$11*1E-9))</f>
        <v/>
      </c>
      <c r="F15" s="212">
        <f>IF(B15="","",SINH(2*D15)/(COSH(2*D15)+COS(2*E15)))</f>
        <v/>
      </c>
      <c r="G15" s="212">
        <f>IF(B15="","",SIN(2*E15)/(COSH(2*D15)+COS(2*E15)))</f>
        <v/>
      </c>
      <c r="H15" s="212">
        <f>IF(B15="","",ATANH(MIN(0.999999,'入力・概要'!$E$21/'入力・概要'!$E$15))+'入力・概要'!$B$21*SQRT(B15/1E6)+I15*'入力・概要'!$B$16/2)</f>
        <v/>
      </c>
      <c r="I15" s="212">
        <f>IF(B15="","",C15*('入力・概要'!$E$17*1E-9))</f>
        <v/>
      </c>
      <c r="J15" s="212">
        <f>IF(B15="","",SINH(2*H15)/(COSH(2*H15)+COS(2*I15)))</f>
        <v/>
      </c>
      <c r="K15" s="212">
        <f>IF(B15="","",SIN(2*I15)/(COSH(2*H15)+COS(2*I15)))</f>
        <v/>
      </c>
      <c r="L15" s="212">
        <f>IF(B15="","",'入力・概要'!$B$25)</f>
        <v/>
      </c>
      <c r="M15" s="212">
        <f>IF(B15="","",C15*'入力・概要'!$B$26*1E-9-1/(C15*'入力・概要'!$B$24*1E-6))</f>
        <v/>
      </c>
      <c r="N15" s="212">
        <f>IF(B15="","",'入力・概要'!$B$28)</f>
        <v/>
      </c>
      <c r="O15" s="212">
        <f>IF(B15="","",C15*'入力・概要'!$B$29*1E-9-1/(C15*'入力・概要'!$B$27*1E-6))</f>
        <v/>
      </c>
      <c r="P15" s="212">
        <f>IF(B15="","",((L15*N15-M15*O15)*(L15+N15)+(L15*O15+M15*N15)*(M15+O15))/((L15+N15)^2+(M15+O15)^2))</f>
        <v/>
      </c>
      <c r="Q15" s="212">
        <f>IF(B15="","",((L15*O15+M15*N15)*(L15+N15)-(L15*N15-M15*O15)*(M15+O15))/((L15+N15)^2+(M15+O15)^2))</f>
        <v/>
      </c>
      <c r="R15" s="212">
        <f>IF(B15="","",'入力・概要'!$E$15*J15)</f>
        <v/>
      </c>
      <c r="S15" s="212">
        <f>IF(B15="","",'入力・概要'!$E$15*K15)</f>
        <v/>
      </c>
      <c r="T15" s="212">
        <f>IF(B15="","",P15+R15)</f>
        <v/>
      </c>
      <c r="U15" s="212">
        <f>IF(B15="","",Q15+S15)</f>
        <v/>
      </c>
      <c r="V15" s="212">
        <f>IF(B15="","",T15+'入力・概要'!$E$9*F15)</f>
        <v/>
      </c>
      <c r="W15" s="212">
        <f>IF(B15="","",U15+'入力・概要'!$E$9*G15)</f>
        <v/>
      </c>
      <c r="X15" s="212">
        <f>IF(B15="","",'入力・概要'!$E$9+T15*F15-U15*G15)</f>
        <v/>
      </c>
      <c r="Y15" s="212">
        <f>IF(B15="","",T15*G15+U15*F15)</f>
        <v/>
      </c>
      <c r="Z15" s="212">
        <f>IF(B15="","",'入力・概要'!$E$9*(V15*X15+W15*Y15)/(X15^2+Y15^2)+'入力・概要'!$B$36)</f>
        <v/>
      </c>
      <c r="AA15" s="212">
        <f>IF(B15="","",'入力・概要'!$E$9*(W15*X15-V15*Y15)/(X15^2+Y15^2)+C15*'入力・概要'!$B$37*1E-9)</f>
        <v/>
      </c>
      <c r="AB15" s="212">
        <f>IF(B15="","",SQRT(Z15^2+AA15^2))</f>
        <v/>
      </c>
      <c r="AC15" s="212">
        <f>IF(B15="","",IF(Z15&gt;0,DEGREES(ATAN(AA15/Z15)),IF(Z15&lt;0,IF(AA15&gt;=0,DEGREES(ATAN(AA15/Z15))+180,DEGREES(ATAN(AA15/Z15))-180),IF(AA15&gt;0,90,IF(AA15&lt;0,-90,0)))))</f>
        <v/>
      </c>
      <c r="AD15" s="212">
        <f>IF(B15="","",LOG10(B15))</f>
        <v/>
      </c>
      <c r="AE15" s="212">
        <f>IF(AB15="","",LOG10(MAX(AB15,1E-12)))</f>
        <v/>
      </c>
      <c r="AF15" s="212">
        <f>IF(B15="","",SQRT(P15^2+Q15^2))</f>
        <v/>
      </c>
      <c r="AG15" s="212">
        <f>IF(B15="","",SQRT(R15^2+S15^2))</f>
        <v/>
      </c>
    </row>
    <row r="16">
      <c r="A16" s="202" t="n">
        <v>13</v>
      </c>
      <c r="B16" s="213">
        <f>IF(A16&lt;='入力・概要'!$B$40,10^(LOG10('入力・概要'!$B$38)+(A16-1)*(LOG10('入力・概要'!$B$39)-LOG10('入力・概要'!$B$38))/('入力・概要'!$B$40-1)),"")</f>
        <v/>
      </c>
      <c r="C16" s="212">
        <f>IF(B16="","",2*PI()*B16)</f>
        <v/>
      </c>
      <c r="D16" s="212">
        <f>IF(B16="","",ATANH(MIN(0.999999,'入力・概要'!$E$20/'入力・概要'!$E$9))+'入力・概要'!$B$20*SQRT(B16/1E6)+E16*'入力・概要'!$B$15/2)</f>
        <v/>
      </c>
      <c r="E16" s="212">
        <f>IF(B16="","",C16*('入力・概要'!$E$11*1E-9))</f>
        <v/>
      </c>
      <c r="F16" s="212">
        <f>IF(B16="","",SINH(2*D16)/(COSH(2*D16)+COS(2*E16)))</f>
        <v/>
      </c>
      <c r="G16" s="212">
        <f>IF(B16="","",SIN(2*E16)/(COSH(2*D16)+COS(2*E16)))</f>
        <v/>
      </c>
      <c r="H16" s="212">
        <f>IF(B16="","",ATANH(MIN(0.999999,'入力・概要'!$E$21/'入力・概要'!$E$15))+'入力・概要'!$B$21*SQRT(B16/1E6)+I16*'入力・概要'!$B$16/2)</f>
        <v/>
      </c>
      <c r="I16" s="212">
        <f>IF(B16="","",C16*('入力・概要'!$E$17*1E-9))</f>
        <v/>
      </c>
      <c r="J16" s="212">
        <f>IF(B16="","",SINH(2*H16)/(COSH(2*H16)+COS(2*I16)))</f>
        <v/>
      </c>
      <c r="K16" s="212">
        <f>IF(B16="","",SIN(2*I16)/(COSH(2*H16)+COS(2*I16)))</f>
        <v/>
      </c>
      <c r="L16" s="212">
        <f>IF(B16="","",'入力・概要'!$B$25)</f>
        <v/>
      </c>
      <c r="M16" s="212">
        <f>IF(B16="","",C16*'入力・概要'!$B$26*1E-9-1/(C16*'入力・概要'!$B$24*1E-6))</f>
        <v/>
      </c>
      <c r="N16" s="212">
        <f>IF(B16="","",'入力・概要'!$B$28)</f>
        <v/>
      </c>
      <c r="O16" s="212">
        <f>IF(B16="","",C16*'入力・概要'!$B$29*1E-9-1/(C16*'入力・概要'!$B$27*1E-6))</f>
        <v/>
      </c>
      <c r="P16" s="212">
        <f>IF(B16="","",((L16*N16-M16*O16)*(L16+N16)+(L16*O16+M16*N16)*(M16+O16))/((L16+N16)^2+(M16+O16)^2))</f>
        <v/>
      </c>
      <c r="Q16" s="212">
        <f>IF(B16="","",((L16*O16+M16*N16)*(L16+N16)-(L16*N16-M16*O16)*(M16+O16))/((L16+N16)^2+(M16+O16)^2))</f>
        <v/>
      </c>
      <c r="R16" s="212">
        <f>IF(B16="","",'入力・概要'!$E$15*J16)</f>
        <v/>
      </c>
      <c r="S16" s="212">
        <f>IF(B16="","",'入力・概要'!$E$15*K16)</f>
        <v/>
      </c>
      <c r="T16" s="212">
        <f>IF(B16="","",P16+R16)</f>
        <v/>
      </c>
      <c r="U16" s="212">
        <f>IF(B16="","",Q16+S16)</f>
        <v/>
      </c>
      <c r="V16" s="212">
        <f>IF(B16="","",T16+'入力・概要'!$E$9*F16)</f>
        <v/>
      </c>
      <c r="W16" s="212">
        <f>IF(B16="","",U16+'入力・概要'!$E$9*G16)</f>
        <v/>
      </c>
      <c r="X16" s="212">
        <f>IF(B16="","",'入力・概要'!$E$9+T16*F16-U16*G16)</f>
        <v/>
      </c>
      <c r="Y16" s="212">
        <f>IF(B16="","",T16*G16+U16*F16)</f>
        <v/>
      </c>
      <c r="Z16" s="212">
        <f>IF(B16="","",'入力・概要'!$E$9*(V16*X16+W16*Y16)/(X16^2+Y16^2)+'入力・概要'!$B$36)</f>
        <v/>
      </c>
      <c r="AA16" s="212">
        <f>IF(B16="","",'入力・概要'!$E$9*(W16*X16-V16*Y16)/(X16^2+Y16^2)+C16*'入力・概要'!$B$37*1E-9)</f>
        <v/>
      </c>
      <c r="AB16" s="212">
        <f>IF(B16="","",SQRT(Z16^2+AA16^2))</f>
        <v/>
      </c>
      <c r="AC16" s="212">
        <f>IF(B16="","",IF(Z16&gt;0,DEGREES(ATAN(AA16/Z16)),IF(Z16&lt;0,IF(AA16&gt;=0,DEGREES(ATAN(AA16/Z16))+180,DEGREES(ATAN(AA16/Z16))-180),IF(AA16&gt;0,90,IF(AA16&lt;0,-90,0)))))</f>
        <v/>
      </c>
      <c r="AD16" s="212">
        <f>IF(B16="","",LOG10(B16))</f>
        <v/>
      </c>
      <c r="AE16" s="212">
        <f>IF(AB16="","",LOG10(MAX(AB16,1E-12)))</f>
        <v/>
      </c>
      <c r="AF16" s="212">
        <f>IF(B16="","",SQRT(P16^2+Q16^2))</f>
        <v/>
      </c>
      <c r="AG16" s="212">
        <f>IF(B16="","",SQRT(R16^2+S16^2))</f>
        <v/>
      </c>
    </row>
    <row r="17">
      <c r="A17" s="202" t="n">
        <v>14</v>
      </c>
      <c r="B17" s="213">
        <f>IF(A17&lt;='入力・概要'!$B$40,10^(LOG10('入力・概要'!$B$38)+(A17-1)*(LOG10('入力・概要'!$B$39)-LOG10('入力・概要'!$B$38))/('入力・概要'!$B$40-1)),"")</f>
        <v/>
      </c>
      <c r="C17" s="212">
        <f>IF(B17="","",2*PI()*B17)</f>
        <v/>
      </c>
      <c r="D17" s="212">
        <f>IF(B17="","",ATANH(MIN(0.999999,'入力・概要'!$E$20/'入力・概要'!$E$9))+'入力・概要'!$B$20*SQRT(B17/1E6)+E17*'入力・概要'!$B$15/2)</f>
        <v/>
      </c>
      <c r="E17" s="212">
        <f>IF(B17="","",C17*('入力・概要'!$E$11*1E-9))</f>
        <v/>
      </c>
      <c r="F17" s="212">
        <f>IF(B17="","",SINH(2*D17)/(COSH(2*D17)+COS(2*E17)))</f>
        <v/>
      </c>
      <c r="G17" s="212">
        <f>IF(B17="","",SIN(2*E17)/(COSH(2*D17)+COS(2*E17)))</f>
        <v/>
      </c>
      <c r="H17" s="212">
        <f>IF(B17="","",ATANH(MIN(0.999999,'入力・概要'!$E$21/'入力・概要'!$E$15))+'入力・概要'!$B$21*SQRT(B17/1E6)+I17*'入力・概要'!$B$16/2)</f>
        <v/>
      </c>
      <c r="I17" s="212">
        <f>IF(B17="","",C17*('入力・概要'!$E$17*1E-9))</f>
        <v/>
      </c>
      <c r="J17" s="212">
        <f>IF(B17="","",SINH(2*H17)/(COSH(2*H17)+COS(2*I17)))</f>
        <v/>
      </c>
      <c r="K17" s="212">
        <f>IF(B17="","",SIN(2*I17)/(COSH(2*H17)+COS(2*I17)))</f>
        <v/>
      </c>
      <c r="L17" s="212">
        <f>IF(B17="","",'入力・概要'!$B$25)</f>
        <v/>
      </c>
      <c r="M17" s="212">
        <f>IF(B17="","",C17*'入力・概要'!$B$26*1E-9-1/(C17*'入力・概要'!$B$24*1E-6))</f>
        <v/>
      </c>
      <c r="N17" s="212">
        <f>IF(B17="","",'入力・概要'!$B$28)</f>
        <v/>
      </c>
      <c r="O17" s="212">
        <f>IF(B17="","",C17*'入力・概要'!$B$29*1E-9-1/(C17*'入力・概要'!$B$27*1E-6))</f>
        <v/>
      </c>
      <c r="P17" s="212">
        <f>IF(B17="","",((L17*N17-M17*O17)*(L17+N17)+(L17*O17+M17*N17)*(M17+O17))/((L17+N17)^2+(M17+O17)^2))</f>
        <v/>
      </c>
      <c r="Q17" s="212">
        <f>IF(B17="","",((L17*O17+M17*N17)*(L17+N17)-(L17*N17-M17*O17)*(M17+O17))/((L17+N17)^2+(M17+O17)^2))</f>
        <v/>
      </c>
      <c r="R17" s="212">
        <f>IF(B17="","",'入力・概要'!$E$15*J17)</f>
        <v/>
      </c>
      <c r="S17" s="212">
        <f>IF(B17="","",'入力・概要'!$E$15*K17)</f>
        <v/>
      </c>
      <c r="T17" s="212">
        <f>IF(B17="","",P17+R17)</f>
        <v/>
      </c>
      <c r="U17" s="212">
        <f>IF(B17="","",Q17+S17)</f>
        <v/>
      </c>
      <c r="V17" s="212">
        <f>IF(B17="","",T17+'入力・概要'!$E$9*F17)</f>
        <v/>
      </c>
      <c r="W17" s="212">
        <f>IF(B17="","",U17+'入力・概要'!$E$9*G17)</f>
        <v/>
      </c>
      <c r="X17" s="212">
        <f>IF(B17="","",'入力・概要'!$E$9+T17*F17-U17*G17)</f>
        <v/>
      </c>
      <c r="Y17" s="212">
        <f>IF(B17="","",T17*G17+U17*F17)</f>
        <v/>
      </c>
      <c r="Z17" s="212">
        <f>IF(B17="","",'入力・概要'!$E$9*(V17*X17+W17*Y17)/(X17^2+Y17^2)+'入力・概要'!$B$36)</f>
        <v/>
      </c>
      <c r="AA17" s="212">
        <f>IF(B17="","",'入力・概要'!$E$9*(W17*X17-V17*Y17)/(X17^2+Y17^2)+C17*'入力・概要'!$B$37*1E-9)</f>
        <v/>
      </c>
      <c r="AB17" s="212">
        <f>IF(B17="","",SQRT(Z17^2+AA17^2))</f>
        <v/>
      </c>
      <c r="AC17" s="212">
        <f>IF(B17="","",IF(Z17&gt;0,DEGREES(ATAN(AA17/Z17)),IF(Z17&lt;0,IF(AA17&gt;=0,DEGREES(ATAN(AA17/Z17))+180,DEGREES(ATAN(AA17/Z17))-180),IF(AA17&gt;0,90,IF(AA17&lt;0,-90,0)))))</f>
        <v/>
      </c>
      <c r="AD17" s="212">
        <f>IF(B17="","",LOG10(B17))</f>
        <v/>
      </c>
      <c r="AE17" s="212">
        <f>IF(AB17="","",LOG10(MAX(AB17,1E-12)))</f>
        <v/>
      </c>
      <c r="AF17" s="212">
        <f>IF(B17="","",SQRT(P17^2+Q17^2))</f>
        <v/>
      </c>
      <c r="AG17" s="212">
        <f>IF(B17="","",SQRT(R17^2+S17^2))</f>
        <v/>
      </c>
    </row>
    <row r="18">
      <c r="A18" s="202" t="n">
        <v>15</v>
      </c>
      <c r="B18" s="213">
        <f>IF(A18&lt;='入力・概要'!$B$40,10^(LOG10('入力・概要'!$B$38)+(A18-1)*(LOG10('入力・概要'!$B$39)-LOG10('入力・概要'!$B$38))/('入力・概要'!$B$40-1)),"")</f>
        <v/>
      </c>
      <c r="C18" s="212">
        <f>IF(B18="","",2*PI()*B18)</f>
        <v/>
      </c>
      <c r="D18" s="212">
        <f>IF(B18="","",ATANH(MIN(0.999999,'入力・概要'!$E$20/'入力・概要'!$E$9))+'入力・概要'!$B$20*SQRT(B18/1E6)+E18*'入力・概要'!$B$15/2)</f>
        <v/>
      </c>
      <c r="E18" s="212">
        <f>IF(B18="","",C18*('入力・概要'!$E$11*1E-9))</f>
        <v/>
      </c>
      <c r="F18" s="212">
        <f>IF(B18="","",SINH(2*D18)/(COSH(2*D18)+COS(2*E18)))</f>
        <v/>
      </c>
      <c r="G18" s="212">
        <f>IF(B18="","",SIN(2*E18)/(COSH(2*D18)+COS(2*E18)))</f>
        <v/>
      </c>
      <c r="H18" s="212">
        <f>IF(B18="","",ATANH(MIN(0.999999,'入力・概要'!$E$21/'入力・概要'!$E$15))+'入力・概要'!$B$21*SQRT(B18/1E6)+I18*'入力・概要'!$B$16/2)</f>
        <v/>
      </c>
      <c r="I18" s="212">
        <f>IF(B18="","",C18*('入力・概要'!$E$17*1E-9))</f>
        <v/>
      </c>
      <c r="J18" s="212">
        <f>IF(B18="","",SINH(2*H18)/(COSH(2*H18)+COS(2*I18)))</f>
        <v/>
      </c>
      <c r="K18" s="212">
        <f>IF(B18="","",SIN(2*I18)/(COSH(2*H18)+COS(2*I18)))</f>
        <v/>
      </c>
      <c r="L18" s="212">
        <f>IF(B18="","",'入力・概要'!$B$25)</f>
        <v/>
      </c>
      <c r="M18" s="212">
        <f>IF(B18="","",C18*'入力・概要'!$B$26*1E-9-1/(C18*'入力・概要'!$B$24*1E-6))</f>
        <v/>
      </c>
      <c r="N18" s="212">
        <f>IF(B18="","",'入力・概要'!$B$28)</f>
        <v/>
      </c>
      <c r="O18" s="212">
        <f>IF(B18="","",C18*'入力・概要'!$B$29*1E-9-1/(C18*'入力・概要'!$B$27*1E-6))</f>
        <v/>
      </c>
      <c r="P18" s="212">
        <f>IF(B18="","",((L18*N18-M18*O18)*(L18+N18)+(L18*O18+M18*N18)*(M18+O18))/((L18+N18)^2+(M18+O18)^2))</f>
        <v/>
      </c>
      <c r="Q18" s="212">
        <f>IF(B18="","",((L18*O18+M18*N18)*(L18+N18)-(L18*N18-M18*O18)*(M18+O18))/((L18+N18)^2+(M18+O18)^2))</f>
        <v/>
      </c>
      <c r="R18" s="212">
        <f>IF(B18="","",'入力・概要'!$E$15*J18)</f>
        <v/>
      </c>
      <c r="S18" s="212">
        <f>IF(B18="","",'入力・概要'!$E$15*K18)</f>
        <v/>
      </c>
      <c r="T18" s="212">
        <f>IF(B18="","",P18+R18)</f>
        <v/>
      </c>
      <c r="U18" s="212">
        <f>IF(B18="","",Q18+S18)</f>
        <v/>
      </c>
      <c r="V18" s="212">
        <f>IF(B18="","",T18+'入力・概要'!$E$9*F18)</f>
        <v/>
      </c>
      <c r="W18" s="212">
        <f>IF(B18="","",U18+'入力・概要'!$E$9*G18)</f>
        <v/>
      </c>
      <c r="X18" s="212">
        <f>IF(B18="","",'入力・概要'!$E$9+T18*F18-U18*G18)</f>
        <v/>
      </c>
      <c r="Y18" s="212">
        <f>IF(B18="","",T18*G18+U18*F18)</f>
        <v/>
      </c>
      <c r="Z18" s="212">
        <f>IF(B18="","",'入力・概要'!$E$9*(V18*X18+W18*Y18)/(X18^2+Y18^2)+'入力・概要'!$B$36)</f>
        <v/>
      </c>
      <c r="AA18" s="212">
        <f>IF(B18="","",'入力・概要'!$E$9*(W18*X18-V18*Y18)/(X18^2+Y18^2)+C18*'入力・概要'!$B$37*1E-9)</f>
        <v/>
      </c>
      <c r="AB18" s="212">
        <f>IF(B18="","",SQRT(Z18^2+AA18^2))</f>
        <v/>
      </c>
      <c r="AC18" s="212">
        <f>IF(B18="","",IF(Z18&gt;0,DEGREES(ATAN(AA18/Z18)),IF(Z18&lt;0,IF(AA18&gt;=0,DEGREES(ATAN(AA18/Z18))+180,DEGREES(ATAN(AA18/Z18))-180),IF(AA18&gt;0,90,IF(AA18&lt;0,-90,0)))))</f>
        <v/>
      </c>
      <c r="AD18" s="212">
        <f>IF(B18="","",LOG10(B18))</f>
        <v/>
      </c>
      <c r="AE18" s="212">
        <f>IF(AB18="","",LOG10(MAX(AB18,1E-12)))</f>
        <v/>
      </c>
      <c r="AF18" s="212">
        <f>IF(B18="","",SQRT(P18^2+Q18^2))</f>
        <v/>
      </c>
      <c r="AG18" s="212">
        <f>IF(B18="","",SQRT(R18^2+S18^2))</f>
        <v/>
      </c>
    </row>
    <row r="19">
      <c r="A19" s="202" t="n">
        <v>16</v>
      </c>
      <c r="B19" s="213">
        <f>IF(A19&lt;='入力・概要'!$B$40,10^(LOG10('入力・概要'!$B$38)+(A19-1)*(LOG10('入力・概要'!$B$39)-LOG10('入力・概要'!$B$38))/('入力・概要'!$B$40-1)),"")</f>
        <v/>
      </c>
      <c r="C19" s="212">
        <f>IF(B19="","",2*PI()*B19)</f>
        <v/>
      </c>
      <c r="D19" s="212">
        <f>IF(B19="","",ATANH(MIN(0.999999,'入力・概要'!$E$20/'入力・概要'!$E$9))+'入力・概要'!$B$20*SQRT(B19/1E6)+E19*'入力・概要'!$B$15/2)</f>
        <v/>
      </c>
      <c r="E19" s="212">
        <f>IF(B19="","",C19*('入力・概要'!$E$11*1E-9))</f>
        <v/>
      </c>
      <c r="F19" s="212">
        <f>IF(B19="","",SINH(2*D19)/(COSH(2*D19)+COS(2*E19)))</f>
        <v/>
      </c>
      <c r="G19" s="212">
        <f>IF(B19="","",SIN(2*E19)/(COSH(2*D19)+COS(2*E19)))</f>
        <v/>
      </c>
      <c r="H19" s="212">
        <f>IF(B19="","",ATANH(MIN(0.999999,'入力・概要'!$E$21/'入力・概要'!$E$15))+'入力・概要'!$B$21*SQRT(B19/1E6)+I19*'入力・概要'!$B$16/2)</f>
        <v/>
      </c>
      <c r="I19" s="212">
        <f>IF(B19="","",C19*('入力・概要'!$E$17*1E-9))</f>
        <v/>
      </c>
      <c r="J19" s="212">
        <f>IF(B19="","",SINH(2*H19)/(COSH(2*H19)+COS(2*I19)))</f>
        <v/>
      </c>
      <c r="K19" s="212">
        <f>IF(B19="","",SIN(2*I19)/(COSH(2*H19)+COS(2*I19)))</f>
        <v/>
      </c>
      <c r="L19" s="212">
        <f>IF(B19="","",'入力・概要'!$B$25)</f>
        <v/>
      </c>
      <c r="M19" s="212">
        <f>IF(B19="","",C19*'入力・概要'!$B$26*1E-9-1/(C19*'入力・概要'!$B$24*1E-6))</f>
        <v/>
      </c>
      <c r="N19" s="212">
        <f>IF(B19="","",'入力・概要'!$B$28)</f>
        <v/>
      </c>
      <c r="O19" s="212">
        <f>IF(B19="","",C19*'入力・概要'!$B$29*1E-9-1/(C19*'入力・概要'!$B$27*1E-6))</f>
        <v/>
      </c>
      <c r="P19" s="212">
        <f>IF(B19="","",((L19*N19-M19*O19)*(L19+N19)+(L19*O19+M19*N19)*(M19+O19))/((L19+N19)^2+(M19+O19)^2))</f>
        <v/>
      </c>
      <c r="Q19" s="212">
        <f>IF(B19="","",((L19*O19+M19*N19)*(L19+N19)-(L19*N19-M19*O19)*(M19+O19))/((L19+N19)^2+(M19+O19)^2))</f>
        <v/>
      </c>
      <c r="R19" s="212">
        <f>IF(B19="","",'入力・概要'!$E$15*J19)</f>
        <v/>
      </c>
      <c r="S19" s="212">
        <f>IF(B19="","",'入力・概要'!$E$15*K19)</f>
        <v/>
      </c>
      <c r="T19" s="212">
        <f>IF(B19="","",P19+R19)</f>
        <v/>
      </c>
      <c r="U19" s="212">
        <f>IF(B19="","",Q19+S19)</f>
        <v/>
      </c>
      <c r="V19" s="212">
        <f>IF(B19="","",T19+'入力・概要'!$E$9*F19)</f>
        <v/>
      </c>
      <c r="W19" s="212">
        <f>IF(B19="","",U19+'入力・概要'!$E$9*G19)</f>
        <v/>
      </c>
      <c r="X19" s="212">
        <f>IF(B19="","",'入力・概要'!$E$9+T19*F19-U19*G19)</f>
        <v/>
      </c>
      <c r="Y19" s="212">
        <f>IF(B19="","",T19*G19+U19*F19)</f>
        <v/>
      </c>
      <c r="Z19" s="212">
        <f>IF(B19="","",'入力・概要'!$E$9*(V19*X19+W19*Y19)/(X19^2+Y19^2)+'入力・概要'!$B$36)</f>
        <v/>
      </c>
      <c r="AA19" s="212">
        <f>IF(B19="","",'入力・概要'!$E$9*(W19*X19-V19*Y19)/(X19^2+Y19^2)+C19*'入力・概要'!$B$37*1E-9)</f>
        <v/>
      </c>
      <c r="AB19" s="212">
        <f>IF(B19="","",SQRT(Z19^2+AA19^2))</f>
        <v/>
      </c>
      <c r="AC19" s="212">
        <f>IF(B19="","",IF(Z19&gt;0,DEGREES(ATAN(AA19/Z19)),IF(Z19&lt;0,IF(AA19&gt;=0,DEGREES(ATAN(AA19/Z19))+180,DEGREES(ATAN(AA19/Z19))-180),IF(AA19&gt;0,90,IF(AA19&lt;0,-90,0)))))</f>
        <v/>
      </c>
      <c r="AD19" s="212">
        <f>IF(B19="","",LOG10(B19))</f>
        <v/>
      </c>
      <c r="AE19" s="212">
        <f>IF(AB19="","",LOG10(MAX(AB19,1E-12)))</f>
        <v/>
      </c>
      <c r="AF19" s="212">
        <f>IF(B19="","",SQRT(P19^2+Q19^2))</f>
        <v/>
      </c>
      <c r="AG19" s="212">
        <f>IF(B19="","",SQRT(R19^2+S19^2))</f>
        <v/>
      </c>
    </row>
    <row r="20">
      <c r="A20" s="202" t="n">
        <v>17</v>
      </c>
      <c r="B20" s="213">
        <f>IF(A20&lt;='入力・概要'!$B$40,10^(LOG10('入力・概要'!$B$38)+(A20-1)*(LOG10('入力・概要'!$B$39)-LOG10('入力・概要'!$B$38))/('入力・概要'!$B$40-1)),"")</f>
        <v/>
      </c>
      <c r="C20" s="212">
        <f>IF(B20="","",2*PI()*B20)</f>
        <v/>
      </c>
      <c r="D20" s="212">
        <f>IF(B20="","",ATANH(MIN(0.999999,'入力・概要'!$E$20/'入力・概要'!$E$9))+'入力・概要'!$B$20*SQRT(B20/1E6)+E20*'入力・概要'!$B$15/2)</f>
        <v/>
      </c>
      <c r="E20" s="212">
        <f>IF(B20="","",C20*('入力・概要'!$E$11*1E-9))</f>
        <v/>
      </c>
      <c r="F20" s="212">
        <f>IF(B20="","",SINH(2*D20)/(COSH(2*D20)+COS(2*E20)))</f>
        <v/>
      </c>
      <c r="G20" s="212">
        <f>IF(B20="","",SIN(2*E20)/(COSH(2*D20)+COS(2*E20)))</f>
        <v/>
      </c>
      <c r="H20" s="212">
        <f>IF(B20="","",ATANH(MIN(0.999999,'入力・概要'!$E$21/'入力・概要'!$E$15))+'入力・概要'!$B$21*SQRT(B20/1E6)+I20*'入力・概要'!$B$16/2)</f>
        <v/>
      </c>
      <c r="I20" s="212">
        <f>IF(B20="","",C20*('入力・概要'!$E$17*1E-9))</f>
        <v/>
      </c>
      <c r="J20" s="212">
        <f>IF(B20="","",SINH(2*H20)/(COSH(2*H20)+COS(2*I20)))</f>
        <v/>
      </c>
      <c r="K20" s="212">
        <f>IF(B20="","",SIN(2*I20)/(COSH(2*H20)+COS(2*I20)))</f>
        <v/>
      </c>
      <c r="L20" s="212">
        <f>IF(B20="","",'入力・概要'!$B$25)</f>
        <v/>
      </c>
      <c r="M20" s="212">
        <f>IF(B20="","",C20*'入力・概要'!$B$26*1E-9-1/(C20*'入力・概要'!$B$24*1E-6))</f>
        <v/>
      </c>
      <c r="N20" s="212">
        <f>IF(B20="","",'入力・概要'!$B$28)</f>
        <v/>
      </c>
      <c r="O20" s="212">
        <f>IF(B20="","",C20*'入力・概要'!$B$29*1E-9-1/(C20*'入力・概要'!$B$27*1E-6))</f>
        <v/>
      </c>
      <c r="P20" s="212">
        <f>IF(B20="","",((L20*N20-M20*O20)*(L20+N20)+(L20*O20+M20*N20)*(M20+O20))/((L20+N20)^2+(M20+O20)^2))</f>
        <v/>
      </c>
      <c r="Q20" s="212">
        <f>IF(B20="","",((L20*O20+M20*N20)*(L20+N20)-(L20*N20-M20*O20)*(M20+O20))/((L20+N20)^2+(M20+O20)^2))</f>
        <v/>
      </c>
      <c r="R20" s="212">
        <f>IF(B20="","",'入力・概要'!$E$15*J20)</f>
        <v/>
      </c>
      <c r="S20" s="212">
        <f>IF(B20="","",'入力・概要'!$E$15*K20)</f>
        <v/>
      </c>
      <c r="T20" s="212">
        <f>IF(B20="","",P20+R20)</f>
        <v/>
      </c>
      <c r="U20" s="212">
        <f>IF(B20="","",Q20+S20)</f>
        <v/>
      </c>
      <c r="V20" s="212">
        <f>IF(B20="","",T20+'入力・概要'!$E$9*F20)</f>
        <v/>
      </c>
      <c r="W20" s="212">
        <f>IF(B20="","",U20+'入力・概要'!$E$9*G20)</f>
        <v/>
      </c>
      <c r="X20" s="212">
        <f>IF(B20="","",'入力・概要'!$E$9+T20*F20-U20*G20)</f>
        <v/>
      </c>
      <c r="Y20" s="212">
        <f>IF(B20="","",T20*G20+U20*F20)</f>
        <v/>
      </c>
      <c r="Z20" s="212">
        <f>IF(B20="","",'入力・概要'!$E$9*(V20*X20+W20*Y20)/(X20^2+Y20^2)+'入力・概要'!$B$36)</f>
        <v/>
      </c>
      <c r="AA20" s="212">
        <f>IF(B20="","",'入力・概要'!$E$9*(W20*X20-V20*Y20)/(X20^2+Y20^2)+C20*'入力・概要'!$B$37*1E-9)</f>
        <v/>
      </c>
      <c r="AB20" s="212">
        <f>IF(B20="","",SQRT(Z20^2+AA20^2))</f>
        <v/>
      </c>
      <c r="AC20" s="212">
        <f>IF(B20="","",IF(Z20&gt;0,DEGREES(ATAN(AA20/Z20)),IF(Z20&lt;0,IF(AA20&gt;=0,DEGREES(ATAN(AA20/Z20))+180,DEGREES(ATAN(AA20/Z20))-180),IF(AA20&gt;0,90,IF(AA20&lt;0,-90,0)))))</f>
        <v/>
      </c>
      <c r="AD20" s="212">
        <f>IF(B20="","",LOG10(B20))</f>
        <v/>
      </c>
      <c r="AE20" s="212">
        <f>IF(AB20="","",LOG10(MAX(AB20,1E-12)))</f>
        <v/>
      </c>
      <c r="AF20" s="212">
        <f>IF(B20="","",SQRT(P20^2+Q20^2))</f>
        <v/>
      </c>
      <c r="AG20" s="212">
        <f>IF(B20="","",SQRT(R20^2+S20^2))</f>
        <v/>
      </c>
    </row>
    <row r="21">
      <c r="A21" s="202" t="n">
        <v>18</v>
      </c>
      <c r="B21" s="213">
        <f>IF(A21&lt;='入力・概要'!$B$40,10^(LOG10('入力・概要'!$B$38)+(A21-1)*(LOG10('入力・概要'!$B$39)-LOG10('入力・概要'!$B$38))/('入力・概要'!$B$40-1)),"")</f>
        <v/>
      </c>
      <c r="C21" s="212">
        <f>IF(B21="","",2*PI()*B21)</f>
        <v/>
      </c>
      <c r="D21" s="212">
        <f>IF(B21="","",ATANH(MIN(0.999999,'入力・概要'!$E$20/'入力・概要'!$E$9))+'入力・概要'!$B$20*SQRT(B21/1E6)+E21*'入力・概要'!$B$15/2)</f>
        <v/>
      </c>
      <c r="E21" s="212">
        <f>IF(B21="","",C21*('入力・概要'!$E$11*1E-9))</f>
        <v/>
      </c>
      <c r="F21" s="212">
        <f>IF(B21="","",SINH(2*D21)/(COSH(2*D21)+COS(2*E21)))</f>
        <v/>
      </c>
      <c r="G21" s="212">
        <f>IF(B21="","",SIN(2*E21)/(COSH(2*D21)+COS(2*E21)))</f>
        <v/>
      </c>
      <c r="H21" s="212">
        <f>IF(B21="","",ATANH(MIN(0.999999,'入力・概要'!$E$21/'入力・概要'!$E$15))+'入力・概要'!$B$21*SQRT(B21/1E6)+I21*'入力・概要'!$B$16/2)</f>
        <v/>
      </c>
      <c r="I21" s="212">
        <f>IF(B21="","",C21*('入力・概要'!$E$17*1E-9))</f>
        <v/>
      </c>
      <c r="J21" s="212">
        <f>IF(B21="","",SINH(2*H21)/(COSH(2*H21)+COS(2*I21)))</f>
        <v/>
      </c>
      <c r="K21" s="212">
        <f>IF(B21="","",SIN(2*I21)/(COSH(2*H21)+COS(2*I21)))</f>
        <v/>
      </c>
      <c r="L21" s="212">
        <f>IF(B21="","",'入力・概要'!$B$25)</f>
        <v/>
      </c>
      <c r="M21" s="212">
        <f>IF(B21="","",C21*'入力・概要'!$B$26*1E-9-1/(C21*'入力・概要'!$B$24*1E-6))</f>
        <v/>
      </c>
      <c r="N21" s="212">
        <f>IF(B21="","",'入力・概要'!$B$28)</f>
        <v/>
      </c>
      <c r="O21" s="212">
        <f>IF(B21="","",C21*'入力・概要'!$B$29*1E-9-1/(C21*'入力・概要'!$B$27*1E-6))</f>
        <v/>
      </c>
      <c r="P21" s="212">
        <f>IF(B21="","",((L21*N21-M21*O21)*(L21+N21)+(L21*O21+M21*N21)*(M21+O21))/((L21+N21)^2+(M21+O21)^2))</f>
        <v/>
      </c>
      <c r="Q21" s="212">
        <f>IF(B21="","",((L21*O21+M21*N21)*(L21+N21)-(L21*N21-M21*O21)*(M21+O21))/((L21+N21)^2+(M21+O21)^2))</f>
        <v/>
      </c>
      <c r="R21" s="212">
        <f>IF(B21="","",'入力・概要'!$E$15*J21)</f>
        <v/>
      </c>
      <c r="S21" s="212">
        <f>IF(B21="","",'入力・概要'!$E$15*K21)</f>
        <v/>
      </c>
      <c r="T21" s="212">
        <f>IF(B21="","",P21+R21)</f>
        <v/>
      </c>
      <c r="U21" s="212">
        <f>IF(B21="","",Q21+S21)</f>
        <v/>
      </c>
      <c r="V21" s="212">
        <f>IF(B21="","",T21+'入力・概要'!$E$9*F21)</f>
        <v/>
      </c>
      <c r="W21" s="212">
        <f>IF(B21="","",U21+'入力・概要'!$E$9*G21)</f>
        <v/>
      </c>
      <c r="X21" s="212">
        <f>IF(B21="","",'入力・概要'!$E$9+T21*F21-U21*G21)</f>
        <v/>
      </c>
      <c r="Y21" s="212">
        <f>IF(B21="","",T21*G21+U21*F21)</f>
        <v/>
      </c>
      <c r="Z21" s="212">
        <f>IF(B21="","",'入力・概要'!$E$9*(V21*X21+W21*Y21)/(X21^2+Y21^2)+'入力・概要'!$B$36)</f>
        <v/>
      </c>
      <c r="AA21" s="212">
        <f>IF(B21="","",'入力・概要'!$E$9*(W21*X21-V21*Y21)/(X21^2+Y21^2)+C21*'入力・概要'!$B$37*1E-9)</f>
        <v/>
      </c>
      <c r="AB21" s="212">
        <f>IF(B21="","",SQRT(Z21^2+AA21^2))</f>
        <v/>
      </c>
      <c r="AC21" s="212">
        <f>IF(B21="","",IF(Z21&gt;0,DEGREES(ATAN(AA21/Z21)),IF(Z21&lt;0,IF(AA21&gt;=0,DEGREES(ATAN(AA21/Z21))+180,DEGREES(ATAN(AA21/Z21))-180),IF(AA21&gt;0,90,IF(AA21&lt;0,-90,0)))))</f>
        <v/>
      </c>
      <c r="AD21" s="212">
        <f>IF(B21="","",LOG10(B21))</f>
        <v/>
      </c>
      <c r="AE21" s="212">
        <f>IF(AB21="","",LOG10(MAX(AB21,1E-12)))</f>
        <v/>
      </c>
      <c r="AF21" s="212">
        <f>IF(B21="","",SQRT(P21^2+Q21^2))</f>
        <v/>
      </c>
      <c r="AG21" s="212">
        <f>IF(B21="","",SQRT(R21^2+S21^2))</f>
        <v/>
      </c>
    </row>
    <row r="22">
      <c r="A22" s="202" t="n">
        <v>19</v>
      </c>
      <c r="B22" s="213">
        <f>IF(A22&lt;='入力・概要'!$B$40,10^(LOG10('入力・概要'!$B$38)+(A22-1)*(LOG10('入力・概要'!$B$39)-LOG10('入力・概要'!$B$38))/('入力・概要'!$B$40-1)),"")</f>
        <v/>
      </c>
      <c r="C22" s="212">
        <f>IF(B22="","",2*PI()*B22)</f>
        <v/>
      </c>
      <c r="D22" s="212">
        <f>IF(B22="","",ATANH(MIN(0.999999,'入力・概要'!$E$20/'入力・概要'!$E$9))+'入力・概要'!$B$20*SQRT(B22/1E6)+E22*'入力・概要'!$B$15/2)</f>
        <v/>
      </c>
      <c r="E22" s="212">
        <f>IF(B22="","",C22*('入力・概要'!$E$11*1E-9))</f>
        <v/>
      </c>
      <c r="F22" s="212">
        <f>IF(B22="","",SINH(2*D22)/(COSH(2*D22)+COS(2*E22)))</f>
        <v/>
      </c>
      <c r="G22" s="212">
        <f>IF(B22="","",SIN(2*E22)/(COSH(2*D22)+COS(2*E22)))</f>
        <v/>
      </c>
      <c r="H22" s="212">
        <f>IF(B22="","",ATANH(MIN(0.999999,'入力・概要'!$E$21/'入力・概要'!$E$15))+'入力・概要'!$B$21*SQRT(B22/1E6)+I22*'入力・概要'!$B$16/2)</f>
        <v/>
      </c>
      <c r="I22" s="212">
        <f>IF(B22="","",C22*('入力・概要'!$E$17*1E-9))</f>
        <v/>
      </c>
      <c r="J22" s="212">
        <f>IF(B22="","",SINH(2*H22)/(COSH(2*H22)+COS(2*I22)))</f>
        <v/>
      </c>
      <c r="K22" s="212">
        <f>IF(B22="","",SIN(2*I22)/(COSH(2*H22)+COS(2*I22)))</f>
        <v/>
      </c>
      <c r="L22" s="212">
        <f>IF(B22="","",'入力・概要'!$B$25)</f>
        <v/>
      </c>
      <c r="M22" s="212">
        <f>IF(B22="","",C22*'入力・概要'!$B$26*1E-9-1/(C22*'入力・概要'!$B$24*1E-6))</f>
        <v/>
      </c>
      <c r="N22" s="212">
        <f>IF(B22="","",'入力・概要'!$B$28)</f>
        <v/>
      </c>
      <c r="O22" s="212">
        <f>IF(B22="","",C22*'入力・概要'!$B$29*1E-9-1/(C22*'入力・概要'!$B$27*1E-6))</f>
        <v/>
      </c>
      <c r="P22" s="212">
        <f>IF(B22="","",((L22*N22-M22*O22)*(L22+N22)+(L22*O22+M22*N22)*(M22+O22))/((L22+N22)^2+(M22+O22)^2))</f>
        <v/>
      </c>
      <c r="Q22" s="212">
        <f>IF(B22="","",((L22*O22+M22*N22)*(L22+N22)-(L22*N22-M22*O22)*(M22+O22))/((L22+N22)^2+(M22+O22)^2))</f>
        <v/>
      </c>
      <c r="R22" s="212">
        <f>IF(B22="","",'入力・概要'!$E$15*J22)</f>
        <v/>
      </c>
      <c r="S22" s="212">
        <f>IF(B22="","",'入力・概要'!$E$15*K22)</f>
        <v/>
      </c>
      <c r="T22" s="212">
        <f>IF(B22="","",P22+R22)</f>
        <v/>
      </c>
      <c r="U22" s="212">
        <f>IF(B22="","",Q22+S22)</f>
        <v/>
      </c>
      <c r="V22" s="212">
        <f>IF(B22="","",T22+'入力・概要'!$E$9*F22)</f>
        <v/>
      </c>
      <c r="W22" s="212">
        <f>IF(B22="","",U22+'入力・概要'!$E$9*G22)</f>
        <v/>
      </c>
      <c r="X22" s="212">
        <f>IF(B22="","",'入力・概要'!$E$9+T22*F22-U22*G22)</f>
        <v/>
      </c>
      <c r="Y22" s="212">
        <f>IF(B22="","",T22*G22+U22*F22)</f>
        <v/>
      </c>
      <c r="Z22" s="212">
        <f>IF(B22="","",'入力・概要'!$E$9*(V22*X22+W22*Y22)/(X22^2+Y22^2)+'入力・概要'!$B$36)</f>
        <v/>
      </c>
      <c r="AA22" s="212">
        <f>IF(B22="","",'入力・概要'!$E$9*(W22*X22-V22*Y22)/(X22^2+Y22^2)+C22*'入力・概要'!$B$37*1E-9)</f>
        <v/>
      </c>
      <c r="AB22" s="212">
        <f>IF(B22="","",SQRT(Z22^2+AA22^2))</f>
        <v/>
      </c>
      <c r="AC22" s="212">
        <f>IF(B22="","",IF(Z22&gt;0,DEGREES(ATAN(AA22/Z22)),IF(Z22&lt;0,IF(AA22&gt;=0,DEGREES(ATAN(AA22/Z22))+180,DEGREES(ATAN(AA22/Z22))-180),IF(AA22&gt;0,90,IF(AA22&lt;0,-90,0)))))</f>
        <v/>
      </c>
      <c r="AD22" s="212">
        <f>IF(B22="","",LOG10(B22))</f>
        <v/>
      </c>
      <c r="AE22" s="212">
        <f>IF(AB22="","",LOG10(MAX(AB22,1E-12)))</f>
        <v/>
      </c>
      <c r="AF22" s="212">
        <f>IF(B22="","",SQRT(P22^2+Q22^2))</f>
        <v/>
      </c>
      <c r="AG22" s="212">
        <f>IF(B22="","",SQRT(R22^2+S22^2))</f>
        <v/>
      </c>
    </row>
    <row r="23">
      <c r="A23" s="202" t="n">
        <v>20</v>
      </c>
      <c r="B23" s="213">
        <f>IF(A23&lt;='入力・概要'!$B$40,10^(LOG10('入力・概要'!$B$38)+(A23-1)*(LOG10('入力・概要'!$B$39)-LOG10('入力・概要'!$B$38))/('入力・概要'!$B$40-1)),"")</f>
        <v/>
      </c>
      <c r="C23" s="212">
        <f>IF(B23="","",2*PI()*B23)</f>
        <v/>
      </c>
      <c r="D23" s="212">
        <f>IF(B23="","",ATANH(MIN(0.999999,'入力・概要'!$E$20/'入力・概要'!$E$9))+'入力・概要'!$B$20*SQRT(B23/1E6)+E23*'入力・概要'!$B$15/2)</f>
        <v/>
      </c>
      <c r="E23" s="212">
        <f>IF(B23="","",C23*('入力・概要'!$E$11*1E-9))</f>
        <v/>
      </c>
      <c r="F23" s="212">
        <f>IF(B23="","",SINH(2*D23)/(COSH(2*D23)+COS(2*E23)))</f>
        <v/>
      </c>
      <c r="G23" s="212">
        <f>IF(B23="","",SIN(2*E23)/(COSH(2*D23)+COS(2*E23)))</f>
        <v/>
      </c>
      <c r="H23" s="212">
        <f>IF(B23="","",ATANH(MIN(0.999999,'入力・概要'!$E$21/'入力・概要'!$E$15))+'入力・概要'!$B$21*SQRT(B23/1E6)+I23*'入力・概要'!$B$16/2)</f>
        <v/>
      </c>
      <c r="I23" s="212">
        <f>IF(B23="","",C23*('入力・概要'!$E$17*1E-9))</f>
        <v/>
      </c>
      <c r="J23" s="212">
        <f>IF(B23="","",SINH(2*H23)/(COSH(2*H23)+COS(2*I23)))</f>
        <v/>
      </c>
      <c r="K23" s="212">
        <f>IF(B23="","",SIN(2*I23)/(COSH(2*H23)+COS(2*I23)))</f>
        <v/>
      </c>
      <c r="L23" s="212">
        <f>IF(B23="","",'入力・概要'!$B$25)</f>
        <v/>
      </c>
      <c r="M23" s="212">
        <f>IF(B23="","",C23*'入力・概要'!$B$26*1E-9-1/(C23*'入力・概要'!$B$24*1E-6))</f>
        <v/>
      </c>
      <c r="N23" s="212">
        <f>IF(B23="","",'入力・概要'!$B$28)</f>
        <v/>
      </c>
      <c r="O23" s="212">
        <f>IF(B23="","",C23*'入力・概要'!$B$29*1E-9-1/(C23*'入力・概要'!$B$27*1E-6))</f>
        <v/>
      </c>
      <c r="P23" s="212">
        <f>IF(B23="","",((L23*N23-M23*O23)*(L23+N23)+(L23*O23+M23*N23)*(M23+O23))/((L23+N23)^2+(M23+O23)^2))</f>
        <v/>
      </c>
      <c r="Q23" s="212">
        <f>IF(B23="","",((L23*O23+M23*N23)*(L23+N23)-(L23*N23-M23*O23)*(M23+O23))/((L23+N23)^2+(M23+O23)^2))</f>
        <v/>
      </c>
      <c r="R23" s="212">
        <f>IF(B23="","",'入力・概要'!$E$15*J23)</f>
        <v/>
      </c>
      <c r="S23" s="212">
        <f>IF(B23="","",'入力・概要'!$E$15*K23)</f>
        <v/>
      </c>
      <c r="T23" s="212">
        <f>IF(B23="","",P23+R23)</f>
        <v/>
      </c>
      <c r="U23" s="212">
        <f>IF(B23="","",Q23+S23)</f>
        <v/>
      </c>
      <c r="V23" s="212">
        <f>IF(B23="","",T23+'入力・概要'!$E$9*F23)</f>
        <v/>
      </c>
      <c r="W23" s="212">
        <f>IF(B23="","",U23+'入力・概要'!$E$9*G23)</f>
        <v/>
      </c>
      <c r="X23" s="212">
        <f>IF(B23="","",'入力・概要'!$E$9+T23*F23-U23*G23)</f>
        <v/>
      </c>
      <c r="Y23" s="212">
        <f>IF(B23="","",T23*G23+U23*F23)</f>
        <v/>
      </c>
      <c r="Z23" s="212">
        <f>IF(B23="","",'入力・概要'!$E$9*(V23*X23+W23*Y23)/(X23^2+Y23^2)+'入力・概要'!$B$36)</f>
        <v/>
      </c>
      <c r="AA23" s="212">
        <f>IF(B23="","",'入力・概要'!$E$9*(W23*X23-V23*Y23)/(X23^2+Y23^2)+C23*'入力・概要'!$B$37*1E-9)</f>
        <v/>
      </c>
      <c r="AB23" s="212">
        <f>IF(B23="","",SQRT(Z23^2+AA23^2))</f>
        <v/>
      </c>
      <c r="AC23" s="212">
        <f>IF(B23="","",IF(Z23&gt;0,DEGREES(ATAN(AA23/Z23)),IF(Z23&lt;0,IF(AA23&gt;=0,DEGREES(ATAN(AA23/Z23))+180,DEGREES(ATAN(AA23/Z23))-180),IF(AA23&gt;0,90,IF(AA23&lt;0,-90,0)))))</f>
        <v/>
      </c>
      <c r="AD23" s="212">
        <f>IF(B23="","",LOG10(B23))</f>
        <v/>
      </c>
      <c r="AE23" s="212">
        <f>IF(AB23="","",LOG10(MAX(AB23,1E-12)))</f>
        <v/>
      </c>
      <c r="AF23" s="212">
        <f>IF(B23="","",SQRT(P23^2+Q23^2))</f>
        <v/>
      </c>
      <c r="AG23" s="212">
        <f>IF(B23="","",SQRT(R23^2+S23^2))</f>
        <v/>
      </c>
    </row>
    <row r="24">
      <c r="A24" s="202" t="n">
        <v>21</v>
      </c>
      <c r="B24" s="213">
        <f>IF(A24&lt;='入力・概要'!$B$40,10^(LOG10('入力・概要'!$B$38)+(A24-1)*(LOG10('入力・概要'!$B$39)-LOG10('入力・概要'!$B$38))/('入力・概要'!$B$40-1)),"")</f>
        <v/>
      </c>
      <c r="C24" s="212">
        <f>IF(B24="","",2*PI()*B24)</f>
        <v/>
      </c>
      <c r="D24" s="212">
        <f>IF(B24="","",ATANH(MIN(0.999999,'入力・概要'!$E$20/'入力・概要'!$E$9))+'入力・概要'!$B$20*SQRT(B24/1E6)+E24*'入力・概要'!$B$15/2)</f>
        <v/>
      </c>
      <c r="E24" s="212">
        <f>IF(B24="","",C24*('入力・概要'!$E$11*1E-9))</f>
        <v/>
      </c>
      <c r="F24" s="212">
        <f>IF(B24="","",SINH(2*D24)/(COSH(2*D24)+COS(2*E24)))</f>
        <v/>
      </c>
      <c r="G24" s="212">
        <f>IF(B24="","",SIN(2*E24)/(COSH(2*D24)+COS(2*E24)))</f>
        <v/>
      </c>
      <c r="H24" s="212">
        <f>IF(B24="","",ATANH(MIN(0.999999,'入力・概要'!$E$21/'入力・概要'!$E$15))+'入力・概要'!$B$21*SQRT(B24/1E6)+I24*'入力・概要'!$B$16/2)</f>
        <v/>
      </c>
      <c r="I24" s="212">
        <f>IF(B24="","",C24*('入力・概要'!$E$17*1E-9))</f>
        <v/>
      </c>
      <c r="J24" s="212">
        <f>IF(B24="","",SINH(2*H24)/(COSH(2*H24)+COS(2*I24)))</f>
        <v/>
      </c>
      <c r="K24" s="212">
        <f>IF(B24="","",SIN(2*I24)/(COSH(2*H24)+COS(2*I24)))</f>
        <v/>
      </c>
      <c r="L24" s="212">
        <f>IF(B24="","",'入力・概要'!$B$25)</f>
        <v/>
      </c>
      <c r="M24" s="212">
        <f>IF(B24="","",C24*'入力・概要'!$B$26*1E-9-1/(C24*'入力・概要'!$B$24*1E-6))</f>
        <v/>
      </c>
      <c r="N24" s="212">
        <f>IF(B24="","",'入力・概要'!$B$28)</f>
        <v/>
      </c>
      <c r="O24" s="212">
        <f>IF(B24="","",C24*'入力・概要'!$B$29*1E-9-1/(C24*'入力・概要'!$B$27*1E-6))</f>
        <v/>
      </c>
      <c r="P24" s="212">
        <f>IF(B24="","",((L24*N24-M24*O24)*(L24+N24)+(L24*O24+M24*N24)*(M24+O24))/((L24+N24)^2+(M24+O24)^2))</f>
        <v/>
      </c>
      <c r="Q24" s="212">
        <f>IF(B24="","",((L24*O24+M24*N24)*(L24+N24)-(L24*N24-M24*O24)*(M24+O24))/((L24+N24)^2+(M24+O24)^2))</f>
        <v/>
      </c>
      <c r="R24" s="212">
        <f>IF(B24="","",'入力・概要'!$E$15*J24)</f>
        <v/>
      </c>
      <c r="S24" s="212">
        <f>IF(B24="","",'入力・概要'!$E$15*K24)</f>
        <v/>
      </c>
      <c r="T24" s="212">
        <f>IF(B24="","",P24+R24)</f>
        <v/>
      </c>
      <c r="U24" s="212">
        <f>IF(B24="","",Q24+S24)</f>
        <v/>
      </c>
      <c r="V24" s="212">
        <f>IF(B24="","",T24+'入力・概要'!$E$9*F24)</f>
        <v/>
      </c>
      <c r="W24" s="212">
        <f>IF(B24="","",U24+'入力・概要'!$E$9*G24)</f>
        <v/>
      </c>
      <c r="X24" s="212">
        <f>IF(B24="","",'入力・概要'!$E$9+T24*F24-U24*G24)</f>
        <v/>
      </c>
      <c r="Y24" s="212">
        <f>IF(B24="","",T24*G24+U24*F24)</f>
        <v/>
      </c>
      <c r="Z24" s="212">
        <f>IF(B24="","",'入力・概要'!$E$9*(V24*X24+W24*Y24)/(X24^2+Y24^2)+'入力・概要'!$B$36)</f>
        <v/>
      </c>
      <c r="AA24" s="212">
        <f>IF(B24="","",'入力・概要'!$E$9*(W24*X24-V24*Y24)/(X24^2+Y24^2)+C24*'入力・概要'!$B$37*1E-9)</f>
        <v/>
      </c>
      <c r="AB24" s="212">
        <f>IF(B24="","",SQRT(Z24^2+AA24^2))</f>
        <v/>
      </c>
      <c r="AC24" s="212">
        <f>IF(B24="","",IF(Z24&gt;0,DEGREES(ATAN(AA24/Z24)),IF(Z24&lt;0,IF(AA24&gt;=0,DEGREES(ATAN(AA24/Z24))+180,DEGREES(ATAN(AA24/Z24))-180),IF(AA24&gt;0,90,IF(AA24&lt;0,-90,0)))))</f>
        <v/>
      </c>
      <c r="AD24" s="212">
        <f>IF(B24="","",LOG10(B24))</f>
        <v/>
      </c>
      <c r="AE24" s="212">
        <f>IF(AB24="","",LOG10(MAX(AB24,1E-12)))</f>
        <v/>
      </c>
      <c r="AF24" s="212">
        <f>IF(B24="","",SQRT(P24^2+Q24^2))</f>
        <v/>
      </c>
      <c r="AG24" s="212">
        <f>IF(B24="","",SQRT(R24^2+S24^2))</f>
        <v/>
      </c>
    </row>
    <row r="25">
      <c r="A25" s="202" t="n">
        <v>22</v>
      </c>
      <c r="B25" s="213">
        <f>IF(A25&lt;='入力・概要'!$B$40,10^(LOG10('入力・概要'!$B$38)+(A25-1)*(LOG10('入力・概要'!$B$39)-LOG10('入力・概要'!$B$38))/('入力・概要'!$B$40-1)),"")</f>
        <v/>
      </c>
      <c r="C25" s="212">
        <f>IF(B25="","",2*PI()*B25)</f>
        <v/>
      </c>
      <c r="D25" s="212">
        <f>IF(B25="","",ATANH(MIN(0.999999,'入力・概要'!$E$20/'入力・概要'!$E$9))+'入力・概要'!$B$20*SQRT(B25/1E6)+E25*'入力・概要'!$B$15/2)</f>
        <v/>
      </c>
      <c r="E25" s="212">
        <f>IF(B25="","",C25*('入力・概要'!$E$11*1E-9))</f>
        <v/>
      </c>
      <c r="F25" s="212">
        <f>IF(B25="","",SINH(2*D25)/(COSH(2*D25)+COS(2*E25)))</f>
        <v/>
      </c>
      <c r="G25" s="212">
        <f>IF(B25="","",SIN(2*E25)/(COSH(2*D25)+COS(2*E25)))</f>
        <v/>
      </c>
      <c r="H25" s="212">
        <f>IF(B25="","",ATANH(MIN(0.999999,'入力・概要'!$E$21/'入力・概要'!$E$15))+'入力・概要'!$B$21*SQRT(B25/1E6)+I25*'入力・概要'!$B$16/2)</f>
        <v/>
      </c>
      <c r="I25" s="212">
        <f>IF(B25="","",C25*('入力・概要'!$E$17*1E-9))</f>
        <v/>
      </c>
      <c r="J25" s="212">
        <f>IF(B25="","",SINH(2*H25)/(COSH(2*H25)+COS(2*I25)))</f>
        <v/>
      </c>
      <c r="K25" s="212">
        <f>IF(B25="","",SIN(2*I25)/(COSH(2*H25)+COS(2*I25)))</f>
        <v/>
      </c>
      <c r="L25" s="212">
        <f>IF(B25="","",'入力・概要'!$B$25)</f>
        <v/>
      </c>
      <c r="M25" s="212">
        <f>IF(B25="","",C25*'入力・概要'!$B$26*1E-9-1/(C25*'入力・概要'!$B$24*1E-6))</f>
        <v/>
      </c>
      <c r="N25" s="212">
        <f>IF(B25="","",'入力・概要'!$B$28)</f>
        <v/>
      </c>
      <c r="O25" s="212">
        <f>IF(B25="","",C25*'入力・概要'!$B$29*1E-9-1/(C25*'入力・概要'!$B$27*1E-6))</f>
        <v/>
      </c>
      <c r="P25" s="212">
        <f>IF(B25="","",((L25*N25-M25*O25)*(L25+N25)+(L25*O25+M25*N25)*(M25+O25))/((L25+N25)^2+(M25+O25)^2))</f>
        <v/>
      </c>
      <c r="Q25" s="212">
        <f>IF(B25="","",((L25*O25+M25*N25)*(L25+N25)-(L25*N25-M25*O25)*(M25+O25))/((L25+N25)^2+(M25+O25)^2))</f>
        <v/>
      </c>
      <c r="R25" s="212">
        <f>IF(B25="","",'入力・概要'!$E$15*J25)</f>
        <v/>
      </c>
      <c r="S25" s="212">
        <f>IF(B25="","",'入力・概要'!$E$15*K25)</f>
        <v/>
      </c>
      <c r="T25" s="212">
        <f>IF(B25="","",P25+R25)</f>
        <v/>
      </c>
      <c r="U25" s="212">
        <f>IF(B25="","",Q25+S25)</f>
        <v/>
      </c>
      <c r="V25" s="212">
        <f>IF(B25="","",T25+'入力・概要'!$E$9*F25)</f>
        <v/>
      </c>
      <c r="W25" s="212">
        <f>IF(B25="","",U25+'入力・概要'!$E$9*G25)</f>
        <v/>
      </c>
      <c r="X25" s="212">
        <f>IF(B25="","",'入力・概要'!$E$9+T25*F25-U25*G25)</f>
        <v/>
      </c>
      <c r="Y25" s="212">
        <f>IF(B25="","",T25*G25+U25*F25)</f>
        <v/>
      </c>
      <c r="Z25" s="212">
        <f>IF(B25="","",'入力・概要'!$E$9*(V25*X25+W25*Y25)/(X25^2+Y25^2)+'入力・概要'!$B$36)</f>
        <v/>
      </c>
      <c r="AA25" s="212">
        <f>IF(B25="","",'入力・概要'!$E$9*(W25*X25-V25*Y25)/(X25^2+Y25^2)+C25*'入力・概要'!$B$37*1E-9)</f>
        <v/>
      </c>
      <c r="AB25" s="212">
        <f>IF(B25="","",SQRT(Z25^2+AA25^2))</f>
        <v/>
      </c>
      <c r="AC25" s="212">
        <f>IF(B25="","",IF(Z25&gt;0,DEGREES(ATAN(AA25/Z25)),IF(Z25&lt;0,IF(AA25&gt;=0,DEGREES(ATAN(AA25/Z25))+180,DEGREES(ATAN(AA25/Z25))-180),IF(AA25&gt;0,90,IF(AA25&lt;0,-90,0)))))</f>
        <v/>
      </c>
      <c r="AD25" s="212">
        <f>IF(B25="","",LOG10(B25))</f>
        <v/>
      </c>
      <c r="AE25" s="212">
        <f>IF(AB25="","",LOG10(MAX(AB25,1E-12)))</f>
        <v/>
      </c>
      <c r="AF25" s="212">
        <f>IF(B25="","",SQRT(P25^2+Q25^2))</f>
        <v/>
      </c>
      <c r="AG25" s="212">
        <f>IF(B25="","",SQRT(R25^2+S25^2))</f>
        <v/>
      </c>
    </row>
    <row r="26">
      <c r="A26" s="202" t="n">
        <v>23</v>
      </c>
      <c r="B26" s="213">
        <f>IF(A26&lt;='入力・概要'!$B$40,10^(LOG10('入力・概要'!$B$38)+(A26-1)*(LOG10('入力・概要'!$B$39)-LOG10('入力・概要'!$B$38))/('入力・概要'!$B$40-1)),"")</f>
        <v/>
      </c>
      <c r="C26" s="212">
        <f>IF(B26="","",2*PI()*B26)</f>
        <v/>
      </c>
      <c r="D26" s="212">
        <f>IF(B26="","",ATANH(MIN(0.999999,'入力・概要'!$E$20/'入力・概要'!$E$9))+'入力・概要'!$B$20*SQRT(B26/1E6)+E26*'入力・概要'!$B$15/2)</f>
        <v/>
      </c>
      <c r="E26" s="212">
        <f>IF(B26="","",C26*('入力・概要'!$E$11*1E-9))</f>
        <v/>
      </c>
      <c r="F26" s="212">
        <f>IF(B26="","",SINH(2*D26)/(COSH(2*D26)+COS(2*E26)))</f>
        <v/>
      </c>
      <c r="G26" s="212">
        <f>IF(B26="","",SIN(2*E26)/(COSH(2*D26)+COS(2*E26)))</f>
        <v/>
      </c>
      <c r="H26" s="212">
        <f>IF(B26="","",ATANH(MIN(0.999999,'入力・概要'!$E$21/'入力・概要'!$E$15))+'入力・概要'!$B$21*SQRT(B26/1E6)+I26*'入力・概要'!$B$16/2)</f>
        <v/>
      </c>
      <c r="I26" s="212">
        <f>IF(B26="","",C26*('入力・概要'!$E$17*1E-9))</f>
        <v/>
      </c>
      <c r="J26" s="212">
        <f>IF(B26="","",SINH(2*H26)/(COSH(2*H26)+COS(2*I26)))</f>
        <v/>
      </c>
      <c r="K26" s="212">
        <f>IF(B26="","",SIN(2*I26)/(COSH(2*H26)+COS(2*I26)))</f>
        <v/>
      </c>
      <c r="L26" s="212">
        <f>IF(B26="","",'入力・概要'!$B$25)</f>
        <v/>
      </c>
      <c r="M26" s="212">
        <f>IF(B26="","",C26*'入力・概要'!$B$26*1E-9-1/(C26*'入力・概要'!$B$24*1E-6))</f>
        <v/>
      </c>
      <c r="N26" s="212">
        <f>IF(B26="","",'入力・概要'!$B$28)</f>
        <v/>
      </c>
      <c r="O26" s="212">
        <f>IF(B26="","",C26*'入力・概要'!$B$29*1E-9-1/(C26*'入力・概要'!$B$27*1E-6))</f>
        <v/>
      </c>
      <c r="P26" s="212">
        <f>IF(B26="","",((L26*N26-M26*O26)*(L26+N26)+(L26*O26+M26*N26)*(M26+O26))/((L26+N26)^2+(M26+O26)^2))</f>
        <v/>
      </c>
      <c r="Q26" s="212">
        <f>IF(B26="","",((L26*O26+M26*N26)*(L26+N26)-(L26*N26-M26*O26)*(M26+O26))/((L26+N26)^2+(M26+O26)^2))</f>
        <v/>
      </c>
      <c r="R26" s="212">
        <f>IF(B26="","",'入力・概要'!$E$15*J26)</f>
        <v/>
      </c>
      <c r="S26" s="212">
        <f>IF(B26="","",'入力・概要'!$E$15*K26)</f>
        <v/>
      </c>
      <c r="T26" s="212">
        <f>IF(B26="","",P26+R26)</f>
        <v/>
      </c>
      <c r="U26" s="212">
        <f>IF(B26="","",Q26+S26)</f>
        <v/>
      </c>
      <c r="V26" s="212">
        <f>IF(B26="","",T26+'入力・概要'!$E$9*F26)</f>
        <v/>
      </c>
      <c r="W26" s="212">
        <f>IF(B26="","",U26+'入力・概要'!$E$9*G26)</f>
        <v/>
      </c>
      <c r="X26" s="212">
        <f>IF(B26="","",'入力・概要'!$E$9+T26*F26-U26*G26)</f>
        <v/>
      </c>
      <c r="Y26" s="212">
        <f>IF(B26="","",T26*G26+U26*F26)</f>
        <v/>
      </c>
      <c r="Z26" s="212">
        <f>IF(B26="","",'入力・概要'!$E$9*(V26*X26+W26*Y26)/(X26^2+Y26^2)+'入力・概要'!$B$36)</f>
        <v/>
      </c>
      <c r="AA26" s="212">
        <f>IF(B26="","",'入力・概要'!$E$9*(W26*X26-V26*Y26)/(X26^2+Y26^2)+C26*'入力・概要'!$B$37*1E-9)</f>
        <v/>
      </c>
      <c r="AB26" s="212">
        <f>IF(B26="","",SQRT(Z26^2+AA26^2))</f>
        <v/>
      </c>
      <c r="AC26" s="212">
        <f>IF(B26="","",IF(Z26&gt;0,DEGREES(ATAN(AA26/Z26)),IF(Z26&lt;0,IF(AA26&gt;=0,DEGREES(ATAN(AA26/Z26))+180,DEGREES(ATAN(AA26/Z26))-180),IF(AA26&gt;0,90,IF(AA26&lt;0,-90,0)))))</f>
        <v/>
      </c>
      <c r="AD26" s="212">
        <f>IF(B26="","",LOG10(B26))</f>
        <v/>
      </c>
      <c r="AE26" s="212">
        <f>IF(AB26="","",LOG10(MAX(AB26,1E-12)))</f>
        <v/>
      </c>
      <c r="AF26" s="212">
        <f>IF(B26="","",SQRT(P26^2+Q26^2))</f>
        <v/>
      </c>
      <c r="AG26" s="212">
        <f>IF(B26="","",SQRT(R26^2+S26^2))</f>
        <v/>
      </c>
    </row>
    <row r="27">
      <c r="A27" s="202" t="n">
        <v>24</v>
      </c>
      <c r="B27" s="213">
        <f>IF(A27&lt;='入力・概要'!$B$40,10^(LOG10('入力・概要'!$B$38)+(A27-1)*(LOG10('入力・概要'!$B$39)-LOG10('入力・概要'!$B$38))/('入力・概要'!$B$40-1)),"")</f>
        <v/>
      </c>
      <c r="C27" s="212">
        <f>IF(B27="","",2*PI()*B27)</f>
        <v/>
      </c>
      <c r="D27" s="212">
        <f>IF(B27="","",ATANH(MIN(0.999999,'入力・概要'!$E$20/'入力・概要'!$E$9))+'入力・概要'!$B$20*SQRT(B27/1E6)+E27*'入力・概要'!$B$15/2)</f>
        <v/>
      </c>
      <c r="E27" s="212">
        <f>IF(B27="","",C27*('入力・概要'!$E$11*1E-9))</f>
        <v/>
      </c>
      <c r="F27" s="212">
        <f>IF(B27="","",SINH(2*D27)/(COSH(2*D27)+COS(2*E27)))</f>
        <v/>
      </c>
      <c r="G27" s="212">
        <f>IF(B27="","",SIN(2*E27)/(COSH(2*D27)+COS(2*E27)))</f>
        <v/>
      </c>
      <c r="H27" s="212">
        <f>IF(B27="","",ATANH(MIN(0.999999,'入力・概要'!$E$21/'入力・概要'!$E$15))+'入力・概要'!$B$21*SQRT(B27/1E6)+I27*'入力・概要'!$B$16/2)</f>
        <v/>
      </c>
      <c r="I27" s="212">
        <f>IF(B27="","",C27*('入力・概要'!$E$17*1E-9))</f>
        <v/>
      </c>
      <c r="J27" s="212">
        <f>IF(B27="","",SINH(2*H27)/(COSH(2*H27)+COS(2*I27)))</f>
        <v/>
      </c>
      <c r="K27" s="212">
        <f>IF(B27="","",SIN(2*I27)/(COSH(2*H27)+COS(2*I27)))</f>
        <v/>
      </c>
      <c r="L27" s="212">
        <f>IF(B27="","",'入力・概要'!$B$25)</f>
        <v/>
      </c>
      <c r="M27" s="212">
        <f>IF(B27="","",C27*'入力・概要'!$B$26*1E-9-1/(C27*'入力・概要'!$B$24*1E-6))</f>
        <v/>
      </c>
      <c r="N27" s="212">
        <f>IF(B27="","",'入力・概要'!$B$28)</f>
        <v/>
      </c>
      <c r="O27" s="212">
        <f>IF(B27="","",C27*'入力・概要'!$B$29*1E-9-1/(C27*'入力・概要'!$B$27*1E-6))</f>
        <v/>
      </c>
      <c r="P27" s="212">
        <f>IF(B27="","",((L27*N27-M27*O27)*(L27+N27)+(L27*O27+M27*N27)*(M27+O27))/((L27+N27)^2+(M27+O27)^2))</f>
        <v/>
      </c>
      <c r="Q27" s="212">
        <f>IF(B27="","",((L27*O27+M27*N27)*(L27+N27)-(L27*N27-M27*O27)*(M27+O27))/((L27+N27)^2+(M27+O27)^2))</f>
        <v/>
      </c>
      <c r="R27" s="212">
        <f>IF(B27="","",'入力・概要'!$E$15*J27)</f>
        <v/>
      </c>
      <c r="S27" s="212">
        <f>IF(B27="","",'入力・概要'!$E$15*K27)</f>
        <v/>
      </c>
      <c r="T27" s="212">
        <f>IF(B27="","",P27+R27)</f>
        <v/>
      </c>
      <c r="U27" s="212">
        <f>IF(B27="","",Q27+S27)</f>
        <v/>
      </c>
      <c r="V27" s="212">
        <f>IF(B27="","",T27+'入力・概要'!$E$9*F27)</f>
        <v/>
      </c>
      <c r="W27" s="212">
        <f>IF(B27="","",U27+'入力・概要'!$E$9*G27)</f>
        <v/>
      </c>
      <c r="X27" s="212">
        <f>IF(B27="","",'入力・概要'!$E$9+T27*F27-U27*G27)</f>
        <v/>
      </c>
      <c r="Y27" s="212">
        <f>IF(B27="","",T27*G27+U27*F27)</f>
        <v/>
      </c>
      <c r="Z27" s="212">
        <f>IF(B27="","",'入力・概要'!$E$9*(V27*X27+W27*Y27)/(X27^2+Y27^2)+'入力・概要'!$B$36)</f>
        <v/>
      </c>
      <c r="AA27" s="212">
        <f>IF(B27="","",'入力・概要'!$E$9*(W27*X27-V27*Y27)/(X27^2+Y27^2)+C27*'入力・概要'!$B$37*1E-9)</f>
        <v/>
      </c>
      <c r="AB27" s="212">
        <f>IF(B27="","",SQRT(Z27^2+AA27^2))</f>
        <v/>
      </c>
      <c r="AC27" s="212">
        <f>IF(B27="","",IF(Z27&gt;0,DEGREES(ATAN(AA27/Z27)),IF(Z27&lt;0,IF(AA27&gt;=0,DEGREES(ATAN(AA27/Z27))+180,DEGREES(ATAN(AA27/Z27))-180),IF(AA27&gt;0,90,IF(AA27&lt;0,-90,0)))))</f>
        <v/>
      </c>
      <c r="AD27" s="212">
        <f>IF(B27="","",LOG10(B27))</f>
        <v/>
      </c>
      <c r="AE27" s="212">
        <f>IF(AB27="","",LOG10(MAX(AB27,1E-12)))</f>
        <v/>
      </c>
      <c r="AF27" s="212">
        <f>IF(B27="","",SQRT(P27^2+Q27^2))</f>
        <v/>
      </c>
      <c r="AG27" s="212">
        <f>IF(B27="","",SQRT(R27^2+S27^2))</f>
        <v/>
      </c>
    </row>
    <row r="28">
      <c r="A28" s="202" t="n">
        <v>25</v>
      </c>
      <c r="B28" s="213">
        <f>IF(A28&lt;='入力・概要'!$B$40,10^(LOG10('入力・概要'!$B$38)+(A28-1)*(LOG10('入力・概要'!$B$39)-LOG10('入力・概要'!$B$38))/('入力・概要'!$B$40-1)),"")</f>
        <v/>
      </c>
      <c r="C28" s="212">
        <f>IF(B28="","",2*PI()*B28)</f>
        <v/>
      </c>
      <c r="D28" s="212">
        <f>IF(B28="","",ATANH(MIN(0.999999,'入力・概要'!$E$20/'入力・概要'!$E$9))+'入力・概要'!$B$20*SQRT(B28/1E6)+E28*'入力・概要'!$B$15/2)</f>
        <v/>
      </c>
      <c r="E28" s="212">
        <f>IF(B28="","",C28*('入力・概要'!$E$11*1E-9))</f>
        <v/>
      </c>
      <c r="F28" s="212">
        <f>IF(B28="","",SINH(2*D28)/(COSH(2*D28)+COS(2*E28)))</f>
        <v/>
      </c>
      <c r="G28" s="212">
        <f>IF(B28="","",SIN(2*E28)/(COSH(2*D28)+COS(2*E28)))</f>
        <v/>
      </c>
      <c r="H28" s="212">
        <f>IF(B28="","",ATANH(MIN(0.999999,'入力・概要'!$E$21/'入力・概要'!$E$15))+'入力・概要'!$B$21*SQRT(B28/1E6)+I28*'入力・概要'!$B$16/2)</f>
        <v/>
      </c>
      <c r="I28" s="212">
        <f>IF(B28="","",C28*('入力・概要'!$E$17*1E-9))</f>
        <v/>
      </c>
      <c r="J28" s="212">
        <f>IF(B28="","",SINH(2*H28)/(COSH(2*H28)+COS(2*I28)))</f>
        <v/>
      </c>
      <c r="K28" s="212">
        <f>IF(B28="","",SIN(2*I28)/(COSH(2*H28)+COS(2*I28)))</f>
        <v/>
      </c>
      <c r="L28" s="212">
        <f>IF(B28="","",'入力・概要'!$B$25)</f>
        <v/>
      </c>
      <c r="M28" s="212">
        <f>IF(B28="","",C28*'入力・概要'!$B$26*1E-9-1/(C28*'入力・概要'!$B$24*1E-6))</f>
        <v/>
      </c>
      <c r="N28" s="212">
        <f>IF(B28="","",'入力・概要'!$B$28)</f>
        <v/>
      </c>
      <c r="O28" s="212">
        <f>IF(B28="","",C28*'入力・概要'!$B$29*1E-9-1/(C28*'入力・概要'!$B$27*1E-6))</f>
        <v/>
      </c>
      <c r="P28" s="212">
        <f>IF(B28="","",((L28*N28-M28*O28)*(L28+N28)+(L28*O28+M28*N28)*(M28+O28))/((L28+N28)^2+(M28+O28)^2))</f>
        <v/>
      </c>
      <c r="Q28" s="212">
        <f>IF(B28="","",((L28*O28+M28*N28)*(L28+N28)-(L28*N28-M28*O28)*(M28+O28))/((L28+N28)^2+(M28+O28)^2))</f>
        <v/>
      </c>
      <c r="R28" s="212">
        <f>IF(B28="","",'入力・概要'!$E$15*J28)</f>
        <v/>
      </c>
      <c r="S28" s="212">
        <f>IF(B28="","",'入力・概要'!$E$15*K28)</f>
        <v/>
      </c>
      <c r="T28" s="212">
        <f>IF(B28="","",P28+R28)</f>
        <v/>
      </c>
      <c r="U28" s="212">
        <f>IF(B28="","",Q28+S28)</f>
        <v/>
      </c>
      <c r="V28" s="212">
        <f>IF(B28="","",T28+'入力・概要'!$E$9*F28)</f>
        <v/>
      </c>
      <c r="W28" s="212">
        <f>IF(B28="","",U28+'入力・概要'!$E$9*G28)</f>
        <v/>
      </c>
      <c r="X28" s="212">
        <f>IF(B28="","",'入力・概要'!$E$9+T28*F28-U28*G28)</f>
        <v/>
      </c>
      <c r="Y28" s="212">
        <f>IF(B28="","",T28*G28+U28*F28)</f>
        <v/>
      </c>
      <c r="Z28" s="212">
        <f>IF(B28="","",'入力・概要'!$E$9*(V28*X28+W28*Y28)/(X28^2+Y28^2)+'入力・概要'!$B$36)</f>
        <v/>
      </c>
      <c r="AA28" s="212">
        <f>IF(B28="","",'入力・概要'!$E$9*(W28*X28-V28*Y28)/(X28^2+Y28^2)+C28*'入力・概要'!$B$37*1E-9)</f>
        <v/>
      </c>
      <c r="AB28" s="212">
        <f>IF(B28="","",SQRT(Z28^2+AA28^2))</f>
        <v/>
      </c>
      <c r="AC28" s="212">
        <f>IF(B28="","",IF(Z28&gt;0,DEGREES(ATAN(AA28/Z28)),IF(Z28&lt;0,IF(AA28&gt;=0,DEGREES(ATAN(AA28/Z28))+180,DEGREES(ATAN(AA28/Z28))-180),IF(AA28&gt;0,90,IF(AA28&lt;0,-90,0)))))</f>
        <v/>
      </c>
      <c r="AD28" s="212">
        <f>IF(B28="","",LOG10(B28))</f>
        <v/>
      </c>
      <c r="AE28" s="212">
        <f>IF(AB28="","",LOG10(MAX(AB28,1E-12)))</f>
        <v/>
      </c>
      <c r="AF28" s="212">
        <f>IF(B28="","",SQRT(P28^2+Q28^2))</f>
        <v/>
      </c>
      <c r="AG28" s="212">
        <f>IF(B28="","",SQRT(R28^2+S28^2))</f>
        <v/>
      </c>
    </row>
    <row r="29">
      <c r="A29" s="202" t="n">
        <v>26</v>
      </c>
      <c r="B29" s="213">
        <f>IF(A29&lt;='入力・概要'!$B$40,10^(LOG10('入力・概要'!$B$38)+(A29-1)*(LOG10('入力・概要'!$B$39)-LOG10('入力・概要'!$B$38))/('入力・概要'!$B$40-1)),"")</f>
        <v/>
      </c>
      <c r="C29" s="212">
        <f>IF(B29="","",2*PI()*B29)</f>
        <v/>
      </c>
      <c r="D29" s="212">
        <f>IF(B29="","",ATANH(MIN(0.999999,'入力・概要'!$E$20/'入力・概要'!$E$9))+'入力・概要'!$B$20*SQRT(B29/1E6)+E29*'入力・概要'!$B$15/2)</f>
        <v/>
      </c>
      <c r="E29" s="212">
        <f>IF(B29="","",C29*('入力・概要'!$E$11*1E-9))</f>
        <v/>
      </c>
      <c r="F29" s="212">
        <f>IF(B29="","",SINH(2*D29)/(COSH(2*D29)+COS(2*E29)))</f>
        <v/>
      </c>
      <c r="G29" s="212">
        <f>IF(B29="","",SIN(2*E29)/(COSH(2*D29)+COS(2*E29)))</f>
        <v/>
      </c>
      <c r="H29" s="212">
        <f>IF(B29="","",ATANH(MIN(0.999999,'入力・概要'!$E$21/'入力・概要'!$E$15))+'入力・概要'!$B$21*SQRT(B29/1E6)+I29*'入力・概要'!$B$16/2)</f>
        <v/>
      </c>
      <c r="I29" s="212">
        <f>IF(B29="","",C29*('入力・概要'!$E$17*1E-9))</f>
        <v/>
      </c>
      <c r="J29" s="212">
        <f>IF(B29="","",SINH(2*H29)/(COSH(2*H29)+COS(2*I29)))</f>
        <v/>
      </c>
      <c r="K29" s="212">
        <f>IF(B29="","",SIN(2*I29)/(COSH(2*H29)+COS(2*I29)))</f>
        <v/>
      </c>
      <c r="L29" s="212">
        <f>IF(B29="","",'入力・概要'!$B$25)</f>
        <v/>
      </c>
      <c r="M29" s="212">
        <f>IF(B29="","",C29*'入力・概要'!$B$26*1E-9-1/(C29*'入力・概要'!$B$24*1E-6))</f>
        <v/>
      </c>
      <c r="N29" s="212">
        <f>IF(B29="","",'入力・概要'!$B$28)</f>
        <v/>
      </c>
      <c r="O29" s="212">
        <f>IF(B29="","",C29*'入力・概要'!$B$29*1E-9-1/(C29*'入力・概要'!$B$27*1E-6))</f>
        <v/>
      </c>
      <c r="P29" s="212">
        <f>IF(B29="","",((L29*N29-M29*O29)*(L29+N29)+(L29*O29+M29*N29)*(M29+O29))/((L29+N29)^2+(M29+O29)^2))</f>
        <v/>
      </c>
      <c r="Q29" s="212">
        <f>IF(B29="","",((L29*O29+M29*N29)*(L29+N29)-(L29*N29-M29*O29)*(M29+O29))/((L29+N29)^2+(M29+O29)^2))</f>
        <v/>
      </c>
      <c r="R29" s="212">
        <f>IF(B29="","",'入力・概要'!$E$15*J29)</f>
        <v/>
      </c>
      <c r="S29" s="212">
        <f>IF(B29="","",'入力・概要'!$E$15*K29)</f>
        <v/>
      </c>
      <c r="T29" s="212">
        <f>IF(B29="","",P29+R29)</f>
        <v/>
      </c>
      <c r="U29" s="212">
        <f>IF(B29="","",Q29+S29)</f>
        <v/>
      </c>
      <c r="V29" s="212">
        <f>IF(B29="","",T29+'入力・概要'!$E$9*F29)</f>
        <v/>
      </c>
      <c r="W29" s="212">
        <f>IF(B29="","",U29+'入力・概要'!$E$9*G29)</f>
        <v/>
      </c>
      <c r="X29" s="212">
        <f>IF(B29="","",'入力・概要'!$E$9+T29*F29-U29*G29)</f>
        <v/>
      </c>
      <c r="Y29" s="212">
        <f>IF(B29="","",T29*G29+U29*F29)</f>
        <v/>
      </c>
      <c r="Z29" s="212">
        <f>IF(B29="","",'入力・概要'!$E$9*(V29*X29+W29*Y29)/(X29^2+Y29^2)+'入力・概要'!$B$36)</f>
        <v/>
      </c>
      <c r="AA29" s="212">
        <f>IF(B29="","",'入力・概要'!$E$9*(W29*X29-V29*Y29)/(X29^2+Y29^2)+C29*'入力・概要'!$B$37*1E-9)</f>
        <v/>
      </c>
      <c r="AB29" s="212">
        <f>IF(B29="","",SQRT(Z29^2+AA29^2))</f>
        <v/>
      </c>
      <c r="AC29" s="212">
        <f>IF(B29="","",IF(Z29&gt;0,DEGREES(ATAN(AA29/Z29)),IF(Z29&lt;0,IF(AA29&gt;=0,DEGREES(ATAN(AA29/Z29))+180,DEGREES(ATAN(AA29/Z29))-180),IF(AA29&gt;0,90,IF(AA29&lt;0,-90,0)))))</f>
        <v/>
      </c>
      <c r="AD29" s="212">
        <f>IF(B29="","",LOG10(B29))</f>
        <v/>
      </c>
      <c r="AE29" s="212">
        <f>IF(AB29="","",LOG10(MAX(AB29,1E-12)))</f>
        <v/>
      </c>
      <c r="AF29" s="212">
        <f>IF(B29="","",SQRT(P29^2+Q29^2))</f>
        <v/>
      </c>
      <c r="AG29" s="212">
        <f>IF(B29="","",SQRT(R29^2+S29^2))</f>
        <v/>
      </c>
    </row>
    <row r="30">
      <c r="A30" s="202" t="n">
        <v>27</v>
      </c>
      <c r="B30" s="213">
        <f>IF(A30&lt;='入力・概要'!$B$40,10^(LOG10('入力・概要'!$B$38)+(A30-1)*(LOG10('入力・概要'!$B$39)-LOG10('入力・概要'!$B$38))/('入力・概要'!$B$40-1)),"")</f>
        <v/>
      </c>
      <c r="C30" s="212">
        <f>IF(B30="","",2*PI()*B30)</f>
        <v/>
      </c>
      <c r="D30" s="212">
        <f>IF(B30="","",ATANH(MIN(0.999999,'入力・概要'!$E$20/'入力・概要'!$E$9))+'入力・概要'!$B$20*SQRT(B30/1E6)+E30*'入力・概要'!$B$15/2)</f>
        <v/>
      </c>
      <c r="E30" s="212">
        <f>IF(B30="","",C30*('入力・概要'!$E$11*1E-9))</f>
        <v/>
      </c>
      <c r="F30" s="212">
        <f>IF(B30="","",SINH(2*D30)/(COSH(2*D30)+COS(2*E30)))</f>
        <v/>
      </c>
      <c r="G30" s="212">
        <f>IF(B30="","",SIN(2*E30)/(COSH(2*D30)+COS(2*E30)))</f>
        <v/>
      </c>
      <c r="H30" s="212">
        <f>IF(B30="","",ATANH(MIN(0.999999,'入力・概要'!$E$21/'入力・概要'!$E$15))+'入力・概要'!$B$21*SQRT(B30/1E6)+I30*'入力・概要'!$B$16/2)</f>
        <v/>
      </c>
      <c r="I30" s="212">
        <f>IF(B30="","",C30*('入力・概要'!$E$17*1E-9))</f>
        <v/>
      </c>
      <c r="J30" s="212">
        <f>IF(B30="","",SINH(2*H30)/(COSH(2*H30)+COS(2*I30)))</f>
        <v/>
      </c>
      <c r="K30" s="212">
        <f>IF(B30="","",SIN(2*I30)/(COSH(2*H30)+COS(2*I30)))</f>
        <v/>
      </c>
      <c r="L30" s="212">
        <f>IF(B30="","",'入力・概要'!$B$25)</f>
        <v/>
      </c>
      <c r="M30" s="212">
        <f>IF(B30="","",C30*'入力・概要'!$B$26*1E-9-1/(C30*'入力・概要'!$B$24*1E-6))</f>
        <v/>
      </c>
      <c r="N30" s="212">
        <f>IF(B30="","",'入力・概要'!$B$28)</f>
        <v/>
      </c>
      <c r="O30" s="212">
        <f>IF(B30="","",C30*'入力・概要'!$B$29*1E-9-1/(C30*'入力・概要'!$B$27*1E-6))</f>
        <v/>
      </c>
      <c r="P30" s="212">
        <f>IF(B30="","",((L30*N30-M30*O30)*(L30+N30)+(L30*O30+M30*N30)*(M30+O30))/((L30+N30)^2+(M30+O30)^2))</f>
        <v/>
      </c>
      <c r="Q30" s="212">
        <f>IF(B30="","",((L30*O30+M30*N30)*(L30+N30)-(L30*N30-M30*O30)*(M30+O30))/((L30+N30)^2+(M30+O30)^2))</f>
        <v/>
      </c>
      <c r="R30" s="212">
        <f>IF(B30="","",'入力・概要'!$E$15*J30)</f>
        <v/>
      </c>
      <c r="S30" s="212">
        <f>IF(B30="","",'入力・概要'!$E$15*K30)</f>
        <v/>
      </c>
      <c r="T30" s="212">
        <f>IF(B30="","",P30+R30)</f>
        <v/>
      </c>
      <c r="U30" s="212">
        <f>IF(B30="","",Q30+S30)</f>
        <v/>
      </c>
      <c r="V30" s="212">
        <f>IF(B30="","",T30+'入力・概要'!$E$9*F30)</f>
        <v/>
      </c>
      <c r="W30" s="212">
        <f>IF(B30="","",U30+'入力・概要'!$E$9*G30)</f>
        <v/>
      </c>
      <c r="X30" s="212">
        <f>IF(B30="","",'入力・概要'!$E$9+T30*F30-U30*G30)</f>
        <v/>
      </c>
      <c r="Y30" s="212">
        <f>IF(B30="","",T30*G30+U30*F30)</f>
        <v/>
      </c>
      <c r="Z30" s="212">
        <f>IF(B30="","",'入力・概要'!$E$9*(V30*X30+W30*Y30)/(X30^2+Y30^2)+'入力・概要'!$B$36)</f>
        <v/>
      </c>
      <c r="AA30" s="212">
        <f>IF(B30="","",'入力・概要'!$E$9*(W30*X30-V30*Y30)/(X30^2+Y30^2)+C30*'入力・概要'!$B$37*1E-9)</f>
        <v/>
      </c>
      <c r="AB30" s="212">
        <f>IF(B30="","",SQRT(Z30^2+AA30^2))</f>
        <v/>
      </c>
      <c r="AC30" s="212">
        <f>IF(B30="","",IF(Z30&gt;0,DEGREES(ATAN(AA30/Z30)),IF(Z30&lt;0,IF(AA30&gt;=0,DEGREES(ATAN(AA30/Z30))+180,DEGREES(ATAN(AA30/Z30))-180),IF(AA30&gt;0,90,IF(AA30&lt;0,-90,0)))))</f>
        <v/>
      </c>
      <c r="AD30" s="212">
        <f>IF(B30="","",LOG10(B30))</f>
        <v/>
      </c>
      <c r="AE30" s="212">
        <f>IF(AB30="","",LOG10(MAX(AB30,1E-12)))</f>
        <v/>
      </c>
      <c r="AF30" s="212">
        <f>IF(B30="","",SQRT(P30^2+Q30^2))</f>
        <v/>
      </c>
      <c r="AG30" s="212">
        <f>IF(B30="","",SQRT(R30^2+S30^2))</f>
        <v/>
      </c>
    </row>
    <row r="31">
      <c r="A31" s="202" t="n">
        <v>28</v>
      </c>
      <c r="B31" s="213">
        <f>IF(A31&lt;='入力・概要'!$B$40,10^(LOG10('入力・概要'!$B$38)+(A31-1)*(LOG10('入力・概要'!$B$39)-LOG10('入力・概要'!$B$38))/('入力・概要'!$B$40-1)),"")</f>
        <v/>
      </c>
      <c r="C31" s="212">
        <f>IF(B31="","",2*PI()*B31)</f>
        <v/>
      </c>
      <c r="D31" s="212">
        <f>IF(B31="","",ATANH(MIN(0.999999,'入力・概要'!$E$20/'入力・概要'!$E$9))+'入力・概要'!$B$20*SQRT(B31/1E6)+E31*'入力・概要'!$B$15/2)</f>
        <v/>
      </c>
      <c r="E31" s="212">
        <f>IF(B31="","",C31*('入力・概要'!$E$11*1E-9))</f>
        <v/>
      </c>
      <c r="F31" s="212">
        <f>IF(B31="","",SINH(2*D31)/(COSH(2*D31)+COS(2*E31)))</f>
        <v/>
      </c>
      <c r="G31" s="212">
        <f>IF(B31="","",SIN(2*E31)/(COSH(2*D31)+COS(2*E31)))</f>
        <v/>
      </c>
      <c r="H31" s="212">
        <f>IF(B31="","",ATANH(MIN(0.999999,'入力・概要'!$E$21/'入力・概要'!$E$15))+'入力・概要'!$B$21*SQRT(B31/1E6)+I31*'入力・概要'!$B$16/2)</f>
        <v/>
      </c>
      <c r="I31" s="212">
        <f>IF(B31="","",C31*('入力・概要'!$E$17*1E-9))</f>
        <v/>
      </c>
      <c r="J31" s="212">
        <f>IF(B31="","",SINH(2*H31)/(COSH(2*H31)+COS(2*I31)))</f>
        <v/>
      </c>
      <c r="K31" s="212">
        <f>IF(B31="","",SIN(2*I31)/(COSH(2*H31)+COS(2*I31)))</f>
        <v/>
      </c>
      <c r="L31" s="212">
        <f>IF(B31="","",'入力・概要'!$B$25)</f>
        <v/>
      </c>
      <c r="M31" s="212">
        <f>IF(B31="","",C31*'入力・概要'!$B$26*1E-9-1/(C31*'入力・概要'!$B$24*1E-6))</f>
        <v/>
      </c>
      <c r="N31" s="212">
        <f>IF(B31="","",'入力・概要'!$B$28)</f>
        <v/>
      </c>
      <c r="O31" s="212">
        <f>IF(B31="","",C31*'入力・概要'!$B$29*1E-9-1/(C31*'入力・概要'!$B$27*1E-6))</f>
        <v/>
      </c>
      <c r="P31" s="212">
        <f>IF(B31="","",((L31*N31-M31*O31)*(L31+N31)+(L31*O31+M31*N31)*(M31+O31))/((L31+N31)^2+(M31+O31)^2))</f>
        <v/>
      </c>
      <c r="Q31" s="212">
        <f>IF(B31="","",((L31*O31+M31*N31)*(L31+N31)-(L31*N31-M31*O31)*(M31+O31))/((L31+N31)^2+(M31+O31)^2))</f>
        <v/>
      </c>
      <c r="R31" s="212">
        <f>IF(B31="","",'入力・概要'!$E$15*J31)</f>
        <v/>
      </c>
      <c r="S31" s="212">
        <f>IF(B31="","",'入力・概要'!$E$15*K31)</f>
        <v/>
      </c>
      <c r="T31" s="212">
        <f>IF(B31="","",P31+R31)</f>
        <v/>
      </c>
      <c r="U31" s="212">
        <f>IF(B31="","",Q31+S31)</f>
        <v/>
      </c>
      <c r="V31" s="212">
        <f>IF(B31="","",T31+'入力・概要'!$E$9*F31)</f>
        <v/>
      </c>
      <c r="W31" s="212">
        <f>IF(B31="","",U31+'入力・概要'!$E$9*G31)</f>
        <v/>
      </c>
      <c r="X31" s="212">
        <f>IF(B31="","",'入力・概要'!$E$9+T31*F31-U31*G31)</f>
        <v/>
      </c>
      <c r="Y31" s="212">
        <f>IF(B31="","",T31*G31+U31*F31)</f>
        <v/>
      </c>
      <c r="Z31" s="212">
        <f>IF(B31="","",'入力・概要'!$E$9*(V31*X31+W31*Y31)/(X31^2+Y31^2)+'入力・概要'!$B$36)</f>
        <v/>
      </c>
      <c r="AA31" s="212">
        <f>IF(B31="","",'入力・概要'!$E$9*(W31*X31-V31*Y31)/(X31^2+Y31^2)+C31*'入力・概要'!$B$37*1E-9)</f>
        <v/>
      </c>
      <c r="AB31" s="212">
        <f>IF(B31="","",SQRT(Z31^2+AA31^2))</f>
        <v/>
      </c>
      <c r="AC31" s="212">
        <f>IF(B31="","",IF(Z31&gt;0,DEGREES(ATAN(AA31/Z31)),IF(Z31&lt;0,IF(AA31&gt;=0,DEGREES(ATAN(AA31/Z31))+180,DEGREES(ATAN(AA31/Z31))-180),IF(AA31&gt;0,90,IF(AA31&lt;0,-90,0)))))</f>
        <v/>
      </c>
      <c r="AD31" s="212">
        <f>IF(B31="","",LOG10(B31))</f>
        <v/>
      </c>
      <c r="AE31" s="212">
        <f>IF(AB31="","",LOG10(MAX(AB31,1E-12)))</f>
        <v/>
      </c>
      <c r="AF31" s="212">
        <f>IF(B31="","",SQRT(P31^2+Q31^2))</f>
        <v/>
      </c>
      <c r="AG31" s="212">
        <f>IF(B31="","",SQRT(R31^2+S31^2))</f>
        <v/>
      </c>
    </row>
    <row r="32">
      <c r="A32" s="202" t="n">
        <v>29</v>
      </c>
      <c r="B32" s="213">
        <f>IF(A32&lt;='入力・概要'!$B$40,10^(LOG10('入力・概要'!$B$38)+(A32-1)*(LOG10('入力・概要'!$B$39)-LOG10('入力・概要'!$B$38))/('入力・概要'!$B$40-1)),"")</f>
        <v/>
      </c>
      <c r="C32" s="212">
        <f>IF(B32="","",2*PI()*B32)</f>
        <v/>
      </c>
      <c r="D32" s="212">
        <f>IF(B32="","",ATANH(MIN(0.999999,'入力・概要'!$E$20/'入力・概要'!$E$9))+'入力・概要'!$B$20*SQRT(B32/1E6)+E32*'入力・概要'!$B$15/2)</f>
        <v/>
      </c>
      <c r="E32" s="212">
        <f>IF(B32="","",C32*('入力・概要'!$E$11*1E-9))</f>
        <v/>
      </c>
      <c r="F32" s="212">
        <f>IF(B32="","",SINH(2*D32)/(COSH(2*D32)+COS(2*E32)))</f>
        <v/>
      </c>
      <c r="G32" s="212">
        <f>IF(B32="","",SIN(2*E32)/(COSH(2*D32)+COS(2*E32)))</f>
        <v/>
      </c>
      <c r="H32" s="212">
        <f>IF(B32="","",ATANH(MIN(0.999999,'入力・概要'!$E$21/'入力・概要'!$E$15))+'入力・概要'!$B$21*SQRT(B32/1E6)+I32*'入力・概要'!$B$16/2)</f>
        <v/>
      </c>
      <c r="I32" s="212">
        <f>IF(B32="","",C32*('入力・概要'!$E$17*1E-9))</f>
        <v/>
      </c>
      <c r="J32" s="212">
        <f>IF(B32="","",SINH(2*H32)/(COSH(2*H32)+COS(2*I32)))</f>
        <v/>
      </c>
      <c r="K32" s="212">
        <f>IF(B32="","",SIN(2*I32)/(COSH(2*H32)+COS(2*I32)))</f>
        <v/>
      </c>
      <c r="L32" s="212">
        <f>IF(B32="","",'入力・概要'!$B$25)</f>
        <v/>
      </c>
      <c r="M32" s="212">
        <f>IF(B32="","",C32*'入力・概要'!$B$26*1E-9-1/(C32*'入力・概要'!$B$24*1E-6))</f>
        <v/>
      </c>
      <c r="N32" s="212">
        <f>IF(B32="","",'入力・概要'!$B$28)</f>
        <v/>
      </c>
      <c r="O32" s="212">
        <f>IF(B32="","",C32*'入力・概要'!$B$29*1E-9-1/(C32*'入力・概要'!$B$27*1E-6))</f>
        <v/>
      </c>
      <c r="P32" s="212">
        <f>IF(B32="","",((L32*N32-M32*O32)*(L32+N32)+(L32*O32+M32*N32)*(M32+O32))/((L32+N32)^2+(M32+O32)^2))</f>
        <v/>
      </c>
      <c r="Q32" s="212">
        <f>IF(B32="","",((L32*O32+M32*N32)*(L32+N32)-(L32*N32-M32*O32)*(M32+O32))/((L32+N32)^2+(M32+O32)^2))</f>
        <v/>
      </c>
      <c r="R32" s="212">
        <f>IF(B32="","",'入力・概要'!$E$15*J32)</f>
        <v/>
      </c>
      <c r="S32" s="212">
        <f>IF(B32="","",'入力・概要'!$E$15*K32)</f>
        <v/>
      </c>
      <c r="T32" s="212">
        <f>IF(B32="","",P32+R32)</f>
        <v/>
      </c>
      <c r="U32" s="212">
        <f>IF(B32="","",Q32+S32)</f>
        <v/>
      </c>
      <c r="V32" s="212">
        <f>IF(B32="","",T32+'入力・概要'!$E$9*F32)</f>
        <v/>
      </c>
      <c r="W32" s="212">
        <f>IF(B32="","",U32+'入力・概要'!$E$9*G32)</f>
        <v/>
      </c>
      <c r="X32" s="212">
        <f>IF(B32="","",'入力・概要'!$E$9+T32*F32-U32*G32)</f>
        <v/>
      </c>
      <c r="Y32" s="212">
        <f>IF(B32="","",T32*G32+U32*F32)</f>
        <v/>
      </c>
      <c r="Z32" s="212">
        <f>IF(B32="","",'入力・概要'!$E$9*(V32*X32+W32*Y32)/(X32^2+Y32^2)+'入力・概要'!$B$36)</f>
        <v/>
      </c>
      <c r="AA32" s="212">
        <f>IF(B32="","",'入力・概要'!$E$9*(W32*X32-V32*Y32)/(X32^2+Y32^2)+C32*'入力・概要'!$B$37*1E-9)</f>
        <v/>
      </c>
      <c r="AB32" s="212">
        <f>IF(B32="","",SQRT(Z32^2+AA32^2))</f>
        <v/>
      </c>
      <c r="AC32" s="212">
        <f>IF(B32="","",IF(Z32&gt;0,DEGREES(ATAN(AA32/Z32)),IF(Z32&lt;0,IF(AA32&gt;=0,DEGREES(ATAN(AA32/Z32))+180,DEGREES(ATAN(AA32/Z32))-180),IF(AA32&gt;0,90,IF(AA32&lt;0,-90,0)))))</f>
        <v/>
      </c>
      <c r="AD32" s="212">
        <f>IF(B32="","",LOG10(B32))</f>
        <v/>
      </c>
      <c r="AE32" s="212">
        <f>IF(AB32="","",LOG10(MAX(AB32,1E-12)))</f>
        <v/>
      </c>
      <c r="AF32" s="212">
        <f>IF(B32="","",SQRT(P32^2+Q32^2))</f>
        <v/>
      </c>
      <c r="AG32" s="212">
        <f>IF(B32="","",SQRT(R32^2+S32^2))</f>
        <v/>
      </c>
    </row>
    <row r="33">
      <c r="A33" s="202" t="n">
        <v>30</v>
      </c>
      <c r="B33" s="213">
        <f>IF(A33&lt;='入力・概要'!$B$40,10^(LOG10('入力・概要'!$B$38)+(A33-1)*(LOG10('入力・概要'!$B$39)-LOG10('入力・概要'!$B$38))/('入力・概要'!$B$40-1)),"")</f>
        <v/>
      </c>
      <c r="C33" s="212">
        <f>IF(B33="","",2*PI()*B33)</f>
        <v/>
      </c>
      <c r="D33" s="212">
        <f>IF(B33="","",ATANH(MIN(0.999999,'入力・概要'!$E$20/'入力・概要'!$E$9))+'入力・概要'!$B$20*SQRT(B33/1E6)+E33*'入力・概要'!$B$15/2)</f>
        <v/>
      </c>
      <c r="E33" s="212">
        <f>IF(B33="","",C33*('入力・概要'!$E$11*1E-9))</f>
        <v/>
      </c>
      <c r="F33" s="212">
        <f>IF(B33="","",SINH(2*D33)/(COSH(2*D33)+COS(2*E33)))</f>
        <v/>
      </c>
      <c r="G33" s="212">
        <f>IF(B33="","",SIN(2*E33)/(COSH(2*D33)+COS(2*E33)))</f>
        <v/>
      </c>
      <c r="H33" s="212">
        <f>IF(B33="","",ATANH(MIN(0.999999,'入力・概要'!$E$21/'入力・概要'!$E$15))+'入力・概要'!$B$21*SQRT(B33/1E6)+I33*'入力・概要'!$B$16/2)</f>
        <v/>
      </c>
      <c r="I33" s="212">
        <f>IF(B33="","",C33*('入力・概要'!$E$17*1E-9))</f>
        <v/>
      </c>
      <c r="J33" s="212">
        <f>IF(B33="","",SINH(2*H33)/(COSH(2*H33)+COS(2*I33)))</f>
        <v/>
      </c>
      <c r="K33" s="212">
        <f>IF(B33="","",SIN(2*I33)/(COSH(2*H33)+COS(2*I33)))</f>
        <v/>
      </c>
      <c r="L33" s="212">
        <f>IF(B33="","",'入力・概要'!$B$25)</f>
        <v/>
      </c>
      <c r="M33" s="212">
        <f>IF(B33="","",C33*'入力・概要'!$B$26*1E-9-1/(C33*'入力・概要'!$B$24*1E-6))</f>
        <v/>
      </c>
      <c r="N33" s="212">
        <f>IF(B33="","",'入力・概要'!$B$28)</f>
        <v/>
      </c>
      <c r="O33" s="212">
        <f>IF(B33="","",C33*'入力・概要'!$B$29*1E-9-1/(C33*'入力・概要'!$B$27*1E-6))</f>
        <v/>
      </c>
      <c r="P33" s="212">
        <f>IF(B33="","",((L33*N33-M33*O33)*(L33+N33)+(L33*O33+M33*N33)*(M33+O33))/((L33+N33)^2+(M33+O33)^2))</f>
        <v/>
      </c>
      <c r="Q33" s="212">
        <f>IF(B33="","",((L33*O33+M33*N33)*(L33+N33)-(L33*N33-M33*O33)*(M33+O33))/((L33+N33)^2+(M33+O33)^2))</f>
        <v/>
      </c>
      <c r="R33" s="212">
        <f>IF(B33="","",'入力・概要'!$E$15*J33)</f>
        <v/>
      </c>
      <c r="S33" s="212">
        <f>IF(B33="","",'入力・概要'!$E$15*K33)</f>
        <v/>
      </c>
      <c r="T33" s="212">
        <f>IF(B33="","",P33+R33)</f>
        <v/>
      </c>
      <c r="U33" s="212">
        <f>IF(B33="","",Q33+S33)</f>
        <v/>
      </c>
      <c r="V33" s="212">
        <f>IF(B33="","",T33+'入力・概要'!$E$9*F33)</f>
        <v/>
      </c>
      <c r="W33" s="212">
        <f>IF(B33="","",U33+'入力・概要'!$E$9*G33)</f>
        <v/>
      </c>
      <c r="X33" s="212">
        <f>IF(B33="","",'入力・概要'!$E$9+T33*F33-U33*G33)</f>
        <v/>
      </c>
      <c r="Y33" s="212">
        <f>IF(B33="","",T33*G33+U33*F33)</f>
        <v/>
      </c>
      <c r="Z33" s="212">
        <f>IF(B33="","",'入力・概要'!$E$9*(V33*X33+W33*Y33)/(X33^2+Y33^2)+'入力・概要'!$B$36)</f>
        <v/>
      </c>
      <c r="AA33" s="212">
        <f>IF(B33="","",'入力・概要'!$E$9*(W33*X33-V33*Y33)/(X33^2+Y33^2)+C33*'入力・概要'!$B$37*1E-9)</f>
        <v/>
      </c>
      <c r="AB33" s="212">
        <f>IF(B33="","",SQRT(Z33^2+AA33^2))</f>
        <v/>
      </c>
      <c r="AC33" s="212">
        <f>IF(B33="","",IF(Z33&gt;0,DEGREES(ATAN(AA33/Z33)),IF(Z33&lt;0,IF(AA33&gt;=0,DEGREES(ATAN(AA33/Z33))+180,DEGREES(ATAN(AA33/Z33))-180),IF(AA33&gt;0,90,IF(AA33&lt;0,-90,0)))))</f>
        <v/>
      </c>
      <c r="AD33" s="212">
        <f>IF(B33="","",LOG10(B33))</f>
        <v/>
      </c>
      <c r="AE33" s="212">
        <f>IF(AB33="","",LOG10(MAX(AB33,1E-12)))</f>
        <v/>
      </c>
      <c r="AF33" s="212">
        <f>IF(B33="","",SQRT(P33^2+Q33^2))</f>
        <v/>
      </c>
      <c r="AG33" s="212">
        <f>IF(B33="","",SQRT(R33^2+S33^2))</f>
        <v/>
      </c>
    </row>
    <row r="34">
      <c r="A34" s="202" t="n">
        <v>31</v>
      </c>
      <c r="B34" s="213">
        <f>IF(A34&lt;='入力・概要'!$B$40,10^(LOG10('入力・概要'!$B$38)+(A34-1)*(LOG10('入力・概要'!$B$39)-LOG10('入力・概要'!$B$38))/('入力・概要'!$B$40-1)),"")</f>
        <v/>
      </c>
      <c r="C34" s="212">
        <f>IF(B34="","",2*PI()*B34)</f>
        <v/>
      </c>
      <c r="D34" s="212">
        <f>IF(B34="","",ATANH(MIN(0.999999,'入力・概要'!$E$20/'入力・概要'!$E$9))+'入力・概要'!$B$20*SQRT(B34/1E6)+E34*'入力・概要'!$B$15/2)</f>
        <v/>
      </c>
      <c r="E34" s="212">
        <f>IF(B34="","",C34*('入力・概要'!$E$11*1E-9))</f>
        <v/>
      </c>
      <c r="F34" s="212">
        <f>IF(B34="","",SINH(2*D34)/(COSH(2*D34)+COS(2*E34)))</f>
        <v/>
      </c>
      <c r="G34" s="212">
        <f>IF(B34="","",SIN(2*E34)/(COSH(2*D34)+COS(2*E34)))</f>
        <v/>
      </c>
      <c r="H34" s="212">
        <f>IF(B34="","",ATANH(MIN(0.999999,'入力・概要'!$E$21/'入力・概要'!$E$15))+'入力・概要'!$B$21*SQRT(B34/1E6)+I34*'入力・概要'!$B$16/2)</f>
        <v/>
      </c>
      <c r="I34" s="212">
        <f>IF(B34="","",C34*('入力・概要'!$E$17*1E-9))</f>
        <v/>
      </c>
      <c r="J34" s="212">
        <f>IF(B34="","",SINH(2*H34)/(COSH(2*H34)+COS(2*I34)))</f>
        <v/>
      </c>
      <c r="K34" s="212">
        <f>IF(B34="","",SIN(2*I34)/(COSH(2*H34)+COS(2*I34)))</f>
        <v/>
      </c>
      <c r="L34" s="212">
        <f>IF(B34="","",'入力・概要'!$B$25)</f>
        <v/>
      </c>
      <c r="M34" s="212">
        <f>IF(B34="","",C34*'入力・概要'!$B$26*1E-9-1/(C34*'入力・概要'!$B$24*1E-6))</f>
        <v/>
      </c>
      <c r="N34" s="212">
        <f>IF(B34="","",'入力・概要'!$B$28)</f>
        <v/>
      </c>
      <c r="O34" s="212">
        <f>IF(B34="","",C34*'入力・概要'!$B$29*1E-9-1/(C34*'入力・概要'!$B$27*1E-6))</f>
        <v/>
      </c>
      <c r="P34" s="212">
        <f>IF(B34="","",((L34*N34-M34*O34)*(L34+N34)+(L34*O34+M34*N34)*(M34+O34))/((L34+N34)^2+(M34+O34)^2))</f>
        <v/>
      </c>
      <c r="Q34" s="212">
        <f>IF(B34="","",((L34*O34+M34*N34)*(L34+N34)-(L34*N34-M34*O34)*(M34+O34))/((L34+N34)^2+(M34+O34)^2))</f>
        <v/>
      </c>
      <c r="R34" s="212">
        <f>IF(B34="","",'入力・概要'!$E$15*J34)</f>
        <v/>
      </c>
      <c r="S34" s="212">
        <f>IF(B34="","",'入力・概要'!$E$15*K34)</f>
        <v/>
      </c>
      <c r="T34" s="212">
        <f>IF(B34="","",P34+R34)</f>
        <v/>
      </c>
      <c r="U34" s="212">
        <f>IF(B34="","",Q34+S34)</f>
        <v/>
      </c>
      <c r="V34" s="212">
        <f>IF(B34="","",T34+'入力・概要'!$E$9*F34)</f>
        <v/>
      </c>
      <c r="W34" s="212">
        <f>IF(B34="","",U34+'入力・概要'!$E$9*G34)</f>
        <v/>
      </c>
      <c r="X34" s="212">
        <f>IF(B34="","",'入力・概要'!$E$9+T34*F34-U34*G34)</f>
        <v/>
      </c>
      <c r="Y34" s="212">
        <f>IF(B34="","",T34*G34+U34*F34)</f>
        <v/>
      </c>
      <c r="Z34" s="212">
        <f>IF(B34="","",'入力・概要'!$E$9*(V34*X34+W34*Y34)/(X34^2+Y34^2)+'入力・概要'!$B$36)</f>
        <v/>
      </c>
      <c r="AA34" s="212">
        <f>IF(B34="","",'入力・概要'!$E$9*(W34*X34-V34*Y34)/(X34^2+Y34^2)+C34*'入力・概要'!$B$37*1E-9)</f>
        <v/>
      </c>
      <c r="AB34" s="212">
        <f>IF(B34="","",SQRT(Z34^2+AA34^2))</f>
        <v/>
      </c>
      <c r="AC34" s="212">
        <f>IF(B34="","",IF(Z34&gt;0,DEGREES(ATAN(AA34/Z34)),IF(Z34&lt;0,IF(AA34&gt;=0,DEGREES(ATAN(AA34/Z34))+180,DEGREES(ATAN(AA34/Z34))-180),IF(AA34&gt;0,90,IF(AA34&lt;0,-90,0)))))</f>
        <v/>
      </c>
      <c r="AD34" s="212">
        <f>IF(B34="","",LOG10(B34))</f>
        <v/>
      </c>
      <c r="AE34" s="212">
        <f>IF(AB34="","",LOG10(MAX(AB34,1E-12)))</f>
        <v/>
      </c>
      <c r="AF34" s="212">
        <f>IF(B34="","",SQRT(P34^2+Q34^2))</f>
        <v/>
      </c>
      <c r="AG34" s="212">
        <f>IF(B34="","",SQRT(R34^2+S34^2))</f>
        <v/>
      </c>
    </row>
    <row r="35">
      <c r="A35" s="202" t="n">
        <v>32</v>
      </c>
      <c r="B35" s="213">
        <f>IF(A35&lt;='入力・概要'!$B$40,10^(LOG10('入力・概要'!$B$38)+(A35-1)*(LOG10('入力・概要'!$B$39)-LOG10('入力・概要'!$B$38))/('入力・概要'!$B$40-1)),"")</f>
        <v/>
      </c>
      <c r="C35" s="212">
        <f>IF(B35="","",2*PI()*B35)</f>
        <v/>
      </c>
      <c r="D35" s="212">
        <f>IF(B35="","",ATANH(MIN(0.999999,'入力・概要'!$E$20/'入力・概要'!$E$9))+'入力・概要'!$B$20*SQRT(B35/1E6)+E35*'入力・概要'!$B$15/2)</f>
        <v/>
      </c>
      <c r="E35" s="212">
        <f>IF(B35="","",C35*('入力・概要'!$E$11*1E-9))</f>
        <v/>
      </c>
      <c r="F35" s="212">
        <f>IF(B35="","",SINH(2*D35)/(COSH(2*D35)+COS(2*E35)))</f>
        <v/>
      </c>
      <c r="G35" s="212">
        <f>IF(B35="","",SIN(2*E35)/(COSH(2*D35)+COS(2*E35)))</f>
        <v/>
      </c>
      <c r="H35" s="212">
        <f>IF(B35="","",ATANH(MIN(0.999999,'入力・概要'!$E$21/'入力・概要'!$E$15))+'入力・概要'!$B$21*SQRT(B35/1E6)+I35*'入力・概要'!$B$16/2)</f>
        <v/>
      </c>
      <c r="I35" s="212">
        <f>IF(B35="","",C35*('入力・概要'!$E$17*1E-9))</f>
        <v/>
      </c>
      <c r="J35" s="212">
        <f>IF(B35="","",SINH(2*H35)/(COSH(2*H35)+COS(2*I35)))</f>
        <v/>
      </c>
      <c r="K35" s="212">
        <f>IF(B35="","",SIN(2*I35)/(COSH(2*H35)+COS(2*I35)))</f>
        <v/>
      </c>
      <c r="L35" s="212">
        <f>IF(B35="","",'入力・概要'!$B$25)</f>
        <v/>
      </c>
      <c r="M35" s="212">
        <f>IF(B35="","",C35*'入力・概要'!$B$26*1E-9-1/(C35*'入力・概要'!$B$24*1E-6))</f>
        <v/>
      </c>
      <c r="N35" s="212">
        <f>IF(B35="","",'入力・概要'!$B$28)</f>
        <v/>
      </c>
      <c r="O35" s="212">
        <f>IF(B35="","",C35*'入力・概要'!$B$29*1E-9-1/(C35*'入力・概要'!$B$27*1E-6))</f>
        <v/>
      </c>
      <c r="P35" s="212">
        <f>IF(B35="","",((L35*N35-M35*O35)*(L35+N35)+(L35*O35+M35*N35)*(M35+O35))/((L35+N35)^2+(M35+O35)^2))</f>
        <v/>
      </c>
      <c r="Q35" s="212">
        <f>IF(B35="","",((L35*O35+M35*N35)*(L35+N35)-(L35*N35-M35*O35)*(M35+O35))/((L35+N35)^2+(M35+O35)^2))</f>
        <v/>
      </c>
      <c r="R35" s="212">
        <f>IF(B35="","",'入力・概要'!$E$15*J35)</f>
        <v/>
      </c>
      <c r="S35" s="212">
        <f>IF(B35="","",'入力・概要'!$E$15*K35)</f>
        <v/>
      </c>
      <c r="T35" s="212">
        <f>IF(B35="","",P35+R35)</f>
        <v/>
      </c>
      <c r="U35" s="212">
        <f>IF(B35="","",Q35+S35)</f>
        <v/>
      </c>
      <c r="V35" s="212">
        <f>IF(B35="","",T35+'入力・概要'!$E$9*F35)</f>
        <v/>
      </c>
      <c r="W35" s="212">
        <f>IF(B35="","",U35+'入力・概要'!$E$9*G35)</f>
        <v/>
      </c>
      <c r="X35" s="212">
        <f>IF(B35="","",'入力・概要'!$E$9+T35*F35-U35*G35)</f>
        <v/>
      </c>
      <c r="Y35" s="212">
        <f>IF(B35="","",T35*G35+U35*F35)</f>
        <v/>
      </c>
      <c r="Z35" s="212">
        <f>IF(B35="","",'入力・概要'!$E$9*(V35*X35+W35*Y35)/(X35^2+Y35^2)+'入力・概要'!$B$36)</f>
        <v/>
      </c>
      <c r="AA35" s="212">
        <f>IF(B35="","",'入力・概要'!$E$9*(W35*X35-V35*Y35)/(X35^2+Y35^2)+C35*'入力・概要'!$B$37*1E-9)</f>
        <v/>
      </c>
      <c r="AB35" s="212">
        <f>IF(B35="","",SQRT(Z35^2+AA35^2))</f>
        <v/>
      </c>
      <c r="AC35" s="212">
        <f>IF(B35="","",IF(Z35&gt;0,DEGREES(ATAN(AA35/Z35)),IF(Z35&lt;0,IF(AA35&gt;=0,DEGREES(ATAN(AA35/Z35))+180,DEGREES(ATAN(AA35/Z35))-180),IF(AA35&gt;0,90,IF(AA35&lt;0,-90,0)))))</f>
        <v/>
      </c>
      <c r="AD35" s="212">
        <f>IF(B35="","",LOG10(B35))</f>
        <v/>
      </c>
      <c r="AE35" s="212">
        <f>IF(AB35="","",LOG10(MAX(AB35,1E-12)))</f>
        <v/>
      </c>
      <c r="AF35" s="212">
        <f>IF(B35="","",SQRT(P35^2+Q35^2))</f>
        <v/>
      </c>
      <c r="AG35" s="212">
        <f>IF(B35="","",SQRT(R35^2+S35^2))</f>
        <v/>
      </c>
    </row>
    <row r="36">
      <c r="A36" s="202" t="n">
        <v>33</v>
      </c>
      <c r="B36" s="213">
        <f>IF(A36&lt;='入力・概要'!$B$40,10^(LOG10('入力・概要'!$B$38)+(A36-1)*(LOG10('入力・概要'!$B$39)-LOG10('入力・概要'!$B$38))/('入力・概要'!$B$40-1)),"")</f>
        <v/>
      </c>
      <c r="C36" s="212">
        <f>IF(B36="","",2*PI()*B36)</f>
        <v/>
      </c>
      <c r="D36" s="212">
        <f>IF(B36="","",ATANH(MIN(0.999999,'入力・概要'!$E$20/'入力・概要'!$E$9))+'入力・概要'!$B$20*SQRT(B36/1E6)+E36*'入力・概要'!$B$15/2)</f>
        <v/>
      </c>
      <c r="E36" s="212">
        <f>IF(B36="","",C36*('入力・概要'!$E$11*1E-9))</f>
        <v/>
      </c>
      <c r="F36" s="212">
        <f>IF(B36="","",SINH(2*D36)/(COSH(2*D36)+COS(2*E36)))</f>
        <v/>
      </c>
      <c r="G36" s="212">
        <f>IF(B36="","",SIN(2*E36)/(COSH(2*D36)+COS(2*E36)))</f>
        <v/>
      </c>
      <c r="H36" s="212">
        <f>IF(B36="","",ATANH(MIN(0.999999,'入力・概要'!$E$21/'入力・概要'!$E$15))+'入力・概要'!$B$21*SQRT(B36/1E6)+I36*'入力・概要'!$B$16/2)</f>
        <v/>
      </c>
      <c r="I36" s="212">
        <f>IF(B36="","",C36*('入力・概要'!$E$17*1E-9))</f>
        <v/>
      </c>
      <c r="J36" s="212">
        <f>IF(B36="","",SINH(2*H36)/(COSH(2*H36)+COS(2*I36)))</f>
        <v/>
      </c>
      <c r="K36" s="212">
        <f>IF(B36="","",SIN(2*I36)/(COSH(2*H36)+COS(2*I36)))</f>
        <v/>
      </c>
      <c r="L36" s="212">
        <f>IF(B36="","",'入力・概要'!$B$25)</f>
        <v/>
      </c>
      <c r="M36" s="212">
        <f>IF(B36="","",C36*'入力・概要'!$B$26*1E-9-1/(C36*'入力・概要'!$B$24*1E-6))</f>
        <v/>
      </c>
      <c r="N36" s="212">
        <f>IF(B36="","",'入力・概要'!$B$28)</f>
        <v/>
      </c>
      <c r="O36" s="212">
        <f>IF(B36="","",C36*'入力・概要'!$B$29*1E-9-1/(C36*'入力・概要'!$B$27*1E-6))</f>
        <v/>
      </c>
      <c r="P36" s="212">
        <f>IF(B36="","",((L36*N36-M36*O36)*(L36+N36)+(L36*O36+M36*N36)*(M36+O36))/((L36+N36)^2+(M36+O36)^2))</f>
        <v/>
      </c>
      <c r="Q36" s="212">
        <f>IF(B36="","",((L36*O36+M36*N36)*(L36+N36)-(L36*N36-M36*O36)*(M36+O36))/((L36+N36)^2+(M36+O36)^2))</f>
        <v/>
      </c>
      <c r="R36" s="212">
        <f>IF(B36="","",'入力・概要'!$E$15*J36)</f>
        <v/>
      </c>
      <c r="S36" s="212">
        <f>IF(B36="","",'入力・概要'!$E$15*K36)</f>
        <v/>
      </c>
      <c r="T36" s="212">
        <f>IF(B36="","",P36+R36)</f>
        <v/>
      </c>
      <c r="U36" s="212">
        <f>IF(B36="","",Q36+S36)</f>
        <v/>
      </c>
      <c r="V36" s="212">
        <f>IF(B36="","",T36+'入力・概要'!$E$9*F36)</f>
        <v/>
      </c>
      <c r="W36" s="212">
        <f>IF(B36="","",U36+'入力・概要'!$E$9*G36)</f>
        <v/>
      </c>
      <c r="X36" s="212">
        <f>IF(B36="","",'入力・概要'!$E$9+T36*F36-U36*G36)</f>
        <v/>
      </c>
      <c r="Y36" s="212">
        <f>IF(B36="","",T36*G36+U36*F36)</f>
        <v/>
      </c>
      <c r="Z36" s="212">
        <f>IF(B36="","",'入力・概要'!$E$9*(V36*X36+W36*Y36)/(X36^2+Y36^2)+'入力・概要'!$B$36)</f>
        <v/>
      </c>
      <c r="AA36" s="212">
        <f>IF(B36="","",'入力・概要'!$E$9*(W36*X36-V36*Y36)/(X36^2+Y36^2)+C36*'入力・概要'!$B$37*1E-9)</f>
        <v/>
      </c>
      <c r="AB36" s="212">
        <f>IF(B36="","",SQRT(Z36^2+AA36^2))</f>
        <v/>
      </c>
      <c r="AC36" s="212">
        <f>IF(B36="","",IF(Z36&gt;0,DEGREES(ATAN(AA36/Z36)),IF(Z36&lt;0,IF(AA36&gt;=0,DEGREES(ATAN(AA36/Z36))+180,DEGREES(ATAN(AA36/Z36))-180),IF(AA36&gt;0,90,IF(AA36&lt;0,-90,0)))))</f>
        <v/>
      </c>
      <c r="AD36" s="212">
        <f>IF(B36="","",LOG10(B36))</f>
        <v/>
      </c>
      <c r="AE36" s="212">
        <f>IF(AB36="","",LOG10(MAX(AB36,1E-12)))</f>
        <v/>
      </c>
      <c r="AF36" s="212">
        <f>IF(B36="","",SQRT(P36^2+Q36^2))</f>
        <v/>
      </c>
      <c r="AG36" s="212">
        <f>IF(B36="","",SQRT(R36^2+S36^2))</f>
        <v/>
      </c>
    </row>
    <row r="37">
      <c r="A37" s="202" t="n">
        <v>34</v>
      </c>
      <c r="B37" s="213">
        <f>IF(A37&lt;='入力・概要'!$B$40,10^(LOG10('入力・概要'!$B$38)+(A37-1)*(LOG10('入力・概要'!$B$39)-LOG10('入力・概要'!$B$38))/('入力・概要'!$B$40-1)),"")</f>
        <v/>
      </c>
      <c r="C37" s="212">
        <f>IF(B37="","",2*PI()*B37)</f>
        <v/>
      </c>
      <c r="D37" s="212">
        <f>IF(B37="","",ATANH(MIN(0.999999,'入力・概要'!$E$20/'入力・概要'!$E$9))+'入力・概要'!$B$20*SQRT(B37/1E6)+E37*'入力・概要'!$B$15/2)</f>
        <v/>
      </c>
      <c r="E37" s="212">
        <f>IF(B37="","",C37*('入力・概要'!$E$11*1E-9))</f>
        <v/>
      </c>
      <c r="F37" s="212">
        <f>IF(B37="","",SINH(2*D37)/(COSH(2*D37)+COS(2*E37)))</f>
        <v/>
      </c>
      <c r="G37" s="212">
        <f>IF(B37="","",SIN(2*E37)/(COSH(2*D37)+COS(2*E37)))</f>
        <v/>
      </c>
      <c r="H37" s="212">
        <f>IF(B37="","",ATANH(MIN(0.999999,'入力・概要'!$E$21/'入力・概要'!$E$15))+'入力・概要'!$B$21*SQRT(B37/1E6)+I37*'入力・概要'!$B$16/2)</f>
        <v/>
      </c>
      <c r="I37" s="212">
        <f>IF(B37="","",C37*('入力・概要'!$E$17*1E-9))</f>
        <v/>
      </c>
      <c r="J37" s="212">
        <f>IF(B37="","",SINH(2*H37)/(COSH(2*H37)+COS(2*I37)))</f>
        <v/>
      </c>
      <c r="K37" s="212">
        <f>IF(B37="","",SIN(2*I37)/(COSH(2*H37)+COS(2*I37)))</f>
        <v/>
      </c>
      <c r="L37" s="212">
        <f>IF(B37="","",'入力・概要'!$B$25)</f>
        <v/>
      </c>
      <c r="M37" s="212">
        <f>IF(B37="","",C37*'入力・概要'!$B$26*1E-9-1/(C37*'入力・概要'!$B$24*1E-6))</f>
        <v/>
      </c>
      <c r="N37" s="212">
        <f>IF(B37="","",'入力・概要'!$B$28)</f>
        <v/>
      </c>
      <c r="O37" s="212">
        <f>IF(B37="","",C37*'入力・概要'!$B$29*1E-9-1/(C37*'入力・概要'!$B$27*1E-6))</f>
        <v/>
      </c>
      <c r="P37" s="212">
        <f>IF(B37="","",((L37*N37-M37*O37)*(L37+N37)+(L37*O37+M37*N37)*(M37+O37))/((L37+N37)^2+(M37+O37)^2))</f>
        <v/>
      </c>
      <c r="Q37" s="212">
        <f>IF(B37="","",((L37*O37+M37*N37)*(L37+N37)-(L37*N37-M37*O37)*(M37+O37))/((L37+N37)^2+(M37+O37)^2))</f>
        <v/>
      </c>
      <c r="R37" s="212">
        <f>IF(B37="","",'入力・概要'!$E$15*J37)</f>
        <v/>
      </c>
      <c r="S37" s="212">
        <f>IF(B37="","",'入力・概要'!$E$15*K37)</f>
        <v/>
      </c>
      <c r="T37" s="212">
        <f>IF(B37="","",P37+R37)</f>
        <v/>
      </c>
      <c r="U37" s="212">
        <f>IF(B37="","",Q37+S37)</f>
        <v/>
      </c>
      <c r="V37" s="212">
        <f>IF(B37="","",T37+'入力・概要'!$E$9*F37)</f>
        <v/>
      </c>
      <c r="W37" s="212">
        <f>IF(B37="","",U37+'入力・概要'!$E$9*G37)</f>
        <v/>
      </c>
      <c r="X37" s="212">
        <f>IF(B37="","",'入力・概要'!$E$9+T37*F37-U37*G37)</f>
        <v/>
      </c>
      <c r="Y37" s="212">
        <f>IF(B37="","",T37*G37+U37*F37)</f>
        <v/>
      </c>
      <c r="Z37" s="212">
        <f>IF(B37="","",'入力・概要'!$E$9*(V37*X37+W37*Y37)/(X37^2+Y37^2)+'入力・概要'!$B$36)</f>
        <v/>
      </c>
      <c r="AA37" s="212">
        <f>IF(B37="","",'入力・概要'!$E$9*(W37*X37-V37*Y37)/(X37^2+Y37^2)+C37*'入力・概要'!$B$37*1E-9)</f>
        <v/>
      </c>
      <c r="AB37" s="212">
        <f>IF(B37="","",SQRT(Z37^2+AA37^2))</f>
        <v/>
      </c>
      <c r="AC37" s="212">
        <f>IF(B37="","",IF(Z37&gt;0,DEGREES(ATAN(AA37/Z37)),IF(Z37&lt;0,IF(AA37&gt;=0,DEGREES(ATAN(AA37/Z37))+180,DEGREES(ATAN(AA37/Z37))-180),IF(AA37&gt;0,90,IF(AA37&lt;0,-90,0)))))</f>
        <v/>
      </c>
      <c r="AD37" s="212">
        <f>IF(B37="","",LOG10(B37))</f>
        <v/>
      </c>
      <c r="AE37" s="212">
        <f>IF(AB37="","",LOG10(MAX(AB37,1E-12)))</f>
        <v/>
      </c>
      <c r="AF37" s="212">
        <f>IF(B37="","",SQRT(P37^2+Q37^2))</f>
        <v/>
      </c>
      <c r="AG37" s="212">
        <f>IF(B37="","",SQRT(R37^2+S37^2))</f>
        <v/>
      </c>
    </row>
    <row r="38">
      <c r="A38" s="202" t="n">
        <v>35</v>
      </c>
      <c r="B38" s="213">
        <f>IF(A38&lt;='入力・概要'!$B$40,10^(LOG10('入力・概要'!$B$38)+(A38-1)*(LOG10('入力・概要'!$B$39)-LOG10('入力・概要'!$B$38))/('入力・概要'!$B$40-1)),"")</f>
        <v/>
      </c>
      <c r="C38" s="212">
        <f>IF(B38="","",2*PI()*B38)</f>
        <v/>
      </c>
      <c r="D38" s="212">
        <f>IF(B38="","",ATANH(MIN(0.999999,'入力・概要'!$E$20/'入力・概要'!$E$9))+'入力・概要'!$B$20*SQRT(B38/1E6)+E38*'入力・概要'!$B$15/2)</f>
        <v/>
      </c>
      <c r="E38" s="212">
        <f>IF(B38="","",C38*('入力・概要'!$E$11*1E-9))</f>
        <v/>
      </c>
      <c r="F38" s="212">
        <f>IF(B38="","",SINH(2*D38)/(COSH(2*D38)+COS(2*E38)))</f>
        <v/>
      </c>
      <c r="G38" s="212">
        <f>IF(B38="","",SIN(2*E38)/(COSH(2*D38)+COS(2*E38)))</f>
        <v/>
      </c>
      <c r="H38" s="212">
        <f>IF(B38="","",ATANH(MIN(0.999999,'入力・概要'!$E$21/'入力・概要'!$E$15))+'入力・概要'!$B$21*SQRT(B38/1E6)+I38*'入力・概要'!$B$16/2)</f>
        <v/>
      </c>
      <c r="I38" s="212">
        <f>IF(B38="","",C38*('入力・概要'!$E$17*1E-9))</f>
        <v/>
      </c>
      <c r="J38" s="212">
        <f>IF(B38="","",SINH(2*H38)/(COSH(2*H38)+COS(2*I38)))</f>
        <v/>
      </c>
      <c r="K38" s="212">
        <f>IF(B38="","",SIN(2*I38)/(COSH(2*H38)+COS(2*I38)))</f>
        <v/>
      </c>
      <c r="L38" s="212">
        <f>IF(B38="","",'入力・概要'!$B$25)</f>
        <v/>
      </c>
      <c r="M38" s="212">
        <f>IF(B38="","",C38*'入力・概要'!$B$26*1E-9-1/(C38*'入力・概要'!$B$24*1E-6))</f>
        <v/>
      </c>
      <c r="N38" s="212">
        <f>IF(B38="","",'入力・概要'!$B$28)</f>
        <v/>
      </c>
      <c r="O38" s="212">
        <f>IF(B38="","",C38*'入力・概要'!$B$29*1E-9-1/(C38*'入力・概要'!$B$27*1E-6))</f>
        <v/>
      </c>
      <c r="P38" s="212">
        <f>IF(B38="","",((L38*N38-M38*O38)*(L38+N38)+(L38*O38+M38*N38)*(M38+O38))/((L38+N38)^2+(M38+O38)^2))</f>
        <v/>
      </c>
      <c r="Q38" s="212">
        <f>IF(B38="","",((L38*O38+M38*N38)*(L38+N38)-(L38*N38-M38*O38)*(M38+O38))/((L38+N38)^2+(M38+O38)^2))</f>
        <v/>
      </c>
      <c r="R38" s="212">
        <f>IF(B38="","",'入力・概要'!$E$15*J38)</f>
        <v/>
      </c>
      <c r="S38" s="212">
        <f>IF(B38="","",'入力・概要'!$E$15*K38)</f>
        <v/>
      </c>
      <c r="T38" s="212">
        <f>IF(B38="","",P38+R38)</f>
        <v/>
      </c>
      <c r="U38" s="212">
        <f>IF(B38="","",Q38+S38)</f>
        <v/>
      </c>
      <c r="V38" s="212">
        <f>IF(B38="","",T38+'入力・概要'!$E$9*F38)</f>
        <v/>
      </c>
      <c r="W38" s="212">
        <f>IF(B38="","",U38+'入力・概要'!$E$9*G38)</f>
        <v/>
      </c>
      <c r="X38" s="212">
        <f>IF(B38="","",'入力・概要'!$E$9+T38*F38-U38*G38)</f>
        <v/>
      </c>
      <c r="Y38" s="212">
        <f>IF(B38="","",T38*G38+U38*F38)</f>
        <v/>
      </c>
      <c r="Z38" s="212">
        <f>IF(B38="","",'入力・概要'!$E$9*(V38*X38+W38*Y38)/(X38^2+Y38^2)+'入力・概要'!$B$36)</f>
        <v/>
      </c>
      <c r="AA38" s="212">
        <f>IF(B38="","",'入力・概要'!$E$9*(W38*X38-V38*Y38)/(X38^2+Y38^2)+C38*'入力・概要'!$B$37*1E-9)</f>
        <v/>
      </c>
      <c r="AB38" s="212">
        <f>IF(B38="","",SQRT(Z38^2+AA38^2))</f>
        <v/>
      </c>
      <c r="AC38" s="212">
        <f>IF(B38="","",IF(Z38&gt;0,DEGREES(ATAN(AA38/Z38)),IF(Z38&lt;0,IF(AA38&gt;=0,DEGREES(ATAN(AA38/Z38))+180,DEGREES(ATAN(AA38/Z38))-180),IF(AA38&gt;0,90,IF(AA38&lt;0,-90,0)))))</f>
        <v/>
      </c>
      <c r="AD38" s="212">
        <f>IF(B38="","",LOG10(B38))</f>
        <v/>
      </c>
      <c r="AE38" s="212">
        <f>IF(AB38="","",LOG10(MAX(AB38,1E-12)))</f>
        <v/>
      </c>
      <c r="AF38" s="212">
        <f>IF(B38="","",SQRT(P38^2+Q38^2))</f>
        <v/>
      </c>
      <c r="AG38" s="212">
        <f>IF(B38="","",SQRT(R38^2+S38^2))</f>
        <v/>
      </c>
    </row>
    <row r="39">
      <c r="A39" s="202" t="n">
        <v>36</v>
      </c>
      <c r="B39" s="213">
        <f>IF(A39&lt;='入力・概要'!$B$40,10^(LOG10('入力・概要'!$B$38)+(A39-1)*(LOG10('入力・概要'!$B$39)-LOG10('入力・概要'!$B$38))/('入力・概要'!$B$40-1)),"")</f>
        <v/>
      </c>
      <c r="C39" s="212">
        <f>IF(B39="","",2*PI()*B39)</f>
        <v/>
      </c>
      <c r="D39" s="212">
        <f>IF(B39="","",ATANH(MIN(0.999999,'入力・概要'!$E$20/'入力・概要'!$E$9))+'入力・概要'!$B$20*SQRT(B39/1E6)+E39*'入力・概要'!$B$15/2)</f>
        <v/>
      </c>
      <c r="E39" s="212">
        <f>IF(B39="","",C39*('入力・概要'!$E$11*1E-9))</f>
        <v/>
      </c>
      <c r="F39" s="212">
        <f>IF(B39="","",SINH(2*D39)/(COSH(2*D39)+COS(2*E39)))</f>
        <v/>
      </c>
      <c r="G39" s="212">
        <f>IF(B39="","",SIN(2*E39)/(COSH(2*D39)+COS(2*E39)))</f>
        <v/>
      </c>
      <c r="H39" s="212">
        <f>IF(B39="","",ATANH(MIN(0.999999,'入力・概要'!$E$21/'入力・概要'!$E$15))+'入力・概要'!$B$21*SQRT(B39/1E6)+I39*'入力・概要'!$B$16/2)</f>
        <v/>
      </c>
      <c r="I39" s="212">
        <f>IF(B39="","",C39*('入力・概要'!$E$17*1E-9))</f>
        <v/>
      </c>
      <c r="J39" s="212">
        <f>IF(B39="","",SINH(2*H39)/(COSH(2*H39)+COS(2*I39)))</f>
        <v/>
      </c>
      <c r="K39" s="212">
        <f>IF(B39="","",SIN(2*I39)/(COSH(2*H39)+COS(2*I39)))</f>
        <v/>
      </c>
      <c r="L39" s="212">
        <f>IF(B39="","",'入力・概要'!$B$25)</f>
        <v/>
      </c>
      <c r="M39" s="212">
        <f>IF(B39="","",C39*'入力・概要'!$B$26*1E-9-1/(C39*'入力・概要'!$B$24*1E-6))</f>
        <v/>
      </c>
      <c r="N39" s="212">
        <f>IF(B39="","",'入力・概要'!$B$28)</f>
        <v/>
      </c>
      <c r="O39" s="212">
        <f>IF(B39="","",C39*'入力・概要'!$B$29*1E-9-1/(C39*'入力・概要'!$B$27*1E-6))</f>
        <v/>
      </c>
      <c r="P39" s="212">
        <f>IF(B39="","",((L39*N39-M39*O39)*(L39+N39)+(L39*O39+M39*N39)*(M39+O39))/((L39+N39)^2+(M39+O39)^2))</f>
        <v/>
      </c>
      <c r="Q39" s="212">
        <f>IF(B39="","",((L39*O39+M39*N39)*(L39+N39)-(L39*N39-M39*O39)*(M39+O39))/((L39+N39)^2+(M39+O39)^2))</f>
        <v/>
      </c>
      <c r="R39" s="212">
        <f>IF(B39="","",'入力・概要'!$E$15*J39)</f>
        <v/>
      </c>
      <c r="S39" s="212">
        <f>IF(B39="","",'入力・概要'!$E$15*K39)</f>
        <v/>
      </c>
      <c r="T39" s="212">
        <f>IF(B39="","",P39+R39)</f>
        <v/>
      </c>
      <c r="U39" s="212">
        <f>IF(B39="","",Q39+S39)</f>
        <v/>
      </c>
      <c r="V39" s="212">
        <f>IF(B39="","",T39+'入力・概要'!$E$9*F39)</f>
        <v/>
      </c>
      <c r="W39" s="212">
        <f>IF(B39="","",U39+'入力・概要'!$E$9*G39)</f>
        <v/>
      </c>
      <c r="X39" s="212">
        <f>IF(B39="","",'入力・概要'!$E$9+T39*F39-U39*G39)</f>
        <v/>
      </c>
      <c r="Y39" s="212">
        <f>IF(B39="","",T39*G39+U39*F39)</f>
        <v/>
      </c>
      <c r="Z39" s="212">
        <f>IF(B39="","",'入力・概要'!$E$9*(V39*X39+W39*Y39)/(X39^2+Y39^2)+'入力・概要'!$B$36)</f>
        <v/>
      </c>
      <c r="AA39" s="212">
        <f>IF(B39="","",'入力・概要'!$E$9*(W39*X39-V39*Y39)/(X39^2+Y39^2)+C39*'入力・概要'!$B$37*1E-9)</f>
        <v/>
      </c>
      <c r="AB39" s="212">
        <f>IF(B39="","",SQRT(Z39^2+AA39^2))</f>
        <v/>
      </c>
      <c r="AC39" s="212">
        <f>IF(B39="","",IF(Z39&gt;0,DEGREES(ATAN(AA39/Z39)),IF(Z39&lt;0,IF(AA39&gt;=0,DEGREES(ATAN(AA39/Z39))+180,DEGREES(ATAN(AA39/Z39))-180),IF(AA39&gt;0,90,IF(AA39&lt;0,-90,0)))))</f>
        <v/>
      </c>
      <c r="AD39" s="212">
        <f>IF(B39="","",LOG10(B39))</f>
        <v/>
      </c>
      <c r="AE39" s="212">
        <f>IF(AB39="","",LOG10(MAX(AB39,1E-12)))</f>
        <v/>
      </c>
      <c r="AF39" s="212">
        <f>IF(B39="","",SQRT(P39^2+Q39^2))</f>
        <v/>
      </c>
      <c r="AG39" s="212">
        <f>IF(B39="","",SQRT(R39^2+S39^2))</f>
        <v/>
      </c>
    </row>
    <row r="40">
      <c r="A40" s="202" t="n">
        <v>37</v>
      </c>
      <c r="B40" s="213">
        <f>IF(A40&lt;='入力・概要'!$B$40,10^(LOG10('入力・概要'!$B$38)+(A40-1)*(LOG10('入力・概要'!$B$39)-LOG10('入力・概要'!$B$38))/('入力・概要'!$B$40-1)),"")</f>
        <v/>
      </c>
      <c r="C40" s="212">
        <f>IF(B40="","",2*PI()*B40)</f>
        <v/>
      </c>
      <c r="D40" s="212">
        <f>IF(B40="","",ATANH(MIN(0.999999,'入力・概要'!$E$20/'入力・概要'!$E$9))+'入力・概要'!$B$20*SQRT(B40/1E6)+E40*'入力・概要'!$B$15/2)</f>
        <v/>
      </c>
      <c r="E40" s="212">
        <f>IF(B40="","",C40*('入力・概要'!$E$11*1E-9))</f>
        <v/>
      </c>
      <c r="F40" s="212">
        <f>IF(B40="","",SINH(2*D40)/(COSH(2*D40)+COS(2*E40)))</f>
        <v/>
      </c>
      <c r="G40" s="212">
        <f>IF(B40="","",SIN(2*E40)/(COSH(2*D40)+COS(2*E40)))</f>
        <v/>
      </c>
      <c r="H40" s="212">
        <f>IF(B40="","",ATANH(MIN(0.999999,'入力・概要'!$E$21/'入力・概要'!$E$15))+'入力・概要'!$B$21*SQRT(B40/1E6)+I40*'入力・概要'!$B$16/2)</f>
        <v/>
      </c>
      <c r="I40" s="212">
        <f>IF(B40="","",C40*('入力・概要'!$E$17*1E-9))</f>
        <v/>
      </c>
      <c r="J40" s="212">
        <f>IF(B40="","",SINH(2*H40)/(COSH(2*H40)+COS(2*I40)))</f>
        <v/>
      </c>
      <c r="K40" s="212">
        <f>IF(B40="","",SIN(2*I40)/(COSH(2*H40)+COS(2*I40)))</f>
        <v/>
      </c>
      <c r="L40" s="212">
        <f>IF(B40="","",'入力・概要'!$B$25)</f>
        <v/>
      </c>
      <c r="M40" s="212">
        <f>IF(B40="","",C40*'入力・概要'!$B$26*1E-9-1/(C40*'入力・概要'!$B$24*1E-6))</f>
        <v/>
      </c>
      <c r="N40" s="212">
        <f>IF(B40="","",'入力・概要'!$B$28)</f>
        <v/>
      </c>
      <c r="O40" s="212">
        <f>IF(B40="","",C40*'入力・概要'!$B$29*1E-9-1/(C40*'入力・概要'!$B$27*1E-6))</f>
        <v/>
      </c>
      <c r="P40" s="212">
        <f>IF(B40="","",((L40*N40-M40*O40)*(L40+N40)+(L40*O40+M40*N40)*(M40+O40))/((L40+N40)^2+(M40+O40)^2))</f>
        <v/>
      </c>
      <c r="Q40" s="212">
        <f>IF(B40="","",((L40*O40+M40*N40)*(L40+N40)-(L40*N40-M40*O40)*(M40+O40))/((L40+N40)^2+(M40+O40)^2))</f>
        <v/>
      </c>
      <c r="R40" s="212">
        <f>IF(B40="","",'入力・概要'!$E$15*J40)</f>
        <v/>
      </c>
      <c r="S40" s="212">
        <f>IF(B40="","",'入力・概要'!$E$15*K40)</f>
        <v/>
      </c>
      <c r="T40" s="212">
        <f>IF(B40="","",P40+R40)</f>
        <v/>
      </c>
      <c r="U40" s="212">
        <f>IF(B40="","",Q40+S40)</f>
        <v/>
      </c>
      <c r="V40" s="212">
        <f>IF(B40="","",T40+'入力・概要'!$E$9*F40)</f>
        <v/>
      </c>
      <c r="W40" s="212">
        <f>IF(B40="","",U40+'入力・概要'!$E$9*G40)</f>
        <v/>
      </c>
      <c r="X40" s="212">
        <f>IF(B40="","",'入力・概要'!$E$9+T40*F40-U40*G40)</f>
        <v/>
      </c>
      <c r="Y40" s="212">
        <f>IF(B40="","",T40*G40+U40*F40)</f>
        <v/>
      </c>
      <c r="Z40" s="212">
        <f>IF(B40="","",'入力・概要'!$E$9*(V40*X40+W40*Y40)/(X40^2+Y40^2)+'入力・概要'!$B$36)</f>
        <v/>
      </c>
      <c r="AA40" s="212">
        <f>IF(B40="","",'入力・概要'!$E$9*(W40*X40-V40*Y40)/(X40^2+Y40^2)+C40*'入力・概要'!$B$37*1E-9)</f>
        <v/>
      </c>
      <c r="AB40" s="212">
        <f>IF(B40="","",SQRT(Z40^2+AA40^2))</f>
        <v/>
      </c>
      <c r="AC40" s="212">
        <f>IF(B40="","",IF(Z40&gt;0,DEGREES(ATAN(AA40/Z40)),IF(Z40&lt;0,IF(AA40&gt;=0,DEGREES(ATAN(AA40/Z40))+180,DEGREES(ATAN(AA40/Z40))-180),IF(AA40&gt;0,90,IF(AA40&lt;0,-90,0)))))</f>
        <v/>
      </c>
      <c r="AD40" s="212">
        <f>IF(B40="","",LOG10(B40))</f>
        <v/>
      </c>
      <c r="AE40" s="212">
        <f>IF(AB40="","",LOG10(MAX(AB40,1E-12)))</f>
        <v/>
      </c>
      <c r="AF40" s="212">
        <f>IF(B40="","",SQRT(P40^2+Q40^2))</f>
        <v/>
      </c>
      <c r="AG40" s="212">
        <f>IF(B40="","",SQRT(R40^2+S40^2))</f>
        <v/>
      </c>
    </row>
    <row r="41">
      <c r="A41" s="202" t="n">
        <v>38</v>
      </c>
      <c r="B41" s="213">
        <f>IF(A41&lt;='入力・概要'!$B$40,10^(LOG10('入力・概要'!$B$38)+(A41-1)*(LOG10('入力・概要'!$B$39)-LOG10('入力・概要'!$B$38))/('入力・概要'!$B$40-1)),"")</f>
        <v/>
      </c>
      <c r="C41" s="212">
        <f>IF(B41="","",2*PI()*B41)</f>
        <v/>
      </c>
      <c r="D41" s="212">
        <f>IF(B41="","",ATANH(MIN(0.999999,'入力・概要'!$E$20/'入力・概要'!$E$9))+'入力・概要'!$B$20*SQRT(B41/1E6)+E41*'入力・概要'!$B$15/2)</f>
        <v/>
      </c>
      <c r="E41" s="212">
        <f>IF(B41="","",C41*('入力・概要'!$E$11*1E-9))</f>
        <v/>
      </c>
      <c r="F41" s="212">
        <f>IF(B41="","",SINH(2*D41)/(COSH(2*D41)+COS(2*E41)))</f>
        <v/>
      </c>
      <c r="G41" s="212">
        <f>IF(B41="","",SIN(2*E41)/(COSH(2*D41)+COS(2*E41)))</f>
        <v/>
      </c>
      <c r="H41" s="212">
        <f>IF(B41="","",ATANH(MIN(0.999999,'入力・概要'!$E$21/'入力・概要'!$E$15))+'入力・概要'!$B$21*SQRT(B41/1E6)+I41*'入力・概要'!$B$16/2)</f>
        <v/>
      </c>
      <c r="I41" s="212">
        <f>IF(B41="","",C41*('入力・概要'!$E$17*1E-9))</f>
        <v/>
      </c>
      <c r="J41" s="212">
        <f>IF(B41="","",SINH(2*H41)/(COSH(2*H41)+COS(2*I41)))</f>
        <v/>
      </c>
      <c r="K41" s="212">
        <f>IF(B41="","",SIN(2*I41)/(COSH(2*H41)+COS(2*I41)))</f>
        <v/>
      </c>
      <c r="L41" s="212">
        <f>IF(B41="","",'入力・概要'!$B$25)</f>
        <v/>
      </c>
      <c r="M41" s="212">
        <f>IF(B41="","",C41*'入力・概要'!$B$26*1E-9-1/(C41*'入力・概要'!$B$24*1E-6))</f>
        <v/>
      </c>
      <c r="N41" s="212">
        <f>IF(B41="","",'入力・概要'!$B$28)</f>
        <v/>
      </c>
      <c r="O41" s="212">
        <f>IF(B41="","",C41*'入力・概要'!$B$29*1E-9-1/(C41*'入力・概要'!$B$27*1E-6))</f>
        <v/>
      </c>
      <c r="P41" s="212">
        <f>IF(B41="","",((L41*N41-M41*O41)*(L41+N41)+(L41*O41+M41*N41)*(M41+O41))/((L41+N41)^2+(M41+O41)^2))</f>
        <v/>
      </c>
      <c r="Q41" s="212">
        <f>IF(B41="","",((L41*O41+M41*N41)*(L41+N41)-(L41*N41-M41*O41)*(M41+O41))/((L41+N41)^2+(M41+O41)^2))</f>
        <v/>
      </c>
      <c r="R41" s="212">
        <f>IF(B41="","",'入力・概要'!$E$15*J41)</f>
        <v/>
      </c>
      <c r="S41" s="212">
        <f>IF(B41="","",'入力・概要'!$E$15*K41)</f>
        <v/>
      </c>
      <c r="T41" s="212">
        <f>IF(B41="","",P41+R41)</f>
        <v/>
      </c>
      <c r="U41" s="212">
        <f>IF(B41="","",Q41+S41)</f>
        <v/>
      </c>
      <c r="V41" s="212">
        <f>IF(B41="","",T41+'入力・概要'!$E$9*F41)</f>
        <v/>
      </c>
      <c r="W41" s="212">
        <f>IF(B41="","",U41+'入力・概要'!$E$9*G41)</f>
        <v/>
      </c>
      <c r="X41" s="212">
        <f>IF(B41="","",'入力・概要'!$E$9+T41*F41-U41*G41)</f>
        <v/>
      </c>
      <c r="Y41" s="212">
        <f>IF(B41="","",T41*G41+U41*F41)</f>
        <v/>
      </c>
      <c r="Z41" s="212">
        <f>IF(B41="","",'入力・概要'!$E$9*(V41*X41+W41*Y41)/(X41^2+Y41^2)+'入力・概要'!$B$36)</f>
        <v/>
      </c>
      <c r="AA41" s="212">
        <f>IF(B41="","",'入力・概要'!$E$9*(W41*X41-V41*Y41)/(X41^2+Y41^2)+C41*'入力・概要'!$B$37*1E-9)</f>
        <v/>
      </c>
      <c r="AB41" s="212">
        <f>IF(B41="","",SQRT(Z41^2+AA41^2))</f>
        <v/>
      </c>
      <c r="AC41" s="212">
        <f>IF(B41="","",IF(Z41&gt;0,DEGREES(ATAN(AA41/Z41)),IF(Z41&lt;0,IF(AA41&gt;=0,DEGREES(ATAN(AA41/Z41))+180,DEGREES(ATAN(AA41/Z41))-180),IF(AA41&gt;0,90,IF(AA41&lt;0,-90,0)))))</f>
        <v/>
      </c>
      <c r="AD41" s="212">
        <f>IF(B41="","",LOG10(B41))</f>
        <v/>
      </c>
      <c r="AE41" s="212">
        <f>IF(AB41="","",LOG10(MAX(AB41,1E-12)))</f>
        <v/>
      </c>
      <c r="AF41" s="212">
        <f>IF(B41="","",SQRT(P41^2+Q41^2))</f>
        <v/>
      </c>
      <c r="AG41" s="212">
        <f>IF(B41="","",SQRT(R41^2+S41^2))</f>
        <v/>
      </c>
    </row>
    <row r="42">
      <c r="A42" s="202" t="n">
        <v>39</v>
      </c>
      <c r="B42" s="213">
        <f>IF(A42&lt;='入力・概要'!$B$40,10^(LOG10('入力・概要'!$B$38)+(A42-1)*(LOG10('入力・概要'!$B$39)-LOG10('入力・概要'!$B$38))/('入力・概要'!$B$40-1)),"")</f>
        <v/>
      </c>
      <c r="C42" s="212">
        <f>IF(B42="","",2*PI()*B42)</f>
        <v/>
      </c>
      <c r="D42" s="212">
        <f>IF(B42="","",ATANH(MIN(0.999999,'入力・概要'!$E$20/'入力・概要'!$E$9))+'入力・概要'!$B$20*SQRT(B42/1E6)+E42*'入力・概要'!$B$15/2)</f>
        <v/>
      </c>
      <c r="E42" s="212">
        <f>IF(B42="","",C42*('入力・概要'!$E$11*1E-9))</f>
        <v/>
      </c>
      <c r="F42" s="212">
        <f>IF(B42="","",SINH(2*D42)/(COSH(2*D42)+COS(2*E42)))</f>
        <v/>
      </c>
      <c r="G42" s="212">
        <f>IF(B42="","",SIN(2*E42)/(COSH(2*D42)+COS(2*E42)))</f>
        <v/>
      </c>
      <c r="H42" s="212">
        <f>IF(B42="","",ATANH(MIN(0.999999,'入力・概要'!$E$21/'入力・概要'!$E$15))+'入力・概要'!$B$21*SQRT(B42/1E6)+I42*'入力・概要'!$B$16/2)</f>
        <v/>
      </c>
      <c r="I42" s="212">
        <f>IF(B42="","",C42*('入力・概要'!$E$17*1E-9))</f>
        <v/>
      </c>
      <c r="J42" s="212">
        <f>IF(B42="","",SINH(2*H42)/(COSH(2*H42)+COS(2*I42)))</f>
        <v/>
      </c>
      <c r="K42" s="212">
        <f>IF(B42="","",SIN(2*I42)/(COSH(2*H42)+COS(2*I42)))</f>
        <v/>
      </c>
      <c r="L42" s="212">
        <f>IF(B42="","",'入力・概要'!$B$25)</f>
        <v/>
      </c>
      <c r="M42" s="212">
        <f>IF(B42="","",C42*'入力・概要'!$B$26*1E-9-1/(C42*'入力・概要'!$B$24*1E-6))</f>
        <v/>
      </c>
      <c r="N42" s="212">
        <f>IF(B42="","",'入力・概要'!$B$28)</f>
        <v/>
      </c>
      <c r="O42" s="212">
        <f>IF(B42="","",C42*'入力・概要'!$B$29*1E-9-1/(C42*'入力・概要'!$B$27*1E-6))</f>
        <v/>
      </c>
      <c r="P42" s="212">
        <f>IF(B42="","",((L42*N42-M42*O42)*(L42+N42)+(L42*O42+M42*N42)*(M42+O42))/((L42+N42)^2+(M42+O42)^2))</f>
        <v/>
      </c>
      <c r="Q42" s="212">
        <f>IF(B42="","",((L42*O42+M42*N42)*(L42+N42)-(L42*N42-M42*O42)*(M42+O42))/((L42+N42)^2+(M42+O42)^2))</f>
        <v/>
      </c>
      <c r="R42" s="212">
        <f>IF(B42="","",'入力・概要'!$E$15*J42)</f>
        <v/>
      </c>
      <c r="S42" s="212">
        <f>IF(B42="","",'入力・概要'!$E$15*K42)</f>
        <v/>
      </c>
      <c r="T42" s="212">
        <f>IF(B42="","",P42+R42)</f>
        <v/>
      </c>
      <c r="U42" s="212">
        <f>IF(B42="","",Q42+S42)</f>
        <v/>
      </c>
      <c r="V42" s="212">
        <f>IF(B42="","",T42+'入力・概要'!$E$9*F42)</f>
        <v/>
      </c>
      <c r="W42" s="212">
        <f>IF(B42="","",U42+'入力・概要'!$E$9*G42)</f>
        <v/>
      </c>
      <c r="X42" s="212">
        <f>IF(B42="","",'入力・概要'!$E$9+T42*F42-U42*G42)</f>
        <v/>
      </c>
      <c r="Y42" s="212">
        <f>IF(B42="","",T42*G42+U42*F42)</f>
        <v/>
      </c>
      <c r="Z42" s="212">
        <f>IF(B42="","",'入力・概要'!$E$9*(V42*X42+W42*Y42)/(X42^2+Y42^2)+'入力・概要'!$B$36)</f>
        <v/>
      </c>
      <c r="AA42" s="212">
        <f>IF(B42="","",'入力・概要'!$E$9*(W42*X42-V42*Y42)/(X42^2+Y42^2)+C42*'入力・概要'!$B$37*1E-9)</f>
        <v/>
      </c>
      <c r="AB42" s="212">
        <f>IF(B42="","",SQRT(Z42^2+AA42^2))</f>
        <v/>
      </c>
      <c r="AC42" s="212">
        <f>IF(B42="","",IF(Z42&gt;0,DEGREES(ATAN(AA42/Z42)),IF(Z42&lt;0,IF(AA42&gt;=0,DEGREES(ATAN(AA42/Z42))+180,DEGREES(ATAN(AA42/Z42))-180),IF(AA42&gt;0,90,IF(AA42&lt;0,-90,0)))))</f>
        <v/>
      </c>
      <c r="AD42" s="212">
        <f>IF(B42="","",LOG10(B42))</f>
        <v/>
      </c>
      <c r="AE42" s="212">
        <f>IF(AB42="","",LOG10(MAX(AB42,1E-12)))</f>
        <v/>
      </c>
      <c r="AF42" s="212">
        <f>IF(B42="","",SQRT(P42^2+Q42^2))</f>
        <v/>
      </c>
      <c r="AG42" s="212">
        <f>IF(B42="","",SQRT(R42^2+S42^2))</f>
        <v/>
      </c>
    </row>
    <row r="43">
      <c r="A43" s="202" t="n">
        <v>40</v>
      </c>
      <c r="B43" s="213">
        <f>IF(A43&lt;='入力・概要'!$B$40,10^(LOG10('入力・概要'!$B$38)+(A43-1)*(LOG10('入力・概要'!$B$39)-LOG10('入力・概要'!$B$38))/('入力・概要'!$B$40-1)),"")</f>
        <v/>
      </c>
      <c r="C43" s="212">
        <f>IF(B43="","",2*PI()*B43)</f>
        <v/>
      </c>
      <c r="D43" s="212">
        <f>IF(B43="","",ATANH(MIN(0.999999,'入力・概要'!$E$20/'入力・概要'!$E$9))+'入力・概要'!$B$20*SQRT(B43/1E6)+E43*'入力・概要'!$B$15/2)</f>
        <v/>
      </c>
      <c r="E43" s="212">
        <f>IF(B43="","",C43*('入力・概要'!$E$11*1E-9))</f>
        <v/>
      </c>
      <c r="F43" s="212">
        <f>IF(B43="","",SINH(2*D43)/(COSH(2*D43)+COS(2*E43)))</f>
        <v/>
      </c>
      <c r="G43" s="212">
        <f>IF(B43="","",SIN(2*E43)/(COSH(2*D43)+COS(2*E43)))</f>
        <v/>
      </c>
      <c r="H43" s="212">
        <f>IF(B43="","",ATANH(MIN(0.999999,'入力・概要'!$E$21/'入力・概要'!$E$15))+'入力・概要'!$B$21*SQRT(B43/1E6)+I43*'入力・概要'!$B$16/2)</f>
        <v/>
      </c>
      <c r="I43" s="212">
        <f>IF(B43="","",C43*('入力・概要'!$E$17*1E-9))</f>
        <v/>
      </c>
      <c r="J43" s="212">
        <f>IF(B43="","",SINH(2*H43)/(COSH(2*H43)+COS(2*I43)))</f>
        <v/>
      </c>
      <c r="K43" s="212">
        <f>IF(B43="","",SIN(2*I43)/(COSH(2*H43)+COS(2*I43)))</f>
        <v/>
      </c>
      <c r="L43" s="212">
        <f>IF(B43="","",'入力・概要'!$B$25)</f>
        <v/>
      </c>
      <c r="M43" s="212">
        <f>IF(B43="","",C43*'入力・概要'!$B$26*1E-9-1/(C43*'入力・概要'!$B$24*1E-6))</f>
        <v/>
      </c>
      <c r="N43" s="212">
        <f>IF(B43="","",'入力・概要'!$B$28)</f>
        <v/>
      </c>
      <c r="O43" s="212">
        <f>IF(B43="","",C43*'入力・概要'!$B$29*1E-9-1/(C43*'入力・概要'!$B$27*1E-6))</f>
        <v/>
      </c>
      <c r="P43" s="212">
        <f>IF(B43="","",((L43*N43-M43*O43)*(L43+N43)+(L43*O43+M43*N43)*(M43+O43))/((L43+N43)^2+(M43+O43)^2))</f>
        <v/>
      </c>
      <c r="Q43" s="212">
        <f>IF(B43="","",((L43*O43+M43*N43)*(L43+N43)-(L43*N43-M43*O43)*(M43+O43))/((L43+N43)^2+(M43+O43)^2))</f>
        <v/>
      </c>
      <c r="R43" s="212">
        <f>IF(B43="","",'入力・概要'!$E$15*J43)</f>
        <v/>
      </c>
      <c r="S43" s="212">
        <f>IF(B43="","",'入力・概要'!$E$15*K43)</f>
        <v/>
      </c>
      <c r="T43" s="212">
        <f>IF(B43="","",P43+R43)</f>
        <v/>
      </c>
      <c r="U43" s="212">
        <f>IF(B43="","",Q43+S43)</f>
        <v/>
      </c>
      <c r="V43" s="212">
        <f>IF(B43="","",T43+'入力・概要'!$E$9*F43)</f>
        <v/>
      </c>
      <c r="W43" s="212">
        <f>IF(B43="","",U43+'入力・概要'!$E$9*G43)</f>
        <v/>
      </c>
      <c r="X43" s="212">
        <f>IF(B43="","",'入力・概要'!$E$9+T43*F43-U43*G43)</f>
        <v/>
      </c>
      <c r="Y43" s="212">
        <f>IF(B43="","",T43*G43+U43*F43)</f>
        <v/>
      </c>
      <c r="Z43" s="212">
        <f>IF(B43="","",'入力・概要'!$E$9*(V43*X43+W43*Y43)/(X43^2+Y43^2)+'入力・概要'!$B$36)</f>
        <v/>
      </c>
      <c r="AA43" s="212">
        <f>IF(B43="","",'入力・概要'!$E$9*(W43*X43-V43*Y43)/(X43^2+Y43^2)+C43*'入力・概要'!$B$37*1E-9)</f>
        <v/>
      </c>
      <c r="AB43" s="212">
        <f>IF(B43="","",SQRT(Z43^2+AA43^2))</f>
        <v/>
      </c>
      <c r="AC43" s="212">
        <f>IF(B43="","",IF(Z43&gt;0,DEGREES(ATAN(AA43/Z43)),IF(Z43&lt;0,IF(AA43&gt;=0,DEGREES(ATAN(AA43/Z43))+180,DEGREES(ATAN(AA43/Z43))-180),IF(AA43&gt;0,90,IF(AA43&lt;0,-90,0)))))</f>
        <v/>
      </c>
      <c r="AD43" s="212">
        <f>IF(B43="","",LOG10(B43))</f>
        <v/>
      </c>
      <c r="AE43" s="212">
        <f>IF(AB43="","",LOG10(MAX(AB43,1E-12)))</f>
        <v/>
      </c>
      <c r="AF43" s="212">
        <f>IF(B43="","",SQRT(P43^2+Q43^2))</f>
        <v/>
      </c>
      <c r="AG43" s="212">
        <f>IF(B43="","",SQRT(R43^2+S43^2))</f>
        <v/>
      </c>
    </row>
    <row r="44">
      <c r="A44" s="202" t="n">
        <v>41</v>
      </c>
      <c r="B44" s="213">
        <f>IF(A44&lt;='入力・概要'!$B$40,10^(LOG10('入力・概要'!$B$38)+(A44-1)*(LOG10('入力・概要'!$B$39)-LOG10('入力・概要'!$B$38))/('入力・概要'!$B$40-1)),"")</f>
        <v/>
      </c>
      <c r="C44" s="212">
        <f>IF(B44="","",2*PI()*B44)</f>
        <v/>
      </c>
      <c r="D44" s="212">
        <f>IF(B44="","",ATANH(MIN(0.999999,'入力・概要'!$E$20/'入力・概要'!$E$9))+'入力・概要'!$B$20*SQRT(B44/1E6)+E44*'入力・概要'!$B$15/2)</f>
        <v/>
      </c>
      <c r="E44" s="212">
        <f>IF(B44="","",C44*('入力・概要'!$E$11*1E-9))</f>
        <v/>
      </c>
      <c r="F44" s="212">
        <f>IF(B44="","",SINH(2*D44)/(COSH(2*D44)+COS(2*E44)))</f>
        <v/>
      </c>
      <c r="G44" s="212">
        <f>IF(B44="","",SIN(2*E44)/(COSH(2*D44)+COS(2*E44)))</f>
        <v/>
      </c>
      <c r="H44" s="212">
        <f>IF(B44="","",ATANH(MIN(0.999999,'入力・概要'!$E$21/'入力・概要'!$E$15))+'入力・概要'!$B$21*SQRT(B44/1E6)+I44*'入力・概要'!$B$16/2)</f>
        <v/>
      </c>
      <c r="I44" s="212">
        <f>IF(B44="","",C44*('入力・概要'!$E$17*1E-9))</f>
        <v/>
      </c>
      <c r="J44" s="212">
        <f>IF(B44="","",SINH(2*H44)/(COSH(2*H44)+COS(2*I44)))</f>
        <v/>
      </c>
      <c r="K44" s="212">
        <f>IF(B44="","",SIN(2*I44)/(COSH(2*H44)+COS(2*I44)))</f>
        <v/>
      </c>
      <c r="L44" s="212">
        <f>IF(B44="","",'入力・概要'!$B$25)</f>
        <v/>
      </c>
      <c r="M44" s="212">
        <f>IF(B44="","",C44*'入力・概要'!$B$26*1E-9-1/(C44*'入力・概要'!$B$24*1E-6))</f>
        <v/>
      </c>
      <c r="N44" s="212">
        <f>IF(B44="","",'入力・概要'!$B$28)</f>
        <v/>
      </c>
      <c r="O44" s="212">
        <f>IF(B44="","",C44*'入力・概要'!$B$29*1E-9-1/(C44*'入力・概要'!$B$27*1E-6))</f>
        <v/>
      </c>
      <c r="P44" s="212">
        <f>IF(B44="","",((L44*N44-M44*O44)*(L44+N44)+(L44*O44+M44*N44)*(M44+O44))/((L44+N44)^2+(M44+O44)^2))</f>
        <v/>
      </c>
      <c r="Q44" s="212">
        <f>IF(B44="","",((L44*O44+M44*N44)*(L44+N44)-(L44*N44-M44*O44)*(M44+O44))/((L44+N44)^2+(M44+O44)^2))</f>
        <v/>
      </c>
      <c r="R44" s="212">
        <f>IF(B44="","",'入力・概要'!$E$15*J44)</f>
        <v/>
      </c>
      <c r="S44" s="212">
        <f>IF(B44="","",'入力・概要'!$E$15*K44)</f>
        <v/>
      </c>
      <c r="T44" s="212">
        <f>IF(B44="","",P44+R44)</f>
        <v/>
      </c>
      <c r="U44" s="212">
        <f>IF(B44="","",Q44+S44)</f>
        <v/>
      </c>
      <c r="V44" s="212">
        <f>IF(B44="","",T44+'入力・概要'!$E$9*F44)</f>
        <v/>
      </c>
      <c r="W44" s="212">
        <f>IF(B44="","",U44+'入力・概要'!$E$9*G44)</f>
        <v/>
      </c>
      <c r="X44" s="212">
        <f>IF(B44="","",'入力・概要'!$E$9+T44*F44-U44*G44)</f>
        <v/>
      </c>
      <c r="Y44" s="212">
        <f>IF(B44="","",T44*G44+U44*F44)</f>
        <v/>
      </c>
      <c r="Z44" s="212">
        <f>IF(B44="","",'入力・概要'!$E$9*(V44*X44+W44*Y44)/(X44^2+Y44^2)+'入力・概要'!$B$36)</f>
        <v/>
      </c>
      <c r="AA44" s="212">
        <f>IF(B44="","",'入力・概要'!$E$9*(W44*X44-V44*Y44)/(X44^2+Y44^2)+C44*'入力・概要'!$B$37*1E-9)</f>
        <v/>
      </c>
      <c r="AB44" s="212">
        <f>IF(B44="","",SQRT(Z44^2+AA44^2))</f>
        <v/>
      </c>
      <c r="AC44" s="212">
        <f>IF(B44="","",IF(Z44&gt;0,DEGREES(ATAN(AA44/Z44)),IF(Z44&lt;0,IF(AA44&gt;=0,DEGREES(ATAN(AA44/Z44))+180,DEGREES(ATAN(AA44/Z44))-180),IF(AA44&gt;0,90,IF(AA44&lt;0,-90,0)))))</f>
        <v/>
      </c>
      <c r="AD44" s="212">
        <f>IF(B44="","",LOG10(B44))</f>
        <v/>
      </c>
      <c r="AE44" s="212">
        <f>IF(AB44="","",LOG10(MAX(AB44,1E-12)))</f>
        <v/>
      </c>
      <c r="AF44" s="212">
        <f>IF(B44="","",SQRT(P44^2+Q44^2))</f>
        <v/>
      </c>
      <c r="AG44" s="212">
        <f>IF(B44="","",SQRT(R44^2+S44^2))</f>
        <v/>
      </c>
    </row>
    <row r="45">
      <c r="A45" s="202" t="n">
        <v>42</v>
      </c>
      <c r="B45" s="213">
        <f>IF(A45&lt;='入力・概要'!$B$40,10^(LOG10('入力・概要'!$B$38)+(A45-1)*(LOG10('入力・概要'!$B$39)-LOG10('入力・概要'!$B$38))/('入力・概要'!$B$40-1)),"")</f>
        <v/>
      </c>
      <c r="C45" s="212">
        <f>IF(B45="","",2*PI()*B45)</f>
        <v/>
      </c>
      <c r="D45" s="212">
        <f>IF(B45="","",ATANH(MIN(0.999999,'入力・概要'!$E$20/'入力・概要'!$E$9))+'入力・概要'!$B$20*SQRT(B45/1E6)+E45*'入力・概要'!$B$15/2)</f>
        <v/>
      </c>
      <c r="E45" s="212">
        <f>IF(B45="","",C45*('入力・概要'!$E$11*1E-9))</f>
        <v/>
      </c>
      <c r="F45" s="212">
        <f>IF(B45="","",SINH(2*D45)/(COSH(2*D45)+COS(2*E45)))</f>
        <v/>
      </c>
      <c r="G45" s="212">
        <f>IF(B45="","",SIN(2*E45)/(COSH(2*D45)+COS(2*E45)))</f>
        <v/>
      </c>
      <c r="H45" s="212">
        <f>IF(B45="","",ATANH(MIN(0.999999,'入力・概要'!$E$21/'入力・概要'!$E$15))+'入力・概要'!$B$21*SQRT(B45/1E6)+I45*'入力・概要'!$B$16/2)</f>
        <v/>
      </c>
      <c r="I45" s="212">
        <f>IF(B45="","",C45*('入力・概要'!$E$17*1E-9))</f>
        <v/>
      </c>
      <c r="J45" s="212">
        <f>IF(B45="","",SINH(2*H45)/(COSH(2*H45)+COS(2*I45)))</f>
        <v/>
      </c>
      <c r="K45" s="212">
        <f>IF(B45="","",SIN(2*I45)/(COSH(2*H45)+COS(2*I45)))</f>
        <v/>
      </c>
      <c r="L45" s="212">
        <f>IF(B45="","",'入力・概要'!$B$25)</f>
        <v/>
      </c>
      <c r="M45" s="212">
        <f>IF(B45="","",C45*'入力・概要'!$B$26*1E-9-1/(C45*'入力・概要'!$B$24*1E-6))</f>
        <v/>
      </c>
      <c r="N45" s="212">
        <f>IF(B45="","",'入力・概要'!$B$28)</f>
        <v/>
      </c>
      <c r="O45" s="212">
        <f>IF(B45="","",C45*'入力・概要'!$B$29*1E-9-1/(C45*'入力・概要'!$B$27*1E-6))</f>
        <v/>
      </c>
      <c r="P45" s="212">
        <f>IF(B45="","",((L45*N45-M45*O45)*(L45+N45)+(L45*O45+M45*N45)*(M45+O45))/((L45+N45)^2+(M45+O45)^2))</f>
        <v/>
      </c>
      <c r="Q45" s="212">
        <f>IF(B45="","",((L45*O45+M45*N45)*(L45+N45)-(L45*N45-M45*O45)*(M45+O45))/((L45+N45)^2+(M45+O45)^2))</f>
        <v/>
      </c>
      <c r="R45" s="212">
        <f>IF(B45="","",'入力・概要'!$E$15*J45)</f>
        <v/>
      </c>
      <c r="S45" s="212">
        <f>IF(B45="","",'入力・概要'!$E$15*K45)</f>
        <v/>
      </c>
      <c r="T45" s="212">
        <f>IF(B45="","",P45+R45)</f>
        <v/>
      </c>
      <c r="U45" s="212">
        <f>IF(B45="","",Q45+S45)</f>
        <v/>
      </c>
      <c r="V45" s="212">
        <f>IF(B45="","",T45+'入力・概要'!$E$9*F45)</f>
        <v/>
      </c>
      <c r="W45" s="212">
        <f>IF(B45="","",U45+'入力・概要'!$E$9*G45)</f>
        <v/>
      </c>
      <c r="X45" s="212">
        <f>IF(B45="","",'入力・概要'!$E$9+T45*F45-U45*G45)</f>
        <v/>
      </c>
      <c r="Y45" s="212">
        <f>IF(B45="","",T45*G45+U45*F45)</f>
        <v/>
      </c>
      <c r="Z45" s="212">
        <f>IF(B45="","",'入力・概要'!$E$9*(V45*X45+W45*Y45)/(X45^2+Y45^2)+'入力・概要'!$B$36)</f>
        <v/>
      </c>
      <c r="AA45" s="212">
        <f>IF(B45="","",'入力・概要'!$E$9*(W45*X45-V45*Y45)/(X45^2+Y45^2)+C45*'入力・概要'!$B$37*1E-9)</f>
        <v/>
      </c>
      <c r="AB45" s="212">
        <f>IF(B45="","",SQRT(Z45^2+AA45^2))</f>
        <v/>
      </c>
      <c r="AC45" s="212">
        <f>IF(B45="","",IF(Z45&gt;0,DEGREES(ATAN(AA45/Z45)),IF(Z45&lt;0,IF(AA45&gt;=0,DEGREES(ATAN(AA45/Z45))+180,DEGREES(ATAN(AA45/Z45))-180),IF(AA45&gt;0,90,IF(AA45&lt;0,-90,0)))))</f>
        <v/>
      </c>
      <c r="AD45" s="212">
        <f>IF(B45="","",LOG10(B45))</f>
        <v/>
      </c>
      <c r="AE45" s="212">
        <f>IF(AB45="","",LOG10(MAX(AB45,1E-12)))</f>
        <v/>
      </c>
      <c r="AF45" s="212">
        <f>IF(B45="","",SQRT(P45^2+Q45^2))</f>
        <v/>
      </c>
      <c r="AG45" s="212">
        <f>IF(B45="","",SQRT(R45^2+S45^2))</f>
        <v/>
      </c>
    </row>
    <row r="46">
      <c r="A46" s="202" t="n">
        <v>43</v>
      </c>
      <c r="B46" s="213">
        <f>IF(A46&lt;='入力・概要'!$B$40,10^(LOG10('入力・概要'!$B$38)+(A46-1)*(LOG10('入力・概要'!$B$39)-LOG10('入力・概要'!$B$38))/('入力・概要'!$B$40-1)),"")</f>
        <v/>
      </c>
      <c r="C46" s="212">
        <f>IF(B46="","",2*PI()*B46)</f>
        <v/>
      </c>
      <c r="D46" s="212">
        <f>IF(B46="","",ATANH(MIN(0.999999,'入力・概要'!$E$20/'入力・概要'!$E$9))+'入力・概要'!$B$20*SQRT(B46/1E6)+E46*'入力・概要'!$B$15/2)</f>
        <v/>
      </c>
      <c r="E46" s="212">
        <f>IF(B46="","",C46*('入力・概要'!$E$11*1E-9))</f>
        <v/>
      </c>
      <c r="F46" s="212">
        <f>IF(B46="","",SINH(2*D46)/(COSH(2*D46)+COS(2*E46)))</f>
        <v/>
      </c>
      <c r="G46" s="212">
        <f>IF(B46="","",SIN(2*E46)/(COSH(2*D46)+COS(2*E46)))</f>
        <v/>
      </c>
      <c r="H46" s="212">
        <f>IF(B46="","",ATANH(MIN(0.999999,'入力・概要'!$E$21/'入力・概要'!$E$15))+'入力・概要'!$B$21*SQRT(B46/1E6)+I46*'入力・概要'!$B$16/2)</f>
        <v/>
      </c>
      <c r="I46" s="212">
        <f>IF(B46="","",C46*('入力・概要'!$E$17*1E-9))</f>
        <v/>
      </c>
      <c r="J46" s="212">
        <f>IF(B46="","",SINH(2*H46)/(COSH(2*H46)+COS(2*I46)))</f>
        <v/>
      </c>
      <c r="K46" s="212">
        <f>IF(B46="","",SIN(2*I46)/(COSH(2*H46)+COS(2*I46)))</f>
        <v/>
      </c>
      <c r="L46" s="212">
        <f>IF(B46="","",'入力・概要'!$B$25)</f>
        <v/>
      </c>
      <c r="M46" s="212">
        <f>IF(B46="","",C46*'入力・概要'!$B$26*1E-9-1/(C46*'入力・概要'!$B$24*1E-6))</f>
        <v/>
      </c>
      <c r="N46" s="212">
        <f>IF(B46="","",'入力・概要'!$B$28)</f>
        <v/>
      </c>
      <c r="O46" s="212">
        <f>IF(B46="","",C46*'入力・概要'!$B$29*1E-9-1/(C46*'入力・概要'!$B$27*1E-6))</f>
        <v/>
      </c>
      <c r="P46" s="212">
        <f>IF(B46="","",((L46*N46-M46*O46)*(L46+N46)+(L46*O46+M46*N46)*(M46+O46))/((L46+N46)^2+(M46+O46)^2))</f>
        <v/>
      </c>
      <c r="Q46" s="212">
        <f>IF(B46="","",((L46*O46+M46*N46)*(L46+N46)-(L46*N46-M46*O46)*(M46+O46))/((L46+N46)^2+(M46+O46)^2))</f>
        <v/>
      </c>
      <c r="R46" s="212">
        <f>IF(B46="","",'入力・概要'!$E$15*J46)</f>
        <v/>
      </c>
      <c r="S46" s="212">
        <f>IF(B46="","",'入力・概要'!$E$15*K46)</f>
        <v/>
      </c>
      <c r="T46" s="212">
        <f>IF(B46="","",P46+R46)</f>
        <v/>
      </c>
      <c r="U46" s="212">
        <f>IF(B46="","",Q46+S46)</f>
        <v/>
      </c>
      <c r="V46" s="212">
        <f>IF(B46="","",T46+'入力・概要'!$E$9*F46)</f>
        <v/>
      </c>
      <c r="W46" s="212">
        <f>IF(B46="","",U46+'入力・概要'!$E$9*G46)</f>
        <v/>
      </c>
      <c r="X46" s="212">
        <f>IF(B46="","",'入力・概要'!$E$9+T46*F46-U46*G46)</f>
        <v/>
      </c>
      <c r="Y46" s="212">
        <f>IF(B46="","",T46*G46+U46*F46)</f>
        <v/>
      </c>
      <c r="Z46" s="212">
        <f>IF(B46="","",'入力・概要'!$E$9*(V46*X46+W46*Y46)/(X46^2+Y46^2)+'入力・概要'!$B$36)</f>
        <v/>
      </c>
      <c r="AA46" s="212">
        <f>IF(B46="","",'入力・概要'!$E$9*(W46*X46-V46*Y46)/(X46^2+Y46^2)+C46*'入力・概要'!$B$37*1E-9)</f>
        <v/>
      </c>
      <c r="AB46" s="212">
        <f>IF(B46="","",SQRT(Z46^2+AA46^2))</f>
        <v/>
      </c>
      <c r="AC46" s="212">
        <f>IF(B46="","",IF(Z46&gt;0,DEGREES(ATAN(AA46/Z46)),IF(Z46&lt;0,IF(AA46&gt;=0,DEGREES(ATAN(AA46/Z46))+180,DEGREES(ATAN(AA46/Z46))-180),IF(AA46&gt;0,90,IF(AA46&lt;0,-90,0)))))</f>
        <v/>
      </c>
      <c r="AD46" s="212">
        <f>IF(B46="","",LOG10(B46))</f>
        <v/>
      </c>
      <c r="AE46" s="212">
        <f>IF(AB46="","",LOG10(MAX(AB46,1E-12)))</f>
        <v/>
      </c>
      <c r="AF46" s="212">
        <f>IF(B46="","",SQRT(P46^2+Q46^2))</f>
        <v/>
      </c>
      <c r="AG46" s="212">
        <f>IF(B46="","",SQRT(R46^2+S46^2))</f>
        <v/>
      </c>
    </row>
    <row r="47">
      <c r="A47" s="202" t="n">
        <v>44</v>
      </c>
      <c r="B47" s="213">
        <f>IF(A47&lt;='入力・概要'!$B$40,10^(LOG10('入力・概要'!$B$38)+(A47-1)*(LOG10('入力・概要'!$B$39)-LOG10('入力・概要'!$B$38))/('入力・概要'!$B$40-1)),"")</f>
        <v/>
      </c>
      <c r="C47" s="212">
        <f>IF(B47="","",2*PI()*B47)</f>
        <v/>
      </c>
      <c r="D47" s="212">
        <f>IF(B47="","",ATANH(MIN(0.999999,'入力・概要'!$E$20/'入力・概要'!$E$9))+'入力・概要'!$B$20*SQRT(B47/1E6)+E47*'入力・概要'!$B$15/2)</f>
        <v/>
      </c>
      <c r="E47" s="212">
        <f>IF(B47="","",C47*('入力・概要'!$E$11*1E-9))</f>
        <v/>
      </c>
      <c r="F47" s="212">
        <f>IF(B47="","",SINH(2*D47)/(COSH(2*D47)+COS(2*E47)))</f>
        <v/>
      </c>
      <c r="G47" s="212">
        <f>IF(B47="","",SIN(2*E47)/(COSH(2*D47)+COS(2*E47)))</f>
        <v/>
      </c>
      <c r="H47" s="212">
        <f>IF(B47="","",ATANH(MIN(0.999999,'入力・概要'!$E$21/'入力・概要'!$E$15))+'入力・概要'!$B$21*SQRT(B47/1E6)+I47*'入力・概要'!$B$16/2)</f>
        <v/>
      </c>
      <c r="I47" s="212">
        <f>IF(B47="","",C47*('入力・概要'!$E$17*1E-9))</f>
        <v/>
      </c>
      <c r="J47" s="212">
        <f>IF(B47="","",SINH(2*H47)/(COSH(2*H47)+COS(2*I47)))</f>
        <v/>
      </c>
      <c r="K47" s="212">
        <f>IF(B47="","",SIN(2*I47)/(COSH(2*H47)+COS(2*I47)))</f>
        <v/>
      </c>
      <c r="L47" s="212">
        <f>IF(B47="","",'入力・概要'!$B$25)</f>
        <v/>
      </c>
      <c r="M47" s="212">
        <f>IF(B47="","",C47*'入力・概要'!$B$26*1E-9-1/(C47*'入力・概要'!$B$24*1E-6))</f>
        <v/>
      </c>
      <c r="N47" s="212">
        <f>IF(B47="","",'入力・概要'!$B$28)</f>
        <v/>
      </c>
      <c r="O47" s="212">
        <f>IF(B47="","",C47*'入力・概要'!$B$29*1E-9-1/(C47*'入力・概要'!$B$27*1E-6))</f>
        <v/>
      </c>
      <c r="P47" s="212">
        <f>IF(B47="","",((L47*N47-M47*O47)*(L47+N47)+(L47*O47+M47*N47)*(M47+O47))/((L47+N47)^2+(M47+O47)^2))</f>
        <v/>
      </c>
      <c r="Q47" s="212">
        <f>IF(B47="","",((L47*O47+M47*N47)*(L47+N47)-(L47*N47-M47*O47)*(M47+O47))/((L47+N47)^2+(M47+O47)^2))</f>
        <v/>
      </c>
      <c r="R47" s="212">
        <f>IF(B47="","",'入力・概要'!$E$15*J47)</f>
        <v/>
      </c>
      <c r="S47" s="212">
        <f>IF(B47="","",'入力・概要'!$E$15*K47)</f>
        <v/>
      </c>
      <c r="T47" s="212">
        <f>IF(B47="","",P47+R47)</f>
        <v/>
      </c>
      <c r="U47" s="212">
        <f>IF(B47="","",Q47+S47)</f>
        <v/>
      </c>
      <c r="V47" s="212">
        <f>IF(B47="","",T47+'入力・概要'!$E$9*F47)</f>
        <v/>
      </c>
      <c r="W47" s="212">
        <f>IF(B47="","",U47+'入力・概要'!$E$9*G47)</f>
        <v/>
      </c>
      <c r="X47" s="212">
        <f>IF(B47="","",'入力・概要'!$E$9+T47*F47-U47*G47)</f>
        <v/>
      </c>
      <c r="Y47" s="212">
        <f>IF(B47="","",T47*G47+U47*F47)</f>
        <v/>
      </c>
      <c r="Z47" s="212">
        <f>IF(B47="","",'入力・概要'!$E$9*(V47*X47+W47*Y47)/(X47^2+Y47^2)+'入力・概要'!$B$36)</f>
        <v/>
      </c>
      <c r="AA47" s="212">
        <f>IF(B47="","",'入力・概要'!$E$9*(W47*X47-V47*Y47)/(X47^2+Y47^2)+C47*'入力・概要'!$B$37*1E-9)</f>
        <v/>
      </c>
      <c r="AB47" s="212">
        <f>IF(B47="","",SQRT(Z47^2+AA47^2))</f>
        <v/>
      </c>
      <c r="AC47" s="212">
        <f>IF(B47="","",IF(Z47&gt;0,DEGREES(ATAN(AA47/Z47)),IF(Z47&lt;0,IF(AA47&gt;=0,DEGREES(ATAN(AA47/Z47))+180,DEGREES(ATAN(AA47/Z47))-180),IF(AA47&gt;0,90,IF(AA47&lt;0,-90,0)))))</f>
        <v/>
      </c>
      <c r="AD47" s="212">
        <f>IF(B47="","",LOG10(B47))</f>
        <v/>
      </c>
      <c r="AE47" s="212">
        <f>IF(AB47="","",LOG10(MAX(AB47,1E-12)))</f>
        <v/>
      </c>
      <c r="AF47" s="212">
        <f>IF(B47="","",SQRT(P47^2+Q47^2))</f>
        <v/>
      </c>
      <c r="AG47" s="212">
        <f>IF(B47="","",SQRT(R47^2+S47^2))</f>
        <v/>
      </c>
    </row>
    <row r="48">
      <c r="A48" s="202" t="n">
        <v>45</v>
      </c>
      <c r="B48" s="213">
        <f>IF(A48&lt;='入力・概要'!$B$40,10^(LOG10('入力・概要'!$B$38)+(A48-1)*(LOG10('入力・概要'!$B$39)-LOG10('入力・概要'!$B$38))/('入力・概要'!$B$40-1)),"")</f>
        <v/>
      </c>
      <c r="C48" s="212">
        <f>IF(B48="","",2*PI()*B48)</f>
        <v/>
      </c>
      <c r="D48" s="212">
        <f>IF(B48="","",ATANH(MIN(0.999999,'入力・概要'!$E$20/'入力・概要'!$E$9))+'入力・概要'!$B$20*SQRT(B48/1E6)+E48*'入力・概要'!$B$15/2)</f>
        <v/>
      </c>
      <c r="E48" s="212">
        <f>IF(B48="","",C48*('入力・概要'!$E$11*1E-9))</f>
        <v/>
      </c>
      <c r="F48" s="212">
        <f>IF(B48="","",SINH(2*D48)/(COSH(2*D48)+COS(2*E48)))</f>
        <v/>
      </c>
      <c r="G48" s="212">
        <f>IF(B48="","",SIN(2*E48)/(COSH(2*D48)+COS(2*E48)))</f>
        <v/>
      </c>
      <c r="H48" s="212">
        <f>IF(B48="","",ATANH(MIN(0.999999,'入力・概要'!$E$21/'入力・概要'!$E$15))+'入力・概要'!$B$21*SQRT(B48/1E6)+I48*'入力・概要'!$B$16/2)</f>
        <v/>
      </c>
      <c r="I48" s="212">
        <f>IF(B48="","",C48*('入力・概要'!$E$17*1E-9))</f>
        <v/>
      </c>
      <c r="J48" s="212">
        <f>IF(B48="","",SINH(2*H48)/(COSH(2*H48)+COS(2*I48)))</f>
        <v/>
      </c>
      <c r="K48" s="212">
        <f>IF(B48="","",SIN(2*I48)/(COSH(2*H48)+COS(2*I48)))</f>
        <v/>
      </c>
      <c r="L48" s="212">
        <f>IF(B48="","",'入力・概要'!$B$25)</f>
        <v/>
      </c>
      <c r="M48" s="212">
        <f>IF(B48="","",C48*'入力・概要'!$B$26*1E-9-1/(C48*'入力・概要'!$B$24*1E-6))</f>
        <v/>
      </c>
      <c r="N48" s="212">
        <f>IF(B48="","",'入力・概要'!$B$28)</f>
        <v/>
      </c>
      <c r="O48" s="212">
        <f>IF(B48="","",C48*'入力・概要'!$B$29*1E-9-1/(C48*'入力・概要'!$B$27*1E-6))</f>
        <v/>
      </c>
      <c r="P48" s="212">
        <f>IF(B48="","",((L48*N48-M48*O48)*(L48+N48)+(L48*O48+M48*N48)*(M48+O48))/((L48+N48)^2+(M48+O48)^2))</f>
        <v/>
      </c>
      <c r="Q48" s="212">
        <f>IF(B48="","",((L48*O48+M48*N48)*(L48+N48)-(L48*N48-M48*O48)*(M48+O48))/((L48+N48)^2+(M48+O48)^2))</f>
        <v/>
      </c>
      <c r="R48" s="212">
        <f>IF(B48="","",'入力・概要'!$E$15*J48)</f>
        <v/>
      </c>
      <c r="S48" s="212">
        <f>IF(B48="","",'入力・概要'!$E$15*K48)</f>
        <v/>
      </c>
      <c r="T48" s="212">
        <f>IF(B48="","",P48+R48)</f>
        <v/>
      </c>
      <c r="U48" s="212">
        <f>IF(B48="","",Q48+S48)</f>
        <v/>
      </c>
      <c r="V48" s="212">
        <f>IF(B48="","",T48+'入力・概要'!$E$9*F48)</f>
        <v/>
      </c>
      <c r="W48" s="212">
        <f>IF(B48="","",U48+'入力・概要'!$E$9*G48)</f>
        <v/>
      </c>
      <c r="X48" s="212">
        <f>IF(B48="","",'入力・概要'!$E$9+T48*F48-U48*G48)</f>
        <v/>
      </c>
      <c r="Y48" s="212">
        <f>IF(B48="","",T48*G48+U48*F48)</f>
        <v/>
      </c>
      <c r="Z48" s="212">
        <f>IF(B48="","",'入力・概要'!$E$9*(V48*X48+W48*Y48)/(X48^2+Y48^2)+'入力・概要'!$B$36)</f>
        <v/>
      </c>
      <c r="AA48" s="212">
        <f>IF(B48="","",'入力・概要'!$E$9*(W48*X48-V48*Y48)/(X48^2+Y48^2)+C48*'入力・概要'!$B$37*1E-9)</f>
        <v/>
      </c>
      <c r="AB48" s="212">
        <f>IF(B48="","",SQRT(Z48^2+AA48^2))</f>
        <v/>
      </c>
      <c r="AC48" s="212">
        <f>IF(B48="","",IF(Z48&gt;0,DEGREES(ATAN(AA48/Z48)),IF(Z48&lt;0,IF(AA48&gt;=0,DEGREES(ATAN(AA48/Z48))+180,DEGREES(ATAN(AA48/Z48))-180),IF(AA48&gt;0,90,IF(AA48&lt;0,-90,0)))))</f>
        <v/>
      </c>
      <c r="AD48" s="212">
        <f>IF(B48="","",LOG10(B48))</f>
        <v/>
      </c>
      <c r="AE48" s="212">
        <f>IF(AB48="","",LOG10(MAX(AB48,1E-12)))</f>
        <v/>
      </c>
      <c r="AF48" s="212">
        <f>IF(B48="","",SQRT(P48^2+Q48^2))</f>
        <v/>
      </c>
      <c r="AG48" s="212">
        <f>IF(B48="","",SQRT(R48^2+S48^2))</f>
        <v/>
      </c>
    </row>
    <row r="49">
      <c r="A49" s="202" t="n">
        <v>46</v>
      </c>
      <c r="B49" s="213">
        <f>IF(A49&lt;='入力・概要'!$B$40,10^(LOG10('入力・概要'!$B$38)+(A49-1)*(LOG10('入力・概要'!$B$39)-LOG10('入力・概要'!$B$38))/('入力・概要'!$B$40-1)),"")</f>
        <v/>
      </c>
      <c r="C49" s="212">
        <f>IF(B49="","",2*PI()*B49)</f>
        <v/>
      </c>
      <c r="D49" s="212">
        <f>IF(B49="","",ATANH(MIN(0.999999,'入力・概要'!$E$20/'入力・概要'!$E$9))+'入力・概要'!$B$20*SQRT(B49/1E6)+E49*'入力・概要'!$B$15/2)</f>
        <v/>
      </c>
      <c r="E49" s="212">
        <f>IF(B49="","",C49*('入力・概要'!$E$11*1E-9))</f>
        <v/>
      </c>
      <c r="F49" s="212">
        <f>IF(B49="","",SINH(2*D49)/(COSH(2*D49)+COS(2*E49)))</f>
        <v/>
      </c>
      <c r="G49" s="212">
        <f>IF(B49="","",SIN(2*E49)/(COSH(2*D49)+COS(2*E49)))</f>
        <v/>
      </c>
      <c r="H49" s="212">
        <f>IF(B49="","",ATANH(MIN(0.999999,'入力・概要'!$E$21/'入力・概要'!$E$15))+'入力・概要'!$B$21*SQRT(B49/1E6)+I49*'入力・概要'!$B$16/2)</f>
        <v/>
      </c>
      <c r="I49" s="212">
        <f>IF(B49="","",C49*('入力・概要'!$E$17*1E-9))</f>
        <v/>
      </c>
      <c r="J49" s="212">
        <f>IF(B49="","",SINH(2*H49)/(COSH(2*H49)+COS(2*I49)))</f>
        <v/>
      </c>
      <c r="K49" s="212">
        <f>IF(B49="","",SIN(2*I49)/(COSH(2*H49)+COS(2*I49)))</f>
        <v/>
      </c>
      <c r="L49" s="212">
        <f>IF(B49="","",'入力・概要'!$B$25)</f>
        <v/>
      </c>
      <c r="M49" s="212">
        <f>IF(B49="","",C49*'入力・概要'!$B$26*1E-9-1/(C49*'入力・概要'!$B$24*1E-6))</f>
        <v/>
      </c>
      <c r="N49" s="212">
        <f>IF(B49="","",'入力・概要'!$B$28)</f>
        <v/>
      </c>
      <c r="O49" s="212">
        <f>IF(B49="","",C49*'入力・概要'!$B$29*1E-9-1/(C49*'入力・概要'!$B$27*1E-6))</f>
        <v/>
      </c>
      <c r="P49" s="212">
        <f>IF(B49="","",((L49*N49-M49*O49)*(L49+N49)+(L49*O49+M49*N49)*(M49+O49))/((L49+N49)^2+(M49+O49)^2))</f>
        <v/>
      </c>
      <c r="Q49" s="212">
        <f>IF(B49="","",((L49*O49+M49*N49)*(L49+N49)-(L49*N49-M49*O49)*(M49+O49))/((L49+N49)^2+(M49+O49)^2))</f>
        <v/>
      </c>
      <c r="R49" s="212">
        <f>IF(B49="","",'入力・概要'!$E$15*J49)</f>
        <v/>
      </c>
      <c r="S49" s="212">
        <f>IF(B49="","",'入力・概要'!$E$15*K49)</f>
        <v/>
      </c>
      <c r="T49" s="212">
        <f>IF(B49="","",P49+R49)</f>
        <v/>
      </c>
      <c r="U49" s="212">
        <f>IF(B49="","",Q49+S49)</f>
        <v/>
      </c>
      <c r="V49" s="212">
        <f>IF(B49="","",T49+'入力・概要'!$E$9*F49)</f>
        <v/>
      </c>
      <c r="W49" s="212">
        <f>IF(B49="","",U49+'入力・概要'!$E$9*G49)</f>
        <v/>
      </c>
      <c r="X49" s="212">
        <f>IF(B49="","",'入力・概要'!$E$9+T49*F49-U49*G49)</f>
        <v/>
      </c>
      <c r="Y49" s="212">
        <f>IF(B49="","",T49*G49+U49*F49)</f>
        <v/>
      </c>
      <c r="Z49" s="212">
        <f>IF(B49="","",'入力・概要'!$E$9*(V49*X49+W49*Y49)/(X49^2+Y49^2)+'入力・概要'!$B$36)</f>
        <v/>
      </c>
      <c r="AA49" s="212">
        <f>IF(B49="","",'入力・概要'!$E$9*(W49*X49-V49*Y49)/(X49^2+Y49^2)+C49*'入力・概要'!$B$37*1E-9)</f>
        <v/>
      </c>
      <c r="AB49" s="212">
        <f>IF(B49="","",SQRT(Z49^2+AA49^2))</f>
        <v/>
      </c>
      <c r="AC49" s="212">
        <f>IF(B49="","",IF(Z49&gt;0,DEGREES(ATAN(AA49/Z49)),IF(Z49&lt;0,IF(AA49&gt;=0,DEGREES(ATAN(AA49/Z49))+180,DEGREES(ATAN(AA49/Z49))-180),IF(AA49&gt;0,90,IF(AA49&lt;0,-90,0)))))</f>
        <v/>
      </c>
      <c r="AD49" s="212">
        <f>IF(B49="","",LOG10(B49))</f>
        <v/>
      </c>
      <c r="AE49" s="212">
        <f>IF(AB49="","",LOG10(MAX(AB49,1E-12)))</f>
        <v/>
      </c>
      <c r="AF49" s="212">
        <f>IF(B49="","",SQRT(P49^2+Q49^2))</f>
        <v/>
      </c>
      <c r="AG49" s="212">
        <f>IF(B49="","",SQRT(R49^2+S49^2))</f>
        <v/>
      </c>
    </row>
    <row r="50">
      <c r="A50" s="202" t="n">
        <v>47</v>
      </c>
      <c r="B50" s="213">
        <f>IF(A50&lt;='入力・概要'!$B$40,10^(LOG10('入力・概要'!$B$38)+(A50-1)*(LOG10('入力・概要'!$B$39)-LOG10('入力・概要'!$B$38))/('入力・概要'!$B$40-1)),"")</f>
        <v/>
      </c>
      <c r="C50" s="212">
        <f>IF(B50="","",2*PI()*B50)</f>
        <v/>
      </c>
      <c r="D50" s="212">
        <f>IF(B50="","",ATANH(MIN(0.999999,'入力・概要'!$E$20/'入力・概要'!$E$9))+'入力・概要'!$B$20*SQRT(B50/1E6)+E50*'入力・概要'!$B$15/2)</f>
        <v/>
      </c>
      <c r="E50" s="212">
        <f>IF(B50="","",C50*('入力・概要'!$E$11*1E-9))</f>
        <v/>
      </c>
      <c r="F50" s="212">
        <f>IF(B50="","",SINH(2*D50)/(COSH(2*D50)+COS(2*E50)))</f>
        <v/>
      </c>
      <c r="G50" s="212">
        <f>IF(B50="","",SIN(2*E50)/(COSH(2*D50)+COS(2*E50)))</f>
        <v/>
      </c>
      <c r="H50" s="212">
        <f>IF(B50="","",ATANH(MIN(0.999999,'入力・概要'!$E$21/'入力・概要'!$E$15))+'入力・概要'!$B$21*SQRT(B50/1E6)+I50*'入力・概要'!$B$16/2)</f>
        <v/>
      </c>
      <c r="I50" s="212">
        <f>IF(B50="","",C50*('入力・概要'!$E$17*1E-9))</f>
        <v/>
      </c>
      <c r="J50" s="212">
        <f>IF(B50="","",SINH(2*H50)/(COSH(2*H50)+COS(2*I50)))</f>
        <v/>
      </c>
      <c r="K50" s="212">
        <f>IF(B50="","",SIN(2*I50)/(COSH(2*H50)+COS(2*I50)))</f>
        <v/>
      </c>
      <c r="L50" s="212">
        <f>IF(B50="","",'入力・概要'!$B$25)</f>
        <v/>
      </c>
      <c r="M50" s="212">
        <f>IF(B50="","",C50*'入力・概要'!$B$26*1E-9-1/(C50*'入力・概要'!$B$24*1E-6))</f>
        <v/>
      </c>
      <c r="N50" s="212">
        <f>IF(B50="","",'入力・概要'!$B$28)</f>
        <v/>
      </c>
      <c r="O50" s="212">
        <f>IF(B50="","",C50*'入力・概要'!$B$29*1E-9-1/(C50*'入力・概要'!$B$27*1E-6))</f>
        <v/>
      </c>
      <c r="P50" s="212">
        <f>IF(B50="","",((L50*N50-M50*O50)*(L50+N50)+(L50*O50+M50*N50)*(M50+O50))/((L50+N50)^2+(M50+O50)^2))</f>
        <v/>
      </c>
      <c r="Q50" s="212">
        <f>IF(B50="","",((L50*O50+M50*N50)*(L50+N50)-(L50*N50-M50*O50)*(M50+O50))/((L50+N50)^2+(M50+O50)^2))</f>
        <v/>
      </c>
      <c r="R50" s="212">
        <f>IF(B50="","",'入力・概要'!$E$15*J50)</f>
        <v/>
      </c>
      <c r="S50" s="212">
        <f>IF(B50="","",'入力・概要'!$E$15*K50)</f>
        <v/>
      </c>
      <c r="T50" s="212">
        <f>IF(B50="","",P50+R50)</f>
        <v/>
      </c>
      <c r="U50" s="212">
        <f>IF(B50="","",Q50+S50)</f>
        <v/>
      </c>
      <c r="V50" s="212">
        <f>IF(B50="","",T50+'入力・概要'!$E$9*F50)</f>
        <v/>
      </c>
      <c r="W50" s="212">
        <f>IF(B50="","",U50+'入力・概要'!$E$9*G50)</f>
        <v/>
      </c>
      <c r="X50" s="212">
        <f>IF(B50="","",'入力・概要'!$E$9+T50*F50-U50*G50)</f>
        <v/>
      </c>
      <c r="Y50" s="212">
        <f>IF(B50="","",T50*G50+U50*F50)</f>
        <v/>
      </c>
      <c r="Z50" s="212">
        <f>IF(B50="","",'入力・概要'!$E$9*(V50*X50+W50*Y50)/(X50^2+Y50^2)+'入力・概要'!$B$36)</f>
        <v/>
      </c>
      <c r="AA50" s="212">
        <f>IF(B50="","",'入力・概要'!$E$9*(W50*X50-V50*Y50)/(X50^2+Y50^2)+C50*'入力・概要'!$B$37*1E-9)</f>
        <v/>
      </c>
      <c r="AB50" s="212">
        <f>IF(B50="","",SQRT(Z50^2+AA50^2))</f>
        <v/>
      </c>
      <c r="AC50" s="212">
        <f>IF(B50="","",IF(Z50&gt;0,DEGREES(ATAN(AA50/Z50)),IF(Z50&lt;0,IF(AA50&gt;=0,DEGREES(ATAN(AA50/Z50))+180,DEGREES(ATAN(AA50/Z50))-180),IF(AA50&gt;0,90,IF(AA50&lt;0,-90,0)))))</f>
        <v/>
      </c>
      <c r="AD50" s="212">
        <f>IF(B50="","",LOG10(B50))</f>
        <v/>
      </c>
      <c r="AE50" s="212">
        <f>IF(AB50="","",LOG10(MAX(AB50,1E-12)))</f>
        <v/>
      </c>
      <c r="AF50" s="212">
        <f>IF(B50="","",SQRT(P50^2+Q50^2))</f>
        <v/>
      </c>
      <c r="AG50" s="212">
        <f>IF(B50="","",SQRT(R50^2+S50^2))</f>
        <v/>
      </c>
    </row>
    <row r="51">
      <c r="A51" s="202" t="n">
        <v>48</v>
      </c>
      <c r="B51" s="213">
        <f>IF(A51&lt;='入力・概要'!$B$40,10^(LOG10('入力・概要'!$B$38)+(A51-1)*(LOG10('入力・概要'!$B$39)-LOG10('入力・概要'!$B$38))/('入力・概要'!$B$40-1)),"")</f>
        <v/>
      </c>
      <c r="C51" s="212">
        <f>IF(B51="","",2*PI()*B51)</f>
        <v/>
      </c>
      <c r="D51" s="212">
        <f>IF(B51="","",ATANH(MIN(0.999999,'入力・概要'!$E$20/'入力・概要'!$E$9))+'入力・概要'!$B$20*SQRT(B51/1E6)+E51*'入力・概要'!$B$15/2)</f>
        <v/>
      </c>
      <c r="E51" s="212">
        <f>IF(B51="","",C51*('入力・概要'!$E$11*1E-9))</f>
        <v/>
      </c>
      <c r="F51" s="212">
        <f>IF(B51="","",SINH(2*D51)/(COSH(2*D51)+COS(2*E51)))</f>
        <v/>
      </c>
      <c r="G51" s="212">
        <f>IF(B51="","",SIN(2*E51)/(COSH(2*D51)+COS(2*E51)))</f>
        <v/>
      </c>
      <c r="H51" s="212">
        <f>IF(B51="","",ATANH(MIN(0.999999,'入力・概要'!$E$21/'入力・概要'!$E$15))+'入力・概要'!$B$21*SQRT(B51/1E6)+I51*'入力・概要'!$B$16/2)</f>
        <v/>
      </c>
      <c r="I51" s="212">
        <f>IF(B51="","",C51*('入力・概要'!$E$17*1E-9))</f>
        <v/>
      </c>
      <c r="J51" s="212">
        <f>IF(B51="","",SINH(2*H51)/(COSH(2*H51)+COS(2*I51)))</f>
        <v/>
      </c>
      <c r="K51" s="212">
        <f>IF(B51="","",SIN(2*I51)/(COSH(2*H51)+COS(2*I51)))</f>
        <v/>
      </c>
      <c r="L51" s="212">
        <f>IF(B51="","",'入力・概要'!$B$25)</f>
        <v/>
      </c>
      <c r="M51" s="212">
        <f>IF(B51="","",C51*'入力・概要'!$B$26*1E-9-1/(C51*'入力・概要'!$B$24*1E-6))</f>
        <v/>
      </c>
      <c r="N51" s="212">
        <f>IF(B51="","",'入力・概要'!$B$28)</f>
        <v/>
      </c>
      <c r="O51" s="212">
        <f>IF(B51="","",C51*'入力・概要'!$B$29*1E-9-1/(C51*'入力・概要'!$B$27*1E-6))</f>
        <v/>
      </c>
      <c r="P51" s="212">
        <f>IF(B51="","",((L51*N51-M51*O51)*(L51+N51)+(L51*O51+M51*N51)*(M51+O51))/((L51+N51)^2+(M51+O51)^2))</f>
        <v/>
      </c>
      <c r="Q51" s="212">
        <f>IF(B51="","",((L51*O51+M51*N51)*(L51+N51)-(L51*N51-M51*O51)*(M51+O51))/((L51+N51)^2+(M51+O51)^2))</f>
        <v/>
      </c>
      <c r="R51" s="212">
        <f>IF(B51="","",'入力・概要'!$E$15*J51)</f>
        <v/>
      </c>
      <c r="S51" s="212">
        <f>IF(B51="","",'入力・概要'!$E$15*K51)</f>
        <v/>
      </c>
      <c r="T51" s="212">
        <f>IF(B51="","",P51+R51)</f>
        <v/>
      </c>
      <c r="U51" s="212">
        <f>IF(B51="","",Q51+S51)</f>
        <v/>
      </c>
      <c r="V51" s="212">
        <f>IF(B51="","",T51+'入力・概要'!$E$9*F51)</f>
        <v/>
      </c>
      <c r="W51" s="212">
        <f>IF(B51="","",U51+'入力・概要'!$E$9*G51)</f>
        <v/>
      </c>
      <c r="X51" s="212">
        <f>IF(B51="","",'入力・概要'!$E$9+T51*F51-U51*G51)</f>
        <v/>
      </c>
      <c r="Y51" s="212">
        <f>IF(B51="","",T51*G51+U51*F51)</f>
        <v/>
      </c>
      <c r="Z51" s="212">
        <f>IF(B51="","",'入力・概要'!$E$9*(V51*X51+W51*Y51)/(X51^2+Y51^2)+'入力・概要'!$B$36)</f>
        <v/>
      </c>
      <c r="AA51" s="212">
        <f>IF(B51="","",'入力・概要'!$E$9*(W51*X51-V51*Y51)/(X51^2+Y51^2)+C51*'入力・概要'!$B$37*1E-9)</f>
        <v/>
      </c>
      <c r="AB51" s="212">
        <f>IF(B51="","",SQRT(Z51^2+AA51^2))</f>
        <v/>
      </c>
      <c r="AC51" s="212">
        <f>IF(B51="","",IF(Z51&gt;0,DEGREES(ATAN(AA51/Z51)),IF(Z51&lt;0,IF(AA51&gt;=0,DEGREES(ATAN(AA51/Z51))+180,DEGREES(ATAN(AA51/Z51))-180),IF(AA51&gt;0,90,IF(AA51&lt;0,-90,0)))))</f>
        <v/>
      </c>
      <c r="AD51" s="212">
        <f>IF(B51="","",LOG10(B51))</f>
        <v/>
      </c>
      <c r="AE51" s="212">
        <f>IF(AB51="","",LOG10(MAX(AB51,1E-12)))</f>
        <v/>
      </c>
      <c r="AF51" s="212">
        <f>IF(B51="","",SQRT(P51^2+Q51^2))</f>
        <v/>
      </c>
      <c r="AG51" s="212">
        <f>IF(B51="","",SQRT(R51^2+S51^2))</f>
        <v/>
      </c>
    </row>
    <row r="52">
      <c r="A52" s="202" t="n">
        <v>49</v>
      </c>
      <c r="B52" s="213">
        <f>IF(A52&lt;='入力・概要'!$B$40,10^(LOG10('入力・概要'!$B$38)+(A52-1)*(LOG10('入力・概要'!$B$39)-LOG10('入力・概要'!$B$38))/('入力・概要'!$B$40-1)),"")</f>
        <v/>
      </c>
      <c r="C52" s="212">
        <f>IF(B52="","",2*PI()*B52)</f>
        <v/>
      </c>
      <c r="D52" s="212">
        <f>IF(B52="","",ATANH(MIN(0.999999,'入力・概要'!$E$20/'入力・概要'!$E$9))+'入力・概要'!$B$20*SQRT(B52/1E6)+E52*'入力・概要'!$B$15/2)</f>
        <v/>
      </c>
      <c r="E52" s="212">
        <f>IF(B52="","",C52*('入力・概要'!$E$11*1E-9))</f>
        <v/>
      </c>
      <c r="F52" s="212">
        <f>IF(B52="","",SINH(2*D52)/(COSH(2*D52)+COS(2*E52)))</f>
        <v/>
      </c>
      <c r="G52" s="212">
        <f>IF(B52="","",SIN(2*E52)/(COSH(2*D52)+COS(2*E52)))</f>
        <v/>
      </c>
      <c r="H52" s="212">
        <f>IF(B52="","",ATANH(MIN(0.999999,'入力・概要'!$E$21/'入力・概要'!$E$15))+'入力・概要'!$B$21*SQRT(B52/1E6)+I52*'入力・概要'!$B$16/2)</f>
        <v/>
      </c>
      <c r="I52" s="212">
        <f>IF(B52="","",C52*('入力・概要'!$E$17*1E-9))</f>
        <v/>
      </c>
      <c r="J52" s="212">
        <f>IF(B52="","",SINH(2*H52)/(COSH(2*H52)+COS(2*I52)))</f>
        <v/>
      </c>
      <c r="K52" s="212">
        <f>IF(B52="","",SIN(2*I52)/(COSH(2*H52)+COS(2*I52)))</f>
        <v/>
      </c>
      <c r="L52" s="212">
        <f>IF(B52="","",'入力・概要'!$B$25)</f>
        <v/>
      </c>
      <c r="M52" s="212">
        <f>IF(B52="","",C52*'入力・概要'!$B$26*1E-9-1/(C52*'入力・概要'!$B$24*1E-6))</f>
        <v/>
      </c>
      <c r="N52" s="212">
        <f>IF(B52="","",'入力・概要'!$B$28)</f>
        <v/>
      </c>
      <c r="O52" s="212">
        <f>IF(B52="","",C52*'入力・概要'!$B$29*1E-9-1/(C52*'入力・概要'!$B$27*1E-6))</f>
        <v/>
      </c>
      <c r="P52" s="212">
        <f>IF(B52="","",((L52*N52-M52*O52)*(L52+N52)+(L52*O52+M52*N52)*(M52+O52))/((L52+N52)^2+(M52+O52)^2))</f>
        <v/>
      </c>
      <c r="Q52" s="212">
        <f>IF(B52="","",((L52*O52+M52*N52)*(L52+N52)-(L52*N52-M52*O52)*(M52+O52))/((L52+N52)^2+(M52+O52)^2))</f>
        <v/>
      </c>
      <c r="R52" s="212">
        <f>IF(B52="","",'入力・概要'!$E$15*J52)</f>
        <v/>
      </c>
      <c r="S52" s="212">
        <f>IF(B52="","",'入力・概要'!$E$15*K52)</f>
        <v/>
      </c>
      <c r="T52" s="212">
        <f>IF(B52="","",P52+R52)</f>
        <v/>
      </c>
      <c r="U52" s="212">
        <f>IF(B52="","",Q52+S52)</f>
        <v/>
      </c>
      <c r="V52" s="212">
        <f>IF(B52="","",T52+'入力・概要'!$E$9*F52)</f>
        <v/>
      </c>
      <c r="W52" s="212">
        <f>IF(B52="","",U52+'入力・概要'!$E$9*G52)</f>
        <v/>
      </c>
      <c r="X52" s="212">
        <f>IF(B52="","",'入力・概要'!$E$9+T52*F52-U52*G52)</f>
        <v/>
      </c>
      <c r="Y52" s="212">
        <f>IF(B52="","",T52*G52+U52*F52)</f>
        <v/>
      </c>
      <c r="Z52" s="212">
        <f>IF(B52="","",'入力・概要'!$E$9*(V52*X52+W52*Y52)/(X52^2+Y52^2)+'入力・概要'!$B$36)</f>
        <v/>
      </c>
      <c r="AA52" s="212">
        <f>IF(B52="","",'入力・概要'!$E$9*(W52*X52-V52*Y52)/(X52^2+Y52^2)+C52*'入力・概要'!$B$37*1E-9)</f>
        <v/>
      </c>
      <c r="AB52" s="212">
        <f>IF(B52="","",SQRT(Z52^2+AA52^2))</f>
        <v/>
      </c>
      <c r="AC52" s="212">
        <f>IF(B52="","",IF(Z52&gt;0,DEGREES(ATAN(AA52/Z52)),IF(Z52&lt;0,IF(AA52&gt;=0,DEGREES(ATAN(AA52/Z52))+180,DEGREES(ATAN(AA52/Z52))-180),IF(AA52&gt;0,90,IF(AA52&lt;0,-90,0)))))</f>
        <v/>
      </c>
      <c r="AD52" s="212">
        <f>IF(B52="","",LOG10(B52))</f>
        <v/>
      </c>
      <c r="AE52" s="212">
        <f>IF(AB52="","",LOG10(MAX(AB52,1E-12)))</f>
        <v/>
      </c>
      <c r="AF52" s="212">
        <f>IF(B52="","",SQRT(P52^2+Q52^2))</f>
        <v/>
      </c>
      <c r="AG52" s="212">
        <f>IF(B52="","",SQRT(R52^2+S52^2))</f>
        <v/>
      </c>
    </row>
    <row r="53">
      <c r="A53" s="202" t="n">
        <v>50</v>
      </c>
      <c r="B53" s="213">
        <f>IF(A53&lt;='入力・概要'!$B$40,10^(LOG10('入力・概要'!$B$38)+(A53-1)*(LOG10('入力・概要'!$B$39)-LOG10('入力・概要'!$B$38))/('入力・概要'!$B$40-1)),"")</f>
        <v/>
      </c>
      <c r="C53" s="212">
        <f>IF(B53="","",2*PI()*B53)</f>
        <v/>
      </c>
      <c r="D53" s="212">
        <f>IF(B53="","",ATANH(MIN(0.999999,'入力・概要'!$E$20/'入力・概要'!$E$9))+'入力・概要'!$B$20*SQRT(B53/1E6)+E53*'入力・概要'!$B$15/2)</f>
        <v/>
      </c>
      <c r="E53" s="212">
        <f>IF(B53="","",C53*('入力・概要'!$E$11*1E-9))</f>
        <v/>
      </c>
      <c r="F53" s="212">
        <f>IF(B53="","",SINH(2*D53)/(COSH(2*D53)+COS(2*E53)))</f>
        <v/>
      </c>
      <c r="G53" s="212">
        <f>IF(B53="","",SIN(2*E53)/(COSH(2*D53)+COS(2*E53)))</f>
        <v/>
      </c>
      <c r="H53" s="212">
        <f>IF(B53="","",ATANH(MIN(0.999999,'入力・概要'!$E$21/'入力・概要'!$E$15))+'入力・概要'!$B$21*SQRT(B53/1E6)+I53*'入力・概要'!$B$16/2)</f>
        <v/>
      </c>
      <c r="I53" s="212">
        <f>IF(B53="","",C53*('入力・概要'!$E$17*1E-9))</f>
        <v/>
      </c>
      <c r="J53" s="212">
        <f>IF(B53="","",SINH(2*H53)/(COSH(2*H53)+COS(2*I53)))</f>
        <v/>
      </c>
      <c r="K53" s="212">
        <f>IF(B53="","",SIN(2*I53)/(COSH(2*H53)+COS(2*I53)))</f>
        <v/>
      </c>
      <c r="L53" s="212">
        <f>IF(B53="","",'入力・概要'!$B$25)</f>
        <v/>
      </c>
      <c r="M53" s="212">
        <f>IF(B53="","",C53*'入力・概要'!$B$26*1E-9-1/(C53*'入力・概要'!$B$24*1E-6))</f>
        <v/>
      </c>
      <c r="N53" s="212">
        <f>IF(B53="","",'入力・概要'!$B$28)</f>
        <v/>
      </c>
      <c r="O53" s="212">
        <f>IF(B53="","",C53*'入力・概要'!$B$29*1E-9-1/(C53*'入力・概要'!$B$27*1E-6))</f>
        <v/>
      </c>
      <c r="P53" s="212">
        <f>IF(B53="","",((L53*N53-M53*O53)*(L53+N53)+(L53*O53+M53*N53)*(M53+O53))/((L53+N53)^2+(M53+O53)^2))</f>
        <v/>
      </c>
      <c r="Q53" s="212">
        <f>IF(B53="","",((L53*O53+M53*N53)*(L53+N53)-(L53*N53-M53*O53)*(M53+O53))/((L53+N53)^2+(M53+O53)^2))</f>
        <v/>
      </c>
      <c r="R53" s="212">
        <f>IF(B53="","",'入力・概要'!$E$15*J53)</f>
        <v/>
      </c>
      <c r="S53" s="212">
        <f>IF(B53="","",'入力・概要'!$E$15*K53)</f>
        <v/>
      </c>
      <c r="T53" s="212">
        <f>IF(B53="","",P53+R53)</f>
        <v/>
      </c>
      <c r="U53" s="212">
        <f>IF(B53="","",Q53+S53)</f>
        <v/>
      </c>
      <c r="V53" s="212">
        <f>IF(B53="","",T53+'入力・概要'!$E$9*F53)</f>
        <v/>
      </c>
      <c r="W53" s="212">
        <f>IF(B53="","",U53+'入力・概要'!$E$9*G53)</f>
        <v/>
      </c>
      <c r="X53" s="212">
        <f>IF(B53="","",'入力・概要'!$E$9+T53*F53-U53*G53)</f>
        <v/>
      </c>
      <c r="Y53" s="212">
        <f>IF(B53="","",T53*G53+U53*F53)</f>
        <v/>
      </c>
      <c r="Z53" s="212">
        <f>IF(B53="","",'入力・概要'!$E$9*(V53*X53+W53*Y53)/(X53^2+Y53^2)+'入力・概要'!$B$36)</f>
        <v/>
      </c>
      <c r="AA53" s="212">
        <f>IF(B53="","",'入力・概要'!$E$9*(W53*X53-V53*Y53)/(X53^2+Y53^2)+C53*'入力・概要'!$B$37*1E-9)</f>
        <v/>
      </c>
      <c r="AB53" s="212">
        <f>IF(B53="","",SQRT(Z53^2+AA53^2))</f>
        <v/>
      </c>
      <c r="AC53" s="212">
        <f>IF(B53="","",IF(Z53&gt;0,DEGREES(ATAN(AA53/Z53)),IF(Z53&lt;0,IF(AA53&gt;=0,DEGREES(ATAN(AA53/Z53))+180,DEGREES(ATAN(AA53/Z53))-180),IF(AA53&gt;0,90,IF(AA53&lt;0,-90,0)))))</f>
        <v/>
      </c>
      <c r="AD53" s="212">
        <f>IF(B53="","",LOG10(B53))</f>
        <v/>
      </c>
      <c r="AE53" s="212">
        <f>IF(AB53="","",LOG10(MAX(AB53,1E-12)))</f>
        <v/>
      </c>
      <c r="AF53" s="212">
        <f>IF(B53="","",SQRT(P53^2+Q53^2))</f>
        <v/>
      </c>
      <c r="AG53" s="212">
        <f>IF(B53="","",SQRT(R53^2+S53^2))</f>
        <v/>
      </c>
    </row>
    <row r="54">
      <c r="A54" s="202" t="n">
        <v>51</v>
      </c>
      <c r="B54" s="213">
        <f>IF(A54&lt;='入力・概要'!$B$40,10^(LOG10('入力・概要'!$B$38)+(A54-1)*(LOG10('入力・概要'!$B$39)-LOG10('入力・概要'!$B$38))/('入力・概要'!$B$40-1)),"")</f>
        <v/>
      </c>
      <c r="C54" s="212">
        <f>IF(B54="","",2*PI()*B54)</f>
        <v/>
      </c>
      <c r="D54" s="212">
        <f>IF(B54="","",ATANH(MIN(0.999999,'入力・概要'!$E$20/'入力・概要'!$E$9))+'入力・概要'!$B$20*SQRT(B54/1E6)+E54*'入力・概要'!$B$15/2)</f>
        <v/>
      </c>
      <c r="E54" s="212">
        <f>IF(B54="","",C54*('入力・概要'!$E$11*1E-9))</f>
        <v/>
      </c>
      <c r="F54" s="212">
        <f>IF(B54="","",SINH(2*D54)/(COSH(2*D54)+COS(2*E54)))</f>
        <v/>
      </c>
      <c r="G54" s="212">
        <f>IF(B54="","",SIN(2*E54)/(COSH(2*D54)+COS(2*E54)))</f>
        <v/>
      </c>
      <c r="H54" s="212">
        <f>IF(B54="","",ATANH(MIN(0.999999,'入力・概要'!$E$21/'入力・概要'!$E$15))+'入力・概要'!$B$21*SQRT(B54/1E6)+I54*'入力・概要'!$B$16/2)</f>
        <v/>
      </c>
      <c r="I54" s="212">
        <f>IF(B54="","",C54*('入力・概要'!$E$17*1E-9))</f>
        <v/>
      </c>
      <c r="J54" s="212">
        <f>IF(B54="","",SINH(2*H54)/(COSH(2*H54)+COS(2*I54)))</f>
        <v/>
      </c>
      <c r="K54" s="212">
        <f>IF(B54="","",SIN(2*I54)/(COSH(2*H54)+COS(2*I54)))</f>
        <v/>
      </c>
      <c r="L54" s="212">
        <f>IF(B54="","",'入力・概要'!$B$25)</f>
        <v/>
      </c>
      <c r="M54" s="212">
        <f>IF(B54="","",C54*'入力・概要'!$B$26*1E-9-1/(C54*'入力・概要'!$B$24*1E-6))</f>
        <v/>
      </c>
      <c r="N54" s="212">
        <f>IF(B54="","",'入力・概要'!$B$28)</f>
        <v/>
      </c>
      <c r="O54" s="212">
        <f>IF(B54="","",C54*'入力・概要'!$B$29*1E-9-1/(C54*'入力・概要'!$B$27*1E-6))</f>
        <v/>
      </c>
      <c r="P54" s="212">
        <f>IF(B54="","",((L54*N54-M54*O54)*(L54+N54)+(L54*O54+M54*N54)*(M54+O54))/((L54+N54)^2+(M54+O54)^2))</f>
        <v/>
      </c>
      <c r="Q54" s="212">
        <f>IF(B54="","",((L54*O54+M54*N54)*(L54+N54)-(L54*N54-M54*O54)*(M54+O54))/((L54+N54)^2+(M54+O54)^2))</f>
        <v/>
      </c>
      <c r="R54" s="212">
        <f>IF(B54="","",'入力・概要'!$E$15*J54)</f>
        <v/>
      </c>
      <c r="S54" s="212">
        <f>IF(B54="","",'入力・概要'!$E$15*K54)</f>
        <v/>
      </c>
      <c r="T54" s="212">
        <f>IF(B54="","",P54+R54)</f>
        <v/>
      </c>
      <c r="U54" s="212">
        <f>IF(B54="","",Q54+S54)</f>
        <v/>
      </c>
      <c r="V54" s="212">
        <f>IF(B54="","",T54+'入力・概要'!$E$9*F54)</f>
        <v/>
      </c>
      <c r="W54" s="212">
        <f>IF(B54="","",U54+'入力・概要'!$E$9*G54)</f>
        <v/>
      </c>
      <c r="X54" s="212">
        <f>IF(B54="","",'入力・概要'!$E$9+T54*F54-U54*G54)</f>
        <v/>
      </c>
      <c r="Y54" s="212">
        <f>IF(B54="","",T54*G54+U54*F54)</f>
        <v/>
      </c>
      <c r="Z54" s="212">
        <f>IF(B54="","",'入力・概要'!$E$9*(V54*X54+W54*Y54)/(X54^2+Y54^2)+'入力・概要'!$B$36)</f>
        <v/>
      </c>
      <c r="AA54" s="212">
        <f>IF(B54="","",'入力・概要'!$E$9*(W54*X54-V54*Y54)/(X54^2+Y54^2)+C54*'入力・概要'!$B$37*1E-9)</f>
        <v/>
      </c>
      <c r="AB54" s="212">
        <f>IF(B54="","",SQRT(Z54^2+AA54^2))</f>
        <v/>
      </c>
      <c r="AC54" s="212">
        <f>IF(B54="","",IF(Z54&gt;0,DEGREES(ATAN(AA54/Z54)),IF(Z54&lt;0,IF(AA54&gt;=0,DEGREES(ATAN(AA54/Z54))+180,DEGREES(ATAN(AA54/Z54))-180),IF(AA54&gt;0,90,IF(AA54&lt;0,-90,0)))))</f>
        <v/>
      </c>
      <c r="AD54" s="212">
        <f>IF(B54="","",LOG10(B54))</f>
        <v/>
      </c>
      <c r="AE54" s="212">
        <f>IF(AB54="","",LOG10(MAX(AB54,1E-12)))</f>
        <v/>
      </c>
      <c r="AF54" s="212">
        <f>IF(B54="","",SQRT(P54^2+Q54^2))</f>
        <v/>
      </c>
      <c r="AG54" s="212">
        <f>IF(B54="","",SQRT(R54^2+S54^2))</f>
        <v/>
      </c>
    </row>
    <row r="55">
      <c r="A55" s="202" t="n">
        <v>52</v>
      </c>
      <c r="B55" s="213">
        <f>IF(A55&lt;='入力・概要'!$B$40,10^(LOG10('入力・概要'!$B$38)+(A55-1)*(LOG10('入力・概要'!$B$39)-LOG10('入力・概要'!$B$38))/('入力・概要'!$B$40-1)),"")</f>
        <v/>
      </c>
      <c r="C55" s="212">
        <f>IF(B55="","",2*PI()*B55)</f>
        <v/>
      </c>
      <c r="D55" s="212">
        <f>IF(B55="","",ATANH(MIN(0.999999,'入力・概要'!$E$20/'入力・概要'!$E$9))+'入力・概要'!$B$20*SQRT(B55/1E6)+E55*'入力・概要'!$B$15/2)</f>
        <v/>
      </c>
      <c r="E55" s="212">
        <f>IF(B55="","",C55*('入力・概要'!$E$11*1E-9))</f>
        <v/>
      </c>
      <c r="F55" s="212">
        <f>IF(B55="","",SINH(2*D55)/(COSH(2*D55)+COS(2*E55)))</f>
        <v/>
      </c>
      <c r="G55" s="212">
        <f>IF(B55="","",SIN(2*E55)/(COSH(2*D55)+COS(2*E55)))</f>
        <v/>
      </c>
      <c r="H55" s="212">
        <f>IF(B55="","",ATANH(MIN(0.999999,'入力・概要'!$E$21/'入力・概要'!$E$15))+'入力・概要'!$B$21*SQRT(B55/1E6)+I55*'入力・概要'!$B$16/2)</f>
        <v/>
      </c>
      <c r="I55" s="212">
        <f>IF(B55="","",C55*('入力・概要'!$E$17*1E-9))</f>
        <v/>
      </c>
      <c r="J55" s="212">
        <f>IF(B55="","",SINH(2*H55)/(COSH(2*H55)+COS(2*I55)))</f>
        <v/>
      </c>
      <c r="K55" s="212">
        <f>IF(B55="","",SIN(2*I55)/(COSH(2*H55)+COS(2*I55)))</f>
        <v/>
      </c>
      <c r="L55" s="212">
        <f>IF(B55="","",'入力・概要'!$B$25)</f>
        <v/>
      </c>
      <c r="M55" s="212">
        <f>IF(B55="","",C55*'入力・概要'!$B$26*1E-9-1/(C55*'入力・概要'!$B$24*1E-6))</f>
        <v/>
      </c>
      <c r="N55" s="212">
        <f>IF(B55="","",'入力・概要'!$B$28)</f>
        <v/>
      </c>
      <c r="O55" s="212">
        <f>IF(B55="","",C55*'入力・概要'!$B$29*1E-9-1/(C55*'入力・概要'!$B$27*1E-6))</f>
        <v/>
      </c>
      <c r="P55" s="212">
        <f>IF(B55="","",((L55*N55-M55*O55)*(L55+N55)+(L55*O55+M55*N55)*(M55+O55))/((L55+N55)^2+(M55+O55)^2))</f>
        <v/>
      </c>
      <c r="Q55" s="212">
        <f>IF(B55="","",((L55*O55+M55*N55)*(L55+N55)-(L55*N55-M55*O55)*(M55+O55))/((L55+N55)^2+(M55+O55)^2))</f>
        <v/>
      </c>
      <c r="R55" s="212">
        <f>IF(B55="","",'入力・概要'!$E$15*J55)</f>
        <v/>
      </c>
      <c r="S55" s="212">
        <f>IF(B55="","",'入力・概要'!$E$15*K55)</f>
        <v/>
      </c>
      <c r="T55" s="212">
        <f>IF(B55="","",P55+R55)</f>
        <v/>
      </c>
      <c r="U55" s="212">
        <f>IF(B55="","",Q55+S55)</f>
        <v/>
      </c>
      <c r="V55" s="212">
        <f>IF(B55="","",T55+'入力・概要'!$E$9*F55)</f>
        <v/>
      </c>
      <c r="W55" s="212">
        <f>IF(B55="","",U55+'入力・概要'!$E$9*G55)</f>
        <v/>
      </c>
      <c r="X55" s="212">
        <f>IF(B55="","",'入力・概要'!$E$9+T55*F55-U55*G55)</f>
        <v/>
      </c>
      <c r="Y55" s="212">
        <f>IF(B55="","",T55*G55+U55*F55)</f>
        <v/>
      </c>
      <c r="Z55" s="212">
        <f>IF(B55="","",'入力・概要'!$E$9*(V55*X55+W55*Y55)/(X55^2+Y55^2)+'入力・概要'!$B$36)</f>
        <v/>
      </c>
      <c r="AA55" s="212">
        <f>IF(B55="","",'入力・概要'!$E$9*(W55*X55-V55*Y55)/(X55^2+Y55^2)+C55*'入力・概要'!$B$37*1E-9)</f>
        <v/>
      </c>
      <c r="AB55" s="212">
        <f>IF(B55="","",SQRT(Z55^2+AA55^2))</f>
        <v/>
      </c>
      <c r="AC55" s="212">
        <f>IF(B55="","",IF(Z55&gt;0,DEGREES(ATAN(AA55/Z55)),IF(Z55&lt;0,IF(AA55&gt;=0,DEGREES(ATAN(AA55/Z55))+180,DEGREES(ATAN(AA55/Z55))-180),IF(AA55&gt;0,90,IF(AA55&lt;0,-90,0)))))</f>
        <v/>
      </c>
      <c r="AD55" s="212">
        <f>IF(B55="","",LOG10(B55))</f>
        <v/>
      </c>
      <c r="AE55" s="212">
        <f>IF(AB55="","",LOG10(MAX(AB55,1E-12)))</f>
        <v/>
      </c>
      <c r="AF55" s="212">
        <f>IF(B55="","",SQRT(P55^2+Q55^2))</f>
        <v/>
      </c>
      <c r="AG55" s="212">
        <f>IF(B55="","",SQRT(R55^2+S55^2))</f>
        <v/>
      </c>
    </row>
    <row r="56">
      <c r="A56" s="202" t="n">
        <v>53</v>
      </c>
      <c r="B56" s="213">
        <f>IF(A56&lt;='入力・概要'!$B$40,10^(LOG10('入力・概要'!$B$38)+(A56-1)*(LOG10('入力・概要'!$B$39)-LOG10('入力・概要'!$B$38))/('入力・概要'!$B$40-1)),"")</f>
        <v/>
      </c>
      <c r="C56" s="212">
        <f>IF(B56="","",2*PI()*B56)</f>
        <v/>
      </c>
      <c r="D56" s="212">
        <f>IF(B56="","",ATANH(MIN(0.999999,'入力・概要'!$E$20/'入力・概要'!$E$9))+'入力・概要'!$B$20*SQRT(B56/1E6)+E56*'入力・概要'!$B$15/2)</f>
        <v/>
      </c>
      <c r="E56" s="212">
        <f>IF(B56="","",C56*('入力・概要'!$E$11*1E-9))</f>
        <v/>
      </c>
      <c r="F56" s="212">
        <f>IF(B56="","",SINH(2*D56)/(COSH(2*D56)+COS(2*E56)))</f>
        <v/>
      </c>
      <c r="G56" s="212">
        <f>IF(B56="","",SIN(2*E56)/(COSH(2*D56)+COS(2*E56)))</f>
        <v/>
      </c>
      <c r="H56" s="212">
        <f>IF(B56="","",ATANH(MIN(0.999999,'入力・概要'!$E$21/'入力・概要'!$E$15))+'入力・概要'!$B$21*SQRT(B56/1E6)+I56*'入力・概要'!$B$16/2)</f>
        <v/>
      </c>
      <c r="I56" s="212">
        <f>IF(B56="","",C56*('入力・概要'!$E$17*1E-9))</f>
        <v/>
      </c>
      <c r="J56" s="212">
        <f>IF(B56="","",SINH(2*H56)/(COSH(2*H56)+COS(2*I56)))</f>
        <v/>
      </c>
      <c r="K56" s="212">
        <f>IF(B56="","",SIN(2*I56)/(COSH(2*H56)+COS(2*I56)))</f>
        <v/>
      </c>
      <c r="L56" s="212">
        <f>IF(B56="","",'入力・概要'!$B$25)</f>
        <v/>
      </c>
      <c r="M56" s="212">
        <f>IF(B56="","",C56*'入力・概要'!$B$26*1E-9-1/(C56*'入力・概要'!$B$24*1E-6))</f>
        <v/>
      </c>
      <c r="N56" s="212">
        <f>IF(B56="","",'入力・概要'!$B$28)</f>
        <v/>
      </c>
      <c r="O56" s="212">
        <f>IF(B56="","",C56*'入力・概要'!$B$29*1E-9-1/(C56*'入力・概要'!$B$27*1E-6))</f>
        <v/>
      </c>
      <c r="P56" s="212">
        <f>IF(B56="","",((L56*N56-M56*O56)*(L56+N56)+(L56*O56+M56*N56)*(M56+O56))/((L56+N56)^2+(M56+O56)^2))</f>
        <v/>
      </c>
      <c r="Q56" s="212">
        <f>IF(B56="","",((L56*O56+M56*N56)*(L56+N56)-(L56*N56-M56*O56)*(M56+O56))/((L56+N56)^2+(M56+O56)^2))</f>
        <v/>
      </c>
      <c r="R56" s="212">
        <f>IF(B56="","",'入力・概要'!$E$15*J56)</f>
        <v/>
      </c>
      <c r="S56" s="212">
        <f>IF(B56="","",'入力・概要'!$E$15*K56)</f>
        <v/>
      </c>
      <c r="T56" s="212">
        <f>IF(B56="","",P56+R56)</f>
        <v/>
      </c>
      <c r="U56" s="212">
        <f>IF(B56="","",Q56+S56)</f>
        <v/>
      </c>
      <c r="V56" s="212">
        <f>IF(B56="","",T56+'入力・概要'!$E$9*F56)</f>
        <v/>
      </c>
      <c r="W56" s="212">
        <f>IF(B56="","",U56+'入力・概要'!$E$9*G56)</f>
        <v/>
      </c>
      <c r="X56" s="212">
        <f>IF(B56="","",'入力・概要'!$E$9+T56*F56-U56*G56)</f>
        <v/>
      </c>
      <c r="Y56" s="212">
        <f>IF(B56="","",T56*G56+U56*F56)</f>
        <v/>
      </c>
      <c r="Z56" s="212">
        <f>IF(B56="","",'入力・概要'!$E$9*(V56*X56+W56*Y56)/(X56^2+Y56^2)+'入力・概要'!$B$36)</f>
        <v/>
      </c>
      <c r="AA56" s="212">
        <f>IF(B56="","",'入力・概要'!$E$9*(W56*X56-V56*Y56)/(X56^2+Y56^2)+C56*'入力・概要'!$B$37*1E-9)</f>
        <v/>
      </c>
      <c r="AB56" s="212">
        <f>IF(B56="","",SQRT(Z56^2+AA56^2))</f>
        <v/>
      </c>
      <c r="AC56" s="212">
        <f>IF(B56="","",IF(Z56&gt;0,DEGREES(ATAN(AA56/Z56)),IF(Z56&lt;0,IF(AA56&gt;=0,DEGREES(ATAN(AA56/Z56))+180,DEGREES(ATAN(AA56/Z56))-180),IF(AA56&gt;0,90,IF(AA56&lt;0,-90,0)))))</f>
        <v/>
      </c>
      <c r="AD56" s="212">
        <f>IF(B56="","",LOG10(B56))</f>
        <v/>
      </c>
      <c r="AE56" s="212">
        <f>IF(AB56="","",LOG10(MAX(AB56,1E-12)))</f>
        <v/>
      </c>
      <c r="AF56" s="212">
        <f>IF(B56="","",SQRT(P56^2+Q56^2))</f>
        <v/>
      </c>
      <c r="AG56" s="212">
        <f>IF(B56="","",SQRT(R56^2+S56^2))</f>
        <v/>
      </c>
    </row>
    <row r="57">
      <c r="A57" s="202" t="n">
        <v>54</v>
      </c>
      <c r="B57" s="213">
        <f>IF(A57&lt;='入力・概要'!$B$40,10^(LOG10('入力・概要'!$B$38)+(A57-1)*(LOG10('入力・概要'!$B$39)-LOG10('入力・概要'!$B$38))/('入力・概要'!$B$40-1)),"")</f>
        <v/>
      </c>
      <c r="C57" s="212">
        <f>IF(B57="","",2*PI()*B57)</f>
        <v/>
      </c>
      <c r="D57" s="212">
        <f>IF(B57="","",ATANH(MIN(0.999999,'入力・概要'!$E$20/'入力・概要'!$E$9))+'入力・概要'!$B$20*SQRT(B57/1E6)+E57*'入力・概要'!$B$15/2)</f>
        <v/>
      </c>
      <c r="E57" s="212">
        <f>IF(B57="","",C57*('入力・概要'!$E$11*1E-9))</f>
        <v/>
      </c>
      <c r="F57" s="212">
        <f>IF(B57="","",SINH(2*D57)/(COSH(2*D57)+COS(2*E57)))</f>
        <v/>
      </c>
      <c r="G57" s="212">
        <f>IF(B57="","",SIN(2*E57)/(COSH(2*D57)+COS(2*E57)))</f>
        <v/>
      </c>
      <c r="H57" s="212">
        <f>IF(B57="","",ATANH(MIN(0.999999,'入力・概要'!$E$21/'入力・概要'!$E$15))+'入力・概要'!$B$21*SQRT(B57/1E6)+I57*'入力・概要'!$B$16/2)</f>
        <v/>
      </c>
      <c r="I57" s="212">
        <f>IF(B57="","",C57*('入力・概要'!$E$17*1E-9))</f>
        <v/>
      </c>
      <c r="J57" s="212">
        <f>IF(B57="","",SINH(2*H57)/(COSH(2*H57)+COS(2*I57)))</f>
        <v/>
      </c>
      <c r="K57" s="212">
        <f>IF(B57="","",SIN(2*I57)/(COSH(2*H57)+COS(2*I57)))</f>
        <v/>
      </c>
      <c r="L57" s="212">
        <f>IF(B57="","",'入力・概要'!$B$25)</f>
        <v/>
      </c>
      <c r="M57" s="212">
        <f>IF(B57="","",C57*'入力・概要'!$B$26*1E-9-1/(C57*'入力・概要'!$B$24*1E-6))</f>
        <v/>
      </c>
      <c r="N57" s="212">
        <f>IF(B57="","",'入力・概要'!$B$28)</f>
        <v/>
      </c>
      <c r="O57" s="212">
        <f>IF(B57="","",C57*'入力・概要'!$B$29*1E-9-1/(C57*'入力・概要'!$B$27*1E-6))</f>
        <v/>
      </c>
      <c r="P57" s="212">
        <f>IF(B57="","",((L57*N57-M57*O57)*(L57+N57)+(L57*O57+M57*N57)*(M57+O57))/((L57+N57)^2+(M57+O57)^2))</f>
        <v/>
      </c>
      <c r="Q57" s="212">
        <f>IF(B57="","",((L57*O57+M57*N57)*(L57+N57)-(L57*N57-M57*O57)*(M57+O57))/((L57+N57)^2+(M57+O57)^2))</f>
        <v/>
      </c>
      <c r="R57" s="212">
        <f>IF(B57="","",'入力・概要'!$E$15*J57)</f>
        <v/>
      </c>
      <c r="S57" s="212">
        <f>IF(B57="","",'入力・概要'!$E$15*K57)</f>
        <v/>
      </c>
      <c r="T57" s="212">
        <f>IF(B57="","",P57+R57)</f>
        <v/>
      </c>
      <c r="U57" s="212">
        <f>IF(B57="","",Q57+S57)</f>
        <v/>
      </c>
      <c r="V57" s="212">
        <f>IF(B57="","",T57+'入力・概要'!$E$9*F57)</f>
        <v/>
      </c>
      <c r="W57" s="212">
        <f>IF(B57="","",U57+'入力・概要'!$E$9*G57)</f>
        <v/>
      </c>
      <c r="X57" s="212">
        <f>IF(B57="","",'入力・概要'!$E$9+T57*F57-U57*G57)</f>
        <v/>
      </c>
      <c r="Y57" s="212">
        <f>IF(B57="","",T57*G57+U57*F57)</f>
        <v/>
      </c>
      <c r="Z57" s="212">
        <f>IF(B57="","",'入力・概要'!$E$9*(V57*X57+W57*Y57)/(X57^2+Y57^2)+'入力・概要'!$B$36)</f>
        <v/>
      </c>
      <c r="AA57" s="212">
        <f>IF(B57="","",'入力・概要'!$E$9*(W57*X57-V57*Y57)/(X57^2+Y57^2)+C57*'入力・概要'!$B$37*1E-9)</f>
        <v/>
      </c>
      <c r="AB57" s="212">
        <f>IF(B57="","",SQRT(Z57^2+AA57^2))</f>
        <v/>
      </c>
      <c r="AC57" s="212">
        <f>IF(B57="","",IF(Z57&gt;0,DEGREES(ATAN(AA57/Z57)),IF(Z57&lt;0,IF(AA57&gt;=0,DEGREES(ATAN(AA57/Z57))+180,DEGREES(ATAN(AA57/Z57))-180),IF(AA57&gt;0,90,IF(AA57&lt;0,-90,0)))))</f>
        <v/>
      </c>
      <c r="AD57" s="212">
        <f>IF(B57="","",LOG10(B57))</f>
        <v/>
      </c>
      <c r="AE57" s="212">
        <f>IF(AB57="","",LOG10(MAX(AB57,1E-12)))</f>
        <v/>
      </c>
      <c r="AF57" s="212">
        <f>IF(B57="","",SQRT(P57^2+Q57^2))</f>
        <v/>
      </c>
      <c r="AG57" s="212">
        <f>IF(B57="","",SQRT(R57^2+S57^2))</f>
        <v/>
      </c>
    </row>
    <row r="58">
      <c r="A58" s="202" t="n">
        <v>55</v>
      </c>
      <c r="B58" s="213">
        <f>IF(A58&lt;='入力・概要'!$B$40,10^(LOG10('入力・概要'!$B$38)+(A58-1)*(LOG10('入力・概要'!$B$39)-LOG10('入力・概要'!$B$38))/('入力・概要'!$B$40-1)),"")</f>
        <v/>
      </c>
      <c r="C58" s="212">
        <f>IF(B58="","",2*PI()*B58)</f>
        <v/>
      </c>
      <c r="D58" s="212">
        <f>IF(B58="","",ATANH(MIN(0.999999,'入力・概要'!$E$20/'入力・概要'!$E$9))+'入力・概要'!$B$20*SQRT(B58/1E6)+E58*'入力・概要'!$B$15/2)</f>
        <v/>
      </c>
      <c r="E58" s="212">
        <f>IF(B58="","",C58*('入力・概要'!$E$11*1E-9))</f>
        <v/>
      </c>
      <c r="F58" s="212">
        <f>IF(B58="","",SINH(2*D58)/(COSH(2*D58)+COS(2*E58)))</f>
        <v/>
      </c>
      <c r="G58" s="212">
        <f>IF(B58="","",SIN(2*E58)/(COSH(2*D58)+COS(2*E58)))</f>
        <v/>
      </c>
      <c r="H58" s="212">
        <f>IF(B58="","",ATANH(MIN(0.999999,'入力・概要'!$E$21/'入力・概要'!$E$15))+'入力・概要'!$B$21*SQRT(B58/1E6)+I58*'入力・概要'!$B$16/2)</f>
        <v/>
      </c>
      <c r="I58" s="212">
        <f>IF(B58="","",C58*('入力・概要'!$E$17*1E-9))</f>
        <v/>
      </c>
      <c r="J58" s="212">
        <f>IF(B58="","",SINH(2*H58)/(COSH(2*H58)+COS(2*I58)))</f>
        <v/>
      </c>
      <c r="K58" s="212">
        <f>IF(B58="","",SIN(2*I58)/(COSH(2*H58)+COS(2*I58)))</f>
        <v/>
      </c>
      <c r="L58" s="212">
        <f>IF(B58="","",'入力・概要'!$B$25)</f>
        <v/>
      </c>
      <c r="M58" s="212">
        <f>IF(B58="","",C58*'入力・概要'!$B$26*1E-9-1/(C58*'入力・概要'!$B$24*1E-6))</f>
        <v/>
      </c>
      <c r="N58" s="212">
        <f>IF(B58="","",'入力・概要'!$B$28)</f>
        <v/>
      </c>
      <c r="O58" s="212">
        <f>IF(B58="","",C58*'入力・概要'!$B$29*1E-9-1/(C58*'入力・概要'!$B$27*1E-6))</f>
        <v/>
      </c>
      <c r="P58" s="212">
        <f>IF(B58="","",((L58*N58-M58*O58)*(L58+N58)+(L58*O58+M58*N58)*(M58+O58))/((L58+N58)^2+(M58+O58)^2))</f>
        <v/>
      </c>
      <c r="Q58" s="212">
        <f>IF(B58="","",((L58*O58+M58*N58)*(L58+N58)-(L58*N58-M58*O58)*(M58+O58))/((L58+N58)^2+(M58+O58)^2))</f>
        <v/>
      </c>
      <c r="R58" s="212">
        <f>IF(B58="","",'入力・概要'!$E$15*J58)</f>
        <v/>
      </c>
      <c r="S58" s="212">
        <f>IF(B58="","",'入力・概要'!$E$15*K58)</f>
        <v/>
      </c>
      <c r="T58" s="212">
        <f>IF(B58="","",P58+R58)</f>
        <v/>
      </c>
      <c r="U58" s="212">
        <f>IF(B58="","",Q58+S58)</f>
        <v/>
      </c>
      <c r="V58" s="212">
        <f>IF(B58="","",T58+'入力・概要'!$E$9*F58)</f>
        <v/>
      </c>
      <c r="W58" s="212">
        <f>IF(B58="","",U58+'入力・概要'!$E$9*G58)</f>
        <v/>
      </c>
      <c r="X58" s="212">
        <f>IF(B58="","",'入力・概要'!$E$9+T58*F58-U58*G58)</f>
        <v/>
      </c>
      <c r="Y58" s="212">
        <f>IF(B58="","",T58*G58+U58*F58)</f>
        <v/>
      </c>
      <c r="Z58" s="212">
        <f>IF(B58="","",'入力・概要'!$E$9*(V58*X58+W58*Y58)/(X58^2+Y58^2)+'入力・概要'!$B$36)</f>
        <v/>
      </c>
      <c r="AA58" s="212">
        <f>IF(B58="","",'入力・概要'!$E$9*(W58*X58-V58*Y58)/(X58^2+Y58^2)+C58*'入力・概要'!$B$37*1E-9)</f>
        <v/>
      </c>
      <c r="AB58" s="212">
        <f>IF(B58="","",SQRT(Z58^2+AA58^2))</f>
        <v/>
      </c>
      <c r="AC58" s="212">
        <f>IF(B58="","",IF(Z58&gt;0,DEGREES(ATAN(AA58/Z58)),IF(Z58&lt;0,IF(AA58&gt;=0,DEGREES(ATAN(AA58/Z58))+180,DEGREES(ATAN(AA58/Z58))-180),IF(AA58&gt;0,90,IF(AA58&lt;0,-90,0)))))</f>
        <v/>
      </c>
      <c r="AD58" s="212">
        <f>IF(B58="","",LOG10(B58))</f>
        <v/>
      </c>
      <c r="AE58" s="212">
        <f>IF(AB58="","",LOG10(MAX(AB58,1E-12)))</f>
        <v/>
      </c>
      <c r="AF58" s="212">
        <f>IF(B58="","",SQRT(P58^2+Q58^2))</f>
        <v/>
      </c>
      <c r="AG58" s="212">
        <f>IF(B58="","",SQRT(R58^2+S58^2))</f>
        <v/>
      </c>
    </row>
    <row r="59">
      <c r="A59" s="202" t="n">
        <v>56</v>
      </c>
      <c r="B59" s="213">
        <f>IF(A59&lt;='入力・概要'!$B$40,10^(LOG10('入力・概要'!$B$38)+(A59-1)*(LOG10('入力・概要'!$B$39)-LOG10('入力・概要'!$B$38))/('入力・概要'!$B$40-1)),"")</f>
        <v/>
      </c>
      <c r="C59" s="212">
        <f>IF(B59="","",2*PI()*B59)</f>
        <v/>
      </c>
      <c r="D59" s="212">
        <f>IF(B59="","",ATANH(MIN(0.999999,'入力・概要'!$E$20/'入力・概要'!$E$9))+'入力・概要'!$B$20*SQRT(B59/1E6)+E59*'入力・概要'!$B$15/2)</f>
        <v/>
      </c>
      <c r="E59" s="212">
        <f>IF(B59="","",C59*('入力・概要'!$E$11*1E-9))</f>
        <v/>
      </c>
      <c r="F59" s="212">
        <f>IF(B59="","",SINH(2*D59)/(COSH(2*D59)+COS(2*E59)))</f>
        <v/>
      </c>
      <c r="G59" s="212">
        <f>IF(B59="","",SIN(2*E59)/(COSH(2*D59)+COS(2*E59)))</f>
        <v/>
      </c>
      <c r="H59" s="212">
        <f>IF(B59="","",ATANH(MIN(0.999999,'入力・概要'!$E$21/'入力・概要'!$E$15))+'入力・概要'!$B$21*SQRT(B59/1E6)+I59*'入力・概要'!$B$16/2)</f>
        <v/>
      </c>
      <c r="I59" s="212">
        <f>IF(B59="","",C59*('入力・概要'!$E$17*1E-9))</f>
        <v/>
      </c>
      <c r="J59" s="212">
        <f>IF(B59="","",SINH(2*H59)/(COSH(2*H59)+COS(2*I59)))</f>
        <v/>
      </c>
      <c r="K59" s="212">
        <f>IF(B59="","",SIN(2*I59)/(COSH(2*H59)+COS(2*I59)))</f>
        <v/>
      </c>
      <c r="L59" s="212">
        <f>IF(B59="","",'入力・概要'!$B$25)</f>
        <v/>
      </c>
      <c r="M59" s="212">
        <f>IF(B59="","",C59*'入力・概要'!$B$26*1E-9-1/(C59*'入力・概要'!$B$24*1E-6))</f>
        <v/>
      </c>
      <c r="N59" s="212">
        <f>IF(B59="","",'入力・概要'!$B$28)</f>
        <v/>
      </c>
      <c r="O59" s="212">
        <f>IF(B59="","",C59*'入力・概要'!$B$29*1E-9-1/(C59*'入力・概要'!$B$27*1E-6))</f>
        <v/>
      </c>
      <c r="P59" s="212">
        <f>IF(B59="","",((L59*N59-M59*O59)*(L59+N59)+(L59*O59+M59*N59)*(M59+O59))/((L59+N59)^2+(M59+O59)^2))</f>
        <v/>
      </c>
      <c r="Q59" s="212">
        <f>IF(B59="","",((L59*O59+M59*N59)*(L59+N59)-(L59*N59-M59*O59)*(M59+O59))/((L59+N59)^2+(M59+O59)^2))</f>
        <v/>
      </c>
      <c r="R59" s="212">
        <f>IF(B59="","",'入力・概要'!$E$15*J59)</f>
        <v/>
      </c>
      <c r="S59" s="212">
        <f>IF(B59="","",'入力・概要'!$E$15*K59)</f>
        <v/>
      </c>
      <c r="T59" s="212">
        <f>IF(B59="","",P59+R59)</f>
        <v/>
      </c>
      <c r="U59" s="212">
        <f>IF(B59="","",Q59+S59)</f>
        <v/>
      </c>
      <c r="V59" s="212">
        <f>IF(B59="","",T59+'入力・概要'!$E$9*F59)</f>
        <v/>
      </c>
      <c r="W59" s="212">
        <f>IF(B59="","",U59+'入力・概要'!$E$9*G59)</f>
        <v/>
      </c>
      <c r="X59" s="212">
        <f>IF(B59="","",'入力・概要'!$E$9+T59*F59-U59*G59)</f>
        <v/>
      </c>
      <c r="Y59" s="212">
        <f>IF(B59="","",T59*G59+U59*F59)</f>
        <v/>
      </c>
      <c r="Z59" s="212">
        <f>IF(B59="","",'入力・概要'!$E$9*(V59*X59+W59*Y59)/(X59^2+Y59^2)+'入力・概要'!$B$36)</f>
        <v/>
      </c>
      <c r="AA59" s="212">
        <f>IF(B59="","",'入力・概要'!$E$9*(W59*X59-V59*Y59)/(X59^2+Y59^2)+C59*'入力・概要'!$B$37*1E-9)</f>
        <v/>
      </c>
      <c r="AB59" s="212">
        <f>IF(B59="","",SQRT(Z59^2+AA59^2))</f>
        <v/>
      </c>
      <c r="AC59" s="212">
        <f>IF(B59="","",IF(Z59&gt;0,DEGREES(ATAN(AA59/Z59)),IF(Z59&lt;0,IF(AA59&gt;=0,DEGREES(ATAN(AA59/Z59))+180,DEGREES(ATAN(AA59/Z59))-180),IF(AA59&gt;0,90,IF(AA59&lt;0,-90,0)))))</f>
        <v/>
      </c>
      <c r="AD59" s="212">
        <f>IF(B59="","",LOG10(B59))</f>
        <v/>
      </c>
      <c r="AE59" s="212">
        <f>IF(AB59="","",LOG10(MAX(AB59,1E-12)))</f>
        <v/>
      </c>
      <c r="AF59" s="212">
        <f>IF(B59="","",SQRT(P59^2+Q59^2))</f>
        <v/>
      </c>
      <c r="AG59" s="212">
        <f>IF(B59="","",SQRT(R59^2+S59^2))</f>
        <v/>
      </c>
    </row>
    <row r="60">
      <c r="A60" s="202" t="n">
        <v>57</v>
      </c>
      <c r="B60" s="213">
        <f>IF(A60&lt;='入力・概要'!$B$40,10^(LOG10('入力・概要'!$B$38)+(A60-1)*(LOG10('入力・概要'!$B$39)-LOG10('入力・概要'!$B$38))/('入力・概要'!$B$40-1)),"")</f>
        <v/>
      </c>
      <c r="C60" s="212">
        <f>IF(B60="","",2*PI()*B60)</f>
        <v/>
      </c>
      <c r="D60" s="212">
        <f>IF(B60="","",ATANH(MIN(0.999999,'入力・概要'!$E$20/'入力・概要'!$E$9))+'入力・概要'!$B$20*SQRT(B60/1E6)+E60*'入力・概要'!$B$15/2)</f>
        <v/>
      </c>
      <c r="E60" s="212">
        <f>IF(B60="","",C60*('入力・概要'!$E$11*1E-9))</f>
        <v/>
      </c>
      <c r="F60" s="212">
        <f>IF(B60="","",SINH(2*D60)/(COSH(2*D60)+COS(2*E60)))</f>
        <v/>
      </c>
      <c r="G60" s="212">
        <f>IF(B60="","",SIN(2*E60)/(COSH(2*D60)+COS(2*E60)))</f>
        <v/>
      </c>
      <c r="H60" s="212">
        <f>IF(B60="","",ATANH(MIN(0.999999,'入力・概要'!$E$21/'入力・概要'!$E$15))+'入力・概要'!$B$21*SQRT(B60/1E6)+I60*'入力・概要'!$B$16/2)</f>
        <v/>
      </c>
      <c r="I60" s="212">
        <f>IF(B60="","",C60*('入力・概要'!$E$17*1E-9))</f>
        <v/>
      </c>
      <c r="J60" s="212">
        <f>IF(B60="","",SINH(2*H60)/(COSH(2*H60)+COS(2*I60)))</f>
        <v/>
      </c>
      <c r="K60" s="212">
        <f>IF(B60="","",SIN(2*I60)/(COSH(2*H60)+COS(2*I60)))</f>
        <v/>
      </c>
      <c r="L60" s="212">
        <f>IF(B60="","",'入力・概要'!$B$25)</f>
        <v/>
      </c>
      <c r="M60" s="212">
        <f>IF(B60="","",C60*'入力・概要'!$B$26*1E-9-1/(C60*'入力・概要'!$B$24*1E-6))</f>
        <v/>
      </c>
      <c r="N60" s="212">
        <f>IF(B60="","",'入力・概要'!$B$28)</f>
        <v/>
      </c>
      <c r="O60" s="212">
        <f>IF(B60="","",C60*'入力・概要'!$B$29*1E-9-1/(C60*'入力・概要'!$B$27*1E-6))</f>
        <v/>
      </c>
      <c r="P60" s="212">
        <f>IF(B60="","",((L60*N60-M60*O60)*(L60+N60)+(L60*O60+M60*N60)*(M60+O60))/((L60+N60)^2+(M60+O60)^2))</f>
        <v/>
      </c>
      <c r="Q60" s="212">
        <f>IF(B60="","",((L60*O60+M60*N60)*(L60+N60)-(L60*N60-M60*O60)*(M60+O60))/((L60+N60)^2+(M60+O60)^2))</f>
        <v/>
      </c>
      <c r="R60" s="212">
        <f>IF(B60="","",'入力・概要'!$E$15*J60)</f>
        <v/>
      </c>
      <c r="S60" s="212">
        <f>IF(B60="","",'入力・概要'!$E$15*K60)</f>
        <v/>
      </c>
      <c r="T60" s="212">
        <f>IF(B60="","",P60+R60)</f>
        <v/>
      </c>
      <c r="U60" s="212">
        <f>IF(B60="","",Q60+S60)</f>
        <v/>
      </c>
      <c r="V60" s="212">
        <f>IF(B60="","",T60+'入力・概要'!$E$9*F60)</f>
        <v/>
      </c>
      <c r="W60" s="212">
        <f>IF(B60="","",U60+'入力・概要'!$E$9*G60)</f>
        <v/>
      </c>
      <c r="X60" s="212">
        <f>IF(B60="","",'入力・概要'!$E$9+T60*F60-U60*G60)</f>
        <v/>
      </c>
      <c r="Y60" s="212">
        <f>IF(B60="","",T60*G60+U60*F60)</f>
        <v/>
      </c>
      <c r="Z60" s="212">
        <f>IF(B60="","",'入力・概要'!$E$9*(V60*X60+W60*Y60)/(X60^2+Y60^2)+'入力・概要'!$B$36)</f>
        <v/>
      </c>
      <c r="AA60" s="212">
        <f>IF(B60="","",'入力・概要'!$E$9*(W60*X60-V60*Y60)/(X60^2+Y60^2)+C60*'入力・概要'!$B$37*1E-9)</f>
        <v/>
      </c>
      <c r="AB60" s="212">
        <f>IF(B60="","",SQRT(Z60^2+AA60^2))</f>
        <v/>
      </c>
      <c r="AC60" s="212">
        <f>IF(B60="","",IF(Z60&gt;0,DEGREES(ATAN(AA60/Z60)),IF(Z60&lt;0,IF(AA60&gt;=0,DEGREES(ATAN(AA60/Z60))+180,DEGREES(ATAN(AA60/Z60))-180),IF(AA60&gt;0,90,IF(AA60&lt;0,-90,0)))))</f>
        <v/>
      </c>
      <c r="AD60" s="212">
        <f>IF(B60="","",LOG10(B60))</f>
        <v/>
      </c>
      <c r="AE60" s="212">
        <f>IF(AB60="","",LOG10(MAX(AB60,1E-12)))</f>
        <v/>
      </c>
      <c r="AF60" s="212">
        <f>IF(B60="","",SQRT(P60^2+Q60^2))</f>
        <v/>
      </c>
      <c r="AG60" s="212">
        <f>IF(B60="","",SQRT(R60^2+S60^2))</f>
        <v/>
      </c>
    </row>
    <row r="61">
      <c r="A61" t="n">
        <v>58</v>
      </c>
      <c r="B61" s="196">
        <f>IF(A61&lt;='入力・概要'!$B$40,10^(LOG10('入力・概要'!$B$38)+(A61-1)*(LOG10('入力・概要'!$B$39)-LOG10('入力・概要'!$B$38))/('入力・概要'!$B$40-1)),"")</f>
        <v/>
      </c>
      <c r="C61" s="195">
        <f>IF(B61="","",2*PI()*B61)</f>
        <v/>
      </c>
      <c r="D61" s="195">
        <f>IF(B61="","",ATANH(MIN(0.999999,'入力・概要'!$E$20/'入力・概要'!$E$9))+'入力・概要'!$B$20*SQRT(B61/1E6)+E61*'入力・概要'!$B$15/2)</f>
        <v/>
      </c>
      <c r="E61" s="195">
        <f>IF(B61="","",C61*('入力・概要'!$E$11*1E-9))</f>
        <v/>
      </c>
      <c r="F61" s="195">
        <f>IF(B61="","",SINH(2*D61)/(COSH(2*D61)+COS(2*E61)))</f>
        <v/>
      </c>
      <c r="G61" s="195">
        <f>IF(B61="","",SIN(2*E61)/(COSH(2*D61)+COS(2*E61)))</f>
        <v/>
      </c>
      <c r="H61" s="195">
        <f>IF(B61="","",ATANH(MIN(0.999999,'入力・概要'!$E$21/'入力・概要'!$E$15))+'入力・概要'!$B$21*SQRT(B61/1E6)+I61*'入力・概要'!$B$16/2)</f>
        <v/>
      </c>
      <c r="I61" s="195">
        <f>IF(B61="","",C61*('入力・概要'!$E$17*1E-9))</f>
        <v/>
      </c>
      <c r="J61" s="195">
        <f>IF(B61="","",SINH(2*H61)/(COSH(2*H61)+COS(2*I61)))</f>
        <v/>
      </c>
      <c r="K61" s="195">
        <f>IF(B61="","",SIN(2*I61)/(COSH(2*H61)+COS(2*I61)))</f>
        <v/>
      </c>
      <c r="L61" s="195">
        <f>IF(B61="","",'入力・概要'!$B$25)</f>
        <v/>
      </c>
      <c r="M61" s="195">
        <f>IF(B61="","",C61*'入力・概要'!$B$26*1E-9-1/(C61*'入力・概要'!$B$24*1E-6))</f>
        <v/>
      </c>
      <c r="N61" s="195">
        <f>IF(B61="","",'入力・概要'!$B$28)</f>
        <v/>
      </c>
      <c r="O61" s="195">
        <f>IF(B61="","",C61*'入力・概要'!$B$29*1E-9-1/(C61*'入力・概要'!$B$27*1E-6))</f>
        <v/>
      </c>
      <c r="P61" s="195">
        <f>IF(B61="","",((L61*N61-M61*O61)*(L61+N61)+(L61*O61+M61*N61)*(M61+O61))/((L61+N61)^2+(M61+O61)^2))</f>
        <v/>
      </c>
      <c r="Q61" s="195">
        <f>IF(B61="","",((L61*O61+M61*N61)*(L61+N61)-(L61*N61-M61*O61)*(M61+O61))/((L61+N61)^2+(M61+O61)^2))</f>
        <v/>
      </c>
      <c r="R61" s="195">
        <f>IF(B61="","",'入力・概要'!$E$15*J61)</f>
        <v/>
      </c>
      <c r="S61" s="195">
        <f>IF(B61="","",'入力・概要'!$E$15*K61)</f>
        <v/>
      </c>
      <c r="T61" s="195">
        <f>IF(B61="","",P61+R61)</f>
        <v/>
      </c>
      <c r="U61" s="195">
        <f>IF(B61="","",Q61+S61)</f>
        <v/>
      </c>
      <c r="V61" s="195">
        <f>IF(B61="","",T61+'入力・概要'!$E$9*F61)</f>
        <v/>
      </c>
      <c r="W61" s="195">
        <f>IF(B61="","",U61+'入力・概要'!$E$9*G61)</f>
        <v/>
      </c>
      <c r="X61" s="195">
        <f>IF(B61="","",'入力・概要'!$E$9+T61*F61-U61*G61)</f>
        <v/>
      </c>
      <c r="Y61" s="195">
        <f>IF(B61="","",T61*G61+U61*F61)</f>
        <v/>
      </c>
      <c r="Z61" s="195">
        <f>IF(B61="","",'入力・概要'!$E$9*(V61*X61+W61*Y61)/(X61^2+Y61^2)+'入力・概要'!$B$36)</f>
        <v/>
      </c>
      <c r="AA61" s="195">
        <f>IF(B61="","",'入力・概要'!$E$9*(W61*X61-V61*Y61)/(X61^2+Y61^2)+C61*'入力・概要'!$B$37*1E-9)</f>
        <v/>
      </c>
      <c r="AB61" s="195">
        <f>IF(B61="","",SQRT(Z61^2+AA61^2))</f>
        <v/>
      </c>
      <c r="AC61" s="195">
        <f>IF(B61="","",IF(Z61&gt;0,DEGREES(ATAN(AA61/Z61)),IF(Z61&lt;0,IF(AA61&gt;=0,DEGREES(ATAN(AA61/Z61))+180,DEGREES(ATAN(AA61/Z61))-180),IF(AA61&gt;0,90,IF(AA61&lt;0,-90,0)))))</f>
        <v/>
      </c>
      <c r="AD61" s="195">
        <f>IF(B61="","",LOG10(B61))</f>
        <v/>
      </c>
      <c r="AE61" s="195">
        <f>IF(AB61="","",LOG10(MAX(AB61,1E-12)))</f>
        <v/>
      </c>
      <c r="AF61" s="195">
        <f>IF(B61="","",SQRT(P61^2+Q61^2))</f>
        <v/>
      </c>
      <c r="AG61" s="195">
        <f>IF(B61="","",SQRT(R61^2+S61^2))</f>
        <v/>
      </c>
    </row>
    <row r="62">
      <c r="A62" t="n">
        <v>59</v>
      </c>
      <c r="B62" s="196">
        <f>IF(A62&lt;='入力・概要'!$B$40,10^(LOG10('入力・概要'!$B$38)+(A62-1)*(LOG10('入力・概要'!$B$39)-LOG10('入力・概要'!$B$38))/('入力・概要'!$B$40-1)),"")</f>
        <v/>
      </c>
      <c r="C62" s="195">
        <f>IF(B62="","",2*PI()*B62)</f>
        <v/>
      </c>
      <c r="D62" s="195">
        <f>IF(B62="","",ATANH(MIN(0.999999,'入力・概要'!$E$20/'入力・概要'!$E$9))+'入力・概要'!$B$20*SQRT(B62/1E6)+E62*'入力・概要'!$B$15/2)</f>
        <v/>
      </c>
      <c r="E62" s="195">
        <f>IF(B62="","",C62*('入力・概要'!$E$11*1E-9))</f>
        <v/>
      </c>
      <c r="F62" s="195">
        <f>IF(B62="","",SINH(2*D62)/(COSH(2*D62)+COS(2*E62)))</f>
        <v/>
      </c>
      <c r="G62" s="195">
        <f>IF(B62="","",SIN(2*E62)/(COSH(2*D62)+COS(2*E62)))</f>
        <v/>
      </c>
      <c r="H62" s="195">
        <f>IF(B62="","",ATANH(MIN(0.999999,'入力・概要'!$E$21/'入力・概要'!$E$15))+'入力・概要'!$B$21*SQRT(B62/1E6)+I62*'入力・概要'!$B$16/2)</f>
        <v/>
      </c>
      <c r="I62" s="195">
        <f>IF(B62="","",C62*('入力・概要'!$E$17*1E-9))</f>
        <v/>
      </c>
      <c r="J62" s="195">
        <f>IF(B62="","",SINH(2*H62)/(COSH(2*H62)+COS(2*I62)))</f>
        <v/>
      </c>
      <c r="K62" s="195">
        <f>IF(B62="","",SIN(2*I62)/(COSH(2*H62)+COS(2*I62)))</f>
        <v/>
      </c>
      <c r="L62" s="195">
        <f>IF(B62="","",'入力・概要'!$B$25)</f>
        <v/>
      </c>
      <c r="M62" s="195">
        <f>IF(B62="","",C62*'入力・概要'!$B$26*1E-9-1/(C62*'入力・概要'!$B$24*1E-6))</f>
        <v/>
      </c>
      <c r="N62" s="195">
        <f>IF(B62="","",'入力・概要'!$B$28)</f>
        <v/>
      </c>
      <c r="O62" s="195">
        <f>IF(B62="","",C62*'入力・概要'!$B$29*1E-9-1/(C62*'入力・概要'!$B$27*1E-6))</f>
        <v/>
      </c>
      <c r="P62" s="195">
        <f>IF(B62="","",((L62*N62-M62*O62)*(L62+N62)+(L62*O62+M62*N62)*(M62+O62))/((L62+N62)^2+(M62+O62)^2))</f>
        <v/>
      </c>
      <c r="Q62" s="195">
        <f>IF(B62="","",((L62*O62+M62*N62)*(L62+N62)-(L62*N62-M62*O62)*(M62+O62))/((L62+N62)^2+(M62+O62)^2))</f>
        <v/>
      </c>
      <c r="R62" s="195">
        <f>IF(B62="","",'入力・概要'!$E$15*J62)</f>
        <v/>
      </c>
      <c r="S62" s="195">
        <f>IF(B62="","",'入力・概要'!$E$15*K62)</f>
        <v/>
      </c>
      <c r="T62" s="195">
        <f>IF(B62="","",P62+R62)</f>
        <v/>
      </c>
      <c r="U62" s="195">
        <f>IF(B62="","",Q62+S62)</f>
        <v/>
      </c>
      <c r="V62" s="195">
        <f>IF(B62="","",T62+'入力・概要'!$E$9*F62)</f>
        <v/>
      </c>
      <c r="W62" s="195">
        <f>IF(B62="","",U62+'入力・概要'!$E$9*G62)</f>
        <v/>
      </c>
      <c r="X62" s="195">
        <f>IF(B62="","",'入力・概要'!$E$9+T62*F62-U62*G62)</f>
        <v/>
      </c>
      <c r="Y62" s="195">
        <f>IF(B62="","",T62*G62+U62*F62)</f>
        <v/>
      </c>
      <c r="Z62" s="195">
        <f>IF(B62="","",'入力・概要'!$E$9*(V62*X62+W62*Y62)/(X62^2+Y62^2)+'入力・概要'!$B$36)</f>
        <v/>
      </c>
      <c r="AA62" s="195">
        <f>IF(B62="","",'入力・概要'!$E$9*(W62*X62-V62*Y62)/(X62^2+Y62^2)+C62*'入力・概要'!$B$37*1E-9)</f>
        <v/>
      </c>
      <c r="AB62" s="195">
        <f>IF(B62="","",SQRT(Z62^2+AA62^2))</f>
        <v/>
      </c>
      <c r="AC62" s="195">
        <f>IF(B62="","",IF(Z62&gt;0,DEGREES(ATAN(AA62/Z62)),IF(Z62&lt;0,IF(AA62&gt;=0,DEGREES(ATAN(AA62/Z62))+180,DEGREES(ATAN(AA62/Z62))-180),IF(AA62&gt;0,90,IF(AA62&lt;0,-90,0)))))</f>
        <v/>
      </c>
      <c r="AD62" s="195">
        <f>IF(B62="","",LOG10(B62))</f>
        <v/>
      </c>
      <c r="AE62" s="195">
        <f>IF(AB62="","",LOG10(MAX(AB62,1E-12)))</f>
        <v/>
      </c>
      <c r="AF62" s="195">
        <f>IF(B62="","",SQRT(P62^2+Q62^2))</f>
        <v/>
      </c>
      <c r="AG62" s="195">
        <f>IF(B62="","",SQRT(R62^2+S62^2))</f>
        <v/>
      </c>
    </row>
    <row r="63">
      <c r="A63" t="n">
        <v>60</v>
      </c>
      <c r="B63" s="196">
        <f>IF(A63&lt;='入力・概要'!$B$40,10^(LOG10('入力・概要'!$B$38)+(A63-1)*(LOG10('入力・概要'!$B$39)-LOG10('入力・概要'!$B$38))/('入力・概要'!$B$40-1)),"")</f>
        <v/>
      </c>
      <c r="C63" s="195">
        <f>IF(B63="","",2*PI()*B63)</f>
        <v/>
      </c>
      <c r="D63" s="195">
        <f>IF(B63="","",ATANH(MIN(0.999999,'入力・概要'!$E$20/'入力・概要'!$E$9))+'入力・概要'!$B$20*SQRT(B63/1E6)+E63*'入力・概要'!$B$15/2)</f>
        <v/>
      </c>
      <c r="E63" s="195">
        <f>IF(B63="","",C63*('入力・概要'!$E$11*1E-9))</f>
        <v/>
      </c>
      <c r="F63" s="195">
        <f>IF(B63="","",SINH(2*D63)/(COSH(2*D63)+COS(2*E63)))</f>
        <v/>
      </c>
      <c r="G63" s="195">
        <f>IF(B63="","",SIN(2*E63)/(COSH(2*D63)+COS(2*E63)))</f>
        <v/>
      </c>
      <c r="H63" s="195">
        <f>IF(B63="","",ATANH(MIN(0.999999,'入力・概要'!$E$21/'入力・概要'!$E$15))+'入力・概要'!$B$21*SQRT(B63/1E6)+I63*'入力・概要'!$B$16/2)</f>
        <v/>
      </c>
      <c r="I63" s="195">
        <f>IF(B63="","",C63*('入力・概要'!$E$17*1E-9))</f>
        <v/>
      </c>
      <c r="J63" s="195">
        <f>IF(B63="","",SINH(2*H63)/(COSH(2*H63)+COS(2*I63)))</f>
        <v/>
      </c>
      <c r="K63" s="195">
        <f>IF(B63="","",SIN(2*I63)/(COSH(2*H63)+COS(2*I63)))</f>
        <v/>
      </c>
      <c r="L63" s="195">
        <f>IF(B63="","",'入力・概要'!$B$25)</f>
        <v/>
      </c>
      <c r="M63" s="195">
        <f>IF(B63="","",C63*'入力・概要'!$B$26*1E-9-1/(C63*'入力・概要'!$B$24*1E-6))</f>
        <v/>
      </c>
      <c r="N63" s="195">
        <f>IF(B63="","",'入力・概要'!$B$28)</f>
        <v/>
      </c>
      <c r="O63" s="195">
        <f>IF(B63="","",C63*'入力・概要'!$B$29*1E-9-1/(C63*'入力・概要'!$B$27*1E-6))</f>
        <v/>
      </c>
      <c r="P63" s="195">
        <f>IF(B63="","",((L63*N63-M63*O63)*(L63+N63)+(L63*O63+M63*N63)*(M63+O63))/((L63+N63)^2+(M63+O63)^2))</f>
        <v/>
      </c>
      <c r="Q63" s="195">
        <f>IF(B63="","",((L63*O63+M63*N63)*(L63+N63)-(L63*N63-M63*O63)*(M63+O63))/((L63+N63)^2+(M63+O63)^2))</f>
        <v/>
      </c>
      <c r="R63" s="195">
        <f>IF(B63="","",'入力・概要'!$E$15*J63)</f>
        <v/>
      </c>
      <c r="S63" s="195">
        <f>IF(B63="","",'入力・概要'!$E$15*K63)</f>
        <v/>
      </c>
      <c r="T63" s="195">
        <f>IF(B63="","",P63+R63)</f>
        <v/>
      </c>
      <c r="U63" s="195">
        <f>IF(B63="","",Q63+S63)</f>
        <v/>
      </c>
      <c r="V63" s="195">
        <f>IF(B63="","",T63+'入力・概要'!$E$9*F63)</f>
        <v/>
      </c>
      <c r="W63" s="195">
        <f>IF(B63="","",U63+'入力・概要'!$E$9*G63)</f>
        <v/>
      </c>
      <c r="X63" s="195">
        <f>IF(B63="","",'入力・概要'!$E$9+T63*F63-U63*G63)</f>
        <v/>
      </c>
      <c r="Y63" s="195">
        <f>IF(B63="","",T63*G63+U63*F63)</f>
        <v/>
      </c>
      <c r="Z63" s="195">
        <f>IF(B63="","",'入力・概要'!$E$9*(V63*X63+W63*Y63)/(X63^2+Y63^2)+'入力・概要'!$B$36)</f>
        <v/>
      </c>
      <c r="AA63" s="195">
        <f>IF(B63="","",'入力・概要'!$E$9*(W63*X63-V63*Y63)/(X63^2+Y63^2)+C63*'入力・概要'!$B$37*1E-9)</f>
        <v/>
      </c>
      <c r="AB63" s="195">
        <f>IF(B63="","",SQRT(Z63^2+AA63^2))</f>
        <v/>
      </c>
      <c r="AC63" s="195">
        <f>IF(B63="","",IF(Z63&gt;0,DEGREES(ATAN(AA63/Z63)),IF(Z63&lt;0,IF(AA63&gt;=0,DEGREES(ATAN(AA63/Z63))+180,DEGREES(ATAN(AA63/Z63))-180),IF(AA63&gt;0,90,IF(AA63&lt;0,-90,0)))))</f>
        <v/>
      </c>
      <c r="AD63" s="195">
        <f>IF(B63="","",LOG10(B63))</f>
        <v/>
      </c>
      <c r="AE63" s="195">
        <f>IF(AB63="","",LOG10(MAX(AB63,1E-12)))</f>
        <v/>
      </c>
      <c r="AF63" s="195">
        <f>IF(B63="","",SQRT(P63^2+Q63^2))</f>
        <v/>
      </c>
      <c r="AG63" s="195">
        <f>IF(B63="","",SQRT(R63^2+S63^2))</f>
        <v/>
      </c>
    </row>
    <row r="64">
      <c r="A64" t="n">
        <v>61</v>
      </c>
      <c r="B64" s="196">
        <f>IF(A64&lt;='入力・概要'!$B$40,10^(LOG10('入力・概要'!$B$38)+(A64-1)*(LOG10('入力・概要'!$B$39)-LOG10('入力・概要'!$B$38))/('入力・概要'!$B$40-1)),"")</f>
        <v/>
      </c>
      <c r="C64" s="195">
        <f>IF(B64="","",2*PI()*B64)</f>
        <v/>
      </c>
      <c r="D64" s="195">
        <f>IF(B64="","",ATANH(MIN(0.999999,'入力・概要'!$E$20/'入力・概要'!$E$9))+'入力・概要'!$B$20*SQRT(B64/1E6)+E64*'入力・概要'!$B$15/2)</f>
        <v/>
      </c>
      <c r="E64" s="195">
        <f>IF(B64="","",C64*('入力・概要'!$E$11*1E-9))</f>
        <v/>
      </c>
      <c r="F64" s="195">
        <f>IF(B64="","",SINH(2*D64)/(COSH(2*D64)+COS(2*E64)))</f>
        <v/>
      </c>
      <c r="G64" s="195">
        <f>IF(B64="","",SIN(2*E64)/(COSH(2*D64)+COS(2*E64)))</f>
        <v/>
      </c>
      <c r="H64" s="195">
        <f>IF(B64="","",ATANH(MIN(0.999999,'入力・概要'!$E$21/'入力・概要'!$E$15))+'入力・概要'!$B$21*SQRT(B64/1E6)+I64*'入力・概要'!$B$16/2)</f>
        <v/>
      </c>
      <c r="I64" s="195">
        <f>IF(B64="","",C64*('入力・概要'!$E$17*1E-9))</f>
        <v/>
      </c>
      <c r="J64" s="195">
        <f>IF(B64="","",SINH(2*H64)/(COSH(2*H64)+COS(2*I64)))</f>
        <v/>
      </c>
      <c r="K64" s="195">
        <f>IF(B64="","",SIN(2*I64)/(COSH(2*H64)+COS(2*I64)))</f>
        <v/>
      </c>
      <c r="L64" s="195">
        <f>IF(B64="","",'入力・概要'!$B$25)</f>
        <v/>
      </c>
      <c r="M64" s="195">
        <f>IF(B64="","",C64*'入力・概要'!$B$26*1E-9-1/(C64*'入力・概要'!$B$24*1E-6))</f>
        <v/>
      </c>
      <c r="N64" s="195">
        <f>IF(B64="","",'入力・概要'!$B$28)</f>
        <v/>
      </c>
      <c r="O64" s="195">
        <f>IF(B64="","",C64*'入力・概要'!$B$29*1E-9-1/(C64*'入力・概要'!$B$27*1E-6))</f>
        <v/>
      </c>
      <c r="P64" s="195">
        <f>IF(B64="","",((L64*N64-M64*O64)*(L64+N64)+(L64*O64+M64*N64)*(M64+O64))/((L64+N64)^2+(M64+O64)^2))</f>
        <v/>
      </c>
      <c r="Q64" s="195">
        <f>IF(B64="","",((L64*O64+M64*N64)*(L64+N64)-(L64*N64-M64*O64)*(M64+O64))/((L64+N64)^2+(M64+O64)^2))</f>
        <v/>
      </c>
      <c r="R64" s="195">
        <f>IF(B64="","",'入力・概要'!$E$15*J64)</f>
        <v/>
      </c>
      <c r="S64" s="195">
        <f>IF(B64="","",'入力・概要'!$E$15*K64)</f>
        <v/>
      </c>
      <c r="T64" s="195">
        <f>IF(B64="","",P64+R64)</f>
        <v/>
      </c>
      <c r="U64" s="195">
        <f>IF(B64="","",Q64+S64)</f>
        <v/>
      </c>
      <c r="V64" s="195">
        <f>IF(B64="","",T64+'入力・概要'!$E$9*F64)</f>
        <v/>
      </c>
      <c r="W64" s="195">
        <f>IF(B64="","",U64+'入力・概要'!$E$9*G64)</f>
        <v/>
      </c>
      <c r="X64" s="195">
        <f>IF(B64="","",'入力・概要'!$E$9+T64*F64-U64*G64)</f>
        <v/>
      </c>
      <c r="Y64" s="195">
        <f>IF(B64="","",T64*G64+U64*F64)</f>
        <v/>
      </c>
      <c r="Z64" s="195">
        <f>IF(B64="","",'入力・概要'!$E$9*(V64*X64+W64*Y64)/(X64^2+Y64^2)+'入力・概要'!$B$36)</f>
        <v/>
      </c>
      <c r="AA64" s="195">
        <f>IF(B64="","",'入力・概要'!$E$9*(W64*X64-V64*Y64)/(X64^2+Y64^2)+C64*'入力・概要'!$B$37*1E-9)</f>
        <v/>
      </c>
      <c r="AB64" s="195">
        <f>IF(B64="","",SQRT(Z64^2+AA64^2))</f>
        <v/>
      </c>
      <c r="AC64" s="195">
        <f>IF(B64="","",IF(Z64&gt;0,DEGREES(ATAN(AA64/Z64)),IF(Z64&lt;0,IF(AA64&gt;=0,DEGREES(ATAN(AA64/Z64))+180,DEGREES(ATAN(AA64/Z64))-180),IF(AA64&gt;0,90,IF(AA64&lt;0,-90,0)))))</f>
        <v/>
      </c>
      <c r="AD64" s="195">
        <f>IF(B64="","",LOG10(B64))</f>
        <v/>
      </c>
      <c r="AE64" s="195">
        <f>IF(AB64="","",LOG10(MAX(AB64,1E-12)))</f>
        <v/>
      </c>
      <c r="AF64" s="195">
        <f>IF(B64="","",SQRT(P64^2+Q64^2))</f>
        <v/>
      </c>
      <c r="AG64" s="195">
        <f>IF(B64="","",SQRT(R64^2+S64^2))</f>
        <v/>
      </c>
    </row>
    <row r="65">
      <c r="A65" t="n">
        <v>62</v>
      </c>
      <c r="B65" s="196">
        <f>IF(A65&lt;='入力・概要'!$B$40,10^(LOG10('入力・概要'!$B$38)+(A65-1)*(LOG10('入力・概要'!$B$39)-LOG10('入力・概要'!$B$38))/('入力・概要'!$B$40-1)),"")</f>
        <v/>
      </c>
      <c r="C65" s="195">
        <f>IF(B65="","",2*PI()*B65)</f>
        <v/>
      </c>
      <c r="D65" s="195">
        <f>IF(B65="","",ATANH(MIN(0.999999,'入力・概要'!$E$20/'入力・概要'!$E$9))+'入力・概要'!$B$20*SQRT(B65/1E6)+E65*'入力・概要'!$B$15/2)</f>
        <v/>
      </c>
      <c r="E65" s="195">
        <f>IF(B65="","",C65*('入力・概要'!$E$11*1E-9))</f>
        <v/>
      </c>
      <c r="F65" s="195">
        <f>IF(B65="","",SINH(2*D65)/(COSH(2*D65)+COS(2*E65)))</f>
        <v/>
      </c>
      <c r="G65" s="195">
        <f>IF(B65="","",SIN(2*E65)/(COSH(2*D65)+COS(2*E65)))</f>
        <v/>
      </c>
      <c r="H65" s="195">
        <f>IF(B65="","",ATANH(MIN(0.999999,'入力・概要'!$E$21/'入力・概要'!$E$15))+'入力・概要'!$B$21*SQRT(B65/1E6)+I65*'入力・概要'!$B$16/2)</f>
        <v/>
      </c>
      <c r="I65" s="195">
        <f>IF(B65="","",C65*('入力・概要'!$E$17*1E-9))</f>
        <v/>
      </c>
      <c r="J65" s="195">
        <f>IF(B65="","",SINH(2*H65)/(COSH(2*H65)+COS(2*I65)))</f>
        <v/>
      </c>
      <c r="K65" s="195">
        <f>IF(B65="","",SIN(2*I65)/(COSH(2*H65)+COS(2*I65)))</f>
        <v/>
      </c>
      <c r="L65" s="195">
        <f>IF(B65="","",'入力・概要'!$B$25)</f>
        <v/>
      </c>
      <c r="M65" s="195">
        <f>IF(B65="","",C65*'入力・概要'!$B$26*1E-9-1/(C65*'入力・概要'!$B$24*1E-6))</f>
        <v/>
      </c>
      <c r="N65" s="195">
        <f>IF(B65="","",'入力・概要'!$B$28)</f>
        <v/>
      </c>
      <c r="O65" s="195">
        <f>IF(B65="","",C65*'入力・概要'!$B$29*1E-9-1/(C65*'入力・概要'!$B$27*1E-6))</f>
        <v/>
      </c>
      <c r="P65" s="195">
        <f>IF(B65="","",((L65*N65-M65*O65)*(L65+N65)+(L65*O65+M65*N65)*(M65+O65))/((L65+N65)^2+(M65+O65)^2))</f>
        <v/>
      </c>
      <c r="Q65" s="195">
        <f>IF(B65="","",((L65*O65+M65*N65)*(L65+N65)-(L65*N65-M65*O65)*(M65+O65))/((L65+N65)^2+(M65+O65)^2))</f>
        <v/>
      </c>
      <c r="R65" s="195">
        <f>IF(B65="","",'入力・概要'!$E$15*J65)</f>
        <v/>
      </c>
      <c r="S65" s="195">
        <f>IF(B65="","",'入力・概要'!$E$15*K65)</f>
        <v/>
      </c>
      <c r="T65" s="195">
        <f>IF(B65="","",P65+R65)</f>
        <v/>
      </c>
      <c r="U65" s="195">
        <f>IF(B65="","",Q65+S65)</f>
        <v/>
      </c>
      <c r="V65" s="195">
        <f>IF(B65="","",T65+'入力・概要'!$E$9*F65)</f>
        <v/>
      </c>
      <c r="W65" s="195">
        <f>IF(B65="","",U65+'入力・概要'!$E$9*G65)</f>
        <v/>
      </c>
      <c r="X65" s="195">
        <f>IF(B65="","",'入力・概要'!$E$9+T65*F65-U65*G65)</f>
        <v/>
      </c>
      <c r="Y65" s="195">
        <f>IF(B65="","",T65*G65+U65*F65)</f>
        <v/>
      </c>
      <c r="Z65" s="195">
        <f>IF(B65="","",'入力・概要'!$E$9*(V65*X65+W65*Y65)/(X65^2+Y65^2)+'入力・概要'!$B$36)</f>
        <v/>
      </c>
      <c r="AA65" s="195">
        <f>IF(B65="","",'入力・概要'!$E$9*(W65*X65-V65*Y65)/(X65^2+Y65^2)+C65*'入力・概要'!$B$37*1E-9)</f>
        <v/>
      </c>
      <c r="AB65" s="195">
        <f>IF(B65="","",SQRT(Z65^2+AA65^2))</f>
        <v/>
      </c>
      <c r="AC65" s="195">
        <f>IF(B65="","",IF(Z65&gt;0,DEGREES(ATAN(AA65/Z65)),IF(Z65&lt;0,IF(AA65&gt;=0,DEGREES(ATAN(AA65/Z65))+180,DEGREES(ATAN(AA65/Z65))-180),IF(AA65&gt;0,90,IF(AA65&lt;0,-90,0)))))</f>
        <v/>
      </c>
      <c r="AD65" s="195">
        <f>IF(B65="","",LOG10(B65))</f>
        <v/>
      </c>
      <c r="AE65" s="195">
        <f>IF(AB65="","",LOG10(MAX(AB65,1E-12)))</f>
        <v/>
      </c>
      <c r="AF65" s="195">
        <f>IF(B65="","",SQRT(P65^2+Q65^2))</f>
        <v/>
      </c>
      <c r="AG65" s="195">
        <f>IF(B65="","",SQRT(R65^2+S65^2))</f>
        <v/>
      </c>
    </row>
    <row r="66">
      <c r="A66" t="n">
        <v>63</v>
      </c>
      <c r="B66" s="196">
        <f>IF(A66&lt;='入力・概要'!$B$40,10^(LOG10('入力・概要'!$B$38)+(A66-1)*(LOG10('入力・概要'!$B$39)-LOG10('入力・概要'!$B$38))/('入力・概要'!$B$40-1)),"")</f>
        <v/>
      </c>
      <c r="C66" s="195">
        <f>IF(B66="","",2*PI()*B66)</f>
        <v/>
      </c>
      <c r="D66" s="195">
        <f>IF(B66="","",ATANH(MIN(0.999999,'入力・概要'!$E$20/'入力・概要'!$E$9))+'入力・概要'!$B$20*SQRT(B66/1E6)+E66*'入力・概要'!$B$15/2)</f>
        <v/>
      </c>
      <c r="E66" s="195">
        <f>IF(B66="","",C66*('入力・概要'!$E$11*1E-9))</f>
        <v/>
      </c>
      <c r="F66" s="195">
        <f>IF(B66="","",SINH(2*D66)/(COSH(2*D66)+COS(2*E66)))</f>
        <v/>
      </c>
      <c r="G66" s="195">
        <f>IF(B66="","",SIN(2*E66)/(COSH(2*D66)+COS(2*E66)))</f>
        <v/>
      </c>
      <c r="H66" s="195">
        <f>IF(B66="","",ATANH(MIN(0.999999,'入力・概要'!$E$21/'入力・概要'!$E$15))+'入力・概要'!$B$21*SQRT(B66/1E6)+I66*'入力・概要'!$B$16/2)</f>
        <v/>
      </c>
      <c r="I66" s="195">
        <f>IF(B66="","",C66*('入力・概要'!$E$17*1E-9))</f>
        <v/>
      </c>
      <c r="J66" s="195">
        <f>IF(B66="","",SINH(2*H66)/(COSH(2*H66)+COS(2*I66)))</f>
        <v/>
      </c>
      <c r="K66" s="195">
        <f>IF(B66="","",SIN(2*I66)/(COSH(2*H66)+COS(2*I66)))</f>
        <v/>
      </c>
      <c r="L66" s="195">
        <f>IF(B66="","",'入力・概要'!$B$25)</f>
        <v/>
      </c>
      <c r="M66" s="195">
        <f>IF(B66="","",C66*'入力・概要'!$B$26*1E-9-1/(C66*'入力・概要'!$B$24*1E-6))</f>
        <v/>
      </c>
      <c r="N66" s="195">
        <f>IF(B66="","",'入力・概要'!$B$28)</f>
        <v/>
      </c>
      <c r="O66" s="195">
        <f>IF(B66="","",C66*'入力・概要'!$B$29*1E-9-1/(C66*'入力・概要'!$B$27*1E-6))</f>
        <v/>
      </c>
      <c r="P66" s="195">
        <f>IF(B66="","",((L66*N66-M66*O66)*(L66+N66)+(L66*O66+M66*N66)*(M66+O66))/((L66+N66)^2+(M66+O66)^2))</f>
        <v/>
      </c>
      <c r="Q66" s="195">
        <f>IF(B66="","",((L66*O66+M66*N66)*(L66+N66)-(L66*N66-M66*O66)*(M66+O66))/((L66+N66)^2+(M66+O66)^2))</f>
        <v/>
      </c>
      <c r="R66" s="195">
        <f>IF(B66="","",'入力・概要'!$E$15*J66)</f>
        <v/>
      </c>
      <c r="S66" s="195">
        <f>IF(B66="","",'入力・概要'!$E$15*K66)</f>
        <v/>
      </c>
      <c r="T66" s="195">
        <f>IF(B66="","",P66+R66)</f>
        <v/>
      </c>
      <c r="U66" s="195">
        <f>IF(B66="","",Q66+S66)</f>
        <v/>
      </c>
      <c r="V66" s="195">
        <f>IF(B66="","",T66+'入力・概要'!$E$9*F66)</f>
        <v/>
      </c>
      <c r="W66" s="195">
        <f>IF(B66="","",U66+'入力・概要'!$E$9*G66)</f>
        <v/>
      </c>
      <c r="X66" s="195">
        <f>IF(B66="","",'入力・概要'!$E$9+T66*F66-U66*G66)</f>
        <v/>
      </c>
      <c r="Y66" s="195">
        <f>IF(B66="","",T66*G66+U66*F66)</f>
        <v/>
      </c>
      <c r="Z66" s="195">
        <f>IF(B66="","",'入力・概要'!$E$9*(V66*X66+W66*Y66)/(X66^2+Y66^2)+'入力・概要'!$B$36)</f>
        <v/>
      </c>
      <c r="AA66" s="195">
        <f>IF(B66="","",'入力・概要'!$E$9*(W66*X66-V66*Y66)/(X66^2+Y66^2)+C66*'入力・概要'!$B$37*1E-9)</f>
        <v/>
      </c>
      <c r="AB66" s="195">
        <f>IF(B66="","",SQRT(Z66^2+AA66^2))</f>
        <v/>
      </c>
      <c r="AC66" s="195">
        <f>IF(B66="","",IF(Z66&gt;0,DEGREES(ATAN(AA66/Z66)),IF(Z66&lt;0,IF(AA66&gt;=0,DEGREES(ATAN(AA66/Z66))+180,DEGREES(ATAN(AA66/Z66))-180),IF(AA66&gt;0,90,IF(AA66&lt;0,-90,0)))))</f>
        <v/>
      </c>
      <c r="AD66" s="195">
        <f>IF(B66="","",LOG10(B66))</f>
        <v/>
      </c>
      <c r="AE66" s="195">
        <f>IF(AB66="","",LOG10(MAX(AB66,1E-12)))</f>
        <v/>
      </c>
      <c r="AF66" s="195">
        <f>IF(B66="","",SQRT(P66^2+Q66^2))</f>
        <v/>
      </c>
      <c r="AG66" s="195">
        <f>IF(B66="","",SQRT(R66^2+S66^2))</f>
        <v/>
      </c>
    </row>
    <row r="67">
      <c r="A67" t="n">
        <v>64</v>
      </c>
      <c r="B67" s="196">
        <f>IF(A67&lt;='入力・概要'!$B$40,10^(LOG10('入力・概要'!$B$38)+(A67-1)*(LOG10('入力・概要'!$B$39)-LOG10('入力・概要'!$B$38))/('入力・概要'!$B$40-1)),"")</f>
        <v/>
      </c>
      <c r="C67" s="195">
        <f>IF(B67="","",2*PI()*B67)</f>
        <v/>
      </c>
      <c r="D67" s="195">
        <f>IF(B67="","",ATANH(MIN(0.999999,'入力・概要'!$E$20/'入力・概要'!$E$9))+'入力・概要'!$B$20*SQRT(B67/1E6)+E67*'入力・概要'!$B$15/2)</f>
        <v/>
      </c>
      <c r="E67" s="195">
        <f>IF(B67="","",C67*('入力・概要'!$E$11*1E-9))</f>
        <v/>
      </c>
      <c r="F67" s="195">
        <f>IF(B67="","",SINH(2*D67)/(COSH(2*D67)+COS(2*E67)))</f>
        <v/>
      </c>
      <c r="G67" s="195">
        <f>IF(B67="","",SIN(2*E67)/(COSH(2*D67)+COS(2*E67)))</f>
        <v/>
      </c>
      <c r="H67" s="195">
        <f>IF(B67="","",ATANH(MIN(0.999999,'入力・概要'!$E$21/'入力・概要'!$E$15))+'入力・概要'!$B$21*SQRT(B67/1E6)+I67*'入力・概要'!$B$16/2)</f>
        <v/>
      </c>
      <c r="I67" s="195">
        <f>IF(B67="","",C67*('入力・概要'!$E$17*1E-9))</f>
        <v/>
      </c>
      <c r="J67" s="195">
        <f>IF(B67="","",SINH(2*H67)/(COSH(2*H67)+COS(2*I67)))</f>
        <v/>
      </c>
      <c r="K67" s="195">
        <f>IF(B67="","",SIN(2*I67)/(COSH(2*H67)+COS(2*I67)))</f>
        <v/>
      </c>
      <c r="L67" s="195">
        <f>IF(B67="","",'入力・概要'!$B$25)</f>
        <v/>
      </c>
      <c r="M67" s="195">
        <f>IF(B67="","",C67*'入力・概要'!$B$26*1E-9-1/(C67*'入力・概要'!$B$24*1E-6))</f>
        <v/>
      </c>
      <c r="N67" s="195">
        <f>IF(B67="","",'入力・概要'!$B$28)</f>
        <v/>
      </c>
      <c r="O67" s="195">
        <f>IF(B67="","",C67*'入力・概要'!$B$29*1E-9-1/(C67*'入力・概要'!$B$27*1E-6))</f>
        <v/>
      </c>
      <c r="P67" s="195">
        <f>IF(B67="","",((L67*N67-M67*O67)*(L67+N67)+(L67*O67+M67*N67)*(M67+O67))/((L67+N67)^2+(M67+O67)^2))</f>
        <v/>
      </c>
      <c r="Q67" s="195">
        <f>IF(B67="","",((L67*O67+M67*N67)*(L67+N67)-(L67*N67-M67*O67)*(M67+O67))/((L67+N67)^2+(M67+O67)^2))</f>
        <v/>
      </c>
      <c r="R67" s="195">
        <f>IF(B67="","",'入力・概要'!$E$15*J67)</f>
        <v/>
      </c>
      <c r="S67" s="195">
        <f>IF(B67="","",'入力・概要'!$E$15*K67)</f>
        <v/>
      </c>
      <c r="T67" s="195">
        <f>IF(B67="","",P67+R67)</f>
        <v/>
      </c>
      <c r="U67" s="195">
        <f>IF(B67="","",Q67+S67)</f>
        <v/>
      </c>
      <c r="V67" s="195">
        <f>IF(B67="","",T67+'入力・概要'!$E$9*F67)</f>
        <v/>
      </c>
      <c r="W67" s="195">
        <f>IF(B67="","",U67+'入力・概要'!$E$9*G67)</f>
        <v/>
      </c>
      <c r="X67" s="195">
        <f>IF(B67="","",'入力・概要'!$E$9+T67*F67-U67*G67)</f>
        <v/>
      </c>
      <c r="Y67" s="195">
        <f>IF(B67="","",T67*G67+U67*F67)</f>
        <v/>
      </c>
      <c r="Z67" s="195">
        <f>IF(B67="","",'入力・概要'!$E$9*(V67*X67+W67*Y67)/(X67^2+Y67^2)+'入力・概要'!$B$36)</f>
        <v/>
      </c>
      <c r="AA67" s="195">
        <f>IF(B67="","",'入力・概要'!$E$9*(W67*X67-V67*Y67)/(X67^2+Y67^2)+C67*'入力・概要'!$B$37*1E-9)</f>
        <v/>
      </c>
      <c r="AB67" s="195">
        <f>IF(B67="","",SQRT(Z67^2+AA67^2))</f>
        <v/>
      </c>
      <c r="AC67" s="195">
        <f>IF(B67="","",IF(Z67&gt;0,DEGREES(ATAN(AA67/Z67)),IF(Z67&lt;0,IF(AA67&gt;=0,DEGREES(ATAN(AA67/Z67))+180,DEGREES(ATAN(AA67/Z67))-180),IF(AA67&gt;0,90,IF(AA67&lt;0,-90,0)))))</f>
        <v/>
      </c>
      <c r="AD67" s="195">
        <f>IF(B67="","",LOG10(B67))</f>
        <v/>
      </c>
      <c r="AE67" s="195">
        <f>IF(AB67="","",LOG10(MAX(AB67,1E-12)))</f>
        <v/>
      </c>
      <c r="AF67" s="195">
        <f>IF(B67="","",SQRT(P67^2+Q67^2))</f>
        <v/>
      </c>
      <c r="AG67" s="195">
        <f>IF(B67="","",SQRT(R67^2+S67^2))</f>
        <v/>
      </c>
    </row>
    <row r="68">
      <c r="A68" t="n">
        <v>65</v>
      </c>
      <c r="B68" s="196">
        <f>IF(A68&lt;='入力・概要'!$B$40,10^(LOG10('入力・概要'!$B$38)+(A68-1)*(LOG10('入力・概要'!$B$39)-LOG10('入力・概要'!$B$38))/('入力・概要'!$B$40-1)),"")</f>
        <v/>
      </c>
      <c r="C68" s="195">
        <f>IF(B68="","",2*PI()*B68)</f>
        <v/>
      </c>
      <c r="D68" s="195">
        <f>IF(B68="","",ATANH(MIN(0.999999,'入力・概要'!$E$20/'入力・概要'!$E$9))+'入力・概要'!$B$20*SQRT(B68/1E6)+E68*'入力・概要'!$B$15/2)</f>
        <v/>
      </c>
      <c r="E68" s="195">
        <f>IF(B68="","",C68*('入力・概要'!$E$11*1E-9))</f>
        <v/>
      </c>
      <c r="F68" s="195">
        <f>IF(B68="","",SINH(2*D68)/(COSH(2*D68)+COS(2*E68)))</f>
        <v/>
      </c>
      <c r="G68" s="195">
        <f>IF(B68="","",SIN(2*E68)/(COSH(2*D68)+COS(2*E68)))</f>
        <v/>
      </c>
      <c r="H68" s="195">
        <f>IF(B68="","",ATANH(MIN(0.999999,'入力・概要'!$E$21/'入力・概要'!$E$15))+'入力・概要'!$B$21*SQRT(B68/1E6)+I68*'入力・概要'!$B$16/2)</f>
        <v/>
      </c>
      <c r="I68" s="195">
        <f>IF(B68="","",C68*('入力・概要'!$E$17*1E-9))</f>
        <v/>
      </c>
      <c r="J68" s="195">
        <f>IF(B68="","",SINH(2*H68)/(COSH(2*H68)+COS(2*I68)))</f>
        <v/>
      </c>
      <c r="K68" s="195">
        <f>IF(B68="","",SIN(2*I68)/(COSH(2*H68)+COS(2*I68)))</f>
        <v/>
      </c>
      <c r="L68" s="195">
        <f>IF(B68="","",'入力・概要'!$B$25)</f>
        <v/>
      </c>
      <c r="M68" s="195">
        <f>IF(B68="","",C68*'入力・概要'!$B$26*1E-9-1/(C68*'入力・概要'!$B$24*1E-6))</f>
        <v/>
      </c>
      <c r="N68" s="195">
        <f>IF(B68="","",'入力・概要'!$B$28)</f>
        <v/>
      </c>
      <c r="O68" s="195">
        <f>IF(B68="","",C68*'入力・概要'!$B$29*1E-9-1/(C68*'入力・概要'!$B$27*1E-6))</f>
        <v/>
      </c>
      <c r="P68" s="195">
        <f>IF(B68="","",((L68*N68-M68*O68)*(L68+N68)+(L68*O68+M68*N68)*(M68+O68))/((L68+N68)^2+(M68+O68)^2))</f>
        <v/>
      </c>
      <c r="Q68" s="195">
        <f>IF(B68="","",((L68*O68+M68*N68)*(L68+N68)-(L68*N68-M68*O68)*(M68+O68))/((L68+N68)^2+(M68+O68)^2))</f>
        <v/>
      </c>
      <c r="R68" s="195">
        <f>IF(B68="","",'入力・概要'!$E$15*J68)</f>
        <v/>
      </c>
      <c r="S68" s="195">
        <f>IF(B68="","",'入力・概要'!$E$15*K68)</f>
        <v/>
      </c>
      <c r="T68" s="195">
        <f>IF(B68="","",P68+R68)</f>
        <v/>
      </c>
      <c r="U68" s="195">
        <f>IF(B68="","",Q68+S68)</f>
        <v/>
      </c>
      <c r="V68" s="195">
        <f>IF(B68="","",T68+'入力・概要'!$E$9*F68)</f>
        <v/>
      </c>
      <c r="W68" s="195">
        <f>IF(B68="","",U68+'入力・概要'!$E$9*G68)</f>
        <v/>
      </c>
      <c r="X68" s="195">
        <f>IF(B68="","",'入力・概要'!$E$9+T68*F68-U68*G68)</f>
        <v/>
      </c>
      <c r="Y68" s="195">
        <f>IF(B68="","",T68*G68+U68*F68)</f>
        <v/>
      </c>
      <c r="Z68" s="195">
        <f>IF(B68="","",'入力・概要'!$E$9*(V68*X68+W68*Y68)/(X68^2+Y68^2)+'入力・概要'!$B$36)</f>
        <v/>
      </c>
      <c r="AA68" s="195">
        <f>IF(B68="","",'入力・概要'!$E$9*(W68*X68-V68*Y68)/(X68^2+Y68^2)+C68*'入力・概要'!$B$37*1E-9)</f>
        <v/>
      </c>
      <c r="AB68" s="195">
        <f>IF(B68="","",SQRT(Z68^2+AA68^2))</f>
        <v/>
      </c>
      <c r="AC68" s="195">
        <f>IF(B68="","",IF(Z68&gt;0,DEGREES(ATAN(AA68/Z68)),IF(Z68&lt;0,IF(AA68&gt;=0,DEGREES(ATAN(AA68/Z68))+180,DEGREES(ATAN(AA68/Z68))-180),IF(AA68&gt;0,90,IF(AA68&lt;0,-90,0)))))</f>
        <v/>
      </c>
      <c r="AD68" s="195">
        <f>IF(B68="","",LOG10(B68))</f>
        <v/>
      </c>
      <c r="AE68" s="195">
        <f>IF(AB68="","",LOG10(MAX(AB68,1E-12)))</f>
        <v/>
      </c>
      <c r="AF68" s="195">
        <f>IF(B68="","",SQRT(P68^2+Q68^2))</f>
        <v/>
      </c>
      <c r="AG68" s="195">
        <f>IF(B68="","",SQRT(R68^2+S68^2))</f>
        <v/>
      </c>
    </row>
    <row r="69">
      <c r="A69" t="n">
        <v>66</v>
      </c>
      <c r="B69" s="196">
        <f>IF(A69&lt;='入力・概要'!$B$40,10^(LOG10('入力・概要'!$B$38)+(A69-1)*(LOG10('入力・概要'!$B$39)-LOG10('入力・概要'!$B$38))/('入力・概要'!$B$40-1)),"")</f>
        <v/>
      </c>
      <c r="C69" s="195">
        <f>IF(B69="","",2*PI()*B69)</f>
        <v/>
      </c>
      <c r="D69" s="195">
        <f>IF(B69="","",ATANH(MIN(0.999999,'入力・概要'!$E$20/'入力・概要'!$E$9))+'入力・概要'!$B$20*SQRT(B69/1E6)+E69*'入力・概要'!$B$15/2)</f>
        <v/>
      </c>
      <c r="E69" s="195">
        <f>IF(B69="","",C69*('入力・概要'!$E$11*1E-9))</f>
        <v/>
      </c>
      <c r="F69" s="195">
        <f>IF(B69="","",SINH(2*D69)/(COSH(2*D69)+COS(2*E69)))</f>
        <v/>
      </c>
      <c r="G69" s="195">
        <f>IF(B69="","",SIN(2*E69)/(COSH(2*D69)+COS(2*E69)))</f>
        <v/>
      </c>
      <c r="H69" s="195">
        <f>IF(B69="","",ATANH(MIN(0.999999,'入力・概要'!$E$21/'入力・概要'!$E$15))+'入力・概要'!$B$21*SQRT(B69/1E6)+I69*'入力・概要'!$B$16/2)</f>
        <v/>
      </c>
      <c r="I69" s="195">
        <f>IF(B69="","",C69*('入力・概要'!$E$17*1E-9))</f>
        <v/>
      </c>
      <c r="J69" s="195">
        <f>IF(B69="","",SINH(2*H69)/(COSH(2*H69)+COS(2*I69)))</f>
        <v/>
      </c>
      <c r="K69" s="195">
        <f>IF(B69="","",SIN(2*I69)/(COSH(2*H69)+COS(2*I69)))</f>
        <v/>
      </c>
      <c r="L69" s="195">
        <f>IF(B69="","",'入力・概要'!$B$25)</f>
        <v/>
      </c>
      <c r="M69" s="195">
        <f>IF(B69="","",C69*'入力・概要'!$B$26*1E-9-1/(C69*'入力・概要'!$B$24*1E-6))</f>
        <v/>
      </c>
      <c r="N69" s="195">
        <f>IF(B69="","",'入力・概要'!$B$28)</f>
        <v/>
      </c>
      <c r="O69" s="195">
        <f>IF(B69="","",C69*'入力・概要'!$B$29*1E-9-1/(C69*'入力・概要'!$B$27*1E-6))</f>
        <v/>
      </c>
      <c r="P69" s="195">
        <f>IF(B69="","",((L69*N69-M69*O69)*(L69+N69)+(L69*O69+M69*N69)*(M69+O69))/((L69+N69)^2+(M69+O69)^2))</f>
        <v/>
      </c>
      <c r="Q69" s="195">
        <f>IF(B69="","",((L69*O69+M69*N69)*(L69+N69)-(L69*N69-M69*O69)*(M69+O69))/((L69+N69)^2+(M69+O69)^2))</f>
        <v/>
      </c>
      <c r="R69" s="195">
        <f>IF(B69="","",'入力・概要'!$E$15*J69)</f>
        <v/>
      </c>
      <c r="S69" s="195">
        <f>IF(B69="","",'入力・概要'!$E$15*K69)</f>
        <v/>
      </c>
      <c r="T69" s="195">
        <f>IF(B69="","",P69+R69)</f>
        <v/>
      </c>
      <c r="U69" s="195">
        <f>IF(B69="","",Q69+S69)</f>
        <v/>
      </c>
      <c r="V69" s="195">
        <f>IF(B69="","",T69+'入力・概要'!$E$9*F69)</f>
        <v/>
      </c>
      <c r="W69" s="195">
        <f>IF(B69="","",U69+'入力・概要'!$E$9*G69)</f>
        <v/>
      </c>
      <c r="X69" s="195">
        <f>IF(B69="","",'入力・概要'!$E$9+T69*F69-U69*G69)</f>
        <v/>
      </c>
      <c r="Y69" s="195">
        <f>IF(B69="","",T69*G69+U69*F69)</f>
        <v/>
      </c>
      <c r="Z69" s="195">
        <f>IF(B69="","",'入力・概要'!$E$9*(V69*X69+W69*Y69)/(X69^2+Y69^2)+'入力・概要'!$B$36)</f>
        <v/>
      </c>
      <c r="AA69" s="195">
        <f>IF(B69="","",'入力・概要'!$E$9*(W69*X69-V69*Y69)/(X69^2+Y69^2)+C69*'入力・概要'!$B$37*1E-9)</f>
        <v/>
      </c>
      <c r="AB69" s="195">
        <f>IF(B69="","",SQRT(Z69^2+AA69^2))</f>
        <v/>
      </c>
      <c r="AC69" s="195">
        <f>IF(B69="","",IF(Z69&gt;0,DEGREES(ATAN(AA69/Z69)),IF(Z69&lt;0,IF(AA69&gt;=0,DEGREES(ATAN(AA69/Z69))+180,DEGREES(ATAN(AA69/Z69))-180),IF(AA69&gt;0,90,IF(AA69&lt;0,-90,0)))))</f>
        <v/>
      </c>
      <c r="AD69" s="195">
        <f>IF(B69="","",LOG10(B69))</f>
        <v/>
      </c>
      <c r="AE69" s="195">
        <f>IF(AB69="","",LOG10(MAX(AB69,1E-12)))</f>
        <v/>
      </c>
      <c r="AF69" s="195">
        <f>IF(B69="","",SQRT(P69^2+Q69^2))</f>
        <v/>
      </c>
      <c r="AG69" s="195">
        <f>IF(B69="","",SQRT(R69^2+S69^2))</f>
        <v/>
      </c>
    </row>
    <row r="70">
      <c r="A70" t="n">
        <v>67</v>
      </c>
      <c r="B70" s="196">
        <f>IF(A70&lt;='入力・概要'!$B$40,10^(LOG10('入力・概要'!$B$38)+(A70-1)*(LOG10('入力・概要'!$B$39)-LOG10('入力・概要'!$B$38))/('入力・概要'!$B$40-1)),"")</f>
        <v/>
      </c>
      <c r="C70" s="195">
        <f>IF(B70="","",2*PI()*B70)</f>
        <v/>
      </c>
      <c r="D70" s="195">
        <f>IF(B70="","",ATANH(MIN(0.999999,'入力・概要'!$E$20/'入力・概要'!$E$9))+'入力・概要'!$B$20*SQRT(B70/1E6)+E70*'入力・概要'!$B$15/2)</f>
        <v/>
      </c>
      <c r="E70" s="195">
        <f>IF(B70="","",C70*('入力・概要'!$E$11*1E-9))</f>
        <v/>
      </c>
      <c r="F70" s="195">
        <f>IF(B70="","",SINH(2*D70)/(COSH(2*D70)+COS(2*E70)))</f>
        <v/>
      </c>
      <c r="G70" s="195">
        <f>IF(B70="","",SIN(2*E70)/(COSH(2*D70)+COS(2*E70)))</f>
        <v/>
      </c>
      <c r="H70" s="195">
        <f>IF(B70="","",ATANH(MIN(0.999999,'入力・概要'!$E$21/'入力・概要'!$E$15))+'入力・概要'!$B$21*SQRT(B70/1E6)+I70*'入力・概要'!$B$16/2)</f>
        <v/>
      </c>
      <c r="I70" s="195">
        <f>IF(B70="","",C70*('入力・概要'!$E$17*1E-9))</f>
        <v/>
      </c>
      <c r="J70" s="195">
        <f>IF(B70="","",SINH(2*H70)/(COSH(2*H70)+COS(2*I70)))</f>
        <v/>
      </c>
      <c r="K70" s="195">
        <f>IF(B70="","",SIN(2*I70)/(COSH(2*H70)+COS(2*I70)))</f>
        <v/>
      </c>
      <c r="L70" s="195">
        <f>IF(B70="","",'入力・概要'!$B$25)</f>
        <v/>
      </c>
      <c r="M70" s="195">
        <f>IF(B70="","",C70*'入力・概要'!$B$26*1E-9-1/(C70*'入力・概要'!$B$24*1E-6))</f>
        <v/>
      </c>
      <c r="N70" s="195">
        <f>IF(B70="","",'入力・概要'!$B$28)</f>
        <v/>
      </c>
      <c r="O70" s="195">
        <f>IF(B70="","",C70*'入力・概要'!$B$29*1E-9-1/(C70*'入力・概要'!$B$27*1E-6))</f>
        <v/>
      </c>
      <c r="P70" s="195">
        <f>IF(B70="","",((L70*N70-M70*O70)*(L70+N70)+(L70*O70+M70*N70)*(M70+O70))/((L70+N70)^2+(M70+O70)^2))</f>
        <v/>
      </c>
      <c r="Q70" s="195">
        <f>IF(B70="","",((L70*O70+M70*N70)*(L70+N70)-(L70*N70-M70*O70)*(M70+O70))/((L70+N70)^2+(M70+O70)^2))</f>
        <v/>
      </c>
      <c r="R70" s="195">
        <f>IF(B70="","",'入力・概要'!$E$15*J70)</f>
        <v/>
      </c>
      <c r="S70" s="195">
        <f>IF(B70="","",'入力・概要'!$E$15*K70)</f>
        <v/>
      </c>
      <c r="T70" s="195">
        <f>IF(B70="","",P70+R70)</f>
        <v/>
      </c>
      <c r="U70" s="195">
        <f>IF(B70="","",Q70+S70)</f>
        <v/>
      </c>
      <c r="V70" s="195">
        <f>IF(B70="","",T70+'入力・概要'!$E$9*F70)</f>
        <v/>
      </c>
      <c r="W70" s="195">
        <f>IF(B70="","",U70+'入力・概要'!$E$9*G70)</f>
        <v/>
      </c>
      <c r="X70" s="195">
        <f>IF(B70="","",'入力・概要'!$E$9+T70*F70-U70*G70)</f>
        <v/>
      </c>
      <c r="Y70" s="195">
        <f>IF(B70="","",T70*G70+U70*F70)</f>
        <v/>
      </c>
      <c r="Z70" s="195">
        <f>IF(B70="","",'入力・概要'!$E$9*(V70*X70+W70*Y70)/(X70^2+Y70^2)+'入力・概要'!$B$36)</f>
        <v/>
      </c>
      <c r="AA70" s="195">
        <f>IF(B70="","",'入力・概要'!$E$9*(W70*X70-V70*Y70)/(X70^2+Y70^2)+C70*'入力・概要'!$B$37*1E-9)</f>
        <v/>
      </c>
      <c r="AB70" s="195">
        <f>IF(B70="","",SQRT(Z70^2+AA70^2))</f>
        <v/>
      </c>
      <c r="AC70" s="195">
        <f>IF(B70="","",IF(Z70&gt;0,DEGREES(ATAN(AA70/Z70)),IF(Z70&lt;0,IF(AA70&gt;=0,DEGREES(ATAN(AA70/Z70))+180,DEGREES(ATAN(AA70/Z70))-180),IF(AA70&gt;0,90,IF(AA70&lt;0,-90,0)))))</f>
        <v/>
      </c>
      <c r="AD70" s="195">
        <f>IF(B70="","",LOG10(B70))</f>
        <v/>
      </c>
      <c r="AE70" s="195">
        <f>IF(AB70="","",LOG10(MAX(AB70,1E-12)))</f>
        <v/>
      </c>
      <c r="AF70" s="195">
        <f>IF(B70="","",SQRT(P70^2+Q70^2))</f>
        <v/>
      </c>
      <c r="AG70" s="195">
        <f>IF(B70="","",SQRT(R70^2+S70^2))</f>
        <v/>
      </c>
    </row>
    <row r="71">
      <c r="A71" t="n">
        <v>68</v>
      </c>
      <c r="B71" s="196">
        <f>IF(A71&lt;='入力・概要'!$B$40,10^(LOG10('入力・概要'!$B$38)+(A71-1)*(LOG10('入力・概要'!$B$39)-LOG10('入力・概要'!$B$38))/('入力・概要'!$B$40-1)),"")</f>
        <v/>
      </c>
      <c r="C71" s="195">
        <f>IF(B71="","",2*PI()*B71)</f>
        <v/>
      </c>
      <c r="D71" s="195">
        <f>IF(B71="","",ATANH(MIN(0.999999,'入力・概要'!$E$20/'入力・概要'!$E$9))+'入力・概要'!$B$20*SQRT(B71/1E6)+E71*'入力・概要'!$B$15/2)</f>
        <v/>
      </c>
      <c r="E71" s="195">
        <f>IF(B71="","",C71*('入力・概要'!$E$11*1E-9))</f>
        <v/>
      </c>
      <c r="F71" s="195">
        <f>IF(B71="","",SINH(2*D71)/(COSH(2*D71)+COS(2*E71)))</f>
        <v/>
      </c>
      <c r="G71" s="195">
        <f>IF(B71="","",SIN(2*E71)/(COSH(2*D71)+COS(2*E71)))</f>
        <v/>
      </c>
      <c r="H71" s="195">
        <f>IF(B71="","",ATANH(MIN(0.999999,'入力・概要'!$E$21/'入力・概要'!$E$15))+'入力・概要'!$B$21*SQRT(B71/1E6)+I71*'入力・概要'!$B$16/2)</f>
        <v/>
      </c>
      <c r="I71" s="195">
        <f>IF(B71="","",C71*('入力・概要'!$E$17*1E-9))</f>
        <v/>
      </c>
      <c r="J71" s="195">
        <f>IF(B71="","",SINH(2*H71)/(COSH(2*H71)+COS(2*I71)))</f>
        <v/>
      </c>
      <c r="K71" s="195">
        <f>IF(B71="","",SIN(2*I71)/(COSH(2*H71)+COS(2*I71)))</f>
        <v/>
      </c>
      <c r="L71" s="195">
        <f>IF(B71="","",'入力・概要'!$B$25)</f>
        <v/>
      </c>
      <c r="M71" s="195">
        <f>IF(B71="","",C71*'入力・概要'!$B$26*1E-9-1/(C71*'入力・概要'!$B$24*1E-6))</f>
        <v/>
      </c>
      <c r="N71" s="195">
        <f>IF(B71="","",'入力・概要'!$B$28)</f>
        <v/>
      </c>
      <c r="O71" s="195">
        <f>IF(B71="","",C71*'入力・概要'!$B$29*1E-9-1/(C71*'入力・概要'!$B$27*1E-6))</f>
        <v/>
      </c>
      <c r="P71" s="195">
        <f>IF(B71="","",((L71*N71-M71*O71)*(L71+N71)+(L71*O71+M71*N71)*(M71+O71))/((L71+N71)^2+(M71+O71)^2))</f>
        <v/>
      </c>
      <c r="Q71" s="195">
        <f>IF(B71="","",((L71*O71+M71*N71)*(L71+N71)-(L71*N71-M71*O71)*(M71+O71))/((L71+N71)^2+(M71+O71)^2))</f>
        <v/>
      </c>
      <c r="R71" s="195">
        <f>IF(B71="","",'入力・概要'!$E$15*J71)</f>
        <v/>
      </c>
      <c r="S71" s="195">
        <f>IF(B71="","",'入力・概要'!$E$15*K71)</f>
        <v/>
      </c>
      <c r="T71" s="195">
        <f>IF(B71="","",P71+R71)</f>
        <v/>
      </c>
      <c r="U71" s="195">
        <f>IF(B71="","",Q71+S71)</f>
        <v/>
      </c>
      <c r="V71" s="195">
        <f>IF(B71="","",T71+'入力・概要'!$E$9*F71)</f>
        <v/>
      </c>
      <c r="W71" s="195">
        <f>IF(B71="","",U71+'入力・概要'!$E$9*G71)</f>
        <v/>
      </c>
      <c r="X71" s="195">
        <f>IF(B71="","",'入力・概要'!$E$9+T71*F71-U71*G71)</f>
        <v/>
      </c>
      <c r="Y71" s="195">
        <f>IF(B71="","",T71*G71+U71*F71)</f>
        <v/>
      </c>
      <c r="Z71" s="195">
        <f>IF(B71="","",'入力・概要'!$E$9*(V71*X71+W71*Y71)/(X71^2+Y71^2)+'入力・概要'!$B$36)</f>
        <v/>
      </c>
      <c r="AA71" s="195">
        <f>IF(B71="","",'入力・概要'!$E$9*(W71*X71-V71*Y71)/(X71^2+Y71^2)+C71*'入力・概要'!$B$37*1E-9)</f>
        <v/>
      </c>
      <c r="AB71" s="195">
        <f>IF(B71="","",SQRT(Z71^2+AA71^2))</f>
        <v/>
      </c>
      <c r="AC71" s="195">
        <f>IF(B71="","",IF(Z71&gt;0,DEGREES(ATAN(AA71/Z71)),IF(Z71&lt;0,IF(AA71&gt;=0,DEGREES(ATAN(AA71/Z71))+180,DEGREES(ATAN(AA71/Z71))-180),IF(AA71&gt;0,90,IF(AA71&lt;0,-90,0)))))</f>
        <v/>
      </c>
      <c r="AD71" s="195">
        <f>IF(B71="","",LOG10(B71))</f>
        <v/>
      </c>
      <c r="AE71" s="195">
        <f>IF(AB71="","",LOG10(MAX(AB71,1E-12)))</f>
        <v/>
      </c>
      <c r="AF71" s="195">
        <f>IF(B71="","",SQRT(P71^2+Q71^2))</f>
        <v/>
      </c>
      <c r="AG71" s="195">
        <f>IF(B71="","",SQRT(R71^2+S71^2))</f>
        <v/>
      </c>
    </row>
    <row r="72">
      <c r="A72" t="n">
        <v>69</v>
      </c>
      <c r="B72" s="196">
        <f>IF(A72&lt;='入力・概要'!$B$40,10^(LOG10('入力・概要'!$B$38)+(A72-1)*(LOG10('入力・概要'!$B$39)-LOG10('入力・概要'!$B$38))/('入力・概要'!$B$40-1)),"")</f>
        <v/>
      </c>
      <c r="C72" s="195">
        <f>IF(B72="","",2*PI()*B72)</f>
        <v/>
      </c>
      <c r="D72" s="195">
        <f>IF(B72="","",ATANH(MIN(0.999999,'入力・概要'!$E$20/'入力・概要'!$E$9))+'入力・概要'!$B$20*SQRT(B72/1E6)+E72*'入力・概要'!$B$15/2)</f>
        <v/>
      </c>
      <c r="E72" s="195">
        <f>IF(B72="","",C72*('入力・概要'!$E$11*1E-9))</f>
        <v/>
      </c>
      <c r="F72" s="195">
        <f>IF(B72="","",SINH(2*D72)/(COSH(2*D72)+COS(2*E72)))</f>
        <v/>
      </c>
      <c r="G72" s="195">
        <f>IF(B72="","",SIN(2*E72)/(COSH(2*D72)+COS(2*E72)))</f>
        <v/>
      </c>
      <c r="H72" s="195">
        <f>IF(B72="","",ATANH(MIN(0.999999,'入力・概要'!$E$21/'入力・概要'!$E$15))+'入力・概要'!$B$21*SQRT(B72/1E6)+I72*'入力・概要'!$B$16/2)</f>
        <v/>
      </c>
      <c r="I72" s="195">
        <f>IF(B72="","",C72*('入力・概要'!$E$17*1E-9))</f>
        <v/>
      </c>
      <c r="J72" s="195">
        <f>IF(B72="","",SINH(2*H72)/(COSH(2*H72)+COS(2*I72)))</f>
        <v/>
      </c>
      <c r="K72" s="195">
        <f>IF(B72="","",SIN(2*I72)/(COSH(2*H72)+COS(2*I72)))</f>
        <v/>
      </c>
      <c r="L72" s="195">
        <f>IF(B72="","",'入力・概要'!$B$25)</f>
        <v/>
      </c>
      <c r="M72" s="195">
        <f>IF(B72="","",C72*'入力・概要'!$B$26*1E-9-1/(C72*'入力・概要'!$B$24*1E-6))</f>
        <v/>
      </c>
      <c r="N72" s="195">
        <f>IF(B72="","",'入力・概要'!$B$28)</f>
        <v/>
      </c>
      <c r="O72" s="195">
        <f>IF(B72="","",C72*'入力・概要'!$B$29*1E-9-1/(C72*'入力・概要'!$B$27*1E-6))</f>
        <v/>
      </c>
      <c r="P72" s="195">
        <f>IF(B72="","",((L72*N72-M72*O72)*(L72+N72)+(L72*O72+M72*N72)*(M72+O72))/((L72+N72)^2+(M72+O72)^2))</f>
        <v/>
      </c>
      <c r="Q72" s="195">
        <f>IF(B72="","",((L72*O72+M72*N72)*(L72+N72)-(L72*N72-M72*O72)*(M72+O72))/((L72+N72)^2+(M72+O72)^2))</f>
        <v/>
      </c>
      <c r="R72" s="195">
        <f>IF(B72="","",'入力・概要'!$E$15*J72)</f>
        <v/>
      </c>
      <c r="S72" s="195">
        <f>IF(B72="","",'入力・概要'!$E$15*K72)</f>
        <v/>
      </c>
      <c r="T72" s="195">
        <f>IF(B72="","",P72+R72)</f>
        <v/>
      </c>
      <c r="U72" s="195">
        <f>IF(B72="","",Q72+S72)</f>
        <v/>
      </c>
      <c r="V72" s="195">
        <f>IF(B72="","",T72+'入力・概要'!$E$9*F72)</f>
        <v/>
      </c>
      <c r="W72" s="195">
        <f>IF(B72="","",U72+'入力・概要'!$E$9*G72)</f>
        <v/>
      </c>
      <c r="X72" s="195">
        <f>IF(B72="","",'入力・概要'!$E$9+T72*F72-U72*G72)</f>
        <v/>
      </c>
      <c r="Y72" s="195">
        <f>IF(B72="","",T72*G72+U72*F72)</f>
        <v/>
      </c>
      <c r="Z72" s="195">
        <f>IF(B72="","",'入力・概要'!$E$9*(V72*X72+W72*Y72)/(X72^2+Y72^2)+'入力・概要'!$B$36)</f>
        <v/>
      </c>
      <c r="AA72" s="195">
        <f>IF(B72="","",'入力・概要'!$E$9*(W72*X72-V72*Y72)/(X72^2+Y72^2)+C72*'入力・概要'!$B$37*1E-9)</f>
        <v/>
      </c>
      <c r="AB72" s="195">
        <f>IF(B72="","",SQRT(Z72^2+AA72^2))</f>
        <v/>
      </c>
      <c r="AC72" s="195">
        <f>IF(B72="","",IF(Z72&gt;0,DEGREES(ATAN(AA72/Z72)),IF(Z72&lt;0,IF(AA72&gt;=0,DEGREES(ATAN(AA72/Z72))+180,DEGREES(ATAN(AA72/Z72))-180),IF(AA72&gt;0,90,IF(AA72&lt;0,-90,0)))))</f>
        <v/>
      </c>
      <c r="AD72" s="195">
        <f>IF(B72="","",LOG10(B72))</f>
        <v/>
      </c>
      <c r="AE72" s="195">
        <f>IF(AB72="","",LOG10(MAX(AB72,1E-12)))</f>
        <v/>
      </c>
      <c r="AF72" s="195">
        <f>IF(B72="","",SQRT(P72^2+Q72^2))</f>
        <v/>
      </c>
      <c r="AG72" s="195">
        <f>IF(B72="","",SQRT(R72^2+S72^2))</f>
        <v/>
      </c>
    </row>
    <row r="73">
      <c r="A73" t="n">
        <v>70</v>
      </c>
      <c r="B73" s="196">
        <f>IF(A73&lt;='入力・概要'!$B$40,10^(LOG10('入力・概要'!$B$38)+(A73-1)*(LOG10('入力・概要'!$B$39)-LOG10('入力・概要'!$B$38))/('入力・概要'!$B$40-1)),"")</f>
        <v/>
      </c>
      <c r="C73" s="195">
        <f>IF(B73="","",2*PI()*B73)</f>
        <v/>
      </c>
      <c r="D73" s="195">
        <f>IF(B73="","",ATANH(MIN(0.999999,'入力・概要'!$E$20/'入力・概要'!$E$9))+'入力・概要'!$B$20*SQRT(B73/1E6)+E73*'入力・概要'!$B$15/2)</f>
        <v/>
      </c>
      <c r="E73" s="195">
        <f>IF(B73="","",C73*('入力・概要'!$E$11*1E-9))</f>
        <v/>
      </c>
      <c r="F73" s="195">
        <f>IF(B73="","",SINH(2*D73)/(COSH(2*D73)+COS(2*E73)))</f>
        <v/>
      </c>
      <c r="G73" s="195">
        <f>IF(B73="","",SIN(2*E73)/(COSH(2*D73)+COS(2*E73)))</f>
        <v/>
      </c>
      <c r="H73" s="195">
        <f>IF(B73="","",ATANH(MIN(0.999999,'入力・概要'!$E$21/'入力・概要'!$E$15))+'入力・概要'!$B$21*SQRT(B73/1E6)+I73*'入力・概要'!$B$16/2)</f>
        <v/>
      </c>
      <c r="I73" s="195">
        <f>IF(B73="","",C73*('入力・概要'!$E$17*1E-9))</f>
        <v/>
      </c>
      <c r="J73" s="195">
        <f>IF(B73="","",SINH(2*H73)/(COSH(2*H73)+COS(2*I73)))</f>
        <v/>
      </c>
      <c r="K73" s="195">
        <f>IF(B73="","",SIN(2*I73)/(COSH(2*H73)+COS(2*I73)))</f>
        <v/>
      </c>
      <c r="L73" s="195">
        <f>IF(B73="","",'入力・概要'!$B$25)</f>
        <v/>
      </c>
      <c r="M73" s="195">
        <f>IF(B73="","",C73*'入力・概要'!$B$26*1E-9-1/(C73*'入力・概要'!$B$24*1E-6))</f>
        <v/>
      </c>
      <c r="N73" s="195">
        <f>IF(B73="","",'入力・概要'!$B$28)</f>
        <v/>
      </c>
      <c r="O73" s="195">
        <f>IF(B73="","",C73*'入力・概要'!$B$29*1E-9-1/(C73*'入力・概要'!$B$27*1E-6))</f>
        <v/>
      </c>
      <c r="P73" s="195">
        <f>IF(B73="","",((L73*N73-M73*O73)*(L73+N73)+(L73*O73+M73*N73)*(M73+O73))/((L73+N73)^2+(M73+O73)^2))</f>
        <v/>
      </c>
      <c r="Q73" s="195">
        <f>IF(B73="","",((L73*O73+M73*N73)*(L73+N73)-(L73*N73-M73*O73)*(M73+O73))/((L73+N73)^2+(M73+O73)^2))</f>
        <v/>
      </c>
      <c r="R73" s="195">
        <f>IF(B73="","",'入力・概要'!$E$15*J73)</f>
        <v/>
      </c>
      <c r="S73" s="195">
        <f>IF(B73="","",'入力・概要'!$E$15*K73)</f>
        <v/>
      </c>
      <c r="T73" s="195">
        <f>IF(B73="","",P73+R73)</f>
        <v/>
      </c>
      <c r="U73" s="195">
        <f>IF(B73="","",Q73+S73)</f>
        <v/>
      </c>
      <c r="V73" s="195">
        <f>IF(B73="","",T73+'入力・概要'!$E$9*F73)</f>
        <v/>
      </c>
      <c r="W73" s="195">
        <f>IF(B73="","",U73+'入力・概要'!$E$9*G73)</f>
        <v/>
      </c>
      <c r="X73" s="195">
        <f>IF(B73="","",'入力・概要'!$E$9+T73*F73-U73*G73)</f>
        <v/>
      </c>
      <c r="Y73" s="195">
        <f>IF(B73="","",T73*G73+U73*F73)</f>
        <v/>
      </c>
      <c r="Z73" s="195">
        <f>IF(B73="","",'入力・概要'!$E$9*(V73*X73+W73*Y73)/(X73^2+Y73^2)+'入力・概要'!$B$36)</f>
        <v/>
      </c>
      <c r="AA73" s="195">
        <f>IF(B73="","",'入力・概要'!$E$9*(W73*X73-V73*Y73)/(X73^2+Y73^2)+C73*'入力・概要'!$B$37*1E-9)</f>
        <v/>
      </c>
      <c r="AB73" s="195">
        <f>IF(B73="","",SQRT(Z73^2+AA73^2))</f>
        <v/>
      </c>
      <c r="AC73" s="195">
        <f>IF(B73="","",IF(Z73&gt;0,DEGREES(ATAN(AA73/Z73)),IF(Z73&lt;0,IF(AA73&gt;=0,DEGREES(ATAN(AA73/Z73))+180,DEGREES(ATAN(AA73/Z73))-180),IF(AA73&gt;0,90,IF(AA73&lt;0,-90,0)))))</f>
        <v/>
      </c>
      <c r="AD73" s="195">
        <f>IF(B73="","",LOG10(B73))</f>
        <v/>
      </c>
      <c r="AE73" s="195">
        <f>IF(AB73="","",LOG10(MAX(AB73,1E-12)))</f>
        <v/>
      </c>
      <c r="AF73" s="195">
        <f>IF(B73="","",SQRT(P73^2+Q73^2))</f>
        <v/>
      </c>
      <c r="AG73" s="195">
        <f>IF(B73="","",SQRT(R73^2+S73^2))</f>
        <v/>
      </c>
    </row>
    <row r="74">
      <c r="A74" t="n">
        <v>71</v>
      </c>
      <c r="B74" s="196">
        <f>IF(A74&lt;='入力・概要'!$B$40,10^(LOG10('入力・概要'!$B$38)+(A74-1)*(LOG10('入力・概要'!$B$39)-LOG10('入力・概要'!$B$38))/('入力・概要'!$B$40-1)),"")</f>
        <v/>
      </c>
      <c r="C74" s="195">
        <f>IF(B74="","",2*PI()*B74)</f>
        <v/>
      </c>
      <c r="D74" s="195">
        <f>IF(B74="","",ATANH(MIN(0.999999,'入力・概要'!$E$20/'入力・概要'!$E$9))+'入力・概要'!$B$20*SQRT(B74/1E6)+E74*'入力・概要'!$B$15/2)</f>
        <v/>
      </c>
      <c r="E74" s="195">
        <f>IF(B74="","",C74*('入力・概要'!$E$11*1E-9))</f>
        <v/>
      </c>
      <c r="F74" s="195">
        <f>IF(B74="","",SINH(2*D74)/(COSH(2*D74)+COS(2*E74)))</f>
        <v/>
      </c>
      <c r="G74" s="195">
        <f>IF(B74="","",SIN(2*E74)/(COSH(2*D74)+COS(2*E74)))</f>
        <v/>
      </c>
      <c r="H74" s="195">
        <f>IF(B74="","",ATANH(MIN(0.999999,'入力・概要'!$E$21/'入力・概要'!$E$15))+'入力・概要'!$B$21*SQRT(B74/1E6)+I74*'入力・概要'!$B$16/2)</f>
        <v/>
      </c>
      <c r="I74" s="195">
        <f>IF(B74="","",C74*('入力・概要'!$E$17*1E-9))</f>
        <v/>
      </c>
      <c r="J74" s="195">
        <f>IF(B74="","",SINH(2*H74)/(COSH(2*H74)+COS(2*I74)))</f>
        <v/>
      </c>
      <c r="K74" s="195">
        <f>IF(B74="","",SIN(2*I74)/(COSH(2*H74)+COS(2*I74)))</f>
        <v/>
      </c>
      <c r="L74" s="195">
        <f>IF(B74="","",'入力・概要'!$B$25)</f>
        <v/>
      </c>
      <c r="M74" s="195">
        <f>IF(B74="","",C74*'入力・概要'!$B$26*1E-9-1/(C74*'入力・概要'!$B$24*1E-6))</f>
        <v/>
      </c>
      <c r="N74" s="195">
        <f>IF(B74="","",'入力・概要'!$B$28)</f>
        <v/>
      </c>
      <c r="O74" s="195">
        <f>IF(B74="","",C74*'入力・概要'!$B$29*1E-9-1/(C74*'入力・概要'!$B$27*1E-6))</f>
        <v/>
      </c>
      <c r="P74" s="195">
        <f>IF(B74="","",((L74*N74-M74*O74)*(L74+N74)+(L74*O74+M74*N74)*(M74+O74))/((L74+N74)^2+(M74+O74)^2))</f>
        <v/>
      </c>
      <c r="Q74" s="195">
        <f>IF(B74="","",((L74*O74+M74*N74)*(L74+N74)-(L74*N74-M74*O74)*(M74+O74))/((L74+N74)^2+(M74+O74)^2))</f>
        <v/>
      </c>
      <c r="R74" s="195">
        <f>IF(B74="","",'入力・概要'!$E$15*J74)</f>
        <v/>
      </c>
      <c r="S74" s="195">
        <f>IF(B74="","",'入力・概要'!$E$15*K74)</f>
        <v/>
      </c>
      <c r="T74" s="195">
        <f>IF(B74="","",P74+R74)</f>
        <v/>
      </c>
      <c r="U74" s="195">
        <f>IF(B74="","",Q74+S74)</f>
        <v/>
      </c>
      <c r="V74" s="195">
        <f>IF(B74="","",T74+'入力・概要'!$E$9*F74)</f>
        <v/>
      </c>
      <c r="W74" s="195">
        <f>IF(B74="","",U74+'入力・概要'!$E$9*G74)</f>
        <v/>
      </c>
      <c r="X74" s="195">
        <f>IF(B74="","",'入力・概要'!$E$9+T74*F74-U74*G74)</f>
        <v/>
      </c>
      <c r="Y74" s="195">
        <f>IF(B74="","",T74*G74+U74*F74)</f>
        <v/>
      </c>
      <c r="Z74" s="195">
        <f>IF(B74="","",'入力・概要'!$E$9*(V74*X74+W74*Y74)/(X74^2+Y74^2)+'入力・概要'!$B$36)</f>
        <v/>
      </c>
      <c r="AA74" s="195">
        <f>IF(B74="","",'入力・概要'!$E$9*(W74*X74-V74*Y74)/(X74^2+Y74^2)+C74*'入力・概要'!$B$37*1E-9)</f>
        <v/>
      </c>
      <c r="AB74" s="195">
        <f>IF(B74="","",SQRT(Z74^2+AA74^2))</f>
        <v/>
      </c>
      <c r="AC74" s="195">
        <f>IF(B74="","",IF(Z74&gt;0,DEGREES(ATAN(AA74/Z74)),IF(Z74&lt;0,IF(AA74&gt;=0,DEGREES(ATAN(AA74/Z74))+180,DEGREES(ATAN(AA74/Z74))-180),IF(AA74&gt;0,90,IF(AA74&lt;0,-90,0)))))</f>
        <v/>
      </c>
      <c r="AD74" s="195">
        <f>IF(B74="","",LOG10(B74))</f>
        <v/>
      </c>
      <c r="AE74" s="195">
        <f>IF(AB74="","",LOG10(MAX(AB74,1E-12)))</f>
        <v/>
      </c>
      <c r="AF74" s="195">
        <f>IF(B74="","",SQRT(P74^2+Q74^2))</f>
        <v/>
      </c>
      <c r="AG74" s="195">
        <f>IF(B74="","",SQRT(R74^2+S74^2))</f>
        <v/>
      </c>
    </row>
    <row r="75">
      <c r="A75" t="n">
        <v>72</v>
      </c>
      <c r="B75" s="196">
        <f>IF(A75&lt;='入力・概要'!$B$40,10^(LOG10('入力・概要'!$B$38)+(A75-1)*(LOG10('入力・概要'!$B$39)-LOG10('入力・概要'!$B$38))/('入力・概要'!$B$40-1)),"")</f>
        <v/>
      </c>
      <c r="C75" s="195">
        <f>IF(B75="","",2*PI()*B75)</f>
        <v/>
      </c>
      <c r="D75" s="195">
        <f>IF(B75="","",ATANH(MIN(0.999999,'入力・概要'!$E$20/'入力・概要'!$E$9))+'入力・概要'!$B$20*SQRT(B75/1E6)+E75*'入力・概要'!$B$15/2)</f>
        <v/>
      </c>
      <c r="E75" s="195">
        <f>IF(B75="","",C75*('入力・概要'!$E$11*1E-9))</f>
        <v/>
      </c>
      <c r="F75" s="195">
        <f>IF(B75="","",SINH(2*D75)/(COSH(2*D75)+COS(2*E75)))</f>
        <v/>
      </c>
      <c r="G75" s="195">
        <f>IF(B75="","",SIN(2*E75)/(COSH(2*D75)+COS(2*E75)))</f>
        <v/>
      </c>
      <c r="H75" s="195">
        <f>IF(B75="","",ATANH(MIN(0.999999,'入力・概要'!$E$21/'入力・概要'!$E$15))+'入力・概要'!$B$21*SQRT(B75/1E6)+I75*'入力・概要'!$B$16/2)</f>
        <v/>
      </c>
      <c r="I75" s="195">
        <f>IF(B75="","",C75*('入力・概要'!$E$17*1E-9))</f>
        <v/>
      </c>
      <c r="J75" s="195">
        <f>IF(B75="","",SINH(2*H75)/(COSH(2*H75)+COS(2*I75)))</f>
        <v/>
      </c>
      <c r="K75" s="195">
        <f>IF(B75="","",SIN(2*I75)/(COSH(2*H75)+COS(2*I75)))</f>
        <v/>
      </c>
      <c r="L75" s="195">
        <f>IF(B75="","",'入力・概要'!$B$25)</f>
        <v/>
      </c>
      <c r="M75" s="195">
        <f>IF(B75="","",C75*'入力・概要'!$B$26*1E-9-1/(C75*'入力・概要'!$B$24*1E-6))</f>
        <v/>
      </c>
      <c r="N75" s="195">
        <f>IF(B75="","",'入力・概要'!$B$28)</f>
        <v/>
      </c>
      <c r="O75" s="195">
        <f>IF(B75="","",C75*'入力・概要'!$B$29*1E-9-1/(C75*'入力・概要'!$B$27*1E-6))</f>
        <v/>
      </c>
      <c r="P75" s="195">
        <f>IF(B75="","",((L75*N75-M75*O75)*(L75+N75)+(L75*O75+M75*N75)*(M75+O75))/((L75+N75)^2+(M75+O75)^2))</f>
        <v/>
      </c>
      <c r="Q75" s="195">
        <f>IF(B75="","",((L75*O75+M75*N75)*(L75+N75)-(L75*N75-M75*O75)*(M75+O75))/((L75+N75)^2+(M75+O75)^2))</f>
        <v/>
      </c>
      <c r="R75" s="195">
        <f>IF(B75="","",'入力・概要'!$E$15*J75)</f>
        <v/>
      </c>
      <c r="S75" s="195">
        <f>IF(B75="","",'入力・概要'!$E$15*K75)</f>
        <v/>
      </c>
      <c r="T75" s="195">
        <f>IF(B75="","",P75+R75)</f>
        <v/>
      </c>
      <c r="U75" s="195">
        <f>IF(B75="","",Q75+S75)</f>
        <v/>
      </c>
      <c r="V75" s="195">
        <f>IF(B75="","",T75+'入力・概要'!$E$9*F75)</f>
        <v/>
      </c>
      <c r="W75" s="195">
        <f>IF(B75="","",U75+'入力・概要'!$E$9*G75)</f>
        <v/>
      </c>
      <c r="X75" s="195">
        <f>IF(B75="","",'入力・概要'!$E$9+T75*F75-U75*G75)</f>
        <v/>
      </c>
      <c r="Y75" s="195">
        <f>IF(B75="","",T75*G75+U75*F75)</f>
        <v/>
      </c>
      <c r="Z75" s="195">
        <f>IF(B75="","",'入力・概要'!$E$9*(V75*X75+W75*Y75)/(X75^2+Y75^2)+'入力・概要'!$B$36)</f>
        <v/>
      </c>
      <c r="AA75" s="195">
        <f>IF(B75="","",'入力・概要'!$E$9*(W75*X75-V75*Y75)/(X75^2+Y75^2)+C75*'入力・概要'!$B$37*1E-9)</f>
        <v/>
      </c>
      <c r="AB75" s="195">
        <f>IF(B75="","",SQRT(Z75^2+AA75^2))</f>
        <v/>
      </c>
      <c r="AC75" s="195">
        <f>IF(B75="","",IF(Z75&gt;0,DEGREES(ATAN(AA75/Z75)),IF(Z75&lt;0,IF(AA75&gt;=0,DEGREES(ATAN(AA75/Z75))+180,DEGREES(ATAN(AA75/Z75))-180),IF(AA75&gt;0,90,IF(AA75&lt;0,-90,0)))))</f>
        <v/>
      </c>
      <c r="AD75" s="195">
        <f>IF(B75="","",LOG10(B75))</f>
        <v/>
      </c>
      <c r="AE75" s="195">
        <f>IF(AB75="","",LOG10(MAX(AB75,1E-12)))</f>
        <v/>
      </c>
      <c r="AF75" s="195">
        <f>IF(B75="","",SQRT(P75^2+Q75^2))</f>
        <v/>
      </c>
      <c r="AG75" s="195">
        <f>IF(B75="","",SQRT(R75^2+S75^2))</f>
        <v/>
      </c>
    </row>
    <row r="76">
      <c r="A76" t="n">
        <v>73</v>
      </c>
      <c r="B76" s="196">
        <f>IF(A76&lt;='入力・概要'!$B$40,10^(LOG10('入力・概要'!$B$38)+(A76-1)*(LOG10('入力・概要'!$B$39)-LOG10('入力・概要'!$B$38))/('入力・概要'!$B$40-1)),"")</f>
        <v/>
      </c>
      <c r="C76" s="195">
        <f>IF(B76="","",2*PI()*B76)</f>
        <v/>
      </c>
      <c r="D76" s="195">
        <f>IF(B76="","",ATANH(MIN(0.999999,'入力・概要'!$E$20/'入力・概要'!$E$9))+'入力・概要'!$B$20*SQRT(B76/1E6)+E76*'入力・概要'!$B$15/2)</f>
        <v/>
      </c>
      <c r="E76" s="195">
        <f>IF(B76="","",C76*('入力・概要'!$E$11*1E-9))</f>
        <v/>
      </c>
      <c r="F76" s="195">
        <f>IF(B76="","",SINH(2*D76)/(COSH(2*D76)+COS(2*E76)))</f>
        <v/>
      </c>
      <c r="G76" s="195">
        <f>IF(B76="","",SIN(2*E76)/(COSH(2*D76)+COS(2*E76)))</f>
        <v/>
      </c>
      <c r="H76" s="195">
        <f>IF(B76="","",ATANH(MIN(0.999999,'入力・概要'!$E$21/'入力・概要'!$E$15))+'入力・概要'!$B$21*SQRT(B76/1E6)+I76*'入力・概要'!$B$16/2)</f>
        <v/>
      </c>
      <c r="I76" s="195">
        <f>IF(B76="","",C76*('入力・概要'!$E$17*1E-9))</f>
        <v/>
      </c>
      <c r="J76" s="195">
        <f>IF(B76="","",SINH(2*H76)/(COSH(2*H76)+COS(2*I76)))</f>
        <v/>
      </c>
      <c r="K76" s="195">
        <f>IF(B76="","",SIN(2*I76)/(COSH(2*H76)+COS(2*I76)))</f>
        <v/>
      </c>
      <c r="L76" s="195">
        <f>IF(B76="","",'入力・概要'!$B$25)</f>
        <v/>
      </c>
      <c r="M76" s="195">
        <f>IF(B76="","",C76*'入力・概要'!$B$26*1E-9-1/(C76*'入力・概要'!$B$24*1E-6))</f>
        <v/>
      </c>
      <c r="N76" s="195">
        <f>IF(B76="","",'入力・概要'!$B$28)</f>
        <v/>
      </c>
      <c r="O76" s="195">
        <f>IF(B76="","",C76*'入力・概要'!$B$29*1E-9-1/(C76*'入力・概要'!$B$27*1E-6))</f>
        <v/>
      </c>
      <c r="P76" s="195">
        <f>IF(B76="","",((L76*N76-M76*O76)*(L76+N76)+(L76*O76+M76*N76)*(M76+O76))/((L76+N76)^2+(M76+O76)^2))</f>
        <v/>
      </c>
      <c r="Q76" s="195">
        <f>IF(B76="","",((L76*O76+M76*N76)*(L76+N76)-(L76*N76-M76*O76)*(M76+O76))/((L76+N76)^2+(M76+O76)^2))</f>
        <v/>
      </c>
      <c r="R76" s="195">
        <f>IF(B76="","",'入力・概要'!$E$15*J76)</f>
        <v/>
      </c>
      <c r="S76" s="195">
        <f>IF(B76="","",'入力・概要'!$E$15*K76)</f>
        <v/>
      </c>
      <c r="T76" s="195">
        <f>IF(B76="","",P76+R76)</f>
        <v/>
      </c>
      <c r="U76" s="195">
        <f>IF(B76="","",Q76+S76)</f>
        <v/>
      </c>
      <c r="V76" s="195">
        <f>IF(B76="","",T76+'入力・概要'!$E$9*F76)</f>
        <v/>
      </c>
      <c r="W76" s="195">
        <f>IF(B76="","",U76+'入力・概要'!$E$9*G76)</f>
        <v/>
      </c>
      <c r="X76" s="195">
        <f>IF(B76="","",'入力・概要'!$E$9+T76*F76-U76*G76)</f>
        <v/>
      </c>
      <c r="Y76" s="195">
        <f>IF(B76="","",T76*G76+U76*F76)</f>
        <v/>
      </c>
      <c r="Z76" s="195">
        <f>IF(B76="","",'入力・概要'!$E$9*(V76*X76+W76*Y76)/(X76^2+Y76^2)+'入力・概要'!$B$36)</f>
        <v/>
      </c>
      <c r="AA76" s="195">
        <f>IF(B76="","",'入力・概要'!$E$9*(W76*X76-V76*Y76)/(X76^2+Y76^2)+C76*'入力・概要'!$B$37*1E-9)</f>
        <v/>
      </c>
      <c r="AB76" s="195">
        <f>IF(B76="","",SQRT(Z76^2+AA76^2))</f>
        <v/>
      </c>
      <c r="AC76" s="195">
        <f>IF(B76="","",IF(Z76&gt;0,DEGREES(ATAN(AA76/Z76)),IF(Z76&lt;0,IF(AA76&gt;=0,DEGREES(ATAN(AA76/Z76))+180,DEGREES(ATAN(AA76/Z76))-180),IF(AA76&gt;0,90,IF(AA76&lt;0,-90,0)))))</f>
        <v/>
      </c>
      <c r="AD76" s="195">
        <f>IF(B76="","",LOG10(B76))</f>
        <v/>
      </c>
      <c r="AE76" s="195">
        <f>IF(AB76="","",LOG10(MAX(AB76,1E-12)))</f>
        <v/>
      </c>
      <c r="AF76" s="195">
        <f>IF(B76="","",SQRT(P76^2+Q76^2))</f>
        <v/>
      </c>
      <c r="AG76" s="195">
        <f>IF(B76="","",SQRT(R76^2+S76^2))</f>
        <v/>
      </c>
    </row>
    <row r="77">
      <c r="A77" t="n">
        <v>74</v>
      </c>
      <c r="B77" s="196">
        <f>IF(A77&lt;='入力・概要'!$B$40,10^(LOG10('入力・概要'!$B$38)+(A77-1)*(LOG10('入力・概要'!$B$39)-LOG10('入力・概要'!$B$38))/('入力・概要'!$B$40-1)),"")</f>
        <v/>
      </c>
      <c r="C77" s="195">
        <f>IF(B77="","",2*PI()*B77)</f>
        <v/>
      </c>
      <c r="D77" s="195">
        <f>IF(B77="","",ATANH(MIN(0.999999,'入力・概要'!$E$20/'入力・概要'!$E$9))+'入力・概要'!$B$20*SQRT(B77/1E6)+E77*'入力・概要'!$B$15/2)</f>
        <v/>
      </c>
      <c r="E77" s="195">
        <f>IF(B77="","",C77*('入力・概要'!$E$11*1E-9))</f>
        <v/>
      </c>
      <c r="F77" s="195">
        <f>IF(B77="","",SINH(2*D77)/(COSH(2*D77)+COS(2*E77)))</f>
        <v/>
      </c>
      <c r="G77" s="195">
        <f>IF(B77="","",SIN(2*E77)/(COSH(2*D77)+COS(2*E77)))</f>
        <v/>
      </c>
      <c r="H77" s="195">
        <f>IF(B77="","",ATANH(MIN(0.999999,'入力・概要'!$E$21/'入力・概要'!$E$15))+'入力・概要'!$B$21*SQRT(B77/1E6)+I77*'入力・概要'!$B$16/2)</f>
        <v/>
      </c>
      <c r="I77" s="195">
        <f>IF(B77="","",C77*('入力・概要'!$E$17*1E-9))</f>
        <v/>
      </c>
      <c r="J77" s="195">
        <f>IF(B77="","",SINH(2*H77)/(COSH(2*H77)+COS(2*I77)))</f>
        <v/>
      </c>
      <c r="K77" s="195">
        <f>IF(B77="","",SIN(2*I77)/(COSH(2*H77)+COS(2*I77)))</f>
        <v/>
      </c>
      <c r="L77" s="195">
        <f>IF(B77="","",'入力・概要'!$B$25)</f>
        <v/>
      </c>
      <c r="M77" s="195">
        <f>IF(B77="","",C77*'入力・概要'!$B$26*1E-9-1/(C77*'入力・概要'!$B$24*1E-6))</f>
        <v/>
      </c>
      <c r="N77" s="195">
        <f>IF(B77="","",'入力・概要'!$B$28)</f>
        <v/>
      </c>
      <c r="O77" s="195">
        <f>IF(B77="","",C77*'入力・概要'!$B$29*1E-9-1/(C77*'入力・概要'!$B$27*1E-6))</f>
        <v/>
      </c>
      <c r="P77" s="195">
        <f>IF(B77="","",((L77*N77-M77*O77)*(L77+N77)+(L77*O77+M77*N77)*(M77+O77))/((L77+N77)^2+(M77+O77)^2))</f>
        <v/>
      </c>
      <c r="Q77" s="195">
        <f>IF(B77="","",((L77*O77+M77*N77)*(L77+N77)-(L77*N77-M77*O77)*(M77+O77))/((L77+N77)^2+(M77+O77)^2))</f>
        <v/>
      </c>
      <c r="R77" s="195">
        <f>IF(B77="","",'入力・概要'!$E$15*J77)</f>
        <v/>
      </c>
      <c r="S77" s="195">
        <f>IF(B77="","",'入力・概要'!$E$15*K77)</f>
        <v/>
      </c>
      <c r="T77" s="195">
        <f>IF(B77="","",P77+R77)</f>
        <v/>
      </c>
      <c r="U77" s="195">
        <f>IF(B77="","",Q77+S77)</f>
        <v/>
      </c>
      <c r="V77" s="195">
        <f>IF(B77="","",T77+'入力・概要'!$E$9*F77)</f>
        <v/>
      </c>
      <c r="W77" s="195">
        <f>IF(B77="","",U77+'入力・概要'!$E$9*G77)</f>
        <v/>
      </c>
      <c r="X77" s="195">
        <f>IF(B77="","",'入力・概要'!$E$9+T77*F77-U77*G77)</f>
        <v/>
      </c>
      <c r="Y77" s="195">
        <f>IF(B77="","",T77*G77+U77*F77)</f>
        <v/>
      </c>
      <c r="Z77" s="195">
        <f>IF(B77="","",'入力・概要'!$E$9*(V77*X77+W77*Y77)/(X77^2+Y77^2)+'入力・概要'!$B$36)</f>
        <v/>
      </c>
      <c r="AA77" s="195">
        <f>IF(B77="","",'入力・概要'!$E$9*(W77*X77-V77*Y77)/(X77^2+Y77^2)+C77*'入力・概要'!$B$37*1E-9)</f>
        <v/>
      </c>
      <c r="AB77" s="195">
        <f>IF(B77="","",SQRT(Z77^2+AA77^2))</f>
        <v/>
      </c>
      <c r="AC77" s="195">
        <f>IF(B77="","",IF(Z77&gt;0,DEGREES(ATAN(AA77/Z77)),IF(Z77&lt;0,IF(AA77&gt;=0,DEGREES(ATAN(AA77/Z77))+180,DEGREES(ATAN(AA77/Z77))-180),IF(AA77&gt;0,90,IF(AA77&lt;0,-90,0)))))</f>
        <v/>
      </c>
      <c r="AD77" s="195">
        <f>IF(B77="","",LOG10(B77))</f>
        <v/>
      </c>
      <c r="AE77" s="195">
        <f>IF(AB77="","",LOG10(MAX(AB77,1E-12)))</f>
        <v/>
      </c>
      <c r="AF77" s="195">
        <f>IF(B77="","",SQRT(P77^2+Q77^2))</f>
        <v/>
      </c>
      <c r="AG77" s="195">
        <f>IF(B77="","",SQRT(R77^2+S77^2))</f>
        <v/>
      </c>
    </row>
    <row r="78">
      <c r="A78" t="n">
        <v>75</v>
      </c>
      <c r="B78" s="196">
        <f>IF(A78&lt;='入力・概要'!$B$40,10^(LOG10('入力・概要'!$B$38)+(A78-1)*(LOG10('入力・概要'!$B$39)-LOG10('入力・概要'!$B$38))/('入力・概要'!$B$40-1)),"")</f>
        <v/>
      </c>
      <c r="C78" s="195">
        <f>IF(B78="","",2*PI()*B78)</f>
        <v/>
      </c>
      <c r="D78" s="195">
        <f>IF(B78="","",ATANH(MIN(0.999999,'入力・概要'!$E$20/'入力・概要'!$E$9))+'入力・概要'!$B$20*SQRT(B78/1E6)+E78*'入力・概要'!$B$15/2)</f>
        <v/>
      </c>
      <c r="E78" s="195">
        <f>IF(B78="","",C78*('入力・概要'!$E$11*1E-9))</f>
        <v/>
      </c>
      <c r="F78" s="195">
        <f>IF(B78="","",SINH(2*D78)/(COSH(2*D78)+COS(2*E78)))</f>
        <v/>
      </c>
      <c r="G78" s="195">
        <f>IF(B78="","",SIN(2*E78)/(COSH(2*D78)+COS(2*E78)))</f>
        <v/>
      </c>
      <c r="H78" s="195">
        <f>IF(B78="","",ATANH(MIN(0.999999,'入力・概要'!$E$21/'入力・概要'!$E$15))+'入力・概要'!$B$21*SQRT(B78/1E6)+I78*'入力・概要'!$B$16/2)</f>
        <v/>
      </c>
      <c r="I78" s="195">
        <f>IF(B78="","",C78*('入力・概要'!$E$17*1E-9))</f>
        <v/>
      </c>
      <c r="J78" s="195">
        <f>IF(B78="","",SINH(2*H78)/(COSH(2*H78)+COS(2*I78)))</f>
        <v/>
      </c>
      <c r="K78" s="195">
        <f>IF(B78="","",SIN(2*I78)/(COSH(2*H78)+COS(2*I78)))</f>
        <v/>
      </c>
      <c r="L78" s="195">
        <f>IF(B78="","",'入力・概要'!$B$25)</f>
        <v/>
      </c>
      <c r="M78" s="195">
        <f>IF(B78="","",C78*'入力・概要'!$B$26*1E-9-1/(C78*'入力・概要'!$B$24*1E-6))</f>
        <v/>
      </c>
      <c r="N78" s="195">
        <f>IF(B78="","",'入力・概要'!$B$28)</f>
        <v/>
      </c>
      <c r="O78" s="195">
        <f>IF(B78="","",C78*'入力・概要'!$B$29*1E-9-1/(C78*'入力・概要'!$B$27*1E-6))</f>
        <v/>
      </c>
      <c r="P78" s="195">
        <f>IF(B78="","",((L78*N78-M78*O78)*(L78+N78)+(L78*O78+M78*N78)*(M78+O78))/((L78+N78)^2+(M78+O78)^2))</f>
        <v/>
      </c>
      <c r="Q78" s="195">
        <f>IF(B78="","",((L78*O78+M78*N78)*(L78+N78)-(L78*N78-M78*O78)*(M78+O78))/((L78+N78)^2+(M78+O78)^2))</f>
        <v/>
      </c>
      <c r="R78" s="195">
        <f>IF(B78="","",'入力・概要'!$E$15*J78)</f>
        <v/>
      </c>
      <c r="S78" s="195">
        <f>IF(B78="","",'入力・概要'!$E$15*K78)</f>
        <v/>
      </c>
      <c r="T78" s="195">
        <f>IF(B78="","",P78+R78)</f>
        <v/>
      </c>
      <c r="U78" s="195">
        <f>IF(B78="","",Q78+S78)</f>
        <v/>
      </c>
      <c r="V78" s="195">
        <f>IF(B78="","",T78+'入力・概要'!$E$9*F78)</f>
        <v/>
      </c>
      <c r="W78" s="195">
        <f>IF(B78="","",U78+'入力・概要'!$E$9*G78)</f>
        <v/>
      </c>
      <c r="X78" s="195">
        <f>IF(B78="","",'入力・概要'!$E$9+T78*F78-U78*G78)</f>
        <v/>
      </c>
      <c r="Y78" s="195">
        <f>IF(B78="","",T78*G78+U78*F78)</f>
        <v/>
      </c>
      <c r="Z78" s="195">
        <f>IF(B78="","",'入力・概要'!$E$9*(V78*X78+W78*Y78)/(X78^2+Y78^2)+'入力・概要'!$B$36)</f>
        <v/>
      </c>
      <c r="AA78" s="195">
        <f>IF(B78="","",'入力・概要'!$E$9*(W78*X78-V78*Y78)/(X78^2+Y78^2)+C78*'入力・概要'!$B$37*1E-9)</f>
        <v/>
      </c>
      <c r="AB78" s="195">
        <f>IF(B78="","",SQRT(Z78^2+AA78^2))</f>
        <v/>
      </c>
      <c r="AC78" s="195">
        <f>IF(B78="","",IF(Z78&gt;0,DEGREES(ATAN(AA78/Z78)),IF(Z78&lt;0,IF(AA78&gt;=0,DEGREES(ATAN(AA78/Z78))+180,DEGREES(ATAN(AA78/Z78))-180),IF(AA78&gt;0,90,IF(AA78&lt;0,-90,0)))))</f>
        <v/>
      </c>
      <c r="AD78" s="195">
        <f>IF(B78="","",LOG10(B78))</f>
        <v/>
      </c>
      <c r="AE78" s="195">
        <f>IF(AB78="","",LOG10(MAX(AB78,1E-12)))</f>
        <v/>
      </c>
      <c r="AF78" s="195">
        <f>IF(B78="","",SQRT(P78^2+Q78^2))</f>
        <v/>
      </c>
      <c r="AG78" s="195">
        <f>IF(B78="","",SQRT(R78^2+S78^2))</f>
        <v/>
      </c>
    </row>
    <row r="79">
      <c r="A79" t="n">
        <v>76</v>
      </c>
      <c r="B79" s="196">
        <f>IF(A79&lt;='入力・概要'!$B$40,10^(LOG10('入力・概要'!$B$38)+(A79-1)*(LOG10('入力・概要'!$B$39)-LOG10('入力・概要'!$B$38))/('入力・概要'!$B$40-1)),"")</f>
        <v/>
      </c>
      <c r="C79" s="195">
        <f>IF(B79="","",2*PI()*B79)</f>
        <v/>
      </c>
      <c r="D79" s="195">
        <f>IF(B79="","",ATANH(MIN(0.999999,'入力・概要'!$E$20/'入力・概要'!$E$9))+'入力・概要'!$B$20*SQRT(B79/1E6)+E79*'入力・概要'!$B$15/2)</f>
        <v/>
      </c>
      <c r="E79" s="195">
        <f>IF(B79="","",C79*('入力・概要'!$E$11*1E-9))</f>
        <v/>
      </c>
      <c r="F79" s="195">
        <f>IF(B79="","",SINH(2*D79)/(COSH(2*D79)+COS(2*E79)))</f>
        <v/>
      </c>
      <c r="G79" s="195">
        <f>IF(B79="","",SIN(2*E79)/(COSH(2*D79)+COS(2*E79)))</f>
        <v/>
      </c>
      <c r="H79" s="195">
        <f>IF(B79="","",ATANH(MIN(0.999999,'入力・概要'!$E$21/'入力・概要'!$E$15))+'入力・概要'!$B$21*SQRT(B79/1E6)+I79*'入力・概要'!$B$16/2)</f>
        <v/>
      </c>
      <c r="I79" s="195">
        <f>IF(B79="","",C79*('入力・概要'!$E$17*1E-9))</f>
        <v/>
      </c>
      <c r="J79" s="195">
        <f>IF(B79="","",SINH(2*H79)/(COSH(2*H79)+COS(2*I79)))</f>
        <v/>
      </c>
      <c r="K79" s="195">
        <f>IF(B79="","",SIN(2*I79)/(COSH(2*H79)+COS(2*I79)))</f>
        <v/>
      </c>
      <c r="L79" s="195">
        <f>IF(B79="","",'入力・概要'!$B$25)</f>
        <v/>
      </c>
      <c r="M79" s="195">
        <f>IF(B79="","",C79*'入力・概要'!$B$26*1E-9-1/(C79*'入力・概要'!$B$24*1E-6))</f>
        <v/>
      </c>
      <c r="N79" s="195">
        <f>IF(B79="","",'入力・概要'!$B$28)</f>
        <v/>
      </c>
      <c r="O79" s="195">
        <f>IF(B79="","",C79*'入力・概要'!$B$29*1E-9-1/(C79*'入力・概要'!$B$27*1E-6))</f>
        <v/>
      </c>
      <c r="P79" s="195">
        <f>IF(B79="","",((L79*N79-M79*O79)*(L79+N79)+(L79*O79+M79*N79)*(M79+O79))/((L79+N79)^2+(M79+O79)^2))</f>
        <v/>
      </c>
      <c r="Q79" s="195">
        <f>IF(B79="","",((L79*O79+M79*N79)*(L79+N79)-(L79*N79-M79*O79)*(M79+O79))/((L79+N79)^2+(M79+O79)^2))</f>
        <v/>
      </c>
      <c r="R79" s="195">
        <f>IF(B79="","",'入力・概要'!$E$15*J79)</f>
        <v/>
      </c>
      <c r="S79" s="195">
        <f>IF(B79="","",'入力・概要'!$E$15*K79)</f>
        <v/>
      </c>
      <c r="T79" s="195">
        <f>IF(B79="","",P79+R79)</f>
        <v/>
      </c>
      <c r="U79" s="195">
        <f>IF(B79="","",Q79+S79)</f>
        <v/>
      </c>
      <c r="V79" s="195">
        <f>IF(B79="","",T79+'入力・概要'!$E$9*F79)</f>
        <v/>
      </c>
      <c r="W79" s="195">
        <f>IF(B79="","",U79+'入力・概要'!$E$9*G79)</f>
        <v/>
      </c>
      <c r="X79" s="195">
        <f>IF(B79="","",'入力・概要'!$E$9+T79*F79-U79*G79)</f>
        <v/>
      </c>
      <c r="Y79" s="195">
        <f>IF(B79="","",T79*G79+U79*F79)</f>
        <v/>
      </c>
      <c r="Z79" s="195">
        <f>IF(B79="","",'入力・概要'!$E$9*(V79*X79+W79*Y79)/(X79^2+Y79^2)+'入力・概要'!$B$36)</f>
        <v/>
      </c>
      <c r="AA79" s="195">
        <f>IF(B79="","",'入力・概要'!$E$9*(W79*X79-V79*Y79)/(X79^2+Y79^2)+C79*'入力・概要'!$B$37*1E-9)</f>
        <v/>
      </c>
      <c r="AB79" s="195">
        <f>IF(B79="","",SQRT(Z79^2+AA79^2))</f>
        <v/>
      </c>
      <c r="AC79" s="195">
        <f>IF(B79="","",IF(Z79&gt;0,DEGREES(ATAN(AA79/Z79)),IF(Z79&lt;0,IF(AA79&gt;=0,DEGREES(ATAN(AA79/Z79))+180,DEGREES(ATAN(AA79/Z79))-180),IF(AA79&gt;0,90,IF(AA79&lt;0,-90,0)))))</f>
        <v/>
      </c>
      <c r="AD79" s="195">
        <f>IF(B79="","",LOG10(B79))</f>
        <v/>
      </c>
      <c r="AE79" s="195">
        <f>IF(AB79="","",LOG10(MAX(AB79,1E-12)))</f>
        <v/>
      </c>
      <c r="AF79" s="195">
        <f>IF(B79="","",SQRT(P79^2+Q79^2))</f>
        <v/>
      </c>
      <c r="AG79" s="195">
        <f>IF(B79="","",SQRT(R79^2+S79^2))</f>
        <v/>
      </c>
    </row>
    <row r="80">
      <c r="A80" t="n">
        <v>77</v>
      </c>
      <c r="B80" s="196">
        <f>IF(A80&lt;='入力・概要'!$B$40,10^(LOG10('入力・概要'!$B$38)+(A80-1)*(LOG10('入力・概要'!$B$39)-LOG10('入力・概要'!$B$38))/('入力・概要'!$B$40-1)),"")</f>
        <v/>
      </c>
      <c r="C80" s="195">
        <f>IF(B80="","",2*PI()*B80)</f>
        <v/>
      </c>
      <c r="D80" s="195">
        <f>IF(B80="","",ATANH(MIN(0.999999,'入力・概要'!$E$20/'入力・概要'!$E$9))+'入力・概要'!$B$20*SQRT(B80/1E6)+E80*'入力・概要'!$B$15/2)</f>
        <v/>
      </c>
      <c r="E80" s="195">
        <f>IF(B80="","",C80*('入力・概要'!$E$11*1E-9))</f>
        <v/>
      </c>
      <c r="F80" s="195">
        <f>IF(B80="","",SINH(2*D80)/(COSH(2*D80)+COS(2*E80)))</f>
        <v/>
      </c>
      <c r="G80" s="195">
        <f>IF(B80="","",SIN(2*E80)/(COSH(2*D80)+COS(2*E80)))</f>
        <v/>
      </c>
      <c r="H80" s="195">
        <f>IF(B80="","",ATANH(MIN(0.999999,'入力・概要'!$E$21/'入力・概要'!$E$15))+'入力・概要'!$B$21*SQRT(B80/1E6)+I80*'入力・概要'!$B$16/2)</f>
        <v/>
      </c>
      <c r="I80" s="195">
        <f>IF(B80="","",C80*('入力・概要'!$E$17*1E-9))</f>
        <v/>
      </c>
      <c r="J80" s="195">
        <f>IF(B80="","",SINH(2*H80)/(COSH(2*H80)+COS(2*I80)))</f>
        <v/>
      </c>
      <c r="K80" s="195">
        <f>IF(B80="","",SIN(2*I80)/(COSH(2*H80)+COS(2*I80)))</f>
        <v/>
      </c>
      <c r="L80" s="195">
        <f>IF(B80="","",'入力・概要'!$B$25)</f>
        <v/>
      </c>
      <c r="M80" s="195">
        <f>IF(B80="","",C80*'入力・概要'!$B$26*1E-9-1/(C80*'入力・概要'!$B$24*1E-6))</f>
        <v/>
      </c>
      <c r="N80" s="195">
        <f>IF(B80="","",'入力・概要'!$B$28)</f>
        <v/>
      </c>
      <c r="O80" s="195">
        <f>IF(B80="","",C80*'入力・概要'!$B$29*1E-9-1/(C80*'入力・概要'!$B$27*1E-6))</f>
        <v/>
      </c>
      <c r="P80" s="195">
        <f>IF(B80="","",((L80*N80-M80*O80)*(L80+N80)+(L80*O80+M80*N80)*(M80+O80))/((L80+N80)^2+(M80+O80)^2))</f>
        <v/>
      </c>
      <c r="Q80" s="195">
        <f>IF(B80="","",((L80*O80+M80*N80)*(L80+N80)-(L80*N80-M80*O80)*(M80+O80))/((L80+N80)^2+(M80+O80)^2))</f>
        <v/>
      </c>
      <c r="R80" s="195">
        <f>IF(B80="","",'入力・概要'!$E$15*J80)</f>
        <v/>
      </c>
      <c r="S80" s="195">
        <f>IF(B80="","",'入力・概要'!$E$15*K80)</f>
        <v/>
      </c>
      <c r="T80" s="195">
        <f>IF(B80="","",P80+R80)</f>
        <v/>
      </c>
      <c r="U80" s="195">
        <f>IF(B80="","",Q80+S80)</f>
        <v/>
      </c>
      <c r="V80" s="195">
        <f>IF(B80="","",T80+'入力・概要'!$E$9*F80)</f>
        <v/>
      </c>
      <c r="W80" s="195">
        <f>IF(B80="","",U80+'入力・概要'!$E$9*G80)</f>
        <v/>
      </c>
      <c r="X80" s="195">
        <f>IF(B80="","",'入力・概要'!$E$9+T80*F80-U80*G80)</f>
        <v/>
      </c>
      <c r="Y80" s="195">
        <f>IF(B80="","",T80*G80+U80*F80)</f>
        <v/>
      </c>
      <c r="Z80" s="195">
        <f>IF(B80="","",'入力・概要'!$E$9*(V80*X80+W80*Y80)/(X80^2+Y80^2)+'入力・概要'!$B$36)</f>
        <v/>
      </c>
      <c r="AA80" s="195">
        <f>IF(B80="","",'入力・概要'!$E$9*(W80*X80-V80*Y80)/(X80^2+Y80^2)+C80*'入力・概要'!$B$37*1E-9)</f>
        <v/>
      </c>
      <c r="AB80" s="195">
        <f>IF(B80="","",SQRT(Z80^2+AA80^2))</f>
        <v/>
      </c>
      <c r="AC80" s="195">
        <f>IF(B80="","",IF(Z80&gt;0,DEGREES(ATAN(AA80/Z80)),IF(Z80&lt;0,IF(AA80&gt;=0,DEGREES(ATAN(AA80/Z80))+180,DEGREES(ATAN(AA80/Z80))-180),IF(AA80&gt;0,90,IF(AA80&lt;0,-90,0)))))</f>
        <v/>
      </c>
      <c r="AD80" s="195">
        <f>IF(B80="","",LOG10(B80))</f>
        <v/>
      </c>
      <c r="AE80" s="195">
        <f>IF(AB80="","",LOG10(MAX(AB80,1E-12)))</f>
        <v/>
      </c>
      <c r="AF80" s="195">
        <f>IF(B80="","",SQRT(P80^2+Q80^2))</f>
        <v/>
      </c>
      <c r="AG80" s="195">
        <f>IF(B80="","",SQRT(R80^2+S80^2))</f>
        <v/>
      </c>
    </row>
    <row r="81">
      <c r="A81" t="n">
        <v>78</v>
      </c>
      <c r="B81" s="196">
        <f>IF(A81&lt;='入力・概要'!$B$40,10^(LOG10('入力・概要'!$B$38)+(A81-1)*(LOG10('入力・概要'!$B$39)-LOG10('入力・概要'!$B$38))/('入力・概要'!$B$40-1)),"")</f>
        <v/>
      </c>
      <c r="C81" s="195">
        <f>IF(B81="","",2*PI()*B81)</f>
        <v/>
      </c>
      <c r="D81" s="195">
        <f>IF(B81="","",ATANH(MIN(0.999999,'入力・概要'!$E$20/'入力・概要'!$E$9))+'入力・概要'!$B$20*SQRT(B81/1E6)+E81*'入力・概要'!$B$15/2)</f>
        <v/>
      </c>
      <c r="E81" s="195">
        <f>IF(B81="","",C81*('入力・概要'!$E$11*1E-9))</f>
        <v/>
      </c>
      <c r="F81" s="195">
        <f>IF(B81="","",SINH(2*D81)/(COSH(2*D81)+COS(2*E81)))</f>
        <v/>
      </c>
      <c r="G81" s="195">
        <f>IF(B81="","",SIN(2*E81)/(COSH(2*D81)+COS(2*E81)))</f>
        <v/>
      </c>
      <c r="H81" s="195">
        <f>IF(B81="","",ATANH(MIN(0.999999,'入力・概要'!$E$21/'入力・概要'!$E$15))+'入力・概要'!$B$21*SQRT(B81/1E6)+I81*'入力・概要'!$B$16/2)</f>
        <v/>
      </c>
      <c r="I81" s="195">
        <f>IF(B81="","",C81*('入力・概要'!$E$17*1E-9))</f>
        <v/>
      </c>
      <c r="J81" s="195">
        <f>IF(B81="","",SINH(2*H81)/(COSH(2*H81)+COS(2*I81)))</f>
        <v/>
      </c>
      <c r="K81" s="195">
        <f>IF(B81="","",SIN(2*I81)/(COSH(2*H81)+COS(2*I81)))</f>
        <v/>
      </c>
      <c r="L81" s="195">
        <f>IF(B81="","",'入力・概要'!$B$25)</f>
        <v/>
      </c>
      <c r="M81" s="195">
        <f>IF(B81="","",C81*'入力・概要'!$B$26*1E-9-1/(C81*'入力・概要'!$B$24*1E-6))</f>
        <v/>
      </c>
      <c r="N81" s="195">
        <f>IF(B81="","",'入力・概要'!$B$28)</f>
        <v/>
      </c>
      <c r="O81" s="195">
        <f>IF(B81="","",C81*'入力・概要'!$B$29*1E-9-1/(C81*'入力・概要'!$B$27*1E-6))</f>
        <v/>
      </c>
      <c r="P81" s="195">
        <f>IF(B81="","",((L81*N81-M81*O81)*(L81+N81)+(L81*O81+M81*N81)*(M81+O81))/((L81+N81)^2+(M81+O81)^2))</f>
        <v/>
      </c>
      <c r="Q81" s="195">
        <f>IF(B81="","",((L81*O81+M81*N81)*(L81+N81)-(L81*N81-M81*O81)*(M81+O81))/((L81+N81)^2+(M81+O81)^2))</f>
        <v/>
      </c>
      <c r="R81" s="195">
        <f>IF(B81="","",'入力・概要'!$E$15*J81)</f>
        <v/>
      </c>
      <c r="S81" s="195">
        <f>IF(B81="","",'入力・概要'!$E$15*K81)</f>
        <v/>
      </c>
      <c r="T81" s="195">
        <f>IF(B81="","",P81+R81)</f>
        <v/>
      </c>
      <c r="U81" s="195">
        <f>IF(B81="","",Q81+S81)</f>
        <v/>
      </c>
      <c r="V81" s="195">
        <f>IF(B81="","",T81+'入力・概要'!$E$9*F81)</f>
        <v/>
      </c>
      <c r="W81" s="195">
        <f>IF(B81="","",U81+'入力・概要'!$E$9*G81)</f>
        <v/>
      </c>
      <c r="X81" s="195">
        <f>IF(B81="","",'入力・概要'!$E$9+T81*F81-U81*G81)</f>
        <v/>
      </c>
      <c r="Y81" s="195">
        <f>IF(B81="","",T81*G81+U81*F81)</f>
        <v/>
      </c>
      <c r="Z81" s="195">
        <f>IF(B81="","",'入力・概要'!$E$9*(V81*X81+W81*Y81)/(X81^2+Y81^2)+'入力・概要'!$B$36)</f>
        <v/>
      </c>
      <c r="AA81" s="195">
        <f>IF(B81="","",'入力・概要'!$E$9*(W81*X81-V81*Y81)/(X81^2+Y81^2)+C81*'入力・概要'!$B$37*1E-9)</f>
        <v/>
      </c>
      <c r="AB81" s="195">
        <f>IF(B81="","",SQRT(Z81^2+AA81^2))</f>
        <v/>
      </c>
      <c r="AC81" s="195">
        <f>IF(B81="","",IF(Z81&gt;0,DEGREES(ATAN(AA81/Z81)),IF(Z81&lt;0,IF(AA81&gt;=0,DEGREES(ATAN(AA81/Z81))+180,DEGREES(ATAN(AA81/Z81))-180),IF(AA81&gt;0,90,IF(AA81&lt;0,-90,0)))))</f>
        <v/>
      </c>
      <c r="AD81" s="195">
        <f>IF(B81="","",LOG10(B81))</f>
        <v/>
      </c>
      <c r="AE81" s="195">
        <f>IF(AB81="","",LOG10(MAX(AB81,1E-12)))</f>
        <v/>
      </c>
      <c r="AF81" s="195">
        <f>IF(B81="","",SQRT(P81^2+Q81^2))</f>
        <v/>
      </c>
      <c r="AG81" s="195">
        <f>IF(B81="","",SQRT(R81^2+S81^2))</f>
        <v/>
      </c>
    </row>
    <row r="82">
      <c r="A82" t="n">
        <v>79</v>
      </c>
      <c r="B82" s="196">
        <f>IF(A82&lt;='入力・概要'!$B$40,10^(LOG10('入力・概要'!$B$38)+(A82-1)*(LOG10('入力・概要'!$B$39)-LOG10('入力・概要'!$B$38))/('入力・概要'!$B$40-1)),"")</f>
        <v/>
      </c>
      <c r="C82" s="195">
        <f>IF(B82="","",2*PI()*B82)</f>
        <v/>
      </c>
      <c r="D82" s="195">
        <f>IF(B82="","",ATANH(MIN(0.999999,'入力・概要'!$E$20/'入力・概要'!$E$9))+'入力・概要'!$B$20*SQRT(B82/1E6)+E82*'入力・概要'!$B$15/2)</f>
        <v/>
      </c>
      <c r="E82" s="195">
        <f>IF(B82="","",C82*('入力・概要'!$E$11*1E-9))</f>
        <v/>
      </c>
      <c r="F82" s="195">
        <f>IF(B82="","",SINH(2*D82)/(COSH(2*D82)+COS(2*E82)))</f>
        <v/>
      </c>
      <c r="G82" s="195">
        <f>IF(B82="","",SIN(2*E82)/(COSH(2*D82)+COS(2*E82)))</f>
        <v/>
      </c>
      <c r="H82" s="195">
        <f>IF(B82="","",ATANH(MIN(0.999999,'入力・概要'!$E$21/'入力・概要'!$E$15))+'入力・概要'!$B$21*SQRT(B82/1E6)+I82*'入力・概要'!$B$16/2)</f>
        <v/>
      </c>
      <c r="I82" s="195">
        <f>IF(B82="","",C82*('入力・概要'!$E$17*1E-9))</f>
        <v/>
      </c>
      <c r="J82" s="195">
        <f>IF(B82="","",SINH(2*H82)/(COSH(2*H82)+COS(2*I82)))</f>
        <v/>
      </c>
      <c r="K82" s="195">
        <f>IF(B82="","",SIN(2*I82)/(COSH(2*H82)+COS(2*I82)))</f>
        <v/>
      </c>
      <c r="L82" s="195">
        <f>IF(B82="","",'入力・概要'!$B$25)</f>
        <v/>
      </c>
      <c r="M82" s="195">
        <f>IF(B82="","",C82*'入力・概要'!$B$26*1E-9-1/(C82*'入力・概要'!$B$24*1E-6))</f>
        <v/>
      </c>
      <c r="N82" s="195">
        <f>IF(B82="","",'入力・概要'!$B$28)</f>
        <v/>
      </c>
      <c r="O82" s="195">
        <f>IF(B82="","",C82*'入力・概要'!$B$29*1E-9-1/(C82*'入力・概要'!$B$27*1E-6))</f>
        <v/>
      </c>
      <c r="P82" s="195">
        <f>IF(B82="","",((L82*N82-M82*O82)*(L82+N82)+(L82*O82+M82*N82)*(M82+O82))/((L82+N82)^2+(M82+O82)^2))</f>
        <v/>
      </c>
      <c r="Q82" s="195">
        <f>IF(B82="","",((L82*O82+M82*N82)*(L82+N82)-(L82*N82-M82*O82)*(M82+O82))/((L82+N82)^2+(M82+O82)^2))</f>
        <v/>
      </c>
      <c r="R82" s="195">
        <f>IF(B82="","",'入力・概要'!$E$15*J82)</f>
        <v/>
      </c>
      <c r="S82" s="195">
        <f>IF(B82="","",'入力・概要'!$E$15*K82)</f>
        <v/>
      </c>
      <c r="T82" s="195">
        <f>IF(B82="","",P82+R82)</f>
        <v/>
      </c>
      <c r="U82" s="195">
        <f>IF(B82="","",Q82+S82)</f>
        <v/>
      </c>
      <c r="V82" s="195">
        <f>IF(B82="","",T82+'入力・概要'!$E$9*F82)</f>
        <v/>
      </c>
      <c r="W82" s="195">
        <f>IF(B82="","",U82+'入力・概要'!$E$9*G82)</f>
        <v/>
      </c>
      <c r="X82" s="195">
        <f>IF(B82="","",'入力・概要'!$E$9+T82*F82-U82*G82)</f>
        <v/>
      </c>
      <c r="Y82" s="195">
        <f>IF(B82="","",T82*G82+U82*F82)</f>
        <v/>
      </c>
      <c r="Z82" s="195">
        <f>IF(B82="","",'入力・概要'!$E$9*(V82*X82+W82*Y82)/(X82^2+Y82^2)+'入力・概要'!$B$36)</f>
        <v/>
      </c>
      <c r="AA82" s="195">
        <f>IF(B82="","",'入力・概要'!$E$9*(W82*X82-V82*Y82)/(X82^2+Y82^2)+C82*'入力・概要'!$B$37*1E-9)</f>
        <v/>
      </c>
      <c r="AB82" s="195">
        <f>IF(B82="","",SQRT(Z82^2+AA82^2))</f>
        <v/>
      </c>
      <c r="AC82" s="195">
        <f>IF(B82="","",IF(Z82&gt;0,DEGREES(ATAN(AA82/Z82)),IF(Z82&lt;0,IF(AA82&gt;=0,DEGREES(ATAN(AA82/Z82))+180,DEGREES(ATAN(AA82/Z82))-180),IF(AA82&gt;0,90,IF(AA82&lt;0,-90,0)))))</f>
        <v/>
      </c>
      <c r="AD82" s="195">
        <f>IF(B82="","",LOG10(B82))</f>
        <v/>
      </c>
      <c r="AE82" s="195">
        <f>IF(AB82="","",LOG10(MAX(AB82,1E-12)))</f>
        <v/>
      </c>
      <c r="AF82" s="195">
        <f>IF(B82="","",SQRT(P82^2+Q82^2))</f>
        <v/>
      </c>
      <c r="AG82" s="195">
        <f>IF(B82="","",SQRT(R82^2+S82^2))</f>
        <v/>
      </c>
    </row>
    <row r="83">
      <c r="A83" t="n">
        <v>80</v>
      </c>
      <c r="B83" s="196">
        <f>IF(A83&lt;='入力・概要'!$B$40,10^(LOG10('入力・概要'!$B$38)+(A83-1)*(LOG10('入力・概要'!$B$39)-LOG10('入力・概要'!$B$38))/('入力・概要'!$B$40-1)),"")</f>
        <v/>
      </c>
      <c r="C83" s="195">
        <f>IF(B83="","",2*PI()*B83)</f>
        <v/>
      </c>
      <c r="D83" s="195">
        <f>IF(B83="","",ATANH(MIN(0.999999,'入力・概要'!$E$20/'入力・概要'!$E$9))+'入力・概要'!$B$20*SQRT(B83/1E6)+E83*'入力・概要'!$B$15/2)</f>
        <v/>
      </c>
      <c r="E83" s="195">
        <f>IF(B83="","",C83*('入力・概要'!$E$11*1E-9))</f>
        <v/>
      </c>
      <c r="F83" s="195">
        <f>IF(B83="","",SINH(2*D83)/(COSH(2*D83)+COS(2*E83)))</f>
        <v/>
      </c>
      <c r="G83" s="195">
        <f>IF(B83="","",SIN(2*E83)/(COSH(2*D83)+COS(2*E83)))</f>
        <v/>
      </c>
      <c r="H83" s="195">
        <f>IF(B83="","",ATANH(MIN(0.999999,'入力・概要'!$E$21/'入力・概要'!$E$15))+'入力・概要'!$B$21*SQRT(B83/1E6)+I83*'入力・概要'!$B$16/2)</f>
        <v/>
      </c>
      <c r="I83" s="195">
        <f>IF(B83="","",C83*('入力・概要'!$E$17*1E-9))</f>
        <v/>
      </c>
      <c r="J83" s="195">
        <f>IF(B83="","",SINH(2*H83)/(COSH(2*H83)+COS(2*I83)))</f>
        <v/>
      </c>
      <c r="K83" s="195">
        <f>IF(B83="","",SIN(2*I83)/(COSH(2*H83)+COS(2*I83)))</f>
        <v/>
      </c>
      <c r="L83" s="195">
        <f>IF(B83="","",'入力・概要'!$B$25)</f>
        <v/>
      </c>
      <c r="M83" s="195">
        <f>IF(B83="","",C83*'入力・概要'!$B$26*1E-9-1/(C83*'入力・概要'!$B$24*1E-6))</f>
        <v/>
      </c>
      <c r="N83" s="195">
        <f>IF(B83="","",'入力・概要'!$B$28)</f>
        <v/>
      </c>
      <c r="O83" s="195">
        <f>IF(B83="","",C83*'入力・概要'!$B$29*1E-9-1/(C83*'入力・概要'!$B$27*1E-6))</f>
        <v/>
      </c>
      <c r="P83" s="195">
        <f>IF(B83="","",((L83*N83-M83*O83)*(L83+N83)+(L83*O83+M83*N83)*(M83+O83))/((L83+N83)^2+(M83+O83)^2))</f>
        <v/>
      </c>
      <c r="Q83" s="195">
        <f>IF(B83="","",((L83*O83+M83*N83)*(L83+N83)-(L83*N83-M83*O83)*(M83+O83))/((L83+N83)^2+(M83+O83)^2))</f>
        <v/>
      </c>
      <c r="R83" s="195">
        <f>IF(B83="","",'入力・概要'!$E$15*J83)</f>
        <v/>
      </c>
      <c r="S83" s="195">
        <f>IF(B83="","",'入力・概要'!$E$15*K83)</f>
        <v/>
      </c>
      <c r="T83" s="195">
        <f>IF(B83="","",P83+R83)</f>
        <v/>
      </c>
      <c r="U83" s="195">
        <f>IF(B83="","",Q83+S83)</f>
        <v/>
      </c>
      <c r="V83" s="195">
        <f>IF(B83="","",T83+'入力・概要'!$E$9*F83)</f>
        <v/>
      </c>
      <c r="W83" s="195">
        <f>IF(B83="","",U83+'入力・概要'!$E$9*G83)</f>
        <v/>
      </c>
      <c r="X83" s="195">
        <f>IF(B83="","",'入力・概要'!$E$9+T83*F83-U83*G83)</f>
        <v/>
      </c>
      <c r="Y83" s="195">
        <f>IF(B83="","",T83*G83+U83*F83)</f>
        <v/>
      </c>
      <c r="Z83" s="195">
        <f>IF(B83="","",'入力・概要'!$E$9*(V83*X83+W83*Y83)/(X83^2+Y83^2)+'入力・概要'!$B$36)</f>
        <v/>
      </c>
      <c r="AA83" s="195">
        <f>IF(B83="","",'入力・概要'!$E$9*(W83*X83-V83*Y83)/(X83^2+Y83^2)+C83*'入力・概要'!$B$37*1E-9)</f>
        <v/>
      </c>
      <c r="AB83" s="195">
        <f>IF(B83="","",SQRT(Z83^2+AA83^2))</f>
        <v/>
      </c>
      <c r="AC83" s="195">
        <f>IF(B83="","",IF(Z83&gt;0,DEGREES(ATAN(AA83/Z83)),IF(Z83&lt;0,IF(AA83&gt;=0,DEGREES(ATAN(AA83/Z83))+180,DEGREES(ATAN(AA83/Z83))-180),IF(AA83&gt;0,90,IF(AA83&lt;0,-90,0)))))</f>
        <v/>
      </c>
      <c r="AD83" s="195">
        <f>IF(B83="","",LOG10(B83))</f>
        <v/>
      </c>
      <c r="AE83" s="195">
        <f>IF(AB83="","",LOG10(MAX(AB83,1E-12)))</f>
        <v/>
      </c>
      <c r="AF83" s="195">
        <f>IF(B83="","",SQRT(P83^2+Q83^2))</f>
        <v/>
      </c>
      <c r="AG83" s="195">
        <f>IF(B83="","",SQRT(R83^2+S83^2))</f>
        <v/>
      </c>
    </row>
    <row r="84">
      <c r="A84" t="n">
        <v>81</v>
      </c>
      <c r="B84" s="196">
        <f>IF(A84&lt;='入力・概要'!$B$40,10^(LOG10('入力・概要'!$B$38)+(A84-1)*(LOG10('入力・概要'!$B$39)-LOG10('入力・概要'!$B$38))/('入力・概要'!$B$40-1)),"")</f>
        <v/>
      </c>
      <c r="C84" s="195">
        <f>IF(B84="","",2*PI()*B84)</f>
        <v/>
      </c>
      <c r="D84" s="195">
        <f>IF(B84="","",ATANH(MIN(0.999999,'入力・概要'!$E$20/'入力・概要'!$E$9))+'入力・概要'!$B$20*SQRT(B84/1E6)+E84*'入力・概要'!$B$15/2)</f>
        <v/>
      </c>
      <c r="E84" s="195">
        <f>IF(B84="","",C84*('入力・概要'!$E$11*1E-9))</f>
        <v/>
      </c>
      <c r="F84" s="195">
        <f>IF(B84="","",SINH(2*D84)/(COSH(2*D84)+COS(2*E84)))</f>
        <v/>
      </c>
      <c r="G84" s="195">
        <f>IF(B84="","",SIN(2*E84)/(COSH(2*D84)+COS(2*E84)))</f>
        <v/>
      </c>
      <c r="H84" s="195">
        <f>IF(B84="","",ATANH(MIN(0.999999,'入力・概要'!$E$21/'入力・概要'!$E$15))+'入力・概要'!$B$21*SQRT(B84/1E6)+I84*'入力・概要'!$B$16/2)</f>
        <v/>
      </c>
      <c r="I84" s="195">
        <f>IF(B84="","",C84*('入力・概要'!$E$17*1E-9))</f>
        <v/>
      </c>
      <c r="J84" s="195">
        <f>IF(B84="","",SINH(2*H84)/(COSH(2*H84)+COS(2*I84)))</f>
        <v/>
      </c>
      <c r="K84" s="195">
        <f>IF(B84="","",SIN(2*I84)/(COSH(2*H84)+COS(2*I84)))</f>
        <v/>
      </c>
      <c r="L84" s="195">
        <f>IF(B84="","",'入力・概要'!$B$25)</f>
        <v/>
      </c>
      <c r="M84" s="195">
        <f>IF(B84="","",C84*'入力・概要'!$B$26*1E-9-1/(C84*'入力・概要'!$B$24*1E-6))</f>
        <v/>
      </c>
      <c r="N84" s="195">
        <f>IF(B84="","",'入力・概要'!$B$28)</f>
        <v/>
      </c>
      <c r="O84" s="195">
        <f>IF(B84="","",C84*'入力・概要'!$B$29*1E-9-1/(C84*'入力・概要'!$B$27*1E-6))</f>
        <v/>
      </c>
      <c r="P84" s="195">
        <f>IF(B84="","",((L84*N84-M84*O84)*(L84+N84)+(L84*O84+M84*N84)*(M84+O84))/((L84+N84)^2+(M84+O84)^2))</f>
        <v/>
      </c>
      <c r="Q84" s="195">
        <f>IF(B84="","",((L84*O84+M84*N84)*(L84+N84)-(L84*N84-M84*O84)*(M84+O84))/((L84+N84)^2+(M84+O84)^2))</f>
        <v/>
      </c>
      <c r="R84" s="195">
        <f>IF(B84="","",'入力・概要'!$E$15*J84)</f>
        <v/>
      </c>
      <c r="S84" s="195">
        <f>IF(B84="","",'入力・概要'!$E$15*K84)</f>
        <v/>
      </c>
      <c r="T84" s="195">
        <f>IF(B84="","",P84+R84)</f>
        <v/>
      </c>
      <c r="U84" s="195">
        <f>IF(B84="","",Q84+S84)</f>
        <v/>
      </c>
      <c r="V84" s="195">
        <f>IF(B84="","",T84+'入力・概要'!$E$9*F84)</f>
        <v/>
      </c>
      <c r="W84" s="195">
        <f>IF(B84="","",U84+'入力・概要'!$E$9*G84)</f>
        <v/>
      </c>
      <c r="X84" s="195">
        <f>IF(B84="","",'入力・概要'!$E$9+T84*F84-U84*G84)</f>
        <v/>
      </c>
      <c r="Y84" s="195">
        <f>IF(B84="","",T84*G84+U84*F84)</f>
        <v/>
      </c>
      <c r="Z84" s="195">
        <f>IF(B84="","",'入力・概要'!$E$9*(V84*X84+W84*Y84)/(X84^2+Y84^2)+'入力・概要'!$B$36)</f>
        <v/>
      </c>
      <c r="AA84" s="195">
        <f>IF(B84="","",'入力・概要'!$E$9*(W84*X84-V84*Y84)/(X84^2+Y84^2)+C84*'入力・概要'!$B$37*1E-9)</f>
        <v/>
      </c>
      <c r="AB84" s="195">
        <f>IF(B84="","",SQRT(Z84^2+AA84^2))</f>
        <v/>
      </c>
      <c r="AC84" s="195">
        <f>IF(B84="","",IF(Z84&gt;0,DEGREES(ATAN(AA84/Z84)),IF(Z84&lt;0,IF(AA84&gt;=0,DEGREES(ATAN(AA84/Z84))+180,DEGREES(ATAN(AA84/Z84))-180),IF(AA84&gt;0,90,IF(AA84&lt;0,-90,0)))))</f>
        <v/>
      </c>
      <c r="AD84" s="195">
        <f>IF(B84="","",LOG10(B84))</f>
        <v/>
      </c>
      <c r="AE84" s="195">
        <f>IF(AB84="","",LOG10(MAX(AB84,1E-12)))</f>
        <v/>
      </c>
      <c r="AF84" s="195">
        <f>IF(B84="","",SQRT(P84^2+Q84^2))</f>
        <v/>
      </c>
      <c r="AG84" s="195">
        <f>IF(B84="","",SQRT(R84^2+S84^2))</f>
        <v/>
      </c>
    </row>
    <row r="85">
      <c r="A85" t="n">
        <v>82</v>
      </c>
      <c r="B85" s="196">
        <f>IF(A85&lt;='入力・概要'!$B$40,10^(LOG10('入力・概要'!$B$38)+(A85-1)*(LOG10('入力・概要'!$B$39)-LOG10('入力・概要'!$B$38))/('入力・概要'!$B$40-1)),"")</f>
        <v/>
      </c>
      <c r="C85" s="195">
        <f>IF(B85="","",2*PI()*B85)</f>
        <v/>
      </c>
      <c r="D85" s="195">
        <f>IF(B85="","",ATANH(MIN(0.999999,'入力・概要'!$E$20/'入力・概要'!$E$9))+'入力・概要'!$B$20*SQRT(B85/1E6)+E85*'入力・概要'!$B$15/2)</f>
        <v/>
      </c>
      <c r="E85" s="195">
        <f>IF(B85="","",C85*('入力・概要'!$E$11*1E-9))</f>
        <v/>
      </c>
      <c r="F85" s="195">
        <f>IF(B85="","",SINH(2*D85)/(COSH(2*D85)+COS(2*E85)))</f>
        <v/>
      </c>
      <c r="G85" s="195">
        <f>IF(B85="","",SIN(2*E85)/(COSH(2*D85)+COS(2*E85)))</f>
        <v/>
      </c>
      <c r="H85" s="195">
        <f>IF(B85="","",ATANH(MIN(0.999999,'入力・概要'!$E$21/'入力・概要'!$E$15))+'入力・概要'!$B$21*SQRT(B85/1E6)+I85*'入力・概要'!$B$16/2)</f>
        <v/>
      </c>
      <c r="I85" s="195">
        <f>IF(B85="","",C85*('入力・概要'!$E$17*1E-9))</f>
        <v/>
      </c>
      <c r="J85" s="195">
        <f>IF(B85="","",SINH(2*H85)/(COSH(2*H85)+COS(2*I85)))</f>
        <v/>
      </c>
      <c r="K85" s="195">
        <f>IF(B85="","",SIN(2*I85)/(COSH(2*H85)+COS(2*I85)))</f>
        <v/>
      </c>
      <c r="L85" s="195">
        <f>IF(B85="","",'入力・概要'!$B$25)</f>
        <v/>
      </c>
      <c r="M85" s="195">
        <f>IF(B85="","",C85*'入力・概要'!$B$26*1E-9-1/(C85*'入力・概要'!$B$24*1E-6))</f>
        <v/>
      </c>
      <c r="N85" s="195">
        <f>IF(B85="","",'入力・概要'!$B$28)</f>
        <v/>
      </c>
      <c r="O85" s="195">
        <f>IF(B85="","",C85*'入力・概要'!$B$29*1E-9-1/(C85*'入力・概要'!$B$27*1E-6))</f>
        <v/>
      </c>
      <c r="P85" s="195">
        <f>IF(B85="","",((L85*N85-M85*O85)*(L85+N85)+(L85*O85+M85*N85)*(M85+O85))/((L85+N85)^2+(M85+O85)^2))</f>
        <v/>
      </c>
      <c r="Q85" s="195">
        <f>IF(B85="","",((L85*O85+M85*N85)*(L85+N85)-(L85*N85-M85*O85)*(M85+O85))/((L85+N85)^2+(M85+O85)^2))</f>
        <v/>
      </c>
      <c r="R85" s="195">
        <f>IF(B85="","",'入力・概要'!$E$15*J85)</f>
        <v/>
      </c>
      <c r="S85" s="195">
        <f>IF(B85="","",'入力・概要'!$E$15*K85)</f>
        <v/>
      </c>
      <c r="T85" s="195">
        <f>IF(B85="","",P85+R85)</f>
        <v/>
      </c>
      <c r="U85" s="195">
        <f>IF(B85="","",Q85+S85)</f>
        <v/>
      </c>
      <c r="V85" s="195">
        <f>IF(B85="","",T85+'入力・概要'!$E$9*F85)</f>
        <v/>
      </c>
      <c r="W85" s="195">
        <f>IF(B85="","",U85+'入力・概要'!$E$9*G85)</f>
        <v/>
      </c>
      <c r="X85" s="195">
        <f>IF(B85="","",'入力・概要'!$E$9+T85*F85-U85*G85)</f>
        <v/>
      </c>
      <c r="Y85" s="195">
        <f>IF(B85="","",T85*G85+U85*F85)</f>
        <v/>
      </c>
      <c r="Z85" s="195">
        <f>IF(B85="","",'入力・概要'!$E$9*(V85*X85+W85*Y85)/(X85^2+Y85^2)+'入力・概要'!$B$36)</f>
        <v/>
      </c>
      <c r="AA85" s="195">
        <f>IF(B85="","",'入力・概要'!$E$9*(W85*X85-V85*Y85)/(X85^2+Y85^2)+C85*'入力・概要'!$B$37*1E-9)</f>
        <v/>
      </c>
      <c r="AB85" s="195">
        <f>IF(B85="","",SQRT(Z85^2+AA85^2))</f>
        <v/>
      </c>
      <c r="AC85" s="195">
        <f>IF(B85="","",IF(Z85&gt;0,DEGREES(ATAN(AA85/Z85)),IF(Z85&lt;0,IF(AA85&gt;=0,DEGREES(ATAN(AA85/Z85))+180,DEGREES(ATAN(AA85/Z85))-180),IF(AA85&gt;0,90,IF(AA85&lt;0,-90,0)))))</f>
        <v/>
      </c>
      <c r="AD85" s="195">
        <f>IF(B85="","",LOG10(B85))</f>
        <v/>
      </c>
      <c r="AE85" s="195">
        <f>IF(AB85="","",LOG10(MAX(AB85,1E-12)))</f>
        <v/>
      </c>
      <c r="AF85" s="195">
        <f>IF(B85="","",SQRT(P85^2+Q85^2))</f>
        <v/>
      </c>
      <c r="AG85" s="195">
        <f>IF(B85="","",SQRT(R85^2+S85^2))</f>
        <v/>
      </c>
    </row>
    <row r="86">
      <c r="A86" t="n">
        <v>83</v>
      </c>
      <c r="B86" s="196">
        <f>IF(A86&lt;='入力・概要'!$B$40,10^(LOG10('入力・概要'!$B$38)+(A86-1)*(LOG10('入力・概要'!$B$39)-LOG10('入力・概要'!$B$38))/('入力・概要'!$B$40-1)),"")</f>
        <v/>
      </c>
      <c r="C86" s="195">
        <f>IF(B86="","",2*PI()*B86)</f>
        <v/>
      </c>
      <c r="D86" s="195">
        <f>IF(B86="","",ATANH(MIN(0.999999,'入力・概要'!$E$20/'入力・概要'!$E$9))+'入力・概要'!$B$20*SQRT(B86/1E6)+E86*'入力・概要'!$B$15/2)</f>
        <v/>
      </c>
      <c r="E86" s="195">
        <f>IF(B86="","",C86*('入力・概要'!$E$11*1E-9))</f>
        <v/>
      </c>
      <c r="F86" s="195">
        <f>IF(B86="","",SINH(2*D86)/(COSH(2*D86)+COS(2*E86)))</f>
        <v/>
      </c>
      <c r="G86" s="195">
        <f>IF(B86="","",SIN(2*E86)/(COSH(2*D86)+COS(2*E86)))</f>
        <v/>
      </c>
      <c r="H86" s="195">
        <f>IF(B86="","",ATANH(MIN(0.999999,'入力・概要'!$E$21/'入力・概要'!$E$15))+'入力・概要'!$B$21*SQRT(B86/1E6)+I86*'入力・概要'!$B$16/2)</f>
        <v/>
      </c>
      <c r="I86" s="195">
        <f>IF(B86="","",C86*('入力・概要'!$E$17*1E-9))</f>
        <v/>
      </c>
      <c r="J86" s="195">
        <f>IF(B86="","",SINH(2*H86)/(COSH(2*H86)+COS(2*I86)))</f>
        <v/>
      </c>
      <c r="K86" s="195">
        <f>IF(B86="","",SIN(2*I86)/(COSH(2*H86)+COS(2*I86)))</f>
        <v/>
      </c>
      <c r="L86" s="195">
        <f>IF(B86="","",'入力・概要'!$B$25)</f>
        <v/>
      </c>
      <c r="M86" s="195">
        <f>IF(B86="","",C86*'入力・概要'!$B$26*1E-9-1/(C86*'入力・概要'!$B$24*1E-6))</f>
        <v/>
      </c>
      <c r="N86" s="195">
        <f>IF(B86="","",'入力・概要'!$B$28)</f>
        <v/>
      </c>
      <c r="O86" s="195">
        <f>IF(B86="","",C86*'入力・概要'!$B$29*1E-9-1/(C86*'入力・概要'!$B$27*1E-6))</f>
        <v/>
      </c>
      <c r="P86" s="195">
        <f>IF(B86="","",((L86*N86-M86*O86)*(L86+N86)+(L86*O86+M86*N86)*(M86+O86))/((L86+N86)^2+(M86+O86)^2))</f>
        <v/>
      </c>
      <c r="Q86" s="195">
        <f>IF(B86="","",((L86*O86+M86*N86)*(L86+N86)-(L86*N86-M86*O86)*(M86+O86))/((L86+N86)^2+(M86+O86)^2))</f>
        <v/>
      </c>
      <c r="R86" s="195">
        <f>IF(B86="","",'入力・概要'!$E$15*J86)</f>
        <v/>
      </c>
      <c r="S86" s="195">
        <f>IF(B86="","",'入力・概要'!$E$15*K86)</f>
        <v/>
      </c>
      <c r="T86" s="195">
        <f>IF(B86="","",P86+R86)</f>
        <v/>
      </c>
      <c r="U86" s="195">
        <f>IF(B86="","",Q86+S86)</f>
        <v/>
      </c>
      <c r="V86" s="195">
        <f>IF(B86="","",T86+'入力・概要'!$E$9*F86)</f>
        <v/>
      </c>
      <c r="W86" s="195">
        <f>IF(B86="","",U86+'入力・概要'!$E$9*G86)</f>
        <v/>
      </c>
      <c r="X86" s="195">
        <f>IF(B86="","",'入力・概要'!$E$9+T86*F86-U86*G86)</f>
        <v/>
      </c>
      <c r="Y86" s="195">
        <f>IF(B86="","",T86*G86+U86*F86)</f>
        <v/>
      </c>
      <c r="Z86" s="195">
        <f>IF(B86="","",'入力・概要'!$E$9*(V86*X86+W86*Y86)/(X86^2+Y86^2)+'入力・概要'!$B$36)</f>
        <v/>
      </c>
      <c r="AA86" s="195">
        <f>IF(B86="","",'入力・概要'!$E$9*(W86*X86-V86*Y86)/(X86^2+Y86^2)+C86*'入力・概要'!$B$37*1E-9)</f>
        <v/>
      </c>
      <c r="AB86" s="195">
        <f>IF(B86="","",SQRT(Z86^2+AA86^2))</f>
        <v/>
      </c>
      <c r="AC86" s="195">
        <f>IF(B86="","",IF(Z86&gt;0,DEGREES(ATAN(AA86/Z86)),IF(Z86&lt;0,IF(AA86&gt;=0,DEGREES(ATAN(AA86/Z86))+180,DEGREES(ATAN(AA86/Z86))-180),IF(AA86&gt;0,90,IF(AA86&lt;0,-90,0)))))</f>
        <v/>
      </c>
      <c r="AD86" s="195">
        <f>IF(B86="","",LOG10(B86))</f>
        <v/>
      </c>
      <c r="AE86" s="195">
        <f>IF(AB86="","",LOG10(MAX(AB86,1E-12)))</f>
        <v/>
      </c>
      <c r="AF86" s="195">
        <f>IF(B86="","",SQRT(P86^2+Q86^2))</f>
        <v/>
      </c>
      <c r="AG86" s="195">
        <f>IF(B86="","",SQRT(R86^2+S86^2))</f>
        <v/>
      </c>
    </row>
    <row r="87">
      <c r="A87" t="n">
        <v>84</v>
      </c>
      <c r="B87" s="196">
        <f>IF(A87&lt;='入力・概要'!$B$40,10^(LOG10('入力・概要'!$B$38)+(A87-1)*(LOG10('入力・概要'!$B$39)-LOG10('入力・概要'!$B$38))/('入力・概要'!$B$40-1)),"")</f>
        <v/>
      </c>
      <c r="C87" s="195">
        <f>IF(B87="","",2*PI()*B87)</f>
        <v/>
      </c>
      <c r="D87" s="195">
        <f>IF(B87="","",ATANH(MIN(0.999999,'入力・概要'!$E$20/'入力・概要'!$E$9))+'入力・概要'!$B$20*SQRT(B87/1E6)+E87*'入力・概要'!$B$15/2)</f>
        <v/>
      </c>
      <c r="E87" s="195">
        <f>IF(B87="","",C87*('入力・概要'!$E$11*1E-9))</f>
        <v/>
      </c>
      <c r="F87" s="195">
        <f>IF(B87="","",SINH(2*D87)/(COSH(2*D87)+COS(2*E87)))</f>
        <v/>
      </c>
      <c r="G87" s="195">
        <f>IF(B87="","",SIN(2*E87)/(COSH(2*D87)+COS(2*E87)))</f>
        <v/>
      </c>
      <c r="H87" s="195">
        <f>IF(B87="","",ATANH(MIN(0.999999,'入力・概要'!$E$21/'入力・概要'!$E$15))+'入力・概要'!$B$21*SQRT(B87/1E6)+I87*'入力・概要'!$B$16/2)</f>
        <v/>
      </c>
      <c r="I87" s="195">
        <f>IF(B87="","",C87*('入力・概要'!$E$17*1E-9))</f>
        <v/>
      </c>
      <c r="J87" s="195">
        <f>IF(B87="","",SINH(2*H87)/(COSH(2*H87)+COS(2*I87)))</f>
        <v/>
      </c>
      <c r="K87" s="195">
        <f>IF(B87="","",SIN(2*I87)/(COSH(2*H87)+COS(2*I87)))</f>
        <v/>
      </c>
      <c r="L87" s="195">
        <f>IF(B87="","",'入力・概要'!$B$25)</f>
        <v/>
      </c>
      <c r="M87" s="195">
        <f>IF(B87="","",C87*'入力・概要'!$B$26*1E-9-1/(C87*'入力・概要'!$B$24*1E-6))</f>
        <v/>
      </c>
      <c r="N87" s="195">
        <f>IF(B87="","",'入力・概要'!$B$28)</f>
        <v/>
      </c>
      <c r="O87" s="195">
        <f>IF(B87="","",C87*'入力・概要'!$B$29*1E-9-1/(C87*'入力・概要'!$B$27*1E-6))</f>
        <v/>
      </c>
      <c r="P87" s="195">
        <f>IF(B87="","",((L87*N87-M87*O87)*(L87+N87)+(L87*O87+M87*N87)*(M87+O87))/((L87+N87)^2+(M87+O87)^2))</f>
        <v/>
      </c>
      <c r="Q87" s="195">
        <f>IF(B87="","",((L87*O87+M87*N87)*(L87+N87)-(L87*N87-M87*O87)*(M87+O87))/((L87+N87)^2+(M87+O87)^2))</f>
        <v/>
      </c>
      <c r="R87" s="195">
        <f>IF(B87="","",'入力・概要'!$E$15*J87)</f>
        <v/>
      </c>
      <c r="S87" s="195">
        <f>IF(B87="","",'入力・概要'!$E$15*K87)</f>
        <v/>
      </c>
      <c r="T87" s="195">
        <f>IF(B87="","",P87+R87)</f>
        <v/>
      </c>
      <c r="U87" s="195">
        <f>IF(B87="","",Q87+S87)</f>
        <v/>
      </c>
      <c r="V87" s="195">
        <f>IF(B87="","",T87+'入力・概要'!$E$9*F87)</f>
        <v/>
      </c>
      <c r="W87" s="195">
        <f>IF(B87="","",U87+'入力・概要'!$E$9*G87)</f>
        <v/>
      </c>
      <c r="X87" s="195">
        <f>IF(B87="","",'入力・概要'!$E$9+T87*F87-U87*G87)</f>
        <v/>
      </c>
      <c r="Y87" s="195">
        <f>IF(B87="","",T87*G87+U87*F87)</f>
        <v/>
      </c>
      <c r="Z87" s="195">
        <f>IF(B87="","",'入力・概要'!$E$9*(V87*X87+W87*Y87)/(X87^2+Y87^2)+'入力・概要'!$B$36)</f>
        <v/>
      </c>
      <c r="AA87" s="195">
        <f>IF(B87="","",'入力・概要'!$E$9*(W87*X87-V87*Y87)/(X87^2+Y87^2)+C87*'入力・概要'!$B$37*1E-9)</f>
        <v/>
      </c>
      <c r="AB87" s="195">
        <f>IF(B87="","",SQRT(Z87^2+AA87^2))</f>
        <v/>
      </c>
      <c r="AC87" s="195">
        <f>IF(B87="","",IF(Z87&gt;0,DEGREES(ATAN(AA87/Z87)),IF(Z87&lt;0,IF(AA87&gt;=0,DEGREES(ATAN(AA87/Z87))+180,DEGREES(ATAN(AA87/Z87))-180),IF(AA87&gt;0,90,IF(AA87&lt;0,-90,0)))))</f>
        <v/>
      </c>
      <c r="AD87" s="195">
        <f>IF(B87="","",LOG10(B87))</f>
        <v/>
      </c>
      <c r="AE87" s="195">
        <f>IF(AB87="","",LOG10(MAX(AB87,1E-12)))</f>
        <v/>
      </c>
      <c r="AF87" s="195">
        <f>IF(B87="","",SQRT(P87^2+Q87^2))</f>
        <v/>
      </c>
      <c r="AG87" s="195">
        <f>IF(B87="","",SQRT(R87^2+S87^2))</f>
        <v/>
      </c>
    </row>
    <row r="88">
      <c r="A88" t="n">
        <v>85</v>
      </c>
      <c r="B88" s="196">
        <f>IF(A88&lt;='入力・概要'!$B$40,10^(LOG10('入力・概要'!$B$38)+(A88-1)*(LOG10('入力・概要'!$B$39)-LOG10('入力・概要'!$B$38))/('入力・概要'!$B$40-1)),"")</f>
        <v/>
      </c>
      <c r="C88" s="195">
        <f>IF(B88="","",2*PI()*B88)</f>
        <v/>
      </c>
      <c r="D88" s="195">
        <f>IF(B88="","",ATANH(MIN(0.999999,'入力・概要'!$E$20/'入力・概要'!$E$9))+'入力・概要'!$B$20*SQRT(B88/1E6)+E88*'入力・概要'!$B$15/2)</f>
        <v/>
      </c>
      <c r="E88" s="195">
        <f>IF(B88="","",C88*('入力・概要'!$E$11*1E-9))</f>
        <v/>
      </c>
      <c r="F88" s="195">
        <f>IF(B88="","",SINH(2*D88)/(COSH(2*D88)+COS(2*E88)))</f>
        <v/>
      </c>
      <c r="G88" s="195">
        <f>IF(B88="","",SIN(2*E88)/(COSH(2*D88)+COS(2*E88)))</f>
        <v/>
      </c>
      <c r="H88" s="195">
        <f>IF(B88="","",ATANH(MIN(0.999999,'入力・概要'!$E$21/'入力・概要'!$E$15))+'入力・概要'!$B$21*SQRT(B88/1E6)+I88*'入力・概要'!$B$16/2)</f>
        <v/>
      </c>
      <c r="I88" s="195">
        <f>IF(B88="","",C88*('入力・概要'!$E$17*1E-9))</f>
        <v/>
      </c>
      <c r="J88" s="195">
        <f>IF(B88="","",SINH(2*H88)/(COSH(2*H88)+COS(2*I88)))</f>
        <v/>
      </c>
      <c r="K88" s="195">
        <f>IF(B88="","",SIN(2*I88)/(COSH(2*H88)+COS(2*I88)))</f>
        <v/>
      </c>
      <c r="L88" s="195">
        <f>IF(B88="","",'入力・概要'!$B$25)</f>
        <v/>
      </c>
      <c r="M88" s="195">
        <f>IF(B88="","",C88*'入力・概要'!$B$26*1E-9-1/(C88*'入力・概要'!$B$24*1E-6))</f>
        <v/>
      </c>
      <c r="N88" s="195">
        <f>IF(B88="","",'入力・概要'!$B$28)</f>
        <v/>
      </c>
      <c r="O88" s="195">
        <f>IF(B88="","",C88*'入力・概要'!$B$29*1E-9-1/(C88*'入力・概要'!$B$27*1E-6))</f>
        <v/>
      </c>
      <c r="P88" s="195">
        <f>IF(B88="","",((L88*N88-M88*O88)*(L88+N88)+(L88*O88+M88*N88)*(M88+O88))/((L88+N88)^2+(M88+O88)^2))</f>
        <v/>
      </c>
      <c r="Q88" s="195">
        <f>IF(B88="","",((L88*O88+M88*N88)*(L88+N88)-(L88*N88-M88*O88)*(M88+O88))/((L88+N88)^2+(M88+O88)^2))</f>
        <v/>
      </c>
      <c r="R88" s="195">
        <f>IF(B88="","",'入力・概要'!$E$15*J88)</f>
        <v/>
      </c>
      <c r="S88" s="195">
        <f>IF(B88="","",'入力・概要'!$E$15*K88)</f>
        <v/>
      </c>
      <c r="T88" s="195">
        <f>IF(B88="","",P88+R88)</f>
        <v/>
      </c>
      <c r="U88" s="195">
        <f>IF(B88="","",Q88+S88)</f>
        <v/>
      </c>
      <c r="V88" s="195">
        <f>IF(B88="","",T88+'入力・概要'!$E$9*F88)</f>
        <v/>
      </c>
      <c r="W88" s="195">
        <f>IF(B88="","",U88+'入力・概要'!$E$9*G88)</f>
        <v/>
      </c>
      <c r="X88" s="195">
        <f>IF(B88="","",'入力・概要'!$E$9+T88*F88-U88*G88)</f>
        <v/>
      </c>
      <c r="Y88" s="195">
        <f>IF(B88="","",T88*G88+U88*F88)</f>
        <v/>
      </c>
      <c r="Z88" s="195">
        <f>IF(B88="","",'入力・概要'!$E$9*(V88*X88+W88*Y88)/(X88^2+Y88^2)+'入力・概要'!$B$36)</f>
        <v/>
      </c>
      <c r="AA88" s="195">
        <f>IF(B88="","",'入力・概要'!$E$9*(W88*X88-V88*Y88)/(X88^2+Y88^2)+C88*'入力・概要'!$B$37*1E-9)</f>
        <v/>
      </c>
      <c r="AB88" s="195">
        <f>IF(B88="","",SQRT(Z88^2+AA88^2))</f>
        <v/>
      </c>
      <c r="AC88" s="195">
        <f>IF(B88="","",IF(Z88&gt;0,DEGREES(ATAN(AA88/Z88)),IF(Z88&lt;0,IF(AA88&gt;=0,DEGREES(ATAN(AA88/Z88))+180,DEGREES(ATAN(AA88/Z88))-180),IF(AA88&gt;0,90,IF(AA88&lt;0,-90,0)))))</f>
        <v/>
      </c>
      <c r="AD88" s="195">
        <f>IF(B88="","",LOG10(B88))</f>
        <v/>
      </c>
      <c r="AE88" s="195">
        <f>IF(AB88="","",LOG10(MAX(AB88,1E-12)))</f>
        <v/>
      </c>
      <c r="AF88" s="195">
        <f>IF(B88="","",SQRT(P88^2+Q88^2))</f>
        <v/>
      </c>
      <c r="AG88" s="195">
        <f>IF(B88="","",SQRT(R88^2+S88^2))</f>
        <v/>
      </c>
    </row>
    <row r="89">
      <c r="A89" t="n">
        <v>86</v>
      </c>
      <c r="B89" s="196">
        <f>IF(A89&lt;='入力・概要'!$B$40,10^(LOG10('入力・概要'!$B$38)+(A89-1)*(LOG10('入力・概要'!$B$39)-LOG10('入力・概要'!$B$38))/('入力・概要'!$B$40-1)),"")</f>
        <v/>
      </c>
      <c r="C89" s="195">
        <f>IF(B89="","",2*PI()*B89)</f>
        <v/>
      </c>
      <c r="D89" s="195">
        <f>IF(B89="","",ATANH(MIN(0.999999,'入力・概要'!$E$20/'入力・概要'!$E$9))+'入力・概要'!$B$20*SQRT(B89/1E6)+E89*'入力・概要'!$B$15/2)</f>
        <v/>
      </c>
      <c r="E89" s="195">
        <f>IF(B89="","",C89*('入力・概要'!$E$11*1E-9))</f>
        <v/>
      </c>
      <c r="F89" s="195">
        <f>IF(B89="","",SINH(2*D89)/(COSH(2*D89)+COS(2*E89)))</f>
        <v/>
      </c>
      <c r="G89" s="195">
        <f>IF(B89="","",SIN(2*E89)/(COSH(2*D89)+COS(2*E89)))</f>
        <v/>
      </c>
      <c r="H89" s="195">
        <f>IF(B89="","",ATANH(MIN(0.999999,'入力・概要'!$E$21/'入力・概要'!$E$15))+'入力・概要'!$B$21*SQRT(B89/1E6)+I89*'入力・概要'!$B$16/2)</f>
        <v/>
      </c>
      <c r="I89" s="195">
        <f>IF(B89="","",C89*('入力・概要'!$E$17*1E-9))</f>
        <v/>
      </c>
      <c r="J89" s="195">
        <f>IF(B89="","",SINH(2*H89)/(COSH(2*H89)+COS(2*I89)))</f>
        <v/>
      </c>
      <c r="K89" s="195">
        <f>IF(B89="","",SIN(2*I89)/(COSH(2*H89)+COS(2*I89)))</f>
        <v/>
      </c>
      <c r="L89" s="195">
        <f>IF(B89="","",'入力・概要'!$B$25)</f>
        <v/>
      </c>
      <c r="M89" s="195">
        <f>IF(B89="","",C89*'入力・概要'!$B$26*1E-9-1/(C89*'入力・概要'!$B$24*1E-6))</f>
        <v/>
      </c>
      <c r="N89" s="195">
        <f>IF(B89="","",'入力・概要'!$B$28)</f>
        <v/>
      </c>
      <c r="O89" s="195">
        <f>IF(B89="","",C89*'入力・概要'!$B$29*1E-9-1/(C89*'入力・概要'!$B$27*1E-6))</f>
        <v/>
      </c>
      <c r="P89" s="195">
        <f>IF(B89="","",((L89*N89-M89*O89)*(L89+N89)+(L89*O89+M89*N89)*(M89+O89))/((L89+N89)^2+(M89+O89)^2))</f>
        <v/>
      </c>
      <c r="Q89" s="195">
        <f>IF(B89="","",((L89*O89+M89*N89)*(L89+N89)-(L89*N89-M89*O89)*(M89+O89))/((L89+N89)^2+(M89+O89)^2))</f>
        <v/>
      </c>
      <c r="R89" s="195">
        <f>IF(B89="","",'入力・概要'!$E$15*J89)</f>
        <v/>
      </c>
      <c r="S89" s="195">
        <f>IF(B89="","",'入力・概要'!$E$15*K89)</f>
        <v/>
      </c>
      <c r="T89" s="195">
        <f>IF(B89="","",P89+R89)</f>
        <v/>
      </c>
      <c r="U89" s="195">
        <f>IF(B89="","",Q89+S89)</f>
        <v/>
      </c>
      <c r="V89" s="195">
        <f>IF(B89="","",T89+'入力・概要'!$E$9*F89)</f>
        <v/>
      </c>
      <c r="W89" s="195">
        <f>IF(B89="","",U89+'入力・概要'!$E$9*G89)</f>
        <v/>
      </c>
      <c r="X89" s="195">
        <f>IF(B89="","",'入力・概要'!$E$9+T89*F89-U89*G89)</f>
        <v/>
      </c>
      <c r="Y89" s="195">
        <f>IF(B89="","",T89*G89+U89*F89)</f>
        <v/>
      </c>
      <c r="Z89" s="195">
        <f>IF(B89="","",'入力・概要'!$E$9*(V89*X89+W89*Y89)/(X89^2+Y89^2)+'入力・概要'!$B$36)</f>
        <v/>
      </c>
      <c r="AA89" s="195">
        <f>IF(B89="","",'入力・概要'!$E$9*(W89*X89-V89*Y89)/(X89^2+Y89^2)+C89*'入力・概要'!$B$37*1E-9)</f>
        <v/>
      </c>
      <c r="AB89" s="195">
        <f>IF(B89="","",SQRT(Z89^2+AA89^2))</f>
        <v/>
      </c>
      <c r="AC89" s="195">
        <f>IF(B89="","",IF(Z89&gt;0,DEGREES(ATAN(AA89/Z89)),IF(Z89&lt;0,IF(AA89&gt;=0,DEGREES(ATAN(AA89/Z89))+180,DEGREES(ATAN(AA89/Z89))-180),IF(AA89&gt;0,90,IF(AA89&lt;0,-90,0)))))</f>
        <v/>
      </c>
      <c r="AD89" s="195">
        <f>IF(B89="","",LOG10(B89))</f>
        <v/>
      </c>
      <c r="AE89" s="195">
        <f>IF(AB89="","",LOG10(MAX(AB89,1E-12)))</f>
        <v/>
      </c>
      <c r="AF89" s="195">
        <f>IF(B89="","",SQRT(P89^2+Q89^2))</f>
        <v/>
      </c>
      <c r="AG89" s="195">
        <f>IF(B89="","",SQRT(R89^2+S89^2))</f>
        <v/>
      </c>
    </row>
    <row r="90">
      <c r="A90" t="n">
        <v>87</v>
      </c>
      <c r="B90" s="196">
        <f>IF(A90&lt;='入力・概要'!$B$40,10^(LOG10('入力・概要'!$B$38)+(A90-1)*(LOG10('入力・概要'!$B$39)-LOG10('入力・概要'!$B$38))/('入力・概要'!$B$40-1)),"")</f>
        <v/>
      </c>
      <c r="C90" s="195">
        <f>IF(B90="","",2*PI()*B90)</f>
        <v/>
      </c>
      <c r="D90" s="195">
        <f>IF(B90="","",ATANH(MIN(0.999999,'入力・概要'!$E$20/'入力・概要'!$E$9))+'入力・概要'!$B$20*SQRT(B90/1E6)+E90*'入力・概要'!$B$15/2)</f>
        <v/>
      </c>
      <c r="E90" s="195">
        <f>IF(B90="","",C90*('入力・概要'!$E$11*1E-9))</f>
        <v/>
      </c>
      <c r="F90" s="195">
        <f>IF(B90="","",SINH(2*D90)/(COSH(2*D90)+COS(2*E90)))</f>
        <v/>
      </c>
      <c r="G90" s="195">
        <f>IF(B90="","",SIN(2*E90)/(COSH(2*D90)+COS(2*E90)))</f>
        <v/>
      </c>
      <c r="H90" s="195">
        <f>IF(B90="","",ATANH(MIN(0.999999,'入力・概要'!$E$21/'入力・概要'!$E$15))+'入力・概要'!$B$21*SQRT(B90/1E6)+I90*'入力・概要'!$B$16/2)</f>
        <v/>
      </c>
      <c r="I90" s="195">
        <f>IF(B90="","",C90*('入力・概要'!$E$17*1E-9))</f>
        <v/>
      </c>
      <c r="J90" s="195">
        <f>IF(B90="","",SINH(2*H90)/(COSH(2*H90)+COS(2*I90)))</f>
        <v/>
      </c>
      <c r="K90" s="195">
        <f>IF(B90="","",SIN(2*I90)/(COSH(2*H90)+COS(2*I90)))</f>
        <v/>
      </c>
      <c r="L90" s="195">
        <f>IF(B90="","",'入力・概要'!$B$25)</f>
        <v/>
      </c>
      <c r="M90" s="195">
        <f>IF(B90="","",C90*'入力・概要'!$B$26*1E-9-1/(C90*'入力・概要'!$B$24*1E-6))</f>
        <v/>
      </c>
      <c r="N90" s="195">
        <f>IF(B90="","",'入力・概要'!$B$28)</f>
        <v/>
      </c>
      <c r="O90" s="195">
        <f>IF(B90="","",C90*'入力・概要'!$B$29*1E-9-1/(C90*'入力・概要'!$B$27*1E-6))</f>
        <v/>
      </c>
      <c r="P90" s="195">
        <f>IF(B90="","",((L90*N90-M90*O90)*(L90+N90)+(L90*O90+M90*N90)*(M90+O90))/((L90+N90)^2+(M90+O90)^2))</f>
        <v/>
      </c>
      <c r="Q90" s="195">
        <f>IF(B90="","",((L90*O90+M90*N90)*(L90+N90)-(L90*N90-M90*O90)*(M90+O90))/((L90+N90)^2+(M90+O90)^2))</f>
        <v/>
      </c>
      <c r="R90" s="195">
        <f>IF(B90="","",'入力・概要'!$E$15*J90)</f>
        <v/>
      </c>
      <c r="S90" s="195">
        <f>IF(B90="","",'入力・概要'!$E$15*K90)</f>
        <v/>
      </c>
      <c r="T90" s="195">
        <f>IF(B90="","",P90+R90)</f>
        <v/>
      </c>
      <c r="U90" s="195">
        <f>IF(B90="","",Q90+S90)</f>
        <v/>
      </c>
      <c r="V90" s="195">
        <f>IF(B90="","",T90+'入力・概要'!$E$9*F90)</f>
        <v/>
      </c>
      <c r="W90" s="195">
        <f>IF(B90="","",U90+'入力・概要'!$E$9*G90)</f>
        <v/>
      </c>
      <c r="X90" s="195">
        <f>IF(B90="","",'入力・概要'!$E$9+T90*F90-U90*G90)</f>
        <v/>
      </c>
      <c r="Y90" s="195">
        <f>IF(B90="","",T90*G90+U90*F90)</f>
        <v/>
      </c>
      <c r="Z90" s="195">
        <f>IF(B90="","",'入力・概要'!$E$9*(V90*X90+W90*Y90)/(X90^2+Y90^2)+'入力・概要'!$B$36)</f>
        <v/>
      </c>
      <c r="AA90" s="195">
        <f>IF(B90="","",'入力・概要'!$E$9*(W90*X90-V90*Y90)/(X90^2+Y90^2)+C90*'入力・概要'!$B$37*1E-9)</f>
        <v/>
      </c>
      <c r="AB90" s="195">
        <f>IF(B90="","",SQRT(Z90^2+AA90^2))</f>
        <v/>
      </c>
      <c r="AC90" s="195">
        <f>IF(B90="","",IF(Z90&gt;0,DEGREES(ATAN(AA90/Z90)),IF(Z90&lt;0,IF(AA90&gt;=0,DEGREES(ATAN(AA90/Z90))+180,DEGREES(ATAN(AA90/Z90))-180),IF(AA90&gt;0,90,IF(AA90&lt;0,-90,0)))))</f>
        <v/>
      </c>
      <c r="AD90" s="195">
        <f>IF(B90="","",LOG10(B90))</f>
        <v/>
      </c>
      <c r="AE90" s="195">
        <f>IF(AB90="","",LOG10(MAX(AB90,1E-12)))</f>
        <v/>
      </c>
      <c r="AF90" s="195">
        <f>IF(B90="","",SQRT(P90^2+Q90^2))</f>
        <v/>
      </c>
      <c r="AG90" s="195">
        <f>IF(B90="","",SQRT(R90^2+S90^2))</f>
        <v/>
      </c>
    </row>
    <row r="91">
      <c r="A91" t="n">
        <v>88</v>
      </c>
      <c r="B91" s="196">
        <f>IF(A91&lt;='入力・概要'!$B$40,10^(LOG10('入力・概要'!$B$38)+(A91-1)*(LOG10('入力・概要'!$B$39)-LOG10('入力・概要'!$B$38))/('入力・概要'!$B$40-1)),"")</f>
        <v/>
      </c>
      <c r="C91" s="195">
        <f>IF(B91="","",2*PI()*B91)</f>
        <v/>
      </c>
      <c r="D91" s="195">
        <f>IF(B91="","",ATANH(MIN(0.999999,'入力・概要'!$E$20/'入力・概要'!$E$9))+'入力・概要'!$B$20*SQRT(B91/1E6)+E91*'入力・概要'!$B$15/2)</f>
        <v/>
      </c>
      <c r="E91" s="195">
        <f>IF(B91="","",C91*('入力・概要'!$E$11*1E-9))</f>
        <v/>
      </c>
      <c r="F91" s="195">
        <f>IF(B91="","",SINH(2*D91)/(COSH(2*D91)+COS(2*E91)))</f>
        <v/>
      </c>
      <c r="G91" s="195">
        <f>IF(B91="","",SIN(2*E91)/(COSH(2*D91)+COS(2*E91)))</f>
        <v/>
      </c>
      <c r="H91" s="195">
        <f>IF(B91="","",ATANH(MIN(0.999999,'入力・概要'!$E$21/'入力・概要'!$E$15))+'入力・概要'!$B$21*SQRT(B91/1E6)+I91*'入力・概要'!$B$16/2)</f>
        <v/>
      </c>
      <c r="I91" s="195">
        <f>IF(B91="","",C91*('入力・概要'!$E$17*1E-9))</f>
        <v/>
      </c>
      <c r="J91" s="195">
        <f>IF(B91="","",SINH(2*H91)/(COSH(2*H91)+COS(2*I91)))</f>
        <v/>
      </c>
      <c r="K91" s="195">
        <f>IF(B91="","",SIN(2*I91)/(COSH(2*H91)+COS(2*I91)))</f>
        <v/>
      </c>
      <c r="L91" s="195">
        <f>IF(B91="","",'入力・概要'!$B$25)</f>
        <v/>
      </c>
      <c r="M91" s="195">
        <f>IF(B91="","",C91*'入力・概要'!$B$26*1E-9-1/(C91*'入力・概要'!$B$24*1E-6))</f>
        <v/>
      </c>
      <c r="N91" s="195">
        <f>IF(B91="","",'入力・概要'!$B$28)</f>
        <v/>
      </c>
      <c r="O91" s="195">
        <f>IF(B91="","",C91*'入力・概要'!$B$29*1E-9-1/(C91*'入力・概要'!$B$27*1E-6))</f>
        <v/>
      </c>
      <c r="P91" s="195">
        <f>IF(B91="","",((L91*N91-M91*O91)*(L91+N91)+(L91*O91+M91*N91)*(M91+O91))/((L91+N91)^2+(M91+O91)^2))</f>
        <v/>
      </c>
      <c r="Q91" s="195">
        <f>IF(B91="","",((L91*O91+M91*N91)*(L91+N91)-(L91*N91-M91*O91)*(M91+O91))/((L91+N91)^2+(M91+O91)^2))</f>
        <v/>
      </c>
      <c r="R91" s="195">
        <f>IF(B91="","",'入力・概要'!$E$15*J91)</f>
        <v/>
      </c>
      <c r="S91" s="195">
        <f>IF(B91="","",'入力・概要'!$E$15*K91)</f>
        <v/>
      </c>
      <c r="T91" s="195">
        <f>IF(B91="","",P91+R91)</f>
        <v/>
      </c>
      <c r="U91" s="195">
        <f>IF(B91="","",Q91+S91)</f>
        <v/>
      </c>
      <c r="V91" s="195">
        <f>IF(B91="","",T91+'入力・概要'!$E$9*F91)</f>
        <v/>
      </c>
      <c r="W91" s="195">
        <f>IF(B91="","",U91+'入力・概要'!$E$9*G91)</f>
        <v/>
      </c>
      <c r="X91" s="195">
        <f>IF(B91="","",'入力・概要'!$E$9+T91*F91-U91*G91)</f>
        <v/>
      </c>
      <c r="Y91" s="195">
        <f>IF(B91="","",T91*G91+U91*F91)</f>
        <v/>
      </c>
      <c r="Z91" s="195">
        <f>IF(B91="","",'入力・概要'!$E$9*(V91*X91+W91*Y91)/(X91^2+Y91^2)+'入力・概要'!$B$36)</f>
        <v/>
      </c>
      <c r="AA91" s="195">
        <f>IF(B91="","",'入力・概要'!$E$9*(W91*X91-V91*Y91)/(X91^2+Y91^2)+C91*'入力・概要'!$B$37*1E-9)</f>
        <v/>
      </c>
      <c r="AB91" s="195">
        <f>IF(B91="","",SQRT(Z91^2+AA91^2))</f>
        <v/>
      </c>
      <c r="AC91" s="195">
        <f>IF(B91="","",IF(Z91&gt;0,DEGREES(ATAN(AA91/Z91)),IF(Z91&lt;0,IF(AA91&gt;=0,DEGREES(ATAN(AA91/Z91))+180,DEGREES(ATAN(AA91/Z91))-180),IF(AA91&gt;0,90,IF(AA91&lt;0,-90,0)))))</f>
        <v/>
      </c>
      <c r="AD91" s="195">
        <f>IF(B91="","",LOG10(B91))</f>
        <v/>
      </c>
      <c r="AE91" s="195">
        <f>IF(AB91="","",LOG10(MAX(AB91,1E-12)))</f>
        <v/>
      </c>
      <c r="AF91" s="195">
        <f>IF(B91="","",SQRT(P91^2+Q91^2))</f>
        <v/>
      </c>
      <c r="AG91" s="195">
        <f>IF(B91="","",SQRT(R91^2+S91^2))</f>
        <v/>
      </c>
    </row>
    <row r="92">
      <c r="A92" t="n">
        <v>89</v>
      </c>
      <c r="B92" s="196">
        <f>IF(A92&lt;='入力・概要'!$B$40,10^(LOG10('入力・概要'!$B$38)+(A92-1)*(LOG10('入力・概要'!$B$39)-LOG10('入力・概要'!$B$38))/('入力・概要'!$B$40-1)),"")</f>
        <v/>
      </c>
      <c r="C92" s="195">
        <f>IF(B92="","",2*PI()*B92)</f>
        <v/>
      </c>
      <c r="D92" s="195">
        <f>IF(B92="","",ATANH(MIN(0.999999,'入力・概要'!$E$20/'入力・概要'!$E$9))+'入力・概要'!$B$20*SQRT(B92/1E6)+E92*'入力・概要'!$B$15/2)</f>
        <v/>
      </c>
      <c r="E92" s="195">
        <f>IF(B92="","",C92*('入力・概要'!$E$11*1E-9))</f>
        <v/>
      </c>
      <c r="F92" s="195">
        <f>IF(B92="","",SINH(2*D92)/(COSH(2*D92)+COS(2*E92)))</f>
        <v/>
      </c>
      <c r="G92" s="195">
        <f>IF(B92="","",SIN(2*E92)/(COSH(2*D92)+COS(2*E92)))</f>
        <v/>
      </c>
      <c r="H92" s="195">
        <f>IF(B92="","",ATANH(MIN(0.999999,'入力・概要'!$E$21/'入力・概要'!$E$15))+'入力・概要'!$B$21*SQRT(B92/1E6)+I92*'入力・概要'!$B$16/2)</f>
        <v/>
      </c>
      <c r="I92" s="195">
        <f>IF(B92="","",C92*('入力・概要'!$E$17*1E-9))</f>
        <v/>
      </c>
      <c r="J92" s="195">
        <f>IF(B92="","",SINH(2*H92)/(COSH(2*H92)+COS(2*I92)))</f>
        <v/>
      </c>
      <c r="K92" s="195">
        <f>IF(B92="","",SIN(2*I92)/(COSH(2*H92)+COS(2*I92)))</f>
        <v/>
      </c>
      <c r="L92" s="195">
        <f>IF(B92="","",'入力・概要'!$B$25)</f>
        <v/>
      </c>
      <c r="M92" s="195">
        <f>IF(B92="","",C92*'入力・概要'!$B$26*1E-9-1/(C92*'入力・概要'!$B$24*1E-6))</f>
        <v/>
      </c>
      <c r="N92" s="195">
        <f>IF(B92="","",'入力・概要'!$B$28)</f>
        <v/>
      </c>
      <c r="O92" s="195">
        <f>IF(B92="","",C92*'入力・概要'!$B$29*1E-9-1/(C92*'入力・概要'!$B$27*1E-6))</f>
        <v/>
      </c>
      <c r="P92" s="195">
        <f>IF(B92="","",((L92*N92-M92*O92)*(L92+N92)+(L92*O92+M92*N92)*(M92+O92))/((L92+N92)^2+(M92+O92)^2))</f>
        <v/>
      </c>
      <c r="Q92" s="195">
        <f>IF(B92="","",((L92*O92+M92*N92)*(L92+N92)-(L92*N92-M92*O92)*(M92+O92))/((L92+N92)^2+(M92+O92)^2))</f>
        <v/>
      </c>
      <c r="R92" s="195">
        <f>IF(B92="","",'入力・概要'!$E$15*J92)</f>
        <v/>
      </c>
      <c r="S92" s="195">
        <f>IF(B92="","",'入力・概要'!$E$15*K92)</f>
        <v/>
      </c>
      <c r="T92" s="195">
        <f>IF(B92="","",P92+R92)</f>
        <v/>
      </c>
      <c r="U92" s="195">
        <f>IF(B92="","",Q92+S92)</f>
        <v/>
      </c>
      <c r="V92" s="195">
        <f>IF(B92="","",T92+'入力・概要'!$E$9*F92)</f>
        <v/>
      </c>
      <c r="W92" s="195">
        <f>IF(B92="","",U92+'入力・概要'!$E$9*G92)</f>
        <v/>
      </c>
      <c r="X92" s="195">
        <f>IF(B92="","",'入力・概要'!$E$9+T92*F92-U92*G92)</f>
        <v/>
      </c>
      <c r="Y92" s="195">
        <f>IF(B92="","",T92*G92+U92*F92)</f>
        <v/>
      </c>
      <c r="Z92" s="195">
        <f>IF(B92="","",'入力・概要'!$E$9*(V92*X92+W92*Y92)/(X92^2+Y92^2)+'入力・概要'!$B$36)</f>
        <v/>
      </c>
      <c r="AA92" s="195">
        <f>IF(B92="","",'入力・概要'!$E$9*(W92*X92-V92*Y92)/(X92^2+Y92^2)+C92*'入力・概要'!$B$37*1E-9)</f>
        <v/>
      </c>
      <c r="AB92" s="195">
        <f>IF(B92="","",SQRT(Z92^2+AA92^2))</f>
        <v/>
      </c>
      <c r="AC92" s="195">
        <f>IF(B92="","",IF(Z92&gt;0,DEGREES(ATAN(AA92/Z92)),IF(Z92&lt;0,IF(AA92&gt;=0,DEGREES(ATAN(AA92/Z92))+180,DEGREES(ATAN(AA92/Z92))-180),IF(AA92&gt;0,90,IF(AA92&lt;0,-90,0)))))</f>
        <v/>
      </c>
      <c r="AD92" s="195">
        <f>IF(B92="","",LOG10(B92))</f>
        <v/>
      </c>
      <c r="AE92" s="195">
        <f>IF(AB92="","",LOG10(MAX(AB92,1E-12)))</f>
        <v/>
      </c>
      <c r="AF92" s="195">
        <f>IF(B92="","",SQRT(P92^2+Q92^2))</f>
        <v/>
      </c>
      <c r="AG92" s="195">
        <f>IF(B92="","",SQRT(R92^2+S92^2))</f>
        <v/>
      </c>
    </row>
    <row r="93">
      <c r="A93" t="n">
        <v>90</v>
      </c>
      <c r="B93" s="196">
        <f>IF(A93&lt;='入力・概要'!$B$40,10^(LOG10('入力・概要'!$B$38)+(A93-1)*(LOG10('入力・概要'!$B$39)-LOG10('入力・概要'!$B$38))/('入力・概要'!$B$40-1)),"")</f>
        <v/>
      </c>
      <c r="C93" s="195">
        <f>IF(B93="","",2*PI()*B93)</f>
        <v/>
      </c>
      <c r="D93" s="195">
        <f>IF(B93="","",ATANH(MIN(0.999999,'入力・概要'!$E$20/'入力・概要'!$E$9))+'入力・概要'!$B$20*SQRT(B93/1E6)+E93*'入力・概要'!$B$15/2)</f>
        <v/>
      </c>
      <c r="E93" s="195">
        <f>IF(B93="","",C93*('入力・概要'!$E$11*1E-9))</f>
        <v/>
      </c>
      <c r="F93" s="195">
        <f>IF(B93="","",SINH(2*D93)/(COSH(2*D93)+COS(2*E93)))</f>
        <v/>
      </c>
      <c r="G93" s="195">
        <f>IF(B93="","",SIN(2*E93)/(COSH(2*D93)+COS(2*E93)))</f>
        <v/>
      </c>
      <c r="H93" s="195">
        <f>IF(B93="","",ATANH(MIN(0.999999,'入力・概要'!$E$21/'入力・概要'!$E$15))+'入力・概要'!$B$21*SQRT(B93/1E6)+I93*'入力・概要'!$B$16/2)</f>
        <v/>
      </c>
      <c r="I93" s="195">
        <f>IF(B93="","",C93*('入力・概要'!$E$17*1E-9))</f>
        <v/>
      </c>
      <c r="J93" s="195">
        <f>IF(B93="","",SINH(2*H93)/(COSH(2*H93)+COS(2*I93)))</f>
        <v/>
      </c>
      <c r="K93" s="195">
        <f>IF(B93="","",SIN(2*I93)/(COSH(2*H93)+COS(2*I93)))</f>
        <v/>
      </c>
      <c r="L93" s="195">
        <f>IF(B93="","",'入力・概要'!$B$25)</f>
        <v/>
      </c>
      <c r="M93" s="195">
        <f>IF(B93="","",C93*'入力・概要'!$B$26*1E-9-1/(C93*'入力・概要'!$B$24*1E-6))</f>
        <v/>
      </c>
      <c r="N93" s="195">
        <f>IF(B93="","",'入力・概要'!$B$28)</f>
        <v/>
      </c>
      <c r="O93" s="195">
        <f>IF(B93="","",C93*'入力・概要'!$B$29*1E-9-1/(C93*'入力・概要'!$B$27*1E-6))</f>
        <v/>
      </c>
      <c r="P93" s="195">
        <f>IF(B93="","",((L93*N93-M93*O93)*(L93+N93)+(L93*O93+M93*N93)*(M93+O93))/((L93+N93)^2+(M93+O93)^2))</f>
        <v/>
      </c>
      <c r="Q93" s="195">
        <f>IF(B93="","",((L93*O93+M93*N93)*(L93+N93)-(L93*N93-M93*O93)*(M93+O93))/((L93+N93)^2+(M93+O93)^2))</f>
        <v/>
      </c>
      <c r="R93" s="195">
        <f>IF(B93="","",'入力・概要'!$E$15*J93)</f>
        <v/>
      </c>
      <c r="S93" s="195">
        <f>IF(B93="","",'入力・概要'!$E$15*K93)</f>
        <v/>
      </c>
      <c r="T93" s="195">
        <f>IF(B93="","",P93+R93)</f>
        <v/>
      </c>
      <c r="U93" s="195">
        <f>IF(B93="","",Q93+S93)</f>
        <v/>
      </c>
      <c r="V93" s="195">
        <f>IF(B93="","",T93+'入力・概要'!$E$9*F93)</f>
        <v/>
      </c>
      <c r="W93" s="195">
        <f>IF(B93="","",U93+'入力・概要'!$E$9*G93)</f>
        <v/>
      </c>
      <c r="X93" s="195">
        <f>IF(B93="","",'入力・概要'!$E$9+T93*F93-U93*G93)</f>
        <v/>
      </c>
      <c r="Y93" s="195">
        <f>IF(B93="","",T93*G93+U93*F93)</f>
        <v/>
      </c>
      <c r="Z93" s="195">
        <f>IF(B93="","",'入力・概要'!$E$9*(V93*X93+W93*Y93)/(X93^2+Y93^2)+'入力・概要'!$B$36)</f>
        <v/>
      </c>
      <c r="AA93" s="195">
        <f>IF(B93="","",'入力・概要'!$E$9*(W93*X93-V93*Y93)/(X93^2+Y93^2)+C93*'入力・概要'!$B$37*1E-9)</f>
        <v/>
      </c>
      <c r="AB93" s="195">
        <f>IF(B93="","",SQRT(Z93^2+AA93^2))</f>
        <v/>
      </c>
      <c r="AC93" s="195">
        <f>IF(B93="","",IF(Z93&gt;0,DEGREES(ATAN(AA93/Z93)),IF(Z93&lt;0,IF(AA93&gt;=0,DEGREES(ATAN(AA93/Z93))+180,DEGREES(ATAN(AA93/Z93))-180),IF(AA93&gt;0,90,IF(AA93&lt;0,-90,0)))))</f>
        <v/>
      </c>
      <c r="AD93" s="195">
        <f>IF(B93="","",LOG10(B93))</f>
        <v/>
      </c>
      <c r="AE93" s="195">
        <f>IF(AB93="","",LOG10(MAX(AB93,1E-12)))</f>
        <v/>
      </c>
      <c r="AF93" s="195">
        <f>IF(B93="","",SQRT(P93^2+Q93^2))</f>
        <v/>
      </c>
      <c r="AG93" s="195">
        <f>IF(B93="","",SQRT(R93^2+S93^2))</f>
        <v/>
      </c>
    </row>
    <row r="94">
      <c r="A94" t="n">
        <v>91</v>
      </c>
      <c r="B94" s="196">
        <f>IF(A94&lt;='入力・概要'!$B$40,10^(LOG10('入力・概要'!$B$38)+(A94-1)*(LOG10('入力・概要'!$B$39)-LOG10('入力・概要'!$B$38))/('入力・概要'!$B$40-1)),"")</f>
        <v/>
      </c>
      <c r="C94" s="195">
        <f>IF(B94="","",2*PI()*B94)</f>
        <v/>
      </c>
      <c r="D94" s="195">
        <f>IF(B94="","",ATANH(MIN(0.999999,'入力・概要'!$E$20/'入力・概要'!$E$9))+'入力・概要'!$B$20*SQRT(B94/1E6)+E94*'入力・概要'!$B$15/2)</f>
        <v/>
      </c>
      <c r="E94" s="195">
        <f>IF(B94="","",C94*('入力・概要'!$E$11*1E-9))</f>
        <v/>
      </c>
      <c r="F94" s="195">
        <f>IF(B94="","",SINH(2*D94)/(COSH(2*D94)+COS(2*E94)))</f>
        <v/>
      </c>
      <c r="G94" s="195">
        <f>IF(B94="","",SIN(2*E94)/(COSH(2*D94)+COS(2*E94)))</f>
        <v/>
      </c>
      <c r="H94" s="195">
        <f>IF(B94="","",ATANH(MIN(0.999999,'入力・概要'!$E$21/'入力・概要'!$E$15))+'入力・概要'!$B$21*SQRT(B94/1E6)+I94*'入力・概要'!$B$16/2)</f>
        <v/>
      </c>
      <c r="I94" s="195">
        <f>IF(B94="","",C94*('入力・概要'!$E$17*1E-9))</f>
        <v/>
      </c>
      <c r="J94" s="195">
        <f>IF(B94="","",SINH(2*H94)/(COSH(2*H94)+COS(2*I94)))</f>
        <v/>
      </c>
      <c r="K94" s="195">
        <f>IF(B94="","",SIN(2*I94)/(COSH(2*H94)+COS(2*I94)))</f>
        <v/>
      </c>
      <c r="L94" s="195">
        <f>IF(B94="","",'入力・概要'!$B$25)</f>
        <v/>
      </c>
      <c r="M94" s="195">
        <f>IF(B94="","",C94*'入力・概要'!$B$26*1E-9-1/(C94*'入力・概要'!$B$24*1E-6))</f>
        <v/>
      </c>
      <c r="N94" s="195">
        <f>IF(B94="","",'入力・概要'!$B$28)</f>
        <v/>
      </c>
      <c r="O94" s="195">
        <f>IF(B94="","",C94*'入力・概要'!$B$29*1E-9-1/(C94*'入力・概要'!$B$27*1E-6))</f>
        <v/>
      </c>
      <c r="P94" s="195">
        <f>IF(B94="","",((L94*N94-M94*O94)*(L94+N94)+(L94*O94+M94*N94)*(M94+O94))/((L94+N94)^2+(M94+O94)^2))</f>
        <v/>
      </c>
      <c r="Q94" s="195">
        <f>IF(B94="","",((L94*O94+M94*N94)*(L94+N94)-(L94*N94-M94*O94)*(M94+O94))/((L94+N94)^2+(M94+O94)^2))</f>
        <v/>
      </c>
      <c r="R94" s="195">
        <f>IF(B94="","",'入力・概要'!$E$15*J94)</f>
        <v/>
      </c>
      <c r="S94" s="195">
        <f>IF(B94="","",'入力・概要'!$E$15*K94)</f>
        <v/>
      </c>
      <c r="T94" s="195">
        <f>IF(B94="","",P94+R94)</f>
        <v/>
      </c>
      <c r="U94" s="195">
        <f>IF(B94="","",Q94+S94)</f>
        <v/>
      </c>
      <c r="V94" s="195">
        <f>IF(B94="","",T94+'入力・概要'!$E$9*F94)</f>
        <v/>
      </c>
      <c r="W94" s="195">
        <f>IF(B94="","",U94+'入力・概要'!$E$9*G94)</f>
        <v/>
      </c>
      <c r="X94" s="195">
        <f>IF(B94="","",'入力・概要'!$E$9+T94*F94-U94*G94)</f>
        <v/>
      </c>
      <c r="Y94" s="195">
        <f>IF(B94="","",T94*G94+U94*F94)</f>
        <v/>
      </c>
      <c r="Z94" s="195">
        <f>IF(B94="","",'入力・概要'!$E$9*(V94*X94+W94*Y94)/(X94^2+Y94^2)+'入力・概要'!$B$36)</f>
        <v/>
      </c>
      <c r="AA94" s="195">
        <f>IF(B94="","",'入力・概要'!$E$9*(W94*X94-V94*Y94)/(X94^2+Y94^2)+C94*'入力・概要'!$B$37*1E-9)</f>
        <v/>
      </c>
      <c r="AB94" s="195">
        <f>IF(B94="","",SQRT(Z94^2+AA94^2))</f>
        <v/>
      </c>
      <c r="AC94" s="195">
        <f>IF(B94="","",IF(Z94&gt;0,DEGREES(ATAN(AA94/Z94)),IF(Z94&lt;0,IF(AA94&gt;=0,DEGREES(ATAN(AA94/Z94))+180,DEGREES(ATAN(AA94/Z94))-180),IF(AA94&gt;0,90,IF(AA94&lt;0,-90,0)))))</f>
        <v/>
      </c>
      <c r="AD94" s="195">
        <f>IF(B94="","",LOG10(B94))</f>
        <v/>
      </c>
      <c r="AE94" s="195">
        <f>IF(AB94="","",LOG10(MAX(AB94,1E-12)))</f>
        <v/>
      </c>
      <c r="AF94" s="195">
        <f>IF(B94="","",SQRT(P94^2+Q94^2))</f>
        <v/>
      </c>
      <c r="AG94" s="195">
        <f>IF(B94="","",SQRT(R94^2+S94^2))</f>
        <v/>
      </c>
    </row>
    <row r="95">
      <c r="A95" t="n">
        <v>92</v>
      </c>
      <c r="B95" s="196">
        <f>IF(A95&lt;='入力・概要'!$B$40,10^(LOG10('入力・概要'!$B$38)+(A95-1)*(LOG10('入力・概要'!$B$39)-LOG10('入力・概要'!$B$38))/('入力・概要'!$B$40-1)),"")</f>
        <v/>
      </c>
      <c r="C95" s="195">
        <f>IF(B95="","",2*PI()*B95)</f>
        <v/>
      </c>
      <c r="D95" s="195">
        <f>IF(B95="","",ATANH(MIN(0.999999,'入力・概要'!$E$20/'入力・概要'!$E$9))+'入力・概要'!$B$20*SQRT(B95/1E6)+E95*'入力・概要'!$B$15/2)</f>
        <v/>
      </c>
      <c r="E95" s="195">
        <f>IF(B95="","",C95*('入力・概要'!$E$11*1E-9))</f>
        <v/>
      </c>
      <c r="F95" s="195">
        <f>IF(B95="","",SINH(2*D95)/(COSH(2*D95)+COS(2*E95)))</f>
        <v/>
      </c>
      <c r="G95" s="195">
        <f>IF(B95="","",SIN(2*E95)/(COSH(2*D95)+COS(2*E95)))</f>
        <v/>
      </c>
      <c r="H95" s="195">
        <f>IF(B95="","",ATANH(MIN(0.999999,'入力・概要'!$E$21/'入力・概要'!$E$15))+'入力・概要'!$B$21*SQRT(B95/1E6)+I95*'入力・概要'!$B$16/2)</f>
        <v/>
      </c>
      <c r="I95" s="195">
        <f>IF(B95="","",C95*('入力・概要'!$E$17*1E-9))</f>
        <v/>
      </c>
      <c r="J95" s="195">
        <f>IF(B95="","",SINH(2*H95)/(COSH(2*H95)+COS(2*I95)))</f>
        <v/>
      </c>
      <c r="K95" s="195">
        <f>IF(B95="","",SIN(2*I95)/(COSH(2*H95)+COS(2*I95)))</f>
        <v/>
      </c>
      <c r="L95" s="195">
        <f>IF(B95="","",'入力・概要'!$B$25)</f>
        <v/>
      </c>
      <c r="M95" s="195">
        <f>IF(B95="","",C95*'入力・概要'!$B$26*1E-9-1/(C95*'入力・概要'!$B$24*1E-6))</f>
        <v/>
      </c>
      <c r="N95" s="195">
        <f>IF(B95="","",'入力・概要'!$B$28)</f>
        <v/>
      </c>
      <c r="O95" s="195">
        <f>IF(B95="","",C95*'入力・概要'!$B$29*1E-9-1/(C95*'入力・概要'!$B$27*1E-6))</f>
        <v/>
      </c>
      <c r="P95" s="195">
        <f>IF(B95="","",((L95*N95-M95*O95)*(L95+N95)+(L95*O95+M95*N95)*(M95+O95))/((L95+N95)^2+(M95+O95)^2))</f>
        <v/>
      </c>
      <c r="Q95" s="195">
        <f>IF(B95="","",((L95*O95+M95*N95)*(L95+N95)-(L95*N95-M95*O95)*(M95+O95))/((L95+N95)^2+(M95+O95)^2))</f>
        <v/>
      </c>
      <c r="R95" s="195">
        <f>IF(B95="","",'入力・概要'!$E$15*J95)</f>
        <v/>
      </c>
      <c r="S95" s="195">
        <f>IF(B95="","",'入力・概要'!$E$15*K95)</f>
        <v/>
      </c>
      <c r="T95" s="195">
        <f>IF(B95="","",P95+R95)</f>
        <v/>
      </c>
      <c r="U95" s="195">
        <f>IF(B95="","",Q95+S95)</f>
        <v/>
      </c>
      <c r="V95" s="195">
        <f>IF(B95="","",T95+'入力・概要'!$E$9*F95)</f>
        <v/>
      </c>
      <c r="W95" s="195">
        <f>IF(B95="","",U95+'入力・概要'!$E$9*G95)</f>
        <v/>
      </c>
      <c r="X95" s="195">
        <f>IF(B95="","",'入力・概要'!$E$9+T95*F95-U95*G95)</f>
        <v/>
      </c>
      <c r="Y95" s="195">
        <f>IF(B95="","",T95*G95+U95*F95)</f>
        <v/>
      </c>
      <c r="Z95" s="195">
        <f>IF(B95="","",'入力・概要'!$E$9*(V95*X95+W95*Y95)/(X95^2+Y95^2)+'入力・概要'!$B$36)</f>
        <v/>
      </c>
      <c r="AA95" s="195">
        <f>IF(B95="","",'入力・概要'!$E$9*(W95*X95-V95*Y95)/(X95^2+Y95^2)+C95*'入力・概要'!$B$37*1E-9)</f>
        <v/>
      </c>
      <c r="AB95" s="195">
        <f>IF(B95="","",SQRT(Z95^2+AA95^2))</f>
        <v/>
      </c>
      <c r="AC95" s="195">
        <f>IF(B95="","",IF(Z95&gt;0,DEGREES(ATAN(AA95/Z95)),IF(Z95&lt;0,IF(AA95&gt;=0,DEGREES(ATAN(AA95/Z95))+180,DEGREES(ATAN(AA95/Z95))-180),IF(AA95&gt;0,90,IF(AA95&lt;0,-90,0)))))</f>
        <v/>
      </c>
      <c r="AD95" s="195">
        <f>IF(B95="","",LOG10(B95))</f>
        <v/>
      </c>
      <c r="AE95" s="195">
        <f>IF(AB95="","",LOG10(MAX(AB95,1E-12)))</f>
        <v/>
      </c>
      <c r="AF95" s="195">
        <f>IF(B95="","",SQRT(P95^2+Q95^2))</f>
        <v/>
      </c>
      <c r="AG95" s="195">
        <f>IF(B95="","",SQRT(R95^2+S95^2))</f>
        <v/>
      </c>
    </row>
    <row r="96">
      <c r="A96" t="n">
        <v>93</v>
      </c>
      <c r="B96" s="196">
        <f>IF(A96&lt;='入力・概要'!$B$40,10^(LOG10('入力・概要'!$B$38)+(A96-1)*(LOG10('入力・概要'!$B$39)-LOG10('入力・概要'!$B$38))/('入力・概要'!$B$40-1)),"")</f>
        <v/>
      </c>
      <c r="C96" s="195">
        <f>IF(B96="","",2*PI()*B96)</f>
        <v/>
      </c>
      <c r="D96" s="195">
        <f>IF(B96="","",ATANH(MIN(0.999999,'入力・概要'!$E$20/'入力・概要'!$E$9))+'入力・概要'!$B$20*SQRT(B96/1E6)+E96*'入力・概要'!$B$15/2)</f>
        <v/>
      </c>
      <c r="E96" s="195">
        <f>IF(B96="","",C96*('入力・概要'!$E$11*1E-9))</f>
        <v/>
      </c>
      <c r="F96" s="195">
        <f>IF(B96="","",SINH(2*D96)/(COSH(2*D96)+COS(2*E96)))</f>
        <v/>
      </c>
      <c r="G96" s="195">
        <f>IF(B96="","",SIN(2*E96)/(COSH(2*D96)+COS(2*E96)))</f>
        <v/>
      </c>
      <c r="H96" s="195">
        <f>IF(B96="","",ATANH(MIN(0.999999,'入力・概要'!$E$21/'入力・概要'!$E$15))+'入力・概要'!$B$21*SQRT(B96/1E6)+I96*'入力・概要'!$B$16/2)</f>
        <v/>
      </c>
      <c r="I96" s="195">
        <f>IF(B96="","",C96*('入力・概要'!$E$17*1E-9))</f>
        <v/>
      </c>
      <c r="J96" s="195">
        <f>IF(B96="","",SINH(2*H96)/(COSH(2*H96)+COS(2*I96)))</f>
        <v/>
      </c>
      <c r="K96" s="195">
        <f>IF(B96="","",SIN(2*I96)/(COSH(2*H96)+COS(2*I96)))</f>
        <v/>
      </c>
      <c r="L96" s="195">
        <f>IF(B96="","",'入力・概要'!$B$25)</f>
        <v/>
      </c>
      <c r="M96" s="195">
        <f>IF(B96="","",C96*'入力・概要'!$B$26*1E-9-1/(C96*'入力・概要'!$B$24*1E-6))</f>
        <v/>
      </c>
      <c r="N96" s="195">
        <f>IF(B96="","",'入力・概要'!$B$28)</f>
        <v/>
      </c>
      <c r="O96" s="195">
        <f>IF(B96="","",C96*'入力・概要'!$B$29*1E-9-1/(C96*'入力・概要'!$B$27*1E-6))</f>
        <v/>
      </c>
      <c r="P96" s="195">
        <f>IF(B96="","",((L96*N96-M96*O96)*(L96+N96)+(L96*O96+M96*N96)*(M96+O96))/((L96+N96)^2+(M96+O96)^2))</f>
        <v/>
      </c>
      <c r="Q96" s="195">
        <f>IF(B96="","",((L96*O96+M96*N96)*(L96+N96)-(L96*N96-M96*O96)*(M96+O96))/((L96+N96)^2+(M96+O96)^2))</f>
        <v/>
      </c>
      <c r="R96" s="195">
        <f>IF(B96="","",'入力・概要'!$E$15*J96)</f>
        <v/>
      </c>
      <c r="S96" s="195">
        <f>IF(B96="","",'入力・概要'!$E$15*K96)</f>
        <v/>
      </c>
      <c r="T96" s="195">
        <f>IF(B96="","",P96+R96)</f>
        <v/>
      </c>
      <c r="U96" s="195">
        <f>IF(B96="","",Q96+S96)</f>
        <v/>
      </c>
      <c r="V96" s="195">
        <f>IF(B96="","",T96+'入力・概要'!$E$9*F96)</f>
        <v/>
      </c>
      <c r="W96" s="195">
        <f>IF(B96="","",U96+'入力・概要'!$E$9*G96)</f>
        <v/>
      </c>
      <c r="X96" s="195">
        <f>IF(B96="","",'入力・概要'!$E$9+T96*F96-U96*G96)</f>
        <v/>
      </c>
      <c r="Y96" s="195">
        <f>IF(B96="","",T96*G96+U96*F96)</f>
        <v/>
      </c>
      <c r="Z96" s="195">
        <f>IF(B96="","",'入力・概要'!$E$9*(V96*X96+W96*Y96)/(X96^2+Y96^2)+'入力・概要'!$B$36)</f>
        <v/>
      </c>
      <c r="AA96" s="195">
        <f>IF(B96="","",'入力・概要'!$E$9*(W96*X96-V96*Y96)/(X96^2+Y96^2)+C96*'入力・概要'!$B$37*1E-9)</f>
        <v/>
      </c>
      <c r="AB96" s="195">
        <f>IF(B96="","",SQRT(Z96^2+AA96^2))</f>
        <v/>
      </c>
      <c r="AC96" s="195">
        <f>IF(B96="","",IF(Z96&gt;0,DEGREES(ATAN(AA96/Z96)),IF(Z96&lt;0,IF(AA96&gt;=0,DEGREES(ATAN(AA96/Z96))+180,DEGREES(ATAN(AA96/Z96))-180),IF(AA96&gt;0,90,IF(AA96&lt;0,-90,0)))))</f>
        <v/>
      </c>
      <c r="AD96" s="195">
        <f>IF(B96="","",LOG10(B96))</f>
        <v/>
      </c>
      <c r="AE96" s="195">
        <f>IF(AB96="","",LOG10(MAX(AB96,1E-12)))</f>
        <v/>
      </c>
      <c r="AF96" s="195">
        <f>IF(B96="","",SQRT(P96^2+Q96^2))</f>
        <v/>
      </c>
      <c r="AG96" s="195">
        <f>IF(B96="","",SQRT(R96^2+S96^2))</f>
        <v/>
      </c>
    </row>
    <row r="97">
      <c r="A97" t="n">
        <v>94</v>
      </c>
      <c r="B97" s="196">
        <f>IF(A97&lt;='入力・概要'!$B$40,10^(LOG10('入力・概要'!$B$38)+(A97-1)*(LOG10('入力・概要'!$B$39)-LOG10('入力・概要'!$B$38))/('入力・概要'!$B$40-1)),"")</f>
        <v/>
      </c>
      <c r="C97" s="195">
        <f>IF(B97="","",2*PI()*B97)</f>
        <v/>
      </c>
      <c r="D97" s="195">
        <f>IF(B97="","",ATANH(MIN(0.999999,'入力・概要'!$E$20/'入力・概要'!$E$9))+'入力・概要'!$B$20*SQRT(B97/1E6)+E97*'入力・概要'!$B$15/2)</f>
        <v/>
      </c>
      <c r="E97" s="195">
        <f>IF(B97="","",C97*('入力・概要'!$E$11*1E-9))</f>
        <v/>
      </c>
      <c r="F97" s="195">
        <f>IF(B97="","",SINH(2*D97)/(COSH(2*D97)+COS(2*E97)))</f>
        <v/>
      </c>
      <c r="G97" s="195">
        <f>IF(B97="","",SIN(2*E97)/(COSH(2*D97)+COS(2*E97)))</f>
        <v/>
      </c>
      <c r="H97" s="195">
        <f>IF(B97="","",ATANH(MIN(0.999999,'入力・概要'!$E$21/'入力・概要'!$E$15))+'入力・概要'!$B$21*SQRT(B97/1E6)+I97*'入力・概要'!$B$16/2)</f>
        <v/>
      </c>
      <c r="I97" s="195">
        <f>IF(B97="","",C97*('入力・概要'!$E$17*1E-9))</f>
        <v/>
      </c>
      <c r="J97" s="195">
        <f>IF(B97="","",SINH(2*H97)/(COSH(2*H97)+COS(2*I97)))</f>
        <v/>
      </c>
      <c r="K97" s="195">
        <f>IF(B97="","",SIN(2*I97)/(COSH(2*H97)+COS(2*I97)))</f>
        <v/>
      </c>
      <c r="L97" s="195">
        <f>IF(B97="","",'入力・概要'!$B$25)</f>
        <v/>
      </c>
      <c r="M97" s="195">
        <f>IF(B97="","",C97*'入力・概要'!$B$26*1E-9-1/(C97*'入力・概要'!$B$24*1E-6))</f>
        <v/>
      </c>
      <c r="N97" s="195">
        <f>IF(B97="","",'入力・概要'!$B$28)</f>
        <v/>
      </c>
      <c r="O97" s="195">
        <f>IF(B97="","",C97*'入力・概要'!$B$29*1E-9-1/(C97*'入力・概要'!$B$27*1E-6))</f>
        <v/>
      </c>
      <c r="P97" s="195">
        <f>IF(B97="","",((L97*N97-M97*O97)*(L97+N97)+(L97*O97+M97*N97)*(M97+O97))/((L97+N97)^2+(M97+O97)^2))</f>
        <v/>
      </c>
      <c r="Q97" s="195">
        <f>IF(B97="","",((L97*O97+M97*N97)*(L97+N97)-(L97*N97-M97*O97)*(M97+O97))/((L97+N97)^2+(M97+O97)^2))</f>
        <v/>
      </c>
      <c r="R97" s="195">
        <f>IF(B97="","",'入力・概要'!$E$15*J97)</f>
        <v/>
      </c>
      <c r="S97" s="195">
        <f>IF(B97="","",'入力・概要'!$E$15*K97)</f>
        <v/>
      </c>
      <c r="T97" s="195">
        <f>IF(B97="","",P97+R97)</f>
        <v/>
      </c>
      <c r="U97" s="195">
        <f>IF(B97="","",Q97+S97)</f>
        <v/>
      </c>
      <c r="V97" s="195">
        <f>IF(B97="","",T97+'入力・概要'!$E$9*F97)</f>
        <v/>
      </c>
      <c r="W97" s="195">
        <f>IF(B97="","",U97+'入力・概要'!$E$9*G97)</f>
        <v/>
      </c>
      <c r="X97" s="195">
        <f>IF(B97="","",'入力・概要'!$E$9+T97*F97-U97*G97)</f>
        <v/>
      </c>
      <c r="Y97" s="195">
        <f>IF(B97="","",T97*G97+U97*F97)</f>
        <v/>
      </c>
      <c r="Z97" s="195">
        <f>IF(B97="","",'入力・概要'!$E$9*(V97*X97+W97*Y97)/(X97^2+Y97^2)+'入力・概要'!$B$36)</f>
        <v/>
      </c>
      <c r="AA97" s="195">
        <f>IF(B97="","",'入力・概要'!$E$9*(W97*X97-V97*Y97)/(X97^2+Y97^2)+C97*'入力・概要'!$B$37*1E-9)</f>
        <v/>
      </c>
      <c r="AB97" s="195">
        <f>IF(B97="","",SQRT(Z97^2+AA97^2))</f>
        <v/>
      </c>
      <c r="AC97" s="195">
        <f>IF(B97="","",IF(Z97&gt;0,DEGREES(ATAN(AA97/Z97)),IF(Z97&lt;0,IF(AA97&gt;=0,DEGREES(ATAN(AA97/Z97))+180,DEGREES(ATAN(AA97/Z97))-180),IF(AA97&gt;0,90,IF(AA97&lt;0,-90,0)))))</f>
        <v/>
      </c>
      <c r="AD97" s="195">
        <f>IF(B97="","",LOG10(B97))</f>
        <v/>
      </c>
      <c r="AE97" s="195">
        <f>IF(AB97="","",LOG10(MAX(AB97,1E-12)))</f>
        <v/>
      </c>
      <c r="AF97" s="195">
        <f>IF(B97="","",SQRT(P97^2+Q97^2))</f>
        <v/>
      </c>
      <c r="AG97" s="195">
        <f>IF(B97="","",SQRT(R97^2+S97^2))</f>
        <v/>
      </c>
    </row>
    <row r="98">
      <c r="A98" t="n">
        <v>95</v>
      </c>
      <c r="B98" s="196">
        <f>IF(A98&lt;='入力・概要'!$B$40,10^(LOG10('入力・概要'!$B$38)+(A98-1)*(LOG10('入力・概要'!$B$39)-LOG10('入力・概要'!$B$38))/('入力・概要'!$B$40-1)),"")</f>
        <v/>
      </c>
      <c r="C98" s="195">
        <f>IF(B98="","",2*PI()*B98)</f>
        <v/>
      </c>
      <c r="D98" s="195">
        <f>IF(B98="","",ATANH(MIN(0.999999,'入力・概要'!$E$20/'入力・概要'!$E$9))+'入力・概要'!$B$20*SQRT(B98/1E6)+E98*'入力・概要'!$B$15/2)</f>
        <v/>
      </c>
      <c r="E98" s="195">
        <f>IF(B98="","",C98*('入力・概要'!$E$11*1E-9))</f>
        <v/>
      </c>
      <c r="F98" s="195">
        <f>IF(B98="","",SINH(2*D98)/(COSH(2*D98)+COS(2*E98)))</f>
        <v/>
      </c>
      <c r="G98" s="195">
        <f>IF(B98="","",SIN(2*E98)/(COSH(2*D98)+COS(2*E98)))</f>
        <v/>
      </c>
      <c r="H98" s="195">
        <f>IF(B98="","",ATANH(MIN(0.999999,'入力・概要'!$E$21/'入力・概要'!$E$15))+'入力・概要'!$B$21*SQRT(B98/1E6)+I98*'入力・概要'!$B$16/2)</f>
        <v/>
      </c>
      <c r="I98" s="195">
        <f>IF(B98="","",C98*('入力・概要'!$E$17*1E-9))</f>
        <v/>
      </c>
      <c r="J98" s="195">
        <f>IF(B98="","",SINH(2*H98)/(COSH(2*H98)+COS(2*I98)))</f>
        <v/>
      </c>
      <c r="K98" s="195">
        <f>IF(B98="","",SIN(2*I98)/(COSH(2*H98)+COS(2*I98)))</f>
        <v/>
      </c>
      <c r="L98" s="195">
        <f>IF(B98="","",'入力・概要'!$B$25)</f>
        <v/>
      </c>
      <c r="M98" s="195">
        <f>IF(B98="","",C98*'入力・概要'!$B$26*1E-9-1/(C98*'入力・概要'!$B$24*1E-6))</f>
        <v/>
      </c>
      <c r="N98" s="195">
        <f>IF(B98="","",'入力・概要'!$B$28)</f>
        <v/>
      </c>
      <c r="O98" s="195">
        <f>IF(B98="","",C98*'入力・概要'!$B$29*1E-9-1/(C98*'入力・概要'!$B$27*1E-6))</f>
        <v/>
      </c>
      <c r="P98" s="195">
        <f>IF(B98="","",((L98*N98-M98*O98)*(L98+N98)+(L98*O98+M98*N98)*(M98+O98))/((L98+N98)^2+(M98+O98)^2))</f>
        <v/>
      </c>
      <c r="Q98" s="195">
        <f>IF(B98="","",((L98*O98+M98*N98)*(L98+N98)-(L98*N98-M98*O98)*(M98+O98))/((L98+N98)^2+(M98+O98)^2))</f>
        <v/>
      </c>
      <c r="R98" s="195">
        <f>IF(B98="","",'入力・概要'!$E$15*J98)</f>
        <v/>
      </c>
      <c r="S98" s="195">
        <f>IF(B98="","",'入力・概要'!$E$15*K98)</f>
        <v/>
      </c>
      <c r="T98" s="195">
        <f>IF(B98="","",P98+R98)</f>
        <v/>
      </c>
      <c r="U98" s="195">
        <f>IF(B98="","",Q98+S98)</f>
        <v/>
      </c>
      <c r="V98" s="195">
        <f>IF(B98="","",T98+'入力・概要'!$E$9*F98)</f>
        <v/>
      </c>
      <c r="W98" s="195">
        <f>IF(B98="","",U98+'入力・概要'!$E$9*G98)</f>
        <v/>
      </c>
      <c r="X98" s="195">
        <f>IF(B98="","",'入力・概要'!$E$9+T98*F98-U98*G98)</f>
        <v/>
      </c>
      <c r="Y98" s="195">
        <f>IF(B98="","",T98*G98+U98*F98)</f>
        <v/>
      </c>
      <c r="Z98" s="195">
        <f>IF(B98="","",'入力・概要'!$E$9*(V98*X98+W98*Y98)/(X98^2+Y98^2)+'入力・概要'!$B$36)</f>
        <v/>
      </c>
      <c r="AA98" s="195">
        <f>IF(B98="","",'入力・概要'!$E$9*(W98*X98-V98*Y98)/(X98^2+Y98^2)+C98*'入力・概要'!$B$37*1E-9)</f>
        <v/>
      </c>
      <c r="AB98" s="195">
        <f>IF(B98="","",SQRT(Z98^2+AA98^2))</f>
        <v/>
      </c>
      <c r="AC98" s="195">
        <f>IF(B98="","",IF(Z98&gt;0,DEGREES(ATAN(AA98/Z98)),IF(Z98&lt;0,IF(AA98&gt;=0,DEGREES(ATAN(AA98/Z98))+180,DEGREES(ATAN(AA98/Z98))-180),IF(AA98&gt;0,90,IF(AA98&lt;0,-90,0)))))</f>
        <v/>
      </c>
      <c r="AD98" s="195">
        <f>IF(B98="","",LOG10(B98))</f>
        <v/>
      </c>
      <c r="AE98" s="195">
        <f>IF(AB98="","",LOG10(MAX(AB98,1E-12)))</f>
        <v/>
      </c>
      <c r="AF98" s="195">
        <f>IF(B98="","",SQRT(P98^2+Q98^2))</f>
        <v/>
      </c>
      <c r="AG98" s="195">
        <f>IF(B98="","",SQRT(R98^2+S98^2))</f>
        <v/>
      </c>
    </row>
    <row r="99">
      <c r="A99" t="n">
        <v>96</v>
      </c>
      <c r="B99" s="196">
        <f>IF(A99&lt;='入力・概要'!$B$40,10^(LOG10('入力・概要'!$B$38)+(A99-1)*(LOG10('入力・概要'!$B$39)-LOG10('入力・概要'!$B$38))/('入力・概要'!$B$40-1)),"")</f>
        <v/>
      </c>
      <c r="C99" s="195">
        <f>IF(B99="","",2*PI()*B99)</f>
        <v/>
      </c>
      <c r="D99" s="195">
        <f>IF(B99="","",ATANH(MIN(0.999999,'入力・概要'!$E$20/'入力・概要'!$E$9))+'入力・概要'!$B$20*SQRT(B99/1E6)+E99*'入力・概要'!$B$15/2)</f>
        <v/>
      </c>
      <c r="E99" s="195">
        <f>IF(B99="","",C99*('入力・概要'!$E$11*1E-9))</f>
        <v/>
      </c>
      <c r="F99" s="195">
        <f>IF(B99="","",SINH(2*D99)/(COSH(2*D99)+COS(2*E99)))</f>
        <v/>
      </c>
      <c r="G99" s="195">
        <f>IF(B99="","",SIN(2*E99)/(COSH(2*D99)+COS(2*E99)))</f>
        <v/>
      </c>
      <c r="H99" s="195">
        <f>IF(B99="","",ATANH(MIN(0.999999,'入力・概要'!$E$21/'入力・概要'!$E$15))+'入力・概要'!$B$21*SQRT(B99/1E6)+I99*'入力・概要'!$B$16/2)</f>
        <v/>
      </c>
      <c r="I99" s="195">
        <f>IF(B99="","",C99*('入力・概要'!$E$17*1E-9))</f>
        <v/>
      </c>
      <c r="J99" s="195">
        <f>IF(B99="","",SINH(2*H99)/(COSH(2*H99)+COS(2*I99)))</f>
        <v/>
      </c>
      <c r="K99" s="195">
        <f>IF(B99="","",SIN(2*I99)/(COSH(2*H99)+COS(2*I99)))</f>
        <v/>
      </c>
      <c r="L99" s="195">
        <f>IF(B99="","",'入力・概要'!$B$25)</f>
        <v/>
      </c>
      <c r="M99" s="195">
        <f>IF(B99="","",C99*'入力・概要'!$B$26*1E-9-1/(C99*'入力・概要'!$B$24*1E-6))</f>
        <v/>
      </c>
      <c r="N99" s="195">
        <f>IF(B99="","",'入力・概要'!$B$28)</f>
        <v/>
      </c>
      <c r="O99" s="195">
        <f>IF(B99="","",C99*'入力・概要'!$B$29*1E-9-1/(C99*'入力・概要'!$B$27*1E-6))</f>
        <v/>
      </c>
      <c r="P99" s="195">
        <f>IF(B99="","",((L99*N99-M99*O99)*(L99+N99)+(L99*O99+M99*N99)*(M99+O99))/((L99+N99)^2+(M99+O99)^2))</f>
        <v/>
      </c>
      <c r="Q99" s="195">
        <f>IF(B99="","",((L99*O99+M99*N99)*(L99+N99)-(L99*N99-M99*O99)*(M99+O99))/((L99+N99)^2+(M99+O99)^2))</f>
        <v/>
      </c>
      <c r="R99" s="195">
        <f>IF(B99="","",'入力・概要'!$E$15*J99)</f>
        <v/>
      </c>
      <c r="S99" s="195">
        <f>IF(B99="","",'入力・概要'!$E$15*K99)</f>
        <v/>
      </c>
      <c r="T99" s="195">
        <f>IF(B99="","",P99+R99)</f>
        <v/>
      </c>
      <c r="U99" s="195">
        <f>IF(B99="","",Q99+S99)</f>
        <v/>
      </c>
      <c r="V99" s="195">
        <f>IF(B99="","",T99+'入力・概要'!$E$9*F99)</f>
        <v/>
      </c>
      <c r="W99" s="195">
        <f>IF(B99="","",U99+'入力・概要'!$E$9*G99)</f>
        <v/>
      </c>
      <c r="X99" s="195">
        <f>IF(B99="","",'入力・概要'!$E$9+T99*F99-U99*G99)</f>
        <v/>
      </c>
      <c r="Y99" s="195">
        <f>IF(B99="","",T99*G99+U99*F99)</f>
        <v/>
      </c>
      <c r="Z99" s="195">
        <f>IF(B99="","",'入力・概要'!$E$9*(V99*X99+W99*Y99)/(X99^2+Y99^2)+'入力・概要'!$B$36)</f>
        <v/>
      </c>
      <c r="AA99" s="195">
        <f>IF(B99="","",'入力・概要'!$E$9*(W99*X99-V99*Y99)/(X99^2+Y99^2)+C99*'入力・概要'!$B$37*1E-9)</f>
        <v/>
      </c>
      <c r="AB99" s="195">
        <f>IF(B99="","",SQRT(Z99^2+AA99^2))</f>
        <v/>
      </c>
      <c r="AC99" s="195">
        <f>IF(B99="","",IF(Z99&gt;0,DEGREES(ATAN(AA99/Z99)),IF(Z99&lt;0,IF(AA99&gt;=0,DEGREES(ATAN(AA99/Z99))+180,DEGREES(ATAN(AA99/Z99))-180),IF(AA99&gt;0,90,IF(AA99&lt;0,-90,0)))))</f>
        <v/>
      </c>
      <c r="AD99" s="195">
        <f>IF(B99="","",LOG10(B99))</f>
        <v/>
      </c>
      <c r="AE99" s="195">
        <f>IF(AB99="","",LOG10(MAX(AB99,1E-12)))</f>
        <v/>
      </c>
      <c r="AF99" s="195">
        <f>IF(B99="","",SQRT(P99^2+Q99^2))</f>
        <v/>
      </c>
      <c r="AG99" s="195">
        <f>IF(B99="","",SQRT(R99^2+S99^2))</f>
        <v/>
      </c>
    </row>
    <row r="100">
      <c r="A100" t="n">
        <v>97</v>
      </c>
      <c r="B100" s="196">
        <f>IF(A100&lt;='入力・概要'!$B$40,10^(LOG10('入力・概要'!$B$38)+(A100-1)*(LOG10('入力・概要'!$B$39)-LOG10('入力・概要'!$B$38))/('入力・概要'!$B$40-1)),"")</f>
        <v/>
      </c>
      <c r="C100" s="195">
        <f>IF(B100="","",2*PI()*B100)</f>
        <v/>
      </c>
      <c r="D100" s="195">
        <f>IF(B100="","",ATANH(MIN(0.999999,'入力・概要'!$E$20/'入力・概要'!$E$9))+'入力・概要'!$B$20*SQRT(B100/1E6)+E100*'入力・概要'!$B$15/2)</f>
        <v/>
      </c>
      <c r="E100" s="195">
        <f>IF(B100="","",C100*('入力・概要'!$E$11*1E-9))</f>
        <v/>
      </c>
      <c r="F100" s="195">
        <f>IF(B100="","",SINH(2*D100)/(COSH(2*D100)+COS(2*E100)))</f>
        <v/>
      </c>
      <c r="G100" s="195">
        <f>IF(B100="","",SIN(2*E100)/(COSH(2*D100)+COS(2*E100)))</f>
        <v/>
      </c>
      <c r="H100" s="195">
        <f>IF(B100="","",ATANH(MIN(0.999999,'入力・概要'!$E$21/'入力・概要'!$E$15))+'入力・概要'!$B$21*SQRT(B100/1E6)+I100*'入力・概要'!$B$16/2)</f>
        <v/>
      </c>
      <c r="I100" s="195">
        <f>IF(B100="","",C100*('入力・概要'!$E$17*1E-9))</f>
        <v/>
      </c>
      <c r="J100" s="195">
        <f>IF(B100="","",SINH(2*H100)/(COSH(2*H100)+COS(2*I100)))</f>
        <v/>
      </c>
      <c r="K100" s="195">
        <f>IF(B100="","",SIN(2*I100)/(COSH(2*H100)+COS(2*I100)))</f>
        <v/>
      </c>
      <c r="L100" s="195">
        <f>IF(B100="","",'入力・概要'!$B$25)</f>
        <v/>
      </c>
      <c r="M100" s="195">
        <f>IF(B100="","",C100*'入力・概要'!$B$26*1E-9-1/(C100*'入力・概要'!$B$24*1E-6))</f>
        <v/>
      </c>
      <c r="N100" s="195">
        <f>IF(B100="","",'入力・概要'!$B$28)</f>
        <v/>
      </c>
      <c r="O100" s="195">
        <f>IF(B100="","",C100*'入力・概要'!$B$29*1E-9-1/(C100*'入力・概要'!$B$27*1E-6))</f>
        <v/>
      </c>
      <c r="P100" s="195">
        <f>IF(B100="","",((L100*N100-M100*O100)*(L100+N100)+(L100*O100+M100*N100)*(M100+O100))/((L100+N100)^2+(M100+O100)^2))</f>
        <v/>
      </c>
      <c r="Q100" s="195">
        <f>IF(B100="","",((L100*O100+M100*N100)*(L100+N100)-(L100*N100-M100*O100)*(M100+O100))/((L100+N100)^2+(M100+O100)^2))</f>
        <v/>
      </c>
      <c r="R100" s="195">
        <f>IF(B100="","",'入力・概要'!$E$15*J100)</f>
        <v/>
      </c>
      <c r="S100" s="195">
        <f>IF(B100="","",'入力・概要'!$E$15*K100)</f>
        <v/>
      </c>
      <c r="T100" s="195">
        <f>IF(B100="","",P100+R100)</f>
        <v/>
      </c>
      <c r="U100" s="195">
        <f>IF(B100="","",Q100+S100)</f>
        <v/>
      </c>
      <c r="V100" s="195">
        <f>IF(B100="","",T100+'入力・概要'!$E$9*F100)</f>
        <v/>
      </c>
      <c r="W100" s="195">
        <f>IF(B100="","",U100+'入力・概要'!$E$9*G100)</f>
        <v/>
      </c>
      <c r="X100" s="195">
        <f>IF(B100="","",'入力・概要'!$E$9+T100*F100-U100*G100)</f>
        <v/>
      </c>
      <c r="Y100" s="195">
        <f>IF(B100="","",T100*G100+U100*F100)</f>
        <v/>
      </c>
      <c r="Z100" s="195">
        <f>IF(B100="","",'入力・概要'!$E$9*(V100*X100+W100*Y100)/(X100^2+Y100^2)+'入力・概要'!$B$36)</f>
        <v/>
      </c>
      <c r="AA100" s="195">
        <f>IF(B100="","",'入力・概要'!$E$9*(W100*X100-V100*Y100)/(X100^2+Y100^2)+C100*'入力・概要'!$B$37*1E-9)</f>
        <v/>
      </c>
      <c r="AB100" s="195">
        <f>IF(B100="","",SQRT(Z100^2+AA100^2))</f>
        <v/>
      </c>
      <c r="AC100" s="195">
        <f>IF(B100="","",IF(Z100&gt;0,DEGREES(ATAN(AA100/Z100)),IF(Z100&lt;0,IF(AA100&gt;=0,DEGREES(ATAN(AA100/Z100))+180,DEGREES(ATAN(AA100/Z100))-180),IF(AA100&gt;0,90,IF(AA100&lt;0,-90,0)))))</f>
        <v/>
      </c>
      <c r="AD100" s="195">
        <f>IF(B100="","",LOG10(B100))</f>
        <v/>
      </c>
      <c r="AE100" s="195">
        <f>IF(AB100="","",LOG10(MAX(AB100,1E-12)))</f>
        <v/>
      </c>
      <c r="AF100" s="195">
        <f>IF(B100="","",SQRT(P100^2+Q100^2))</f>
        <v/>
      </c>
      <c r="AG100" s="195">
        <f>IF(B100="","",SQRT(R100^2+S100^2))</f>
        <v/>
      </c>
    </row>
    <row r="101">
      <c r="A101" t="n">
        <v>98</v>
      </c>
      <c r="B101" s="196">
        <f>IF(A101&lt;='入力・概要'!$B$40,10^(LOG10('入力・概要'!$B$38)+(A101-1)*(LOG10('入力・概要'!$B$39)-LOG10('入力・概要'!$B$38))/('入力・概要'!$B$40-1)),"")</f>
        <v/>
      </c>
      <c r="C101" s="195">
        <f>IF(B101="","",2*PI()*B101)</f>
        <v/>
      </c>
      <c r="D101" s="195">
        <f>IF(B101="","",ATANH(MIN(0.999999,'入力・概要'!$E$20/'入力・概要'!$E$9))+'入力・概要'!$B$20*SQRT(B101/1E6)+E101*'入力・概要'!$B$15/2)</f>
        <v/>
      </c>
      <c r="E101" s="195">
        <f>IF(B101="","",C101*('入力・概要'!$E$11*1E-9))</f>
        <v/>
      </c>
      <c r="F101" s="195">
        <f>IF(B101="","",SINH(2*D101)/(COSH(2*D101)+COS(2*E101)))</f>
        <v/>
      </c>
      <c r="G101" s="195">
        <f>IF(B101="","",SIN(2*E101)/(COSH(2*D101)+COS(2*E101)))</f>
        <v/>
      </c>
      <c r="H101" s="195">
        <f>IF(B101="","",ATANH(MIN(0.999999,'入力・概要'!$E$21/'入力・概要'!$E$15))+'入力・概要'!$B$21*SQRT(B101/1E6)+I101*'入力・概要'!$B$16/2)</f>
        <v/>
      </c>
      <c r="I101" s="195">
        <f>IF(B101="","",C101*('入力・概要'!$E$17*1E-9))</f>
        <v/>
      </c>
      <c r="J101" s="195">
        <f>IF(B101="","",SINH(2*H101)/(COSH(2*H101)+COS(2*I101)))</f>
        <v/>
      </c>
      <c r="K101" s="195">
        <f>IF(B101="","",SIN(2*I101)/(COSH(2*H101)+COS(2*I101)))</f>
        <v/>
      </c>
      <c r="L101" s="195">
        <f>IF(B101="","",'入力・概要'!$B$25)</f>
        <v/>
      </c>
      <c r="M101" s="195">
        <f>IF(B101="","",C101*'入力・概要'!$B$26*1E-9-1/(C101*'入力・概要'!$B$24*1E-6))</f>
        <v/>
      </c>
      <c r="N101" s="195">
        <f>IF(B101="","",'入力・概要'!$B$28)</f>
        <v/>
      </c>
      <c r="O101" s="195">
        <f>IF(B101="","",C101*'入力・概要'!$B$29*1E-9-1/(C101*'入力・概要'!$B$27*1E-6))</f>
        <v/>
      </c>
      <c r="P101" s="195">
        <f>IF(B101="","",((L101*N101-M101*O101)*(L101+N101)+(L101*O101+M101*N101)*(M101+O101))/((L101+N101)^2+(M101+O101)^2))</f>
        <v/>
      </c>
      <c r="Q101" s="195">
        <f>IF(B101="","",((L101*O101+M101*N101)*(L101+N101)-(L101*N101-M101*O101)*(M101+O101))/((L101+N101)^2+(M101+O101)^2))</f>
        <v/>
      </c>
      <c r="R101" s="195">
        <f>IF(B101="","",'入力・概要'!$E$15*J101)</f>
        <v/>
      </c>
      <c r="S101" s="195">
        <f>IF(B101="","",'入力・概要'!$E$15*K101)</f>
        <v/>
      </c>
      <c r="T101" s="195">
        <f>IF(B101="","",P101+R101)</f>
        <v/>
      </c>
      <c r="U101" s="195">
        <f>IF(B101="","",Q101+S101)</f>
        <v/>
      </c>
      <c r="V101" s="195">
        <f>IF(B101="","",T101+'入力・概要'!$E$9*F101)</f>
        <v/>
      </c>
      <c r="W101" s="195">
        <f>IF(B101="","",U101+'入力・概要'!$E$9*G101)</f>
        <v/>
      </c>
      <c r="X101" s="195">
        <f>IF(B101="","",'入力・概要'!$E$9+T101*F101-U101*G101)</f>
        <v/>
      </c>
      <c r="Y101" s="195">
        <f>IF(B101="","",T101*G101+U101*F101)</f>
        <v/>
      </c>
      <c r="Z101" s="195">
        <f>IF(B101="","",'入力・概要'!$E$9*(V101*X101+W101*Y101)/(X101^2+Y101^2)+'入力・概要'!$B$36)</f>
        <v/>
      </c>
      <c r="AA101" s="195">
        <f>IF(B101="","",'入力・概要'!$E$9*(W101*X101-V101*Y101)/(X101^2+Y101^2)+C101*'入力・概要'!$B$37*1E-9)</f>
        <v/>
      </c>
      <c r="AB101" s="195">
        <f>IF(B101="","",SQRT(Z101^2+AA101^2))</f>
        <v/>
      </c>
      <c r="AC101" s="195">
        <f>IF(B101="","",IF(Z101&gt;0,DEGREES(ATAN(AA101/Z101)),IF(Z101&lt;0,IF(AA101&gt;=0,DEGREES(ATAN(AA101/Z101))+180,DEGREES(ATAN(AA101/Z101))-180),IF(AA101&gt;0,90,IF(AA101&lt;0,-90,0)))))</f>
        <v/>
      </c>
      <c r="AD101" s="195">
        <f>IF(B101="","",LOG10(B101))</f>
        <v/>
      </c>
      <c r="AE101" s="195">
        <f>IF(AB101="","",LOG10(MAX(AB101,1E-12)))</f>
        <v/>
      </c>
      <c r="AF101" s="195">
        <f>IF(B101="","",SQRT(P101^2+Q101^2))</f>
        <v/>
      </c>
      <c r="AG101" s="195">
        <f>IF(B101="","",SQRT(R101^2+S101^2))</f>
        <v/>
      </c>
    </row>
    <row r="102">
      <c r="A102" t="n">
        <v>99</v>
      </c>
      <c r="B102" s="196">
        <f>IF(A102&lt;='入力・概要'!$B$40,10^(LOG10('入力・概要'!$B$38)+(A102-1)*(LOG10('入力・概要'!$B$39)-LOG10('入力・概要'!$B$38))/('入力・概要'!$B$40-1)),"")</f>
        <v/>
      </c>
      <c r="C102" s="195">
        <f>IF(B102="","",2*PI()*B102)</f>
        <v/>
      </c>
      <c r="D102" s="195">
        <f>IF(B102="","",ATANH(MIN(0.999999,'入力・概要'!$E$20/'入力・概要'!$E$9))+'入力・概要'!$B$20*SQRT(B102/1E6)+E102*'入力・概要'!$B$15/2)</f>
        <v/>
      </c>
      <c r="E102" s="195">
        <f>IF(B102="","",C102*('入力・概要'!$E$11*1E-9))</f>
        <v/>
      </c>
      <c r="F102" s="195">
        <f>IF(B102="","",SINH(2*D102)/(COSH(2*D102)+COS(2*E102)))</f>
        <v/>
      </c>
      <c r="G102" s="195">
        <f>IF(B102="","",SIN(2*E102)/(COSH(2*D102)+COS(2*E102)))</f>
        <v/>
      </c>
      <c r="H102" s="195">
        <f>IF(B102="","",ATANH(MIN(0.999999,'入力・概要'!$E$21/'入力・概要'!$E$15))+'入力・概要'!$B$21*SQRT(B102/1E6)+I102*'入力・概要'!$B$16/2)</f>
        <v/>
      </c>
      <c r="I102" s="195">
        <f>IF(B102="","",C102*('入力・概要'!$E$17*1E-9))</f>
        <v/>
      </c>
      <c r="J102" s="195">
        <f>IF(B102="","",SINH(2*H102)/(COSH(2*H102)+COS(2*I102)))</f>
        <v/>
      </c>
      <c r="K102" s="195">
        <f>IF(B102="","",SIN(2*I102)/(COSH(2*H102)+COS(2*I102)))</f>
        <v/>
      </c>
      <c r="L102" s="195">
        <f>IF(B102="","",'入力・概要'!$B$25)</f>
        <v/>
      </c>
      <c r="M102" s="195">
        <f>IF(B102="","",C102*'入力・概要'!$B$26*1E-9-1/(C102*'入力・概要'!$B$24*1E-6))</f>
        <v/>
      </c>
      <c r="N102" s="195">
        <f>IF(B102="","",'入力・概要'!$B$28)</f>
        <v/>
      </c>
      <c r="O102" s="195">
        <f>IF(B102="","",C102*'入力・概要'!$B$29*1E-9-1/(C102*'入力・概要'!$B$27*1E-6))</f>
        <v/>
      </c>
      <c r="P102" s="195">
        <f>IF(B102="","",((L102*N102-M102*O102)*(L102+N102)+(L102*O102+M102*N102)*(M102+O102))/((L102+N102)^2+(M102+O102)^2))</f>
        <v/>
      </c>
      <c r="Q102" s="195">
        <f>IF(B102="","",((L102*O102+M102*N102)*(L102+N102)-(L102*N102-M102*O102)*(M102+O102))/((L102+N102)^2+(M102+O102)^2))</f>
        <v/>
      </c>
      <c r="R102" s="195">
        <f>IF(B102="","",'入力・概要'!$E$15*J102)</f>
        <v/>
      </c>
      <c r="S102" s="195">
        <f>IF(B102="","",'入力・概要'!$E$15*K102)</f>
        <v/>
      </c>
      <c r="T102" s="195">
        <f>IF(B102="","",P102+R102)</f>
        <v/>
      </c>
      <c r="U102" s="195">
        <f>IF(B102="","",Q102+S102)</f>
        <v/>
      </c>
      <c r="V102" s="195">
        <f>IF(B102="","",T102+'入力・概要'!$E$9*F102)</f>
        <v/>
      </c>
      <c r="W102" s="195">
        <f>IF(B102="","",U102+'入力・概要'!$E$9*G102)</f>
        <v/>
      </c>
      <c r="X102" s="195">
        <f>IF(B102="","",'入力・概要'!$E$9+T102*F102-U102*G102)</f>
        <v/>
      </c>
      <c r="Y102" s="195">
        <f>IF(B102="","",T102*G102+U102*F102)</f>
        <v/>
      </c>
      <c r="Z102" s="195">
        <f>IF(B102="","",'入力・概要'!$E$9*(V102*X102+W102*Y102)/(X102^2+Y102^2)+'入力・概要'!$B$36)</f>
        <v/>
      </c>
      <c r="AA102" s="195">
        <f>IF(B102="","",'入力・概要'!$E$9*(W102*X102-V102*Y102)/(X102^2+Y102^2)+C102*'入力・概要'!$B$37*1E-9)</f>
        <v/>
      </c>
      <c r="AB102" s="195">
        <f>IF(B102="","",SQRT(Z102^2+AA102^2))</f>
        <v/>
      </c>
      <c r="AC102" s="195">
        <f>IF(B102="","",IF(Z102&gt;0,DEGREES(ATAN(AA102/Z102)),IF(Z102&lt;0,IF(AA102&gt;=0,DEGREES(ATAN(AA102/Z102))+180,DEGREES(ATAN(AA102/Z102))-180),IF(AA102&gt;0,90,IF(AA102&lt;0,-90,0)))))</f>
        <v/>
      </c>
      <c r="AD102" s="195">
        <f>IF(B102="","",LOG10(B102))</f>
        <v/>
      </c>
      <c r="AE102" s="195">
        <f>IF(AB102="","",LOG10(MAX(AB102,1E-12)))</f>
        <v/>
      </c>
      <c r="AF102" s="195">
        <f>IF(B102="","",SQRT(P102^2+Q102^2))</f>
        <v/>
      </c>
      <c r="AG102" s="195">
        <f>IF(B102="","",SQRT(R102^2+S102^2))</f>
        <v/>
      </c>
    </row>
    <row r="103">
      <c r="A103" t="n">
        <v>100</v>
      </c>
      <c r="B103" s="196">
        <f>IF(A103&lt;='入力・概要'!$B$40,10^(LOG10('入力・概要'!$B$38)+(A103-1)*(LOG10('入力・概要'!$B$39)-LOG10('入力・概要'!$B$38))/('入力・概要'!$B$40-1)),"")</f>
        <v/>
      </c>
      <c r="C103" s="195">
        <f>IF(B103="","",2*PI()*B103)</f>
        <v/>
      </c>
      <c r="D103" s="195">
        <f>IF(B103="","",ATANH(MIN(0.999999,'入力・概要'!$E$20/'入力・概要'!$E$9))+'入力・概要'!$B$20*SQRT(B103/1E6)+E103*'入力・概要'!$B$15/2)</f>
        <v/>
      </c>
      <c r="E103" s="195">
        <f>IF(B103="","",C103*('入力・概要'!$E$11*1E-9))</f>
        <v/>
      </c>
      <c r="F103" s="195">
        <f>IF(B103="","",SINH(2*D103)/(COSH(2*D103)+COS(2*E103)))</f>
        <v/>
      </c>
      <c r="G103" s="195">
        <f>IF(B103="","",SIN(2*E103)/(COSH(2*D103)+COS(2*E103)))</f>
        <v/>
      </c>
      <c r="H103" s="195">
        <f>IF(B103="","",ATANH(MIN(0.999999,'入力・概要'!$E$21/'入力・概要'!$E$15))+'入力・概要'!$B$21*SQRT(B103/1E6)+I103*'入力・概要'!$B$16/2)</f>
        <v/>
      </c>
      <c r="I103" s="195">
        <f>IF(B103="","",C103*('入力・概要'!$E$17*1E-9))</f>
        <v/>
      </c>
      <c r="J103" s="195">
        <f>IF(B103="","",SINH(2*H103)/(COSH(2*H103)+COS(2*I103)))</f>
        <v/>
      </c>
      <c r="K103" s="195">
        <f>IF(B103="","",SIN(2*I103)/(COSH(2*H103)+COS(2*I103)))</f>
        <v/>
      </c>
      <c r="L103" s="195">
        <f>IF(B103="","",'入力・概要'!$B$25)</f>
        <v/>
      </c>
      <c r="M103" s="195">
        <f>IF(B103="","",C103*'入力・概要'!$B$26*1E-9-1/(C103*'入力・概要'!$B$24*1E-6))</f>
        <v/>
      </c>
      <c r="N103" s="195">
        <f>IF(B103="","",'入力・概要'!$B$28)</f>
        <v/>
      </c>
      <c r="O103" s="195">
        <f>IF(B103="","",C103*'入力・概要'!$B$29*1E-9-1/(C103*'入力・概要'!$B$27*1E-6))</f>
        <v/>
      </c>
      <c r="P103" s="195">
        <f>IF(B103="","",((L103*N103-M103*O103)*(L103+N103)+(L103*O103+M103*N103)*(M103+O103))/((L103+N103)^2+(M103+O103)^2))</f>
        <v/>
      </c>
      <c r="Q103" s="195">
        <f>IF(B103="","",((L103*O103+M103*N103)*(L103+N103)-(L103*N103-M103*O103)*(M103+O103))/((L103+N103)^2+(M103+O103)^2))</f>
        <v/>
      </c>
      <c r="R103" s="195">
        <f>IF(B103="","",'入力・概要'!$E$15*J103)</f>
        <v/>
      </c>
      <c r="S103" s="195">
        <f>IF(B103="","",'入力・概要'!$E$15*K103)</f>
        <v/>
      </c>
      <c r="T103" s="195">
        <f>IF(B103="","",P103+R103)</f>
        <v/>
      </c>
      <c r="U103" s="195">
        <f>IF(B103="","",Q103+S103)</f>
        <v/>
      </c>
      <c r="V103" s="195">
        <f>IF(B103="","",T103+'入力・概要'!$E$9*F103)</f>
        <v/>
      </c>
      <c r="W103" s="195">
        <f>IF(B103="","",U103+'入力・概要'!$E$9*G103)</f>
        <v/>
      </c>
      <c r="X103" s="195">
        <f>IF(B103="","",'入力・概要'!$E$9+T103*F103-U103*G103)</f>
        <v/>
      </c>
      <c r="Y103" s="195">
        <f>IF(B103="","",T103*G103+U103*F103)</f>
        <v/>
      </c>
      <c r="Z103" s="195">
        <f>IF(B103="","",'入力・概要'!$E$9*(V103*X103+W103*Y103)/(X103^2+Y103^2)+'入力・概要'!$B$36)</f>
        <v/>
      </c>
      <c r="AA103" s="195">
        <f>IF(B103="","",'入力・概要'!$E$9*(W103*X103-V103*Y103)/(X103^2+Y103^2)+C103*'入力・概要'!$B$37*1E-9)</f>
        <v/>
      </c>
      <c r="AB103" s="195">
        <f>IF(B103="","",SQRT(Z103^2+AA103^2))</f>
        <v/>
      </c>
      <c r="AC103" s="195">
        <f>IF(B103="","",IF(Z103&gt;0,DEGREES(ATAN(AA103/Z103)),IF(Z103&lt;0,IF(AA103&gt;=0,DEGREES(ATAN(AA103/Z103))+180,DEGREES(ATAN(AA103/Z103))-180),IF(AA103&gt;0,90,IF(AA103&lt;0,-90,0)))))</f>
        <v/>
      </c>
      <c r="AD103" s="195">
        <f>IF(B103="","",LOG10(B103))</f>
        <v/>
      </c>
      <c r="AE103" s="195">
        <f>IF(AB103="","",LOG10(MAX(AB103,1E-12)))</f>
        <v/>
      </c>
      <c r="AF103" s="195">
        <f>IF(B103="","",SQRT(P103^2+Q103^2))</f>
        <v/>
      </c>
      <c r="AG103" s="195">
        <f>IF(B103="","",SQRT(R103^2+S103^2))</f>
        <v/>
      </c>
    </row>
    <row r="104">
      <c r="A104" t="n">
        <v>101</v>
      </c>
      <c r="B104" s="196">
        <f>IF(A104&lt;='入力・概要'!$B$40,10^(LOG10('入力・概要'!$B$38)+(A104-1)*(LOG10('入力・概要'!$B$39)-LOG10('入力・概要'!$B$38))/('入力・概要'!$B$40-1)),"")</f>
        <v/>
      </c>
      <c r="C104" s="195">
        <f>IF(B104="","",2*PI()*B104)</f>
        <v/>
      </c>
      <c r="D104" s="195">
        <f>IF(B104="","",ATANH(MIN(0.999999,'入力・概要'!$E$20/'入力・概要'!$E$9))+'入力・概要'!$B$20*SQRT(B104/1E6)+E104*'入力・概要'!$B$15/2)</f>
        <v/>
      </c>
      <c r="E104" s="195">
        <f>IF(B104="","",C104*('入力・概要'!$E$11*1E-9))</f>
        <v/>
      </c>
      <c r="F104" s="195">
        <f>IF(B104="","",SINH(2*D104)/(COSH(2*D104)+COS(2*E104)))</f>
        <v/>
      </c>
      <c r="G104" s="195">
        <f>IF(B104="","",SIN(2*E104)/(COSH(2*D104)+COS(2*E104)))</f>
        <v/>
      </c>
      <c r="H104" s="195">
        <f>IF(B104="","",ATANH(MIN(0.999999,'入力・概要'!$E$21/'入力・概要'!$E$15))+'入力・概要'!$B$21*SQRT(B104/1E6)+I104*'入力・概要'!$B$16/2)</f>
        <v/>
      </c>
      <c r="I104" s="195">
        <f>IF(B104="","",C104*('入力・概要'!$E$17*1E-9))</f>
        <v/>
      </c>
      <c r="J104" s="195">
        <f>IF(B104="","",SINH(2*H104)/(COSH(2*H104)+COS(2*I104)))</f>
        <v/>
      </c>
      <c r="K104" s="195">
        <f>IF(B104="","",SIN(2*I104)/(COSH(2*H104)+COS(2*I104)))</f>
        <v/>
      </c>
      <c r="L104" s="195">
        <f>IF(B104="","",'入力・概要'!$B$25)</f>
        <v/>
      </c>
      <c r="M104" s="195">
        <f>IF(B104="","",C104*'入力・概要'!$B$26*1E-9-1/(C104*'入力・概要'!$B$24*1E-6))</f>
        <v/>
      </c>
      <c r="N104" s="195">
        <f>IF(B104="","",'入力・概要'!$B$28)</f>
        <v/>
      </c>
      <c r="O104" s="195">
        <f>IF(B104="","",C104*'入力・概要'!$B$29*1E-9-1/(C104*'入力・概要'!$B$27*1E-6))</f>
        <v/>
      </c>
      <c r="P104" s="195">
        <f>IF(B104="","",((L104*N104-M104*O104)*(L104+N104)+(L104*O104+M104*N104)*(M104+O104))/((L104+N104)^2+(M104+O104)^2))</f>
        <v/>
      </c>
      <c r="Q104" s="195">
        <f>IF(B104="","",((L104*O104+M104*N104)*(L104+N104)-(L104*N104-M104*O104)*(M104+O104))/((L104+N104)^2+(M104+O104)^2))</f>
        <v/>
      </c>
      <c r="R104" s="195">
        <f>IF(B104="","",'入力・概要'!$E$15*J104)</f>
        <v/>
      </c>
      <c r="S104" s="195">
        <f>IF(B104="","",'入力・概要'!$E$15*K104)</f>
        <v/>
      </c>
      <c r="T104" s="195">
        <f>IF(B104="","",P104+R104)</f>
        <v/>
      </c>
      <c r="U104" s="195">
        <f>IF(B104="","",Q104+S104)</f>
        <v/>
      </c>
      <c r="V104" s="195">
        <f>IF(B104="","",T104+'入力・概要'!$E$9*F104)</f>
        <v/>
      </c>
      <c r="W104" s="195">
        <f>IF(B104="","",U104+'入力・概要'!$E$9*G104)</f>
        <v/>
      </c>
      <c r="X104" s="195">
        <f>IF(B104="","",'入力・概要'!$E$9+T104*F104-U104*G104)</f>
        <v/>
      </c>
      <c r="Y104" s="195">
        <f>IF(B104="","",T104*G104+U104*F104)</f>
        <v/>
      </c>
      <c r="Z104" s="195">
        <f>IF(B104="","",'入力・概要'!$E$9*(V104*X104+W104*Y104)/(X104^2+Y104^2)+'入力・概要'!$B$36)</f>
        <v/>
      </c>
      <c r="AA104" s="195">
        <f>IF(B104="","",'入力・概要'!$E$9*(W104*X104-V104*Y104)/(X104^2+Y104^2)+C104*'入力・概要'!$B$37*1E-9)</f>
        <v/>
      </c>
      <c r="AB104" s="195">
        <f>IF(B104="","",SQRT(Z104^2+AA104^2))</f>
        <v/>
      </c>
      <c r="AC104" s="195">
        <f>IF(B104="","",IF(Z104&gt;0,DEGREES(ATAN(AA104/Z104)),IF(Z104&lt;0,IF(AA104&gt;=0,DEGREES(ATAN(AA104/Z104))+180,DEGREES(ATAN(AA104/Z104))-180),IF(AA104&gt;0,90,IF(AA104&lt;0,-90,0)))))</f>
        <v/>
      </c>
      <c r="AD104" s="195">
        <f>IF(B104="","",LOG10(B104))</f>
        <v/>
      </c>
      <c r="AE104" s="195">
        <f>IF(AB104="","",LOG10(MAX(AB104,1E-12)))</f>
        <v/>
      </c>
      <c r="AF104" s="195">
        <f>IF(B104="","",SQRT(P104^2+Q104^2))</f>
        <v/>
      </c>
      <c r="AG104" s="195">
        <f>IF(B104="","",SQRT(R104^2+S104^2))</f>
        <v/>
      </c>
    </row>
    <row r="105">
      <c r="A105" t="n">
        <v>102</v>
      </c>
      <c r="B105" s="196">
        <f>IF(A105&lt;='入力・概要'!$B$40,10^(LOG10('入力・概要'!$B$38)+(A105-1)*(LOG10('入力・概要'!$B$39)-LOG10('入力・概要'!$B$38))/('入力・概要'!$B$40-1)),"")</f>
        <v/>
      </c>
      <c r="C105" s="195">
        <f>IF(B105="","",2*PI()*B105)</f>
        <v/>
      </c>
      <c r="D105" s="195">
        <f>IF(B105="","",ATANH(MIN(0.999999,'入力・概要'!$E$20/'入力・概要'!$E$9))+'入力・概要'!$B$20*SQRT(B105/1E6)+E105*'入力・概要'!$B$15/2)</f>
        <v/>
      </c>
      <c r="E105" s="195">
        <f>IF(B105="","",C105*('入力・概要'!$E$11*1E-9))</f>
        <v/>
      </c>
      <c r="F105" s="195">
        <f>IF(B105="","",SINH(2*D105)/(COSH(2*D105)+COS(2*E105)))</f>
        <v/>
      </c>
      <c r="G105" s="195">
        <f>IF(B105="","",SIN(2*E105)/(COSH(2*D105)+COS(2*E105)))</f>
        <v/>
      </c>
      <c r="H105" s="195">
        <f>IF(B105="","",ATANH(MIN(0.999999,'入力・概要'!$E$21/'入力・概要'!$E$15))+'入力・概要'!$B$21*SQRT(B105/1E6)+I105*'入力・概要'!$B$16/2)</f>
        <v/>
      </c>
      <c r="I105" s="195">
        <f>IF(B105="","",C105*('入力・概要'!$E$17*1E-9))</f>
        <v/>
      </c>
      <c r="J105" s="195">
        <f>IF(B105="","",SINH(2*H105)/(COSH(2*H105)+COS(2*I105)))</f>
        <v/>
      </c>
      <c r="K105" s="195">
        <f>IF(B105="","",SIN(2*I105)/(COSH(2*H105)+COS(2*I105)))</f>
        <v/>
      </c>
      <c r="L105" s="195">
        <f>IF(B105="","",'入力・概要'!$B$25)</f>
        <v/>
      </c>
      <c r="M105" s="195">
        <f>IF(B105="","",C105*'入力・概要'!$B$26*1E-9-1/(C105*'入力・概要'!$B$24*1E-6))</f>
        <v/>
      </c>
      <c r="N105" s="195">
        <f>IF(B105="","",'入力・概要'!$B$28)</f>
        <v/>
      </c>
      <c r="O105" s="195">
        <f>IF(B105="","",C105*'入力・概要'!$B$29*1E-9-1/(C105*'入力・概要'!$B$27*1E-6))</f>
        <v/>
      </c>
      <c r="P105" s="195">
        <f>IF(B105="","",((L105*N105-M105*O105)*(L105+N105)+(L105*O105+M105*N105)*(M105+O105))/((L105+N105)^2+(M105+O105)^2))</f>
        <v/>
      </c>
      <c r="Q105" s="195">
        <f>IF(B105="","",((L105*O105+M105*N105)*(L105+N105)-(L105*N105-M105*O105)*(M105+O105))/((L105+N105)^2+(M105+O105)^2))</f>
        <v/>
      </c>
      <c r="R105" s="195">
        <f>IF(B105="","",'入力・概要'!$E$15*J105)</f>
        <v/>
      </c>
      <c r="S105" s="195">
        <f>IF(B105="","",'入力・概要'!$E$15*K105)</f>
        <v/>
      </c>
      <c r="T105" s="195">
        <f>IF(B105="","",P105+R105)</f>
        <v/>
      </c>
      <c r="U105" s="195">
        <f>IF(B105="","",Q105+S105)</f>
        <v/>
      </c>
      <c r="V105" s="195">
        <f>IF(B105="","",T105+'入力・概要'!$E$9*F105)</f>
        <v/>
      </c>
      <c r="W105" s="195">
        <f>IF(B105="","",U105+'入力・概要'!$E$9*G105)</f>
        <v/>
      </c>
      <c r="X105" s="195">
        <f>IF(B105="","",'入力・概要'!$E$9+T105*F105-U105*G105)</f>
        <v/>
      </c>
      <c r="Y105" s="195">
        <f>IF(B105="","",T105*G105+U105*F105)</f>
        <v/>
      </c>
      <c r="Z105" s="195">
        <f>IF(B105="","",'入力・概要'!$E$9*(V105*X105+W105*Y105)/(X105^2+Y105^2)+'入力・概要'!$B$36)</f>
        <v/>
      </c>
      <c r="AA105" s="195">
        <f>IF(B105="","",'入力・概要'!$E$9*(W105*X105-V105*Y105)/(X105^2+Y105^2)+C105*'入力・概要'!$B$37*1E-9)</f>
        <v/>
      </c>
      <c r="AB105" s="195">
        <f>IF(B105="","",SQRT(Z105^2+AA105^2))</f>
        <v/>
      </c>
      <c r="AC105" s="195">
        <f>IF(B105="","",IF(Z105&gt;0,DEGREES(ATAN(AA105/Z105)),IF(Z105&lt;0,IF(AA105&gt;=0,DEGREES(ATAN(AA105/Z105))+180,DEGREES(ATAN(AA105/Z105))-180),IF(AA105&gt;0,90,IF(AA105&lt;0,-90,0)))))</f>
        <v/>
      </c>
      <c r="AD105" s="195">
        <f>IF(B105="","",LOG10(B105))</f>
        <v/>
      </c>
      <c r="AE105" s="195">
        <f>IF(AB105="","",LOG10(MAX(AB105,1E-12)))</f>
        <v/>
      </c>
      <c r="AF105" s="195">
        <f>IF(B105="","",SQRT(P105^2+Q105^2))</f>
        <v/>
      </c>
      <c r="AG105" s="195">
        <f>IF(B105="","",SQRT(R105^2+S105^2))</f>
        <v/>
      </c>
    </row>
    <row r="106">
      <c r="A106" t="n">
        <v>103</v>
      </c>
      <c r="B106" s="196">
        <f>IF(A106&lt;='入力・概要'!$B$40,10^(LOG10('入力・概要'!$B$38)+(A106-1)*(LOG10('入力・概要'!$B$39)-LOG10('入力・概要'!$B$38))/('入力・概要'!$B$40-1)),"")</f>
        <v/>
      </c>
      <c r="C106" s="195">
        <f>IF(B106="","",2*PI()*B106)</f>
        <v/>
      </c>
      <c r="D106" s="195">
        <f>IF(B106="","",ATANH(MIN(0.999999,'入力・概要'!$E$20/'入力・概要'!$E$9))+'入力・概要'!$B$20*SQRT(B106/1E6)+E106*'入力・概要'!$B$15/2)</f>
        <v/>
      </c>
      <c r="E106" s="195">
        <f>IF(B106="","",C106*('入力・概要'!$E$11*1E-9))</f>
        <v/>
      </c>
      <c r="F106" s="195">
        <f>IF(B106="","",SINH(2*D106)/(COSH(2*D106)+COS(2*E106)))</f>
        <v/>
      </c>
      <c r="G106" s="195">
        <f>IF(B106="","",SIN(2*E106)/(COSH(2*D106)+COS(2*E106)))</f>
        <v/>
      </c>
      <c r="H106" s="195">
        <f>IF(B106="","",ATANH(MIN(0.999999,'入力・概要'!$E$21/'入力・概要'!$E$15))+'入力・概要'!$B$21*SQRT(B106/1E6)+I106*'入力・概要'!$B$16/2)</f>
        <v/>
      </c>
      <c r="I106" s="195">
        <f>IF(B106="","",C106*('入力・概要'!$E$17*1E-9))</f>
        <v/>
      </c>
      <c r="J106" s="195">
        <f>IF(B106="","",SINH(2*H106)/(COSH(2*H106)+COS(2*I106)))</f>
        <v/>
      </c>
      <c r="K106" s="195">
        <f>IF(B106="","",SIN(2*I106)/(COSH(2*H106)+COS(2*I106)))</f>
        <v/>
      </c>
      <c r="L106" s="195">
        <f>IF(B106="","",'入力・概要'!$B$25)</f>
        <v/>
      </c>
      <c r="M106" s="195">
        <f>IF(B106="","",C106*'入力・概要'!$B$26*1E-9-1/(C106*'入力・概要'!$B$24*1E-6))</f>
        <v/>
      </c>
      <c r="N106" s="195">
        <f>IF(B106="","",'入力・概要'!$B$28)</f>
        <v/>
      </c>
      <c r="O106" s="195">
        <f>IF(B106="","",C106*'入力・概要'!$B$29*1E-9-1/(C106*'入力・概要'!$B$27*1E-6))</f>
        <v/>
      </c>
      <c r="P106" s="195">
        <f>IF(B106="","",((L106*N106-M106*O106)*(L106+N106)+(L106*O106+M106*N106)*(M106+O106))/((L106+N106)^2+(M106+O106)^2))</f>
        <v/>
      </c>
      <c r="Q106" s="195">
        <f>IF(B106="","",((L106*O106+M106*N106)*(L106+N106)-(L106*N106-M106*O106)*(M106+O106))/((L106+N106)^2+(M106+O106)^2))</f>
        <v/>
      </c>
      <c r="R106" s="195">
        <f>IF(B106="","",'入力・概要'!$E$15*J106)</f>
        <v/>
      </c>
      <c r="S106" s="195">
        <f>IF(B106="","",'入力・概要'!$E$15*K106)</f>
        <v/>
      </c>
      <c r="T106" s="195">
        <f>IF(B106="","",P106+R106)</f>
        <v/>
      </c>
      <c r="U106" s="195">
        <f>IF(B106="","",Q106+S106)</f>
        <v/>
      </c>
      <c r="V106" s="195">
        <f>IF(B106="","",T106+'入力・概要'!$E$9*F106)</f>
        <v/>
      </c>
      <c r="W106" s="195">
        <f>IF(B106="","",U106+'入力・概要'!$E$9*G106)</f>
        <v/>
      </c>
      <c r="X106" s="195">
        <f>IF(B106="","",'入力・概要'!$E$9+T106*F106-U106*G106)</f>
        <v/>
      </c>
      <c r="Y106" s="195">
        <f>IF(B106="","",T106*G106+U106*F106)</f>
        <v/>
      </c>
      <c r="Z106" s="195">
        <f>IF(B106="","",'入力・概要'!$E$9*(V106*X106+W106*Y106)/(X106^2+Y106^2)+'入力・概要'!$B$36)</f>
        <v/>
      </c>
      <c r="AA106" s="195">
        <f>IF(B106="","",'入力・概要'!$E$9*(W106*X106-V106*Y106)/(X106^2+Y106^2)+C106*'入力・概要'!$B$37*1E-9)</f>
        <v/>
      </c>
      <c r="AB106" s="195">
        <f>IF(B106="","",SQRT(Z106^2+AA106^2))</f>
        <v/>
      </c>
      <c r="AC106" s="195">
        <f>IF(B106="","",IF(Z106&gt;0,DEGREES(ATAN(AA106/Z106)),IF(Z106&lt;0,IF(AA106&gt;=0,DEGREES(ATAN(AA106/Z106))+180,DEGREES(ATAN(AA106/Z106))-180),IF(AA106&gt;0,90,IF(AA106&lt;0,-90,0)))))</f>
        <v/>
      </c>
      <c r="AD106" s="195">
        <f>IF(B106="","",LOG10(B106))</f>
        <v/>
      </c>
      <c r="AE106" s="195">
        <f>IF(AB106="","",LOG10(MAX(AB106,1E-12)))</f>
        <v/>
      </c>
      <c r="AF106" s="195">
        <f>IF(B106="","",SQRT(P106^2+Q106^2))</f>
        <v/>
      </c>
      <c r="AG106" s="195">
        <f>IF(B106="","",SQRT(R106^2+S106^2))</f>
        <v/>
      </c>
    </row>
    <row r="107">
      <c r="A107" t="n">
        <v>104</v>
      </c>
      <c r="B107" s="196">
        <f>IF(A107&lt;='入力・概要'!$B$40,10^(LOG10('入力・概要'!$B$38)+(A107-1)*(LOG10('入力・概要'!$B$39)-LOG10('入力・概要'!$B$38))/('入力・概要'!$B$40-1)),"")</f>
        <v/>
      </c>
      <c r="C107" s="195">
        <f>IF(B107="","",2*PI()*B107)</f>
        <v/>
      </c>
      <c r="D107" s="195">
        <f>IF(B107="","",ATANH(MIN(0.999999,'入力・概要'!$E$20/'入力・概要'!$E$9))+'入力・概要'!$B$20*SQRT(B107/1E6)+E107*'入力・概要'!$B$15/2)</f>
        <v/>
      </c>
      <c r="E107" s="195">
        <f>IF(B107="","",C107*('入力・概要'!$E$11*1E-9))</f>
        <v/>
      </c>
      <c r="F107" s="195">
        <f>IF(B107="","",SINH(2*D107)/(COSH(2*D107)+COS(2*E107)))</f>
        <v/>
      </c>
      <c r="G107" s="195">
        <f>IF(B107="","",SIN(2*E107)/(COSH(2*D107)+COS(2*E107)))</f>
        <v/>
      </c>
      <c r="H107" s="195">
        <f>IF(B107="","",ATANH(MIN(0.999999,'入力・概要'!$E$21/'入力・概要'!$E$15))+'入力・概要'!$B$21*SQRT(B107/1E6)+I107*'入力・概要'!$B$16/2)</f>
        <v/>
      </c>
      <c r="I107" s="195">
        <f>IF(B107="","",C107*('入力・概要'!$E$17*1E-9))</f>
        <v/>
      </c>
      <c r="J107" s="195">
        <f>IF(B107="","",SINH(2*H107)/(COSH(2*H107)+COS(2*I107)))</f>
        <v/>
      </c>
      <c r="K107" s="195">
        <f>IF(B107="","",SIN(2*I107)/(COSH(2*H107)+COS(2*I107)))</f>
        <v/>
      </c>
      <c r="L107" s="195">
        <f>IF(B107="","",'入力・概要'!$B$25)</f>
        <v/>
      </c>
      <c r="M107" s="195">
        <f>IF(B107="","",C107*'入力・概要'!$B$26*1E-9-1/(C107*'入力・概要'!$B$24*1E-6))</f>
        <v/>
      </c>
      <c r="N107" s="195">
        <f>IF(B107="","",'入力・概要'!$B$28)</f>
        <v/>
      </c>
      <c r="O107" s="195">
        <f>IF(B107="","",C107*'入力・概要'!$B$29*1E-9-1/(C107*'入力・概要'!$B$27*1E-6))</f>
        <v/>
      </c>
      <c r="P107" s="195">
        <f>IF(B107="","",((L107*N107-M107*O107)*(L107+N107)+(L107*O107+M107*N107)*(M107+O107))/((L107+N107)^2+(M107+O107)^2))</f>
        <v/>
      </c>
      <c r="Q107" s="195">
        <f>IF(B107="","",((L107*O107+M107*N107)*(L107+N107)-(L107*N107-M107*O107)*(M107+O107))/((L107+N107)^2+(M107+O107)^2))</f>
        <v/>
      </c>
      <c r="R107" s="195">
        <f>IF(B107="","",'入力・概要'!$E$15*J107)</f>
        <v/>
      </c>
      <c r="S107" s="195">
        <f>IF(B107="","",'入力・概要'!$E$15*K107)</f>
        <v/>
      </c>
      <c r="T107" s="195">
        <f>IF(B107="","",P107+R107)</f>
        <v/>
      </c>
      <c r="U107" s="195">
        <f>IF(B107="","",Q107+S107)</f>
        <v/>
      </c>
      <c r="V107" s="195">
        <f>IF(B107="","",T107+'入力・概要'!$E$9*F107)</f>
        <v/>
      </c>
      <c r="W107" s="195">
        <f>IF(B107="","",U107+'入力・概要'!$E$9*G107)</f>
        <v/>
      </c>
      <c r="X107" s="195">
        <f>IF(B107="","",'入力・概要'!$E$9+T107*F107-U107*G107)</f>
        <v/>
      </c>
      <c r="Y107" s="195">
        <f>IF(B107="","",T107*G107+U107*F107)</f>
        <v/>
      </c>
      <c r="Z107" s="195">
        <f>IF(B107="","",'入力・概要'!$E$9*(V107*X107+W107*Y107)/(X107^2+Y107^2)+'入力・概要'!$B$36)</f>
        <v/>
      </c>
      <c r="AA107" s="195">
        <f>IF(B107="","",'入力・概要'!$E$9*(W107*X107-V107*Y107)/(X107^2+Y107^2)+C107*'入力・概要'!$B$37*1E-9)</f>
        <v/>
      </c>
      <c r="AB107" s="195">
        <f>IF(B107="","",SQRT(Z107^2+AA107^2))</f>
        <v/>
      </c>
      <c r="AC107" s="195">
        <f>IF(B107="","",IF(Z107&gt;0,DEGREES(ATAN(AA107/Z107)),IF(Z107&lt;0,IF(AA107&gt;=0,DEGREES(ATAN(AA107/Z107))+180,DEGREES(ATAN(AA107/Z107))-180),IF(AA107&gt;0,90,IF(AA107&lt;0,-90,0)))))</f>
        <v/>
      </c>
      <c r="AD107" s="195">
        <f>IF(B107="","",LOG10(B107))</f>
        <v/>
      </c>
      <c r="AE107" s="195">
        <f>IF(AB107="","",LOG10(MAX(AB107,1E-12)))</f>
        <v/>
      </c>
      <c r="AF107" s="195">
        <f>IF(B107="","",SQRT(P107^2+Q107^2))</f>
        <v/>
      </c>
      <c r="AG107" s="195">
        <f>IF(B107="","",SQRT(R107^2+S107^2))</f>
        <v/>
      </c>
    </row>
    <row r="108">
      <c r="A108" t="n">
        <v>105</v>
      </c>
      <c r="B108" s="196">
        <f>IF(A108&lt;='入力・概要'!$B$40,10^(LOG10('入力・概要'!$B$38)+(A108-1)*(LOG10('入力・概要'!$B$39)-LOG10('入力・概要'!$B$38))/('入力・概要'!$B$40-1)),"")</f>
        <v/>
      </c>
      <c r="C108" s="195">
        <f>IF(B108="","",2*PI()*B108)</f>
        <v/>
      </c>
      <c r="D108" s="195">
        <f>IF(B108="","",ATANH(MIN(0.999999,'入力・概要'!$E$20/'入力・概要'!$E$9))+'入力・概要'!$B$20*SQRT(B108/1E6)+E108*'入力・概要'!$B$15/2)</f>
        <v/>
      </c>
      <c r="E108" s="195">
        <f>IF(B108="","",C108*('入力・概要'!$E$11*1E-9))</f>
        <v/>
      </c>
      <c r="F108" s="195">
        <f>IF(B108="","",SINH(2*D108)/(COSH(2*D108)+COS(2*E108)))</f>
        <v/>
      </c>
      <c r="G108" s="195">
        <f>IF(B108="","",SIN(2*E108)/(COSH(2*D108)+COS(2*E108)))</f>
        <v/>
      </c>
      <c r="H108" s="195">
        <f>IF(B108="","",ATANH(MIN(0.999999,'入力・概要'!$E$21/'入力・概要'!$E$15))+'入力・概要'!$B$21*SQRT(B108/1E6)+I108*'入力・概要'!$B$16/2)</f>
        <v/>
      </c>
      <c r="I108" s="195">
        <f>IF(B108="","",C108*('入力・概要'!$E$17*1E-9))</f>
        <v/>
      </c>
      <c r="J108" s="195">
        <f>IF(B108="","",SINH(2*H108)/(COSH(2*H108)+COS(2*I108)))</f>
        <v/>
      </c>
      <c r="K108" s="195">
        <f>IF(B108="","",SIN(2*I108)/(COSH(2*H108)+COS(2*I108)))</f>
        <v/>
      </c>
      <c r="L108" s="195">
        <f>IF(B108="","",'入力・概要'!$B$25)</f>
        <v/>
      </c>
      <c r="M108" s="195">
        <f>IF(B108="","",C108*'入力・概要'!$B$26*1E-9-1/(C108*'入力・概要'!$B$24*1E-6))</f>
        <v/>
      </c>
      <c r="N108" s="195">
        <f>IF(B108="","",'入力・概要'!$B$28)</f>
        <v/>
      </c>
      <c r="O108" s="195">
        <f>IF(B108="","",C108*'入力・概要'!$B$29*1E-9-1/(C108*'入力・概要'!$B$27*1E-6))</f>
        <v/>
      </c>
      <c r="P108" s="195">
        <f>IF(B108="","",((L108*N108-M108*O108)*(L108+N108)+(L108*O108+M108*N108)*(M108+O108))/((L108+N108)^2+(M108+O108)^2))</f>
        <v/>
      </c>
      <c r="Q108" s="195">
        <f>IF(B108="","",((L108*O108+M108*N108)*(L108+N108)-(L108*N108-M108*O108)*(M108+O108))/((L108+N108)^2+(M108+O108)^2))</f>
        <v/>
      </c>
      <c r="R108" s="195">
        <f>IF(B108="","",'入力・概要'!$E$15*J108)</f>
        <v/>
      </c>
      <c r="S108" s="195">
        <f>IF(B108="","",'入力・概要'!$E$15*K108)</f>
        <v/>
      </c>
      <c r="T108" s="195">
        <f>IF(B108="","",P108+R108)</f>
        <v/>
      </c>
      <c r="U108" s="195">
        <f>IF(B108="","",Q108+S108)</f>
        <v/>
      </c>
      <c r="V108" s="195">
        <f>IF(B108="","",T108+'入力・概要'!$E$9*F108)</f>
        <v/>
      </c>
      <c r="W108" s="195">
        <f>IF(B108="","",U108+'入力・概要'!$E$9*G108)</f>
        <v/>
      </c>
      <c r="X108" s="195">
        <f>IF(B108="","",'入力・概要'!$E$9+T108*F108-U108*G108)</f>
        <v/>
      </c>
      <c r="Y108" s="195">
        <f>IF(B108="","",T108*G108+U108*F108)</f>
        <v/>
      </c>
      <c r="Z108" s="195">
        <f>IF(B108="","",'入力・概要'!$E$9*(V108*X108+W108*Y108)/(X108^2+Y108^2)+'入力・概要'!$B$36)</f>
        <v/>
      </c>
      <c r="AA108" s="195">
        <f>IF(B108="","",'入力・概要'!$E$9*(W108*X108-V108*Y108)/(X108^2+Y108^2)+C108*'入力・概要'!$B$37*1E-9)</f>
        <v/>
      </c>
      <c r="AB108" s="195">
        <f>IF(B108="","",SQRT(Z108^2+AA108^2))</f>
        <v/>
      </c>
      <c r="AC108" s="195">
        <f>IF(B108="","",IF(Z108&gt;0,DEGREES(ATAN(AA108/Z108)),IF(Z108&lt;0,IF(AA108&gt;=0,DEGREES(ATAN(AA108/Z108))+180,DEGREES(ATAN(AA108/Z108))-180),IF(AA108&gt;0,90,IF(AA108&lt;0,-90,0)))))</f>
        <v/>
      </c>
      <c r="AD108" s="195">
        <f>IF(B108="","",LOG10(B108))</f>
        <v/>
      </c>
      <c r="AE108" s="195">
        <f>IF(AB108="","",LOG10(MAX(AB108,1E-12)))</f>
        <v/>
      </c>
      <c r="AF108" s="195">
        <f>IF(B108="","",SQRT(P108^2+Q108^2))</f>
        <v/>
      </c>
      <c r="AG108" s="195">
        <f>IF(B108="","",SQRT(R108^2+S108^2))</f>
        <v/>
      </c>
    </row>
    <row r="109">
      <c r="A109" t="n">
        <v>106</v>
      </c>
      <c r="B109" s="196">
        <f>IF(A109&lt;='入力・概要'!$B$40,10^(LOG10('入力・概要'!$B$38)+(A109-1)*(LOG10('入力・概要'!$B$39)-LOG10('入力・概要'!$B$38))/('入力・概要'!$B$40-1)),"")</f>
        <v/>
      </c>
      <c r="C109" s="195">
        <f>IF(B109="","",2*PI()*B109)</f>
        <v/>
      </c>
      <c r="D109" s="195">
        <f>IF(B109="","",ATANH(MIN(0.999999,'入力・概要'!$E$20/'入力・概要'!$E$9))+'入力・概要'!$B$20*SQRT(B109/1E6)+E109*'入力・概要'!$B$15/2)</f>
        <v/>
      </c>
      <c r="E109" s="195">
        <f>IF(B109="","",C109*('入力・概要'!$E$11*1E-9))</f>
        <v/>
      </c>
      <c r="F109" s="195">
        <f>IF(B109="","",SINH(2*D109)/(COSH(2*D109)+COS(2*E109)))</f>
        <v/>
      </c>
      <c r="G109" s="195">
        <f>IF(B109="","",SIN(2*E109)/(COSH(2*D109)+COS(2*E109)))</f>
        <v/>
      </c>
      <c r="H109" s="195">
        <f>IF(B109="","",ATANH(MIN(0.999999,'入力・概要'!$E$21/'入力・概要'!$E$15))+'入力・概要'!$B$21*SQRT(B109/1E6)+I109*'入力・概要'!$B$16/2)</f>
        <v/>
      </c>
      <c r="I109" s="195">
        <f>IF(B109="","",C109*('入力・概要'!$E$17*1E-9))</f>
        <v/>
      </c>
      <c r="J109" s="195">
        <f>IF(B109="","",SINH(2*H109)/(COSH(2*H109)+COS(2*I109)))</f>
        <v/>
      </c>
      <c r="K109" s="195">
        <f>IF(B109="","",SIN(2*I109)/(COSH(2*H109)+COS(2*I109)))</f>
        <v/>
      </c>
      <c r="L109" s="195">
        <f>IF(B109="","",'入力・概要'!$B$25)</f>
        <v/>
      </c>
      <c r="M109" s="195">
        <f>IF(B109="","",C109*'入力・概要'!$B$26*1E-9-1/(C109*'入力・概要'!$B$24*1E-6))</f>
        <v/>
      </c>
      <c r="N109" s="195">
        <f>IF(B109="","",'入力・概要'!$B$28)</f>
        <v/>
      </c>
      <c r="O109" s="195">
        <f>IF(B109="","",C109*'入力・概要'!$B$29*1E-9-1/(C109*'入力・概要'!$B$27*1E-6))</f>
        <v/>
      </c>
      <c r="P109" s="195">
        <f>IF(B109="","",((L109*N109-M109*O109)*(L109+N109)+(L109*O109+M109*N109)*(M109+O109))/((L109+N109)^2+(M109+O109)^2))</f>
        <v/>
      </c>
      <c r="Q109" s="195">
        <f>IF(B109="","",((L109*O109+M109*N109)*(L109+N109)-(L109*N109-M109*O109)*(M109+O109))/((L109+N109)^2+(M109+O109)^2))</f>
        <v/>
      </c>
      <c r="R109" s="195">
        <f>IF(B109="","",'入力・概要'!$E$15*J109)</f>
        <v/>
      </c>
      <c r="S109" s="195">
        <f>IF(B109="","",'入力・概要'!$E$15*K109)</f>
        <v/>
      </c>
      <c r="T109" s="195">
        <f>IF(B109="","",P109+R109)</f>
        <v/>
      </c>
      <c r="U109" s="195">
        <f>IF(B109="","",Q109+S109)</f>
        <v/>
      </c>
      <c r="V109" s="195">
        <f>IF(B109="","",T109+'入力・概要'!$E$9*F109)</f>
        <v/>
      </c>
      <c r="W109" s="195">
        <f>IF(B109="","",U109+'入力・概要'!$E$9*G109)</f>
        <v/>
      </c>
      <c r="X109" s="195">
        <f>IF(B109="","",'入力・概要'!$E$9+T109*F109-U109*G109)</f>
        <v/>
      </c>
      <c r="Y109" s="195">
        <f>IF(B109="","",T109*G109+U109*F109)</f>
        <v/>
      </c>
      <c r="Z109" s="195">
        <f>IF(B109="","",'入力・概要'!$E$9*(V109*X109+W109*Y109)/(X109^2+Y109^2)+'入力・概要'!$B$36)</f>
        <v/>
      </c>
      <c r="AA109" s="195">
        <f>IF(B109="","",'入力・概要'!$E$9*(W109*X109-V109*Y109)/(X109^2+Y109^2)+C109*'入力・概要'!$B$37*1E-9)</f>
        <v/>
      </c>
      <c r="AB109" s="195">
        <f>IF(B109="","",SQRT(Z109^2+AA109^2))</f>
        <v/>
      </c>
      <c r="AC109" s="195">
        <f>IF(B109="","",IF(Z109&gt;0,DEGREES(ATAN(AA109/Z109)),IF(Z109&lt;0,IF(AA109&gt;=0,DEGREES(ATAN(AA109/Z109))+180,DEGREES(ATAN(AA109/Z109))-180),IF(AA109&gt;0,90,IF(AA109&lt;0,-90,0)))))</f>
        <v/>
      </c>
      <c r="AD109" s="195">
        <f>IF(B109="","",LOG10(B109))</f>
        <v/>
      </c>
      <c r="AE109" s="195">
        <f>IF(AB109="","",LOG10(MAX(AB109,1E-12)))</f>
        <v/>
      </c>
      <c r="AF109" s="195">
        <f>IF(B109="","",SQRT(P109^2+Q109^2))</f>
        <v/>
      </c>
      <c r="AG109" s="195">
        <f>IF(B109="","",SQRT(R109^2+S109^2))</f>
        <v/>
      </c>
    </row>
    <row r="110">
      <c r="A110" t="n">
        <v>107</v>
      </c>
      <c r="B110" s="196">
        <f>IF(A110&lt;='入力・概要'!$B$40,10^(LOG10('入力・概要'!$B$38)+(A110-1)*(LOG10('入力・概要'!$B$39)-LOG10('入力・概要'!$B$38))/('入力・概要'!$B$40-1)),"")</f>
        <v/>
      </c>
      <c r="C110" s="195">
        <f>IF(B110="","",2*PI()*B110)</f>
        <v/>
      </c>
      <c r="D110" s="195">
        <f>IF(B110="","",ATANH(MIN(0.999999,'入力・概要'!$E$20/'入力・概要'!$E$9))+'入力・概要'!$B$20*SQRT(B110/1E6)+E110*'入力・概要'!$B$15/2)</f>
        <v/>
      </c>
      <c r="E110" s="195">
        <f>IF(B110="","",C110*('入力・概要'!$E$11*1E-9))</f>
        <v/>
      </c>
      <c r="F110" s="195">
        <f>IF(B110="","",SINH(2*D110)/(COSH(2*D110)+COS(2*E110)))</f>
        <v/>
      </c>
      <c r="G110" s="195">
        <f>IF(B110="","",SIN(2*E110)/(COSH(2*D110)+COS(2*E110)))</f>
        <v/>
      </c>
      <c r="H110" s="195">
        <f>IF(B110="","",ATANH(MIN(0.999999,'入力・概要'!$E$21/'入力・概要'!$E$15))+'入力・概要'!$B$21*SQRT(B110/1E6)+I110*'入力・概要'!$B$16/2)</f>
        <v/>
      </c>
      <c r="I110" s="195">
        <f>IF(B110="","",C110*('入力・概要'!$E$17*1E-9))</f>
        <v/>
      </c>
      <c r="J110" s="195">
        <f>IF(B110="","",SINH(2*H110)/(COSH(2*H110)+COS(2*I110)))</f>
        <v/>
      </c>
      <c r="K110" s="195">
        <f>IF(B110="","",SIN(2*I110)/(COSH(2*H110)+COS(2*I110)))</f>
        <v/>
      </c>
      <c r="L110" s="195">
        <f>IF(B110="","",'入力・概要'!$B$25)</f>
        <v/>
      </c>
      <c r="M110" s="195">
        <f>IF(B110="","",C110*'入力・概要'!$B$26*1E-9-1/(C110*'入力・概要'!$B$24*1E-6))</f>
        <v/>
      </c>
      <c r="N110" s="195">
        <f>IF(B110="","",'入力・概要'!$B$28)</f>
        <v/>
      </c>
      <c r="O110" s="195">
        <f>IF(B110="","",C110*'入力・概要'!$B$29*1E-9-1/(C110*'入力・概要'!$B$27*1E-6))</f>
        <v/>
      </c>
      <c r="P110" s="195">
        <f>IF(B110="","",((L110*N110-M110*O110)*(L110+N110)+(L110*O110+M110*N110)*(M110+O110))/((L110+N110)^2+(M110+O110)^2))</f>
        <v/>
      </c>
      <c r="Q110" s="195">
        <f>IF(B110="","",((L110*O110+M110*N110)*(L110+N110)-(L110*N110-M110*O110)*(M110+O110))/((L110+N110)^2+(M110+O110)^2))</f>
        <v/>
      </c>
      <c r="R110" s="195">
        <f>IF(B110="","",'入力・概要'!$E$15*J110)</f>
        <v/>
      </c>
      <c r="S110" s="195">
        <f>IF(B110="","",'入力・概要'!$E$15*K110)</f>
        <v/>
      </c>
      <c r="T110" s="195">
        <f>IF(B110="","",P110+R110)</f>
        <v/>
      </c>
      <c r="U110" s="195">
        <f>IF(B110="","",Q110+S110)</f>
        <v/>
      </c>
      <c r="V110" s="195">
        <f>IF(B110="","",T110+'入力・概要'!$E$9*F110)</f>
        <v/>
      </c>
      <c r="W110" s="195">
        <f>IF(B110="","",U110+'入力・概要'!$E$9*G110)</f>
        <v/>
      </c>
      <c r="X110" s="195">
        <f>IF(B110="","",'入力・概要'!$E$9+T110*F110-U110*G110)</f>
        <v/>
      </c>
      <c r="Y110" s="195">
        <f>IF(B110="","",T110*G110+U110*F110)</f>
        <v/>
      </c>
      <c r="Z110" s="195">
        <f>IF(B110="","",'入力・概要'!$E$9*(V110*X110+W110*Y110)/(X110^2+Y110^2)+'入力・概要'!$B$36)</f>
        <v/>
      </c>
      <c r="AA110" s="195">
        <f>IF(B110="","",'入力・概要'!$E$9*(W110*X110-V110*Y110)/(X110^2+Y110^2)+C110*'入力・概要'!$B$37*1E-9)</f>
        <v/>
      </c>
      <c r="AB110" s="195">
        <f>IF(B110="","",SQRT(Z110^2+AA110^2))</f>
        <v/>
      </c>
      <c r="AC110" s="195">
        <f>IF(B110="","",IF(Z110&gt;0,DEGREES(ATAN(AA110/Z110)),IF(Z110&lt;0,IF(AA110&gt;=0,DEGREES(ATAN(AA110/Z110))+180,DEGREES(ATAN(AA110/Z110))-180),IF(AA110&gt;0,90,IF(AA110&lt;0,-90,0)))))</f>
        <v/>
      </c>
      <c r="AD110" s="195">
        <f>IF(B110="","",LOG10(B110))</f>
        <v/>
      </c>
      <c r="AE110" s="195">
        <f>IF(AB110="","",LOG10(MAX(AB110,1E-12)))</f>
        <v/>
      </c>
      <c r="AF110" s="195">
        <f>IF(B110="","",SQRT(P110^2+Q110^2))</f>
        <v/>
      </c>
      <c r="AG110" s="195">
        <f>IF(B110="","",SQRT(R110^2+S110^2))</f>
        <v/>
      </c>
    </row>
    <row r="111">
      <c r="A111" t="n">
        <v>108</v>
      </c>
      <c r="B111" s="196">
        <f>IF(A111&lt;='入力・概要'!$B$40,10^(LOG10('入力・概要'!$B$38)+(A111-1)*(LOG10('入力・概要'!$B$39)-LOG10('入力・概要'!$B$38))/('入力・概要'!$B$40-1)),"")</f>
        <v/>
      </c>
      <c r="C111" s="195">
        <f>IF(B111="","",2*PI()*B111)</f>
        <v/>
      </c>
      <c r="D111" s="195">
        <f>IF(B111="","",ATANH(MIN(0.999999,'入力・概要'!$E$20/'入力・概要'!$E$9))+'入力・概要'!$B$20*SQRT(B111/1E6)+E111*'入力・概要'!$B$15/2)</f>
        <v/>
      </c>
      <c r="E111" s="195">
        <f>IF(B111="","",C111*('入力・概要'!$E$11*1E-9))</f>
        <v/>
      </c>
      <c r="F111" s="195">
        <f>IF(B111="","",SINH(2*D111)/(COSH(2*D111)+COS(2*E111)))</f>
        <v/>
      </c>
      <c r="G111" s="195">
        <f>IF(B111="","",SIN(2*E111)/(COSH(2*D111)+COS(2*E111)))</f>
        <v/>
      </c>
      <c r="H111" s="195">
        <f>IF(B111="","",ATANH(MIN(0.999999,'入力・概要'!$E$21/'入力・概要'!$E$15))+'入力・概要'!$B$21*SQRT(B111/1E6)+I111*'入力・概要'!$B$16/2)</f>
        <v/>
      </c>
      <c r="I111" s="195">
        <f>IF(B111="","",C111*('入力・概要'!$E$17*1E-9))</f>
        <v/>
      </c>
      <c r="J111" s="195">
        <f>IF(B111="","",SINH(2*H111)/(COSH(2*H111)+COS(2*I111)))</f>
        <v/>
      </c>
      <c r="K111" s="195">
        <f>IF(B111="","",SIN(2*I111)/(COSH(2*H111)+COS(2*I111)))</f>
        <v/>
      </c>
      <c r="L111" s="195">
        <f>IF(B111="","",'入力・概要'!$B$25)</f>
        <v/>
      </c>
      <c r="M111" s="195">
        <f>IF(B111="","",C111*'入力・概要'!$B$26*1E-9-1/(C111*'入力・概要'!$B$24*1E-6))</f>
        <v/>
      </c>
      <c r="N111" s="195">
        <f>IF(B111="","",'入力・概要'!$B$28)</f>
        <v/>
      </c>
      <c r="O111" s="195">
        <f>IF(B111="","",C111*'入力・概要'!$B$29*1E-9-1/(C111*'入力・概要'!$B$27*1E-6))</f>
        <v/>
      </c>
      <c r="P111" s="195">
        <f>IF(B111="","",((L111*N111-M111*O111)*(L111+N111)+(L111*O111+M111*N111)*(M111+O111))/((L111+N111)^2+(M111+O111)^2))</f>
        <v/>
      </c>
      <c r="Q111" s="195">
        <f>IF(B111="","",((L111*O111+M111*N111)*(L111+N111)-(L111*N111-M111*O111)*(M111+O111))/((L111+N111)^2+(M111+O111)^2))</f>
        <v/>
      </c>
      <c r="R111" s="195">
        <f>IF(B111="","",'入力・概要'!$E$15*J111)</f>
        <v/>
      </c>
      <c r="S111" s="195">
        <f>IF(B111="","",'入力・概要'!$E$15*K111)</f>
        <v/>
      </c>
      <c r="T111" s="195">
        <f>IF(B111="","",P111+R111)</f>
        <v/>
      </c>
      <c r="U111" s="195">
        <f>IF(B111="","",Q111+S111)</f>
        <v/>
      </c>
      <c r="V111" s="195">
        <f>IF(B111="","",T111+'入力・概要'!$E$9*F111)</f>
        <v/>
      </c>
      <c r="W111" s="195">
        <f>IF(B111="","",U111+'入力・概要'!$E$9*G111)</f>
        <v/>
      </c>
      <c r="X111" s="195">
        <f>IF(B111="","",'入力・概要'!$E$9+T111*F111-U111*G111)</f>
        <v/>
      </c>
      <c r="Y111" s="195">
        <f>IF(B111="","",T111*G111+U111*F111)</f>
        <v/>
      </c>
      <c r="Z111" s="195">
        <f>IF(B111="","",'入力・概要'!$E$9*(V111*X111+W111*Y111)/(X111^2+Y111^2)+'入力・概要'!$B$36)</f>
        <v/>
      </c>
      <c r="AA111" s="195">
        <f>IF(B111="","",'入力・概要'!$E$9*(W111*X111-V111*Y111)/(X111^2+Y111^2)+C111*'入力・概要'!$B$37*1E-9)</f>
        <v/>
      </c>
      <c r="AB111" s="195">
        <f>IF(B111="","",SQRT(Z111^2+AA111^2))</f>
        <v/>
      </c>
      <c r="AC111" s="195">
        <f>IF(B111="","",IF(Z111&gt;0,DEGREES(ATAN(AA111/Z111)),IF(Z111&lt;0,IF(AA111&gt;=0,DEGREES(ATAN(AA111/Z111))+180,DEGREES(ATAN(AA111/Z111))-180),IF(AA111&gt;0,90,IF(AA111&lt;0,-90,0)))))</f>
        <v/>
      </c>
      <c r="AD111" s="195">
        <f>IF(B111="","",LOG10(B111))</f>
        <v/>
      </c>
      <c r="AE111" s="195">
        <f>IF(AB111="","",LOG10(MAX(AB111,1E-12)))</f>
        <v/>
      </c>
      <c r="AF111" s="195">
        <f>IF(B111="","",SQRT(P111^2+Q111^2))</f>
        <v/>
      </c>
      <c r="AG111" s="195">
        <f>IF(B111="","",SQRT(R111^2+S111^2))</f>
        <v/>
      </c>
    </row>
    <row r="112">
      <c r="A112" t="n">
        <v>109</v>
      </c>
      <c r="B112" s="196">
        <f>IF(A112&lt;='入力・概要'!$B$40,10^(LOG10('入力・概要'!$B$38)+(A112-1)*(LOG10('入力・概要'!$B$39)-LOG10('入力・概要'!$B$38))/('入力・概要'!$B$40-1)),"")</f>
        <v/>
      </c>
      <c r="C112" s="195">
        <f>IF(B112="","",2*PI()*B112)</f>
        <v/>
      </c>
      <c r="D112" s="195">
        <f>IF(B112="","",ATANH(MIN(0.999999,'入力・概要'!$E$20/'入力・概要'!$E$9))+'入力・概要'!$B$20*SQRT(B112/1E6)+E112*'入力・概要'!$B$15/2)</f>
        <v/>
      </c>
      <c r="E112" s="195">
        <f>IF(B112="","",C112*('入力・概要'!$E$11*1E-9))</f>
        <v/>
      </c>
      <c r="F112" s="195">
        <f>IF(B112="","",SINH(2*D112)/(COSH(2*D112)+COS(2*E112)))</f>
        <v/>
      </c>
      <c r="G112" s="195">
        <f>IF(B112="","",SIN(2*E112)/(COSH(2*D112)+COS(2*E112)))</f>
        <v/>
      </c>
      <c r="H112" s="195">
        <f>IF(B112="","",ATANH(MIN(0.999999,'入力・概要'!$E$21/'入力・概要'!$E$15))+'入力・概要'!$B$21*SQRT(B112/1E6)+I112*'入力・概要'!$B$16/2)</f>
        <v/>
      </c>
      <c r="I112" s="195">
        <f>IF(B112="","",C112*('入力・概要'!$E$17*1E-9))</f>
        <v/>
      </c>
      <c r="J112" s="195">
        <f>IF(B112="","",SINH(2*H112)/(COSH(2*H112)+COS(2*I112)))</f>
        <v/>
      </c>
      <c r="K112" s="195">
        <f>IF(B112="","",SIN(2*I112)/(COSH(2*H112)+COS(2*I112)))</f>
        <v/>
      </c>
      <c r="L112" s="195">
        <f>IF(B112="","",'入力・概要'!$B$25)</f>
        <v/>
      </c>
      <c r="M112" s="195">
        <f>IF(B112="","",C112*'入力・概要'!$B$26*1E-9-1/(C112*'入力・概要'!$B$24*1E-6))</f>
        <v/>
      </c>
      <c r="N112" s="195">
        <f>IF(B112="","",'入力・概要'!$B$28)</f>
        <v/>
      </c>
      <c r="O112" s="195">
        <f>IF(B112="","",C112*'入力・概要'!$B$29*1E-9-1/(C112*'入力・概要'!$B$27*1E-6))</f>
        <v/>
      </c>
      <c r="P112" s="195">
        <f>IF(B112="","",((L112*N112-M112*O112)*(L112+N112)+(L112*O112+M112*N112)*(M112+O112))/((L112+N112)^2+(M112+O112)^2))</f>
        <v/>
      </c>
      <c r="Q112" s="195">
        <f>IF(B112="","",((L112*O112+M112*N112)*(L112+N112)-(L112*N112-M112*O112)*(M112+O112))/((L112+N112)^2+(M112+O112)^2))</f>
        <v/>
      </c>
      <c r="R112" s="195">
        <f>IF(B112="","",'入力・概要'!$E$15*J112)</f>
        <v/>
      </c>
      <c r="S112" s="195">
        <f>IF(B112="","",'入力・概要'!$E$15*K112)</f>
        <v/>
      </c>
      <c r="T112" s="195">
        <f>IF(B112="","",P112+R112)</f>
        <v/>
      </c>
      <c r="U112" s="195">
        <f>IF(B112="","",Q112+S112)</f>
        <v/>
      </c>
      <c r="V112" s="195">
        <f>IF(B112="","",T112+'入力・概要'!$E$9*F112)</f>
        <v/>
      </c>
      <c r="W112" s="195">
        <f>IF(B112="","",U112+'入力・概要'!$E$9*G112)</f>
        <v/>
      </c>
      <c r="X112" s="195">
        <f>IF(B112="","",'入力・概要'!$E$9+T112*F112-U112*G112)</f>
        <v/>
      </c>
      <c r="Y112" s="195">
        <f>IF(B112="","",T112*G112+U112*F112)</f>
        <v/>
      </c>
      <c r="Z112" s="195">
        <f>IF(B112="","",'入力・概要'!$E$9*(V112*X112+W112*Y112)/(X112^2+Y112^2)+'入力・概要'!$B$36)</f>
        <v/>
      </c>
      <c r="AA112" s="195">
        <f>IF(B112="","",'入力・概要'!$E$9*(W112*X112-V112*Y112)/(X112^2+Y112^2)+C112*'入力・概要'!$B$37*1E-9)</f>
        <v/>
      </c>
      <c r="AB112" s="195">
        <f>IF(B112="","",SQRT(Z112^2+AA112^2))</f>
        <v/>
      </c>
      <c r="AC112" s="195">
        <f>IF(B112="","",IF(Z112&gt;0,DEGREES(ATAN(AA112/Z112)),IF(Z112&lt;0,IF(AA112&gt;=0,DEGREES(ATAN(AA112/Z112))+180,DEGREES(ATAN(AA112/Z112))-180),IF(AA112&gt;0,90,IF(AA112&lt;0,-90,0)))))</f>
        <v/>
      </c>
      <c r="AD112" s="195">
        <f>IF(B112="","",LOG10(B112))</f>
        <v/>
      </c>
      <c r="AE112" s="195">
        <f>IF(AB112="","",LOG10(MAX(AB112,1E-12)))</f>
        <v/>
      </c>
      <c r="AF112" s="195">
        <f>IF(B112="","",SQRT(P112^2+Q112^2))</f>
        <v/>
      </c>
      <c r="AG112" s="195">
        <f>IF(B112="","",SQRT(R112^2+S112^2))</f>
        <v/>
      </c>
    </row>
    <row r="113">
      <c r="A113" t="n">
        <v>110</v>
      </c>
      <c r="B113" s="196">
        <f>IF(A113&lt;='入力・概要'!$B$40,10^(LOG10('入力・概要'!$B$38)+(A113-1)*(LOG10('入力・概要'!$B$39)-LOG10('入力・概要'!$B$38))/('入力・概要'!$B$40-1)),"")</f>
        <v/>
      </c>
      <c r="C113" s="195">
        <f>IF(B113="","",2*PI()*B113)</f>
        <v/>
      </c>
      <c r="D113" s="195">
        <f>IF(B113="","",ATANH(MIN(0.999999,'入力・概要'!$E$20/'入力・概要'!$E$9))+'入力・概要'!$B$20*SQRT(B113/1E6)+E113*'入力・概要'!$B$15/2)</f>
        <v/>
      </c>
      <c r="E113" s="195">
        <f>IF(B113="","",C113*('入力・概要'!$E$11*1E-9))</f>
        <v/>
      </c>
      <c r="F113" s="195">
        <f>IF(B113="","",SINH(2*D113)/(COSH(2*D113)+COS(2*E113)))</f>
        <v/>
      </c>
      <c r="G113" s="195">
        <f>IF(B113="","",SIN(2*E113)/(COSH(2*D113)+COS(2*E113)))</f>
        <v/>
      </c>
      <c r="H113" s="195">
        <f>IF(B113="","",ATANH(MIN(0.999999,'入力・概要'!$E$21/'入力・概要'!$E$15))+'入力・概要'!$B$21*SQRT(B113/1E6)+I113*'入力・概要'!$B$16/2)</f>
        <v/>
      </c>
      <c r="I113" s="195">
        <f>IF(B113="","",C113*('入力・概要'!$E$17*1E-9))</f>
        <v/>
      </c>
      <c r="J113" s="195">
        <f>IF(B113="","",SINH(2*H113)/(COSH(2*H113)+COS(2*I113)))</f>
        <v/>
      </c>
      <c r="K113" s="195">
        <f>IF(B113="","",SIN(2*I113)/(COSH(2*H113)+COS(2*I113)))</f>
        <v/>
      </c>
      <c r="L113" s="195">
        <f>IF(B113="","",'入力・概要'!$B$25)</f>
        <v/>
      </c>
      <c r="M113" s="195">
        <f>IF(B113="","",C113*'入力・概要'!$B$26*1E-9-1/(C113*'入力・概要'!$B$24*1E-6))</f>
        <v/>
      </c>
      <c r="N113" s="195">
        <f>IF(B113="","",'入力・概要'!$B$28)</f>
        <v/>
      </c>
      <c r="O113" s="195">
        <f>IF(B113="","",C113*'入力・概要'!$B$29*1E-9-1/(C113*'入力・概要'!$B$27*1E-6))</f>
        <v/>
      </c>
      <c r="P113" s="195">
        <f>IF(B113="","",((L113*N113-M113*O113)*(L113+N113)+(L113*O113+M113*N113)*(M113+O113))/((L113+N113)^2+(M113+O113)^2))</f>
        <v/>
      </c>
      <c r="Q113" s="195">
        <f>IF(B113="","",((L113*O113+M113*N113)*(L113+N113)-(L113*N113-M113*O113)*(M113+O113))/((L113+N113)^2+(M113+O113)^2))</f>
        <v/>
      </c>
      <c r="R113" s="195">
        <f>IF(B113="","",'入力・概要'!$E$15*J113)</f>
        <v/>
      </c>
      <c r="S113" s="195">
        <f>IF(B113="","",'入力・概要'!$E$15*K113)</f>
        <v/>
      </c>
      <c r="T113" s="195">
        <f>IF(B113="","",P113+R113)</f>
        <v/>
      </c>
      <c r="U113" s="195">
        <f>IF(B113="","",Q113+S113)</f>
        <v/>
      </c>
      <c r="V113" s="195">
        <f>IF(B113="","",T113+'入力・概要'!$E$9*F113)</f>
        <v/>
      </c>
      <c r="W113" s="195">
        <f>IF(B113="","",U113+'入力・概要'!$E$9*G113)</f>
        <v/>
      </c>
      <c r="X113" s="195">
        <f>IF(B113="","",'入力・概要'!$E$9+T113*F113-U113*G113)</f>
        <v/>
      </c>
      <c r="Y113" s="195">
        <f>IF(B113="","",T113*G113+U113*F113)</f>
        <v/>
      </c>
      <c r="Z113" s="195">
        <f>IF(B113="","",'入力・概要'!$E$9*(V113*X113+W113*Y113)/(X113^2+Y113^2)+'入力・概要'!$B$36)</f>
        <v/>
      </c>
      <c r="AA113" s="195">
        <f>IF(B113="","",'入力・概要'!$E$9*(W113*X113-V113*Y113)/(X113^2+Y113^2)+C113*'入力・概要'!$B$37*1E-9)</f>
        <v/>
      </c>
      <c r="AB113" s="195">
        <f>IF(B113="","",SQRT(Z113^2+AA113^2))</f>
        <v/>
      </c>
      <c r="AC113" s="195">
        <f>IF(B113="","",IF(Z113&gt;0,DEGREES(ATAN(AA113/Z113)),IF(Z113&lt;0,IF(AA113&gt;=0,DEGREES(ATAN(AA113/Z113))+180,DEGREES(ATAN(AA113/Z113))-180),IF(AA113&gt;0,90,IF(AA113&lt;0,-90,0)))))</f>
        <v/>
      </c>
      <c r="AD113" s="195">
        <f>IF(B113="","",LOG10(B113))</f>
        <v/>
      </c>
      <c r="AE113" s="195">
        <f>IF(AB113="","",LOG10(MAX(AB113,1E-12)))</f>
        <v/>
      </c>
      <c r="AF113" s="195">
        <f>IF(B113="","",SQRT(P113^2+Q113^2))</f>
        <v/>
      </c>
      <c r="AG113" s="195">
        <f>IF(B113="","",SQRT(R113^2+S113^2))</f>
        <v/>
      </c>
    </row>
    <row r="114">
      <c r="A114" t="n">
        <v>111</v>
      </c>
      <c r="B114" s="196">
        <f>IF(A114&lt;='入力・概要'!$B$40,10^(LOG10('入力・概要'!$B$38)+(A114-1)*(LOG10('入力・概要'!$B$39)-LOG10('入力・概要'!$B$38))/('入力・概要'!$B$40-1)),"")</f>
        <v/>
      </c>
      <c r="C114" s="195">
        <f>IF(B114="","",2*PI()*B114)</f>
        <v/>
      </c>
      <c r="D114" s="195">
        <f>IF(B114="","",ATANH(MIN(0.999999,'入力・概要'!$E$20/'入力・概要'!$E$9))+'入力・概要'!$B$20*SQRT(B114/1E6)+E114*'入力・概要'!$B$15/2)</f>
        <v/>
      </c>
      <c r="E114" s="195">
        <f>IF(B114="","",C114*('入力・概要'!$E$11*1E-9))</f>
        <v/>
      </c>
      <c r="F114" s="195">
        <f>IF(B114="","",SINH(2*D114)/(COSH(2*D114)+COS(2*E114)))</f>
        <v/>
      </c>
      <c r="G114" s="195">
        <f>IF(B114="","",SIN(2*E114)/(COSH(2*D114)+COS(2*E114)))</f>
        <v/>
      </c>
      <c r="H114" s="195">
        <f>IF(B114="","",ATANH(MIN(0.999999,'入力・概要'!$E$21/'入力・概要'!$E$15))+'入力・概要'!$B$21*SQRT(B114/1E6)+I114*'入力・概要'!$B$16/2)</f>
        <v/>
      </c>
      <c r="I114" s="195">
        <f>IF(B114="","",C114*('入力・概要'!$E$17*1E-9))</f>
        <v/>
      </c>
      <c r="J114" s="195">
        <f>IF(B114="","",SINH(2*H114)/(COSH(2*H114)+COS(2*I114)))</f>
        <v/>
      </c>
      <c r="K114" s="195">
        <f>IF(B114="","",SIN(2*I114)/(COSH(2*H114)+COS(2*I114)))</f>
        <v/>
      </c>
      <c r="L114" s="195">
        <f>IF(B114="","",'入力・概要'!$B$25)</f>
        <v/>
      </c>
      <c r="M114" s="195">
        <f>IF(B114="","",C114*'入力・概要'!$B$26*1E-9-1/(C114*'入力・概要'!$B$24*1E-6))</f>
        <v/>
      </c>
      <c r="N114" s="195">
        <f>IF(B114="","",'入力・概要'!$B$28)</f>
        <v/>
      </c>
      <c r="O114" s="195">
        <f>IF(B114="","",C114*'入力・概要'!$B$29*1E-9-1/(C114*'入力・概要'!$B$27*1E-6))</f>
        <v/>
      </c>
      <c r="P114" s="195">
        <f>IF(B114="","",((L114*N114-M114*O114)*(L114+N114)+(L114*O114+M114*N114)*(M114+O114))/((L114+N114)^2+(M114+O114)^2))</f>
        <v/>
      </c>
      <c r="Q114" s="195">
        <f>IF(B114="","",((L114*O114+M114*N114)*(L114+N114)-(L114*N114-M114*O114)*(M114+O114))/((L114+N114)^2+(M114+O114)^2))</f>
        <v/>
      </c>
      <c r="R114" s="195">
        <f>IF(B114="","",'入力・概要'!$E$15*J114)</f>
        <v/>
      </c>
      <c r="S114" s="195">
        <f>IF(B114="","",'入力・概要'!$E$15*K114)</f>
        <v/>
      </c>
      <c r="T114" s="195">
        <f>IF(B114="","",P114+R114)</f>
        <v/>
      </c>
      <c r="U114" s="195">
        <f>IF(B114="","",Q114+S114)</f>
        <v/>
      </c>
      <c r="V114" s="195">
        <f>IF(B114="","",T114+'入力・概要'!$E$9*F114)</f>
        <v/>
      </c>
      <c r="W114" s="195">
        <f>IF(B114="","",U114+'入力・概要'!$E$9*G114)</f>
        <v/>
      </c>
      <c r="X114" s="195">
        <f>IF(B114="","",'入力・概要'!$E$9+T114*F114-U114*G114)</f>
        <v/>
      </c>
      <c r="Y114" s="195">
        <f>IF(B114="","",T114*G114+U114*F114)</f>
        <v/>
      </c>
      <c r="Z114" s="195">
        <f>IF(B114="","",'入力・概要'!$E$9*(V114*X114+W114*Y114)/(X114^2+Y114^2)+'入力・概要'!$B$36)</f>
        <v/>
      </c>
      <c r="AA114" s="195">
        <f>IF(B114="","",'入力・概要'!$E$9*(W114*X114-V114*Y114)/(X114^2+Y114^2)+C114*'入力・概要'!$B$37*1E-9)</f>
        <v/>
      </c>
      <c r="AB114" s="195">
        <f>IF(B114="","",SQRT(Z114^2+AA114^2))</f>
        <v/>
      </c>
      <c r="AC114" s="195">
        <f>IF(B114="","",IF(Z114&gt;0,DEGREES(ATAN(AA114/Z114)),IF(Z114&lt;0,IF(AA114&gt;=0,DEGREES(ATAN(AA114/Z114))+180,DEGREES(ATAN(AA114/Z114))-180),IF(AA114&gt;0,90,IF(AA114&lt;0,-90,0)))))</f>
        <v/>
      </c>
      <c r="AD114" s="195">
        <f>IF(B114="","",LOG10(B114))</f>
        <v/>
      </c>
      <c r="AE114" s="195">
        <f>IF(AB114="","",LOG10(MAX(AB114,1E-12)))</f>
        <v/>
      </c>
      <c r="AF114" s="195">
        <f>IF(B114="","",SQRT(P114^2+Q114^2))</f>
        <v/>
      </c>
      <c r="AG114" s="195">
        <f>IF(B114="","",SQRT(R114^2+S114^2))</f>
        <v/>
      </c>
    </row>
    <row r="115">
      <c r="A115" t="n">
        <v>112</v>
      </c>
      <c r="B115" s="196">
        <f>IF(A115&lt;='入力・概要'!$B$40,10^(LOG10('入力・概要'!$B$38)+(A115-1)*(LOG10('入力・概要'!$B$39)-LOG10('入力・概要'!$B$38))/('入力・概要'!$B$40-1)),"")</f>
        <v/>
      </c>
      <c r="C115" s="195">
        <f>IF(B115="","",2*PI()*B115)</f>
        <v/>
      </c>
      <c r="D115" s="195">
        <f>IF(B115="","",ATANH(MIN(0.999999,'入力・概要'!$E$20/'入力・概要'!$E$9))+'入力・概要'!$B$20*SQRT(B115/1E6)+E115*'入力・概要'!$B$15/2)</f>
        <v/>
      </c>
      <c r="E115" s="195">
        <f>IF(B115="","",C115*('入力・概要'!$E$11*1E-9))</f>
        <v/>
      </c>
      <c r="F115" s="195">
        <f>IF(B115="","",SINH(2*D115)/(COSH(2*D115)+COS(2*E115)))</f>
        <v/>
      </c>
      <c r="G115" s="195">
        <f>IF(B115="","",SIN(2*E115)/(COSH(2*D115)+COS(2*E115)))</f>
        <v/>
      </c>
      <c r="H115" s="195">
        <f>IF(B115="","",ATANH(MIN(0.999999,'入力・概要'!$E$21/'入力・概要'!$E$15))+'入力・概要'!$B$21*SQRT(B115/1E6)+I115*'入力・概要'!$B$16/2)</f>
        <v/>
      </c>
      <c r="I115" s="195">
        <f>IF(B115="","",C115*('入力・概要'!$E$17*1E-9))</f>
        <v/>
      </c>
      <c r="J115" s="195">
        <f>IF(B115="","",SINH(2*H115)/(COSH(2*H115)+COS(2*I115)))</f>
        <v/>
      </c>
      <c r="K115" s="195">
        <f>IF(B115="","",SIN(2*I115)/(COSH(2*H115)+COS(2*I115)))</f>
        <v/>
      </c>
      <c r="L115" s="195">
        <f>IF(B115="","",'入力・概要'!$B$25)</f>
        <v/>
      </c>
      <c r="M115" s="195">
        <f>IF(B115="","",C115*'入力・概要'!$B$26*1E-9-1/(C115*'入力・概要'!$B$24*1E-6))</f>
        <v/>
      </c>
      <c r="N115" s="195">
        <f>IF(B115="","",'入力・概要'!$B$28)</f>
        <v/>
      </c>
      <c r="O115" s="195">
        <f>IF(B115="","",C115*'入力・概要'!$B$29*1E-9-1/(C115*'入力・概要'!$B$27*1E-6))</f>
        <v/>
      </c>
      <c r="P115" s="195">
        <f>IF(B115="","",((L115*N115-M115*O115)*(L115+N115)+(L115*O115+M115*N115)*(M115+O115))/((L115+N115)^2+(M115+O115)^2))</f>
        <v/>
      </c>
      <c r="Q115" s="195">
        <f>IF(B115="","",((L115*O115+M115*N115)*(L115+N115)-(L115*N115-M115*O115)*(M115+O115))/((L115+N115)^2+(M115+O115)^2))</f>
        <v/>
      </c>
      <c r="R115" s="195">
        <f>IF(B115="","",'入力・概要'!$E$15*J115)</f>
        <v/>
      </c>
      <c r="S115" s="195">
        <f>IF(B115="","",'入力・概要'!$E$15*K115)</f>
        <v/>
      </c>
      <c r="T115" s="195">
        <f>IF(B115="","",P115+R115)</f>
        <v/>
      </c>
      <c r="U115" s="195">
        <f>IF(B115="","",Q115+S115)</f>
        <v/>
      </c>
      <c r="V115" s="195">
        <f>IF(B115="","",T115+'入力・概要'!$E$9*F115)</f>
        <v/>
      </c>
      <c r="W115" s="195">
        <f>IF(B115="","",U115+'入力・概要'!$E$9*G115)</f>
        <v/>
      </c>
      <c r="X115" s="195">
        <f>IF(B115="","",'入力・概要'!$E$9+T115*F115-U115*G115)</f>
        <v/>
      </c>
      <c r="Y115" s="195">
        <f>IF(B115="","",T115*G115+U115*F115)</f>
        <v/>
      </c>
      <c r="Z115" s="195">
        <f>IF(B115="","",'入力・概要'!$E$9*(V115*X115+W115*Y115)/(X115^2+Y115^2)+'入力・概要'!$B$36)</f>
        <v/>
      </c>
      <c r="AA115" s="195">
        <f>IF(B115="","",'入力・概要'!$E$9*(W115*X115-V115*Y115)/(X115^2+Y115^2)+C115*'入力・概要'!$B$37*1E-9)</f>
        <v/>
      </c>
      <c r="AB115" s="195">
        <f>IF(B115="","",SQRT(Z115^2+AA115^2))</f>
        <v/>
      </c>
      <c r="AC115" s="195">
        <f>IF(B115="","",IF(Z115&gt;0,DEGREES(ATAN(AA115/Z115)),IF(Z115&lt;0,IF(AA115&gt;=0,DEGREES(ATAN(AA115/Z115))+180,DEGREES(ATAN(AA115/Z115))-180),IF(AA115&gt;0,90,IF(AA115&lt;0,-90,0)))))</f>
        <v/>
      </c>
      <c r="AD115" s="195">
        <f>IF(B115="","",LOG10(B115))</f>
        <v/>
      </c>
      <c r="AE115" s="195">
        <f>IF(AB115="","",LOG10(MAX(AB115,1E-12)))</f>
        <v/>
      </c>
      <c r="AF115" s="195">
        <f>IF(B115="","",SQRT(P115^2+Q115^2))</f>
        <v/>
      </c>
      <c r="AG115" s="195">
        <f>IF(B115="","",SQRT(R115^2+S115^2))</f>
        <v/>
      </c>
    </row>
    <row r="116">
      <c r="A116" t="n">
        <v>113</v>
      </c>
      <c r="B116" s="196">
        <f>IF(A116&lt;='入力・概要'!$B$40,10^(LOG10('入力・概要'!$B$38)+(A116-1)*(LOG10('入力・概要'!$B$39)-LOG10('入力・概要'!$B$38))/('入力・概要'!$B$40-1)),"")</f>
        <v/>
      </c>
      <c r="C116" s="195">
        <f>IF(B116="","",2*PI()*B116)</f>
        <v/>
      </c>
      <c r="D116" s="195">
        <f>IF(B116="","",ATANH(MIN(0.999999,'入力・概要'!$E$20/'入力・概要'!$E$9))+'入力・概要'!$B$20*SQRT(B116/1E6)+E116*'入力・概要'!$B$15/2)</f>
        <v/>
      </c>
      <c r="E116" s="195">
        <f>IF(B116="","",C116*('入力・概要'!$E$11*1E-9))</f>
        <v/>
      </c>
      <c r="F116" s="195">
        <f>IF(B116="","",SINH(2*D116)/(COSH(2*D116)+COS(2*E116)))</f>
        <v/>
      </c>
      <c r="G116" s="195">
        <f>IF(B116="","",SIN(2*E116)/(COSH(2*D116)+COS(2*E116)))</f>
        <v/>
      </c>
      <c r="H116" s="195">
        <f>IF(B116="","",ATANH(MIN(0.999999,'入力・概要'!$E$21/'入力・概要'!$E$15))+'入力・概要'!$B$21*SQRT(B116/1E6)+I116*'入力・概要'!$B$16/2)</f>
        <v/>
      </c>
      <c r="I116" s="195">
        <f>IF(B116="","",C116*('入力・概要'!$E$17*1E-9))</f>
        <v/>
      </c>
      <c r="J116" s="195">
        <f>IF(B116="","",SINH(2*H116)/(COSH(2*H116)+COS(2*I116)))</f>
        <v/>
      </c>
      <c r="K116" s="195">
        <f>IF(B116="","",SIN(2*I116)/(COSH(2*H116)+COS(2*I116)))</f>
        <v/>
      </c>
      <c r="L116" s="195">
        <f>IF(B116="","",'入力・概要'!$B$25)</f>
        <v/>
      </c>
      <c r="M116" s="195">
        <f>IF(B116="","",C116*'入力・概要'!$B$26*1E-9-1/(C116*'入力・概要'!$B$24*1E-6))</f>
        <v/>
      </c>
      <c r="N116" s="195">
        <f>IF(B116="","",'入力・概要'!$B$28)</f>
        <v/>
      </c>
      <c r="O116" s="195">
        <f>IF(B116="","",C116*'入力・概要'!$B$29*1E-9-1/(C116*'入力・概要'!$B$27*1E-6))</f>
        <v/>
      </c>
      <c r="P116" s="195">
        <f>IF(B116="","",((L116*N116-M116*O116)*(L116+N116)+(L116*O116+M116*N116)*(M116+O116))/((L116+N116)^2+(M116+O116)^2))</f>
        <v/>
      </c>
      <c r="Q116" s="195">
        <f>IF(B116="","",((L116*O116+M116*N116)*(L116+N116)-(L116*N116-M116*O116)*(M116+O116))/((L116+N116)^2+(M116+O116)^2))</f>
        <v/>
      </c>
      <c r="R116" s="195">
        <f>IF(B116="","",'入力・概要'!$E$15*J116)</f>
        <v/>
      </c>
      <c r="S116" s="195">
        <f>IF(B116="","",'入力・概要'!$E$15*K116)</f>
        <v/>
      </c>
      <c r="T116" s="195">
        <f>IF(B116="","",P116+R116)</f>
        <v/>
      </c>
      <c r="U116" s="195">
        <f>IF(B116="","",Q116+S116)</f>
        <v/>
      </c>
      <c r="V116" s="195">
        <f>IF(B116="","",T116+'入力・概要'!$E$9*F116)</f>
        <v/>
      </c>
      <c r="W116" s="195">
        <f>IF(B116="","",U116+'入力・概要'!$E$9*G116)</f>
        <v/>
      </c>
      <c r="X116" s="195">
        <f>IF(B116="","",'入力・概要'!$E$9+T116*F116-U116*G116)</f>
        <v/>
      </c>
      <c r="Y116" s="195">
        <f>IF(B116="","",T116*G116+U116*F116)</f>
        <v/>
      </c>
      <c r="Z116" s="195">
        <f>IF(B116="","",'入力・概要'!$E$9*(V116*X116+W116*Y116)/(X116^2+Y116^2)+'入力・概要'!$B$36)</f>
        <v/>
      </c>
      <c r="AA116" s="195">
        <f>IF(B116="","",'入力・概要'!$E$9*(W116*X116-V116*Y116)/(X116^2+Y116^2)+C116*'入力・概要'!$B$37*1E-9)</f>
        <v/>
      </c>
      <c r="AB116" s="195">
        <f>IF(B116="","",SQRT(Z116^2+AA116^2))</f>
        <v/>
      </c>
      <c r="AC116" s="195">
        <f>IF(B116="","",IF(Z116&gt;0,DEGREES(ATAN(AA116/Z116)),IF(Z116&lt;0,IF(AA116&gt;=0,DEGREES(ATAN(AA116/Z116))+180,DEGREES(ATAN(AA116/Z116))-180),IF(AA116&gt;0,90,IF(AA116&lt;0,-90,0)))))</f>
        <v/>
      </c>
      <c r="AD116" s="195">
        <f>IF(B116="","",LOG10(B116))</f>
        <v/>
      </c>
      <c r="AE116" s="195">
        <f>IF(AB116="","",LOG10(MAX(AB116,1E-12)))</f>
        <v/>
      </c>
      <c r="AF116" s="195">
        <f>IF(B116="","",SQRT(P116^2+Q116^2))</f>
        <v/>
      </c>
      <c r="AG116" s="195">
        <f>IF(B116="","",SQRT(R116^2+S116^2))</f>
        <v/>
      </c>
    </row>
    <row r="117">
      <c r="A117" t="n">
        <v>114</v>
      </c>
      <c r="B117" s="196">
        <f>IF(A117&lt;='入力・概要'!$B$40,10^(LOG10('入力・概要'!$B$38)+(A117-1)*(LOG10('入力・概要'!$B$39)-LOG10('入力・概要'!$B$38))/('入力・概要'!$B$40-1)),"")</f>
        <v/>
      </c>
      <c r="C117" s="195">
        <f>IF(B117="","",2*PI()*B117)</f>
        <v/>
      </c>
      <c r="D117" s="195">
        <f>IF(B117="","",ATANH(MIN(0.999999,'入力・概要'!$E$20/'入力・概要'!$E$9))+'入力・概要'!$B$20*SQRT(B117/1E6)+E117*'入力・概要'!$B$15/2)</f>
        <v/>
      </c>
      <c r="E117" s="195">
        <f>IF(B117="","",C117*('入力・概要'!$E$11*1E-9))</f>
        <v/>
      </c>
      <c r="F117" s="195">
        <f>IF(B117="","",SINH(2*D117)/(COSH(2*D117)+COS(2*E117)))</f>
        <v/>
      </c>
      <c r="G117" s="195">
        <f>IF(B117="","",SIN(2*E117)/(COSH(2*D117)+COS(2*E117)))</f>
        <v/>
      </c>
      <c r="H117" s="195">
        <f>IF(B117="","",ATANH(MIN(0.999999,'入力・概要'!$E$21/'入力・概要'!$E$15))+'入力・概要'!$B$21*SQRT(B117/1E6)+I117*'入力・概要'!$B$16/2)</f>
        <v/>
      </c>
      <c r="I117" s="195">
        <f>IF(B117="","",C117*('入力・概要'!$E$17*1E-9))</f>
        <v/>
      </c>
      <c r="J117" s="195">
        <f>IF(B117="","",SINH(2*H117)/(COSH(2*H117)+COS(2*I117)))</f>
        <v/>
      </c>
      <c r="K117" s="195">
        <f>IF(B117="","",SIN(2*I117)/(COSH(2*H117)+COS(2*I117)))</f>
        <v/>
      </c>
      <c r="L117" s="195">
        <f>IF(B117="","",'入力・概要'!$B$25)</f>
        <v/>
      </c>
      <c r="M117" s="195">
        <f>IF(B117="","",C117*'入力・概要'!$B$26*1E-9-1/(C117*'入力・概要'!$B$24*1E-6))</f>
        <v/>
      </c>
      <c r="N117" s="195">
        <f>IF(B117="","",'入力・概要'!$B$28)</f>
        <v/>
      </c>
      <c r="O117" s="195">
        <f>IF(B117="","",C117*'入力・概要'!$B$29*1E-9-1/(C117*'入力・概要'!$B$27*1E-6))</f>
        <v/>
      </c>
      <c r="P117" s="195">
        <f>IF(B117="","",((L117*N117-M117*O117)*(L117+N117)+(L117*O117+M117*N117)*(M117+O117))/((L117+N117)^2+(M117+O117)^2))</f>
        <v/>
      </c>
      <c r="Q117" s="195">
        <f>IF(B117="","",((L117*O117+M117*N117)*(L117+N117)-(L117*N117-M117*O117)*(M117+O117))/((L117+N117)^2+(M117+O117)^2))</f>
        <v/>
      </c>
      <c r="R117" s="195">
        <f>IF(B117="","",'入力・概要'!$E$15*J117)</f>
        <v/>
      </c>
      <c r="S117" s="195">
        <f>IF(B117="","",'入力・概要'!$E$15*K117)</f>
        <v/>
      </c>
      <c r="T117" s="195">
        <f>IF(B117="","",P117+R117)</f>
        <v/>
      </c>
      <c r="U117" s="195">
        <f>IF(B117="","",Q117+S117)</f>
        <v/>
      </c>
      <c r="V117" s="195">
        <f>IF(B117="","",T117+'入力・概要'!$E$9*F117)</f>
        <v/>
      </c>
      <c r="W117" s="195">
        <f>IF(B117="","",U117+'入力・概要'!$E$9*G117)</f>
        <v/>
      </c>
      <c r="X117" s="195">
        <f>IF(B117="","",'入力・概要'!$E$9+T117*F117-U117*G117)</f>
        <v/>
      </c>
      <c r="Y117" s="195">
        <f>IF(B117="","",T117*G117+U117*F117)</f>
        <v/>
      </c>
      <c r="Z117" s="195">
        <f>IF(B117="","",'入力・概要'!$E$9*(V117*X117+W117*Y117)/(X117^2+Y117^2)+'入力・概要'!$B$36)</f>
        <v/>
      </c>
      <c r="AA117" s="195">
        <f>IF(B117="","",'入力・概要'!$E$9*(W117*X117-V117*Y117)/(X117^2+Y117^2)+C117*'入力・概要'!$B$37*1E-9)</f>
        <v/>
      </c>
      <c r="AB117" s="195">
        <f>IF(B117="","",SQRT(Z117^2+AA117^2))</f>
        <v/>
      </c>
      <c r="AC117" s="195">
        <f>IF(B117="","",IF(Z117&gt;0,DEGREES(ATAN(AA117/Z117)),IF(Z117&lt;0,IF(AA117&gt;=0,DEGREES(ATAN(AA117/Z117))+180,DEGREES(ATAN(AA117/Z117))-180),IF(AA117&gt;0,90,IF(AA117&lt;0,-90,0)))))</f>
        <v/>
      </c>
      <c r="AD117" s="195">
        <f>IF(B117="","",LOG10(B117))</f>
        <v/>
      </c>
      <c r="AE117" s="195">
        <f>IF(AB117="","",LOG10(MAX(AB117,1E-12)))</f>
        <v/>
      </c>
      <c r="AF117" s="195">
        <f>IF(B117="","",SQRT(P117^2+Q117^2))</f>
        <v/>
      </c>
      <c r="AG117" s="195">
        <f>IF(B117="","",SQRT(R117^2+S117^2))</f>
        <v/>
      </c>
    </row>
    <row r="118">
      <c r="A118" t="n">
        <v>115</v>
      </c>
      <c r="B118" s="196">
        <f>IF(A118&lt;='入力・概要'!$B$40,10^(LOG10('入力・概要'!$B$38)+(A118-1)*(LOG10('入力・概要'!$B$39)-LOG10('入力・概要'!$B$38))/('入力・概要'!$B$40-1)),"")</f>
        <v/>
      </c>
      <c r="C118" s="195">
        <f>IF(B118="","",2*PI()*B118)</f>
        <v/>
      </c>
      <c r="D118" s="195">
        <f>IF(B118="","",ATANH(MIN(0.999999,'入力・概要'!$E$20/'入力・概要'!$E$9))+'入力・概要'!$B$20*SQRT(B118/1E6)+E118*'入力・概要'!$B$15/2)</f>
        <v/>
      </c>
      <c r="E118" s="195">
        <f>IF(B118="","",C118*('入力・概要'!$E$11*1E-9))</f>
        <v/>
      </c>
      <c r="F118" s="195">
        <f>IF(B118="","",SINH(2*D118)/(COSH(2*D118)+COS(2*E118)))</f>
        <v/>
      </c>
      <c r="G118" s="195">
        <f>IF(B118="","",SIN(2*E118)/(COSH(2*D118)+COS(2*E118)))</f>
        <v/>
      </c>
      <c r="H118" s="195">
        <f>IF(B118="","",ATANH(MIN(0.999999,'入力・概要'!$E$21/'入力・概要'!$E$15))+'入力・概要'!$B$21*SQRT(B118/1E6)+I118*'入力・概要'!$B$16/2)</f>
        <v/>
      </c>
      <c r="I118" s="195">
        <f>IF(B118="","",C118*('入力・概要'!$E$17*1E-9))</f>
        <v/>
      </c>
      <c r="J118" s="195">
        <f>IF(B118="","",SINH(2*H118)/(COSH(2*H118)+COS(2*I118)))</f>
        <v/>
      </c>
      <c r="K118" s="195">
        <f>IF(B118="","",SIN(2*I118)/(COSH(2*H118)+COS(2*I118)))</f>
        <v/>
      </c>
      <c r="L118" s="195">
        <f>IF(B118="","",'入力・概要'!$B$25)</f>
        <v/>
      </c>
      <c r="M118" s="195">
        <f>IF(B118="","",C118*'入力・概要'!$B$26*1E-9-1/(C118*'入力・概要'!$B$24*1E-6))</f>
        <v/>
      </c>
      <c r="N118" s="195">
        <f>IF(B118="","",'入力・概要'!$B$28)</f>
        <v/>
      </c>
      <c r="O118" s="195">
        <f>IF(B118="","",C118*'入力・概要'!$B$29*1E-9-1/(C118*'入力・概要'!$B$27*1E-6))</f>
        <v/>
      </c>
      <c r="P118" s="195">
        <f>IF(B118="","",((L118*N118-M118*O118)*(L118+N118)+(L118*O118+M118*N118)*(M118+O118))/((L118+N118)^2+(M118+O118)^2))</f>
        <v/>
      </c>
      <c r="Q118" s="195">
        <f>IF(B118="","",((L118*O118+M118*N118)*(L118+N118)-(L118*N118-M118*O118)*(M118+O118))/((L118+N118)^2+(M118+O118)^2))</f>
        <v/>
      </c>
      <c r="R118" s="195">
        <f>IF(B118="","",'入力・概要'!$E$15*J118)</f>
        <v/>
      </c>
      <c r="S118" s="195">
        <f>IF(B118="","",'入力・概要'!$E$15*K118)</f>
        <v/>
      </c>
      <c r="T118" s="195">
        <f>IF(B118="","",P118+R118)</f>
        <v/>
      </c>
      <c r="U118" s="195">
        <f>IF(B118="","",Q118+S118)</f>
        <v/>
      </c>
      <c r="V118" s="195">
        <f>IF(B118="","",T118+'入力・概要'!$E$9*F118)</f>
        <v/>
      </c>
      <c r="W118" s="195">
        <f>IF(B118="","",U118+'入力・概要'!$E$9*G118)</f>
        <v/>
      </c>
      <c r="X118" s="195">
        <f>IF(B118="","",'入力・概要'!$E$9+T118*F118-U118*G118)</f>
        <v/>
      </c>
      <c r="Y118" s="195">
        <f>IF(B118="","",T118*G118+U118*F118)</f>
        <v/>
      </c>
      <c r="Z118" s="195">
        <f>IF(B118="","",'入力・概要'!$E$9*(V118*X118+W118*Y118)/(X118^2+Y118^2)+'入力・概要'!$B$36)</f>
        <v/>
      </c>
      <c r="AA118" s="195">
        <f>IF(B118="","",'入力・概要'!$E$9*(W118*X118-V118*Y118)/(X118^2+Y118^2)+C118*'入力・概要'!$B$37*1E-9)</f>
        <v/>
      </c>
      <c r="AB118" s="195">
        <f>IF(B118="","",SQRT(Z118^2+AA118^2))</f>
        <v/>
      </c>
      <c r="AC118" s="195">
        <f>IF(B118="","",IF(Z118&gt;0,DEGREES(ATAN(AA118/Z118)),IF(Z118&lt;0,IF(AA118&gt;=0,DEGREES(ATAN(AA118/Z118))+180,DEGREES(ATAN(AA118/Z118))-180),IF(AA118&gt;0,90,IF(AA118&lt;0,-90,0)))))</f>
        <v/>
      </c>
      <c r="AD118" s="195">
        <f>IF(B118="","",LOG10(B118))</f>
        <v/>
      </c>
      <c r="AE118" s="195">
        <f>IF(AB118="","",LOG10(MAX(AB118,1E-12)))</f>
        <v/>
      </c>
      <c r="AF118" s="195">
        <f>IF(B118="","",SQRT(P118^2+Q118^2))</f>
        <v/>
      </c>
      <c r="AG118" s="195">
        <f>IF(B118="","",SQRT(R118^2+S118^2))</f>
        <v/>
      </c>
    </row>
    <row r="119">
      <c r="A119" t="n">
        <v>116</v>
      </c>
      <c r="B119" s="196">
        <f>IF(A119&lt;='入力・概要'!$B$40,10^(LOG10('入力・概要'!$B$38)+(A119-1)*(LOG10('入力・概要'!$B$39)-LOG10('入力・概要'!$B$38))/('入力・概要'!$B$40-1)),"")</f>
        <v/>
      </c>
      <c r="C119" s="195">
        <f>IF(B119="","",2*PI()*B119)</f>
        <v/>
      </c>
      <c r="D119" s="195">
        <f>IF(B119="","",ATANH(MIN(0.999999,'入力・概要'!$E$20/'入力・概要'!$E$9))+'入力・概要'!$B$20*SQRT(B119/1E6)+E119*'入力・概要'!$B$15/2)</f>
        <v/>
      </c>
      <c r="E119" s="195">
        <f>IF(B119="","",C119*('入力・概要'!$E$11*1E-9))</f>
        <v/>
      </c>
      <c r="F119" s="195">
        <f>IF(B119="","",SINH(2*D119)/(COSH(2*D119)+COS(2*E119)))</f>
        <v/>
      </c>
      <c r="G119" s="195">
        <f>IF(B119="","",SIN(2*E119)/(COSH(2*D119)+COS(2*E119)))</f>
        <v/>
      </c>
      <c r="H119" s="195">
        <f>IF(B119="","",ATANH(MIN(0.999999,'入力・概要'!$E$21/'入力・概要'!$E$15))+'入力・概要'!$B$21*SQRT(B119/1E6)+I119*'入力・概要'!$B$16/2)</f>
        <v/>
      </c>
      <c r="I119" s="195">
        <f>IF(B119="","",C119*('入力・概要'!$E$17*1E-9))</f>
        <v/>
      </c>
      <c r="J119" s="195">
        <f>IF(B119="","",SINH(2*H119)/(COSH(2*H119)+COS(2*I119)))</f>
        <v/>
      </c>
      <c r="K119" s="195">
        <f>IF(B119="","",SIN(2*I119)/(COSH(2*H119)+COS(2*I119)))</f>
        <v/>
      </c>
      <c r="L119" s="195">
        <f>IF(B119="","",'入力・概要'!$B$25)</f>
        <v/>
      </c>
      <c r="M119" s="195">
        <f>IF(B119="","",C119*'入力・概要'!$B$26*1E-9-1/(C119*'入力・概要'!$B$24*1E-6))</f>
        <v/>
      </c>
      <c r="N119" s="195">
        <f>IF(B119="","",'入力・概要'!$B$28)</f>
        <v/>
      </c>
      <c r="O119" s="195">
        <f>IF(B119="","",C119*'入力・概要'!$B$29*1E-9-1/(C119*'入力・概要'!$B$27*1E-6))</f>
        <v/>
      </c>
      <c r="P119" s="195">
        <f>IF(B119="","",((L119*N119-M119*O119)*(L119+N119)+(L119*O119+M119*N119)*(M119+O119))/((L119+N119)^2+(M119+O119)^2))</f>
        <v/>
      </c>
      <c r="Q119" s="195">
        <f>IF(B119="","",((L119*O119+M119*N119)*(L119+N119)-(L119*N119-M119*O119)*(M119+O119))/((L119+N119)^2+(M119+O119)^2))</f>
        <v/>
      </c>
      <c r="R119" s="195">
        <f>IF(B119="","",'入力・概要'!$E$15*J119)</f>
        <v/>
      </c>
      <c r="S119" s="195">
        <f>IF(B119="","",'入力・概要'!$E$15*K119)</f>
        <v/>
      </c>
      <c r="T119" s="195">
        <f>IF(B119="","",P119+R119)</f>
        <v/>
      </c>
      <c r="U119" s="195">
        <f>IF(B119="","",Q119+S119)</f>
        <v/>
      </c>
      <c r="V119" s="195">
        <f>IF(B119="","",T119+'入力・概要'!$E$9*F119)</f>
        <v/>
      </c>
      <c r="W119" s="195">
        <f>IF(B119="","",U119+'入力・概要'!$E$9*G119)</f>
        <v/>
      </c>
      <c r="X119" s="195">
        <f>IF(B119="","",'入力・概要'!$E$9+T119*F119-U119*G119)</f>
        <v/>
      </c>
      <c r="Y119" s="195">
        <f>IF(B119="","",T119*G119+U119*F119)</f>
        <v/>
      </c>
      <c r="Z119" s="195">
        <f>IF(B119="","",'入力・概要'!$E$9*(V119*X119+W119*Y119)/(X119^2+Y119^2)+'入力・概要'!$B$36)</f>
        <v/>
      </c>
      <c r="AA119" s="195">
        <f>IF(B119="","",'入力・概要'!$E$9*(W119*X119-V119*Y119)/(X119^2+Y119^2)+C119*'入力・概要'!$B$37*1E-9)</f>
        <v/>
      </c>
      <c r="AB119" s="195">
        <f>IF(B119="","",SQRT(Z119^2+AA119^2))</f>
        <v/>
      </c>
      <c r="AC119" s="195">
        <f>IF(B119="","",IF(Z119&gt;0,DEGREES(ATAN(AA119/Z119)),IF(Z119&lt;0,IF(AA119&gt;=0,DEGREES(ATAN(AA119/Z119))+180,DEGREES(ATAN(AA119/Z119))-180),IF(AA119&gt;0,90,IF(AA119&lt;0,-90,0)))))</f>
        <v/>
      </c>
      <c r="AD119" s="195">
        <f>IF(B119="","",LOG10(B119))</f>
        <v/>
      </c>
      <c r="AE119" s="195">
        <f>IF(AB119="","",LOG10(MAX(AB119,1E-12)))</f>
        <v/>
      </c>
      <c r="AF119" s="195">
        <f>IF(B119="","",SQRT(P119^2+Q119^2))</f>
        <v/>
      </c>
      <c r="AG119" s="195">
        <f>IF(B119="","",SQRT(R119^2+S119^2))</f>
        <v/>
      </c>
    </row>
    <row r="120">
      <c r="A120" t="n">
        <v>117</v>
      </c>
      <c r="B120" s="196">
        <f>IF(A120&lt;='入力・概要'!$B$40,10^(LOG10('入力・概要'!$B$38)+(A120-1)*(LOG10('入力・概要'!$B$39)-LOG10('入力・概要'!$B$38))/('入力・概要'!$B$40-1)),"")</f>
        <v/>
      </c>
      <c r="C120" s="195">
        <f>IF(B120="","",2*PI()*B120)</f>
        <v/>
      </c>
      <c r="D120" s="195">
        <f>IF(B120="","",ATANH(MIN(0.999999,'入力・概要'!$E$20/'入力・概要'!$E$9))+'入力・概要'!$B$20*SQRT(B120/1E6)+E120*'入力・概要'!$B$15/2)</f>
        <v/>
      </c>
      <c r="E120" s="195">
        <f>IF(B120="","",C120*('入力・概要'!$E$11*1E-9))</f>
        <v/>
      </c>
      <c r="F120" s="195">
        <f>IF(B120="","",SINH(2*D120)/(COSH(2*D120)+COS(2*E120)))</f>
        <v/>
      </c>
      <c r="G120" s="195">
        <f>IF(B120="","",SIN(2*E120)/(COSH(2*D120)+COS(2*E120)))</f>
        <v/>
      </c>
      <c r="H120" s="195">
        <f>IF(B120="","",ATANH(MIN(0.999999,'入力・概要'!$E$21/'入力・概要'!$E$15))+'入力・概要'!$B$21*SQRT(B120/1E6)+I120*'入力・概要'!$B$16/2)</f>
        <v/>
      </c>
      <c r="I120" s="195">
        <f>IF(B120="","",C120*('入力・概要'!$E$17*1E-9))</f>
        <v/>
      </c>
      <c r="J120" s="195">
        <f>IF(B120="","",SINH(2*H120)/(COSH(2*H120)+COS(2*I120)))</f>
        <v/>
      </c>
      <c r="K120" s="195">
        <f>IF(B120="","",SIN(2*I120)/(COSH(2*H120)+COS(2*I120)))</f>
        <v/>
      </c>
      <c r="L120" s="195">
        <f>IF(B120="","",'入力・概要'!$B$25)</f>
        <v/>
      </c>
      <c r="M120" s="195">
        <f>IF(B120="","",C120*'入力・概要'!$B$26*1E-9-1/(C120*'入力・概要'!$B$24*1E-6))</f>
        <v/>
      </c>
      <c r="N120" s="195">
        <f>IF(B120="","",'入力・概要'!$B$28)</f>
        <v/>
      </c>
      <c r="O120" s="195">
        <f>IF(B120="","",C120*'入力・概要'!$B$29*1E-9-1/(C120*'入力・概要'!$B$27*1E-6))</f>
        <v/>
      </c>
      <c r="P120" s="195">
        <f>IF(B120="","",((L120*N120-M120*O120)*(L120+N120)+(L120*O120+M120*N120)*(M120+O120))/((L120+N120)^2+(M120+O120)^2))</f>
        <v/>
      </c>
      <c r="Q120" s="195">
        <f>IF(B120="","",((L120*O120+M120*N120)*(L120+N120)-(L120*N120-M120*O120)*(M120+O120))/((L120+N120)^2+(M120+O120)^2))</f>
        <v/>
      </c>
      <c r="R120" s="195">
        <f>IF(B120="","",'入力・概要'!$E$15*J120)</f>
        <v/>
      </c>
      <c r="S120" s="195">
        <f>IF(B120="","",'入力・概要'!$E$15*K120)</f>
        <v/>
      </c>
      <c r="T120" s="195">
        <f>IF(B120="","",P120+R120)</f>
        <v/>
      </c>
      <c r="U120" s="195">
        <f>IF(B120="","",Q120+S120)</f>
        <v/>
      </c>
      <c r="V120" s="195">
        <f>IF(B120="","",T120+'入力・概要'!$E$9*F120)</f>
        <v/>
      </c>
      <c r="W120" s="195">
        <f>IF(B120="","",U120+'入力・概要'!$E$9*G120)</f>
        <v/>
      </c>
      <c r="X120" s="195">
        <f>IF(B120="","",'入力・概要'!$E$9+T120*F120-U120*G120)</f>
        <v/>
      </c>
      <c r="Y120" s="195">
        <f>IF(B120="","",T120*G120+U120*F120)</f>
        <v/>
      </c>
      <c r="Z120" s="195">
        <f>IF(B120="","",'入力・概要'!$E$9*(V120*X120+W120*Y120)/(X120^2+Y120^2)+'入力・概要'!$B$36)</f>
        <v/>
      </c>
      <c r="AA120" s="195">
        <f>IF(B120="","",'入力・概要'!$E$9*(W120*X120-V120*Y120)/(X120^2+Y120^2)+C120*'入力・概要'!$B$37*1E-9)</f>
        <v/>
      </c>
      <c r="AB120" s="195">
        <f>IF(B120="","",SQRT(Z120^2+AA120^2))</f>
        <v/>
      </c>
      <c r="AC120" s="195">
        <f>IF(B120="","",IF(Z120&gt;0,DEGREES(ATAN(AA120/Z120)),IF(Z120&lt;0,IF(AA120&gt;=0,DEGREES(ATAN(AA120/Z120))+180,DEGREES(ATAN(AA120/Z120))-180),IF(AA120&gt;0,90,IF(AA120&lt;0,-90,0)))))</f>
        <v/>
      </c>
      <c r="AD120" s="195">
        <f>IF(B120="","",LOG10(B120))</f>
        <v/>
      </c>
      <c r="AE120" s="195">
        <f>IF(AB120="","",LOG10(MAX(AB120,1E-12)))</f>
        <v/>
      </c>
      <c r="AF120" s="195">
        <f>IF(B120="","",SQRT(P120^2+Q120^2))</f>
        <v/>
      </c>
      <c r="AG120" s="195">
        <f>IF(B120="","",SQRT(R120^2+S120^2))</f>
        <v/>
      </c>
    </row>
    <row r="121">
      <c r="A121" t="n">
        <v>118</v>
      </c>
      <c r="B121" s="196">
        <f>IF(A121&lt;='入力・概要'!$B$40,10^(LOG10('入力・概要'!$B$38)+(A121-1)*(LOG10('入力・概要'!$B$39)-LOG10('入力・概要'!$B$38))/('入力・概要'!$B$40-1)),"")</f>
        <v/>
      </c>
      <c r="C121" s="195">
        <f>IF(B121="","",2*PI()*B121)</f>
        <v/>
      </c>
      <c r="D121" s="195">
        <f>IF(B121="","",ATANH(MIN(0.999999,'入力・概要'!$E$20/'入力・概要'!$E$9))+'入力・概要'!$B$20*SQRT(B121/1E6)+E121*'入力・概要'!$B$15/2)</f>
        <v/>
      </c>
      <c r="E121" s="195">
        <f>IF(B121="","",C121*('入力・概要'!$E$11*1E-9))</f>
        <v/>
      </c>
      <c r="F121" s="195">
        <f>IF(B121="","",SINH(2*D121)/(COSH(2*D121)+COS(2*E121)))</f>
        <v/>
      </c>
      <c r="G121" s="195">
        <f>IF(B121="","",SIN(2*E121)/(COSH(2*D121)+COS(2*E121)))</f>
        <v/>
      </c>
      <c r="H121" s="195">
        <f>IF(B121="","",ATANH(MIN(0.999999,'入力・概要'!$E$21/'入力・概要'!$E$15))+'入力・概要'!$B$21*SQRT(B121/1E6)+I121*'入力・概要'!$B$16/2)</f>
        <v/>
      </c>
      <c r="I121" s="195">
        <f>IF(B121="","",C121*('入力・概要'!$E$17*1E-9))</f>
        <v/>
      </c>
      <c r="J121" s="195">
        <f>IF(B121="","",SINH(2*H121)/(COSH(2*H121)+COS(2*I121)))</f>
        <v/>
      </c>
      <c r="K121" s="195">
        <f>IF(B121="","",SIN(2*I121)/(COSH(2*H121)+COS(2*I121)))</f>
        <v/>
      </c>
      <c r="L121" s="195">
        <f>IF(B121="","",'入力・概要'!$B$25)</f>
        <v/>
      </c>
      <c r="M121" s="195">
        <f>IF(B121="","",C121*'入力・概要'!$B$26*1E-9-1/(C121*'入力・概要'!$B$24*1E-6))</f>
        <v/>
      </c>
      <c r="N121" s="195">
        <f>IF(B121="","",'入力・概要'!$B$28)</f>
        <v/>
      </c>
      <c r="O121" s="195">
        <f>IF(B121="","",C121*'入力・概要'!$B$29*1E-9-1/(C121*'入力・概要'!$B$27*1E-6))</f>
        <v/>
      </c>
      <c r="P121" s="195">
        <f>IF(B121="","",((L121*N121-M121*O121)*(L121+N121)+(L121*O121+M121*N121)*(M121+O121))/((L121+N121)^2+(M121+O121)^2))</f>
        <v/>
      </c>
      <c r="Q121" s="195">
        <f>IF(B121="","",((L121*O121+M121*N121)*(L121+N121)-(L121*N121-M121*O121)*(M121+O121))/((L121+N121)^2+(M121+O121)^2))</f>
        <v/>
      </c>
      <c r="R121" s="195">
        <f>IF(B121="","",'入力・概要'!$E$15*J121)</f>
        <v/>
      </c>
      <c r="S121" s="195">
        <f>IF(B121="","",'入力・概要'!$E$15*K121)</f>
        <v/>
      </c>
      <c r="T121" s="195">
        <f>IF(B121="","",P121+R121)</f>
        <v/>
      </c>
      <c r="U121" s="195">
        <f>IF(B121="","",Q121+S121)</f>
        <v/>
      </c>
      <c r="V121" s="195">
        <f>IF(B121="","",T121+'入力・概要'!$E$9*F121)</f>
        <v/>
      </c>
      <c r="W121" s="195">
        <f>IF(B121="","",U121+'入力・概要'!$E$9*G121)</f>
        <v/>
      </c>
      <c r="X121" s="195">
        <f>IF(B121="","",'入力・概要'!$E$9+T121*F121-U121*G121)</f>
        <v/>
      </c>
      <c r="Y121" s="195">
        <f>IF(B121="","",T121*G121+U121*F121)</f>
        <v/>
      </c>
      <c r="Z121" s="195">
        <f>IF(B121="","",'入力・概要'!$E$9*(V121*X121+W121*Y121)/(X121^2+Y121^2)+'入力・概要'!$B$36)</f>
        <v/>
      </c>
      <c r="AA121" s="195">
        <f>IF(B121="","",'入力・概要'!$E$9*(W121*X121-V121*Y121)/(X121^2+Y121^2)+C121*'入力・概要'!$B$37*1E-9)</f>
        <v/>
      </c>
      <c r="AB121" s="195">
        <f>IF(B121="","",SQRT(Z121^2+AA121^2))</f>
        <v/>
      </c>
      <c r="AC121" s="195">
        <f>IF(B121="","",IF(Z121&gt;0,DEGREES(ATAN(AA121/Z121)),IF(Z121&lt;0,IF(AA121&gt;=0,DEGREES(ATAN(AA121/Z121))+180,DEGREES(ATAN(AA121/Z121))-180),IF(AA121&gt;0,90,IF(AA121&lt;0,-90,0)))))</f>
        <v/>
      </c>
      <c r="AD121" s="195">
        <f>IF(B121="","",LOG10(B121))</f>
        <v/>
      </c>
      <c r="AE121" s="195">
        <f>IF(AB121="","",LOG10(MAX(AB121,1E-12)))</f>
        <v/>
      </c>
      <c r="AF121" s="195">
        <f>IF(B121="","",SQRT(P121^2+Q121^2))</f>
        <v/>
      </c>
      <c r="AG121" s="195">
        <f>IF(B121="","",SQRT(R121^2+S121^2))</f>
        <v/>
      </c>
    </row>
    <row r="122">
      <c r="A122" t="n">
        <v>119</v>
      </c>
      <c r="B122" s="196">
        <f>IF(A122&lt;='入力・概要'!$B$40,10^(LOG10('入力・概要'!$B$38)+(A122-1)*(LOG10('入力・概要'!$B$39)-LOG10('入力・概要'!$B$38))/('入力・概要'!$B$40-1)),"")</f>
        <v/>
      </c>
      <c r="C122" s="195">
        <f>IF(B122="","",2*PI()*B122)</f>
        <v/>
      </c>
      <c r="D122" s="195">
        <f>IF(B122="","",ATANH(MIN(0.999999,'入力・概要'!$E$20/'入力・概要'!$E$9))+'入力・概要'!$B$20*SQRT(B122/1E6)+E122*'入力・概要'!$B$15/2)</f>
        <v/>
      </c>
      <c r="E122" s="195">
        <f>IF(B122="","",C122*('入力・概要'!$E$11*1E-9))</f>
        <v/>
      </c>
      <c r="F122" s="195">
        <f>IF(B122="","",SINH(2*D122)/(COSH(2*D122)+COS(2*E122)))</f>
        <v/>
      </c>
      <c r="G122" s="195">
        <f>IF(B122="","",SIN(2*E122)/(COSH(2*D122)+COS(2*E122)))</f>
        <v/>
      </c>
      <c r="H122" s="195">
        <f>IF(B122="","",ATANH(MIN(0.999999,'入力・概要'!$E$21/'入力・概要'!$E$15))+'入力・概要'!$B$21*SQRT(B122/1E6)+I122*'入力・概要'!$B$16/2)</f>
        <v/>
      </c>
      <c r="I122" s="195">
        <f>IF(B122="","",C122*('入力・概要'!$E$17*1E-9))</f>
        <v/>
      </c>
      <c r="J122" s="195">
        <f>IF(B122="","",SINH(2*H122)/(COSH(2*H122)+COS(2*I122)))</f>
        <v/>
      </c>
      <c r="K122" s="195">
        <f>IF(B122="","",SIN(2*I122)/(COSH(2*H122)+COS(2*I122)))</f>
        <v/>
      </c>
      <c r="L122" s="195">
        <f>IF(B122="","",'入力・概要'!$B$25)</f>
        <v/>
      </c>
      <c r="M122" s="195">
        <f>IF(B122="","",C122*'入力・概要'!$B$26*1E-9-1/(C122*'入力・概要'!$B$24*1E-6))</f>
        <v/>
      </c>
      <c r="N122" s="195">
        <f>IF(B122="","",'入力・概要'!$B$28)</f>
        <v/>
      </c>
      <c r="O122" s="195">
        <f>IF(B122="","",C122*'入力・概要'!$B$29*1E-9-1/(C122*'入力・概要'!$B$27*1E-6))</f>
        <v/>
      </c>
      <c r="P122" s="195">
        <f>IF(B122="","",((L122*N122-M122*O122)*(L122+N122)+(L122*O122+M122*N122)*(M122+O122))/((L122+N122)^2+(M122+O122)^2))</f>
        <v/>
      </c>
      <c r="Q122" s="195">
        <f>IF(B122="","",((L122*O122+M122*N122)*(L122+N122)-(L122*N122-M122*O122)*(M122+O122))/((L122+N122)^2+(M122+O122)^2))</f>
        <v/>
      </c>
      <c r="R122" s="195">
        <f>IF(B122="","",'入力・概要'!$E$15*J122)</f>
        <v/>
      </c>
      <c r="S122" s="195">
        <f>IF(B122="","",'入力・概要'!$E$15*K122)</f>
        <v/>
      </c>
      <c r="T122" s="195">
        <f>IF(B122="","",P122+R122)</f>
        <v/>
      </c>
      <c r="U122" s="195">
        <f>IF(B122="","",Q122+S122)</f>
        <v/>
      </c>
      <c r="V122" s="195">
        <f>IF(B122="","",T122+'入力・概要'!$E$9*F122)</f>
        <v/>
      </c>
      <c r="W122" s="195">
        <f>IF(B122="","",U122+'入力・概要'!$E$9*G122)</f>
        <v/>
      </c>
      <c r="X122" s="195">
        <f>IF(B122="","",'入力・概要'!$E$9+T122*F122-U122*G122)</f>
        <v/>
      </c>
      <c r="Y122" s="195">
        <f>IF(B122="","",T122*G122+U122*F122)</f>
        <v/>
      </c>
      <c r="Z122" s="195">
        <f>IF(B122="","",'入力・概要'!$E$9*(V122*X122+W122*Y122)/(X122^2+Y122^2)+'入力・概要'!$B$36)</f>
        <v/>
      </c>
      <c r="AA122" s="195">
        <f>IF(B122="","",'入力・概要'!$E$9*(W122*X122-V122*Y122)/(X122^2+Y122^2)+C122*'入力・概要'!$B$37*1E-9)</f>
        <v/>
      </c>
      <c r="AB122" s="195">
        <f>IF(B122="","",SQRT(Z122^2+AA122^2))</f>
        <v/>
      </c>
      <c r="AC122" s="195">
        <f>IF(B122="","",IF(Z122&gt;0,DEGREES(ATAN(AA122/Z122)),IF(Z122&lt;0,IF(AA122&gt;=0,DEGREES(ATAN(AA122/Z122))+180,DEGREES(ATAN(AA122/Z122))-180),IF(AA122&gt;0,90,IF(AA122&lt;0,-90,0)))))</f>
        <v/>
      </c>
      <c r="AD122" s="195">
        <f>IF(B122="","",LOG10(B122))</f>
        <v/>
      </c>
      <c r="AE122" s="195">
        <f>IF(AB122="","",LOG10(MAX(AB122,1E-12)))</f>
        <v/>
      </c>
      <c r="AF122" s="195">
        <f>IF(B122="","",SQRT(P122^2+Q122^2))</f>
        <v/>
      </c>
      <c r="AG122" s="195">
        <f>IF(B122="","",SQRT(R122^2+S122^2))</f>
        <v/>
      </c>
    </row>
    <row r="123">
      <c r="A123" t="n">
        <v>120</v>
      </c>
      <c r="B123" s="196">
        <f>IF(A123&lt;='入力・概要'!$B$40,10^(LOG10('入力・概要'!$B$38)+(A123-1)*(LOG10('入力・概要'!$B$39)-LOG10('入力・概要'!$B$38))/('入力・概要'!$B$40-1)),"")</f>
        <v/>
      </c>
      <c r="C123" s="195">
        <f>IF(B123="","",2*PI()*B123)</f>
        <v/>
      </c>
      <c r="D123" s="195">
        <f>IF(B123="","",ATANH(MIN(0.999999,'入力・概要'!$E$20/'入力・概要'!$E$9))+'入力・概要'!$B$20*SQRT(B123/1E6)+E123*'入力・概要'!$B$15/2)</f>
        <v/>
      </c>
      <c r="E123" s="195">
        <f>IF(B123="","",C123*('入力・概要'!$E$11*1E-9))</f>
        <v/>
      </c>
      <c r="F123" s="195">
        <f>IF(B123="","",SINH(2*D123)/(COSH(2*D123)+COS(2*E123)))</f>
        <v/>
      </c>
      <c r="G123" s="195">
        <f>IF(B123="","",SIN(2*E123)/(COSH(2*D123)+COS(2*E123)))</f>
        <v/>
      </c>
      <c r="H123" s="195">
        <f>IF(B123="","",ATANH(MIN(0.999999,'入力・概要'!$E$21/'入力・概要'!$E$15))+'入力・概要'!$B$21*SQRT(B123/1E6)+I123*'入力・概要'!$B$16/2)</f>
        <v/>
      </c>
      <c r="I123" s="195">
        <f>IF(B123="","",C123*('入力・概要'!$E$17*1E-9))</f>
        <v/>
      </c>
      <c r="J123" s="195">
        <f>IF(B123="","",SINH(2*H123)/(COSH(2*H123)+COS(2*I123)))</f>
        <v/>
      </c>
      <c r="K123" s="195">
        <f>IF(B123="","",SIN(2*I123)/(COSH(2*H123)+COS(2*I123)))</f>
        <v/>
      </c>
      <c r="L123" s="195">
        <f>IF(B123="","",'入力・概要'!$B$25)</f>
        <v/>
      </c>
      <c r="M123" s="195">
        <f>IF(B123="","",C123*'入力・概要'!$B$26*1E-9-1/(C123*'入力・概要'!$B$24*1E-6))</f>
        <v/>
      </c>
      <c r="N123" s="195">
        <f>IF(B123="","",'入力・概要'!$B$28)</f>
        <v/>
      </c>
      <c r="O123" s="195">
        <f>IF(B123="","",C123*'入力・概要'!$B$29*1E-9-1/(C123*'入力・概要'!$B$27*1E-6))</f>
        <v/>
      </c>
      <c r="P123" s="195">
        <f>IF(B123="","",((L123*N123-M123*O123)*(L123+N123)+(L123*O123+M123*N123)*(M123+O123))/((L123+N123)^2+(M123+O123)^2))</f>
        <v/>
      </c>
      <c r="Q123" s="195">
        <f>IF(B123="","",((L123*O123+M123*N123)*(L123+N123)-(L123*N123-M123*O123)*(M123+O123))/((L123+N123)^2+(M123+O123)^2))</f>
        <v/>
      </c>
      <c r="R123" s="195">
        <f>IF(B123="","",'入力・概要'!$E$15*J123)</f>
        <v/>
      </c>
      <c r="S123" s="195">
        <f>IF(B123="","",'入力・概要'!$E$15*K123)</f>
        <v/>
      </c>
      <c r="T123" s="195">
        <f>IF(B123="","",P123+R123)</f>
        <v/>
      </c>
      <c r="U123" s="195">
        <f>IF(B123="","",Q123+S123)</f>
        <v/>
      </c>
      <c r="V123" s="195">
        <f>IF(B123="","",T123+'入力・概要'!$E$9*F123)</f>
        <v/>
      </c>
      <c r="W123" s="195">
        <f>IF(B123="","",U123+'入力・概要'!$E$9*G123)</f>
        <v/>
      </c>
      <c r="X123" s="195">
        <f>IF(B123="","",'入力・概要'!$E$9+T123*F123-U123*G123)</f>
        <v/>
      </c>
      <c r="Y123" s="195">
        <f>IF(B123="","",T123*G123+U123*F123)</f>
        <v/>
      </c>
      <c r="Z123" s="195">
        <f>IF(B123="","",'入力・概要'!$E$9*(V123*X123+W123*Y123)/(X123^2+Y123^2)+'入力・概要'!$B$36)</f>
        <v/>
      </c>
      <c r="AA123" s="195">
        <f>IF(B123="","",'入力・概要'!$E$9*(W123*X123-V123*Y123)/(X123^2+Y123^2)+C123*'入力・概要'!$B$37*1E-9)</f>
        <v/>
      </c>
      <c r="AB123" s="195">
        <f>IF(B123="","",SQRT(Z123^2+AA123^2))</f>
        <v/>
      </c>
      <c r="AC123" s="195">
        <f>IF(B123="","",IF(Z123&gt;0,DEGREES(ATAN(AA123/Z123)),IF(Z123&lt;0,IF(AA123&gt;=0,DEGREES(ATAN(AA123/Z123))+180,DEGREES(ATAN(AA123/Z123))-180),IF(AA123&gt;0,90,IF(AA123&lt;0,-90,0)))))</f>
        <v/>
      </c>
      <c r="AD123" s="195">
        <f>IF(B123="","",LOG10(B123))</f>
        <v/>
      </c>
      <c r="AE123" s="195">
        <f>IF(AB123="","",LOG10(MAX(AB123,1E-12)))</f>
        <v/>
      </c>
      <c r="AF123" s="195">
        <f>IF(B123="","",SQRT(P123^2+Q123^2))</f>
        <v/>
      </c>
      <c r="AG123" s="195">
        <f>IF(B123="","",SQRT(R123^2+S123^2))</f>
        <v/>
      </c>
    </row>
    <row r="124">
      <c r="A124" t="n">
        <v>121</v>
      </c>
      <c r="B124" s="196">
        <f>IF(A124&lt;='入力・概要'!$B$40,10^(LOG10('入力・概要'!$B$38)+(A124-1)*(LOG10('入力・概要'!$B$39)-LOG10('入力・概要'!$B$38))/('入力・概要'!$B$40-1)),"")</f>
        <v/>
      </c>
      <c r="C124" s="195">
        <f>IF(B124="","",2*PI()*B124)</f>
        <v/>
      </c>
      <c r="D124" s="195">
        <f>IF(B124="","",ATANH(MIN(0.999999,'入力・概要'!$E$20/'入力・概要'!$E$9))+'入力・概要'!$B$20*SQRT(B124/1E6)+E124*'入力・概要'!$B$15/2)</f>
        <v/>
      </c>
      <c r="E124" s="195">
        <f>IF(B124="","",C124*('入力・概要'!$E$11*1E-9))</f>
        <v/>
      </c>
      <c r="F124" s="195">
        <f>IF(B124="","",SINH(2*D124)/(COSH(2*D124)+COS(2*E124)))</f>
        <v/>
      </c>
      <c r="G124" s="195">
        <f>IF(B124="","",SIN(2*E124)/(COSH(2*D124)+COS(2*E124)))</f>
        <v/>
      </c>
      <c r="H124" s="195">
        <f>IF(B124="","",ATANH(MIN(0.999999,'入力・概要'!$E$21/'入力・概要'!$E$15))+'入力・概要'!$B$21*SQRT(B124/1E6)+I124*'入力・概要'!$B$16/2)</f>
        <v/>
      </c>
      <c r="I124" s="195">
        <f>IF(B124="","",C124*('入力・概要'!$E$17*1E-9))</f>
        <v/>
      </c>
      <c r="J124" s="195">
        <f>IF(B124="","",SINH(2*H124)/(COSH(2*H124)+COS(2*I124)))</f>
        <v/>
      </c>
      <c r="K124" s="195">
        <f>IF(B124="","",SIN(2*I124)/(COSH(2*H124)+COS(2*I124)))</f>
        <v/>
      </c>
      <c r="L124" s="195">
        <f>IF(B124="","",'入力・概要'!$B$25)</f>
        <v/>
      </c>
      <c r="M124" s="195">
        <f>IF(B124="","",C124*'入力・概要'!$B$26*1E-9-1/(C124*'入力・概要'!$B$24*1E-6))</f>
        <v/>
      </c>
      <c r="N124" s="195">
        <f>IF(B124="","",'入力・概要'!$B$28)</f>
        <v/>
      </c>
      <c r="O124" s="195">
        <f>IF(B124="","",C124*'入力・概要'!$B$29*1E-9-1/(C124*'入力・概要'!$B$27*1E-6))</f>
        <v/>
      </c>
      <c r="P124" s="195">
        <f>IF(B124="","",((L124*N124-M124*O124)*(L124+N124)+(L124*O124+M124*N124)*(M124+O124))/((L124+N124)^2+(M124+O124)^2))</f>
        <v/>
      </c>
      <c r="Q124" s="195">
        <f>IF(B124="","",((L124*O124+M124*N124)*(L124+N124)-(L124*N124-M124*O124)*(M124+O124))/((L124+N124)^2+(M124+O124)^2))</f>
        <v/>
      </c>
      <c r="R124" s="195">
        <f>IF(B124="","",'入力・概要'!$E$15*J124)</f>
        <v/>
      </c>
      <c r="S124" s="195">
        <f>IF(B124="","",'入力・概要'!$E$15*K124)</f>
        <v/>
      </c>
      <c r="T124" s="195">
        <f>IF(B124="","",P124+R124)</f>
        <v/>
      </c>
      <c r="U124" s="195">
        <f>IF(B124="","",Q124+S124)</f>
        <v/>
      </c>
      <c r="V124" s="195">
        <f>IF(B124="","",T124+'入力・概要'!$E$9*F124)</f>
        <v/>
      </c>
      <c r="W124" s="195">
        <f>IF(B124="","",U124+'入力・概要'!$E$9*G124)</f>
        <v/>
      </c>
      <c r="X124" s="195">
        <f>IF(B124="","",'入力・概要'!$E$9+T124*F124-U124*G124)</f>
        <v/>
      </c>
      <c r="Y124" s="195">
        <f>IF(B124="","",T124*G124+U124*F124)</f>
        <v/>
      </c>
      <c r="Z124" s="195">
        <f>IF(B124="","",'入力・概要'!$E$9*(V124*X124+W124*Y124)/(X124^2+Y124^2)+'入力・概要'!$B$36)</f>
        <v/>
      </c>
      <c r="AA124" s="195">
        <f>IF(B124="","",'入力・概要'!$E$9*(W124*X124-V124*Y124)/(X124^2+Y124^2)+C124*'入力・概要'!$B$37*1E-9)</f>
        <v/>
      </c>
      <c r="AB124" s="195">
        <f>IF(B124="","",SQRT(Z124^2+AA124^2))</f>
        <v/>
      </c>
      <c r="AC124" s="195">
        <f>IF(B124="","",IF(Z124&gt;0,DEGREES(ATAN(AA124/Z124)),IF(Z124&lt;0,IF(AA124&gt;=0,DEGREES(ATAN(AA124/Z124))+180,DEGREES(ATAN(AA124/Z124))-180),IF(AA124&gt;0,90,IF(AA124&lt;0,-90,0)))))</f>
        <v/>
      </c>
      <c r="AD124" s="195">
        <f>IF(B124="","",LOG10(B124))</f>
        <v/>
      </c>
      <c r="AE124" s="195">
        <f>IF(AB124="","",LOG10(MAX(AB124,1E-12)))</f>
        <v/>
      </c>
      <c r="AF124" s="195">
        <f>IF(B124="","",SQRT(P124^2+Q124^2))</f>
        <v/>
      </c>
      <c r="AG124" s="195">
        <f>IF(B124="","",SQRT(R124^2+S124^2))</f>
        <v/>
      </c>
    </row>
    <row r="125">
      <c r="A125" t="n">
        <v>122</v>
      </c>
      <c r="B125" s="196">
        <f>IF(A125&lt;='入力・概要'!$B$40,10^(LOG10('入力・概要'!$B$38)+(A125-1)*(LOG10('入力・概要'!$B$39)-LOG10('入力・概要'!$B$38))/('入力・概要'!$B$40-1)),"")</f>
        <v/>
      </c>
      <c r="C125" s="195">
        <f>IF(B125="","",2*PI()*B125)</f>
        <v/>
      </c>
      <c r="D125" s="195">
        <f>IF(B125="","",ATANH(MIN(0.999999,'入力・概要'!$E$20/'入力・概要'!$E$9))+'入力・概要'!$B$20*SQRT(B125/1E6)+E125*'入力・概要'!$B$15/2)</f>
        <v/>
      </c>
      <c r="E125" s="195">
        <f>IF(B125="","",C125*('入力・概要'!$E$11*1E-9))</f>
        <v/>
      </c>
      <c r="F125" s="195">
        <f>IF(B125="","",SINH(2*D125)/(COSH(2*D125)+COS(2*E125)))</f>
        <v/>
      </c>
      <c r="G125" s="195">
        <f>IF(B125="","",SIN(2*E125)/(COSH(2*D125)+COS(2*E125)))</f>
        <v/>
      </c>
      <c r="H125" s="195">
        <f>IF(B125="","",ATANH(MIN(0.999999,'入力・概要'!$E$21/'入力・概要'!$E$15))+'入力・概要'!$B$21*SQRT(B125/1E6)+I125*'入力・概要'!$B$16/2)</f>
        <v/>
      </c>
      <c r="I125" s="195">
        <f>IF(B125="","",C125*('入力・概要'!$E$17*1E-9))</f>
        <v/>
      </c>
      <c r="J125" s="195">
        <f>IF(B125="","",SINH(2*H125)/(COSH(2*H125)+COS(2*I125)))</f>
        <v/>
      </c>
      <c r="K125" s="195">
        <f>IF(B125="","",SIN(2*I125)/(COSH(2*H125)+COS(2*I125)))</f>
        <v/>
      </c>
      <c r="L125" s="195">
        <f>IF(B125="","",'入力・概要'!$B$25)</f>
        <v/>
      </c>
      <c r="M125" s="195">
        <f>IF(B125="","",C125*'入力・概要'!$B$26*1E-9-1/(C125*'入力・概要'!$B$24*1E-6))</f>
        <v/>
      </c>
      <c r="N125" s="195">
        <f>IF(B125="","",'入力・概要'!$B$28)</f>
        <v/>
      </c>
      <c r="O125" s="195">
        <f>IF(B125="","",C125*'入力・概要'!$B$29*1E-9-1/(C125*'入力・概要'!$B$27*1E-6))</f>
        <v/>
      </c>
      <c r="P125" s="195">
        <f>IF(B125="","",((L125*N125-M125*O125)*(L125+N125)+(L125*O125+M125*N125)*(M125+O125))/((L125+N125)^2+(M125+O125)^2))</f>
        <v/>
      </c>
      <c r="Q125" s="195">
        <f>IF(B125="","",((L125*O125+M125*N125)*(L125+N125)-(L125*N125-M125*O125)*(M125+O125))/((L125+N125)^2+(M125+O125)^2))</f>
        <v/>
      </c>
      <c r="R125" s="195">
        <f>IF(B125="","",'入力・概要'!$E$15*J125)</f>
        <v/>
      </c>
      <c r="S125" s="195">
        <f>IF(B125="","",'入力・概要'!$E$15*K125)</f>
        <v/>
      </c>
      <c r="T125" s="195">
        <f>IF(B125="","",P125+R125)</f>
        <v/>
      </c>
      <c r="U125" s="195">
        <f>IF(B125="","",Q125+S125)</f>
        <v/>
      </c>
      <c r="V125" s="195">
        <f>IF(B125="","",T125+'入力・概要'!$E$9*F125)</f>
        <v/>
      </c>
      <c r="W125" s="195">
        <f>IF(B125="","",U125+'入力・概要'!$E$9*G125)</f>
        <v/>
      </c>
      <c r="X125" s="195">
        <f>IF(B125="","",'入力・概要'!$E$9+T125*F125-U125*G125)</f>
        <v/>
      </c>
      <c r="Y125" s="195">
        <f>IF(B125="","",T125*G125+U125*F125)</f>
        <v/>
      </c>
      <c r="Z125" s="195">
        <f>IF(B125="","",'入力・概要'!$E$9*(V125*X125+W125*Y125)/(X125^2+Y125^2)+'入力・概要'!$B$36)</f>
        <v/>
      </c>
      <c r="AA125" s="195">
        <f>IF(B125="","",'入力・概要'!$E$9*(W125*X125-V125*Y125)/(X125^2+Y125^2)+C125*'入力・概要'!$B$37*1E-9)</f>
        <v/>
      </c>
      <c r="AB125" s="195">
        <f>IF(B125="","",SQRT(Z125^2+AA125^2))</f>
        <v/>
      </c>
      <c r="AC125" s="195">
        <f>IF(B125="","",IF(Z125&gt;0,DEGREES(ATAN(AA125/Z125)),IF(Z125&lt;0,IF(AA125&gt;=0,DEGREES(ATAN(AA125/Z125))+180,DEGREES(ATAN(AA125/Z125))-180),IF(AA125&gt;0,90,IF(AA125&lt;0,-90,0)))))</f>
        <v/>
      </c>
      <c r="AD125" s="195">
        <f>IF(B125="","",LOG10(B125))</f>
        <v/>
      </c>
      <c r="AE125" s="195">
        <f>IF(AB125="","",LOG10(MAX(AB125,1E-12)))</f>
        <v/>
      </c>
      <c r="AF125" s="195">
        <f>IF(B125="","",SQRT(P125^2+Q125^2))</f>
        <v/>
      </c>
      <c r="AG125" s="195">
        <f>IF(B125="","",SQRT(R125^2+S125^2))</f>
        <v/>
      </c>
    </row>
    <row r="126">
      <c r="A126" t="n">
        <v>123</v>
      </c>
      <c r="B126" s="196">
        <f>IF(A126&lt;='入力・概要'!$B$40,10^(LOG10('入力・概要'!$B$38)+(A126-1)*(LOG10('入力・概要'!$B$39)-LOG10('入力・概要'!$B$38))/('入力・概要'!$B$40-1)),"")</f>
        <v/>
      </c>
      <c r="C126" s="195">
        <f>IF(B126="","",2*PI()*B126)</f>
        <v/>
      </c>
      <c r="D126" s="195">
        <f>IF(B126="","",ATANH(MIN(0.999999,'入力・概要'!$E$20/'入力・概要'!$E$9))+'入力・概要'!$B$20*SQRT(B126/1E6)+E126*'入力・概要'!$B$15/2)</f>
        <v/>
      </c>
      <c r="E126" s="195">
        <f>IF(B126="","",C126*('入力・概要'!$E$11*1E-9))</f>
        <v/>
      </c>
      <c r="F126" s="195">
        <f>IF(B126="","",SINH(2*D126)/(COSH(2*D126)+COS(2*E126)))</f>
        <v/>
      </c>
      <c r="G126" s="195">
        <f>IF(B126="","",SIN(2*E126)/(COSH(2*D126)+COS(2*E126)))</f>
        <v/>
      </c>
      <c r="H126" s="195">
        <f>IF(B126="","",ATANH(MIN(0.999999,'入力・概要'!$E$21/'入力・概要'!$E$15))+'入力・概要'!$B$21*SQRT(B126/1E6)+I126*'入力・概要'!$B$16/2)</f>
        <v/>
      </c>
      <c r="I126" s="195">
        <f>IF(B126="","",C126*('入力・概要'!$E$17*1E-9))</f>
        <v/>
      </c>
      <c r="J126" s="195">
        <f>IF(B126="","",SINH(2*H126)/(COSH(2*H126)+COS(2*I126)))</f>
        <v/>
      </c>
      <c r="K126" s="195">
        <f>IF(B126="","",SIN(2*I126)/(COSH(2*H126)+COS(2*I126)))</f>
        <v/>
      </c>
      <c r="L126" s="195">
        <f>IF(B126="","",'入力・概要'!$B$25)</f>
        <v/>
      </c>
      <c r="M126" s="195">
        <f>IF(B126="","",C126*'入力・概要'!$B$26*1E-9-1/(C126*'入力・概要'!$B$24*1E-6))</f>
        <v/>
      </c>
      <c r="N126" s="195">
        <f>IF(B126="","",'入力・概要'!$B$28)</f>
        <v/>
      </c>
      <c r="O126" s="195">
        <f>IF(B126="","",C126*'入力・概要'!$B$29*1E-9-1/(C126*'入力・概要'!$B$27*1E-6))</f>
        <v/>
      </c>
      <c r="P126" s="195">
        <f>IF(B126="","",((L126*N126-M126*O126)*(L126+N126)+(L126*O126+M126*N126)*(M126+O126))/((L126+N126)^2+(M126+O126)^2))</f>
        <v/>
      </c>
      <c r="Q126" s="195">
        <f>IF(B126="","",((L126*O126+M126*N126)*(L126+N126)-(L126*N126-M126*O126)*(M126+O126))/((L126+N126)^2+(M126+O126)^2))</f>
        <v/>
      </c>
      <c r="R126" s="195">
        <f>IF(B126="","",'入力・概要'!$E$15*J126)</f>
        <v/>
      </c>
      <c r="S126" s="195">
        <f>IF(B126="","",'入力・概要'!$E$15*K126)</f>
        <v/>
      </c>
      <c r="T126" s="195">
        <f>IF(B126="","",P126+R126)</f>
        <v/>
      </c>
      <c r="U126" s="195">
        <f>IF(B126="","",Q126+S126)</f>
        <v/>
      </c>
      <c r="V126" s="195">
        <f>IF(B126="","",T126+'入力・概要'!$E$9*F126)</f>
        <v/>
      </c>
      <c r="W126" s="195">
        <f>IF(B126="","",U126+'入力・概要'!$E$9*G126)</f>
        <v/>
      </c>
      <c r="X126" s="195">
        <f>IF(B126="","",'入力・概要'!$E$9+T126*F126-U126*G126)</f>
        <v/>
      </c>
      <c r="Y126" s="195">
        <f>IF(B126="","",T126*G126+U126*F126)</f>
        <v/>
      </c>
      <c r="Z126" s="195">
        <f>IF(B126="","",'入力・概要'!$E$9*(V126*X126+W126*Y126)/(X126^2+Y126^2)+'入力・概要'!$B$36)</f>
        <v/>
      </c>
      <c r="AA126" s="195">
        <f>IF(B126="","",'入力・概要'!$E$9*(W126*X126-V126*Y126)/(X126^2+Y126^2)+C126*'入力・概要'!$B$37*1E-9)</f>
        <v/>
      </c>
      <c r="AB126" s="195">
        <f>IF(B126="","",SQRT(Z126^2+AA126^2))</f>
        <v/>
      </c>
      <c r="AC126" s="195">
        <f>IF(B126="","",IF(Z126&gt;0,DEGREES(ATAN(AA126/Z126)),IF(Z126&lt;0,IF(AA126&gt;=0,DEGREES(ATAN(AA126/Z126))+180,DEGREES(ATAN(AA126/Z126))-180),IF(AA126&gt;0,90,IF(AA126&lt;0,-90,0)))))</f>
        <v/>
      </c>
      <c r="AD126" s="195">
        <f>IF(B126="","",LOG10(B126))</f>
        <v/>
      </c>
      <c r="AE126" s="195">
        <f>IF(AB126="","",LOG10(MAX(AB126,1E-12)))</f>
        <v/>
      </c>
      <c r="AF126" s="195">
        <f>IF(B126="","",SQRT(P126^2+Q126^2))</f>
        <v/>
      </c>
      <c r="AG126" s="195">
        <f>IF(B126="","",SQRT(R126^2+S126^2))</f>
        <v/>
      </c>
    </row>
    <row r="127">
      <c r="A127" t="n">
        <v>124</v>
      </c>
      <c r="B127" s="196">
        <f>IF(A127&lt;='入力・概要'!$B$40,10^(LOG10('入力・概要'!$B$38)+(A127-1)*(LOG10('入力・概要'!$B$39)-LOG10('入力・概要'!$B$38))/('入力・概要'!$B$40-1)),"")</f>
        <v/>
      </c>
      <c r="C127" s="195">
        <f>IF(B127="","",2*PI()*B127)</f>
        <v/>
      </c>
      <c r="D127" s="195">
        <f>IF(B127="","",ATANH(MIN(0.999999,'入力・概要'!$E$20/'入力・概要'!$E$9))+'入力・概要'!$B$20*SQRT(B127/1E6)+E127*'入力・概要'!$B$15/2)</f>
        <v/>
      </c>
      <c r="E127" s="195">
        <f>IF(B127="","",C127*('入力・概要'!$E$11*1E-9))</f>
        <v/>
      </c>
      <c r="F127" s="195">
        <f>IF(B127="","",SINH(2*D127)/(COSH(2*D127)+COS(2*E127)))</f>
        <v/>
      </c>
      <c r="G127" s="195">
        <f>IF(B127="","",SIN(2*E127)/(COSH(2*D127)+COS(2*E127)))</f>
        <v/>
      </c>
      <c r="H127" s="195">
        <f>IF(B127="","",ATANH(MIN(0.999999,'入力・概要'!$E$21/'入力・概要'!$E$15))+'入力・概要'!$B$21*SQRT(B127/1E6)+I127*'入力・概要'!$B$16/2)</f>
        <v/>
      </c>
      <c r="I127" s="195">
        <f>IF(B127="","",C127*('入力・概要'!$E$17*1E-9))</f>
        <v/>
      </c>
      <c r="J127" s="195">
        <f>IF(B127="","",SINH(2*H127)/(COSH(2*H127)+COS(2*I127)))</f>
        <v/>
      </c>
      <c r="K127" s="195">
        <f>IF(B127="","",SIN(2*I127)/(COSH(2*H127)+COS(2*I127)))</f>
        <v/>
      </c>
      <c r="L127" s="195">
        <f>IF(B127="","",'入力・概要'!$B$25)</f>
        <v/>
      </c>
      <c r="M127" s="195">
        <f>IF(B127="","",C127*'入力・概要'!$B$26*1E-9-1/(C127*'入力・概要'!$B$24*1E-6))</f>
        <v/>
      </c>
      <c r="N127" s="195">
        <f>IF(B127="","",'入力・概要'!$B$28)</f>
        <v/>
      </c>
      <c r="O127" s="195">
        <f>IF(B127="","",C127*'入力・概要'!$B$29*1E-9-1/(C127*'入力・概要'!$B$27*1E-6))</f>
        <v/>
      </c>
      <c r="P127" s="195">
        <f>IF(B127="","",((L127*N127-M127*O127)*(L127+N127)+(L127*O127+M127*N127)*(M127+O127))/((L127+N127)^2+(M127+O127)^2))</f>
        <v/>
      </c>
      <c r="Q127" s="195">
        <f>IF(B127="","",((L127*O127+M127*N127)*(L127+N127)-(L127*N127-M127*O127)*(M127+O127))/((L127+N127)^2+(M127+O127)^2))</f>
        <v/>
      </c>
      <c r="R127" s="195">
        <f>IF(B127="","",'入力・概要'!$E$15*J127)</f>
        <v/>
      </c>
      <c r="S127" s="195">
        <f>IF(B127="","",'入力・概要'!$E$15*K127)</f>
        <v/>
      </c>
      <c r="T127" s="195">
        <f>IF(B127="","",P127+R127)</f>
        <v/>
      </c>
      <c r="U127" s="195">
        <f>IF(B127="","",Q127+S127)</f>
        <v/>
      </c>
      <c r="V127" s="195">
        <f>IF(B127="","",T127+'入力・概要'!$E$9*F127)</f>
        <v/>
      </c>
      <c r="W127" s="195">
        <f>IF(B127="","",U127+'入力・概要'!$E$9*G127)</f>
        <v/>
      </c>
      <c r="X127" s="195">
        <f>IF(B127="","",'入力・概要'!$E$9+T127*F127-U127*G127)</f>
        <v/>
      </c>
      <c r="Y127" s="195">
        <f>IF(B127="","",T127*G127+U127*F127)</f>
        <v/>
      </c>
      <c r="Z127" s="195">
        <f>IF(B127="","",'入力・概要'!$E$9*(V127*X127+W127*Y127)/(X127^2+Y127^2)+'入力・概要'!$B$36)</f>
        <v/>
      </c>
      <c r="AA127" s="195">
        <f>IF(B127="","",'入力・概要'!$E$9*(W127*X127-V127*Y127)/(X127^2+Y127^2)+C127*'入力・概要'!$B$37*1E-9)</f>
        <v/>
      </c>
      <c r="AB127" s="195">
        <f>IF(B127="","",SQRT(Z127^2+AA127^2))</f>
        <v/>
      </c>
      <c r="AC127" s="195">
        <f>IF(B127="","",IF(Z127&gt;0,DEGREES(ATAN(AA127/Z127)),IF(Z127&lt;0,IF(AA127&gt;=0,DEGREES(ATAN(AA127/Z127))+180,DEGREES(ATAN(AA127/Z127))-180),IF(AA127&gt;0,90,IF(AA127&lt;0,-90,0)))))</f>
        <v/>
      </c>
      <c r="AD127" s="195">
        <f>IF(B127="","",LOG10(B127))</f>
        <v/>
      </c>
      <c r="AE127" s="195">
        <f>IF(AB127="","",LOG10(MAX(AB127,1E-12)))</f>
        <v/>
      </c>
      <c r="AF127" s="195">
        <f>IF(B127="","",SQRT(P127^2+Q127^2))</f>
        <v/>
      </c>
      <c r="AG127" s="195">
        <f>IF(B127="","",SQRT(R127^2+S127^2))</f>
        <v/>
      </c>
    </row>
    <row r="128">
      <c r="A128" t="n">
        <v>125</v>
      </c>
      <c r="B128" s="196">
        <f>IF(A128&lt;='入力・概要'!$B$40,10^(LOG10('入力・概要'!$B$38)+(A128-1)*(LOG10('入力・概要'!$B$39)-LOG10('入力・概要'!$B$38))/('入力・概要'!$B$40-1)),"")</f>
        <v/>
      </c>
      <c r="C128" s="195">
        <f>IF(B128="","",2*PI()*B128)</f>
        <v/>
      </c>
      <c r="D128" s="195">
        <f>IF(B128="","",ATANH(MIN(0.999999,'入力・概要'!$E$20/'入力・概要'!$E$9))+'入力・概要'!$B$20*SQRT(B128/1E6)+E128*'入力・概要'!$B$15/2)</f>
        <v/>
      </c>
      <c r="E128" s="195">
        <f>IF(B128="","",C128*('入力・概要'!$E$11*1E-9))</f>
        <v/>
      </c>
      <c r="F128" s="195">
        <f>IF(B128="","",SINH(2*D128)/(COSH(2*D128)+COS(2*E128)))</f>
        <v/>
      </c>
      <c r="G128" s="195">
        <f>IF(B128="","",SIN(2*E128)/(COSH(2*D128)+COS(2*E128)))</f>
        <v/>
      </c>
      <c r="H128" s="195">
        <f>IF(B128="","",ATANH(MIN(0.999999,'入力・概要'!$E$21/'入力・概要'!$E$15))+'入力・概要'!$B$21*SQRT(B128/1E6)+I128*'入力・概要'!$B$16/2)</f>
        <v/>
      </c>
      <c r="I128" s="195">
        <f>IF(B128="","",C128*('入力・概要'!$E$17*1E-9))</f>
        <v/>
      </c>
      <c r="J128" s="195">
        <f>IF(B128="","",SINH(2*H128)/(COSH(2*H128)+COS(2*I128)))</f>
        <v/>
      </c>
      <c r="K128" s="195">
        <f>IF(B128="","",SIN(2*I128)/(COSH(2*H128)+COS(2*I128)))</f>
        <v/>
      </c>
      <c r="L128" s="195">
        <f>IF(B128="","",'入力・概要'!$B$25)</f>
        <v/>
      </c>
      <c r="M128" s="195">
        <f>IF(B128="","",C128*'入力・概要'!$B$26*1E-9-1/(C128*'入力・概要'!$B$24*1E-6))</f>
        <v/>
      </c>
      <c r="N128" s="195">
        <f>IF(B128="","",'入力・概要'!$B$28)</f>
        <v/>
      </c>
      <c r="O128" s="195">
        <f>IF(B128="","",C128*'入力・概要'!$B$29*1E-9-1/(C128*'入力・概要'!$B$27*1E-6))</f>
        <v/>
      </c>
      <c r="P128" s="195">
        <f>IF(B128="","",((L128*N128-M128*O128)*(L128+N128)+(L128*O128+M128*N128)*(M128+O128))/((L128+N128)^2+(M128+O128)^2))</f>
        <v/>
      </c>
      <c r="Q128" s="195">
        <f>IF(B128="","",((L128*O128+M128*N128)*(L128+N128)-(L128*N128-M128*O128)*(M128+O128))/((L128+N128)^2+(M128+O128)^2))</f>
        <v/>
      </c>
      <c r="R128" s="195">
        <f>IF(B128="","",'入力・概要'!$E$15*J128)</f>
        <v/>
      </c>
      <c r="S128" s="195">
        <f>IF(B128="","",'入力・概要'!$E$15*K128)</f>
        <v/>
      </c>
      <c r="T128" s="195">
        <f>IF(B128="","",P128+R128)</f>
        <v/>
      </c>
      <c r="U128" s="195">
        <f>IF(B128="","",Q128+S128)</f>
        <v/>
      </c>
      <c r="V128" s="195">
        <f>IF(B128="","",T128+'入力・概要'!$E$9*F128)</f>
        <v/>
      </c>
      <c r="W128" s="195">
        <f>IF(B128="","",U128+'入力・概要'!$E$9*G128)</f>
        <v/>
      </c>
      <c r="X128" s="195">
        <f>IF(B128="","",'入力・概要'!$E$9+T128*F128-U128*G128)</f>
        <v/>
      </c>
      <c r="Y128" s="195">
        <f>IF(B128="","",T128*G128+U128*F128)</f>
        <v/>
      </c>
      <c r="Z128" s="195">
        <f>IF(B128="","",'入力・概要'!$E$9*(V128*X128+W128*Y128)/(X128^2+Y128^2)+'入力・概要'!$B$36)</f>
        <v/>
      </c>
      <c r="AA128" s="195">
        <f>IF(B128="","",'入力・概要'!$E$9*(W128*X128-V128*Y128)/(X128^2+Y128^2)+C128*'入力・概要'!$B$37*1E-9)</f>
        <v/>
      </c>
      <c r="AB128" s="195">
        <f>IF(B128="","",SQRT(Z128^2+AA128^2))</f>
        <v/>
      </c>
      <c r="AC128" s="195">
        <f>IF(B128="","",IF(Z128&gt;0,DEGREES(ATAN(AA128/Z128)),IF(Z128&lt;0,IF(AA128&gt;=0,DEGREES(ATAN(AA128/Z128))+180,DEGREES(ATAN(AA128/Z128))-180),IF(AA128&gt;0,90,IF(AA128&lt;0,-90,0)))))</f>
        <v/>
      </c>
      <c r="AD128" s="195">
        <f>IF(B128="","",LOG10(B128))</f>
        <v/>
      </c>
      <c r="AE128" s="195">
        <f>IF(AB128="","",LOG10(MAX(AB128,1E-12)))</f>
        <v/>
      </c>
      <c r="AF128" s="195">
        <f>IF(B128="","",SQRT(P128^2+Q128^2))</f>
        <v/>
      </c>
      <c r="AG128" s="195">
        <f>IF(B128="","",SQRT(R128^2+S128^2))</f>
        <v/>
      </c>
    </row>
    <row r="129">
      <c r="A129" t="n">
        <v>126</v>
      </c>
      <c r="B129" s="196">
        <f>IF(A129&lt;='入力・概要'!$B$40,10^(LOG10('入力・概要'!$B$38)+(A129-1)*(LOG10('入力・概要'!$B$39)-LOG10('入力・概要'!$B$38))/('入力・概要'!$B$40-1)),"")</f>
        <v/>
      </c>
      <c r="C129" s="195">
        <f>IF(B129="","",2*PI()*B129)</f>
        <v/>
      </c>
      <c r="D129" s="195">
        <f>IF(B129="","",ATANH(MIN(0.999999,'入力・概要'!$E$20/'入力・概要'!$E$9))+'入力・概要'!$B$20*SQRT(B129/1E6)+E129*'入力・概要'!$B$15/2)</f>
        <v/>
      </c>
      <c r="E129" s="195">
        <f>IF(B129="","",C129*('入力・概要'!$E$11*1E-9))</f>
        <v/>
      </c>
      <c r="F129" s="195">
        <f>IF(B129="","",SINH(2*D129)/(COSH(2*D129)+COS(2*E129)))</f>
        <v/>
      </c>
      <c r="G129" s="195">
        <f>IF(B129="","",SIN(2*E129)/(COSH(2*D129)+COS(2*E129)))</f>
        <v/>
      </c>
      <c r="H129" s="195">
        <f>IF(B129="","",ATANH(MIN(0.999999,'入力・概要'!$E$21/'入力・概要'!$E$15))+'入力・概要'!$B$21*SQRT(B129/1E6)+I129*'入力・概要'!$B$16/2)</f>
        <v/>
      </c>
      <c r="I129" s="195">
        <f>IF(B129="","",C129*('入力・概要'!$E$17*1E-9))</f>
        <v/>
      </c>
      <c r="J129" s="195">
        <f>IF(B129="","",SINH(2*H129)/(COSH(2*H129)+COS(2*I129)))</f>
        <v/>
      </c>
      <c r="K129" s="195">
        <f>IF(B129="","",SIN(2*I129)/(COSH(2*H129)+COS(2*I129)))</f>
        <v/>
      </c>
      <c r="L129" s="195">
        <f>IF(B129="","",'入力・概要'!$B$25)</f>
        <v/>
      </c>
      <c r="M129" s="195">
        <f>IF(B129="","",C129*'入力・概要'!$B$26*1E-9-1/(C129*'入力・概要'!$B$24*1E-6))</f>
        <v/>
      </c>
      <c r="N129" s="195">
        <f>IF(B129="","",'入力・概要'!$B$28)</f>
        <v/>
      </c>
      <c r="O129" s="195">
        <f>IF(B129="","",C129*'入力・概要'!$B$29*1E-9-1/(C129*'入力・概要'!$B$27*1E-6))</f>
        <v/>
      </c>
      <c r="P129" s="195">
        <f>IF(B129="","",((L129*N129-M129*O129)*(L129+N129)+(L129*O129+M129*N129)*(M129+O129))/((L129+N129)^2+(M129+O129)^2))</f>
        <v/>
      </c>
      <c r="Q129" s="195">
        <f>IF(B129="","",((L129*O129+M129*N129)*(L129+N129)-(L129*N129-M129*O129)*(M129+O129))/((L129+N129)^2+(M129+O129)^2))</f>
        <v/>
      </c>
      <c r="R129" s="195">
        <f>IF(B129="","",'入力・概要'!$E$15*J129)</f>
        <v/>
      </c>
      <c r="S129" s="195">
        <f>IF(B129="","",'入力・概要'!$E$15*K129)</f>
        <v/>
      </c>
      <c r="T129" s="195">
        <f>IF(B129="","",P129+R129)</f>
        <v/>
      </c>
      <c r="U129" s="195">
        <f>IF(B129="","",Q129+S129)</f>
        <v/>
      </c>
      <c r="V129" s="195">
        <f>IF(B129="","",T129+'入力・概要'!$E$9*F129)</f>
        <v/>
      </c>
      <c r="W129" s="195">
        <f>IF(B129="","",U129+'入力・概要'!$E$9*G129)</f>
        <v/>
      </c>
      <c r="X129" s="195">
        <f>IF(B129="","",'入力・概要'!$E$9+T129*F129-U129*G129)</f>
        <v/>
      </c>
      <c r="Y129" s="195">
        <f>IF(B129="","",T129*G129+U129*F129)</f>
        <v/>
      </c>
      <c r="Z129" s="195">
        <f>IF(B129="","",'入力・概要'!$E$9*(V129*X129+W129*Y129)/(X129^2+Y129^2)+'入力・概要'!$B$36)</f>
        <v/>
      </c>
      <c r="AA129" s="195">
        <f>IF(B129="","",'入力・概要'!$E$9*(W129*X129-V129*Y129)/(X129^2+Y129^2)+C129*'入力・概要'!$B$37*1E-9)</f>
        <v/>
      </c>
      <c r="AB129" s="195">
        <f>IF(B129="","",SQRT(Z129^2+AA129^2))</f>
        <v/>
      </c>
      <c r="AC129" s="195">
        <f>IF(B129="","",IF(Z129&gt;0,DEGREES(ATAN(AA129/Z129)),IF(Z129&lt;0,IF(AA129&gt;=0,DEGREES(ATAN(AA129/Z129))+180,DEGREES(ATAN(AA129/Z129))-180),IF(AA129&gt;0,90,IF(AA129&lt;0,-90,0)))))</f>
        <v/>
      </c>
      <c r="AD129" s="195">
        <f>IF(B129="","",LOG10(B129))</f>
        <v/>
      </c>
      <c r="AE129" s="195">
        <f>IF(AB129="","",LOG10(MAX(AB129,1E-12)))</f>
        <v/>
      </c>
      <c r="AF129" s="195">
        <f>IF(B129="","",SQRT(P129^2+Q129^2))</f>
        <v/>
      </c>
      <c r="AG129" s="195">
        <f>IF(B129="","",SQRT(R129^2+S129^2))</f>
        <v/>
      </c>
    </row>
    <row r="130">
      <c r="A130" t="n">
        <v>127</v>
      </c>
      <c r="B130" s="196">
        <f>IF(A130&lt;='入力・概要'!$B$40,10^(LOG10('入力・概要'!$B$38)+(A130-1)*(LOG10('入力・概要'!$B$39)-LOG10('入力・概要'!$B$38))/('入力・概要'!$B$40-1)),"")</f>
        <v/>
      </c>
      <c r="C130" s="195">
        <f>IF(B130="","",2*PI()*B130)</f>
        <v/>
      </c>
      <c r="D130" s="195">
        <f>IF(B130="","",ATANH(MIN(0.999999,'入力・概要'!$E$20/'入力・概要'!$E$9))+'入力・概要'!$B$20*SQRT(B130/1E6)+E130*'入力・概要'!$B$15/2)</f>
        <v/>
      </c>
      <c r="E130" s="195">
        <f>IF(B130="","",C130*('入力・概要'!$E$11*1E-9))</f>
        <v/>
      </c>
      <c r="F130" s="195">
        <f>IF(B130="","",SINH(2*D130)/(COSH(2*D130)+COS(2*E130)))</f>
        <v/>
      </c>
      <c r="G130" s="195">
        <f>IF(B130="","",SIN(2*E130)/(COSH(2*D130)+COS(2*E130)))</f>
        <v/>
      </c>
      <c r="H130" s="195">
        <f>IF(B130="","",ATANH(MIN(0.999999,'入力・概要'!$E$21/'入力・概要'!$E$15))+'入力・概要'!$B$21*SQRT(B130/1E6)+I130*'入力・概要'!$B$16/2)</f>
        <v/>
      </c>
      <c r="I130" s="195">
        <f>IF(B130="","",C130*('入力・概要'!$E$17*1E-9))</f>
        <v/>
      </c>
      <c r="J130" s="195">
        <f>IF(B130="","",SINH(2*H130)/(COSH(2*H130)+COS(2*I130)))</f>
        <v/>
      </c>
      <c r="K130" s="195">
        <f>IF(B130="","",SIN(2*I130)/(COSH(2*H130)+COS(2*I130)))</f>
        <v/>
      </c>
      <c r="L130" s="195">
        <f>IF(B130="","",'入力・概要'!$B$25)</f>
        <v/>
      </c>
      <c r="M130" s="195">
        <f>IF(B130="","",C130*'入力・概要'!$B$26*1E-9-1/(C130*'入力・概要'!$B$24*1E-6))</f>
        <v/>
      </c>
      <c r="N130" s="195">
        <f>IF(B130="","",'入力・概要'!$B$28)</f>
        <v/>
      </c>
      <c r="O130" s="195">
        <f>IF(B130="","",C130*'入力・概要'!$B$29*1E-9-1/(C130*'入力・概要'!$B$27*1E-6))</f>
        <v/>
      </c>
      <c r="P130" s="195">
        <f>IF(B130="","",((L130*N130-M130*O130)*(L130+N130)+(L130*O130+M130*N130)*(M130+O130))/((L130+N130)^2+(M130+O130)^2))</f>
        <v/>
      </c>
      <c r="Q130" s="195">
        <f>IF(B130="","",((L130*O130+M130*N130)*(L130+N130)-(L130*N130-M130*O130)*(M130+O130))/((L130+N130)^2+(M130+O130)^2))</f>
        <v/>
      </c>
      <c r="R130" s="195">
        <f>IF(B130="","",'入力・概要'!$E$15*J130)</f>
        <v/>
      </c>
      <c r="S130" s="195">
        <f>IF(B130="","",'入力・概要'!$E$15*K130)</f>
        <v/>
      </c>
      <c r="T130" s="195">
        <f>IF(B130="","",P130+R130)</f>
        <v/>
      </c>
      <c r="U130" s="195">
        <f>IF(B130="","",Q130+S130)</f>
        <v/>
      </c>
      <c r="V130" s="195">
        <f>IF(B130="","",T130+'入力・概要'!$E$9*F130)</f>
        <v/>
      </c>
      <c r="W130" s="195">
        <f>IF(B130="","",U130+'入力・概要'!$E$9*G130)</f>
        <v/>
      </c>
      <c r="X130" s="195">
        <f>IF(B130="","",'入力・概要'!$E$9+T130*F130-U130*G130)</f>
        <v/>
      </c>
      <c r="Y130" s="195">
        <f>IF(B130="","",T130*G130+U130*F130)</f>
        <v/>
      </c>
      <c r="Z130" s="195">
        <f>IF(B130="","",'入力・概要'!$E$9*(V130*X130+W130*Y130)/(X130^2+Y130^2)+'入力・概要'!$B$36)</f>
        <v/>
      </c>
      <c r="AA130" s="195">
        <f>IF(B130="","",'入力・概要'!$E$9*(W130*X130-V130*Y130)/(X130^2+Y130^2)+C130*'入力・概要'!$B$37*1E-9)</f>
        <v/>
      </c>
      <c r="AB130" s="195">
        <f>IF(B130="","",SQRT(Z130^2+AA130^2))</f>
        <v/>
      </c>
      <c r="AC130" s="195">
        <f>IF(B130="","",IF(Z130&gt;0,DEGREES(ATAN(AA130/Z130)),IF(Z130&lt;0,IF(AA130&gt;=0,DEGREES(ATAN(AA130/Z130))+180,DEGREES(ATAN(AA130/Z130))-180),IF(AA130&gt;0,90,IF(AA130&lt;0,-90,0)))))</f>
        <v/>
      </c>
      <c r="AD130" s="195">
        <f>IF(B130="","",LOG10(B130))</f>
        <v/>
      </c>
      <c r="AE130" s="195">
        <f>IF(AB130="","",LOG10(MAX(AB130,1E-12)))</f>
        <v/>
      </c>
      <c r="AF130" s="195">
        <f>IF(B130="","",SQRT(P130^2+Q130^2))</f>
        <v/>
      </c>
      <c r="AG130" s="195">
        <f>IF(B130="","",SQRT(R130^2+S130^2))</f>
        <v/>
      </c>
    </row>
    <row r="131">
      <c r="A131" t="n">
        <v>128</v>
      </c>
      <c r="B131" s="196">
        <f>IF(A131&lt;='入力・概要'!$B$40,10^(LOG10('入力・概要'!$B$38)+(A131-1)*(LOG10('入力・概要'!$B$39)-LOG10('入力・概要'!$B$38))/('入力・概要'!$B$40-1)),"")</f>
        <v/>
      </c>
      <c r="C131" s="195">
        <f>IF(B131="","",2*PI()*B131)</f>
        <v/>
      </c>
      <c r="D131" s="195">
        <f>IF(B131="","",ATANH(MIN(0.999999,'入力・概要'!$E$20/'入力・概要'!$E$9))+'入力・概要'!$B$20*SQRT(B131/1E6)+E131*'入力・概要'!$B$15/2)</f>
        <v/>
      </c>
      <c r="E131" s="195">
        <f>IF(B131="","",C131*('入力・概要'!$E$11*1E-9))</f>
        <v/>
      </c>
      <c r="F131" s="195">
        <f>IF(B131="","",SINH(2*D131)/(COSH(2*D131)+COS(2*E131)))</f>
        <v/>
      </c>
      <c r="G131" s="195">
        <f>IF(B131="","",SIN(2*E131)/(COSH(2*D131)+COS(2*E131)))</f>
        <v/>
      </c>
      <c r="H131" s="195">
        <f>IF(B131="","",ATANH(MIN(0.999999,'入力・概要'!$E$21/'入力・概要'!$E$15))+'入力・概要'!$B$21*SQRT(B131/1E6)+I131*'入力・概要'!$B$16/2)</f>
        <v/>
      </c>
      <c r="I131" s="195">
        <f>IF(B131="","",C131*('入力・概要'!$E$17*1E-9))</f>
        <v/>
      </c>
      <c r="J131" s="195">
        <f>IF(B131="","",SINH(2*H131)/(COSH(2*H131)+COS(2*I131)))</f>
        <v/>
      </c>
      <c r="K131" s="195">
        <f>IF(B131="","",SIN(2*I131)/(COSH(2*H131)+COS(2*I131)))</f>
        <v/>
      </c>
      <c r="L131" s="195">
        <f>IF(B131="","",'入力・概要'!$B$25)</f>
        <v/>
      </c>
      <c r="M131" s="195">
        <f>IF(B131="","",C131*'入力・概要'!$B$26*1E-9-1/(C131*'入力・概要'!$B$24*1E-6))</f>
        <v/>
      </c>
      <c r="N131" s="195">
        <f>IF(B131="","",'入力・概要'!$B$28)</f>
        <v/>
      </c>
      <c r="O131" s="195">
        <f>IF(B131="","",C131*'入力・概要'!$B$29*1E-9-1/(C131*'入力・概要'!$B$27*1E-6))</f>
        <v/>
      </c>
      <c r="P131" s="195">
        <f>IF(B131="","",((L131*N131-M131*O131)*(L131+N131)+(L131*O131+M131*N131)*(M131+O131))/((L131+N131)^2+(M131+O131)^2))</f>
        <v/>
      </c>
      <c r="Q131" s="195">
        <f>IF(B131="","",((L131*O131+M131*N131)*(L131+N131)-(L131*N131-M131*O131)*(M131+O131))/((L131+N131)^2+(M131+O131)^2))</f>
        <v/>
      </c>
      <c r="R131" s="195">
        <f>IF(B131="","",'入力・概要'!$E$15*J131)</f>
        <v/>
      </c>
      <c r="S131" s="195">
        <f>IF(B131="","",'入力・概要'!$E$15*K131)</f>
        <v/>
      </c>
      <c r="T131" s="195">
        <f>IF(B131="","",P131+R131)</f>
        <v/>
      </c>
      <c r="U131" s="195">
        <f>IF(B131="","",Q131+S131)</f>
        <v/>
      </c>
      <c r="V131" s="195">
        <f>IF(B131="","",T131+'入力・概要'!$E$9*F131)</f>
        <v/>
      </c>
      <c r="W131" s="195">
        <f>IF(B131="","",U131+'入力・概要'!$E$9*G131)</f>
        <v/>
      </c>
      <c r="X131" s="195">
        <f>IF(B131="","",'入力・概要'!$E$9+T131*F131-U131*G131)</f>
        <v/>
      </c>
      <c r="Y131" s="195">
        <f>IF(B131="","",T131*G131+U131*F131)</f>
        <v/>
      </c>
      <c r="Z131" s="195">
        <f>IF(B131="","",'入力・概要'!$E$9*(V131*X131+W131*Y131)/(X131^2+Y131^2)+'入力・概要'!$B$36)</f>
        <v/>
      </c>
      <c r="AA131" s="195">
        <f>IF(B131="","",'入力・概要'!$E$9*(W131*X131-V131*Y131)/(X131^2+Y131^2)+C131*'入力・概要'!$B$37*1E-9)</f>
        <v/>
      </c>
      <c r="AB131" s="195">
        <f>IF(B131="","",SQRT(Z131^2+AA131^2))</f>
        <v/>
      </c>
      <c r="AC131" s="195">
        <f>IF(B131="","",IF(Z131&gt;0,DEGREES(ATAN(AA131/Z131)),IF(Z131&lt;0,IF(AA131&gt;=0,DEGREES(ATAN(AA131/Z131))+180,DEGREES(ATAN(AA131/Z131))-180),IF(AA131&gt;0,90,IF(AA131&lt;0,-90,0)))))</f>
        <v/>
      </c>
      <c r="AD131" s="195">
        <f>IF(B131="","",LOG10(B131))</f>
        <v/>
      </c>
      <c r="AE131" s="195">
        <f>IF(AB131="","",LOG10(MAX(AB131,1E-12)))</f>
        <v/>
      </c>
      <c r="AF131" s="195">
        <f>IF(B131="","",SQRT(P131^2+Q131^2))</f>
        <v/>
      </c>
      <c r="AG131" s="195">
        <f>IF(B131="","",SQRT(R131^2+S131^2))</f>
        <v/>
      </c>
    </row>
    <row r="132">
      <c r="A132" t="n">
        <v>129</v>
      </c>
      <c r="B132" s="196">
        <f>IF(A132&lt;='入力・概要'!$B$40,10^(LOG10('入力・概要'!$B$38)+(A132-1)*(LOG10('入力・概要'!$B$39)-LOG10('入力・概要'!$B$38))/('入力・概要'!$B$40-1)),"")</f>
        <v/>
      </c>
      <c r="C132" s="195">
        <f>IF(B132="","",2*PI()*B132)</f>
        <v/>
      </c>
      <c r="D132" s="195">
        <f>IF(B132="","",ATANH(MIN(0.999999,'入力・概要'!$E$20/'入力・概要'!$E$9))+'入力・概要'!$B$20*SQRT(B132/1E6)+E132*'入力・概要'!$B$15/2)</f>
        <v/>
      </c>
      <c r="E132" s="195">
        <f>IF(B132="","",C132*('入力・概要'!$E$11*1E-9))</f>
        <v/>
      </c>
      <c r="F132" s="195">
        <f>IF(B132="","",SINH(2*D132)/(COSH(2*D132)+COS(2*E132)))</f>
        <v/>
      </c>
      <c r="G132" s="195">
        <f>IF(B132="","",SIN(2*E132)/(COSH(2*D132)+COS(2*E132)))</f>
        <v/>
      </c>
      <c r="H132" s="195">
        <f>IF(B132="","",ATANH(MIN(0.999999,'入力・概要'!$E$21/'入力・概要'!$E$15))+'入力・概要'!$B$21*SQRT(B132/1E6)+I132*'入力・概要'!$B$16/2)</f>
        <v/>
      </c>
      <c r="I132" s="195">
        <f>IF(B132="","",C132*('入力・概要'!$E$17*1E-9))</f>
        <v/>
      </c>
      <c r="J132" s="195">
        <f>IF(B132="","",SINH(2*H132)/(COSH(2*H132)+COS(2*I132)))</f>
        <v/>
      </c>
      <c r="K132" s="195">
        <f>IF(B132="","",SIN(2*I132)/(COSH(2*H132)+COS(2*I132)))</f>
        <v/>
      </c>
      <c r="L132" s="195">
        <f>IF(B132="","",'入力・概要'!$B$25)</f>
        <v/>
      </c>
      <c r="M132" s="195">
        <f>IF(B132="","",C132*'入力・概要'!$B$26*1E-9-1/(C132*'入力・概要'!$B$24*1E-6))</f>
        <v/>
      </c>
      <c r="N132" s="195">
        <f>IF(B132="","",'入力・概要'!$B$28)</f>
        <v/>
      </c>
      <c r="O132" s="195">
        <f>IF(B132="","",C132*'入力・概要'!$B$29*1E-9-1/(C132*'入力・概要'!$B$27*1E-6))</f>
        <v/>
      </c>
      <c r="P132" s="195">
        <f>IF(B132="","",((L132*N132-M132*O132)*(L132+N132)+(L132*O132+M132*N132)*(M132+O132))/((L132+N132)^2+(M132+O132)^2))</f>
        <v/>
      </c>
      <c r="Q132" s="195">
        <f>IF(B132="","",((L132*O132+M132*N132)*(L132+N132)-(L132*N132-M132*O132)*(M132+O132))/((L132+N132)^2+(M132+O132)^2))</f>
        <v/>
      </c>
      <c r="R132" s="195">
        <f>IF(B132="","",'入力・概要'!$E$15*J132)</f>
        <v/>
      </c>
      <c r="S132" s="195">
        <f>IF(B132="","",'入力・概要'!$E$15*K132)</f>
        <v/>
      </c>
      <c r="T132" s="195">
        <f>IF(B132="","",P132+R132)</f>
        <v/>
      </c>
      <c r="U132" s="195">
        <f>IF(B132="","",Q132+S132)</f>
        <v/>
      </c>
      <c r="V132" s="195">
        <f>IF(B132="","",T132+'入力・概要'!$E$9*F132)</f>
        <v/>
      </c>
      <c r="W132" s="195">
        <f>IF(B132="","",U132+'入力・概要'!$E$9*G132)</f>
        <v/>
      </c>
      <c r="X132" s="195">
        <f>IF(B132="","",'入力・概要'!$E$9+T132*F132-U132*G132)</f>
        <v/>
      </c>
      <c r="Y132" s="195">
        <f>IF(B132="","",T132*G132+U132*F132)</f>
        <v/>
      </c>
      <c r="Z132" s="195">
        <f>IF(B132="","",'入力・概要'!$E$9*(V132*X132+W132*Y132)/(X132^2+Y132^2)+'入力・概要'!$B$36)</f>
        <v/>
      </c>
      <c r="AA132" s="195">
        <f>IF(B132="","",'入力・概要'!$E$9*(W132*X132-V132*Y132)/(X132^2+Y132^2)+C132*'入力・概要'!$B$37*1E-9)</f>
        <v/>
      </c>
      <c r="AB132" s="195">
        <f>IF(B132="","",SQRT(Z132^2+AA132^2))</f>
        <v/>
      </c>
      <c r="AC132" s="195">
        <f>IF(B132="","",IF(Z132&gt;0,DEGREES(ATAN(AA132/Z132)),IF(Z132&lt;0,IF(AA132&gt;=0,DEGREES(ATAN(AA132/Z132))+180,DEGREES(ATAN(AA132/Z132))-180),IF(AA132&gt;0,90,IF(AA132&lt;0,-90,0)))))</f>
        <v/>
      </c>
      <c r="AD132" s="195">
        <f>IF(B132="","",LOG10(B132))</f>
        <v/>
      </c>
      <c r="AE132" s="195">
        <f>IF(AB132="","",LOG10(MAX(AB132,1E-12)))</f>
        <v/>
      </c>
      <c r="AF132" s="195">
        <f>IF(B132="","",SQRT(P132^2+Q132^2))</f>
        <v/>
      </c>
      <c r="AG132" s="195">
        <f>IF(B132="","",SQRT(R132^2+S132^2))</f>
        <v/>
      </c>
    </row>
    <row r="133">
      <c r="A133" t="n">
        <v>130</v>
      </c>
      <c r="B133" s="196">
        <f>IF(A133&lt;='入力・概要'!$B$40,10^(LOG10('入力・概要'!$B$38)+(A133-1)*(LOG10('入力・概要'!$B$39)-LOG10('入力・概要'!$B$38))/('入力・概要'!$B$40-1)),"")</f>
        <v/>
      </c>
      <c r="C133" s="195">
        <f>IF(B133="","",2*PI()*B133)</f>
        <v/>
      </c>
      <c r="D133" s="195">
        <f>IF(B133="","",ATANH(MIN(0.999999,'入力・概要'!$E$20/'入力・概要'!$E$9))+'入力・概要'!$B$20*SQRT(B133/1E6)+E133*'入力・概要'!$B$15/2)</f>
        <v/>
      </c>
      <c r="E133" s="195">
        <f>IF(B133="","",C133*('入力・概要'!$E$11*1E-9))</f>
        <v/>
      </c>
      <c r="F133" s="195">
        <f>IF(B133="","",SINH(2*D133)/(COSH(2*D133)+COS(2*E133)))</f>
        <v/>
      </c>
      <c r="G133" s="195">
        <f>IF(B133="","",SIN(2*E133)/(COSH(2*D133)+COS(2*E133)))</f>
        <v/>
      </c>
      <c r="H133" s="195">
        <f>IF(B133="","",ATANH(MIN(0.999999,'入力・概要'!$E$21/'入力・概要'!$E$15))+'入力・概要'!$B$21*SQRT(B133/1E6)+I133*'入力・概要'!$B$16/2)</f>
        <v/>
      </c>
      <c r="I133" s="195">
        <f>IF(B133="","",C133*('入力・概要'!$E$17*1E-9))</f>
        <v/>
      </c>
      <c r="J133" s="195">
        <f>IF(B133="","",SINH(2*H133)/(COSH(2*H133)+COS(2*I133)))</f>
        <v/>
      </c>
      <c r="K133" s="195">
        <f>IF(B133="","",SIN(2*I133)/(COSH(2*H133)+COS(2*I133)))</f>
        <v/>
      </c>
      <c r="L133" s="195">
        <f>IF(B133="","",'入力・概要'!$B$25)</f>
        <v/>
      </c>
      <c r="M133" s="195">
        <f>IF(B133="","",C133*'入力・概要'!$B$26*1E-9-1/(C133*'入力・概要'!$B$24*1E-6))</f>
        <v/>
      </c>
      <c r="N133" s="195">
        <f>IF(B133="","",'入力・概要'!$B$28)</f>
        <v/>
      </c>
      <c r="O133" s="195">
        <f>IF(B133="","",C133*'入力・概要'!$B$29*1E-9-1/(C133*'入力・概要'!$B$27*1E-6))</f>
        <v/>
      </c>
      <c r="P133" s="195">
        <f>IF(B133="","",((L133*N133-M133*O133)*(L133+N133)+(L133*O133+M133*N133)*(M133+O133))/((L133+N133)^2+(M133+O133)^2))</f>
        <v/>
      </c>
      <c r="Q133" s="195">
        <f>IF(B133="","",((L133*O133+M133*N133)*(L133+N133)-(L133*N133-M133*O133)*(M133+O133))/((L133+N133)^2+(M133+O133)^2))</f>
        <v/>
      </c>
      <c r="R133" s="195">
        <f>IF(B133="","",'入力・概要'!$E$15*J133)</f>
        <v/>
      </c>
      <c r="S133" s="195">
        <f>IF(B133="","",'入力・概要'!$E$15*K133)</f>
        <v/>
      </c>
      <c r="T133" s="195">
        <f>IF(B133="","",P133+R133)</f>
        <v/>
      </c>
      <c r="U133" s="195">
        <f>IF(B133="","",Q133+S133)</f>
        <v/>
      </c>
      <c r="V133" s="195">
        <f>IF(B133="","",T133+'入力・概要'!$E$9*F133)</f>
        <v/>
      </c>
      <c r="W133" s="195">
        <f>IF(B133="","",U133+'入力・概要'!$E$9*G133)</f>
        <v/>
      </c>
      <c r="X133" s="195">
        <f>IF(B133="","",'入力・概要'!$E$9+T133*F133-U133*G133)</f>
        <v/>
      </c>
      <c r="Y133" s="195">
        <f>IF(B133="","",T133*G133+U133*F133)</f>
        <v/>
      </c>
      <c r="Z133" s="195">
        <f>IF(B133="","",'入力・概要'!$E$9*(V133*X133+W133*Y133)/(X133^2+Y133^2)+'入力・概要'!$B$36)</f>
        <v/>
      </c>
      <c r="AA133" s="195">
        <f>IF(B133="","",'入力・概要'!$E$9*(W133*X133-V133*Y133)/(X133^2+Y133^2)+C133*'入力・概要'!$B$37*1E-9)</f>
        <v/>
      </c>
      <c r="AB133" s="195">
        <f>IF(B133="","",SQRT(Z133^2+AA133^2))</f>
        <v/>
      </c>
      <c r="AC133" s="195">
        <f>IF(B133="","",IF(Z133&gt;0,DEGREES(ATAN(AA133/Z133)),IF(Z133&lt;0,IF(AA133&gt;=0,DEGREES(ATAN(AA133/Z133))+180,DEGREES(ATAN(AA133/Z133))-180),IF(AA133&gt;0,90,IF(AA133&lt;0,-90,0)))))</f>
        <v/>
      </c>
      <c r="AD133" s="195">
        <f>IF(B133="","",LOG10(B133))</f>
        <v/>
      </c>
      <c r="AE133" s="195">
        <f>IF(AB133="","",LOG10(MAX(AB133,1E-12)))</f>
        <v/>
      </c>
      <c r="AF133" s="195">
        <f>IF(B133="","",SQRT(P133^2+Q133^2))</f>
        <v/>
      </c>
      <c r="AG133" s="195">
        <f>IF(B133="","",SQRT(R133^2+S133^2))</f>
        <v/>
      </c>
    </row>
    <row r="134">
      <c r="A134" t="n">
        <v>131</v>
      </c>
      <c r="B134" s="196">
        <f>IF(A134&lt;='入力・概要'!$B$40,10^(LOG10('入力・概要'!$B$38)+(A134-1)*(LOG10('入力・概要'!$B$39)-LOG10('入力・概要'!$B$38))/('入力・概要'!$B$40-1)),"")</f>
        <v/>
      </c>
      <c r="C134" s="195">
        <f>IF(B134="","",2*PI()*B134)</f>
        <v/>
      </c>
      <c r="D134" s="195">
        <f>IF(B134="","",ATANH(MIN(0.999999,'入力・概要'!$E$20/'入力・概要'!$E$9))+'入力・概要'!$B$20*SQRT(B134/1E6)+E134*'入力・概要'!$B$15/2)</f>
        <v/>
      </c>
      <c r="E134" s="195">
        <f>IF(B134="","",C134*('入力・概要'!$E$11*1E-9))</f>
        <v/>
      </c>
      <c r="F134" s="195">
        <f>IF(B134="","",SINH(2*D134)/(COSH(2*D134)+COS(2*E134)))</f>
        <v/>
      </c>
      <c r="G134" s="195">
        <f>IF(B134="","",SIN(2*E134)/(COSH(2*D134)+COS(2*E134)))</f>
        <v/>
      </c>
      <c r="H134" s="195">
        <f>IF(B134="","",ATANH(MIN(0.999999,'入力・概要'!$E$21/'入力・概要'!$E$15))+'入力・概要'!$B$21*SQRT(B134/1E6)+I134*'入力・概要'!$B$16/2)</f>
        <v/>
      </c>
      <c r="I134" s="195">
        <f>IF(B134="","",C134*('入力・概要'!$E$17*1E-9))</f>
        <v/>
      </c>
      <c r="J134" s="195">
        <f>IF(B134="","",SINH(2*H134)/(COSH(2*H134)+COS(2*I134)))</f>
        <v/>
      </c>
      <c r="K134" s="195">
        <f>IF(B134="","",SIN(2*I134)/(COSH(2*H134)+COS(2*I134)))</f>
        <v/>
      </c>
      <c r="L134" s="195">
        <f>IF(B134="","",'入力・概要'!$B$25)</f>
        <v/>
      </c>
      <c r="M134" s="195">
        <f>IF(B134="","",C134*'入力・概要'!$B$26*1E-9-1/(C134*'入力・概要'!$B$24*1E-6))</f>
        <v/>
      </c>
      <c r="N134" s="195">
        <f>IF(B134="","",'入力・概要'!$B$28)</f>
        <v/>
      </c>
      <c r="O134" s="195">
        <f>IF(B134="","",C134*'入力・概要'!$B$29*1E-9-1/(C134*'入力・概要'!$B$27*1E-6))</f>
        <v/>
      </c>
      <c r="P134" s="195">
        <f>IF(B134="","",((L134*N134-M134*O134)*(L134+N134)+(L134*O134+M134*N134)*(M134+O134))/((L134+N134)^2+(M134+O134)^2))</f>
        <v/>
      </c>
      <c r="Q134" s="195">
        <f>IF(B134="","",((L134*O134+M134*N134)*(L134+N134)-(L134*N134-M134*O134)*(M134+O134))/((L134+N134)^2+(M134+O134)^2))</f>
        <v/>
      </c>
      <c r="R134" s="195">
        <f>IF(B134="","",'入力・概要'!$E$15*J134)</f>
        <v/>
      </c>
      <c r="S134" s="195">
        <f>IF(B134="","",'入力・概要'!$E$15*K134)</f>
        <v/>
      </c>
      <c r="T134" s="195">
        <f>IF(B134="","",P134+R134)</f>
        <v/>
      </c>
      <c r="U134" s="195">
        <f>IF(B134="","",Q134+S134)</f>
        <v/>
      </c>
      <c r="V134" s="195">
        <f>IF(B134="","",T134+'入力・概要'!$E$9*F134)</f>
        <v/>
      </c>
      <c r="W134" s="195">
        <f>IF(B134="","",U134+'入力・概要'!$E$9*G134)</f>
        <v/>
      </c>
      <c r="X134" s="195">
        <f>IF(B134="","",'入力・概要'!$E$9+T134*F134-U134*G134)</f>
        <v/>
      </c>
      <c r="Y134" s="195">
        <f>IF(B134="","",T134*G134+U134*F134)</f>
        <v/>
      </c>
      <c r="Z134" s="195">
        <f>IF(B134="","",'入力・概要'!$E$9*(V134*X134+W134*Y134)/(X134^2+Y134^2)+'入力・概要'!$B$36)</f>
        <v/>
      </c>
      <c r="AA134" s="195">
        <f>IF(B134="","",'入力・概要'!$E$9*(W134*X134-V134*Y134)/(X134^2+Y134^2)+C134*'入力・概要'!$B$37*1E-9)</f>
        <v/>
      </c>
      <c r="AB134" s="195">
        <f>IF(B134="","",SQRT(Z134^2+AA134^2))</f>
        <v/>
      </c>
      <c r="AC134" s="195">
        <f>IF(B134="","",IF(Z134&gt;0,DEGREES(ATAN(AA134/Z134)),IF(Z134&lt;0,IF(AA134&gt;=0,DEGREES(ATAN(AA134/Z134))+180,DEGREES(ATAN(AA134/Z134))-180),IF(AA134&gt;0,90,IF(AA134&lt;0,-90,0)))))</f>
        <v/>
      </c>
      <c r="AD134" s="195">
        <f>IF(B134="","",LOG10(B134))</f>
        <v/>
      </c>
      <c r="AE134" s="195">
        <f>IF(AB134="","",LOG10(MAX(AB134,1E-12)))</f>
        <v/>
      </c>
      <c r="AF134" s="195">
        <f>IF(B134="","",SQRT(P134^2+Q134^2))</f>
        <v/>
      </c>
      <c r="AG134" s="195">
        <f>IF(B134="","",SQRT(R134^2+S134^2))</f>
        <v/>
      </c>
    </row>
    <row r="135">
      <c r="A135" t="n">
        <v>132</v>
      </c>
      <c r="B135" s="196">
        <f>IF(A135&lt;='入力・概要'!$B$40,10^(LOG10('入力・概要'!$B$38)+(A135-1)*(LOG10('入力・概要'!$B$39)-LOG10('入力・概要'!$B$38))/('入力・概要'!$B$40-1)),"")</f>
        <v/>
      </c>
      <c r="C135" s="195">
        <f>IF(B135="","",2*PI()*B135)</f>
        <v/>
      </c>
      <c r="D135" s="195">
        <f>IF(B135="","",ATANH(MIN(0.999999,'入力・概要'!$E$20/'入力・概要'!$E$9))+'入力・概要'!$B$20*SQRT(B135/1E6)+E135*'入力・概要'!$B$15/2)</f>
        <v/>
      </c>
      <c r="E135" s="195">
        <f>IF(B135="","",C135*('入力・概要'!$E$11*1E-9))</f>
        <v/>
      </c>
      <c r="F135" s="195">
        <f>IF(B135="","",SINH(2*D135)/(COSH(2*D135)+COS(2*E135)))</f>
        <v/>
      </c>
      <c r="G135" s="195">
        <f>IF(B135="","",SIN(2*E135)/(COSH(2*D135)+COS(2*E135)))</f>
        <v/>
      </c>
      <c r="H135" s="195">
        <f>IF(B135="","",ATANH(MIN(0.999999,'入力・概要'!$E$21/'入力・概要'!$E$15))+'入力・概要'!$B$21*SQRT(B135/1E6)+I135*'入力・概要'!$B$16/2)</f>
        <v/>
      </c>
      <c r="I135" s="195">
        <f>IF(B135="","",C135*('入力・概要'!$E$17*1E-9))</f>
        <v/>
      </c>
      <c r="J135" s="195">
        <f>IF(B135="","",SINH(2*H135)/(COSH(2*H135)+COS(2*I135)))</f>
        <v/>
      </c>
      <c r="K135" s="195">
        <f>IF(B135="","",SIN(2*I135)/(COSH(2*H135)+COS(2*I135)))</f>
        <v/>
      </c>
      <c r="L135" s="195">
        <f>IF(B135="","",'入力・概要'!$B$25)</f>
        <v/>
      </c>
      <c r="M135" s="195">
        <f>IF(B135="","",C135*'入力・概要'!$B$26*1E-9-1/(C135*'入力・概要'!$B$24*1E-6))</f>
        <v/>
      </c>
      <c r="N135" s="195">
        <f>IF(B135="","",'入力・概要'!$B$28)</f>
        <v/>
      </c>
      <c r="O135" s="195">
        <f>IF(B135="","",C135*'入力・概要'!$B$29*1E-9-1/(C135*'入力・概要'!$B$27*1E-6))</f>
        <v/>
      </c>
      <c r="P135" s="195">
        <f>IF(B135="","",((L135*N135-M135*O135)*(L135+N135)+(L135*O135+M135*N135)*(M135+O135))/((L135+N135)^2+(M135+O135)^2))</f>
        <v/>
      </c>
      <c r="Q135" s="195">
        <f>IF(B135="","",((L135*O135+M135*N135)*(L135+N135)-(L135*N135-M135*O135)*(M135+O135))/((L135+N135)^2+(M135+O135)^2))</f>
        <v/>
      </c>
      <c r="R135" s="195">
        <f>IF(B135="","",'入力・概要'!$E$15*J135)</f>
        <v/>
      </c>
      <c r="S135" s="195">
        <f>IF(B135="","",'入力・概要'!$E$15*K135)</f>
        <v/>
      </c>
      <c r="T135" s="195">
        <f>IF(B135="","",P135+R135)</f>
        <v/>
      </c>
      <c r="U135" s="195">
        <f>IF(B135="","",Q135+S135)</f>
        <v/>
      </c>
      <c r="V135" s="195">
        <f>IF(B135="","",T135+'入力・概要'!$E$9*F135)</f>
        <v/>
      </c>
      <c r="W135" s="195">
        <f>IF(B135="","",U135+'入力・概要'!$E$9*G135)</f>
        <v/>
      </c>
      <c r="X135" s="195">
        <f>IF(B135="","",'入力・概要'!$E$9+T135*F135-U135*G135)</f>
        <v/>
      </c>
      <c r="Y135" s="195">
        <f>IF(B135="","",T135*G135+U135*F135)</f>
        <v/>
      </c>
      <c r="Z135" s="195">
        <f>IF(B135="","",'入力・概要'!$E$9*(V135*X135+W135*Y135)/(X135^2+Y135^2)+'入力・概要'!$B$36)</f>
        <v/>
      </c>
      <c r="AA135" s="195">
        <f>IF(B135="","",'入力・概要'!$E$9*(W135*X135-V135*Y135)/(X135^2+Y135^2)+C135*'入力・概要'!$B$37*1E-9)</f>
        <v/>
      </c>
      <c r="AB135" s="195">
        <f>IF(B135="","",SQRT(Z135^2+AA135^2))</f>
        <v/>
      </c>
      <c r="AC135" s="195">
        <f>IF(B135="","",IF(Z135&gt;0,DEGREES(ATAN(AA135/Z135)),IF(Z135&lt;0,IF(AA135&gt;=0,DEGREES(ATAN(AA135/Z135))+180,DEGREES(ATAN(AA135/Z135))-180),IF(AA135&gt;0,90,IF(AA135&lt;0,-90,0)))))</f>
        <v/>
      </c>
      <c r="AD135" s="195">
        <f>IF(B135="","",LOG10(B135))</f>
        <v/>
      </c>
      <c r="AE135" s="195">
        <f>IF(AB135="","",LOG10(MAX(AB135,1E-12)))</f>
        <v/>
      </c>
      <c r="AF135" s="195">
        <f>IF(B135="","",SQRT(P135^2+Q135^2))</f>
        <v/>
      </c>
      <c r="AG135" s="195">
        <f>IF(B135="","",SQRT(R135^2+S135^2))</f>
        <v/>
      </c>
    </row>
    <row r="136">
      <c r="A136" t="n">
        <v>133</v>
      </c>
      <c r="B136" s="196">
        <f>IF(A136&lt;='入力・概要'!$B$40,10^(LOG10('入力・概要'!$B$38)+(A136-1)*(LOG10('入力・概要'!$B$39)-LOG10('入力・概要'!$B$38))/('入力・概要'!$B$40-1)),"")</f>
        <v/>
      </c>
      <c r="C136" s="195">
        <f>IF(B136="","",2*PI()*B136)</f>
        <v/>
      </c>
      <c r="D136" s="195">
        <f>IF(B136="","",ATANH(MIN(0.999999,'入力・概要'!$E$20/'入力・概要'!$E$9))+'入力・概要'!$B$20*SQRT(B136/1E6)+E136*'入力・概要'!$B$15/2)</f>
        <v/>
      </c>
      <c r="E136" s="195">
        <f>IF(B136="","",C136*('入力・概要'!$E$11*1E-9))</f>
        <v/>
      </c>
      <c r="F136" s="195">
        <f>IF(B136="","",SINH(2*D136)/(COSH(2*D136)+COS(2*E136)))</f>
        <v/>
      </c>
      <c r="G136" s="195">
        <f>IF(B136="","",SIN(2*E136)/(COSH(2*D136)+COS(2*E136)))</f>
        <v/>
      </c>
      <c r="H136" s="195">
        <f>IF(B136="","",ATANH(MIN(0.999999,'入力・概要'!$E$21/'入力・概要'!$E$15))+'入力・概要'!$B$21*SQRT(B136/1E6)+I136*'入力・概要'!$B$16/2)</f>
        <v/>
      </c>
      <c r="I136" s="195">
        <f>IF(B136="","",C136*('入力・概要'!$E$17*1E-9))</f>
        <v/>
      </c>
      <c r="J136" s="195">
        <f>IF(B136="","",SINH(2*H136)/(COSH(2*H136)+COS(2*I136)))</f>
        <v/>
      </c>
      <c r="K136" s="195">
        <f>IF(B136="","",SIN(2*I136)/(COSH(2*H136)+COS(2*I136)))</f>
        <v/>
      </c>
      <c r="L136" s="195">
        <f>IF(B136="","",'入力・概要'!$B$25)</f>
        <v/>
      </c>
      <c r="M136" s="195">
        <f>IF(B136="","",C136*'入力・概要'!$B$26*1E-9-1/(C136*'入力・概要'!$B$24*1E-6))</f>
        <v/>
      </c>
      <c r="N136" s="195">
        <f>IF(B136="","",'入力・概要'!$B$28)</f>
        <v/>
      </c>
      <c r="O136" s="195">
        <f>IF(B136="","",C136*'入力・概要'!$B$29*1E-9-1/(C136*'入力・概要'!$B$27*1E-6))</f>
        <v/>
      </c>
      <c r="P136" s="195">
        <f>IF(B136="","",((L136*N136-M136*O136)*(L136+N136)+(L136*O136+M136*N136)*(M136+O136))/((L136+N136)^2+(M136+O136)^2))</f>
        <v/>
      </c>
      <c r="Q136" s="195">
        <f>IF(B136="","",((L136*O136+M136*N136)*(L136+N136)-(L136*N136-M136*O136)*(M136+O136))/((L136+N136)^2+(M136+O136)^2))</f>
        <v/>
      </c>
      <c r="R136" s="195">
        <f>IF(B136="","",'入力・概要'!$E$15*J136)</f>
        <v/>
      </c>
      <c r="S136" s="195">
        <f>IF(B136="","",'入力・概要'!$E$15*K136)</f>
        <v/>
      </c>
      <c r="T136" s="195">
        <f>IF(B136="","",P136+R136)</f>
        <v/>
      </c>
      <c r="U136" s="195">
        <f>IF(B136="","",Q136+S136)</f>
        <v/>
      </c>
      <c r="V136" s="195">
        <f>IF(B136="","",T136+'入力・概要'!$E$9*F136)</f>
        <v/>
      </c>
      <c r="W136" s="195">
        <f>IF(B136="","",U136+'入力・概要'!$E$9*G136)</f>
        <v/>
      </c>
      <c r="X136" s="195">
        <f>IF(B136="","",'入力・概要'!$E$9+T136*F136-U136*G136)</f>
        <v/>
      </c>
      <c r="Y136" s="195">
        <f>IF(B136="","",T136*G136+U136*F136)</f>
        <v/>
      </c>
      <c r="Z136" s="195">
        <f>IF(B136="","",'入力・概要'!$E$9*(V136*X136+W136*Y136)/(X136^2+Y136^2)+'入力・概要'!$B$36)</f>
        <v/>
      </c>
      <c r="AA136" s="195">
        <f>IF(B136="","",'入力・概要'!$E$9*(W136*X136-V136*Y136)/(X136^2+Y136^2)+C136*'入力・概要'!$B$37*1E-9)</f>
        <v/>
      </c>
      <c r="AB136" s="195">
        <f>IF(B136="","",SQRT(Z136^2+AA136^2))</f>
        <v/>
      </c>
      <c r="AC136" s="195">
        <f>IF(B136="","",IF(Z136&gt;0,DEGREES(ATAN(AA136/Z136)),IF(Z136&lt;0,IF(AA136&gt;=0,DEGREES(ATAN(AA136/Z136))+180,DEGREES(ATAN(AA136/Z136))-180),IF(AA136&gt;0,90,IF(AA136&lt;0,-90,0)))))</f>
        <v/>
      </c>
      <c r="AD136" s="195">
        <f>IF(B136="","",LOG10(B136))</f>
        <v/>
      </c>
      <c r="AE136" s="195">
        <f>IF(AB136="","",LOG10(MAX(AB136,1E-12)))</f>
        <v/>
      </c>
      <c r="AF136" s="195">
        <f>IF(B136="","",SQRT(P136^2+Q136^2))</f>
        <v/>
      </c>
      <c r="AG136" s="195">
        <f>IF(B136="","",SQRT(R136^2+S136^2))</f>
        <v/>
      </c>
    </row>
    <row r="137">
      <c r="A137" t="n">
        <v>134</v>
      </c>
      <c r="B137" s="196">
        <f>IF(A137&lt;='入力・概要'!$B$40,10^(LOG10('入力・概要'!$B$38)+(A137-1)*(LOG10('入力・概要'!$B$39)-LOG10('入力・概要'!$B$38))/('入力・概要'!$B$40-1)),"")</f>
        <v/>
      </c>
      <c r="C137" s="195">
        <f>IF(B137="","",2*PI()*B137)</f>
        <v/>
      </c>
      <c r="D137" s="195">
        <f>IF(B137="","",ATANH(MIN(0.999999,'入力・概要'!$E$20/'入力・概要'!$E$9))+'入力・概要'!$B$20*SQRT(B137/1E6)+E137*'入力・概要'!$B$15/2)</f>
        <v/>
      </c>
      <c r="E137" s="195">
        <f>IF(B137="","",C137*('入力・概要'!$E$11*1E-9))</f>
        <v/>
      </c>
      <c r="F137" s="195">
        <f>IF(B137="","",SINH(2*D137)/(COSH(2*D137)+COS(2*E137)))</f>
        <v/>
      </c>
      <c r="G137" s="195">
        <f>IF(B137="","",SIN(2*E137)/(COSH(2*D137)+COS(2*E137)))</f>
        <v/>
      </c>
      <c r="H137" s="195">
        <f>IF(B137="","",ATANH(MIN(0.999999,'入力・概要'!$E$21/'入力・概要'!$E$15))+'入力・概要'!$B$21*SQRT(B137/1E6)+I137*'入力・概要'!$B$16/2)</f>
        <v/>
      </c>
      <c r="I137" s="195">
        <f>IF(B137="","",C137*('入力・概要'!$E$17*1E-9))</f>
        <v/>
      </c>
      <c r="J137" s="195">
        <f>IF(B137="","",SINH(2*H137)/(COSH(2*H137)+COS(2*I137)))</f>
        <v/>
      </c>
      <c r="K137" s="195">
        <f>IF(B137="","",SIN(2*I137)/(COSH(2*H137)+COS(2*I137)))</f>
        <v/>
      </c>
      <c r="L137" s="195">
        <f>IF(B137="","",'入力・概要'!$B$25)</f>
        <v/>
      </c>
      <c r="M137" s="195">
        <f>IF(B137="","",C137*'入力・概要'!$B$26*1E-9-1/(C137*'入力・概要'!$B$24*1E-6))</f>
        <v/>
      </c>
      <c r="N137" s="195">
        <f>IF(B137="","",'入力・概要'!$B$28)</f>
        <v/>
      </c>
      <c r="O137" s="195">
        <f>IF(B137="","",C137*'入力・概要'!$B$29*1E-9-1/(C137*'入力・概要'!$B$27*1E-6))</f>
        <v/>
      </c>
      <c r="P137" s="195">
        <f>IF(B137="","",((L137*N137-M137*O137)*(L137+N137)+(L137*O137+M137*N137)*(M137+O137))/((L137+N137)^2+(M137+O137)^2))</f>
        <v/>
      </c>
      <c r="Q137" s="195">
        <f>IF(B137="","",((L137*O137+M137*N137)*(L137+N137)-(L137*N137-M137*O137)*(M137+O137))/((L137+N137)^2+(M137+O137)^2))</f>
        <v/>
      </c>
      <c r="R137" s="195">
        <f>IF(B137="","",'入力・概要'!$E$15*J137)</f>
        <v/>
      </c>
      <c r="S137" s="195">
        <f>IF(B137="","",'入力・概要'!$E$15*K137)</f>
        <v/>
      </c>
      <c r="T137" s="195">
        <f>IF(B137="","",P137+R137)</f>
        <v/>
      </c>
      <c r="U137" s="195">
        <f>IF(B137="","",Q137+S137)</f>
        <v/>
      </c>
      <c r="V137" s="195">
        <f>IF(B137="","",T137+'入力・概要'!$E$9*F137)</f>
        <v/>
      </c>
      <c r="W137" s="195">
        <f>IF(B137="","",U137+'入力・概要'!$E$9*G137)</f>
        <v/>
      </c>
      <c r="X137" s="195">
        <f>IF(B137="","",'入力・概要'!$E$9+T137*F137-U137*G137)</f>
        <v/>
      </c>
      <c r="Y137" s="195">
        <f>IF(B137="","",T137*G137+U137*F137)</f>
        <v/>
      </c>
      <c r="Z137" s="195">
        <f>IF(B137="","",'入力・概要'!$E$9*(V137*X137+W137*Y137)/(X137^2+Y137^2)+'入力・概要'!$B$36)</f>
        <v/>
      </c>
      <c r="AA137" s="195">
        <f>IF(B137="","",'入力・概要'!$E$9*(W137*X137-V137*Y137)/(X137^2+Y137^2)+C137*'入力・概要'!$B$37*1E-9)</f>
        <v/>
      </c>
      <c r="AB137" s="195">
        <f>IF(B137="","",SQRT(Z137^2+AA137^2))</f>
        <v/>
      </c>
      <c r="AC137" s="195">
        <f>IF(B137="","",IF(Z137&gt;0,DEGREES(ATAN(AA137/Z137)),IF(Z137&lt;0,IF(AA137&gt;=0,DEGREES(ATAN(AA137/Z137))+180,DEGREES(ATAN(AA137/Z137))-180),IF(AA137&gt;0,90,IF(AA137&lt;0,-90,0)))))</f>
        <v/>
      </c>
      <c r="AD137" s="195">
        <f>IF(B137="","",LOG10(B137))</f>
        <v/>
      </c>
      <c r="AE137" s="195">
        <f>IF(AB137="","",LOG10(MAX(AB137,1E-12)))</f>
        <v/>
      </c>
      <c r="AF137" s="195">
        <f>IF(B137="","",SQRT(P137^2+Q137^2))</f>
        <v/>
      </c>
      <c r="AG137" s="195">
        <f>IF(B137="","",SQRT(R137^2+S137^2))</f>
        <v/>
      </c>
    </row>
    <row r="138">
      <c r="A138" t="n">
        <v>135</v>
      </c>
      <c r="B138" s="196">
        <f>IF(A138&lt;='入力・概要'!$B$40,10^(LOG10('入力・概要'!$B$38)+(A138-1)*(LOG10('入力・概要'!$B$39)-LOG10('入力・概要'!$B$38))/('入力・概要'!$B$40-1)),"")</f>
        <v/>
      </c>
      <c r="C138" s="195">
        <f>IF(B138="","",2*PI()*B138)</f>
        <v/>
      </c>
      <c r="D138" s="195">
        <f>IF(B138="","",ATANH(MIN(0.999999,'入力・概要'!$E$20/'入力・概要'!$E$9))+'入力・概要'!$B$20*SQRT(B138/1E6)+E138*'入力・概要'!$B$15/2)</f>
        <v/>
      </c>
      <c r="E138" s="195">
        <f>IF(B138="","",C138*('入力・概要'!$E$11*1E-9))</f>
        <v/>
      </c>
      <c r="F138" s="195">
        <f>IF(B138="","",SINH(2*D138)/(COSH(2*D138)+COS(2*E138)))</f>
        <v/>
      </c>
      <c r="G138" s="195">
        <f>IF(B138="","",SIN(2*E138)/(COSH(2*D138)+COS(2*E138)))</f>
        <v/>
      </c>
      <c r="H138" s="195">
        <f>IF(B138="","",ATANH(MIN(0.999999,'入力・概要'!$E$21/'入力・概要'!$E$15))+'入力・概要'!$B$21*SQRT(B138/1E6)+I138*'入力・概要'!$B$16/2)</f>
        <v/>
      </c>
      <c r="I138" s="195">
        <f>IF(B138="","",C138*('入力・概要'!$E$17*1E-9))</f>
        <v/>
      </c>
      <c r="J138" s="195">
        <f>IF(B138="","",SINH(2*H138)/(COSH(2*H138)+COS(2*I138)))</f>
        <v/>
      </c>
      <c r="K138" s="195">
        <f>IF(B138="","",SIN(2*I138)/(COSH(2*H138)+COS(2*I138)))</f>
        <v/>
      </c>
      <c r="L138" s="195">
        <f>IF(B138="","",'入力・概要'!$B$25)</f>
        <v/>
      </c>
      <c r="M138" s="195">
        <f>IF(B138="","",C138*'入力・概要'!$B$26*1E-9-1/(C138*'入力・概要'!$B$24*1E-6))</f>
        <v/>
      </c>
      <c r="N138" s="195">
        <f>IF(B138="","",'入力・概要'!$B$28)</f>
        <v/>
      </c>
      <c r="O138" s="195">
        <f>IF(B138="","",C138*'入力・概要'!$B$29*1E-9-1/(C138*'入力・概要'!$B$27*1E-6))</f>
        <v/>
      </c>
      <c r="P138" s="195">
        <f>IF(B138="","",((L138*N138-M138*O138)*(L138+N138)+(L138*O138+M138*N138)*(M138+O138))/((L138+N138)^2+(M138+O138)^2))</f>
        <v/>
      </c>
      <c r="Q138" s="195">
        <f>IF(B138="","",((L138*O138+M138*N138)*(L138+N138)-(L138*N138-M138*O138)*(M138+O138))/((L138+N138)^2+(M138+O138)^2))</f>
        <v/>
      </c>
      <c r="R138" s="195">
        <f>IF(B138="","",'入力・概要'!$E$15*J138)</f>
        <v/>
      </c>
      <c r="S138" s="195">
        <f>IF(B138="","",'入力・概要'!$E$15*K138)</f>
        <v/>
      </c>
      <c r="T138" s="195">
        <f>IF(B138="","",P138+R138)</f>
        <v/>
      </c>
      <c r="U138" s="195">
        <f>IF(B138="","",Q138+S138)</f>
        <v/>
      </c>
      <c r="V138" s="195">
        <f>IF(B138="","",T138+'入力・概要'!$E$9*F138)</f>
        <v/>
      </c>
      <c r="W138" s="195">
        <f>IF(B138="","",U138+'入力・概要'!$E$9*G138)</f>
        <v/>
      </c>
      <c r="X138" s="195">
        <f>IF(B138="","",'入力・概要'!$E$9+T138*F138-U138*G138)</f>
        <v/>
      </c>
      <c r="Y138" s="195">
        <f>IF(B138="","",T138*G138+U138*F138)</f>
        <v/>
      </c>
      <c r="Z138" s="195">
        <f>IF(B138="","",'入力・概要'!$E$9*(V138*X138+W138*Y138)/(X138^2+Y138^2)+'入力・概要'!$B$36)</f>
        <v/>
      </c>
      <c r="AA138" s="195">
        <f>IF(B138="","",'入力・概要'!$E$9*(W138*X138-V138*Y138)/(X138^2+Y138^2)+C138*'入力・概要'!$B$37*1E-9)</f>
        <v/>
      </c>
      <c r="AB138" s="195">
        <f>IF(B138="","",SQRT(Z138^2+AA138^2))</f>
        <v/>
      </c>
      <c r="AC138" s="195">
        <f>IF(B138="","",IF(Z138&gt;0,DEGREES(ATAN(AA138/Z138)),IF(Z138&lt;0,IF(AA138&gt;=0,DEGREES(ATAN(AA138/Z138))+180,DEGREES(ATAN(AA138/Z138))-180),IF(AA138&gt;0,90,IF(AA138&lt;0,-90,0)))))</f>
        <v/>
      </c>
      <c r="AD138" s="195">
        <f>IF(B138="","",LOG10(B138))</f>
        <v/>
      </c>
      <c r="AE138" s="195">
        <f>IF(AB138="","",LOG10(MAX(AB138,1E-12)))</f>
        <v/>
      </c>
      <c r="AF138" s="195">
        <f>IF(B138="","",SQRT(P138^2+Q138^2))</f>
        <v/>
      </c>
      <c r="AG138" s="195">
        <f>IF(B138="","",SQRT(R138^2+S138^2))</f>
        <v/>
      </c>
    </row>
    <row r="139">
      <c r="A139" t="n">
        <v>136</v>
      </c>
      <c r="B139" s="196">
        <f>IF(A139&lt;='入力・概要'!$B$40,10^(LOG10('入力・概要'!$B$38)+(A139-1)*(LOG10('入力・概要'!$B$39)-LOG10('入力・概要'!$B$38))/('入力・概要'!$B$40-1)),"")</f>
        <v/>
      </c>
      <c r="C139" s="195">
        <f>IF(B139="","",2*PI()*B139)</f>
        <v/>
      </c>
      <c r="D139" s="195">
        <f>IF(B139="","",ATANH(MIN(0.999999,'入力・概要'!$E$20/'入力・概要'!$E$9))+'入力・概要'!$B$20*SQRT(B139/1E6)+E139*'入力・概要'!$B$15/2)</f>
        <v/>
      </c>
      <c r="E139" s="195">
        <f>IF(B139="","",C139*('入力・概要'!$E$11*1E-9))</f>
        <v/>
      </c>
      <c r="F139" s="195">
        <f>IF(B139="","",SINH(2*D139)/(COSH(2*D139)+COS(2*E139)))</f>
        <v/>
      </c>
      <c r="G139" s="195">
        <f>IF(B139="","",SIN(2*E139)/(COSH(2*D139)+COS(2*E139)))</f>
        <v/>
      </c>
      <c r="H139" s="195">
        <f>IF(B139="","",ATANH(MIN(0.999999,'入力・概要'!$E$21/'入力・概要'!$E$15))+'入力・概要'!$B$21*SQRT(B139/1E6)+I139*'入力・概要'!$B$16/2)</f>
        <v/>
      </c>
      <c r="I139" s="195">
        <f>IF(B139="","",C139*('入力・概要'!$E$17*1E-9))</f>
        <v/>
      </c>
      <c r="J139" s="195">
        <f>IF(B139="","",SINH(2*H139)/(COSH(2*H139)+COS(2*I139)))</f>
        <v/>
      </c>
      <c r="K139" s="195">
        <f>IF(B139="","",SIN(2*I139)/(COSH(2*H139)+COS(2*I139)))</f>
        <v/>
      </c>
      <c r="L139" s="195">
        <f>IF(B139="","",'入力・概要'!$B$25)</f>
        <v/>
      </c>
      <c r="M139" s="195">
        <f>IF(B139="","",C139*'入力・概要'!$B$26*1E-9-1/(C139*'入力・概要'!$B$24*1E-6))</f>
        <v/>
      </c>
      <c r="N139" s="195">
        <f>IF(B139="","",'入力・概要'!$B$28)</f>
        <v/>
      </c>
      <c r="O139" s="195">
        <f>IF(B139="","",C139*'入力・概要'!$B$29*1E-9-1/(C139*'入力・概要'!$B$27*1E-6))</f>
        <v/>
      </c>
      <c r="P139" s="195">
        <f>IF(B139="","",((L139*N139-M139*O139)*(L139+N139)+(L139*O139+M139*N139)*(M139+O139))/((L139+N139)^2+(M139+O139)^2))</f>
        <v/>
      </c>
      <c r="Q139" s="195">
        <f>IF(B139="","",((L139*O139+M139*N139)*(L139+N139)-(L139*N139-M139*O139)*(M139+O139))/((L139+N139)^2+(M139+O139)^2))</f>
        <v/>
      </c>
      <c r="R139" s="195">
        <f>IF(B139="","",'入力・概要'!$E$15*J139)</f>
        <v/>
      </c>
      <c r="S139" s="195">
        <f>IF(B139="","",'入力・概要'!$E$15*K139)</f>
        <v/>
      </c>
      <c r="T139" s="195">
        <f>IF(B139="","",P139+R139)</f>
        <v/>
      </c>
      <c r="U139" s="195">
        <f>IF(B139="","",Q139+S139)</f>
        <v/>
      </c>
      <c r="V139" s="195">
        <f>IF(B139="","",T139+'入力・概要'!$E$9*F139)</f>
        <v/>
      </c>
      <c r="W139" s="195">
        <f>IF(B139="","",U139+'入力・概要'!$E$9*G139)</f>
        <v/>
      </c>
      <c r="X139" s="195">
        <f>IF(B139="","",'入力・概要'!$E$9+T139*F139-U139*G139)</f>
        <v/>
      </c>
      <c r="Y139" s="195">
        <f>IF(B139="","",T139*G139+U139*F139)</f>
        <v/>
      </c>
      <c r="Z139" s="195">
        <f>IF(B139="","",'入力・概要'!$E$9*(V139*X139+W139*Y139)/(X139^2+Y139^2)+'入力・概要'!$B$36)</f>
        <v/>
      </c>
      <c r="AA139" s="195">
        <f>IF(B139="","",'入力・概要'!$E$9*(W139*X139-V139*Y139)/(X139^2+Y139^2)+C139*'入力・概要'!$B$37*1E-9)</f>
        <v/>
      </c>
      <c r="AB139" s="195">
        <f>IF(B139="","",SQRT(Z139^2+AA139^2))</f>
        <v/>
      </c>
      <c r="AC139" s="195">
        <f>IF(B139="","",IF(Z139&gt;0,DEGREES(ATAN(AA139/Z139)),IF(Z139&lt;0,IF(AA139&gt;=0,DEGREES(ATAN(AA139/Z139))+180,DEGREES(ATAN(AA139/Z139))-180),IF(AA139&gt;0,90,IF(AA139&lt;0,-90,0)))))</f>
        <v/>
      </c>
      <c r="AD139" s="195">
        <f>IF(B139="","",LOG10(B139))</f>
        <v/>
      </c>
      <c r="AE139" s="195">
        <f>IF(AB139="","",LOG10(MAX(AB139,1E-12)))</f>
        <v/>
      </c>
      <c r="AF139" s="195">
        <f>IF(B139="","",SQRT(P139^2+Q139^2))</f>
        <v/>
      </c>
      <c r="AG139" s="195">
        <f>IF(B139="","",SQRT(R139^2+S139^2))</f>
        <v/>
      </c>
    </row>
    <row r="140">
      <c r="A140" t="n">
        <v>137</v>
      </c>
      <c r="B140" s="196">
        <f>IF(A140&lt;='入力・概要'!$B$40,10^(LOG10('入力・概要'!$B$38)+(A140-1)*(LOG10('入力・概要'!$B$39)-LOG10('入力・概要'!$B$38))/('入力・概要'!$B$40-1)),"")</f>
        <v/>
      </c>
      <c r="C140" s="195">
        <f>IF(B140="","",2*PI()*B140)</f>
        <v/>
      </c>
      <c r="D140" s="195">
        <f>IF(B140="","",ATANH(MIN(0.999999,'入力・概要'!$E$20/'入力・概要'!$E$9))+'入力・概要'!$B$20*SQRT(B140/1E6)+E140*'入力・概要'!$B$15/2)</f>
        <v/>
      </c>
      <c r="E140" s="195">
        <f>IF(B140="","",C140*('入力・概要'!$E$11*1E-9))</f>
        <v/>
      </c>
      <c r="F140" s="195">
        <f>IF(B140="","",SINH(2*D140)/(COSH(2*D140)+COS(2*E140)))</f>
        <v/>
      </c>
      <c r="G140" s="195">
        <f>IF(B140="","",SIN(2*E140)/(COSH(2*D140)+COS(2*E140)))</f>
        <v/>
      </c>
      <c r="H140" s="195">
        <f>IF(B140="","",ATANH(MIN(0.999999,'入力・概要'!$E$21/'入力・概要'!$E$15))+'入力・概要'!$B$21*SQRT(B140/1E6)+I140*'入力・概要'!$B$16/2)</f>
        <v/>
      </c>
      <c r="I140" s="195">
        <f>IF(B140="","",C140*('入力・概要'!$E$17*1E-9))</f>
        <v/>
      </c>
      <c r="J140" s="195">
        <f>IF(B140="","",SINH(2*H140)/(COSH(2*H140)+COS(2*I140)))</f>
        <v/>
      </c>
      <c r="K140" s="195">
        <f>IF(B140="","",SIN(2*I140)/(COSH(2*H140)+COS(2*I140)))</f>
        <v/>
      </c>
      <c r="L140" s="195">
        <f>IF(B140="","",'入力・概要'!$B$25)</f>
        <v/>
      </c>
      <c r="M140" s="195">
        <f>IF(B140="","",C140*'入力・概要'!$B$26*1E-9-1/(C140*'入力・概要'!$B$24*1E-6))</f>
        <v/>
      </c>
      <c r="N140" s="195">
        <f>IF(B140="","",'入力・概要'!$B$28)</f>
        <v/>
      </c>
      <c r="O140" s="195">
        <f>IF(B140="","",C140*'入力・概要'!$B$29*1E-9-1/(C140*'入力・概要'!$B$27*1E-6))</f>
        <v/>
      </c>
      <c r="P140" s="195">
        <f>IF(B140="","",((L140*N140-M140*O140)*(L140+N140)+(L140*O140+M140*N140)*(M140+O140))/((L140+N140)^2+(M140+O140)^2))</f>
        <v/>
      </c>
      <c r="Q140" s="195">
        <f>IF(B140="","",((L140*O140+M140*N140)*(L140+N140)-(L140*N140-M140*O140)*(M140+O140))/((L140+N140)^2+(M140+O140)^2))</f>
        <v/>
      </c>
      <c r="R140" s="195">
        <f>IF(B140="","",'入力・概要'!$E$15*J140)</f>
        <v/>
      </c>
      <c r="S140" s="195">
        <f>IF(B140="","",'入力・概要'!$E$15*K140)</f>
        <v/>
      </c>
      <c r="T140" s="195">
        <f>IF(B140="","",P140+R140)</f>
        <v/>
      </c>
      <c r="U140" s="195">
        <f>IF(B140="","",Q140+S140)</f>
        <v/>
      </c>
      <c r="V140" s="195">
        <f>IF(B140="","",T140+'入力・概要'!$E$9*F140)</f>
        <v/>
      </c>
      <c r="W140" s="195">
        <f>IF(B140="","",U140+'入力・概要'!$E$9*G140)</f>
        <v/>
      </c>
      <c r="X140" s="195">
        <f>IF(B140="","",'入力・概要'!$E$9+T140*F140-U140*G140)</f>
        <v/>
      </c>
      <c r="Y140" s="195">
        <f>IF(B140="","",T140*G140+U140*F140)</f>
        <v/>
      </c>
      <c r="Z140" s="195">
        <f>IF(B140="","",'入力・概要'!$E$9*(V140*X140+W140*Y140)/(X140^2+Y140^2)+'入力・概要'!$B$36)</f>
        <v/>
      </c>
      <c r="AA140" s="195">
        <f>IF(B140="","",'入力・概要'!$E$9*(W140*X140-V140*Y140)/(X140^2+Y140^2)+C140*'入力・概要'!$B$37*1E-9)</f>
        <v/>
      </c>
      <c r="AB140" s="195">
        <f>IF(B140="","",SQRT(Z140^2+AA140^2))</f>
        <v/>
      </c>
      <c r="AC140" s="195">
        <f>IF(B140="","",IF(Z140&gt;0,DEGREES(ATAN(AA140/Z140)),IF(Z140&lt;0,IF(AA140&gt;=0,DEGREES(ATAN(AA140/Z140))+180,DEGREES(ATAN(AA140/Z140))-180),IF(AA140&gt;0,90,IF(AA140&lt;0,-90,0)))))</f>
        <v/>
      </c>
      <c r="AD140" s="195">
        <f>IF(B140="","",LOG10(B140))</f>
        <v/>
      </c>
      <c r="AE140" s="195">
        <f>IF(AB140="","",LOG10(MAX(AB140,1E-12)))</f>
        <v/>
      </c>
      <c r="AF140" s="195">
        <f>IF(B140="","",SQRT(P140^2+Q140^2))</f>
        <v/>
      </c>
      <c r="AG140" s="195">
        <f>IF(B140="","",SQRT(R140^2+S140^2))</f>
        <v/>
      </c>
    </row>
    <row r="141">
      <c r="A141" t="n">
        <v>138</v>
      </c>
      <c r="B141" s="196">
        <f>IF(A141&lt;='入力・概要'!$B$40,10^(LOG10('入力・概要'!$B$38)+(A141-1)*(LOG10('入力・概要'!$B$39)-LOG10('入力・概要'!$B$38))/('入力・概要'!$B$40-1)),"")</f>
        <v/>
      </c>
      <c r="C141" s="195">
        <f>IF(B141="","",2*PI()*B141)</f>
        <v/>
      </c>
      <c r="D141" s="195">
        <f>IF(B141="","",ATANH(MIN(0.999999,'入力・概要'!$E$20/'入力・概要'!$E$9))+'入力・概要'!$B$20*SQRT(B141/1E6)+E141*'入力・概要'!$B$15/2)</f>
        <v/>
      </c>
      <c r="E141" s="195">
        <f>IF(B141="","",C141*('入力・概要'!$E$11*1E-9))</f>
        <v/>
      </c>
      <c r="F141" s="195">
        <f>IF(B141="","",SINH(2*D141)/(COSH(2*D141)+COS(2*E141)))</f>
        <v/>
      </c>
      <c r="G141" s="195">
        <f>IF(B141="","",SIN(2*E141)/(COSH(2*D141)+COS(2*E141)))</f>
        <v/>
      </c>
      <c r="H141" s="195">
        <f>IF(B141="","",ATANH(MIN(0.999999,'入力・概要'!$E$21/'入力・概要'!$E$15))+'入力・概要'!$B$21*SQRT(B141/1E6)+I141*'入力・概要'!$B$16/2)</f>
        <v/>
      </c>
      <c r="I141" s="195">
        <f>IF(B141="","",C141*('入力・概要'!$E$17*1E-9))</f>
        <v/>
      </c>
      <c r="J141" s="195">
        <f>IF(B141="","",SINH(2*H141)/(COSH(2*H141)+COS(2*I141)))</f>
        <v/>
      </c>
      <c r="K141" s="195">
        <f>IF(B141="","",SIN(2*I141)/(COSH(2*H141)+COS(2*I141)))</f>
        <v/>
      </c>
      <c r="L141" s="195">
        <f>IF(B141="","",'入力・概要'!$B$25)</f>
        <v/>
      </c>
      <c r="M141" s="195">
        <f>IF(B141="","",C141*'入力・概要'!$B$26*1E-9-1/(C141*'入力・概要'!$B$24*1E-6))</f>
        <v/>
      </c>
      <c r="N141" s="195">
        <f>IF(B141="","",'入力・概要'!$B$28)</f>
        <v/>
      </c>
      <c r="O141" s="195">
        <f>IF(B141="","",C141*'入力・概要'!$B$29*1E-9-1/(C141*'入力・概要'!$B$27*1E-6))</f>
        <v/>
      </c>
      <c r="P141" s="195">
        <f>IF(B141="","",((L141*N141-M141*O141)*(L141+N141)+(L141*O141+M141*N141)*(M141+O141))/((L141+N141)^2+(M141+O141)^2))</f>
        <v/>
      </c>
      <c r="Q141" s="195">
        <f>IF(B141="","",((L141*O141+M141*N141)*(L141+N141)-(L141*N141-M141*O141)*(M141+O141))/((L141+N141)^2+(M141+O141)^2))</f>
        <v/>
      </c>
      <c r="R141" s="195">
        <f>IF(B141="","",'入力・概要'!$E$15*J141)</f>
        <v/>
      </c>
      <c r="S141" s="195">
        <f>IF(B141="","",'入力・概要'!$E$15*K141)</f>
        <v/>
      </c>
      <c r="T141" s="195">
        <f>IF(B141="","",P141+R141)</f>
        <v/>
      </c>
      <c r="U141" s="195">
        <f>IF(B141="","",Q141+S141)</f>
        <v/>
      </c>
      <c r="V141" s="195">
        <f>IF(B141="","",T141+'入力・概要'!$E$9*F141)</f>
        <v/>
      </c>
      <c r="W141" s="195">
        <f>IF(B141="","",U141+'入力・概要'!$E$9*G141)</f>
        <v/>
      </c>
      <c r="X141" s="195">
        <f>IF(B141="","",'入力・概要'!$E$9+T141*F141-U141*G141)</f>
        <v/>
      </c>
      <c r="Y141" s="195">
        <f>IF(B141="","",T141*G141+U141*F141)</f>
        <v/>
      </c>
      <c r="Z141" s="195">
        <f>IF(B141="","",'入力・概要'!$E$9*(V141*X141+W141*Y141)/(X141^2+Y141^2)+'入力・概要'!$B$36)</f>
        <v/>
      </c>
      <c r="AA141" s="195">
        <f>IF(B141="","",'入力・概要'!$E$9*(W141*X141-V141*Y141)/(X141^2+Y141^2)+C141*'入力・概要'!$B$37*1E-9)</f>
        <v/>
      </c>
      <c r="AB141" s="195">
        <f>IF(B141="","",SQRT(Z141^2+AA141^2))</f>
        <v/>
      </c>
      <c r="AC141" s="195">
        <f>IF(B141="","",IF(Z141&gt;0,DEGREES(ATAN(AA141/Z141)),IF(Z141&lt;0,IF(AA141&gt;=0,DEGREES(ATAN(AA141/Z141))+180,DEGREES(ATAN(AA141/Z141))-180),IF(AA141&gt;0,90,IF(AA141&lt;0,-90,0)))))</f>
        <v/>
      </c>
      <c r="AD141" s="195">
        <f>IF(B141="","",LOG10(B141))</f>
        <v/>
      </c>
      <c r="AE141" s="195">
        <f>IF(AB141="","",LOG10(MAX(AB141,1E-12)))</f>
        <v/>
      </c>
      <c r="AF141" s="195">
        <f>IF(B141="","",SQRT(P141^2+Q141^2))</f>
        <v/>
      </c>
      <c r="AG141" s="195">
        <f>IF(B141="","",SQRT(R141^2+S141^2))</f>
        <v/>
      </c>
    </row>
    <row r="142">
      <c r="A142" t="n">
        <v>139</v>
      </c>
      <c r="B142" s="196">
        <f>IF(A142&lt;='入力・概要'!$B$40,10^(LOG10('入力・概要'!$B$38)+(A142-1)*(LOG10('入力・概要'!$B$39)-LOG10('入力・概要'!$B$38))/('入力・概要'!$B$40-1)),"")</f>
        <v/>
      </c>
      <c r="C142" s="195">
        <f>IF(B142="","",2*PI()*B142)</f>
        <v/>
      </c>
      <c r="D142" s="195">
        <f>IF(B142="","",ATANH(MIN(0.999999,'入力・概要'!$E$20/'入力・概要'!$E$9))+'入力・概要'!$B$20*SQRT(B142/1E6)+E142*'入力・概要'!$B$15/2)</f>
        <v/>
      </c>
      <c r="E142" s="195">
        <f>IF(B142="","",C142*('入力・概要'!$E$11*1E-9))</f>
        <v/>
      </c>
      <c r="F142" s="195">
        <f>IF(B142="","",SINH(2*D142)/(COSH(2*D142)+COS(2*E142)))</f>
        <v/>
      </c>
      <c r="G142" s="195">
        <f>IF(B142="","",SIN(2*E142)/(COSH(2*D142)+COS(2*E142)))</f>
        <v/>
      </c>
      <c r="H142" s="195">
        <f>IF(B142="","",ATANH(MIN(0.999999,'入力・概要'!$E$21/'入力・概要'!$E$15))+'入力・概要'!$B$21*SQRT(B142/1E6)+I142*'入力・概要'!$B$16/2)</f>
        <v/>
      </c>
      <c r="I142" s="195">
        <f>IF(B142="","",C142*('入力・概要'!$E$17*1E-9))</f>
        <v/>
      </c>
      <c r="J142" s="195">
        <f>IF(B142="","",SINH(2*H142)/(COSH(2*H142)+COS(2*I142)))</f>
        <v/>
      </c>
      <c r="K142" s="195">
        <f>IF(B142="","",SIN(2*I142)/(COSH(2*H142)+COS(2*I142)))</f>
        <v/>
      </c>
      <c r="L142" s="195">
        <f>IF(B142="","",'入力・概要'!$B$25)</f>
        <v/>
      </c>
      <c r="M142" s="195">
        <f>IF(B142="","",C142*'入力・概要'!$B$26*1E-9-1/(C142*'入力・概要'!$B$24*1E-6))</f>
        <v/>
      </c>
      <c r="N142" s="195">
        <f>IF(B142="","",'入力・概要'!$B$28)</f>
        <v/>
      </c>
      <c r="O142" s="195">
        <f>IF(B142="","",C142*'入力・概要'!$B$29*1E-9-1/(C142*'入力・概要'!$B$27*1E-6))</f>
        <v/>
      </c>
      <c r="P142" s="195">
        <f>IF(B142="","",((L142*N142-M142*O142)*(L142+N142)+(L142*O142+M142*N142)*(M142+O142))/((L142+N142)^2+(M142+O142)^2))</f>
        <v/>
      </c>
      <c r="Q142" s="195">
        <f>IF(B142="","",((L142*O142+M142*N142)*(L142+N142)-(L142*N142-M142*O142)*(M142+O142))/((L142+N142)^2+(M142+O142)^2))</f>
        <v/>
      </c>
      <c r="R142" s="195">
        <f>IF(B142="","",'入力・概要'!$E$15*J142)</f>
        <v/>
      </c>
      <c r="S142" s="195">
        <f>IF(B142="","",'入力・概要'!$E$15*K142)</f>
        <v/>
      </c>
      <c r="T142" s="195">
        <f>IF(B142="","",P142+R142)</f>
        <v/>
      </c>
      <c r="U142" s="195">
        <f>IF(B142="","",Q142+S142)</f>
        <v/>
      </c>
      <c r="V142" s="195">
        <f>IF(B142="","",T142+'入力・概要'!$E$9*F142)</f>
        <v/>
      </c>
      <c r="W142" s="195">
        <f>IF(B142="","",U142+'入力・概要'!$E$9*G142)</f>
        <v/>
      </c>
      <c r="X142" s="195">
        <f>IF(B142="","",'入力・概要'!$E$9+T142*F142-U142*G142)</f>
        <v/>
      </c>
      <c r="Y142" s="195">
        <f>IF(B142="","",T142*G142+U142*F142)</f>
        <v/>
      </c>
      <c r="Z142" s="195">
        <f>IF(B142="","",'入力・概要'!$E$9*(V142*X142+W142*Y142)/(X142^2+Y142^2)+'入力・概要'!$B$36)</f>
        <v/>
      </c>
      <c r="AA142" s="195">
        <f>IF(B142="","",'入力・概要'!$E$9*(W142*X142-V142*Y142)/(X142^2+Y142^2)+C142*'入力・概要'!$B$37*1E-9)</f>
        <v/>
      </c>
      <c r="AB142" s="195">
        <f>IF(B142="","",SQRT(Z142^2+AA142^2))</f>
        <v/>
      </c>
      <c r="AC142" s="195">
        <f>IF(B142="","",IF(Z142&gt;0,DEGREES(ATAN(AA142/Z142)),IF(Z142&lt;0,IF(AA142&gt;=0,DEGREES(ATAN(AA142/Z142))+180,DEGREES(ATAN(AA142/Z142))-180),IF(AA142&gt;0,90,IF(AA142&lt;0,-90,0)))))</f>
        <v/>
      </c>
      <c r="AD142" s="195">
        <f>IF(B142="","",LOG10(B142))</f>
        <v/>
      </c>
      <c r="AE142" s="195">
        <f>IF(AB142="","",LOG10(MAX(AB142,1E-12)))</f>
        <v/>
      </c>
      <c r="AF142" s="195">
        <f>IF(B142="","",SQRT(P142^2+Q142^2))</f>
        <v/>
      </c>
      <c r="AG142" s="195">
        <f>IF(B142="","",SQRT(R142^2+S142^2))</f>
        <v/>
      </c>
    </row>
    <row r="143">
      <c r="A143" t="n">
        <v>140</v>
      </c>
      <c r="B143" s="196">
        <f>IF(A143&lt;='入力・概要'!$B$40,10^(LOG10('入力・概要'!$B$38)+(A143-1)*(LOG10('入力・概要'!$B$39)-LOG10('入力・概要'!$B$38))/('入力・概要'!$B$40-1)),"")</f>
        <v/>
      </c>
      <c r="C143" s="195">
        <f>IF(B143="","",2*PI()*B143)</f>
        <v/>
      </c>
      <c r="D143" s="195">
        <f>IF(B143="","",ATANH(MIN(0.999999,'入力・概要'!$E$20/'入力・概要'!$E$9))+'入力・概要'!$B$20*SQRT(B143/1E6)+E143*'入力・概要'!$B$15/2)</f>
        <v/>
      </c>
      <c r="E143" s="195">
        <f>IF(B143="","",C143*('入力・概要'!$E$11*1E-9))</f>
        <v/>
      </c>
      <c r="F143" s="195">
        <f>IF(B143="","",SINH(2*D143)/(COSH(2*D143)+COS(2*E143)))</f>
        <v/>
      </c>
      <c r="G143" s="195">
        <f>IF(B143="","",SIN(2*E143)/(COSH(2*D143)+COS(2*E143)))</f>
        <v/>
      </c>
      <c r="H143" s="195">
        <f>IF(B143="","",ATANH(MIN(0.999999,'入力・概要'!$E$21/'入力・概要'!$E$15))+'入力・概要'!$B$21*SQRT(B143/1E6)+I143*'入力・概要'!$B$16/2)</f>
        <v/>
      </c>
      <c r="I143" s="195">
        <f>IF(B143="","",C143*('入力・概要'!$E$17*1E-9))</f>
        <v/>
      </c>
      <c r="J143" s="195">
        <f>IF(B143="","",SINH(2*H143)/(COSH(2*H143)+COS(2*I143)))</f>
        <v/>
      </c>
      <c r="K143" s="195">
        <f>IF(B143="","",SIN(2*I143)/(COSH(2*H143)+COS(2*I143)))</f>
        <v/>
      </c>
      <c r="L143" s="195">
        <f>IF(B143="","",'入力・概要'!$B$25)</f>
        <v/>
      </c>
      <c r="M143" s="195">
        <f>IF(B143="","",C143*'入力・概要'!$B$26*1E-9-1/(C143*'入力・概要'!$B$24*1E-6))</f>
        <v/>
      </c>
      <c r="N143" s="195">
        <f>IF(B143="","",'入力・概要'!$B$28)</f>
        <v/>
      </c>
      <c r="O143" s="195">
        <f>IF(B143="","",C143*'入力・概要'!$B$29*1E-9-1/(C143*'入力・概要'!$B$27*1E-6))</f>
        <v/>
      </c>
      <c r="P143" s="195">
        <f>IF(B143="","",((L143*N143-M143*O143)*(L143+N143)+(L143*O143+M143*N143)*(M143+O143))/((L143+N143)^2+(M143+O143)^2))</f>
        <v/>
      </c>
      <c r="Q143" s="195">
        <f>IF(B143="","",((L143*O143+M143*N143)*(L143+N143)-(L143*N143-M143*O143)*(M143+O143))/((L143+N143)^2+(M143+O143)^2))</f>
        <v/>
      </c>
      <c r="R143" s="195">
        <f>IF(B143="","",'入力・概要'!$E$15*J143)</f>
        <v/>
      </c>
      <c r="S143" s="195">
        <f>IF(B143="","",'入力・概要'!$E$15*K143)</f>
        <v/>
      </c>
      <c r="T143" s="195">
        <f>IF(B143="","",P143+R143)</f>
        <v/>
      </c>
      <c r="U143" s="195">
        <f>IF(B143="","",Q143+S143)</f>
        <v/>
      </c>
      <c r="V143" s="195">
        <f>IF(B143="","",T143+'入力・概要'!$E$9*F143)</f>
        <v/>
      </c>
      <c r="W143" s="195">
        <f>IF(B143="","",U143+'入力・概要'!$E$9*G143)</f>
        <v/>
      </c>
      <c r="X143" s="195">
        <f>IF(B143="","",'入力・概要'!$E$9+T143*F143-U143*G143)</f>
        <v/>
      </c>
      <c r="Y143" s="195">
        <f>IF(B143="","",T143*G143+U143*F143)</f>
        <v/>
      </c>
      <c r="Z143" s="195">
        <f>IF(B143="","",'入力・概要'!$E$9*(V143*X143+W143*Y143)/(X143^2+Y143^2)+'入力・概要'!$B$36)</f>
        <v/>
      </c>
      <c r="AA143" s="195">
        <f>IF(B143="","",'入力・概要'!$E$9*(W143*X143-V143*Y143)/(X143^2+Y143^2)+C143*'入力・概要'!$B$37*1E-9)</f>
        <v/>
      </c>
      <c r="AB143" s="195">
        <f>IF(B143="","",SQRT(Z143^2+AA143^2))</f>
        <v/>
      </c>
      <c r="AC143" s="195">
        <f>IF(B143="","",IF(Z143&gt;0,DEGREES(ATAN(AA143/Z143)),IF(Z143&lt;0,IF(AA143&gt;=0,DEGREES(ATAN(AA143/Z143))+180,DEGREES(ATAN(AA143/Z143))-180),IF(AA143&gt;0,90,IF(AA143&lt;0,-90,0)))))</f>
        <v/>
      </c>
      <c r="AD143" s="195">
        <f>IF(B143="","",LOG10(B143))</f>
        <v/>
      </c>
      <c r="AE143" s="195">
        <f>IF(AB143="","",LOG10(MAX(AB143,1E-12)))</f>
        <v/>
      </c>
      <c r="AF143" s="195">
        <f>IF(B143="","",SQRT(P143^2+Q143^2))</f>
        <v/>
      </c>
      <c r="AG143" s="195">
        <f>IF(B143="","",SQRT(R143^2+S143^2))</f>
        <v/>
      </c>
    </row>
    <row r="144">
      <c r="A144" t="n">
        <v>141</v>
      </c>
      <c r="B144" s="196">
        <f>IF(A144&lt;='入力・概要'!$B$40,10^(LOG10('入力・概要'!$B$38)+(A144-1)*(LOG10('入力・概要'!$B$39)-LOG10('入力・概要'!$B$38))/('入力・概要'!$B$40-1)),"")</f>
        <v/>
      </c>
      <c r="C144" s="195">
        <f>IF(B144="","",2*PI()*B144)</f>
        <v/>
      </c>
      <c r="D144" s="195">
        <f>IF(B144="","",ATANH(MIN(0.999999,'入力・概要'!$E$20/'入力・概要'!$E$9))+'入力・概要'!$B$20*SQRT(B144/1E6)+E144*'入力・概要'!$B$15/2)</f>
        <v/>
      </c>
      <c r="E144" s="195">
        <f>IF(B144="","",C144*('入力・概要'!$E$11*1E-9))</f>
        <v/>
      </c>
      <c r="F144" s="195">
        <f>IF(B144="","",SINH(2*D144)/(COSH(2*D144)+COS(2*E144)))</f>
        <v/>
      </c>
      <c r="G144" s="195">
        <f>IF(B144="","",SIN(2*E144)/(COSH(2*D144)+COS(2*E144)))</f>
        <v/>
      </c>
      <c r="H144" s="195">
        <f>IF(B144="","",ATANH(MIN(0.999999,'入力・概要'!$E$21/'入力・概要'!$E$15))+'入力・概要'!$B$21*SQRT(B144/1E6)+I144*'入力・概要'!$B$16/2)</f>
        <v/>
      </c>
      <c r="I144" s="195">
        <f>IF(B144="","",C144*('入力・概要'!$E$17*1E-9))</f>
        <v/>
      </c>
      <c r="J144" s="195">
        <f>IF(B144="","",SINH(2*H144)/(COSH(2*H144)+COS(2*I144)))</f>
        <v/>
      </c>
      <c r="K144" s="195">
        <f>IF(B144="","",SIN(2*I144)/(COSH(2*H144)+COS(2*I144)))</f>
        <v/>
      </c>
      <c r="L144" s="195">
        <f>IF(B144="","",'入力・概要'!$B$25)</f>
        <v/>
      </c>
      <c r="M144" s="195">
        <f>IF(B144="","",C144*'入力・概要'!$B$26*1E-9-1/(C144*'入力・概要'!$B$24*1E-6))</f>
        <v/>
      </c>
      <c r="N144" s="195">
        <f>IF(B144="","",'入力・概要'!$B$28)</f>
        <v/>
      </c>
      <c r="O144" s="195">
        <f>IF(B144="","",C144*'入力・概要'!$B$29*1E-9-1/(C144*'入力・概要'!$B$27*1E-6))</f>
        <v/>
      </c>
      <c r="P144" s="195">
        <f>IF(B144="","",((L144*N144-M144*O144)*(L144+N144)+(L144*O144+M144*N144)*(M144+O144))/((L144+N144)^2+(M144+O144)^2))</f>
        <v/>
      </c>
      <c r="Q144" s="195">
        <f>IF(B144="","",((L144*O144+M144*N144)*(L144+N144)-(L144*N144-M144*O144)*(M144+O144))/((L144+N144)^2+(M144+O144)^2))</f>
        <v/>
      </c>
      <c r="R144" s="195">
        <f>IF(B144="","",'入力・概要'!$E$15*J144)</f>
        <v/>
      </c>
      <c r="S144" s="195">
        <f>IF(B144="","",'入力・概要'!$E$15*K144)</f>
        <v/>
      </c>
      <c r="T144" s="195">
        <f>IF(B144="","",P144+R144)</f>
        <v/>
      </c>
      <c r="U144" s="195">
        <f>IF(B144="","",Q144+S144)</f>
        <v/>
      </c>
      <c r="V144" s="195">
        <f>IF(B144="","",T144+'入力・概要'!$E$9*F144)</f>
        <v/>
      </c>
      <c r="W144" s="195">
        <f>IF(B144="","",U144+'入力・概要'!$E$9*G144)</f>
        <v/>
      </c>
      <c r="X144" s="195">
        <f>IF(B144="","",'入力・概要'!$E$9+T144*F144-U144*G144)</f>
        <v/>
      </c>
      <c r="Y144" s="195">
        <f>IF(B144="","",T144*G144+U144*F144)</f>
        <v/>
      </c>
      <c r="Z144" s="195">
        <f>IF(B144="","",'入力・概要'!$E$9*(V144*X144+W144*Y144)/(X144^2+Y144^2)+'入力・概要'!$B$36)</f>
        <v/>
      </c>
      <c r="AA144" s="195">
        <f>IF(B144="","",'入力・概要'!$E$9*(W144*X144-V144*Y144)/(X144^2+Y144^2)+C144*'入力・概要'!$B$37*1E-9)</f>
        <v/>
      </c>
      <c r="AB144" s="195">
        <f>IF(B144="","",SQRT(Z144^2+AA144^2))</f>
        <v/>
      </c>
      <c r="AC144" s="195">
        <f>IF(B144="","",IF(Z144&gt;0,DEGREES(ATAN(AA144/Z144)),IF(Z144&lt;0,IF(AA144&gt;=0,DEGREES(ATAN(AA144/Z144))+180,DEGREES(ATAN(AA144/Z144))-180),IF(AA144&gt;0,90,IF(AA144&lt;0,-90,0)))))</f>
        <v/>
      </c>
      <c r="AD144" s="195">
        <f>IF(B144="","",LOG10(B144))</f>
        <v/>
      </c>
      <c r="AE144" s="195">
        <f>IF(AB144="","",LOG10(MAX(AB144,1E-12)))</f>
        <v/>
      </c>
      <c r="AF144" s="195">
        <f>IF(B144="","",SQRT(P144^2+Q144^2))</f>
        <v/>
      </c>
      <c r="AG144" s="195">
        <f>IF(B144="","",SQRT(R144^2+S144^2))</f>
        <v/>
      </c>
    </row>
    <row r="145">
      <c r="A145" t="n">
        <v>142</v>
      </c>
      <c r="B145" s="196">
        <f>IF(A145&lt;='入力・概要'!$B$40,10^(LOG10('入力・概要'!$B$38)+(A145-1)*(LOG10('入力・概要'!$B$39)-LOG10('入力・概要'!$B$38))/('入力・概要'!$B$40-1)),"")</f>
        <v/>
      </c>
      <c r="C145" s="195">
        <f>IF(B145="","",2*PI()*B145)</f>
        <v/>
      </c>
      <c r="D145" s="195">
        <f>IF(B145="","",ATANH(MIN(0.999999,'入力・概要'!$E$20/'入力・概要'!$E$9))+'入力・概要'!$B$20*SQRT(B145/1E6)+E145*'入力・概要'!$B$15/2)</f>
        <v/>
      </c>
      <c r="E145" s="195">
        <f>IF(B145="","",C145*('入力・概要'!$E$11*1E-9))</f>
        <v/>
      </c>
      <c r="F145" s="195">
        <f>IF(B145="","",SINH(2*D145)/(COSH(2*D145)+COS(2*E145)))</f>
        <v/>
      </c>
      <c r="G145" s="195">
        <f>IF(B145="","",SIN(2*E145)/(COSH(2*D145)+COS(2*E145)))</f>
        <v/>
      </c>
      <c r="H145" s="195">
        <f>IF(B145="","",ATANH(MIN(0.999999,'入力・概要'!$E$21/'入力・概要'!$E$15))+'入力・概要'!$B$21*SQRT(B145/1E6)+I145*'入力・概要'!$B$16/2)</f>
        <v/>
      </c>
      <c r="I145" s="195">
        <f>IF(B145="","",C145*('入力・概要'!$E$17*1E-9))</f>
        <v/>
      </c>
      <c r="J145" s="195">
        <f>IF(B145="","",SINH(2*H145)/(COSH(2*H145)+COS(2*I145)))</f>
        <v/>
      </c>
      <c r="K145" s="195">
        <f>IF(B145="","",SIN(2*I145)/(COSH(2*H145)+COS(2*I145)))</f>
        <v/>
      </c>
      <c r="L145" s="195">
        <f>IF(B145="","",'入力・概要'!$B$25)</f>
        <v/>
      </c>
      <c r="M145" s="195">
        <f>IF(B145="","",C145*'入力・概要'!$B$26*1E-9-1/(C145*'入力・概要'!$B$24*1E-6))</f>
        <v/>
      </c>
      <c r="N145" s="195">
        <f>IF(B145="","",'入力・概要'!$B$28)</f>
        <v/>
      </c>
      <c r="O145" s="195">
        <f>IF(B145="","",C145*'入力・概要'!$B$29*1E-9-1/(C145*'入力・概要'!$B$27*1E-6))</f>
        <v/>
      </c>
      <c r="P145" s="195">
        <f>IF(B145="","",((L145*N145-M145*O145)*(L145+N145)+(L145*O145+M145*N145)*(M145+O145))/((L145+N145)^2+(M145+O145)^2))</f>
        <v/>
      </c>
      <c r="Q145" s="195">
        <f>IF(B145="","",((L145*O145+M145*N145)*(L145+N145)-(L145*N145-M145*O145)*(M145+O145))/((L145+N145)^2+(M145+O145)^2))</f>
        <v/>
      </c>
      <c r="R145" s="195">
        <f>IF(B145="","",'入力・概要'!$E$15*J145)</f>
        <v/>
      </c>
      <c r="S145" s="195">
        <f>IF(B145="","",'入力・概要'!$E$15*K145)</f>
        <v/>
      </c>
      <c r="T145" s="195">
        <f>IF(B145="","",P145+R145)</f>
        <v/>
      </c>
      <c r="U145" s="195">
        <f>IF(B145="","",Q145+S145)</f>
        <v/>
      </c>
      <c r="V145" s="195">
        <f>IF(B145="","",T145+'入力・概要'!$E$9*F145)</f>
        <v/>
      </c>
      <c r="W145" s="195">
        <f>IF(B145="","",U145+'入力・概要'!$E$9*G145)</f>
        <v/>
      </c>
      <c r="X145" s="195">
        <f>IF(B145="","",'入力・概要'!$E$9+T145*F145-U145*G145)</f>
        <v/>
      </c>
      <c r="Y145" s="195">
        <f>IF(B145="","",T145*G145+U145*F145)</f>
        <v/>
      </c>
      <c r="Z145" s="195">
        <f>IF(B145="","",'入力・概要'!$E$9*(V145*X145+W145*Y145)/(X145^2+Y145^2)+'入力・概要'!$B$36)</f>
        <v/>
      </c>
      <c r="AA145" s="195">
        <f>IF(B145="","",'入力・概要'!$E$9*(W145*X145-V145*Y145)/(X145^2+Y145^2)+C145*'入力・概要'!$B$37*1E-9)</f>
        <v/>
      </c>
      <c r="AB145" s="195">
        <f>IF(B145="","",SQRT(Z145^2+AA145^2))</f>
        <v/>
      </c>
      <c r="AC145" s="195">
        <f>IF(B145="","",IF(Z145&gt;0,DEGREES(ATAN(AA145/Z145)),IF(Z145&lt;0,IF(AA145&gt;=0,DEGREES(ATAN(AA145/Z145))+180,DEGREES(ATAN(AA145/Z145))-180),IF(AA145&gt;0,90,IF(AA145&lt;0,-90,0)))))</f>
        <v/>
      </c>
      <c r="AD145" s="195">
        <f>IF(B145="","",LOG10(B145))</f>
        <v/>
      </c>
      <c r="AE145" s="195">
        <f>IF(AB145="","",LOG10(MAX(AB145,1E-12)))</f>
        <v/>
      </c>
      <c r="AF145" s="195">
        <f>IF(B145="","",SQRT(P145^2+Q145^2))</f>
        <v/>
      </c>
      <c r="AG145" s="195">
        <f>IF(B145="","",SQRT(R145^2+S145^2))</f>
        <v/>
      </c>
    </row>
    <row r="146">
      <c r="A146" t="n">
        <v>143</v>
      </c>
      <c r="B146" s="196">
        <f>IF(A146&lt;='入力・概要'!$B$40,10^(LOG10('入力・概要'!$B$38)+(A146-1)*(LOG10('入力・概要'!$B$39)-LOG10('入力・概要'!$B$38))/('入力・概要'!$B$40-1)),"")</f>
        <v/>
      </c>
      <c r="C146" s="195">
        <f>IF(B146="","",2*PI()*B146)</f>
        <v/>
      </c>
      <c r="D146" s="195">
        <f>IF(B146="","",ATANH(MIN(0.999999,'入力・概要'!$E$20/'入力・概要'!$E$9))+'入力・概要'!$B$20*SQRT(B146/1E6)+E146*'入力・概要'!$B$15/2)</f>
        <v/>
      </c>
      <c r="E146" s="195">
        <f>IF(B146="","",C146*('入力・概要'!$E$11*1E-9))</f>
        <v/>
      </c>
      <c r="F146" s="195">
        <f>IF(B146="","",SINH(2*D146)/(COSH(2*D146)+COS(2*E146)))</f>
        <v/>
      </c>
      <c r="G146" s="195">
        <f>IF(B146="","",SIN(2*E146)/(COSH(2*D146)+COS(2*E146)))</f>
        <v/>
      </c>
      <c r="H146" s="195">
        <f>IF(B146="","",ATANH(MIN(0.999999,'入力・概要'!$E$21/'入力・概要'!$E$15))+'入力・概要'!$B$21*SQRT(B146/1E6)+I146*'入力・概要'!$B$16/2)</f>
        <v/>
      </c>
      <c r="I146" s="195">
        <f>IF(B146="","",C146*('入力・概要'!$E$17*1E-9))</f>
        <v/>
      </c>
      <c r="J146" s="195">
        <f>IF(B146="","",SINH(2*H146)/(COSH(2*H146)+COS(2*I146)))</f>
        <v/>
      </c>
      <c r="K146" s="195">
        <f>IF(B146="","",SIN(2*I146)/(COSH(2*H146)+COS(2*I146)))</f>
        <v/>
      </c>
      <c r="L146" s="195">
        <f>IF(B146="","",'入力・概要'!$B$25)</f>
        <v/>
      </c>
      <c r="M146" s="195">
        <f>IF(B146="","",C146*'入力・概要'!$B$26*1E-9-1/(C146*'入力・概要'!$B$24*1E-6))</f>
        <v/>
      </c>
      <c r="N146" s="195">
        <f>IF(B146="","",'入力・概要'!$B$28)</f>
        <v/>
      </c>
      <c r="O146" s="195">
        <f>IF(B146="","",C146*'入力・概要'!$B$29*1E-9-1/(C146*'入力・概要'!$B$27*1E-6))</f>
        <v/>
      </c>
      <c r="P146" s="195">
        <f>IF(B146="","",((L146*N146-M146*O146)*(L146+N146)+(L146*O146+M146*N146)*(M146+O146))/((L146+N146)^2+(M146+O146)^2))</f>
        <v/>
      </c>
      <c r="Q146" s="195">
        <f>IF(B146="","",((L146*O146+M146*N146)*(L146+N146)-(L146*N146-M146*O146)*(M146+O146))/((L146+N146)^2+(M146+O146)^2))</f>
        <v/>
      </c>
      <c r="R146" s="195">
        <f>IF(B146="","",'入力・概要'!$E$15*J146)</f>
        <v/>
      </c>
      <c r="S146" s="195">
        <f>IF(B146="","",'入力・概要'!$E$15*K146)</f>
        <v/>
      </c>
      <c r="T146" s="195">
        <f>IF(B146="","",P146+R146)</f>
        <v/>
      </c>
      <c r="U146" s="195">
        <f>IF(B146="","",Q146+S146)</f>
        <v/>
      </c>
      <c r="V146" s="195">
        <f>IF(B146="","",T146+'入力・概要'!$E$9*F146)</f>
        <v/>
      </c>
      <c r="W146" s="195">
        <f>IF(B146="","",U146+'入力・概要'!$E$9*G146)</f>
        <v/>
      </c>
      <c r="X146" s="195">
        <f>IF(B146="","",'入力・概要'!$E$9+T146*F146-U146*G146)</f>
        <v/>
      </c>
      <c r="Y146" s="195">
        <f>IF(B146="","",T146*G146+U146*F146)</f>
        <v/>
      </c>
      <c r="Z146" s="195">
        <f>IF(B146="","",'入力・概要'!$E$9*(V146*X146+W146*Y146)/(X146^2+Y146^2)+'入力・概要'!$B$36)</f>
        <v/>
      </c>
      <c r="AA146" s="195">
        <f>IF(B146="","",'入力・概要'!$E$9*(W146*X146-V146*Y146)/(X146^2+Y146^2)+C146*'入力・概要'!$B$37*1E-9)</f>
        <v/>
      </c>
      <c r="AB146" s="195">
        <f>IF(B146="","",SQRT(Z146^2+AA146^2))</f>
        <v/>
      </c>
      <c r="AC146" s="195">
        <f>IF(B146="","",IF(Z146&gt;0,DEGREES(ATAN(AA146/Z146)),IF(Z146&lt;0,IF(AA146&gt;=0,DEGREES(ATAN(AA146/Z146))+180,DEGREES(ATAN(AA146/Z146))-180),IF(AA146&gt;0,90,IF(AA146&lt;0,-90,0)))))</f>
        <v/>
      </c>
      <c r="AD146" s="195">
        <f>IF(B146="","",LOG10(B146))</f>
        <v/>
      </c>
      <c r="AE146" s="195">
        <f>IF(AB146="","",LOG10(MAX(AB146,1E-12)))</f>
        <v/>
      </c>
      <c r="AF146" s="195">
        <f>IF(B146="","",SQRT(P146^2+Q146^2))</f>
        <v/>
      </c>
      <c r="AG146" s="195">
        <f>IF(B146="","",SQRT(R146^2+S146^2))</f>
        <v/>
      </c>
    </row>
    <row r="147">
      <c r="A147" t="n">
        <v>144</v>
      </c>
      <c r="B147" s="196">
        <f>IF(A147&lt;='入力・概要'!$B$40,10^(LOG10('入力・概要'!$B$38)+(A147-1)*(LOG10('入力・概要'!$B$39)-LOG10('入力・概要'!$B$38))/('入力・概要'!$B$40-1)),"")</f>
        <v/>
      </c>
      <c r="C147" s="195">
        <f>IF(B147="","",2*PI()*B147)</f>
        <v/>
      </c>
      <c r="D147" s="195">
        <f>IF(B147="","",ATANH(MIN(0.999999,'入力・概要'!$E$20/'入力・概要'!$E$9))+'入力・概要'!$B$20*SQRT(B147/1E6)+E147*'入力・概要'!$B$15/2)</f>
        <v/>
      </c>
      <c r="E147" s="195">
        <f>IF(B147="","",C147*('入力・概要'!$E$11*1E-9))</f>
        <v/>
      </c>
      <c r="F147" s="195">
        <f>IF(B147="","",SINH(2*D147)/(COSH(2*D147)+COS(2*E147)))</f>
        <v/>
      </c>
      <c r="G147" s="195">
        <f>IF(B147="","",SIN(2*E147)/(COSH(2*D147)+COS(2*E147)))</f>
        <v/>
      </c>
      <c r="H147" s="195">
        <f>IF(B147="","",ATANH(MIN(0.999999,'入力・概要'!$E$21/'入力・概要'!$E$15))+'入力・概要'!$B$21*SQRT(B147/1E6)+I147*'入力・概要'!$B$16/2)</f>
        <v/>
      </c>
      <c r="I147" s="195">
        <f>IF(B147="","",C147*('入力・概要'!$E$17*1E-9))</f>
        <v/>
      </c>
      <c r="J147" s="195">
        <f>IF(B147="","",SINH(2*H147)/(COSH(2*H147)+COS(2*I147)))</f>
        <v/>
      </c>
      <c r="K147" s="195">
        <f>IF(B147="","",SIN(2*I147)/(COSH(2*H147)+COS(2*I147)))</f>
        <v/>
      </c>
      <c r="L147" s="195">
        <f>IF(B147="","",'入力・概要'!$B$25)</f>
        <v/>
      </c>
      <c r="M147" s="195">
        <f>IF(B147="","",C147*'入力・概要'!$B$26*1E-9-1/(C147*'入力・概要'!$B$24*1E-6))</f>
        <v/>
      </c>
      <c r="N147" s="195">
        <f>IF(B147="","",'入力・概要'!$B$28)</f>
        <v/>
      </c>
      <c r="O147" s="195">
        <f>IF(B147="","",C147*'入力・概要'!$B$29*1E-9-1/(C147*'入力・概要'!$B$27*1E-6))</f>
        <v/>
      </c>
      <c r="P147" s="195">
        <f>IF(B147="","",((L147*N147-M147*O147)*(L147+N147)+(L147*O147+M147*N147)*(M147+O147))/((L147+N147)^2+(M147+O147)^2))</f>
        <v/>
      </c>
      <c r="Q147" s="195">
        <f>IF(B147="","",((L147*O147+M147*N147)*(L147+N147)-(L147*N147-M147*O147)*(M147+O147))/((L147+N147)^2+(M147+O147)^2))</f>
        <v/>
      </c>
      <c r="R147" s="195">
        <f>IF(B147="","",'入力・概要'!$E$15*J147)</f>
        <v/>
      </c>
      <c r="S147" s="195">
        <f>IF(B147="","",'入力・概要'!$E$15*K147)</f>
        <v/>
      </c>
      <c r="T147" s="195">
        <f>IF(B147="","",P147+R147)</f>
        <v/>
      </c>
      <c r="U147" s="195">
        <f>IF(B147="","",Q147+S147)</f>
        <v/>
      </c>
      <c r="V147" s="195">
        <f>IF(B147="","",T147+'入力・概要'!$E$9*F147)</f>
        <v/>
      </c>
      <c r="W147" s="195">
        <f>IF(B147="","",U147+'入力・概要'!$E$9*G147)</f>
        <v/>
      </c>
      <c r="X147" s="195">
        <f>IF(B147="","",'入力・概要'!$E$9+T147*F147-U147*G147)</f>
        <v/>
      </c>
      <c r="Y147" s="195">
        <f>IF(B147="","",T147*G147+U147*F147)</f>
        <v/>
      </c>
      <c r="Z147" s="195">
        <f>IF(B147="","",'入力・概要'!$E$9*(V147*X147+W147*Y147)/(X147^2+Y147^2)+'入力・概要'!$B$36)</f>
        <v/>
      </c>
      <c r="AA147" s="195">
        <f>IF(B147="","",'入力・概要'!$E$9*(W147*X147-V147*Y147)/(X147^2+Y147^2)+C147*'入力・概要'!$B$37*1E-9)</f>
        <v/>
      </c>
      <c r="AB147" s="195">
        <f>IF(B147="","",SQRT(Z147^2+AA147^2))</f>
        <v/>
      </c>
      <c r="AC147" s="195">
        <f>IF(B147="","",IF(Z147&gt;0,DEGREES(ATAN(AA147/Z147)),IF(Z147&lt;0,IF(AA147&gt;=0,DEGREES(ATAN(AA147/Z147))+180,DEGREES(ATAN(AA147/Z147))-180),IF(AA147&gt;0,90,IF(AA147&lt;0,-90,0)))))</f>
        <v/>
      </c>
      <c r="AD147" s="195">
        <f>IF(B147="","",LOG10(B147))</f>
        <v/>
      </c>
      <c r="AE147" s="195">
        <f>IF(AB147="","",LOG10(MAX(AB147,1E-12)))</f>
        <v/>
      </c>
      <c r="AF147" s="195">
        <f>IF(B147="","",SQRT(P147^2+Q147^2))</f>
        <v/>
      </c>
      <c r="AG147" s="195">
        <f>IF(B147="","",SQRT(R147^2+S147^2))</f>
        <v/>
      </c>
    </row>
    <row r="148">
      <c r="A148" t="n">
        <v>145</v>
      </c>
      <c r="B148" s="196">
        <f>IF(A148&lt;='入力・概要'!$B$40,10^(LOG10('入力・概要'!$B$38)+(A148-1)*(LOG10('入力・概要'!$B$39)-LOG10('入力・概要'!$B$38))/('入力・概要'!$B$40-1)),"")</f>
        <v/>
      </c>
      <c r="C148" s="195">
        <f>IF(B148="","",2*PI()*B148)</f>
        <v/>
      </c>
      <c r="D148" s="195">
        <f>IF(B148="","",ATANH(MIN(0.999999,'入力・概要'!$E$20/'入力・概要'!$E$9))+'入力・概要'!$B$20*SQRT(B148/1E6)+E148*'入力・概要'!$B$15/2)</f>
        <v/>
      </c>
      <c r="E148" s="195">
        <f>IF(B148="","",C148*('入力・概要'!$E$11*1E-9))</f>
        <v/>
      </c>
      <c r="F148" s="195">
        <f>IF(B148="","",SINH(2*D148)/(COSH(2*D148)+COS(2*E148)))</f>
        <v/>
      </c>
      <c r="G148" s="195">
        <f>IF(B148="","",SIN(2*E148)/(COSH(2*D148)+COS(2*E148)))</f>
        <v/>
      </c>
      <c r="H148" s="195">
        <f>IF(B148="","",ATANH(MIN(0.999999,'入力・概要'!$E$21/'入力・概要'!$E$15))+'入力・概要'!$B$21*SQRT(B148/1E6)+I148*'入力・概要'!$B$16/2)</f>
        <v/>
      </c>
      <c r="I148" s="195">
        <f>IF(B148="","",C148*('入力・概要'!$E$17*1E-9))</f>
        <v/>
      </c>
      <c r="J148" s="195">
        <f>IF(B148="","",SINH(2*H148)/(COSH(2*H148)+COS(2*I148)))</f>
        <v/>
      </c>
      <c r="K148" s="195">
        <f>IF(B148="","",SIN(2*I148)/(COSH(2*H148)+COS(2*I148)))</f>
        <v/>
      </c>
      <c r="L148" s="195">
        <f>IF(B148="","",'入力・概要'!$B$25)</f>
        <v/>
      </c>
      <c r="M148" s="195">
        <f>IF(B148="","",C148*'入力・概要'!$B$26*1E-9-1/(C148*'入力・概要'!$B$24*1E-6))</f>
        <v/>
      </c>
      <c r="N148" s="195">
        <f>IF(B148="","",'入力・概要'!$B$28)</f>
        <v/>
      </c>
      <c r="O148" s="195">
        <f>IF(B148="","",C148*'入力・概要'!$B$29*1E-9-1/(C148*'入力・概要'!$B$27*1E-6))</f>
        <v/>
      </c>
      <c r="P148" s="195">
        <f>IF(B148="","",((L148*N148-M148*O148)*(L148+N148)+(L148*O148+M148*N148)*(M148+O148))/((L148+N148)^2+(M148+O148)^2))</f>
        <v/>
      </c>
      <c r="Q148" s="195">
        <f>IF(B148="","",((L148*O148+M148*N148)*(L148+N148)-(L148*N148-M148*O148)*(M148+O148))/((L148+N148)^2+(M148+O148)^2))</f>
        <v/>
      </c>
      <c r="R148" s="195">
        <f>IF(B148="","",'入力・概要'!$E$15*J148)</f>
        <v/>
      </c>
      <c r="S148" s="195">
        <f>IF(B148="","",'入力・概要'!$E$15*K148)</f>
        <v/>
      </c>
      <c r="T148" s="195">
        <f>IF(B148="","",P148+R148)</f>
        <v/>
      </c>
      <c r="U148" s="195">
        <f>IF(B148="","",Q148+S148)</f>
        <v/>
      </c>
      <c r="V148" s="195">
        <f>IF(B148="","",T148+'入力・概要'!$E$9*F148)</f>
        <v/>
      </c>
      <c r="W148" s="195">
        <f>IF(B148="","",U148+'入力・概要'!$E$9*G148)</f>
        <v/>
      </c>
      <c r="X148" s="195">
        <f>IF(B148="","",'入力・概要'!$E$9+T148*F148-U148*G148)</f>
        <v/>
      </c>
      <c r="Y148" s="195">
        <f>IF(B148="","",T148*G148+U148*F148)</f>
        <v/>
      </c>
      <c r="Z148" s="195">
        <f>IF(B148="","",'入力・概要'!$E$9*(V148*X148+W148*Y148)/(X148^2+Y148^2)+'入力・概要'!$B$36)</f>
        <v/>
      </c>
      <c r="AA148" s="195">
        <f>IF(B148="","",'入力・概要'!$E$9*(W148*X148-V148*Y148)/(X148^2+Y148^2)+C148*'入力・概要'!$B$37*1E-9)</f>
        <v/>
      </c>
      <c r="AB148" s="195">
        <f>IF(B148="","",SQRT(Z148^2+AA148^2))</f>
        <v/>
      </c>
      <c r="AC148" s="195">
        <f>IF(B148="","",IF(Z148&gt;0,DEGREES(ATAN(AA148/Z148)),IF(Z148&lt;0,IF(AA148&gt;=0,DEGREES(ATAN(AA148/Z148))+180,DEGREES(ATAN(AA148/Z148))-180),IF(AA148&gt;0,90,IF(AA148&lt;0,-90,0)))))</f>
        <v/>
      </c>
      <c r="AD148" s="195">
        <f>IF(B148="","",LOG10(B148))</f>
        <v/>
      </c>
      <c r="AE148" s="195">
        <f>IF(AB148="","",LOG10(MAX(AB148,1E-12)))</f>
        <v/>
      </c>
      <c r="AF148" s="195">
        <f>IF(B148="","",SQRT(P148^2+Q148^2))</f>
        <v/>
      </c>
      <c r="AG148" s="195">
        <f>IF(B148="","",SQRT(R148^2+S148^2))</f>
        <v/>
      </c>
    </row>
    <row r="149">
      <c r="A149" t="n">
        <v>146</v>
      </c>
      <c r="B149" s="196">
        <f>IF(A149&lt;='入力・概要'!$B$40,10^(LOG10('入力・概要'!$B$38)+(A149-1)*(LOG10('入力・概要'!$B$39)-LOG10('入力・概要'!$B$38))/('入力・概要'!$B$40-1)),"")</f>
        <v/>
      </c>
      <c r="C149" s="195">
        <f>IF(B149="","",2*PI()*B149)</f>
        <v/>
      </c>
      <c r="D149" s="195">
        <f>IF(B149="","",ATANH(MIN(0.999999,'入力・概要'!$E$20/'入力・概要'!$E$9))+'入力・概要'!$B$20*SQRT(B149/1E6)+E149*'入力・概要'!$B$15/2)</f>
        <v/>
      </c>
      <c r="E149" s="195">
        <f>IF(B149="","",C149*('入力・概要'!$E$11*1E-9))</f>
        <v/>
      </c>
      <c r="F149" s="195">
        <f>IF(B149="","",SINH(2*D149)/(COSH(2*D149)+COS(2*E149)))</f>
        <v/>
      </c>
      <c r="G149" s="195">
        <f>IF(B149="","",SIN(2*E149)/(COSH(2*D149)+COS(2*E149)))</f>
        <v/>
      </c>
      <c r="H149" s="195">
        <f>IF(B149="","",ATANH(MIN(0.999999,'入力・概要'!$E$21/'入力・概要'!$E$15))+'入力・概要'!$B$21*SQRT(B149/1E6)+I149*'入力・概要'!$B$16/2)</f>
        <v/>
      </c>
      <c r="I149" s="195">
        <f>IF(B149="","",C149*('入力・概要'!$E$17*1E-9))</f>
        <v/>
      </c>
      <c r="J149" s="195">
        <f>IF(B149="","",SINH(2*H149)/(COSH(2*H149)+COS(2*I149)))</f>
        <v/>
      </c>
      <c r="K149" s="195">
        <f>IF(B149="","",SIN(2*I149)/(COSH(2*H149)+COS(2*I149)))</f>
        <v/>
      </c>
      <c r="L149" s="195">
        <f>IF(B149="","",'入力・概要'!$B$25)</f>
        <v/>
      </c>
      <c r="M149" s="195">
        <f>IF(B149="","",C149*'入力・概要'!$B$26*1E-9-1/(C149*'入力・概要'!$B$24*1E-6))</f>
        <v/>
      </c>
      <c r="N149" s="195">
        <f>IF(B149="","",'入力・概要'!$B$28)</f>
        <v/>
      </c>
      <c r="O149" s="195">
        <f>IF(B149="","",C149*'入力・概要'!$B$29*1E-9-1/(C149*'入力・概要'!$B$27*1E-6))</f>
        <v/>
      </c>
      <c r="P149" s="195">
        <f>IF(B149="","",((L149*N149-M149*O149)*(L149+N149)+(L149*O149+M149*N149)*(M149+O149))/((L149+N149)^2+(M149+O149)^2))</f>
        <v/>
      </c>
      <c r="Q149" s="195">
        <f>IF(B149="","",((L149*O149+M149*N149)*(L149+N149)-(L149*N149-M149*O149)*(M149+O149))/((L149+N149)^2+(M149+O149)^2))</f>
        <v/>
      </c>
      <c r="R149" s="195">
        <f>IF(B149="","",'入力・概要'!$E$15*J149)</f>
        <v/>
      </c>
      <c r="S149" s="195">
        <f>IF(B149="","",'入力・概要'!$E$15*K149)</f>
        <v/>
      </c>
      <c r="T149" s="195">
        <f>IF(B149="","",P149+R149)</f>
        <v/>
      </c>
      <c r="U149" s="195">
        <f>IF(B149="","",Q149+S149)</f>
        <v/>
      </c>
      <c r="V149" s="195">
        <f>IF(B149="","",T149+'入力・概要'!$E$9*F149)</f>
        <v/>
      </c>
      <c r="W149" s="195">
        <f>IF(B149="","",U149+'入力・概要'!$E$9*G149)</f>
        <v/>
      </c>
      <c r="X149" s="195">
        <f>IF(B149="","",'入力・概要'!$E$9+T149*F149-U149*G149)</f>
        <v/>
      </c>
      <c r="Y149" s="195">
        <f>IF(B149="","",T149*G149+U149*F149)</f>
        <v/>
      </c>
      <c r="Z149" s="195">
        <f>IF(B149="","",'入力・概要'!$E$9*(V149*X149+W149*Y149)/(X149^2+Y149^2)+'入力・概要'!$B$36)</f>
        <v/>
      </c>
      <c r="AA149" s="195">
        <f>IF(B149="","",'入力・概要'!$E$9*(W149*X149-V149*Y149)/(X149^2+Y149^2)+C149*'入力・概要'!$B$37*1E-9)</f>
        <v/>
      </c>
      <c r="AB149" s="195">
        <f>IF(B149="","",SQRT(Z149^2+AA149^2))</f>
        <v/>
      </c>
      <c r="AC149" s="195">
        <f>IF(B149="","",IF(Z149&gt;0,DEGREES(ATAN(AA149/Z149)),IF(Z149&lt;0,IF(AA149&gt;=0,DEGREES(ATAN(AA149/Z149))+180,DEGREES(ATAN(AA149/Z149))-180),IF(AA149&gt;0,90,IF(AA149&lt;0,-90,0)))))</f>
        <v/>
      </c>
      <c r="AD149" s="195">
        <f>IF(B149="","",LOG10(B149))</f>
        <v/>
      </c>
      <c r="AE149" s="195">
        <f>IF(AB149="","",LOG10(MAX(AB149,1E-12)))</f>
        <v/>
      </c>
      <c r="AF149" s="195">
        <f>IF(B149="","",SQRT(P149^2+Q149^2))</f>
        <v/>
      </c>
      <c r="AG149" s="195">
        <f>IF(B149="","",SQRT(R149^2+S149^2))</f>
        <v/>
      </c>
    </row>
    <row r="150">
      <c r="A150" t="n">
        <v>147</v>
      </c>
      <c r="B150" s="196">
        <f>IF(A150&lt;='入力・概要'!$B$40,10^(LOG10('入力・概要'!$B$38)+(A150-1)*(LOG10('入力・概要'!$B$39)-LOG10('入力・概要'!$B$38))/('入力・概要'!$B$40-1)),"")</f>
        <v/>
      </c>
      <c r="C150" s="195">
        <f>IF(B150="","",2*PI()*B150)</f>
        <v/>
      </c>
      <c r="D150" s="195">
        <f>IF(B150="","",ATANH(MIN(0.999999,'入力・概要'!$E$20/'入力・概要'!$E$9))+'入力・概要'!$B$20*SQRT(B150/1E6)+E150*'入力・概要'!$B$15/2)</f>
        <v/>
      </c>
      <c r="E150" s="195">
        <f>IF(B150="","",C150*('入力・概要'!$E$11*1E-9))</f>
        <v/>
      </c>
      <c r="F150" s="195">
        <f>IF(B150="","",SINH(2*D150)/(COSH(2*D150)+COS(2*E150)))</f>
        <v/>
      </c>
      <c r="G150" s="195">
        <f>IF(B150="","",SIN(2*E150)/(COSH(2*D150)+COS(2*E150)))</f>
        <v/>
      </c>
      <c r="H150" s="195">
        <f>IF(B150="","",ATANH(MIN(0.999999,'入力・概要'!$E$21/'入力・概要'!$E$15))+'入力・概要'!$B$21*SQRT(B150/1E6)+I150*'入力・概要'!$B$16/2)</f>
        <v/>
      </c>
      <c r="I150" s="195">
        <f>IF(B150="","",C150*('入力・概要'!$E$17*1E-9))</f>
        <v/>
      </c>
      <c r="J150" s="195">
        <f>IF(B150="","",SINH(2*H150)/(COSH(2*H150)+COS(2*I150)))</f>
        <v/>
      </c>
      <c r="K150" s="195">
        <f>IF(B150="","",SIN(2*I150)/(COSH(2*H150)+COS(2*I150)))</f>
        <v/>
      </c>
      <c r="L150" s="195">
        <f>IF(B150="","",'入力・概要'!$B$25)</f>
        <v/>
      </c>
      <c r="M150" s="195">
        <f>IF(B150="","",C150*'入力・概要'!$B$26*1E-9-1/(C150*'入力・概要'!$B$24*1E-6))</f>
        <v/>
      </c>
      <c r="N150" s="195">
        <f>IF(B150="","",'入力・概要'!$B$28)</f>
        <v/>
      </c>
      <c r="O150" s="195">
        <f>IF(B150="","",C150*'入力・概要'!$B$29*1E-9-1/(C150*'入力・概要'!$B$27*1E-6))</f>
        <v/>
      </c>
      <c r="P150" s="195">
        <f>IF(B150="","",((L150*N150-M150*O150)*(L150+N150)+(L150*O150+M150*N150)*(M150+O150))/((L150+N150)^2+(M150+O150)^2))</f>
        <v/>
      </c>
      <c r="Q150" s="195">
        <f>IF(B150="","",((L150*O150+M150*N150)*(L150+N150)-(L150*N150-M150*O150)*(M150+O150))/((L150+N150)^2+(M150+O150)^2))</f>
        <v/>
      </c>
      <c r="R150" s="195">
        <f>IF(B150="","",'入力・概要'!$E$15*J150)</f>
        <v/>
      </c>
      <c r="S150" s="195">
        <f>IF(B150="","",'入力・概要'!$E$15*K150)</f>
        <v/>
      </c>
      <c r="T150" s="195">
        <f>IF(B150="","",P150+R150)</f>
        <v/>
      </c>
      <c r="U150" s="195">
        <f>IF(B150="","",Q150+S150)</f>
        <v/>
      </c>
      <c r="V150" s="195">
        <f>IF(B150="","",T150+'入力・概要'!$E$9*F150)</f>
        <v/>
      </c>
      <c r="W150" s="195">
        <f>IF(B150="","",U150+'入力・概要'!$E$9*G150)</f>
        <v/>
      </c>
      <c r="X150" s="195">
        <f>IF(B150="","",'入力・概要'!$E$9+T150*F150-U150*G150)</f>
        <v/>
      </c>
      <c r="Y150" s="195">
        <f>IF(B150="","",T150*G150+U150*F150)</f>
        <v/>
      </c>
      <c r="Z150" s="195">
        <f>IF(B150="","",'入力・概要'!$E$9*(V150*X150+W150*Y150)/(X150^2+Y150^2)+'入力・概要'!$B$36)</f>
        <v/>
      </c>
      <c r="AA150" s="195">
        <f>IF(B150="","",'入力・概要'!$E$9*(W150*X150-V150*Y150)/(X150^2+Y150^2)+C150*'入力・概要'!$B$37*1E-9)</f>
        <v/>
      </c>
      <c r="AB150" s="195">
        <f>IF(B150="","",SQRT(Z150^2+AA150^2))</f>
        <v/>
      </c>
      <c r="AC150" s="195">
        <f>IF(B150="","",IF(Z150&gt;0,DEGREES(ATAN(AA150/Z150)),IF(Z150&lt;0,IF(AA150&gt;=0,DEGREES(ATAN(AA150/Z150))+180,DEGREES(ATAN(AA150/Z150))-180),IF(AA150&gt;0,90,IF(AA150&lt;0,-90,0)))))</f>
        <v/>
      </c>
      <c r="AD150" s="195">
        <f>IF(B150="","",LOG10(B150))</f>
        <v/>
      </c>
      <c r="AE150" s="195">
        <f>IF(AB150="","",LOG10(MAX(AB150,1E-12)))</f>
        <v/>
      </c>
      <c r="AF150" s="195">
        <f>IF(B150="","",SQRT(P150^2+Q150^2))</f>
        <v/>
      </c>
      <c r="AG150" s="195">
        <f>IF(B150="","",SQRT(R150^2+S150^2))</f>
        <v/>
      </c>
    </row>
    <row r="151">
      <c r="A151" t="n">
        <v>148</v>
      </c>
      <c r="B151" s="196">
        <f>IF(A151&lt;='入力・概要'!$B$40,10^(LOG10('入力・概要'!$B$38)+(A151-1)*(LOG10('入力・概要'!$B$39)-LOG10('入力・概要'!$B$38))/('入力・概要'!$B$40-1)),"")</f>
        <v/>
      </c>
      <c r="C151" s="195">
        <f>IF(B151="","",2*PI()*B151)</f>
        <v/>
      </c>
      <c r="D151" s="195">
        <f>IF(B151="","",ATANH(MIN(0.999999,'入力・概要'!$E$20/'入力・概要'!$E$9))+'入力・概要'!$B$20*SQRT(B151/1E6)+E151*'入力・概要'!$B$15/2)</f>
        <v/>
      </c>
      <c r="E151" s="195">
        <f>IF(B151="","",C151*('入力・概要'!$E$11*1E-9))</f>
        <v/>
      </c>
      <c r="F151" s="195">
        <f>IF(B151="","",SINH(2*D151)/(COSH(2*D151)+COS(2*E151)))</f>
        <v/>
      </c>
      <c r="G151" s="195">
        <f>IF(B151="","",SIN(2*E151)/(COSH(2*D151)+COS(2*E151)))</f>
        <v/>
      </c>
      <c r="H151" s="195">
        <f>IF(B151="","",ATANH(MIN(0.999999,'入力・概要'!$E$21/'入力・概要'!$E$15))+'入力・概要'!$B$21*SQRT(B151/1E6)+I151*'入力・概要'!$B$16/2)</f>
        <v/>
      </c>
      <c r="I151" s="195">
        <f>IF(B151="","",C151*('入力・概要'!$E$17*1E-9))</f>
        <v/>
      </c>
      <c r="J151" s="195">
        <f>IF(B151="","",SINH(2*H151)/(COSH(2*H151)+COS(2*I151)))</f>
        <v/>
      </c>
      <c r="K151" s="195">
        <f>IF(B151="","",SIN(2*I151)/(COSH(2*H151)+COS(2*I151)))</f>
        <v/>
      </c>
      <c r="L151" s="195">
        <f>IF(B151="","",'入力・概要'!$B$25)</f>
        <v/>
      </c>
      <c r="M151" s="195">
        <f>IF(B151="","",C151*'入力・概要'!$B$26*1E-9-1/(C151*'入力・概要'!$B$24*1E-6))</f>
        <v/>
      </c>
      <c r="N151" s="195">
        <f>IF(B151="","",'入力・概要'!$B$28)</f>
        <v/>
      </c>
      <c r="O151" s="195">
        <f>IF(B151="","",C151*'入力・概要'!$B$29*1E-9-1/(C151*'入力・概要'!$B$27*1E-6))</f>
        <v/>
      </c>
      <c r="P151" s="195">
        <f>IF(B151="","",((L151*N151-M151*O151)*(L151+N151)+(L151*O151+M151*N151)*(M151+O151))/((L151+N151)^2+(M151+O151)^2))</f>
        <v/>
      </c>
      <c r="Q151" s="195">
        <f>IF(B151="","",((L151*O151+M151*N151)*(L151+N151)-(L151*N151-M151*O151)*(M151+O151))/((L151+N151)^2+(M151+O151)^2))</f>
        <v/>
      </c>
      <c r="R151" s="195">
        <f>IF(B151="","",'入力・概要'!$E$15*J151)</f>
        <v/>
      </c>
      <c r="S151" s="195">
        <f>IF(B151="","",'入力・概要'!$E$15*K151)</f>
        <v/>
      </c>
      <c r="T151" s="195">
        <f>IF(B151="","",P151+R151)</f>
        <v/>
      </c>
      <c r="U151" s="195">
        <f>IF(B151="","",Q151+S151)</f>
        <v/>
      </c>
      <c r="V151" s="195">
        <f>IF(B151="","",T151+'入力・概要'!$E$9*F151)</f>
        <v/>
      </c>
      <c r="W151" s="195">
        <f>IF(B151="","",U151+'入力・概要'!$E$9*G151)</f>
        <v/>
      </c>
      <c r="X151" s="195">
        <f>IF(B151="","",'入力・概要'!$E$9+T151*F151-U151*G151)</f>
        <v/>
      </c>
      <c r="Y151" s="195">
        <f>IF(B151="","",T151*G151+U151*F151)</f>
        <v/>
      </c>
      <c r="Z151" s="195">
        <f>IF(B151="","",'入力・概要'!$E$9*(V151*X151+W151*Y151)/(X151^2+Y151^2)+'入力・概要'!$B$36)</f>
        <v/>
      </c>
      <c r="AA151" s="195">
        <f>IF(B151="","",'入力・概要'!$E$9*(W151*X151-V151*Y151)/(X151^2+Y151^2)+C151*'入力・概要'!$B$37*1E-9)</f>
        <v/>
      </c>
      <c r="AB151" s="195">
        <f>IF(B151="","",SQRT(Z151^2+AA151^2))</f>
        <v/>
      </c>
      <c r="AC151" s="195">
        <f>IF(B151="","",IF(Z151&gt;0,DEGREES(ATAN(AA151/Z151)),IF(Z151&lt;0,IF(AA151&gt;=0,DEGREES(ATAN(AA151/Z151))+180,DEGREES(ATAN(AA151/Z151))-180),IF(AA151&gt;0,90,IF(AA151&lt;0,-90,0)))))</f>
        <v/>
      </c>
      <c r="AD151" s="195">
        <f>IF(B151="","",LOG10(B151))</f>
        <v/>
      </c>
      <c r="AE151" s="195">
        <f>IF(AB151="","",LOG10(MAX(AB151,1E-12)))</f>
        <v/>
      </c>
      <c r="AF151" s="195">
        <f>IF(B151="","",SQRT(P151^2+Q151^2))</f>
        <v/>
      </c>
      <c r="AG151" s="195">
        <f>IF(B151="","",SQRT(R151^2+S151^2))</f>
        <v/>
      </c>
    </row>
    <row r="152">
      <c r="A152" t="n">
        <v>149</v>
      </c>
      <c r="B152" s="196">
        <f>IF(A152&lt;='入力・概要'!$B$40,10^(LOG10('入力・概要'!$B$38)+(A152-1)*(LOG10('入力・概要'!$B$39)-LOG10('入力・概要'!$B$38))/('入力・概要'!$B$40-1)),"")</f>
        <v/>
      </c>
      <c r="C152" s="195">
        <f>IF(B152="","",2*PI()*B152)</f>
        <v/>
      </c>
      <c r="D152" s="195">
        <f>IF(B152="","",ATANH(MIN(0.999999,'入力・概要'!$E$20/'入力・概要'!$E$9))+'入力・概要'!$B$20*SQRT(B152/1E6)+E152*'入力・概要'!$B$15/2)</f>
        <v/>
      </c>
      <c r="E152" s="195">
        <f>IF(B152="","",C152*('入力・概要'!$E$11*1E-9))</f>
        <v/>
      </c>
      <c r="F152" s="195">
        <f>IF(B152="","",SINH(2*D152)/(COSH(2*D152)+COS(2*E152)))</f>
        <v/>
      </c>
      <c r="G152" s="195">
        <f>IF(B152="","",SIN(2*E152)/(COSH(2*D152)+COS(2*E152)))</f>
        <v/>
      </c>
      <c r="H152" s="195">
        <f>IF(B152="","",ATANH(MIN(0.999999,'入力・概要'!$E$21/'入力・概要'!$E$15))+'入力・概要'!$B$21*SQRT(B152/1E6)+I152*'入力・概要'!$B$16/2)</f>
        <v/>
      </c>
      <c r="I152" s="195">
        <f>IF(B152="","",C152*('入力・概要'!$E$17*1E-9))</f>
        <v/>
      </c>
      <c r="J152" s="195">
        <f>IF(B152="","",SINH(2*H152)/(COSH(2*H152)+COS(2*I152)))</f>
        <v/>
      </c>
      <c r="K152" s="195">
        <f>IF(B152="","",SIN(2*I152)/(COSH(2*H152)+COS(2*I152)))</f>
        <v/>
      </c>
      <c r="L152" s="195">
        <f>IF(B152="","",'入力・概要'!$B$25)</f>
        <v/>
      </c>
      <c r="M152" s="195">
        <f>IF(B152="","",C152*'入力・概要'!$B$26*1E-9-1/(C152*'入力・概要'!$B$24*1E-6))</f>
        <v/>
      </c>
      <c r="N152" s="195">
        <f>IF(B152="","",'入力・概要'!$B$28)</f>
        <v/>
      </c>
      <c r="O152" s="195">
        <f>IF(B152="","",C152*'入力・概要'!$B$29*1E-9-1/(C152*'入力・概要'!$B$27*1E-6))</f>
        <v/>
      </c>
      <c r="P152" s="195">
        <f>IF(B152="","",((L152*N152-M152*O152)*(L152+N152)+(L152*O152+M152*N152)*(M152+O152))/((L152+N152)^2+(M152+O152)^2))</f>
        <v/>
      </c>
      <c r="Q152" s="195">
        <f>IF(B152="","",((L152*O152+M152*N152)*(L152+N152)-(L152*N152-M152*O152)*(M152+O152))/((L152+N152)^2+(M152+O152)^2))</f>
        <v/>
      </c>
      <c r="R152" s="195">
        <f>IF(B152="","",'入力・概要'!$E$15*J152)</f>
        <v/>
      </c>
      <c r="S152" s="195">
        <f>IF(B152="","",'入力・概要'!$E$15*K152)</f>
        <v/>
      </c>
      <c r="T152" s="195">
        <f>IF(B152="","",P152+R152)</f>
        <v/>
      </c>
      <c r="U152" s="195">
        <f>IF(B152="","",Q152+S152)</f>
        <v/>
      </c>
      <c r="V152" s="195">
        <f>IF(B152="","",T152+'入力・概要'!$E$9*F152)</f>
        <v/>
      </c>
      <c r="W152" s="195">
        <f>IF(B152="","",U152+'入力・概要'!$E$9*G152)</f>
        <v/>
      </c>
      <c r="X152" s="195">
        <f>IF(B152="","",'入力・概要'!$E$9+T152*F152-U152*G152)</f>
        <v/>
      </c>
      <c r="Y152" s="195">
        <f>IF(B152="","",T152*G152+U152*F152)</f>
        <v/>
      </c>
      <c r="Z152" s="195">
        <f>IF(B152="","",'入力・概要'!$E$9*(V152*X152+W152*Y152)/(X152^2+Y152^2)+'入力・概要'!$B$36)</f>
        <v/>
      </c>
      <c r="AA152" s="195">
        <f>IF(B152="","",'入力・概要'!$E$9*(W152*X152-V152*Y152)/(X152^2+Y152^2)+C152*'入力・概要'!$B$37*1E-9)</f>
        <v/>
      </c>
      <c r="AB152" s="195">
        <f>IF(B152="","",SQRT(Z152^2+AA152^2))</f>
        <v/>
      </c>
      <c r="AC152" s="195">
        <f>IF(B152="","",IF(Z152&gt;0,DEGREES(ATAN(AA152/Z152)),IF(Z152&lt;0,IF(AA152&gt;=0,DEGREES(ATAN(AA152/Z152))+180,DEGREES(ATAN(AA152/Z152))-180),IF(AA152&gt;0,90,IF(AA152&lt;0,-90,0)))))</f>
        <v/>
      </c>
      <c r="AD152" s="195">
        <f>IF(B152="","",LOG10(B152))</f>
        <v/>
      </c>
      <c r="AE152" s="195">
        <f>IF(AB152="","",LOG10(MAX(AB152,1E-12)))</f>
        <v/>
      </c>
      <c r="AF152" s="195">
        <f>IF(B152="","",SQRT(P152^2+Q152^2))</f>
        <v/>
      </c>
      <c r="AG152" s="195">
        <f>IF(B152="","",SQRT(R152^2+S152^2))</f>
        <v/>
      </c>
    </row>
    <row r="153">
      <c r="A153" t="n">
        <v>150</v>
      </c>
      <c r="B153" s="196">
        <f>IF(A153&lt;='入力・概要'!$B$40,10^(LOG10('入力・概要'!$B$38)+(A153-1)*(LOG10('入力・概要'!$B$39)-LOG10('入力・概要'!$B$38))/('入力・概要'!$B$40-1)),"")</f>
        <v/>
      </c>
      <c r="C153" s="195">
        <f>IF(B153="","",2*PI()*B153)</f>
        <v/>
      </c>
      <c r="D153" s="195">
        <f>IF(B153="","",ATANH(MIN(0.999999,'入力・概要'!$E$20/'入力・概要'!$E$9))+'入力・概要'!$B$20*SQRT(B153/1E6)+E153*'入力・概要'!$B$15/2)</f>
        <v/>
      </c>
      <c r="E153" s="195">
        <f>IF(B153="","",C153*('入力・概要'!$E$11*1E-9))</f>
        <v/>
      </c>
      <c r="F153" s="195">
        <f>IF(B153="","",SINH(2*D153)/(COSH(2*D153)+COS(2*E153)))</f>
        <v/>
      </c>
      <c r="G153" s="195">
        <f>IF(B153="","",SIN(2*E153)/(COSH(2*D153)+COS(2*E153)))</f>
        <v/>
      </c>
      <c r="H153" s="195">
        <f>IF(B153="","",ATANH(MIN(0.999999,'入力・概要'!$E$21/'入力・概要'!$E$15))+'入力・概要'!$B$21*SQRT(B153/1E6)+I153*'入力・概要'!$B$16/2)</f>
        <v/>
      </c>
      <c r="I153" s="195">
        <f>IF(B153="","",C153*('入力・概要'!$E$17*1E-9))</f>
        <v/>
      </c>
      <c r="J153" s="195">
        <f>IF(B153="","",SINH(2*H153)/(COSH(2*H153)+COS(2*I153)))</f>
        <v/>
      </c>
      <c r="K153" s="195">
        <f>IF(B153="","",SIN(2*I153)/(COSH(2*H153)+COS(2*I153)))</f>
        <v/>
      </c>
      <c r="L153" s="195">
        <f>IF(B153="","",'入力・概要'!$B$25)</f>
        <v/>
      </c>
      <c r="M153" s="195">
        <f>IF(B153="","",C153*'入力・概要'!$B$26*1E-9-1/(C153*'入力・概要'!$B$24*1E-6))</f>
        <v/>
      </c>
      <c r="N153" s="195">
        <f>IF(B153="","",'入力・概要'!$B$28)</f>
        <v/>
      </c>
      <c r="O153" s="195">
        <f>IF(B153="","",C153*'入力・概要'!$B$29*1E-9-1/(C153*'入力・概要'!$B$27*1E-6))</f>
        <v/>
      </c>
      <c r="P153" s="195">
        <f>IF(B153="","",((L153*N153-M153*O153)*(L153+N153)+(L153*O153+M153*N153)*(M153+O153))/((L153+N153)^2+(M153+O153)^2))</f>
        <v/>
      </c>
      <c r="Q153" s="195">
        <f>IF(B153="","",((L153*O153+M153*N153)*(L153+N153)-(L153*N153-M153*O153)*(M153+O153))/((L153+N153)^2+(M153+O153)^2))</f>
        <v/>
      </c>
      <c r="R153" s="195">
        <f>IF(B153="","",'入力・概要'!$E$15*J153)</f>
        <v/>
      </c>
      <c r="S153" s="195">
        <f>IF(B153="","",'入力・概要'!$E$15*K153)</f>
        <v/>
      </c>
      <c r="T153" s="195">
        <f>IF(B153="","",P153+R153)</f>
        <v/>
      </c>
      <c r="U153" s="195">
        <f>IF(B153="","",Q153+S153)</f>
        <v/>
      </c>
      <c r="V153" s="195">
        <f>IF(B153="","",T153+'入力・概要'!$E$9*F153)</f>
        <v/>
      </c>
      <c r="W153" s="195">
        <f>IF(B153="","",U153+'入力・概要'!$E$9*G153)</f>
        <v/>
      </c>
      <c r="X153" s="195">
        <f>IF(B153="","",'入力・概要'!$E$9+T153*F153-U153*G153)</f>
        <v/>
      </c>
      <c r="Y153" s="195">
        <f>IF(B153="","",T153*G153+U153*F153)</f>
        <v/>
      </c>
      <c r="Z153" s="195">
        <f>IF(B153="","",'入力・概要'!$E$9*(V153*X153+W153*Y153)/(X153^2+Y153^2)+'入力・概要'!$B$36)</f>
        <v/>
      </c>
      <c r="AA153" s="195">
        <f>IF(B153="","",'入力・概要'!$E$9*(W153*X153-V153*Y153)/(X153^2+Y153^2)+C153*'入力・概要'!$B$37*1E-9)</f>
        <v/>
      </c>
      <c r="AB153" s="195">
        <f>IF(B153="","",SQRT(Z153^2+AA153^2))</f>
        <v/>
      </c>
      <c r="AC153" s="195">
        <f>IF(B153="","",IF(Z153&gt;0,DEGREES(ATAN(AA153/Z153)),IF(Z153&lt;0,IF(AA153&gt;=0,DEGREES(ATAN(AA153/Z153))+180,DEGREES(ATAN(AA153/Z153))-180),IF(AA153&gt;0,90,IF(AA153&lt;0,-90,0)))))</f>
        <v/>
      </c>
      <c r="AD153" s="195">
        <f>IF(B153="","",LOG10(B153))</f>
        <v/>
      </c>
      <c r="AE153" s="195">
        <f>IF(AB153="","",LOG10(MAX(AB153,1E-12)))</f>
        <v/>
      </c>
      <c r="AF153" s="195">
        <f>IF(B153="","",SQRT(P153^2+Q153^2))</f>
        <v/>
      </c>
      <c r="AG153" s="195">
        <f>IF(B153="","",SQRT(R153^2+S153^2))</f>
        <v/>
      </c>
    </row>
    <row r="154">
      <c r="A154" t="n">
        <v>151</v>
      </c>
      <c r="B154" s="196">
        <f>IF(A154&lt;='入力・概要'!$B$40,10^(LOG10('入力・概要'!$B$38)+(A154-1)*(LOG10('入力・概要'!$B$39)-LOG10('入力・概要'!$B$38))/('入力・概要'!$B$40-1)),"")</f>
        <v/>
      </c>
      <c r="C154" s="195">
        <f>IF(B154="","",2*PI()*B154)</f>
        <v/>
      </c>
      <c r="D154" s="195">
        <f>IF(B154="","",ATANH(MIN(0.999999,'入力・概要'!$E$20/'入力・概要'!$E$9))+'入力・概要'!$B$20*SQRT(B154/1E6)+E154*'入力・概要'!$B$15/2)</f>
        <v/>
      </c>
      <c r="E154" s="195">
        <f>IF(B154="","",C154*('入力・概要'!$E$11*1E-9))</f>
        <v/>
      </c>
      <c r="F154" s="195">
        <f>IF(B154="","",SINH(2*D154)/(COSH(2*D154)+COS(2*E154)))</f>
        <v/>
      </c>
      <c r="G154" s="195">
        <f>IF(B154="","",SIN(2*E154)/(COSH(2*D154)+COS(2*E154)))</f>
        <v/>
      </c>
      <c r="H154" s="195">
        <f>IF(B154="","",ATANH(MIN(0.999999,'入力・概要'!$E$21/'入力・概要'!$E$15))+'入力・概要'!$B$21*SQRT(B154/1E6)+I154*'入力・概要'!$B$16/2)</f>
        <v/>
      </c>
      <c r="I154" s="195">
        <f>IF(B154="","",C154*('入力・概要'!$E$17*1E-9))</f>
        <v/>
      </c>
      <c r="J154" s="195">
        <f>IF(B154="","",SINH(2*H154)/(COSH(2*H154)+COS(2*I154)))</f>
        <v/>
      </c>
      <c r="K154" s="195">
        <f>IF(B154="","",SIN(2*I154)/(COSH(2*H154)+COS(2*I154)))</f>
        <v/>
      </c>
      <c r="L154" s="195">
        <f>IF(B154="","",'入力・概要'!$B$25)</f>
        <v/>
      </c>
      <c r="M154" s="195">
        <f>IF(B154="","",C154*'入力・概要'!$B$26*1E-9-1/(C154*'入力・概要'!$B$24*1E-6))</f>
        <v/>
      </c>
      <c r="N154" s="195">
        <f>IF(B154="","",'入力・概要'!$B$28)</f>
        <v/>
      </c>
      <c r="O154" s="195">
        <f>IF(B154="","",C154*'入力・概要'!$B$29*1E-9-1/(C154*'入力・概要'!$B$27*1E-6))</f>
        <v/>
      </c>
      <c r="P154" s="195">
        <f>IF(B154="","",((L154*N154-M154*O154)*(L154+N154)+(L154*O154+M154*N154)*(M154+O154))/((L154+N154)^2+(M154+O154)^2))</f>
        <v/>
      </c>
      <c r="Q154" s="195">
        <f>IF(B154="","",((L154*O154+M154*N154)*(L154+N154)-(L154*N154-M154*O154)*(M154+O154))/((L154+N154)^2+(M154+O154)^2))</f>
        <v/>
      </c>
      <c r="R154" s="195">
        <f>IF(B154="","",'入力・概要'!$E$15*J154)</f>
        <v/>
      </c>
      <c r="S154" s="195">
        <f>IF(B154="","",'入力・概要'!$E$15*K154)</f>
        <v/>
      </c>
      <c r="T154" s="195">
        <f>IF(B154="","",P154+R154)</f>
        <v/>
      </c>
      <c r="U154" s="195">
        <f>IF(B154="","",Q154+S154)</f>
        <v/>
      </c>
      <c r="V154" s="195">
        <f>IF(B154="","",T154+'入力・概要'!$E$9*F154)</f>
        <v/>
      </c>
      <c r="W154" s="195">
        <f>IF(B154="","",U154+'入力・概要'!$E$9*G154)</f>
        <v/>
      </c>
      <c r="X154" s="195">
        <f>IF(B154="","",'入力・概要'!$E$9+T154*F154-U154*G154)</f>
        <v/>
      </c>
      <c r="Y154" s="195">
        <f>IF(B154="","",T154*G154+U154*F154)</f>
        <v/>
      </c>
      <c r="Z154" s="195">
        <f>IF(B154="","",'入力・概要'!$E$9*(V154*X154+W154*Y154)/(X154^2+Y154^2)+'入力・概要'!$B$36)</f>
        <v/>
      </c>
      <c r="AA154" s="195">
        <f>IF(B154="","",'入力・概要'!$E$9*(W154*X154-V154*Y154)/(X154^2+Y154^2)+C154*'入力・概要'!$B$37*1E-9)</f>
        <v/>
      </c>
      <c r="AB154" s="195">
        <f>IF(B154="","",SQRT(Z154^2+AA154^2))</f>
        <v/>
      </c>
      <c r="AC154" s="195">
        <f>IF(B154="","",IF(Z154&gt;0,DEGREES(ATAN(AA154/Z154)),IF(Z154&lt;0,IF(AA154&gt;=0,DEGREES(ATAN(AA154/Z154))+180,DEGREES(ATAN(AA154/Z154))-180),IF(AA154&gt;0,90,IF(AA154&lt;0,-90,0)))))</f>
        <v/>
      </c>
      <c r="AD154" s="195">
        <f>IF(B154="","",LOG10(B154))</f>
        <v/>
      </c>
      <c r="AE154" s="195">
        <f>IF(AB154="","",LOG10(MAX(AB154,1E-12)))</f>
        <v/>
      </c>
      <c r="AF154" s="195">
        <f>IF(B154="","",SQRT(P154^2+Q154^2))</f>
        <v/>
      </c>
      <c r="AG154" s="195">
        <f>IF(B154="","",SQRT(R154^2+S154^2))</f>
        <v/>
      </c>
    </row>
    <row r="155">
      <c r="A155" t="n">
        <v>152</v>
      </c>
      <c r="B155" s="196">
        <f>IF(A155&lt;='入力・概要'!$B$40,10^(LOG10('入力・概要'!$B$38)+(A155-1)*(LOG10('入力・概要'!$B$39)-LOG10('入力・概要'!$B$38))/('入力・概要'!$B$40-1)),"")</f>
        <v/>
      </c>
      <c r="C155" s="195">
        <f>IF(B155="","",2*PI()*B155)</f>
        <v/>
      </c>
      <c r="D155" s="195">
        <f>IF(B155="","",ATANH(MIN(0.999999,'入力・概要'!$E$20/'入力・概要'!$E$9))+'入力・概要'!$B$20*SQRT(B155/1E6)+E155*'入力・概要'!$B$15/2)</f>
        <v/>
      </c>
      <c r="E155" s="195">
        <f>IF(B155="","",C155*('入力・概要'!$E$11*1E-9))</f>
        <v/>
      </c>
      <c r="F155" s="195">
        <f>IF(B155="","",SINH(2*D155)/(COSH(2*D155)+COS(2*E155)))</f>
        <v/>
      </c>
      <c r="G155" s="195">
        <f>IF(B155="","",SIN(2*E155)/(COSH(2*D155)+COS(2*E155)))</f>
        <v/>
      </c>
      <c r="H155" s="195">
        <f>IF(B155="","",ATANH(MIN(0.999999,'入力・概要'!$E$21/'入力・概要'!$E$15))+'入力・概要'!$B$21*SQRT(B155/1E6)+I155*'入力・概要'!$B$16/2)</f>
        <v/>
      </c>
      <c r="I155" s="195">
        <f>IF(B155="","",C155*('入力・概要'!$E$17*1E-9))</f>
        <v/>
      </c>
      <c r="J155" s="195">
        <f>IF(B155="","",SINH(2*H155)/(COSH(2*H155)+COS(2*I155)))</f>
        <v/>
      </c>
      <c r="K155" s="195">
        <f>IF(B155="","",SIN(2*I155)/(COSH(2*H155)+COS(2*I155)))</f>
        <v/>
      </c>
      <c r="L155" s="195">
        <f>IF(B155="","",'入力・概要'!$B$25)</f>
        <v/>
      </c>
      <c r="M155" s="195">
        <f>IF(B155="","",C155*'入力・概要'!$B$26*1E-9-1/(C155*'入力・概要'!$B$24*1E-6))</f>
        <v/>
      </c>
      <c r="N155" s="195">
        <f>IF(B155="","",'入力・概要'!$B$28)</f>
        <v/>
      </c>
      <c r="O155" s="195">
        <f>IF(B155="","",C155*'入力・概要'!$B$29*1E-9-1/(C155*'入力・概要'!$B$27*1E-6))</f>
        <v/>
      </c>
      <c r="P155" s="195">
        <f>IF(B155="","",((L155*N155-M155*O155)*(L155+N155)+(L155*O155+M155*N155)*(M155+O155))/((L155+N155)^2+(M155+O155)^2))</f>
        <v/>
      </c>
      <c r="Q155" s="195">
        <f>IF(B155="","",((L155*O155+M155*N155)*(L155+N155)-(L155*N155-M155*O155)*(M155+O155))/((L155+N155)^2+(M155+O155)^2))</f>
        <v/>
      </c>
      <c r="R155" s="195">
        <f>IF(B155="","",'入力・概要'!$E$15*J155)</f>
        <v/>
      </c>
      <c r="S155" s="195">
        <f>IF(B155="","",'入力・概要'!$E$15*K155)</f>
        <v/>
      </c>
      <c r="T155" s="195">
        <f>IF(B155="","",P155+R155)</f>
        <v/>
      </c>
      <c r="U155" s="195">
        <f>IF(B155="","",Q155+S155)</f>
        <v/>
      </c>
      <c r="V155" s="195">
        <f>IF(B155="","",T155+'入力・概要'!$E$9*F155)</f>
        <v/>
      </c>
      <c r="W155" s="195">
        <f>IF(B155="","",U155+'入力・概要'!$E$9*G155)</f>
        <v/>
      </c>
      <c r="X155" s="195">
        <f>IF(B155="","",'入力・概要'!$E$9+T155*F155-U155*G155)</f>
        <v/>
      </c>
      <c r="Y155" s="195">
        <f>IF(B155="","",T155*G155+U155*F155)</f>
        <v/>
      </c>
      <c r="Z155" s="195">
        <f>IF(B155="","",'入力・概要'!$E$9*(V155*X155+W155*Y155)/(X155^2+Y155^2)+'入力・概要'!$B$36)</f>
        <v/>
      </c>
      <c r="AA155" s="195">
        <f>IF(B155="","",'入力・概要'!$E$9*(W155*X155-V155*Y155)/(X155^2+Y155^2)+C155*'入力・概要'!$B$37*1E-9)</f>
        <v/>
      </c>
      <c r="AB155" s="195">
        <f>IF(B155="","",SQRT(Z155^2+AA155^2))</f>
        <v/>
      </c>
      <c r="AC155" s="195">
        <f>IF(B155="","",IF(Z155&gt;0,DEGREES(ATAN(AA155/Z155)),IF(Z155&lt;0,IF(AA155&gt;=0,DEGREES(ATAN(AA155/Z155))+180,DEGREES(ATAN(AA155/Z155))-180),IF(AA155&gt;0,90,IF(AA155&lt;0,-90,0)))))</f>
        <v/>
      </c>
      <c r="AD155" s="195">
        <f>IF(B155="","",LOG10(B155))</f>
        <v/>
      </c>
      <c r="AE155" s="195">
        <f>IF(AB155="","",LOG10(MAX(AB155,1E-12)))</f>
        <v/>
      </c>
      <c r="AF155" s="195">
        <f>IF(B155="","",SQRT(P155^2+Q155^2))</f>
        <v/>
      </c>
      <c r="AG155" s="195">
        <f>IF(B155="","",SQRT(R155^2+S155^2))</f>
        <v/>
      </c>
    </row>
    <row r="156">
      <c r="A156" t="n">
        <v>153</v>
      </c>
      <c r="B156" s="196">
        <f>IF(A156&lt;='入力・概要'!$B$40,10^(LOG10('入力・概要'!$B$38)+(A156-1)*(LOG10('入力・概要'!$B$39)-LOG10('入力・概要'!$B$38))/('入力・概要'!$B$40-1)),"")</f>
        <v/>
      </c>
      <c r="C156" s="195">
        <f>IF(B156="","",2*PI()*B156)</f>
        <v/>
      </c>
      <c r="D156" s="195">
        <f>IF(B156="","",ATANH(MIN(0.999999,'入力・概要'!$E$20/'入力・概要'!$E$9))+'入力・概要'!$B$20*SQRT(B156/1E6)+E156*'入力・概要'!$B$15/2)</f>
        <v/>
      </c>
      <c r="E156" s="195">
        <f>IF(B156="","",C156*('入力・概要'!$E$11*1E-9))</f>
        <v/>
      </c>
      <c r="F156" s="195">
        <f>IF(B156="","",SINH(2*D156)/(COSH(2*D156)+COS(2*E156)))</f>
        <v/>
      </c>
      <c r="G156" s="195">
        <f>IF(B156="","",SIN(2*E156)/(COSH(2*D156)+COS(2*E156)))</f>
        <v/>
      </c>
      <c r="H156" s="195">
        <f>IF(B156="","",ATANH(MIN(0.999999,'入力・概要'!$E$21/'入力・概要'!$E$15))+'入力・概要'!$B$21*SQRT(B156/1E6)+I156*'入力・概要'!$B$16/2)</f>
        <v/>
      </c>
      <c r="I156" s="195">
        <f>IF(B156="","",C156*('入力・概要'!$E$17*1E-9))</f>
        <v/>
      </c>
      <c r="J156" s="195">
        <f>IF(B156="","",SINH(2*H156)/(COSH(2*H156)+COS(2*I156)))</f>
        <v/>
      </c>
      <c r="K156" s="195">
        <f>IF(B156="","",SIN(2*I156)/(COSH(2*H156)+COS(2*I156)))</f>
        <v/>
      </c>
      <c r="L156" s="195">
        <f>IF(B156="","",'入力・概要'!$B$25)</f>
        <v/>
      </c>
      <c r="M156" s="195">
        <f>IF(B156="","",C156*'入力・概要'!$B$26*1E-9-1/(C156*'入力・概要'!$B$24*1E-6))</f>
        <v/>
      </c>
      <c r="N156" s="195">
        <f>IF(B156="","",'入力・概要'!$B$28)</f>
        <v/>
      </c>
      <c r="O156" s="195">
        <f>IF(B156="","",C156*'入力・概要'!$B$29*1E-9-1/(C156*'入力・概要'!$B$27*1E-6))</f>
        <v/>
      </c>
      <c r="P156" s="195">
        <f>IF(B156="","",((L156*N156-M156*O156)*(L156+N156)+(L156*O156+M156*N156)*(M156+O156))/((L156+N156)^2+(M156+O156)^2))</f>
        <v/>
      </c>
      <c r="Q156" s="195">
        <f>IF(B156="","",((L156*O156+M156*N156)*(L156+N156)-(L156*N156-M156*O156)*(M156+O156))/((L156+N156)^2+(M156+O156)^2))</f>
        <v/>
      </c>
      <c r="R156" s="195">
        <f>IF(B156="","",'入力・概要'!$E$15*J156)</f>
        <v/>
      </c>
      <c r="S156" s="195">
        <f>IF(B156="","",'入力・概要'!$E$15*K156)</f>
        <v/>
      </c>
      <c r="T156" s="195">
        <f>IF(B156="","",P156+R156)</f>
        <v/>
      </c>
      <c r="U156" s="195">
        <f>IF(B156="","",Q156+S156)</f>
        <v/>
      </c>
      <c r="V156" s="195">
        <f>IF(B156="","",T156+'入力・概要'!$E$9*F156)</f>
        <v/>
      </c>
      <c r="W156" s="195">
        <f>IF(B156="","",U156+'入力・概要'!$E$9*G156)</f>
        <v/>
      </c>
      <c r="X156" s="195">
        <f>IF(B156="","",'入力・概要'!$E$9+T156*F156-U156*G156)</f>
        <v/>
      </c>
      <c r="Y156" s="195">
        <f>IF(B156="","",T156*G156+U156*F156)</f>
        <v/>
      </c>
      <c r="Z156" s="195">
        <f>IF(B156="","",'入力・概要'!$E$9*(V156*X156+W156*Y156)/(X156^2+Y156^2)+'入力・概要'!$B$36)</f>
        <v/>
      </c>
      <c r="AA156" s="195">
        <f>IF(B156="","",'入力・概要'!$E$9*(W156*X156-V156*Y156)/(X156^2+Y156^2)+C156*'入力・概要'!$B$37*1E-9)</f>
        <v/>
      </c>
      <c r="AB156" s="195">
        <f>IF(B156="","",SQRT(Z156^2+AA156^2))</f>
        <v/>
      </c>
      <c r="AC156" s="195">
        <f>IF(B156="","",IF(Z156&gt;0,DEGREES(ATAN(AA156/Z156)),IF(Z156&lt;0,IF(AA156&gt;=0,DEGREES(ATAN(AA156/Z156))+180,DEGREES(ATAN(AA156/Z156))-180),IF(AA156&gt;0,90,IF(AA156&lt;0,-90,0)))))</f>
        <v/>
      </c>
      <c r="AD156" s="195">
        <f>IF(B156="","",LOG10(B156))</f>
        <v/>
      </c>
      <c r="AE156" s="195">
        <f>IF(AB156="","",LOG10(MAX(AB156,1E-12)))</f>
        <v/>
      </c>
      <c r="AF156" s="195">
        <f>IF(B156="","",SQRT(P156^2+Q156^2))</f>
        <v/>
      </c>
      <c r="AG156" s="195">
        <f>IF(B156="","",SQRT(R156^2+S156^2))</f>
        <v/>
      </c>
    </row>
    <row r="157">
      <c r="A157" t="n">
        <v>154</v>
      </c>
      <c r="B157" s="196">
        <f>IF(A157&lt;='入力・概要'!$B$40,10^(LOG10('入力・概要'!$B$38)+(A157-1)*(LOG10('入力・概要'!$B$39)-LOG10('入力・概要'!$B$38))/('入力・概要'!$B$40-1)),"")</f>
        <v/>
      </c>
      <c r="C157" s="195">
        <f>IF(B157="","",2*PI()*B157)</f>
        <v/>
      </c>
      <c r="D157" s="195">
        <f>IF(B157="","",ATANH(MIN(0.999999,'入力・概要'!$E$20/'入力・概要'!$E$9))+'入力・概要'!$B$20*SQRT(B157/1E6)+E157*'入力・概要'!$B$15/2)</f>
        <v/>
      </c>
      <c r="E157" s="195">
        <f>IF(B157="","",C157*('入力・概要'!$E$11*1E-9))</f>
        <v/>
      </c>
      <c r="F157" s="195">
        <f>IF(B157="","",SINH(2*D157)/(COSH(2*D157)+COS(2*E157)))</f>
        <v/>
      </c>
      <c r="G157" s="195">
        <f>IF(B157="","",SIN(2*E157)/(COSH(2*D157)+COS(2*E157)))</f>
        <v/>
      </c>
      <c r="H157" s="195">
        <f>IF(B157="","",ATANH(MIN(0.999999,'入力・概要'!$E$21/'入力・概要'!$E$15))+'入力・概要'!$B$21*SQRT(B157/1E6)+I157*'入力・概要'!$B$16/2)</f>
        <v/>
      </c>
      <c r="I157" s="195">
        <f>IF(B157="","",C157*('入力・概要'!$E$17*1E-9))</f>
        <v/>
      </c>
      <c r="J157" s="195">
        <f>IF(B157="","",SINH(2*H157)/(COSH(2*H157)+COS(2*I157)))</f>
        <v/>
      </c>
      <c r="K157" s="195">
        <f>IF(B157="","",SIN(2*I157)/(COSH(2*H157)+COS(2*I157)))</f>
        <v/>
      </c>
      <c r="L157" s="195">
        <f>IF(B157="","",'入力・概要'!$B$25)</f>
        <v/>
      </c>
      <c r="M157" s="195">
        <f>IF(B157="","",C157*'入力・概要'!$B$26*1E-9-1/(C157*'入力・概要'!$B$24*1E-6))</f>
        <v/>
      </c>
      <c r="N157" s="195">
        <f>IF(B157="","",'入力・概要'!$B$28)</f>
        <v/>
      </c>
      <c r="O157" s="195">
        <f>IF(B157="","",C157*'入力・概要'!$B$29*1E-9-1/(C157*'入力・概要'!$B$27*1E-6))</f>
        <v/>
      </c>
      <c r="P157" s="195">
        <f>IF(B157="","",((L157*N157-M157*O157)*(L157+N157)+(L157*O157+M157*N157)*(M157+O157))/((L157+N157)^2+(M157+O157)^2))</f>
        <v/>
      </c>
      <c r="Q157" s="195">
        <f>IF(B157="","",((L157*O157+M157*N157)*(L157+N157)-(L157*N157-M157*O157)*(M157+O157))/((L157+N157)^2+(M157+O157)^2))</f>
        <v/>
      </c>
      <c r="R157" s="195">
        <f>IF(B157="","",'入力・概要'!$E$15*J157)</f>
        <v/>
      </c>
      <c r="S157" s="195">
        <f>IF(B157="","",'入力・概要'!$E$15*K157)</f>
        <v/>
      </c>
      <c r="T157" s="195">
        <f>IF(B157="","",P157+R157)</f>
        <v/>
      </c>
      <c r="U157" s="195">
        <f>IF(B157="","",Q157+S157)</f>
        <v/>
      </c>
      <c r="V157" s="195">
        <f>IF(B157="","",T157+'入力・概要'!$E$9*F157)</f>
        <v/>
      </c>
      <c r="W157" s="195">
        <f>IF(B157="","",U157+'入力・概要'!$E$9*G157)</f>
        <v/>
      </c>
      <c r="X157" s="195">
        <f>IF(B157="","",'入力・概要'!$E$9+T157*F157-U157*G157)</f>
        <v/>
      </c>
      <c r="Y157" s="195">
        <f>IF(B157="","",T157*G157+U157*F157)</f>
        <v/>
      </c>
      <c r="Z157" s="195">
        <f>IF(B157="","",'入力・概要'!$E$9*(V157*X157+W157*Y157)/(X157^2+Y157^2)+'入力・概要'!$B$36)</f>
        <v/>
      </c>
      <c r="AA157" s="195">
        <f>IF(B157="","",'入力・概要'!$E$9*(W157*X157-V157*Y157)/(X157^2+Y157^2)+C157*'入力・概要'!$B$37*1E-9)</f>
        <v/>
      </c>
      <c r="AB157" s="195">
        <f>IF(B157="","",SQRT(Z157^2+AA157^2))</f>
        <v/>
      </c>
      <c r="AC157" s="195">
        <f>IF(B157="","",IF(Z157&gt;0,DEGREES(ATAN(AA157/Z157)),IF(Z157&lt;0,IF(AA157&gt;=0,DEGREES(ATAN(AA157/Z157))+180,DEGREES(ATAN(AA157/Z157))-180),IF(AA157&gt;0,90,IF(AA157&lt;0,-90,0)))))</f>
        <v/>
      </c>
      <c r="AD157" s="195">
        <f>IF(B157="","",LOG10(B157))</f>
        <v/>
      </c>
      <c r="AE157" s="195">
        <f>IF(AB157="","",LOG10(MAX(AB157,1E-12)))</f>
        <v/>
      </c>
      <c r="AF157" s="195">
        <f>IF(B157="","",SQRT(P157^2+Q157^2))</f>
        <v/>
      </c>
      <c r="AG157" s="195">
        <f>IF(B157="","",SQRT(R157^2+S157^2))</f>
        <v/>
      </c>
    </row>
    <row r="158">
      <c r="A158" t="n">
        <v>155</v>
      </c>
      <c r="B158" s="196">
        <f>IF(A158&lt;='入力・概要'!$B$40,10^(LOG10('入力・概要'!$B$38)+(A158-1)*(LOG10('入力・概要'!$B$39)-LOG10('入力・概要'!$B$38))/('入力・概要'!$B$40-1)),"")</f>
        <v/>
      </c>
      <c r="C158" s="195">
        <f>IF(B158="","",2*PI()*B158)</f>
        <v/>
      </c>
      <c r="D158" s="195">
        <f>IF(B158="","",ATANH(MIN(0.999999,'入力・概要'!$E$20/'入力・概要'!$E$9))+'入力・概要'!$B$20*SQRT(B158/1E6)+E158*'入力・概要'!$B$15/2)</f>
        <v/>
      </c>
      <c r="E158" s="195">
        <f>IF(B158="","",C158*('入力・概要'!$E$11*1E-9))</f>
        <v/>
      </c>
      <c r="F158" s="195">
        <f>IF(B158="","",SINH(2*D158)/(COSH(2*D158)+COS(2*E158)))</f>
        <v/>
      </c>
      <c r="G158" s="195">
        <f>IF(B158="","",SIN(2*E158)/(COSH(2*D158)+COS(2*E158)))</f>
        <v/>
      </c>
      <c r="H158" s="195">
        <f>IF(B158="","",ATANH(MIN(0.999999,'入力・概要'!$E$21/'入力・概要'!$E$15))+'入力・概要'!$B$21*SQRT(B158/1E6)+I158*'入力・概要'!$B$16/2)</f>
        <v/>
      </c>
      <c r="I158" s="195">
        <f>IF(B158="","",C158*('入力・概要'!$E$17*1E-9))</f>
        <v/>
      </c>
      <c r="J158" s="195">
        <f>IF(B158="","",SINH(2*H158)/(COSH(2*H158)+COS(2*I158)))</f>
        <v/>
      </c>
      <c r="K158" s="195">
        <f>IF(B158="","",SIN(2*I158)/(COSH(2*H158)+COS(2*I158)))</f>
        <v/>
      </c>
      <c r="L158" s="195">
        <f>IF(B158="","",'入力・概要'!$B$25)</f>
        <v/>
      </c>
      <c r="M158" s="195">
        <f>IF(B158="","",C158*'入力・概要'!$B$26*1E-9-1/(C158*'入力・概要'!$B$24*1E-6))</f>
        <v/>
      </c>
      <c r="N158" s="195">
        <f>IF(B158="","",'入力・概要'!$B$28)</f>
        <v/>
      </c>
      <c r="O158" s="195">
        <f>IF(B158="","",C158*'入力・概要'!$B$29*1E-9-1/(C158*'入力・概要'!$B$27*1E-6))</f>
        <v/>
      </c>
      <c r="P158" s="195">
        <f>IF(B158="","",((L158*N158-M158*O158)*(L158+N158)+(L158*O158+M158*N158)*(M158+O158))/((L158+N158)^2+(M158+O158)^2))</f>
        <v/>
      </c>
      <c r="Q158" s="195">
        <f>IF(B158="","",((L158*O158+M158*N158)*(L158+N158)-(L158*N158-M158*O158)*(M158+O158))/((L158+N158)^2+(M158+O158)^2))</f>
        <v/>
      </c>
      <c r="R158" s="195">
        <f>IF(B158="","",'入力・概要'!$E$15*J158)</f>
        <v/>
      </c>
      <c r="S158" s="195">
        <f>IF(B158="","",'入力・概要'!$E$15*K158)</f>
        <v/>
      </c>
      <c r="T158" s="195">
        <f>IF(B158="","",P158+R158)</f>
        <v/>
      </c>
      <c r="U158" s="195">
        <f>IF(B158="","",Q158+S158)</f>
        <v/>
      </c>
      <c r="V158" s="195">
        <f>IF(B158="","",T158+'入力・概要'!$E$9*F158)</f>
        <v/>
      </c>
      <c r="W158" s="195">
        <f>IF(B158="","",U158+'入力・概要'!$E$9*G158)</f>
        <v/>
      </c>
      <c r="X158" s="195">
        <f>IF(B158="","",'入力・概要'!$E$9+T158*F158-U158*G158)</f>
        <v/>
      </c>
      <c r="Y158" s="195">
        <f>IF(B158="","",T158*G158+U158*F158)</f>
        <v/>
      </c>
      <c r="Z158" s="195">
        <f>IF(B158="","",'入力・概要'!$E$9*(V158*X158+W158*Y158)/(X158^2+Y158^2)+'入力・概要'!$B$36)</f>
        <v/>
      </c>
      <c r="AA158" s="195">
        <f>IF(B158="","",'入力・概要'!$E$9*(W158*X158-V158*Y158)/(X158^2+Y158^2)+C158*'入力・概要'!$B$37*1E-9)</f>
        <v/>
      </c>
      <c r="AB158" s="195">
        <f>IF(B158="","",SQRT(Z158^2+AA158^2))</f>
        <v/>
      </c>
      <c r="AC158" s="195">
        <f>IF(B158="","",IF(Z158&gt;0,DEGREES(ATAN(AA158/Z158)),IF(Z158&lt;0,IF(AA158&gt;=0,DEGREES(ATAN(AA158/Z158))+180,DEGREES(ATAN(AA158/Z158))-180),IF(AA158&gt;0,90,IF(AA158&lt;0,-90,0)))))</f>
        <v/>
      </c>
      <c r="AD158" s="195">
        <f>IF(B158="","",LOG10(B158))</f>
        <v/>
      </c>
      <c r="AE158" s="195">
        <f>IF(AB158="","",LOG10(MAX(AB158,1E-12)))</f>
        <v/>
      </c>
      <c r="AF158" s="195">
        <f>IF(B158="","",SQRT(P158^2+Q158^2))</f>
        <v/>
      </c>
      <c r="AG158" s="195">
        <f>IF(B158="","",SQRT(R158^2+S158^2))</f>
        <v/>
      </c>
    </row>
    <row r="159">
      <c r="A159" t="n">
        <v>156</v>
      </c>
      <c r="B159" s="196">
        <f>IF(A159&lt;='入力・概要'!$B$40,10^(LOG10('入力・概要'!$B$38)+(A159-1)*(LOG10('入力・概要'!$B$39)-LOG10('入力・概要'!$B$38))/('入力・概要'!$B$40-1)),"")</f>
        <v/>
      </c>
      <c r="C159" s="195">
        <f>IF(B159="","",2*PI()*B159)</f>
        <v/>
      </c>
      <c r="D159" s="195">
        <f>IF(B159="","",ATANH(MIN(0.999999,'入力・概要'!$E$20/'入力・概要'!$E$9))+'入力・概要'!$B$20*SQRT(B159/1E6)+E159*'入力・概要'!$B$15/2)</f>
        <v/>
      </c>
      <c r="E159" s="195">
        <f>IF(B159="","",C159*('入力・概要'!$E$11*1E-9))</f>
        <v/>
      </c>
      <c r="F159" s="195">
        <f>IF(B159="","",SINH(2*D159)/(COSH(2*D159)+COS(2*E159)))</f>
        <v/>
      </c>
      <c r="G159" s="195">
        <f>IF(B159="","",SIN(2*E159)/(COSH(2*D159)+COS(2*E159)))</f>
        <v/>
      </c>
      <c r="H159" s="195">
        <f>IF(B159="","",ATANH(MIN(0.999999,'入力・概要'!$E$21/'入力・概要'!$E$15))+'入力・概要'!$B$21*SQRT(B159/1E6)+I159*'入力・概要'!$B$16/2)</f>
        <v/>
      </c>
      <c r="I159" s="195">
        <f>IF(B159="","",C159*('入力・概要'!$E$17*1E-9))</f>
        <v/>
      </c>
      <c r="J159" s="195">
        <f>IF(B159="","",SINH(2*H159)/(COSH(2*H159)+COS(2*I159)))</f>
        <v/>
      </c>
      <c r="K159" s="195">
        <f>IF(B159="","",SIN(2*I159)/(COSH(2*H159)+COS(2*I159)))</f>
        <v/>
      </c>
      <c r="L159" s="195">
        <f>IF(B159="","",'入力・概要'!$B$25)</f>
        <v/>
      </c>
      <c r="M159" s="195">
        <f>IF(B159="","",C159*'入力・概要'!$B$26*1E-9-1/(C159*'入力・概要'!$B$24*1E-6))</f>
        <v/>
      </c>
      <c r="N159" s="195">
        <f>IF(B159="","",'入力・概要'!$B$28)</f>
        <v/>
      </c>
      <c r="O159" s="195">
        <f>IF(B159="","",C159*'入力・概要'!$B$29*1E-9-1/(C159*'入力・概要'!$B$27*1E-6))</f>
        <v/>
      </c>
      <c r="P159" s="195">
        <f>IF(B159="","",((L159*N159-M159*O159)*(L159+N159)+(L159*O159+M159*N159)*(M159+O159))/((L159+N159)^2+(M159+O159)^2))</f>
        <v/>
      </c>
      <c r="Q159" s="195">
        <f>IF(B159="","",((L159*O159+M159*N159)*(L159+N159)-(L159*N159-M159*O159)*(M159+O159))/((L159+N159)^2+(M159+O159)^2))</f>
        <v/>
      </c>
      <c r="R159" s="195">
        <f>IF(B159="","",'入力・概要'!$E$15*J159)</f>
        <v/>
      </c>
      <c r="S159" s="195">
        <f>IF(B159="","",'入力・概要'!$E$15*K159)</f>
        <v/>
      </c>
      <c r="T159" s="195">
        <f>IF(B159="","",P159+R159)</f>
        <v/>
      </c>
      <c r="U159" s="195">
        <f>IF(B159="","",Q159+S159)</f>
        <v/>
      </c>
      <c r="V159" s="195">
        <f>IF(B159="","",T159+'入力・概要'!$E$9*F159)</f>
        <v/>
      </c>
      <c r="W159" s="195">
        <f>IF(B159="","",U159+'入力・概要'!$E$9*G159)</f>
        <v/>
      </c>
      <c r="X159" s="195">
        <f>IF(B159="","",'入力・概要'!$E$9+T159*F159-U159*G159)</f>
        <v/>
      </c>
      <c r="Y159" s="195">
        <f>IF(B159="","",T159*G159+U159*F159)</f>
        <v/>
      </c>
      <c r="Z159" s="195">
        <f>IF(B159="","",'入力・概要'!$E$9*(V159*X159+W159*Y159)/(X159^2+Y159^2)+'入力・概要'!$B$36)</f>
        <v/>
      </c>
      <c r="AA159" s="195">
        <f>IF(B159="","",'入力・概要'!$E$9*(W159*X159-V159*Y159)/(X159^2+Y159^2)+C159*'入力・概要'!$B$37*1E-9)</f>
        <v/>
      </c>
      <c r="AB159" s="195">
        <f>IF(B159="","",SQRT(Z159^2+AA159^2))</f>
        <v/>
      </c>
      <c r="AC159" s="195">
        <f>IF(B159="","",IF(Z159&gt;0,DEGREES(ATAN(AA159/Z159)),IF(Z159&lt;0,IF(AA159&gt;=0,DEGREES(ATAN(AA159/Z159))+180,DEGREES(ATAN(AA159/Z159))-180),IF(AA159&gt;0,90,IF(AA159&lt;0,-90,0)))))</f>
        <v/>
      </c>
      <c r="AD159" s="195">
        <f>IF(B159="","",LOG10(B159))</f>
        <v/>
      </c>
      <c r="AE159" s="195">
        <f>IF(AB159="","",LOG10(MAX(AB159,1E-12)))</f>
        <v/>
      </c>
      <c r="AF159" s="195">
        <f>IF(B159="","",SQRT(P159^2+Q159^2))</f>
        <v/>
      </c>
      <c r="AG159" s="195">
        <f>IF(B159="","",SQRT(R159^2+S159^2))</f>
        <v/>
      </c>
    </row>
    <row r="160">
      <c r="A160" t="n">
        <v>157</v>
      </c>
      <c r="B160" s="196">
        <f>IF(A160&lt;='入力・概要'!$B$40,10^(LOG10('入力・概要'!$B$38)+(A160-1)*(LOG10('入力・概要'!$B$39)-LOG10('入力・概要'!$B$38))/('入力・概要'!$B$40-1)),"")</f>
        <v/>
      </c>
      <c r="C160" s="195">
        <f>IF(B160="","",2*PI()*B160)</f>
        <v/>
      </c>
      <c r="D160" s="195">
        <f>IF(B160="","",ATANH(MIN(0.999999,'入力・概要'!$E$20/'入力・概要'!$E$9))+'入力・概要'!$B$20*SQRT(B160/1E6)+E160*'入力・概要'!$B$15/2)</f>
        <v/>
      </c>
      <c r="E160" s="195">
        <f>IF(B160="","",C160*('入力・概要'!$E$11*1E-9))</f>
        <v/>
      </c>
      <c r="F160" s="195">
        <f>IF(B160="","",SINH(2*D160)/(COSH(2*D160)+COS(2*E160)))</f>
        <v/>
      </c>
      <c r="G160" s="195">
        <f>IF(B160="","",SIN(2*E160)/(COSH(2*D160)+COS(2*E160)))</f>
        <v/>
      </c>
      <c r="H160" s="195">
        <f>IF(B160="","",ATANH(MIN(0.999999,'入力・概要'!$E$21/'入力・概要'!$E$15))+'入力・概要'!$B$21*SQRT(B160/1E6)+I160*'入力・概要'!$B$16/2)</f>
        <v/>
      </c>
      <c r="I160" s="195">
        <f>IF(B160="","",C160*('入力・概要'!$E$17*1E-9))</f>
        <v/>
      </c>
      <c r="J160" s="195">
        <f>IF(B160="","",SINH(2*H160)/(COSH(2*H160)+COS(2*I160)))</f>
        <v/>
      </c>
      <c r="K160" s="195">
        <f>IF(B160="","",SIN(2*I160)/(COSH(2*H160)+COS(2*I160)))</f>
        <v/>
      </c>
      <c r="L160" s="195">
        <f>IF(B160="","",'入力・概要'!$B$25)</f>
        <v/>
      </c>
      <c r="M160" s="195">
        <f>IF(B160="","",C160*'入力・概要'!$B$26*1E-9-1/(C160*'入力・概要'!$B$24*1E-6))</f>
        <v/>
      </c>
      <c r="N160" s="195">
        <f>IF(B160="","",'入力・概要'!$B$28)</f>
        <v/>
      </c>
      <c r="O160" s="195">
        <f>IF(B160="","",C160*'入力・概要'!$B$29*1E-9-1/(C160*'入力・概要'!$B$27*1E-6))</f>
        <v/>
      </c>
      <c r="P160" s="195">
        <f>IF(B160="","",((L160*N160-M160*O160)*(L160+N160)+(L160*O160+M160*N160)*(M160+O160))/((L160+N160)^2+(M160+O160)^2))</f>
        <v/>
      </c>
      <c r="Q160" s="195">
        <f>IF(B160="","",((L160*O160+M160*N160)*(L160+N160)-(L160*N160-M160*O160)*(M160+O160))/((L160+N160)^2+(M160+O160)^2))</f>
        <v/>
      </c>
      <c r="R160" s="195">
        <f>IF(B160="","",'入力・概要'!$E$15*J160)</f>
        <v/>
      </c>
      <c r="S160" s="195">
        <f>IF(B160="","",'入力・概要'!$E$15*K160)</f>
        <v/>
      </c>
      <c r="T160" s="195">
        <f>IF(B160="","",P160+R160)</f>
        <v/>
      </c>
      <c r="U160" s="195">
        <f>IF(B160="","",Q160+S160)</f>
        <v/>
      </c>
      <c r="V160" s="195">
        <f>IF(B160="","",T160+'入力・概要'!$E$9*F160)</f>
        <v/>
      </c>
      <c r="W160" s="195">
        <f>IF(B160="","",U160+'入力・概要'!$E$9*G160)</f>
        <v/>
      </c>
      <c r="X160" s="195">
        <f>IF(B160="","",'入力・概要'!$E$9+T160*F160-U160*G160)</f>
        <v/>
      </c>
      <c r="Y160" s="195">
        <f>IF(B160="","",T160*G160+U160*F160)</f>
        <v/>
      </c>
      <c r="Z160" s="195">
        <f>IF(B160="","",'入力・概要'!$E$9*(V160*X160+W160*Y160)/(X160^2+Y160^2)+'入力・概要'!$B$36)</f>
        <v/>
      </c>
      <c r="AA160" s="195">
        <f>IF(B160="","",'入力・概要'!$E$9*(W160*X160-V160*Y160)/(X160^2+Y160^2)+C160*'入力・概要'!$B$37*1E-9)</f>
        <v/>
      </c>
      <c r="AB160" s="195">
        <f>IF(B160="","",SQRT(Z160^2+AA160^2))</f>
        <v/>
      </c>
      <c r="AC160" s="195">
        <f>IF(B160="","",IF(Z160&gt;0,DEGREES(ATAN(AA160/Z160)),IF(Z160&lt;0,IF(AA160&gt;=0,DEGREES(ATAN(AA160/Z160))+180,DEGREES(ATAN(AA160/Z160))-180),IF(AA160&gt;0,90,IF(AA160&lt;0,-90,0)))))</f>
        <v/>
      </c>
      <c r="AD160" s="195">
        <f>IF(B160="","",LOG10(B160))</f>
        <v/>
      </c>
      <c r="AE160" s="195">
        <f>IF(AB160="","",LOG10(MAX(AB160,1E-12)))</f>
        <v/>
      </c>
      <c r="AF160" s="195">
        <f>IF(B160="","",SQRT(P160^2+Q160^2))</f>
        <v/>
      </c>
      <c r="AG160" s="195">
        <f>IF(B160="","",SQRT(R160^2+S160^2))</f>
        <v/>
      </c>
    </row>
    <row r="161">
      <c r="A161" t="n">
        <v>158</v>
      </c>
      <c r="B161" s="196">
        <f>IF(A161&lt;='入力・概要'!$B$40,10^(LOG10('入力・概要'!$B$38)+(A161-1)*(LOG10('入力・概要'!$B$39)-LOG10('入力・概要'!$B$38))/('入力・概要'!$B$40-1)),"")</f>
        <v/>
      </c>
      <c r="C161" s="195">
        <f>IF(B161="","",2*PI()*B161)</f>
        <v/>
      </c>
      <c r="D161" s="195">
        <f>IF(B161="","",ATANH(MIN(0.999999,'入力・概要'!$E$20/'入力・概要'!$E$9))+'入力・概要'!$B$20*SQRT(B161/1E6)+E161*'入力・概要'!$B$15/2)</f>
        <v/>
      </c>
      <c r="E161" s="195">
        <f>IF(B161="","",C161*('入力・概要'!$E$11*1E-9))</f>
        <v/>
      </c>
      <c r="F161" s="195">
        <f>IF(B161="","",SINH(2*D161)/(COSH(2*D161)+COS(2*E161)))</f>
        <v/>
      </c>
      <c r="G161" s="195">
        <f>IF(B161="","",SIN(2*E161)/(COSH(2*D161)+COS(2*E161)))</f>
        <v/>
      </c>
      <c r="H161" s="195">
        <f>IF(B161="","",ATANH(MIN(0.999999,'入力・概要'!$E$21/'入力・概要'!$E$15))+'入力・概要'!$B$21*SQRT(B161/1E6)+I161*'入力・概要'!$B$16/2)</f>
        <v/>
      </c>
      <c r="I161" s="195">
        <f>IF(B161="","",C161*('入力・概要'!$E$17*1E-9))</f>
        <v/>
      </c>
      <c r="J161" s="195">
        <f>IF(B161="","",SINH(2*H161)/(COSH(2*H161)+COS(2*I161)))</f>
        <v/>
      </c>
      <c r="K161" s="195">
        <f>IF(B161="","",SIN(2*I161)/(COSH(2*H161)+COS(2*I161)))</f>
        <v/>
      </c>
      <c r="L161" s="195">
        <f>IF(B161="","",'入力・概要'!$B$25)</f>
        <v/>
      </c>
      <c r="M161" s="195">
        <f>IF(B161="","",C161*'入力・概要'!$B$26*1E-9-1/(C161*'入力・概要'!$B$24*1E-6))</f>
        <v/>
      </c>
      <c r="N161" s="195">
        <f>IF(B161="","",'入力・概要'!$B$28)</f>
        <v/>
      </c>
      <c r="O161" s="195">
        <f>IF(B161="","",C161*'入力・概要'!$B$29*1E-9-1/(C161*'入力・概要'!$B$27*1E-6))</f>
        <v/>
      </c>
      <c r="P161" s="195">
        <f>IF(B161="","",((L161*N161-M161*O161)*(L161+N161)+(L161*O161+M161*N161)*(M161+O161))/((L161+N161)^2+(M161+O161)^2))</f>
        <v/>
      </c>
      <c r="Q161" s="195">
        <f>IF(B161="","",((L161*O161+M161*N161)*(L161+N161)-(L161*N161-M161*O161)*(M161+O161))/((L161+N161)^2+(M161+O161)^2))</f>
        <v/>
      </c>
      <c r="R161" s="195">
        <f>IF(B161="","",'入力・概要'!$E$15*J161)</f>
        <v/>
      </c>
      <c r="S161" s="195">
        <f>IF(B161="","",'入力・概要'!$E$15*K161)</f>
        <v/>
      </c>
      <c r="T161" s="195">
        <f>IF(B161="","",P161+R161)</f>
        <v/>
      </c>
      <c r="U161" s="195">
        <f>IF(B161="","",Q161+S161)</f>
        <v/>
      </c>
      <c r="V161" s="195">
        <f>IF(B161="","",T161+'入力・概要'!$E$9*F161)</f>
        <v/>
      </c>
      <c r="W161" s="195">
        <f>IF(B161="","",U161+'入力・概要'!$E$9*G161)</f>
        <v/>
      </c>
      <c r="X161" s="195">
        <f>IF(B161="","",'入力・概要'!$E$9+T161*F161-U161*G161)</f>
        <v/>
      </c>
      <c r="Y161" s="195">
        <f>IF(B161="","",T161*G161+U161*F161)</f>
        <v/>
      </c>
      <c r="Z161" s="195">
        <f>IF(B161="","",'入力・概要'!$E$9*(V161*X161+W161*Y161)/(X161^2+Y161^2)+'入力・概要'!$B$36)</f>
        <v/>
      </c>
      <c r="AA161" s="195">
        <f>IF(B161="","",'入力・概要'!$E$9*(W161*X161-V161*Y161)/(X161^2+Y161^2)+C161*'入力・概要'!$B$37*1E-9)</f>
        <v/>
      </c>
      <c r="AB161" s="195">
        <f>IF(B161="","",SQRT(Z161^2+AA161^2))</f>
        <v/>
      </c>
      <c r="AC161" s="195">
        <f>IF(B161="","",IF(Z161&gt;0,DEGREES(ATAN(AA161/Z161)),IF(Z161&lt;0,IF(AA161&gt;=0,DEGREES(ATAN(AA161/Z161))+180,DEGREES(ATAN(AA161/Z161))-180),IF(AA161&gt;0,90,IF(AA161&lt;0,-90,0)))))</f>
        <v/>
      </c>
      <c r="AD161" s="195">
        <f>IF(B161="","",LOG10(B161))</f>
        <v/>
      </c>
      <c r="AE161" s="195">
        <f>IF(AB161="","",LOG10(MAX(AB161,1E-12)))</f>
        <v/>
      </c>
      <c r="AF161" s="195">
        <f>IF(B161="","",SQRT(P161^2+Q161^2))</f>
        <v/>
      </c>
      <c r="AG161" s="195">
        <f>IF(B161="","",SQRT(R161^2+S161^2))</f>
        <v/>
      </c>
    </row>
    <row r="162">
      <c r="A162" t="n">
        <v>159</v>
      </c>
      <c r="B162" s="196">
        <f>IF(A162&lt;='入力・概要'!$B$40,10^(LOG10('入力・概要'!$B$38)+(A162-1)*(LOG10('入力・概要'!$B$39)-LOG10('入力・概要'!$B$38))/('入力・概要'!$B$40-1)),"")</f>
        <v/>
      </c>
      <c r="C162" s="195">
        <f>IF(B162="","",2*PI()*B162)</f>
        <v/>
      </c>
      <c r="D162" s="195">
        <f>IF(B162="","",ATANH(MIN(0.999999,'入力・概要'!$E$20/'入力・概要'!$E$9))+'入力・概要'!$B$20*SQRT(B162/1E6)+E162*'入力・概要'!$B$15/2)</f>
        <v/>
      </c>
      <c r="E162" s="195">
        <f>IF(B162="","",C162*('入力・概要'!$E$11*1E-9))</f>
        <v/>
      </c>
      <c r="F162" s="195">
        <f>IF(B162="","",SINH(2*D162)/(COSH(2*D162)+COS(2*E162)))</f>
        <v/>
      </c>
      <c r="G162" s="195">
        <f>IF(B162="","",SIN(2*E162)/(COSH(2*D162)+COS(2*E162)))</f>
        <v/>
      </c>
      <c r="H162" s="195">
        <f>IF(B162="","",ATANH(MIN(0.999999,'入力・概要'!$E$21/'入力・概要'!$E$15))+'入力・概要'!$B$21*SQRT(B162/1E6)+I162*'入力・概要'!$B$16/2)</f>
        <v/>
      </c>
      <c r="I162" s="195">
        <f>IF(B162="","",C162*('入力・概要'!$E$17*1E-9))</f>
        <v/>
      </c>
      <c r="J162" s="195">
        <f>IF(B162="","",SINH(2*H162)/(COSH(2*H162)+COS(2*I162)))</f>
        <v/>
      </c>
      <c r="K162" s="195">
        <f>IF(B162="","",SIN(2*I162)/(COSH(2*H162)+COS(2*I162)))</f>
        <v/>
      </c>
      <c r="L162" s="195">
        <f>IF(B162="","",'入力・概要'!$B$25)</f>
        <v/>
      </c>
      <c r="M162" s="195">
        <f>IF(B162="","",C162*'入力・概要'!$B$26*1E-9-1/(C162*'入力・概要'!$B$24*1E-6))</f>
        <v/>
      </c>
      <c r="N162" s="195">
        <f>IF(B162="","",'入力・概要'!$B$28)</f>
        <v/>
      </c>
      <c r="O162" s="195">
        <f>IF(B162="","",C162*'入力・概要'!$B$29*1E-9-1/(C162*'入力・概要'!$B$27*1E-6))</f>
        <v/>
      </c>
      <c r="P162" s="195">
        <f>IF(B162="","",((L162*N162-M162*O162)*(L162+N162)+(L162*O162+M162*N162)*(M162+O162))/((L162+N162)^2+(M162+O162)^2))</f>
        <v/>
      </c>
      <c r="Q162" s="195">
        <f>IF(B162="","",((L162*O162+M162*N162)*(L162+N162)-(L162*N162-M162*O162)*(M162+O162))/((L162+N162)^2+(M162+O162)^2))</f>
        <v/>
      </c>
      <c r="R162" s="195">
        <f>IF(B162="","",'入力・概要'!$E$15*J162)</f>
        <v/>
      </c>
      <c r="S162" s="195">
        <f>IF(B162="","",'入力・概要'!$E$15*K162)</f>
        <v/>
      </c>
      <c r="T162" s="195">
        <f>IF(B162="","",P162+R162)</f>
        <v/>
      </c>
      <c r="U162" s="195">
        <f>IF(B162="","",Q162+S162)</f>
        <v/>
      </c>
      <c r="V162" s="195">
        <f>IF(B162="","",T162+'入力・概要'!$E$9*F162)</f>
        <v/>
      </c>
      <c r="W162" s="195">
        <f>IF(B162="","",U162+'入力・概要'!$E$9*G162)</f>
        <v/>
      </c>
      <c r="X162" s="195">
        <f>IF(B162="","",'入力・概要'!$E$9+T162*F162-U162*G162)</f>
        <v/>
      </c>
      <c r="Y162" s="195">
        <f>IF(B162="","",T162*G162+U162*F162)</f>
        <v/>
      </c>
      <c r="Z162" s="195">
        <f>IF(B162="","",'入力・概要'!$E$9*(V162*X162+W162*Y162)/(X162^2+Y162^2)+'入力・概要'!$B$36)</f>
        <v/>
      </c>
      <c r="AA162" s="195">
        <f>IF(B162="","",'入力・概要'!$E$9*(W162*X162-V162*Y162)/(X162^2+Y162^2)+C162*'入力・概要'!$B$37*1E-9)</f>
        <v/>
      </c>
      <c r="AB162" s="195">
        <f>IF(B162="","",SQRT(Z162^2+AA162^2))</f>
        <v/>
      </c>
      <c r="AC162" s="195">
        <f>IF(B162="","",IF(Z162&gt;0,DEGREES(ATAN(AA162/Z162)),IF(Z162&lt;0,IF(AA162&gt;=0,DEGREES(ATAN(AA162/Z162))+180,DEGREES(ATAN(AA162/Z162))-180),IF(AA162&gt;0,90,IF(AA162&lt;0,-90,0)))))</f>
        <v/>
      </c>
      <c r="AD162" s="195">
        <f>IF(B162="","",LOG10(B162))</f>
        <v/>
      </c>
      <c r="AE162" s="195">
        <f>IF(AB162="","",LOG10(MAX(AB162,1E-12)))</f>
        <v/>
      </c>
      <c r="AF162" s="195">
        <f>IF(B162="","",SQRT(P162^2+Q162^2))</f>
        <v/>
      </c>
      <c r="AG162" s="195">
        <f>IF(B162="","",SQRT(R162^2+S162^2))</f>
        <v/>
      </c>
    </row>
    <row r="163">
      <c r="A163" t="n">
        <v>160</v>
      </c>
      <c r="B163" s="196">
        <f>IF(A163&lt;='入力・概要'!$B$40,10^(LOG10('入力・概要'!$B$38)+(A163-1)*(LOG10('入力・概要'!$B$39)-LOG10('入力・概要'!$B$38))/('入力・概要'!$B$40-1)),"")</f>
        <v/>
      </c>
      <c r="C163" s="195">
        <f>IF(B163="","",2*PI()*B163)</f>
        <v/>
      </c>
      <c r="D163" s="195">
        <f>IF(B163="","",ATANH(MIN(0.999999,'入力・概要'!$E$20/'入力・概要'!$E$9))+'入力・概要'!$B$20*SQRT(B163/1E6)+E163*'入力・概要'!$B$15/2)</f>
        <v/>
      </c>
      <c r="E163" s="195">
        <f>IF(B163="","",C163*('入力・概要'!$E$11*1E-9))</f>
        <v/>
      </c>
      <c r="F163" s="195">
        <f>IF(B163="","",SINH(2*D163)/(COSH(2*D163)+COS(2*E163)))</f>
        <v/>
      </c>
      <c r="G163" s="195">
        <f>IF(B163="","",SIN(2*E163)/(COSH(2*D163)+COS(2*E163)))</f>
        <v/>
      </c>
      <c r="H163" s="195">
        <f>IF(B163="","",ATANH(MIN(0.999999,'入力・概要'!$E$21/'入力・概要'!$E$15))+'入力・概要'!$B$21*SQRT(B163/1E6)+I163*'入力・概要'!$B$16/2)</f>
        <v/>
      </c>
      <c r="I163" s="195">
        <f>IF(B163="","",C163*('入力・概要'!$E$17*1E-9))</f>
        <v/>
      </c>
      <c r="J163" s="195">
        <f>IF(B163="","",SINH(2*H163)/(COSH(2*H163)+COS(2*I163)))</f>
        <v/>
      </c>
      <c r="K163" s="195">
        <f>IF(B163="","",SIN(2*I163)/(COSH(2*H163)+COS(2*I163)))</f>
        <v/>
      </c>
      <c r="L163" s="195">
        <f>IF(B163="","",'入力・概要'!$B$25)</f>
        <v/>
      </c>
      <c r="M163" s="195">
        <f>IF(B163="","",C163*'入力・概要'!$B$26*1E-9-1/(C163*'入力・概要'!$B$24*1E-6))</f>
        <v/>
      </c>
      <c r="N163" s="195">
        <f>IF(B163="","",'入力・概要'!$B$28)</f>
        <v/>
      </c>
      <c r="O163" s="195">
        <f>IF(B163="","",C163*'入力・概要'!$B$29*1E-9-1/(C163*'入力・概要'!$B$27*1E-6))</f>
        <v/>
      </c>
      <c r="P163" s="195">
        <f>IF(B163="","",((L163*N163-M163*O163)*(L163+N163)+(L163*O163+M163*N163)*(M163+O163))/((L163+N163)^2+(M163+O163)^2))</f>
        <v/>
      </c>
      <c r="Q163" s="195">
        <f>IF(B163="","",((L163*O163+M163*N163)*(L163+N163)-(L163*N163-M163*O163)*(M163+O163))/((L163+N163)^2+(M163+O163)^2))</f>
        <v/>
      </c>
      <c r="R163" s="195">
        <f>IF(B163="","",'入力・概要'!$E$15*J163)</f>
        <v/>
      </c>
      <c r="S163" s="195">
        <f>IF(B163="","",'入力・概要'!$E$15*K163)</f>
        <v/>
      </c>
      <c r="T163" s="195">
        <f>IF(B163="","",P163+R163)</f>
        <v/>
      </c>
      <c r="U163" s="195">
        <f>IF(B163="","",Q163+S163)</f>
        <v/>
      </c>
      <c r="V163" s="195">
        <f>IF(B163="","",T163+'入力・概要'!$E$9*F163)</f>
        <v/>
      </c>
      <c r="W163" s="195">
        <f>IF(B163="","",U163+'入力・概要'!$E$9*G163)</f>
        <v/>
      </c>
      <c r="X163" s="195">
        <f>IF(B163="","",'入力・概要'!$E$9+T163*F163-U163*G163)</f>
        <v/>
      </c>
      <c r="Y163" s="195">
        <f>IF(B163="","",T163*G163+U163*F163)</f>
        <v/>
      </c>
      <c r="Z163" s="195">
        <f>IF(B163="","",'入力・概要'!$E$9*(V163*X163+W163*Y163)/(X163^2+Y163^2)+'入力・概要'!$B$36)</f>
        <v/>
      </c>
      <c r="AA163" s="195">
        <f>IF(B163="","",'入力・概要'!$E$9*(W163*X163-V163*Y163)/(X163^2+Y163^2)+C163*'入力・概要'!$B$37*1E-9)</f>
        <v/>
      </c>
      <c r="AB163" s="195">
        <f>IF(B163="","",SQRT(Z163^2+AA163^2))</f>
        <v/>
      </c>
      <c r="AC163" s="195">
        <f>IF(B163="","",IF(Z163&gt;0,DEGREES(ATAN(AA163/Z163)),IF(Z163&lt;0,IF(AA163&gt;=0,DEGREES(ATAN(AA163/Z163))+180,DEGREES(ATAN(AA163/Z163))-180),IF(AA163&gt;0,90,IF(AA163&lt;0,-90,0)))))</f>
        <v/>
      </c>
      <c r="AD163" s="195">
        <f>IF(B163="","",LOG10(B163))</f>
        <v/>
      </c>
      <c r="AE163" s="195">
        <f>IF(AB163="","",LOG10(MAX(AB163,1E-12)))</f>
        <v/>
      </c>
      <c r="AF163" s="195">
        <f>IF(B163="","",SQRT(P163^2+Q163^2))</f>
        <v/>
      </c>
      <c r="AG163" s="195">
        <f>IF(B163="","",SQRT(R163^2+S163^2))</f>
        <v/>
      </c>
    </row>
    <row r="164">
      <c r="A164" t="n">
        <v>161</v>
      </c>
      <c r="B164" s="196">
        <f>IF(A164&lt;='入力・概要'!$B$40,10^(LOG10('入力・概要'!$B$38)+(A164-1)*(LOG10('入力・概要'!$B$39)-LOG10('入力・概要'!$B$38))/('入力・概要'!$B$40-1)),"")</f>
        <v/>
      </c>
      <c r="C164" s="195">
        <f>IF(B164="","",2*PI()*B164)</f>
        <v/>
      </c>
      <c r="D164" s="195">
        <f>IF(B164="","",ATANH(MIN(0.999999,'入力・概要'!$E$20/'入力・概要'!$E$9))+'入力・概要'!$B$20*SQRT(B164/1E6)+E164*'入力・概要'!$B$15/2)</f>
        <v/>
      </c>
      <c r="E164" s="195">
        <f>IF(B164="","",C164*('入力・概要'!$E$11*1E-9))</f>
        <v/>
      </c>
      <c r="F164" s="195">
        <f>IF(B164="","",SINH(2*D164)/(COSH(2*D164)+COS(2*E164)))</f>
        <v/>
      </c>
      <c r="G164" s="195">
        <f>IF(B164="","",SIN(2*E164)/(COSH(2*D164)+COS(2*E164)))</f>
        <v/>
      </c>
      <c r="H164" s="195">
        <f>IF(B164="","",ATANH(MIN(0.999999,'入力・概要'!$E$21/'入力・概要'!$E$15))+'入力・概要'!$B$21*SQRT(B164/1E6)+I164*'入力・概要'!$B$16/2)</f>
        <v/>
      </c>
      <c r="I164" s="195">
        <f>IF(B164="","",C164*('入力・概要'!$E$17*1E-9))</f>
        <v/>
      </c>
      <c r="J164" s="195">
        <f>IF(B164="","",SINH(2*H164)/(COSH(2*H164)+COS(2*I164)))</f>
        <v/>
      </c>
      <c r="K164" s="195">
        <f>IF(B164="","",SIN(2*I164)/(COSH(2*H164)+COS(2*I164)))</f>
        <v/>
      </c>
      <c r="L164" s="195">
        <f>IF(B164="","",'入力・概要'!$B$25)</f>
        <v/>
      </c>
      <c r="M164" s="195">
        <f>IF(B164="","",C164*'入力・概要'!$B$26*1E-9-1/(C164*'入力・概要'!$B$24*1E-6))</f>
        <v/>
      </c>
      <c r="N164" s="195">
        <f>IF(B164="","",'入力・概要'!$B$28)</f>
        <v/>
      </c>
      <c r="O164" s="195">
        <f>IF(B164="","",C164*'入力・概要'!$B$29*1E-9-1/(C164*'入力・概要'!$B$27*1E-6))</f>
        <v/>
      </c>
      <c r="P164" s="195">
        <f>IF(B164="","",((L164*N164-M164*O164)*(L164+N164)+(L164*O164+M164*N164)*(M164+O164))/((L164+N164)^2+(M164+O164)^2))</f>
        <v/>
      </c>
      <c r="Q164" s="195">
        <f>IF(B164="","",((L164*O164+M164*N164)*(L164+N164)-(L164*N164-M164*O164)*(M164+O164))/((L164+N164)^2+(M164+O164)^2))</f>
        <v/>
      </c>
      <c r="R164" s="195">
        <f>IF(B164="","",'入力・概要'!$E$15*J164)</f>
        <v/>
      </c>
      <c r="S164" s="195">
        <f>IF(B164="","",'入力・概要'!$E$15*K164)</f>
        <v/>
      </c>
      <c r="T164" s="195">
        <f>IF(B164="","",P164+R164)</f>
        <v/>
      </c>
      <c r="U164" s="195">
        <f>IF(B164="","",Q164+S164)</f>
        <v/>
      </c>
      <c r="V164" s="195">
        <f>IF(B164="","",T164+'入力・概要'!$E$9*F164)</f>
        <v/>
      </c>
      <c r="W164" s="195">
        <f>IF(B164="","",U164+'入力・概要'!$E$9*G164)</f>
        <v/>
      </c>
      <c r="X164" s="195">
        <f>IF(B164="","",'入力・概要'!$E$9+T164*F164-U164*G164)</f>
        <v/>
      </c>
      <c r="Y164" s="195">
        <f>IF(B164="","",T164*G164+U164*F164)</f>
        <v/>
      </c>
      <c r="Z164" s="195">
        <f>IF(B164="","",'入力・概要'!$E$9*(V164*X164+W164*Y164)/(X164^2+Y164^2)+'入力・概要'!$B$36)</f>
        <v/>
      </c>
      <c r="AA164" s="195">
        <f>IF(B164="","",'入力・概要'!$E$9*(W164*X164-V164*Y164)/(X164^2+Y164^2)+C164*'入力・概要'!$B$37*1E-9)</f>
        <v/>
      </c>
      <c r="AB164" s="195">
        <f>IF(B164="","",SQRT(Z164^2+AA164^2))</f>
        <v/>
      </c>
      <c r="AC164" s="195">
        <f>IF(B164="","",IF(Z164&gt;0,DEGREES(ATAN(AA164/Z164)),IF(Z164&lt;0,IF(AA164&gt;=0,DEGREES(ATAN(AA164/Z164))+180,DEGREES(ATAN(AA164/Z164))-180),IF(AA164&gt;0,90,IF(AA164&lt;0,-90,0)))))</f>
        <v/>
      </c>
      <c r="AD164" s="195">
        <f>IF(B164="","",LOG10(B164))</f>
        <v/>
      </c>
      <c r="AE164" s="195">
        <f>IF(AB164="","",LOG10(MAX(AB164,1E-12)))</f>
        <v/>
      </c>
      <c r="AF164" s="195">
        <f>IF(B164="","",SQRT(P164^2+Q164^2))</f>
        <v/>
      </c>
      <c r="AG164" s="195">
        <f>IF(B164="","",SQRT(R164^2+S164^2))</f>
        <v/>
      </c>
    </row>
    <row r="165">
      <c r="A165" t="n">
        <v>162</v>
      </c>
      <c r="B165" s="196">
        <f>IF(A165&lt;='入力・概要'!$B$40,10^(LOG10('入力・概要'!$B$38)+(A165-1)*(LOG10('入力・概要'!$B$39)-LOG10('入力・概要'!$B$38))/('入力・概要'!$B$40-1)),"")</f>
        <v/>
      </c>
      <c r="C165" s="195">
        <f>IF(B165="","",2*PI()*B165)</f>
        <v/>
      </c>
      <c r="D165" s="195">
        <f>IF(B165="","",ATANH(MIN(0.999999,'入力・概要'!$E$20/'入力・概要'!$E$9))+'入力・概要'!$B$20*SQRT(B165/1E6)+E165*'入力・概要'!$B$15/2)</f>
        <v/>
      </c>
      <c r="E165" s="195">
        <f>IF(B165="","",C165*('入力・概要'!$E$11*1E-9))</f>
        <v/>
      </c>
      <c r="F165" s="195">
        <f>IF(B165="","",SINH(2*D165)/(COSH(2*D165)+COS(2*E165)))</f>
        <v/>
      </c>
      <c r="G165" s="195">
        <f>IF(B165="","",SIN(2*E165)/(COSH(2*D165)+COS(2*E165)))</f>
        <v/>
      </c>
      <c r="H165" s="195">
        <f>IF(B165="","",ATANH(MIN(0.999999,'入力・概要'!$E$21/'入力・概要'!$E$15))+'入力・概要'!$B$21*SQRT(B165/1E6)+I165*'入力・概要'!$B$16/2)</f>
        <v/>
      </c>
      <c r="I165" s="195">
        <f>IF(B165="","",C165*('入力・概要'!$E$17*1E-9))</f>
        <v/>
      </c>
      <c r="J165" s="195">
        <f>IF(B165="","",SINH(2*H165)/(COSH(2*H165)+COS(2*I165)))</f>
        <v/>
      </c>
      <c r="K165" s="195">
        <f>IF(B165="","",SIN(2*I165)/(COSH(2*H165)+COS(2*I165)))</f>
        <v/>
      </c>
      <c r="L165" s="195">
        <f>IF(B165="","",'入力・概要'!$B$25)</f>
        <v/>
      </c>
      <c r="M165" s="195">
        <f>IF(B165="","",C165*'入力・概要'!$B$26*1E-9-1/(C165*'入力・概要'!$B$24*1E-6))</f>
        <v/>
      </c>
      <c r="N165" s="195">
        <f>IF(B165="","",'入力・概要'!$B$28)</f>
        <v/>
      </c>
      <c r="O165" s="195">
        <f>IF(B165="","",C165*'入力・概要'!$B$29*1E-9-1/(C165*'入力・概要'!$B$27*1E-6))</f>
        <v/>
      </c>
      <c r="P165" s="195">
        <f>IF(B165="","",((L165*N165-M165*O165)*(L165+N165)+(L165*O165+M165*N165)*(M165+O165))/((L165+N165)^2+(M165+O165)^2))</f>
        <v/>
      </c>
      <c r="Q165" s="195">
        <f>IF(B165="","",((L165*O165+M165*N165)*(L165+N165)-(L165*N165-M165*O165)*(M165+O165))/((L165+N165)^2+(M165+O165)^2))</f>
        <v/>
      </c>
      <c r="R165" s="195">
        <f>IF(B165="","",'入力・概要'!$E$15*J165)</f>
        <v/>
      </c>
      <c r="S165" s="195">
        <f>IF(B165="","",'入力・概要'!$E$15*K165)</f>
        <v/>
      </c>
      <c r="T165" s="195">
        <f>IF(B165="","",P165+R165)</f>
        <v/>
      </c>
      <c r="U165" s="195">
        <f>IF(B165="","",Q165+S165)</f>
        <v/>
      </c>
      <c r="V165" s="195">
        <f>IF(B165="","",T165+'入力・概要'!$E$9*F165)</f>
        <v/>
      </c>
      <c r="W165" s="195">
        <f>IF(B165="","",U165+'入力・概要'!$E$9*G165)</f>
        <v/>
      </c>
      <c r="X165" s="195">
        <f>IF(B165="","",'入力・概要'!$E$9+T165*F165-U165*G165)</f>
        <v/>
      </c>
      <c r="Y165" s="195">
        <f>IF(B165="","",T165*G165+U165*F165)</f>
        <v/>
      </c>
      <c r="Z165" s="195">
        <f>IF(B165="","",'入力・概要'!$E$9*(V165*X165+W165*Y165)/(X165^2+Y165^2)+'入力・概要'!$B$36)</f>
        <v/>
      </c>
      <c r="AA165" s="195">
        <f>IF(B165="","",'入力・概要'!$E$9*(W165*X165-V165*Y165)/(X165^2+Y165^2)+C165*'入力・概要'!$B$37*1E-9)</f>
        <v/>
      </c>
      <c r="AB165" s="195">
        <f>IF(B165="","",SQRT(Z165^2+AA165^2))</f>
        <v/>
      </c>
      <c r="AC165" s="195">
        <f>IF(B165="","",IF(Z165&gt;0,DEGREES(ATAN(AA165/Z165)),IF(Z165&lt;0,IF(AA165&gt;=0,DEGREES(ATAN(AA165/Z165))+180,DEGREES(ATAN(AA165/Z165))-180),IF(AA165&gt;0,90,IF(AA165&lt;0,-90,0)))))</f>
        <v/>
      </c>
      <c r="AD165" s="195">
        <f>IF(B165="","",LOG10(B165))</f>
        <v/>
      </c>
      <c r="AE165" s="195">
        <f>IF(AB165="","",LOG10(MAX(AB165,1E-12)))</f>
        <v/>
      </c>
      <c r="AF165" s="195">
        <f>IF(B165="","",SQRT(P165^2+Q165^2))</f>
        <v/>
      </c>
      <c r="AG165" s="195">
        <f>IF(B165="","",SQRT(R165^2+S165^2))</f>
        <v/>
      </c>
    </row>
    <row r="166">
      <c r="A166" t="n">
        <v>163</v>
      </c>
      <c r="B166" s="196">
        <f>IF(A166&lt;='入力・概要'!$B$40,10^(LOG10('入力・概要'!$B$38)+(A166-1)*(LOG10('入力・概要'!$B$39)-LOG10('入力・概要'!$B$38))/('入力・概要'!$B$40-1)),"")</f>
        <v/>
      </c>
      <c r="C166" s="195">
        <f>IF(B166="","",2*PI()*B166)</f>
        <v/>
      </c>
      <c r="D166" s="195">
        <f>IF(B166="","",ATANH(MIN(0.999999,'入力・概要'!$E$20/'入力・概要'!$E$9))+'入力・概要'!$B$20*SQRT(B166/1E6)+E166*'入力・概要'!$B$15/2)</f>
        <v/>
      </c>
      <c r="E166" s="195">
        <f>IF(B166="","",C166*('入力・概要'!$E$11*1E-9))</f>
        <v/>
      </c>
      <c r="F166" s="195">
        <f>IF(B166="","",SINH(2*D166)/(COSH(2*D166)+COS(2*E166)))</f>
        <v/>
      </c>
      <c r="G166" s="195">
        <f>IF(B166="","",SIN(2*E166)/(COSH(2*D166)+COS(2*E166)))</f>
        <v/>
      </c>
      <c r="H166" s="195">
        <f>IF(B166="","",ATANH(MIN(0.999999,'入力・概要'!$E$21/'入力・概要'!$E$15))+'入力・概要'!$B$21*SQRT(B166/1E6)+I166*'入力・概要'!$B$16/2)</f>
        <v/>
      </c>
      <c r="I166" s="195">
        <f>IF(B166="","",C166*('入力・概要'!$E$17*1E-9))</f>
        <v/>
      </c>
      <c r="J166" s="195">
        <f>IF(B166="","",SINH(2*H166)/(COSH(2*H166)+COS(2*I166)))</f>
        <v/>
      </c>
      <c r="K166" s="195">
        <f>IF(B166="","",SIN(2*I166)/(COSH(2*H166)+COS(2*I166)))</f>
        <v/>
      </c>
      <c r="L166" s="195">
        <f>IF(B166="","",'入力・概要'!$B$25)</f>
        <v/>
      </c>
      <c r="M166" s="195">
        <f>IF(B166="","",C166*'入力・概要'!$B$26*1E-9-1/(C166*'入力・概要'!$B$24*1E-6))</f>
        <v/>
      </c>
      <c r="N166" s="195">
        <f>IF(B166="","",'入力・概要'!$B$28)</f>
        <v/>
      </c>
      <c r="O166" s="195">
        <f>IF(B166="","",C166*'入力・概要'!$B$29*1E-9-1/(C166*'入力・概要'!$B$27*1E-6))</f>
        <v/>
      </c>
      <c r="P166" s="195">
        <f>IF(B166="","",((L166*N166-M166*O166)*(L166+N166)+(L166*O166+M166*N166)*(M166+O166))/((L166+N166)^2+(M166+O166)^2))</f>
        <v/>
      </c>
      <c r="Q166" s="195">
        <f>IF(B166="","",((L166*O166+M166*N166)*(L166+N166)-(L166*N166-M166*O166)*(M166+O166))/((L166+N166)^2+(M166+O166)^2))</f>
        <v/>
      </c>
      <c r="R166" s="195">
        <f>IF(B166="","",'入力・概要'!$E$15*J166)</f>
        <v/>
      </c>
      <c r="S166" s="195">
        <f>IF(B166="","",'入力・概要'!$E$15*K166)</f>
        <v/>
      </c>
      <c r="T166" s="195">
        <f>IF(B166="","",P166+R166)</f>
        <v/>
      </c>
      <c r="U166" s="195">
        <f>IF(B166="","",Q166+S166)</f>
        <v/>
      </c>
      <c r="V166" s="195">
        <f>IF(B166="","",T166+'入力・概要'!$E$9*F166)</f>
        <v/>
      </c>
      <c r="W166" s="195">
        <f>IF(B166="","",U166+'入力・概要'!$E$9*G166)</f>
        <v/>
      </c>
      <c r="X166" s="195">
        <f>IF(B166="","",'入力・概要'!$E$9+T166*F166-U166*G166)</f>
        <v/>
      </c>
      <c r="Y166" s="195">
        <f>IF(B166="","",T166*G166+U166*F166)</f>
        <v/>
      </c>
      <c r="Z166" s="195">
        <f>IF(B166="","",'入力・概要'!$E$9*(V166*X166+W166*Y166)/(X166^2+Y166^2)+'入力・概要'!$B$36)</f>
        <v/>
      </c>
      <c r="AA166" s="195">
        <f>IF(B166="","",'入力・概要'!$E$9*(W166*X166-V166*Y166)/(X166^2+Y166^2)+C166*'入力・概要'!$B$37*1E-9)</f>
        <v/>
      </c>
      <c r="AB166" s="195">
        <f>IF(B166="","",SQRT(Z166^2+AA166^2))</f>
        <v/>
      </c>
      <c r="AC166" s="195">
        <f>IF(B166="","",IF(Z166&gt;0,DEGREES(ATAN(AA166/Z166)),IF(Z166&lt;0,IF(AA166&gt;=0,DEGREES(ATAN(AA166/Z166))+180,DEGREES(ATAN(AA166/Z166))-180),IF(AA166&gt;0,90,IF(AA166&lt;0,-90,0)))))</f>
        <v/>
      </c>
      <c r="AD166" s="195">
        <f>IF(B166="","",LOG10(B166))</f>
        <v/>
      </c>
      <c r="AE166" s="195">
        <f>IF(AB166="","",LOG10(MAX(AB166,1E-12)))</f>
        <v/>
      </c>
      <c r="AF166" s="195">
        <f>IF(B166="","",SQRT(P166^2+Q166^2))</f>
        <v/>
      </c>
      <c r="AG166" s="195">
        <f>IF(B166="","",SQRT(R166^2+S166^2))</f>
        <v/>
      </c>
    </row>
    <row r="167">
      <c r="A167" t="n">
        <v>164</v>
      </c>
      <c r="B167" s="196">
        <f>IF(A167&lt;='入力・概要'!$B$40,10^(LOG10('入力・概要'!$B$38)+(A167-1)*(LOG10('入力・概要'!$B$39)-LOG10('入力・概要'!$B$38))/('入力・概要'!$B$40-1)),"")</f>
        <v/>
      </c>
      <c r="C167" s="195">
        <f>IF(B167="","",2*PI()*B167)</f>
        <v/>
      </c>
      <c r="D167" s="195">
        <f>IF(B167="","",ATANH(MIN(0.999999,'入力・概要'!$E$20/'入力・概要'!$E$9))+'入力・概要'!$B$20*SQRT(B167/1E6)+E167*'入力・概要'!$B$15/2)</f>
        <v/>
      </c>
      <c r="E167" s="195">
        <f>IF(B167="","",C167*('入力・概要'!$E$11*1E-9))</f>
        <v/>
      </c>
      <c r="F167" s="195">
        <f>IF(B167="","",SINH(2*D167)/(COSH(2*D167)+COS(2*E167)))</f>
        <v/>
      </c>
      <c r="G167" s="195">
        <f>IF(B167="","",SIN(2*E167)/(COSH(2*D167)+COS(2*E167)))</f>
        <v/>
      </c>
      <c r="H167" s="195">
        <f>IF(B167="","",ATANH(MIN(0.999999,'入力・概要'!$E$21/'入力・概要'!$E$15))+'入力・概要'!$B$21*SQRT(B167/1E6)+I167*'入力・概要'!$B$16/2)</f>
        <v/>
      </c>
      <c r="I167" s="195">
        <f>IF(B167="","",C167*('入力・概要'!$E$17*1E-9))</f>
        <v/>
      </c>
      <c r="J167" s="195">
        <f>IF(B167="","",SINH(2*H167)/(COSH(2*H167)+COS(2*I167)))</f>
        <v/>
      </c>
      <c r="K167" s="195">
        <f>IF(B167="","",SIN(2*I167)/(COSH(2*H167)+COS(2*I167)))</f>
        <v/>
      </c>
      <c r="L167" s="195">
        <f>IF(B167="","",'入力・概要'!$B$25)</f>
        <v/>
      </c>
      <c r="M167" s="195">
        <f>IF(B167="","",C167*'入力・概要'!$B$26*1E-9-1/(C167*'入力・概要'!$B$24*1E-6))</f>
        <v/>
      </c>
      <c r="N167" s="195">
        <f>IF(B167="","",'入力・概要'!$B$28)</f>
        <v/>
      </c>
      <c r="O167" s="195">
        <f>IF(B167="","",C167*'入力・概要'!$B$29*1E-9-1/(C167*'入力・概要'!$B$27*1E-6))</f>
        <v/>
      </c>
      <c r="P167" s="195">
        <f>IF(B167="","",((L167*N167-M167*O167)*(L167+N167)+(L167*O167+M167*N167)*(M167+O167))/((L167+N167)^2+(M167+O167)^2))</f>
        <v/>
      </c>
      <c r="Q167" s="195">
        <f>IF(B167="","",((L167*O167+M167*N167)*(L167+N167)-(L167*N167-M167*O167)*(M167+O167))/((L167+N167)^2+(M167+O167)^2))</f>
        <v/>
      </c>
      <c r="R167" s="195">
        <f>IF(B167="","",'入力・概要'!$E$15*J167)</f>
        <v/>
      </c>
      <c r="S167" s="195">
        <f>IF(B167="","",'入力・概要'!$E$15*K167)</f>
        <v/>
      </c>
      <c r="T167" s="195">
        <f>IF(B167="","",P167+R167)</f>
        <v/>
      </c>
      <c r="U167" s="195">
        <f>IF(B167="","",Q167+S167)</f>
        <v/>
      </c>
      <c r="V167" s="195">
        <f>IF(B167="","",T167+'入力・概要'!$E$9*F167)</f>
        <v/>
      </c>
      <c r="W167" s="195">
        <f>IF(B167="","",U167+'入力・概要'!$E$9*G167)</f>
        <v/>
      </c>
      <c r="X167" s="195">
        <f>IF(B167="","",'入力・概要'!$E$9+T167*F167-U167*G167)</f>
        <v/>
      </c>
      <c r="Y167" s="195">
        <f>IF(B167="","",T167*G167+U167*F167)</f>
        <v/>
      </c>
      <c r="Z167" s="195">
        <f>IF(B167="","",'入力・概要'!$E$9*(V167*X167+W167*Y167)/(X167^2+Y167^2)+'入力・概要'!$B$36)</f>
        <v/>
      </c>
      <c r="AA167" s="195">
        <f>IF(B167="","",'入力・概要'!$E$9*(W167*X167-V167*Y167)/(X167^2+Y167^2)+C167*'入力・概要'!$B$37*1E-9)</f>
        <v/>
      </c>
      <c r="AB167" s="195">
        <f>IF(B167="","",SQRT(Z167^2+AA167^2))</f>
        <v/>
      </c>
      <c r="AC167" s="195">
        <f>IF(B167="","",IF(Z167&gt;0,DEGREES(ATAN(AA167/Z167)),IF(Z167&lt;0,IF(AA167&gt;=0,DEGREES(ATAN(AA167/Z167))+180,DEGREES(ATAN(AA167/Z167))-180),IF(AA167&gt;0,90,IF(AA167&lt;0,-90,0)))))</f>
        <v/>
      </c>
      <c r="AD167" s="195">
        <f>IF(B167="","",LOG10(B167))</f>
        <v/>
      </c>
      <c r="AE167" s="195">
        <f>IF(AB167="","",LOG10(MAX(AB167,1E-12)))</f>
        <v/>
      </c>
      <c r="AF167" s="195">
        <f>IF(B167="","",SQRT(P167^2+Q167^2))</f>
        <v/>
      </c>
      <c r="AG167" s="195">
        <f>IF(B167="","",SQRT(R167^2+S167^2))</f>
        <v/>
      </c>
    </row>
    <row r="168">
      <c r="A168" t="n">
        <v>165</v>
      </c>
      <c r="B168" s="196">
        <f>IF(A168&lt;='入力・概要'!$B$40,10^(LOG10('入力・概要'!$B$38)+(A168-1)*(LOG10('入力・概要'!$B$39)-LOG10('入力・概要'!$B$38))/('入力・概要'!$B$40-1)),"")</f>
        <v/>
      </c>
      <c r="C168" s="195">
        <f>IF(B168="","",2*PI()*B168)</f>
        <v/>
      </c>
      <c r="D168" s="195">
        <f>IF(B168="","",ATANH(MIN(0.999999,'入力・概要'!$E$20/'入力・概要'!$E$9))+'入力・概要'!$B$20*SQRT(B168/1E6)+E168*'入力・概要'!$B$15/2)</f>
        <v/>
      </c>
      <c r="E168" s="195">
        <f>IF(B168="","",C168*('入力・概要'!$E$11*1E-9))</f>
        <v/>
      </c>
      <c r="F168" s="195">
        <f>IF(B168="","",SINH(2*D168)/(COSH(2*D168)+COS(2*E168)))</f>
        <v/>
      </c>
      <c r="G168" s="195">
        <f>IF(B168="","",SIN(2*E168)/(COSH(2*D168)+COS(2*E168)))</f>
        <v/>
      </c>
      <c r="H168" s="195">
        <f>IF(B168="","",ATANH(MIN(0.999999,'入力・概要'!$E$21/'入力・概要'!$E$15))+'入力・概要'!$B$21*SQRT(B168/1E6)+I168*'入力・概要'!$B$16/2)</f>
        <v/>
      </c>
      <c r="I168" s="195">
        <f>IF(B168="","",C168*('入力・概要'!$E$17*1E-9))</f>
        <v/>
      </c>
      <c r="J168" s="195">
        <f>IF(B168="","",SINH(2*H168)/(COSH(2*H168)+COS(2*I168)))</f>
        <v/>
      </c>
      <c r="K168" s="195">
        <f>IF(B168="","",SIN(2*I168)/(COSH(2*H168)+COS(2*I168)))</f>
        <v/>
      </c>
      <c r="L168" s="195">
        <f>IF(B168="","",'入力・概要'!$B$25)</f>
        <v/>
      </c>
      <c r="M168" s="195">
        <f>IF(B168="","",C168*'入力・概要'!$B$26*1E-9-1/(C168*'入力・概要'!$B$24*1E-6))</f>
        <v/>
      </c>
      <c r="N168" s="195">
        <f>IF(B168="","",'入力・概要'!$B$28)</f>
        <v/>
      </c>
      <c r="O168" s="195">
        <f>IF(B168="","",C168*'入力・概要'!$B$29*1E-9-1/(C168*'入力・概要'!$B$27*1E-6))</f>
        <v/>
      </c>
      <c r="P168" s="195">
        <f>IF(B168="","",((L168*N168-M168*O168)*(L168+N168)+(L168*O168+M168*N168)*(M168+O168))/((L168+N168)^2+(M168+O168)^2))</f>
        <v/>
      </c>
      <c r="Q168" s="195">
        <f>IF(B168="","",((L168*O168+M168*N168)*(L168+N168)-(L168*N168-M168*O168)*(M168+O168))/((L168+N168)^2+(M168+O168)^2))</f>
        <v/>
      </c>
      <c r="R168" s="195">
        <f>IF(B168="","",'入力・概要'!$E$15*J168)</f>
        <v/>
      </c>
      <c r="S168" s="195">
        <f>IF(B168="","",'入力・概要'!$E$15*K168)</f>
        <v/>
      </c>
      <c r="T168" s="195">
        <f>IF(B168="","",P168+R168)</f>
        <v/>
      </c>
      <c r="U168" s="195">
        <f>IF(B168="","",Q168+S168)</f>
        <v/>
      </c>
      <c r="V168" s="195">
        <f>IF(B168="","",T168+'入力・概要'!$E$9*F168)</f>
        <v/>
      </c>
      <c r="W168" s="195">
        <f>IF(B168="","",U168+'入力・概要'!$E$9*G168)</f>
        <v/>
      </c>
      <c r="X168" s="195">
        <f>IF(B168="","",'入力・概要'!$E$9+T168*F168-U168*G168)</f>
        <v/>
      </c>
      <c r="Y168" s="195">
        <f>IF(B168="","",T168*G168+U168*F168)</f>
        <v/>
      </c>
      <c r="Z168" s="195">
        <f>IF(B168="","",'入力・概要'!$E$9*(V168*X168+W168*Y168)/(X168^2+Y168^2)+'入力・概要'!$B$36)</f>
        <v/>
      </c>
      <c r="AA168" s="195">
        <f>IF(B168="","",'入力・概要'!$E$9*(W168*X168-V168*Y168)/(X168^2+Y168^2)+C168*'入力・概要'!$B$37*1E-9)</f>
        <v/>
      </c>
      <c r="AB168" s="195">
        <f>IF(B168="","",SQRT(Z168^2+AA168^2))</f>
        <v/>
      </c>
      <c r="AC168" s="195">
        <f>IF(B168="","",IF(Z168&gt;0,DEGREES(ATAN(AA168/Z168)),IF(Z168&lt;0,IF(AA168&gt;=0,DEGREES(ATAN(AA168/Z168))+180,DEGREES(ATAN(AA168/Z168))-180),IF(AA168&gt;0,90,IF(AA168&lt;0,-90,0)))))</f>
        <v/>
      </c>
      <c r="AD168" s="195">
        <f>IF(B168="","",LOG10(B168))</f>
        <v/>
      </c>
      <c r="AE168" s="195">
        <f>IF(AB168="","",LOG10(MAX(AB168,1E-12)))</f>
        <v/>
      </c>
      <c r="AF168" s="195">
        <f>IF(B168="","",SQRT(P168^2+Q168^2))</f>
        <v/>
      </c>
      <c r="AG168" s="195">
        <f>IF(B168="","",SQRT(R168^2+S168^2))</f>
        <v/>
      </c>
    </row>
    <row r="169">
      <c r="A169" t="n">
        <v>166</v>
      </c>
      <c r="B169" s="196">
        <f>IF(A169&lt;='入力・概要'!$B$40,10^(LOG10('入力・概要'!$B$38)+(A169-1)*(LOG10('入力・概要'!$B$39)-LOG10('入力・概要'!$B$38))/('入力・概要'!$B$40-1)),"")</f>
        <v/>
      </c>
      <c r="C169" s="195">
        <f>IF(B169="","",2*PI()*B169)</f>
        <v/>
      </c>
      <c r="D169" s="195">
        <f>IF(B169="","",ATANH(MIN(0.999999,'入力・概要'!$E$20/'入力・概要'!$E$9))+'入力・概要'!$B$20*SQRT(B169/1E6)+E169*'入力・概要'!$B$15/2)</f>
        <v/>
      </c>
      <c r="E169" s="195">
        <f>IF(B169="","",C169*('入力・概要'!$E$11*1E-9))</f>
        <v/>
      </c>
      <c r="F169" s="195">
        <f>IF(B169="","",SINH(2*D169)/(COSH(2*D169)+COS(2*E169)))</f>
        <v/>
      </c>
      <c r="G169" s="195">
        <f>IF(B169="","",SIN(2*E169)/(COSH(2*D169)+COS(2*E169)))</f>
        <v/>
      </c>
      <c r="H169" s="195">
        <f>IF(B169="","",ATANH(MIN(0.999999,'入力・概要'!$E$21/'入力・概要'!$E$15))+'入力・概要'!$B$21*SQRT(B169/1E6)+I169*'入力・概要'!$B$16/2)</f>
        <v/>
      </c>
      <c r="I169" s="195">
        <f>IF(B169="","",C169*('入力・概要'!$E$17*1E-9))</f>
        <v/>
      </c>
      <c r="J169" s="195">
        <f>IF(B169="","",SINH(2*H169)/(COSH(2*H169)+COS(2*I169)))</f>
        <v/>
      </c>
      <c r="K169" s="195">
        <f>IF(B169="","",SIN(2*I169)/(COSH(2*H169)+COS(2*I169)))</f>
        <v/>
      </c>
      <c r="L169" s="195">
        <f>IF(B169="","",'入力・概要'!$B$25)</f>
        <v/>
      </c>
      <c r="M169" s="195">
        <f>IF(B169="","",C169*'入力・概要'!$B$26*1E-9-1/(C169*'入力・概要'!$B$24*1E-6))</f>
        <v/>
      </c>
      <c r="N169" s="195">
        <f>IF(B169="","",'入力・概要'!$B$28)</f>
        <v/>
      </c>
      <c r="O169" s="195">
        <f>IF(B169="","",C169*'入力・概要'!$B$29*1E-9-1/(C169*'入力・概要'!$B$27*1E-6))</f>
        <v/>
      </c>
      <c r="P169" s="195">
        <f>IF(B169="","",((L169*N169-M169*O169)*(L169+N169)+(L169*O169+M169*N169)*(M169+O169))/((L169+N169)^2+(M169+O169)^2))</f>
        <v/>
      </c>
      <c r="Q169" s="195">
        <f>IF(B169="","",((L169*O169+M169*N169)*(L169+N169)-(L169*N169-M169*O169)*(M169+O169))/((L169+N169)^2+(M169+O169)^2))</f>
        <v/>
      </c>
      <c r="R169" s="195">
        <f>IF(B169="","",'入力・概要'!$E$15*J169)</f>
        <v/>
      </c>
      <c r="S169" s="195">
        <f>IF(B169="","",'入力・概要'!$E$15*K169)</f>
        <v/>
      </c>
      <c r="T169" s="195">
        <f>IF(B169="","",P169+R169)</f>
        <v/>
      </c>
      <c r="U169" s="195">
        <f>IF(B169="","",Q169+S169)</f>
        <v/>
      </c>
      <c r="V169" s="195">
        <f>IF(B169="","",T169+'入力・概要'!$E$9*F169)</f>
        <v/>
      </c>
      <c r="W169" s="195">
        <f>IF(B169="","",U169+'入力・概要'!$E$9*G169)</f>
        <v/>
      </c>
      <c r="X169" s="195">
        <f>IF(B169="","",'入力・概要'!$E$9+T169*F169-U169*G169)</f>
        <v/>
      </c>
      <c r="Y169" s="195">
        <f>IF(B169="","",T169*G169+U169*F169)</f>
        <v/>
      </c>
      <c r="Z169" s="195">
        <f>IF(B169="","",'入力・概要'!$E$9*(V169*X169+W169*Y169)/(X169^2+Y169^2)+'入力・概要'!$B$36)</f>
        <v/>
      </c>
      <c r="AA169" s="195">
        <f>IF(B169="","",'入力・概要'!$E$9*(W169*X169-V169*Y169)/(X169^2+Y169^2)+C169*'入力・概要'!$B$37*1E-9)</f>
        <v/>
      </c>
      <c r="AB169" s="195">
        <f>IF(B169="","",SQRT(Z169^2+AA169^2))</f>
        <v/>
      </c>
      <c r="AC169" s="195">
        <f>IF(B169="","",IF(Z169&gt;0,DEGREES(ATAN(AA169/Z169)),IF(Z169&lt;0,IF(AA169&gt;=0,DEGREES(ATAN(AA169/Z169))+180,DEGREES(ATAN(AA169/Z169))-180),IF(AA169&gt;0,90,IF(AA169&lt;0,-90,0)))))</f>
        <v/>
      </c>
      <c r="AD169" s="195">
        <f>IF(B169="","",LOG10(B169))</f>
        <v/>
      </c>
      <c r="AE169" s="195">
        <f>IF(AB169="","",LOG10(MAX(AB169,1E-12)))</f>
        <v/>
      </c>
      <c r="AF169" s="195">
        <f>IF(B169="","",SQRT(P169^2+Q169^2))</f>
        <v/>
      </c>
      <c r="AG169" s="195">
        <f>IF(B169="","",SQRT(R169^2+S169^2))</f>
        <v/>
      </c>
    </row>
    <row r="170">
      <c r="A170" t="n">
        <v>167</v>
      </c>
      <c r="B170" s="196">
        <f>IF(A170&lt;='入力・概要'!$B$40,10^(LOG10('入力・概要'!$B$38)+(A170-1)*(LOG10('入力・概要'!$B$39)-LOG10('入力・概要'!$B$38))/('入力・概要'!$B$40-1)),"")</f>
        <v/>
      </c>
      <c r="C170" s="195">
        <f>IF(B170="","",2*PI()*B170)</f>
        <v/>
      </c>
      <c r="D170" s="195">
        <f>IF(B170="","",ATANH(MIN(0.999999,'入力・概要'!$E$20/'入力・概要'!$E$9))+'入力・概要'!$B$20*SQRT(B170/1E6)+E170*'入力・概要'!$B$15/2)</f>
        <v/>
      </c>
      <c r="E170" s="195">
        <f>IF(B170="","",C170*('入力・概要'!$E$11*1E-9))</f>
        <v/>
      </c>
      <c r="F170" s="195">
        <f>IF(B170="","",SINH(2*D170)/(COSH(2*D170)+COS(2*E170)))</f>
        <v/>
      </c>
      <c r="G170" s="195">
        <f>IF(B170="","",SIN(2*E170)/(COSH(2*D170)+COS(2*E170)))</f>
        <v/>
      </c>
      <c r="H170" s="195">
        <f>IF(B170="","",ATANH(MIN(0.999999,'入力・概要'!$E$21/'入力・概要'!$E$15))+'入力・概要'!$B$21*SQRT(B170/1E6)+I170*'入力・概要'!$B$16/2)</f>
        <v/>
      </c>
      <c r="I170" s="195">
        <f>IF(B170="","",C170*('入力・概要'!$E$17*1E-9))</f>
        <v/>
      </c>
      <c r="J170" s="195">
        <f>IF(B170="","",SINH(2*H170)/(COSH(2*H170)+COS(2*I170)))</f>
        <v/>
      </c>
      <c r="K170" s="195">
        <f>IF(B170="","",SIN(2*I170)/(COSH(2*H170)+COS(2*I170)))</f>
        <v/>
      </c>
      <c r="L170" s="195">
        <f>IF(B170="","",'入力・概要'!$B$25)</f>
        <v/>
      </c>
      <c r="M170" s="195">
        <f>IF(B170="","",C170*'入力・概要'!$B$26*1E-9-1/(C170*'入力・概要'!$B$24*1E-6))</f>
        <v/>
      </c>
      <c r="N170" s="195">
        <f>IF(B170="","",'入力・概要'!$B$28)</f>
        <v/>
      </c>
      <c r="O170" s="195">
        <f>IF(B170="","",C170*'入力・概要'!$B$29*1E-9-1/(C170*'入力・概要'!$B$27*1E-6))</f>
        <v/>
      </c>
      <c r="P170" s="195">
        <f>IF(B170="","",((L170*N170-M170*O170)*(L170+N170)+(L170*O170+M170*N170)*(M170+O170))/((L170+N170)^2+(M170+O170)^2))</f>
        <v/>
      </c>
      <c r="Q170" s="195">
        <f>IF(B170="","",((L170*O170+M170*N170)*(L170+N170)-(L170*N170-M170*O170)*(M170+O170))/((L170+N170)^2+(M170+O170)^2))</f>
        <v/>
      </c>
      <c r="R170" s="195">
        <f>IF(B170="","",'入力・概要'!$E$15*J170)</f>
        <v/>
      </c>
      <c r="S170" s="195">
        <f>IF(B170="","",'入力・概要'!$E$15*K170)</f>
        <v/>
      </c>
      <c r="T170" s="195">
        <f>IF(B170="","",P170+R170)</f>
        <v/>
      </c>
      <c r="U170" s="195">
        <f>IF(B170="","",Q170+S170)</f>
        <v/>
      </c>
      <c r="V170" s="195">
        <f>IF(B170="","",T170+'入力・概要'!$E$9*F170)</f>
        <v/>
      </c>
      <c r="W170" s="195">
        <f>IF(B170="","",U170+'入力・概要'!$E$9*G170)</f>
        <v/>
      </c>
      <c r="X170" s="195">
        <f>IF(B170="","",'入力・概要'!$E$9+T170*F170-U170*G170)</f>
        <v/>
      </c>
      <c r="Y170" s="195">
        <f>IF(B170="","",T170*G170+U170*F170)</f>
        <v/>
      </c>
      <c r="Z170" s="195">
        <f>IF(B170="","",'入力・概要'!$E$9*(V170*X170+W170*Y170)/(X170^2+Y170^2)+'入力・概要'!$B$36)</f>
        <v/>
      </c>
      <c r="AA170" s="195">
        <f>IF(B170="","",'入力・概要'!$E$9*(W170*X170-V170*Y170)/(X170^2+Y170^2)+C170*'入力・概要'!$B$37*1E-9)</f>
        <v/>
      </c>
      <c r="AB170" s="195">
        <f>IF(B170="","",SQRT(Z170^2+AA170^2))</f>
        <v/>
      </c>
      <c r="AC170" s="195">
        <f>IF(B170="","",IF(Z170&gt;0,DEGREES(ATAN(AA170/Z170)),IF(Z170&lt;0,IF(AA170&gt;=0,DEGREES(ATAN(AA170/Z170))+180,DEGREES(ATAN(AA170/Z170))-180),IF(AA170&gt;0,90,IF(AA170&lt;0,-90,0)))))</f>
        <v/>
      </c>
      <c r="AD170" s="195">
        <f>IF(B170="","",LOG10(B170))</f>
        <v/>
      </c>
      <c r="AE170" s="195">
        <f>IF(AB170="","",LOG10(MAX(AB170,1E-12)))</f>
        <v/>
      </c>
      <c r="AF170" s="195">
        <f>IF(B170="","",SQRT(P170^2+Q170^2))</f>
        <v/>
      </c>
      <c r="AG170" s="195">
        <f>IF(B170="","",SQRT(R170^2+S170^2))</f>
        <v/>
      </c>
    </row>
    <row r="171">
      <c r="A171" t="n">
        <v>168</v>
      </c>
      <c r="B171" s="196">
        <f>IF(A171&lt;='入力・概要'!$B$40,10^(LOG10('入力・概要'!$B$38)+(A171-1)*(LOG10('入力・概要'!$B$39)-LOG10('入力・概要'!$B$38))/('入力・概要'!$B$40-1)),"")</f>
        <v/>
      </c>
      <c r="C171" s="195">
        <f>IF(B171="","",2*PI()*B171)</f>
        <v/>
      </c>
      <c r="D171" s="195">
        <f>IF(B171="","",ATANH(MIN(0.999999,'入力・概要'!$E$20/'入力・概要'!$E$9))+'入力・概要'!$B$20*SQRT(B171/1E6)+E171*'入力・概要'!$B$15/2)</f>
        <v/>
      </c>
      <c r="E171" s="195">
        <f>IF(B171="","",C171*('入力・概要'!$E$11*1E-9))</f>
        <v/>
      </c>
      <c r="F171" s="195">
        <f>IF(B171="","",SINH(2*D171)/(COSH(2*D171)+COS(2*E171)))</f>
        <v/>
      </c>
      <c r="G171" s="195">
        <f>IF(B171="","",SIN(2*E171)/(COSH(2*D171)+COS(2*E171)))</f>
        <v/>
      </c>
      <c r="H171" s="195">
        <f>IF(B171="","",ATANH(MIN(0.999999,'入力・概要'!$E$21/'入力・概要'!$E$15))+'入力・概要'!$B$21*SQRT(B171/1E6)+I171*'入力・概要'!$B$16/2)</f>
        <v/>
      </c>
      <c r="I171" s="195">
        <f>IF(B171="","",C171*('入力・概要'!$E$17*1E-9))</f>
        <v/>
      </c>
      <c r="J171" s="195">
        <f>IF(B171="","",SINH(2*H171)/(COSH(2*H171)+COS(2*I171)))</f>
        <v/>
      </c>
      <c r="K171" s="195">
        <f>IF(B171="","",SIN(2*I171)/(COSH(2*H171)+COS(2*I171)))</f>
        <v/>
      </c>
      <c r="L171" s="195">
        <f>IF(B171="","",'入力・概要'!$B$25)</f>
        <v/>
      </c>
      <c r="M171" s="195">
        <f>IF(B171="","",C171*'入力・概要'!$B$26*1E-9-1/(C171*'入力・概要'!$B$24*1E-6))</f>
        <v/>
      </c>
      <c r="N171" s="195">
        <f>IF(B171="","",'入力・概要'!$B$28)</f>
        <v/>
      </c>
      <c r="O171" s="195">
        <f>IF(B171="","",C171*'入力・概要'!$B$29*1E-9-1/(C171*'入力・概要'!$B$27*1E-6))</f>
        <v/>
      </c>
      <c r="P171" s="195">
        <f>IF(B171="","",((L171*N171-M171*O171)*(L171+N171)+(L171*O171+M171*N171)*(M171+O171))/((L171+N171)^2+(M171+O171)^2))</f>
        <v/>
      </c>
      <c r="Q171" s="195">
        <f>IF(B171="","",((L171*O171+M171*N171)*(L171+N171)-(L171*N171-M171*O171)*(M171+O171))/((L171+N171)^2+(M171+O171)^2))</f>
        <v/>
      </c>
      <c r="R171" s="195">
        <f>IF(B171="","",'入力・概要'!$E$15*J171)</f>
        <v/>
      </c>
      <c r="S171" s="195">
        <f>IF(B171="","",'入力・概要'!$E$15*K171)</f>
        <v/>
      </c>
      <c r="T171" s="195">
        <f>IF(B171="","",P171+R171)</f>
        <v/>
      </c>
      <c r="U171" s="195">
        <f>IF(B171="","",Q171+S171)</f>
        <v/>
      </c>
      <c r="V171" s="195">
        <f>IF(B171="","",T171+'入力・概要'!$E$9*F171)</f>
        <v/>
      </c>
      <c r="W171" s="195">
        <f>IF(B171="","",U171+'入力・概要'!$E$9*G171)</f>
        <v/>
      </c>
      <c r="X171" s="195">
        <f>IF(B171="","",'入力・概要'!$E$9+T171*F171-U171*G171)</f>
        <v/>
      </c>
      <c r="Y171" s="195">
        <f>IF(B171="","",T171*G171+U171*F171)</f>
        <v/>
      </c>
      <c r="Z171" s="195">
        <f>IF(B171="","",'入力・概要'!$E$9*(V171*X171+W171*Y171)/(X171^2+Y171^2)+'入力・概要'!$B$36)</f>
        <v/>
      </c>
      <c r="AA171" s="195">
        <f>IF(B171="","",'入力・概要'!$E$9*(W171*X171-V171*Y171)/(X171^2+Y171^2)+C171*'入力・概要'!$B$37*1E-9)</f>
        <v/>
      </c>
      <c r="AB171" s="195">
        <f>IF(B171="","",SQRT(Z171^2+AA171^2))</f>
        <v/>
      </c>
      <c r="AC171" s="195">
        <f>IF(B171="","",IF(Z171&gt;0,DEGREES(ATAN(AA171/Z171)),IF(Z171&lt;0,IF(AA171&gt;=0,DEGREES(ATAN(AA171/Z171))+180,DEGREES(ATAN(AA171/Z171))-180),IF(AA171&gt;0,90,IF(AA171&lt;0,-90,0)))))</f>
        <v/>
      </c>
      <c r="AD171" s="195">
        <f>IF(B171="","",LOG10(B171))</f>
        <v/>
      </c>
      <c r="AE171" s="195">
        <f>IF(AB171="","",LOG10(MAX(AB171,1E-12)))</f>
        <v/>
      </c>
      <c r="AF171" s="195">
        <f>IF(B171="","",SQRT(P171^2+Q171^2))</f>
        <v/>
      </c>
      <c r="AG171" s="195">
        <f>IF(B171="","",SQRT(R171^2+S171^2))</f>
        <v/>
      </c>
    </row>
    <row r="172">
      <c r="A172" t="n">
        <v>169</v>
      </c>
      <c r="B172" s="196">
        <f>IF(A172&lt;='入力・概要'!$B$40,10^(LOG10('入力・概要'!$B$38)+(A172-1)*(LOG10('入力・概要'!$B$39)-LOG10('入力・概要'!$B$38))/('入力・概要'!$B$40-1)),"")</f>
        <v/>
      </c>
      <c r="C172" s="195">
        <f>IF(B172="","",2*PI()*B172)</f>
        <v/>
      </c>
      <c r="D172" s="195">
        <f>IF(B172="","",ATANH(MIN(0.999999,'入力・概要'!$E$20/'入力・概要'!$E$9))+'入力・概要'!$B$20*SQRT(B172/1E6)+E172*'入力・概要'!$B$15/2)</f>
        <v/>
      </c>
      <c r="E172" s="195">
        <f>IF(B172="","",C172*('入力・概要'!$E$11*1E-9))</f>
        <v/>
      </c>
      <c r="F172" s="195">
        <f>IF(B172="","",SINH(2*D172)/(COSH(2*D172)+COS(2*E172)))</f>
        <v/>
      </c>
      <c r="G172" s="195">
        <f>IF(B172="","",SIN(2*E172)/(COSH(2*D172)+COS(2*E172)))</f>
        <v/>
      </c>
      <c r="H172" s="195">
        <f>IF(B172="","",ATANH(MIN(0.999999,'入力・概要'!$E$21/'入力・概要'!$E$15))+'入力・概要'!$B$21*SQRT(B172/1E6)+I172*'入力・概要'!$B$16/2)</f>
        <v/>
      </c>
      <c r="I172" s="195">
        <f>IF(B172="","",C172*('入力・概要'!$E$17*1E-9))</f>
        <v/>
      </c>
      <c r="J172" s="195">
        <f>IF(B172="","",SINH(2*H172)/(COSH(2*H172)+COS(2*I172)))</f>
        <v/>
      </c>
      <c r="K172" s="195">
        <f>IF(B172="","",SIN(2*I172)/(COSH(2*H172)+COS(2*I172)))</f>
        <v/>
      </c>
      <c r="L172" s="195">
        <f>IF(B172="","",'入力・概要'!$B$25)</f>
        <v/>
      </c>
      <c r="M172" s="195">
        <f>IF(B172="","",C172*'入力・概要'!$B$26*1E-9-1/(C172*'入力・概要'!$B$24*1E-6))</f>
        <v/>
      </c>
      <c r="N172" s="195">
        <f>IF(B172="","",'入力・概要'!$B$28)</f>
        <v/>
      </c>
      <c r="O172" s="195">
        <f>IF(B172="","",C172*'入力・概要'!$B$29*1E-9-1/(C172*'入力・概要'!$B$27*1E-6))</f>
        <v/>
      </c>
      <c r="P172" s="195">
        <f>IF(B172="","",((L172*N172-M172*O172)*(L172+N172)+(L172*O172+M172*N172)*(M172+O172))/((L172+N172)^2+(M172+O172)^2))</f>
        <v/>
      </c>
      <c r="Q172" s="195">
        <f>IF(B172="","",((L172*O172+M172*N172)*(L172+N172)-(L172*N172-M172*O172)*(M172+O172))/((L172+N172)^2+(M172+O172)^2))</f>
        <v/>
      </c>
      <c r="R172" s="195">
        <f>IF(B172="","",'入力・概要'!$E$15*J172)</f>
        <v/>
      </c>
      <c r="S172" s="195">
        <f>IF(B172="","",'入力・概要'!$E$15*K172)</f>
        <v/>
      </c>
      <c r="T172" s="195">
        <f>IF(B172="","",P172+R172)</f>
        <v/>
      </c>
      <c r="U172" s="195">
        <f>IF(B172="","",Q172+S172)</f>
        <v/>
      </c>
      <c r="V172" s="195">
        <f>IF(B172="","",T172+'入力・概要'!$E$9*F172)</f>
        <v/>
      </c>
      <c r="W172" s="195">
        <f>IF(B172="","",U172+'入力・概要'!$E$9*G172)</f>
        <v/>
      </c>
      <c r="X172" s="195">
        <f>IF(B172="","",'入力・概要'!$E$9+T172*F172-U172*G172)</f>
        <v/>
      </c>
      <c r="Y172" s="195">
        <f>IF(B172="","",T172*G172+U172*F172)</f>
        <v/>
      </c>
      <c r="Z172" s="195">
        <f>IF(B172="","",'入力・概要'!$E$9*(V172*X172+W172*Y172)/(X172^2+Y172^2)+'入力・概要'!$B$36)</f>
        <v/>
      </c>
      <c r="AA172" s="195">
        <f>IF(B172="","",'入力・概要'!$E$9*(W172*X172-V172*Y172)/(X172^2+Y172^2)+C172*'入力・概要'!$B$37*1E-9)</f>
        <v/>
      </c>
      <c r="AB172" s="195">
        <f>IF(B172="","",SQRT(Z172^2+AA172^2))</f>
        <v/>
      </c>
      <c r="AC172" s="195">
        <f>IF(B172="","",IF(Z172&gt;0,DEGREES(ATAN(AA172/Z172)),IF(Z172&lt;0,IF(AA172&gt;=0,DEGREES(ATAN(AA172/Z172))+180,DEGREES(ATAN(AA172/Z172))-180),IF(AA172&gt;0,90,IF(AA172&lt;0,-90,0)))))</f>
        <v/>
      </c>
      <c r="AD172" s="195">
        <f>IF(B172="","",LOG10(B172))</f>
        <v/>
      </c>
      <c r="AE172" s="195">
        <f>IF(AB172="","",LOG10(MAX(AB172,1E-12)))</f>
        <v/>
      </c>
      <c r="AF172" s="195">
        <f>IF(B172="","",SQRT(P172^2+Q172^2))</f>
        <v/>
      </c>
      <c r="AG172" s="195">
        <f>IF(B172="","",SQRT(R172^2+S172^2))</f>
        <v/>
      </c>
    </row>
    <row r="173">
      <c r="A173" t="n">
        <v>170</v>
      </c>
      <c r="B173" s="196">
        <f>IF(A173&lt;='入力・概要'!$B$40,10^(LOG10('入力・概要'!$B$38)+(A173-1)*(LOG10('入力・概要'!$B$39)-LOG10('入力・概要'!$B$38))/('入力・概要'!$B$40-1)),"")</f>
        <v/>
      </c>
      <c r="C173" s="195">
        <f>IF(B173="","",2*PI()*B173)</f>
        <v/>
      </c>
      <c r="D173" s="195">
        <f>IF(B173="","",ATANH(MIN(0.999999,'入力・概要'!$E$20/'入力・概要'!$E$9))+'入力・概要'!$B$20*SQRT(B173/1E6)+E173*'入力・概要'!$B$15/2)</f>
        <v/>
      </c>
      <c r="E173" s="195">
        <f>IF(B173="","",C173*('入力・概要'!$E$11*1E-9))</f>
        <v/>
      </c>
      <c r="F173" s="195">
        <f>IF(B173="","",SINH(2*D173)/(COSH(2*D173)+COS(2*E173)))</f>
        <v/>
      </c>
      <c r="G173" s="195">
        <f>IF(B173="","",SIN(2*E173)/(COSH(2*D173)+COS(2*E173)))</f>
        <v/>
      </c>
      <c r="H173" s="195">
        <f>IF(B173="","",ATANH(MIN(0.999999,'入力・概要'!$E$21/'入力・概要'!$E$15))+'入力・概要'!$B$21*SQRT(B173/1E6)+I173*'入力・概要'!$B$16/2)</f>
        <v/>
      </c>
      <c r="I173" s="195">
        <f>IF(B173="","",C173*('入力・概要'!$E$17*1E-9))</f>
        <v/>
      </c>
      <c r="J173" s="195">
        <f>IF(B173="","",SINH(2*H173)/(COSH(2*H173)+COS(2*I173)))</f>
        <v/>
      </c>
      <c r="K173" s="195">
        <f>IF(B173="","",SIN(2*I173)/(COSH(2*H173)+COS(2*I173)))</f>
        <v/>
      </c>
      <c r="L173" s="195">
        <f>IF(B173="","",'入力・概要'!$B$25)</f>
        <v/>
      </c>
      <c r="M173" s="195">
        <f>IF(B173="","",C173*'入力・概要'!$B$26*1E-9-1/(C173*'入力・概要'!$B$24*1E-6))</f>
        <v/>
      </c>
      <c r="N173" s="195">
        <f>IF(B173="","",'入力・概要'!$B$28)</f>
        <v/>
      </c>
      <c r="O173" s="195">
        <f>IF(B173="","",C173*'入力・概要'!$B$29*1E-9-1/(C173*'入力・概要'!$B$27*1E-6))</f>
        <v/>
      </c>
      <c r="P173" s="195">
        <f>IF(B173="","",((L173*N173-M173*O173)*(L173+N173)+(L173*O173+M173*N173)*(M173+O173))/((L173+N173)^2+(M173+O173)^2))</f>
        <v/>
      </c>
      <c r="Q173" s="195">
        <f>IF(B173="","",((L173*O173+M173*N173)*(L173+N173)-(L173*N173-M173*O173)*(M173+O173))/((L173+N173)^2+(M173+O173)^2))</f>
        <v/>
      </c>
      <c r="R173" s="195">
        <f>IF(B173="","",'入力・概要'!$E$15*J173)</f>
        <v/>
      </c>
      <c r="S173" s="195">
        <f>IF(B173="","",'入力・概要'!$E$15*K173)</f>
        <v/>
      </c>
      <c r="T173" s="195">
        <f>IF(B173="","",P173+R173)</f>
        <v/>
      </c>
      <c r="U173" s="195">
        <f>IF(B173="","",Q173+S173)</f>
        <v/>
      </c>
      <c r="V173" s="195">
        <f>IF(B173="","",T173+'入力・概要'!$E$9*F173)</f>
        <v/>
      </c>
      <c r="W173" s="195">
        <f>IF(B173="","",U173+'入力・概要'!$E$9*G173)</f>
        <v/>
      </c>
      <c r="X173" s="195">
        <f>IF(B173="","",'入力・概要'!$E$9+T173*F173-U173*G173)</f>
        <v/>
      </c>
      <c r="Y173" s="195">
        <f>IF(B173="","",T173*G173+U173*F173)</f>
        <v/>
      </c>
      <c r="Z173" s="195">
        <f>IF(B173="","",'入力・概要'!$E$9*(V173*X173+W173*Y173)/(X173^2+Y173^2)+'入力・概要'!$B$36)</f>
        <v/>
      </c>
      <c r="AA173" s="195">
        <f>IF(B173="","",'入力・概要'!$E$9*(W173*X173-V173*Y173)/(X173^2+Y173^2)+C173*'入力・概要'!$B$37*1E-9)</f>
        <v/>
      </c>
      <c r="AB173" s="195">
        <f>IF(B173="","",SQRT(Z173^2+AA173^2))</f>
        <v/>
      </c>
      <c r="AC173" s="195">
        <f>IF(B173="","",IF(Z173&gt;0,DEGREES(ATAN(AA173/Z173)),IF(Z173&lt;0,IF(AA173&gt;=0,DEGREES(ATAN(AA173/Z173))+180,DEGREES(ATAN(AA173/Z173))-180),IF(AA173&gt;0,90,IF(AA173&lt;0,-90,0)))))</f>
        <v/>
      </c>
      <c r="AD173" s="195">
        <f>IF(B173="","",LOG10(B173))</f>
        <v/>
      </c>
      <c r="AE173" s="195">
        <f>IF(AB173="","",LOG10(MAX(AB173,1E-12)))</f>
        <v/>
      </c>
      <c r="AF173" s="195">
        <f>IF(B173="","",SQRT(P173^2+Q173^2))</f>
        <v/>
      </c>
      <c r="AG173" s="195">
        <f>IF(B173="","",SQRT(R173^2+S173^2))</f>
        <v/>
      </c>
    </row>
    <row r="174">
      <c r="A174" t="n">
        <v>171</v>
      </c>
      <c r="B174" s="196">
        <f>IF(A174&lt;='入力・概要'!$B$40,10^(LOG10('入力・概要'!$B$38)+(A174-1)*(LOG10('入力・概要'!$B$39)-LOG10('入力・概要'!$B$38))/('入力・概要'!$B$40-1)),"")</f>
        <v/>
      </c>
      <c r="C174" s="195">
        <f>IF(B174="","",2*PI()*B174)</f>
        <v/>
      </c>
      <c r="D174" s="195">
        <f>IF(B174="","",ATANH(MIN(0.999999,'入力・概要'!$E$20/'入力・概要'!$E$9))+'入力・概要'!$B$20*SQRT(B174/1E6)+E174*'入力・概要'!$B$15/2)</f>
        <v/>
      </c>
      <c r="E174" s="195">
        <f>IF(B174="","",C174*('入力・概要'!$E$11*1E-9))</f>
        <v/>
      </c>
      <c r="F174" s="195">
        <f>IF(B174="","",SINH(2*D174)/(COSH(2*D174)+COS(2*E174)))</f>
        <v/>
      </c>
      <c r="G174" s="195">
        <f>IF(B174="","",SIN(2*E174)/(COSH(2*D174)+COS(2*E174)))</f>
        <v/>
      </c>
      <c r="H174" s="195">
        <f>IF(B174="","",ATANH(MIN(0.999999,'入力・概要'!$E$21/'入力・概要'!$E$15))+'入力・概要'!$B$21*SQRT(B174/1E6)+I174*'入力・概要'!$B$16/2)</f>
        <v/>
      </c>
      <c r="I174" s="195">
        <f>IF(B174="","",C174*('入力・概要'!$E$17*1E-9))</f>
        <v/>
      </c>
      <c r="J174" s="195">
        <f>IF(B174="","",SINH(2*H174)/(COSH(2*H174)+COS(2*I174)))</f>
        <v/>
      </c>
      <c r="K174" s="195">
        <f>IF(B174="","",SIN(2*I174)/(COSH(2*H174)+COS(2*I174)))</f>
        <v/>
      </c>
      <c r="L174" s="195">
        <f>IF(B174="","",'入力・概要'!$B$25)</f>
        <v/>
      </c>
      <c r="M174" s="195">
        <f>IF(B174="","",C174*'入力・概要'!$B$26*1E-9-1/(C174*'入力・概要'!$B$24*1E-6))</f>
        <v/>
      </c>
      <c r="N174" s="195">
        <f>IF(B174="","",'入力・概要'!$B$28)</f>
        <v/>
      </c>
      <c r="O174" s="195">
        <f>IF(B174="","",C174*'入力・概要'!$B$29*1E-9-1/(C174*'入力・概要'!$B$27*1E-6))</f>
        <v/>
      </c>
      <c r="P174" s="195">
        <f>IF(B174="","",((L174*N174-M174*O174)*(L174+N174)+(L174*O174+M174*N174)*(M174+O174))/((L174+N174)^2+(M174+O174)^2))</f>
        <v/>
      </c>
      <c r="Q174" s="195">
        <f>IF(B174="","",((L174*O174+M174*N174)*(L174+N174)-(L174*N174-M174*O174)*(M174+O174))/((L174+N174)^2+(M174+O174)^2))</f>
        <v/>
      </c>
      <c r="R174" s="195">
        <f>IF(B174="","",'入力・概要'!$E$15*J174)</f>
        <v/>
      </c>
      <c r="S174" s="195">
        <f>IF(B174="","",'入力・概要'!$E$15*K174)</f>
        <v/>
      </c>
      <c r="T174" s="195">
        <f>IF(B174="","",P174+R174)</f>
        <v/>
      </c>
      <c r="U174" s="195">
        <f>IF(B174="","",Q174+S174)</f>
        <v/>
      </c>
      <c r="V174" s="195">
        <f>IF(B174="","",T174+'入力・概要'!$E$9*F174)</f>
        <v/>
      </c>
      <c r="W174" s="195">
        <f>IF(B174="","",U174+'入力・概要'!$E$9*G174)</f>
        <v/>
      </c>
      <c r="X174" s="195">
        <f>IF(B174="","",'入力・概要'!$E$9+T174*F174-U174*G174)</f>
        <v/>
      </c>
      <c r="Y174" s="195">
        <f>IF(B174="","",T174*G174+U174*F174)</f>
        <v/>
      </c>
      <c r="Z174" s="195">
        <f>IF(B174="","",'入力・概要'!$E$9*(V174*X174+W174*Y174)/(X174^2+Y174^2)+'入力・概要'!$B$36)</f>
        <v/>
      </c>
      <c r="AA174" s="195">
        <f>IF(B174="","",'入力・概要'!$E$9*(W174*X174-V174*Y174)/(X174^2+Y174^2)+C174*'入力・概要'!$B$37*1E-9)</f>
        <v/>
      </c>
      <c r="AB174" s="195">
        <f>IF(B174="","",SQRT(Z174^2+AA174^2))</f>
        <v/>
      </c>
      <c r="AC174" s="195">
        <f>IF(B174="","",IF(Z174&gt;0,DEGREES(ATAN(AA174/Z174)),IF(Z174&lt;0,IF(AA174&gt;=0,DEGREES(ATAN(AA174/Z174))+180,DEGREES(ATAN(AA174/Z174))-180),IF(AA174&gt;0,90,IF(AA174&lt;0,-90,0)))))</f>
        <v/>
      </c>
      <c r="AD174" s="195">
        <f>IF(B174="","",LOG10(B174))</f>
        <v/>
      </c>
      <c r="AE174" s="195">
        <f>IF(AB174="","",LOG10(MAX(AB174,1E-12)))</f>
        <v/>
      </c>
      <c r="AF174" s="195">
        <f>IF(B174="","",SQRT(P174^2+Q174^2))</f>
        <v/>
      </c>
      <c r="AG174" s="195">
        <f>IF(B174="","",SQRT(R174^2+S174^2))</f>
        <v/>
      </c>
    </row>
    <row r="175">
      <c r="A175" t="n">
        <v>172</v>
      </c>
      <c r="B175" s="196">
        <f>IF(A175&lt;='入力・概要'!$B$40,10^(LOG10('入力・概要'!$B$38)+(A175-1)*(LOG10('入力・概要'!$B$39)-LOG10('入力・概要'!$B$38))/('入力・概要'!$B$40-1)),"")</f>
        <v/>
      </c>
      <c r="C175" s="195">
        <f>IF(B175="","",2*PI()*B175)</f>
        <v/>
      </c>
      <c r="D175" s="195">
        <f>IF(B175="","",ATANH(MIN(0.999999,'入力・概要'!$E$20/'入力・概要'!$E$9))+'入力・概要'!$B$20*SQRT(B175/1E6)+E175*'入力・概要'!$B$15/2)</f>
        <v/>
      </c>
      <c r="E175" s="195">
        <f>IF(B175="","",C175*('入力・概要'!$E$11*1E-9))</f>
        <v/>
      </c>
      <c r="F175" s="195">
        <f>IF(B175="","",SINH(2*D175)/(COSH(2*D175)+COS(2*E175)))</f>
        <v/>
      </c>
      <c r="G175" s="195">
        <f>IF(B175="","",SIN(2*E175)/(COSH(2*D175)+COS(2*E175)))</f>
        <v/>
      </c>
      <c r="H175" s="195">
        <f>IF(B175="","",ATANH(MIN(0.999999,'入力・概要'!$E$21/'入力・概要'!$E$15))+'入力・概要'!$B$21*SQRT(B175/1E6)+I175*'入力・概要'!$B$16/2)</f>
        <v/>
      </c>
      <c r="I175" s="195">
        <f>IF(B175="","",C175*('入力・概要'!$E$17*1E-9))</f>
        <v/>
      </c>
      <c r="J175" s="195">
        <f>IF(B175="","",SINH(2*H175)/(COSH(2*H175)+COS(2*I175)))</f>
        <v/>
      </c>
      <c r="K175" s="195">
        <f>IF(B175="","",SIN(2*I175)/(COSH(2*H175)+COS(2*I175)))</f>
        <v/>
      </c>
      <c r="L175" s="195">
        <f>IF(B175="","",'入力・概要'!$B$25)</f>
        <v/>
      </c>
      <c r="M175" s="195">
        <f>IF(B175="","",C175*'入力・概要'!$B$26*1E-9-1/(C175*'入力・概要'!$B$24*1E-6))</f>
        <v/>
      </c>
      <c r="N175" s="195">
        <f>IF(B175="","",'入力・概要'!$B$28)</f>
        <v/>
      </c>
      <c r="O175" s="195">
        <f>IF(B175="","",C175*'入力・概要'!$B$29*1E-9-1/(C175*'入力・概要'!$B$27*1E-6))</f>
        <v/>
      </c>
      <c r="P175" s="195">
        <f>IF(B175="","",((L175*N175-M175*O175)*(L175+N175)+(L175*O175+M175*N175)*(M175+O175))/((L175+N175)^2+(M175+O175)^2))</f>
        <v/>
      </c>
      <c r="Q175" s="195">
        <f>IF(B175="","",((L175*O175+M175*N175)*(L175+N175)-(L175*N175-M175*O175)*(M175+O175))/((L175+N175)^2+(M175+O175)^2))</f>
        <v/>
      </c>
      <c r="R175" s="195">
        <f>IF(B175="","",'入力・概要'!$E$15*J175)</f>
        <v/>
      </c>
      <c r="S175" s="195">
        <f>IF(B175="","",'入力・概要'!$E$15*K175)</f>
        <v/>
      </c>
      <c r="T175" s="195">
        <f>IF(B175="","",P175+R175)</f>
        <v/>
      </c>
      <c r="U175" s="195">
        <f>IF(B175="","",Q175+S175)</f>
        <v/>
      </c>
      <c r="V175" s="195">
        <f>IF(B175="","",T175+'入力・概要'!$E$9*F175)</f>
        <v/>
      </c>
      <c r="W175" s="195">
        <f>IF(B175="","",U175+'入力・概要'!$E$9*G175)</f>
        <v/>
      </c>
      <c r="X175" s="195">
        <f>IF(B175="","",'入力・概要'!$E$9+T175*F175-U175*G175)</f>
        <v/>
      </c>
      <c r="Y175" s="195">
        <f>IF(B175="","",T175*G175+U175*F175)</f>
        <v/>
      </c>
      <c r="Z175" s="195">
        <f>IF(B175="","",'入力・概要'!$E$9*(V175*X175+W175*Y175)/(X175^2+Y175^2)+'入力・概要'!$B$36)</f>
        <v/>
      </c>
      <c r="AA175" s="195">
        <f>IF(B175="","",'入力・概要'!$E$9*(W175*X175-V175*Y175)/(X175^2+Y175^2)+C175*'入力・概要'!$B$37*1E-9)</f>
        <v/>
      </c>
      <c r="AB175" s="195">
        <f>IF(B175="","",SQRT(Z175^2+AA175^2))</f>
        <v/>
      </c>
      <c r="AC175" s="195">
        <f>IF(B175="","",IF(Z175&gt;0,DEGREES(ATAN(AA175/Z175)),IF(Z175&lt;0,IF(AA175&gt;=0,DEGREES(ATAN(AA175/Z175))+180,DEGREES(ATAN(AA175/Z175))-180),IF(AA175&gt;0,90,IF(AA175&lt;0,-90,0)))))</f>
        <v/>
      </c>
      <c r="AD175" s="195">
        <f>IF(B175="","",LOG10(B175))</f>
        <v/>
      </c>
      <c r="AE175" s="195">
        <f>IF(AB175="","",LOG10(MAX(AB175,1E-12)))</f>
        <v/>
      </c>
      <c r="AF175" s="195">
        <f>IF(B175="","",SQRT(P175^2+Q175^2))</f>
        <v/>
      </c>
      <c r="AG175" s="195">
        <f>IF(B175="","",SQRT(R175^2+S175^2))</f>
        <v/>
      </c>
    </row>
    <row r="176">
      <c r="A176" t="n">
        <v>173</v>
      </c>
      <c r="B176" s="196">
        <f>IF(A176&lt;='入力・概要'!$B$40,10^(LOG10('入力・概要'!$B$38)+(A176-1)*(LOG10('入力・概要'!$B$39)-LOG10('入力・概要'!$B$38))/('入力・概要'!$B$40-1)),"")</f>
        <v/>
      </c>
      <c r="C176" s="195">
        <f>IF(B176="","",2*PI()*B176)</f>
        <v/>
      </c>
      <c r="D176" s="195">
        <f>IF(B176="","",ATANH(MIN(0.999999,'入力・概要'!$E$20/'入力・概要'!$E$9))+'入力・概要'!$B$20*SQRT(B176/1E6)+E176*'入力・概要'!$B$15/2)</f>
        <v/>
      </c>
      <c r="E176" s="195">
        <f>IF(B176="","",C176*('入力・概要'!$E$11*1E-9))</f>
        <v/>
      </c>
      <c r="F176" s="195">
        <f>IF(B176="","",SINH(2*D176)/(COSH(2*D176)+COS(2*E176)))</f>
        <v/>
      </c>
      <c r="G176" s="195">
        <f>IF(B176="","",SIN(2*E176)/(COSH(2*D176)+COS(2*E176)))</f>
        <v/>
      </c>
      <c r="H176" s="195">
        <f>IF(B176="","",ATANH(MIN(0.999999,'入力・概要'!$E$21/'入力・概要'!$E$15))+'入力・概要'!$B$21*SQRT(B176/1E6)+I176*'入力・概要'!$B$16/2)</f>
        <v/>
      </c>
      <c r="I176" s="195">
        <f>IF(B176="","",C176*('入力・概要'!$E$17*1E-9))</f>
        <v/>
      </c>
      <c r="J176" s="195">
        <f>IF(B176="","",SINH(2*H176)/(COSH(2*H176)+COS(2*I176)))</f>
        <v/>
      </c>
      <c r="K176" s="195">
        <f>IF(B176="","",SIN(2*I176)/(COSH(2*H176)+COS(2*I176)))</f>
        <v/>
      </c>
      <c r="L176" s="195">
        <f>IF(B176="","",'入力・概要'!$B$25)</f>
        <v/>
      </c>
      <c r="M176" s="195">
        <f>IF(B176="","",C176*'入力・概要'!$B$26*1E-9-1/(C176*'入力・概要'!$B$24*1E-6))</f>
        <v/>
      </c>
      <c r="N176" s="195">
        <f>IF(B176="","",'入力・概要'!$B$28)</f>
        <v/>
      </c>
      <c r="O176" s="195">
        <f>IF(B176="","",C176*'入力・概要'!$B$29*1E-9-1/(C176*'入力・概要'!$B$27*1E-6))</f>
        <v/>
      </c>
      <c r="P176" s="195">
        <f>IF(B176="","",((L176*N176-M176*O176)*(L176+N176)+(L176*O176+M176*N176)*(M176+O176))/((L176+N176)^2+(M176+O176)^2))</f>
        <v/>
      </c>
      <c r="Q176" s="195">
        <f>IF(B176="","",((L176*O176+M176*N176)*(L176+N176)-(L176*N176-M176*O176)*(M176+O176))/((L176+N176)^2+(M176+O176)^2))</f>
        <v/>
      </c>
      <c r="R176" s="195">
        <f>IF(B176="","",'入力・概要'!$E$15*J176)</f>
        <v/>
      </c>
      <c r="S176" s="195">
        <f>IF(B176="","",'入力・概要'!$E$15*K176)</f>
        <v/>
      </c>
      <c r="T176" s="195">
        <f>IF(B176="","",P176+R176)</f>
        <v/>
      </c>
      <c r="U176" s="195">
        <f>IF(B176="","",Q176+S176)</f>
        <v/>
      </c>
      <c r="V176" s="195">
        <f>IF(B176="","",T176+'入力・概要'!$E$9*F176)</f>
        <v/>
      </c>
      <c r="W176" s="195">
        <f>IF(B176="","",U176+'入力・概要'!$E$9*G176)</f>
        <v/>
      </c>
      <c r="X176" s="195">
        <f>IF(B176="","",'入力・概要'!$E$9+T176*F176-U176*G176)</f>
        <v/>
      </c>
      <c r="Y176" s="195">
        <f>IF(B176="","",T176*G176+U176*F176)</f>
        <v/>
      </c>
      <c r="Z176" s="195">
        <f>IF(B176="","",'入力・概要'!$E$9*(V176*X176+W176*Y176)/(X176^2+Y176^2)+'入力・概要'!$B$36)</f>
        <v/>
      </c>
      <c r="AA176" s="195">
        <f>IF(B176="","",'入力・概要'!$E$9*(W176*X176-V176*Y176)/(X176^2+Y176^2)+C176*'入力・概要'!$B$37*1E-9)</f>
        <v/>
      </c>
      <c r="AB176" s="195">
        <f>IF(B176="","",SQRT(Z176^2+AA176^2))</f>
        <v/>
      </c>
      <c r="AC176" s="195">
        <f>IF(B176="","",IF(Z176&gt;0,DEGREES(ATAN(AA176/Z176)),IF(Z176&lt;0,IF(AA176&gt;=0,DEGREES(ATAN(AA176/Z176))+180,DEGREES(ATAN(AA176/Z176))-180),IF(AA176&gt;0,90,IF(AA176&lt;0,-90,0)))))</f>
        <v/>
      </c>
      <c r="AD176" s="195">
        <f>IF(B176="","",LOG10(B176))</f>
        <v/>
      </c>
      <c r="AE176" s="195">
        <f>IF(AB176="","",LOG10(MAX(AB176,1E-12)))</f>
        <v/>
      </c>
      <c r="AF176" s="195">
        <f>IF(B176="","",SQRT(P176^2+Q176^2))</f>
        <v/>
      </c>
      <c r="AG176" s="195">
        <f>IF(B176="","",SQRT(R176^2+S176^2))</f>
        <v/>
      </c>
    </row>
    <row r="177">
      <c r="A177" t="n">
        <v>174</v>
      </c>
      <c r="B177" s="196">
        <f>IF(A177&lt;='入力・概要'!$B$40,10^(LOG10('入力・概要'!$B$38)+(A177-1)*(LOG10('入力・概要'!$B$39)-LOG10('入力・概要'!$B$38))/('入力・概要'!$B$40-1)),"")</f>
        <v/>
      </c>
      <c r="C177" s="195">
        <f>IF(B177="","",2*PI()*B177)</f>
        <v/>
      </c>
      <c r="D177" s="195">
        <f>IF(B177="","",ATANH(MIN(0.999999,'入力・概要'!$E$20/'入力・概要'!$E$9))+'入力・概要'!$B$20*SQRT(B177/1E6)+E177*'入力・概要'!$B$15/2)</f>
        <v/>
      </c>
      <c r="E177" s="195">
        <f>IF(B177="","",C177*('入力・概要'!$E$11*1E-9))</f>
        <v/>
      </c>
      <c r="F177" s="195">
        <f>IF(B177="","",SINH(2*D177)/(COSH(2*D177)+COS(2*E177)))</f>
        <v/>
      </c>
      <c r="G177" s="195">
        <f>IF(B177="","",SIN(2*E177)/(COSH(2*D177)+COS(2*E177)))</f>
        <v/>
      </c>
      <c r="H177" s="195">
        <f>IF(B177="","",ATANH(MIN(0.999999,'入力・概要'!$E$21/'入力・概要'!$E$15))+'入力・概要'!$B$21*SQRT(B177/1E6)+I177*'入力・概要'!$B$16/2)</f>
        <v/>
      </c>
      <c r="I177" s="195">
        <f>IF(B177="","",C177*('入力・概要'!$E$17*1E-9))</f>
        <v/>
      </c>
      <c r="J177" s="195">
        <f>IF(B177="","",SINH(2*H177)/(COSH(2*H177)+COS(2*I177)))</f>
        <v/>
      </c>
      <c r="K177" s="195">
        <f>IF(B177="","",SIN(2*I177)/(COSH(2*H177)+COS(2*I177)))</f>
        <v/>
      </c>
      <c r="L177" s="195">
        <f>IF(B177="","",'入力・概要'!$B$25)</f>
        <v/>
      </c>
      <c r="M177" s="195">
        <f>IF(B177="","",C177*'入力・概要'!$B$26*1E-9-1/(C177*'入力・概要'!$B$24*1E-6))</f>
        <v/>
      </c>
      <c r="N177" s="195">
        <f>IF(B177="","",'入力・概要'!$B$28)</f>
        <v/>
      </c>
      <c r="O177" s="195">
        <f>IF(B177="","",C177*'入力・概要'!$B$29*1E-9-1/(C177*'入力・概要'!$B$27*1E-6))</f>
        <v/>
      </c>
      <c r="P177" s="195">
        <f>IF(B177="","",((L177*N177-M177*O177)*(L177+N177)+(L177*O177+M177*N177)*(M177+O177))/((L177+N177)^2+(M177+O177)^2))</f>
        <v/>
      </c>
      <c r="Q177" s="195">
        <f>IF(B177="","",((L177*O177+M177*N177)*(L177+N177)-(L177*N177-M177*O177)*(M177+O177))/((L177+N177)^2+(M177+O177)^2))</f>
        <v/>
      </c>
      <c r="R177" s="195">
        <f>IF(B177="","",'入力・概要'!$E$15*J177)</f>
        <v/>
      </c>
      <c r="S177" s="195">
        <f>IF(B177="","",'入力・概要'!$E$15*K177)</f>
        <v/>
      </c>
      <c r="T177" s="195">
        <f>IF(B177="","",P177+R177)</f>
        <v/>
      </c>
      <c r="U177" s="195">
        <f>IF(B177="","",Q177+S177)</f>
        <v/>
      </c>
      <c r="V177" s="195">
        <f>IF(B177="","",T177+'入力・概要'!$E$9*F177)</f>
        <v/>
      </c>
      <c r="W177" s="195">
        <f>IF(B177="","",U177+'入力・概要'!$E$9*G177)</f>
        <v/>
      </c>
      <c r="X177" s="195">
        <f>IF(B177="","",'入力・概要'!$E$9+T177*F177-U177*G177)</f>
        <v/>
      </c>
      <c r="Y177" s="195">
        <f>IF(B177="","",T177*G177+U177*F177)</f>
        <v/>
      </c>
      <c r="Z177" s="195">
        <f>IF(B177="","",'入力・概要'!$E$9*(V177*X177+W177*Y177)/(X177^2+Y177^2)+'入力・概要'!$B$36)</f>
        <v/>
      </c>
      <c r="AA177" s="195">
        <f>IF(B177="","",'入力・概要'!$E$9*(W177*X177-V177*Y177)/(X177^2+Y177^2)+C177*'入力・概要'!$B$37*1E-9)</f>
        <v/>
      </c>
      <c r="AB177" s="195">
        <f>IF(B177="","",SQRT(Z177^2+AA177^2))</f>
        <v/>
      </c>
      <c r="AC177" s="195">
        <f>IF(B177="","",IF(Z177&gt;0,DEGREES(ATAN(AA177/Z177)),IF(Z177&lt;0,IF(AA177&gt;=0,DEGREES(ATAN(AA177/Z177))+180,DEGREES(ATAN(AA177/Z177))-180),IF(AA177&gt;0,90,IF(AA177&lt;0,-90,0)))))</f>
        <v/>
      </c>
      <c r="AD177" s="195">
        <f>IF(B177="","",LOG10(B177))</f>
        <v/>
      </c>
      <c r="AE177" s="195">
        <f>IF(AB177="","",LOG10(MAX(AB177,1E-12)))</f>
        <v/>
      </c>
      <c r="AF177" s="195">
        <f>IF(B177="","",SQRT(P177^2+Q177^2))</f>
        <v/>
      </c>
      <c r="AG177" s="195">
        <f>IF(B177="","",SQRT(R177^2+S177^2))</f>
        <v/>
      </c>
    </row>
    <row r="178">
      <c r="A178" t="n">
        <v>175</v>
      </c>
      <c r="B178" s="196">
        <f>IF(A178&lt;='入力・概要'!$B$40,10^(LOG10('入力・概要'!$B$38)+(A178-1)*(LOG10('入力・概要'!$B$39)-LOG10('入力・概要'!$B$38))/('入力・概要'!$B$40-1)),"")</f>
        <v/>
      </c>
      <c r="C178" s="195">
        <f>IF(B178="","",2*PI()*B178)</f>
        <v/>
      </c>
      <c r="D178" s="195">
        <f>IF(B178="","",ATANH(MIN(0.999999,'入力・概要'!$E$20/'入力・概要'!$E$9))+'入力・概要'!$B$20*SQRT(B178/1E6)+E178*'入力・概要'!$B$15/2)</f>
        <v/>
      </c>
      <c r="E178" s="195">
        <f>IF(B178="","",C178*('入力・概要'!$E$11*1E-9))</f>
        <v/>
      </c>
      <c r="F178" s="195">
        <f>IF(B178="","",SINH(2*D178)/(COSH(2*D178)+COS(2*E178)))</f>
        <v/>
      </c>
      <c r="G178" s="195">
        <f>IF(B178="","",SIN(2*E178)/(COSH(2*D178)+COS(2*E178)))</f>
        <v/>
      </c>
      <c r="H178" s="195">
        <f>IF(B178="","",ATANH(MIN(0.999999,'入力・概要'!$E$21/'入力・概要'!$E$15))+'入力・概要'!$B$21*SQRT(B178/1E6)+I178*'入力・概要'!$B$16/2)</f>
        <v/>
      </c>
      <c r="I178" s="195">
        <f>IF(B178="","",C178*('入力・概要'!$E$17*1E-9))</f>
        <v/>
      </c>
      <c r="J178" s="195">
        <f>IF(B178="","",SINH(2*H178)/(COSH(2*H178)+COS(2*I178)))</f>
        <v/>
      </c>
      <c r="K178" s="195">
        <f>IF(B178="","",SIN(2*I178)/(COSH(2*H178)+COS(2*I178)))</f>
        <v/>
      </c>
      <c r="L178" s="195">
        <f>IF(B178="","",'入力・概要'!$B$25)</f>
        <v/>
      </c>
      <c r="M178" s="195">
        <f>IF(B178="","",C178*'入力・概要'!$B$26*1E-9-1/(C178*'入力・概要'!$B$24*1E-6))</f>
        <v/>
      </c>
      <c r="N178" s="195">
        <f>IF(B178="","",'入力・概要'!$B$28)</f>
        <v/>
      </c>
      <c r="O178" s="195">
        <f>IF(B178="","",C178*'入力・概要'!$B$29*1E-9-1/(C178*'入力・概要'!$B$27*1E-6))</f>
        <v/>
      </c>
      <c r="P178" s="195">
        <f>IF(B178="","",((L178*N178-M178*O178)*(L178+N178)+(L178*O178+M178*N178)*(M178+O178))/((L178+N178)^2+(M178+O178)^2))</f>
        <v/>
      </c>
      <c r="Q178" s="195">
        <f>IF(B178="","",((L178*O178+M178*N178)*(L178+N178)-(L178*N178-M178*O178)*(M178+O178))/((L178+N178)^2+(M178+O178)^2))</f>
        <v/>
      </c>
      <c r="R178" s="195">
        <f>IF(B178="","",'入力・概要'!$E$15*J178)</f>
        <v/>
      </c>
      <c r="S178" s="195">
        <f>IF(B178="","",'入力・概要'!$E$15*K178)</f>
        <v/>
      </c>
      <c r="T178" s="195">
        <f>IF(B178="","",P178+R178)</f>
        <v/>
      </c>
      <c r="U178" s="195">
        <f>IF(B178="","",Q178+S178)</f>
        <v/>
      </c>
      <c r="V178" s="195">
        <f>IF(B178="","",T178+'入力・概要'!$E$9*F178)</f>
        <v/>
      </c>
      <c r="W178" s="195">
        <f>IF(B178="","",U178+'入力・概要'!$E$9*G178)</f>
        <v/>
      </c>
      <c r="X178" s="195">
        <f>IF(B178="","",'入力・概要'!$E$9+T178*F178-U178*G178)</f>
        <v/>
      </c>
      <c r="Y178" s="195">
        <f>IF(B178="","",T178*G178+U178*F178)</f>
        <v/>
      </c>
      <c r="Z178" s="195">
        <f>IF(B178="","",'入力・概要'!$E$9*(V178*X178+W178*Y178)/(X178^2+Y178^2)+'入力・概要'!$B$36)</f>
        <v/>
      </c>
      <c r="AA178" s="195">
        <f>IF(B178="","",'入力・概要'!$E$9*(W178*X178-V178*Y178)/(X178^2+Y178^2)+C178*'入力・概要'!$B$37*1E-9)</f>
        <v/>
      </c>
      <c r="AB178" s="195">
        <f>IF(B178="","",SQRT(Z178^2+AA178^2))</f>
        <v/>
      </c>
      <c r="AC178" s="195">
        <f>IF(B178="","",IF(Z178&gt;0,DEGREES(ATAN(AA178/Z178)),IF(Z178&lt;0,IF(AA178&gt;=0,DEGREES(ATAN(AA178/Z178))+180,DEGREES(ATAN(AA178/Z178))-180),IF(AA178&gt;0,90,IF(AA178&lt;0,-90,0)))))</f>
        <v/>
      </c>
      <c r="AD178" s="195">
        <f>IF(B178="","",LOG10(B178))</f>
        <v/>
      </c>
      <c r="AE178" s="195">
        <f>IF(AB178="","",LOG10(MAX(AB178,1E-12)))</f>
        <v/>
      </c>
      <c r="AF178" s="195">
        <f>IF(B178="","",SQRT(P178^2+Q178^2))</f>
        <v/>
      </c>
      <c r="AG178" s="195">
        <f>IF(B178="","",SQRT(R178^2+S178^2))</f>
        <v/>
      </c>
    </row>
    <row r="179">
      <c r="A179" t="n">
        <v>176</v>
      </c>
      <c r="B179" s="196">
        <f>IF(A179&lt;='入力・概要'!$B$40,10^(LOG10('入力・概要'!$B$38)+(A179-1)*(LOG10('入力・概要'!$B$39)-LOG10('入力・概要'!$B$38))/('入力・概要'!$B$40-1)),"")</f>
        <v/>
      </c>
      <c r="C179" s="195">
        <f>IF(B179="","",2*PI()*B179)</f>
        <v/>
      </c>
      <c r="D179" s="195">
        <f>IF(B179="","",ATANH(MIN(0.999999,'入力・概要'!$E$20/'入力・概要'!$E$9))+'入力・概要'!$B$20*SQRT(B179/1E6)+E179*'入力・概要'!$B$15/2)</f>
        <v/>
      </c>
      <c r="E179" s="195">
        <f>IF(B179="","",C179*('入力・概要'!$E$11*1E-9))</f>
        <v/>
      </c>
      <c r="F179" s="195">
        <f>IF(B179="","",SINH(2*D179)/(COSH(2*D179)+COS(2*E179)))</f>
        <v/>
      </c>
      <c r="G179" s="195">
        <f>IF(B179="","",SIN(2*E179)/(COSH(2*D179)+COS(2*E179)))</f>
        <v/>
      </c>
      <c r="H179" s="195">
        <f>IF(B179="","",ATANH(MIN(0.999999,'入力・概要'!$E$21/'入力・概要'!$E$15))+'入力・概要'!$B$21*SQRT(B179/1E6)+I179*'入力・概要'!$B$16/2)</f>
        <v/>
      </c>
      <c r="I179" s="195">
        <f>IF(B179="","",C179*('入力・概要'!$E$17*1E-9))</f>
        <v/>
      </c>
      <c r="J179" s="195">
        <f>IF(B179="","",SINH(2*H179)/(COSH(2*H179)+COS(2*I179)))</f>
        <v/>
      </c>
      <c r="K179" s="195">
        <f>IF(B179="","",SIN(2*I179)/(COSH(2*H179)+COS(2*I179)))</f>
        <v/>
      </c>
      <c r="L179" s="195">
        <f>IF(B179="","",'入力・概要'!$B$25)</f>
        <v/>
      </c>
      <c r="M179" s="195">
        <f>IF(B179="","",C179*'入力・概要'!$B$26*1E-9-1/(C179*'入力・概要'!$B$24*1E-6))</f>
        <v/>
      </c>
      <c r="N179" s="195">
        <f>IF(B179="","",'入力・概要'!$B$28)</f>
        <v/>
      </c>
      <c r="O179" s="195">
        <f>IF(B179="","",C179*'入力・概要'!$B$29*1E-9-1/(C179*'入力・概要'!$B$27*1E-6))</f>
        <v/>
      </c>
      <c r="P179" s="195">
        <f>IF(B179="","",((L179*N179-M179*O179)*(L179+N179)+(L179*O179+M179*N179)*(M179+O179))/((L179+N179)^2+(M179+O179)^2))</f>
        <v/>
      </c>
      <c r="Q179" s="195">
        <f>IF(B179="","",((L179*O179+M179*N179)*(L179+N179)-(L179*N179-M179*O179)*(M179+O179))/((L179+N179)^2+(M179+O179)^2))</f>
        <v/>
      </c>
      <c r="R179" s="195">
        <f>IF(B179="","",'入力・概要'!$E$15*J179)</f>
        <v/>
      </c>
      <c r="S179" s="195">
        <f>IF(B179="","",'入力・概要'!$E$15*K179)</f>
        <v/>
      </c>
      <c r="T179" s="195">
        <f>IF(B179="","",P179+R179)</f>
        <v/>
      </c>
      <c r="U179" s="195">
        <f>IF(B179="","",Q179+S179)</f>
        <v/>
      </c>
      <c r="V179" s="195">
        <f>IF(B179="","",T179+'入力・概要'!$E$9*F179)</f>
        <v/>
      </c>
      <c r="W179" s="195">
        <f>IF(B179="","",U179+'入力・概要'!$E$9*G179)</f>
        <v/>
      </c>
      <c r="X179" s="195">
        <f>IF(B179="","",'入力・概要'!$E$9+T179*F179-U179*G179)</f>
        <v/>
      </c>
      <c r="Y179" s="195">
        <f>IF(B179="","",T179*G179+U179*F179)</f>
        <v/>
      </c>
      <c r="Z179" s="195">
        <f>IF(B179="","",'入力・概要'!$E$9*(V179*X179+W179*Y179)/(X179^2+Y179^2)+'入力・概要'!$B$36)</f>
        <v/>
      </c>
      <c r="AA179" s="195">
        <f>IF(B179="","",'入力・概要'!$E$9*(W179*X179-V179*Y179)/(X179^2+Y179^2)+C179*'入力・概要'!$B$37*1E-9)</f>
        <v/>
      </c>
      <c r="AB179" s="195">
        <f>IF(B179="","",SQRT(Z179^2+AA179^2))</f>
        <v/>
      </c>
      <c r="AC179" s="195">
        <f>IF(B179="","",IF(Z179&gt;0,DEGREES(ATAN(AA179/Z179)),IF(Z179&lt;0,IF(AA179&gt;=0,DEGREES(ATAN(AA179/Z179))+180,DEGREES(ATAN(AA179/Z179))-180),IF(AA179&gt;0,90,IF(AA179&lt;0,-90,0)))))</f>
        <v/>
      </c>
      <c r="AD179" s="195">
        <f>IF(B179="","",LOG10(B179))</f>
        <v/>
      </c>
      <c r="AE179" s="195">
        <f>IF(AB179="","",LOG10(MAX(AB179,1E-12)))</f>
        <v/>
      </c>
      <c r="AF179" s="195">
        <f>IF(B179="","",SQRT(P179^2+Q179^2))</f>
        <v/>
      </c>
      <c r="AG179" s="195">
        <f>IF(B179="","",SQRT(R179^2+S179^2))</f>
        <v/>
      </c>
    </row>
    <row r="180">
      <c r="A180" t="n">
        <v>177</v>
      </c>
      <c r="B180" s="196">
        <f>IF(A180&lt;='入力・概要'!$B$40,10^(LOG10('入力・概要'!$B$38)+(A180-1)*(LOG10('入力・概要'!$B$39)-LOG10('入力・概要'!$B$38))/('入力・概要'!$B$40-1)),"")</f>
        <v/>
      </c>
      <c r="C180" s="195">
        <f>IF(B180="","",2*PI()*B180)</f>
        <v/>
      </c>
      <c r="D180" s="195">
        <f>IF(B180="","",ATANH(MIN(0.999999,'入力・概要'!$E$20/'入力・概要'!$E$9))+'入力・概要'!$B$20*SQRT(B180/1E6)+E180*'入力・概要'!$B$15/2)</f>
        <v/>
      </c>
      <c r="E180" s="195">
        <f>IF(B180="","",C180*('入力・概要'!$E$11*1E-9))</f>
        <v/>
      </c>
      <c r="F180" s="195">
        <f>IF(B180="","",SINH(2*D180)/(COSH(2*D180)+COS(2*E180)))</f>
        <v/>
      </c>
      <c r="G180" s="195">
        <f>IF(B180="","",SIN(2*E180)/(COSH(2*D180)+COS(2*E180)))</f>
        <v/>
      </c>
      <c r="H180" s="195">
        <f>IF(B180="","",ATANH(MIN(0.999999,'入力・概要'!$E$21/'入力・概要'!$E$15))+'入力・概要'!$B$21*SQRT(B180/1E6)+I180*'入力・概要'!$B$16/2)</f>
        <v/>
      </c>
      <c r="I180" s="195">
        <f>IF(B180="","",C180*('入力・概要'!$E$17*1E-9))</f>
        <v/>
      </c>
      <c r="J180" s="195">
        <f>IF(B180="","",SINH(2*H180)/(COSH(2*H180)+COS(2*I180)))</f>
        <v/>
      </c>
      <c r="K180" s="195">
        <f>IF(B180="","",SIN(2*I180)/(COSH(2*H180)+COS(2*I180)))</f>
        <v/>
      </c>
      <c r="L180" s="195">
        <f>IF(B180="","",'入力・概要'!$B$25)</f>
        <v/>
      </c>
      <c r="M180" s="195">
        <f>IF(B180="","",C180*'入力・概要'!$B$26*1E-9-1/(C180*'入力・概要'!$B$24*1E-6))</f>
        <v/>
      </c>
      <c r="N180" s="195">
        <f>IF(B180="","",'入力・概要'!$B$28)</f>
        <v/>
      </c>
      <c r="O180" s="195">
        <f>IF(B180="","",C180*'入力・概要'!$B$29*1E-9-1/(C180*'入力・概要'!$B$27*1E-6))</f>
        <v/>
      </c>
      <c r="P180" s="195">
        <f>IF(B180="","",((L180*N180-M180*O180)*(L180+N180)+(L180*O180+M180*N180)*(M180+O180))/((L180+N180)^2+(M180+O180)^2))</f>
        <v/>
      </c>
      <c r="Q180" s="195">
        <f>IF(B180="","",((L180*O180+M180*N180)*(L180+N180)-(L180*N180-M180*O180)*(M180+O180))/((L180+N180)^2+(M180+O180)^2))</f>
        <v/>
      </c>
      <c r="R180" s="195">
        <f>IF(B180="","",'入力・概要'!$E$15*J180)</f>
        <v/>
      </c>
      <c r="S180" s="195">
        <f>IF(B180="","",'入力・概要'!$E$15*K180)</f>
        <v/>
      </c>
      <c r="T180" s="195">
        <f>IF(B180="","",P180+R180)</f>
        <v/>
      </c>
      <c r="U180" s="195">
        <f>IF(B180="","",Q180+S180)</f>
        <v/>
      </c>
      <c r="V180" s="195">
        <f>IF(B180="","",T180+'入力・概要'!$E$9*F180)</f>
        <v/>
      </c>
      <c r="W180" s="195">
        <f>IF(B180="","",U180+'入力・概要'!$E$9*G180)</f>
        <v/>
      </c>
      <c r="X180" s="195">
        <f>IF(B180="","",'入力・概要'!$E$9+T180*F180-U180*G180)</f>
        <v/>
      </c>
      <c r="Y180" s="195">
        <f>IF(B180="","",T180*G180+U180*F180)</f>
        <v/>
      </c>
      <c r="Z180" s="195">
        <f>IF(B180="","",'入力・概要'!$E$9*(V180*X180+W180*Y180)/(X180^2+Y180^2)+'入力・概要'!$B$36)</f>
        <v/>
      </c>
      <c r="AA180" s="195">
        <f>IF(B180="","",'入力・概要'!$E$9*(W180*X180-V180*Y180)/(X180^2+Y180^2)+C180*'入力・概要'!$B$37*1E-9)</f>
        <v/>
      </c>
      <c r="AB180" s="195">
        <f>IF(B180="","",SQRT(Z180^2+AA180^2))</f>
        <v/>
      </c>
      <c r="AC180" s="195">
        <f>IF(B180="","",IF(Z180&gt;0,DEGREES(ATAN(AA180/Z180)),IF(Z180&lt;0,IF(AA180&gt;=0,DEGREES(ATAN(AA180/Z180))+180,DEGREES(ATAN(AA180/Z180))-180),IF(AA180&gt;0,90,IF(AA180&lt;0,-90,0)))))</f>
        <v/>
      </c>
      <c r="AD180" s="195">
        <f>IF(B180="","",LOG10(B180))</f>
        <v/>
      </c>
      <c r="AE180" s="195">
        <f>IF(AB180="","",LOG10(MAX(AB180,1E-12)))</f>
        <v/>
      </c>
      <c r="AF180" s="195">
        <f>IF(B180="","",SQRT(P180^2+Q180^2))</f>
        <v/>
      </c>
      <c r="AG180" s="195">
        <f>IF(B180="","",SQRT(R180^2+S180^2))</f>
        <v/>
      </c>
    </row>
    <row r="181">
      <c r="A181" t="n">
        <v>178</v>
      </c>
      <c r="B181" s="196">
        <f>IF(A181&lt;='入力・概要'!$B$40,10^(LOG10('入力・概要'!$B$38)+(A181-1)*(LOG10('入力・概要'!$B$39)-LOG10('入力・概要'!$B$38))/('入力・概要'!$B$40-1)),"")</f>
        <v/>
      </c>
      <c r="C181" s="195">
        <f>IF(B181="","",2*PI()*B181)</f>
        <v/>
      </c>
      <c r="D181" s="195">
        <f>IF(B181="","",ATANH(MIN(0.999999,'入力・概要'!$E$20/'入力・概要'!$E$9))+'入力・概要'!$B$20*SQRT(B181/1E6)+E181*'入力・概要'!$B$15/2)</f>
        <v/>
      </c>
      <c r="E181" s="195">
        <f>IF(B181="","",C181*('入力・概要'!$E$11*1E-9))</f>
        <v/>
      </c>
      <c r="F181" s="195">
        <f>IF(B181="","",SINH(2*D181)/(COSH(2*D181)+COS(2*E181)))</f>
        <v/>
      </c>
      <c r="G181" s="195">
        <f>IF(B181="","",SIN(2*E181)/(COSH(2*D181)+COS(2*E181)))</f>
        <v/>
      </c>
      <c r="H181" s="195">
        <f>IF(B181="","",ATANH(MIN(0.999999,'入力・概要'!$E$21/'入力・概要'!$E$15))+'入力・概要'!$B$21*SQRT(B181/1E6)+I181*'入力・概要'!$B$16/2)</f>
        <v/>
      </c>
      <c r="I181" s="195">
        <f>IF(B181="","",C181*('入力・概要'!$E$17*1E-9))</f>
        <v/>
      </c>
      <c r="J181" s="195">
        <f>IF(B181="","",SINH(2*H181)/(COSH(2*H181)+COS(2*I181)))</f>
        <v/>
      </c>
      <c r="K181" s="195">
        <f>IF(B181="","",SIN(2*I181)/(COSH(2*H181)+COS(2*I181)))</f>
        <v/>
      </c>
      <c r="L181" s="195">
        <f>IF(B181="","",'入力・概要'!$B$25)</f>
        <v/>
      </c>
      <c r="M181" s="195">
        <f>IF(B181="","",C181*'入力・概要'!$B$26*1E-9-1/(C181*'入力・概要'!$B$24*1E-6))</f>
        <v/>
      </c>
      <c r="N181" s="195">
        <f>IF(B181="","",'入力・概要'!$B$28)</f>
        <v/>
      </c>
      <c r="O181" s="195">
        <f>IF(B181="","",C181*'入力・概要'!$B$29*1E-9-1/(C181*'入力・概要'!$B$27*1E-6))</f>
        <v/>
      </c>
      <c r="P181" s="195">
        <f>IF(B181="","",((L181*N181-M181*O181)*(L181+N181)+(L181*O181+M181*N181)*(M181+O181))/((L181+N181)^2+(M181+O181)^2))</f>
        <v/>
      </c>
      <c r="Q181" s="195">
        <f>IF(B181="","",((L181*O181+M181*N181)*(L181+N181)-(L181*N181-M181*O181)*(M181+O181))/((L181+N181)^2+(M181+O181)^2))</f>
        <v/>
      </c>
      <c r="R181" s="195">
        <f>IF(B181="","",'入力・概要'!$E$15*J181)</f>
        <v/>
      </c>
      <c r="S181" s="195">
        <f>IF(B181="","",'入力・概要'!$E$15*K181)</f>
        <v/>
      </c>
      <c r="T181" s="195">
        <f>IF(B181="","",P181+R181)</f>
        <v/>
      </c>
      <c r="U181" s="195">
        <f>IF(B181="","",Q181+S181)</f>
        <v/>
      </c>
      <c r="V181" s="195">
        <f>IF(B181="","",T181+'入力・概要'!$E$9*F181)</f>
        <v/>
      </c>
      <c r="W181" s="195">
        <f>IF(B181="","",U181+'入力・概要'!$E$9*G181)</f>
        <v/>
      </c>
      <c r="X181" s="195">
        <f>IF(B181="","",'入力・概要'!$E$9+T181*F181-U181*G181)</f>
        <v/>
      </c>
      <c r="Y181" s="195">
        <f>IF(B181="","",T181*G181+U181*F181)</f>
        <v/>
      </c>
      <c r="Z181" s="195">
        <f>IF(B181="","",'入力・概要'!$E$9*(V181*X181+W181*Y181)/(X181^2+Y181^2)+'入力・概要'!$B$36)</f>
        <v/>
      </c>
      <c r="AA181" s="195">
        <f>IF(B181="","",'入力・概要'!$E$9*(W181*X181-V181*Y181)/(X181^2+Y181^2)+C181*'入力・概要'!$B$37*1E-9)</f>
        <v/>
      </c>
      <c r="AB181" s="195">
        <f>IF(B181="","",SQRT(Z181^2+AA181^2))</f>
        <v/>
      </c>
      <c r="AC181" s="195">
        <f>IF(B181="","",IF(Z181&gt;0,DEGREES(ATAN(AA181/Z181)),IF(Z181&lt;0,IF(AA181&gt;=0,DEGREES(ATAN(AA181/Z181))+180,DEGREES(ATAN(AA181/Z181))-180),IF(AA181&gt;0,90,IF(AA181&lt;0,-90,0)))))</f>
        <v/>
      </c>
      <c r="AD181" s="195">
        <f>IF(B181="","",LOG10(B181))</f>
        <v/>
      </c>
      <c r="AE181" s="195">
        <f>IF(AB181="","",LOG10(MAX(AB181,1E-12)))</f>
        <v/>
      </c>
      <c r="AF181" s="195">
        <f>IF(B181="","",SQRT(P181^2+Q181^2))</f>
        <v/>
      </c>
      <c r="AG181" s="195">
        <f>IF(B181="","",SQRT(R181^2+S181^2))</f>
        <v/>
      </c>
    </row>
    <row r="182">
      <c r="A182" t="n">
        <v>179</v>
      </c>
      <c r="B182" s="196">
        <f>IF(A182&lt;='入力・概要'!$B$40,10^(LOG10('入力・概要'!$B$38)+(A182-1)*(LOG10('入力・概要'!$B$39)-LOG10('入力・概要'!$B$38))/('入力・概要'!$B$40-1)),"")</f>
        <v/>
      </c>
      <c r="C182" s="195">
        <f>IF(B182="","",2*PI()*B182)</f>
        <v/>
      </c>
      <c r="D182" s="195">
        <f>IF(B182="","",ATANH(MIN(0.999999,'入力・概要'!$E$20/'入力・概要'!$E$9))+'入力・概要'!$B$20*SQRT(B182/1E6)+E182*'入力・概要'!$B$15/2)</f>
        <v/>
      </c>
      <c r="E182" s="195">
        <f>IF(B182="","",C182*('入力・概要'!$E$11*1E-9))</f>
        <v/>
      </c>
      <c r="F182" s="195">
        <f>IF(B182="","",SINH(2*D182)/(COSH(2*D182)+COS(2*E182)))</f>
        <v/>
      </c>
      <c r="G182" s="195">
        <f>IF(B182="","",SIN(2*E182)/(COSH(2*D182)+COS(2*E182)))</f>
        <v/>
      </c>
      <c r="H182" s="195">
        <f>IF(B182="","",ATANH(MIN(0.999999,'入力・概要'!$E$21/'入力・概要'!$E$15))+'入力・概要'!$B$21*SQRT(B182/1E6)+I182*'入力・概要'!$B$16/2)</f>
        <v/>
      </c>
      <c r="I182" s="195">
        <f>IF(B182="","",C182*('入力・概要'!$E$17*1E-9))</f>
        <v/>
      </c>
      <c r="J182" s="195">
        <f>IF(B182="","",SINH(2*H182)/(COSH(2*H182)+COS(2*I182)))</f>
        <v/>
      </c>
      <c r="K182" s="195">
        <f>IF(B182="","",SIN(2*I182)/(COSH(2*H182)+COS(2*I182)))</f>
        <v/>
      </c>
      <c r="L182" s="195">
        <f>IF(B182="","",'入力・概要'!$B$25)</f>
        <v/>
      </c>
      <c r="M182" s="195">
        <f>IF(B182="","",C182*'入力・概要'!$B$26*1E-9-1/(C182*'入力・概要'!$B$24*1E-6))</f>
        <v/>
      </c>
      <c r="N182" s="195">
        <f>IF(B182="","",'入力・概要'!$B$28)</f>
        <v/>
      </c>
      <c r="O182" s="195">
        <f>IF(B182="","",C182*'入力・概要'!$B$29*1E-9-1/(C182*'入力・概要'!$B$27*1E-6))</f>
        <v/>
      </c>
      <c r="P182" s="195">
        <f>IF(B182="","",((L182*N182-M182*O182)*(L182+N182)+(L182*O182+M182*N182)*(M182+O182))/((L182+N182)^2+(M182+O182)^2))</f>
        <v/>
      </c>
      <c r="Q182" s="195">
        <f>IF(B182="","",((L182*O182+M182*N182)*(L182+N182)-(L182*N182-M182*O182)*(M182+O182))/((L182+N182)^2+(M182+O182)^2))</f>
        <v/>
      </c>
      <c r="R182" s="195">
        <f>IF(B182="","",'入力・概要'!$E$15*J182)</f>
        <v/>
      </c>
      <c r="S182" s="195">
        <f>IF(B182="","",'入力・概要'!$E$15*K182)</f>
        <v/>
      </c>
      <c r="T182" s="195">
        <f>IF(B182="","",P182+R182)</f>
        <v/>
      </c>
      <c r="U182" s="195">
        <f>IF(B182="","",Q182+S182)</f>
        <v/>
      </c>
      <c r="V182" s="195">
        <f>IF(B182="","",T182+'入力・概要'!$E$9*F182)</f>
        <v/>
      </c>
      <c r="W182" s="195">
        <f>IF(B182="","",U182+'入力・概要'!$E$9*G182)</f>
        <v/>
      </c>
      <c r="X182" s="195">
        <f>IF(B182="","",'入力・概要'!$E$9+T182*F182-U182*G182)</f>
        <v/>
      </c>
      <c r="Y182" s="195">
        <f>IF(B182="","",T182*G182+U182*F182)</f>
        <v/>
      </c>
      <c r="Z182" s="195">
        <f>IF(B182="","",'入力・概要'!$E$9*(V182*X182+W182*Y182)/(X182^2+Y182^2)+'入力・概要'!$B$36)</f>
        <v/>
      </c>
      <c r="AA182" s="195">
        <f>IF(B182="","",'入力・概要'!$E$9*(W182*X182-V182*Y182)/(X182^2+Y182^2)+C182*'入力・概要'!$B$37*1E-9)</f>
        <v/>
      </c>
      <c r="AB182" s="195">
        <f>IF(B182="","",SQRT(Z182^2+AA182^2))</f>
        <v/>
      </c>
      <c r="AC182" s="195">
        <f>IF(B182="","",IF(Z182&gt;0,DEGREES(ATAN(AA182/Z182)),IF(Z182&lt;0,IF(AA182&gt;=0,DEGREES(ATAN(AA182/Z182))+180,DEGREES(ATAN(AA182/Z182))-180),IF(AA182&gt;0,90,IF(AA182&lt;0,-90,0)))))</f>
        <v/>
      </c>
      <c r="AD182" s="195">
        <f>IF(B182="","",LOG10(B182))</f>
        <v/>
      </c>
      <c r="AE182" s="195">
        <f>IF(AB182="","",LOG10(MAX(AB182,1E-12)))</f>
        <v/>
      </c>
      <c r="AF182" s="195">
        <f>IF(B182="","",SQRT(P182^2+Q182^2))</f>
        <v/>
      </c>
      <c r="AG182" s="195">
        <f>IF(B182="","",SQRT(R182^2+S182^2))</f>
        <v/>
      </c>
    </row>
    <row r="183">
      <c r="A183" t="n">
        <v>180</v>
      </c>
      <c r="B183" s="196">
        <f>IF(A183&lt;='入力・概要'!$B$40,10^(LOG10('入力・概要'!$B$38)+(A183-1)*(LOG10('入力・概要'!$B$39)-LOG10('入力・概要'!$B$38))/('入力・概要'!$B$40-1)),"")</f>
        <v/>
      </c>
      <c r="C183" s="195">
        <f>IF(B183="","",2*PI()*B183)</f>
        <v/>
      </c>
      <c r="D183" s="195">
        <f>IF(B183="","",ATANH(MIN(0.999999,'入力・概要'!$E$20/'入力・概要'!$E$9))+'入力・概要'!$B$20*SQRT(B183/1E6)+E183*'入力・概要'!$B$15/2)</f>
        <v/>
      </c>
      <c r="E183" s="195">
        <f>IF(B183="","",C183*('入力・概要'!$E$11*1E-9))</f>
        <v/>
      </c>
      <c r="F183" s="195">
        <f>IF(B183="","",SINH(2*D183)/(COSH(2*D183)+COS(2*E183)))</f>
        <v/>
      </c>
      <c r="G183" s="195">
        <f>IF(B183="","",SIN(2*E183)/(COSH(2*D183)+COS(2*E183)))</f>
        <v/>
      </c>
      <c r="H183" s="195">
        <f>IF(B183="","",ATANH(MIN(0.999999,'入力・概要'!$E$21/'入力・概要'!$E$15))+'入力・概要'!$B$21*SQRT(B183/1E6)+I183*'入力・概要'!$B$16/2)</f>
        <v/>
      </c>
      <c r="I183" s="195">
        <f>IF(B183="","",C183*('入力・概要'!$E$17*1E-9))</f>
        <v/>
      </c>
      <c r="J183" s="195">
        <f>IF(B183="","",SINH(2*H183)/(COSH(2*H183)+COS(2*I183)))</f>
        <v/>
      </c>
      <c r="K183" s="195">
        <f>IF(B183="","",SIN(2*I183)/(COSH(2*H183)+COS(2*I183)))</f>
        <v/>
      </c>
      <c r="L183" s="195">
        <f>IF(B183="","",'入力・概要'!$B$25)</f>
        <v/>
      </c>
      <c r="M183" s="195">
        <f>IF(B183="","",C183*'入力・概要'!$B$26*1E-9-1/(C183*'入力・概要'!$B$24*1E-6))</f>
        <v/>
      </c>
      <c r="N183" s="195">
        <f>IF(B183="","",'入力・概要'!$B$28)</f>
        <v/>
      </c>
      <c r="O183" s="195">
        <f>IF(B183="","",C183*'入力・概要'!$B$29*1E-9-1/(C183*'入力・概要'!$B$27*1E-6))</f>
        <v/>
      </c>
      <c r="P183" s="195">
        <f>IF(B183="","",((L183*N183-M183*O183)*(L183+N183)+(L183*O183+M183*N183)*(M183+O183))/((L183+N183)^2+(M183+O183)^2))</f>
        <v/>
      </c>
      <c r="Q183" s="195">
        <f>IF(B183="","",((L183*O183+M183*N183)*(L183+N183)-(L183*N183-M183*O183)*(M183+O183))/((L183+N183)^2+(M183+O183)^2))</f>
        <v/>
      </c>
      <c r="R183" s="195">
        <f>IF(B183="","",'入力・概要'!$E$15*J183)</f>
        <v/>
      </c>
      <c r="S183" s="195">
        <f>IF(B183="","",'入力・概要'!$E$15*K183)</f>
        <v/>
      </c>
      <c r="T183" s="195">
        <f>IF(B183="","",P183+R183)</f>
        <v/>
      </c>
      <c r="U183" s="195">
        <f>IF(B183="","",Q183+S183)</f>
        <v/>
      </c>
      <c r="V183" s="195">
        <f>IF(B183="","",T183+'入力・概要'!$E$9*F183)</f>
        <v/>
      </c>
      <c r="W183" s="195">
        <f>IF(B183="","",U183+'入力・概要'!$E$9*G183)</f>
        <v/>
      </c>
      <c r="X183" s="195">
        <f>IF(B183="","",'入力・概要'!$E$9+T183*F183-U183*G183)</f>
        <v/>
      </c>
      <c r="Y183" s="195">
        <f>IF(B183="","",T183*G183+U183*F183)</f>
        <v/>
      </c>
      <c r="Z183" s="195">
        <f>IF(B183="","",'入力・概要'!$E$9*(V183*X183+W183*Y183)/(X183^2+Y183^2)+'入力・概要'!$B$36)</f>
        <v/>
      </c>
      <c r="AA183" s="195">
        <f>IF(B183="","",'入力・概要'!$E$9*(W183*X183-V183*Y183)/(X183^2+Y183^2)+C183*'入力・概要'!$B$37*1E-9)</f>
        <v/>
      </c>
      <c r="AB183" s="195">
        <f>IF(B183="","",SQRT(Z183^2+AA183^2))</f>
        <v/>
      </c>
      <c r="AC183" s="195">
        <f>IF(B183="","",IF(Z183&gt;0,DEGREES(ATAN(AA183/Z183)),IF(Z183&lt;0,IF(AA183&gt;=0,DEGREES(ATAN(AA183/Z183))+180,DEGREES(ATAN(AA183/Z183))-180),IF(AA183&gt;0,90,IF(AA183&lt;0,-90,0)))))</f>
        <v/>
      </c>
      <c r="AD183" s="195">
        <f>IF(B183="","",LOG10(B183))</f>
        <v/>
      </c>
      <c r="AE183" s="195">
        <f>IF(AB183="","",LOG10(MAX(AB183,1E-12)))</f>
        <v/>
      </c>
      <c r="AF183" s="195">
        <f>IF(B183="","",SQRT(P183^2+Q183^2))</f>
        <v/>
      </c>
      <c r="AG183" s="195">
        <f>IF(B183="","",SQRT(R183^2+S183^2))</f>
        <v/>
      </c>
    </row>
    <row r="184">
      <c r="A184" t="n">
        <v>181</v>
      </c>
      <c r="B184" s="196">
        <f>IF(A184&lt;='入力・概要'!$B$40,10^(LOG10('入力・概要'!$B$38)+(A184-1)*(LOG10('入力・概要'!$B$39)-LOG10('入力・概要'!$B$38))/('入力・概要'!$B$40-1)),"")</f>
        <v/>
      </c>
      <c r="C184" s="195">
        <f>IF(B184="","",2*PI()*B184)</f>
        <v/>
      </c>
      <c r="D184" s="195">
        <f>IF(B184="","",ATANH(MIN(0.999999,'入力・概要'!$E$20/'入力・概要'!$E$9))+'入力・概要'!$B$20*SQRT(B184/1E6)+E184*'入力・概要'!$B$15/2)</f>
        <v/>
      </c>
      <c r="E184" s="195">
        <f>IF(B184="","",C184*('入力・概要'!$E$11*1E-9))</f>
        <v/>
      </c>
      <c r="F184" s="195">
        <f>IF(B184="","",SINH(2*D184)/(COSH(2*D184)+COS(2*E184)))</f>
        <v/>
      </c>
      <c r="G184" s="195">
        <f>IF(B184="","",SIN(2*E184)/(COSH(2*D184)+COS(2*E184)))</f>
        <v/>
      </c>
      <c r="H184" s="195">
        <f>IF(B184="","",ATANH(MIN(0.999999,'入力・概要'!$E$21/'入力・概要'!$E$15))+'入力・概要'!$B$21*SQRT(B184/1E6)+I184*'入力・概要'!$B$16/2)</f>
        <v/>
      </c>
      <c r="I184" s="195">
        <f>IF(B184="","",C184*('入力・概要'!$E$17*1E-9))</f>
        <v/>
      </c>
      <c r="J184" s="195">
        <f>IF(B184="","",SINH(2*H184)/(COSH(2*H184)+COS(2*I184)))</f>
        <v/>
      </c>
      <c r="K184" s="195">
        <f>IF(B184="","",SIN(2*I184)/(COSH(2*H184)+COS(2*I184)))</f>
        <v/>
      </c>
      <c r="L184" s="195">
        <f>IF(B184="","",'入力・概要'!$B$25)</f>
        <v/>
      </c>
      <c r="M184" s="195">
        <f>IF(B184="","",C184*'入力・概要'!$B$26*1E-9-1/(C184*'入力・概要'!$B$24*1E-6))</f>
        <v/>
      </c>
      <c r="N184" s="195">
        <f>IF(B184="","",'入力・概要'!$B$28)</f>
        <v/>
      </c>
      <c r="O184" s="195">
        <f>IF(B184="","",C184*'入力・概要'!$B$29*1E-9-1/(C184*'入力・概要'!$B$27*1E-6))</f>
        <v/>
      </c>
      <c r="P184" s="195">
        <f>IF(B184="","",((L184*N184-M184*O184)*(L184+N184)+(L184*O184+M184*N184)*(M184+O184))/((L184+N184)^2+(M184+O184)^2))</f>
        <v/>
      </c>
      <c r="Q184" s="195">
        <f>IF(B184="","",((L184*O184+M184*N184)*(L184+N184)-(L184*N184-M184*O184)*(M184+O184))/((L184+N184)^2+(M184+O184)^2))</f>
        <v/>
      </c>
      <c r="R184" s="195">
        <f>IF(B184="","",'入力・概要'!$E$15*J184)</f>
        <v/>
      </c>
      <c r="S184" s="195">
        <f>IF(B184="","",'入力・概要'!$E$15*K184)</f>
        <v/>
      </c>
      <c r="T184" s="195">
        <f>IF(B184="","",P184+R184)</f>
        <v/>
      </c>
      <c r="U184" s="195">
        <f>IF(B184="","",Q184+S184)</f>
        <v/>
      </c>
      <c r="V184" s="195">
        <f>IF(B184="","",T184+'入力・概要'!$E$9*F184)</f>
        <v/>
      </c>
      <c r="W184" s="195">
        <f>IF(B184="","",U184+'入力・概要'!$E$9*G184)</f>
        <v/>
      </c>
      <c r="X184" s="195">
        <f>IF(B184="","",'入力・概要'!$E$9+T184*F184-U184*G184)</f>
        <v/>
      </c>
      <c r="Y184" s="195">
        <f>IF(B184="","",T184*G184+U184*F184)</f>
        <v/>
      </c>
      <c r="Z184" s="195">
        <f>IF(B184="","",'入力・概要'!$E$9*(V184*X184+W184*Y184)/(X184^2+Y184^2)+'入力・概要'!$B$36)</f>
        <v/>
      </c>
      <c r="AA184" s="195">
        <f>IF(B184="","",'入力・概要'!$E$9*(W184*X184-V184*Y184)/(X184^2+Y184^2)+C184*'入力・概要'!$B$37*1E-9)</f>
        <v/>
      </c>
      <c r="AB184" s="195">
        <f>IF(B184="","",SQRT(Z184^2+AA184^2))</f>
        <v/>
      </c>
      <c r="AC184" s="195">
        <f>IF(B184="","",IF(Z184&gt;0,DEGREES(ATAN(AA184/Z184)),IF(Z184&lt;0,IF(AA184&gt;=0,DEGREES(ATAN(AA184/Z184))+180,DEGREES(ATAN(AA184/Z184))-180),IF(AA184&gt;0,90,IF(AA184&lt;0,-90,0)))))</f>
        <v/>
      </c>
      <c r="AD184" s="195">
        <f>IF(B184="","",LOG10(B184))</f>
        <v/>
      </c>
      <c r="AE184" s="195">
        <f>IF(AB184="","",LOG10(MAX(AB184,1E-12)))</f>
        <v/>
      </c>
      <c r="AF184" s="195">
        <f>IF(B184="","",SQRT(P184^2+Q184^2))</f>
        <v/>
      </c>
      <c r="AG184" s="195">
        <f>IF(B184="","",SQRT(R184^2+S184^2))</f>
        <v/>
      </c>
    </row>
    <row r="185">
      <c r="A185" t="n">
        <v>182</v>
      </c>
      <c r="B185" s="196">
        <f>IF(A185&lt;='入力・概要'!$B$40,10^(LOG10('入力・概要'!$B$38)+(A185-1)*(LOG10('入力・概要'!$B$39)-LOG10('入力・概要'!$B$38))/('入力・概要'!$B$40-1)),"")</f>
        <v/>
      </c>
      <c r="C185" s="195">
        <f>IF(B185="","",2*PI()*B185)</f>
        <v/>
      </c>
      <c r="D185" s="195">
        <f>IF(B185="","",ATANH(MIN(0.999999,'入力・概要'!$E$20/'入力・概要'!$E$9))+'入力・概要'!$B$20*SQRT(B185/1E6)+E185*'入力・概要'!$B$15/2)</f>
        <v/>
      </c>
      <c r="E185" s="195">
        <f>IF(B185="","",C185*('入力・概要'!$E$11*1E-9))</f>
        <v/>
      </c>
      <c r="F185" s="195">
        <f>IF(B185="","",SINH(2*D185)/(COSH(2*D185)+COS(2*E185)))</f>
        <v/>
      </c>
      <c r="G185" s="195">
        <f>IF(B185="","",SIN(2*E185)/(COSH(2*D185)+COS(2*E185)))</f>
        <v/>
      </c>
      <c r="H185" s="195">
        <f>IF(B185="","",ATANH(MIN(0.999999,'入力・概要'!$E$21/'入力・概要'!$E$15))+'入力・概要'!$B$21*SQRT(B185/1E6)+I185*'入力・概要'!$B$16/2)</f>
        <v/>
      </c>
      <c r="I185" s="195">
        <f>IF(B185="","",C185*('入力・概要'!$E$17*1E-9))</f>
        <v/>
      </c>
      <c r="J185" s="195">
        <f>IF(B185="","",SINH(2*H185)/(COSH(2*H185)+COS(2*I185)))</f>
        <v/>
      </c>
      <c r="K185" s="195">
        <f>IF(B185="","",SIN(2*I185)/(COSH(2*H185)+COS(2*I185)))</f>
        <v/>
      </c>
      <c r="L185" s="195">
        <f>IF(B185="","",'入力・概要'!$B$25)</f>
        <v/>
      </c>
      <c r="M185" s="195">
        <f>IF(B185="","",C185*'入力・概要'!$B$26*1E-9-1/(C185*'入力・概要'!$B$24*1E-6))</f>
        <v/>
      </c>
      <c r="N185" s="195">
        <f>IF(B185="","",'入力・概要'!$B$28)</f>
        <v/>
      </c>
      <c r="O185" s="195">
        <f>IF(B185="","",C185*'入力・概要'!$B$29*1E-9-1/(C185*'入力・概要'!$B$27*1E-6))</f>
        <v/>
      </c>
      <c r="P185" s="195">
        <f>IF(B185="","",((L185*N185-M185*O185)*(L185+N185)+(L185*O185+M185*N185)*(M185+O185))/((L185+N185)^2+(M185+O185)^2))</f>
        <v/>
      </c>
      <c r="Q185" s="195">
        <f>IF(B185="","",((L185*O185+M185*N185)*(L185+N185)-(L185*N185-M185*O185)*(M185+O185))/((L185+N185)^2+(M185+O185)^2))</f>
        <v/>
      </c>
      <c r="R185" s="195">
        <f>IF(B185="","",'入力・概要'!$E$15*J185)</f>
        <v/>
      </c>
      <c r="S185" s="195">
        <f>IF(B185="","",'入力・概要'!$E$15*K185)</f>
        <v/>
      </c>
      <c r="T185" s="195">
        <f>IF(B185="","",P185+R185)</f>
        <v/>
      </c>
      <c r="U185" s="195">
        <f>IF(B185="","",Q185+S185)</f>
        <v/>
      </c>
      <c r="V185" s="195">
        <f>IF(B185="","",T185+'入力・概要'!$E$9*F185)</f>
        <v/>
      </c>
      <c r="W185" s="195">
        <f>IF(B185="","",U185+'入力・概要'!$E$9*G185)</f>
        <v/>
      </c>
      <c r="X185" s="195">
        <f>IF(B185="","",'入力・概要'!$E$9+T185*F185-U185*G185)</f>
        <v/>
      </c>
      <c r="Y185" s="195">
        <f>IF(B185="","",T185*G185+U185*F185)</f>
        <v/>
      </c>
      <c r="Z185" s="195">
        <f>IF(B185="","",'入力・概要'!$E$9*(V185*X185+W185*Y185)/(X185^2+Y185^2)+'入力・概要'!$B$36)</f>
        <v/>
      </c>
      <c r="AA185" s="195">
        <f>IF(B185="","",'入力・概要'!$E$9*(W185*X185-V185*Y185)/(X185^2+Y185^2)+C185*'入力・概要'!$B$37*1E-9)</f>
        <v/>
      </c>
      <c r="AB185" s="195">
        <f>IF(B185="","",SQRT(Z185^2+AA185^2))</f>
        <v/>
      </c>
      <c r="AC185" s="195">
        <f>IF(B185="","",IF(Z185&gt;0,DEGREES(ATAN(AA185/Z185)),IF(Z185&lt;0,IF(AA185&gt;=0,DEGREES(ATAN(AA185/Z185))+180,DEGREES(ATAN(AA185/Z185))-180),IF(AA185&gt;0,90,IF(AA185&lt;0,-90,0)))))</f>
        <v/>
      </c>
      <c r="AD185" s="195">
        <f>IF(B185="","",LOG10(B185))</f>
        <v/>
      </c>
      <c r="AE185" s="195">
        <f>IF(AB185="","",LOG10(MAX(AB185,1E-12)))</f>
        <v/>
      </c>
      <c r="AF185" s="195">
        <f>IF(B185="","",SQRT(P185^2+Q185^2))</f>
        <v/>
      </c>
      <c r="AG185" s="195">
        <f>IF(B185="","",SQRT(R185^2+S185^2))</f>
        <v/>
      </c>
    </row>
    <row r="186">
      <c r="A186" t="n">
        <v>183</v>
      </c>
      <c r="B186" s="196">
        <f>IF(A186&lt;='入力・概要'!$B$40,10^(LOG10('入力・概要'!$B$38)+(A186-1)*(LOG10('入力・概要'!$B$39)-LOG10('入力・概要'!$B$38))/('入力・概要'!$B$40-1)),"")</f>
        <v/>
      </c>
      <c r="C186" s="195">
        <f>IF(B186="","",2*PI()*B186)</f>
        <v/>
      </c>
      <c r="D186" s="195">
        <f>IF(B186="","",ATANH(MIN(0.999999,'入力・概要'!$E$20/'入力・概要'!$E$9))+'入力・概要'!$B$20*SQRT(B186/1E6)+E186*'入力・概要'!$B$15/2)</f>
        <v/>
      </c>
      <c r="E186" s="195">
        <f>IF(B186="","",C186*('入力・概要'!$E$11*1E-9))</f>
        <v/>
      </c>
      <c r="F186" s="195">
        <f>IF(B186="","",SINH(2*D186)/(COSH(2*D186)+COS(2*E186)))</f>
        <v/>
      </c>
      <c r="G186" s="195">
        <f>IF(B186="","",SIN(2*E186)/(COSH(2*D186)+COS(2*E186)))</f>
        <v/>
      </c>
      <c r="H186" s="195">
        <f>IF(B186="","",ATANH(MIN(0.999999,'入力・概要'!$E$21/'入力・概要'!$E$15))+'入力・概要'!$B$21*SQRT(B186/1E6)+I186*'入力・概要'!$B$16/2)</f>
        <v/>
      </c>
      <c r="I186" s="195">
        <f>IF(B186="","",C186*('入力・概要'!$E$17*1E-9))</f>
        <v/>
      </c>
      <c r="J186" s="195">
        <f>IF(B186="","",SINH(2*H186)/(COSH(2*H186)+COS(2*I186)))</f>
        <v/>
      </c>
      <c r="K186" s="195">
        <f>IF(B186="","",SIN(2*I186)/(COSH(2*H186)+COS(2*I186)))</f>
        <v/>
      </c>
      <c r="L186" s="195">
        <f>IF(B186="","",'入力・概要'!$B$25)</f>
        <v/>
      </c>
      <c r="M186" s="195">
        <f>IF(B186="","",C186*'入力・概要'!$B$26*1E-9-1/(C186*'入力・概要'!$B$24*1E-6))</f>
        <v/>
      </c>
      <c r="N186" s="195">
        <f>IF(B186="","",'入力・概要'!$B$28)</f>
        <v/>
      </c>
      <c r="O186" s="195">
        <f>IF(B186="","",C186*'入力・概要'!$B$29*1E-9-1/(C186*'入力・概要'!$B$27*1E-6))</f>
        <v/>
      </c>
      <c r="P186" s="195">
        <f>IF(B186="","",((L186*N186-M186*O186)*(L186+N186)+(L186*O186+M186*N186)*(M186+O186))/((L186+N186)^2+(M186+O186)^2))</f>
        <v/>
      </c>
      <c r="Q186" s="195">
        <f>IF(B186="","",((L186*O186+M186*N186)*(L186+N186)-(L186*N186-M186*O186)*(M186+O186))/((L186+N186)^2+(M186+O186)^2))</f>
        <v/>
      </c>
      <c r="R186" s="195">
        <f>IF(B186="","",'入力・概要'!$E$15*J186)</f>
        <v/>
      </c>
      <c r="S186" s="195">
        <f>IF(B186="","",'入力・概要'!$E$15*K186)</f>
        <v/>
      </c>
      <c r="T186" s="195">
        <f>IF(B186="","",P186+R186)</f>
        <v/>
      </c>
      <c r="U186" s="195">
        <f>IF(B186="","",Q186+S186)</f>
        <v/>
      </c>
      <c r="V186" s="195">
        <f>IF(B186="","",T186+'入力・概要'!$E$9*F186)</f>
        <v/>
      </c>
      <c r="W186" s="195">
        <f>IF(B186="","",U186+'入力・概要'!$E$9*G186)</f>
        <v/>
      </c>
      <c r="X186" s="195">
        <f>IF(B186="","",'入力・概要'!$E$9+T186*F186-U186*G186)</f>
        <v/>
      </c>
      <c r="Y186" s="195">
        <f>IF(B186="","",T186*G186+U186*F186)</f>
        <v/>
      </c>
      <c r="Z186" s="195">
        <f>IF(B186="","",'入力・概要'!$E$9*(V186*X186+W186*Y186)/(X186^2+Y186^2)+'入力・概要'!$B$36)</f>
        <v/>
      </c>
      <c r="AA186" s="195">
        <f>IF(B186="","",'入力・概要'!$E$9*(W186*X186-V186*Y186)/(X186^2+Y186^2)+C186*'入力・概要'!$B$37*1E-9)</f>
        <v/>
      </c>
      <c r="AB186" s="195">
        <f>IF(B186="","",SQRT(Z186^2+AA186^2))</f>
        <v/>
      </c>
      <c r="AC186" s="195">
        <f>IF(B186="","",IF(Z186&gt;0,DEGREES(ATAN(AA186/Z186)),IF(Z186&lt;0,IF(AA186&gt;=0,DEGREES(ATAN(AA186/Z186))+180,DEGREES(ATAN(AA186/Z186))-180),IF(AA186&gt;0,90,IF(AA186&lt;0,-90,0)))))</f>
        <v/>
      </c>
      <c r="AD186" s="195">
        <f>IF(B186="","",LOG10(B186))</f>
        <v/>
      </c>
      <c r="AE186" s="195">
        <f>IF(AB186="","",LOG10(MAX(AB186,1E-12)))</f>
        <v/>
      </c>
      <c r="AF186" s="195">
        <f>IF(B186="","",SQRT(P186^2+Q186^2))</f>
        <v/>
      </c>
      <c r="AG186" s="195">
        <f>IF(B186="","",SQRT(R186^2+S186^2))</f>
        <v/>
      </c>
    </row>
    <row r="187">
      <c r="A187" t="n">
        <v>184</v>
      </c>
      <c r="B187" s="196">
        <f>IF(A187&lt;='入力・概要'!$B$40,10^(LOG10('入力・概要'!$B$38)+(A187-1)*(LOG10('入力・概要'!$B$39)-LOG10('入力・概要'!$B$38))/('入力・概要'!$B$40-1)),"")</f>
        <v/>
      </c>
      <c r="C187" s="195">
        <f>IF(B187="","",2*PI()*B187)</f>
        <v/>
      </c>
      <c r="D187" s="195">
        <f>IF(B187="","",ATANH(MIN(0.999999,'入力・概要'!$E$20/'入力・概要'!$E$9))+'入力・概要'!$B$20*SQRT(B187/1E6)+E187*'入力・概要'!$B$15/2)</f>
        <v/>
      </c>
      <c r="E187" s="195">
        <f>IF(B187="","",C187*('入力・概要'!$E$11*1E-9))</f>
        <v/>
      </c>
      <c r="F187" s="195">
        <f>IF(B187="","",SINH(2*D187)/(COSH(2*D187)+COS(2*E187)))</f>
        <v/>
      </c>
      <c r="G187" s="195">
        <f>IF(B187="","",SIN(2*E187)/(COSH(2*D187)+COS(2*E187)))</f>
        <v/>
      </c>
      <c r="H187" s="195">
        <f>IF(B187="","",ATANH(MIN(0.999999,'入力・概要'!$E$21/'入力・概要'!$E$15))+'入力・概要'!$B$21*SQRT(B187/1E6)+I187*'入力・概要'!$B$16/2)</f>
        <v/>
      </c>
      <c r="I187" s="195">
        <f>IF(B187="","",C187*('入力・概要'!$E$17*1E-9))</f>
        <v/>
      </c>
      <c r="J187" s="195">
        <f>IF(B187="","",SINH(2*H187)/(COSH(2*H187)+COS(2*I187)))</f>
        <v/>
      </c>
      <c r="K187" s="195">
        <f>IF(B187="","",SIN(2*I187)/(COSH(2*H187)+COS(2*I187)))</f>
        <v/>
      </c>
      <c r="L187" s="195">
        <f>IF(B187="","",'入力・概要'!$B$25)</f>
        <v/>
      </c>
      <c r="M187" s="195">
        <f>IF(B187="","",C187*'入力・概要'!$B$26*1E-9-1/(C187*'入力・概要'!$B$24*1E-6))</f>
        <v/>
      </c>
      <c r="N187" s="195">
        <f>IF(B187="","",'入力・概要'!$B$28)</f>
        <v/>
      </c>
      <c r="O187" s="195">
        <f>IF(B187="","",C187*'入力・概要'!$B$29*1E-9-1/(C187*'入力・概要'!$B$27*1E-6))</f>
        <v/>
      </c>
      <c r="P187" s="195">
        <f>IF(B187="","",((L187*N187-M187*O187)*(L187+N187)+(L187*O187+M187*N187)*(M187+O187))/((L187+N187)^2+(M187+O187)^2))</f>
        <v/>
      </c>
      <c r="Q187" s="195">
        <f>IF(B187="","",((L187*O187+M187*N187)*(L187+N187)-(L187*N187-M187*O187)*(M187+O187))/((L187+N187)^2+(M187+O187)^2))</f>
        <v/>
      </c>
      <c r="R187" s="195">
        <f>IF(B187="","",'入力・概要'!$E$15*J187)</f>
        <v/>
      </c>
      <c r="S187" s="195">
        <f>IF(B187="","",'入力・概要'!$E$15*K187)</f>
        <v/>
      </c>
      <c r="T187" s="195">
        <f>IF(B187="","",P187+R187)</f>
        <v/>
      </c>
      <c r="U187" s="195">
        <f>IF(B187="","",Q187+S187)</f>
        <v/>
      </c>
      <c r="V187" s="195">
        <f>IF(B187="","",T187+'入力・概要'!$E$9*F187)</f>
        <v/>
      </c>
      <c r="W187" s="195">
        <f>IF(B187="","",U187+'入力・概要'!$E$9*G187)</f>
        <v/>
      </c>
      <c r="X187" s="195">
        <f>IF(B187="","",'入力・概要'!$E$9+T187*F187-U187*G187)</f>
        <v/>
      </c>
      <c r="Y187" s="195">
        <f>IF(B187="","",T187*G187+U187*F187)</f>
        <v/>
      </c>
      <c r="Z187" s="195">
        <f>IF(B187="","",'入力・概要'!$E$9*(V187*X187+W187*Y187)/(X187^2+Y187^2)+'入力・概要'!$B$36)</f>
        <v/>
      </c>
      <c r="AA187" s="195">
        <f>IF(B187="","",'入力・概要'!$E$9*(W187*X187-V187*Y187)/(X187^2+Y187^2)+C187*'入力・概要'!$B$37*1E-9)</f>
        <v/>
      </c>
      <c r="AB187" s="195">
        <f>IF(B187="","",SQRT(Z187^2+AA187^2))</f>
        <v/>
      </c>
      <c r="AC187" s="195">
        <f>IF(B187="","",IF(Z187&gt;0,DEGREES(ATAN(AA187/Z187)),IF(Z187&lt;0,IF(AA187&gt;=0,DEGREES(ATAN(AA187/Z187))+180,DEGREES(ATAN(AA187/Z187))-180),IF(AA187&gt;0,90,IF(AA187&lt;0,-90,0)))))</f>
        <v/>
      </c>
      <c r="AD187" s="195">
        <f>IF(B187="","",LOG10(B187))</f>
        <v/>
      </c>
      <c r="AE187" s="195">
        <f>IF(AB187="","",LOG10(MAX(AB187,1E-12)))</f>
        <v/>
      </c>
      <c r="AF187" s="195">
        <f>IF(B187="","",SQRT(P187^2+Q187^2))</f>
        <v/>
      </c>
      <c r="AG187" s="195">
        <f>IF(B187="","",SQRT(R187^2+S187^2))</f>
        <v/>
      </c>
    </row>
    <row r="188">
      <c r="A188" t="n">
        <v>185</v>
      </c>
      <c r="B188" s="196">
        <f>IF(A188&lt;='入力・概要'!$B$40,10^(LOG10('入力・概要'!$B$38)+(A188-1)*(LOG10('入力・概要'!$B$39)-LOG10('入力・概要'!$B$38))/('入力・概要'!$B$40-1)),"")</f>
        <v/>
      </c>
      <c r="C188" s="195">
        <f>IF(B188="","",2*PI()*B188)</f>
        <v/>
      </c>
      <c r="D188" s="195">
        <f>IF(B188="","",ATANH(MIN(0.999999,'入力・概要'!$E$20/'入力・概要'!$E$9))+'入力・概要'!$B$20*SQRT(B188/1E6)+E188*'入力・概要'!$B$15/2)</f>
        <v/>
      </c>
      <c r="E188" s="195">
        <f>IF(B188="","",C188*('入力・概要'!$E$11*1E-9))</f>
        <v/>
      </c>
      <c r="F188" s="195">
        <f>IF(B188="","",SINH(2*D188)/(COSH(2*D188)+COS(2*E188)))</f>
        <v/>
      </c>
      <c r="G188" s="195">
        <f>IF(B188="","",SIN(2*E188)/(COSH(2*D188)+COS(2*E188)))</f>
        <v/>
      </c>
      <c r="H188" s="195">
        <f>IF(B188="","",ATANH(MIN(0.999999,'入力・概要'!$E$21/'入力・概要'!$E$15))+'入力・概要'!$B$21*SQRT(B188/1E6)+I188*'入力・概要'!$B$16/2)</f>
        <v/>
      </c>
      <c r="I188" s="195">
        <f>IF(B188="","",C188*('入力・概要'!$E$17*1E-9))</f>
        <v/>
      </c>
      <c r="J188" s="195">
        <f>IF(B188="","",SINH(2*H188)/(COSH(2*H188)+COS(2*I188)))</f>
        <v/>
      </c>
      <c r="K188" s="195">
        <f>IF(B188="","",SIN(2*I188)/(COSH(2*H188)+COS(2*I188)))</f>
        <v/>
      </c>
      <c r="L188" s="195">
        <f>IF(B188="","",'入力・概要'!$B$25)</f>
        <v/>
      </c>
      <c r="M188" s="195">
        <f>IF(B188="","",C188*'入力・概要'!$B$26*1E-9-1/(C188*'入力・概要'!$B$24*1E-6))</f>
        <v/>
      </c>
      <c r="N188" s="195">
        <f>IF(B188="","",'入力・概要'!$B$28)</f>
        <v/>
      </c>
      <c r="O188" s="195">
        <f>IF(B188="","",C188*'入力・概要'!$B$29*1E-9-1/(C188*'入力・概要'!$B$27*1E-6))</f>
        <v/>
      </c>
      <c r="P188" s="195">
        <f>IF(B188="","",((L188*N188-M188*O188)*(L188+N188)+(L188*O188+M188*N188)*(M188+O188))/((L188+N188)^2+(M188+O188)^2))</f>
        <v/>
      </c>
      <c r="Q188" s="195">
        <f>IF(B188="","",((L188*O188+M188*N188)*(L188+N188)-(L188*N188-M188*O188)*(M188+O188))/((L188+N188)^2+(M188+O188)^2))</f>
        <v/>
      </c>
      <c r="R188" s="195">
        <f>IF(B188="","",'入力・概要'!$E$15*J188)</f>
        <v/>
      </c>
      <c r="S188" s="195">
        <f>IF(B188="","",'入力・概要'!$E$15*K188)</f>
        <v/>
      </c>
      <c r="T188" s="195">
        <f>IF(B188="","",P188+R188)</f>
        <v/>
      </c>
      <c r="U188" s="195">
        <f>IF(B188="","",Q188+S188)</f>
        <v/>
      </c>
      <c r="V188" s="195">
        <f>IF(B188="","",T188+'入力・概要'!$E$9*F188)</f>
        <v/>
      </c>
      <c r="W188" s="195">
        <f>IF(B188="","",U188+'入力・概要'!$E$9*G188)</f>
        <v/>
      </c>
      <c r="X188" s="195">
        <f>IF(B188="","",'入力・概要'!$E$9+T188*F188-U188*G188)</f>
        <v/>
      </c>
      <c r="Y188" s="195">
        <f>IF(B188="","",T188*G188+U188*F188)</f>
        <v/>
      </c>
      <c r="Z188" s="195">
        <f>IF(B188="","",'入力・概要'!$E$9*(V188*X188+W188*Y188)/(X188^2+Y188^2)+'入力・概要'!$B$36)</f>
        <v/>
      </c>
      <c r="AA188" s="195">
        <f>IF(B188="","",'入力・概要'!$E$9*(W188*X188-V188*Y188)/(X188^2+Y188^2)+C188*'入力・概要'!$B$37*1E-9)</f>
        <v/>
      </c>
      <c r="AB188" s="195">
        <f>IF(B188="","",SQRT(Z188^2+AA188^2))</f>
        <v/>
      </c>
      <c r="AC188" s="195">
        <f>IF(B188="","",IF(Z188&gt;0,DEGREES(ATAN(AA188/Z188)),IF(Z188&lt;0,IF(AA188&gt;=0,DEGREES(ATAN(AA188/Z188))+180,DEGREES(ATAN(AA188/Z188))-180),IF(AA188&gt;0,90,IF(AA188&lt;0,-90,0)))))</f>
        <v/>
      </c>
      <c r="AD188" s="195">
        <f>IF(B188="","",LOG10(B188))</f>
        <v/>
      </c>
      <c r="AE188" s="195">
        <f>IF(AB188="","",LOG10(MAX(AB188,1E-12)))</f>
        <v/>
      </c>
      <c r="AF188" s="195">
        <f>IF(B188="","",SQRT(P188^2+Q188^2))</f>
        <v/>
      </c>
      <c r="AG188" s="195">
        <f>IF(B188="","",SQRT(R188^2+S188^2))</f>
        <v/>
      </c>
    </row>
    <row r="189">
      <c r="A189" t="n">
        <v>186</v>
      </c>
      <c r="B189" s="196">
        <f>IF(A189&lt;='入力・概要'!$B$40,10^(LOG10('入力・概要'!$B$38)+(A189-1)*(LOG10('入力・概要'!$B$39)-LOG10('入力・概要'!$B$38))/('入力・概要'!$B$40-1)),"")</f>
        <v/>
      </c>
      <c r="C189" s="195">
        <f>IF(B189="","",2*PI()*B189)</f>
        <v/>
      </c>
      <c r="D189" s="195">
        <f>IF(B189="","",ATANH(MIN(0.999999,'入力・概要'!$E$20/'入力・概要'!$E$9))+'入力・概要'!$B$20*SQRT(B189/1E6)+E189*'入力・概要'!$B$15/2)</f>
        <v/>
      </c>
      <c r="E189" s="195">
        <f>IF(B189="","",C189*('入力・概要'!$E$11*1E-9))</f>
        <v/>
      </c>
      <c r="F189" s="195">
        <f>IF(B189="","",SINH(2*D189)/(COSH(2*D189)+COS(2*E189)))</f>
        <v/>
      </c>
      <c r="G189" s="195">
        <f>IF(B189="","",SIN(2*E189)/(COSH(2*D189)+COS(2*E189)))</f>
        <v/>
      </c>
      <c r="H189" s="195">
        <f>IF(B189="","",ATANH(MIN(0.999999,'入力・概要'!$E$21/'入力・概要'!$E$15))+'入力・概要'!$B$21*SQRT(B189/1E6)+I189*'入力・概要'!$B$16/2)</f>
        <v/>
      </c>
      <c r="I189" s="195">
        <f>IF(B189="","",C189*('入力・概要'!$E$17*1E-9))</f>
        <v/>
      </c>
      <c r="J189" s="195">
        <f>IF(B189="","",SINH(2*H189)/(COSH(2*H189)+COS(2*I189)))</f>
        <v/>
      </c>
      <c r="K189" s="195">
        <f>IF(B189="","",SIN(2*I189)/(COSH(2*H189)+COS(2*I189)))</f>
        <v/>
      </c>
      <c r="L189" s="195">
        <f>IF(B189="","",'入力・概要'!$B$25)</f>
        <v/>
      </c>
      <c r="M189" s="195">
        <f>IF(B189="","",C189*'入力・概要'!$B$26*1E-9-1/(C189*'入力・概要'!$B$24*1E-6))</f>
        <v/>
      </c>
      <c r="N189" s="195">
        <f>IF(B189="","",'入力・概要'!$B$28)</f>
        <v/>
      </c>
      <c r="O189" s="195">
        <f>IF(B189="","",C189*'入力・概要'!$B$29*1E-9-1/(C189*'入力・概要'!$B$27*1E-6))</f>
        <v/>
      </c>
      <c r="P189" s="195">
        <f>IF(B189="","",((L189*N189-M189*O189)*(L189+N189)+(L189*O189+M189*N189)*(M189+O189))/((L189+N189)^2+(M189+O189)^2))</f>
        <v/>
      </c>
      <c r="Q189" s="195">
        <f>IF(B189="","",((L189*O189+M189*N189)*(L189+N189)-(L189*N189-M189*O189)*(M189+O189))/((L189+N189)^2+(M189+O189)^2))</f>
        <v/>
      </c>
      <c r="R189" s="195">
        <f>IF(B189="","",'入力・概要'!$E$15*J189)</f>
        <v/>
      </c>
      <c r="S189" s="195">
        <f>IF(B189="","",'入力・概要'!$E$15*K189)</f>
        <v/>
      </c>
      <c r="T189" s="195">
        <f>IF(B189="","",P189+R189)</f>
        <v/>
      </c>
      <c r="U189" s="195">
        <f>IF(B189="","",Q189+S189)</f>
        <v/>
      </c>
      <c r="V189" s="195">
        <f>IF(B189="","",T189+'入力・概要'!$E$9*F189)</f>
        <v/>
      </c>
      <c r="W189" s="195">
        <f>IF(B189="","",U189+'入力・概要'!$E$9*G189)</f>
        <v/>
      </c>
      <c r="X189" s="195">
        <f>IF(B189="","",'入力・概要'!$E$9+T189*F189-U189*G189)</f>
        <v/>
      </c>
      <c r="Y189" s="195">
        <f>IF(B189="","",T189*G189+U189*F189)</f>
        <v/>
      </c>
      <c r="Z189" s="195">
        <f>IF(B189="","",'入力・概要'!$E$9*(V189*X189+W189*Y189)/(X189^2+Y189^2)+'入力・概要'!$B$36)</f>
        <v/>
      </c>
      <c r="AA189" s="195">
        <f>IF(B189="","",'入力・概要'!$E$9*(W189*X189-V189*Y189)/(X189^2+Y189^2)+C189*'入力・概要'!$B$37*1E-9)</f>
        <v/>
      </c>
      <c r="AB189" s="195">
        <f>IF(B189="","",SQRT(Z189^2+AA189^2))</f>
        <v/>
      </c>
      <c r="AC189" s="195">
        <f>IF(B189="","",IF(Z189&gt;0,DEGREES(ATAN(AA189/Z189)),IF(Z189&lt;0,IF(AA189&gt;=0,DEGREES(ATAN(AA189/Z189))+180,DEGREES(ATAN(AA189/Z189))-180),IF(AA189&gt;0,90,IF(AA189&lt;0,-90,0)))))</f>
        <v/>
      </c>
      <c r="AD189" s="195">
        <f>IF(B189="","",LOG10(B189))</f>
        <v/>
      </c>
      <c r="AE189" s="195">
        <f>IF(AB189="","",LOG10(MAX(AB189,1E-12)))</f>
        <v/>
      </c>
      <c r="AF189" s="195">
        <f>IF(B189="","",SQRT(P189^2+Q189^2))</f>
        <v/>
      </c>
      <c r="AG189" s="195">
        <f>IF(B189="","",SQRT(R189^2+S189^2))</f>
        <v/>
      </c>
    </row>
    <row r="190">
      <c r="A190" t="n">
        <v>187</v>
      </c>
      <c r="B190" s="196">
        <f>IF(A190&lt;='入力・概要'!$B$40,10^(LOG10('入力・概要'!$B$38)+(A190-1)*(LOG10('入力・概要'!$B$39)-LOG10('入力・概要'!$B$38))/('入力・概要'!$B$40-1)),"")</f>
        <v/>
      </c>
      <c r="C190" s="195">
        <f>IF(B190="","",2*PI()*B190)</f>
        <v/>
      </c>
      <c r="D190" s="195">
        <f>IF(B190="","",ATANH(MIN(0.999999,'入力・概要'!$E$20/'入力・概要'!$E$9))+'入力・概要'!$B$20*SQRT(B190/1E6)+E190*'入力・概要'!$B$15/2)</f>
        <v/>
      </c>
      <c r="E190" s="195">
        <f>IF(B190="","",C190*('入力・概要'!$E$11*1E-9))</f>
        <v/>
      </c>
      <c r="F190" s="195">
        <f>IF(B190="","",SINH(2*D190)/(COSH(2*D190)+COS(2*E190)))</f>
        <v/>
      </c>
      <c r="G190" s="195">
        <f>IF(B190="","",SIN(2*E190)/(COSH(2*D190)+COS(2*E190)))</f>
        <v/>
      </c>
      <c r="H190" s="195">
        <f>IF(B190="","",ATANH(MIN(0.999999,'入力・概要'!$E$21/'入力・概要'!$E$15))+'入力・概要'!$B$21*SQRT(B190/1E6)+I190*'入力・概要'!$B$16/2)</f>
        <v/>
      </c>
      <c r="I190" s="195">
        <f>IF(B190="","",C190*('入力・概要'!$E$17*1E-9))</f>
        <v/>
      </c>
      <c r="J190" s="195">
        <f>IF(B190="","",SINH(2*H190)/(COSH(2*H190)+COS(2*I190)))</f>
        <v/>
      </c>
      <c r="K190" s="195">
        <f>IF(B190="","",SIN(2*I190)/(COSH(2*H190)+COS(2*I190)))</f>
        <v/>
      </c>
      <c r="L190" s="195">
        <f>IF(B190="","",'入力・概要'!$B$25)</f>
        <v/>
      </c>
      <c r="M190" s="195">
        <f>IF(B190="","",C190*'入力・概要'!$B$26*1E-9-1/(C190*'入力・概要'!$B$24*1E-6))</f>
        <v/>
      </c>
      <c r="N190" s="195">
        <f>IF(B190="","",'入力・概要'!$B$28)</f>
        <v/>
      </c>
      <c r="O190" s="195">
        <f>IF(B190="","",C190*'入力・概要'!$B$29*1E-9-1/(C190*'入力・概要'!$B$27*1E-6))</f>
        <v/>
      </c>
      <c r="P190" s="195">
        <f>IF(B190="","",((L190*N190-M190*O190)*(L190+N190)+(L190*O190+M190*N190)*(M190+O190))/((L190+N190)^2+(M190+O190)^2))</f>
        <v/>
      </c>
      <c r="Q190" s="195">
        <f>IF(B190="","",((L190*O190+M190*N190)*(L190+N190)-(L190*N190-M190*O190)*(M190+O190))/((L190+N190)^2+(M190+O190)^2))</f>
        <v/>
      </c>
      <c r="R190" s="195">
        <f>IF(B190="","",'入力・概要'!$E$15*J190)</f>
        <v/>
      </c>
      <c r="S190" s="195">
        <f>IF(B190="","",'入力・概要'!$E$15*K190)</f>
        <v/>
      </c>
      <c r="T190" s="195">
        <f>IF(B190="","",P190+R190)</f>
        <v/>
      </c>
      <c r="U190" s="195">
        <f>IF(B190="","",Q190+S190)</f>
        <v/>
      </c>
      <c r="V190" s="195">
        <f>IF(B190="","",T190+'入力・概要'!$E$9*F190)</f>
        <v/>
      </c>
      <c r="W190" s="195">
        <f>IF(B190="","",U190+'入力・概要'!$E$9*G190)</f>
        <v/>
      </c>
      <c r="X190" s="195">
        <f>IF(B190="","",'入力・概要'!$E$9+T190*F190-U190*G190)</f>
        <v/>
      </c>
      <c r="Y190" s="195">
        <f>IF(B190="","",T190*G190+U190*F190)</f>
        <v/>
      </c>
      <c r="Z190" s="195">
        <f>IF(B190="","",'入力・概要'!$E$9*(V190*X190+W190*Y190)/(X190^2+Y190^2)+'入力・概要'!$B$36)</f>
        <v/>
      </c>
      <c r="AA190" s="195">
        <f>IF(B190="","",'入力・概要'!$E$9*(W190*X190-V190*Y190)/(X190^2+Y190^2)+C190*'入力・概要'!$B$37*1E-9)</f>
        <v/>
      </c>
      <c r="AB190" s="195">
        <f>IF(B190="","",SQRT(Z190^2+AA190^2))</f>
        <v/>
      </c>
      <c r="AC190" s="195">
        <f>IF(B190="","",IF(Z190&gt;0,DEGREES(ATAN(AA190/Z190)),IF(Z190&lt;0,IF(AA190&gt;=0,DEGREES(ATAN(AA190/Z190))+180,DEGREES(ATAN(AA190/Z190))-180),IF(AA190&gt;0,90,IF(AA190&lt;0,-90,0)))))</f>
        <v/>
      </c>
      <c r="AD190" s="195">
        <f>IF(B190="","",LOG10(B190))</f>
        <v/>
      </c>
      <c r="AE190" s="195">
        <f>IF(AB190="","",LOG10(MAX(AB190,1E-12)))</f>
        <v/>
      </c>
      <c r="AF190" s="195">
        <f>IF(B190="","",SQRT(P190^2+Q190^2))</f>
        <v/>
      </c>
      <c r="AG190" s="195">
        <f>IF(B190="","",SQRT(R190^2+S190^2))</f>
        <v/>
      </c>
    </row>
    <row r="191">
      <c r="A191" t="n">
        <v>188</v>
      </c>
      <c r="B191" s="196">
        <f>IF(A191&lt;='入力・概要'!$B$40,10^(LOG10('入力・概要'!$B$38)+(A191-1)*(LOG10('入力・概要'!$B$39)-LOG10('入力・概要'!$B$38))/('入力・概要'!$B$40-1)),"")</f>
        <v/>
      </c>
      <c r="C191" s="195">
        <f>IF(B191="","",2*PI()*B191)</f>
        <v/>
      </c>
      <c r="D191" s="195">
        <f>IF(B191="","",ATANH(MIN(0.999999,'入力・概要'!$E$20/'入力・概要'!$E$9))+'入力・概要'!$B$20*SQRT(B191/1E6)+E191*'入力・概要'!$B$15/2)</f>
        <v/>
      </c>
      <c r="E191" s="195">
        <f>IF(B191="","",C191*('入力・概要'!$E$11*1E-9))</f>
        <v/>
      </c>
      <c r="F191" s="195">
        <f>IF(B191="","",SINH(2*D191)/(COSH(2*D191)+COS(2*E191)))</f>
        <v/>
      </c>
      <c r="G191" s="195">
        <f>IF(B191="","",SIN(2*E191)/(COSH(2*D191)+COS(2*E191)))</f>
        <v/>
      </c>
      <c r="H191" s="195">
        <f>IF(B191="","",ATANH(MIN(0.999999,'入力・概要'!$E$21/'入力・概要'!$E$15))+'入力・概要'!$B$21*SQRT(B191/1E6)+I191*'入力・概要'!$B$16/2)</f>
        <v/>
      </c>
      <c r="I191" s="195">
        <f>IF(B191="","",C191*('入力・概要'!$E$17*1E-9))</f>
        <v/>
      </c>
      <c r="J191" s="195">
        <f>IF(B191="","",SINH(2*H191)/(COSH(2*H191)+COS(2*I191)))</f>
        <v/>
      </c>
      <c r="K191" s="195">
        <f>IF(B191="","",SIN(2*I191)/(COSH(2*H191)+COS(2*I191)))</f>
        <v/>
      </c>
      <c r="L191" s="195">
        <f>IF(B191="","",'入力・概要'!$B$25)</f>
        <v/>
      </c>
      <c r="M191" s="195">
        <f>IF(B191="","",C191*'入力・概要'!$B$26*1E-9-1/(C191*'入力・概要'!$B$24*1E-6))</f>
        <v/>
      </c>
      <c r="N191" s="195">
        <f>IF(B191="","",'入力・概要'!$B$28)</f>
        <v/>
      </c>
      <c r="O191" s="195">
        <f>IF(B191="","",C191*'入力・概要'!$B$29*1E-9-1/(C191*'入力・概要'!$B$27*1E-6))</f>
        <v/>
      </c>
      <c r="P191" s="195">
        <f>IF(B191="","",((L191*N191-M191*O191)*(L191+N191)+(L191*O191+M191*N191)*(M191+O191))/((L191+N191)^2+(M191+O191)^2))</f>
        <v/>
      </c>
      <c r="Q191" s="195">
        <f>IF(B191="","",((L191*O191+M191*N191)*(L191+N191)-(L191*N191-M191*O191)*(M191+O191))/((L191+N191)^2+(M191+O191)^2))</f>
        <v/>
      </c>
      <c r="R191" s="195">
        <f>IF(B191="","",'入力・概要'!$E$15*J191)</f>
        <v/>
      </c>
      <c r="S191" s="195">
        <f>IF(B191="","",'入力・概要'!$E$15*K191)</f>
        <v/>
      </c>
      <c r="T191" s="195">
        <f>IF(B191="","",P191+R191)</f>
        <v/>
      </c>
      <c r="U191" s="195">
        <f>IF(B191="","",Q191+S191)</f>
        <v/>
      </c>
      <c r="V191" s="195">
        <f>IF(B191="","",T191+'入力・概要'!$E$9*F191)</f>
        <v/>
      </c>
      <c r="W191" s="195">
        <f>IF(B191="","",U191+'入力・概要'!$E$9*G191)</f>
        <v/>
      </c>
      <c r="X191" s="195">
        <f>IF(B191="","",'入力・概要'!$E$9+T191*F191-U191*G191)</f>
        <v/>
      </c>
      <c r="Y191" s="195">
        <f>IF(B191="","",T191*G191+U191*F191)</f>
        <v/>
      </c>
      <c r="Z191" s="195">
        <f>IF(B191="","",'入力・概要'!$E$9*(V191*X191+W191*Y191)/(X191^2+Y191^2)+'入力・概要'!$B$36)</f>
        <v/>
      </c>
      <c r="AA191" s="195">
        <f>IF(B191="","",'入力・概要'!$E$9*(W191*X191-V191*Y191)/(X191^2+Y191^2)+C191*'入力・概要'!$B$37*1E-9)</f>
        <v/>
      </c>
      <c r="AB191" s="195">
        <f>IF(B191="","",SQRT(Z191^2+AA191^2))</f>
        <v/>
      </c>
      <c r="AC191" s="195">
        <f>IF(B191="","",IF(Z191&gt;0,DEGREES(ATAN(AA191/Z191)),IF(Z191&lt;0,IF(AA191&gt;=0,DEGREES(ATAN(AA191/Z191))+180,DEGREES(ATAN(AA191/Z191))-180),IF(AA191&gt;0,90,IF(AA191&lt;0,-90,0)))))</f>
        <v/>
      </c>
      <c r="AD191" s="195">
        <f>IF(B191="","",LOG10(B191))</f>
        <v/>
      </c>
      <c r="AE191" s="195">
        <f>IF(AB191="","",LOG10(MAX(AB191,1E-12)))</f>
        <v/>
      </c>
      <c r="AF191" s="195">
        <f>IF(B191="","",SQRT(P191^2+Q191^2))</f>
        <v/>
      </c>
      <c r="AG191" s="195">
        <f>IF(B191="","",SQRT(R191^2+S191^2))</f>
        <v/>
      </c>
    </row>
    <row r="192">
      <c r="A192" t="n">
        <v>189</v>
      </c>
      <c r="B192" s="196">
        <f>IF(A192&lt;='入力・概要'!$B$40,10^(LOG10('入力・概要'!$B$38)+(A192-1)*(LOG10('入力・概要'!$B$39)-LOG10('入力・概要'!$B$38))/('入力・概要'!$B$40-1)),"")</f>
        <v/>
      </c>
      <c r="C192" s="195">
        <f>IF(B192="","",2*PI()*B192)</f>
        <v/>
      </c>
      <c r="D192" s="195">
        <f>IF(B192="","",ATANH(MIN(0.999999,'入力・概要'!$E$20/'入力・概要'!$E$9))+'入力・概要'!$B$20*SQRT(B192/1E6)+E192*'入力・概要'!$B$15/2)</f>
        <v/>
      </c>
      <c r="E192" s="195">
        <f>IF(B192="","",C192*('入力・概要'!$E$11*1E-9))</f>
        <v/>
      </c>
      <c r="F192" s="195">
        <f>IF(B192="","",SINH(2*D192)/(COSH(2*D192)+COS(2*E192)))</f>
        <v/>
      </c>
      <c r="G192" s="195">
        <f>IF(B192="","",SIN(2*E192)/(COSH(2*D192)+COS(2*E192)))</f>
        <v/>
      </c>
      <c r="H192" s="195">
        <f>IF(B192="","",ATANH(MIN(0.999999,'入力・概要'!$E$21/'入力・概要'!$E$15))+'入力・概要'!$B$21*SQRT(B192/1E6)+I192*'入力・概要'!$B$16/2)</f>
        <v/>
      </c>
      <c r="I192" s="195">
        <f>IF(B192="","",C192*('入力・概要'!$E$17*1E-9))</f>
        <v/>
      </c>
      <c r="J192" s="195">
        <f>IF(B192="","",SINH(2*H192)/(COSH(2*H192)+COS(2*I192)))</f>
        <v/>
      </c>
      <c r="K192" s="195">
        <f>IF(B192="","",SIN(2*I192)/(COSH(2*H192)+COS(2*I192)))</f>
        <v/>
      </c>
      <c r="L192" s="195">
        <f>IF(B192="","",'入力・概要'!$B$25)</f>
        <v/>
      </c>
      <c r="M192" s="195">
        <f>IF(B192="","",C192*'入力・概要'!$B$26*1E-9-1/(C192*'入力・概要'!$B$24*1E-6))</f>
        <v/>
      </c>
      <c r="N192" s="195">
        <f>IF(B192="","",'入力・概要'!$B$28)</f>
        <v/>
      </c>
      <c r="O192" s="195">
        <f>IF(B192="","",C192*'入力・概要'!$B$29*1E-9-1/(C192*'入力・概要'!$B$27*1E-6))</f>
        <v/>
      </c>
      <c r="P192" s="195">
        <f>IF(B192="","",((L192*N192-M192*O192)*(L192+N192)+(L192*O192+M192*N192)*(M192+O192))/((L192+N192)^2+(M192+O192)^2))</f>
        <v/>
      </c>
      <c r="Q192" s="195">
        <f>IF(B192="","",((L192*O192+M192*N192)*(L192+N192)-(L192*N192-M192*O192)*(M192+O192))/((L192+N192)^2+(M192+O192)^2))</f>
        <v/>
      </c>
      <c r="R192" s="195">
        <f>IF(B192="","",'入力・概要'!$E$15*J192)</f>
        <v/>
      </c>
      <c r="S192" s="195">
        <f>IF(B192="","",'入力・概要'!$E$15*K192)</f>
        <v/>
      </c>
      <c r="T192" s="195">
        <f>IF(B192="","",P192+R192)</f>
        <v/>
      </c>
      <c r="U192" s="195">
        <f>IF(B192="","",Q192+S192)</f>
        <v/>
      </c>
      <c r="V192" s="195">
        <f>IF(B192="","",T192+'入力・概要'!$E$9*F192)</f>
        <v/>
      </c>
      <c r="W192" s="195">
        <f>IF(B192="","",U192+'入力・概要'!$E$9*G192)</f>
        <v/>
      </c>
      <c r="X192" s="195">
        <f>IF(B192="","",'入力・概要'!$E$9+T192*F192-U192*G192)</f>
        <v/>
      </c>
      <c r="Y192" s="195">
        <f>IF(B192="","",T192*G192+U192*F192)</f>
        <v/>
      </c>
      <c r="Z192" s="195">
        <f>IF(B192="","",'入力・概要'!$E$9*(V192*X192+W192*Y192)/(X192^2+Y192^2)+'入力・概要'!$B$36)</f>
        <v/>
      </c>
      <c r="AA192" s="195">
        <f>IF(B192="","",'入力・概要'!$E$9*(W192*X192-V192*Y192)/(X192^2+Y192^2)+C192*'入力・概要'!$B$37*1E-9)</f>
        <v/>
      </c>
      <c r="AB192" s="195">
        <f>IF(B192="","",SQRT(Z192^2+AA192^2))</f>
        <v/>
      </c>
      <c r="AC192" s="195">
        <f>IF(B192="","",IF(Z192&gt;0,DEGREES(ATAN(AA192/Z192)),IF(Z192&lt;0,IF(AA192&gt;=0,DEGREES(ATAN(AA192/Z192))+180,DEGREES(ATAN(AA192/Z192))-180),IF(AA192&gt;0,90,IF(AA192&lt;0,-90,0)))))</f>
        <v/>
      </c>
      <c r="AD192" s="195">
        <f>IF(B192="","",LOG10(B192))</f>
        <v/>
      </c>
      <c r="AE192" s="195">
        <f>IF(AB192="","",LOG10(MAX(AB192,1E-12)))</f>
        <v/>
      </c>
      <c r="AF192" s="195">
        <f>IF(B192="","",SQRT(P192^2+Q192^2))</f>
        <v/>
      </c>
      <c r="AG192" s="195">
        <f>IF(B192="","",SQRT(R192^2+S192^2))</f>
        <v/>
      </c>
    </row>
    <row r="193">
      <c r="A193" t="n">
        <v>190</v>
      </c>
      <c r="B193" s="196">
        <f>IF(A193&lt;='入力・概要'!$B$40,10^(LOG10('入力・概要'!$B$38)+(A193-1)*(LOG10('入力・概要'!$B$39)-LOG10('入力・概要'!$B$38))/('入力・概要'!$B$40-1)),"")</f>
        <v/>
      </c>
      <c r="C193" s="195">
        <f>IF(B193="","",2*PI()*B193)</f>
        <v/>
      </c>
      <c r="D193" s="195">
        <f>IF(B193="","",ATANH(MIN(0.999999,'入力・概要'!$E$20/'入力・概要'!$E$9))+'入力・概要'!$B$20*SQRT(B193/1E6)+E193*'入力・概要'!$B$15/2)</f>
        <v/>
      </c>
      <c r="E193" s="195">
        <f>IF(B193="","",C193*('入力・概要'!$E$11*1E-9))</f>
        <v/>
      </c>
      <c r="F193" s="195">
        <f>IF(B193="","",SINH(2*D193)/(COSH(2*D193)+COS(2*E193)))</f>
        <v/>
      </c>
      <c r="G193" s="195">
        <f>IF(B193="","",SIN(2*E193)/(COSH(2*D193)+COS(2*E193)))</f>
        <v/>
      </c>
      <c r="H193" s="195">
        <f>IF(B193="","",ATANH(MIN(0.999999,'入力・概要'!$E$21/'入力・概要'!$E$15))+'入力・概要'!$B$21*SQRT(B193/1E6)+I193*'入力・概要'!$B$16/2)</f>
        <v/>
      </c>
      <c r="I193" s="195">
        <f>IF(B193="","",C193*('入力・概要'!$E$17*1E-9))</f>
        <v/>
      </c>
      <c r="J193" s="195">
        <f>IF(B193="","",SINH(2*H193)/(COSH(2*H193)+COS(2*I193)))</f>
        <v/>
      </c>
      <c r="K193" s="195">
        <f>IF(B193="","",SIN(2*I193)/(COSH(2*H193)+COS(2*I193)))</f>
        <v/>
      </c>
      <c r="L193" s="195">
        <f>IF(B193="","",'入力・概要'!$B$25)</f>
        <v/>
      </c>
      <c r="M193" s="195">
        <f>IF(B193="","",C193*'入力・概要'!$B$26*1E-9-1/(C193*'入力・概要'!$B$24*1E-6))</f>
        <v/>
      </c>
      <c r="N193" s="195">
        <f>IF(B193="","",'入力・概要'!$B$28)</f>
        <v/>
      </c>
      <c r="O193" s="195">
        <f>IF(B193="","",C193*'入力・概要'!$B$29*1E-9-1/(C193*'入力・概要'!$B$27*1E-6))</f>
        <v/>
      </c>
      <c r="P193" s="195">
        <f>IF(B193="","",((L193*N193-M193*O193)*(L193+N193)+(L193*O193+M193*N193)*(M193+O193))/((L193+N193)^2+(M193+O193)^2))</f>
        <v/>
      </c>
      <c r="Q193" s="195">
        <f>IF(B193="","",((L193*O193+M193*N193)*(L193+N193)-(L193*N193-M193*O193)*(M193+O193))/((L193+N193)^2+(M193+O193)^2))</f>
        <v/>
      </c>
      <c r="R193" s="195">
        <f>IF(B193="","",'入力・概要'!$E$15*J193)</f>
        <v/>
      </c>
      <c r="S193" s="195">
        <f>IF(B193="","",'入力・概要'!$E$15*K193)</f>
        <v/>
      </c>
      <c r="T193" s="195">
        <f>IF(B193="","",P193+R193)</f>
        <v/>
      </c>
      <c r="U193" s="195">
        <f>IF(B193="","",Q193+S193)</f>
        <v/>
      </c>
      <c r="V193" s="195">
        <f>IF(B193="","",T193+'入力・概要'!$E$9*F193)</f>
        <v/>
      </c>
      <c r="W193" s="195">
        <f>IF(B193="","",U193+'入力・概要'!$E$9*G193)</f>
        <v/>
      </c>
      <c r="X193" s="195">
        <f>IF(B193="","",'入力・概要'!$E$9+T193*F193-U193*G193)</f>
        <v/>
      </c>
      <c r="Y193" s="195">
        <f>IF(B193="","",T193*G193+U193*F193)</f>
        <v/>
      </c>
      <c r="Z193" s="195">
        <f>IF(B193="","",'入力・概要'!$E$9*(V193*X193+W193*Y193)/(X193^2+Y193^2)+'入力・概要'!$B$36)</f>
        <v/>
      </c>
      <c r="AA193" s="195">
        <f>IF(B193="","",'入力・概要'!$E$9*(W193*X193-V193*Y193)/(X193^2+Y193^2)+C193*'入力・概要'!$B$37*1E-9)</f>
        <v/>
      </c>
      <c r="AB193" s="195">
        <f>IF(B193="","",SQRT(Z193^2+AA193^2))</f>
        <v/>
      </c>
      <c r="AC193" s="195">
        <f>IF(B193="","",IF(Z193&gt;0,DEGREES(ATAN(AA193/Z193)),IF(Z193&lt;0,IF(AA193&gt;=0,DEGREES(ATAN(AA193/Z193))+180,DEGREES(ATAN(AA193/Z193))-180),IF(AA193&gt;0,90,IF(AA193&lt;0,-90,0)))))</f>
        <v/>
      </c>
      <c r="AD193" s="195">
        <f>IF(B193="","",LOG10(B193))</f>
        <v/>
      </c>
      <c r="AE193" s="195">
        <f>IF(AB193="","",LOG10(MAX(AB193,1E-12)))</f>
        <v/>
      </c>
      <c r="AF193" s="195">
        <f>IF(B193="","",SQRT(P193^2+Q193^2))</f>
        <v/>
      </c>
      <c r="AG193" s="195">
        <f>IF(B193="","",SQRT(R193^2+S193^2))</f>
        <v/>
      </c>
    </row>
    <row r="194">
      <c r="A194" t="n">
        <v>191</v>
      </c>
      <c r="B194" s="196">
        <f>IF(A194&lt;='入力・概要'!$B$40,10^(LOG10('入力・概要'!$B$38)+(A194-1)*(LOG10('入力・概要'!$B$39)-LOG10('入力・概要'!$B$38))/('入力・概要'!$B$40-1)),"")</f>
        <v/>
      </c>
      <c r="C194" s="195">
        <f>IF(B194="","",2*PI()*B194)</f>
        <v/>
      </c>
      <c r="D194" s="195">
        <f>IF(B194="","",ATANH(MIN(0.999999,'入力・概要'!$E$20/'入力・概要'!$E$9))+'入力・概要'!$B$20*SQRT(B194/1E6)+E194*'入力・概要'!$B$15/2)</f>
        <v/>
      </c>
      <c r="E194" s="195">
        <f>IF(B194="","",C194*('入力・概要'!$E$11*1E-9))</f>
        <v/>
      </c>
      <c r="F194" s="195">
        <f>IF(B194="","",SINH(2*D194)/(COSH(2*D194)+COS(2*E194)))</f>
        <v/>
      </c>
      <c r="G194" s="195">
        <f>IF(B194="","",SIN(2*E194)/(COSH(2*D194)+COS(2*E194)))</f>
        <v/>
      </c>
      <c r="H194" s="195">
        <f>IF(B194="","",ATANH(MIN(0.999999,'入力・概要'!$E$21/'入力・概要'!$E$15))+'入力・概要'!$B$21*SQRT(B194/1E6)+I194*'入力・概要'!$B$16/2)</f>
        <v/>
      </c>
      <c r="I194" s="195">
        <f>IF(B194="","",C194*('入力・概要'!$E$17*1E-9))</f>
        <v/>
      </c>
      <c r="J194" s="195">
        <f>IF(B194="","",SINH(2*H194)/(COSH(2*H194)+COS(2*I194)))</f>
        <v/>
      </c>
      <c r="K194" s="195">
        <f>IF(B194="","",SIN(2*I194)/(COSH(2*H194)+COS(2*I194)))</f>
        <v/>
      </c>
      <c r="L194" s="195">
        <f>IF(B194="","",'入力・概要'!$B$25)</f>
        <v/>
      </c>
      <c r="M194" s="195">
        <f>IF(B194="","",C194*'入力・概要'!$B$26*1E-9-1/(C194*'入力・概要'!$B$24*1E-6))</f>
        <v/>
      </c>
      <c r="N194" s="195">
        <f>IF(B194="","",'入力・概要'!$B$28)</f>
        <v/>
      </c>
      <c r="O194" s="195">
        <f>IF(B194="","",C194*'入力・概要'!$B$29*1E-9-1/(C194*'入力・概要'!$B$27*1E-6))</f>
        <v/>
      </c>
      <c r="P194" s="195">
        <f>IF(B194="","",((L194*N194-M194*O194)*(L194+N194)+(L194*O194+M194*N194)*(M194+O194))/((L194+N194)^2+(M194+O194)^2))</f>
        <v/>
      </c>
      <c r="Q194" s="195">
        <f>IF(B194="","",((L194*O194+M194*N194)*(L194+N194)-(L194*N194-M194*O194)*(M194+O194))/((L194+N194)^2+(M194+O194)^2))</f>
        <v/>
      </c>
      <c r="R194" s="195">
        <f>IF(B194="","",'入力・概要'!$E$15*J194)</f>
        <v/>
      </c>
      <c r="S194" s="195">
        <f>IF(B194="","",'入力・概要'!$E$15*K194)</f>
        <v/>
      </c>
      <c r="T194" s="195">
        <f>IF(B194="","",P194+R194)</f>
        <v/>
      </c>
      <c r="U194" s="195">
        <f>IF(B194="","",Q194+S194)</f>
        <v/>
      </c>
      <c r="V194" s="195">
        <f>IF(B194="","",T194+'入力・概要'!$E$9*F194)</f>
        <v/>
      </c>
      <c r="W194" s="195">
        <f>IF(B194="","",U194+'入力・概要'!$E$9*G194)</f>
        <v/>
      </c>
      <c r="X194" s="195">
        <f>IF(B194="","",'入力・概要'!$E$9+T194*F194-U194*G194)</f>
        <v/>
      </c>
      <c r="Y194" s="195">
        <f>IF(B194="","",T194*G194+U194*F194)</f>
        <v/>
      </c>
      <c r="Z194" s="195">
        <f>IF(B194="","",'入力・概要'!$E$9*(V194*X194+W194*Y194)/(X194^2+Y194^2)+'入力・概要'!$B$36)</f>
        <v/>
      </c>
      <c r="AA194" s="195">
        <f>IF(B194="","",'入力・概要'!$E$9*(W194*X194-V194*Y194)/(X194^2+Y194^2)+C194*'入力・概要'!$B$37*1E-9)</f>
        <v/>
      </c>
      <c r="AB194" s="195">
        <f>IF(B194="","",SQRT(Z194^2+AA194^2))</f>
        <v/>
      </c>
      <c r="AC194" s="195">
        <f>IF(B194="","",IF(Z194&gt;0,DEGREES(ATAN(AA194/Z194)),IF(Z194&lt;0,IF(AA194&gt;=0,DEGREES(ATAN(AA194/Z194))+180,DEGREES(ATAN(AA194/Z194))-180),IF(AA194&gt;0,90,IF(AA194&lt;0,-90,0)))))</f>
        <v/>
      </c>
      <c r="AD194" s="195">
        <f>IF(B194="","",LOG10(B194))</f>
        <v/>
      </c>
      <c r="AE194" s="195">
        <f>IF(AB194="","",LOG10(MAX(AB194,1E-12)))</f>
        <v/>
      </c>
      <c r="AF194" s="195">
        <f>IF(B194="","",SQRT(P194^2+Q194^2))</f>
        <v/>
      </c>
      <c r="AG194" s="195">
        <f>IF(B194="","",SQRT(R194^2+S194^2))</f>
        <v/>
      </c>
    </row>
    <row r="195">
      <c r="A195" t="n">
        <v>192</v>
      </c>
      <c r="B195" s="196">
        <f>IF(A195&lt;='入力・概要'!$B$40,10^(LOG10('入力・概要'!$B$38)+(A195-1)*(LOG10('入力・概要'!$B$39)-LOG10('入力・概要'!$B$38))/('入力・概要'!$B$40-1)),"")</f>
        <v/>
      </c>
      <c r="C195" s="195">
        <f>IF(B195="","",2*PI()*B195)</f>
        <v/>
      </c>
      <c r="D195" s="195">
        <f>IF(B195="","",ATANH(MIN(0.999999,'入力・概要'!$E$20/'入力・概要'!$E$9))+'入力・概要'!$B$20*SQRT(B195/1E6)+E195*'入力・概要'!$B$15/2)</f>
        <v/>
      </c>
      <c r="E195" s="195">
        <f>IF(B195="","",C195*('入力・概要'!$E$11*1E-9))</f>
        <v/>
      </c>
      <c r="F195" s="195">
        <f>IF(B195="","",SINH(2*D195)/(COSH(2*D195)+COS(2*E195)))</f>
        <v/>
      </c>
      <c r="G195" s="195">
        <f>IF(B195="","",SIN(2*E195)/(COSH(2*D195)+COS(2*E195)))</f>
        <v/>
      </c>
      <c r="H195" s="195">
        <f>IF(B195="","",ATANH(MIN(0.999999,'入力・概要'!$E$21/'入力・概要'!$E$15))+'入力・概要'!$B$21*SQRT(B195/1E6)+I195*'入力・概要'!$B$16/2)</f>
        <v/>
      </c>
      <c r="I195" s="195">
        <f>IF(B195="","",C195*('入力・概要'!$E$17*1E-9))</f>
        <v/>
      </c>
      <c r="J195" s="195">
        <f>IF(B195="","",SINH(2*H195)/(COSH(2*H195)+COS(2*I195)))</f>
        <v/>
      </c>
      <c r="K195" s="195">
        <f>IF(B195="","",SIN(2*I195)/(COSH(2*H195)+COS(2*I195)))</f>
        <v/>
      </c>
      <c r="L195" s="195">
        <f>IF(B195="","",'入力・概要'!$B$25)</f>
        <v/>
      </c>
      <c r="M195" s="195">
        <f>IF(B195="","",C195*'入力・概要'!$B$26*1E-9-1/(C195*'入力・概要'!$B$24*1E-6))</f>
        <v/>
      </c>
      <c r="N195" s="195">
        <f>IF(B195="","",'入力・概要'!$B$28)</f>
        <v/>
      </c>
      <c r="O195" s="195">
        <f>IF(B195="","",C195*'入力・概要'!$B$29*1E-9-1/(C195*'入力・概要'!$B$27*1E-6))</f>
        <v/>
      </c>
      <c r="P195" s="195">
        <f>IF(B195="","",((L195*N195-M195*O195)*(L195+N195)+(L195*O195+M195*N195)*(M195+O195))/((L195+N195)^2+(M195+O195)^2))</f>
        <v/>
      </c>
      <c r="Q195" s="195">
        <f>IF(B195="","",((L195*O195+M195*N195)*(L195+N195)-(L195*N195-M195*O195)*(M195+O195))/((L195+N195)^2+(M195+O195)^2))</f>
        <v/>
      </c>
      <c r="R195" s="195">
        <f>IF(B195="","",'入力・概要'!$E$15*J195)</f>
        <v/>
      </c>
      <c r="S195" s="195">
        <f>IF(B195="","",'入力・概要'!$E$15*K195)</f>
        <v/>
      </c>
      <c r="T195" s="195">
        <f>IF(B195="","",P195+R195)</f>
        <v/>
      </c>
      <c r="U195" s="195">
        <f>IF(B195="","",Q195+S195)</f>
        <v/>
      </c>
      <c r="V195" s="195">
        <f>IF(B195="","",T195+'入力・概要'!$E$9*F195)</f>
        <v/>
      </c>
      <c r="W195" s="195">
        <f>IF(B195="","",U195+'入力・概要'!$E$9*G195)</f>
        <v/>
      </c>
      <c r="X195" s="195">
        <f>IF(B195="","",'入力・概要'!$E$9+T195*F195-U195*G195)</f>
        <v/>
      </c>
      <c r="Y195" s="195">
        <f>IF(B195="","",T195*G195+U195*F195)</f>
        <v/>
      </c>
      <c r="Z195" s="195">
        <f>IF(B195="","",'入力・概要'!$E$9*(V195*X195+W195*Y195)/(X195^2+Y195^2)+'入力・概要'!$B$36)</f>
        <v/>
      </c>
      <c r="AA195" s="195">
        <f>IF(B195="","",'入力・概要'!$E$9*(W195*X195-V195*Y195)/(X195^2+Y195^2)+C195*'入力・概要'!$B$37*1E-9)</f>
        <v/>
      </c>
      <c r="AB195" s="195">
        <f>IF(B195="","",SQRT(Z195^2+AA195^2))</f>
        <v/>
      </c>
      <c r="AC195" s="195">
        <f>IF(B195="","",IF(Z195&gt;0,DEGREES(ATAN(AA195/Z195)),IF(Z195&lt;0,IF(AA195&gt;=0,DEGREES(ATAN(AA195/Z195))+180,DEGREES(ATAN(AA195/Z195))-180),IF(AA195&gt;0,90,IF(AA195&lt;0,-90,0)))))</f>
        <v/>
      </c>
      <c r="AD195" s="195">
        <f>IF(B195="","",LOG10(B195))</f>
        <v/>
      </c>
      <c r="AE195" s="195">
        <f>IF(AB195="","",LOG10(MAX(AB195,1E-12)))</f>
        <v/>
      </c>
      <c r="AF195" s="195">
        <f>IF(B195="","",SQRT(P195^2+Q195^2))</f>
        <v/>
      </c>
      <c r="AG195" s="195">
        <f>IF(B195="","",SQRT(R195^2+S195^2))</f>
        <v/>
      </c>
    </row>
    <row r="196">
      <c r="A196" t="n">
        <v>193</v>
      </c>
      <c r="B196" s="196">
        <f>IF(A196&lt;='入力・概要'!$B$40,10^(LOG10('入力・概要'!$B$38)+(A196-1)*(LOG10('入力・概要'!$B$39)-LOG10('入力・概要'!$B$38))/('入力・概要'!$B$40-1)),"")</f>
        <v/>
      </c>
      <c r="C196" s="195">
        <f>IF(B196="","",2*PI()*B196)</f>
        <v/>
      </c>
      <c r="D196" s="195">
        <f>IF(B196="","",ATANH(MIN(0.999999,'入力・概要'!$E$20/'入力・概要'!$E$9))+'入力・概要'!$B$20*SQRT(B196/1E6)+E196*'入力・概要'!$B$15/2)</f>
        <v/>
      </c>
      <c r="E196" s="195">
        <f>IF(B196="","",C196*('入力・概要'!$E$11*1E-9))</f>
        <v/>
      </c>
      <c r="F196" s="195">
        <f>IF(B196="","",SINH(2*D196)/(COSH(2*D196)+COS(2*E196)))</f>
        <v/>
      </c>
      <c r="G196" s="195">
        <f>IF(B196="","",SIN(2*E196)/(COSH(2*D196)+COS(2*E196)))</f>
        <v/>
      </c>
      <c r="H196" s="195">
        <f>IF(B196="","",ATANH(MIN(0.999999,'入力・概要'!$E$21/'入力・概要'!$E$15))+'入力・概要'!$B$21*SQRT(B196/1E6)+I196*'入力・概要'!$B$16/2)</f>
        <v/>
      </c>
      <c r="I196" s="195">
        <f>IF(B196="","",C196*('入力・概要'!$E$17*1E-9))</f>
        <v/>
      </c>
      <c r="J196" s="195">
        <f>IF(B196="","",SINH(2*H196)/(COSH(2*H196)+COS(2*I196)))</f>
        <v/>
      </c>
      <c r="K196" s="195">
        <f>IF(B196="","",SIN(2*I196)/(COSH(2*H196)+COS(2*I196)))</f>
        <v/>
      </c>
      <c r="L196" s="195">
        <f>IF(B196="","",'入力・概要'!$B$25)</f>
        <v/>
      </c>
      <c r="M196" s="195">
        <f>IF(B196="","",C196*'入力・概要'!$B$26*1E-9-1/(C196*'入力・概要'!$B$24*1E-6))</f>
        <v/>
      </c>
      <c r="N196" s="195">
        <f>IF(B196="","",'入力・概要'!$B$28)</f>
        <v/>
      </c>
      <c r="O196" s="195">
        <f>IF(B196="","",C196*'入力・概要'!$B$29*1E-9-1/(C196*'入力・概要'!$B$27*1E-6))</f>
        <v/>
      </c>
      <c r="P196" s="195">
        <f>IF(B196="","",((L196*N196-M196*O196)*(L196+N196)+(L196*O196+M196*N196)*(M196+O196))/((L196+N196)^2+(M196+O196)^2))</f>
        <v/>
      </c>
      <c r="Q196" s="195">
        <f>IF(B196="","",((L196*O196+M196*N196)*(L196+N196)-(L196*N196-M196*O196)*(M196+O196))/((L196+N196)^2+(M196+O196)^2))</f>
        <v/>
      </c>
      <c r="R196" s="195">
        <f>IF(B196="","",'入力・概要'!$E$15*J196)</f>
        <v/>
      </c>
      <c r="S196" s="195">
        <f>IF(B196="","",'入力・概要'!$E$15*K196)</f>
        <v/>
      </c>
      <c r="T196" s="195">
        <f>IF(B196="","",P196+R196)</f>
        <v/>
      </c>
      <c r="U196" s="195">
        <f>IF(B196="","",Q196+S196)</f>
        <v/>
      </c>
      <c r="V196" s="195">
        <f>IF(B196="","",T196+'入力・概要'!$E$9*F196)</f>
        <v/>
      </c>
      <c r="W196" s="195">
        <f>IF(B196="","",U196+'入力・概要'!$E$9*G196)</f>
        <v/>
      </c>
      <c r="X196" s="195">
        <f>IF(B196="","",'入力・概要'!$E$9+T196*F196-U196*G196)</f>
        <v/>
      </c>
      <c r="Y196" s="195">
        <f>IF(B196="","",T196*G196+U196*F196)</f>
        <v/>
      </c>
      <c r="Z196" s="195">
        <f>IF(B196="","",'入力・概要'!$E$9*(V196*X196+W196*Y196)/(X196^2+Y196^2)+'入力・概要'!$B$36)</f>
        <v/>
      </c>
      <c r="AA196" s="195">
        <f>IF(B196="","",'入力・概要'!$E$9*(W196*X196-V196*Y196)/(X196^2+Y196^2)+C196*'入力・概要'!$B$37*1E-9)</f>
        <v/>
      </c>
      <c r="AB196" s="195">
        <f>IF(B196="","",SQRT(Z196^2+AA196^2))</f>
        <v/>
      </c>
      <c r="AC196" s="195">
        <f>IF(B196="","",IF(Z196&gt;0,DEGREES(ATAN(AA196/Z196)),IF(Z196&lt;0,IF(AA196&gt;=0,DEGREES(ATAN(AA196/Z196))+180,DEGREES(ATAN(AA196/Z196))-180),IF(AA196&gt;0,90,IF(AA196&lt;0,-90,0)))))</f>
        <v/>
      </c>
      <c r="AD196" s="195">
        <f>IF(B196="","",LOG10(B196))</f>
        <v/>
      </c>
      <c r="AE196" s="195">
        <f>IF(AB196="","",LOG10(MAX(AB196,1E-12)))</f>
        <v/>
      </c>
      <c r="AF196" s="195">
        <f>IF(B196="","",SQRT(P196^2+Q196^2))</f>
        <v/>
      </c>
      <c r="AG196" s="195">
        <f>IF(B196="","",SQRT(R196^2+S196^2))</f>
        <v/>
      </c>
    </row>
    <row r="197">
      <c r="A197" t="n">
        <v>194</v>
      </c>
      <c r="B197" s="196">
        <f>IF(A197&lt;='入力・概要'!$B$40,10^(LOG10('入力・概要'!$B$38)+(A197-1)*(LOG10('入力・概要'!$B$39)-LOG10('入力・概要'!$B$38))/('入力・概要'!$B$40-1)),"")</f>
        <v/>
      </c>
      <c r="C197" s="195">
        <f>IF(B197="","",2*PI()*B197)</f>
        <v/>
      </c>
      <c r="D197" s="195">
        <f>IF(B197="","",ATANH(MIN(0.999999,'入力・概要'!$E$20/'入力・概要'!$E$9))+'入力・概要'!$B$20*SQRT(B197/1E6)+E197*'入力・概要'!$B$15/2)</f>
        <v/>
      </c>
      <c r="E197" s="195">
        <f>IF(B197="","",C197*('入力・概要'!$E$11*1E-9))</f>
        <v/>
      </c>
      <c r="F197" s="195">
        <f>IF(B197="","",SINH(2*D197)/(COSH(2*D197)+COS(2*E197)))</f>
        <v/>
      </c>
      <c r="G197" s="195">
        <f>IF(B197="","",SIN(2*E197)/(COSH(2*D197)+COS(2*E197)))</f>
        <v/>
      </c>
      <c r="H197" s="195">
        <f>IF(B197="","",ATANH(MIN(0.999999,'入力・概要'!$E$21/'入力・概要'!$E$15))+'入力・概要'!$B$21*SQRT(B197/1E6)+I197*'入力・概要'!$B$16/2)</f>
        <v/>
      </c>
      <c r="I197" s="195">
        <f>IF(B197="","",C197*('入力・概要'!$E$17*1E-9))</f>
        <v/>
      </c>
      <c r="J197" s="195">
        <f>IF(B197="","",SINH(2*H197)/(COSH(2*H197)+COS(2*I197)))</f>
        <v/>
      </c>
      <c r="K197" s="195">
        <f>IF(B197="","",SIN(2*I197)/(COSH(2*H197)+COS(2*I197)))</f>
        <v/>
      </c>
      <c r="L197" s="195">
        <f>IF(B197="","",'入力・概要'!$B$25)</f>
        <v/>
      </c>
      <c r="M197" s="195">
        <f>IF(B197="","",C197*'入力・概要'!$B$26*1E-9-1/(C197*'入力・概要'!$B$24*1E-6))</f>
        <v/>
      </c>
      <c r="N197" s="195">
        <f>IF(B197="","",'入力・概要'!$B$28)</f>
        <v/>
      </c>
      <c r="O197" s="195">
        <f>IF(B197="","",C197*'入力・概要'!$B$29*1E-9-1/(C197*'入力・概要'!$B$27*1E-6))</f>
        <v/>
      </c>
      <c r="P197" s="195">
        <f>IF(B197="","",((L197*N197-M197*O197)*(L197+N197)+(L197*O197+M197*N197)*(M197+O197))/((L197+N197)^2+(M197+O197)^2))</f>
        <v/>
      </c>
      <c r="Q197" s="195">
        <f>IF(B197="","",((L197*O197+M197*N197)*(L197+N197)-(L197*N197-M197*O197)*(M197+O197))/((L197+N197)^2+(M197+O197)^2))</f>
        <v/>
      </c>
      <c r="R197" s="195">
        <f>IF(B197="","",'入力・概要'!$E$15*J197)</f>
        <v/>
      </c>
      <c r="S197" s="195">
        <f>IF(B197="","",'入力・概要'!$E$15*K197)</f>
        <v/>
      </c>
      <c r="T197" s="195">
        <f>IF(B197="","",P197+R197)</f>
        <v/>
      </c>
      <c r="U197" s="195">
        <f>IF(B197="","",Q197+S197)</f>
        <v/>
      </c>
      <c r="V197" s="195">
        <f>IF(B197="","",T197+'入力・概要'!$E$9*F197)</f>
        <v/>
      </c>
      <c r="W197" s="195">
        <f>IF(B197="","",U197+'入力・概要'!$E$9*G197)</f>
        <v/>
      </c>
      <c r="X197" s="195">
        <f>IF(B197="","",'入力・概要'!$E$9+T197*F197-U197*G197)</f>
        <v/>
      </c>
      <c r="Y197" s="195">
        <f>IF(B197="","",T197*G197+U197*F197)</f>
        <v/>
      </c>
      <c r="Z197" s="195">
        <f>IF(B197="","",'入力・概要'!$E$9*(V197*X197+W197*Y197)/(X197^2+Y197^2)+'入力・概要'!$B$36)</f>
        <v/>
      </c>
      <c r="AA197" s="195">
        <f>IF(B197="","",'入力・概要'!$E$9*(W197*X197-V197*Y197)/(X197^2+Y197^2)+C197*'入力・概要'!$B$37*1E-9)</f>
        <v/>
      </c>
      <c r="AB197" s="195">
        <f>IF(B197="","",SQRT(Z197^2+AA197^2))</f>
        <v/>
      </c>
      <c r="AC197" s="195">
        <f>IF(B197="","",IF(Z197&gt;0,DEGREES(ATAN(AA197/Z197)),IF(Z197&lt;0,IF(AA197&gt;=0,DEGREES(ATAN(AA197/Z197))+180,DEGREES(ATAN(AA197/Z197))-180),IF(AA197&gt;0,90,IF(AA197&lt;0,-90,0)))))</f>
        <v/>
      </c>
      <c r="AD197" s="195">
        <f>IF(B197="","",LOG10(B197))</f>
        <v/>
      </c>
      <c r="AE197" s="195">
        <f>IF(AB197="","",LOG10(MAX(AB197,1E-12)))</f>
        <v/>
      </c>
      <c r="AF197" s="195">
        <f>IF(B197="","",SQRT(P197^2+Q197^2))</f>
        <v/>
      </c>
      <c r="AG197" s="195">
        <f>IF(B197="","",SQRT(R197^2+S197^2))</f>
        <v/>
      </c>
    </row>
    <row r="198">
      <c r="A198" t="n">
        <v>195</v>
      </c>
      <c r="B198" s="196">
        <f>IF(A198&lt;='入力・概要'!$B$40,10^(LOG10('入力・概要'!$B$38)+(A198-1)*(LOG10('入力・概要'!$B$39)-LOG10('入力・概要'!$B$38))/('入力・概要'!$B$40-1)),"")</f>
        <v/>
      </c>
      <c r="C198" s="195">
        <f>IF(B198="","",2*PI()*B198)</f>
        <v/>
      </c>
      <c r="D198" s="195">
        <f>IF(B198="","",ATANH(MIN(0.999999,'入力・概要'!$E$20/'入力・概要'!$E$9))+'入力・概要'!$B$20*SQRT(B198/1E6)+E198*'入力・概要'!$B$15/2)</f>
        <v/>
      </c>
      <c r="E198" s="195">
        <f>IF(B198="","",C198*('入力・概要'!$E$11*1E-9))</f>
        <v/>
      </c>
      <c r="F198" s="195">
        <f>IF(B198="","",SINH(2*D198)/(COSH(2*D198)+COS(2*E198)))</f>
        <v/>
      </c>
      <c r="G198" s="195">
        <f>IF(B198="","",SIN(2*E198)/(COSH(2*D198)+COS(2*E198)))</f>
        <v/>
      </c>
      <c r="H198" s="195">
        <f>IF(B198="","",ATANH(MIN(0.999999,'入力・概要'!$E$21/'入力・概要'!$E$15))+'入力・概要'!$B$21*SQRT(B198/1E6)+I198*'入力・概要'!$B$16/2)</f>
        <v/>
      </c>
      <c r="I198" s="195">
        <f>IF(B198="","",C198*('入力・概要'!$E$17*1E-9))</f>
        <v/>
      </c>
      <c r="J198" s="195">
        <f>IF(B198="","",SINH(2*H198)/(COSH(2*H198)+COS(2*I198)))</f>
        <v/>
      </c>
      <c r="K198" s="195">
        <f>IF(B198="","",SIN(2*I198)/(COSH(2*H198)+COS(2*I198)))</f>
        <v/>
      </c>
      <c r="L198" s="195">
        <f>IF(B198="","",'入力・概要'!$B$25)</f>
        <v/>
      </c>
      <c r="M198" s="195">
        <f>IF(B198="","",C198*'入力・概要'!$B$26*1E-9-1/(C198*'入力・概要'!$B$24*1E-6))</f>
        <v/>
      </c>
      <c r="N198" s="195">
        <f>IF(B198="","",'入力・概要'!$B$28)</f>
        <v/>
      </c>
      <c r="O198" s="195">
        <f>IF(B198="","",C198*'入力・概要'!$B$29*1E-9-1/(C198*'入力・概要'!$B$27*1E-6))</f>
        <v/>
      </c>
      <c r="P198" s="195">
        <f>IF(B198="","",((L198*N198-M198*O198)*(L198+N198)+(L198*O198+M198*N198)*(M198+O198))/((L198+N198)^2+(M198+O198)^2))</f>
        <v/>
      </c>
      <c r="Q198" s="195">
        <f>IF(B198="","",((L198*O198+M198*N198)*(L198+N198)-(L198*N198-M198*O198)*(M198+O198))/((L198+N198)^2+(M198+O198)^2))</f>
        <v/>
      </c>
      <c r="R198" s="195">
        <f>IF(B198="","",'入力・概要'!$E$15*J198)</f>
        <v/>
      </c>
      <c r="S198" s="195">
        <f>IF(B198="","",'入力・概要'!$E$15*K198)</f>
        <v/>
      </c>
      <c r="T198" s="195">
        <f>IF(B198="","",P198+R198)</f>
        <v/>
      </c>
      <c r="U198" s="195">
        <f>IF(B198="","",Q198+S198)</f>
        <v/>
      </c>
      <c r="V198" s="195">
        <f>IF(B198="","",T198+'入力・概要'!$E$9*F198)</f>
        <v/>
      </c>
      <c r="W198" s="195">
        <f>IF(B198="","",U198+'入力・概要'!$E$9*G198)</f>
        <v/>
      </c>
      <c r="X198" s="195">
        <f>IF(B198="","",'入力・概要'!$E$9+T198*F198-U198*G198)</f>
        <v/>
      </c>
      <c r="Y198" s="195">
        <f>IF(B198="","",T198*G198+U198*F198)</f>
        <v/>
      </c>
      <c r="Z198" s="195">
        <f>IF(B198="","",'入力・概要'!$E$9*(V198*X198+W198*Y198)/(X198^2+Y198^2)+'入力・概要'!$B$36)</f>
        <v/>
      </c>
      <c r="AA198" s="195">
        <f>IF(B198="","",'入力・概要'!$E$9*(W198*X198-V198*Y198)/(X198^2+Y198^2)+C198*'入力・概要'!$B$37*1E-9)</f>
        <v/>
      </c>
      <c r="AB198" s="195">
        <f>IF(B198="","",SQRT(Z198^2+AA198^2))</f>
        <v/>
      </c>
      <c r="AC198" s="195">
        <f>IF(B198="","",IF(Z198&gt;0,DEGREES(ATAN(AA198/Z198)),IF(Z198&lt;0,IF(AA198&gt;=0,DEGREES(ATAN(AA198/Z198))+180,DEGREES(ATAN(AA198/Z198))-180),IF(AA198&gt;0,90,IF(AA198&lt;0,-90,0)))))</f>
        <v/>
      </c>
      <c r="AD198" s="195">
        <f>IF(B198="","",LOG10(B198))</f>
        <v/>
      </c>
      <c r="AE198" s="195">
        <f>IF(AB198="","",LOG10(MAX(AB198,1E-12)))</f>
        <v/>
      </c>
      <c r="AF198" s="195">
        <f>IF(B198="","",SQRT(P198^2+Q198^2))</f>
        <v/>
      </c>
      <c r="AG198" s="195">
        <f>IF(B198="","",SQRT(R198^2+S198^2))</f>
        <v/>
      </c>
    </row>
    <row r="199">
      <c r="A199" t="n">
        <v>196</v>
      </c>
      <c r="B199" s="196">
        <f>IF(A199&lt;='入力・概要'!$B$40,10^(LOG10('入力・概要'!$B$38)+(A199-1)*(LOG10('入力・概要'!$B$39)-LOG10('入力・概要'!$B$38))/('入力・概要'!$B$40-1)),"")</f>
        <v/>
      </c>
      <c r="C199" s="195">
        <f>IF(B199="","",2*PI()*B199)</f>
        <v/>
      </c>
      <c r="D199" s="195">
        <f>IF(B199="","",ATANH(MIN(0.999999,'入力・概要'!$E$20/'入力・概要'!$E$9))+'入力・概要'!$B$20*SQRT(B199/1E6)+E199*'入力・概要'!$B$15/2)</f>
        <v/>
      </c>
      <c r="E199" s="195">
        <f>IF(B199="","",C199*('入力・概要'!$E$11*1E-9))</f>
        <v/>
      </c>
      <c r="F199" s="195">
        <f>IF(B199="","",SINH(2*D199)/(COSH(2*D199)+COS(2*E199)))</f>
        <v/>
      </c>
      <c r="G199" s="195">
        <f>IF(B199="","",SIN(2*E199)/(COSH(2*D199)+COS(2*E199)))</f>
        <v/>
      </c>
      <c r="H199" s="195">
        <f>IF(B199="","",ATANH(MIN(0.999999,'入力・概要'!$E$21/'入力・概要'!$E$15))+'入力・概要'!$B$21*SQRT(B199/1E6)+I199*'入力・概要'!$B$16/2)</f>
        <v/>
      </c>
      <c r="I199" s="195">
        <f>IF(B199="","",C199*('入力・概要'!$E$17*1E-9))</f>
        <v/>
      </c>
      <c r="J199" s="195">
        <f>IF(B199="","",SINH(2*H199)/(COSH(2*H199)+COS(2*I199)))</f>
        <v/>
      </c>
      <c r="K199" s="195">
        <f>IF(B199="","",SIN(2*I199)/(COSH(2*H199)+COS(2*I199)))</f>
        <v/>
      </c>
      <c r="L199" s="195">
        <f>IF(B199="","",'入力・概要'!$B$25)</f>
        <v/>
      </c>
      <c r="M199" s="195">
        <f>IF(B199="","",C199*'入力・概要'!$B$26*1E-9-1/(C199*'入力・概要'!$B$24*1E-6))</f>
        <v/>
      </c>
      <c r="N199" s="195">
        <f>IF(B199="","",'入力・概要'!$B$28)</f>
        <v/>
      </c>
      <c r="O199" s="195">
        <f>IF(B199="","",C199*'入力・概要'!$B$29*1E-9-1/(C199*'入力・概要'!$B$27*1E-6))</f>
        <v/>
      </c>
      <c r="P199" s="195">
        <f>IF(B199="","",((L199*N199-M199*O199)*(L199+N199)+(L199*O199+M199*N199)*(M199+O199))/((L199+N199)^2+(M199+O199)^2))</f>
        <v/>
      </c>
      <c r="Q199" s="195">
        <f>IF(B199="","",((L199*O199+M199*N199)*(L199+N199)-(L199*N199-M199*O199)*(M199+O199))/((L199+N199)^2+(M199+O199)^2))</f>
        <v/>
      </c>
      <c r="R199" s="195">
        <f>IF(B199="","",'入力・概要'!$E$15*J199)</f>
        <v/>
      </c>
      <c r="S199" s="195">
        <f>IF(B199="","",'入力・概要'!$E$15*K199)</f>
        <v/>
      </c>
      <c r="T199" s="195">
        <f>IF(B199="","",P199+R199)</f>
        <v/>
      </c>
      <c r="U199" s="195">
        <f>IF(B199="","",Q199+S199)</f>
        <v/>
      </c>
      <c r="V199" s="195">
        <f>IF(B199="","",T199+'入力・概要'!$E$9*F199)</f>
        <v/>
      </c>
      <c r="W199" s="195">
        <f>IF(B199="","",U199+'入力・概要'!$E$9*G199)</f>
        <v/>
      </c>
      <c r="X199" s="195">
        <f>IF(B199="","",'入力・概要'!$E$9+T199*F199-U199*G199)</f>
        <v/>
      </c>
      <c r="Y199" s="195">
        <f>IF(B199="","",T199*G199+U199*F199)</f>
        <v/>
      </c>
      <c r="Z199" s="195">
        <f>IF(B199="","",'入力・概要'!$E$9*(V199*X199+W199*Y199)/(X199^2+Y199^2)+'入力・概要'!$B$36)</f>
        <v/>
      </c>
      <c r="AA199" s="195">
        <f>IF(B199="","",'入力・概要'!$E$9*(W199*X199-V199*Y199)/(X199^2+Y199^2)+C199*'入力・概要'!$B$37*1E-9)</f>
        <v/>
      </c>
      <c r="AB199" s="195">
        <f>IF(B199="","",SQRT(Z199^2+AA199^2))</f>
        <v/>
      </c>
      <c r="AC199" s="195">
        <f>IF(B199="","",IF(Z199&gt;0,DEGREES(ATAN(AA199/Z199)),IF(Z199&lt;0,IF(AA199&gt;=0,DEGREES(ATAN(AA199/Z199))+180,DEGREES(ATAN(AA199/Z199))-180),IF(AA199&gt;0,90,IF(AA199&lt;0,-90,0)))))</f>
        <v/>
      </c>
      <c r="AD199" s="195">
        <f>IF(B199="","",LOG10(B199))</f>
        <v/>
      </c>
      <c r="AE199" s="195">
        <f>IF(AB199="","",LOG10(MAX(AB199,1E-12)))</f>
        <v/>
      </c>
      <c r="AF199" s="195">
        <f>IF(B199="","",SQRT(P199^2+Q199^2))</f>
        <v/>
      </c>
      <c r="AG199" s="195">
        <f>IF(B199="","",SQRT(R199^2+S199^2))</f>
        <v/>
      </c>
    </row>
    <row r="200">
      <c r="A200" t="n">
        <v>197</v>
      </c>
      <c r="B200" s="196">
        <f>IF(A200&lt;='入力・概要'!$B$40,10^(LOG10('入力・概要'!$B$38)+(A200-1)*(LOG10('入力・概要'!$B$39)-LOG10('入力・概要'!$B$38))/('入力・概要'!$B$40-1)),"")</f>
        <v/>
      </c>
      <c r="C200" s="195">
        <f>IF(B200="","",2*PI()*B200)</f>
        <v/>
      </c>
      <c r="D200" s="195">
        <f>IF(B200="","",ATANH(MIN(0.999999,'入力・概要'!$E$20/'入力・概要'!$E$9))+'入力・概要'!$B$20*SQRT(B200/1E6)+E200*'入力・概要'!$B$15/2)</f>
        <v/>
      </c>
      <c r="E200" s="195">
        <f>IF(B200="","",C200*('入力・概要'!$E$11*1E-9))</f>
        <v/>
      </c>
      <c r="F200" s="195">
        <f>IF(B200="","",SINH(2*D200)/(COSH(2*D200)+COS(2*E200)))</f>
        <v/>
      </c>
      <c r="G200" s="195">
        <f>IF(B200="","",SIN(2*E200)/(COSH(2*D200)+COS(2*E200)))</f>
        <v/>
      </c>
      <c r="H200" s="195">
        <f>IF(B200="","",ATANH(MIN(0.999999,'入力・概要'!$E$21/'入力・概要'!$E$15))+'入力・概要'!$B$21*SQRT(B200/1E6)+I200*'入力・概要'!$B$16/2)</f>
        <v/>
      </c>
      <c r="I200" s="195">
        <f>IF(B200="","",C200*('入力・概要'!$E$17*1E-9))</f>
        <v/>
      </c>
      <c r="J200" s="195">
        <f>IF(B200="","",SINH(2*H200)/(COSH(2*H200)+COS(2*I200)))</f>
        <v/>
      </c>
      <c r="K200" s="195">
        <f>IF(B200="","",SIN(2*I200)/(COSH(2*H200)+COS(2*I200)))</f>
        <v/>
      </c>
      <c r="L200" s="195">
        <f>IF(B200="","",'入力・概要'!$B$25)</f>
        <v/>
      </c>
      <c r="M200" s="195">
        <f>IF(B200="","",C200*'入力・概要'!$B$26*1E-9-1/(C200*'入力・概要'!$B$24*1E-6))</f>
        <v/>
      </c>
      <c r="N200" s="195">
        <f>IF(B200="","",'入力・概要'!$B$28)</f>
        <v/>
      </c>
      <c r="O200" s="195">
        <f>IF(B200="","",C200*'入力・概要'!$B$29*1E-9-1/(C200*'入力・概要'!$B$27*1E-6))</f>
        <v/>
      </c>
      <c r="P200" s="195">
        <f>IF(B200="","",((L200*N200-M200*O200)*(L200+N200)+(L200*O200+M200*N200)*(M200+O200))/((L200+N200)^2+(M200+O200)^2))</f>
        <v/>
      </c>
      <c r="Q200" s="195">
        <f>IF(B200="","",((L200*O200+M200*N200)*(L200+N200)-(L200*N200-M200*O200)*(M200+O200))/((L200+N200)^2+(M200+O200)^2))</f>
        <v/>
      </c>
      <c r="R200" s="195">
        <f>IF(B200="","",'入力・概要'!$E$15*J200)</f>
        <v/>
      </c>
      <c r="S200" s="195">
        <f>IF(B200="","",'入力・概要'!$E$15*K200)</f>
        <v/>
      </c>
      <c r="T200" s="195">
        <f>IF(B200="","",P200+R200)</f>
        <v/>
      </c>
      <c r="U200" s="195">
        <f>IF(B200="","",Q200+S200)</f>
        <v/>
      </c>
      <c r="V200" s="195">
        <f>IF(B200="","",T200+'入力・概要'!$E$9*F200)</f>
        <v/>
      </c>
      <c r="W200" s="195">
        <f>IF(B200="","",U200+'入力・概要'!$E$9*G200)</f>
        <v/>
      </c>
      <c r="X200" s="195">
        <f>IF(B200="","",'入力・概要'!$E$9+T200*F200-U200*G200)</f>
        <v/>
      </c>
      <c r="Y200" s="195">
        <f>IF(B200="","",T200*G200+U200*F200)</f>
        <v/>
      </c>
      <c r="Z200" s="195">
        <f>IF(B200="","",'入力・概要'!$E$9*(V200*X200+W200*Y200)/(X200^2+Y200^2)+'入力・概要'!$B$36)</f>
        <v/>
      </c>
      <c r="AA200" s="195">
        <f>IF(B200="","",'入力・概要'!$E$9*(W200*X200-V200*Y200)/(X200^2+Y200^2)+C200*'入力・概要'!$B$37*1E-9)</f>
        <v/>
      </c>
      <c r="AB200" s="195">
        <f>IF(B200="","",SQRT(Z200^2+AA200^2))</f>
        <v/>
      </c>
      <c r="AC200" s="195">
        <f>IF(B200="","",IF(Z200&gt;0,DEGREES(ATAN(AA200/Z200)),IF(Z200&lt;0,IF(AA200&gt;=0,DEGREES(ATAN(AA200/Z200))+180,DEGREES(ATAN(AA200/Z200))-180),IF(AA200&gt;0,90,IF(AA200&lt;0,-90,0)))))</f>
        <v/>
      </c>
      <c r="AD200" s="195">
        <f>IF(B200="","",LOG10(B200))</f>
        <v/>
      </c>
      <c r="AE200" s="195">
        <f>IF(AB200="","",LOG10(MAX(AB200,1E-12)))</f>
        <v/>
      </c>
      <c r="AF200" s="195">
        <f>IF(B200="","",SQRT(P200^2+Q200^2))</f>
        <v/>
      </c>
      <c r="AG200" s="195">
        <f>IF(B200="","",SQRT(R200^2+S200^2))</f>
        <v/>
      </c>
    </row>
    <row r="201">
      <c r="A201" t="n">
        <v>198</v>
      </c>
      <c r="B201" s="196">
        <f>IF(A201&lt;='入力・概要'!$B$40,10^(LOG10('入力・概要'!$B$38)+(A201-1)*(LOG10('入力・概要'!$B$39)-LOG10('入力・概要'!$B$38))/('入力・概要'!$B$40-1)),"")</f>
        <v/>
      </c>
      <c r="C201" s="195">
        <f>IF(B201="","",2*PI()*B201)</f>
        <v/>
      </c>
      <c r="D201" s="195">
        <f>IF(B201="","",ATANH(MIN(0.999999,'入力・概要'!$E$20/'入力・概要'!$E$9))+'入力・概要'!$B$20*SQRT(B201/1E6)+E201*'入力・概要'!$B$15/2)</f>
        <v/>
      </c>
      <c r="E201" s="195">
        <f>IF(B201="","",C201*('入力・概要'!$E$11*1E-9))</f>
        <v/>
      </c>
      <c r="F201" s="195">
        <f>IF(B201="","",SINH(2*D201)/(COSH(2*D201)+COS(2*E201)))</f>
        <v/>
      </c>
      <c r="G201" s="195">
        <f>IF(B201="","",SIN(2*E201)/(COSH(2*D201)+COS(2*E201)))</f>
        <v/>
      </c>
      <c r="H201" s="195">
        <f>IF(B201="","",ATANH(MIN(0.999999,'入力・概要'!$E$21/'入力・概要'!$E$15))+'入力・概要'!$B$21*SQRT(B201/1E6)+I201*'入力・概要'!$B$16/2)</f>
        <v/>
      </c>
      <c r="I201" s="195">
        <f>IF(B201="","",C201*('入力・概要'!$E$17*1E-9))</f>
        <v/>
      </c>
      <c r="J201" s="195">
        <f>IF(B201="","",SINH(2*H201)/(COSH(2*H201)+COS(2*I201)))</f>
        <v/>
      </c>
      <c r="K201" s="195">
        <f>IF(B201="","",SIN(2*I201)/(COSH(2*H201)+COS(2*I201)))</f>
        <v/>
      </c>
      <c r="L201" s="195">
        <f>IF(B201="","",'入力・概要'!$B$25)</f>
        <v/>
      </c>
      <c r="M201" s="195">
        <f>IF(B201="","",C201*'入力・概要'!$B$26*1E-9-1/(C201*'入力・概要'!$B$24*1E-6))</f>
        <v/>
      </c>
      <c r="N201" s="195">
        <f>IF(B201="","",'入力・概要'!$B$28)</f>
        <v/>
      </c>
      <c r="O201" s="195">
        <f>IF(B201="","",C201*'入力・概要'!$B$29*1E-9-1/(C201*'入力・概要'!$B$27*1E-6))</f>
        <v/>
      </c>
      <c r="P201" s="195">
        <f>IF(B201="","",((L201*N201-M201*O201)*(L201+N201)+(L201*O201+M201*N201)*(M201+O201))/((L201+N201)^2+(M201+O201)^2))</f>
        <v/>
      </c>
      <c r="Q201" s="195">
        <f>IF(B201="","",((L201*O201+M201*N201)*(L201+N201)-(L201*N201-M201*O201)*(M201+O201))/((L201+N201)^2+(M201+O201)^2))</f>
        <v/>
      </c>
      <c r="R201" s="195">
        <f>IF(B201="","",'入力・概要'!$E$15*J201)</f>
        <v/>
      </c>
      <c r="S201" s="195">
        <f>IF(B201="","",'入力・概要'!$E$15*K201)</f>
        <v/>
      </c>
      <c r="T201" s="195">
        <f>IF(B201="","",P201+R201)</f>
        <v/>
      </c>
      <c r="U201" s="195">
        <f>IF(B201="","",Q201+S201)</f>
        <v/>
      </c>
      <c r="V201" s="195">
        <f>IF(B201="","",T201+'入力・概要'!$E$9*F201)</f>
        <v/>
      </c>
      <c r="W201" s="195">
        <f>IF(B201="","",U201+'入力・概要'!$E$9*G201)</f>
        <v/>
      </c>
      <c r="X201" s="195">
        <f>IF(B201="","",'入力・概要'!$E$9+T201*F201-U201*G201)</f>
        <v/>
      </c>
      <c r="Y201" s="195">
        <f>IF(B201="","",T201*G201+U201*F201)</f>
        <v/>
      </c>
      <c r="Z201" s="195">
        <f>IF(B201="","",'入力・概要'!$E$9*(V201*X201+W201*Y201)/(X201^2+Y201^2)+'入力・概要'!$B$36)</f>
        <v/>
      </c>
      <c r="AA201" s="195">
        <f>IF(B201="","",'入力・概要'!$E$9*(W201*X201-V201*Y201)/(X201^2+Y201^2)+C201*'入力・概要'!$B$37*1E-9)</f>
        <v/>
      </c>
      <c r="AB201" s="195">
        <f>IF(B201="","",SQRT(Z201^2+AA201^2))</f>
        <v/>
      </c>
      <c r="AC201" s="195">
        <f>IF(B201="","",IF(Z201&gt;0,DEGREES(ATAN(AA201/Z201)),IF(Z201&lt;0,IF(AA201&gt;=0,DEGREES(ATAN(AA201/Z201))+180,DEGREES(ATAN(AA201/Z201))-180),IF(AA201&gt;0,90,IF(AA201&lt;0,-90,0)))))</f>
        <v/>
      </c>
      <c r="AD201" s="195">
        <f>IF(B201="","",LOG10(B201))</f>
        <v/>
      </c>
      <c r="AE201" s="195">
        <f>IF(AB201="","",LOG10(MAX(AB201,1E-12)))</f>
        <v/>
      </c>
      <c r="AF201" s="195">
        <f>IF(B201="","",SQRT(P201^2+Q201^2))</f>
        <v/>
      </c>
      <c r="AG201" s="195">
        <f>IF(B201="","",SQRT(R201^2+S201^2))</f>
        <v/>
      </c>
    </row>
    <row r="202">
      <c r="A202" t="n">
        <v>199</v>
      </c>
      <c r="B202" s="196">
        <f>IF(A202&lt;='入力・概要'!$B$40,10^(LOG10('入力・概要'!$B$38)+(A202-1)*(LOG10('入力・概要'!$B$39)-LOG10('入力・概要'!$B$38))/('入力・概要'!$B$40-1)),"")</f>
        <v/>
      </c>
      <c r="C202" s="195">
        <f>IF(B202="","",2*PI()*B202)</f>
        <v/>
      </c>
      <c r="D202" s="195">
        <f>IF(B202="","",ATANH(MIN(0.999999,'入力・概要'!$E$20/'入力・概要'!$E$9))+'入力・概要'!$B$20*SQRT(B202/1E6)+E202*'入力・概要'!$B$15/2)</f>
        <v/>
      </c>
      <c r="E202" s="195">
        <f>IF(B202="","",C202*('入力・概要'!$E$11*1E-9))</f>
        <v/>
      </c>
      <c r="F202" s="195">
        <f>IF(B202="","",SINH(2*D202)/(COSH(2*D202)+COS(2*E202)))</f>
        <v/>
      </c>
      <c r="G202" s="195">
        <f>IF(B202="","",SIN(2*E202)/(COSH(2*D202)+COS(2*E202)))</f>
        <v/>
      </c>
      <c r="H202" s="195">
        <f>IF(B202="","",ATANH(MIN(0.999999,'入力・概要'!$E$21/'入力・概要'!$E$15))+'入力・概要'!$B$21*SQRT(B202/1E6)+I202*'入力・概要'!$B$16/2)</f>
        <v/>
      </c>
      <c r="I202" s="195">
        <f>IF(B202="","",C202*('入力・概要'!$E$17*1E-9))</f>
        <v/>
      </c>
      <c r="J202" s="195">
        <f>IF(B202="","",SINH(2*H202)/(COSH(2*H202)+COS(2*I202)))</f>
        <v/>
      </c>
      <c r="K202" s="195">
        <f>IF(B202="","",SIN(2*I202)/(COSH(2*H202)+COS(2*I202)))</f>
        <v/>
      </c>
      <c r="L202" s="195">
        <f>IF(B202="","",'入力・概要'!$B$25)</f>
        <v/>
      </c>
      <c r="M202" s="195">
        <f>IF(B202="","",C202*'入力・概要'!$B$26*1E-9-1/(C202*'入力・概要'!$B$24*1E-6))</f>
        <v/>
      </c>
      <c r="N202" s="195">
        <f>IF(B202="","",'入力・概要'!$B$28)</f>
        <v/>
      </c>
      <c r="O202" s="195">
        <f>IF(B202="","",C202*'入力・概要'!$B$29*1E-9-1/(C202*'入力・概要'!$B$27*1E-6))</f>
        <v/>
      </c>
      <c r="P202" s="195">
        <f>IF(B202="","",((L202*N202-M202*O202)*(L202+N202)+(L202*O202+M202*N202)*(M202+O202))/((L202+N202)^2+(M202+O202)^2))</f>
        <v/>
      </c>
      <c r="Q202" s="195">
        <f>IF(B202="","",((L202*O202+M202*N202)*(L202+N202)-(L202*N202-M202*O202)*(M202+O202))/((L202+N202)^2+(M202+O202)^2))</f>
        <v/>
      </c>
      <c r="R202" s="195">
        <f>IF(B202="","",'入力・概要'!$E$15*J202)</f>
        <v/>
      </c>
      <c r="S202" s="195">
        <f>IF(B202="","",'入力・概要'!$E$15*K202)</f>
        <v/>
      </c>
      <c r="T202" s="195">
        <f>IF(B202="","",P202+R202)</f>
        <v/>
      </c>
      <c r="U202" s="195">
        <f>IF(B202="","",Q202+S202)</f>
        <v/>
      </c>
      <c r="V202" s="195">
        <f>IF(B202="","",T202+'入力・概要'!$E$9*F202)</f>
        <v/>
      </c>
      <c r="W202" s="195">
        <f>IF(B202="","",U202+'入力・概要'!$E$9*G202)</f>
        <v/>
      </c>
      <c r="X202" s="195">
        <f>IF(B202="","",'入力・概要'!$E$9+T202*F202-U202*G202)</f>
        <v/>
      </c>
      <c r="Y202" s="195">
        <f>IF(B202="","",T202*G202+U202*F202)</f>
        <v/>
      </c>
      <c r="Z202" s="195">
        <f>IF(B202="","",'入力・概要'!$E$9*(V202*X202+W202*Y202)/(X202^2+Y202^2)+'入力・概要'!$B$36)</f>
        <v/>
      </c>
      <c r="AA202" s="195">
        <f>IF(B202="","",'入力・概要'!$E$9*(W202*X202-V202*Y202)/(X202^2+Y202^2)+C202*'入力・概要'!$B$37*1E-9)</f>
        <v/>
      </c>
      <c r="AB202" s="195">
        <f>IF(B202="","",SQRT(Z202^2+AA202^2))</f>
        <v/>
      </c>
      <c r="AC202" s="195">
        <f>IF(B202="","",IF(Z202&gt;0,DEGREES(ATAN(AA202/Z202)),IF(Z202&lt;0,IF(AA202&gt;=0,DEGREES(ATAN(AA202/Z202))+180,DEGREES(ATAN(AA202/Z202))-180),IF(AA202&gt;0,90,IF(AA202&lt;0,-90,0)))))</f>
        <v/>
      </c>
      <c r="AD202" s="195">
        <f>IF(B202="","",LOG10(B202))</f>
        <v/>
      </c>
      <c r="AE202" s="195">
        <f>IF(AB202="","",LOG10(MAX(AB202,1E-12)))</f>
        <v/>
      </c>
      <c r="AF202" s="195">
        <f>IF(B202="","",SQRT(P202^2+Q202^2))</f>
        <v/>
      </c>
      <c r="AG202" s="195">
        <f>IF(B202="","",SQRT(R202^2+S202^2))</f>
        <v/>
      </c>
    </row>
    <row r="203">
      <c r="A203" t="n">
        <v>200</v>
      </c>
      <c r="B203" s="196">
        <f>IF(A203&lt;='入力・概要'!$B$40,10^(LOG10('入力・概要'!$B$38)+(A203-1)*(LOG10('入力・概要'!$B$39)-LOG10('入力・概要'!$B$38))/('入力・概要'!$B$40-1)),"")</f>
        <v/>
      </c>
      <c r="C203" s="195">
        <f>IF(B203="","",2*PI()*B203)</f>
        <v/>
      </c>
      <c r="D203" s="195">
        <f>IF(B203="","",ATANH(MIN(0.999999,'入力・概要'!$E$20/'入力・概要'!$E$9))+'入力・概要'!$B$20*SQRT(B203/1E6)+E203*'入力・概要'!$B$15/2)</f>
        <v/>
      </c>
      <c r="E203" s="195">
        <f>IF(B203="","",C203*('入力・概要'!$E$11*1E-9))</f>
        <v/>
      </c>
      <c r="F203" s="195">
        <f>IF(B203="","",SINH(2*D203)/(COSH(2*D203)+COS(2*E203)))</f>
        <v/>
      </c>
      <c r="G203" s="195">
        <f>IF(B203="","",SIN(2*E203)/(COSH(2*D203)+COS(2*E203)))</f>
        <v/>
      </c>
      <c r="H203" s="195">
        <f>IF(B203="","",ATANH(MIN(0.999999,'入力・概要'!$E$21/'入力・概要'!$E$15))+'入力・概要'!$B$21*SQRT(B203/1E6)+I203*'入力・概要'!$B$16/2)</f>
        <v/>
      </c>
      <c r="I203" s="195">
        <f>IF(B203="","",C203*('入力・概要'!$E$17*1E-9))</f>
        <v/>
      </c>
      <c r="J203" s="195">
        <f>IF(B203="","",SINH(2*H203)/(COSH(2*H203)+COS(2*I203)))</f>
        <v/>
      </c>
      <c r="K203" s="195">
        <f>IF(B203="","",SIN(2*I203)/(COSH(2*H203)+COS(2*I203)))</f>
        <v/>
      </c>
      <c r="L203" s="195">
        <f>IF(B203="","",'入力・概要'!$B$25)</f>
        <v/>
      </c>
      <c r="M203" s="195">
        <f>IF(B203="","",C203*'入力・概要'!$B$26*1E-9-1/(C203*'入力・概要'!$B$24*1E-6))</f>
        <v/>
      </c>
      <c r="N203" s="195">
        <f>IF(B203="","",'入力・概要'!$B$28)</f>
        <v/>
      </c>
      <c r="O203" s="195">
        <f>IF(B203="","",C203*'入力・概要'!$B$29*1E-9-1/(C203*'入力・概要'!$B$27*1E-6))</f>
        <v/>
      </c>
      <c r="P203" s="195">
        <f>IF(B203="","",((L203*N203-M203*O203)*(L203+N203)+(L203*O203+M203*N203)*(M203+O203))/((L203+N203)^2+(M203+O203)^2))</f>
        <v/>
      </c>
      <c r="Q203" s="195">
        <f>IF(B203="","",((L203*O203+M203*N203)*(L203+N203)-(L203*N203-M203*O203)*(M203+O203))/((L203+N203)^2+(M203+O203)^2))</f>
        <v/>
      </c>
      <c r="R203" s="195">
        <f>IF(B203="","",'入力・概要'!$E$15*J203)</f>
        <v/>
      </c>
      <c r="S203" s="195">
        <f>IF(B203="","",'入力・概要'!$E$15*K203)</f>
        <v/>
      </c>
      <c r="T203" s="195">
        <f>IF(B203="","",P203+R203)</f>
        <v/>
      </c>
      <c r="U203" s="195">
        <f>IF(B203="","",Q203+S203)</f>
        <v/>
      </c>
      <c r="V203" s="195">
        <f>IF(B203="","",T203+'入力・概要'!$E$9*F203)</f>
        <v/>
      </c>
      <c r="W203" s="195">
        <f>IF(B203="","",U203+'入力・概要'!$E$9*G203)</f>
        <v/>
      </c>
      <c r="X203" s="195">
        <f>IF(B203="","",'入力・概要'!$E$9+T203*F203-U203*G203)</f>
        <v/>
      </c>
      <c r="Y203" s="195">
        <f>IF(B203="","",T203*G203+U203*F203)</f>
        <v/>
      </c>
      <c r="Z203" s="195">
        <f>IF(B203="","",'入力・概要'!$E$9*(V203*X203+W203*Y203)/(X203^2+Y203^2)+'入力・概要'!$B$36)</f>
        <v/>
      </c>
      <c r="AA203" s="195">
        <f>IF(B203="","",'入力・概要'!$E$9*(W203*X203-V203*Y203)/(X203^2+Y203^2)+C203*'入力・概要'!$B$37*1E-9)</f>
        <v/>
      </c>
      <c r="AB203" s="195">
        <f>IF(B203="","",SQRT(Z203^2+AA203^2))</f>
        <v/>
      </c>
      <c r="AC203" s="195">
        <f>IF(B203="","",IF(Z203&gt;0,DEGREES(ATAN(AA203/Z203)),IF(Z203&lt;0,IF(AA203&gt;=0,DEGREES(ATAN(AA203/Z203))+180,DEGREES(ATAN(AA203/Z203))-180),IF(AA203&gt;0,90,IF(AA203&lt;0,-90,0)))))</f>
        <v/>
      </c>
      <c r="AD203" s="195">
        <f>IF(B203="","",LOG10(B203))</f>
        <v/>
      </c>
      <c r="AE203" s="195">
        <f>IF(AB203="","",LOG10(MAX(AB203,1E-12)))</f>
        <v/>
      </c>
      <c r="AF203" s="195">
        <f>IF(B203="","",SQRT(P203^2+Q203^2))</f>
        <v/>
      </c>
      <c r="AG203" s="195">
        <f>IF(B203="","",SQRT(R203^2+S203^2))</f>
        <v/>
      </c>
    </row>
    <row r="204">
      <c r="A204" t="n">
        <v>201</v>
      </c>
      <c r="B204" s="196">
        <f>IF(A204&lt;='入力・概要'!$B$40,10^(LOG10('入力・概要'!$B$38)+(A204-1)*(LOG10('入力・概要'!$B$39)-LOG10('入力・概要'!$B$38))/('入力・概要'!$B$40-1)),"")</f>
        <v/>
      </c>
      <c r="C204" s="195">
        <f>IF(B204="","",2*PI()*B204)</f>
        <v/>
      </c>
      <c r="D204" s="195">
        <f>IF(B204="","",ATANH(MIN(0.999999,'入力・概要'!$E$20/'入力・概要'!$E$9))+'入力・概要'!$B$20*SQRT(B204/1E6)+E204*'入力・概要'!$B$15/2)</f>
        <v/>
      </c>
      <c r="E204" s="195">
        <f>IF(B204="","",C204*('入力・概要'!$E$11*1E-9))</f>
        <v/>
      </c>
      <c r="F204" s="195">
        <f>IF(B204="","",SINH(2*D204)/(COSH(2*D204)+COS(2*E204)))</f>
        <v/>
      </c>
      <c r="G204" s="195">
        <f>IF(B204="","",SIN(2*E204)/(COSH(2*D204)+COS(2*E204)))</f>
        <v/>
      </c>
      <c r="H204" s="195">
        <f>IF(B204="","",ATANH(MIN(0.999999,'入力・概要'!$E$21/'入力・概要'!$E$15))+'入力・概要'!$B$21*SQRT(B204/1E6)+I204*'入力・概要'!$B$16/2)</f>
        <v/>
      </c>
      <c r="I204" s="195">
        <f>IF(B204="","",C204*('入力・概要'!$E$17*1E-9))</f>
        <v/>
      </c>
      <c r="J204" s="195">
        <f>IF(B204="","",SINH(2*H204)/(COSH(2*H204)+COS(2*I204)))</f>
        <v/>
      </c>
      <c r="K204" s="195">
        <f>IF(B204="","",SIN(2*I204)/(COSH(2*H204)+COS(2*I204)))</f>
        <v/>
      </c>
      <c r="L204" s="195">
        <f>IF(B204="","",'入力・概要'!$B$25)</f>
        <v/>
      </c>
      <c r="M204" s="195">
        <f>IF(B204="","",C204*'入力・概要'!$B$26*1E-9-1/(C204*'入力・概要'!$B$24*1E-6))</f>
        <v/>
      </c>
      <c r="N204" s="195">
        <f>IF(B204="","",'入力・概要'!$B$28)</f>
        <v/>
      </c>
      <c r="O204" s="195">
        <f>IF(B204="","",C204*'入力・概要'!$B$29*1E-9-1/(C204*'入力・概要'!$B$27*1E-6))</f>
        <v/>
      </c>
      <c r="P204" s="195">
        <f>IF(B204="","",((L204*N204-M204*O204)*(L204+N204)+(L204*O204+M204*N204)*(M204+O204))/((L204+N204)^2+(M204+O204)^2))</f>
        <v/>
      </c>
      <c r="Q204" s="195">
        <f>IF(B204="","",((L204*O204+M204*N204)*(L204+N204)-(L204*N204-M204*O204)*(M204+O204))/((L204+N204)^2+(M204+O204)^2))</f>
        <v/>
      </c>
      <c r="R204" s="195">
        <f>IF(B204="","",'入力・概要'!$E$15*J204)</f>
        <v/>
      </c>
      <c r="S204" s="195">
        <f>IF(B204="","",'入力・概要'!$E$15*K204)</f>
        <v/>
      </c>
      <c r="T204" s="195">
        <f>IF(B204="","",P204+R204)</f>
        <v/>
      </c>
      <c r="U204" s="195">
        <f>IF(B204="","",Q204+S204)</f>
        <v/>
      </c>
      <c r="V204" s="195">
        <f>IF(B204="","",T204+'入力・概要'!$E$9*F204)</f>
        <v/>
      </c>
      <c r="W204" s="195">
        <f>IF(B204="","",U204+'入力・概要'!$E$9*G204)</f>
        <v/>
      </c>
      <c r="X204" s="195">
        <f>IF(B204="","",'入力・概要'!$E$9+T204*F204-U204*G204)</f>
        <v/>
      </c>
      <c r="Y204" s="195">
        <f>IF(B204="","",T204*G204+U204*F204)</f>
        <v/>
      </c>
      <c r="Z204" s="195">
        <f>IF(B204="","",'入力・概要'!$E$9*(V204*X204+W204*Y204)/(X204^2+Y204^2)+'入力・概要'!$B$36)</f>
        <v/>
      </c>
      <c r="AA204" s="195">
        <f>IF(B204="","",'入力・概要'!$E$9*(W204*X204-V204*Y204)/(X204^2+Y204^2)+C204*'入力・概要'!$B$37*1E-9)</f>
        <v/>
      </c>
      <c r="AB204" s="195">
        <f>IF(B204="","",SQRT(Z204^2+AA204^2))</f>
        <v/>
      </c>
      <c r="AC204" s="195">
        <f>IF(B204="","",IF(Z204&gt;0,DEGREES(ATAN(AA204/Z204)),IF(Z204&lt;0,IF(AA204&gt;=0,DEGREES(ATAN(AA204/Z204))+180,DEGREES(ATAN(AA204/Z204))-180),IF(AA204&gt;0,90,IF(AA204&lt;0,-90,0)))))</f>
        <v/>
      </c>
      <c r="AD204" s="195">
        <f>IF(B204="","",LOG10(B204))</f>
        <v/>
      </c>
      <c r="AE204" s="195">
        <f>IF(AB204="","",LOG10(MAX(AB204,1E-12)))</f>
        <v/>
      </c>
      <c r="AF204" s="195">
        <f>IF(B204="","",SQRT(P204^2+Q204^2))</f>
        <v/>
      </c>
      <c r="AG204" s="195">
        <f>IF(B204="","",SQRT(R204^2+S204^2))</f>
        <v/>
      </c>
    </row>
    <row r="205">
      <c r="A205" t="n">
        <v>202</v>
      </c>
      <c r="B205" s="196">
        <f>IF(A205&lt;='入力・概要'!$B$40,10^(LOG10('入力・概要'!$B$38)+(A205-1)*(LOG10('入力・概要'!$B$39)-LOG10('入力・概要'!$B$38))/('入力・概要'!$B$40-1)),"")</f>
        <v/>
      </c>
      <c r="C205" s="195">
        <f>IF(B205="","",2*PI()*B205)</f>
        <v/>
      </c>
      <c r="D205" s="195">
        <f>IF(B205="","",ATANH(MIN(0.999999,'入力・概要'!$E$20/'入力・概要'!$E$9))+'入力・概要'!$B$20*SQRT(B205/1E6)+E205*'入力・概要'!$B$15/2)</f>
        <v/>
      </c>
      <c r="E205" s="195">
        <f>IF(B205="","",C205*('入力・概要'!$E$11*1E-9))</f>
        <v/>
      </c>
      <c r="F205" s="195">
        <f>IF(B205="","",SINH(2*D205)/(COSH(2*D205)+COS(2*E205)))</f>
        <v/>
      </c>
      <c r="G205" s="195">
        <f>IF(B205="","",SIN(2*E205)/(COSH(2*D205)+COS(2*E205)))</f>
        <v/>
      </c>
      <c r="H205" s="195">
        <f>IF(B205="","",ATANH(MIN(0.999999,'入力・概要'!$E$21/'入力・概要'!$E$15))+'入力・概要'!$B$21*SQRT(B205/1E6)+I205*'入力・概要'!$B$16/2)</f>
        <v/>
      </c>
      <c r="I205" s="195">
        <f>IF(B205="","",C205*('入力・概要'!$E$17*1E-9))</f>
        <v/>
      </c>
      <c r="J205" s="195">
        <f>IF(B205="","",SINH(2*H205)/(COSH(2*H205)+COS(2*I205)))</f>
        <v/>
      </c>
      <c r="K205" s="195">
        <f>IF(B205="","",SIN(2*I205)/(COSH(2*H205)+COS(2*I205)))</f>
        <v/>
      </c>
      <c r="L205" s="195">
        <f>IF(B205="","",'入力・概要'!$B$25)</f>
        <v/>
      </c>
      <c r="M205" s="195">
        <f>IF(B205="","",C205*'入力・概要'!$B$26*1E-9-1/(C205*'入力・概要'!$B$24*1E-6))</f>
        <v/>
      </c>
      <c r="N205" s="195">
        <f>IF(B205="","",'入力・概要'!$B$28)</f>
        <v/>
      </c>
      <c r="O205" s="195">
        <f>IF(B205="","",C205*'入力・概要'!$B$29*1E-9-1/(C205*'入力・概要'!$B$27*1E-6))</f>
        <v/>
      </c>
      <c r="P205" s="195">
        <f>IF(B205="","",((L205*N205-M205*O205)*(L205+N205)+(L205*O205+M205*N205)*(M205+O205))/((L205+N205)^2+(M205+O205)^2))</f>
        <v/>
      </c>
      <c r="Q205" s="195">
        <f>IF(B205="","",((L205*O205+M205*N205)*(L205+N205)-(L205*N205-M205*O205)*(M205+O205))/((L205+N205)^2+(M205+O205)^2))</f>
        <v/>
      </c>
      <c r="R205" s="195">
        <f>IF(B205="","",'入力・概要'!$E$15*J205)</f>
        <v/>
      </c>
      <c r="S205" s="195">
        <f>IF(B205="","",'入力・概要'!$E$15*K205)</f>
        <v/>
      </c>
      <c r="T205" s="195">
        <f>IF(B205="","",P205+R205)</f>
        <v/>
      </c>
      <c r="U205" s="195">
        <f>IF(B205="","",Q205+S205)</f>
        <v/>
      </c>
      <c r="V205" s="195">
        <f>IF(B205="","",T205+'入力・概要'!$E$9*F205)</f>
        <v/>
      </c>
      <c r="W205" s="195">
        <f>IF(B205="","",U205+'入力・概要'!$E$9*G205)</f>
        <v/>
      </c>
      <c r="X205" s="195">
        <f>IF(B205="","",'入力・概要'!$E$9+T205*F205-U205*G205)</f>
        <v/>
      </c>
      <c r="Y205" s="195">
        <f>IF(B205="","",T205*G205+U205*F205)</f>
        <v/>
      </c>
      <c r="Z205" s="195">
        <f>IF(B205="","",'入力・概要'!$E$9*(V205*X205+W205*Y205)/(X205^2+Y205^2)+'入力・概要'!$B$36)</f>
        <v/>
      </c>
      <c r="AA205" s="195">
        <f>IF(B205="","",'入力・概要'!$E$9*(W205*X205-V205*Y205)/(X205^2+Y205^2)+C205*'入力・概要'!$B$37*1E-9)</f>
        <v/>
      </c>
      <c r="AB205" s="195">
        <f>IF(B205="","",SQRT(Z205^2+AA205^2))</f>
        <v/>
      </c>
      <c r="AC205" s="195">
        <f>IF(B205="","",IF(Z205&gt;0,DEGREES(ATAN(AA205/Z205)),IF(Z205&lt;0,IF(AA205&gt;=0,DEGREES(ATAN(AA205/Z205))+180,DEGREES(ATAN(AA205/Z205))-180),IF(AA205&gt;0,90,IF(AA205&lt;0,-90,0)))))</f>
        <v/>
      </c>
      <c r="AD205" s="195">
        <f>IF(B205="","",LOG10(B205))</f>
        <v/>
      </c>
      <c r="AE205" s="195">
        <f>IF(AB205="","",LOG10(MAX(AB205,1E-12)))</f>
        <v/>
      </c>
      <c r="AF205" s="195">
        <f>IF(B205="","",SQRT(P205^2+Q205^2))</f>
        <v/>
      </c>
      <c r="AG205" s="195">
        <f>IF(B205="","",SQRT(R205^2+S205^2))</f>
        <v/>
      </c>
    </row>
    <row r="206">
      <c r="A206" t="n">
        <v>203</v>
      </c>
      <c r="B206" s="196">
        <f>IF(A206&lt;='入力・概要'!$B$40,10^(LOG10('入力・概要'!$B$38)+(A206-1)*(LOG10('入力・概要'!$B$39)-LOG10('入力・概要'!$B$38))/('入力・概要'!$B$40-1)),"")</f>
        <v/>
      </c>
      <c r="C206" s="195">
        <f>IF(B206="","",2*PI()*B206)</f>
        <v/>
      </c>
      <c r="D206" s="195">
        <f>IF(B206="","",ATANH(MIN(0.999999,'入力・概要'!$E$20/'入力・概要'!$E$9))+'入力・概要'!$B$20*SQRT(B206/1E6)+E206*'入力・概要'!$B$15/2)</f>
        <v/>
      </c>
      <c r="E206" s="195">
        <f>IF(B206="","",C206*('入力・概要'!$E$11*1E-9))</f>
        <v/>
      </c>
      <c r="F206" s="195">
        <f>IF(B206="","",SINH(2*D206)/(COSH(2*D206)+COS(2*E206)))</f>
        <v/>
      </c>
      <c r="G206" s="195">
        <f>IF(B206="","",SIN(2*E206)/(COSH(2*D206)+COS(2*E206)))</f>
        <v/>
      </c>
      <c r="H206" s="195">
        <f>IF(B206="","",ATANH(MIN(0.999999,'入力・概要'!$E$21/'入力・概要'!$E$15))+'入力・概要'!$B$21*SQRT(B206/1E6)+I206*'入力・概要'!$B$16/2)</f>
        <v/>
      </c>
      <c r="I206" s="195">
        <f>IF(B206="","",C206*('入力・概要'!$E$17*1E-9))</f>
        <v/>
      </c>
      <c r="J206" s="195">
        <f>IF(B206="","",SINH(2*H206)/(COSH(2*H206)+COS(2*I206)))</f>
        <v/>
      </c>
      <c r="K206" s="195">
        <f>IF(B206="","",SIN(2*I206)/(COSH(2*H206)+COS(2*I206)))</f>
        <v/>
      </c>
      <c r="L206" s="195">
        <f>IF(B206="","",'入力・概要'!$B$25)</f>
        <v/>
      </c>
      <c r="M206" s="195">
        <f>IF(B206="","",C206*'入力・概要'!$B$26*1E-9-1/(C206*'入力・概要'!$B$24*1E-6))</f>
        <v/>
      </c>
      <c r="N206" s="195">
        <f>IF(B206="","",'入力・概要'!$B$28)</f>
        <v/>
      </c>
      <c r="O206" s="195">
        <f>IF(B206="","",C206*'入力・概要'!$B$29*1E-9-1/(C206*'入力・概要'!$B$27*1E-6))</f>
        <v/>
      </c>
      <c r="P206" s="195">
        <f>IF(B206="","",((L206*N206-M206*O206)*(L206+N206)+(L206*O206+M206*N206)*(M206+O206))/((L206+N206)^2+(M206+O206)^2))</f>
        <v/>
      </c>
      <c r="Q206" s="195">
        <f>IF(B206="","",((L206*O206+M206*N206)*(L206+N206)-(L206*N206-M206*O206)*(M206+O206))/((L206+N206)^2+(M206+O206)^2))</f>
        <v/>
      </c>
      <c r="R206" s="195">
        <f>IF(B206="","",'入力・概要'!$E$15*J206)</f>
        <v/>
      </c>
      <c r="S206" s="195">
        <f>IF(B206="","",'入力・概要'!$E$15*K206)</f>
        <v/>
      </c>
      <c r="T206" s="195">
        <f>IF(B206="","",P206+R206)</f>
        <v/>
      </c>
      <c r="U206" s="195">
        <f>IF(B206="","",Q206+S206)</f>
        <v/>
      </c>
      <c r="V206" s="195">
        <f>IF(B206="","",T206+'入力・概要'!$E$9*F206)</f>
        <v/>
      </c>
      <c r="W206" s="195">
        <f>IF(B206="","",U206+'入力・概要'!$E$9*G206)</f>
        <v/>
      </c>
      <c r="X206" s="195">
        <f>IF(B206="","",'入力・概要'!$E$9+T206*F206-U206*G206)</f>
        <v/>
      </c>
      <c r="Y206" s="195">
        <f>IF(B206="","",T206*G206+U206*F206)</f>
        <v/>
      </c>
      <c r="Z206" s="195">
        <f>IF(B206="","",'入力・概要'!$E$9*(V206*X206+W206*Y206)/(X206^2+Y206^2)+'入力・概要'!$B$36)</f>
        <v/>
      </c>
      <c r="AA206" s="195">
        <f>IF(B206="","",'入力・概要'!$E$9*(W206*X206-V206*Y206)/(X206^2+Y206^2)+C206*'入力・概要'!$B$37*1E-9)</f>
        <v/>
      </c>
      <c r="AB206" s="195">
        <f>IF(B206="","",SQRT(Z206^2+AA206^2))</f>
        <v/>
      </c>
      <c r="AC206" s="195">
        <f>IF(B206="","",IF(Z206&gt;0,DEGREES(ATAN(AA206/Z206)),IF(Z206&lt;0,IF(AA206&gt;=0,DEGREES(ATAN(AA206/Z206))+180,DEGREES(ATAN(AA206/Z206))-180),IF(AA206&gt;0,90,IF(AA206&lt;0,-90,0)))))</f>
        <v/>
      </c>
      <c r="AD206" s="195">
        <f>IF(B206="","",LOG10(B206))</f>
        <v/>
      </c>
      <c r="AE206" s="195">
        <f>IF(AB206="","",LOG10(MAX(AB206,1E-12)))</f>
        <v/>
      </c>
      <c r="AF206" s="195">
        <f>IF(B206="","",SQRT(P206^2+Q206^2))</f>
        <v/>
      </c>
      <c r="AG206" s="195">
        <f>IF(B206="","",SQRT(R206^2+S206^2))</f>
        <v/>
      </c>
    </row>
    <row r="207">
      <c r="A207" t="n">
        <v>204</v>
      </c>
      <c r="B207" s="196">
        <f>IF(A207&lt;='入力・概要'!$B$40,10^(LOG10('入力・概要'!$B$38)+(A207-1)*(LOG10('入力・概要'!$B$39)-LOG10('入力・概要'!$B$38))/('入力・概要'!$B$40-1)),"")</f>
        <v/>
      </c>
      <c r="C207" s="195">
        <f>IF(B207="","",2*PI()*B207)</f>
        <v/>
      </c>
      <c r="D207" s="195">
        <f>IF(B207="","",ATANH(MIN(0.999999,'入力・概要'!$E$20/'入力・概要'!$E$9))+'入力・概要'!$B$20*SQRT(B207/1E6)+E207*'入力・概要'!$B$15/2)</f>
        <v/>
      </c>
      <c r="E207" s="195">
        <f>IF(B207="","",C207*('入力・概要'!$E$11*1E-9))</f>
        <v/>
      </c>
      <c r="F207" s="195">
        <f>IF(B207="","",SINH(2*D207)/(COSH(2*D207)+COS(2*E207)))</f>
        <v/>
      </c>
      <c r="G207" s="195">
        <f>IF(B207="","",SIN(2*E207)/(COSH(2*D207)+COS(2*E207)))</f>
        <v/>
      </c>
      <c r="H207" s="195">
        <f>IF(B207="","",ATANH(MIN(0.999999,'入力・概要'!$E$21/'入力・概要'!$E$15))+'入力・概要'!$B$21*SQRT(B207/1E6)+I207*'入力・概要'!$B$16/2)</f>
        <v/>
      </c>
      <c r="I207" s="195">
        <f>IF(B207="","",C207*('入力・概要'!$E$17*1E-9))</f>
        <v/>
      </c>
      <c r="J207" s="195">
        <f>IF(B207="","",SINH(2*H207)/(COSH(2*H207)+COS(2*I207)))</f>
        <v/>
      </c>
      <c r="K207" s="195">
        <f>IF(B207="","",SIN(2*I207)/(COSH(2*H207)+COS(2*I207)))</f>
        <v/>
      </c>
      <c r="L207" s="195">
        <f>IF(B207="","",'入力・概要'!$B$25)</f>
        <v/>
      </c>
      <c r="M207" s="195">
        <f>IF(B207="","",C207*'入力・概要'!$B$26*1E-9-1/(C207*'入力・概要'!$B$24*1E-6))</f>
        <v/>
      </c>
      <c r="N207" s="195">
        <f>IF(B207="","",'入力・概要'!$B$28)</f>
        <v/>
      </c>
      <c r="O207" s="195">
        <f>IF(B207="","",C207*'入力・概要'!$B$29*1E-9-1/(C207*'入力・概要'!$B$27*1E-6))</f>
        <v/>
      </c>
      <c r="P207" s="195">
        <f>IF(B207="","",((L207*N207-M207*O207)*(L207+N207)+(L207*O207+M207*N207)*(M207+O207))/((L207+N207)^2+(M207+O207)^2))</f>
        <v/>
      </c>
      <c r="Q207" s="195">
        <f>IF(B207="","",((L207*O207+M207*N207)*(L207+N207)-(L207*N207-M207*O207)*(M207+O207))/((L207+N207)^2+(M207+O207)^2))</f>
        <v/>
      </c>
      <c r="R207" s="195">
        <f>IF(B207="","",'入力・概要'!$E$15*J207)</f>
        <v/>
      </c>
      <c r="S207" s="195">
        <f>IF(B207="","",'入力・概要'!$E$15*K207)</f>
        <v/>
      </c>
      <c r="T207" s="195">
        <f>IF(B207="","",P207+R207)</f>
        <v/>
      </c>
      <c r="U207" s="195">
        <f>IF(B207="","",Q207+S207)</f>
        <v/>
      </c>
      <c r="V207" s="195">
        <f>IF(B207="","",T207+'入力・概要'!$E$9*F207)</f>
        <v/>
      </c>
      <c r="W207" s="195">
        <f>IF(B207="","",U207+'入力・概要'!$E$9*G207)</f>
        <v/>
      </c>
      <c r="X207" s="195">
        <f>IF(B207="","",'入力・概要'!$E$9+T207*F207-U207*G207)</f>
        <v/>
      </c>
      <c r="Y207" s="195">
        <f>IF(B207="","",T207*G207+U207*F207)</f>
        <v/>
      </c>
      <c r="Z207" s="195">
        <f>IF(B207="","",'入力・概要'!$E$9*(V207*X207+W207*Y207)/(X207^2+Y207^2)+'入力・概要'!$B$36)</f>
        <v/>
      </c>
      <c r="AA207" s="195">
        <f>IF(B207="","",'入力・概要'!$E$9*(W207*X207-V207*Y207)/(X207^2+Y207^2)+C207*'入力・概要'!$B$37*1E-9)</f>
        <v/>
      </c>
      <c r="AB207" s="195">
        <f>IF(B207="","",SQRT(Z207^2+AA207^2))</f>
        <v/>
      </c>
      <c r="AC207" s="195">
        <f>IF(B207="","",IF(Z207&gt;0,DEGREES(ATAN(AA207/Z207)),IF(Z207&lt;0,IF(AA207&gt;=0,DEGREES(ATAN(AA207/Z207))+180,DEGREES(ATAN(AA207/Z207))-180),IF(AA207&gt;0,90,IF(AA207&lt;0,-90,0)))))</f>
        <v/>
      </c>
      <c r="AD207" s="195">
        <f>IF(B207="","",LOG10(B207))</f>
        <v/>
      </c>
      <c r="AE207" s="195">
        <f>IF(AB207="","",LOG10(MAX(AB207,1E-12)))</f>
        <v/>
      </c>
      <c r="AF207" s="195">
        <f>IF(B207="","",SQRT(P207^2+Q207^2))</f>
        <v/>
      </c>
      <c r="AG207" s="195">
        <f>IF(B207="","",SQRT(R207^2+S207^2))</f>
        <v/>
      </c>
    </row>
    <row r="208">
      <c r="A208" t="n">
        <v>205</v>
      </c>
      <c r="B208" s="196">
        <f>IF(A208&lt;='入力・概要'!$B$40,10^(LOG10('入力・概要'!$B$38)+(A208-1)*(LOG10('入力・概要'!$B$39)-LOG10('入力・概要'!$B$38))/('入力・概要'!$B$40-1)),"")</f>
        <v/>
      </c>
      <c r="C208" s="195">
        <f>IF(B208="","",2*PI()*B208)</f>
        <v/>
      </c>
      <c r="D208" s="195">
        <f>IF(B208="","",ATANH(MIN(0.999999,'入力・概要'!$E$20/'入力・概要'!$E$9))+'入力・概要'!$B$20*SQRT(B208/1E6)+E208*'入力・概要'!$B$15/2)</f>
        <v/>
      </c>
      <c r="E208" s="195">
        <f>IF(B208="","",C208*('入力・概要'!$E$11*1E-9))</f>
        <v/>
      </c>
      <c r="F208" s="195">
        <f>IF(B208="","",SINH(2*D208)/(COSH(2*D208)+COS(2*E208)))</f>
        <v/>
      </c>
      <c r="G208" s="195">
        <f>IF(B208="","",SIN(2*E208)/(COSH(2*D208)+COS(2*E208)))</f>
        <v/>
      </c>
      <c r="H208" s="195">
        <f>IF(B208="","",ATANH(MIN(0.999999,'入力・概要'!$E$21/'入力・概要'!$E$15))+'入力・概要'!$B$21*SQRT(B208/1E6)+I208*'入力・概要'!$B$16/2)</f>
        <v/>
      </c>
      <c r="I208" s="195">
        <f>IF(B208="","",C208*('入力・概要'!$E$17*1E-9))</f>
        <v/>
      </c>
      <c r="J208" s="195">
        <f>IF(B208="","",SINH(2*H208)/(COSH(2*H208)+COS(2*I208)))</f>
        <v/>
      </c>
      <c r="K208" s="195">
        <f>IF(B208="","",SIN(2*I208)/(COSH(2*H208)+COS(2*I208)))</f>
        <v/>
      </c>
      <c r="L208" s="195">
        <f>IF(B208="","",'入力・概要'!$B$25)</f>
        <v/>
      </c>
      <c r="M208" s="195">
        <f>IF(B208="","",C208*'入力・概要'!$B$26*1E-9-1/(C208*'入力・概要'!$B$24*1E-6))</f>
        <v/>
      </c>
      <c r="N208" s="195">
        <f>IF(B208="","",'入力・概要'!$B$28)</f>
        <v/>
      </c>
      <c r="O208" s="195">
        <f>IF(B208="","",C208*'入力・概要'!$B$29*1E-9-1/(C208*'入力・概要'!$B$27*1E-6))</f>
        <v/>
      </c>
      <c r="P208" s="195">
        <f>IF(B208="","",((L208*N208-M208*O208)*(L208+N208)+(L208*O208+M208*N208)*(M208+O208))/((L208+N208)^2+(M208+O208)^2))</f>
        <v/>
      </c>
      <c r="Q208" s="195">
        <f>IF(B208="","",((L208*O208+M208*N208)*(L208+N208)-(L208*N208-M208*O208)*(M208+O208))/((L208+N208)^2+(M208+O208)^2))</f>
        <v/>
      </c>
      <c r="R208" s="195">
        <f>IF(B208="","",'入力・概要'!$E$15*J208)</f>
        <v/>
      </c>
      <c r="S208" s="195">
        <f>IF(B208="","",'入力・概要'!$E$15*K208)</f>
        <v/>
      </c>
      <c r="T208" s="195">
        <f>IF(B208="","",P208+R208)</f>
        <v/>
      </c>
      <c r="U208" s="195">
        <f>IF(B208="","",Q208+S208)</f>
        <v/>
      </c>
      <c r="V208" s="195">
        <f>IF(B208="","",T208+'入力・概要'!$E$9*F208)</f>
        <v/>
      </c>
      <c r="W208" s="195">
        <f>IF(B208="","",U208+'入力・概要'!$E$9*G208)</f>
        <v/>
      </c>
      <c r="X208" s="195">
        <f>IF(B208="","",'入力・概要'!$E$9+T208*F208-U208*G208)</f>
        <v/>
      </c>
      <c r="Y208" s="195">
        <f>IF(B208="","",T208*G208+U208*F208)</f>
        <v/>
      </c>
      <c r="Z208" s="195">
        <f>IF(B208="","",'入力・概要'!$E$9*(V208*X208+W208*Y208)/(X208^2+Y208^2)+'入力・概要'!$B$36)</f>
        <v/>
      </c>
      <c r="AA208" s="195">
        <f>IF(B208="","",'入力・概要'!$E$9*(W208*X208-V208*Y208)/(X208^2+Y208^2)+C208*'入力・概要'!$B$37*1E-9)</f>
        <v/>
      </c>
      <c r="AB208" s="195">
        <f>IF(B208="","",SQRT(Z208^2+AA208^2))</f>
        <v/>
      </c>
      <c r="AC208" s="195">
        <f>IF(B208="","",IF(Z208&gt;0,DEGREES(ATAN(AA208/Z208)),IF(Z208&lt;0,IF(AA208&gt;=0,DEGREES(ATAN(AA208/Z208))+180,DEGREES(ATAN(AA208/Z208))-180),IF(AA208&gt;0,90,IF(AA208&lt;0,-90,0)))))</f>
        <v/>
      </c>
      <c r="AD208" s="195">
        <f>IF(B208="","",LOG10(B208))</f>
        <v/>
      </c>
      <c r="AE208" s="195">
        <f>IF(AB208="","",LOG10(MAX(AB208,1E-12)))</f>
        <v/>
      </c>
      <c r="AF208" s="195">
        <f>IF(B208="","",SQRT(P208^2+Q208^2))</f>
        <v/>
      </c>
      <c r="AG208" s="195">
        <f>IF(B208="","",SQRT(R208^2+S208^2))</f>
        <v/>
      </c>
    </row>
    <row r="209">
      <c r="A209" t="n">
        <v>206</v>
      </c>
      <c r="B209" s="196">
        <f>IF(A209&lt;='入力・概要'!$B$40,10^(LOG10('入力・概要'!$B$38)+(A209-1)*(LOG10('入力・概要'!$B$39)-LOG10('入力・概要'!$B$38))/('入力・概要'!$B$40-1)),"")</f>
        <v/>
      </c>
      <c r="C209" s="195">
        <f>IF(B209="","",2*PI()*B209)</f>
        <v/>
      </c>
      <c r="D209" s="195">
        <f>IF(B209="","",ATANH(MIN(0.999999,'入力・概要'!$E$20/'入力・概要'!$E$9))+'入力・概要'!$B$20*SQRT(B209/1E6)+E209*'入力・概要'!$B$15/2)</f>
        <v/>
      </c>
      <c r="E209" s="195">
        <f>IF(B209="","",C209*('入力・概要'!$E$11*1E-9))</f>
        <v/>
      </c>
      <c r="F209" s="195">
        <f>IF(B209="","",SINH(2*D209)/(COSH(2*D209)+COS(2*E209)))</f>
        <v/>
      </c>
      <c r="G209" s="195">
        <f>IF(B209="","",SIN(2*E209)/(COSH(2*D209)+COS(2*E209)))</f>
        <v/>
      </c>
      <c r="H209" s="195">
        <f>IF(B209="","",ATANH(MIN(0.999999,'入力・概要'!$E$21/'入力・概要'!$E$15))+'入力・概要'!$B$21*SQRT(B209/1E6)+I209*'入力・概要'!$B$16/2)</f>
        <v/>
      </c>
      <c r="I209" s="195">
        <f>IF(B209="","",C209*('入力・概要'!$E$17*1E-9))</f>
        <v/>
      </c>
      <c r="J209" s="195">
        <f>IF(B209="","",SINH(2*H209)/(COSH(2*H209)+COS(2*I209)))</f>
        <v/>
      </c>
      <c r="K209" s="195">
        <f>IF(B209="","",SIN(2*I209)/(COSH(2*H209)+COS(2*I209)))</f>
        <v/>
      </c>
      <c r="L209" s="195">
        <f>IF(B209="","",'入力・概要'!$B$25)</f>
        <v/>
      </c>
      <c r="M209" s="195">
        <f>IF(B209="","",C209*'入力・概要'!$B$26*1E-9-1/(C209*'入力・概要'!$B$24*1E-6))</f>
        <v/>
      </c>
      <c r="N209" s="195">
        <f>IF(B209="","",'入力・概要'!$B$28)</f>
        <v/>
      </c>
      <c r="O209" s="195">
        <f>IF(B209="","",C209*'入力・概要'!$B$29*1E-9-1/(C209*'入力・概要'!$B$27*1E-6))</f>
        <v/>
      </c>
      <c r="P209" s="195">
        <f>IF(B209="","",((L209*N209-M209*O209)*(L209+N209)+(L209*O209+M209*N209)*(M209+O209))/((L209+N209)^2+(M209+O209)^2))</f>
        <v/>
      </c>
      <c r="Q209" s="195">
        <f>IF(B209="","",((L209*O209+M209*N209)*(L209+N209)-(L209*N209-M209*O209)*(M209+O209))/((L209+N209)^2+(M209+O209)^2))</f>
        <v/>
      </c>
      <c r="R209" s="195">
        <f>IF(B209="","",'入力・概要'!$E$15*J209)</f>
        <v/>
      </c>
      <c r="S209" s="195">
        <f>IF(B209="","",'入力・概要'!$E$15*K209)</f>
        <v/>
      </c>
      <c r="T209" s="195">
        <f>IF(B209="","",P209+R209)</f>
        <v/>
      </c>
      <c r="U209" s="195">
        <f>IF(B209="","",Q209+S209)</f>
        <v/>
      </c>
      <c r="V209" s="195">
        <f>IF(B209="","",T209+'入力・概要'!$E$9*F209)</f>
        <v/>
      </c>
      <c r="W209" s="195">
        <f>IF(B209="","",U209+'入力・概要'!$E$9*G209)</f>
        <v/>
      </c>
      <c r="X209" s="195">
        <f>IF(B209="","",'入力・概要'!$E$9+T209*F209-U209*G209)</f>
        <v/>
      </c>
      <c r="Y209" s="195">
        <f>IF(B209="","",T209*G209+U209*F209)</f>
        <v/>
      </c>
      <c r="Z209" s="195">
        <f>IF(B209="","",'入力・概要'!$E$9*(V209*X209+W209*Y209)/(X209^2+Y209^2)+'入力・概要'!$B$36)</f>
        <v/>
      </c>
      <c r="AA209" s="195">
        <f>IF(B209="","",'入力・概要'!$E$9*(W209*X209-V209*Y209)/(X209^2+Y209^2)+C209*'入力・概要'!$B$37*1E-9)</f>
        <v/>
      </c>
      <c r="AB209" s="195">
        <f>IF(B209="","",SQRT(Z209^2+AA209^2))</f>
        <v/>
      </c>
      <c r="AC209" s="195">
        <f>IF(B209="","",IF(Z209&gt;0,DEGREES(ATAN(AA209/Z209)),IF(Z209&lt;0,IF(AA209&gt;=0,DEGREES(ATAN(AA209/Z209))+180,DEGREES(ATAN(AA209/Z209))-180),IF(AA209&gt;0,90,IF(AA209&lt;0,-90,0)))))</f>
        <v/>
      </c>
      <c r="AD209" s="195">
        <f>IF(B209="","",LOG10(B209))</f>
        <v/>
      </c>
      <c r="AE209" s="195">
        <f>IF(AB209="","",LOG10(MAX(AB209,1E-12)))</f>
        <v/>
      </c>
      <c r="AF209" s="195">
        <f>IF(B209="","",SQRT(P209^2+Q209^2))</f>
        <v/>
      </c>
      <c r="AG209" s="195">
        <f>IF(B209="","",SQRT(R209^2+S209^2))</f>
        <v/>
      </c>
    </row>
    <row r="210">
      <c r="A210" t="n">
        <v>207</v>
      </c>
      <c r="B210" s="196">
        <f>IF(A210&lt;='入力・概要'!$B$40,10^(LOG10('入力・概要'!$B$38)+(A210-1)*(LOG10('入力・概要'!$B$39)-LOG10('入力・概要'!$B$38))/('入力・概要'!$B$40-1)),"")</f>
        <v/>
      </c>
      <c r="C210" s="195">
        <f>IF(B210="","",2*PI()*B210)</f>
        <v/>
      </c>
      <c r="D210" s="195">
        <f>IF(B210="","",ATANH(MIN(0.999999,'入力・概要'!$E$20/'入力・概要'!$E$9))+'入力・概要'!$B$20*SQRT(B210/1E6)+E210*'入力・概要'!$B$15/2)</f>
        <v/>
      </c>
      <c r="E210" s="195">
        <f>IF(B210="","",C210*('入力・概要'!$E$11*1E-9))</f>
        <v/>
      </c>
      <c r="F210" s="195">
        <f>IF(B210="","",SINH(2*D210)/(COSH(2*D210)+COS(2*E210)))</f>
        <v/>
      </c>
      <c r="G210" s="195">
        <f>IF(B210="","",SIN(2*E210)/(COSH(2*D210)+COS(2*E210)))</f>
        <v/>
      </c>
      <c r="H210" s="195">
        <f>IF(B210="","",ATANH(MIN(0.999999,'入力・概要'!$E$21/'入力・概要'!$E$15))+'入力・概要'!$B$21*SQRT(B210/1E6)+I210*'入力・概要'!$B$16/2)</f>
        <v/>
      </c>
      <c r="I210" s="195">
        <f>IF(B210="","",C210*('入力・概要'!$E$17*1E-9))</f>
        <v/>
      </c>
      <c r="J210" s="195">
        <f>IF(B210="","",SINH(2*H210)/(COSH(2*H210)+COS(2*I210)))</f>
        <v/>
      </c>
      <c r="K210" s="195">
        <f>IF(B210="","",SIN(2*I210)/(COSH(2*H210)+COS(2*I210)))</f>
        <v/>
      </c>
      <c r="L210" s="195">
        <f>IF(B210="","",'入力・概要'!$B$25)</f>
        <v/>
      </c>
      <c r="M210" s="195">
        <f>IF(B210="","",C210*'入力・概要'!$B$26*1E-9-1/(C210*'入力・概要'!$B$24*1E-6))</f>
        <v/>
      </c>
      <c r="N210" s="195">
        <f>IF(B210="","",'入力・概要'!$B$28)</f>
        <v/>
      </c>
      <c r="O210" s="195">
        <f>IF(B210="","",C210*'入力・概要'!$B$29*1E-9-1/(C210*'入力・概要'!$B$27*1E-6))</f>
        <v/>
      </c>
      <c r="P210" s="195">
        <f>IF(B210="","",((L210*N210-M210*O210)*(L210+N210)+(L210*O210+M210*N210)*(M210+O210))/((L210+N210)^2+(M210+O210)^2))</f>
        <v/>
      </c>
      <c r="Q210" s="195">
        <f>IF(B210="","",((L210*O210+M210*N210)*(L210+N210)-(L210*N210-M210*O210)*(M210+O210))/((L210+N210)^2+(M210+O210)^2))</f>
        <v/>
      </c>
      <c r="R210" s="195">
        <f>IF(B210="","",'入力・概要'!$E$15*J210)</f>
        <v/>
      </c>
      <c r="S210" s="195">
        <f>IF(B210="","",'入力・概要'!$E$15*K210)</f>
        <v/>
      </c>
      <c r="T210" s="195">
        <f>IF(B210="","",P210+R210)</f>
        <v/>
      </c>
      <c r="U210" s="195">
        <f>IF(B210="","",Q210+S210)</f>
        <v/>
      </c>
      <c r="V210" s="195">
        <f>IF(B210="","",T210+'入力・概要'!$E$9*F210)</f>
        <v/>
      </c>
      <c r="W210" s="195">
        <f>IF(B210="","",U210+'入力・概要'!$E$9*G210)</f>
        <v/>
      </c>
      <c r="X210" s="195">
        <f>IF(B210="","",'入力・概要'!$E$9+T210*F210-U210*G210)</f>
        <v/>
      </c>
      <c r="Y210" s="195">
        <f>IF(B210="","",T210*G210+U210*F210)</f>
        <v/>
      </c>
      <c r="Z210" s="195">
        <f>IF(B210="","",'入力・概要'!$E$9*(V210*X210+W210*Y210)/(X210^2+Y210^2)+'入力・概要'!$B$36)</f>
        <v/>
      </c>
      <c r="AA210" s="195">
        <f>IF(B210="","",'入力・概要'!$E$9*(W210*X210-V210*Y210)/(X210^2+Y210^2)+C210*'入力・概要'!$B$37*1E-9)</f>
        <v/>
      </c>
      <c r="AB210" s="195">
        <f>IF(B210="","",SQRT(Z210^2+AA210^2))</f>
        <v/>
      </c>
      <c r="AC210" s="195">
        <f>IF(B210="","",IF(Z210&gt;0,DEGREES(ATAN(AA210/Z210)),IF(Z210&lt;0,IF(AA210&gt;=0,DEGREES(ATAN(AA210/Z210))+180,DEGREES(ATAN(AA210/Z210))-180),IF(AA210&gt;0,90,IF(AA210&lt;0,-90,0)))))</f>
        <v/>
      </c>
      <c r="AD210" s="195">
        <f>IF(B210="","",LOG10(B210))</f>
        <v/>
      </c>
      <c r="AE210" s="195">
        <f>IF(AB210="","",LOG10(MAX(AB210,1E-12)))</f>
        <v/>
      </c>
      <c r="AF210" s="195">
        <f>IF(B210="","",SQRT(P210^2+Q210^2))</f>
        <v/>
      </c>
      <c r="AG210" s="195">
        <f>IF(B210="","",SQRT(R210^2+S210^2))</f>
        <v/>
      </c>
    </row>
    <row r="211">
      <c r="A211" t="n">
        <v>208</v>
      </c>
      <c r="B211" s="196">
        <f>IF(A211&lt;='入力・概要'!$B$40,10^(LOG10('入力・概要'!$B$38)+(A211-1)*(LOG10('入力・概要'!$B$39)-LOG10('入力・概要'!$B$38))/('入力・概要'!$B$40-1)),"")</f>
        <v/>
      </c>
      <c r="C211" s="195">
        <f>IF(B211="","",2*PI()*B211)</f>
        <v/>
      </c>
      <c r="D211" s="195">
        <f>IF(B211="","",ATANH(MIN(0.999999,'入力・概要'!$E$20/'入力・概要'!$E$9))+'入力・概要'!$B$20*SQRT(B211/1E6)+E211*'入力・概要'!$B$15/2)</f>
        <v/>
      </c>
      <c r="E211" s="195">
        <f>IF(B211="","",C211*('入力・概要'!$E$11*1E-9))</f>
        <v/>
      </c>
      <c r="F211" s="195">
        <f>IF(B211="","",SINH(2*D211)/(COSH(2*D211)+COS(2*E211)))</f>
        <v/>
      </c>
      <c r="G211" s="195">
        <f>IF(B211="","",SIN(2*E211)/(COSH(2*D211)+COS(2*E211)))</f>
        <v/>
      </c>
      <c r="H211" s="195">
        <f>IF(B211="","",ATANH(MIN(0.999999,'入力・概要'!$E$21/'入力・概要'!$E$15))+'入力・概要'!$B$21*SQRT(B211/1E6)+I211*'入力・概要'!$B$16/2)</f>
        <v/>
      </c>
      <c r="I211" s="195">
        <f>IF(B211="","",C211*('入力・概要'!$E$17*1E-9))</f>
        <v/>
      </c>
      <c r="J211" s="195">
        <f>IF(B211="","",SINH(2*H211)/(COSH(2*H211)+COS(2*I211)))</f>
        <v/>
      </c>
      <c r="K211" s="195">
        <f>IF(B211="","",SIN(2*I211)/(COSH(2*H211)+COS(2*I211)))</f>
        <v/>
      </c>
      <c r="L211" s="195">
        <f>IF(B211="","",'入力・概要'!$B$25)</f>
        <v/>
      </c>
      <c r="M211" s="195">
        <f>IF(B211="","",C211*'入力・概要'!$B$26*1E-9-1/(C211*'入力・概要'!$B$24*1E-6))</f>
        <v/>
      </c>
      <c r="N211" s="195">
        <f>IF(B211="","",'入力・概要'!$B$28)</f>
        <v/>
      </c>
      <c r="O211" s="195">
        <f>IF(B211="","",C211*'入力・概要'!$B$29*1E-9-1/(C211*'入力・概要'!$B$27*1E-6))</f>
        <v/>
      </c>
      <c r="P211" s="195">
        <f>IF(B211="","",((L211*N211-M211*O211)*(L211+N211)+(L211*O211+M211*N211)*(M211+O211))/((L211+N211)^2+(M211+O211)^2))</f>
        <v/>
      </c>
      <c r="Q211" s="195">
        <f>IF(B211="","",((L211*O211+M211*N211)*(L211+N211)-(L211*N211-M211*O211)*(M211+O211))/((L211+N211)^2+(M211+O211)^2))</f>
        <v/>
      </c>
      <c r="R211" s="195">
        <f>IF(B211="","",'入力・概要'!$E$15*J211)</f>
        <v/>
      </c>
      <c r="S211" s="195">
        <f>IF(B211="","",'入力・概要'!$E$15*K211)</f>
        <v/>
      </c>
      <c r="T211" s="195">
        <f>IF(B211="","",P211+R211)</f>
        <v/>
      </c>
      <c r="U211" s="195">
        <f>IF(B211="","",Q211+S211)</f>
        <v/>
      </c>
      <c r="V211" s="195">
        <f>IF(B211="","",T211+'入力・概要'!$E$9*F211)</f>
        <v/>
      </c>
      <c r="W211" s="195">
        <f>IF(B211="","",U211+'入力・概要'!$E$9*G211)</f>
        <v/>
      </c>
      <c r="X211" s="195">
        <f>IF(B211="","",'入力・概要'!$E$9+T211*F211-U211*G211)</f>
        <v/>
      </c>
      <c r="Y211" s="195">
        <f>IF(B211="","",T211*G211+U211*F211)</f>
        <v/>
      </c>
      <c r="Z211" s="195">
        <f>IF(B211="","",'入力・概要'!$E$9*(V211*X211+W211*Y211)/(X211^2+Y211^2)+'入力・概要'!$B$36)</f>
        <v/>
      </c>
      <c r="AA211" s="195">
        <f>IF(B211="","",'入力・概要'!$E$9*(W211*X211-V211*Y211)/(X211^2+Y211^2)+C211*'入力・概要'!$B$37*1E-9)</f>
        <v/>
      </c>
      <c r="AB211" s="195">
        <f>IF(B211="","",SQRT(Z211^2+AA211^2))</f>
        <v/>
      </c>
      <c r="AC211" s="195">
        <f>IF(B211="","",IF(Z211&gt;0,DEGREES(ATAN(AA211/Z211)),IF(Z211&lt;0,IF(AA211&gt;=0,DEGREES(ATAN(AA211/Z211))+180,DEGREES(ATAN(AA211/Z211))-180),IF(AA211&gt;0,90,IF(AA211&lt;0,-90,0)))))</f>
        <v/>
      </c>
      <c r="AD211" s="195">
        <f>IF(B211="","",LOG10(B211))</f>
        <v/>
      </c>
      <c r="AE211" s="195">
        <f>IF(AB211="","",LOG10(MAX(AB211,1E-12)))</f>
        <v/>
      </c>
      <c r="AF211" s="195">
        <f>IF(B211="","",SQRT(P211^2+Q211^2))</f>
        <v/>
      </c>
      <c r="AG211" s="195">
        <f>IF(B211="","",SQRT(R211^2+S211^2))</f>
        <v/>
      </c>
    </row>
    <row r="212">
      <c r="A212" t="n">
        <v>209</v>
      </c>
      <c r="B212" s="196">
        <f>IF(A212&lt;='入力・概要'!$B$40,10^(LOG10('入力・概要'!$B$38)+(A212-1)*(LOG10('入力・概要'!$B$39)-LOG10('入力・概要'!$B$38))/('入力・概要'!$B$40-1)),"")</f>
        <v/>
      </c>
      <c r="C212" s="195">
        <f>IF(B212="","",2*PI()*B212)</f>
        <v/>
      </c>
      <c r="D212" s="195">
        <f>IF(B212="","",ATANH(MIN(0.999999,'入力・概要'!$E$20/'入力・概要'!$E$9))+'入力・概要'!$B$20*SQRT(B212/1E6)+E212*'入力・概要'!$B$15/2)</f>
        <v/>
      </c>
      <c r="E212" s="195">
        <f>IF(B212="","",C212*('入力・概要'!$E$11*1E-9))</f>
        <v/>
      </c>
      <c r="F212" s="195">
        <f>IF(B212="","",SINH(2*D212)/(COSH(2*D212)+COS(2*E212)))</f>
        <v/>
      </c>
      <c r="G212" s="195">
        <f>IF(B212="","",SIN(2*E212)/(COSH(2*D212)+COS(2*E212)))</f>
        <v/>
      </c>
      <c r="H212" s="195">
        <f>IF(B212="","",ATANH(MIN(0.999999,'入力・概要'!$E$21/'入力・概要'!$E$15))+'入力・概要'!$B$21*SQRT(B212/1E6)+I212*'入力・概要'!$B$16/2)</f>
        <v/>
      </c>
      <c r="I212" s="195">
        <f>IF(B212="","",C212*('入力・概要'!$E$17*1E-9))</f>
        <v/>
      </c>
      <c r="J212" s="195">
        <f>IF(B212="","",SINH(2*H212)/(COSH(2*H212)+COS(2*I212)))</f>
        <v/>
      </c>
      <c r="K212" s="195">
        <f>IF(B212="","",SIN(2*I212)/(COSH(2*H212)+COS(2*I212)))</f>
        <v/>
      </c>
      <c r="L212" s="195">
        <f>IF(B212="","",'入力・概要'!$B$25)</f>
        <v/>
      </c>
      <c r="M212" s="195">
        <f>IF(B212="","",C212*'入力・概要'!$B$26*1E-9-1/(C212*'入力・概要'!$B$24*1E-6))</f>
        <v/>
      </c>
      <c r="N212" s="195">
        <f>IF(B212="","",'入力・概要'!$B$28)</f>
        <v/>
      </c>
      <c r="O212" s="195">
        <f>IF(B212="","",C212*'入力・概要'!$B$29*1E-9-1/(C212*'入力・概要'!$B$27*1E-6))</f>
        <v/>
      </c>
      <c r="P212" s="195">
        <f>IF(B212="","",((L212*N212-M212*O212)*(L212+N212)+(L212*O212+M212*N212)*(M212+O212))/((L212+N212)^2+(M212+O212)^2))</f>
        <v/>
      </c>
      <c r="Q212" s="195">
        <f>IF(B212="","",((L212*O212+M212*N212)*(L212+N212)-(L212*N212-M212*O212)*(M212+O212))/((L212+N212)^2+(M212+O212)^2))</f>
        <v/>
      </c>
      <c r="R212" s="195">
        <f>IF(B212="","",'入力・概要'!$E$15*J212)</f>
        <v/>
      </c>
      <c r="S212" s="195">
        <f>IF(B212="","",'入力・概要'!$E$15*K212)</f>
        <v/>
      </c>
      <c r="T212" s="195">
        <f>IF(B212="","",P212+R212)</f>
        <v/>
      </c>
      <c r="U212" s="195">
        <f>IF(B212="","",Q212+S212)</f>
        <v/>
      </c>
      <c r="V212" s="195">
        <f>IF(B212="","",T212+'入力・概要'!$E$9*F212)</f>
        <v/>
      </c>
      <c r="W212" s="195">
        <f>IF(B212="","",U212+'入力・概要'!$E$9*G212)</f>
        <v/>
      </c>
      <c r="X212" s="195">
        <f>IF(B212="","",'入力・概要'!$E$9+T212*F212-U212*G212)</f>
        <v/>
      </c>
      <c r="Y212" s="195">
        <f>IF(B212="","",T212*G212+U212*F212)</f>
        <v/>
      </c>
      <c r="Z212" s="195">
        <f>IF(B212="","",'入力・概要'!$E$9*(V212*X212+W212*Y212)/(X212^2+Y212^2)+'入力・概要'!$B$36)</f>
        <v/>
      </c>
      <c r="AA212" s="195">
        <f>IF(B212="","",'入力・概要'!$E$9*(W212*X212-V212*Y212)/(X212^2+Y212^2)+C212*'入力・概要'!$B$37*1E-9)</f>
        <v/>
      </c>
      <c r="AB212" s="195">
        <f>IF(B212="","",SQRT(Z212^2+AA212^2))</f>
        <v/>
      </c>
      <c r="AC212" s="195">
        <f>IF(B212="","",IF(Z212&gt;0,DEGREES(ATAN(AA212/Z212)),IF(Z212&lt;0,IF(AA212&gt;=0,DEGREES(ATAN(AA212/Z212))+180,DEGREES(ATAN(AA212/Z212))-180),IF(AA212&gt;0,90,IF(AA212&lt;0,-90,0)))))</f>
        <v/>
      </c>
      <c r="AD212" s="195">
        <f>IF(B212="","",LOG10(B212))</f>
        <v/>
      </c>
      <c r="AE212" s="195">
        <f>IF(AB212="","",LOG10(MAX(AB212,1E-12)))</f>
        <v/>
      </c>
      <c r="AF212" s="195">
        <f>IF(B212="","",SQRT(P212^2+Q212^2))</f>
        <v/>
      </c>
      <c r="AG212" s="195">
        <f>IF(B212="","",SQRT(R212^2+S212^2))</f>
        <v/>
      </c>
    </row>
    <row r="213">
      <c r="A213" t="n">
        <v>210</v>
      </c>
      <c r="B213" s="196">
        <f>IF(A213&lt;='入力・概要'!$B$40,10^(LOG10('入力・概要'!$B$38)+(A213-1)*(LOG10('入力・概要'!$B$39)-LOG10('入力・概要'!$B$38))/('入力・概要'!$B$40-1)),"")</f>
        <v/>
      </c>
      <c r="C213" s="195">
        <f>IF(B213="","",2*PI()*B213)</f>
        <v/>
      </c>
      <c r="D213" s="195">
        <f>IF(B213="","",ATANH(MIN(0.999999,'入力・概要'!$E$20/'入力・概要'!$E$9))+'入力・概要'!$B$20*SQRT(B213/1E6)+E213*'入力・概要'!$B$15/2)</f>
        <v/>
      </c>
      <c r="E213" s="195">
        <f>IF(B213="","",C213*('入力・概要'!$E$11*1E-9))</f>
        <v/>
      </c>
      <c r="F213" s="195">
        <f>IF(B213="","",SINH(2*D213)/(COSH(2*D213)+COS(2*E213)))</f>
        <v/>
      </c>
      <c r="G213" s="195">
        <f>IF(B213="","",SIN(2*E213)/(COSH(2*D213)+COS(2*E213)))</f>
        <v/>
      </c>
      <c r="H213" s="195">
        <f>IF(B213="","",ATANH(MIN(0.999999,'入力・概要'!$E$21/'入力・概要'!$E$15))+'入力・概要'!$B$21*SQRT(B213/1E6)+I213*'入力・概要'!$B$16/2)</f>
        <v/>
      </c>
      <c r="I213" s="195">
        <f>IF(B213="","",C213*('入力・概要'!$E$17*1E-9))</f>
        <v/>
      </c>
      <c r="J213" s="195">
        <f>IF(B213="","",SINH(2*H213)/(COSH(2*H213)+COS(2*I213)))</f>
        <v/>
      </c>
      <c r="K213" s="195">
        <f>IF(B213="","",SIN(2*I213)/(COSH(2*H213)+COS(2*I213)))</f>
        <v/>
      </c>
      <c r="L213" s="195">
        <f>IF(B213="","",'入力・概要'!$B$25)</f>
        <v/>
      </c>
      <c r="M213" s="195">
        <f>IF(B213="","",C213*'入力・概要'!$B$26*1E-9-1/(C213*'入力・概要'!$B$24*1E-6))</f>
        <v/>
      </c>
      <c r="N213" s="195">
        <f>IF(B213="","",'入力・概要'!$B$28)</f>
        <v/>
      </c>
      <c r="O213" s="195">
        <f>IF(B213="","",C213*'入力・概要'!$B$29*1E-9-1/(C213*'入力・概要'!$B$27*1E-6))</f>
        <v/>
      </c>
      <c r="P213" s="195">
        <f>IF(B213="","",((L213*N213-M213*O213)*(L213+N213)+(L213*O213+M213*N213)*(M213+O213))/((L213+N213)^2+(M213+O213)^2))</f>
        <v/>
      </c>
      <c r="Q213" s="195">
        <f>IF(B213="","",((L213*O213+M213*N213)*(L213+N213)-(L213*N213-M213*O213)*(M213+O213))/((L213+N213)^2+(M213+O213)^2))</f>
        <v/>
      </c>
      <c r="R213" s="195">
        <f>IF(B213="","",'入力・概要'!$E$15*J213)</f>
        <v/>
      </c>
      <c r="S213" s="195">
        <f>IF(B213="","",'入力・概要'!$E$15*K213)</f>
        <v/>
      </c>
      <c r="T213" s="195">
        <f>IF(B213="","",P213+R213)</f>
        <v/>
      </c>
      <c r="U213" s="195">
        <f>IF(B213="","",Q213+S213)</f>
        <v/>
      </c>
      <c r="V213" s="195">
        <f>IF(B213="","",T213+'入力・概要'!$E$9*F213)</f>
        <v/>
      </c>
      <c r="W213" s="195">
        <f>IF(B213="","",U213+'入力・概要'!$E$9*G213)</f>
        <v/>
      </c>
      <c r="X213" s="195">
        <f>IF(B213="","",'入力・概要'!$E$9+T213*F213-U213*G213)</f>
        <v/>
      </c>
      <c r="Y213" s="195">
        <f>IF(B213="","",T213*G213+U213*F213)</f>
        <v/>
      </c>
      <c r="Z213" s="195">
        <f>IF(B213="","",'入力・概要'!$E$9*(V213*X213+W213*Y213)/(X213^2+Y213^2)+'入力・概要'!$B$36)</f>
        <v/>
      </c>
      <c r="AA213" s="195">
        <f>IF(B213="","",'入力・概要'!$E$9*(W213*X213-V213*Y213)/(X213^2+Y213^2)+C213*'入力・概要'!$B$37*1E-9)</f>
        <v/>
      </c>
      <c r="AB213" s="195">
        <f>IF(B213="","",SQRT(Z213^2+AA213^2))</f>
        <v/>
      </c>
      <c r="AC213" s="195">
        <f>IF(B213="","",IF(Z213&gt;0,DEGREES(ATAN(AA213/Z213)),IF(Z213&lt;0,IF(AA213&gt;=0,DEGREES(ATAN(AA213/Z213))+180,DEGREES(ATAN(AA213/Z213))-180),IF(AA213&gt;0,90,IF(AA213&lt;0,-90,0)))))</f>
        <v/>
      </c>
      <c r="AD213" s="195">
        <f>IF(B213="","",LOG10(B213))</f>
        <v/>
      </c>
      <c r="AE213" s="195">
        <f>IF(AB213="","",LOG10(MAX(AB213,1E-12)))</f>
        <v/>
      </c>
      <c r="AF213" s="195">
        <f>IF(B213="","",SQRT(P213^2+Q213^2))</f>
        <v/>
      </c>
      <c r="AG213" s="195">
        <f>IF(B213="","",SQRT(R213^2+S213^2))</f>
        <v/>
      </c>
    </row>
    <row r="214">
      <c r="A214" t="n">
        <v>211</v>
      </c>
      <c r="B214" s="196">
        <f>IF(A214&lt;='入力・概要'!$B$40,10^(LOG10('入力・概要'!$B$38)+(A214-1)*(LOG10('入力・概要'!$B$39)-LOG10('入力・概要'!$B$38))/('入力・概要'!$B$40-1)),"")</f>
        <v/>
      </c>
      <c r="C214" s="195">
        <f>IF(B214="","",2*PI()*B214)</f>
        <v/>
      </c>
      <c r="D214" s="195">
        <f>IF(B214="","",ATANH(MIN(0.999999,'入力・概要'!$E$20/'入力・概要'!$E$9))+'入力・概要'!$B$20*SQRT(B214/1E6)+E214*'入力・概要'!$B$15/2)</f>
        <v/>
      </c>
      <c r="E214" s="195">
        <f>IF(B214="","",C214*('入力・概要'!$E$11*1E-9))</f>
        <v/>
      </c>
      <c r="F214" s="195">
        <f>IF(B214="","",SINH(2*D214)/(COSH(2*D214)+COS(2*E214)))</f>
        <v/>
      </c>
      <c r="G214" s="195">
        <f>IF(B214="","",SIN(2*E214)/(COSH(2*D214)+COS(2*E214)))</f>
        <v/>
      </c>
      <c r="H214" s="195">
        <f>IF(B214="","",ATANH(MIN(0.999999,'入力・概要'!$E$21/'入力・概要'!$E$15))+'入力・概要'!$B$21*SQRT(B214/1E6)+I214*'入力・概要'!$B$16/2)</f>
        <v/>
      </c>
      <c r="I214" s="195">
        <f>IF(B214="","",C214*('入力・概要'!$E$17*1E-9))</f>
        <v/>
      </c>
      <c r="J214" s="195">
        <f>IF(B214="","",SINH(2*H214)/(COSH(2*H214)+COS(2*I214)))</f>
        <v/>
      </c>
      <c r="K214" s="195">
        <f>IF(B214="","",SIN(2*I214)/(COSH(2*H214)+COS(2*I214)))</f>
        <v/>
      </c>
      <c r="L214" s="195">
        <f>IF(B214="","",'入力・概要'!$B$25)</f>
        <v/>
      </c>
      <c r="M214" s="195">
        <f>IF(B214="","",C214*'入力・概要'!$B$26*1E-9-1/(C214*'入力・概要'!$B$24*1E-6))</f>
        <v/>
      </c>
      <c r="N214" s="195">
        <f>IF(B214="","",'入力・概要'!$B$28)</f>
        <v/>
      </c>
      <c r="O214" s="195">
        <f>IF(B214="","",C214*'入力・概要'!$B$29*1E-9-1/(C214*'入力・概要'!$B$27*1E-6))</f>
        <v/>
      </c>
      <c r="P214" s="195">
        <f>IF(B214="","",((L214*N214-M214*O214)*(L214+N214)+(L214*O214+M214*N214)*(M214+O214))/((L214+N214)^2+(M214+O214)^2))</f>
        <v/>
      </c>
      <c r="Q214" s="195">
        <f>IF(B214="","",((L214*O214+M214*N214)*(L214+N214)-(L214*N214-M214*O214)*(M214+O214))/((L214+N214)^2+(M214+O214)^2))</f>
        <v/>
      </c>
      <c r="R214" s="195">
        <f>IF(B214="","",'入力・概要'!$E$15*J214)</f>
        <v/>
      </c>
      <c r="S214" s="195">
        <f>IF(B214="","",'入力・概要'!$E$15*K214)</f>
        <v/>
      </c>
      <c r="T214" s="195">
        <f>IF(B214="","",P214+R214)</f>
        <v/>
      </c>
      <c r="U214" s="195">
        <f>IF(B214="","",Q214+S214)</f>
        <v/>
      </c>
      <c r="V214" s="195">
        <f>IF(B214="","",T214+'入力・概要'!$E$9*F214)</f>
        <v/>
      </c>
      <c r="W214" s="195">
        <f>IF(B214="","",U214+'入力・概要'!$E$9*G214)</f>
        <v/>
      </c>
      <c r="X214" s="195">
        <f>IF(B214="","",'入力・概要'!$E$9+T214*F214-U214*G214)</f>
        <v/>
      </c>
      <c r="Y214" s="195">
        <f>IF(B214="","",T214*G214+U214*F214)</f>
        <v/>
      </c>
      <c r="Z214" s="195">
        <f>IF(B214="","",'入力・概要'!$E$9*(V214*X214+W214*Y214)/(X214^2+Y214^2)+'入力・概要'!$B$36)</f>
        <v/>
      </c>
      <c r="AA214" s="195">
        <f>IF(B214="","",'入力・概要'!$E$9*(W214*X214-V214*Y214)/(X214^2+Y214^2)+C214*'入力・概要'!$B$37*1E-9)</f>
        <v/>
      </c>
      <c r="AB214" s="195">
        <f>IF(B214="","",SQRT(Z214^2+AA214^2))</f>
        <v/>
      </c>
      <c r="AC214" s="195">
        <f>IF(B214="","",IF(Z214&gt;0,DEGREES(ATAN(AA214/Z214)),IF(Z214&lt;0,IF(AA214&gt;=0,DEGREES(ATAN(AA214/Z214))+180,DEGREES(ATAN(AA214/Z214))-180),IF(AA214&gt;0,90,IF(AA214&lt;0,-90,0)))))</f>
        <v/>
      </c>
      <c r="AD214" s="195">
        <f>IF(B214="","",LOG10(B214))</f>
        <v/>
      </c>
      <c r="AE214" s="195">
        <f>IF(AB214="","",LOG10(MAX(AB214,1E-12)))</f>
        <v/>
      </c>
      <c r="AF214" s="195">
        <f>IF(B214="","",SQRT(P214^2+Q214^2))</f>
        <v/>
      </c>
      <c r="AG214" s="195">
        <f>IF(B214="","",SQRT(R214^2+S214^2))</f>
        <v/>
      </c>
    </row>
    <row r="215">
      <c r="A215" t="n">
        <v>212</v>
      </c>
      <c r="B215" s="196">
        <f>IF(A215&lt;='入力・概要'!$B$40,10^(LOG10('入力・概要'!$B$38)+(A215-1)*(LOG10('入力・概要'!$B$39)-LOG10('入力・概要'!$B$38))/('入力・概要'!$B$40-1)),"")</f>
        <v/>
      </c>
      <c r="C215" s="195">
        <f>IF(B215="","",2*PI()*B215)</f>
        <v/>
      </c>
      <c r="D215" s="195">
        <f>IF(B215="","",ATANH(MIN(0.999999,'入力・概要'!$E$20/'入力・概要'!$E$9))+'入力・概要'!$B$20*SQRT(B215/1E6)+E215*'入力・概要'!$B$15/2)</f>
        <v/>
      </c>
      <c r="E215" s="195">
        <f>IF(B215="","",C215*('入力・概要'!$E$11*1E-9))</f>
        <v/>
      </c>
      <c r="F215" s="195">
        <f>IF(B215="","",SINH(2*D215)/(COSH(2*D215)+COS(2*E215)))</f>
        <v/>
      </c>
      <c r="G215" s="195">
        <f>IF(B215="","",SIN(2*E215)/(COSH(2*D215)+COS(2*E215)))</f>
        <v/>
      </c>
      <c r="H215" s="195">
        <f>IF(B215="","",ATANH(MIN(0.999999,'入力・概要'!$E$21/'入力・概要'!$E$15))+'入力・概要'!$B$21*SQRT(B215/1E6)+I215*'入力・概要'!$B$16/2)</f>
        <v/>
      </c>
      <c r="I215" s="195">
        <f>IF(B215="","",C215*('入力・概要'!$E$17*1E-9))</f>
        <v/>
      </c>
      <c r="J215" s="195">
        <f>IF(B215="","",SINH(2*H215)/(COSH(2*H215)+COS(2*I215)))</f>
        <v/>
      </c>
      <c r="K215" s="195">
        <f>IF(B215="","",SIN(2*I215)/(COSH(2*H215)+COS(2*I215)))</f>
        <v/>
      </c>
      <c r="L215" s="195">
        <f>IF(B215="","",'入力・概要'!$B$25)</f>
        <v/>
      </c>
      <c r="M215" s="195">
        <f>IF(B215="","",C215*'入力・概要'!$B$26*1E-9-1/(C215*'入力・概要'!$B$24*1E-6))</f>
        <v/>
      </c>
      <c r="N215" s="195">
        <f>IF(B215="","",'入力・概要'!$B$28)</f>
        <v/>
      </c>
      <c r="O215" s="195">
        <f>IF(B215="","",C215*'入力・概要'!$B$29*1E-9-1/(C215*'入力・概要'!$B$27*1E-6))</f>
        <v/>
      </c>
      <c r="P215" s="195">
        <f>IF(B215="","",((L215*N215-M215*O215)*(L215+N215)+(L215*O215+M215*N215)*(M215+O215))/((L215+N215)^2+(M215+O215)^2))</f>
        <v/>
      </c>
      <c r="Q215" s="195">
        <f>IF(B215="","",((L215*O215+M215*N215)*(L215+N215)-(L215*N215-M215*O215)*(M215+O215))/((L215+N215)^2+(M215+O215)^2))</f>
        <v/>
      </c>
      <c r="R215" s="195">
        <f>IF(B215="","",'入力・概要'!$E$15*J215)</f>
        <v/>
      </c>
      <c r="S215" s="195">
        <f>IF(B215="","",'入力・概要'!$E$15*K215)</f>
        <v/>
      </c>
      <c r="T215" s="195">
        <f>IF(B215="","",P215+R215)</f>
        <v/>
      </c>
      <c r="U215" s="195">
        <f>IF(B215="","",Q215+S215)</f>
        <v/>
      </c>
      <c r="V215" s="195">
        <f>IF(B215="","",T215+'入力・概要'!$E$9*F215)</f>
        <v/>
      </c>
      <c r="W215" s="195">
        <f>IF(B215="","",U215+'入力・概要'!$E$9*G215)</f>
        <v/>
      </c>
      <c r="X215" s="195">
        <f>IF(B215="","",'入力・概要'!$E$9+T215*F215-U215*G215)</f>
        <v/>
      </c>
      <c r="Y215" s="195">
        <f>IF(B215="","",T215*G215+U215*F215)</f>
        <v/>
      </c>
      <c r="Z215" s="195">
        <f>IF(B215="","",'入力・概要'!$E$9*(V215*X215+W215*Y215)/(X215^2+Y215^2)+'入力・概要'!$B$36)</f>
        <v/>
      </c>
      <c r="AA215" s="195">
        <f>IF(B215="","",'入力・概要'!$E$9*(W215*X215-V215*Y215)/(X215^2+Y215^2)+C215*'入力・概要'!$B$37*1E-9)</f>
        <v/>
      </c>
      <c r="AB215" s="195">
        <f>IF(B215="","",SQRT(Z215^2+AA215^2))</f>
        <v/>
      </c>
      <c r="AC215" s="195">
        <f>IF(B215="","",IF(Z215&gt;0,DEGREES(ATAN(AA215/Z215)),IF(Z215&lt;0,IF(AA215&gt;=0,DEGREES(ATAN(AA215/Z215))+180,DEGREES(ATAN(AA215/Z215))-180),IF(AA215&gt;0,90,IF(AA215&lt;0,-90,0)))))</f>
        <v/>
      </c>
      <c r="AD215" s="195">
        <f>IF(B215="","",LOG10(B215))</f>
        <v/>
      </c>
      <c r="AE215" s="195">
        <f>IF(AB215="","",LOG10(MAX(AB215,1E-12)))</f>
        <v/>
      </c>
      <c r="AF215" s="195">
        <f>IF(B215="","",SQRT(P215^2+Q215^2))</f>
        <v/>
      </c>
      <c r="AG215" s="195">
        <f>IF(B215="","",SQRT(R215^2+S215^2))</f>
        <v/>
      </c>
    </row>
    <row r="216">
      <c r="A216" t="n">
        <v>213</v>
      </c>
      <c r="B216" s="196">
        <f>IF(A216&lt;='入力・概要'!$B$40,10^(LOG10('入力・概要'!$B$38)+(A216-1)*(LOG10('入力・概要'!$B$39)-LOG10('入力・概要'!$B$38))/('入力・概要'!$B$40-1)),"")</f>
        <v/>
      </c>
      <c r="C216" s="195">
        <f>IF(B216="","",2*PI()*B216)</f>
        <v/>
      </c>
      <c r="D216" s="195">
        <f>IF(B216="","",ATANH(MIN(0.999999,'入力・概要'!$E$20/'入力・概要'!$E$9))+'入力・概要'!$B$20*SQRT(B216/1E6)+E216*'入力・概要'!$B$15/2)</f>
        <v/>
      </c>
      <c r="E216" s="195">
        <f>IF(B216="","",C216*('入力・概要'!$E$11*1E-9))</f>
        <v/>
      </c>
      <c r="F216" s="195">
        <f>IF(B216="","",SINH(2*D216)/(COSH(2*D216)+COS(2*E216)))</f>
        <v/>
      </c>
      <c r="G216" s="195">
        <f>IF(B216="","",SIN(2*E216)/(COSH(2*D216)+COS(2*E216)))</f>
        <v/>
      </c>
      <c r="H216" s="195">
        <f>IF(B216="","",ATANH(MIN(0.999999,'入力・概要'!$E$21/'入力・概要'!$E$15))+'入力・概要'!$B$21*SQRT(B216/1E6)+I216*'入力・概要'!$B$16/2)</f>
        <v/>
      </c>
      <c r="I216" s="195">
        <f>IF(B216="","",C216*('入力・概要'!$E$17*1E-9))</f>
        <v/>
      </c>
      <c r="J216" s="195">
        <f>IF(B216="","",SINH(2*H216)/(COSH(2*H216)+COS(2*I216)))</f>
        <v/>
      </c>
      <c r="K216" s="195">
        <f>IF(B216="","",SIN(2*I216)/(COSH(2*H216)+COS(2*I216)))</f>
        <v/>
      </c>
      <c r="L216" s="195">
        <f>IF(B216="","",'入力・概要'!$B$25)</f>
        <v/>
      </c>
      <c r="M216" s="195">
        <f>IF(B216="","",C216*'入力・概要'!$B$26*1E-9-1/(C216*'入力・概要'!$B$24*1E-6))</f>
        <v/>
      </c>
      <c r="N216" s="195">
        <f>IF(B216="","",'入力・概要'!$B$28)</f>
        <v/>
      </c>
      <c r="O216" s="195">
        <f>IF(B216="","",C216*'入力・概要'!$B$29*1E-9-1/(C216*'入力・概要'!$B$27*1E-6))</f>
        <v/>
      </c>
      <c r="P216" s="195">
        <f>IF(B216="","",((L216*N216-M216*O216)*(L216+N216)+(L216*O216+M216*N216)*(M216+O216))/((L216+N216)^2+(M216+O216)^2))</f>
        <v/>
      </c>
      <c r="Q216" s="195">
        <f>IF(B216="","",((L216*O216+M216*N216)*(L216+N216)-(L216*N216-M216*O216)*(M216+O216))/((L216+N216)^2+(M216+O216)^2))</f>
        <v/>
      </c>
      <c r="R216" s="195">
        <f>IF(B216="","",'入力・概要'!$E$15*J216)</f>
        <v/>
      </c>
      <c r="S216" s="195">
        <f>IF(B216="","",'入力・概要'!$E$15*K216)</f>
        <v/>
      </c>
      <c r="T216" s="195">
        <f>IF(B216="","",P216+R216)</f>
        <v/>
      </c>
      <c r="U216" s="195">
        <f>IF(B216="","",Q216+S216)</f>
        <v/>
      </c>
      <c r="V216" s="195">
        <f>IF(B216="","",T216+'入力・概要'!$E$9*F216)</f>
        <v/>
      </c>
      <c r="W216" s="195">
        <f>IF(B216="","",U216+'入力・概要'!$E$9*G216)</f>
        <v/>
      </c>
      <c r="X216" s="195">
        <f>IF(B216="","",'入力・概要'!$E$9+T216*F216-U216*G216)</f>
        <v/>
      </c>
      <c r="Y216" s="195">
        <f>IF(B216="","",T216*G216+U216*F216)</f>
        <v/>
      </c>
      <c r="Z216" s="195">
        <f>IF(B216="","",'入力・概要'!$E$9*(V216*X216+W216*Y216)/(X216^2+Y216^2)+'入力・概要'!$B$36)</f>
        <v/>
      </c>
      <c r="AA216" s="195">
        <f>IF(B216="","",'入力・概要'!$E$9*(W216*X216-V216*Y216)/(X216^2+Y216^2)+C216*'入力・概要'!$B$37*1E-9)</f>
        <v/>
      </c>
      <c r="AB216" s="195">
        <f>IF(B216="","",SQRT(Z216^2+AA216^2))</f>
        <v/>
      </c>
      <c r="AC216" s="195">
        <f>IF(B216="","",IF(Z216&gt;0,DEGREES(ATAN(AA216/Z216)),IF(Z216&lt;0,IF(AA216&gt;=0,DEGREES(ATAN(AA216/Z216))+180,DEGREES(ATAN(AA216/Z216))-180),IF(AA216&gt;0,90,IF(AA216&lt;0,-90,0)))))</f>
        <v/>
      </c>
      <c r="AD216" s="195">
        <f>IF(B216="","",LOG10(B216))</f>
        <v/>
      </c>
      <c r="AE216" s="195">
        <f>IF(AB216="","",LOG10(MAX(AB216,1E-12)))</f>
        <v/>
      </c>
      <c r="AF216" s="195">
        <f>IF(B216="","",SQRT(P216^2+Q216^2))</f>
        <v/>
      </c>
      <c r="AG216" s="195">
        <f>IF(B216="","",SQRT(R216^2+S216^2))</f>
        <v/>
      </c>
    </row>
    <row r="217">
      <c r="A217" t="n">
        <v>214</v>
      </c>
      <c r="B217" s="196">
        <f>IF(A217&lt;='入力・概要'!$B$40,10^(LOG10('入力・概要'!$B$38)+(A217-1)*(LOG10('入力・概要'!$B$39)-LOG10('入力・概要'!$B$38))/('入力・概要'!$B$40-1)),"")</f>
        <v/>
      </c>
      <c r="C217" s="195">
        <f>IF(B217="","",2*PI()*B217)</f>
        <v/>
      </c>
      <c r="D217" s="195">
        <f>IF(B217="","",ATANH(MIN(0.999999,'入力・概要'!$E$20/'入力・概要'!$E$9))+'入力・概要'!$B$20*SQRT(B217/1E6)+E217*'入力・概要'!$B$15/2)</f>
        <v/>
      </c>
      <c r="E217" s="195">
        <f>IF(B217="","",C217*('入力・概要'!$E$11*1E-9))</f>
        <v/>
      </c>
      <c r="F217" s="195">
        <f>IF(B217="","",SINH(2*D217)/(COSH(2*D217)+COS(2*E217)))</f>
        <v/>
      </c>
      <c r="G217" s="195">
        <f>IF(B217="","",SIN(2*E217)/(COSH(2*D217)+COS(2*E217)))</f>
        <v/>
      </c>
      <c r="H217" s="195">
        <f>IF(B217="","",ATANH(MIN(0.999999,'入力・概要'!$E$21/'入力・概要'!$E$15))+'入力・概要'!$B$21*SQRT(B217/1E6)+I217*'入力・概要'!$B$16/2)</f>
        <v/>
      </c>
      <c r="I217" s="195">
        <f>IF(B217="","",C217*('入力・概要'!$E$17*1E-9))</f>
        <v/>
      </c>
      <c r="J217" s="195">
        <f>IF(B217="","",SINH(2*H217)/(COSH(2*H217)+COS(2*I217)))</f>
        <v/>
      </c>
      <c r="K217" s="195">
        <f>IF(B217="","",SIN(2*I217)/(COSH(2*H217)+COS(2*I217)))</f>
        <v/>
      </c>
      <c r="L217" s="195">
        <f>IF(B217="","",'入力・概要'!$B$25)</f>
        <v/>
      </c>
      <c r="M217" s="195">
        <f>IF(B217="","",C217*'入力・概要'!$B$26*1E-9-1/(C217*'入力・概要'!$B$24*1E-6))</f>
        <v/>
      </c>
      <c r="N217" s="195">
        <f>IF(B217="","",'入力・概要'!$B$28)</f>
        <v/>
      </c>
      <c r="O217" s="195">
        <f>IF(B217="","",C217*'入力・概要'!$B$29*1E-9-1/(C217*'入力・概要'!$B$27*1E-6))</f>
        <v/>
      </c>
      <c r="P217" s="195">
        <f>IF(B217="","",((L217*N217-M217*O217)*(L217+N217)+(L217*O217+M217*N217)*(M217+O217))/((L217+N217)^2+(M217+O217)^2))</f>
        <v/>
      </c>
      <c r="Q217" s="195">
        <f>IF(B217="","",((L217*O217+M217*N217)*(L217+N217)-(L217*N217-M217*O217)*(M217+O217))/((L217+N217)^2+(M217+O217)^2))</f>
        <v/>
      </c>
      <c r="R217" s="195">
        <f>IF(B217="","",'入力・概要'!$E$15*J217)</f>
        <v/>
      </c>
      <c r="S217" s="195">
        <f>IF(B217="","",'入力・概要'!$E$15*K217)</f>
        <v/>
      </c>
      <c r="T217" s="195">
        <f>IF(B217="","",P217+R217)</f>
        <v/>
      </c>
      <c r="U217" s="195">
        <f>IF(B217="","",Q217+S217)</f>
        <v/>
      </c>
      <c r="V217" s="195">
        <f>IF(B217="","",T217+'入力・概要'!$E$9*F217)</f>
        <v/>
      </c>
      <c r="W217" s="195">
        <f>IF(B217="","",U217+'入力・概要'!$E$9*G217)</f>
        <v/>
      </c>
      <c r="X217" s="195">
        <f>IF(B217="","",'入力・概要'!$E$9+T217*F217-U217*G217)</f>
        <v/>
      </c>
      <c r="Y217" s="195">
        <f>IF(B217="","",T217*G217+U217*F217)</f>
        <v/>
      </c>
      <c r="Z217" s="195">
        <f>IF(B217="","",'入力・概要'!$E$9*(V217*X217+W217*Y217)/(X217^2+Y217^2)+'入力・概要'!$B$36)</f>
        <v/>
      </c>
      <c r="AA217" s="195">
        <f>IF(B217="","",'入力・概要'!$E$9*(W217*X217-V217*Y217)/(X217^2+Y217^2)+C217*'入力・概要'!$B$37*1E-9)</f>
        <v/>
      </c>
      <c r="AB217" s="195">
        <f>IF(B217="","",SQRT(Z217^2+AA217^2))</f>
        <v/>
      </c>
      <c r="AC217" s="195">
        <f>IF(B217="","",IF(Z217&gt;0,DEGREES(ATAN(AA217/Z217)),IF(Z217&lt;0,IF(AA217&gt;=0,DEGREES(ATAN(AA217/Z217))+180,DEGREES(ATAN(AA217/Z217))-180),IF(AA217&gt;0,90,IF(AA217&lt;0,-90,0)))))</f>
        <v/>
      </c>
      <c r="AD217" s="195">
        <f>IF(B217="","",LOG10(B217))</f>
        <v/>
      </c>
      <c r="AE217" s="195">
        <f>IF(AB217="","",LOG10(MAX(AB217,1E-12)))</f>
        <v/>
      </c>
      <c r="AF217" s="195">
        <f>IF(B217="","",SQRT(P217^2+Q217^2))</f>
        <v/>
      </c>
      <c r="AG217" s="195">
        <f>IF(B217="","",SQRT(R217^2+S217^2))</f>
        <v/>
      </c>
    </row>
    <row r="218">
      <c r="A218" t="n">
        <v>215</v>
      </c>
      <c r="B218" s="196">
        <f>IF(A218&lt;='入力・概要'!$B$40,10^(LOG10('入力・概要'!$B$38)+(A218-1)*(LOG10('入力・概要'!$B$39)-LOG10('入力・概要'!$B$38))/('入力・概要'!$B$40-1)),"")</f>
        <v/>
      </c>
      <c r="C218" s="195">
        <f>IF(B218="","",2*PI()*B218)</f>
        <v/>
      </c>
      <c r="D218" s="195">
        <f>IF(B218="","",ATANH(MIN(0.999999,'入力・概要'!$E$20/'入力・概要'!$E$9))+'入力・概要'!$B$20*SQRT(B218/1E6)+E218*'入力・概要'!$B$15/2)</f>
        <v/>
      </c>
      <c r="E218" s="195">
        <f>IF(B218="","",C218*('入力・概要'!$E$11*1E-9))</f>
        <v/>
      </c>
      <c r="F218" s="195">
        <f>IF(B218="","",SINH(2*D218)/(COSH(2*D218)+COS(2*E218)))</f>
        <v/>
      </c>
      <c r="G218" s="195">
        <f>IF(B218="","",SIN(2*E218)/(COSH(2*D218)+COS(2*E218)))</f>
        <v/>
      </c>
      <c r="H218" s="195">
        <f>IF(B218="","",ATANH(MIN(0.999999,'入力・概要'!$E$21/'入力・概要'!$E$15))+'入力・概要'!$B$21*SQRT(B218/1E6)+I218*'入力・概要'!$B$16/2)</f>
        <v/>
      </c>
      <c r="I218" s="195">
        <f>IF(B218="","",C218*('入力・概要'!$E$17*1E-9))</f>
        <v/>
      </c>
      <c r="J218" s="195">
        <f>IF(B218="","",SINH(2*H218)/(COSH(2*H218)+COS(2*I218)))</f>
        <v/>
      </c>
      <c r="K218" s="195">
        <f>IF(B218="","",SIN(2*I218)/(COSH(2*H218)+COS(2*I218)))</f>
        <v/>
      </c>
      <c r="L218" s="195">
        <f>IF(B218="","",'入力・概要'!$B$25)</f>
        <v/>
      </c>
      <c r="M218" s="195">
        <f>IF(B218="","",C218*'入力・概要'!$B$26*1E-9-1/(C218*'入力・概要'!$B$24*1E-6))</f>
        <v/>
      </c>
      <c r="N218" s="195">
        <f>IF(B218="","",'入力・概要'!$B$28)</f>
        <v/>
      </c>
      <c r="O218" s="195">
        <f>IF(B218="","",C218*'入力・概要'!$B$29*1E-9-1/(C218*'入力・概要'!$B$27*1E-6))</f>
        <v/>
      </c>
      <c r="P218" s="195">
        <f>IF(B218="","",((L218*N218-M218*O218)*(L218+N218)+(L218*O218+M218*N218)*(M218+O218))/((L218+N218)^2+(M218+O218)^2))</f>
        <v/>
      </c>
      <c r="Q218" s="195">
        <f>IF(B218="","",((L218*O218+M218*N218)*(L218+N218)-(L218*N218-M218*O218)*(M218+O218))/((L218+N218)^2+(M218+O218)^2))</f>
        <v/>
      </c>
      <c r="R218" s="195">
        <f>IF(B218="","",'入力・概要'!$E$15*J218)</f>
        <v/>
      </c>
      <c r="S218" s="195">
        <f>IF(B218="","",'入力・概要'!$E$15*K218)</f>
        <v/>
      </c>
      <c r="T218" s="195">
        <f>IF(B218="","",P218+R218)</f>
        <v/>
      </c>
      <c r="U218" s="195">
        <f>IF(B218="","",Q218+S218)</f>
        <v/>
      </c>
      <c r="V218" s="195">
        <f>IF(B218="","",T218+'入力・概要'!$E$9*F218)</f>
        <v/>
      </c>
      <c r="W218" s="195">
        <f>IF(B218="","",U218+'入力・概要'!$E$9*G218)</f>
        <v/>
      </c>
      <c r="X218" s="195">
        <f>IF(B218="","",'入力・概要'!$E$9+T218*F218-U218*G218)</f>
        <v/>
      </c>
      <c r="Y218" s="195">
        <f>IF(B218="","",T218*G218+U218*F218)</f>
        <v/>
      </c>
      <c r="Z218" s="195">
        <f>IF(B218="","",'入力・概要'!$E$9*(V218*X218+W218*Y218)/(X218^2+Y218^2)+'入力・概要'!$B$36)</f>
        <v/>
      </c>
      <c r="AA218" s="195">
        <f>IF(B218="","",'入力・概要'!$E$9*(W218*X218-V218*Y218)/(X218^2+Y218^2)+C218*'入力・概要'!$B$37*1E-9)</f>
        <v/>
      </c>
      <c r="AB218" s="195">
        <f>IF(B218="","",SQRT(Z218^2+AA218^2))</f>
        <v/>
      </c>
      <c r="AC218" s="195">
        <f>IF(B218="","",IF(Z218&gt;0,DEGREES(ATAN(AA218/Z218)),IF(Z218&lt;0,IF(AA218&gt;=0,DEGREES(ATAN(AA218/Z218))+180,DEGREES(ATAN(AA218/Z218))-180),IF(AA218&gt;0,90,IF(AA218&lt;0,-90,0)))))</f>
        <v/>
      </c>
      <c r="AD218" s="195">
        <f>IF(B218="","",LOG10(B218))</f>
        <v/>
      </c>
      <c r="AE218" s="195">
        <f>IF(AB218="","",LOG10(MAX(AB218,1E-12)))</f>
        <v/>
      </c>
      <c r="AF218" s="195">
        <f>IF(B218="","",SQRT(P218^2+Q218^2))</f>
        <v/>
      </c>
      <c r="AG218" s="195">
        <f>IF(B218="","",SQRT(R218^2+S218^2))</f>
        <v/>
      </c>
    </row>
    <row r="219">
      <c r="A219" t="n">
        <v>216</v>
      </c>
      <c r="B219" s="196">
        <f>IF(A219&lt;='入力・概要'!$B$40,10^(LOG10('入力・概要'!$B$38)+(A219-1)*(LOG10('入力・概要'!$B$39)-LOG10('入力・概要'!$B$38))/('入力・概要'!$B$40-1)),"")</f>
        <v/>
      </c>
      <c r="C219" s="195">
        <f>IF(B219="","",2*PI()*B219)</f>
        <v/>
      </c>
      <c r="D219" s="195">
        <f>IF(B219="","",ATANH(MIN(0.999999,'入力・概要'!$E$20/'入力・概要'!$E$9))+'入力・概要'!$B$20*SQRT(B219/1E6)+E219*'入力・概要'!$B$15/2)</f>
        <v/>
      </c>
      <c r="E219" s="195">
        <f>IF(B219="","",C219*('入力・概要'!$E$11*1E-9))</f>
        <v/>
      </c>
      <c r="F219" s="195">
        <f>IF(B219="","",SINH(2*D219)/(COSH(2*D219)+COS(2*E219)))</f>
        <v/>
      </c>
      <c r="G219" s="195">
        <f>IF(B219="","",SIN(2*E219)/(COSH(2*D219)+COS(2*E219)))</f>
        <v/>
      </c>
      <c r="H219" s="195">
        <f>IF(B219="","",ATANH(MIN(0.999999,'入力・概要'!$E$21/'入力・概要'!$E$15))+'入力・概要'!$B$21*SQRT(B219/1E6)+I219*'入力・概要'!$B$16/2)</f>
        <v/>
      </c>
      <c r="I219" s="195">
        <f>IF(B219="","",C219*('入力・概要'!$E$17*1E-9))</f>
        <v/>
      </c>
      <c r="J219" s="195">
        <f>IF(B219="","",SINH(2*H219)/(COSH(2*H219)+COS(2*I219)))</f>
        <v/>
      </c>
      <c r="K219" s="195">
        <f>IF(B219="","",SIN(2*I219)/(COSH(2*H219)+COS(2*I219)))</f>
        <v/>
      </c>
      <c r="L219" s="195">
        <f>IF(B219="","",'入力・概要'!$B$25)</f>
        <v/>
      </c>
      <c r="M219" s="195">
        <f>IF(B219="","",C219*'入力・概要'!$B$26*1E-9-1/(C219*'入力・概要'!$B$24*1E-6))</f>
        <v/>
      </c>
      <c r="N219" s="195">
        <f>IF(B219="","",'入力・概要'!$B$28)</f>
        <v/>
      </c>
      <c r="O219" s="195">
        <f>IF(B219="","",C219*'入力・概要'!$B$29*1E-9-1/(C219*'入力・概要'!$B$27*1E-6))</f>
        <v/>
      </c>
      <c r="P219" s="195">
        <f>IF(B219="","",((L219*N219-M219*O219)*(L219+N219)+(L219*O219+M219*N219)*(M219+O219))/((L219+N219)^2+(M219+O219)^2))</f>
        <v/>
      </c>
      <c r="Q219" s="195">
        <f>IF(B219="","",((L219*O219+M219*N219)*(L219+N219)-(L219*N219-M219*O219)*(M219+O219))/((L219+N219)^2+(M219+O219)^2))</f>
        <v/>
      </c>
      <c r="R219" s="195">
        <f>IF(B219="","",'入力・概要'!$E$15*J219)</f>
        <v/>
      </c>
      <c r="S219" s="195">
        <f>IF(B219="","",'入力・概要'!$E$15*K219)</f>
        <v/>
      </c>
      <c r="T219" s="195">
        <f>IF(B219="","",P219+R219)</f>
        <v/>
      </c>
      <c r="U219" s="195">
        <f>IF(B219="","",Q219+S219)</f>
        <v/>
      </c>
      <c r="V219" s="195">
        <f>IF(B219="","",T219+'入力・概要'!$E$9*F219)</f>
        <v/>
      </c>
      <c r="W219" s="195">
        <f>IF(B219="","",U219+'入力・概要'!$E$9*G219)</f>
        <v/>
      </c>
      <c r="X219" s="195">
        <f>IF(B219="","",'入力・概要'!$E$9+T219*F219-U219*G219)</f>
        <v/>
      </c>
      <c r="Y219" s="195">
        <f>IF(B219="","",T219*G219+U219*F219)</f>
        <v/>
      </c>
      <c r="Z219" s="195">
        <f>IF(B219="","",'入力・概要'!$E$9*(V219*X219+W219*Y219)/(X219^2+Y219^2)+'入力・概要'!$B$36)</f>
        <v/>
      </c>
      <c r="AA219" s="195">
        <f>IF(B219="","",'入力・概要'!$E$9*(W219*X219-V219*Y219)/(X219^2+Y219^2)+C219*'入力・概要'!$B$37*1E-9)</f>
        <v/>
      </c>
      <c r="AB219" s="195">
        <f>IF(B219="","",SQRT(Z219^2+AA219^2))</f>
        <v/>
      </c>
      <c r="AC219" s="195">
        <f>IF(B219="","",IF(Z219&gt;0,DEGREES(ATAN(AA219/Z219)),IF(Z219&lt;0,IF(AA219&gt;=0,DEGREES(ATAN(AA219/Z219))+180,DEGREES(ATAN(AA219/Z219))-180),IF(AA219&gt;0,90,IF(AA219&lt;0,-90,0)))))</f>
        <v/>
      </c>
      <c r="AD219" s="195">
        <f>IF(B219="","",LOG10(B219))</f>
        <v/>
      </c>
      <c r="AE219" s="195">
        <f>IF(AB219="","",LOG10(MAX(AB219,1E-12)))</f>
        <v/>
      </c>
      <c r="AF219" s="195">
        <f>IF(B219="","",SQRT(P219^2+Q219^2))</f>
        <v/>
      </c>
      <c r="AG219" s="195">
        <f>IF(B219="","",SQRT(R219^2+S219^2))</f>
        <v/>
      </c>
    </row>
    <row r="220">
      <c r="A220" t="n">
        <v>217</v>
      </c>
      <c r="B220" s="196">
        <f>IF(A220&lt;='入力・概要'!$B$40,10^(LOG10('入力・概要'!$B$38)+(A220-1)*(LOG10('入力・概要'!$B$39)-LOG10('入力・概要'!$B$38))/('入力・概要'!$B$40-1)),"")</f>
        <v/>
      </c>
      <c r="C220" s="195">
        <f>IF(B220="","",2*PI()*B220)</f>
        <v/>
      </c>
      <c r="D220" s="195">
        <f>IF(B220="","",ATANH(MIN(0.999999,'入力・概要'!$E$20/'入力・概要'!$E$9))+'入力・概要'!$B$20*SQRT(B220/1E6)+E220*'入力・概要'!$B$15/2)</f>
        <v/>
      </c>
      <c r="E220" s="195">
        <f>IF(B220="","",C220*('入力・概要'!$E$11*1E-9))</f>
        <v/>
      </c>
      <c r="F220" s="195">
        <f>IF(B220="","",SINH(2*D220)/(COSH(2*D220)+COS(2*E220)))</f>
        <v/>
      </c>
      <c r="G220" s="195">
        <f>IF(B220="","",SIN(2*E220)/(COSH(2*D220)+COS(2*E220)))</f>
        <v/>
      </c>
      <c r="H220" s="195">
        <f>IF(B220="","",ATANH(MIN(0.999999,'入力・概要'!$E$21/'入力・概要'!$E$15))+'入力・概要'!$B$21*SQRT(B220/1E6)+I220*'入力・概要'!$B$16/2)</f>
        <v/>
      </c>
      <c r="I220" s="195">
        <f>IF(B220="","",C220*('入力・概要'!$E$17*1E-9))</f>
        <v/>
      </c>
      <c r="J220" s="195">
        <f>IF(B220="","",SINH(2*H220)/(COSH(2*H220)+COS(2*I220)))</f>
        <v/>
      </c>
      <c r="K220" s="195">
        <f>IF(B220="","",SIN(2*I220)/(COSH(2*H220)+COS(2*I220)))</f>
        <v/>
      </c>
      <c r="L220" s="195">
        <f>IF(B220="","",'入力・概要'!$B$25)</f>
        <v/>
      </c>
      <c r="M220" s="195">
        <f>IF(B220="","",C220*'入力・概要'!$B$26*1E-9-1/(C220*'入力・概要'!$B$24*1E-6))</f>
        <v/>
      </c>
      <c r="N220" s="195">
        <f>IF(B220="","",'入力・概要'!$B$28)</f>
        <v/>
      </c>
      <c r="O220" s="195">
        <f>IF(B220="","",C220*'入力・概要'!$B$29*1E-9-1/(C220*'入力・概要'!$B$27*1E-6))</f>
        <v/>
      </c>
      <c r="P220" s="195">
        <f>IF(B220="","",((L220*N220-M220*O220)*(L220+N220)+(L220*O220+M220*N220)*(M220+O220))/((L220+N220)^2+(M220+O220)^2))</f>
        <v/>
      </c>
      <c r="Q220" s="195">
        <f>IF(B220="","",((L220*O220+M220*N220)*(L220+N220)-(L220*N220-M220*O220)*(M220+O220))/((L220+N220)^2+(M220+O220)^2))</f>
        <v/>
      </c>
      <c r="R220" s="195">
        <f>IF(B220="","",'入力・概要'!$E$15*J220)</f>
        <v/>
      </c>
      <c r="S220" s="195">
        <f>IF(B220="","",'入力・概要'!$E$15*K220)</f>
        <v/>
      </c>
      <c r="T220" s="195">
        <f>IF(B220="","",P220+R220)</f>
        <v/>
      </c>
      <c r="U220" s="195">
        <f>IF(B220="","",Q220+S220)</f>
        <v/>
      </c>
      <c r="V220" s="195">
        <f>IF(B220="","",T220+'入力・概要'!$E$9*F220)</f>
        <v/>
      </c>
      <c r="W220" s="195">
        <f>IF(B220="","",U220+'入力・概要'!$E$9*G220)</f>
        <v/>
      </c>
      <c r="X220" s="195">
        <f>IF(B220="","",'入力・概要'!$E$9+T220*F220-U220*G220)</f>
        <v/>
      </c>
      <c r="Y220" s="195">
        <f>IF(B220="","",T220*G220+U220*F220)</f>
        <v/>
      </c>
      <c r="Z220" s="195">
        <f>IF(B220="","",'入力・概要'!$E$9*(V220*X220+W220*Y220)/(X220^2+Y220^2)+'入力・概要'!$B$36)</f>
        <v/>
      </c>
      <c r="AA220" s="195">
        <f>IF(B220="","",'入力・概要'!$E$9*(W220*X220-V220*Y220)/(X220^2+Y220^2)+C220*'入力・概要'!$B$37*1E-9)</f>
        <v/>
      </c>
      <c r="AB220" s="195">
        <f>IF(B220="","",SQRT(Z220^2+AA220^2))</f>
        <v/>
      </c>
      <c r="AC220" s="195">
        <f>IF(B220="","",IF(Z220&gt;0,DEGREES(ATAN(AA220/Z220)),IF(Z220&lt;0,IF(AA220&gt;=0,DEGREES(ATAN(AA220/Z220))+180,DEGREES(ATAN(AA220/Z220))-180),IF(AA220&gt;0,90,IF(AA220&lt;0,-90,0)))))</f>
        <v/>
      </c>
      <c r="AD220" s="195">
        <f>IF(B220="","",LOG10(B220))</f>
        <v/>
      </c>
      <c r="AE220" s="195">
        <f>IF(AB220="","",LOG10(MAX(AB220,1E-12)))</f>
        <v/>
      </c>
      <c r="AF220" s="195">
        <f>IF(B220="","",SQRT(P220^2+Q220^2))</f>
        <v/>
      </c>
      <c r="AG220" s="195">
        <f>IF(B220="","",SQRT(R220^2+S220^2))</f>
        <v/>
      </c>
    </row>
    <row r="221">
      <c r="A221" t="n">
        <v>218</v>
      </c>
      <c r="B221" s="196">
        <f>IF(A221&lt;='入力・概要'!$B$40,10^(LOG10('入力・概要'!$B$38)+(A221-1)*(LOG10('入力・概要'!$B$39)-LOG10('入力・概要'!$B$38))/('入力・概要'!$B$40-1)),"")</f>
        <v/>
      </c>
      <c r="C221" s="195">
        <f>IF(B221="","",2*PI()*B221)</f>
        <v/>
      </c>
      <c r="D221" s="195">
        <f>IF(B221="","",ATANH(MIN(0.999999,'入力・概要'!$E$20/'入力・概要'!$E$9))+'入力・概要'!$B$20*SQRT(B221/1E6)+E221*'入力・概要'!$B$15/2)</f>
        <v/>
      </c>
      <c r="E221" s="195">
        <f>IF(B221="","",C221*('入力・概要'!$E$11*1E-9))</f>
        <v/>
      </c>
      <c r="F221" s="195">
        <f>IF(B221="","",SINH(2*D221)/(COSH(2*D221)+COS(2*E221)))</f>
        <v/>
      </c>
      <c r="G221" s="195">
        <f>IF(B221="","",SIN(2*E221)/(COSH(2*D221)+COS(2*E221)))</f>
        <v/>
      </c>
      <c r="H221" s="195">
        <f>IF(B221="","",ATANH(MIN(0.999999,'入力・概要'!$E$21/'入力・概要'!$E$15))+'入力・概要'!$B$21*SQRT(B221/1E6)+I221*'入力・概要'!$B$16/2)</f>
        <v/>
      </c>
      <c r="I221" s="195">
        <f>IF(B221="","",C221*('入力・概要'!$E$17*1E-9))</f>
        <v/>
      </c>
      <c r="J221" s="195">
        <f>IF(B221="","",SINH(2*H221)/(COSH(2*H221)+COS(2*I221)))</f>
        <v/>
      </c>
      <c r="K221" s="195">
        <f>IF(B221="","",SIN(2*I221)/(COSH(2*H221)+COS(2*I221)))</f>
        <v/>
      </c>
      <c r="L221" s="195">
        <f>IF(B221="","",'入力・概要'!$B$25)</f>
        <v/>
      </c>
      <c r="M221" s="195">
        <f>IF(B221="","",C221*'入力・概要'!$B$26*1E-9-1/(C221*'入力・概要'!$B$24*1E-6))</f>
        <v/>
      </c>
      <c r="N221" s="195">
        <f>IF(B221="","",'入力・概要'!$B$28)</f>
        <v/>
      </c>
      <c r="O221" s="195">
        <f>IF(B221="","",C221*'入力・概要'!$B$29*1E-9-1/(C221*'入力・概要'!$B$27*1E-6))</f>
        <v/>
      </c>
      <c r="P221" s="195">
        <f>IF(B221="","",((L221*N221-M221*O221)*(L221+N221)+(L221*O221+M221*N221)*(M221+O221))/((L221+N221)^2+(M221+O221)^2))</f>
        <v/>
      </c>
      <c r="Q221" s="195">
        <f>IF(B221="","",((L221*O221+M221*N221)*(L221+N221)-(L221*N221-M221*O221)*(M221+O221))/((L221+N221)^2+(M221+O221)^2))</f>
        <v/>
      </c>
      <c r="R221" s="195">
        <f>IF(B221="","",'入力・概要'!$E$15*J221)</f>
        <v/>
      </c>
      <c r="S221" s="195">
        <f>IF(B221="","",'入力・概要'!$E$15*K221)</f>
        <v/>
      </c>
      <c r="T221" s="195">
        <f>IF(B221="","",P221+R221)</f>
        <v/>
      </c>
      <c r="U221" s="195">
        <f>IF(B221="","",Q221+S221)</f>
        <v/>
      </c>
      <c r="V221" s="195">
        <f>IF(B221="","",T221+'入力・概要'!$E$9*F221)</f>
        <v/>
      </c>
      <c r="W221" s="195">
        <f>IF(B221="","",U221+'入力・概要'!$E$9*G221)</f>
        <v/>
      </c>
      <c r="X221" s="195">
        <f>IF(B221="","",'入力・概要'!$E$9+T221*F221-U221*G221)</f>
        <v/>
      </c>
      <c r="Y221" s="195">
        <f>IF(B221="","",T221*G221+U221*F221)</f>
        <v/>
      </c>
      <c r="Z221" s="195">
        <f>IF(B221="","",'入力・概要'!$E$9*(V221*X221+W221*Y221)/(X221^2+Y221^2)+'入力・概要'!$B$36)</f>
        <v/>
      </c>
      <c r="AA221" s="195">
        <f>IF(B221="","",'入力・概要'!$E$9*(W221*X221-V221*Y221)/(X221^2+Y221^2)+C221*'入力・概要'!$B$37*1E-9)</f>
        <v/>
      </c>
      <c r="AB221" s="195">
        <f>IF(B221="","",SQRT(Z221^2+AA221^2))</f>
        <v/>
      </c>
      <c r="AC221" s="195">
        <f>IF(B221="","",IF(Z221&gt;0,DEGREES(ATAN(AA221/Z221)),IF(Z221&lt;0,IF(AA221&gt;=0,DEGREES(ATAN(AA221/Z221))+180,DEGREES(ATAN(AA221/Z221))-180),IF(AA221&gt;0,90,IF(AA221&lt;0,-90,0)))))</f>
        <v/>
      </c>
      <c r="AD221" s="195">
        <f>IF(B221="","",LOG10(B221))</f>
        <v/>
      </c>
      <c r="AE221" s="195">
        <f>IF(AB221="","",LOG10(MAX(AB221,1E-12)))</f>
        <v/>
      </c>
      <c r="AF221" s="195">
        <f>IF(B221="","",SQRT(P221^2+Q221^2))</f>
        <v/>
      </c>
      <c r="AG221" s="195">
        <f>IF(B221="","",SQRT(R221^2+S221^2))</f>
        <v/>
      </c>
    </row>
    <row r="222">
      <c r="A222" t="n">
        <v>219</v>
      </c>
      <c r="B222" s="196">
        <f>IF(A222&lt;='入力・概要'!$B$40,10^(LOG10('入力・概要'!$B$38)+(A222-1)*(LOG10('入力・概要'!$B$39)-LOG10('入力・概要'!$B$38))/('入力・概要'!$B$40-1)),"")</f>
        <v/>
      </c>
      <c r="C222" s="195">
        <f>IF(B222="","",2*PI()*B222)</f>
        <v/>
      </c>
      <c r="D222" s="195">
        <f>IF(B222="","",ATANH(MIN(0.999999,'入力・概要'!$E$20/'入力・概要'!$E$9))+'入力・概要'!$B$20*SQRT(B222/1E6)+E222*'入力・概要'!$B$15/2)</f>
        <v/>
      </c>
      <c r="E222" s="195">
        <f>IF(B222="","",C222*('入力・概要'!$E$11*1E-9))</f>
        <v/>
      </c>
      <c r="F222" s="195">
        <f>IF(B222="","",SINH(2*D222)/(COSH(2*D222)+COS(2*E222)))</f>
        <v/>
      </c>
      <c r="G222" s="195">
        <f>IF(B222="","",SIN(2*E222)/(COSH(2*D222)+COS(2*E222)))</f>
        <v/>
      </c>
      <c r="H222" s="195">
        <f>IF(B222="","",ATANH(MIN(0.999999,'入力・概要'!$E$21/'入力・概要'!$E$15))+'入力・概要'!$B$21*SQRT(B222/1E6)+I222*'入力・概要'!$B$16/2)</f>
        <v/>
      </c>
      <c r="I222" s="195">
        <f>IF(B222="","",C222*('入力・概要'!$E$17*1E-9))</f>
        <v/>
      </c>
      <c r="J222" s="195">
        <f>IF(B222="","",SINH(2*H222)/(COSH(2*H222)+COS(2*I222)))</f>
        <v/>
      </c>
      <c r="K222" s="195">
        <f>IF(B222="","",SIN(2*I222)/(COSH(2*H222)+COS(2*I222)))</f>
        <v/>
      </c>
      <c r="L222" s="195">
        <f>IF(B222="","",'入力・概要'!$B$25)</f>
        <v/>
      </c>
      <c r="M222" s="195">
        <f>IF(B222="","",C222*'入力・概要'!$B$26*1E-9-1/(C222*'入力・概要'!$B$24*1E-6))</f>
        <v/>
      </c>
      <c r="N222" s="195">
        <f>IF(B222="","",'入力・概要'!$B$28)</f>
        <v/>
      </c>
      <c r="O222" s="195">
        <f>IF(B222="","",C222*'入力・概要'!$B$29*1E-9-1/(C222*'入力・概要'!$B$27*1E-6))</f>
        <v/>
      </c>
      <c r="P222" s="195">
        <f>IF(B222="","",((L222*N222-M222*O222)*(L222+N222)+(L222*O222+M222*N222)*(M222+O222))/((L222+N222)^2+(M222+O222)^2))</f>
        <v/>
      </c>
      <c r="Q222" s="195">
        <f>IF(B222="","",((L222*O222+M222*N222)*(L222+N222)-(L222*N222-M222*O222)*(M222+O222))/((L222+N222)^2+(M222+O222)^2))</f>
        <v/>
      </c>
      <c r="R222" s="195">
        <f>IF(B222="","",'入力・概要'!$E$15*J222)</f>
        <v/>
      </c>
      <c r="S222" s="195">
        <f>IF(B222="","",'入力・概要'!$E$15*K222)</f>
        <v/>
      </c>
      <c r="T222" s="195">
        <f>IF(B222="","",P222+R222)</f>
        <v/>
      </c>
      <c r="U222" s="195">
        <f>IF(B222="","",Q222+S222)</f>
        <v/>
      </c>
      <c r="V222" s="195">
        <f>IF(B222="","",T222+'入力・概要'!$E$9*F222)</f>
        <v/>
      </c>
      <c r="W222" s="195">
        <f>IF(B222="","",U222+'入力・概要'!$E$9*G222)</f>
        <v/>
      </c>
      <c r="X222" s="195">
        <f>IF(B222="","",'入力・概要'!$E$9+T222*F222-U222*G222)</f>
        <v/>
      </c>
      <c r="Y222" s="195">
        <f>IF(B222="","",T222*G222+U222*F222)</f>
        <v/>
      </c>
      <c r="Z222" s="195">
        <f>IF(B222="","",'入力・概要'!$E$9*(V222*X222+W222*Y222)/(X222^2+Y222^2)+'入力・概要'!$B$36)</f>
        <v/>
      </c>
      <c r="AA222" s="195">
        <f>IF(B222="","",'入力・概要'!$E$9*(W222*X222-V222*Y222)/(X222^2+Y222^2)+C222*'入力・概要'!$B$37*1E-9)</f>
        <v/>
      </c>
      <c r="AB222" s="195">
        <f>IF(B222="","",SQRT(Z222^2+AA222^2))</f>
        <v/>
      </c>
      <c r="AC222" s="195">
        <f>IF(B222="","",IF(Z222&gt;0,DEGREES(ATAN(AA222/Z222)),IF(Z222&lt;0,IF(AA222&gt;=0,DEGREES(ATAN(AA222/Z222))+180,DEGREES(ATAN(AA222/Z222))-180),IF(AA222&gt;0,90,IF(AA222&lt;0,-90,0)))))</f>
        <v/>
      </c>
      <c r="AD222" s="195">
        <f>IF(B222="","",LOG10(B222))</f>
        <v/>
      </c>
      <c r="AE222" s="195">
        <f>IF(AB222="","",LOG10(MAX(AB222,1E-12)))</f>
        <v/>
      </c>
      <c r="AF222" s="195">
        <f>IF(B222="","",SQRT(P222^2+Q222^2))</f>
        <v/>
      </c>
      <c r="AG222" s="195">
        <f>IF(B222="","",SQRT(R222^2+S222^2))</f>
        <v/>
      </c>
    </row>
    <row r="223">
      <c r="A223" t="n">
        <v>220</v>
      </c>
      <c r="B223" s="196">
        <f>IF(A223&lt;='入力・概要'!$B$40,10^(LOG10('入力・概要'!$B$38)+(A223-1)*(LOG10('入力・概要'!$B$39)-LOG10('入力・概要'!$B$38))/('入力・概要'!$B$40-1)),"")</f>
        <v/>
      </c>
      <c r="C223" s="195">
        <f>IF(B223="","",2*PI()*B223)</f>
        <v/>
      </c>
      <c r="D223" s="195">
        <f>IF(B223="","",ATANH(MIN(0.999999,'入力・概要'!$E$20/'入力・概要'!$E$9))+'入力・概要'!$B$20*SQRT(B223/1E6)+E223*'入力・概要'!$B$15/2)</f>
        <v/>
      </c>
      <c r="E223" s="195">
        <f>IF(B223="","",C223*('入力・概要'!$E$11*1E-9))</f>
        <v/>
      </c>
      <c r="F223" s="195">
        <f>IF(B223="","",SINH(2*D223)/(COSH(2*D223)+COS(2*E223)))</f>
        <v/>
      </c>
      <c r="G223" s="195">
        <f>IF(B223="","",SIN(2*E223)/(COSH(2*D223)+COS(2*E223)))</f>
        <v/>
      </c>
      <c r="H223" s="195">
        <f>IF(B223="","",ATANH(MIN(0.999999,'入力・概要'!$E$21/'入力・概要'!$E$15))+'入力・概要'!$B$21*SQRT(B223/1E6)+I223*'入力・概要'!$B$16/2)</f>
        <v/>
      </c>
      <c r="I223" s="195">
        <f>IF(B223="","",C223*('入力・概要'!$E$17*1E-9))</f>
        <v/>
      </c>
      <c r="J223" s="195">
        <f>IF(B223="","",SINH(2*H223)/(COSH(2*H223)+COS(2*I223)))</f>
        <v/>
      </c>
      <c r="K223" s="195">
        <f>IF(B223="","",SIN(2*I223)/(COSH(2*H223)+COS(2*I223)))</f>
        <v/>
      </c>
      <c r="L223" s="195">
        <f>IF(B223="","",'入力・概要'!$B$25)</f>
        <v/>
      </c>
      <c r="M223" s="195">
        <f>IF(B223="","",C223*'入力・概要'!$B$26*1E-9-1/(C223*'入力・概要'!$B$24*1E-6))</f>
        <v/>
      </c>
      <c r="N223" s="195">
        <f>IF(B223="","",'入力・概要'!$B$28)</f>
        <v/>
      </c>
      <c r="O223" s="195">
        <f>IF(B223="","",C223*'入力・概要'!$B$29*1E-9-1/(C223*'入力・概要'!$B$27*1E-6))</f>
        <v/>
      </c>
      <c r="P223" s="195">
        <f>IF(B223="","",((L223*N223-M223*O223)*(L223+N223)+(L223*O223+M223*N223)*(M223+O223))/((L223+N223)^2+(M223+O223)^2))</f>
        <v/>
      </c>
      <c r="Q223" s="195">
        <f>IF(B223="","",((L223*O223+M223*N223)*(L223+N223)-(L223*N223-M223*O223)*(M223+O223))/((L223+N223)^2+(M223+O223)^2))</f>
        <v/>
      </c>
      <c r="R223" s="195">
        <f>IF(B223="","",'入力・概要'!$E$15*J223)</f>
        <v/>
      </c>
      <c r="S223" s="195">
        <f>IF(B223="","",'入力・概要'!$E$15*K223)</f>
        <v/>
      </c>
      <c r="T223" s="195">
        <f>IF(B223="","",P223+R223)</f>
        <v/>
      </c>
      <c r="U223" s="195">
        <f>IF(B223="","",Q223+S223)</f>
        <v/>
      </c>
      <c r="V223" s="195">
        <f>IF(B223="","",T223+'入力・概要'!$E$9*F223)</f>
        <v/>
      </c>
      <c r="W223" s="195">
        <f>IF(B223="","",U223+'入力・概要'!$E$9*G223)</f>
        <v/>
      </c>
      <c r="X223" s="195">
        <f>IF(B223="","",'入力・概要'!$E$9+T223*F223-U223*G223)</f>
        <v/>
      </c>
      <c r="Y223" s="195">
        <f>IF(B223="","",T223*G223+U223*F223)</f>
        <v/>
      </c>
      <c r="Z223" s="195">
        <f>IF(B223="","",'入力・概要'!$E$9*(V223*X223+W223*Y223)/(X223^2+Y223^2)+'入力・概要'!$B$36)</f>
        <v/>
      </c>
      <c r="AA223" s="195">
        <f>IF(B223="","",'入力・概要'!$E$9*(W223*X223-V223*Y223)/(X223^2+Y223^2)+C223*'入力・概要'!$B$37*1E-9)</f>
        <v/>
      </c>
      <c r="AB223" s="195">
        <f>IF(B223="","",SQRT(Z223^2+AA223^2))</f>
        <v/>
      </c>
      <c r="AC223" s="195">
        <f>IF(B223="","",IF(Z223&gt;0,DEGREES(ATAN(AA223/Z223)),IF(Z223&lt;0,IF(AA223&gt;=0,DEGREES(ATAN(AA223/Z223))+180,DEGREES(ATAN(AA223/Z223))-180),IF(AA223&gt;0,90,IF(AA223&lt;0,-90,0)))))</f>
        <v/>
      </c>
      <c r="AD223" s="195">
        <f>IF(B223="","",LOG10(B223))</f>
        <v/>
      </c>
      <c r="AE223" s="195">
        <f>IF(AB223="","",LOG10(MAX(AB223,1E-12)))</f>
        <v/>
      </c>
      <c r="AF223" s="195">
        <f>IF(B223="","",SQRT(P223^2+Q223^2))</f>
        <v/>
      </c>
      <c r="AG223" s="195">
        <f>IF(B223="","",SQRT(R223^2+S223^2))</f>
        <v/>
      </c>
    </row>
    <row r="224">
      <c r="A224" t="n">
        <v>221</v>
      </c>
      <c r="B224" s="196">
        <f>IF(A224&lt;='入力・概要'!$B$40,10^(LOG10('入力・概要'!$B$38)+(A224-1)*(LOG10('入力・概要'!$B$39)-LOG10('入力・概要'!$B$38))/('入力・概要'!$B$40-1)),"")</f>
        <v/>
      </c>
      <c r="C224" s="195">
        <f>IF(B224="","",2*PI()*B224)</f>
        <v/>
      </c>
      <c r="D224" s="195">
        <f>IF(B224="","",ATANH(MIN(0.999999,'入力・概要'!$E$20/'入力・概要'!$E$9))+'入力・概要'!$B$20*SQRT(B224/1E6)+E224*'入力・概要'!$B$15/2)</f>
        <v/>
      </c>
      <c r="E224" s="195">
        <f>IF(B224="","",C224*('入力・概要'!$E$11*1E-9))</f>
        <v/>
      </c>
      <c r="F224" s="195">
        <f>IF(B224="","",SINH(2*D224)/(COSH(2*D224)+COS(2*E224)))</f>
        <v/>
      </c>
      <c r="G224" s="195">
        <f>IF(B224="","",SIN(2*E224)/(COSH(2*D224)+COS(2*E224)))</f>
        <v/>
      </c>
      <c r="H224" s="195">
        <f>IF(B224="","",ATANH(MIN(0.999999,'入力・概要'!$E$21/'入力・概要'!$E$15))+'入力・概要'!$B$21*SQRT(B224/1E6)+I224*'入力・概要'!$B$16/2)</f>
        <v/>
      </c>
      <c r="I224" s="195">
        <f>IF(B224="","",C224*('入力・概要'!$E$17*1E-9))</f>
        <v/>
      </c>
      <c r="J224" s="195">
        <f>IF(B224="","",SINH(2*H224)/(COSH(2*H224)+COS(2*I224)))</f>
        <v/>
      </c>
      <c r="K224" s="195">
        <f>IF(B224="","",SIN(2*I224)/(COSH(2*H224)+COS(2*I224)))</f>
        <v/>
      </c>
      <c r="L224" s="195">
        <f>IF(B224="","",'入力・概要'!$B$25)</f>
        <v/>
      </c>
      <c r="M224" s="195">
        <f>IF(B224="","",C224*'入力・概要'!$B$26*1E-9-1/(C224*'入力・概要'!$B$24*1E-6))</f>
        <v/>
      </c>
      <c r="N224" s="195">
        <f>IF(B224="","",'入力・概要'!$B$28)</f>
        <v/>
      </c>
      <c r="O224" s="195">
        <f>IF(B224="","",C224*'入力・概要'!$B$29*1E-9-1/(C224*'入力・概要'!$B$27*1E-6))</f>
        <v/>
      </c>
      <c r="P224" s="195">
        <f>IF(B224="","",((L224*N224-M224*O224)*(L224+N224)+(L224*O224+M224*N224)*(M224+O224))/((L224+N224)^2+(M224+O224)^2))</f>
        <v/>
      </c>
      <c r="Q224" s="195">
        <f>IF(B224="","",((L224*O224+M224*N224)*(L224+N224)-(L224*N224-M224*O224)*(M224+O224))/((L224+N224)^2+(M224+O224)^2))</f>
        <v/>
      </c>
      <c r="R224" s="195">
        <f>IF(B224="","",'入力・概要'!$E$15*J224)</f>
        <v/>
      </c>
      <c r="S224" s="195">
        <f>IF(B224="","",'入力・概要'!$E$15*K224)</f>
        <v/>
      </c>
      <c r="T224" s="195">
        <f>IF(B224="","",P224+R224)</f>
        <v/>
      </c>
      <c r="U224" s="195">
        <f>IF(B224="","",Q224+S224)</f>
        <v/>
      </c>
      <c r="V224" s="195">
        <f>IF(B224="","",T224+'入力・概要'!$E$9*F224)</f>
        <v/>
      </c>
      <c r="W224" s="195">
        <f>IF(B224="","",U224+'入力・概要'!$E$9*G224)</f>
        <v/>
      </c>
      <c r="X224" s="195">
        <f>IF(B224="","",'入力・概要'!$E$9+T224*F224-U224*G224)</f>
        <v/>
      </c>
      <c r="Y224" s="195">
        <f>IF(B224="","",T224*G224+U224*F224)</f>
        <v/>
      </c>
      <c r="Z224" s="195">
        <f>IF(B224="","",'入力・概要'!$E$9*(V224*X224+W224*Y224)/(X224^2+Y224^2)+'入力・概要'!$B$36)</f>
        <v/>
      </c>
      <c r="AA224" s="195">
        <f>IF(B224="","",'入力・概要'!$E$9*(W224*X224-V224*Y224)/(X224^2+Y224^2)+C224*'入力・概要'!$B$37*1E-9)</f>
        <v/>
      </c>
      <c r="AB224" s="195">
        <f>IF(B224="","",SQRT(Z224^2+AA224^2))</f>
        <v/>
      </c>
      <c r="AC224" s="195">
        <f>IF(B224="","",IF(Z224&gt;0,DEGREES(ATAN(AA224/Z224)),IF(Z224&lt;0,IF(AA224&gt;=0,DEGREES(ATAN(AA224/Z224))+180,DEGREES(ATAN(AA224/Z224))-180),IF(AA224&gt;0,90,IF(AA224&lt;0,-90,0)))))</f>
        <v/>
      </c>
      <c r="AD224" s="195">
        <f>IF(B224="","",LOG10(B224))</f>
        <v/>
      </c>
      <c r="AE224" s="195">
        <f>IF(AB224="","",LOG10(MAX(AB224,1E-12)))</f>
        <v/>
      </c>
      <c r="AF224" s="195">
        <f>IF(B224="","",SQRT(P224^2+Q224^2))</f>
        <v/>
      </c>
      <c r="AG224" s="195">
        <f>IF(B224="","",SQRT(R224^2+S224^2))</f>
        <v/>
      </c>
    </row>
    <row r="225">
      <c r="A225" t="n">
        <v>222</v>
      </c>
      <c r="B225" s="196">
        <f>IF(A225&lt;='入力・概要'!$B$40,10^(LOG10('入力・概要'!$B$38)+(A225-1)*(LOG10('入力・概要'!$B$39)-LOG10('入力・概要'!$B$38))/('入力・概要'!$B$40-1)),"")</f>
        <v/>
      </c>
      <c r="C225" s="195">
        <f>IF(B225="","",2*PI()*B225)</f>
        <v/>
      </c>
      <c r="D225" s="195">
        <f>IF(B225="","",ATANH(MIN(0.999999,'入力・概要'!$E$20/'入力・概要'!$E$9))+'入力・概要'!$B$20*SQRT(B225/1E6)+E225*'入力・概要'!$B$15/2)</f>
        <v/>
      </c>
      <c r="E225" s="195">
        <f>IF(B225="","",C225*('入力・概要'!$E$11*1E-9))</f>
        <v/>
      </c>
      <c r="F225" s="195">
        <f>IF(B225="","",SINH(2*D225)/(COSH(2*D225)+COS(2*E225)))</f>
        <v/>
      </c>
      <c r="G225" s="195">
        <f>IF(B225="","",SIN(2*E225)/(COSH(2*D225)+COS(2*E225)))</f>
        <v/>
      </c>
      <c r="H225" s="195">
        <f>IF(B225="","",ATANH(MIN(0.999999,'入力・概要'!$E$21/'入力・概要'!$E$15))+'入力・概要'!$B$21*SQRT(B225/1E6)+I225*'入力・概要'!$B$16/2)</f>
        <v/>
      </c>
      <c r="I225" s="195">
        <f>IF(B225="","",C225*('入力・概要'!$E$17*1E-9))</f>
        <v/>
      </c>
      <c r="J225" s="195">
        <f>IF(B225="","",SINH(2*H225)/(COSH(2*H225)+COS(2*I225)))</f>
        <v/>
      </c>
      <c r="K225" s="195">
        <f>IF(B225="","",SIN(2*I225)/(COSH(2*H225)+COS(2*I225)))</f>
        <v/>
      </c>
      <c r="L225" s="195">
        <f>IF(B225="","",'入力・概要'!$B$25)</f>
        <v/>
      </c>
      <c r="M225" s="195">
        <f>IF(B225="","",C225*'入力・概要'!$B$26*1E-9-1/(C225*'入力・概要'!$B$24*1E-6))</f>
        <v/>
      </c>
      <c r="N225" s="195">
        <f>IF(B225="","",'入力・概要'!$B$28)</f>
        <v/>
      </c>
      <c r="O225" s="195">
        <f>IF(B225="","",C225*'入力・概要'!$B$29*1E-9-1/(C225*'入力・概要'!$B$27*1E-6))</f>
        <v/>
      </c>
      <c r="P225" s="195">
        <f>IF(B225="","",((L225*N225-M225*O225)*(L225+N225)+(L225*O225+M225*N225)*(M225+O225))/((L225+N225)^2+(M225+O225)^2))</f>
        <v/>
      </c>
      <c r="Q225" s="195">
        <f>IF(B225="","",((L225*O225+M225*N225)*(L225+N225)-(L225*N225-M225*O225)*(M225+O225))/((L225+N225)^2+(M225+O225)^2))</f>
        <v/>
      </c>
      <c r="R225" s="195">
        <f>IF(B225="","",'入力・概要'!$E$15*J225)</f>
        <v/>
      </c>
      <c r="S225" s="195">
        <f>IF(B225="","",'入力・概要'!$E$15*K225)</f>
        <v/>
      </c>
      <c r="T225" s="195">
        <f>IF(B225="","",P225+R225)</f>
        <v/>
      </c>
      <c r="U225" s="195">
        <f>IF(B225="","",Q225+S225)</f>
        <v/>
      </c>
      <c r="V225" s="195">
        <f>IF(B225="","",T225+'入力・概要'!$E$9*F225)</f>
        <v/>
      </c>
      <c r="W225" s="195">
        <f>IF(B225="","",U225+'入力・概要'!$E$9*G225)</f>
        <v/>
      </c>
      <c r="X225" s="195">
        <f>IF(B225="","",'入力・概要'!$E$9+T225*F225-U225*G225)</f>
        <v/>
      </c>
      <c r="Y225" s="195">
        <f>IF(B225="","",T225*G225+U225*F225)</f>
        <v/>
      </c>
      <c r="Z225" s="195">
        <f>IF(B225="","",'入力・概要'!$E$9*(V225*X225+W225*Y225)/(X225^2+Y225^2)+'入力・概要'!$B$36)</f>
        <v/>
      </c>
      <c r="AA225" s="195">
        <f>IF(B225="","",'入力・概要'!$E$9*(W225*X225-V225*Y225)/(X225^2+Y225^2)+C225*'入力・概要'!$B$37*1E-9)</f>
        <v/>
      </c>
      <c r="AB225" s="195">
        <f>IF(B225="","",SQRT(Z225^2+AA225^2))</f>
        <v/>
      </c>
      <c r="AC225" s="195">
        <f>IF(B225="","",IF(Z225&gt;0,DEGREES(ATAN(AA225/Z225)),IF(Z225&lt;0,IF(AA225&gt;=0,DEGREES(ATAN(AA225/Z225))+180,DEGREES(ATAN(AA225/Z225))-180),IF(AA225&gt;0,90,IF(AA225&lt;0,-90,0)))))</f>
        <v/>
      </c>
      <c r="AD225" s="195">
        <f>IF(B225="","",LOG10(B225))</f>
        <v/>
      </c>
      <c r="AE225" s="195">
        <f>IF(AB225="","",LOG10(MAX(AB225,1E-12)))</f>
        <v/>
      </c>
      <c r="AF225" s="195">
        <f>IF(B225="","",SQRT(P225^2+Q225^2))</f>
        <v/>
      </c>
      <c r="AG225" s="195">
        <f>IF(B225="","",SQRT(R225^2+S225^2))</f>
        <v/>
      </c>
    </row>
    <row r="226">
      <c r="A226" t="n">
        <v>223</v>
      </c>
      <c r="B226" s="196">
        <f>IF(A226&lt;='入力・概要'!$B$40,10^(LOG10('入力・概要'!$B$38)+(A226-1)*(LOG10('入力・概要'!$B$39)-LOG10('入力・概要'!$B$38))/('入力・概要'!$B$40-1)),"")</f>
        <v/>
      </c>
      <c r="C226" s="195">
        <f>IF(B226="","",2*PI()*B226)</f>
        <v/>
      </c>
      <c r="D226" s="195">
        <f>IF(B226="","",ATANH(MIN(0.999999,'入力・概要'!$E$20/'入力・概要'!$E$9))+'入力・概要'!$B$20*SQRT(B226/1E6)+E226*'入力・概要'!$B$15/2)</f>
        <v/>
      </c>
      <c r="E226" s="195">
        <f>IF(B226="","",C226*('入力・概要'!$E$11*1E-9))</f>
        <v/>
      </c>
      <c r="F226" s="195">
        <f>IF(B226="","",SINH(2*D226)/(COSH(2*D226)+COS(2*E226)))</f>
        <v/>
      </c>
      <c r="G226" s="195">
        <f>IF(B226="","",SIN(2*E226)/(COSH(2*D226)+COS(2*E226)))</f>
        <v/>
      </c>
      <c r="H226" s="195">
        <f>IF(B226="","",ATANH(MIN(0.999999,'入力・概要'!$E$21/'入力・概要'!$E$15))+'入力・概要'!$B$21*SQRT(B226/1E6)+I226*'入力・概要'!$B$16/2)</f>
        <v/>
      </c>
      <c r="I226" s="195">
        <f>IF(B226="","",C226*('入力・概要'!$E$17*1E-9))</f>
        <v/>
      </c>
      <c r="J226" s="195">
        <f>IF(B226="","",SINH(2*H226)/(COSH(2*H226)+COS(2*I226)))</f>
        <v/>
      </c>
      <c r="K226" s="195">
        <f>IF(B226="","",SIN(2*I226)/(COSH(2*H226)+COS(2*I226)))</f>
        <v/>
      </c>
      <c r="L226" s="195">
        <f>IF(B226="","",'入力・概要'!$B$25)</f>
        <v/>
      </c>
      <c r="M226" s="195">
        <f>IF(B226="","",C226*'入力・概要'!$B$26*1E-9-1/(C226*'入力・概要'!$B$24*1E-6))</f>
        <v/>
      </c>
      <c r="N226" s="195">
        <f>IF(B226="","",'入力・概要'!$B$28)</f>
        <v/>
      </c>
      <c r="O226" s="195">
        <f>IF(B226="","",C226*'入力・概要'!$B$29*1E-9-1/(C226*'入力・概要'!$B$27*1E-6))</f>
        <v/>
      </c>
      <c r="P226" s="195">
        <f>IF(B226="","",((L226*N226-M226*O226)*(L226+N226)+(L226*O226+M226*N226)*(M226+O226))/((L226+N226)^2+(M226+O226)^2))</f>
        <v/>
      </c>
      <c r="Q226" s="195">
        <f>IF(B226="","",((L226*O226+M226*N226)*(L226+N226)-(L226*N226-M226*O226)*(M226+O226))/((L226+N226)^2+(M226+O226)^2))</f>
        <v/>
      </c>
      <c r="R226" s="195">
        <f>IF(B226="","",'入力・概要'!$E$15*J226)</f>
        <v/>
      </c>
      <c r="S226" s="195">
        <f>IF(B226="","",'入力・概要'!$E$15*K226)</f>
        <v/>
      </c>
      <c r="T226" s="195">
        <f>IF(B226="","",P226+R226)</f>
        <v/>
      </c>
      <c r="U226" s="195">
        <f>IF(B226="","",Q226+S226)</f>
        <v/>
      </c>
      <c r="V226" s="195">
        <f>IF(B226="","",T226+'入力・概要'!$E$9*F226)</f>
        <v/>
      </c>
      <c r="W226" s="195">
        <f>IF(B226="","",U226+'入力・概要'!$E$9*G226)</f>
        <v/>
      </c>
      <c r="X226" s="195">
        <f>IF(B226="","",'入力・概要'!$E$9+T226*F226-U226*G226)</f>
        <v/>
      </c>
      <c r="Y226" s="195">
        <f>IF(B226="","",T226*G226+U226*F226)</f>
        <v/>
      </c>
      <c r="Z226" s="195">
        <f>IF(B226="","",'入力・概要'!$E$9*(V226*X226+W226*Y226)/(X226^2+Y226^2)+'入力・概要'!$B$36)</f>
        <v/>
      </c>
      <c r="AA226" s="195">
        <f>IF(B226="","",'入力・概要'!$E$9*(W226*X226-V226*Y226)/(X226^2+Y226^2)+C226*'入力・概要'!$B$37*1E-9)</f>
        <v/>
      </c>
      <c r="AB226" s="195">
        <f>IF(B226="","",SQRT(Z226^2+AA226^2))</f>
        <v/>
      </c>
      <c r="AC226" s="195">
        <f>IF(B226="","",IF(Z226&gt;0,DEGREES(ATAN(AA226/Z226)),IF(Z226&lt;0,IF(AA226&gt;=0,DEGREES(ATAN(AA226/Z226))+180,DEGREES(ATAN(AA226/Z226))-180),IF(AA226&gt;0,90,IF(AA226&lt;0,-90,0)))))</f>
        <v/>
      </c>
      <c r="AD226" s="195">
        <f>IF(B226="","",LOG10(B226))</f>
        <v/>
      </c>
      <c r="AE226" s="195">
        <f>IF(AB226="","",LOG10(MAX(AB226,1E-12)))</f>
        <v/>
      </c>
      <c r="AF226" s="195">
        <f>IF(B226="","",SQRT(P226^2+Q226^2))</f>
        <v/>
      </c>
      <c r="AG226" s="195">
        <f>IF(B226="","",SQRT(R226^2+S226^2))</f>
        <v/>
      </c>
    </row>
    <row r="227">
      <c r="A227" t="n">
        <v>224</v>
      </c>
      <c r="B227" s="196">
        <f>IF(A227&lt;='入力・概要'!$B$40,10^(LOG10('入力・概要'!$B$38)+(A227-1)*(LOG10('入力・概要'!$B$39)-LOG10('入力・概要'!$B$38))/('入力・概要'!$B$40-1)),"")</f>
        <v/>
      </c>
      <c r="C227" s="195">
        <f>IF(B227="","",2*PI()*B227)</f>
        <v/>
      </c>
      <c r="D227" s="195">
        <f>IF(B227="","",ATANH(MIN(0.999999,'入力・概要'!$E$20/'入力・概要'!$E$9))+'入力・概要'!$B$20*SQRT(B227/1E6)+E227*'入力・概要'!$B$15/2)</f>
        <v/>
      </c>
      <c r="E227" s="195">
        <f>IF(B227="","",C227*('入力・概要'!$E$11*1E-9))</f>
        <v/>
      </c>
      <c r="F227" s="195">
        <f>IF(B227="","",SINH(2*D227)/(COSH(2*D227)+COS(2*E227)))</f>
        <v/>
      </c>
      <c r="G227" s="195">
        <f>IF(B227="","",SIN(2*E227)/(COSH(2*D227)+COS(2*E227)))</f>
        <v/>
      </c>
      <c r="H227" s="195">
        <f>IF(B227="","",ATANH(MIN(0.999999,'入力・概要'!$E$21/'入力・概要'!$E$15))+'入力・概要'!$B$21*SQRT(B227/1E6)+I227*'入力・概要'!$B$16/2)</f>
        <v/>
      </c>
      <c r="I227" s="195">
        <f>IF(B227="","",C227*('入力・概要'!$E$17*1E-9))</f>
        <v/>
      </c>
      <c r="J227" s="195">
        <f>IF(B227="","",SINH(2*H227)/(COSH(2*H227)+COS(2*I227)))</f>
        <v/>
      </c>
      <c r="K227" s="195">
        <f>IF(B227="","",SIN(2*I227)/(COSH(2*H227)+COS(2*I227)))</f>
        <v/>
      </c>
      <c r="L227" s="195">
        <f>IF(B227="","",'入力・概要'!$B$25)</f>
        <v/>
      </c>
      <c r="M227" s="195">
        <f>IF(B227="","",C227*'入力・概要'!$B$26*1E-9-1/(C227*'入力・概要'!$B$24*1E-6))</f>
        <v/>
      </c>
      <c r="N227" s="195">
        <f>IF(B227="","",'入力・概要'!$B$28)</f>
        <v/>
      </c>
      <c r="O227" s="195">
        <f>IF(B227="","",C227*'入力・概要'!$B$29*1E-9-1/(C227*'入力・概要'!$B$27*1E-6))</f>
        <v/>
      </c>
      <c r="P227" s="195">
        <f>IF(B227="","",((L227*N227-M227*O227)*(L227+N227)+(L227*O227+M227*N227)*(M227+O227))/((L227+N227)^2+(M227+O227)^2))</f>
        <v/>
      </c>
      <c r="Q227" s="195">
        <f>IF(B227="","",((L227*O227+M227*N227)*(L227+N227)-(L227*N227-M227*O227)*(M227+O227))/((L227+N227)^2+(M227+O227)^2))</f>
        <v/>
      </c>
      <c r="R227" s="195">
        <f>IF(B227="","",'入力・概要'!$E$15*J227)</f>
        <v/>
      </c>
      <c r="S227" s="195">
        <f>IF(B227="","",'入力・概要'!$E$15*K227)</f>
        <v/>
      </c>
      <c r="T227" s="195">
        <f>IF(B227="","",P227+R227)</f>
        <v/>
      </c>
      <c r="U227" s="195">
        <f>IF(B227="","",Q227+S227)</f>
        <v/>
      </c>
      <c r="V227" s="195">
        <f>IF(B227="","",T227+'入力・概要'!$E$9*F227)</f>
        <v/>
      </c>
      <c r="W227" s="195">
        <f>IF(B227="","",U227+'入力・概要'!$E$9*G227)</f>
        <v/>
      </c>
      <c r="X227" s="195">
        <f>IF(B227="","",'入力・概要'!$E$9+T227*F227-U227*G227)</f>
        <v/>
      </c>
      <c r="Y227" s="195">
        <f>IF(B227="","",T227*G227+U227*F227)</f>
        <v/>
      </c>
      <c r="Z227" s="195">
        <f>IF(B227="","",'入力・概要'!$E$9*(V227*X227+W227*Y227)/(X227^2+Y227^2)+'入力・概要'!$B$36)</f>
        <v/>
      </c>
      <c r="AA227" s="195">
        <f>IF(B227="","",'入力・概要'!$E$9*(W227*X227-V227*Y227)/(X227^2+Y227^2)+C227*'入力・概要'!$B$37*1E-9)</f>
        <v/>
      </c>
      <c r="AB227" s="195">
        <f>IF(B227="","",SQRT(Z227^2+AA227^2))</f>
        <v/>
      </c>
      <c r="AC227" s="195">
        <f>IF(B227="","",IF(Z227&gt;0,DEGREES(ATAN(AA227/Z227)),IF(Z227&lt;0,IF(AA227&gt;=0,DEGREES(ATAN(AA227/Z227))+180,DEGREES(ATAN(AA227/Z227))-180),IF(AA227&gt;0,90,IF(AA227&lt;0,-90,0)))))</f>
        <v/>
      </c>
      <c r="AD227" s="195">
        <f>IF(B227="","",LOG10(B227))</f>
        <v/>
      </c>
      <c r="AE227" s="195">
        <f>IF(AB227="","",LOG10(MAX(AB227,1E-12)))</f>
        <v/>
      </c>
      <c r="AF227" s="195">
        <f>IF(B227="","",SQRT(P227^2+Q227^2))</f>
        <v/>
      </c>
      <c r="AG227" s="195">
        <f>IF(B227="","",SQRT(R227^2+S227^2))</f>
        <v/>
      </c>
    </row>
    <row r="228">
      <c r="A228" t="n">
        <v>225</v>
      </c>
      <c r="B228" s="196">
        <f>IF(A228&lt;='入力・概要'!$B$40,10^(LOG10('入力・概要'!$B$38)+(A228-1)*(LOG10('入力・概要'!$B$39)-LOG10('入力・概要'!$B$38))/('入力・概要'!$B$40-1)),"")</f>
        <v/>
      </c>
      <c r="C228" s="195">
        <f>IF(B228="","",2*PI()*B228)</f>
        <v/>
      </c>
      <c r="D228" s="195">
        <f>IF(B228="","",ATANH(MIN(0.999999,'入力・概要'!$E$20/'入力・概要'!$E$9))+'入力・概要'!$B$20*SQRT(B228/1E6)+E228*'入力・概要'!$B$15/2)</f>
        <v/>
      </c>
      <c r="E228" s="195">
        <f>IF(B228="","",C228*('入力・概要'!$E$11*1E-9))</f>
        <v/>
      </c>
      <c r="F228" s="195">
        <f>IF(B228="","",SINH(2*D228)/(COSH(2*D228)+COS(2*E228)))</f>
        <v/>
      </c>
      <c r="G228" s="195">
        <f>IF(B228="","",SIN(2*E228)/(COSH(2*D228)+COS(2*E228)))</f>
        <v/>
      </c>
      <c r="H228" s="195">
        <f>IF(B228="","",ATANH(MIN(0.999999,'入力・概要'!$E$21/'入力・概要'!$E$15))+'入力・概要'!$B$21*SQRT(B228/1E6)+I228*'入力・概要'!$B$16/2)</f>
        <v/>
      </c>
      <c r="I228" s="195">
        <f>IF(B228="","",C228*('入力・概要'!$E$17*1E-9))</f>
        <v/>
      </c>
      <c r="J228" s="195">
        <f>IF(B228="","",SINH(2*H228)/(COSH(2*H228)+COS(2*I228)))</f>
        <v/>
      </c>
      <c r="K228" s="195">
        <f>IF(B228="","",SIN(2*I228)/(COSH(2*H228)+COS(2*I228)))</f>
        <v/>
      </c>
      <c r="L228" s="195">
        <f>IF(B228="","",'入力・概要'!$B$25)</f>
        <v/>
      </c>
      <c r="M228" s="195">
        <f>IF(B228="","",C228*'入力・概要'!$B$26*1E-9-1/(C228*'入力・概要'!$B$24*1E-6))</f>
        <v/>
      </c>
      <c r="N228" s="195">
        <f>IF(B228="","",'入力・概要'!$B$28)</f>
        <v/>
      </c>
      <c r="O228" s="195">
        <f>IF(B228="","",C228*'入力・概要'!$B$29*1E-9-1/(C228*'入力・概要'!$B$27*1E-6))</f>
        <v/>
      </c>
      <c r="P228" s="195">
        <f>IF(B228="","",((L228*N228-M228*O228)*(L228+N228)+(L228*O228+M228*N228)*(M228+O228))/((L228+N228)^2+(M228+O228)^2))</f>
        <v/>
      </c>
      <c r="Q228" s="195">
        <f>IF(B228="","",((L228*O228+M228*N228)*(L228+N228)-(L228*N228-M228*O228)*(M228+O228))/((L228+N228)^2+(M228+O228)^2))</f>
        <v/>
      </c>
      <c r="R228" s="195">
        <f>IF(B228="","",'入力・概要'!$E$15*J228)</f>
        <v/>
      </c>
      <c r="S228" s="195">
        <f>IF(B228="","",'入力・概要'!$E$15*K228)</f>
        <v/>
      </c>
      <c r="T228" s="195">
        <f>IF(B228="","",P228+R228)</f>
        <v/>
      </c>
      <c r="U228" s="195">
        <f>IF(B228="","",Q228+S228)</f>
        <v/>
      </c>
      <c r="V228" s="195">
        <f>IF(B228="","",T228+'入力・概要'!$E$9*F228)</f>
        <v/>
      </c>
      <c r="W228" s="195">
        <f>IF(B228="","",U228+'入力・概要'!$E$9*G228)</f>
        <v/>
      </c>
      <c r="X228" s="195">
        <f>IF(B228="","",'入力・概要'!$E$9+T228*F228-U228*G228)</f>
        <v/>
      </c>
      <c r="Y228" s="195">
        <f>IF(B228="","",T228*G228+U228*F228)</f>
        <v/>
      </c>
      <c r="Z228" s="195">
        <f>IF(B228="","",'入力・概要'!$E$9*(V228*X228+W228*Y228)/(X228^2+Y228^2)+'入力・概要'!$B$36)</f>
        <v/>
      </c>
      <c r="AA228" s="195">
        <f>IF(B228="","",'入力・概要'!$E$9*(W228*X228-V228*Y228)/(X228^2+Y228^2)+C228*'入力・概要'!$B$37*1E-9)</f>
        <v/>
      </c>
      <c r="AB228" s="195">
        <f>IF(B228="","",SQRT(Z228^2+AA228^2))</f>
        <v/>
      </c>
      <c r="AC228" s="195">
        <f>IF(B228="","",IF(Z228&gt;0,DEGREES(ATAN(AA228/Z228)),IF(Z228&lt;0,IF(AA228&gt;=0,DEGREES(ATAN(AA228/Z228))+180,DEGREES(ATAN(AA228/Z228))-180),IF(AA228&gt;0,90,IF(AA228&lt;0,-90,0)))))</f>
        <v/>
      </c>
      <c r="AD228" s="195">
        <f>IF(B228="","",LOG10(B228))</f>
        <v/>
      </c>
      <c r="AE228" s="195">
        <f>IF(AB228="","",LOG10(MAX(AB228,1E-12)))</f>
        <v/>
      </c>
      <c r="AF228" s="195">
        <f>IF(B228="","",SQRT(P228^2+Q228^2))</f>
        <v/>
      </c>
      <c r="AG228" s="195">
        <f>IF(B228="","",SQRT(R228^2+S228^2))</f>
        <v/>
      </c>
    </row>
    <row r="229">
      <c r="A229" t="n">
        <v>226</v>
      </c>
      <c r="B229" s="196">
        <f>IF(A229&lt;='入力・概要'!$B$40,10^(LOG10('入力・概要'!$B$38)+(A229-1)*(LOG10('入力・概要'!$B$39)-LOG10('入力・概要'!$B$38))/('入力・概要'!$B$40-1)),"")</f>
        <v/>
      </c>
      <c r="C229" s="195">
        <f>IF(B229="","",2*PI()*B229)</f>
        <v/>
      </c>
      <c r="D229" s="195">
        <f>IF(B229="","",ATANH(MIN(0.999999,'入力・概要'!$E$20/'入力・概要'!$E$9))+'入力・概要'!$B$20*SQRT(B229/1E6)+E229*'入力・概要'!$B$15/2)</f>
        <v/>
      </c>
      <c r="E229" s="195">
        <f>IF(B229="","",C229*('入力・概要'!$E$11*1E-9))</f>
        <v/>
      </c>
      <c r="F229" s="195">
        <f>IF(B229="","",SINH(2*D229)/(COSH(2*D229)+COS(2*E229)))</f>
        <v/>
      </c>
      <c r="G229" s="195">
        <f>IF(B229="","",SIN(2*E229)/(COSH(2*D229)+COS(2*E229)))</f>
        <v/>
      </c>
      <c r="H229" s="195">
        <f>IF(B229="","",ATANH(MIN(0.999999,'入力・概要'!$E$21/'入力・概要'!$E$15))+'入力・概要'!$B$21*SQRT(B229/1E6)+I229*'入力・概要'!$B$16/2)</f>
        <v/>
      </c>
      <c r="I229" s="195">
        <f>IF(B229="","",C229*('入力・概要'!$E$17*1E-9))</f>
        <v/>
      </c>
      <c r="J229" s="195">
        <f>IF(B229="","",SINH(2*H229)/(COSH(2*H229)+COS(2*I229)))</f>
        <v/>
      </c>
      <c r="K229" s="195">
        <f>IF(B229="","",SIN(2*I229)/(COSH(2*H229)+COS(2*I229)))</f>
        <v/>
      </c>
      <c r="L229" s="195">
        <f>IF(B229="","",'入力・概要'!$B$25)</f>
        <v/>
      </c>
      <c r="M229" s="195">
        <f>IF(B229="","",C229*'入力・概要'!$B$26*1E-9-1/(C229*'入力・概要'!$B$24*1E-6))</f>
        <v/>
      </c>
      <c r="N229" s="195">
        <f>IF(B229="","",'入力・概要'!$B$28)</f>
        <v/>
      </c>
      <c r="O229" s="195">
        <f>IF(B229="","",C229*'入力・概要'!$B$29*1E-9-1/(C229*'入力・概要'!$B$27*1E-6))</f>
        <v/>
      </c>
      <c r="P229" s="195">
        <f>IF(B229="","",((L229*N229-M229*O229)*(L229+N229)+(L229*O229+M229*N229)*(M229+O229))/((L229+N229)^2+(M229+O229)^2))</f>
        <v/>
      </c>
      <c r="Q229" s="195">
        <f>IF(B229="","",((L229*O229+M229*N229)*(L229+N229)-(L229*N229-M229*O229)*(M229+O229))/((L229+N229)^2+(M229+O229)^2))</f>
        <v/>
      </c>
      <c r="R229" s="195">
        <f>IF(B229="","",'入力・概要'!$E$15*J229)</f>
        <v/>
      </c>
      <c r="S229" s="195">
        <f>IF(B229="","",'入力・概要'!$E$15*K229)</f>
        <v/>
      </c>
      <c r="T229" s="195">
        <f>IF(B229="","",P229+R229)</f>
        <v/>
      </c>
      <c r="U229" s="195">
        <f>IF(B229="","",Q229+S229)</f>
        <v/>
      </c>
      <c r="V229" s="195">
        <f>IF(B229="","",T229+'入力・概要'!$E$9*F229)</f>
        <v/>
      </c>
      <c r="W229" s="195">
        <f>IF(B229="","",U229+'入力・概要'!$E$9*G229)</f>
        <v/>
      </c>
      <c r="X229" s="195">
        <f>IF(B229="","",'入力・概要'!$E$9+T229*F229-U229*G229)</f>
        <v/>
      </c>
      <c r="Y229" s="195">
        <f>IF(B229="","",T229*G229+U229*F229)</f>
        <v/>
      </c>
      <c r="Z229" s="195">
        <f>IF(B229="","",'入力・概要'!$E$9*(V229*X229+W229*Y229)/(X229^2+Y229^2)+'入力・概要'!$B$36)</f>
        <v/>
      </c>
      <c r="AA229" s="195">
        <f>IF(B229="","",'入力・概要'!$E$9*(W229*X229-V229*Y229)/(X229^2+Y229^2)+C229*'入力・概要'!$B$37*1E-9)</f>
        <v/>
      </c>
      <c r="AB229" s="195">
        <f>IF(B229="","",SQRT(Z229^2+AA229^2))</f>
        <v/>
      </c>
      <c r="AC229" s="195">
        <f>IF(B229="","",IF(Z229&gt;0,DEGREES(ATAN(AA229/Z229)),IF(Z229&lt;0,IF(AA229&gt;=0,DEGREES(ATAN(AA229/Z229))+180,DEGREES(ATAN(AA229/Z229))-180),IF(AA229&gt;0,90,IF(AA229&lt;0,-90,0)))))</f>
        <v/>
      </c>
      <c r="AD229" s="195">
        <f>IF(B229="","",LOG10(B229))</f>
        <v/>
      </c>
      <c r="AE229" s="195">
        <f>IF(AB229="","",LOG10(MAX(AB229,1E-12)))</f>
        <v/>
      </c>
      <c r="AF229" s="195">
        <f>IF(B229="","",SQRT(P229^2+Q229^2))</f>
        <v/>
      </c>
      <c r="AG229" s="195">
        <f>IF(B229="","",SQRT(R229^2+S229^2))</f>
        <v/>
      </c>
    </row>
    <row r="230">
      <c r="A230" t="n">
        <v>227</v>
      </c>
      <c r="B230" s="196">
        <f>IF(A230&lt;='入力・概要'!$B$40,10^(LOG10('入力・概要'!$B$38)+(A230-1)*(LOG10('入力・概要'!$B$39)-LOG10('入力・概要'!$B$38))/('入力・概要'!$B$40-1)),"")</f>
        <v/>
      </c>
      <c r="C230" s="195">
        <f>IF(B230="","",2*PI()*B230)</f>
        <v/>
      </c>
      <c r="D230" s="195">
        <f>IF(B230="","",ATANH(MIN(0.999999,'入力・概要'!$E$20/'入力・概要'!$E$9))+'入力・概要'!$B$20*SQRT(B230/1E6)+E230*'入力・概要'!$B$15/2)</f>
        <v/>
      </c>
      <c r="E230" s="195">
        <f>IF(B230="","",C230*('入力・概要'!$E$11*1E-9))</f>
        <v/>
      </c>
      <c r="F230" s="195">
        <f>IF(B230="","",SINH(2*D230)/(COSH(2*D230)+COS(2*E230)))</f>
        <v/>
      </c>
      <c r="G230" s="195">
        <f>IF(B230="","",SIN(2*E230)/(COSH(2*D230)+COS(2*E230)))</f>
        <v/>
      </c>
      <c r="H230" s="195">
        <f>IF(B230="","",ATANH(MIN(0.999999,'入力・概要'!$E$21/'入力・概要'!$E$15))+'入力・概要'!$B$21*SQRT(B230/1E6)+I230*'入力・概要'!$B$16/2)</f>
        <v/>
      </c>
      <c r="I230" s="195">
        <f>IF(B230="","",C230*('入力・概要'!$E$17*1E-9))</f>
        <v/>
      </c>
      <c r="J230" s="195">
        <f>IF(B230="","",SINH(2*H230)/(COSH(2*H230)+COS(2*I230)))</f>
        <v/>
      </c>
      <c r="K230" s="195">
        <f>IF(B230="","",SIN(2*I230)/(COSH(2*H230)+COS(2*I230)))</f>
        <v/>
      </c>
      <c r="L230" s="195">
        <f>IF(B230="","",'入力・概要'!$B$25)</f>
        <v/>
      </c>
      <c r="M230" s="195">
        <f>IF(B230="","",C230*'入力・概要'!$B$26*1E-9-1/(C230*'入力・概要'!$B$24*1E-6))</f>
        <v/>
      </c>
      <c r="N230" s="195">
        <f>IF(B230="","",'入力・概要'!$B$28)</f>
        <v/>
      </c>
      <c r="O230" s="195">
        <f>IF(B230="","",C230*'入力・概要'!$B$29*1E-9-1/(C230*'入力・概要'!$B$27*1E-6))</f>
        <v/>
      </c>
      <c r="P230" s="195">
        <f>IF(B230="","",((L230*N230-M230*O230)*(L230+N230)+(L230*O230+M230*N230)*(M230+O230))/((L230+N230)^2+(M230+O230)^2))</f>
        <v/>
      </c>
      <c r="Q230" s="195">
        <f>IF(B230="","",((L230*O230+M230*N230)*(L230+N230)-(L230*N230-M230*O230)*(M230+O230))/((L230+N230)^2+(M230+O230)^2))</f>
        <v/>
      </c>
      <c r="R230" s="195">
        <f>IF(B230="","",'入力・概要'!$E$15*J230)</f>
        <v/>
      </c>
      <c r="S230" s="195">
        <f>IF(B230="","",'入力・概要'!$E$15*K230)</f>
        <v/>
      </c>
      <c r="T230" s="195">
        <f>IF(B230="","",P230+R230)</f>
        <v/>
      </c>
      <c r="U230" s="195">
        <f>IF(B230="","",Q230+S230)</f>
        <v/>
      </c>
      <c r="V230" s="195">
        <f>IF(B230="","",T230+'入力・概要'!$E$9*F230)</f>
        <v/>
      </c>
      <c r="W230" s="195">
        <f>IF(B230="","",U230+'入力・概要'!$E$9*G230)</f>
        <v/>
      </c>
      <c r="X230" s="195">
        <f>IF(B230="","",'入力・概要'!$E$9+T230*F230-U230*G230)</f>
        <v/>
      </c>
      <c r="Y230" s="195">
        <f>IF(B230="","",T230*G230+U230*F230)</f>
        <v/>
      </c>
      <c r="Z230" s="195">
        <f>IF(B230="","",'入力・概要'!$E$9*(V230*X230+W230*Y230)/(X230^2+Y230^2)+'入力・概要'!$B$36)</f>
        <v/>
      </c>
      <c r="AA230" s="195">
        <f>IF(B230="","",'入力・概要'!$E$9*(W230*X230-V230*Y230)/(X230^2+Y230^2)+C230*'入力・概要'!$B$37*1E-9)</f>
        <v/>
      </c>
      <c r="AB230" s="195">
        <f>IF(B230="","",SQRT(Z230^2+AA230^2))</f>
        <v/>
      </c>
      <c r="AC230" s="195">
        <f>IF(B230="","",IF(Z230&gt;0,DEGREES(ATAN(AA230/Z230)),IF(Z230&lt;0,IF(AA230&gt;=0,DEGREES(ATAN(AA230/Z230))+180,DEGREES(ATAN(AA230/Z230))-180),IF(AA230&gt;0,90,IF(AA230&lt;0,-90,0)))))</f>
        <v/>
      </c>
      <c r="AD230" s="195">
        <f>IF(B230="","",LOG10(B230))</f>
        <v/>
      </c>
      <c r="AE230" s="195">
        <f>IF(AB230="","",LOG10(MAX(AB230,1E-12)))</f>
        <v/>
      </c>
      <c r="AF230" s="195">
        <f>IF(B230="","",SQRT(P230^2+Q230^2))</f>
        <v/>
      </c>
      <c r="AG230" s="195">
        <f>IF(B230="","",SQRT(R230^2+S230^2))</f>
        <v/>
      </c>
    </row>
    <row r="231">
      <c r="A231" t="n">
        <v>228</v>
      </c>
      <c r="B231" s="196">
        <f>IF(A231&lt;='入力・概要'!$B$40,10^(LOG10('入力・概要'!$B$38)+(A231-1)*(LOG10('入力・概要'!$B$39)-LOG10('入力・概要'!$B$38))/('入力・概要'!$B$40-1)),"")</f>
        <v/>
      </c>
      <c r="C231" s="195">
        <f>IF(B231="","",2*PI()*B231)</f>
        <v/>
      </c>
      <c r="D231" s="195">
        <f>IF(B231="","",ATANH(MIN(0.999999,'入力・概要'!$E$20/'入力・概要'!$E$9))+'入力・概要'!$B$20*SQRT(B231/1E6)+E231*'入力・概要'!$B$15/2)</f>
        <v/>
      </c>
      <c r="E231" s="195">
        <f>IF(B231="","",C231*('入力・概要'!$E$11*1E-9))</f>
        <v/>
      </c>
      <c r="F231" s="195">
        <f>IF(B231="","",SINH(2*D231)/(COSH(2*D231)+COS(2*E231)))</f>
        <v/>
      </c>
      <c r="G231" s="195">
        <f>IF(B231="","",SIN(2*E231)/(COSH(2*D231)+COS(2*E231)))</f>
        <v/>
      </c>
      <c r="H231" s="195">
        <f>IF(B231="","",ATANH(MIN(0.999999,'入力・概要'!$E$21/'入力・概要'!$E$15))+'入力・概要'!$B$21*SQRT(B231/1E6)+I231*'入力・概要'!$B$16/2)</f>
        <v/>
      </c>
      <c r="I231" s="195">
        <f>IF(B231="","",C231*('入力・概要'!$E$17*1E-9))</f>
        <v/>
      </c>
      <c r="J231" s="195">
        <f>IF(B231="","",SINH(2*H231)/(COSH(2*H231)+COS(2*I231)))</f>
        <v/>
      </c>
      <c r="K231" s="195">
        <f>IF(B231="","",SIN(2*I231)/(COSH(2*H231)+COS(2*I231)))</f>
        <v/>
      </c>
      <c r="L231" s="195">
        <f>IF(B231="","",'入力・概要'!$B$25)</f>
        <v/>
      </c>
      <c r="M231" s="195">
        <f>IF(B231="","",C231*'入力・概要'!$B$26*1E-9-1/(C231*'入力・概要'!$B$24*1E-6))</f>
        <v/>
      </c>
      <c r="N231" s="195">
        <f>IF(B231="","",'入力・概要'!$B$28)</f>
        <v/>
      </c>
      <c r="O231" s="195">
        <f>IF(B231="","",C231*'入力・概要'!$B$29*1E-9-1/(C231*'入力・概要'!$B$27*1E-6))</f>
        <v/>
      </c>
      <c r="P231" s="195">
        <f>IF(B231="","",((L231*N231-M231*O231)*(L231+N231)+(L231*O231+M231*N231)*(M231+O231))/((L231+N231)^2+(M231+O231)^2))</f>
        <v/>
      </c>
      <c r="Q231" s="195">
        <f>IF(B231="","",((L231*O231+M231*N231)*(L231+N231)-(L231*N231-M231*O231)*(M231+O231))/((L231+N231)^2+(M231+O231)^2))</f>
        <v/>
      </c>
      <c r="R231" s="195">
        <f>IF(B231="","",'入力・概要'!$E$15*J231)</f>
        <v/>
      </c>
      <c r="S231" s="195">
        <f>IF(B231="","",'入力・概要'!$E$15*K231)</f>
        <v/>
      </c>
      <c r="T231" s="195">
        <f>IF(B231="","",P231+R231)</f>
        <v/>
      </c>
      <c r="U231" s="195">
        <f>IF(B231="","",Q231+S231)</f>
        <v/>
      </c>
      <c r="V231" s="195">
        <f>IF(B231="","",T231+'入力・概要'!$E$9*F231)</f>
        <v/>
      </c>
      <c r="W231" s="195">
        <f>IF(B231="","",U231+'入力・概要'!$E$9*G231)</f>
        <v/>
      </c>
      <c r="X231" s="195">
        <f>IF(B231="","",'入力・概要'!$E$9+T231*F231-U231*G231)</f>
        <v/>
      </c>
      <c r="Y231" s="195">
        <f>IF(B231="","",T231*G231+U231*F231)</f>
        <v/>
      </c>
      <c r="Z231" s="195">
        <f>IF(B231="","",'入力・概要'!$E$9*(V231*X231+W231*Y231)/(X231^2+Y231^2)+'入力・概要'!$B$36)</f>
        <v/>
      </c>
      <c r="AA231" s="195">
        <f>IF(B231="","",'入力・概要'!$E$9*(W231*X231-V231*Y231)/(X231^2+Y231^2)+C231*'入力・概要'!$B$37*1E-9)</f>
        <v/>
      </c>
      <c r="AB231" s="195">
        <f>IF(B231="","",SQRT(Z231^2+AA231^2))</f>
        <v/>
      </c>
      <c r="AC231" s="195">
        <f>IF(B231="","",IF(Z231&gt;0,DEGREES(ATAN(AA231/Z231)),IF(Z231&lt;0,IF(AA231&gt;=0,DEGREES(ATAN(AA231/Z231))+180,DEGREES(ATAN(AA231/Z231))-180),IF(AA231&gt;0,90,IF(AA231&lt;0,-90,0)))))</f>
        <v/>
      </c>
      <c r="AD231" s="195">
        <f>IF(B231="","",LOG10(B231))</f>
        <v/>
      </c>
      <c r="AE231" s="195">
        <f>IF(AB231="","",LOG10(MAX(AB231,1E-12)))</f>
        <v/>
      </c>
      <c r="AF231" s="195">
        <f>IF(B231="","",SQRT(P231^2+Q231^2))</f>
        <v/>
      </c>
      <c r="AG231" s="195">
        <f>IF(B231="","",SQRT(R231^2+S231^2))</f>
        <v/>
      </c>
    </row>
    <row r="232">
      <c r="A232" t="n">
        <v>229</v>
      </c>
      <c r="B232" s="196">
        <f>IF(A232&lt;='入力・概要'!$B$40,10^(LOG10('入力・概要'!$B$38)+(A232-1)*(LOG10('入力・概要'!$B$39)-LOG10('入力・概要'!$B$38))/('入力・概要'!$B$40-1)),"")</f>
        <v/>
      </c>
      <c r="C232" s="195">
        <f>IF(B232="","",2*PI()*B232)</f>
        <v/>
      </c>
      <c r="D232" s="195">
        <f>IF(B232="","",ATANH(MIN(0.999999,'入力・概要'!$E$20/'入力・概要'!$E$9))+'入力・概要'!$B$20*SQRT(B232/1E6)+E232*'入力・概要'!$B$15/2)</f>
        <v/>
      </c>
      <c r="E232" s="195">
        <f>IF(B232="","",C232*('入力・概要'!$E$11*1E-9))</f>
        <v/>
      </c>
      <c r="F232" s="195">
        <f>IF(B232="","",SINH(2*D232)/(COSH(2*D232)+COS(2*E232)))</f>
        <v/>
      </c>
      <c r="G232" s="195">
        <f>IF(B232="","",SIN(2*E232)/(COSH(2*D232)+COS(2*E232)))</f>
        <v/>
      </c>
      <c r="H232" s="195">
        <f>IF(B232="","",ATANH(MIN(0.999999,'入力・概要'!$E$21/'入力・概要'!$E$15))+'入力・概要'!$B$21*SQRT(B232/1E6)+I232*'入力・概要'!$B$16/2)</f>
        <v/>
      </c>
      <c r="I232" s="195">
        <f>IF(B232="","",C232*('入力・概要'!$E$17*1E-9))</f>
        <v/>
      </c>
      <c r="J232" s="195">
        <f>IF(B232="","",SINH(2*H232)/(COSH(2*H232)+COS(2*I232)))</f>
        <v/>
      </c>
      <c r="K232" s="195">
        <f>IF(B232="","",SIN(2*I232)/(COSH(2*H232)+COS(2*I232)))</f>
        <v/>
      </c>
      <c r="L232" s="195">
        <f>IF(B232="","",'入力・概要'!$B$25)</f>
        <v/>
      </c>
      <c r="M232" s="195">
        <f>IF(B232="","",C232*'入力・概要'!$B$26*1E-9-1/(C232*'入力・概要'!$B$24*1E-6))</f>
        <v/>
      </c>
      <c r="N232" s="195">
        <f>IF(B232="","",'入力・概要'!$B$28)</f>
        <v/>
      </c>
      <c r="O232" s="195">
        <f>IF(B232="","",C232*'入力・概要'!$B$29*1E-9-1/(C232*'入力・概要'!$B$27*1E-6))</f>
        <v/>
      </c>
      <c r="P232" s="195">
        <f>IF(B232="","",((L232*N232-M232*O232)*(L232+N232)+(L232*O232+M232*N232)*(M232+O232))/((L232+N232)^2+(M232+O232)^2))</f>
        <v/>
      </c>
      <c r="Q232" s="195">
        <f>IF(B232="","",((L232*O232+M232*N232)*(L232+N232)-(L232*N232-M232*O232)*(M232+O232))/((L232+N232)^2+(M232+O232)^2))</f>
        <v/>
      </c>
      <c r="R232" s="195">
        <f>IF(B232="","",'入力・概要'!$E$15*J232)</f>
        <v/>
      </c>
      <c r="S232" s="195">
        <f>IF(B232="","",'入力・概要'!$E$15*K232)</f>
        <v/>
      </c>
      <c r="T232" s="195">
        <f>IF(B232="","",P232+R232)</f>
        <v/>
      </c>
      <c r="U232" s="195">
        <f>IF(B232="","",Q232+S232)</f>
        <v/>
      </c>
      <c r="V232" s="195">
        <f>IF(B232="","",T232+'入力・概要'!$E$9*F232)</f>
        <v/>
      </c>
      <c r="W232" s="195">
        <f>IF(B232="","",U232+'入力・概要'!$E$9*G232)</f>
        <v/>
      </c>
      <c r="X232" s="195">
        <f>IF(B232="","",'入力・概要'!$E$9+T232*F232-U232*G232)</f>
        <v/>
      </c>
      <c r="Y232" s="195">
        <f>IF(B232="","",T232*G232+U232*F232)</f>
        <v/>
      </c>
      <c r="Z232" s="195">
        <f>IF(B232="","",'入力・概要'!$E$9*(V232*X232+W232*Y232)/(X232^2+Y232^2)+'入力・概要'!$B$36)</f>
        <v/>
      </c>
      <c r="AA232" s="195">
        <f>IF(B232="","",'入力・概要'!$E$9*(W232*X232-V232*Y232)/(X232^2+Y232^2)+C232*'入力・概要'!$B$37*1E-9)</f>
        <v/>
      </c>
      <c r="AB232" s="195">
        <f>IF(B232="","",SQRT(Z232^2+AA232^2))</f>
        <v/>
      </c>
      <c r="AC232" s="195">
        <f>IF(B232="","",IF(Z232&gt;0,DEGREES(ATAN(AA232/Z232)),IF(Z232&lt;0,IF(AA232&gt;=0,DEGREES(ATAN(AA232/Z232))+180,DEGREES(ATAN(AA232/Z232))-180),IF(AA232&gt;0,90,IF(AA232&lt;0,-90,0)))))</f>
        <v/>
      </c>
      <c r="AD232" s="195">
        <f>IF(B232="","",LOG10(B232))</f>
        <v/>
      </c>
      <c r="AE232" s="195">
        <f>IF(AB232="","",LOG10(MAX(AB232,1E-12)))</f>
        <v/>
      </c>
      <c r="AF232" s="195">
        <f>IF(B232="","",SQRT(P232^2+Q232^2))</f>
        <v/>
      </c>
      <c r="AG232" s="195">
        <f>IF(B232="","",SQRT(R232^2+S232^2))</f>
        <v/>
      </c>
    </row>
    <row r="233">
      <c r="A233" t="n">
        <v>230</v>
      </c>
      <c r="B233" s="196">
        <f>IF(A233&lt;='入力・概要'!$B$40,10^(LOG10('入力・概要'!$B$38)+(A233-1)*(LOG10('入力・概要'!$B$39)-LOG10('入力・概要'!$B$38))/('入力・概要'!$B$40-1)),"")</f>
        <v/>
      </c>
      <c r="C233" s="195">
        <f>IF(B233="","",2*PI()*B233)</f>
        <v/>
      </c>
      <c r="D233" s="195">
        <f>IF(B233="","",ATANH(MIN(0.999999,'入力・概要'!$E$20/'入力・概要'!$E$9))+'入力・概要'!$B$20*SQRT(B233/1E6)+E233*'入力・概要'!$B$15/2)</f>
        <v/>
      </c>
      <c r="E233" s="195">
        <f>IF(B233="","",C233*('入力・概要'!$E$11*1E-9))</f>
        <v/>
      </c>
      <c r="F233" s="195">
        <f>IF(B233="","",SINH(2*D233)/(COSH(2*D233)+COS(2*E233)))</f>
        <v/>
      </c>
      <c r="G233" s="195">
        <f>IF(B233="","",SIN(2*E233)/(COSH(2*D233)+COS(2*E233)))</f>
        <v/>
      </c>
      <c r="H233" s="195">
        <f>IF(B233="","",ATANH(MIN(0.999999,'入力・概要'!$E$21/'入力・概要'!$E$15))+'入力・概要'!$B$21*SQRT(B233/1E6)+I233*'入力・概要'!$B$16/2)</f>
        <v/>
      </c>
      <c r="I233" s="195">
        <f>IF(B233="","",C233*('入力・概要'!$E$17*1E-9))</f>
        <v/>
      </c>
      <c r="J233" s="195">
        <f>IF(B233="","",SINH(2*H233)/(COSH(2*H233)+COS(2*I233)))</f>
        <v/>
      </c>
      <c r="K233" s="195">
        <f>IF(B233="","",SIN(2*I233)/(COSH(2*H233)+COS(2*I233)))</f>
        <v/>
      </c>
      <c r="L233" s="195">
        <f>IF(B233="","",'入力・概要'!$B$25)</f>
        <v/>
      </c>
      <c r="M233" s="195">
        <f>IF(B233="","",C233*'入力・概要'!$B$26*1E-9-1/(C233*'入力・概要'!$B$24*1E-6))</f>
        <v/>
      </c>
      <c r="N233" s="195">
        <f>IF(B233="","",'入力・概要'!$B$28)</f>
        <v/>
      </c>
      <c r="O233" s="195">
        <f>IF(B233="","",C233*'入力・概要'!$B$29*1E-9-1/(C233*'入力・概要'!$B$27*1E-6))</f>
        <v/>
      </c>
      <c r="P233" s="195">
        <f>IF(B233="","",((L233*N233-M233*O233)*(L233+N233)+(L233*O233+M233*N233)*(M233+O233))/((L233+N233)^2+(M233+O233)^2))</f>
        <v/>
      </c>
      <c r="Q233" s="195">
        <f>IF(B233="","",((L233*O233+M233*N233)*(L233+N233)-(L233*N233-M233*O233)*(M233+O233))/((L233+N233)^2+(M233+O233)^2))</f>
        <v/>
      </c>
      <c r="R233" s="195">
        <f>IF(B233="","",'入力・概要'!$E$15*J233)</f>
        <v/>
      </c>
      <c r="S233" s="195">
        <f>IF(B233="","",'入力・概要'!$E$15*K233)</f>
        <v/>
      </c>
      <c r="T233" s="195">
        <f>IF(B233="","",P233+R233)</f>
        <v/>
      </c>
      <c r="U233" s="195">
        <f>IF(B233="","",Q233+S233)</f>
        <v/>
      </c>
      <c r="V233" s="195">
        <f>IF(B233="","",T233+'入力・概要'!$E$9*F233)</f>
        <v/>
      </c>
      <c r="W233" s="195">
        <f>IF(B233="","",U233+'入力・概要'!$E$9*G233)</f>
        <v/>
      </c>
      <c r="X233" s="195">
        <f>IF(B233="","",'入力・概要'!$E$9+T233*F233-U233*G233)</f>
        <v/>
      </c>
      <c r="Y233" s="195">
        <f>IF(B233="","",T233*G233+U233*F233)</f>
        <v/>
      </c>
      <c r="Z233" s="195">
        <f>IF(B233="","",'入力・概要'!$E$9*(V233*X233+W233*Y233)/(X233^2+Y233^2)+'入力・概要'!$B$36)</f>
        <v/>
      </c>
      <c r="AA233" s="195">
        <f>IF(B233="","",'入力・概要'!$E$9*(W233*X233-V233*Y233)/(X233^2+Y233^2)+C233*'入力・概要'!$B$37*1E-9)</f>
        <v/>
      </c>
      <c r="AB233" s="195">
        <f>IF(B233="","",SQRT(Z233^2+AA233^2))</f>
        <v/>
      </c>
      <c r="AC233" s="195">
        <f>IF(B233="","",IF(Z233&gt;0,DEGREES(ATAN(AA233/Z233)),IF(Z233&lt;0,IF(AA233&gt;=0,DEGREES(ATAN(AA233/Z233))+180,DEGREES(ATAN(AA233/Z233))-180),IF(AA233&gt;0,90,IF(AA233&lt;0,-90,0)))))</f>
        <v/>
      </c>
      <c r="AD233" s="195">
        <f>IF(B233="","",LOG10(B233))</f>
        <v/>
      </c>
      <c r="AE233" s="195">
        <f>IF(AB233="","",LOG10(MAX(AB233,1E-12)))</f>
        <v/>
      </c>
      <c r="AF233" s="195">
        <f>IF(B233="","",SQRT(P233^2+Q233^2))</f>
        <v/>
      </c>
      <c r="AG233" s="195">
        <f>IF(B233="","",SQRT(R233^2+S233^2))</f>
        <v/>
      </c>
    </row>
    <row r="234">
      <c r="A234" t="n">
        <v>231</v>
      </c>
      <c r="B234" s="196">
        <f>IF(A234&lt;='入力・概要'!$B$40,10^(LOG10('入力・概要'!$B$38)+(A234-1)*(LOG10('入力・概要'!$B$39)-LOG10('入力・概要'!$B$38))/('入力・概要'!$B$40-1)),"")</f>
        <v/>
      </c>
      <c r="C234" s="195">
        <f>IF(B234="","",2*PI()*B234)</f>
        <v/>
      </c>
      <c r="D234" s="195">
        <f>IF(B234="","",ATANH(MIN(0.999999,'入力・概要'!$E$20/'入力・概要'!$E$9))+'入力・概要'!$B$20*SQRT(B234/1E6)+E234*'入力・概要'!$B$15/2)</f>
        <v/>
      </c>
      <c r="E234" s="195">
        <f>IF(B234="","",C234*('入力・概要'!$E$11*1E-9))</f>
        <v/>
      </c>
      <c r="F234" s="195">
        <f>IF(B234="","",SINH(2*D234)/(COSH(2*D234)+COS(2*E234)))</f>
        <v/>
      </c>
      <c r="G234" s="195">
        <f>IF(B234="","",SIN(2*E234)/(COSH(2*D234)+COS(2*E234)))</f>
        <v/>
      </c>
      <c r="H234" s="195">
        <f>IF(B234="","",ATANH(MIN(0.999999,'入力・概要'!$E$21/'入力・概要'!$E$15))+'入力・概要'!$B$21*SQRT(B234/1E6)+I234*'入力・概要'!$B$16/2)</f>
        <v/>
      </c>
      <c r="I234" s="195">
        <f>IF(B234="","",C234*('入力・概要'!$E$17*1E-9))</f>
        <v/>
      </c>
      <c r="J234" s="195">
        <f>IF(B234="","",SINH(2*H234)/(COSH(2*H234)+COS(2*I234)))</f>
        <v/>
      </c>
      <c r="K234" s="195">
        <f>IF(B234="","",SIN(2*I234)/(COSH(2*H234)+COS(2*I234)))</f>
        <v/>
      </c>
      <c r="L234" s="195">
        <f>IF(B234="","",'入力・概要'!$B$25)</f>
        <v/>
      </c>
      <c r="M234" s="195">
        <f>IF(B234="","",C234*'入力・概要'!$B$26*1E-9-1/(C234*'入力・概要'!$B$24*1E-6))</f>
        <v/>
      </c>
      <c r="N234" s="195">
        <f>IF(B234="","",'入力・概要'!$B$28)</f>
        <v/>
      </c>
      <c r="O234" s="195">
        <f>IF(B234="","",C234*'入力・概要'!$B$29*1E-9-1/(C234*'入力・概要'!$B$27*1E-6))</f>
        <v/>
      </c>
      <c r="P234" s="195">
        <f>IF(B234="","",((L234*N234-M234*O234)*(L234+N234)+(L234*O234+M234*N234)*(M234+O234))/((L234+N234)^2+(M234+O234)^2))</f>
        <v/>
      </c>
      <c r="Q234" s="195">
        <f>IF(B234="","",((L234*O234+M234*N234)*(L234+N234)-(L234*N234-M234*O234)*(M234+O234))/((L234+N234)^2+(M234+O234)^2))</f>
        <v/>
      </c>
      <c r="R234" s="195">
        <f>IF(B234="","",'入力・概要'!$E$15*J234)</f>
        <v/>
      </c>
      <c r="S234" s="195">
        <f>IF(B234="","",'入力・概要'!$E$15*K234)</f>
        <v/>
      </c>
      <c r="T234" s="195">
        <f>IF(B234="","",P234+R234)</f>
        <v/>
      </c>
      <c r="U234" s="195">
        <f>IF(B234="","",Q234+S234)</f>
        <v/>
      </c>
      <c r="V234" s="195">
        <f>IF(B234="","",T234+'入力・概要'!$E$9*F234)</f>
        <v/>
      </c>
      <c r="W234" s="195">
        <f>IF(B234="","",U234+'入力・概要'!$E$9*G234)</f>
        <v/>
      </c>
      <c r="X234" s="195">
        <f>IF(B234="","",'入力・概要'!$E$9+T234*F234-U234*G234)</f>
        <v/>
      </c>
      <c r="Y234" s="195">
        <f>IF(B234="","",T234*G234+U234*F234)</f>
        <v/>
      </c>
      <c r="Z234" s="195">
        <f>IF(B234="","",'入力・概要'!$E$9*(V234*X234+W234*Y234)/(X234^2+Y234^2)+'入力・概要'!$B$36)</f>
        <v/>
      </c>
      <c r="AA234" s="195">
        <f>IF(B234="","",'入力・概要'!$E$9*(W234*X234-V234*Y234)/(X234^2+Y234^2)+C234*'入力・概要'!$B$37*1E-9)</f>
        <v/>
      </c>
      <c r="AB234" s="195">
        <f>IF(B234="","",SQRT(Z234^2+AA234^2))</f>
        <v/>
      </c>
      <c r="AC234" s="195">
        <f>IF(B234="","",IF(Z234&gt;0,DEGREES(ATAN(AA234/Z234)),IF(Z234&lt;0,IF(AA234&gt;=0,DEGREES(ATAN(AA234/Z234))+180,DEGREES(ATAN(AA234/Z234))-180),IF(AA234&gt;0,90,IF(AA234&lt;0,-90,0)))))</f>
        <v/>
      </c>
      <c r="AD234" s="195">
        <f>IF(B234="","",LOG10(B234))</f>
        <v/>
      </c>
      <c r="AE234" s="195">
        <f>IF(AB234="","",LOG10(MAX(AB234,1E-12)))</f>
        <v/>
      </c>
      <c r="AF234" s="195">
        <f>IF(B234="","",SQRT(P234^2+Q234^2))</f>
        <v/>
      </c>
      <c r="AG234" s="195">
        <f>IF(B234="","",SQRT(R234^2+S234^2))</f>
        <v/>
      </c>
    </row>
    <row r="235">
      <c r="A235" t="n">
        <v>232</v>
      </c>
      <c r="B235" s="196">
        <f>IF(A235&lt;='入力・概要'!$B$40,10^(LOG10('入力・概要'!$B$38)+(A235-1)*(LOG10('入力・概要'!$B$39)-LOG10('入力・概要'!$B$38))/('入力・概要'!$B$40-1)),"")</f>
        <v/>
      </c>
      <c r="C235" s="195">
        <f>IF(B235="","",2*PI()*B235)</f>
        <v/>
      </c>
      <c r="D235" s="195">
        <f>IF(B235="","",ATANH(MIN(0.999999,'入力・概要'!$E$20/'入力・概要'!$E$9))+'入力・概要'!$B$20*SQRT(B235/1E6)+E235*'入力・概要'!$B$15/2)</f>
        <v/>
      </c>
      <c r="E235" s="195">
        <f>IF(B235="","",C235*('入力・概要'!$E$11*1E-9))</f>
        <v/>
      </c>
      <c r="F235" s="195">
        <f>IF(B235="","",SINH(2*D235)/(COSH(2*D235)+COS(2*E235)))</f>
        <v/>
      </c>
      <c r="G235" s="195">
        <f>IF(B235="","",SIN(2*E235)/(COSH(2*D235)+COS(2*E235)))</f>
        <v/>
      </c>
      <c r="H235" s="195">
        <f>IF(B235="","",ATANH(MIN(0.999999,'入力・概要'!$E$21/'入力・概要'!$E$15))+'入力・概要'!$B$21*SQRT(B235/1E6)+I235*'入力・概要'!$B$16/2)</f>
        <v/>
      </c>
      <c r="I235" s="195">
        <f>IF(B235="","",C235*('入力・概要'!$E$17*1E-9))</f>
        <v/>
      </c>
      <c r="J235" s="195">
        <f>IF(B235="","",SINH(2*H235)/(COSH(2*H235)+COS(2*I235)))</f>
        <v/>
      </c>
      <c r="K235" s="195">
        <f>IF(B235="","",SIN(2*I235)/(COSH(2*H235)+COS(2*I235)))</f>
        <v/>
      </c>
      <c r="L235" s="195">
        <f>IF(B235="","",'入力・概要'!$B$25)</f>
        <v/>
      </c>
      <c r="M235" s="195">
        <f>IF(B235="","",C235*'入力・概要'!$B$26*1E-9-1/(C235*'入力・概要'!$B$24*1E-6))</f>
        <v/>
      </c>
      <c r="N235" s="195">
        <f>IF(B235="","",'入力・概要'!$B$28)</f>
        <v/>
      </c>
      <c r="O235" s="195">
        <f>IF(B235="","",C235*'入力・概要'!$B$29*1E-9-1/(C235*'入力・概要'!$B$27*1E-6))</f>
        <v/>
      </c>
      <c r="P235" s="195">
        <f>IF(B235="","",((L235*N235-M235*O235)*(L235+N235)+(L235*O235+M235*N235)*(M235+O235))/((L235+N235)^2+(M235+O235)^2))</f>
        <v/>
      </c>
      <c r="Q235" s="195">
        <f>IF(B235="","",((L235*O235+M235*N235)*(L235+N235)-(L235*N235-M235*O235)*(M235+O235))/((L235+N235)^2+(M235+O235)^2))</f>
        <v/>
      </c>
      <c r="R235" s="195">
        <f>IF(B235="","",'入力・概要'!$E$15*J235)</f>
        <v/>
      </c>
      <c r="S235" s="195">
        <f>IF(B235="","",'入力・概要'!$E$15*K235)</f>
        <v/>
      </c>
      <c r="T235" s="195">
        <f>IF(B235="","",P235+R235)</f>
        <v/>
      </c>
      <c r="U235" s="195">
        <f>IF(B235="","",Q235+S235)</f>
        <v/>
      </c>
      <c r="V235" s="195">
        <f>IF(B235="","",T235+'入力・概要'!$E$9*F235)</f>
        <v/>
      </c>
      <c r="W235" s="195">
        <f>IF(B235="","",U235+'入力・概要'!$E$9*G235)</f>
        <v/>
      </c>
      <c r="X235" s="195">
        <f>IF(B235="","",'入力・概要'!$E$9+T235*F235-U235*G235)</f>
        <v/>
      </c>
      <c r="Y235" s="195">
        <f>IF(B235="","",T235*G235+U235*F235)</f>
        <v/>
      </c>
      <c r="Z235" s="195">
        <f>IF(B235="","",'入力・概要'!$E$9*(V235*X235+W235*Y235)/(X235^2+Y235^2)+'入力・概要'!$B$36)</f>
        <v/>
      </c>
      <c r="AA235" s="195">
        <f>IF(B235="","",'入力・概要'!$E$9*(W235*X235-V235*Y235)/(X235^2+Y235^2)+C235*'入力・概要'!$B$37*1E-9)</f>
        <v/>
      </c>
      <c r="AB235" s="195">
        <f>IF(B235="","",SQRT(Z235^2+AA235^2))</f>
        <v/>
      </c>
      <c r="AC235" s="195">
        <f>IF(B235="","",IF(Z235&gt;0,DEGREES(ATAN(AA235/Z235)),IF(Z235&lt;0,IF(AA235&gt;=0,DEGREES(ATAN(AA235/Z235))+180,DEGREES(ATAN(AA235/Z235))-180),IF(AA235&gt;0,90,IF(AA235&lt;0,-90,0)))))</f>
        <v/>
      </c>
      <c r="AD235" s="195">
        <f>IF(B235="","",LOG10(B235))</f>
        <v/>
      </c>
      <c r="AE235" s="195">
        <f>IF(AB235="","",LOG10(MAX(AB235,1E-12)))</f>
        <v/>
      </c>
      <c r="AF235" s="195">
        <f>IF(B235="","",SQRT(P235^2+Q235^2))</f>
        <v/>
      </c>
      <c r="AG235" s="195">
        <f>IF(B235="","",SQRT(R235^2+S235^2))</f>
        <v/>
      </c>
    </row>
    <row r="236">
      <c r="A236" t="n">
        <v>233</v>
      </c>
      <c r="B236" s="196">
        <f>IF(A236&lt;='入力・概要'!$B$40,10^(LOG10('入力・概要'!$B$38)+(A236-1)*(LOG10('入力・概要'!$B$39)-LOG10('入力・概要'!$B$38))/('入力・概要'!$B$40-1)),"")</f>
        <v/>
      </c>
      <c r="C236" s="195">
        <f>IF(B236="","",2*PI()*B236)</f>
        <v/>
      </c>
      <c r="D236" s="195">
        <f>IF(B236="","",ATANH(MIN(0.999999,'入力・概要'!$E$20/'入力・概要'!$E$9))+'入力・概要'!$B$20*SQRT(B236/1E6)+E236*'入力・概要'!$B$15/2)</f>
        <v/>
      </c>
      <c r="E236" s="195">
        <f>IF(B236="","",C236*('入力・概要'!$E$11*1E-9))</f>
        <v/>
      </c>
      <c r="F236" s="195">
        <f>IF(B236="","",SINH(2*D236)/(COSH(2*D236)+COS(2*E236)))</f>
        <v/>
      </c>
      <c r="G236" s="195">
        <f>IF(B236="","",SIN(2*E236)/(COSH(2*D236)+COS(2*E236)))</f>
        <v/>
      </c>
      <c r="H236" s="195">
        <f>IF(B236="","",ATANH(MIN(0.999999,'入力・概要'!$E$21/'入力・概要'!$E$15))+'入力・概要'!$B$21*SQRT(B236/1E6)+I236*'入力・概要'!$B$16/2)</f>
        <v/>
      </c>
      <c r="I236" s="195">
        <f>IF(B236="","",C236*('入力・概要'!$E$17*1E-9))</f>
        <v/>
      </c>
      <c r="J236" s="195">
        <f>IF(B236="","",SINH(2*H236)/(COSH(2*H236)+COS(2*I236)))</f>
        <v/>
      </c>
      <c r="K236" s="195">
        <f>IF(B236="","",SIN(2*I236)/(COSH(2*H236)+COS(2*I236)))</f>
        <v/>
      </c>
      <c r="L236" s="195">
        <f>IF(B236="","",'入力・概要'!$B$25)</f>
        <v/>
      </c>
      <c r="M236" s="195">
        <f>IF(B236="","",C236*'入力・概要'!$B$26*1E-9-1/(C236*'入力・概要'!$B$24*1E-6))</f>
        <v/>
      </c>
      <c r="N236" s="195">
        <f>IF(B236="","",'入力・概要'!$B$28)</f>
        <v/>
      </c>
      <c r="O236" s="195">
        <f>IF(B236="","",C236*'入力・概要'!$B$29*1E-9-1/(C236*'入力・概要'!$B$27*1E-6))</f>
        <v/>
      </c>
      <c r="P236" s="195">
        <f>IF(B236="","",((L236*N236-M236*O236)*(L236+N236)+(L236*O236+M236*N236)*(M236+O236))/((L236+N236)^2+(M236+O236)^2))</f>
        <v/>
      </c>
      <c r="Q236" s="195">
        <f>IF(B236="","",((L236*O236+M236*N236)*(L236+N236)-(L236*N236-M236*O236)*(M236+O236))/((L236+N236)^2+(M236+O236)^2))</f>
        <v/>
      </c>
      <c r="R236" s="195">
        <f>IF(B236="","",'入力・概要'!$E$15*J236)</f>
        <v/>
      </c>
      <c r="S236" s="195">
        <f>IF(B236="","",'入力・概要'!$E$15*K236)</f>
        <v/>
      </c>
      <c r="T236" s="195">
        <f>IF(B236="","",P236+R236)</f>
        <v/>
      </c>
      <c r="U236" s="195">
        <f>IF(B236="","",Q236+S236)</f>
        <v/>
      </c>
      <c r="V236" s="195">
        <f>IF(B236="","",T236+'入力・概要'!$E$9*F236)</f>
        <v/>
      </c>
      <c r="W236" s="195">
        <f>IF(B236="","",U236+'入力・概要'!$E$9*G236)</f>
        <v/>
      </c>
      <c r="X236" s="195">
        <f>IF(B236="","",'入力・概要'!$E$9+T236*F236-U236*G236)</f>
        <v/>
      </c>
      <c r="Y236" s="195">
        <f>IF(B236="","",T236*G236+U236*F236)</f>
        <v/>
      </c>
      <c r="Z236" s="195">
        <f>IF(B236="","",'入力・概要'!$E$9*(V236*X236+W236*Y236)/(X236^2+Y236^2)+'入力・概要'!$B$36)</f>
        <v/>
      </c>
      <c r="AA236" s="195">
        <f>IF(B236="","",'入力・概要'!$E$9*(W236*X236-V236*Y236)/(X236^2+Y236^2)+C236*'入力・概要'!$B$37*1E-9)</f>
        <v/>
      </c>
      <c r="AB236" s="195">
        <f>IF(B236="","",SQRT(Z236^2+AA236^2))</f>
        <v/>
      </c>
      <c r="AC236" s="195">
        <f>IF(B236="","",IF(Z236&gt;0,DEGREES(ATAN(AA236/Z236)),IF(Z236&lt;0,IF(AA236&gt;=0,DEGREES(ATAN(AA236/Z236))+180,DEGREES(ATAN(AA236/Z236))-180),IF(AA236&gt;0,90,IF(AA236&lt;0,-90,0)))))</f>
        <v/>
      </c>
      <c r="AD236" s="195">
        <f>IF(B236="","",LOG10(B236))</f>
        <v/>
      </c>
      <c r="AE236" s="195">
        <f>IF(AB236="","",LOG10(MAX(AB236,1E-12)))</f>
        <v/>
      </c>
      <c r="AF236" s="195">
        <f>IF(B236="","",SQRT(P236^2+Q236^2))</f>
        <v/>
      </c>
      <c r="AG236" s="195">
        <f>IF(B236="","",SQRT(R236^2+S236^2))</f>
        <v/>
      </c>
    </row>
    <row r="237">
      <c r="A237" t="n">
        <v>234</v>
      </c>
      <c r="B237" s="196">
        <f>IF(A237&lt;='入力・概要'!$B$40,10^(LOG10('入力・概要'!$B$38)+(A237-1)*(LOG10('入力・概要'!$B$39)-LOG10('入力・概要'!$B$38))/('入力・概要'!$B$40-1)),"")</f>
        <v/>
      </c>
      <c r="C237" s="195">
        <f>IF(B237="","",2*PI()*B237)</f>
        <v/>
      </c>
      <c r="D237" s="195">
        <f>IF(B237="","",ATANH(MIN(0.999999,'入力・概要'!$E$20/'入力・概要'!$E$9))+'入力・概要'!$B$20*SQRT(B237/1E6)+E237*'入力・概要'!$B$15/2)</f>
        <v/>
      </c>
      <c r="E237" s="195">
        <f>IF(B237="","",C237*('入力・概要'!$E$11*1E-9))</f>
        <v/>
      </c>
      <c r="F237" s="195">
        <f>IF(B237="","",SINH(2*D237)/(COSH(2*D237)+COS(2*E237)))</f>
        <v/>
      </c>
      <c r="G237" s="195">
        <f>IF(B237="","",SIN(2*E237)/(COSH(2*D237)+COS(2*E237)))</f>
        <v/>
      </c>
      <c r="H237" s="195">
        <f>IF(B237="","",ATANH(MIN(0.999999,'入力・概要'!$E$21/'入力・概要'!$E$15))+'入力・概要'!$B$21*SQRT(B237/1E6)+I237*'入力・概要'!$B$16/2)</f>
        <v/>
      </c>
      <c r="I237" s="195">
        <f>IF(B237="","",C237*('入力・概要'!$E$17*1E-9))</f>
        <v/>
      </c>
      <c r="J237" s="195">
        <f>IF(B237="","",SINH(2*H237)/(COSH(2*H237)+COS(2*I237)))</f>
        <v/>
      </c>
      <c r="K237" s="195">
        <f>IF(B237="","",SIN(2*I237)/(COSH(2*H237)+COS(2*I237)))</f>
        <v/>
      </c>
      <c r="L237" s="195">
        <f>IF(B237="","",'入力・概要'!$B$25)</f>
        <v/>
      </c>
      <c r="M237" s="195">
        <f>IF(B237="","",C237*'入力・概要'!$B$26*1E-9-1/(C237*'入力・概要'!$B$24*1E-6))</f>
        <v/>
      </c>
      <c r="N237" s="195">
        <f>IF(B237="","",'入力・概要'!$B$28)</f>
        <v/>
      </c>
      <c r="O237" s="195">
        <f>IF(B237="","",C237*'入力・概要'!$B$29*1E-9-1/(C237*'入力・概要'!$B$27*1E-6))</f>
        <v/>
      </c>
      <c r="P237" s="195">
        <f>IF(B237="","",((L237*N237-M237*O237)*(L237+N237)+(L237*O237+M237*N237)*(M237+O237))/((L237+N237)^2+(M237+O237)^2))</f>
        <v/>
      </c>
      <c r="Q237" s="195">
        <f>IF(B237="","",((L237*O237+M237*N237)*(L237+N237)-(L237*N237-M237*O237)*(M237+O237))/((L237+N237)^2+(M237+O237)^2))</f>
        <v/>
      </c>
      <c r="R237" s="195">
        <f>IF(B237="","",'入力・概要'!$E$15*J237)</f>
        <v/>
      </c>
      <c r="S237" s="195">
        <f>IF(B237="","",'入力・概要'!$E$15*K237)</f>
        <v/>
      </c>
      <c r="T237" s="195">
        <f>IF(B237="","",P237+R237)</f>
        <v/>
      </c>
      <c r="U237" s="195">
        <f>IF(B237="","",Q237+S237)</f>
        <v/>
      </c>
      <c r="V237" s="195">
        <f>IF(B237="","",T237+'入力・概要'!$E$9*F237)</f>
        <v/>
      </c>
      <c r="W237" s="195">
        <f>IF(B237="","",U237+'入力・概要'!$E$9*G237)</f>
        <v/>
      </c>
      <c r="X237" s="195">
        <f>IF(B237="","",'入力・概要'!$E$9+T237*F237-U237*G237)</f>
        <v/>
      </c>
      <c r="Y237" s="195">
        <f>IF(B237="","",T237*G237+U237*F237)</f>
        <v/>
      </c>
      <c r="Z237" s="195">
        <f>IF(B237="","",'入力・概要'!$E$9*(V237*X237+W237*Y237)/(X237^2+Y237^2)+'入力・概要'!$B$36)</f>
        <v/>
      </c>
      <c r="AA237" s="195">
        <f>IF(B237="","",'入力・概要'!$E$9*(W237*X237-V237*Y237)/(X237^2+Y237^2)+C237*'入力・概要'!$B$37*1E-9)</f>
        <v/>
      </c>
      <c r="AB237" s="195">
        <f>IF(B237="","",SQRT(Z237^2+AA237^2))</f>
        <v/>
      </c>
      <c r="AC237" s="195">
        <f>IF(B237="","",IF(Z237&gt;0,DEGREES(ATAN(AA237/Z237)),IF(Z237&lt;0,IF(AA237&gt;=0,DEGREES(ATAN(AA237/Z237))+180,DEGREES(ATAN(AA237/Z237))-180),IF(AA237&gt;0,90,IF(AA237&lt;0,-90,0)))))</f>
        <v/>
      </c>
      <c r="AD237" s="195">
        <f>IF(B237="","",LOG10(B237))</f>
        <v/>
      </c>
      <c r="AE237" s="195">
        <f>IF(AB237="","",LOG10(MAX(AB237,1E-12)))</f>
        <v/>
      </c>
      <c r="AF237" s="195">
        <f>IF(B237="","",SQRT(P237^2+Q237^2))</f>
        <v/>
      </c>
      <c r="AG237" s="195">
        <f>IF(B237="","",SQRT(R237^2+S237^2))</f>
        <v/>
      </c>
    </row>
    <row r="238">
      <c r="A238" t="n">
        <v>235</v>
      </c>
      <c r="B238" s="196">
        <f>IF(A238&lt;='入力・概要'!$B$40,10^(LOG10('入力・概要'!$B$38)+(A238-1)*(LOG10('入力・概要'!$B$39)-LOG10('入力・概要'!$B$38))/('入力・概要'!$B$40-1)),"")</f>
        <v/>
      </c>
      <c r="C238" s="195">
        <f>IF(B238="","",2*PI()*B238)</f>
        <v/>
      </c>
      <c r="D238" s="195">
        <f>IF(B238="","",ATANH(MIN(0.999999,'入力・概要'!$E$20/'入力・概要'!$E$9))+'入力・概要'!$B$20*SQRT(B238/1E6)+E238*'入力・概要'!$B$15/2)</f>
        <v/>
      </c>
      <c r="E238" s="195">
        <f>IF(B238="","",C238*('入力・概要'!$E$11*1E-9))</f>
        <v/>
      </c>
      <c r="F238" s="195">
        <f>IF(B238="","",SINH(2*D238)/(COSH(2*D238)+COS(2*E238)))</f>
        <v/>
      </c>
      <c r="G238" s="195">
        <f>IF(B238="","",SIN(2*E238)/(COSH(2*D238)+COS(2*E238)))</f>
        <v/>
      </c>
      <c r="H238" s="195">
        <f>IF(B238="","",ATANH(MIN(0.999999,'入力・概要'!$E$21/'入力・概要'!$E$15))+'入力・概要'!$B$21*SQRT(B238/1E6)+I238*'入力・概要'!$B$16/2)</f>
        <v/>
      </c>
      <c r="I238" s="195">
        <f>IF(B238="","",C238*('入力・概要'!$E$17*1E-9))</f>
        <v/>
      </c>
      <c r="J238" s="195">
        <f>IF(B238="","",SINH(2*H238)/(COSH(2*H238)+COS(2*I238)))</f>
        <v/>
      </c>
      <c r="K238" s="195">
        <f>IF(B238="","",SIN(2*I238)/(COSH(2*H238)+COS(2*I238)))</f>
        <v/>
      </c>
      <c r="L238" s="195">
        <f>IF(B238="","",'入力・概要'!$B$25)</f>
        <v/>
      </c>
      <c r="M238" s="195">
        <f>IF(B238="","",C238*'入力・概要'!$B$26*1E-9-1/(C238*'入力・概要'!$B$24*1E-6))</f>
        <v/>
      </c>
      <c r="N238" s="195">
        <f>IF(B238="","",'入力・概要'!$B$28)</f>
        <v/>
      </c>
      <c r="O238" s="195">
        <f>IF(B238="","",C238*'入力・概要'!$B$29*1E-9-1/(C238*'入力・概要'!$B$27*1E-6))</f>
        <v/>
      </c>
      <c r="P238" s="195">
        <f>IF(B238="","",((L238*N238-M238*O238)*(L238+N238)+(L238*O238+M238*N238)*(M238+O238))/((L238+N238)^2+(M238+O238)^2))</f>
        <v/>
      </c>
      <c r="Q238" s="195">
        <f>IF(B238="","",((L238*O238+M238*N238)*(L238+N238)-(L238*N238-M238*O238)*(M238+O238))/((L238+N238)^2+(M238+O238)^2))</f>
        <v/>
      </c>
      <c r="R238" s="195">
        <f>IF(B238="","",'入力・概要'!$E$15*J238)</f>
        <v/>
      </c>
      <c r="S238" s="195">
        <f>IF(B238="","",'入力・概要'!$E$15*K238)</f>
        <v/>
      </c>
      <c r="T238" s="195">
        <f>IF(B238="","",P238+R238)</f>
        <v/>
      </c>
      <c r="U238" s="195">
        <f>IF(B238="","",Q238+S238)</f>
        <v/>
      </c>
      <c r="V238" s="195">
        <f>IF(B238="","",T238+'入力・概要'!$E$9*F238)</f>
        <v/>
      </c>
      <c r="W238" s="195">
        <f>IF(B238="","",U238+'入力・概要'!$E$9*G238)</f>
        <v/>
      </c>
      <c r="X238" s="195">
        <f>IF(B238="","",'入力・概要'!$E$9+T238*F238-U238*G238)</f>
        <v/>
      </c>
      <c r="Y238" s="195">
        <f>IF(B238="","",T238*G238+U238*F238)</f>
        <v/>
      </c>
      <c r="Z238" s="195">
        <f>IF(B238="","",'入力・概要'!$E$9*(V238*X238+W238*Y238)/(X238^2+Y238^2)+'入力・概要'!$B$36)</f>
        <v/>
      </c>
      <c r="AA238" s="195">
        <f>IF(B238="","",'入力・概要'!$E$9*(W238*X238-V238*Y238)/(X238^2+Y238^2)+C238*'入力・概要'!$B$37*1E-9)</f>
        <v/>
      </c>
      <c r="AB238" s="195">
        <f>IF(B238="","",SQRT(Z238^2+AA238^2))</f>
        <v/>
      </c>
      <c r="AC238" s="195">
        <f>IF(B238="","",IF(Z238&gt;0,DEGREES(ATAN(AA238/Z238)),IF(Z238&lt;0,IF(AA238&gt;=0,DEGREES(ATAN(AA238/Z238))+180,DEGREES(ATAN(AA238/Z238))-180),IF(AA238&gt;0,90,IF(AA238&lt;0,-90,0)))))</f>
        <v/>
      </c>
      <c r="AD238" s="195">
        <f>IF(B238="","",LOG10(B238))</f>
        <v/>
      </c>
      <c r="AE238" s="195">
        <f>IF(AB238="","",LOG10(MAX(AB238,1E-12)))</f>
        <v/>
      </c>
      <c r="AF238" s="195">
        <f>IF(B238="","",SQRT(P238^2+Q238^2))</f>
        <v/>
      </c>
      <c r="AG238" s="195">
        <f>IF(B238="","",SQRT(R238^2+S238^2))</f>
        <v/>
      </c>
    </row>
    <row r="239">
      <c r="A239" t="n">
        <v>236</v>
      </c>
      <c r="B239" s="196">
        <f>IF(A239&lt;='入力・概要'!$B$40,10^(LOG10('入力・概要'!$B$38)+(A239-1)*(LOG10('入力・概要'!$B$39)-LOG10('入力・概要'!$B$38))/('入力・概要'!$B$40-1)),"")</f>
        <v/>
      </c>
      <c r="C239" s="195">
        <f>IF(B239="","",2*PI()*B239)</f>
        <v/>
      </c>
      <c r="D239" s="195">
        <f>IF(B239="","",ATANH(MIN(0.999999,'入力・概要'!$E$20/'入力・概要'!$E$9))+'入力・概要'!$B$20*SQRT(B239/1E6)+E239*'入力・概要'!$B$15/2)</f>
        <v/>
      </c>
      <c r="E239" s="195">
        <f>IF(B239="","",C239*('入力・概要'!$E$11*1E-9))</f>
        <v/>
      </c>
      <c r="F239" s="195">
        <f>IF(B239="","",SINH(2*D239)/(COSH(2*D239)+COS(2*E239)))</f>
        <v/>
      </c>
      <c r="G239" s="195">
        <f>IF(B239="","",SIN(2*E239)/(COSH(2*D239)+COS(2*E239)))</f>
        <v/>
      </c>
      <c r="H239" s="195">
        <f>IF(B239="","",ATANH(MIN(0.999999,'入力・概要'!$E$21/'入力・概要'!$E$15))+'入力・概要'!$B$21*SQRT(B239/1E6)+I239*'入力・概要'!$B$16/2)</f>
        <v/>
      </c>
      <c r="I239" s="195">
        <f>IF(B239="","",C239*('入力・概要'!$E$17*1E-9))</f>
        <v/>
      </c>
      <c r="J239" s="195">
        <f>IF(B239="","",SINH(2*H239)/(COSH(2*H239)+COS(2*I239)))</f>
        <v/>
      </c>
      <c r="K239" s="195">
        <f>IF(B239="","",SIN(2*I239)/(COSH(2*H239)+COS(2*I239)))</f>
        <v/>
      </c>
      <c r="L239" s="195">
        <f>IF(B239="","",'入力・概要'!$B$25)</f>
        <v/>
      </c>
      <c r="M239" s="195">
        <f>IF(B239="","",C239*'入力・概要'!$B$26*1E-9-1/(C239*'入力・概要'!$B$24*1E-6))</f>
        <v/>
      </c>
      <c r="N239" s="195">
        <f>IF(B239="","",'入力・概要'!$B$28)</f>
        <v/>
      </c>
      <c r="O239" s="195">
        <f>IF(B239="","",C239*'入力・概要'!$B$29*1E-9-1/(C239*'入力・概要'!$B$27*1E-6))</f>
        <v/>
      </c>
      <c r="P239" s="195">
        <f>IF(B239="","",((L239*N239-M239*O239)*(L239+N239)+(L239*O239+M239*N239)*(M239+O239))/((L239+N239)^2+(M239+O239)^2))</f>
        <v/>
      </c>
      <c r="Q239" s="195">
        <f>IF(B239="","",((L239*O239+M239*N239)*(L239+N239)-(L239*N239-M239*O239)*(M239+O239))/((L239+N239)^2+(M239+O239)^2))</f>
        <v/>
      </c>
      <c r="R239" s="195">
        <f>IF(B239="","",'入力・概要'!$E$15*J239)</f>
        <v/>
      </c>
      <c r="S239" s="195">
        <f>IF(B239="","",'入力・概要'!$E$15*K239)</f>
        <v/>
      </c>
      <c r="T239" s="195">
        <f>IF(B239="","",P239+R239)</f>
        <v/>
      </c>
      <c r="U239" s="195">
        <f>IF(B239="","",Q239+S239)</f>
        <v/>
      </c>
      <c r="V239" s="195">
        <f>IF(B239="","",T239+'入力・概要'!$E$9*F239)</f>
        <v/>
      </c>
      <c r="W239" s="195">
        <f>IF(B239="","",U239+'入力・概要'!$E$9*G239)</f>
        <v/>
      </c>
      <c r="X239" s="195">
        <f>IF(B239="","",'入力・概要'!$E$9+T239*F239-U239*G239)</f>
        <v/>
      </c>
      <c r="Y239" s="195">
        <f>IF(B239="","",T239*G239+U239*F239)</f>
        <v/>
      </c>
      <c r="Z239" s="195">
        <f>IF(B239="","",'入力・概要'!$E$9*(V239*X239+W239*Y239)/(X239^2+Y239^2)+'入力・概要'!$B$36)</f>
        <v/>
      </c>
      <c r="AA239" s="195">
        <f>IF(B239="","",'入力・概要'!$E$9*(W239*X239-V239*Y239)/(X239^2+Y239^2)+C239*'入力・概要'!$B$37*1E-9)</f>
        <v/>
      </c>
      <c r="AB239" s="195">
        <f>IF(B239="","",SQRT(Z239^2+AA239^2))</f>
        <v/>
      </c>
      <c r="AC239" s="195">
        <f>IF(B239="","",IF(Z239&gt;0,DEGREES(ATAN(AA239/Z239)),IF(Z239&lt;0,IF(AA239&gt;=0,DEGREES(ATAN(AA239/Z239))+180,DEGREES(ATAN(AA239/Z239))-180),IF(AA239&gt;0,90,IF(AA239&lt;0,-90,0)))))</f>
        <v/>
      </c>
      <c r="AD239" s="195">
        <f>IF(B239="","",LOG10(B239))</f>
        <v/>
      </c>
      <c r="AE239" s="195">
        <f>IF(AB239="","",LOG10(MAX(AB239,1E-12)))</f>
        <v/>
      </c>
      <c r="AF239" s="195">
        <f>IF(B239="","",SQRT(P239^2+Q239^2))</f>
        <v/>
      </c>
      <c r="AG239" s="195">
        <f>IF(B239="","",SQRT(R239^2+S239^2))</f>
        <v/>
      </c>
    </row>
    <row r="240">
      <c r="A240" t="n">
        <v>237</v>
      </c>
      <c r="B240" s="196">
        <f>IF(A240&lt;='入力・概要'!$B$40,10^(LOG10('入力・概要'!$B$38)+(A240-1)*(LOG10('入力・概要'!$B$39)-LOG10('入力・概要'!$B$38))/('入力・概要'!$B$40-1)),"")</f>
        <v/>
      </c>
      <c r="C240" s="195">
        <f>IF(B240="","",2*PI()*B240)</f>
        <v/>
      </c>
      <c r="D240" s="195">
        <f>IF(B240="","",ATANH(MIN(0.999999,'入力・概要'!$E$20/'入力・概要'!$E$9))+'入力・概要'!$B$20*SQRT(B240/1E6)+E240*'入力・概要'!$B$15/2)</f>
        <v/>
      </c>
      <c r="E240" s="195">
        <f>IF(B240="","",C240*('入力・概要'!$E$11*1E-9))</f>
        <v/>
      </c>
      <c r="F240" s="195">
        <f>IF(B240="","",SINH(2*D240)/(COSH(2*D240)+COS(2*E240)))</f>
        <v/>
      </c>
      <c r="G240" s="195">
        <f>IF(B240="","",SIN(2*E240)/(COSH(2*D240)+COS(2*E240)))</f>
        <v/>
      </c>
      <c r="H240" s="195">
        <f>IF(B240="","",ATANH(MIN(0.999999,'入力・概要'!$E$21/'入力・概要'!$E$15))+'入力・概要'!$B$21*SQRT(B240/1E6)+I240*'入力・概要'!$B$16/2)</f>
        <v/>
      </c>
      <c r="I240" s="195">
        <f>IF(B240="","",C240*('入力・概要'!$E$17*1E-9))</f>
        <v/>
      </c>
      <c r="J240" s="195">
        <f>IF(B240="","",SINH(2*H240)/(COSH(2*H240)+COS(2*I240)))</f>
        <v/>
      </c>
      <c r="K240" s="195">
        <f>IF(B240="","",SIN(2*I240)/(COSH(2*H240)+COS(2*I240)))</f>
        <v/>
      </c>
      <c r="L240" s="195">
        <f>IF(B240="","",'入力・概要'!$B$25)</f>
        <v/>
      </c>
      <c r="M240" s="195">
        <f>IF(B240="","",C240*'入力・概要'!$B$26*1E-9-1/(C240*'入力・概要'!$B$24*1E-6))</f>
        <v/>
      </c>
      <c r="N240" s="195">
        <f>IF(B240="","",'入力・概要'!$B$28)</f>
        <v/>
      </c>
      <c r="O240" s="195">
        <f>IF(B240="","",C240*'入力・概要'!$B$29*1E-9-1/(C240*'入力・概要'!$B$27*1E-6))</f>
        <v/>
      </c>
      <c r="P240" s="195">
        <f>IF(B240="","",((L240*N240-M240*O240)*(L240+N240)+(L240*O240+M240*N240)*(M240+O240))/((L240+N240)^2+(M240+O240)^2))</f>
        <v/>
      </c>
      <c r="Q240" s="195">
        <f>IF(B240="","",((L240*O240+M240*N240)*(L240+N240)-(L240*N240-M240*O240)*(M240+O240))/((L240+N240)^2+(M240+O240)^2))</f>
        <v/>
      </c>
      <c r="R240" s="195">
        <f>IF(B240="","",'入力・概要'!$E$15*J240)</f>
        <v/>
      </c>
      <c r="S240" s="195">
        <f>IF(B240="","",'入力・概要'!$E$15*K240)</f>
        <v/>
      </c>
      <c r="T240" s="195">
        <f>IF(B240="","",P240+R240)</f>
        <v/>
      </c>
      <c r="U240" s="195">
        <f>IF(B240="","",Q240+S240)</f>
        <v/>
      </c>
      <c r="V240" s="195">
        <f>IF(B240="","",T240+'入力・概要'!$E$9*F240)</f>
        <v/>
      </c>
      <c r="W240" s="195">
        <f>IF(B240="","",U240+'入力・概要'!$E$9*G240)</f>
        <v/>
      </c>
      <c r="X240" s="195">
        <f>IF(B240="","",'入力・概要'!$E$9+T240*F240-U240*G240)</f>
        <v/>
      </c>
      <c r="Y240" s="195">
        <f>IF(B240="","",T240*G240+U240*F240)</f>
        <v/>
      </c>
      <c r="Z240" s="195">
        <f>IF(B240="","",'入力・概要'!$E$9*(V240*X240+W240*Y240)/(X240^2+Y240^2)+'入力・概要'!$B$36)</f>
        <v/>
      </c>
      <c r="AA240" s="195">
        <f>IF(B240="","",'入力・概要'!$E$9*(W240*X240-V240*Y240)/(X240^2+Y240^2)+C240*'入力・概要'!$B$37*1E-9)</f>
        <v/>
      </c>
      <c r="AB240" s="195">
        <f>IF(B240="","",SQRT(Z240^2+AA240^2))</f>
        <v/>
      </c>
      <c r="AC240" s="195">
        <f>IF(B240="","",IF(Z240&gt;0,DEGREES(ATAN(AA240/Z240)),IF(Z240&lt;0,IF(AA240&gt;=0,DEGREES(ATAN(AA240/Z240))+180,DEGREES(ATAN(AA240/Z240))-180),IF(AA240&gt;0,90,IF(AA240&lt;0,-90,0)))))</f>
        <v/>
      </c>
      <c r="AD240" s="195">
        <f>IF(B240="","",LOG10(B240))</f>
        <v/>
      </c>
      <c r="AE240" s="195">
        <f>IF(AB240="","",LOG10(MAX(AB240,1E-12)))</f>
        <v/>
      </c>
      <c r="AF240" s="195">
        <f>IF(B240="","",SQRT(P240^2+Q240^2))</f>
        <v/>
      </c>
      <c r="AG240" s="195">
        <f>IF(B240="","",SQRT(R240^2+S240^2))</f>
        <v/>
      </c>
    </row>
    <row r="241">
      <c r="A241" t="n">
        <v>238</v>
      </c>
      <c r="B241" s="196">
        <f>IF(A241&lt;='入力・概要'!$B$40,10^(LOG10('入力・概要'!$B$38)+(A241-1)*(LOG10('入力・概要'!$B$39)-LOG10('入力・概要'!$B$38))/('入力・概要'!$B$40-1)),"")</f>
        <v/>
      </c>
      <c r="C241" s="195">
        <f>IF(B241="","",2*PI()*B241)</f>
        <v/>
      </c>
      <c r="D241" s="195">
        <f>IF(B241="","",ATANH(MIN(0.999999,'入力・概要'!$E$20/'入力・概要'!$E$9))+'入力・概要'!$B$20*SQRT(B241/1E6)+E241*'入力・概要'!$B$15/2)</f>
        <v/>
      </c>
      <c r="E241" s="195">
        <f>IF(B241="","",C241*('入力・概要'!$E$11*1E-9))</f>
        <v/>
      </c>
      <c r="F241" s="195">
        <f>IF(B241="","",SINH(2*D241)/(COSH(2*D241)+COS(2*E241)))</f>
        <v/>
      </c>
      <c r="G241" s="195">
        <f>IF(B241="","",SIN(2*E241)/(COSH(2*D241)+COS(2*E241)))</f>
        <v/>
      </c>
      <c r="H241" s="195">
        <f>IF(B241="","",ATANH(MIN(0.999999,'入力・概要'!$E$21/'入力・概要'!$E$15))+'入力・概要'!$B$21*SQRT(B241/1E6)+I241*'入力・概要'!$B$16/2)</f>
        <v/>
      </c>
      <c r="I241" s="195">
        <f>IF(B241="","",C241*('入力・概要'!$E$17*1E-9))</f>
        <v/>
      </c>
      <c r="J241" s="195">
        <f>IF(B241="","",SINH(2*H241)/(COSH(2*H241)+COS(2*I241)))</f>
        <v/>
      </c>
      <c r="K241" s="195">
        <f>IF(B241="","",SIN(2*I241)/(COSH(2*H241)+COS(2*I241)))</f>
        <v/>
      </c>
      <c r="L241" s="195">
        <f>IF(B241="","",'入力・概要'!$B$25)</f>
        <v/>
      </c>
      <c r="M241" s="195">
        <f>IF(B241="","",C241*'入力・概要'!$B$26*1E-9-1/(C241*'入力・概要'!$B$24*1E-6))</f>
        <v/>
      </c>
      <c r="N241" s="195">
        <f>IF(B241="","",'入力・概要'!$B$28)</f>
        <v/>
      </c>
      <c r="O241" s="195">
        <f>IF(B241="","",C241*'入力・概要'!$B$29*1E-9-1/(C241*'入力・概要'!$B$27*1E-6))</f>
        <v/>
      </c>
      <c r="P241" s="195">
        <f>IF(B241="","",((L241*N241-M241*O241)*(L241+N241)+(L241*O241+M241*N241)*(M241+O241))/((L241+N241)^2+(M241+O241)^2))</f>
        <v/>
      </c>
      <c r="Q241" s="195">
        <f>IF(B241="","",((L241*O241+M241*N241)*(L241+N241)-(L241*N241-M241*O241)*(M241+O241))/((L241+N241)^2+(M241+O241)^2))</f>
        <v/>
      </c>
      <c r="R241" s="195">
        <f>IF(B241="","",'入力・概要'!$E$15*J241)</f>
        <v/>
      </c>
      <c r="S241" s="195">
        <f>IF(B241="","",'入力・概要'!$E$15*K241)</f>
        <v/>
      </c>
      <c r="T241" s="195">
        <f>IF(B241="","",P241+R241)</f>
        <v/>
      </c>
      <c r="U241" s="195">
        <f>IF(B241="","",Q241+S241)</f>
        <v/>
      </c>
      <c r="V241" s="195">
        <f>IF(B241="","",T241+'入力・概要'!$E$9*F241)</f>
        <v/>
      </c>
      <c r="W241" s="195">
        <f>IF(B241="","",U241+'入力・概要'!$E$9*G241)</f>
        <v/>
      </c>
      <c r="X241" s="195">
        <f>IF(B241="","",'入力・概要'!$E$9+T241*F241-U241*G241)</f>
        <v/>
      </c>
      <c r="Y241" s="195">
        <f>IF(B241="","",T241*G241+U241*F241)</f>
        <v/>
      </c>
      <c r="Z241" s="195">
        <f>IF(B241="","",'入力・概要'!$E$9*(V241*X241+W241*Y241)/(X241^2+Y241^2)+'入力・概要'!$B$36)</f>
        <v/>
      </c>
      <c r="AA241" s="195">
        <f>IF(B241="","",'入力・概要'!$E$9*(W241*X241-V241*Y241)/(X241^2+Y241^2)+C241*'入力・概要'!$B$37*1E-9)</f>
        <v/>
      </c>
      <c r="AB241" s="195">
        <f>IF(B241="","",SQRT(Z241^2+AA241^2))</f>
        <v/>
      </c>
      <c r="AC241" s="195">
        <f>IF(B241="","",IF(Z241&gt;0,DEGREES(ATAN(AA241/Z241)),IF(Z241&lt;0,IF(AA241&gt;=0,DEGREES(ATAN(AA241/Z241))+180,DEGREES(ATAN(AA241/Z241))-180),IF(AA241&gt;0,90,IF(AA241&lt;0,-90,0)))))</f>
        <v/>
      </c>
      <c r="AD241" s="195">
        <f>IF(B241="","",LOG10(B241))</f>
        <v/>
      </c>
      <c r="AE241" s="195">
        <f>IF(AB241="","",LOG10(MAX(AB241,1E-12)))</f>
        <v/>
      </c>
      <c r="AF241" s="195">
        <f>IF(B241="","",SQRT(P241^2+Q241^2))</f>
        <v/>
      </c>
      <c r="AG241" s="195">
        <f>IF(B241="","",SQRT(R241^2+S241^2))</f>
        <v/>
      </c>
    </row>
    <row r="242">
      <c r="A242" t="n">
        <v>239</v>
      </c>
      <c r="B242" s="196">
        <f>IF(A242&lt;='入力・概要'!$B$40,10^(LOG10('入力・概要'!$B$38)+(A242-1)*(LOG10('入力・概要'!$B$39)-LOG10('入力・概要'!$B$38))/('入力・概要'!$B$40-1)),"")</f>
        <v/>
      </c>
      <c r="C242" s="195">
        <f>IF(B242="","",2*PI()*B242)</f>
        <v/>
      </c>
      <c r="D242" s="195">
        <f>IF(B242="","",ATANH(MIN(0.999999,'入力・概要'!$E$20/'入力・概要'!$E$9))+'入力・概要'!$B$20*SQRT(B242/1E6)+E242*'入力・概要'!$B$15/2)</f>
        <v/>
      </c>
      <c r="E242" s="195">
        <f>IF(B242="","",C242*('入力・概要'!$E$11*1E-9))</f>
        <v/>
      </c>
      <c r="F242" s="195">
        <f>IF(B242="","",SINH(2*D242)/(COSH(2*D242)+COS(2*E242)))</f>
        <v/>
      </c>
      <c r="G242" s="195">
        <f>IF(B242="","",SIN(2*E242)/(COSH(2*D242)+COS(2*E242)))</f>
        <v/>
      </c>
      <c r="H242" s="195">
        <f>IF(B242="","",ATANH(MIN(0.999999,'入力・概要'!$E$21/'入力・概要'!$E$15))+'入力・概要'!$B$21*SQRT(B242/1E6)+I242*'入力・概要'!$B$16/2)</f>
        <v/>
      </c>
      <c r="I242" s="195">
        <f>IF(B242="","",C242*('入力・概要'!$E$17*1E-9))</f>
        <v/>
      </c>
      <c r="J242" s="195">
        <f>IF(B242="","",SINH(2*H242)/(COSH(2*H242)+COS(2*I242)))</f>
        <v/>
      </c>
      <c r="K242" s="195">
        <f>IF(B242="","",SIN(2*I242)/(COSH(2*H242)+COS(2*I242)))</f>
        <v/>
      </c>
      <c r="L242" s="195">
        <f>IF(B242="","",'入力・概要'!$B$25)</f>
        <v/>
      </c>
      <c r="M242" s="195">
        <f>IF(B242="","",C242*'入力・概要'!$B$26*1E-9-1/(C242*'入力・概要'!$B$24*1E-6))</f>
        <v/>
      </c>
      <c r="N242" s="195">
        <f>IF(B242="","",'入力・概要'!$B$28)</f>
        <v/>
      </c>
      <c r="O242" s="195">
        <f>IF(B242="","",C242*'入力・概要'!$B$29*1E-9-1/(C242*'入力・概要'!$B$27*1E-6))</f>
        <v/>
      </c>
      <c r="P242" s="195">
        <f>IF(B242="","",((L242*N242-M242*O242)*(L242+N242)+(L242*O242+M242*N242)*(M242+O242))/((L242+N242)^2+(M242+O242)^2))</f>
        <v/>
      </c>
      <c r="Q242" s="195">
        <f>IF(B242="","",((L242*O242+M242*N242)*(L242+N242)-(L242*N242-M242*O242)*(M242+O242))/((L242+N242)^2+(M242+O242)^2))</f>
        <v/>
      </c>
      <c r="R242" s="195">
        <f>IF(B242="","",'入力・概要'!$E$15*J242)</f>
        <v/>
      </c>
      <c r="S242" s="195">
        <f>IF(B242="","",'入力・概要'!$E$15*K242)</f>
        <v/>
      </c>
      <c r="T242" s="195">
        <f>IF(B242="","",P242+R242)</f>
        <v/>
      </c>
      <c r="U242" s="195">
        <f>IF(B242="","",Q242+S242)</f>
        <v/>
      </c>
      <c r="V242" s="195">
        <f>IF(B242="","",T242+'入力・概要'!$E$9*F242)</f>
        <v/>
      </c>
      <c r="W242" s="195">
        <f>IF(B242="","",U242+'入力・概要'!$E$9*G242)</f>
        <v/>
      </c>
      <c r="X242" s="195">
        <f>IF(B242="","",'入力・概要'!$E$9+T242*F242-U242*G242)</f>
        <v/>
      </c>
      <c r="Y242" s="195">
        <f>IF(B242="","",T242*G242+U242*F242)</f>
        <v/>
      </c>
      <c r="Z242" s="195">
        <f>IF(B242="","",'入力・概要'!$E$9*(V242*X242+W242*Y242)/(X242^2+Y242^2)+'入力・概要'!$B$36)</f>
        <v/>
      </c>
      <c r="AA242" s="195">
        <f>IF(B242="","",'入力・概要'!$E$9*(W242*X242-V242*Y242)/(X242^2+Y242^2)+C242*'入力・概要'!$B$37*1E-9)</f>
        <v/>
      </c>
      <c r="AB242" s="195">
        <f>IF(B242="","",SQRT(Z242^2+AA242^2))</f>
        <v/>
      </c>
      <c r="AC242" s="195">
        <f>IF(B242="","",IF(Z242&gt;0,DEGREES(ATAN(AA242/Z242)),IF(Z242&lt;0,IF(AA242&gt;=0,DEGREES(ATAN(AA242/Z242))+180,DEGREES(ATAN(AA242/Z242))-180),IF(AA242&gt;0,90,IF(AA242&lt;0,-90,0)))))</f>
        <v/>
      </c>
      <c r="AD242" s="195">
        <f>IF(B242="","",LOG10(B242))</f>
        <v/>
      </c>
      <c r="AE242" s="195">
        <f>IF(AB242="","",LOG10(MAX(AB242,1E-12)))</f>
        <v/>
      </c>
      <c r="AF242" s="195">
        <f>IF(B242="","",SQRT(P242^2+Q242^2))</f>
        <v/>
      </c>
      <c r="AG242" s="195">
        <f>IF(B242="","",SQRT(R242^2+S242^2))</f>
        <v/>
      </c>
    </row>
    <row r="243">
      <c r="A243" t="n">
        <v>240</v>
      </c>
      <c r="B243" s="196">
        <f>IF(A243&lt;='入力・概要'!$B$40,10^(LOG10('入力・概要'!$B$38)+(A243-1)*(LOG10('入力・概要'!$B$39)-LOG10('入力・概要'!$B$38))/('入力・概要'!$B$40-1)),"")</f>
        <v/>
      </c>
      <c r="C243" s="195">
        <f>IF(B243="","",2*PI()*B243)</f>
        <v/>
      </c>
      <c r="D243" s="195">
        <f>IF(B243="","",ATANH(MIN(0.999999,'入力・概要'!$E$20/'入力・概要'!$E$9))+'入力・概要'!$B$20*SQRT(B243/1E6)+E243*'入力・概要'!$B$15/2)</f>
        <v/>
      </c>
      <c r="E243" s="195">
        <f>IF(B243="","",C243*('入力・概要'!$E$11*1E-9))</f>
        <v/>
      </c>
      <c r="F243" s="195">
        <f>IF(B243="","",SINH(2*D243)/(COSH(2*D243)+COS(2*E243)))</f>
        <v/>
      </c>
      <c r="G243" s="195">
        <f>IF(B243="","",SIN(2*E243)/(COSH(2*D243)+COS(2*E243)))</f>
        <v/>
      </c>
      <c r="H243" s="195">
        <f>IF(B243="","",ATANH(MIN(0.999999,'入力・概要'!$E$21/'入力・概要'!$E$15))+'入力・概要'!$B$21*SQRT(B243/1E6)+I243*'入力・概要'!$B$16/2)</f>
        <v/>
      </c>
      <c r="I243" s="195">
        <f>IF(B243="","",C243*('入力・概要'!$E$17*1E-9))</f>
        <v/>
      </c>
      <c r="J243" s="195">
        <f>IF(B243="","",SINH(2*H243)/(COSH(2*H243)+COS(2*I243)))</f>
        <v/>
      </c>
      <c r="K243" s="195">
        <f>IF(B243="","",SIN(2*I243)/(COSH(2*H243)+COS(2*I243)))</f>
        <v/>
      </c>
      <c r="L243" s="195">
        <f>IF(B243="","",'入力・概要'!$B$25)</f>
        <v/>
      </c>
      <c r="M243" s="195">
        <f>IF(B243="","",C243*'入力・概要'!$B$26*1E-9-1/(C243*'入力・概要'!$B$24*1E-6))</f>
        <v/>
      </c>
      <c r="N243" s="195">
        <f>IF(B243="","",'入力・概要'!$B$28)</f>
        <v/>
      </c>
      <c r="O243" s="195">
        <f>IF(B243="","",C243*'入力・概要'!$B$29*1E-9-1/(C243*'入力・概要'!$B$27*1E-6))</f>
        <v/>
      </c>
      <c r="P243" s="195">
        <f>IF(B243="","",((L243*N243-M243*O243)*(L243+N243)+(L243*O243+M243*N243)*(M243+O243))/((L243+N243)^2+(M243+O243)^2))</f>
        <v/>
      </c>
      <c r="Q243" s="195">
        <f>IF(B243="","",((L243*O243+M243*N243)*(L243+N243)-(L243*N243-M243*O243)*(M243+O243))/((L243+N243)^2+(M243+O243)^2))</f>
        <v/>
      </c>
      <c r="R243" s="195">
        <f>IF(B243="","",'入力・概要'!$E$15*J243)</f>
        <v/>
      </c>
      <c r="S243" s="195">
        <f>IF(B243="","",'入力・概要'!$E$15*K243)</f>
        <v/>
      </c>
      <c r="T243" s="195">
        <f>IF(B243="","",P243+R243)</f>
        <v/>
      </c>
      <c r="U243" s="195">
        <f>IF(B243="","",Q243+S243)</f>
        <v/>
      </c>
      <c r="V243" s="195">
        <f>IF(B243="","",T243+'入力・概要'!$E$9*F243)</f>
        <v/>
      </c>
      <c r="W243" s="195">
        <f>IF(B243="","",U243+'入力・概要'!$E$9*G243)</f>
        <v/>
      </c>
      <c r="X243" s="195">
        <f>IF(B243="","",'入力・概要'!$E$9+T243*F243-U243*G243)</f>
        <v/>
      </c>
      <c r="Y243" s="195">
        <f>IF(B243="","",T243*G243+U243*F243)</f>
        <v/>
      </c>
      <c r="Z243" s="195">
        <f>IF(B243="","",'入力・概要'!$E$9*(V243*X243+W243*Y243)/(X243^2+Y243^2)+'入力・概要'!$B$36)</f>
        <v/>
      </c>
      <c r="AA243" s="195">
        <f>IF(B243="","",'入力・概要'!$E$9*(W243*X243-V243*Y243)/(X243^2+Y243^2)+C243*'入力・概要'!$B$37*1E-9)</f>
        <v/>
      </c>
      <c r="AB243" s="195">
        <f>IF(B243="","",SQRT(Z243^2+AA243^2))</f>
        <v/>
      </c>
      <c r="AC243" s="195">
        <f>IF(B243="","",IF(Z243&gt;0,DEGREES(ATAN(AA243/Z243)),IF(Z243&lt;0,IF(AA243&gt;=0,DEGREES(ATAN(AA243/Z243))+180,DEGREES(ATAN(AA243/Z243))-180),IF(AA243&gt;0,90,IF(AA243&lt;0,-90,0)))))</f>
        <v/>
      </c>
      <c r="AD243" s="195">
        <f>IF(B243="","",LOG10(B243))</f>
        <v/>
      </c>
      <c r="AE243" s="195">
        <f>IF(AB243="","",LOG10(MAX(AB243,1E-12)))</f>
        <v/>
      </c>
      <c r="AF243" s="195">
        <f>IF(B243="","",SQRT(P243^2+Q243^2))</f>
        <v/>
      </c>
      <c r="AG243" s="195">
        <f>IF(B243="","",SQRT(R243^2+S243^2))</f>
        <v/>
      </c>
    </row>
    <row r="244">
      <c r="A244" t="n">
        <v>241</v>
      </c>
      <c r="B244" s="196">
        <f>IF(A244&lt;='入力・概要'!$B$40,10^(LOG10('入力・概要'!$B$38)+(A244-1)*(LOG10('入力・概要'!$B$39)-LOG10('入力・概要'!$B$38))/('入力・概要'!$B$40-1)),"")</f>
        <v/>
      </c>
      <c r="C244" s="195">
        <f>IF(B244="","",2*PI()*B244)</f>
        <v/>
      </c>
      <c r="D244" s="195">
        <f>IF(B244="","",ATANH(MIN(0.999999,'入力・概要'!$E$20/'入力・概要'!$E$9))+'入力・概要'!$B$20*SQRT(B244/1E6)+E244*'入力・概要'!$B$15/2)</f>
        <v/>
      </c>
      <c r="E244" s="195">
        <f>IF(B244="","",C244*('入力・概要'!$E$11*1E-9))</f>
        <v/>
      </c>
      <c r="F244" s="195">
        <f>IF(B244="","",SINH(2*D244)/(COSH(2*D244)+COS(2*E244)))</f>
        <v/>
      </c>
      <c r="G244" s="195">
        <f>IF(B244="","",SIN(2*E244)/(COSH(2*D244)+COS(2*E244)))</f>
        <v/>
      </c>
      <c r="H244" s="195">
        <f>IF(B244="","",ATANH(MIN(0.999999,'入力・概要'!$E$21/'入力・概要'!$E$15))+'入力・概要'!$B$21*SQRT(B244/1E6)+I244*'入力・概要'!$B$16/2)</f>
        <v/>
      </c>
      <c r="I244" s="195">
        <f>IF(B244="","",C244*('入力・概要'!$E$17*1E-9))</f>
        <v/>
      </c>
      <c r="J244" s="195">
        <f>IF(B244="","",SINH(2*H244)/(COSH(2*H244)+COS(2*I244)))</f>
        <v/>
      </c>
      <c r="K244" s="195">
        <f>IF(B244="","",SIN(2*I244)/(COSH(2*H244)+COS(2*I244)))</f>
        <v/>
      </c>
      <c r="L244" s="195">
        <f>IF(B244="","",'入力・概要'!$B$25)</f>
        <v/>
      </c>
      <c r="M244" s="195">
        <f>IF(B244="","",C244*'入力・概要'!$B$26*1E-9-1/(C244*'入力・概要'!$B$24*1E-6))</f>
        <v/>
      </c>
      <c r="N244" s="195">
        <f>IF(B244="","",'入力・概要'!$B$28)</f>
        <v/>
      </c>
      <c r="O244" s="195">
        <f>IF(B244="","",C244*'入力・概要'!$B$29*1E-9-1/(C244*'入力・概要'!$B$27*1E-6))</f>
        <v/>
      </c>
      <c r="P244" s="195">
        <f>IF(B244="","",((L244*N244-M244*O244)*(L244+N244)+(L244*O244+M244*N244)*(M244+O244))/((L244+N244)^2+(M244+O244)^2))</f>
        <v/>
      </c>
      <c r="Q244" s="195">
        <f>IF(B244="","",((L244*O244+M244*N244)*(L244+N244)-(L244*N244-M244*O244)*(M244+O244))/((L244+N244)^2+(M244+O244)^2))</f>
        <v/>
      </c>
      <c r="R244" s="195">
        <f>IF(B244="","",'入力・概要'!$E$15*J244)</f>
        <v/>
      </c>
      <c r="S244" s="195">
        <f>IF(B244="","",'入力・概要'!$E$15*K244)</f>
        <v/>
      </c>
      <c r="T244" s="195">
        <f>IF(B244="","",P244+R244)</f>
        <v/>
      </c>
      <c r="U244" s="195">
        <f>IF(B244="","",Q244+S244)</f>
        <v/>
      </c>
      <c r="V244" s="195">
        <f>IF(B244="","",T244+'入力・概要'!$E$9*F244)</f>
        <v/>
      </c>
      <c r="W244" s="195">
        <f>IF(B244="","",U244+'入力・概要'!$E$9*G244)</f>
        <v/>
      </c>
      <c r="X244" s="195">
        <f>IF(B244="","",'入力・概要'!$E$9+T244*F244-U244*G244)</f>
        <v/>
      </c>
      <c r="Y244" s="195">
        <f>IF(B244="","",T244*G244+U244*F244)</f>
        <v/>
      </c>
      <c r="Z244" s="195">
        <f>IF(B244="","",'入力・概要'!$E$9*(V244*X244+W244*Y244)/(X244^2+Y244^2)+'入力・概要'!$B$36)</f>
        <v/>
      </c>
      <c r="AA244" s="195">
        <f>IF(B244="","",'入力・概要'!$E$9*(W244*X244-V244*Y244)/(X244^2+Y244^2)+C244*'入力・概要'!$B$37*1E-9)</f>
        <v/>
      </c>
      <c r="AB244" s="195">
        <f>IF(B244="","",SQRT(Z244^2+AA244^2))</f>
        <v/>
      </c>
      <c r="AC244" s="195">
        <f>IF(B244="","",IF(Z244&gt;0,DEGREES(ATAN(AA244/Z244)),IF(Z244&lt;0,IF(AA244&gt;=0,DEGREES(ATAN(AA244/Z244))+180,DEGREES(ATAN(AA244/Z244))-180),IF(AA244&gt;0,90,IF(AA244&lt;0,-90,0)))))</f>
        <v/>
      </c>
      <c r="AD244" s="195">
        <f>IF(B244="","",LOG10(B244))</f>
        <v/>
      </c>
      <c r="AE244" s="195">
        <f>IF(AB244="","",LOG10(MAX(AB244,1E-12)))</f>
        <v/>
      </c>
      <c r="AF244" s="195">
        <f>IF(B244="","",SQRT(P244^2+Q244^2))</f>
        <v/>
      </c>
      <c r="AG244" s="195">
        <f>IF(B244="","",SQRT(R244^2+S244^2))</f>
        <v/>
      </c>
    </row>
    <row r="245">
      <c r="A245" t="n">
        <v>242</v>
      </c>
      <c r="B245" s="196">
        <f>IF(A245&lt;='入力・概要'!$B$40,10^(LOG10('入力・概要'!$B$38)+(A245-1)*(LOG10('入力・概要'!$B$39)-LOG10('入力・概要'!$B$38))/('入力・概要'!$B$40-1)),"")</f>
        <v/>
      </c>
      <c r="C245" s="195">
        <f>IF(B245="","",2*PI()*B245)</f>
        <v/>
      </c>
      <c r="D245" s="195">
        <f>IF(B245="","",ATANH(MIN(0.999999,'入力・概要'!$E$20/'入力・概要'!$E$9))+'入力・概要'!$B$20*SQRT(B245/1E6)+E245*'入力・概要'!$B$15/2)</f>
        <v/>
      </c>
      <c r="E245" s="195">
        <f>IF(B245="","",C245*('入力・概要'!$E$11*1E-9))</f>
        <v/>
      </c>
      <c r="F245" s="195">
        <f>IF(B245="","",SINH(2*D245)/(COSH(2*D245)+COS(2*E245)))</f>
        <v/>
      </c>
      <c r="G245" s="195">
        <f>IF(B245="","",SIN(2*E245)/(COSH(2*D245)+COS(2*E245)))</f>
        <v/>
      </c>
      <c r="H245" s="195">
        <f>IF(B245="","",ATANH(MIN(0.999999,'入力・概要'!$E$21/'入力・概要'!$E$15))+'入力・概要'!$B$21*SQRT(B245/1E6)+I245*'入力・概要'!$B$16/2)</f>
        <v/>
      </c>
      <c r="I245" s="195">
        <f>IF(B245="","",C245*('入力・概要'!$E$17*1E-9))</f>
        <v/>
      </c>
      <c r="J245" s="195">
        <f>IF(B245="","",SINH(2*H245)/(COSH(2*H245)+COS(2*I245)))</f>
        <v/>
      </c>
      <c r="K245" s="195">
        <f>IF(B245="","",SIN(2*I245)/(COSH(2*H245)+COS(2*I245)))</f>
        <v/>
      </c>
      <c r="L245" s="195">
        <f>IF(B245="","",'入力・概要'!$B$25)</f>
        <v/>
      </c>
      <c r="M245" s="195">
        <f>IF(B245="","",C245*'入力・概要'!$B$26*1E-9-1/(C245*'入力・概要'!$B$24*1E-6))</f>
        <v/>
      </c>
      <c r="N245" s="195">
        <f>IF(B245="","",'入力・概要'!$B$28)</f>
        <v/>
      </c>
      <c r="O245" s="195">
        <f>IF(B245="","",C245*'入力・概要'!$B$29*1E-9-1/(C245*'入力・概要'!$B$27*1E-6))</f>
        <v/>
      </c>
      <c r="P245" s="195">
        <f>IF(B245="","",((L245*N245-M245*O245)*(L245+N245)+(L245*O245+M245*N245)*(M245+O245))/((L245+N245)^2+(M245+O245)^2))</f>
        <v/>
      </c>
      <c r="Q245" s="195">
        <f>IF(B245="","",((L245*O245+M245*N245)*(L245+N245)-(L245*N245-M245*O245)*(M245+O245))/((L245+N245)^2+(M245+O245)^2))</f>
        <v/>
      </c>
      <c r="R245" s="195">
        <f>IF(B245="","",'入力・概要'!$E$15*J245)</f>
        <v/>
      </c>
      <c r="S245" s="195">
        <f>IF(B245="","",'入力・概要'!$E$15*K245)</f>
        <v/>
      </c>
      <c r="T245" s="195">
        <f>IF(B245="","",P245+R245)</f>
        <v/>
      </c>
      <c r="U245" s="195">
        <f>IF(B245="","",Q245+S245)</f>
        <v/>
      </c>
      <c r="V245" s="195">
        <f>IF(B245="","",T245+'入力・概要'!$E$9*F245)</f>
        <v/>
      </c>
      <c r="W245" s="195">
        <f>IF(B245="","",U245+'入力・概要'!$E$9*G245)</f>
        <v/>
      </c>
      <c r="X245" s="195">
        <f>IF(B245="","",'入力・概要'!$E$9+T245*F245-U245*G245)</f>
        <v/>
      </c>
      <c r="Y245" s="195">
        <f>IF(B245="","",T245*G245+U245*F245)</f>
        <v/>
      </c>
      <c r="Z245" s="195">
        <f>IF(B245="","",'入力・概要'!$E$9*(V245*X245+W245*Y245)/(X245^2+Y245^2)+'入力・概要'!$B$36)</f>
        <v/>
      </c>
      <c r="AA245" s="195">
        <f>IF(B245="","",'入力・概要'!$E$9*(W245*X245-V245*Y245)/(X245^2+Y245^2)+C245*'入力・概要'!$B$37*1E-9)</f>
        <v/>
      </c>
      <c r="AB245" s="195">
        <f>IF(B245="","",SQRT(Z245^2+AA245^2))</f>
        <v/>
      </c>
      <c r="AC245" s="195">
        <f>IF(B245="","",IF(Z245&gt;0,DEGREES(ATAN(AA245/Z245)),IF(Z245&lt;0,IF(AA245&gt;=0,DEGREES(ATAN(AA245/Z245))+180,DEGREES(ATAN(AA245/Z245))-180),IF(AA245&gt;0,90,IF(AA245&lt;0,-90,0)))))</f>
        <v/>
      </c>
      <c r="AD245" s="195">
        <f>IF(B245="","",LOG10(B245))</f>
        <v/>
      </c>
      <c r="AE245" s="195">
        <f>IF(AB245="","",LOG10(MAX(AB245,1E-12)))</f>
        <v/>
      </c>
      <c r="AF245" s="195">
        <f>IF(B245="","",SQRT(P245^2+Q245^2))</f>
        <v/>
      </c>
      <c r="AG245" s="195">
        <f>IF(B245="","",SQRT(R245^2+S245^2))</f>
        <v/>
      </c>
    </row>
    <row r="246">
      <c r="A246" t="n">
        <v>243</v>
      </c>
      <c r="B246" s="196">
        <f>IF(A246&lt;='入力・概要'!$B$40,10^(LOG10('入力・概要'!$B$38)+(A246-1)*(LOG10('入力・概要'!$B$39)-LOG10('入力・概要'!$B$38))/('入力・概要'!$B$40-1)),"")</f>
        <v/>
      </c>
      <c r="C246" s="195">
        <f>IF(B246="","",2*PI()*B246)</f>
        <v/>
      </c>
      <c r="D246" s="195">
        <f>IF(B246="","",ATANH(MIN(0.999999,'入力・概要'!$E$20/'入力・概要'!$E$9))+'入力・概要'!$B$20*SQRT(B246/1E6)+E246*'入力・概要'!$B$15/2)</f>
        <v/>
      </c>
      <c r="E246" s="195">
        <f>IF(B246="","",C246*('入力・概要'!$E$11*1E-9))</f>
        <v/>
      </c>
      <c r="F246" s="195">
        <f>IF(B246="","",SINH(2*D246)/(COSH(2*D246)+COS(2*E246)))</f>
        <v/>
      </c>
      <c r="G246" s="195">
        <f>IF(B246="","",SIN(2*E246)/(COSH(2*D246)+COS(2*E246)))</f>
        <v/>
      </c>
      <c r="H246" s="195">
        <f>IF(B246="","",ATANH(MIN(0.999999,'入力・概要'!$E$21/'入力・概要'!$E$15))+'入力・概要'!$B$21*SQRT(B246/1E6)+I246*'入力・概要'!$B$16/2)</f>
        <v/>
      </c>
      <c r="I246" s="195">
        <f>IF(B246="","",C246*('入力・概要'!$E$17*1E-9))</f>
        <v/>
      </c>
      <c r="J246" s="195">
        <f>IF(B246="","",SINH(2*H246)/(COSH(2*H246)+COS(2*I246)))</f>
        <v/>
      </c>
      <c r="K246" s="195">
        <f>IF(B246="","",SIN(2*I246)/(COSH(2*H246)+COS(2*I246)))</f>
        <v/>
      </c>
      <c r="L246" s="195">
        <f>IF(B246="","",'入力・概要'!$B$25)</f>
        <v/>
      </c>
      <c r="M246" s="195">
        <f>IF(B246="","",C246*'入力・概要'!$B$26*1E-9-1/(C246*'入力・概要'!$B$24*1E-6))</f>
        <v/>
      </c>
      <c r="N246" s="195">
        <f>IF(B246="","",'入力・概要'!$B$28)</f>
        <v/>
      </c>
      <c r="O246" s="195">
        <f>IF(B246="","",C246*'入力・概要'!$B$29*1E-9-1/(C246*'入力・概要'!$B$27*1E-6))</f>
        <v/>
      </c>
      <c r="P246" s="195">
        <f>IF(B246="","",((L246*N246-M246*O246)*(L246+N246)+(L246*O246+M246*N246)*(M246+O246))/((L246+N246)^2+(M246+O246)^2))</f>
        <v/>
      </c>
      <c r="Q246" s="195">
        <f>IF(B246="","",((L246*O246+M246*N246)*(L246+N246)-(L246*N246-M246*O246)*(M246+O246))/((L246+N246)^2+(M246+O246)^2))</f>
        <v/>
      </c>
      <c r="R246" s="195">
        <f>IF(B246="","",'入力・概要'!$E$15*J246)</f>
        <v/>
      </c>
      <c r="S246" s="195">
        <f>IF(B246="","",'入力・概要'!$E$15*K246)</f>
        <v/>
      </c>
      <c r="T246" s="195">
        <f>IF(B246="","",P246+R246)</f>
        <v/>
      </c>
      <c r="U246" s="195">
        <f>IF(B246="","",Q246+S246)</f>
        <v/>
      </c>
      <c r="V246" s="195">
        <f>IF(B246="","",T246+'入力・概要'!$E$9*F246)</f>
        <v/>
      </c>
      <c r="W246" s="195">
        <f>IF(B246="","",U246+'入力・概要'!$E$9*G246)</f>
        <v/>
      </c>
      <c r="X246" s="195">
        <f>IF(B246="","",'入力・概要'!$E$9+T246*F246-U246*G246)</f>
        <v/>
      </c>
      <c r="Y246" s="195">
        <f>IF(B246="","",T246*G246+U246*F246)</f>
        <v/>
      </c>
      <c r="Z246" s="195">
        <f>IF(B246="","",'入力・概要'!$E$9*(V246*X246+W246*Y246)/(X246^2+Y246^2)+'入力・概要'!$B$36)</f>
        <v/>
      </c>
      <c r="AA246" s="195">
        <f>IF(B246="","",'入力・概要'!$E$9*(W246*X246-V246*Y246)/(X246^2+Y246^2)+C246*'入力・概要'!$B$37*1E-9)</f>
        <v/>
      </c>
      <c r="AB246" s="195">
        <f>IF(B246="","",SQRT(Z246^2+AA246^2))</f>
        <v/>
      </c>
      <c r="AC246" s="195">
        <f>IF(B246="","",IF(Z246&gt;0,DEGREES(ATAN(AA246/Z246)),IF(Z246&lt;0,IF(AA246&gt;=0,DEGREES(ATAN(AA246/Z246))+180,DEGREES(ATAN(AA246/Z246))-180),IF(AA246&gt;0,90,IF(AA246&lt;0,-90,0)))))</f>
        <v/>
      </c>
      <c r="AD246" s="195">
        <f>IF(B246="","",LOG10(B246))</f>
        <v/>
      </c>
      <c r="AE246" s="195">
        <f>IF(AB246="","",LOG10(MAX(AB246,1E-12)))</f>
        <v/>
      </c>
      <c r="AF246" s="195">
        <f>IF(B246="","",SQRT(P246^2+Q246^2))</f>
        <v/>
      </c>
      <c r="AG246" s="195">
        <f>IF(B246="","",SQRT(R246^2+S246^2))</f>
        <v/>
      </c>
    </row>
    <row r="247">
      <c r="A247" t="n">
        <v>244</v>
      </c>
      <c r="B247" s="196">
        <f>IF(A247&lt;='入力・概要'!$B$40,10^(LOG10('入力・概要'!$B$38)+(A247-1)*(LOG10('入力・概要'!$B$39)-LOG10('入力・概要'!$B$38))/('入力・概要'!$B$40-1)),"")</f>
        <v/>
      </c>
      <c r="C247" s="195">
        <f>IF(B247="","",2*PI()*B247)</f>
        <v/>
      </c>
      <c r="D247" s="195">
        <f>IF(B247="","",ATANH(MIN(0.999999,'入力・概要'!$E$20/'入力・概要'!$E$9))+'入力・概要'!$B$20*SQRT(B247/1E6)+E247*'入力・概要'!$B$15/2)</f>
        <v/>
      </c>
      <c r="E247" s="195">
        <f>IF(B247="","",C247*('入力・概要'!$E$11*1E-9))</f>
        <v/>
      </c>
      <c r="F247" s="195">
        <f>IF(B247="","",SINH(2*D247)/(COSH(2*D247)+COS(2*E247)))</f>
        <v/>
      </c>
      <c r="G247" s="195">
        <f>IF(B247="","",SIN(2*E247)/(COSH(2*D247)+COS(2*E247)))</f>
        <v/>
      </c>
      <c r="H247" s="195">
        <f>IF(B247="","",ATANH(MIN(0.999999,'入力・概要'!$E$21/'入力・概要'!$E$15))+'入力・概要'!$B$21*SQRT(B247/1E6)+I247*'入力・概要'!$B$16/2)</f>
        <v/>
      </c>
      <c r="I247" s="195">
        <f>IF(B247="","",C247*('入力・概要'!$E$17*1E-9))</f>
        <v/>
      </c>
      <c r="J247" s="195">
        <f>IF(B247="","",SINH(2*H247)/(COSH(2*H247)+COS(2*I247)))</f>
        <v/>
      </c>
      <c r="K247" s="195">
        <f>IF(B247="","",SIN(2*I247)/(COSH(2*H247)+COS(2*I247)))</f>
        <v/>
      </c>
      <c r="L247" s="195">
        <f>IF(B247="","",'入力・概要'!$B$25)</f>
        <v/>
      </c>
      <c r="M247" s="195">
        <f>IF(B247="","",C247*'入力・概要'!$B$26*1E-9-1/(C247*'入力・概要'!$B$24*1E-6))</f>
        <v/>
      </c>
      <c r="N247" s="195">
        <f>IF(B247="","",'入力・概要'!$B$28)</f>
        <v/>
      </c>
      <c r="O247" s="195">
        <f>IF(B247="","",C247*'入力・概要'!$B$29*1E-9-1/(C247*'入力・概要'!$B$27*1E-6))</f>
        <v/>
      </c>
      <c r="P247" s="195">
        <f>IF(B247="","",((L247*N247-M247*O247)*(L247+N247)+(L247*O247+M247*N247)*(M247+O247))/((L247+N247)^2+(M247+O247)^2))</f>
        <v/>
      </c>
      <c r="Q247" s="195">
        <f>IF(B247="","",((L247*O247+M247*N247)*(L247+N247)-(L247*N247-M247*O247)*(M247+O247))/((L247+N247)^2+(M247+O247)^2))</f>
        <v/>
      </c>
      <c r="R247" s="195">
        <f>IF(B247="","",'入力・概要'!$E$15*J247)</f>
        <v/>
      </c>
      <c r="S247" s="195">
        <f>IF(B247="","",'入力・概要'!$E$15*K247)</f>
        <v/>
      </c>
      <c r="T247" s="195">
        <f>IF(B247="","",P247+R247)</f>
        <v/>
      </c>
      <c r="U247" s="195">
        <f>IF(B247="","",Q247+S247)</f>
        <v/>
      </c>
      <c r="V247" s="195">
        <f>IF(B247="","",T247+'入力・概要'!$E$9*F247)</f>
        <v/>
      </c>
      <c r="W247" s="195">
        <f>IF(B247="","",U247+'入力・概要'!$E$9*G247)</f>
        <v/>
      </c>
      <c r="X247" s="195">
        <f>IF(B247="","",'入力・概要'!$E$9+T247*F247-U247*G247)</f>
        <v/>
      </c>
      <c r="Y247" s="195">
        <f>IF(B247="","",T247*G247+U247*F247)</f>
        <v/>
      </c>
      <c r="Z247" s="195">
        <f>IF(B247="","",'入力・概要'!$E$9*(V247*X247+W247*Y247)/(X247^2+Y247^2)+'入力・概要'!$B$36)</f>
        <v/>
      </c>
      <c r="AA247" s="195">
        <f>IF(B247="","",'入力・概要'!$E$9*(W247*X247-V247*Y247)/(X247^2+Y247^2)+C247*'入力・概要'!$B$37*1E-9)</f>
        <v/>
      </c>
      <c r="AB247" s="195">
        <f>IF(B247="","",SQRT(Z247^2+AA247^2))</f>
        <v/>
      </c>
      <c r="AC247" s="195">
        <f>IF(B247="","",IF(Z247&gt;0,DEGREES(ATAN(AA247/Z247)),IF(Z247&lt;0,IF(AA247&gt;=0,DEGREES(ATAN(AA247/Z247))+180,DEGREES(ATAN(AA247/Z247))-180),IF(AA247&gt;0,90,IF(AA247&lt;0,-90,0)))))</f>
        <v/>
      </c>
      <c r="AD247" s="195">
        <f>IF(B247="","",LOG10(B247))</f>
        <v/>
      </c>
      <c r="AE247" s="195">
        <f>IF(AB247="","",LOG10(MAX(AB247,1E-12)))</f>
        <v/>
      </c>
      <c r="AF247" s="195">
        <f>IF(B247="","",SQRT(P247^2+Q247^2))</f>
        <v/>
      </c>
      <c r="AG247" s="195">
        <f>IF(B247="","",SQRT(R247^2+S247^2))</f>
        <v/>
      </c>
    </row>
    <row r="248">
      <c r="A248" t="n">
        <v>245</v>
      </c>
      <c r="B248" s="196">
        <f>IF(A248&lt;='入力・概要'!$B$40,10^(LOG10('入力・概要'!$B$38)+(A248-1)*(LOG10('入力・概要'!$B$39)-LOG10('入力・概要'!$B$38))/('入力・概要'!$B$40-1)),"")</f>
        <v/>
      </c>
      <c r="C248" s="195">
        <f>IF(B248="","",2*PI()*B248)</f>
        <v/>
      </c>
      <c r="D248" s="195">
        <f>IF(B248="","",ATANH(MIN(0.999999,'入力・概要'!$E$20/'入力・概要'!$E$9))+'入力・概要'!$B$20*SQRT(B248/1E6)+E248*'入力・概要'!$B$15/2)</f>
        <v/>
      </c>
      <c r="E248" s="195">
        <f>IF(B248="","",C248*('入力・概要'!$E$11*1E-9))</f>
        <v/>
      </c>
      <c r="F248" s="195">
        <f>IF(B248="","",SINH(2*D248)/(COSH(2*D248)+COS(2*E248)))</f>
        <v/>
      </c>
      <c r="G248" s="195">
        <f>IF(B248="","",SIN(2*E248)/(COSH(2*D248)+COS(2*E248)))</f>
        <v/>
      </c>
      <c r="H248" s="195">
        <f>IF(B248="","",ATANH(MIN(0.999999,'入力・概要'!$E$21/'入力・概要'!$E$15))+'入力・概要'!$B$21*SQRT(B248/1E6)+I248*'入力・概要'!$B$16/2)</f>
        <v/>
      </c>
      <c r="I248" s="195">
        <f>IF(B248="","",C248*('入力・概要'!$E$17*1E-9))</f>
        <v/>
      </c>
      <c r="J248" s="195">
        <f>IF(B248="","",SINH(2*H248)/(COSH(2*H248)+COS(2*I248)))</f>
        <v/>
      </c>
      <c r="K248" s="195">
        <f>IF(B248="","",SIN(2*I248)/(COSH(2*H248)+COS(2*I248)))</f>
        <v/>
      </c>
      <c r="L248" s="195">
        <f>IF(B248="","",'入力・概要'!$B$25)</f>
        <v/>
      </c>
      <c r="M248" s="195">
        <f>IF(B248="","",C248*'入力・概要'!$B$26*1E-9-1/(C248*'入力・概要'!$B$24*1E-6))</f>
        <v/>
      </c>
      <c r="N248" s="195">
        <f>IF(B248="","",'入力・概要'!$B$28)</f>
        <v/>
      </c>
      <c r="O248" s="195">
        <f>IF(B248="","",C248*'入力・概要'!$B$29*1E-9-1/(C248*'入力・概要'!$B$27*1E-6))</f>
        <v/>
      </c>
      <c r="P248" s="195">
        <f>IF(B248="","",((L248*N248-M248*O248)*(L248+N248)+(L248*O248+M248*N248)*(M248+O248))/((L248+N248)^2+(M248+O248)^2))</f>
        <v/>
      </c>
      <c r="Q248" s="195">
        <f>IF(B248="","",((L248*O248+M248*N248)*(L248+N248)-(L248*N248-M248*O248)*(M248+O248))/((L248+N248)^2+(M248+O248)^2))</f>
        <v/>
      </c>
      <c r="R248" s="195">
        <f>IF(B248="","",'入力・概要'!$E$15*J248)</f>
        <v/>
      </c>
      <c r="S248" s="195">
        <f>IF(B248="","",'入力・概要'!$E$15*K248)</f>
        <v/>
      </c>
      <c r="T248" s="195">
        <f>IF(B248="","",P248+R248)</f>
        <v/>
      </c>
      <c r="U248" s="195">
        <f>IF(B248="","",Q248+S248)</f>
        <v/>
      </c>
      <c r="V248" s="195">
        <f>IF(B248="","",T248+'入力・概要'!$E$9*F248)</f>
        <v/>
      </c>
      <c r="W248" s="195">
        <f>IF(B248="","",U248+'入力・概要'!$E$9*G248)</f>
        <v/>
      </c>
      <c r="X248" s="195">
        <f>IF(B248="","",'入力・概要'!$E$9+T248*F248-U248*G248)</f>
        <v/>
      </c>
      <c r="Y248" s="195">
        <f>IF(B248="","",T248*G248+U248*F248)</f>
        <v/>
      </c>
      <c r="Z248" s="195">
        <f>IF(B248="","",'入力・概要'!$E$9*(V248*X248+W248*Y248)/(X248^2+Y248^2)+'入力・概要'!$B$36)</f>
        <v/>
      </c>
      <c r="AA248" s="195">
        <f>IF(B248="","",'入力・概要'!$E$9*(W248*X248-V248*Y248)/(X248^2+Y248^2)+C248*'入力・概要'!$B$37*1E-9)</f>
        <v/>
      </c>
      <c r="AB248" s="195">
        <f>IF(B248="","",SQRT(Z248^2+AA248^2))</f>
        <v/>
      </c>
      <c r="AC248" s="195">
        <f>IF(B248="","",IF(Z248&gt;0,DEGREES(ATAN(AA248/Z248)),IF(Z248&lt;0,IF(AA248&gt;=0,DEGREES(ATAN(AA248/Z248))+180,DEGREES(ATAN(AA248/Z248))-180),IF(AA248&gt;0,90,IF(AA248&lt;0,-90,0)))))</f>
        <v/>
      </c>
      <c r="AD248" s="195">
        <f>IF(B248="","",LOG10(B248))</f>
        <v/>
      </c>
      <c r="AE248" s="195">
        <f>IF(AB248="","",LOG10(MAX(AB248,1E-12)))</f>
        <v/>
      </c>
      <c r="AF248" s="195">
        <f>IF(B248="","",SQRT(P248^2+Q248^2))</f>
        <v/>
      </c>
      <c r="AG248" s="195">
        <f>IF(B248="","",SQRT(R248^2+S248^2))</f>
        <v/>
      </c>
    </row>
    <row r="249">
      <c r="A249" t="n">
        <v>246</v>
      </c>
      <c r="B249" s="196">
        <f>IF(A249&lt;='入力・概要'!$B$40,10^(LOG10('入力・概要'!$B$38)+(A249-1)*(LOG10('入力・概要'!$B$39)-LOG10('入力・概要'!$B$38))/('入力・概要'!$B$40-1)),"")</f>
        <v/>
      </c>
      <c r="C249" s="195">
        <f>IF(B249="","",2*PI()*B249)</f>
        <v/>
      </c>
      <c r="D249" s="195">
        <f>IF(B249="","",ATANH(MIN(0.999999,'入力・概要'!$E$20/'入力・概要'!$E$9))+'入力・概要'!$B$20*SQRT(B249/1E6)+E249*'入力・概要'!$B$15/2)</f>
        <v/>
      </c>
      <c r="E249" s="195">
        <f>IF(B249="","",C249*('入力・概要'!$E$11*1E-9))</f>
        <v/>
      </c>
      <c r="F249" s="195">
        <f>IF(B249="","",SINH(2*D249)/(COSH(2*D249)+COS(2*E249)))</f>
        <v/>
      </c>
      <c r="G249" s="195">
        <f>IF(B249="","",SIN(2*E249)/(COSH(2*D249)+COS(2*E249)))</f>
        <v/>
      </c>
      <c r="H249" s="195">
        <f>IF(B249="","",ATANH(MIN(0.999999,'入力・概要'!$E$21/'入力・概要'!$E$15))+'入力・概要'!$B$21*SQRT(B249/1E6)+I249*'入力・概要'!$B$16/2)</f>
        <v/>
      </c>
      <c r="I249" s="195">
        <f>IF(B249="","",C249*('入力・概要'!$E$17*1E-9))</f>
        <v/>
      </c>
      <c r="J249" s="195">
        <f>IF(B249="","",SINH(2*H249)/(COSH(2*H249)+COS(2*I249)))</f>
        <v/>
      </c>
      <c r="K249" s="195">
        <f>IF(B249="","",SIN(2*I249)/(COSH(2*H249)+COS(2*I249)))</f>
        <v/>
      </c>
      <c r="L249" s="195">
        <f>IF(B249="","",'入力・概要'!$B$25)</f>
        <v/>
      </c>
      <c r="M249" s="195">
        <f>IF(B249="","",C249*'入力・概要'!$B$26*1E-9-1/(C249*'入力・概要'!$B$24*1E-6))</f>
        <v/>
      </c>
      <c r="N249" s="195">
        <f>IF(B249="","",'入力・概要'!$B$28)</f>
        <v/>
      </c>
      <c r="O249" s="195">
        <f>IF(B249="","",C249*'入力・概要'!$B$29*1E-9-1/(C249*'入力・概要'!$B$27*1E-6))</f>
        <v/>
      </c>
      <c r="P249" s="195">
        <f>IF(B249="","",((L249*N249-M249*O249)*(L249+N249)+(L249*O249+M249*N249)*(M249+O249))/((L249+N249)^2+(M249+O249)^2))</f>
        <v/>
      </c>
      <c r="Q249" s="195">
        <f>IF(B249="","",((L249*O249+M249*N249)*(L249+N249)-(L249*N249-M249*O249)*(M249+O249))/((L249+N249)^2+(M249+O249)^2))</f>
        <v/>
      </c>
      <c r="R249" s="195">
        <f>IF(B249="","",'入力・概要'!$E$15*J249)</f>
        <v/>
      </c>
      <c r="S249" s="195">
        <f>IF(B249="","",'入力・概要'!$E$15*K249)</f>
        <v/>
      </c>
      <c r="T249" s="195">
        <f>IF(B249="","",P249+R249)</f>
        <v/>
      </c>
      <c r="U249" s="195">
        <f>IF(B249="","",Q249+S249)</f>
        <v/>
      </c>
      <c r="V249" s="195">
        <f>IF(B249="","",T249+'入力・概要'!$E$9*F249)</f>
        <v/>
      </c>
      <c r="W249" s="195">
        <f>IF(B249="","",U249+'入力・概要'!$E$9*G249)</f>
        <v/>
      </c>
      <c r="X249" s="195">
        <f>IF(B249="","",'入力・概要'!$E$9+T249*F249-U249*G249)</f>
        <v/>
      </c>
      <c r="Y249" s="195">
        <f>IF(B249="","",T249*G249+U249*F249)</f>
        <v/>
      </c>
      <c r="Z249" s="195">
        <f>IF(B249="","",'入力・概要'!$E$9*(V249*X249+W249*Y249)/(X249^2+Y249^2)+'入力・概要'!$B$36)</f>
        <v/>
      </c>
      <c r="AA249" s="195">
        <f>IF(B249="","",'入力・概要'!$E$9*(W249*X249-V249*Y249)/(X249^2+Y249^2)+C249*'入力・概要'!$B$37*1E-9)</f>
        <v/>
      </c>
      <c r="AB249" s="195">
        <f>IF(B249="","",SQRT(Z249^2+AA249^2))</f>
        <v/>
      </c>
      <c r="AC249" s="195">
        <f>IF(B249="","",IF(Z249&gt;0,DEGREES(ATAN(AA249/Z249)),IF(Z249&lt;0,IF(AA249&gt;=0,DEGREES(ATAN(AA249/Z249))+180,DEGREES(ATAN(AA249/Z249))-180),IF(AA249&gt;0,90,IF(AA249&lt;0,-90,0)))))</f>
        <v/>
      </c>
      <c r="AD249" s="195">
        <f>IF(B249="","",LOG10(B249))</f>
        <v/>
      </c>
      <c r="AE249" s="195">
        <f>IF(AB249="","",LOG10(MAX(AB249,1E-12)))</f>
        <v/>
      </c>
      <c r="AF249" s="195">
        <f>IF(B249="","",SQRT(P249^2+Q249^2))</f>
        <v/>
      </c>
      <c r="AG249" s="195">
        <f>IF(B249="","",SQRT(R249^2+S249^2))</f>
        <v/>
      </c>
    </row>
    <row r="250">
      <c r="A250" t="n">
        <v>247</v>
      </c>
      <c r="B250" s="196">
        <f>IF(A250&lt;='入力・概要'!$B$40,10^(LOG10('入力・概要'!$B$38)+(A250-1)*(LOG10('入力・概要'!$B$39)-LOG10('入力・概要'!$B$38))/('入力・概要'!$B$40-1)),"")</f>
        <v/>
      </c>
      <c r="C250" s="195">
        <f>IF(B250="","",2*PI()*B250)</f>
        <v/>
      </c>
      <c r="D250" s="195">
        <f>IF(B250="","",ATANH(MIN(0.999999,'入力・概要'!$E$20/'入力・概要'!$E$9))+'入力・概要'!$B$20*SQRT(B250/1E6)+E250*'入力・概要'!$B$15/2)</f>
        <v/>
      </c>
      <c r="E250" s="195">
        <f>IF(B250="","",C250*('入力・概要'!$E$11*1E-9))</f>
        <v/>
      </c>
      <c r="F250" s="195">
        <f>IF(B250="","",SINH(2*D250)/(COSH(2*D250)+COS(2*E250)))</f>
        <v/>
      </c>
      <c r="G250" s="195">
        <f>IF(B250="","",SIN(2*E250)/(COSH(2*D250)+COS(2*E250)))</f>
        <v/>
      </c>
      <c r="H250" s="195">
        <f>IF(B250="","",ATANH(MIN(0.999999,'入力・概要'!$E$21/'入力・概要'!$E$15))+'入力・概要'!$B$21*SQRT(B250/1E6)+I250*'入力・概要'!$B$16/2)</f>
        <v/>
      </c>
      <c r="I250" s="195">
        <f>IF(B250="","",C250*('入力・概要'!$E$17*1E-9))</f>
        <v/>
      </c>
      <c r="J250" s="195">
        <f>IF(B250="","",SINH(2*H250)/(COSH(2*H250)+COS(2*I250)))</f>
        <v/>
      </c>
      <c r="K250" s="195">
        <f>IF(B250="","",SIN(2*I250)/(COSH(2*H250)+COS(2*I250)))</f>
        <v/>
      </c>
      <c r="L250" s="195">
        <f>IF(B250="","",'入力・概要'!$B$25)</f>
        <v/>
      </c>
      <c r="M250" s="195">
        <f>IF(B250="","",C250*'入力・概要'!$B$26*1E-9-1/(C250*'入力・概要'!$B$24*1E-6))</f>
        <v/>
      </c>
      <c r="N250" s="195">
        <f>IF(B250="","",'入力・概要'!$B$28)</f>
        <v/>
      </c>
      <c r="O250" s="195">
        <f>IF(B250="","",C250*'入力・概要'!$B$29*1E-9-1/(C250*'入力・概要'!$B$27*1E-6))</f>
        <v/>
      </c>
      <c r="P250" s="195">
        <f>IF(B250="","",((L250*N250-M250*O250)*(L250+N250)+(L250*O250+M250*N250)*(M250+O250))/((L250+N250)^2+(M250+O250)^2))</f>
        <v/>
      </c>
      <c r="Q250" s="195">
        <f>IF(B250="","",((L250*O250+M250*N250)*(L250+N250)-(L250*N250-M250*O250)*(M250+O250))/((L250+N250)^2+(M250+O250)^2))</f>
        <v/>
      </c>
      <c r="R250" s="195">
        <f>IF(B250="","",'入力・概要'!$E$15*J250)</f>
        <v/>
      </c>
      <c r="S250" s="195">
        <f>IF(B250="","",'入力・概要'!$E$15*K250)</f>
        <v/>
      </c>
      <c r="T250" s="195">
        <f>IF(B250="","",P250+R250)</f>
        <v/>
      </c>
      <c r="U250" s="195">
        <f>IF(B250="","",Q250+S250)</f>
        <v/>
      </c>
      <c r="V250" s="195">
        <f>IF(B250="","",T250+'入力・概要'!$E$9*F250)</f>
        <v/>
      </c>
      <c r="W250" s="195">
        <f>IF(B250="","",U250+'入力・概要'!$E$9*G250)</f>
        <v/>
      </c>
      <c r="X250" s="195">
        <f>IF(B250="","",'入力・概要'!$E$9+T250*F250-U250*G250)</f>
        <v/>
      </c>
      <c r="Y250" s="195">
        <f>IF(B250="","",T250*G250+U250*F250)</f>
        <v/>
      </c>
      <c r="Z250" s="195">
        <f>IF(B250="","",'入力・概要'!$E$9*(V250*X250+W250*Y250)/(X250^2+Y250^2)+'入力・概要'!$B$36)</f>
        <v/>
      </c>
      <c r="AA250" s="195">
        <f>IF(B250="","",'入力・概要'!$E$9*(W250*X250-V250*Y250)/(X250^2+Y250^2)+C250*'入力・概要'!$B$37*1E-9)</f>
        <v/>
      </c>
      <c r="AB250" s="195">
        <f>IF(B250="","",SQRT(Z250^2+AA250^2))</f>
        <v/>
      </c>
      <c r="AC250" s="195">
        <f>IF(B250="","",IF(Z250&gt;0,DEGREES(ATAN(AA250/Z250)),IF(Z250&lt;0,IF(AA250&gt;=0,DEGREES(ATAN(AA250/Z250))+180,DEGREES(ATAN(AA250/Z250))-180),IF(AA250&gt;0,90,IF(AA250&lt;0,-90,0)))))</f>
        <v/>
      </c>
      <c r="AD250" s="195">
        <f>IF(B250="","",LOG10(B250))</f>
        <v/>
      </c>
      <c r="AE250" s="195">
        <f>IF(AB250="","",LOG10(MAX(AB250,1E-12)))</f>
        <v/>
      </c>
      <c r="AF250" s="195">
        <f>IF(B250="","",SQRT(P250^2+Q250^2))</f>
        <v/>
      </c>
      <c r="AG250" s="195">
        <f>IF(B250="","",SQRT(R250^2+S250^2))</f>
        <v/>
      </c>
    </row>
    <row r="251">
      <c r="A251" t="n">
        <v>248</v>
      </c>
      <c r="B251" s="196">
        <f>IF(A251&lt;='入力・概要'!$B$40,10^(LOG10('入力・概要'!$B$38)+(A251-1)*(LOG10('入力・概要'!$B$39)-LOG10('入力・概要'!$B$38))/('入力・概要'!$B$40-1)),"")</f>
        <v/>
      </c>
      <c r="C251" s="195">
        <f>IF(B251="","",2*PI()*B251)</f>
        <v/>
      </c>
      <c r="D251" s="195">
        <f>IF(B251="","",ATANH(MIN(0.999999,'入力・概要'!$E$20/'入力・概要'!$E$9))+'入力・概要'!$B$20*SQRT(B251/1E6)+E251*'入力・概要'!$B$15/2)</f>
        <v/>
      </c>
      <c r="E251" s="195">
        <f>IF(B251="","",C251*('入力・概要'!$E$11*1E-9))</f>
        <v/>
      </c>
      <c r="F251" s="195">
        <f>IF(B251="","",SINH(2*D251)/(COSH(2*D251)+COS(2*E251)))</f>
        <v/>
      </c>
      <c r="G251" s="195">
        <f>IF(B251="","",SIN(2*E251)/(COSH(2*D251)+COS(2*E251)))</f>
        <v/>
      </c>
      <c r="H251" s="195">
        <f>IF(B251="","",ATANH(MIN(0.999999,'入力・概要'!$E$21/'入力・概要'!$E$15))+'入力・概要'!$B$21*SQRT(B251/1E6)+I251*'入力・概要'!$B$16/2)</f>
        <v/>
      </c>
      <c r="I251" s="195">
        <f>IF(B251="","",C251*('入力・概要'!$E$17*1E-9))</f>
        <v/>
      </c>
      <c r="J251" s="195">
        <f>IF(B251="","",SINH(2*H251)/(COSH(2*H251)+COS(2*I251)))</f>
        <v/>
      </c>
      <c r="K251" s="195">
        <f>IF(B251="","",SIN(2*I251)/(COSH(2*H251)+COS(2*I251)))</f>
        <v/>
      </c>
      <c r="L251" s="195">
        <f>IF(B251="","",'入力・概要'!$B$25)</f>
        <v/>
      </c>
      <c r="M251" s="195">
        <f>IF(B251="","",C251*'入力・概要'!$B$26*1E-9-1/(C251*'入力・概要'!$B$24*1E-6))</f>
        <v/>
      </c>
      <c r="N251" s="195">
        <f>IF(B251="","",'入力・概要'!$B$28)</f>
        <v/>
      </c>
      <c r="O251" s="195">
        <f>IF(B251="","",C251*'入力・概要'!$B$29*1E-9-1/(C251*'入力・概要'!$B$27*1E-6))</f>
        <v/>
      </c>
      <c r="P251" s="195">
        <f>IF(B251="","",((L251*N251-M251*O251)*(L251+N251)+(L251*O251+M251*N251)*(M251+O251))/((L251+N251)^2+(M251+O251)^2))</f>
        <v/>
      </c>
      <c r="Q251" s="195">
        <f>IF(B251="","",((L251*O251+M251*N251)*(L251+N251)-(L251*N251-M251*O251)*(M251+O251))/((L251+N251)^2+(M251+O251)^2))</f>
        <v/>
      </c>
      <c r="R251" s="195">
        <f>IF(B251="","",'入力・概要'!$E$15*J251)</f>
        <v/>
      </c>
      <c r="S251" s="195">
        <f>IF(B251="","",'入力・概要'!$E$15*K251)</f>
        <v/>
      </c>
      <c r="T251" s="195">
        <f>IF(B251="","",P251+R251)</f>
        <v/>
      </c>
      <c r="U251" s="195">
        <f>IF(B251="","",Q251+S251)</f>
        <v/>
      </c>
      <c r="V251" s="195">
        <f>IF(B251="","",T251+'入力・概要'!$E$9*F251)</f>
        <v/>
      </c>
      <c r="W251" s="195">
        <f>IF(B251="","",U251+'入力・概要'!$E$9*G251)</f>
        <v/>
      </c>
      <c r="X251" s="195">
        <f>IF(B251="","",'入力・概要'!$E$9+T251*F251-U251*G251)</f>
        <v/>
      </c>
      <c r="Y251" s="195">
        <f>IF(B251="","",T251*G251+U251*F251)</f>
        <v/>
      </c>
      <c r="Z251" s="195">
        <f>IF(B251="","",'入力・概要'!$E$9*(V251*X251+W251*Y251)/(X251^2+Y251^2)+'入力・概要'!$B$36)</f>
        <v/>
      </c>
      <c r="AA251" s="195">
        <f>IF(B251="","",'入力・概要'!$E$9*(W251*X251-V251*Y251)/(X251^2+Y251^2)+C251*'入力・概要'!$B$37*1E-9)</f>
        <v/>
      </c>
      <c r="AB251" s="195">
        <f>IF(B251="","",SQRT(Z251^2+AA251^2))</f>
        <v/>
      </c>
      <c r="AC251" s="195">
        <f>IF(B251="","",IF(Z251&gt;0,DEGREES(ATAN(AA251/Z251)),IF(Z251&lt;0,IF(AA251&gt;=0,DEGREES(ATAN(AA251/Z251))+180,DEGREES(ATAN(AA251/Z251))-180),IF(AA251&gt;0,90,IF(AA251&lt;0,-90,0)))))</f>
        <v/>
      </c>
      <c r="AD251" s="195">
        <f>IF(B251="","",LOG10(B251))</f>
        <v/>
      </c>
      <c r="AE251" s="195">
        <f>IF(AB251="","",LOG10(MAX(AB251,1E-12)))</f>
        <v/>
      </c>
      <c r="AF251" s="195">
        <f>IF(B251="","",SQRT(P251^2+Q251^2))</f>
        <v/>
      </c>
      <c r="AG251" s="195">
        <f>IF(B251="","",SQRT(R251^2+S251^2))</f>
        <v/>
      </c>
    </row>
    <row r="252">
      <c r="A252" t="n">
        <v>249</v>
      </c>
      <c r="B252" s="196">
        <f>IF(A252&lt;='入力・概要'!$B$40,10^(LOG10('入力・概要'!$B$38)+(A252-1)*(LOG10('入力・概要'!$B$39)-LOG10('入力・概要'!$B$38))/('入力・概要'!$B$40-1)),"")</f>
        <v/>
      </c>
      <c r="C252" s="195">
        <f>IF(B252="","",2*PI()*B252)</f>
        <v/>
      </c>
      <c r="D252" s="195">
        <f>IF(B252="","",ATANH(MIN(0.999999,'入力・概要'!$E$20/'入力・概要'!$E$9))+'入力・概要'!$B$20*SQRT(B252/1E6)+E252*'入力・概要'!$B$15/2)</f>
        <v/>
      </c>
      <c r="E252" s="195">
        <f>IF(B252="","",C252*('入力・概要'!$E$11*1E-9))</f>
        <v/>
      </c>
      <c r="F252" s="195">
        <f>IF(B252="","",SINH(2*D252)/(COSH(2*D252)+COS(2*E252)))</f>
        <v/>
      </c>
      <c r="G252" s="195">
        <f>IF(B252="","",SIN(2*E252)/(COSH(2*D252)+COS(2*E252)))</f>
        <v/>
      </c>
      <c r="H252" s="195">
        <f>IF(B252="","",ATANH(MIN(0.999999,'入力・概要'!$E$21/'入力・概要'!$E$15))+'入力・概要'!$B$21*SQRT(B252/1E6)+I252*'入力・概要'!$B$16/2)</f>
        <v/>
      </c>
      <c r="I252" s="195">
        <f>IF(B252="","",C252*('入力・概要'!$E$17*1E-9))</f>
        <v/>
      </c>
      <c r="J252" s="195">
        <f>IF(B252="","",SINH(2*H252)/(COSH(2*H252)+COS(2*I252)))</f>
        <v/>
      </c>
      <c r="K252" s="195">
        <f>IF(B252="","",SIN(2*I252)/(COSH(2*H252)+COS(2*I252)))</f>
        <v/>
      </c>
      <c r="L252" s="195">
        <f>IF(B252="","",'入力・概要'!$B$25)</f>
        <v/>
      </c>
      <c r="M252" s="195">
        <f>IF(B252="","",C252*'入力・概要'!$B$26*1E-9-1/(C252*'入力・概要'!$B$24*1E-6))</f>
        <v/>
      </c>
      <c r="N252" s="195">
        <f>IF(B252="","",'入力・概要'!$B$28)</f>
        <v/>
      </c>
      <c r="O252" s="195">
        <f>IF(B252="","",C252*'入力・概要'!$B$29*1E-9-1/(C252*'入力・概要'!$B$27*1E-6))</f>
        <v/>
      </c>
      <c r="P252" s="195">
        <f>IF(B252="","",((L252*N252-M252*O252)*(L252+N252)+(L252*O252+M252*N252)*(M252+O252))/((L252+N252)^2+(M252+O252)^2))</f>
        <v/>
      </c>
      <c r="Q252" s="195">
        <f>IF(B252="","",((L252*O252+M252*N252)*(L252+N252)-(L252*N252-M252*O252)*(M252+O252))/((L252+N252)^2+(M252+O252)^2))</f>
        <v/>
      </c>
      <c r="R252" s="195">
        <f>IF(B252="","",'入力・概要'!$E$15*J252)</f>
        <v/>
      </c>
      <c r="S252" s="195">
        <f>IF(B252="","",'入力・概要'!$E$15*K252)</f>
        <v/>
      </c>
      <c r="T252" s="195">
        <f>IF(B252="","",P252+R252)</f>
        <v/>
      </c>
      <c r="U252" s="195">
        <f>IF(B252="","",Q252+S252)</f>
        <v/>
      </c>
      <c r="V252" s="195">
        <f>IF(B252="","",T252+'入力・概要'!$E$9*F252)</f>
        <v/>
      </c>
      <c r="W252" s="195">
        <f>IF(B252="","",U252+'入力・概要'!$E$9*G252)</f>
        <v/>
      </c>
      <c r="X252" s="195">
        <f>IF(B252="","",'入力・概要'!$E$9+T252*F252-U252*G252)</f>
        <v/>
      </c>
      <c r="Y252" s="195">
        <f>IF(B252="","",T252*G252+U252*F252)</f>
        <v/>
      </c>
      <c r="Z252" s="195">
        <f>IF(B252="","",'入力・概要'!$E$9*(V252*X252+W252*Y252)/(X252^2+Y252^2)+'入力・概要'!$B$36)</f>
        <v/>
      </c>
      <c r="AA252" s="195">
        <f>IF(B252="","",'入力・概要'!$E$9*(W252*X252-V252*Y252)/(X252^2+Y252^2)+C252*'入力・概要'!$B$37*1E-9)</f>
        <v/>
      </c>
      <c r="AB252" s="195">
        <f>IF(B252="","",SQRT(Z252^2+AA252^2))</f>
        <v/>
      </c>
      <c r="AC252" s="195">
        <f>IF(B252="","",IF(Z252&gt;0,DEGREES(ATAN(AA252/Z252)),IF(Z252&lt;0,IF(AA252&gt;=0,DEGREES(ATAN(AA252/Z252))+180,DEGREES(ATAN(AA252/Z252))-180),IF(AA252&gt;0,90,IF(AA252&lt;0,-90,0)))))</f>
        <v/>
      </c>
      <c r="AD252" s="195">
        <f>IF(B252="","",LOG10(B252))</f>
        <v/>
      </c>
      <c r="AE252" s="195">
        <f>IF(AB252="","",LOG10(MAX(AB252,1E-12)))</f>
        <v/>
      </c>
      <c r="AF252" s="195">
        <f>IF(B252="","",SQRT(P252^2+Q252^2))</f>
        <v/>
      </c>
      <c r="AG252" s="195">
        <f>IF(B252="","",SQRT(R252^2+S252^2))</f>
        <v/>
      </c>
    </row>
    <row r="253">
      <c r="A253" t="n">
        <v>250</v>
      </c>
      <c r="B253" s="196">
        <f>IF(A253&lt;='入力・概要'!$B$40,10^(LOG10('入力・概要'!$B$38)+(A253-1)*(LOG10('入力・概要'!$B$39)-LOG10('入力・概要'!$B$38))/('入力・概要'!$B$40-1)),"")</f>
        <v/>
      </c>
      <c r="C253" s="195">
        <f>IF(B253="","",2*PI()*B253)</f>
        <v/>
      </c>
      <c r="D253" s="195">
        <f>IF(B253="","",ATANH(MIN(0.999999,'入力・概要'!$E$20/'入力・概要'!$E$9))+'入力・概要'!$B$20*SQRT(B253/1E6)+E253*'入力・概要'!$B$15/2)</f>
        <v/>
      </c>
      <c r="E253" s="195">
        <f>IF(B253="","",C253*('入力・概要'!$E$11*1E-9))</f>
        <v/>
      </c>
      <c r="F253" s="195">
        <f>IF(B253="","",SINH(2*D253)/(COSH(2*D253)+COS(2*E253)))</f>
        <v/>
      </c>
      <c r="G253" s="195">
        <f>IF(B253="","",SIN(2*E253)/(COSH(2*D253)+COS(2*E253)))</f>
        <v/>
      </c>
      <c r="H253" s="195">
        <f>IF(B253="","",ATANH(MIN(0.999999,'入力・概要'!$E$21/'入力・概要'!$E$15))+'入力・概要'!$B$21*SQRT(B253/1E6)+I253*'入力・概要'!$B$16/2)</f>
        <v/>
      </c>
      <c r="I253" s="195">
        <f>IF(B253="","",C253*('入力・概要'!$E$17*1E-9))</f>
        <v/>
      </c>
      <c r="J253" s="195">
        <f>IF(B253="","",SINH(2*H253)/(COSH(2*H253)+COS(2*I253)))</f>
        <v/>
      </c>
      <c r="K253" s="195">
        <f>IF(B253="","",SIN(2*I253)/(COSH(2*H253)+COS(2*I253)))</f>
        <v/>
      </c>
      <c r="L253" s="195">
        <f>IF(B253="","",'入力・概要'!$B$25)</f>
        <v/>
      </c>
      <c r="M253" s="195">
        <f>IF(B253="","",C253*'入力・概要'!$B$26*1E-9-1/(C253*'入力・概要'!$B$24*1E-6))</f>
        <v/>
      </c>
      <c r="N253" s="195">
        <f>IF(B253="","",'入力・概要'!$B$28)</f>
        <v/>
      </c>
      <c r="O253" s="195">
        <f>IF(B253="","",C253*'入力・概要'!$B$29*1E-9-1/(C253*'入力・概要'!$B$27*1E-6))</f>
        <v/>
      </c>
      <c r="P253" s="195">
        <f>IF(B253="","",((L253*N253-M253*O253)*(L253+N253)+(L253*O253+M253*N253)*(M253+O253))/((L253+N253)^2+(M253+O253)^2))</f>
        <v/>
      </c>
      <c r="Q253" s="195">
        <f>IF(B253="","",((L253*O253+M253*N253)*(L253+N253)-(L253*N253-M253*O253)*(M253+O253))/((L253+N253)^2+(M253+O253)^2))</f>
        <v/>
      </c>
      <c r="R253" s="195">
        <f>IF(B253="","",'入力・概要'!$E$15*J253)</f>
        <v/>
      </c>
      <c r="S253" s="195">
        <f>IF(B253="","",'入力・概要'!$E$15*K253)</f>
        <v/>
      </c>
      <c r="T253" s="195">
        <f>IF(B253="","",P253+R253)</f>
        <v/>
      </c>
      <c r="U253" s="195">
        <f>IF(B253="","",Q253+S253)</f>
        <v/>
      </c>
      <c r="V253" s="195">
        <f>IF(B253="","",T253+'入力・概要'!$E$9*F253)</f>
        <v/>
      </c>
      <c r="W253" s="195">
        <f>IF(B253="","",U253+'入力・概要'!$E$9*G253)</f>
        <v/>
      </c>
      <c r="X253" s="195">
        <f>IF(B253="","",'入力・概要'!$E$9+T253*F253-U253*G253)</f>
        <v/>
      </c>
      <c r="Y253" s="195">
        <f>IF(B253="","",T253*G253+U253*F253)</f>
        <v/>
      </c>
      <c r="Z253" s="195">
        <f>IF(B253="","",'入力・概要'!$E$9*(V253*X253+W253*Y253)/(X253^2+Y253^2)+'入力・概要'!$B$36)</f>
        <v/>
      </c>
      <c r="AA253" s="195">
        <f>IF(B253="","",'入力・概要'!$E$9*(W253*X253-V253*Y253)/(X253^2+Y253^2)+C253*'入力・概要'!$B$37*1E-9)</f>
        <v/>
      </c>
      <c r="AB253" s="195">
        <f>IF(B253="","",SQRT(Z253^2+AA253^2))</f>
        <v/>
      </c>
      <c r="AC253" s="195">
        <f>IF(B253="","",IF(Z253&gt;0,DEGREES(ATAN(AA253/Z253)),IF(Z253&lt;0,IF(AA253&gt;=0,DEGREES(ATAN(AA253/Z253))+180,DEGREES(ATAN(AA253/Z253))-180),IF(AA253&gt;0,90,IF(AA253&lt;0,-90,0)))))</f>
        <v/>
      </c>
      <c r="AD253" s="195">
        <f>IF(B253="","",LOG10(B253))</f>
        <v/>
      </c>
      <c r="AE253" s="195">
        <f>IF(AB253="","",LOG10(MAX(AB253,1E-12)))</f>
        <v/>
      </c>
      <c r="AF253" s="195">
        <f>IF(B253="","",SQRT(P253^2+Q253^2))</f>
        <v/>
      </c>
      <c r="AG253" s="195">
        <f>IF(B253="","",SQRT(R253^2+S253^2))</f>
        <v/>
      </c>
    </row>
    <row r="254">
      <c r="A254" t="n">
        <v>251</v>
      </c>
      <c r="B254" s="196">
        <f>IF(A254&lt;='入力・概要'!$B$40,10^(LOG10('入力・概要'!$B$38)+(A254-1)*(LOG10('入力・概要'!$B$39)-LOG10('入力・概要'!$B$38))/('入力・概要'!$B$40-1)),"")</f>
        <v/>
      </c>
      <c r="C254" s="195">
        <f>IF(B254="","",2*PI()*B254)</f>
        <v/>
      </c>
      <c r="D254" s="195">
        <f>IF(B254="","",ATANH(MIN(0.999999,'入力・概要'!$E$20/'入力・概要'!$E$9))+'入力・概要'!$B$20*SQRT(B254/1E6)+E254*'入力・概要'!$B$15/2)</f>
        <v/>
      </c>
      <c r="E254" s="195">
        <f>IF(B254="","",C254*('入力・概要'!$E$11*1E-9))</f>
        <v/>
      </c>
      <c r="F254" s="195">
        <f>IF(B254="","",SINH(2*D254)/(COSH(2*D254)+COS(2*E254)))</f>
        <v/>
      </c>
      <c r="G254" s="195">
        <f>IF(B254="","",SIN(2*E254)/(COSH(2*D254)+COS(2*E254)))</f>
        <v/>
      </c>
      <c r="H254" s="195">
        <f>IF(B254="","",ATANH(MIN(0.999999,'入力・概要'!$E$21/'入力・概要'!$E$15))+'入力・概要'!$B$21*SQRT(B254/1E6)+I254*'入力・概要'!$B$16/2)</f>
        <v/>
      </c>
      <c r="I254" s="195">
        <f>IF(B254="","",C254*('入力・概要'!$E$17*1E-9))</f>
        <v/>
      </c>
      <c r="J254" s="195">
        <f>IF(B254="","",SINH(2*H254)/(COSH(2*H254)+COS(2*I254)))</f>
        <v/>
      </c>
      <c r="K254" s="195">
        <f>IF(B254="","",SIN(2*I254)/(COSH(2*H254)+COS(2*I254)))</f>
        <v/>
      </c>
      <c r="L254" s="195">
        <f>IF(B254="","",'入力・概要'!$B$25)</f>
        <v/>
      </c>
      <c r="M254" s="195">
        <f>IF(B254="","",C254*'入力・概要'!$B$26*1E-9-1/(C254*'入力・概要'!$B$24*1E-6))</f>
        <v/>
      </c>
      <c r="N254" s="195">
        <f>IF(B254="","",'入力・概要'!$B$28)</f>
        <v/>
      </c>
      <c r="O254" s="195">
        <f>IF(B254="","",C254*'入力・概要'!$B$29*1E-9-1/(C254*'入力・概要'!$B$27*1E-6))</f>
        <v/>
      </c>
      <c r="P254" s="195">
        <f>IF(B254="","",((L254*N254-M254*O254)*(L254+N254)+(L254*O254+M254*N254)*(M254+O254))/((L254+N254)^2+(M254+O254)^2))</f>
        <v/>
      </c>
      <c r="Q254" s="195">
        <f>IF(B254="","",((L254*O254+M254*N254)*(L254+N254)-(L254*N254-M254*O254)*(M254+O254))/((L254+N254)^2+(M254+O254)^2))</f>
        <v/>
      </c>
      <c r="R254" s="195">
        <f>IF(B254="","",'入力・概要'!$E$15*J254)</f>
        <v/>
      </c>
      <c r="S254" s="195">
        <f>IF(B254="","",'入力・概要'!$E$15*K254)</f>
        <v/>
      </c>
      <c r="T254" s="195">
        <f>IF(B254="","",P254+R254)</f>
        <v/>
      </c>
      <c r="U254" s="195">
        <f>IF(B254="","",Q254+S254)</f>
        <v/>
      </c>
      <c r="V254" s="195">
        <f>IF(B254="","",T254+'入力・概要'!$E$9*F254)</f>
        <v/>
      </c>
      <c r="W254" s="195">
        <f>IF(B254="","",U254+'入力・概要'!$E$9*G254)</f>
        <v/>
      </c>
      <c r="X254" s="195">
        <f>IF(B254="","",'入力・概要'!$E$9+T254*F254-U254*G254)</f>
        <v/>
      </c>
      <c r="Y254" s="195">
        <f>IF(B254="","",T254*G254+U254*F254)</f>
        <v/>
      </c>
      <c r="Z254" s="195">
        <f>IF(B254="","",'入力・概要'!$E$9*(V254*X254+W254*Y254)/(X254^2+Y254^2)+'入力・概要'!$B$36)</f>
        <v/>
      </c>
      <c r="AA254" s="195">
        <f>IF(B254="","",'入力・概要'!$E$9*(W254*X254-V254*Y254)/(X254^2+Y254^2)+C254*'入力・概要'!$B$37*1E-9)</f>
        <v/>
      </c>
      <c r="AB254" s="195">
        <f>IF(B254="","",SQRT(Z254^2+AA254^2))</f>
        <v/>
      </c>
      <c r="AC254" s="195">
        <f>IF(B254="","",IF(Z254&gt;0,DEGREES(ATAN(AA254/Z254)),IF(Z254&lt;0,IF(AA254&gt;=0,DEGREES(ATAN(AA254/Z254))+180,DEGREES(ATAN(AA254/Z254))-180),IF(AA254&gt;0,90,IF(AA254&lt;0,-90,0)))))</f>
        <v/>
      </c>
      <c r="AD254" s="195">
        <f>IF(B254="","",LOG10(B254))</f>
        <v/>
      </c>
      <c r="AE254" s="195">
        <f>IF(AB254="","",LOG10(MAX(AB254,1E-12)))</f>
        <v/>
      </c>
      <c r="AF254" s="195">
        <f>IF(B254="","",SQRT(P254^2+Q254^2))</f>
        <v/>
      </c>
      <c r="AG254" s="195">
        <f>IF(B254="","",SQRT(R254^2+S254^2))</f>
        <v/>
      </c>
    </row>
    <row r="255">
      <c r="A255" t="n">
        <v>252</v>
      </c>
      <c r="B255" s="196">
        <f>IF(A255&lt;='入力・概要'!$B$40,10^(LOG10('入力・概要'!$B$38)+(A255-1)*(LOG10('入力・概要'!$B$39)-LOG10('入力・概要'!$B$38))/('入力・概要'!$B$40-1)),"")</f>
        <v/>
      </c>
      <c r="C255" s="195">
        <f>IF(B255="","",2*PI()*B255)</f>
        <v/>
      </c>
      <c r="D255" s="195">
        <f>IF(B255="","",ATANH(MIN(0.999999,'入力・概要'!$E$20/'入力・概要'!$E$9))+'入力・概要'!$B$20*SQRT(B255/1E6)+E255*'入力・概要'!$B$15/2)</f>
        <v/>
      </c>
      <c r="E255" s="195">
        <f>IF(B255="","",C255*('入力・概要'!$E$11*1E-9))</f>
        <v/>
      </c>
      <c r="F255" s="195">
        <f>IF(B255="","",SINH(2*D255)/(COSH(2*D255)+COS(2*E255)))</f>
        <v/>
      </c>
      <c r="G255" s="195">
        <f>IF(B255="","",SIN(2*E255)/(COSH(2*D255)+COS(2*E255)))</f>
        <v/>
      </c>
      <c r="H255" s="195">
        <f>IF(B255="","",ATANH(MIN(0.999999,'入力・概要'!$E$21/'入力・概要'!$E$15))+'入力・概要'!$B$21*SQRT(B255/1E6)+I255*'入力・概要'!$B$16/2)</f>
        <v/>
      </c>
      <c r="I255" s="195">
        <f>IF(B255="","",C255*('入力・概要'!$E$17*1E-9))</f>
        <v/>
      </c>
      <c r="J255" s="195">
        <f>IF(B255="","",SINH(2*H255)/(COSH(2*H255)+COS(2*I255)))</f>
        <v/>
      </c>
      <c r="K255" s="195">
        <f>IF(B255="","",SIN(2*I255)/(COSH(2*H255)+COS(2*I255)))</f>
        <v/>
      </c>
      <c r="L255" s="195">
        <f>IF(B255="","",'入力・概要'!$B$25)</f>
        <v/>
      </c>
      <c r="M255" s="195">
        <f>IF(B255="","",C255*'入力・概要'!$B$26*1E-9-1/(C255*'入力・概要'!$B$24*1E-6))</f>
        <v/>
      </c>
      <c r="N255" s="195">
        <f>IF(B255="","",'入力・概要'!$B$28)</f>
        <v/>
      </c>
      <c r="O255" s="195">
        <f>IF(B255="","",C255*'入力・概要'!$B$29*1E-9-1/(C255*'入力・概要'!$B$27*1E-6))</f>
        <v/>
      </c>
      <c r="P255" s="195">
        <f>IF(B255="","",((L255*N255-M255*O255)*(L255+N255)+(L255*O255+M255*N255)*(M255+O255))/((L255+N255)^2+(M255+O255)^2))</f>
        <v/>
      </c>
      <c r="Q255" s="195">
        <f>IF(B255="","",((L255*O255+M255*N255)*(L255+N255)-(L255*N255-M255*O255)*(M255+O255))/((L255+N255)^2+(M255+O255)^2))</f>
        <v/>
      </c>
      <c r="R255" s="195">
        <f>IF(B255="","",'入力・概要'!$E$15*J255)</f>
        <v/>
      </c>
      <c r="S255" s="195">
        <f>IF(B255="","",'入力・概要'!$E$15*K255)</f>
        <v/>
      </c>
      <c r="T255" s="195">
        <f>IF(B255="","",P255+R255)</f>
        <v/>
      </c>
      <c r="U255" s="195">
        <f>IF(B255="","",Q255+S255)</f>
        <v/>
      </c>
      <c r="V255" s="195">
        <f>IF(B255="","",T255+'入力・概要'!$E$9*F255)</f>
        <v/>
      </c>
      <c r="W255" s="195">
        <f>IF(B255="","",U255+'入力・概要'!$E$9*G255)</f>
        <v/>
      </c>
      <c r="X255" s="195">
        <f>IF(B255="","",'入力・概要'!$E$9+T255*F255-U255*G255)</f>
        <v/>
      </c>
      <c r="Y255" s="195">
        <f>IF(B255="","",T255*G255+U255*F255)</f>
        <v/>
      </c>
      <c r="Z255" s="195">
        <f>IF(B255="","",'入力・概要'!$E$9*(V255*X255+W255*Y255)/(X255^2+Y255^2)+'入力・概要'!$B$36)</f>
        <v/>
      </c>
      <c r="AA255" s="195">
        <f>IF(B255="","",'入力・概要'!$E$9*(W255*X255-V255*Y255)/(X255^2+Y255^2)+C255*'入力・概要'!$B$37*1E-9)</f>
        <v/>
      </c>
      <c r="AB255" s="195">
        <f>IF(B255="","",SQRT(Z255^2+AA255^2))</f>
        <v/>
      </c>
      <c r="AC255" s="195">
        <f>IF(B255="","",IF(Z255&gt;0,DEGREES(ATAN(AA255/Z255)),IF(Z255&lt;0,IF(AA255&gt;=0,DEGREES(ATAN(AA255/Z255))+180,DEGREES(ATAN(AA255/Z255))-180),IF(AA255&gt;0,90,IF(AA255&lt;0,-90,0)))))</f>
        <v/>
      </c>
      <c r="AD255" s="195">
        <f>IF(B255="","",LOG10(B255))</f>
        <v/>
      </c>
      <c r="AE255" s="195">
        <f>IF(AB255="","",LOG10(MAX(AB255,1E-12)))</f>
        <v/>
      </c>
      <c r="AF255" s="195">
        <f>IF(B255="","",SQRT(P255^2+Q255^2))</f>
        <v/>
      </c>
      <c r="AG255" s="195">
        <f>IF(B255="","",SQRT(R255^2+S255^2))</f>
        <v/>
      </c>
    </row>
    <row r="256">
      <c r="A256" t="n">
        <v>253</v>
      </c>
      <c r="B256" s="196">
        <f>IF(A256&lt;='入力・概要'!$B$40,10^(LOG10('入力・概要'!$B$38)+(A256-1)*(LOG10('入力・概要'!$B$39)-LOG10('入力・概要'!$B$38))/('入力・概要'!$B$40-1)),"")</f>
        <v/>
      </c>
      <c r="C256" s="195">
        <f>IF(B256="","",2*PI()*B256)</f>
        <v/>
      </c>
      <c r="D256" s="195">
        <f>IF(B256="","",ATANH(MIN(0.999999,'入力・概要'!$E$20/'入力・概要'!$E$9))+'入力・概要'!$B$20*SQRT(B256/1E6)+E256*'入力・概要'!$B$15/2)</f>
        <v/>
      </c>
      <c r="E256" s="195">
        <f>IF(B256="","",C256*('入力・概要'!$E$11*1E-9))</f>
        <v/>
      </c>
      <c r="F256" s="195">
        <f>IF(B256="","",SINH(2*D256)/(COSH(2*D256)+COS(2*E256)))</f>
        <v/>
      </c>
      <c r="G256" s="195">
        <f>IF(B256="","",SIN(2*E256)/(COSH(2*D256)+COS(2*E256)))</f>
        <v/>
      </c>
      <c r="H256" s="195">
        <f>IF(B256="","",ATANH(MIN(0.999999,'入力・概要'!$E$21/'入力・概要'!$E$15))+'入力・概要'!$B$21*SQRT(B256/1E6)+I256*'入力・概要'!$B$16/2)</f>
        <v/>
      </c>
      <c r="I256" s="195">
        <f>IF(B256="","",C256*('入力・概要'!$E$17*1E-9))</f>
        <v/>
      </c>
      <c r="J256" s="195">
        <f>IF(B256="","",SINH(2*H256)/(COSH(2*H256)+COS(2*I256)))</f>
        <v/>
      </c>
      <c r="K256" s="195">
        <f>IF(B256="","",SIN(2*I256)/(COSH(2*H256)+COS(2*I256)))</f>
        <v/>
      </c>
      <c r="L256" s="195">
        <f>IF(B256="","",'入力・概要'!$B$25)</f>
        <v/>
      </c>
      <c r="M256" s="195">
        <f>IF(B256="","",C256*'入力・概要'!$B$26*1E-9-1/(C256*'入力・概要'!$B$24*1E-6))</f>
        <v/>
      </c>
      <c r="N256" s="195">
        <f>IF(B256="","",'入力・概要'!$B$28)</f>
        <v/>
      </c>
      <c r="O256" s="195">
        <f>IF(B256="","",C256*'入力・概要'!$B$29*1E-9-1/(C256*'入力・概要'!$B$27*1E-6))</f>
        <v/>
      </c>
      <c r="P256" s="195">
        <f>IF(B256="","",((L256*N256-M256*O256)*(L256+N256)+(L256*O256+M256*N256)*(M256+O256))/((L256+N256)^2+(M256+O256)^2))</f>
        <v/>
      </c>
      <c r="Q256" s="195">
        <f>IF(B256="","",((L256*O256+M256*N256)*(L256+N256)-(L256*N256-M256*O256)*(M256+O256))/((L256+N256)^2+(M256+O256)^2))</f>
        <v/>
      </c>
      <c r="R256" s="195">
        <f>IF(B256="","",'入力・概要'!$E$15*J256)</f>
        <v/>
      </c>
      <c r="S256" s="195">
        <f>IF(B256="","",'入力・概要'!$E$15*K256)</f>
        <v/>
      </c>
      <c r="T256" s="195">
        <f>IF(B256="","",P256+R256)</f>
        <v/>
      </c>
      <c r="U256" s="195">
        <f>IF(B256="","",Q256+S256)</f>
        <v/>
      </c>
      <c r="V256" s="195">
        <f>IF(B256="","",T256+'入力・概要'!$E$9*F256)</f>
        <v/>
      </c>
      <c r="W256" s="195">
        <f>IF(B256="","",U256+'入力・概要'!$E$9*G256)</f>
        <v/>
      </c>
      <c r="X256" s="195">
        <f>IF(B256="","",'入力・概要'!$E$9+T256*F256-U256*G256)</f>
        <v/>
      </c>
      <c r="Y256" s="195">
        <f>IF(B256="","",T256*G256+U256*F256)</f>
        <v/>
      </c>
      <c r="Z256" s="195">
        <f>IF(B256="","",'入力・概要'!$E$9*(V256*X256+W256*Y256)/(X256^2+Y256^2)+'入力・概要'!$B$36)</f>
        <v/>
      </c>
      <c r="AA256" s="195">
        <f>IF(B256="","",'入力・概要'!$E$9*(W256*X256-V256*Y256)/(X256^2+Y256^2)+C256*'入力・概要'!$B$37*1E-9)</f>
        <v/>
      </c>
      <c r="AB256" s="195">
        <f>IF(B256="","",SQRT(Z256^2+AA256^2))</f>
        <v/>
      </c>
      <c r="AC256" s="195">
        <f>IF(B256="","",IF(Z256&gt;0,DEGREES(ATAN(AA256/Z256)),IF(Z256&lt;0,IF(AA256&gt;=0,DEGREES(ATAN(AA256/Z256))+180,DEGREES(ATAN(AA256/Z256))-180),IF(AA256&gt;0,90,IF(AA256&lt;0,-90,0)))))</f>
        <v/>
      </c>
      <c r="AD256" s="195">
        <f>IF(B256="","",LOG10(B256))</f>
        <v/>
      </c>
      <c r="AE256" s="195">
        <f>IF(AB256="","",LOG10(MAX(AB256,1E-12)))</f>
        <v/>
      </c>
      <c r="AF256" s="195">
        <f>IF(B256="","",SQRT(P256^2+Q256^2))</f>
        <v/>
      </c>
      <c r="AG256" s="195">
        <f>IF(B256="","",SQRT(R256^2+S256^2))</f>
        <v/>
      </c>
    </row>
    <row r="257">
      <c r="A257" t="n">
        <v>254</v>
      </c>
      <c r="B257" s="196">
        <f>IF(A257&lt;='入力・概要'!$B$40,10^(LOG10('入力・概要'!$B$38)+(A257-1)*(LOG10('入力・概要'!$B$39)-LOG10('入力・概要'!$B$38))/('入力・概要'!$B$40-1)),"")</f>
        <v/>
      </c>
      <c r="C257" s="195">
        <f>IF(B257="","",2*PI()*B257)</f>
        <v/>
      </c>
      <c r="D257" s="195">
        <f>IF(B257="","",ATANH(MIN(0.999999,'入力・概要'!$E$20/'入力・概要'!$E$9))+'入力・概要'!$B$20*SQRT(B257/1E6)+E257*'入力・概要'!$B$15/2)</f>
        <v/>
      </c>
      <c r="E257" s="195">
        <f>IF(B257="","",C257*('入力・概要'!$E$11*1E-9))</f>
        <v/>
      </c>
      <c r="F257" s="195">
        <f>IF(B257="","",SINH(2*D257)/(COSH(2*D257)+COS(2*E257)))</f>
        <v/>
      </c>
      <c r="G257" s="195">
        <f>IF(B257="","",SIN(2*E257)/(COSH(2*D257)+COS(2*E257)))</f>
        <v/>
      </c>
      <c r="H257" s="195">
        <f>IF(B257="","",ATANH(MIN(0.999999,'入力・概要'!$E$21/'入力・概要'!$E$15))+'入力・概要'!$B$21*SQRT(B257/1E6)+I257*'入力・概要'!$B$16/2)</f>
        <v/>
      </c>
      <c r="I257" s="195">
        <f>IF(B257="","",C257*('入力・概要'!$E$17*1E-9))</f>
        <v/>
      </c>
      <c r="J257" s="195">
        <f>IF(B257="","",SINH(2*H257)/(COSH(2*H257)+COS(2*I257)))</f>
        <v/>
      </c>
      <c r="K257" s="195">
        <f>IF(B257="","",SIN(2*I257)/(COSH(2*H257)+COS(2*I257)))</f>
        <v/>
      </c>
      <c r="L257" s="195">
        <f>IF(B257="","",'入力・概要'!$B$25)</f>
        <v/>
      </c>
      <c r="M257" s="195">
        <f>IF(B257="","",C257*'入力・概要'!$B$26*1E-9-1/(C257*'入力・概要'!$B$24*1E-6))</f>
        <v/>
      </c>
      <c r="N257" s="195">
        <f>IF(B257="","",'入力・概要'!$B$28)</f>
        <v/>
      </c>
      <c r="O257" s="195">
        <f>IF(B257="","",C257*'入力・概要'!$B$29*1E-9-1/(C257*'入力・概要'!$B$27*1E-6))</f>
        <v/>
      </c>
      <c r="P257" s="195">
        <f>IF(B257="","",((L257*N257-M257*O257)*(L257+N257)+(L257*O257+M257*N257)*(M257+O257))/((L257+N257)^2+(M257+O257)^2))</f>
        <v/>
      </c>
      <c r="Q257" s="195">
        <f>IF(B257="","",((L257*O257+M257*N257)*(L257+N257)-(L257*N257-M257*O257)*(M257+O257))/((L257+N257)^2+(M257+O257)^2))</f>
        <v/>
      </c>
      <c r="R257" s="195">
        <f>IF(B257="","",'入力・概要'!$E$15*J257)</f>
        <v/>
      </c>
      <c r="S257" s="195">
        <f>IF(B257="","",'入力・概要'!$E$15*K257)</f>
        <v/>
      </c>
      <c r="T257" s="195">
        <f>IF(B257="","",P257+R257)</f>
        <v/>
      </c>
      <c r="U257" s="195">
        <f>IF(B257="","",Q257+S257)</f>
        <v/>
      </c>
      <c r="V257" s="195">
        <f>IF(B257="","",T257+'入力・概要'!$E$9*F257)</f>
        <v/>
      </c>
      <c r="W257" s="195">
        <f>IF(B257="","",U257+'入力・概要'!$E$9*G257)</f>
        <v/>
      </c>
      <c r="X257" s="195">
        <f>IF(B257="","",'入力・概要'!$E$9+T257*F257-U257*G257)</f>
        <v/>
      </c>
      <c r="Y257" s="195">
        <f>IF(B257="","",T257*G257+U257*F257)</f>
        <v/>
      </c>
      <c r="Z257" s="195">
        <f>IF(B257="","",'入力・概要'!$E$9*(V257*X257+W257*Y257)/(X257^2+Y257^2)+'入力・概要'!$B$36)</f>
        <v/>
      </c>
      <c r="AA257" s="195">
        <f>IF(B257="","",'入力・概要'!$E$9*(W257*X257-V257*Y257)/(X257^2+Y257^2)+C257*'入力・概要'!$B$37*1E-9)</f>
        <v/>
      </c>
      <c r="AB257" s="195">
        <f>IF(B257="","",SQRT(Z257^2+AA257^2))</f>
        <v/>
      </c>
      <c r="AC257" s="195">
        <f>IF(B257="","",IF(Z257&gt;0,DEGREES(ATAN(AA257/Z257)),IF(Z257&lt;0,IF(AA257&gt;=0,DEGREES(ATAN(AA257/Z257))+180,DEGREES(ATAN(AA257/Z257))-180),IF(AA257&gt;0,90,IF(AA257&lt;0,-90,0)))))</f>
        <v/>
      </c>
      <c r="AD257" s="195">
        <f>IF(B257="","",LOG10(B257))</f>
        <v/>
      </c>
      <c r="AE257" s="195">
        <f>IF(AB257="","",LOG10(MAX(AB257,1E-12)))</f>
        <v/>
      </c>
      <c r="AF257" s="195">
        <f>IF(B257="","",SQRT(P257^2+Q257^2))</f>
        <v/>
      </c>
      <c r="AG257" s="195">
        <f>IF(B257="","",SQRT(R257^2+S257^2))</f>
        <v/>
      </c>
    </row>
    <row r="258">
      <c r="A258" t="n">
        <v>255</v>
      </c>
      <c r="B258" s="196">
        <f>IF(A258&lt;='入力・概要'!$B$40,10^(LOG10('入力・概要'!$B$38)+(A258-1)*(LOG10('入力・概要'!$B$39)-LOG10('入力・概要'!$B$38))/('入力・概要'!$B$40-1)),"")</f>
        <v/>
      </c>
      <c r="C258" s="195">
        <f>IF(B258="","",2*PI()*B258)</f>
        <v/>
      </c>
      <c r="D258" s="195">
        <f>IF(B258="","",ATANH(MIN(0.999999,'入力・概要'!$E$20/'入力・概要'!$E$9))+'入力・概要'!$B$20*SQRT(B258/1E6)+E258*'入力・概要'!$B$15/2)</f>
        <v/>
      </c>
      <c r="E258" s="195">
        <f>IF(B258="","",C258*('入力・概要'!$E$11*1E-9))</f>
        <v/>
      </c>
      <c r="F258" s="195">
        <f>IF(B258="","",SINH(2*D258)/(COSH(2*D258)+COS(2*E258)))</f>
        <v/>
      </c>
      <c r="G258" s="195">
        <f>IF(B258="","",SIN(2*E258)/(COSH(2*D258)+COS(2*E258)))</f>
        <v/>
      </c>
      <c r="H258" s="195">
        <f>IF(B258="","",ATANH(MIN(0.999999,'入力・概要'!$E$21/'入力・概要'!$E$15))+'入力・概要'!$B$21*SQRT(B258/1E6)+I258*'入力・概要'!$B$16/2)</f>
        <v/>
      </c>
      <c r="I258" s="195">
        <f>IF(B258="","",C258*('入力・概要'!$E$17*1E-9))</f>
        <v/>
      </c>
      <c r="J258" s="195">
        <f>IF(B258="","",SINH(2*H258)/(COSH(2*H258)+COS(2*I258)))</f>
        <v/>
      </c>
      <c r="K258" s="195">
        <f>IF(B258="","",SIN(2*I258)/(COSH(2*H258)+COS(2*I258)))</f>
        <v/>
      </c>
      <c r="L258" s="195">
        <f>IF(B258="","",'入力・概要'!$B$25)</f>
        <v/>
      </c>
      <c r="M258" s="195">
        <f>IF(B258="","",C258*'入力・概要'!$B$26*1E-9-1/(C258*'入力・概要'!$B$24*1E-6))</f>
        <v/>
      </c>
      <c r="N258" s="195">
        <f>IF(B258="","",'入力・概要'!$B$28)</f>
        <v/>
      </c>
      <c r="O258" s="195">
        <f>IF(B258="","",C258*'入力・概要'!$B$29*1E-9-1/(C258*'入力・概要'!$B$27*1E-6))</f>
        <v/>
      </c>
      <c r="P258" s="195">
        <f>IF(B258="","",((L258*N258-M258*O258)*(L258+N258)+(L258*O258+M258*N258)*(M258+O258))/((L258+N258)^2+(M258+O258)^2))</f>
        <v/>
      </c>
      <c r="Q258" s="195">
        <f>IF(B258="","",((L258*O258+M258*N258)*(L258+N258)-(L258*N258-M258*O258)*(M258+O258))/((L258+N258)^2+(M258+O258)^2))</f>
        <v/>
      </c>
      <c r="R258" s="195">
        <f>IF(B258="","",'入力・概要'!$E$15*J258)</f>
        <v/>
      </c>
      <c r="S258" s="195">
        <f>IF(B258="","",'入力・概要'!$E$15*K258)</f>
        <v/>
      </c>
      <c r="T258" s="195">
        <f>IF(B258="","",P258+R258)</f>
        <v/>
      </c>
      <c r="U258" s="195">
        <f>IF(B258="","",Q258+S258)</f>
        <v/>
      </c>
      <c r="V258" s="195">
        <f>IF(B258="","",T258+'入力・概要'!$E$9*F258)</f>
        <v/>
      </c>
      <c r="W258" s="195">
        <f>IF(B258="","",U258+'入力・概要'!$E$9*G258)</f>
        <v/>
      </c>
      <c r="X258" s="195">
        <f>IF(B258="","",'入力・概要'!$E$9+T258*F258-U258*G258)</f>
        <v/>
      </c>
      <c r="Y258" s="195">
        <f>IF(B258="","",T258*G258+U258*F258)</f>
        <v/>
      </c>
      <c r="Z258" s="195">
        <f>IF(B258="","",'入力・概要'!$E$9*(V258*X258+W258*Y258)/(X258^2+Y258^2)+'入力・概要'!$B$36)</f>
        <v/>
      </c>
      <c r="AA258" s="195">
        <f>IF(B258="","",'入力・概要'!$E$9*(W258*X258-V258*Y258)/(X258^2+Y258^2)+C258*'入力・概要'!$B$37*1E-9)</f>
        <v/>
      </c>
      <c r="AB258" s="195">
        <f>IF(B258="","",SQRT(Z258^2+AA258^2))</f>
        <v/>
      </c>
      <c r="AC258" s="195">
        <f>IF(B258="","",IF(Z258&gt;0,DEGREES(ATAN(AA258/Z258)),IF(Z258&lt;0,IF(AA258&gt;=0,DEGREES(ATAN(AA258/Z258))+180,DEGREES(ATAN(AA258/Z258))-180),IF(AA258&gt;0,90,IF(AA258&lt;0,-90,0)))))</f>
        <v/>
      </c>
      <c r="AD258" s="195">
        <f>IF(B258="","",LOG10(B258))</f>
        <v/>
      </c>
      <c r="AE258" s="195">
        <f>IF(AB258="","",LOG10(MAX(AB258,1E-12)))</f>
        <v/>
      </c>
      <c r="AF258" s="195">
        <f>IF(B258="","",SQRT(P258^2+Q258^2))</f>
        <v/>
      </c>
      <c r="AG258" s="195">
        <f>IF(B258="","",SQRT(R258^2+S258^2))</f>
        <v/>
      </c>
    </row>
    <row r="259">
      <c r="A259" t="n">
        <v>256</v>
      </c>
      <c r="B259" s="196">
        <f>IF(A259&lt;='入力・概要'!$B$40,10^(LOG10('入力・概要'!$B$38)+(A259-1)*(LOG10('入力・概要'!$B$39)-LOG10('入力・概要'!$B$38))/('入力・概要'!$B$40-1)),"")</f>
        <v/>
      </c>
      <c r="C259" s="195">
        <f>IF(B259="","",2*PI()*B259)</f>
        <v/>
      </c>
      <c r="D259" s="195">
        <f>IF(B259="","",ATANH(MIN(0.999999,'入力・概要'!$E$20/'入力・概要'!$E$9))+'入力・概要'!$B$20*SQRT(B259/1E6)+E259*'入力・概要'!$B$15/2)</f>
        <v/>
      </c>
      <c r="E259" s="195">
        <f>IF(B259="","",C259*('入力・概要'!$E$11*1E-9))</f>
        <v/>
      </c>
      <c r="F259" s="195">
        <f>IF(B259="","",SINH(2*D259)/(COSH(2*D259)+COS(2*E259)))</f>
        <v/>
      </c>
      <c r="G259" s="195">
        <f>IF(B259="","",SIN(2*E259)/(COSH(2*D259)+COS(2*E259)))</f>
        <v/>
      </c>
      <c r="H259" s="195">
        <f>IF(B259="","",ATANH(MIN(0.999999,'入力・概要'!$E$21/'入力・概要'!$E$15))+'入力・概要'!$B$21*SQRT(B259/1E6)+I259*'入力・概要'!$B$16/2)</f>
        <v/>
      </c>
      <c r="I259" s="195">
        <f>IF(B259="","",C259*('入力・概要'!$E$17*1E-9))</f>
        <v/>
      </c>
      <c r="J259" s="195">
        <f>IF(B259="","",SINH(2*H259)/(COSH(2*H259)+COS(2*I259)))</f>
        <v/>
      </c>
      <c r="K259" s="195">
        <f>IF(B259="","",SIN(2*I259)/(COSH(2*H259)+COS(2*I259)))</f>
        <v/>
      </c>
      <c r="L259" s="195">
        <f>IF(B259="","",'入力・概要'!$B$25)</f>
        <v/>
      </c>
      <c r="M259" s="195">
        <f>IF(B259="","",C259*'入力・概要'!$B$26*1E-9-1/(C259*'入力・概要'!$B$24*1E-6))</f>
        <v/>
      </c>
      <c r="N259" s="195">
        <f>IF(B259="","",'入力・概要'!$B$28)</f>
        <v/>
      </c>
      <c r="O259" s="195">
        <f>IF(B259="","",C259*'入力・概要'!$B$29*1E-9-1/(C259*'入力・概要'!$B$27*1E-6))</f>
        <v/>
      </c>
      <c r="P259" s="195">
        <f>IF(B259="","",((L259*N259-M259*O259)*(L259+N259)+(L259*O259+M259*N259)*(M259+O259))/((L259+N259)^2+(M259+O259)^2))</f>
        <v/>
      </c>
      <c r="Q259" s="195">
        <f>IF(B259="","",((L259*O259+M259*N259)*(L259+N259)-(L259*N259-M259*O259)*(M259+O259))/((L259+N259)^2+(M259+O259)^2))</f>
        <v/>
      </c>
      <c r="R259" s="195">
        <f>IF(B259="","",'入力・概要'!$E$15*J259)</f>
        <v/>
      </c>
      <c r="S259" s="195">
        <f>IF(B259="","",'入力・概要'!$E$15*K259)</f>
        <v/>
      </c>
      <c r="T259" s="195">
        <f>IF(B259="","",P259+R259)</f>
        <v/>
      </c>
      <c r="U259" s="195">
        <f>IF(B259="","",Q259+S259)</f>
        <v/>
      </c>
      <c r="V259" s="195">
        <f>IF(B259="","",T259+'入力・概要'!$E$9*F259)</f>
        <v/>
      </c>
      <c r="W259" s="195">
        <f>IF(B259="","",U259+'入力・概要'!$E$9*G259)</f>
        <v/>
      </c>
      <c r="X259" s="195">
        <f>IF(B259="","",'入力・概要'!$E$9+T259*F259-U259*G259)</f>
        <v/>
      </c>
      <c r="Y259" s="195">
        <f>IF(B259="","",T259*G259+U259*F259)</f>
        <v/>
      </c>
      <c r="Z259" s="195">
        <f>IF(B259="","",'入力・概要'!$E$9*(V259*X259+W259*Y259)/(X259^2+Y259^2)+'入力・概要'!$B$36)</f>
        <v/>
      </c>
      <c r="AA259" s="195">
        <f>IF(B259="","",'入力・概要'!$E$9*(W259*X259-V259*Y259)/(X259^2+Y259^2)+C259*'入力・概要'!$B$37*1E-9)</f>
        <v/>
      </c>
      <c r="AB259" s="195">
        <f>IF(B259="","",SQRT(Z259^2+AA259^2))</f>
        <v/>
      </c>
      <c r="AC259" s="195">
        <f>IF(B259="","",IF(Z259&gt;0,DEGREES(ATAN(AA259/Z259)),IF(Z259&lt;0,IF(AA259&gt;=0,DEGREES(ATAN(AA259/Z259))+180,DEGREES(ATAN(AA259/Z259))-180),IF(AA259&gt;0,90,IF(AA259&lt;0,-90,0)))))</f>
        <v/>
      </c>
      <c r="AD259" s="195">
        <f>IF(B259="","",LOG10(B259))</f>
        <v/>
      </c>
      <c r="AE259" s="195">
        <f>IF(AB259="","",LOG10(MAX(AB259,1E-12)))</f>
        <v/>
      </c>
      <c r="AF259" s="195">
        <f>IF(B259="","",SQRT(P259^2+Q259^2))</f>
        <v/>
      </c>
      <c r="AG259" s="195">
        <f>IF(B259="","",SQRT(R259^2+S259^2))</f>
        <v/>
      </c>
    </row>
    <row r="260">
      <c r="A260" t="n">
        <v>257</v>
      </c>
      <c r="B260" s="196">
        <f>IF(A260&lt;='入力・概要'!$B$40,10^(LOG10('入力・概要'!$B$38)+(A260-1)*(LOG10('入力・概要'!$B$39)-LOG10('入力・概要'!$B$38))/('入力・概要'!$B$40-1)),"")</f>
        <v/>
      </c>
      <c r="C260" s="195">
        <f>IF(B260="","",2*PI()*B260)</f>
        <v/>
      </c>
      <c r="D260" s="195">
        <f>IF(B260="","",ATANH(MIN(0.999999,'入力・概要'!$E$20/'入力・概要'!$E$9))+'入力・概要'!$B$20*SQRT(B260/1E6)+E260*'入力・概要'!$B$15/2)</f>
        <v/>
      </c>
      <c r="E260" s="195">
        <f>IF(B260="","",C260*('入力・概要'!$E$11*1E-9))</f>
        <v/>
      </c>
      <c r="F260" s="195">
        <f>IF(B260="","",SINH(2*D260)/(COSH(2*D260)+COS(2*E260)))</f>
        <v/>
      </c>
      <c r="G260" s="195">
        <f>IF(B260="","",SIN(2*E260)/(COSH(2*D260)+COS(2*E260)))</f>
        <v/>
      </c>
      <c r="H260" s="195">
        <f>IF(B260="","",ATANH(MIN(0.999999,'入力・概要'!$E$21/'入力・概要'!$E$15))+'入力・概要'!$B$21*SQRT(B260/1E6)+I260*'入力・概要'!$B$16/2)</f>
        <v/>
      </c>
      <c r="I260" s="195">
        <f>IF(B260="","",C260*('入力・概要'!$E$17*1E-9))</f>
        <v/>
      </c>
      <c r="J260" s="195">
        <f>IF(B260="","",SINH(2*H260)/(COSH(2*H260)+COS(2*I260)))</f>
        <v/>
      </c>
      <c r="K260" s="195">
        <f>IF(B260="","",SIN(2*I260)/(COSH(2*H260)+COS(2*I260)))</f>
        <v/>
      </c>
      <c r="L260" s="195">
        <f>IF(B260="","",'入力・概要'!$B$25)</f>
        <v/>
      </c>
      <c r="M260" s="195">
        <f>IF(B260="","",C260*'入力・概要'!$B$26*1E-9-1/(C260*'入力・概要'!$B$24*1E-6))</f>
        <v/>
      </c>
      <c r="N260" s="195">
        <f>IF(B260="","",'入力・概要'!$B$28)</f>
        <v/>
      </c>
      <c r="O260" s="195">
        <f>IF(B260="","",C260*'入力・概要'!$B$29*1E-9-1/(C260*'入力・概要'!$B$27*1E-6))</f>
        <v/>
      </c>
      <c r="P260" s="195">
        <f>IF(B260="","",((L260*N260-M260*O260)*(L260+N260)+(L260*O260+M260*N260)*(M260+O260))/((L260+N260)^2+(M260+O260)^2))</f>
        <v/>
      </c>
      <c r="Q260" s="195">
        <f>IF(B260="","",((L260*O260+M260*N260)*(L260+N260)-(L260*N260-M260*O260)*(M260+O260))/((L260+N260)^2+(M260+O260)^2))</f>
        <v/>
      </c>
      <c r="R260" s="195">
        <f>IF(B260="","",'入力・概要'!$E$15*J260)</f>
        <v/>
      </c>
      <c r="S260" s="195">
        <f>IF(B260="","",'入力・概要'!$E$15*K260)</f>
        <v/>
      </c>
      <c r="T260" s="195">
        <f>IF(B260="","",P260+R260)</f>
        <v/>
      </c>
      <c r="U260" s="195">
        <f>IF(B260="","",Q260+S260)</f>
        <v/>
      </c>
      <c r="V260" s="195">
        <f>IF(B260="","",T260+'入力・概要'!$E$9*F260)</f>
        <v/>
      </c>
      <c r="W260" s="195">
        <f>IF(B260="","",U260+'入力・概要'!$E$9*G260)</f>
        <v/>
      </c>
      <c r="X260" s="195">
        <f>IF(B260="","",'入力・概要'!$E$9+T260*F260-U260*G260)</f>
        <v/>
      </c>
      <c r="Y260" s="195">
        <f>IF(B260="","",T260*G260+U260*F260)</f>
        <v/>
      </c>
      <c r="Z260" s="195">
        <f>IF(B260="","",'入力・概要'!$E$9*(V260*X260+W260*Y260)/(X260^2+Y260^2)+'入力・概要'!$B$36)</f>
        <v/>
      </c>
      <c r="AA260" s="195">
        <f>IF(B260="","",'入力・概要'!$E$9*(W260*X260-V260*Y260)/(X260^2+Y260^2)+C260*'入力・概要'!$B$37*1E-9)</f>
        <v/>
      </c>
      <c r="AB260" s="195">
        <f>IF(B260="","",SQRT(Z260^2+AA260^2))</f>
        <v/>
      </c>
      <c r="AC260" s="195">
        <f>IF(B260="","",IF(Z260&gt;0,DEGREES(ATAN(AA260/Z260)),IF(Z260&lt;0,IF(AA260&gt;=0,DEGREES(ATAN(AA260/Z260))+180,DEGREES(ATAN(AA260/Z260))-180),IF(AA260&gt;0,90,IF(AA260&lt;0,-90,0)))))</f>
        <v/>
      </c>
      <c r="AD260" s="195">
        <f>IF(B260="","",LOG10(B260))</f>
        <v/>
      </c>
      <c r="AE260" s="195">
        <f>IF(AB260="","",LOG10(MAX(AB260,1E-12)))</f>
        <v/>
      </c>
      <c r="AF260" s="195">
        <f>IF(B260="","",SQRT(P260^2+Q260^2))</f>
        <v/>
      </c>
      <c r="AG260" s="195">
        <f>IF(B260="","",SQRT(R260^2+S260^2))</f>
        <v/>
      </c>
    </row>
    <row r="261">
      <c r="A261" t="n">
        <v>258</v>
      </c>
      <c r="B261" s="196">
        <f>IF(A261&lt;='入力・概要'!$B$40,10^(LOG10('入力・概要'!$B$38)+(A261-1)*(LOG10('入力・概要'!$B$39)-LOG10('入力・概要'!$B$38))/('入力・概要'!$B$40-1)),"")</f>
        <v/>
      </c>
      <c r="C261" s="195">
        <f>IF(B261="","",2*PI()*B261)</f>
        <v/>
      </c>
      <c r="D261" s="195">
        <f>IF(B261="","",ATANH(MIN(0.999999,'入力・概要'!$E$20/'入力・概要'!$E$9))+'入力・概要'!$B$20*SQRT(B261/1E6)+E261*'入力・概要'!$B$15/2)</f>
        <v/>
      </c>
      <c r="E261" s="195">
        <f>IF(B261="","",C261*('入力・概要'!$E$11*1E-9))</f>
        <v/>
      </c>
      <c r="F261" s="195">
        <f>IF(B261="","",SINH(2*D261)/(COSH(2*D261)+COS(2*E261)))</f>
        <v/>
      </c>
      <c r="G261" s="195">
        <f>IF(B261="","",SIN(2*E261)/(COSH(2*D261)+COS(2*E261)))</f>
        <v/>
      </c>
      <c r="H261" s="195">
        <f>IF(B261="","",ATANH(MIN(0.999999,'入力・概要'!$E$21/'入力・概要'!$E$15))+'入力・概要'!$B$21*SQRT(B261/1E6)+I261*'入力・概要'!$B$16/2)</f>
        <v/>
      </c>
      <c r="I261" s="195">
        <f>IF(B261="","",C261*('入力・概要'!$E$17*1E-9))</f>
        <v/>
      </c>
      <c r="J261" s="195">
        <f>IF(B261="","",SINH(2*H261)/(COSH(2*H261)+COS(2*I261)))</f>
        <v/>
      </c>
      <c r="K261" s="195">
        <f>IF(B261="","",SIN(2*I261)/(COSH(2*H261)+COS(2*I261)))</f>
        <v/>
      </c>
      <c r="L261" s="195">
        <f>IF(B261="","",'入力・概要'!$B$25)</f>
        <v/>
      </c>
      <c r="M261" s="195">
        <f>IF(B261="","",C261*'入力・概要'!$B$26*1E-9-1/(C261*'入力・概要'!$B$24*1E-6))</f>
        <v/>
      </c>
      <c r="N261" s="195">
        <f>IF(B261="","",'入力・概要'!$B$28)</f>
        <v/>
      </c>
      <c r="O261" s="195">
        <f>IF(B261="","",C261*'入力・概要'!$B$29*1E-9-1/(C261*'入力・概要'!$B$27*1E-6))</f>
        <v/>
      </c>
      <c r="P261" s="195">
        <f>IF(B261="","",((L261*N261-M261*O261)*(L261+N261)+(L261*O261+M261*N261)*(M261+O261))/((L261+N261)^2+(M261+O261)^2))</f>
        <v/>
      </c>
      <c r="Q261" s="195">
        <f>IF(B261="","",((L261*O261+M261*N261)*(L261+N261)-(L261*N261-M261*O261)*(M261+O261))/((L261+N261)^2+(M261+O261)^2))</f>
        <v/>
      </c>
      <c r="R261" s="195">
        <f>IF(B261="","",'入力・概要'!$E$15*J261)</f>
        <v/>
      </c>
      <c r="S261" s="195">
        <f>IF(B261="","",'入力・概要'!$E$15*K261)</f>
        <v/>
      </c>
      <c r="T261" s="195">
        <f>IF(B261="","",P261+R261)</f>
        <v/>
      </c>
      <c r="U261" s="195">
        <f>IF(B261="","",Q261+S261)</f>
        <v/>
      </c>
      <c r="V261" s="195">
        <f>IF(B261="","",T261+'入力・概要'!$E$9*F261)</f>
        <v/>
      </c>
      <c r="W261" s="195">
        <f>IF(B261="","",U261+'入力・概要'!$E$9*G261)</f>
        <v/>
      </c>
      <c r="X261" s="195">
        <f>IF(B261="","",'入力・概要'!$E$9+T261*F261-U261*G261)</f>
        <v/>
      </c>
      <c r="Y261" s="195">
        <f>IF(B261="","",T261*G261+U261*F261)</f>
        <v/>
      </c>
      <c r="Z261" s="195">
        <f>IF(B261="","",'入力・概要'!$E$9*(V261*X261+W261*Y261)/(X261^2+Y261^2)+'入力・概要'!$B$36)</f>
        <v/>
      </c>
      <c r="AA261" s="195">
        <f>IF(B261="","",'入力・概要'!$E$9*(W261*X261-V261*Y261)/(X261^2+Y261^2)+C261*'入力・概要'!$B$37*1E-9)</f>
        <v/>
      </c>
      <c r="AB261" s="195">
        <f>IF(B261="","",SQRT(Z261^2+AA261^2))</f>
        <v/>
      </c>
      <c r="AC261" s="195">
        <f>IF(B261="","",IF(Z261&gt;0,DEGREES(ATAN(AA261/Z261)),IF(Z261&lt;0,IF(AA261&gt;=0,DEGREES(ATAN(AA261/Z261))+180,DEGREES(ATAN(AA261/Z261))-180),IF(AA261&gt;0,90,IF(AA261&lt;0,-90,0)))))</f>
        <v/>
      </c>
      <c r="AD261" s="195">
        <f>IF(B261="","",LOG10(B261))</f>
        <v/>
      </c>
      <c r="AE261" s="195">
        <f>IF(AB261="","",LOG10(MAX(AB261,1E-12)))</f>
        <v/>
      </c>
      <c r="AF261" s="195">
        <f>IF(B261="","",SQRT(P261^2+Q261^2))</f>
        <v/>
      </c>
      <c r="AG261" s="195">
        <f>IF(B261="","",SQRT(R261^2+S261^2))</f>
        <v/>
      </c>
    </row>
    <row r="262">
      <c r="A262" t="n">
        <v>259</v>
      </c>
      <c r="B262" s="196">
        <f>IF(A262&lt;='入力・概要'!$B$40,10^(LOG10('入力・概要'!$B$38)+(A262-1)*(LOG10('入力・概要'!$B$39)-LOG10('入力・概要'!$B$38))/('入力・概要'!$B$40-1)),"")</f>
        <v/>
      </c>
      <c r="C262" s="195">
        <f>IF(B262="","",2*PI()*B262)</f>
        <v/>
      </c>
      <c r="D262" s="195">
        <f>IF(B262="","",ATANH(MIN(0.999999,'入力・概要'!$E$20/'入力・概要'!$E$9))+'入力・概要'!$B$20*SQRT(B262/1E6)+E262*'入力・概要'!$B$15/2)</f>
        <v/>
      </c>
      <c r="E262" s="195">
        <f>IF(B262="","",C262*('入力・概要'!$E$11*1E-9))</f>
        <v/>
      </c>
      <c r="F262" s="195">
        <f>IF(B262="","",SINH(2*D262)/(COSH(2*D262)+COS(2*E262)))</f>
        <v/>
      </c>
      <c r="G262" s="195">
        <f>IF(B262="","",SIN(2*E262)/(COSH(2*D262)+COS(2*E262)))</f>
        <v/>
      </c>
      <c r="H262" s="195">
        <f>IF(B262="","",ATANH(MIN(0.999999,'入力・概要'!$E$21/'入力・概要'!$E$15))+'入力・概要'!$B$21*SQRT(B262/1E6)+I262*'入力・概要'!$B$16/2)</f>
        <v/>
      </c>
      <c r="I262" s="195">
        <f>IF(B262="","",C262*('入力・概要'!$E$17*1E-9))</f>
        <v/>
      </c>
      <c r="J262" s="195">
        <f>IF(B262="","",SINH(2*H262)/(COSH(2*H262)+COS(2*I262)))</f>
        <v/>
      </c>
      <c r="K262" s="195">
        <f>IF(B262="","",SIN(2*I262)/(COSH(2*H262)+COS(2*I262)))</f>
        <v/>
      </c>
      <c r="L262" s="195">
        <f>IF(B262="","",'入力・概要'!$B$25)</f>
        <v/>
      </c>
      <c r="M262" s="195">
        <f>IF(B262="","",C262*'入力・概要'!$B$26*1E-9-1/(C262*'入力・概要'!$B$24*1E-6))</f>
        <v/>
      </c>
      <c r="N262" s="195">
        <f>IF(B262="","",'入力・概要'!$B$28)</f>
        <v/>
      </c>
      <c r="O262" s="195">
        <f>IF(B262="","",C262*'入力・概要'!$B$29*1E-9-1/(C262*'入力・概要'!$B$27*1E-6))</f>
        <v/>
      </c>
      <c r="P262" s="195">
        <f>IF(B262="","",((L262*N262-M262*O262)*(L262+N262)+(L262*O262+M262*N262)*(M262+O262))/((L262+N262)^2+(M262+O262)^2))</f>
        <v/>
      </c>
      <c r="Q262" s="195">
        <f>IF(B262="","",((L262*O262+M262*N262)*(L262+N262)-(L262*N262-M262*O262)*(M262+O262))/((L262+N262)^2+(M262+O262)^2))</f>
        <v/>
      </c>
      <c r="R262" s="195">
        <f>IF(B262="","",'入力・概要'!$E$15*J262)</f>
        <v/>
      </c>
      <c r="S262" s="195">
        <f>IF(B262="","",'入力・概要'!$E$15*K262)</f>
        <v/>
      </c>
      <c r="T262" s="195">
        <f>IF(B262="","",P262+R262)</f>
        <v/>
      </c>
      <c r="U262" s="195">
        <f>IF(B262="","",Q262+S262)</f>
        <v/>
      </c>
      <c r="V262" s="195">
        <f>IF(B262="","",T262+'入力・概要'!$E$9*F262)</f>
        <v/>
      </c>
      <c r="W262" s="195">
        <f>IF(B262="","",U262+'入力・概要'!$E$9*G262)</f>
        <v/>
      </c>
      <c r="X262" s="195">
        <f>IF(B262="","",'入力・概要'!$E$9+T262*F262-U262*G262)</f>
        <v/>
      </c>
      <c r="Y262" s="195">
        <f>IF(B262="","",T262*G262+U262*F262)</f>
        <v/>
      </c>
      <c r="Z262" s="195">
        <f>IF(B262="","",'入力・概要'!$E$9*(V262*X262+W262*Y262)/(X262^2+Y262^2)+'入力・概要'!$B$36)</f>
        <v/>
      </c>
      <c r="AA262" s="195">
        <f>IF(B262="","",'入力・概要'!$E$9*(W262*X262-V262*Y262)/(X262^2+Y262^2)+C262*'入力・概要'!$B$37*1E-9)</f>
        <v/>
      </c>
      <c r="AB262" s="195">
        <f>IF(B262="","",SQRT(Z262^2+AA262^2))</f>
        <v/>
      </c>
      <c r="AC262" s="195">
        <f>IF(B262="","",IF(Z262&gt;0,DEGREES(ATAN(AA262/Z262)),IF(Z262&lt;0,IF(AA262&gt;=0,DEGREES(ATAN(AA262/Z262))+180,DEGREES(ATAN(AA262/Z262))-180),IF(AA262&gt;0,90,IF(AA262&lt;0,-90,0)))))</f>
        <v/>
      </c>
      <c r="AD262" s="195">
        <f>IF(B262="","",LOG10(B262))</f>
        <v/>
      </c>
      <c r="AE262" s="195">
        <f>IF(AB262="","",LOG10(MAX(AB262,1E-12)))</f>
        <v/>
      </c>
      <c r="AF262" s="195">
        <f>IF(B262="","",SQRT(P262^2+Q262^2))</f>
        <v/>
      </c>
      <c r="AG262" s="195">
        <f>IF(B262="","",SQRT(R262^2+S262^2))</f>
        <v/>
      </c>
    </row>
    <row r="263">
      <c r="A263" t="n">
        <v>260</v>
      </c>
      <c r="B263" s="196">
        <f>IF(A263&lt;='入力・概要'!$B$40,10^(LOG10('入力・概要'!$B$38)+(A263-1)*(LOG10('入力・概要'!$B$39)-LOG10('入力・概要'!$B$38))/('入力・概要'!$B$40-1)),"")</f>
        <v/>
      </c>
      <c r="C263" s="195">
        <f>IF(B263="","",2*PI()*B263)</f>
        <v/>
      </c>
      <c r="D263" s="195">
        <f>IF(B263="","",ATANH(MIN(0.999999,'入力・概要'!$E$20/'入力・概要'!$E$9))+'入力・概要'!$B$20*SQRT(B263/1E6)+E263*'入力・概要'!$B$15/2)</f>
        <v/>
      </c>
      <c r="E263" s="195">
        <f>IF(B263="","",C263*('入力・概要'!$E$11*1E-9))</f>
        <v/>
      </c>
      <c r="F263" s="195">
        <f>IF(B263="","",SINH(2*D263)/(COSH(2*D263)+COS(2*E263)))</f>
        <v/>
      </c>
      <c r="G263" s="195">
        <f>IF(B263="","",SIN(2*E263)/(COSH(2*D263)+COS(2*E263)))</f>
        <v/>
      </c>
      <c r="H263" s="195">
        <f>IF(B263="","",ATANH(MIN(0.999999,'入力・概要'!$E$21/'入力・概要'!$E$15))+'入力・概要'!$B$21*SQRT(B263/1E6)+I263*'入力・概要'!$B$16/2)</f>
        <v/>
      </c>
      <c r="I263" s="195">
        <f>IF(B263="","",C263*('入力・概要'!$E$17*1E-9))</f>
        <v/>
      </c>
      <c r="J263" s="195">
        <f>IF(B263="","",SINH(2*H263)/(COSH(2*H263)+COS(2*I263)))</f>
        <v/>
      </c>
      <c r="K263" s="195">
        <f>IF(B263="","",SIN(2*I263)/(COSH(2*H263)+COS(2*I263)))</f>
        <v/>
      </c>
      <c r="L263" s="195">
        <f>IF(B263="","",'入力・概要'!$B$25)</f>
        <v/>
      </c>
      <c r="M263" s="195">
        <f>IF(B263="","",C263*'入力・概要'!$B$26*1E-9-1/(C263*'入力・概要'!$B$24*1E-6))</f>
        <v/>
      </c>
      <c r="N263" s="195">
        <f>IF(B263="","",'入力・概要'!$B$28)</f>
        <v/>
      </c>
      <c r="O263" s="195">
        <f>IF(B263="","",C263*'入力・概要'!$B$29*1E-9-1/(C263*'入力・概要'!$B$27*1E-6))</f>
        <v/>
      </c>
      <c r="P263" s="195">
        <f>IF(B263="","",((L263*N263-M263*O263)*(L263+N263)+(L263*O263+M263*N263)*(M263+O263))/((L263+N263)^2+(M263+O263)^2))</f>
        <v/>
      </c>
      <c r="Q263" s="195">
        <f>IF(B263="","",((L263*O263+M263*N263)*(L263+N263)-(L263*N263-M263*O263)*(M263+O263))/((L263+N263)^2+(M263+O263)^2))</f>
        <v/>
      </c>
      <c r="R263" s="195">
        <f>IF(B263="","",'入力・概要'!$E$15*J263)</f>
        <v/>
      </c>
      <c r="S263" s="195">
        <f>IF(B263="","",'入力・概要'!$E$15*K263)</f>
        <v/>
      </c>
      <c r="T263" s="195">
        <f>IF(B263="","",P263+R263)</f>
        <v/>
      </c>
      <c r="U263" s="195">
        <f>IF(B263="","",Q263+S263)</f>
        <v/>
      </c>
      <c r="V263" s="195">
        <f>IF(B263="","",T263+'入力・概要'!$E$9*F263)</f>
        <v/>
      </c>
      <c r="W263" s="195">
        <f>IF(B263="","",U263+'入力・概要'!$E$9*G263)</f>
        <v/>
      </c>
      <c r="X263" s="195">
        <f>IF(B263="","",'入力・概要'!$E$9+T263*F263-U263*G263)</f>
        <v/>
      </c>
      <c r="Y263" s="195">
        <f>IF(B263="","",T263*G263+U263*F263)</f>
        <v/>
      </c>
      <c r="Z263" s="195">
        <f>IF(B263="","",'入力・概要'!$E$9*(V263*X263+W263*Y263)/(X263^2+Y263^2)+'入力・概要'!$B$36)</f>
        <v/>
      </c>
      <c r="AA263" s="195">
        <f>IF(B263="","",'入力・概要'!$E$9*(W263*X263-V263*Y263)/(X263^2+Y263^2)+C263*'入力・概要'!$B$37*1E-9)</f>
        <v/>
      </c>
      <c r="AB263" s="195">
        <f>IF(B263="","",SQRT(Z263^2+AA263^2))</f>
        <v/>
      </c>
      <c r="AC263" s="195">
        <f>IF(B263="","",IF(Z263&gt;0,DEGREES(ATAN(AA263/Z263)),IF(Z263&lt;0,IF(AA263&gt;=0,DEGREES(ATAN(AA263/Z263))+180,DEGREES(ATAN(AA263/Z263))-180),IF(AA263&gt;0,90,IF(AA263&lt;0,-90,0)))))</f>
        <v/>
      </c>
      <c r="AD263" s="195">
        <f>IF(B263="","",LOG10(B263))</f>
        <v/>
      </c>
      <c r="AE263" s="195">
        <f>IF(AB263="","",LOG10(MAX(AB263,1E-12)))</f>
        <v/>
      </c>
      <c r="AF263" s="195">
        <f>IF(B263="","",SQRT(P263^2+Q263^2))</f>
        <v/>
      </c>
      <c r="AG263" s="195">
        <f>IF(B263="","",SQRT(R263^2+S263^2))</f>
        <v/>
      </c>
    </row>
    <row r="264">
      <c r="A264" t="n">
        <v>261</v>
      </c>
      <c r="B264" s="196">
        <f>IF(A264&lt;='入力・概要'!$B$40,10^(LOG10('入力・概要'!$B$38)+(A264-1)*(LOG10('入力・概要'!$B$39)-LOG10('入力・概要'!$B$38))/('入力・概要'!$B$40-1)),"")</f>
        <v/>
      </c>
      <c r="C264" s="195">
        <f>IF(B264="","",2*PI()*B264)</f>
        <v/>
      </c>
      <c r="D264" s="195">
        <f>IF(B264="","",ATANH(MIN(0.999999,'入力・概要'!$E$20/'入力・概要'!$E$9))+'入力・概要'!$B$20*SQRT(B264/1E6)+E264*'入力・概要'!$B$15/2)</f>
        <v/>
      </c>
      <c r="E264" s="195">
        <f>IF(B264="","",C264*('入力・概要'!$E$11*1E-9))</f>
        <v/>
      </c>
      <c r="F264" s="195">
        <f>IF(B264="","",SINH(2*D264)/(COSH(2*D264)+COS(2*E264)))</f>
        <v/>
      </c>
      <c r="G264" s="195">
        <f>IF(B264="","",SIN(2*E264)/(COSH(2*D264)+COS(2*E264)))</f>
        <v/>
      </c>
      <c r="H264" s="195">
        <f>IF(B264="","",ATANH(MIN(0.999999,'入力・概要'!$E$21/'入力・概要'!$E$15))+'入力・概要'!$B$21*SQRT(B264/1E6)+I264*'入力・概要'!$B$16/2)</f>
        <v/>
      </c>
      <c r="I264" s="195">
        <f>IF(B264="","",C264*('入力・概要'!$E$17*1E-9))</f>
        <v/>
      </c>
      <c r="J264" s="195">
        <f>IF(B264="","",SINH(2*H264)/(COSH(2*H264)+COS(2*I264)))</f>
        <v/>
      </c>
      <c r="K264" s="195">
        <f>IF(B264="","",SIN(2*I264)/(COSH(2*H264)+COS(2*I264)))</f>
        <v/>
      </c>
      <c r="L264" s="195">
        <f>IF(B264="","",'入力・概要'!$B$25)</f>
        <v/>
      </c>
      <c r="M264" s="195">
        <f>IF(B264="","",C264*'入力・概要'!$B$26*1E-9-1/(C264*'入力・概要'!$B$24*1E-6))</f>
        <v/>
      </c>
      <c r="N264" s="195">
        <f>IF(B264="","",'入力・概要'!$B$28)</f>
        <v/>
      </c>
      <c r="O264" s="195">
        <f>IF(B264="","",C264*'入力・概要'!$B$29*1E-9-1/(C264*'入力・概要'!$B$27*1E-6))</f>
        <v/>
      </c>
      <c r="P264" s="195">
        <f>IF(B264="","",((L264*N264-M264*O264)*(L264+N264)+(L264*O264+M264*N264)*(M264+O264))/((L264+N264)^2+(M264+O264)^2))</f>
        <v/>
      </c>
      <c r="Q264" s="195">
        <f>IF(B264="","",((L264*O264+M264*N264)*(L264+N264)-(L264*N264-M264*O264)*(M264+O264))/((L264+N264)^2+(M264+O264)^2))</f>
        <v/>
      </c>
      <c r="R264" s="195">
        <f>IF(B264="","",'入力・概要'!$E$15*J264)</f>
        <v/>
      </c>
      <c r="S264" s="195">
        <f>IF(B264="","",'入力・概要'!$E$15*K264)</f>
        <v/>
      </c>
      <c r="T264" s="195">
        <f>IF(B264="","",P264+R264)</f>
        <v/>
      </c>
      <c r="U264" s="195">
        <f>IF(B264="","",Q264+S264)</f>
        <v/>
      </c>
      <c r="V264" s="195">
        <f>IF(B264="","",T264+'入力・概要'!$E$9*F264)</f>
        <v/>
      </c>
      <c r="W264" s="195">
        <f>IF(B264="","",U264+'入力・概要'!$E$9*G264)</f>
        <v/>
      </c>
      <c r="X264" s="195">
        <f>IF(B264="","",'入力・概要'!$E$9+T264*F264-U264*G264)</f>
        <v/>
      </c>
      <c r="Y264" s="195">
        <f>IF(B264="","",T264*G264+U264*F264)</f>
        <v/>
      </c>
      <c r="Z264" s="195">
        <f>IF(B264="","",'入力・概要'!$E$9*(V264*X264+W264*Y264)/(X264^2+Y264^2)+'入力・概要'!$B$36)</f>
        <v/>
      </c>
      <c r="AA264" s="195">
        <f>IF(B264="","",'入力・概要'!$E$9*(W264*X264-V264*Y264)/(X264^2+Y264^2)+C264*'入力・概要'!$B$37*1E-9)</f>
        <v/>
      </c>
      <c r="AB264" s="195">
        <f>IF(B264="","",SQRT(Z264^2+AA264^2))</f>
        <v/>
      </c>
      <c r="AC264" s="195">
        <f>IF(B264="","",IF(Z264&gt;0,DEGREES(ATAN(AA264/Z264)),IF(Z264&lt;0,IF(AA264&gt;=0,DEGREES(ATAN(AA264/Z264))+180,DEGREES(ATAN(AA264/Z264))-180),IF(AA264&gt;0,90,IF(AA264&lt;0,-90,0)))))</f>
        <v/>
      </c>
      <c r="AD264" s="195">
        <f>IF(B264="","",LOG10(B264))</f>
        <v/>
      </c>
      <c r="AE264" s="195">
        <f>IF(AB264="","",LOG10(MAX(AB264,1E-12)))</f>
        <v/>
      </c>
      <c r="AF264" s="195">
        <f>IF(B264="","",SQRT(P264^2+Q264^2))</f>
        <v/>
      </c>
      <c r="AG264" s="195">
        <f>IF(B264="","",SQRT(R264^2+S264^2))</f>
        <v/>
      </c>
    </row>
    <row r="265">
      <c r="A265" t="n">
        <v>262</v>
      </c>
      <c r="B265" s="196">
        <f>IF(A265&lt;='入力・概要'!$B$40,10^(LOG10('入力・概要'!$B$38)+(A265-1)*(LOG10('入力・概要'!$B$39)-LOG10('入力・概要'!$B$38))/('入力・概要'!$B$40-1)),"")</f>
        <v/>
      </c>
      <c r="C265" s="195">
        <f>IF(B265="","",2*PI()*B265)</f>
        <v/>
      </c>
      <c r="D265" s="195">
        <f>IF(B265="","",ATANH(MIN(0.999999,'入力・概要'!$E$20/'入力・概要'!$E$9))+'入力・概要'!$B$20*SQRT(B265/1E6)+E265*'入力・概要'!$B$15/2)</f>
        <v/>
      </c>
      <c r="E265" s="195">
        <f>IF(B265="","",C265*('入力・概要'!$E$11*1E-9))</f>
        <v/>
      </c>
      <c r="F265" s="195">
        <f>IF(B265="","",SINH(2*D265)/(COSH(2*D265)+COS(2*E265)))</f>
        <v/>
      </c>
      <c r="G265" s="195">
        <f>IF(B265="","",SIN(2*E265)/(COSH(2*D265)+COS(2*E265)))</f>
        <v/>
      </c>
      <c r="H265" s="195">
        <f>IF(B265="","",ATANH(MIN(0.999999,'入力・概要'!$E$21/'入力・概要'!$E$15))+'入力・概要'!$B$21*SQRT(B265/1E6)+I265*'入力・概要'!$B$16/2)</f>
        <v/>
      </c>
      <c r="I265" s="195">
        <f>IF(B265="","",C265*('入力・概要'!$E$17*1E-9))</f>
        <v/>
      </c>
      <c r="J265" s="195">
        <f>IF(B265="","",SINH(2*H265)/(COSH(2*H265)+COS(2*I265)))</f>
        <v/>
      </c>
      <c r="K265" s="195">
        <f>IF(B265="","",SIN(2*I265)/(COSH(2*H265)+COS(2*I265)))</f>
        <v/>
      </c>
      <c r="L265" s="195">
        <f>IF(B265="","",'入力・概要'!$B$25)</f>
        <v/>
      </c>
      <c r="M265" s="195">
        <f>IF(B265="","",C265*'入力・概要'!$B$26*1E-9-1/(C265*'入力・概要'!$B$24*1E-6))</f>
        <v/>
      </c>
      <c r="N265" s="195">
        <f>IF(B265="","",'入力・概要'!$B$28)</f>
        <v/>
      </c>
      <c r="O265" s="195">
        <f>IF(B265="","",C265*'入力・概要'!$B$29*1E-9-1/(C265*'入力・概要'!$B$27*1E-6))</f>
        <v/>
      </c>
      <c r="P265" s="195">
        <f>IF(B265="","",((L265*N265-M265*O265)*(L265+N265)+(L265*O265+M265*N265)*(M265+O265))/((L265+N265)^2+(M265+O265)^2))</f>
        <v/>
      </c>
      <c r="Q265" s="195">
        <f>IF(B265="","",((L265*O265+M265*N265)*(L265+N265)-(L265*N265-M265*O265)*(M265+O265))/((L265+N265)^2+(M265+O265)^2))</f>
        <v/>
      </c>
      <c r="R265" s="195">
        <f>IF(B265="","",'入力・概要'!$E$15*J265)</f>
        <v/>
      </c>
      <c r="S265" s="195">
        <f>IF(B265="","",'入力・概要'!$E$15*K265)</f>
        <v/>
      </c>
      <c r="T265" s="195">
        <f>IF(B265="","",P265+R265)</f>
        <v/>
      </c>
      <c r="U265" s="195">
        <f>IF(B265="","",Q265+S265)</f>
        <v/>
      </c>
      <c r="V265" s="195">
        <f>IF(B265="","",T265+'入力・概要'!$E$9*F265)</f>
        <v/>
      </c>
      <c r="W265" s="195">
        <f>IF(B265="","",U265+'入力・概要'!$E$9*G265)</f>
        <v/>
      </c>
      <c r="X265" s="195">
        <f>IF(B265="","",'入力・概要'!$E$9+T265*F265-U265*G265)</f>
        <v/>
      </c>
      <c r="Y265" s="195">
        <f>IF(B265="","",T265*G265+U265*F265)</f>
        <v/>
      </c>
      <c r="Z265" s="195">
        <f>IF(B265="","",'入力・概要'!$E$9*(V265*X265+W265*Y265)/(X265^2+Y265^2)+'入力・概要'!$B$36)</f>
        <v/>
      </c>
      <c r="AA265" s="195">
        <f>IF(B265="","",'入力・概要'!$E$9*(W265*X265-V265*Y265)/(X265^2+Y265^2)+C265*'入力・概要'!$B$37*1E-9)</f>
        <v/>
      </c>
      <c r="AB265" s="195">
        <f>IF(B265="","",SQRT(Z265^2+AA265^2))</f>
        <v/>
      </c>
      <c r="AC265" s="195">
        <f>IF(B265="","",IF(Z265&gt;0,DEGREES(ATAN(AA265/Z265)),IF(Z265&lt;0,IF(AA265&gt;=0,DEGREES(ATAN(AA265/Z265))+180,DEGREES(ATAN(AA265/Z265))-180),IF(AA265&gt;0,90,IF(AA265&lt;0,-90,0)))))</f>
        <v/>
      </c>
      <c r="AD265" s="195">
        <f>IF(B265="","",LOG10(B265))</f>
        <v/>
      </c>
      <c r="AE265" s="195">
        <f>IF(AB265="","",LOG10(MAX(AB265,1E-12)))</f>
        <v/>
      </c>
      <c r="AF265" s="195">
        <f>IF(B265="","",SQRT(P265^2+Q265^2))</f>
        <v/>
      </c>
      <c r="AG265" s="195">
        <f>IF(B265="","",SQRT(R265^2+S265^2))</f>
        <v/>
      </c>
    </row>
    <row r="266">
      <c r="A266" t="n">
        <v>263</v>
      </c>
      <c r="B266" s="196">
        <f>IF(A266&lt;='入力・概要'!$B$40,10^(LOG10('入力・概要'!$B$38)+(A266-1)*(LOG10('入力・概要'!$B$39)-LOG10('入力・概要'!$B$38))/('入力・概要'!$B$40-1)),"")</f>
        <v/>
      </c>
      <c r="C266" s="195">
        <f>IF(B266="","",2*PI()*B266)</f>
        <v/>
      </c>
      <c r="D266" s="195">
        <f>IF(B266="","",ATANH(MIN(0.999999,'入力・概要'!$E$20/'入力・概要'!$E$9))+'入力・概要'!$B$20*SQRT(B266/1E6)+E266*'入力・概要'!$B$15/2)</f>
        <v/>
      </c>
      <c r="E266" s="195">
        <f>IF(B266="","",C266*('入力・概要'!$E$11*1E-9))</f>
        <v/>
      </c>
      <c r="F266" s="195">
        <f>IF(B266="","",SINH(2*D266)/(COSH(2*D266)+COS(2*E266)))</f>
        <v/>
      </c>
      <c r="G266" s="195">
        <f>IF(B266="","",SIN(2*E266)/(COSH(2*D266)+COS(2*E266)))</f>
        <v/>
      </c>
      <c r="H266" s="195">
        <f>IF(B266="","",ATANH(MIN(0.999999,'入力・概要'!$E$21/'入力・概要'!$E$15))+'入力・概要'!$B$21*SQRT(B266/1E6)+I266*'入力・概要'!$B$16/2)</f>
        <v/>
      </c>
      <c r="I266" s="195">
        <f>IF(B266="","",C266*('入力・概要'!$E$17*1E-9))</f>
        <v/>
      </c>
      <c r="J266" s="195">
        <f>IF(B266="","",SINH(2*H266)/(COSH(2*H266)+COS(2*I266)))</f>
        <v/>
      </c>
      <c r="K266" s="195">
        <f>IF(B266="","",SIN(2*I266)/(COSH(2*H266)+COS(2*I266)))</f>
        <v/>
      </c>
      <c r="L266" s="195">
        <f>IF(B266="","",'入力・概要'!$B$25)</f>
        <v/>
      </c>
      <c r="M266" s="195">
        <f>IF(B266="","",C266*'入力・概要'!$B$26*1E-9-1/(C266*'入力・概要'!$B$24*1E-6))</f>
        <v/>
      </c>
      <c r="N266" s="195">
        <f>IF(B266="","",'入力・概要'!$B$28)</f>
        <v/>
      </c>
      <c r="O266" s="195">
        <f>IF(B266="","",C266*'入力・概要'!$B$29*1E-9-1/(C266*'入力・概要'!$B$27*1E-6))</f>
        <v/>
      </c>
      <c r="P266" s="195">
        <f>IF(B266="","",((L266*N266-M266*O266)*(L266+N266)+(L266*O266+M266*N266)*(M266+O266))/((L266+N266)^2+(M266+O266)^2))</f>
        <v/>
      </c>
      <c r="Q266" s="195">
        <f>IF(B266="","",((L266*O266+M266*N266)*(L266+N266)-(L266*N266-M266*O266)*(M266+O266))/((L266+N266)^2+(M266+O266)^2))</f>
        <v/>
      </c>
      <c r="R266" s="195">
        <f>IF(B266="","",'入力・概要'!$E$15*J266)</f>
        <v/>
      </c>
      <c r="S266" s="195">
        <f>IF(B266="","",'入力・概要'!$E$15*K266)</f>
        <v/>
      </c>
      <c r="T266" s="195">
        <f>IF(B266="","",P266+R266)</f>
        <v/>
      </c>
      <c r="U266" s="195">
        <f>IF(B266="","",Q266+S266)</f>
        <v/>
      </c>
      <c r="V266" s="195">
        <f>IF(B266="","",T266+'入力・概要'!$E$9*F266)</f>
        <v/>
      </c>
      <c r="W266" s="195">
        <f>IF(B266="","",U266+'入力・概要'!$E$9*G266)</f>
        <v/>
      </c>
      <c r="X266" s="195">
        <f>IF(B266="","",'入力・概要'!$E$9+T266*F266-U266*G266)</f>
        <v/>
      </c>
      <c r="Y266" s="195">
        <f>IF(B266="","",T266*G266+U266*F266)</f>
        <v/>
      </c>
      <c r="Z266" s="195">
        <f>IF(B266="","",'入力・概要'!$E$9*(V266*X266+W266*Y266)/(X266^2+Y266^2)+'入力・概要'!$B$36)</f>
        <v/>
      </c>
      <c r="AA266" s="195">
        <f>IF(B266="","",'入力・概要'!$E$9*(W266*X266-V266*Y266)/(X266^2+Y266^2)+C266*'入力・概要'!$B$37*1E-9)</f>
        <v/>
      </c>
      <c r="AB266" s="195">
        <f>IF(B266="","",SQRT(Z266^2+AA266^2))</f>
        <v/>
      </c>
      <c r="AC266" s="195">
        <f>IF(B266="","",IF(Z266&gt;0,DEGREES(ATAN(AA266/Z266)),IF(Z266&lt;0,IF(AA266&gt;=0,DEGREES(ATAN(AA266/Z266))+180,DEGREES(ATAN(AA266/Z266))-180),IF(AA266&gt;0,90,IF(AA266&lt;0,-90,0)))))</f>
        <v/>
      </c>
      <c r="AD266" s="195">
        <f>IF(B266="","",LOG10(B266))</f>
        <v/>
      </c>
      <c r="AE266" s="195">
        <f>IF(AB266="","",LOG10(MAX(AB266,1E-12)))</f>
        <v/>
      </c>
      <c r="AF266" s="195">
        <f>IF(B266="","",SQRT(P266^2+Q266^2))</f>
        <v/>
      </c>
      <c r="AG266" s="195">
        <f>IF(B266="","",SQRT(R266^2+S266^2))</f>
        <v/>
      </c>
    </row>
    <row r="267">
      <c r="A267" t="n">
        <v>264</v>
      </c>
      <c r="B267" s="196">
        <f>IF(A267&lt;='入力・概要'!$B$40,10^(LOG10('入力・概要'!$B$38)+(A267-1)*(LOG10('入力・概要'!$B$39)-LOG10('入力・概要'!$B$38))/('入力・概要'!$B$40-1)),"")</f>
        <v/>
      </c>
      <c r="C267" s="195">
        <f>IF(B267="","",2*PI()*B267)</f>
        <v/>
      </c>
      <c r="D267" s="195">
        <f>IF(B267="","",ATANH(MIN(0.999999,'入力・概要'!$E$20/'入力・概要'!$E$9))+'入力・概要'!$B$20*SQRT(B267/1E6)+E267*'入力・概要'!$B$15/2)</f>
        <v/>
      </c>
      <c r="E267" s="195">
        <f>IF(B267="","",C267*('入力・概要'!$E$11*1E-9))</f>
        <v/>
      </c>
      <c r="F267" s="195">
        <f>IF(B267="","",SINH(2*D267)/(COSH(2*D267)+COS(2*E267)))</f>
        <v/>
      </c>
      <c r="G267" s="195">
        <f>IF(B267="","",SIN(2*E267)/(COSH(2*D267)+COS(2*E267)))</f>
        <v/>
      </c>
      <c r="H267" s="195">
        <f>IF(B267="","",ATANH(MIN(0.999999,'入力・概要'!$E$21/'入力・概要'!$E$15))+'入力・概要'!$B$21*SQRT(B267/1E6)+I267*'入力・概要'!$B$16/2)</f>
        <v/>
      </c>
      <c r="I267" s="195">
        <f>IF(B267="","",C267*('入力・概要'!$E$17*1E-9))</f>
        <v/>
      </c>
      <c r="J267" s="195">
        <f>IF(B267="","",SINH(2*H267)/(COSH(2*H267)+COS(2*I267)))</f>
        <v/>
      </c>
      <c r="K267" s="195">
        <f>IF(B267="","",SIN(2*I267)/(COSH(2*H267)+COS(2*I267)))</f>
        <v/>
      </c>
      <c r="L267" s="195">
        <f>IF(B267="","",'入力・概要'!$B$25)</f>
        <v/>
      </c>
      <c r="M267" s="195">
        <f>IF(B267="","",C267*'入力・概要'!$B$26*1E-9-1/(C267*'入力・概要'!$B$24*1E-6))</f>
        <v/>
      </c>
      <c r="N267" s="195">
        <f>IF(B267="","",'入力・概要'!$B$28)</f>
        <v/>
      </c>
      <c r="O267" s="195">
        <f>IF(B267="","",C267*'入力・概要'!$B$29*1E-9-1/(C267*'入力・概要'!$B$27*1E-6))</f>
        <v/>
      </c>
      <c r="P267" s="195">
        <f>IF(B267="","",((L267*N267-M267*O267)*(L267+N267)+(L267*O267+M267*N267)*(M267+O267))/((L267+N267)^2+(M267+O267)^2))</f>
        <v/>
      </c>
      <c r="Q267" s="195">
        <f>IF(B267="","",((L267*O267+M267*N267)*(L267+N267)-(L267*N267-M267*O267)*(M267+O267))/((L267+N267)^2+(M267+O267)^2))</f>
        <v/>
      </c>
      <c r="R267" s="195">
        <f>IF(B267="","",'入力・概要'!$E$15*J267)</f>
        <v/>
      </c>
      <c r="S267" s="195">
        <f>IF(B267="","",'入力・概要'!$E$15*K267)</f>
        <v/>
      </c>
      <c r="T267" s="195">
        <f>IF(B267="","",P267+R267)</f>
        <v/>
      </c>
      <c r="U267" s="195">
        <f>IF(B267="","",Q267+S267)</f>
        <v/>
      </c>
      <c r="V267" s="195">
        <f>IF(B267="","",T267+'入力・概要'!$E$9*F267)</f>
        <v/>
      </c>
      <c r="W267" s="195">
        <f>IF(B267="","",U267+'入力・概要'!$E$9*G267)</f>
        <v/>
      </c>
      <c r="X267" s="195">
        <f>IF(B267="","",'入力・概要'!$E$9+T267*F267-U267*G267)</f>
        <v/>
      </c>
      <c r="Y267" s="195">
        <f>IF(B267="","",T267*G267+U267*F267)</f>
        <v/>
      </c>
      <c r="Z267" s="195">
        <f>IF(B267="","",'入力・概要'!$E$9*(V267*X267+W267*Y267)/(X267^2+Y267^2)+'入力・概要'!$B$36)</f>
        <v/>
      </c>
      <c r="AA267" s="195">
        <f>IF(B267="","",'入力・概要'!$E$9*(W267*X267-V267*Y267)/(X267^2+Y267^2)+C267*'入力・概要'!$B$37*1E-9)</f>
        <v/>
      </c>
      <c r="AB267" s="195">
        <f>IF(B267="","",SQRT(Z267^2+AA267^2))</f>
        <v/>
      </c>
      <c r="AC267" s="195">
        <f>IF(B267="","",IF(Z267&gt;0,DEGREES(ATAN(AA267/Z267)),IF(Z267&lt;0,IF(AA267&gt;=0,DEGREES(ATAN(AA267/Z267))+180,DEGREES(ATAN(AA267/Z267))-180),IF(AA267&gt;0,90,IF(AA267&lt;0,-90,0)))))</f>
        <v/>
      </c>
      <c r="AD267" s="195">
        <f>IF(B267="","",LOG10(B267))</f>
        <v/>
      </c>
      <c r="AE267" s="195">
        <f>IF(AB267="","",LOG10(MAX(AB267,1E-12)))</f>
        <v/>
      </c>
      <c r="AF267" s="195">
        <f>IF(B267="","",SQRT(P267^2+Q267^2))</f>
        <v/>
      </c>
      <c r="AG267" s="195">
        <f>IF(B267="","",SQRT(R267^2+S267^2))</f>
        <v/>
      </c>
    </row>
    <row r="268">
      <c r="A268" t="n">
        <v>265</v>
      </c>
      <c r="B268" s="196">
        <f>IF(A268&lt;='入力・概要'!$B$40,10^(LOG10('入力・概要'!$B$38)+(A268-1)*(LOG10('入力・概要'!$B$39)-LOG10('入力・概要'!$B$38))/('入力・概要'!$B$40-1)),"")</f>
        <v/>
      </c>
      <c r="C268" s="195">
        <f>IF(B268="","",2*PI()*B268)</f>
        <v/>
      </c>
      <c r="D268" s="195">
        <f>IF(B268="","",ATANH(MIN(0.999999,'入力・概要'!$E$20/'入力・概要'!$E$9))+'入力・概要'!$B$20*SQRT(B268/1E6)+E268*'入力・概要'!$B$15/2)</f>
        <v/>
      </c>
      <c r="E268" s="195">
        <f>IF(B268="","",C268*('入力・概要'!$E$11*1E-9))</f>
        <v/>
      </c>
      <c r="F268" s="195">
        <f>IF(B268="","",SINH(2*D268)/(COSH(2*D268)+COS(2*E268)))</f>
        <v/>
      </c>
      <c r="G268" s="195">
        <f>IF(B268="","",SIN(2*E268)/(COSH(2*D268)+COS(2*E268)))</f>
        <v/>
      </c>
      <c r="H268" s="195">
        <f>IF(B268="","",ATANH(MIN(0.999999,'入力・概要'!$E$21/'入力・概要'!$E$15))+'入力・概要'!$B$21*SQRT(B268/1E6)+I268*'入力・概要'!$B$16/2)</f>
        <v/>
      </c>
      <c r="I268" s="195">
        <f>IF(B268="","",C268*('入力・概要'!$E$17*1E-9))</f>
        <v/>
      </c>
      <c r="J268" s="195">
        <f>IF(B268="","",SINH(2*H268)/(COSH(2*H268)+COS(2*I268)))</f>
        <v/>
      </c>
      <c r="K268" s="195">
        <f>IF(B268="","",SIN(2*I268)/(COSH(2*H268)+COS(2*I268)))</f>
        <v/>
      </c>
      <c r="L268" s="195">
        <f>IF(B268="","",'入力・概要'!$B$25)</f>
        <v/>
      </c>
      <c r="M268" s="195">
        <f>IF(B268="","",C268*'入力・概要'!$B$26*1E-9-1/(C268*'入力・概要'!$B$24*1E-6))</f>
        <v/>
      </c>
      <c r="N268" s="195">
        <f>IF(B268="","",'入力・概要'!$B$28)</f>
        <v/>
      </c>
      <c r="O268" s="195">
        <f>IF(B268="","",C268*'入力・概要'!$B$29*1E-9-1/(C268*'入力・概要'!$B$27*1E-6))</f>
        <v/>
      </c>
      <c r="P268" s="195">
        <f>IF(B268="","",((L268*N268-M268*O268)*(L268+N268)+(L268*O268+M268*N268)*(M268+O268))/((L268+N268)^2+(M268+O268)^2))</f>
        <v/>
      </c>
      <c r="Q268" s="195">
        <f>IF(B268="","",((L268*O268+M268*N268)*(L268+N268)-(L268*N268-M268*O268)*(M268+O268))/((L268+N268)^2+(M268+O268)^2))</f>
        <v/>
      </c>
      <c r="R268" s="195">
        <f>IF(B268="","",'入力・概要'!$E$15*J268)</f>
        <v/>
      </c>
      <c r="S268" s="195">
        <f>IF(B268="","",'入力・概要'!$E$15*K268)</f>
        <v/>
      </c>
      <c r="T268" s="195">
        <f>IF(B268="","",P268+R268)</f>
        <v/>
      </c>
      <c r="U268" s="195">
        <f>IF(B268="","",Q268+S268)</f>
        <v/>
      </c>
      <c r="V268" s="195">
        <f>IF(B268="","",T268+'入力・概要'!$E$9*F268)</f>
        <v/>
      </c>
      <c r="W268" s="195">
        <f>IF(B268="","",U268+'入力・概要'!$E$9*G268)</f>
        <v/>
      </c>
      <c r="X268" s="195">
        <f>IF(B268="","",'入力・概要'!$E$9+T268*F268-U268*G268)</f>
        <v/>
      </c>
      <c r="Y268" s="195">
        <f>IF(B268="","",T268*G268+U268*F268)</f>
        <v/>
      </c>
      <c r="Z268" s="195">
        <f>IF(B268="","",'入力・概要'!$E$9*(V268*X268+W268*Y268)/(X268^2+Y268^2)+'入力・概要'!$B$36)</f>
        <v/>
      </c>
      <c r="AA268" s="195">
        <f>IF(B268="","",'入力・概要'!$E$9*(W268*X268-V268*Y268)/(X268^2+Y268^2)+C268*'入力・概要'!$B$37*1E-9)</f>
        <v/>
      </c>
      <c r="AB268" s="195">
        <f>IF(B268="","",SQRT(Z268^2+AA268^2))</f>
        <v/>
      </c>
      <c r="AC268" s="195">
        <f>IF(B268="","",IF(Z268&gt;0,DEGREES(ATAN(AA268/Z268)),IF(Z268&lt;0,IF(AA268&gt;=0,DEGREES(ATAN(AA268/Z268))+180,DEGREES(ATAN(AA268/Z268))-180),IF(AA268&gt;0,90,IF(AA268&lt;0,-90,0)))))</f>
        <v/>
      </c>
      <c r="AD268" s="195">
        <f>IF(B268="","",LOG10(B268))</f>
        <v/>
      </c>
      <c r="AE268" s="195">
        <f>IF(AB268="","",LOG10(MAX(AB268,1E-12)))</f>
        <v/>
      </c>
      <c r="AF268" s="195">
        <f>IF(B268="","",SQRT(P268^2+Q268^2))</f>
        <v/>
      </c>
      <c r="AG268" s="195">
        <f>IF(B268="","",SQRT(R268^2+S268^2))</f>
        <v/>
      </c>
    </row>
    <row r="269">
      <c r="A269" t="n">
        <v>266</v>
      </c>
      <c r="B269" s="196">
        <f>IF(A269&lt;='入力・概要'!$B$40,10^(LOG10('入力・概要'!$B$38)+(A269-1)*(LOG10('入力・概要'!$B$39)-LOG10('入力・概要'!$B$38))/('入力・概要'!$B$40-1)),"")</f>
        <v/>
      </c>
      <c r="C269" s="195">
        <f>IF(B269="","",2*PI()*B269)</f>
        <v/>
      </c>
      <c r="D269" s="195">
        <f>IF(B269="","",ATANH(MIN(0.999999,'入力・概要'!$E$20/'入力・概要'!$E$9))+'入力・概要'!$B$20*SQRT(B269/1E6)+E269*'入力・概要'!$B$15/2)</f>
        <v/>
      </c>
      <c r="E269" s="195">
        <f>IF(B269="","",C269*('入力・概要'!$E$11*1E-9))</f>
        <v/>
      </c>
      <c r="F269" s="195">
        <f>IF(B269="","",SINH(2*D269)/(COSH(2*D269)+COS(2*E269)))</f>
        <v/>
      </c>
      <c r="G269" s="195">
        <f>IF(B269="","",SIN(2*E269)/(COSH(2*D269)+COS(2*E269)))</f>
        <v/>
      </c>
      <c r="H269" s="195">
        <f>IF(B269="","",ATANH(MIN(0.999999,'入力・概要'!$E$21/'入力・概要'!$E$15))+'入力・概要'!$B$21*SQRT(B269/1E6)+I269*'入力・概要'!$B$16/2)</f>
        <v/>
      </c>
      <c r="I269" s="195">
        <f>IF(B269="","",C269*('入力・概要'!$E$17*1E-9))</f>
        <v/>
      </c>
      <c r="J269" s="195">
        <f>IF(B269="","",SINH(2*H269)/(COSH(2*H269)+COS(2*I269)))</f>
        <v/>
      </c>
      <c r="K269" s="195">
        <f>IF(B269="","",SIN(2*I269)/(COSH(2*H269)+COS(2*I269)))</f>
        <v/>
      </c>
      <c r="L269" s="195">
        <f>IF(B269="","",'入力・概要'!$B$25)</f>
        <v/>
      </c>
      <c r="M269" s="195">
        <f>IF(B269="","",C269*'入力・概要'!$B$26*1E-9-1/(C269*'入力・概要'!$B$24*1E-6))</f>
        <v/>
      </c>
      <c r="N269" s="195">
        <f>IF(B269="","",'入力・概要'!$B$28)</f>
        <v/>
      </c>
      <c r="O269" s="195">
        <f>IF(B269="","",C269*'入力・概要'!$B$29*1E-9-1/(C269*'入力・概要'!$B$27*1E-6))</f>
        <v/>
      </c>
      <c r="P269" s="195">
        <f>IF(B269="","",((L269*N269-M269*O269)*(L269+N269)+(L269*O269+M269*N269)*(M269+O269))/((L269+N269)^2+(M269+O269)^2))</f>
        <v/>
      </c>
      <c r="Q269" s="195">
        <f>IF(B269="","",((L269*O269+M269*N269)*(L269+N269)-(L269*N269-M269*O269)*(M269+O269))/((L269+N269)^2+(M269+O269)^2))</f>
        <v/>
      </c>
      <c r="R269" s="195">
        <f>IF(B269="","",'入力・概要'!$E$15*J269)</f>
        <v/>
      </c>
      <c r="S269" s="195">
        <f>IF(B269="","",'入力・概要'!$E$15*K269)</f>
        <v/>
      </c>
      <c r="T269" s="195">
        <f>IF(B269="","",P269+R269)</f>
        <v/>
      </c>
      <c r="U269" s="195">
        <f>IF(B269="","",Q269+S269)</f>
        <v/>
      </c>
      <c r="V269" s="195">
        <f>IF(B269="","",T269+'入力・概要'!$E$9*F269)</f>
        <v/>
      </c>
      <c r="W269" s="195">
        <f>IF(B269="","",U269+'入力・概要'!$E$9*G269)</f>
        <v/>
      </c>
      <c r="X269" s="195">
        <f>IF(B269="","",'入力・概要'!$E$9+T269*F269-U269*G269)</f>
        <v/>
      </c>
      <c r="Y269" s="195">
        <f>IF(B269="","",T269*G269+U269*F269)</f>
        <v/>
      </c>
      <c r="Z269" s="195">
        <f>IF(B269="","",'入力・概要'!$E$9*(V269*X269+W269*Y269)/(X269^2+Y269^2)+'入力・概要'!$B$36)</f>
        <v/>
      </c>
      <c r="AA269" s="195">
        <f>IF(B269="","",'入力・概要'!$E$9*(W269*X269-V269*Y269)/(X269^2+Y269^2)+C269*'入力・概要'!$B$37*1E-9)</f>
        <v/>
      </c>
      <c r="AB269" s="195">
        <f>IF(B269="","",SQRT(Z269^2+AA269^2))</f>
        <v/>
      </c>
      <c r="AC269" s="195">
        <f>IF(B269="","",IF(Z269&gt;0,DEGREES(ATAN(AA269/Z269)),IF(Z269&lt;0,IF(AA269&gt;=0,DEGREES(ATAN(AA269/Z269))+180,DEGREES(ATAN(AA269/Z269))-180),IF(AA269&gt;0,90,IF(AA269&lt;0,-90,0)))))</f>
        <v/>
      </c>
      <c r="AD269" s="195">
        <f>IF(B269="","",LOG10(B269))</f>
        <v/>
      </c>
      <c r="AE269" s="195">
        <f>IF(AB269="","",LOG10(MAX(AB269,1E-12)))</f>
        <v/>
      </c>
      <c r="AF269" s="195">
        <f>IF(B269="","",SQRT(P269^2+Q269^2))</f>
        <v/>
      </c>
      <c r="AG269" s="195">
        <f>IF(B269="","",SQRT(R269^2+S269^2))</f>
        <v/>
      </c>
    </row>
    <row r="270">
      <c r="A270" t="n">
        <v>267</v>
      </c>
      <c r="B270" s="196">
        <f>IF(A270&lt;='入力・概要'!$B$40,10^(LOG10('入力・概要'!$B$38)+(A270-1)*(LOG10('入力・概要'!$B$39)-LOG10('入力・概要'!$B$38))/('入力・概要'!$B$40-1)),"")</f>
        <v/>
      </c>
      <c r="C270" s="195">
        <f>IF(B270="","",2*PI()*B270)</f>
        <v/>
      </c>
      <c r="D270" s="195">
        <f>IF(B270="","",ATANH(MIN(0.999999,'入力・概要'!$E$20/'入力・概要'!$E$9))+'入力・概要'!$B$20*SQRT(B270/1E6)+E270*'入力・概要'!$B$15/2)</f>
        <v/>
      </c>
      <c r="E270" s="195">
        <f>IF(B270="","",C270*('入力・概要'!$E$11*1E-9))</f>
        <v/>
      </c>
      <c r="F270" s="195">
        <f>IF(B270="","",SINH(2*D270)/(COSH(2*D270)+COS(2*E270)))</f>
        <v/>
      </c>
      <c r="G270" s="195">
        <f>IF(B270="","",SIN(2*E270)/(COSH(2*D270)+COS(2*E270)))</f>
        <v/>
      </c>
      <c r="H270" s="195">
        <f>IF(B270="","",ATANH(MIN(0.999999,'入力・概要'!$E$21/'入力・概要'!$E$15))+'入力・概要'!$B$21*SQRT(B270/1E6)+I270*'入力・概要'!$B$16/2)</f>
        <v/>
      </c>
      <c r="I270" s="195">
        <f>IF(B270="","",C270*('入力・概要'!$E$17*1E-9))</f>
        <v/>
      </c>
      <c r="J270" s="195">
        <f>IF(B270="","",SINH(2*H270)/(COSH(2*H270)+COS(2*I270)))</f>
        <v/>
      </c>
      <c r="K270" s="195">
        <f>IF(B270="","",SIN(2*I270)/(COSH(2*H270)+COS(2*I270)))</f>
        <v/>
      </c>
      <c r="L270" s="195">
        <f>IF(B270="","",'入力・概要'!$B$25)</f>
        <v/>
      </c>
      <c r="M270" s="195">
        <f>IF(B270="","",C270*'入力・概要'!$B$26*1E-9-1/(C270*'入力・概要'!$B$24*1E-6))</f>
        <v/>
      </c>
      <c r="N270" s="195">
        <f>IF(B270="","",'入力・概要'!$B$28)</f>
        <v/>
      </c>
      <c r="O270" s="195">
        <f>IF(B270="","",C270*'入力・概要'!$B$29*1E-9-1/(C270*'入力・概要'!$B$27*1E-6))</f>
        <v/>
      </c>
      <c r="P270" s="195">
        <f>IF(B270="","",((L270*N270-M270*O270)*(L270+N270)+(L270*O270+M270*N270)*(M270+O270))/((L270+N270)^2+(M270+O270)^2))</f>
        <v/>
      </c>
      <c r="Q270" s="195">
        <f>IF(B270="","",((L270*O270+M270*N270)*(L270+N270)-(L270*N270-M270*O270)*(M270+O270))/((L270+N270)^2+(M270+O270)^2))</f>
        <v/>
      </c>
      <c r="R270" s="195">
        <f>IF(B270="","",'入力・概要'!$E$15*J270)</f>
        <v/>
      </c>
      <c r="S270" s="195">
        <f>IF(B270="","",'入力・概要'!$E$15*K270)</f>
        <v/>
      </c>
      <c r="T270" s="195">
        <f>IF(B270="","",P270+R270)</f>
        <v/>
      </c>
      <c r="U270" s="195">
        <f>IF(B270="","",Q270+S270)</f>
        <v/>
      </c>
      <c r="V270" s="195">
        <f>IF(B270="","",T270+'入力・概要'!$E$9*F270)</f>
        <v/>
      </c>
      <c r="W270" s="195">
        <f>IF(B270="","",U270+'入力・概要'!$E$9*G270)</f>
        <v/>
      </c>
      <c r="X270" s="195">
        <f>IF(B270="","",'入力・概要'!$E$9+T270*F270-U270*G270)</f>
        <v/>
      </c>
      <c r="Y270" s="195">
        <f>IF(B270="","",T270*G270+U270*F270)</f>
        <v/>
      </c>
      <c r="Z270" s="195">
        <f>IF(B270="","",'入力・概要'!$E$9*(V270*X270+W270*Y270)/(X270^2+Y270^2)+'入力・概要'!$B$36)</f>
        <v/>
      </c>
      <c r="AA270" s="195">
        <f>IF(B270="","",'入力・概要'!$E$9*(W270*X270-V270*Y270)/(X270^2+Y270^2)+C270*'入力・概要'!$B$37*1E-9)</f>
        <v/>
      </c>
      <c r="AB270" s="195">
        <f>IF(B270="","",SQRT(Z270^2+AA270^2))</f>
        <v/>
      </c>
      <c r="AC270" s="195">
        <f>IF(B270="","",IF(Z270&gt;0,DEGREES(ATAN(AA270/Z270)),IF(Z270&lt;0,IF(AA270&gt;=0,DEGREES(ATAN(AA270/Z270))+180,DEGREES(ATAN(AA270/Z270))-180),IF(AA270&gt;0,90,IF(AA270&lt;0,-90,0)))))</f>
        <v/>
      </c>
      <c r="AD270" s="195">
        <f>IF(B270="","",LOG10(B270))</f>
        <v/>
      </c>
      <c r="AE270" s="195">
        <f>IF(AB270="","",LOG10(MAX(AB270,1E-12)))</f>
        <v/>
      </c>
      <c r="AF270" s="195">
        <f>IF(B270="","",SQRT(P270^2+Q270^2))</f>
        <v/>
      </c>
      <c r="AG270" s="195">
        <f>IF(B270="","",SQRT(R270^2+S270^2))</f>
        <v/>
      </c>
    </row>
    <row r="271">
      <c r="A271" t="n">
        <v>268</v>
      </c>
      <c r="B271" s="196">
        <f>IF(A271&lt;='入力・概要'!$B$40,10^(LOG10('入力・概要'!$B$38)+(A271-1)*(LOG10('入力・概要'!$B$39)-LOG10('入力・概要'!$B$38))/('入力・概要'!$B$40-1)),"")</f>
        <v/>
      </c>
      <c r="C271" s="195">
        <f>IF(B271="","",2*PI()*B271)</f>
        <v/>
      </c>
      <c r="D271" s="195">
        <f>IF(B271="","",ATANH(MIN(0.999999,'入力・概要'!$E$20/'入力・概要'!$E$9))+'入力・概要'!$B$20*SQRT(B271/1E6)+E271*'入力・概要'!$B$15/2)</f>
        <v/>
      </c>
      <c r="E271" s="195">
        <f>IF(B271="","",C271*('入力・概要'!$E$11*1E-9))</f>
        <v/>
      </c>
      <c r="F271" s="195">
        <f>IF(B271="","",SINH(2*D271)/(COSH(2*D271)+COS(2*E271)))</f>
        <v/>
      </c>
      <c r="G271" s="195">
        <f>IF(B271="","",SIN(2*E271)/(COSH(2*D271)+COS(2*E271)))</f>
        <v/>
      </c>
      <c r="H271" s="195">
        <f>IF(B271="","",ATANH(MIN(0.999999,'入力・概要'!$E$21/'入力・概要'!$E$15))+'入力・概要'!$B$21*SQRT(B271/1E6)+I271*'入力・概要'!$B$16/2)</f>
        <v/>
      </c>
      <c r="I271" s="195">
        <f>IF(B271="","",C271*('入力・概要'!$E$17*1E-9))</f>
        <v/>
      </c>
      <c r="J271" s="195">
        <f>IF(B271="","",SINH(2*H271)/(COSH(2*H271)+COS(2*I271)))</f>
        <v/>
      </c>
      <c r="K271" s="195">
        <f>IF(B271="","",SIN(2*I271)/(COSH(2*H271)+COS(2*I271)))</f>
        <v/>
      </c>
      <c r="L271" s="195">
        <f>IF(B271="","",'入力・概要'!$B$25)</f>
        <v/>
      </c>
      <c r="M271" s="195">
        <f>IF(B271="","",C271*'入力・概要'!$B$26*1E-9-1/(C271*'入力・概要'!$B$24*1E-6))</f>
        <v/>
      </c>
      <c r="N271" s="195">
        <f>IF(B271="","",'入力・概要'!$B$28)</f>
        <v/>
      </c>
      <c r="O271" s="195">
        <f>IF(B271="","",C271*'入力・概要'!$B$29*1E-9-1/(C271*'入力・概要'!$B$27*1E-6))</f>
        <v/>
      </c>
      <c r="P271" s="195">
        <f>IF(B271="","",((L271*N271-M271*O271)*(L271+N271)+(L271*O271+M271*N271)*(M271+O271))/((L271+N271)^2+(M271+O271)^2))</f>
        <v/>
      </c>
      <c r="Q271" s="195">
        <f>IF(B271="","",((L271*O271+M271*N271)*(L271+N271)-(L271*N271-M271*O271)*(M271+O271))/((L271+N271)^2+(M271+O271)^2))</f>
        <v/>
      </c>
      <c r="R271" s="195">
        <f>IF(B271="","",'入力・概要'!$E$15*J271)</f>
        <v/>
      </c>
      <c r="S271" s="195">
        <f>IF(B271="","",'入力・概要'!$E$15*K271)</f>
        <v/>
      </c>
      <c r="T271" s="195">
        <f>IF(B271="","",P271+R271)</f>
        <v/>
      </c>
      <c r="U271" s="195">
        <f>IF(B271="","",Q271+S271)</f>
        <v/>
      </c>
      <c r="V271" s="195">
        <f>IF(B271="","",T271+'入力・概要'!$E$9*F271)</f>
        <v/>
      </c>
      <c r="W271" s="195">
        <f>IF(B271="","",U271+'入力・概要'!$E$9*G271)</f>
        <v/>
      </c>
      <c r="X271" s="195">
        <f>IF(B271="","",'入力・概要'!$E$9+T271*F271-U271*G271)</f>
        <v/>
      </c>
      <c r="Y271" s="195">
        <f>IF(B271="","",T271*G271+U271*F271)</f>
        <v/>
      </c>
      <c r="Z271" s="195">
        <f>IF(B271="","",'入力・概要'!$E$9*(V271*X271+W271*Y271)/(X271^2+Y271^2)+'入力・概要'!$B$36)</f>
        <v/>
      </c>
      <c r="AA271" s="195">
        <f>IF(B271="","",'入力・概要'!$E$9*(W271*X271-V271*Y271)/(X271^2+Y271^2)+C271*'入力・概要'!$B$37*1E-9)</f>
        <v/>
      </c>
      <c r="AB271" s="195">
        <f>IF(B271="","",SQRT(Z271^2+AA271^2))</f>
        <v/>
      </c>
      <c r="AC271" s="195">
        <f>IF(B271="","",IF(Z271&gt;0,DEGREES(ATAN(AA271/Z271)),IF(Z271&lt;0,IF(AA271&gt;=0,DEGREES(ATAN(AA271/Z271))+180,DEGREES(ATAN(AA271/Z271))-180),IF(AA271&gt;0,90,IF(AA271&lt;0,-90,0)))))</f>
        <v/>
      </c>
      <c r="AD271" s="195">
        <f>IF(B271="","",LOG10(B271))</f>
        <v/>
      </c>
      <c r="AE271" s="195">
        <f>IF(AB271="","",LOG10(MAX(AB271,1E-12)))</f>
        <v/>
      </c>
      <c r="AF271" s="195">
        <f>IF(B271="","",SQRT(P271^2+Q271^2))</f>
        <v/>
      </c>
      <c r="AG271" s="195">
        <f>IF(B271="","",SQRT(R271^2+S271^2))</f>
        <v/>
      </c>
    </row>
    <row r="272">
      <c r="A272" t="n">
        <v>269</v>
      </c>
      <c r="B272" s="196">
        <f>IF(A272&lt;='入力・概要'!$B$40,10^(LOG10('入力・概要'!$B$38)+(A272-1)*(LOG10('入力・概要'!$B$39)-LOG10('入力・概要'!$B$38))/('入力・概要'!$B$40-1)),"")</f>
        <v/>
      </c>
      <c r="C272" s="195">
        <f>IF(B272="","",2*PI()*B272)</f>
        <v/>
      </c>
      <c r="D272" s="195">
        <f>IF(B272="","",ATANH(MIN(0.999999,'入力・概要'!$E$20/'入力・概要'!$E$9))+'入力・概要'!$B$20*SQRT(B272/1E6)+E272*'入力・概要'!$B$15/2)</f>
        <v/>
      </c>
      <c r="E272" s="195">
        <f>IF(B272="","",C272*('入力・概要'!$E$11*1E-9))</f>
        <v/>
      </c>
      <c r="F272" s="195">
        <f>IF(B272="","",SINH(2*D272)/(COSH(2*D272)+COS(2*E272)))</f>
        <v/>
      </c>
      <c r="G272" s="195">
        <f>IF(B272="","",SIN(2*E272)/(COSH(2*D272)+COS(2*E272)))</f>
        <v/>
      </c>
      <c r="H272" s="195">
        <f>IF(B272="","",ATANH(MIN(0.999999,'入力・概要'!$E$21/'入力・概要'!$E$15))+'入力・概要'!$B$21*SQRT(B272/1E6)+I272*'入力・概要'!$B$16/2)</f>
        <v/>
      </c>
      <c r="I272" s="195">
        <f>IF(B272="","",C272*('入力・概要'!$E$17*1E-9))</f>
        <v/>
      </c>
      <c r="J272" s="195">
        <f>IF(B272="","",SINH(2*H272)/(COSH(2*H272)+COS(2*I272)))</f>
        <v/>
      </c>
      <c r="K272" s="195">
        <f>IF(B272="","",SIN(2*I272)/(COSH(2*H272)+COS(2*I272)))</f>
        <v/>
      </c>
      <c r="L272" s="195">
        <f>IF(B272="","",'入力・概要'!$B$25)</f>
        <v/>
      </c>
      <c r="M272" s="195">
        <f>IF(B272="","",C272*'入力・概要'!$B$26*1E-9-1/(C272*'入力・概要'!$B$24*1E-6))</f>
        <v/>
      </c>
      <c r="N272" s="195">
        <f>IF(B272="","",'入力・概要'!$B$28)</f>
        <v/>
      </c>
      <c r="O272" s="195">
        <f>IF(B272="","",C272*'入力・概要'!$B$29*1E-9-1/(C272*'入力・概要'!$B$27*1E-6))</f>
        <v/>
      </c>
      <c r="P272" s="195">
        <f>IF(B272="","",((L272*N272-M272*O272)*(L272+N272)+(L272*O272+M272*N272)*(M272+O272))/((L272+N272)^2+(M272+O272)^2))</f>
        <v/>
      </c>
      <c r="Q272" s="195">
        <f>IF(B272="","",((L272*O272+M272*N272)*(L272+N272)-(L272*N272-M272*O272)*(M272+O272))/((L272+N272)^2+(M272+O272)^2))</f>
        <v/>
      </c>
      <c r="R272" s="195">
        <f>IF(B272="","",'入力・概要'!$E$15*J272)</f>
        <v/>
      </c>
      <c r="S272" s="195">
        <f>IF(B272="","",'入力・概要'!$E$15*K272)</f>
        <v/>
      </c>
      <c r="T272" s="195">
        <f>IF(B272="","",P272+R272)</f>
        <v/>
      </c>
      <c r="U272" s="195">
        <f>IF(B272="","",Q272+S272)</f>
        <v/>
      </c>
      <c r="V272" s="195">
        <f>IF(B272="","",T272+'入力・概要'!$E$9*F272)</f>
        <v/>
      </c>
      <c r="W272" s="195">
        <f>IF(B272="","",U272+'入力・概要'!$E$9*G272)</f>
        <v/>
      </c>
      <c r="X272" s="195">
        <f>IF(B272="","",'入力・概要'!$E$9+T272*F272-U272*G272)</f>
        <v/>
      </c>
      <c r="Y272" s="195">
        <f>IF(B272="","",T272*G272+U272*F272)</f>
        <v/>
      </c>
      <c r="Z272" s="195">
        <f>IF(B272="","",'入力・概要'!$E$9*(V272*X272+W272*Y272)/(X272^2+Y272^2)+'入力・概要'!$B$36)</f>
        <v/>
      </c>
      <c r="AA272" s="195">
        <f>IF(B272="","",'入力・概要'!$E$9*(W272*X272-V272*Y272)/(X272^2+Y272^2)+C272*'入力・概要'!$B$37*1E-9)</f>
        <v/>
      </c>
      <c r="AB272" s="195">
        <f>IF(B272="","",SQRT(Z272^2+AA272^2))</f>
        <v/>
      </c>
      <c r="AC272" s="195">
        <f>IF(B272="","",IF(Z272&gt;0,DEGREES(ATAN(AA272/Z272)),IF(Z272&lt;0,IF(AA272&gt;=0,DEGREES(ATAN(AA272/Z272))+180,DEGREES(ATAN(AA272/Z272))-180),IF(AA272&gt;0,90,IF(AA272&lt;0,-90,0)))))</f>
        <v/>
      </c>
      <c r="AD272" s="195">
        <f>IF(B272="","",LOG10(B272))</f>
        <v/>
      </c>
      <c r="AE272" s="195">
        <f>IF(AB272="","",LOG10(MAX(AB272,1E-12)))</f>
        <v/>
      </c>
      <c r="AF272" s="195">
        <f>IF(B272="","",SQRT(P272^2+Q272^2))</f>
        <v/>
      </c>
      <c r="AG272" s="195">
        <f>IF(B272="","",SQRT(R272^2+S272^2))</f>
        <v/>
      </c>
    </row>
    <row r="273">
      <c r="A273" t="n">
        <v>270</v>
      </c>
      <c r="B273" s="196">
        <f>IF(A273&lt;='入力・概要'!$B$40,10^(LOG10('入力・概要'!$B$38)+(A273-1)*(LOG10('入力・概要'!$B$39)-LOG10('入力・概要'!$B$38))/('入力・概要'!$B$40-1)),"")</f>
        <v/>
      </c>
      <c r="C273" s="195">
        <f>IF(B273="","",2*PI()*B273)</f>
        <v/>
      </c>
      <c r="D273" s="195">
        <f>IF(B273="","",ATANH(MIN(0.999999,'入力・概要'!$E$20/'入力・概要'!$E$9))+'入力・概要'!$B$20*SQRT(B273/1E6)+E273*'入力・概要'!$B$15/2)</f>
        <v/>
      </c>
      <c r="E273" s="195">
        <f>IF(B273="","",C273*('入力・概要'!$E$11*1E-9))</f>
        <v/>
      </c>
      <c r="F273" s="195">
        <f>IF(B273="","",SINH(2*D273)/(COSH(2*D273)+COS(2*E273)))</f>
        <v/>
      </c>
      <c r="G273" s="195">
        <f>IF(B273="","",SIN(2*E273)/(COSH(2*D273)+COS(2*E273)))</f>
        <v/>
      </c>
      <c r="H273" s="195">
        <f>IF(B273="","",ATANH(MIN(0.999999,'入力・概要'!$E$21/'入力・概要'!$E$15))+'入力・概要'!$B$21*SQRT(B273/1E6)+I273*'入力・概要'!$B$16/2)</f>
        <v/>
      </c>
      <c r="I273" s="195">
        <f>IF(B273="","",C273*('入力・概要'!$E$17*1E-9))</f>
        <v/>
      </c>
      <c r="J273" s="195">
        <f>IF(B273="","",SINH(2*H273)/(COSH(2*H273)+COS(2*I273)))</f>
        <v/>
      </c>
      <c r="K273" s="195">
        <f>IF(B273="","",SIN(2*I273)/(COSH(2*H273)+COS(2*I273)))</f>
        <v/>
      </c>
      <c r="L273" s="195">
        <f>IF(B273="","",'入力・概要'!$B$25)</f>
        <v/>
      </c>
      <c r="M273" s="195">
        <f>IF(B273="","",C273*'入力・概要'!$B$26*1E-9-1/(C273*'入力・概要'!$B$24*1E-6))</f>
        <v/>
      </c>
      <c r="N273" s="195">
        <f>IF(B273="","",'入力・概要'!$B$28)</f>
        <v/>
      </c>
      <c r="O273" s="195">
        <f>IF(B273="","",C273*'入力・概要'!$B$29*1E-9-1/(C273*'入力・概要'!$B$27*1E-6))</f>
        <v/>
      </c>
      <c r="P273" s="195">
        <f>IF(B273="","",((L273*N273-M273*O273)*(L273+N273)+(L273*O273+M273*N273)*(M273+O273))/((L273+N273)^2+(M273+O273)^2))</f>
        <v/>
      </c>
      <c r="Q273" s="195">
        <f>IF(B273="","",((L273*O273+M273*N273)*(L273+N273)-(L273*N273-M273*O273)*(M273+O273))/((L273+N273)^2+(M273+O273)^2))</f>
        <v/>
      </c>
      <c r="R273" s="195">
        <f>IF(B273="","",'入力・概要'!$E$15*J273)</f>
        <v/>
      </c>
      <c r="S273" s="195">
        <f>IF(B273="","",'入力・概要'!$E$15*K273)</f>
        <v/>
      </c>
      <c r="T273" s="195">
        <f>IF(B273="","",P273+R273)</f>
        <v/>
      </c>
      <c r="U273" s="195">
        <f>IF(B273="","",Q273+S273)</f>
        <v/>
      </c>
      <c r="V273" s="195">
        <f>IF(B273="","",T273+'入力・概要'!$E$9*F273)</f>
        <v/>
      </c>
      <c r="W273" s="195">
        <f>IF(B273="","",U273+'入力・概要'!$E$9*G273)</f>
        <v/>
      </c>
      <c r="X273" s="195">
        <f>IF(B273="","",'入力・概要'!$E$9+T273*F273-U273*G273)</f>
        <v/>
      </c>
      <c r="Y273" s="195">
        <f>IF(B273="","",T273*G273+U273*F273)</f>
        <v/>
      </c>
      <c r="Z273" s="195">
        <f>IF(B273="","",'入力・概要'!$E$9*(V273*X273+W273*Y273)/(X273^2+Y273^2)+'入力・概要'!$B$36)</f>
        <v/>
      </c>
      <c r="AA273" s="195">
        <f>IF(B273="","",'入力・概要'!$E$9*(W273*X273-V273*Y273)/(X273^2+Y273^2)+C273*'入力・概要'!$B$37*1E-9)</f>
        <v/>
      </c>
      <c r="AB273" s="195">
        <f>IF(B273="","",SQRT(Z273^2+AA273^2))</f>
        <v/>
      </c>
      <c r="AC273" s="195">
        <f>IF(B273="","",IF(Z273&gt;0,DEGREES(ATAN(AA273/Z273)),IF(Z273&lt;0,IF(AA273&gt;=0,DEGREES(ATAN(AA273/Z273))+180,DEGREES(ATAN(AA273/Z273))-180),IF(AA273&gt;0,90,IF(AA273&lt;0,-90,0)))))</f>
        <v/>
      </c>
      <c r="AD273" s="195">
        <f>IF(B273="","",LOG10(B273))</f>
        <v/>
      </c>
      <c r="AE273" s="195">
        <f>IF(AB273="","",LOG10(MAX(AB273,1E-12)))</f>
        <v/>
      </c>
      <c r="AF273" s="195">
        <f>IF(B273="","",SQRT(P273^2+Q273^2))</f>
        <v/>
      </c>
      <c r="AG273" s="195">
        <f>IF(B273="","",SQRT(R273^2+S273^2))</f>
        <v/>
      </c>
    </row>
    <row r="274">
      <c r="A274" t="n">
        <v>271</v>
      </c>
      <c r="B274" s="196">
        <f>IF(A274&lt;='入力・概要'!$B$40,10^(LOG10('入力・概要'!$B$38)+(A274-1)*(LOG10('入力・概要'!$B$39)-LOG10('入力・概要'!$B$38))/('入力・概要'!$B$40-1)),"")</f>
        <v/>
      </c>
      <c r="C274" s="195">
        <f>IF(B274="","",2*PI()*B274)</f>
        <v/>
      </c>
      <c r="D274" s="195">
        <f>IF(B274="","",ATANH(MIN(0.999999,'入力・概要'!$E$20/'入力・概要'!$E$9))+'入力・概要'!$B$20*SQRT(B274/1E6)+E274*'入力・概要'!$B$15/2)</f>
        <v/>
      </c>
      <c r="E274" s="195">
        <f>IF(B274="","",C274*('入力・概要'!$E$11*1E-9))</f>
        <v/>
      </c>
      <c r="F274" s="195">
        <f>IF(B274="","",SINH(2*D274)/(COSH(2*D274)+COS(2*E274)))</f>
        <v/>
      </c>
      <c r="G274" s="195">
        <f>IF(B274="","",SIN(2*E274)/(COSH(2*D274)+COS(2*E274)))</f>
        <v/>
      </c>
      <c r="H274" s="195">
        <f>IF(B274="","",ATANH(MIN(0.999999,'入力・概要'!$E$21/'入力・概要'!$E$15))+'入力・概要'!$B$21*SQRT(B274/1E6)+I274*'入力・概要'!$B$16/2)</f>
        <v/>
      </c>
      <c r="I274" s="195">
        <f>IF(B274="","",C274*('入力・概要'!$E$17*1E-9))</f>
        <v/>
      </c>
      <c r="J274" s="195">
        <f>IF(B274="","",SINH(2*H274)/(COSH(2*H274)+COS(2*I274)))</f>
        <v/>
      </c>
      <c r="K274" s="195">
        <f>IF(B274="","",SIN(2*I274)/(COSH(2*H274)+COS(2*I274)))</f>
        <v/>
      </c>
      <c r="L274" s="195">
        <f>IF(B274="","",'入力・概要'!$B$25)</f>
        <v/>
      </c>
      <c r="M274" s="195">
        <f>IF(B274="","",C274*'入力・概要'!$B$26*1E-9-1/(C274*'入力・概要'!$B$24*1E-6))</f>
        <v/>
      </c>
      <c r="N274" s="195">
        <f>IF(B274="","",'入力・概要'!$B$28)</f>
        <v/>
      </c>
      <c r="O274" s="195">
        <f>IF(B274="","",C274*'入力・概要'!$B$29*1E-9-1/(C274*'入力・概要'!$B$27*1E-6))</f>
        <v/>
      </c>
      <c r="P274" s="195">
        <f>IF(B274="","",((L274*N274-M274*O274)*(L274+N274)+(L274*O274+M274*N274)*(M274+O274))/((L274+N274)^2+(M274+O274)^2))</f>
        <v/>
      </c>
      <c r="Q274" s="195">
        <f>IF(B274="","",((L274*O274+M274*N274)*(L274+N274)-(L274*N274-M274*O274)*(M274+O274))/((L274+N274)^2+(M274+O274)^2))</f>
        <v/>
      </c>
      <c r="R274" s="195">
        <f>IF(B274="","",'入力・概要'!$E$15*J274)</f>
        <v/>
      </c>
      <c r="S274" s="195">
        <f>IF(B274="","",'入力・概要'!$E$15*K274)</f>
        <v/>
      </c>
      <c r="T274" s="195">
        <f>IF(B274="","",P274+R274)</f>
        <v/>
      </c>
      <c r="U274" s="195">
        <f>IF(B274="","",Q274+S274)</f>
        <v/>
      </c>
      <c r="V274" s="195">
        <f>IF(B274="","",T274+'入力・概要'!$E$9*F274)</f>
        <v/>
      </c>
      <c r="W274" s="195">
        <f>IF(B274="","",U274+'入力・概要'!$E$9*G274)</f>
        <v/>
      </c>
      <c r="X274" s="195">
        <f>IF(B274="","",'入力・概要'!$E$9+T274*F274-U274*G274)</f>
        <v/>
      </c>
      <c r="Y274" s="195">
        <f>IF(B274="","",T274*G274+U274*F274)</f>
        <v/>
      </c>
      <c r="Z274" s="195">
        <f>IF(B274="","",'入力・概要'!$E$9*(V274*X274+W274*Y274)/(X274^2+Y274^2)+'入力・概要'!$B$36)</f>
        <v/>
      </c>
      <c r="AA274" s="195">
        <f>IF(B274="","",'入力・概要'!$E$9*(W274*X274-V274*Y274)/(X274^2+Y274^2)+C274*'入力・概要'!$B$37*1E-9)</f>
        <v/>
      </c>
      <c r="AB274" s="195">
        <f>IF(B274="","",SQRT(Z274^2+AA274^2))</f>
        <v/>
      </c>
      <c r="AC274" s="195">
        <f>IF(B274="","",IF(Z274&gt;0,DEGREES(ATAN(AA274/Z274)),IF(Z274&lt;0,IF(AA274&gt;=0,DEGREES(ATAN(AA274/Z274))+180,DEGREES(ATAN(AA274/Z274))-180),IF(AA274&gt;0,90,IF(AA274&lt;0,-90,0)))))</f>
        <v/>
      </c>
      <c r="AD274" s="195">
        <f>IF(B274="","",LOG10(B274))</f>
        <v/>
      </c>
      <c r="AE274" s="195">
        <f>IF(AB274="","",LOG10(MAX(AB274,1E-12)))</f>
        <v/>
      </c>
      <c r="AF274" s="195">
        <f>IF(B274="","",SQRT(P274^2+Q274^2))</f>
        <v/>
      </c>
      <c r="AG274" s="195">
        <f>IF(B274="","",SQRT(R274^2+S274^2))</f>
        <v/>
      </c>
    </row>
    <row r="275">
      <c r="A275" t="n">
        <v>272</v>
      </c>
      <c r="B275" s="196">
        <f>IF(A275&lt;='入力・概要'!$B$40,10^(LOG10('入力・概要'!$B$38)+(A275-1)*(LOG10('入力・概要'!$B$39)-LOG10('入力・概要'!$B$38))/('入力・概要'!$B$40-1)),"")</f>
        <v/>
      </c>
      <c r="C275" s="195">
        <f>IF(B275="","",2*PI()*B275)</f>
        <v/>
      </c>
      <c r="D275" s="195">
        <f>IF(B275="","",ATANH(MIN(0.999999,'入力・概要'!$E$20/'入力・概要'!$E$9))+'入力・概要'!$B$20*SQRT(B275/1E6)+E275*'入力・概要'!$B$15/2)</f>
        <v/>
      </c>
      <c r="E275" s="195">
        <f>IF(B275="","",C275*('入力・概要'!$E$11*1E-9))</f>
        <v/>
      </c>
      <c r="F275" s="195">
        <f>IF(B275="","",SINH(2*D275)/(COSH(2*D275)+COS(2*E275)))</f>
        <v/>
      </c>
      <c r="G275" s="195">
        <f>IF(B275="","",SIN(2*E275)/(COSH(2*D275)+COS(2*E275)))</f>
        <v/>
      </c>
      <c r="H275" s="195">
        <f>IF(B275="","",ATANH(MIN(0.999999,'入力・概要'!$E$21/'入力・概要'!$E$15))+'入力・概要'!$B$21*SQRT(B275/1E6)+I275*'入力・概要'!$B$16/2)</f>
        <v/>
      </c>
      <c r="I275" s="195">
        <f>IF(B275="","",C275*('入力・概要'!$E$17*1E-9))</f>
        <v/>
      </c>
      <c r="J275" s="195">
        <f>IF(B275="","",SINH(2*H275)/(COSH(2*H275)+COS(2*I275)))</f>
        <v/>
      </c>
      <c r="K275" s="195">
        <f>IF(B275="","",SIN(2*I275)/(COSH(2*H275)+COS(2*I275)))</f>
        <v/>
      </c>
      <c r="L275" s="195">
        <f>IF(B275="","",'入力・概要'!$B$25)</f>
        <v/>
      </c>
      <c r="M275" s="195">
        <f>IF(B275="","",C275*'入力・概要'!$B$26*1E-9-1/(C275*'入力・概要'!$B$24*1E-6))</f>
        <v/>
      </c>
      <c r="N275" s="195">
        <f>IF(B275="","",'入力・概要'!$B$28)</f>
        <v/>
      </c>
      <c r="O275" s="195">
        <f>IF(B275="","",C275*'入力・概要'!$B$29*1E-9-1/(C275*'入力・概要'!$B$27*1E-6))</f>
        <v/>
      </c>
      <c r="P275" s="195">
        <f>IF(B275="","",((L275*N275-M275*O275)*(L275+N275)+(L275*O275+M275*N275)*(M275+O275))/((L275+N275)^2+(M275+O275)^2))</f>
        <v/>
      </c>
      <c r="Q275" s="195">
        <f>IF(B275="","",((L275*O275+M275*N275)*(L275+N275)-(L275*N275-M275*O275)*(M275+O275))/((L275+N275)^2+(M275+O275)^2))</f>
        <v/>
      </c>
      <c r="R275" s="195">
        <f>IF(B275="","",'入力・概要'!$E$15*J275)</f>
        <v/>
      </c>
      <c r="S275" s="195">
        <f>IF(B275="","",'入力・概要'!$E$15*K275)</f>
        <v/>
      </c>
      <c r="T275" s="195">
        <f>IF(B275="","",P275+R275)</f>
        <v/>
      </c>
      <c r="U275" s="195">
        <f>IF(B275="","",Q275+S275)</f>
        <v/>
      </c>
      <c r="V275" s="195">
        <f>IF(B275="","",T275+'入力・概要'!$E$9*F275)</f>
        <v/>
      </c>
      <c r="W275" s="195">
        <f>IF(B275="","",U275+'入力・概要'!$E$9*G275)</f>
        <v/>
      </c>
      <c r="X275" s="195">
        <f>IF(B275="","",'入力・概要'!$E$9+T275*F275-U275*G275)</f>
        <v/>
      </c>
      <c r="Y275" s="195">
        <f>IF(B275="","",T275*G275+U275*F275)</f>
        <v/>
      </c>
      <c r="Z275" s="195">
        <f>IF(B275="","",'入力・概要'!$E$9*(V275*X275+W275*Y275)/(X275^2+Y275^2)+'入力・概要'!$B$36)</f>
        <v/>
      </c>
      <c r="AA275" s="195">
        <f>IF(B275="","",'入力・概要'!$E$9*(W275*X275-V275*Y275)/(X275^2+Y275^2)+C275*'入力・概要'!$B$37*1E-9)</f>
        <v/>
      </c>
      <c r="AB275" s="195">
        <f>IF(B275="","",SQRT(Z275^2+AA275^2))</f>
        <v/>
      </c>
      <c r="AC275" s="195">
        <f>IF(B275="","",IF(Z275&gt;0,DEGREES(ATAN(AA275/Z275)),IF(Z275&lt;0,IF(AA275&gt;=0,DEGREES(ATAN(AA275/Z275))+180,DEGREES(ATAN(AA275/Z275))-180),IF(AA275&gt;0,90,IF(AA275&lt;0,-90,0)))))</f>
        <v/>
      </c>
      <c r="AD275" s="195">
        <f>IF(B275="","",LOG10(B275))</f>
        <v/>
      </c>
      <c r="AE275" s="195">
        <f>IF(AB275="","",LOG10(MAX(AB275,1E-12)))</f>
        <v/>
      </c>
      <c r="AF275" s="195">
        <f>IF(B275="","",SQRT(P275^2+Q275^2))</f>
        <v/>
      </c>
      <c r="AG275" s="195">
        <f>IF(B275="","",SQRT(R275^2+S275^2))</f>
        <v/>
      </c>
    </row>
    <row r="276">
      <c r="A276" t="n">
        <v>273</v>
      </c>
      <c r="B276" s="196">
        <f>IF(A276&lt;='入力・概要'!$B$40,10^(LOG10('入力・概要'!$B$38)+(A276-1)*(LOG10('入力・概要'!$B$39)-LOG10('入力・概要'!$B$38))/('入力・概要'!$B$40-1)),"")</f>
        <v/>
      </c>
      <c r="C276" s="195">
        <f>IF(B276="","",2*PI()*B276)</f>
        <v/>
      </c>
      <c r="D276" s="195">
        <f>IF(B276="","",ATANH(MIN(0.999999,'入力・概要'!$E$20/'入力・概要'!$E$9))+'入力・概要'!$B$20*SQRT(B276/1E6)+E276*'入力・概要'!$B$15/2)</f>
        <v/>
      </c>
      <c r="E276" s="195">
        <f>IF(B276="","",C276*('入力・概要'!$E$11*1E-9))</f>
        <v/>
      </c>
      <c r="F276" s="195">
        <f>IF(B276="","",SINH(2*D276)/(COSH(2*D276)+COS(2*E276)))</f>
        <v/>
      </c>
      <c r="G276" s="195">
        <f>IF(B276="","",SIN(2*E276)/(COSH(2*D276)+COS(2*E276)))</f>
        <v/>
      </c>
      <c r="H276" s="195">
        <f>IF(B276="","",ATANH(MIN(0.999999,'入力・概要'!$E$21/'入力・概要'!$E$15))+'入力・概要'!$B$21*SQRT(B276/1E6)+I276*'入力・概要'!$B$16/2)</f>
        <v/>
      </c>
      <c r="I276" s="195">
        <f>IF(B276="","",C276*('入力・概要'!$E$17*1E-9))</f>
        <v/>
      </c>
      <c r="J276" s="195">
        <f>IF(B276="","",SINH(2*H276)/(COSH(2*H276)+COS(2*I276)))</f>
        <v/>
      </c>
      <c r="K276" s="195">
        <f>IF(B276="","",SIN(2*I276)/(COSH(2*H276)+COS(2*I276)))</f>
        <v/>
      </c>
      <c r="L276" s="195">
        <f>IF(B276="","",'入力・概要'!$B$25)</f>
        <v/>
      </c>
      <c r="M276" s="195">
        <f>IF(B276="","",C276*'入力・概要'!$B$26*1E-9-1/(C276*'入力・概要'!$B$24*1E-6))</f>
        <v/>
      </c>
      <c r="N276" s="195">
        <f>IF(B276="","",'入力・概要'!$B$28)</f>
        <v/>
      </c>
      <c r="O276" s="195">
        <f>IF(B276="","",C276*'入力・概要'!$B$29*1E-9-1/(C276*'入力・概要'!$B$27*1E-6))</f>
        <v/>
      </c>
      <c r="P276" s="195">
        <f>IF(B276="","",((L276*N276-M276*O276)*(L276+N276)+(L276*O276+M276*N276)*(M276+O276))/((L276+N276)^2+(M276+O276)^2))</f>
        <v/>
      </c>
      <c r="Q276" s="195">
        <f>IF(B276="","",((L276*O276+M276*N276)*(L276+N276)-(L276*N276-M276*O276)*(M276+O276))/((L276+N276)^2+(M276+O276)^2))</f>
        <v/>
      </c>
      <c r="R276" s="195">
        <f>IF(B276="","",'入力・概要'!$E$15*J276)</f>
        <v/>
      </c>
      <c r="S276" s="195">
        <f>IF(B276="","",'入力・概要'!$E$15*K276)</f>
        <v/>
      </c>
      <c r="T276" s="195">
        <f>IF(B276="","",P276+R276)</f>
        <v/>
      </c>
      <c r="U276" s="195">
        <f>IF(B276="","",Q276+S276)</f>
        <v/>
      </c>
      <c r="V276" s="195">
        <f>IF(B276="","",T276+'入力・概要'!$E$9*F276)</f>
        <v/>
      </c>
      <c r="W276" s="195">
        <f>IF(B276="","",U276+'入力・概要'!$E$9*G276)</f>
        <v/>
      </c>
      <c r="X276" s="195">
        <f>IF(B276="","",'入力・概要'!$E$9+T276*F276-U276*G276)</f>
        <v/>
      </c>
      <c r="Y276" s="195">
        <f>IF(B276="","",T276*G276+U276*F276)</f>
        <v/>
      </c>
      <c r="Z276" s="195">
        <f>IF(B276="","",'入力・概要'!$E$9*(V276*X276+W276*Y276)/(X276^2+Y276^2)+'入力・概要'!$B$36)</f>
        <v/>
      </c>
      <c r="AA276" s="195">
        <f>IF(B276="","",'入力・概要'!$E$9*(W276*X276-V276*Y276)/(X276^2+Y276^2)+C276*'入力・概要'!$B$37*1E-9)</f>
        <v/>
      </c>
      <c r="AB276" s="195">
        <f>IF(B276="","",SQRT(Z276^2+AA276^2))</f>
        <v/>
      </c>
      <c r="AC276" s="195">
        <f>IF(B276="","",IF(Z276&gt;0,DEGREES(ATAN(AA276/Z276)),IF(Z276&lt;0,IF(AA276&gt;=0,DEGREES(ATAN(AA276/Z276))+180,DEGREES(ATAN(AA276/Z276))-180),IF(AA276&gt;0,90,IF(AA276&lt;0,-90,0)))))</f>
        <v/>
      </c>
      <c r="AD276" s="195">
        <f>IF(B276="","",LOG10(B276))</f>
        <v/>
      </c>
      <c r="AE276" s="195">
        <f>IF(AB276="","",LOG10(MAX(AB276,1E-12)))</f>
        <v/>
      </c>
      <c r="AF276" s="195">
        <f>IF(B276="","",SQRT(P276^2+Q276^2))</f>
        <v/>
      </c>
      <c r="AG276" s="195">
        <f>IF(B276="","",SQRT(R276^2+S276^2))</f>
        <v/>
      </c>
    </row>
    <row r="277">
      <c r="A277" t="n">
        <v>274</v>
      </c>
      <c r="B277" s="196">
        <f>IF(A277&lt;='入力・概要'!$B$40,10^(LOG10('入力・概要'!$B$38)+(A277-1)*(LOG10('入力・概要'!$B$39)-LOG10('入力・概要'!$B$38))/('入力・概要'!$B$40-1)),"")</f>
        <v/>
      </c>
      <c r="C277" s="195">
        <f>IF(B277="","",2*PI()*B277)</f>
        <v/>
      </c>
      <c r="D277" s="195">
        <f>IF(B277="","",ATANH(MIN(0.999999,'入力・概要'!$E$20/'入力・概要'!$E$9))+'入力・概要'!$B$20*SQRT(B277/1E6)+E277*'入力・概要'!$B$15/2)</f>
        <v/>
      </c>
      <c r="E277" s="195">
        <f>IF(B277="","",C277*('入力・概要'!$E$11*1E-9))</f>
        <v/>
      </c>
      <c r="F277" s="195">
        <f>IF(B277="","",SINH(2*D277)/(COSH(2*D277)+COS(2*E277)))</f>
        <v/>
      </c>
      <c r="G277" s="195">
        <f>IF(B277="","",SIN(2*E277)/(COSH(2*D277)+COS(2*E277)))</f>
        <v/>
      </c>
      <c r="H277" s="195">
        <f>IF(B277="","",ATANH(MIN(0.999999,'入力・概要'!$E$21/'入力・概要'!$E$15))+'入力・概要'!$B$21*SQRT(B277/1E6)+I277*'入力・概要'!$B$16/2)</f>
        <v/>
      </c>
      <c r="I277" s="195">
        <f>IF(B277="","",C277*('入力・概要'!$E$17*1E-9))</f>
        <v/>
      </c>
      <c r="J277" s="195">
        <f>IF(B277="","",SINH(2*H277)/(COSH(2*H277)+COS(2*I277)))</f>
        <v/>
      </c>
      <c r="K277" s="195">
        <f>IF(B277="","",SIN(2*I277)/(COSH(2*H277)+COS(2*I277)))</f>
        <v/>
      </c>
      <c r="L277" s="195">
        <f>IF(B277="","",'入力・概要'!$B$25)</f>
        <v/>
      </c>
      <c r="M277" s="195">
        <f>IF(B277="","",C277*'入力・概要'!$B$26*1E-9-1/(C277*'入力・概要'!$B$24*1E-6))</f>
        <v/>
      </c>
      <c r="N277" s="195">
        <f>IF(B277="","",'入力・概要'!$B$28)</f>
        <v/>
      </c>
      <c r="O277" s="195">
        <f>IF(B277="","",C277*'入力・概要'!$B$29*1E-9-1/(C277*'入力・概要'!$B$27*1E-6))</f>
        <v/>
      </c>
      <c r="P277" s="195">
        <f>IF(B277="","",((L277*N277-M277*O277)*(L277+N277)+(L277*O277+M277*N277)*(M277+O277))/((L277+N277)^2+(M277+O277)^2))</f>
        <v/>
      </c>
      <c r="Q277" s="195">
        <f>IF(B277="","",((L277*O277+M277*N277)*(L277+N277)-(L277*N277-M277*O277)*(M277+O277))/((L277+N277)^2+(M277+O277)^2))</f>
        <v/>
      </c>
      <c r="R277" s="195">
        <f>IF(B277="","",'入力・概要'!$E$15*J277)</f>
        <v/>
      </c>
      <c r="S277" s="195">
        <f>IF(B277="","",'入力・概要'!$E$15*K277)</f>
        <v/>
      </c>
      <c r="T277" s="195">
        <f>IF(B277="","",P277+R277)</f>
        <v/>
      </c>
      <c r="U277" s="195">
        <f>IF(B277="","",Q277+S277)</f>
        <v/>
      </c>
      <c r="V277" s="195">
        <f>IF(B277="","",T277+'入力・概要'!$E$9*F277)</f>
        <v/>
      </c>
      <c r="W277" s="195">
        <f>IF(B277="","",U277+'入力・概要'!$E$9*G277)</f>
        <v/>
      </c>
      <c r="X277" s="195">
        <f>IF(B277="","",'入力・概要'!$E$9+T277*F277-U277*G277)</f>
        <v/>
      </c>
      <c r="Y277" s="195">
        <f>IF(B277="","",T277*G277+U277*F277)</f>
        <v/>
      </c>
      <c r="Z277" s="195">
        <f>IF(B277="","",'入力・概要'!$E$9*(V277*X277+W277*Y277)/(X277^2+Y277^2)+'入力・概要'!$B$36)</f>
        <v/>
      </c>
      <c r="AA277" s="195">
        <f>IF(B277="","",'入力・概要'!$E$9*(W277*X277-V277*Y277)/(X277^2+Y277^2)+C277*'入力・概要'!$B$37*1E-9)</f>
        <v/>
      </c>
      <c r="AB277" s="195">
        <f>IF(B277="","",SQRT(Z277^2+AA277^2))</f>
        <v/>
      </c>
      <c r="AC277" s="195">
        <f>IF(B277="","",IF(Z277&gt;0,DEGREES(ATAN(AA277/Z277)),IF(Z277&lt;0,IF(AA277&gt;=0,DEGREES(ATAN(AA277/Z277))+180,DEGREES(ATAN(AA277/Z277))-180),IF(AA277&gt;0,90,IF(AA277&lt;0,-90,0)))))</f>
        <v/>
      </c>
      <c r="AD277" s="195">
        <f>IF(B277="","",LOG10(B277))</f>
        <v/>
      </c>
      <c r="AE277" s="195">
        <f>IF(AB277="","",LOG10(MAX(AB277,1E-12)))</f>
        <v/>
      </c>
      <c r="AF277" s="195">
        <f>IF(B277="","",SQRT(P277^2+Q277^2))</f>
        <v/>
      </c>
      <c r="AG277" s="195">
        <f>IF(B277="","",SQRT(R277^2+S277^2))</f>
        <v/>
      </c>
    </row>
    <row r="278">
      <c r="A278" t="n">
        <v>275</v>
      </c>
      <c r="B278" s="196">
        <f>IF(A278&lt;='入力・概要'!$B$40,10^(LOG10('入力・概要'!$B$38)+(A278-1)*(LOG10('入力・概要'!$B$39)-LOG10('入力・概要'!$B$38))/('入力・概要'!$B$40-1)),"")</f>
        <v/>
      </c>
      <c r="C278" s="195">
        <f>IF(B278="","",2*PI()*B278)</f>
        <v/>
      </c>
      <c r="D278" s="195">
        <f>IF(B278="","",ATANH(MIN(0.999999,'入力・概要'!$E$20/'入力・概要'!$E$9))+'入力・概要'!$B$20*SQRT(B278/1E6)+E278*'入力・概要'!$B$15/2)</f>
        <v/>
      </c>
      <c r="E278" s="195">
        <f>IF(B278="","",C278*('入力・概要'!$E$11*1E-9))</f>
        <v/>
      </c>
      <c r="F278" s="195">
        <f>IF(B278="","",SINH(2*D278)/(COSH(2*D278)+COS(2*E278)))</f>
        <v/>
      </c>
      <c r="G278" s="195">
        <f>IF(B278="","",SIN(2*E278)/(COSH(2*D278)+COS(2*E278)))</f>
        <v/>
      </c>
      <c r="H278" s="195">
        <f>IF(B278="","",ATANH(MIN(0.999999,'入力・概要'!$E$21/'入力・概要'!$E$15))+'入力・概要'!$B$21*SQRT(B278/1E6)+I278*'入力・概要'!$B$16/2)</f>
        <v/>
      </c>
      <c r="I278" s="195">
        <f>IF(B278="","",C278*('入力・概要'!$E$17*1E-9))</f>
        <v/>
      </c>
      <c r="J278" s="195">
        <f>IF(B278="","",SINH(2*H278)/(COSH(2*H278)+COS(2*I278)))</f>
        <v/>
      </c>
      <c r="K278" s="195">
        <f>IF(B278="","",SIN(2*I278)/(COSH(2*H278)+COS(2*I278)))</f>
        <v/>
      </c>
      <c r="L278" s="195">
        <f>IF(B278="","",'入力・概要'!$B$25)</f>
        <v/>
      </c>
      <c r="M278" s="195">
        <f>IF(B278="","",C278*'入力・概要'!$B$26*1E-9-1/(C278*'入力・概要'!$B$24*1E-6))</f>
        <v/>
      </c>
      <c r="N278" s="195">
        <f>IF(B278="","",'入力・概要'!$B$28)</f>
        <v/>
      </c>
      <c r="O278" s="195">
        <f>IF(B278="","",C278*'入力・概要'!$B$29*1E-9-1/(C278*'入力・概要'!$B$27*1E-6))</f>
        <v/>
      </c>
      <c r="P278" s="195">
        <f>IF(B278="","",((L278*N278-M278*O278)*(L278+N278)+(L278*O278+M278*N278)*(M278+O278))/((L278+N278)^2+(M278+O278)^2))</f>
        <v/>
      </c>
      <c r="Q278" s="195">
        <f>IF(B278="","",((L278*O278+M278*N278)*(L278+N278)-(L278*N278-M278*O278)*(M278+O278))/((L278+N278)^2+(M278+O278)^2))</f>
        <v/>
      </c>
      <c r="R278" s="195">
        <f>IF(B278="","",'入力・概要'!$E$15*J278)</f>
        <v/>
      </c>
      <c r="S278" s="195">
        <f>IF(B278="","",'入力・概要'!$E$15*K278)</f>
        <v/>
      </c>
      <c r="T278" s="195">
        <f>IF(B278="","",P278+R278)</f>
        <v/>
      </c>
      <c r="U278" s="195">
        <f>IF(B278="","",Q278+S278)</f>
        <v/>
      </c>
      <c r="V278" s="195">
        <f>IF(B278="","",T278+'入力・概要'!$E$9*F278)</f>
        <v/>
      </c>
      <c r="W278" s="195">
        <f>IF(B278="","",U278+'入力・概要'!$E$9*G278)</f>
        <v/>
      </c>
      <c r="X278" s="195">
        <f>IF(B278="","",'入力・概要'!$E$9+T278*F278-U278*G278)</f>
        <v/>
      </c>
      <c r="Y278" s="195">
        <f>IF(B278="","",T278*G278+U278*F278)</f>
        <v/>
      </c>
      <c r="Z278" s="195">
        <f>IF(B278="","",'入力・概要'!$E$9*(V278*X278+W278*Y278)/(X278^2+Y278^2)+'入力・概要'!$B$36)</f>
        <v/>
      </c>
      <c r="AA278" s="195">
        <f>IF(B278="","",'入力・概要'!$E$9*(W278*X278-V278*Y278)/(X278^2+Y278^2)+C278*'入力・概要'!$B$37*1E-9)</f>
        <v/>
      </c>
      <c r="AB278" s="195">
        <f>IF(B278="","",SQRT(Z278^2+AA278^2))</f>
        <v/>
      </c>
      <c r="AC278" s="195">
        <f>IF(B278="","",IF(Z278&gt;0,DEGREES(ATAN(AA278/Z278)),IF(Z278&lt;0,IF(AA278&gt;=0,DEGREES(ATAN(AA278/Z278))+180,DEGREES(ATAN(AA278/Z278))-180),IF(AA278&gt;0,90,IF(AA278&lt;0,-90,0)))))</f>
        <v/>
      </c>
      <c r="AD278" s="195">
        <f>IF(B278="","",LOG10(B278))</f>
        <v/>
      </c>
      <c r="AE278" s="195">
        <f>IF(AB278="","",LOG10(MAX(AB278,1E-12)))</f>
        <v/>
      </c>
      <c r="AF278" s="195">
        <f>IF(B278="","",SQRT(P278^2+Q278^2))</f>
        <v/>
      </c>
      <c r="AG278" s="195">
        <f>IF(B278="","",SQRT(R278^2+S278^2))</f>
        <v/>
      </c>
    </row>
    <row r="279">
      <c r="A279" t="n">
        <v>276</v>
      </c>
      <c r="B279" s="196">
        <f>IF(A279&lt;='入力・概要'!$B$40,10^(LOG10('入力・概要'!$B$38)+(A279-1)*(LOG10('入力・概要'!$B$39)-LOG10('入力・概要'!$B$38))/('入力・概要'!$B$40-1)),"")</f>
        <v/>
      </c>
      <c r="C279" s="195">
        <f>IF(B279="","",2*PI()*B279)</f>
        <v/>
      </c>
      <c r="D279" s="195">
        <f>IF(B279="","",ATANH(MIN(0.999999,'入力・概要'!$E$20/'入力・概要'!$E$9))+'入力・概要'!$B$20*SQRT(B279/1E6)+E279*'入力・概要'!$B$15/2)</f>
        <v/>
      </c>
      <c r="E279" s="195">
        <f>IF(B279="","",C279*('入力・概要'!$E$11*1E-9))</f>
        <v/>
      </c>
      <c r="F279" s="195">
        <f>IF(B279="","",SINH(2*D279)/(COSH(2*D279)+COS(2*E279)))</f>
        <v/>
      </c>
      <c r="G279" s="195">
        <f>IF(B279="","",SIN(2*E279)/(COSH(2*D279)+COS(2*E279)))</f>
        <v/>
      </c>
      <c r="H279" s="195">
        <f>IF(B279="","",ATANH(MIN(0.999999,'入力・概要'!$E$21/'入力・概要'!$E$15))+'入力・概要'!$B$21*SQRT(B279/1E6)+I279*'入力・概要'!$B$16/2)</f>
        <v/>
      </c>
      <c r="I279" s="195">
        <f>IF(B279="","",C279*('入力・概要'!$E$17*1E-9))</f>
        <v/>
      </c>
      <c r="J279" s="195">
        <f>IF(B279="","",SINH(2*H279)/(COSH(2*H279)+COS(2*I279)))</f>
        <v/>
      </c>
      <c r="K279" s="195">
        <f>IF(B279="","",SIN(2*I279)/(COSH(2*H279)+COS(2*I279)))</f>
        <v/>
      </c>
      <c r="L279" s="195">
        <f>IF(B279="","",'入力・概要'!$B$25)</f>
        <v/>
      </c>
      <c r="M279" s="195">
        <f>IF(B279="","",C279*'入力・概要'!$B$26*1E-9-1/(C279*'入力・概要'!$B$24*1E-6))</f>
        <v/>
      </c>
      <c r="N279" s="195">
        <f>IF(B279="","",'入力・概要'!$B$28)</f>
        <v/>
      </c>
      <c r="O279" s="195">
        <f>IF(B279="","",C279*'入力・概要'!$B$29*1E-9-1/(C279*'入力・概要'!$B$27*1E-6))</f>
        <v/>
      </c>
      <c r="P279" s="195">
        <f>IF(B279="","",((L279*N279-M279*O279)*(L279+N279)+(L279*O279+M279*N279)*(M279+O279))/((L279+N279)^2+(M279+O279)^2))</f>
        <v/>
      </c>
      <c r="Q279" s="195">
        <f>IF(B279="","",((L279*O279+M279*N279)*(L279+N279)-(L279*N279-M279*O279)*(M279+O279))/((L279+N279)^2+(M279+O279)^2))</f>
        <v/>
      </c>
      <c r="R279" s="195">
        <f>IF(B279="","",'入力・概要'!$E$15*J279)</f>
        <v/>
      </c>
      <c r="S279" s="195">
        <f>IF(B279="","",'入力・概要'!$E$15*K279)</f>
        <v/>
      </c>
      <c r="T279" s="195">
        <f>IF(B279="","",P279+R279)</f>
        <v/>
      </c>
      <c r="U279" s="195">
        <f>IF(B279="","",Q279+S279)</f>
        <v/>
      </c>
      <c r="V279" s="195">
        <f>IF(B279="","",T279+'入力・概要'!$E$9*F279)</f>
        <v/>
      </c>
      <c r="W279" s="195">
        <f>IF(B279="","",U279+'入力・概要'!$E$9*G279)</f>
        <v/>
      </c>
      <c r="X279" s="195">
        <f>IF(B279="","",'入力・概要'!$E$9+T279*F279-U279*G279)</f>
        <v/>
      </c>
      <c r="Y279" s="195">
        <f>IF(B279="","",T279*G279+U279*F279)</f>
        <v/>
      </c>
      <c r="Z279" s="195">
        <f>IF(B279="","",'入力・概要'!$E$9*(V279*X279+W279*Y279)/(X279^2+Y279^2)+'入力・概要'!$B$36)</f>
        <v/>
      </c>
      <c r="AA279" s="195">
        <f>IF(B279="","",'入力・概要'!$E$9*(W279*X279-V279*Y279)/(X279^2+Y279^2)+C279*'入力・概要'!$B$37*1E-9)</f>
        <v/>
      </c>
      <c r="AB279" s="195">
        <f>IF(B279="","",SQRT(Z279^2+AA279^2))</f>
        <v/>
      </c>
      <c r="AC279" s="195">
        <f>IF(B279="","",IF(Z279&gt;0,DEGREES(ATAN(AA279/Z279)),IF(Z279&lt;0,IF(AA279&gt;=0,DEGREES(ATAN(AA279/Z279))+180,DEGREES(ATAN(AA279/Z279))-180),IF(AA279&gt;0,90,IF(AA279&lt;0,-90,0)))))</f>
        <v/>
      </c>
      <c r="AD279" s="195">
        <f>IF(B279="","",LOG10(B279))</f>
        <v/>
      </c>
      <c r="AE279" s="195">
        <f>IF(AB279="","",LOG10(MAX(AB279,1E-12)))</f>
        <v/>
      </c>
      <c r="AF279" s="195">
        <f>IF(B279="","",SQRT(P279^2+Q279^2))</f>
        <v/>
      </c>
      <c r="AG279" s="195">
        <f>IF(B279="","",SQRT(R279^2+S279^2))</f>
        <v/>
      </c>
    </row>
    <row r="280">
      <c r="A280" t="n">
        <v>277</v>
      </c>
      <c r="B280" s="196">
        <f>IF(A280&lt;='入力・概要'!$B$40,10^(LOG10('入力・概要'!$B$38)+(A280-1)*(LOG10('入力・概要'!$B$39)-LOG10('入力・概要'!$B$38))/('入力・概要'!$B$40-1)),"")</f>
        <v/>
      </c>
      <c r="C280" s="195">
        <f>IF(B280="","",2*PI()*B280)</f>
        <v/>
      </c>
      <c r="D280" s="195">
        <f>IF(B280="","",ATANH(MIN(0.999999,'入力・概要'!$E$20/'入力・概要'!$E$9))+'入力・概要'!$B$20*SQRT(B280/1E6)+E280*'入力・概要'!$B$15/2)</f>
        <v/>
      </c>
      <c r="E280" s="195">
        <f>IF(B280="","",C280*('入力・概要'!$E$11*1E-9))</f>
        <v/>
      </c>
      <c r="F280" s="195">
        <f>IF(B280="","",SINH(2*D280)/(COSH(2*D280)+COS(2*E280)))</f>
        <v/>
      </c>
      <c r="G280" s="195">
        <f>IF(B280="","",SIN(2*E280)/(COSH(2*D280)+COS(2*E280)))</f>
        <v/>
      </c>
      <c r="H280" s="195">
        <f>IF(B280="","",ATANH(MIN(0.999999,'入力・概要'!$E$21/'入力・概要'!$E$15))+'入力・概要'!$B$21*SQRT(B280/1E6)+I280*'入力・概要'!$B$16/2)</f>
        <v/>
      </c>
      <c r="I280" s="195">
        <f>IF(B280="","",C280*('入力・概要'!$E$17*1E-9))</f>
        <v/>
      </c>
      <c r="J280" s="195">
        <f>IF(B280="","",SINH(2*H280)/(COSH(2*H280)+COS(2*I280)))</f>
        <v/>
      </c>
      <c r="K280" s="195">
        <f>IF(B280="","",SIN(2*I280)/(COSH(2*H280)+COS(2*I280)))</f>
        <v/>
      </c>
      <c r="L280" s="195">
        <f>IF(B280="","",'入力・概要'!$B$25)</f>
        <v/>
      </c>
      <c r="M280" s="195">
        <f>IF(B280="","",C280*'入力・概要'!$B$26*1E-9-1/(C280*'入力・概要'!$B$24*1E-6))</f>
        <v/>
      </c>
      <c r="N280" s="195">
        <f>IF(B280="","",'入力・概要'!$B$28)</f>
        <v/>
      </c>
      <c r="O280" s="195">
        <f>IF(B280="","",C280*'入力・概要'!$B$29*1E-9-1/(C280*'入力・概要'!$B$27*1E-6))</f>
        <v/>
      </c>
      <c r="P280" s="195">
        <f>IF(B280="","",((L280*N280-M280*O280)*(L280+N280)+(L280*O280+M280*N280)*(M280+O280))/((L280+N280)^2+(M280+O280)^2))</f>
        <v/>
      </c>
      <c r="Q280" s="195">
        <f>IF(B280="","",((L280*O280+M280*N280)*(L280+N280)-(L280*N280-M280*O280)*(M280+O280))/((L280+N280)^2+(M280+O280)^2))</f>
        <v/>
      </c>
      <c r="R280" s="195">
        <f>IF(B280="","",'入力・概要'!$E$15*J280)</f>
        <v/>
      </c>
      <c r="S280" s="195">
        <f>IF(B280="","",'入力・概要'!$E$15*K280)</f>
        <v/>
      </c>
      <c r="T280" s="195">
        <f>IF(B280="","",P280+R280)</f>
        <v/>
      </c>
      <c r="U280" s="195">
        <f>IF(B280="","",Q280+S280)</f>
        <v/>
      </c>
      <c r="V280" s="195">
        <f>IF(B280="","",T280+'入力・概要'!$E$9*F280)</f>
        <v/>
      </c>
      <c r="W280" s="195">
        <f>IF(B280="","",U280+'入力・概要'!$E$9*G280)</f>
        <v/>
      </c>
      <c r="X280" s="195">
        <f>IF(B280="","",'入力・概要'!$E$9+T280*F280-U280*G280)</f>
        <v/>
      </c>
      <c r="Y280" s="195">
        <f>IF(B280="","",T280*G280+U280*F280)</f>
        <v/>
      </c>
      <c r="Z280" s="195">
        <f>IF(B280="","",'入力・概要'!$E$9*(V280*X280+W280*Y280)/(X280^2+Y280^2)+'入力・概要'!$B$36)</f>
        <v/>
      </c>
      <c r="AA280" s="195">
        <f>IF(B280="","",'入力・概要'!$E$9*(W280*X280-V280*Y280)/(X280^2+Y280^2)+C280*'入力・概要'!$B$37*1E-9)</f>
        <v/>
      </c>
      <c r="AB280" s="195">
        <f>IF(B280="","",SQRT(Z280^2+AA280^2))</f>
        <v/>
      </c>
      <c r="AC280" s="195">
        <f>IF(B280="","",IF(Z280&gt;0,DEGREES(ATAN(AA280/Z280)),IF(Z280&lt;0,IF(AA280&gt;=0,DEGREES(ATAN(AA280/Z280))+180,DEGREES(ATAN(AA280/Z280))-180),IF(AA280&gt;0,90,IF(AA280&lt;0,-90,0)))))</f>
        <v/>
      </c>
      <c r="AD280" s="195">
        <f>IF(B280="","",LOG10(B280))</f>
        <v/>
      </c>
      <c r="AE280" s="195">
        <f>IF(AB280="","",LOG10(MAX(AB280,1E-12)))</f>
        <v/>
      </c>
      <c r="AF280" s="195">
        <f>IF(B280="","",SQRT(P280^2+Q280^2))</f>
        <v/>
      </c>
      <c r="AG280" s="195">
        <f>IF(B280="","",SQRT(R280^2+S280^2))</f>
        <v/>
      </c>
    </row>
    <row r="281">
      <c r="A281" t="n">
        <v>278</v>
      </c>
      <c r="B281" s="196">
        <f>IF(A281&lt;='入力・概要'!$B$40,10^(LOG10('入力・概要'!$B$38)+(A281-1)*(LOG10('入力・概要'!$B$39)-LOG10('入力・概要'!$B$38))/('入力・概要'!$B$40-1)),"")</f>
        <v/>
      </c>
      <c r="C281" s="195">
        <f>IF(B281="","",2*PI()*B281)</f>
        <v/>
      </c>
      <c r="D281" s="195">
        <f>IF(B281="","",ATANH(MIN(0.999999,'入力・概要'!$E$20/'入力・概要'!$E$9))+'入力・概要'!$B$20*SQRT(B281/1E6)+E281*'入力・概要'!$B$15/2)</f>
        <v/>
      </c>
      <c r="E281" s="195">
        <f>IF(B281="","",C281*('入力・概要'!$E$11*1E-9))</f>
        <v/>
      </c>
      <c r="F281" s="195">
        <f>IF(B281="","",SINH(2*D281)/(COSH(2*D281)+COS(2*E281)))</f>
        <v/>
      </c>
      <c r="G281" s="195">
        <f>IF(B281="","",SIN(2*E281)/(COSH(2*D281)+COS(2*E281)))</f>
        <v/>
      </c>
      <c r="H281" s="195">
        <f>IF(B281="","",ATANH(MIN(0.999999,'入力・概要'!$E$21/'入力・概要'!$E$15))+'入力・概要'!$B$21*SQRT(B281/1E6)+I281*'入力・概要'!$B$16/2)</f>
        <v/>
      </c>
      <c r="I281" s="195">
        <f>IF(B281="","",C281*('入力・概要'!$E$17*1E-9))</f>
        <v/>
      </c>
      <c r="J281" s="195">
        <f>IF(B281="","",SINH(2*H281)/(COSH(2*H281)+COS(2*I281)))</f>
        <v/>
      </c>
      <c r="K281" s="195">
        <f>IF(B281="","",SIN(2*I281)/(COSH(2*H281)+COS(2*I281)))</f>
        <v/>
      </c>
      <c r="L281" s="195">
        <f>IF(B281="","",'入力・概要'!$B$25)</f>
        <v/>
      </c>
      <c r="M281" s="195">
        <f>IF(B281="","",C281*'入力・概要'!$B$26*1E-9-1/(C281*'入力・概要'!$B$24*1E-6))</f>
        <v/>
      </c>
      <c r="N281" s="195">
        <f>IF(B281="","",'入力・概要'!$B$28)</f>
        <v/>
      </c>
      <c r="O281" s="195">
        <f>IF(B281="","",C281*'入力・概要'!$B$29*1E-9-1/(C281*'入力・概要'!$B$27*1E-6))</f>
        <v/>
      </c>
      <c r="P281" s="195">
        <f>IF(B281="","",((L281*N281-M281*O281)*(L281+N281)+(L281*O281+M281*N281)*(M281+O281))/((L281+N281)^2+(M281+O281)^2))</f>
        <v/>
      </c>
      <c r="Q281" s="195">
        <f>IF(B281="","",((L281*O281+M281*N281)*(L281+N281)-(L281*N281-M281*O281)*(M281+O281))/((L281+N281)^2+(M281+O281)^2))</f>
        <v/>
      </c>
      <c r="R281" s="195">
        <f>IF(B281="","",'入力・概要'!$E$15*J281)</f>
        <v/>
      </c>
      <c r="S281" s="195">
        <f>IF(B281="","",'入力・概要'!$E$15*K281)</f>
        <v/>
      </c>
      <c r="T281" s="195">
        <f>IF(B281="","",P281+R281)</f>
        <v/>
      </c>
      <c r="U281" s="195">
        <f>IF(B281="","",Q281+S281)</f>
        <v/>
      </c>
      <c r="V281" s="195">
        <f>IF(B281="","",T281+'入力・概要'!$E$9*F281)</f>
        <v/>
      </c>
      <c r="W281" s="195">
        <f>IF(B281="","",U281+'入力・概要'!$E$9*G281)</f>
        <v/>
      </c>
      <c r="X281" s="195">
        <f>IF(B281="","",'入力・概要'!$E$9+T281*F281-U281*G281)</f>
        <v/>
      </c>
      <c r="Y281" s="195">
        <f>IF(B281="","",T281*G281+U281*F281)</f>
        <v/>
      </c>
      <c r="Z281" s="195">
        <f>IF(B281="","",'入力・概要'!$E$9*(V281*X281+W281*Y281)/(X281^2+Y281^2)+'入力・概要'!$B$36)</f>
        <v/>
      </c>
      <c r="AA281" s="195">
        <f>IF(B281="","",'入力・概要'!$E$9*(W281*X281-V281*Y281)/(X281^2+Y281^2)+C281*'入力・概要'!$B$37*1E-9)</f>
        <v/>
      </c>
      <c r="AB281" s="195">
        <f>IF(B281="","",SQRT(Z281^2+AA281^2))</f>
        <v/>
      </c>
      <c r="AC281" s="195">
        <f>IF(B281="","",IF(Z281&gt;0,DEGREES(ATAN(AA281/Z281)),IF(Z281&lt;0,IF(AA281&gt;=0,DEGREES(ATAN(AA281/Z281))+180,DEGREES(ATAN(AA281/Z281))-180),IF(AA281&gt;0,90,IF(AA281&lt;0,-90,0)))))</f>
        <v/>
      </c>
      <c r="AD281" s="195">
        <f>IF(B281="","",LOG10(B281))</f>
        <v/>
      </c>
      <c r="AE281" s="195">
        <f>IF(AB281="","",LOG10(MAX(AB281,1E-12)))</f>
        <v/>
      </c>
      <c r="AF281" s="195">
        <f>IF(B281="","",SQRT(P281^2+Q281^2))</f>
        <v/>
      </c>
      <c r="AG281" s="195">
        <f>IF(B281="","",SQRT(R281^2+S281^2))</f>
        <v/>
      </c>
    </row>
    <row r="282">
      <c r="A282" t="n">
        <v>279</v>
      </c>
      <c r="B282" s="196">
        <f>IF(A282&lt;='入力・概要'!$B$40,10^(LOG10('入力・概要'!$B$38)+(A282-1)*(LOG10('入力・概要'!$B$39)-LOG10('入力・概要'!$B$38))/('入力・概要'!$B$40-1)),"")</f>
        <v/>
      </c>
      <c r="C282" s="195">
        <f>IF(B282="","",2*PI()*B282)</f>
        <v/>
      </c>
      <c r="D282" s="195">
        <f>IF(B282="","",ATANH(MIN(0.999999,'入力・概要'!$E$20/'入力・概要'!$E$9))+'入力・概要'!$B$20*SQRT(B282/1E6)+E282*'入力・概要'!$B$15/2)</f>
        <v/>
      </c>
      <c r="E282" s="195">
        <f>IF(B282="","",C282*('入力・概要'!$E$11*1E-9))</f>
        <v/>
      </c>
      <c r="F282" s="195">
        <f>IF(B282="","",SINH(2*D282)/(COSH(2*D282)+COS(2*E282)))</f>
        <v/>
      </c>
      <c r="G282" s="195">
        <f>IF(B282="","",SIN(2*E282)/(COSH(2*D282)+COS(2*E282)))</f>
        <v/>
      </c>
      <c r="H282" s="195">
        <f>IF(B282="","",ATANH(MIN(0.999999,'入力・概要'!$E$21/'入力・概要'!$E$15))+'入力・概要'!$B$21*SQRT(B282/1E6)+I282*'入力・概要'!$B$16/2)</f>
        <v/>
      </c>
      <c r="I282" s="195">
        <f>IF(B282="","",C282*('入力・概要'!$E$17*1E-9))</f>
        <v/>
      </c>
      <c r="J282" s="195">
        <f>IF(B282="","",SINH(2*H282)/(COSH(2*H282)+COS(2*I282)))</f>
        <v/>
      </c>
      <c r="K282" s="195">
        <f>IF(B282="","",SIN(2*I282)/(COSH(2*H282)+COS(2*I282)))</f>
        <v/>
      </c>
      <c r="L282" s="195">
        <f>IF(B282="","",'入力・概要'!$B$25)</f>
        <v/>
      </c>
      <c r="M282" s="195">
        <f>IF(B282="","",C282*'入力・概要'!$B$26*1E-9-1/(C282*'入力・概要'!$B$24*1E-6))</f>
        <v/>
      </c>
      <c r="N282" s="195">
        <f>IF(B282="","",'入力・概要'!$B$28)</f>
        <v/>
      </c>
      <c r="O282" s="195">
        <f>IF(B282="","",C282*'入力・概要'!$B$29*1E-9-1/(C282*'入力・概要'!$B$27*1E-6))</f>
        <v/>
      </c>
      <c r="P282" s="195">
        <f>IF(B282="","",((L282*N282-M282*O282)*(L282+N282)+(L282*O282+M282*N282)*(M282+O282))/((L282+N282)^2+(M282+O282)^2))</f>
        <v/>
      </c>
      <c r="Q282" s="195">
        <f>IF(B282="","",((L282*O282+M282*N282)*(L282+N282)-(L282*N282-M282*O282)*(M282+O282))/((L282+N282)^2+(M282+O282)^2))</f>
        <v/>
      </c>
      <c r="R282" s="195">
        <f>IF(B282="","",'入力・概要'!$E$15*J282)</f>
        <v/>
      </c>
      <c r="S282" s="195">
        <f>IF(B282="","",'入力・概要'!$E$15*K282)</f>
        <v/>
      </c>
      <c r="T282" s="195">
        <f>IF(B282="","",P282+R282)</f>
        <v/>
      </c>
      <c r="U282" s="195">
        <f>IF(B282="","",Q282+S282)</f>
        <v/>
      </c>
      <c r="V282" s="195">
        <f>IF(B282="","",T282+'入力・概要'!$E$9*F282)</f>
        <v/>
      </c>
      <c r="W282" s="195">
        <f>IF(B282="","",U282+'入力・概要'!$E$9*G282)</f>
        <v/>
      </c>
      <c r="X282" s="195">
        <f>IF(B282="","",'入力・概要'!$E$9+T282*F282-U282*G282)</f>
        <v/>
      </c>
      <c r="Y282" s="195">
        <f>IF(B282="","",T282*G282+U282*F282)</f>
        <v/>
      </c>
      <c r="Z282" s="195">
        <f>IF(B282="","",'入力・概要'!$E$9*(V282*X282+W282*Y282)/(X282^2+Y282^2)+'入力・概要'!$B$36)</f>
        <v/>
      </c>
      <c r="AA282" s="195">
        <f>IF(B282="","",'入力・概要'!$E$9*(W282*X282-V282*Y282)/(X282^2+Y282^2)+C282*'入力・概要'!$B$37*1E-9)</f>
        <v/>
      </c>
      <c r="AB282" s="195">
        <f>IF(B282="","",SQRT(Z282^2+AA282^2))</f>
        <v/>
      </c>
      <c r="AC282" s="195">
        <f>IF(B282="","",IF(Z282&gt;0,DEGREES(ATAN(AA282/Z282)),IF(Z282&lt;0,IF(AA282&gt;=0,DEGREES(ATAN(AA282/Z282))+180,DEGREES(ATAN(AA282/Z282))-180),IF(AA282&gt;0,90,IF(AA282&lt;0,-90,0)))))</f>
        <v/>
      </c>
      <c r="AD282" s="195">
        <f>IF(B282="","",LOG10(B282))</f>
        <v/>
      </c>
      <c r="AE282" s="195">
        <f>IF(AB282="","",LOG10(MAX(AB282,1E-12)))</f>
        <v/>
      </c>
      <c r="AF282" s="195">
        <f>IF(B282="","",SQRT(P282^2+Q282^2))</f>
        <v/>
      </c>
      <c r="AG282" s="195">
        <f>IF(B282="","",SQRT(R282^2+S282^2))</f>
        <v/>
      </c>
    </row>
    <row r="283">
      <c r="A283" t="n">
        <v>280</v>
      </c>
      <c r="B283" s="196">
        <f>IF(A283&lt;='入力・概要'!$B$40,10^(LOG10('入力・概要'!$B$38)+(A283-1)*(LOG10('入力・概要'!$B$39)-LOG10('入力・概要'!$B$38))/('入力・概要'!$B$40-1)),"")</f>
        <v/>
      </c>
      <c r="C283" s="195">
        <f>IF(B283="","",2*PI()*B283)</f>
        <v/>
      </c>
      <c r="D283" s="195">
        <f>IF(B283="","",ATANH(MIN(0.999999,'入力・概要'!$E$20/'入力・概要'!$E$9))+'入力・概要'!$B$20*SQRT(B283/1E6)+E283*'入力・概要'!$B$15/2)</f>
        <v/>
      </c>
      <c r="E283" s="195">
        <f>IF(B283="","",C283*('入力・概要'!$E$11*1E-9))</f>
        <v/>
      </c>
      <c r="F283" s="195">
        <f>IF(B283="","",SINH(2*D283)/(COSH(2*D283)+COS(2*E283)))</f>
        <v/>
      </c>
      <c r="G283" s="195">
        <f>IF(B283="","",SIN(2*E283)/(COSH(2*D283)+COS(2*E283)))</f>
        <v/>
      </c>
      <c r="H283" s="195">
        <f>IF(B283="","",ATANH(MIN(0.999999,'入力・概要'!$E$21/'入力・概要'!$E$15))+'入力・概要'!$B$21*SQRT(B283/1E6)+I283*'入力・概要'!$B$16/2)</f>
        <v/>
      </c>
      <c r="I283" s="195">
        <f>IF(B283="","",C283*('入力・概要'!$E$17*1E-9))</f>
        <v/>
      </c>
      <c r="J283" s="195">
        <f>IF(B283="","",SINH(2*H283)/(COSH(2*H283)+COS(2*I283)))</f>
        <v/>
      </c>
      <c r="K283" s="195">
        <f>IF(B283="","",SIN(2*I283)/(COSH(2*H283)+COS(2*I283)))</f>
        <v/>
      </c>
      <c r="L283" s="195">
        <f>IF(B283="","",'入力・概要'!$B$25)</f>
        <v/>
      </c>
      <c r="M283" s="195">
        <f>IF(B283="","",C283*'入力・概要'!$B$26*1E-9-1/(C283*'入力・概要'!$B$24*1E-6))</f>
        <v/>
      </c>
      <c r="N283" s="195">
        <f>IF(B283="","",'入力・概要'!$B$28)</f>
        <v/>
      </c>
      <c r="O283" s="195">
        <f>IF(B283="","",C283*'入力・概要'!$B$29*1E-9-1/(C283*'入力・概要'!$B$27*1E-6))</f>
        <v/>
      </c>
      <c r="P283" s="195">
        <f>IF(B283="","",((L283*N283-M283*O283)*(L283+N283)+(L283*O283+M283*N283)*(M283+O283))/((L283+N283)^2+(M283+O283)^2))</f>
        <v/>
      </c>
      <c r="Q283" s="195">
        <f>IF(B283="","",((L283*O283+M283*N283)*(L283+N283)-(L283*N283-M283*O283)*(M283+O283))/((L283+N283)^2+(M283+O283)^2))</f>
        <v/>
      </c>
      <c r="R283" s="195">
        <f>IF(B283="","",'入力・概要'!$E$15*J283)</f>
        <v/>
      </c>
      <c r="S283" s="195">
        <f>IF(B283="","",'入力・概要'!$E$15*K283)</f>
        <v/>
      </c>
      <c r="T283" s="195">
        <f>IF(B283="","",P283+R283)</f>
        <v/>
      </c>
      <c r="U283" s="195">
        <f>IF(B283="","",Q283+S283)</f>
        <v/>
      </c>
      <c r="V283" s="195">
        <f>IF(B283="","",T283+'入力・概要'!$E$9*F283)</f>
        <v/>
      </c>
      <c r="W283" s="195">
        <f>IF(B283="","",U283+'入力・概要'!$E$9*G283)</f>
        <v/>
      </c>
      <c r="X283" s="195">
        <f>IF(B283="","",'入力・概要'!$E$9+T283*F283-U283*G283)</f>
        <v/>
      </c>
      <c r="Y283" s="195">
        <f>IF(B283="","",T283*G283+U283*F283)</f>
        <v/>
      </c>
      <c r="Z283" s="195">
        <f>IF(B283="","",'入力・概要'!$E$9*(V283*X283+W283*Y283)/(X283^2+Y283^2)+'入力・概要'!$B$36)</f>
        <v/>
      </c>
      <c r="AA283" s="195">
        <f>IF(B283="","",'入力・概要'!$E$9*(W283*X283-V283*Y283)/(X283^2+Y283^2)+C283*'入力・概要'!$B$37*1E-9)</f>
        <v/>
      </c>
      <c r="AB283" s="195">
        <f>IF(B283="","",SQRT(Z283^2+AA283^2))</f>
        <v/>
      </c>
      <c r="AC283" s="195">
        <f>IF(B283="","",IF(Z283&gt;0,DEGREES(ATAN(AA283/Z283)),IF(Z283&lt;0,IF(AA283&gt;=0,DEGREES(ATAN(AA283/Z283))+180,DEGREES(ATAN(AA283/Z283))-180),IF(AA283&gt;0,90,IF(AA283&lt;0,-90,0)))))</f>
        <v/>
      </c>
      <c r="AD283" s="195">
        <f>IF(B283="","",LOG10(B283))</f>
        <v/>
      </c>
      <c r="AE283" s="195">
        <f>IF(AB283="","",LOG10(MAX(AB283,1E-12)))</f>
        <v/>
      </c>
      <c r="AF283" s="195">
        <f>IF(B283="","",SQRT(P283^2+Q283^2))</f>
        <v/>
      </c>
      <c r="AG283" s="195">
        <f>IF(B283="","",SQRT(R283^2+S283^2))</f>
        <v/>
      </c>
    </row>
    <row r="284">
      <c r="A284" t="n">
        <v>281</v>
      </c>
      <c r="B284" s="196">
        <f>IF(A284&lt;='入力・概要'!$B$40,10^(LOG10('入力・概要'!$B$38)+(A284-1)*(LOG10('入力・概要'!$B$39)-LOG10('入力・概要'!$B$38))/('入力・概要'!$B$40-1)),"")</f>
        <v/>
      </c>
      <c r="C284" s="195">
        <f>IF(B284="","",2*PI()*B284)</f>
        <v/>
      </c>
      <c r="D284" s="195">
        <f>IF(B284="","",ATANH(MIN(0.999999,'入力・概要'!$E$20/'入力・概要'!$E$9))+'入力・概要'!$B$20*SQRT(B284/1E6)+E284*'入力・概要'!$B$15/2)</f>
        <v/>
      </c>
      <c r="E284" s="195">
        <f>IF(B284="","",C284*('入力・概要'!$E$11*1E-9))</f>
        <v/>
      </c>
      <c r="F284" s="195">
        <f>IF(B284="","",SINH(2*D284)/(COSH(2*D284)+COS(2*E284)))</f>
        <v/>
      </c>
      <c r="G284" s="195">
        <f>IF(B284="","",SIN(2*E284)/(COSH(2*D284)+COS(2*E284)))</f>
        <v/>
      </c>
      <c r="H284" s="195">
        <f>IF(B284="","",ATANH(MIN(0.999999,'入力・概要'!$E$21/'入力・概要'!$E$15))+'入力・概要'!$B$21*SQRT(B284/1E6)+I284*'入力・概要'!$B$16/2)</f>
        <v/>
      </c>
      <c r="I284" s="195">
        <f>IF(B284="","",C284*('入力・概要'!$E$17*1E-9))</f>
        <v/>
      </c>
      <c r="J284" s="195">
        <f>IF(B284="","",SINH(2*H284)/(COSH(2*H284)+COS(2*I284)))</f>
        <v/>
      </c>
      <c r="K284" s="195">
        <f>IF(B284="","",SIN(2*I284)/(COSH(2*H284)+COS(2*I284)))</f>
        <v/>
      </c>
      <c r="L284" s="195">
        <f>IF(B284="","",'入力・概要'!$B$25)</f>
        <v/>
      </c>
      <c r="M284" s="195">
        <f>IF(B284="","",C284*'入力・概要'!$B$26*1E-9-1/(C284*'入力・概要'!$B$24*1E-6))</f>
        <v/>
      </c>
      <c r="N284" s="195">
        <f>IF(B284="","",'入力・概要'!$B$28)</f>
        <v/>
      </c>
      <c r="O284" s="195">
        <f>IF(B284="","",C284*'入力・概要'!$B$29*1E-9-1/(C284*'入力・概要'!$B$27*1E-6))</f>
        <v/>
      </c>
      <c r="P284" s="195">
        <f>IF(B284="","",((L284*N284-M284*O284)*(L284+N284)+(L284*O284+M284*N284)*(M284+O284))/((L284+N284)^2+(M284+O284)^2))</f>
        <v/>
      </c>
      <c r="Q284" s="195">
        <f>IF(B284="","",((L284*O284+M284*N284)*(L284+N284)-(L284*N284-M284*O284)*(M284+O284))/((L284+N284)^2+(M284+O284)^2))</f>
        <v/>
      </c>
      <c r="R284" s="195">
        <f>IF(B284="","",'入力・概要'!$E$15*J284)</f>
        <v/>
      </c>
      <c r="S284" s="195">
        <f>IF(B284="","",'入力・概要'!$E$15*K284)</f>
        <v/>
      </c>
      <c r="T284" s="195">
        <f>IF(B284="","",P284+R284)</f>
        <v/>
      </c>
      <c r="U284" s="195">
        <f>IF(B284="","",Q284+S284)</f>
        <v/>
      </c>
      <c r="V284" s="195">
        <f>IF(B284="","",T284+'入力・概要'!$E$9*F284)</f>
        <v/>
      </c>
      <c r="W284" s="195">
        <f>IF(B284="","",U284+'入力・概要'!$E$9*G284)</f>
        <v/>
      </c>
      <c r="X284" s="195">
        <f>IF(B284="","",'入力・概要'!$E$9+T284*F284-U284*G284)</f>
        <v/>
      </c>
      <c r="Y284" s="195">
        <f>IF(B284="","",T284*G284+U284*F284)</f>
        <v/>
      </c>
      <c r="Z284" s="195">
        <f>IF(B284="","",'入力・概要'!$E$9*(V284*X284+W284*Y284)/(X284^2+Y284^2)+'入力・概要'!$B$36)</f>
        <v/>
      </c>
      <c r="AA284" s="195">
        <f>IF(B284="","",'入力・概要'!$E$9*(W284*X284-V284*Y284)/(X284^2+Y284^2)+C284*'入力・概要'!$B$37*1E-9)</f>
        <v/>
      </c>
      <c r="AB284" s="195">
        <f>IF(B284="","",SQRT(Z284^2+AA284^2))</f>
        <v/>
      </c>
      <c r="AC284" s="195">
        <f>IF(B284="","",IF(Z284&gt;0,DEGREES(ATAN(AA284/Z284)),IF(Z284&lt;0,IF(AA284&gt;=0,DEGREES(ATAN(AA284/Z284))+180,DEGREES(ATAN(AA284/Z284))-180),IF(AA284&gt;0,90,IF(AA284&lt;0,-90,0)))))</f>
        <v/>
      </c>
      <c r="AD284" s="195">
        <f>IF(B284="","",LOG10(B284))</f>
        <v/>
      </c>
      <c r="AE284" s="195">
        <f>IF(AB284="","",LOG10(MAX(AB284,1E-12)))</f>
        <v/>
      </c>
      <c r="AF284" s="195">
        <f>IF(B284="","",SQRT(P284^2+Q284^2))</f>
        <v/>
      </c>
      <c r="AG284" s="195">
        <f>IF(B284="","",SQRT(R284^2+S284^2))</f>
        <v/>
      </c>
    </row>
    <row r="285">
      <c r="A285" t="n">
        <v>282</v>
      </c>
      <c r="B285" s="196">
        <f>IF(A285&lt;='入力・概要'!$B$40,10^(LOG10('入力・概要'!$B$38)+(A285-1)*(LOG10('入力・概要'!$B$39)-LOG10('入力・概要'!$B$38))/('入力・概要'!$B$40-1)),"")</f>
        <v/>
      </c>
      <c r="C285" s="195">
        <f>IF(B285="","",2*PI()*B285)</f>
        <v/>
      </c>
      <c r="D285" s="195">
        <f>IF(B285="","",ATANH(MIN(0.999999,'入力・概要'!$E$20/'入力・概要'!$E$9))+'入力・概要'!$B$20*SQRT(B285/1E6)+E285*'入力・概要'!$B$15/2)</f>
        <v/>
      </c>
      <c r="E285" s="195">
        <f>IF(B285="","",C285*('入力・概要'!$E$11*1E-9))</f>
        <v/>
      </c>
      <c r="F285" s="195">
        <f>IF(B285="","",SINH(2*D285)/(COSH(2*D285)+COS(2*E285)))</f>
        <v/>
      </c>
      <c r="G285" s="195">
        <f>IF(B285="","",SIN(2*E285)/(COSH(2*D285)+COS(2*E285)))</f>
        <v/>
      </c>
      <c r="H285" s="195">
        <f>IF(B285="","",ATANH(MIN(0.999999,'入力・概要'!$E$21/'入力・概要'!$E$15))+'入力・概要'!$B$21*SQRT(B285/1E6)+I285*'入力・概要'!$B$16/2)</f>
        <v/>
      </c>
      <c r="I285" s="195">
        <f>IF(B285="","",C285*('入力・概要'!$E$17*1E-9))</f>
        <v/>
      </c>
      <c r="J285" s="195">
        <f>IF(B285="","",SINH(2*H285)/(COSH(2*H285)+COS(2*I285)))</f>
        <v/>
      </c>
      <c r="K285" s="195">
        <f>IF(B285="","",SIN(2*I285)/(COSH(2*H285)+COS(2*I285)))</f>
        <v/>
      </c>
      <c r="L285" s="195">
        <f>IF(B285="","",'入力・概要'!$B$25)</f>
        <v/>
      </c>
      <c r="M285" s="195">
        <f>IF(B285="","",C285*'入力・概要'!$B$26*1E-9-1/(C285*'入力・概要'!$B$24*1E-6))</f>
        <v/>
      </c>
      <c r="N285" s="195">
        <f>IF(B285="","",'入力・概要'!$B$28)</f>
        <v/>
      </c>
      <c r="O285" s="195">
        <f>IF(B285="","",C285*'入力・概要'!$B$29*1E-9-1/(C285*'入力・概要'!$B$27*1E-6))</f>
        <v/>
      </c>
      <c r="P285" s="195">
        <f>IF(B285="","",((L285*N285-M285*O285)*(L285+N285)+(L285*O285+M285*N285)*(M285+O285))/((L285+N285)^2+(M285+O285)^2))</f>
        <v/>
      </c>
      <c r="Q285" s="195">
        <f>IF(B285="","",((L285*O285+M285*N285)*(L285+N285)-(L285*N285-M285*O285)*(M285+O285))/((L285+N285)^2+(M285+O285)^2))</f>
        <v/>
      </c>
      <c r="R285" s="195">
        <f>IF(B285="","",'入力・概要'!$E$15*J285)</f>
        <v/>
      </c>
      <c r="S285" s="195">
        <f>IF(B285="","",'入力・概要'!$E$15*K285)</f>
        <v/>
      </c>
      <c r="T285" s="195">
        <f>IF(B285="","",P285+R285)</f>
        <v/>
      </c>
      <c r="U285" s="195">
        <f>IF(B285="","",Q285+S285)</f>
        <v/>
      </c>
      <c r="V285" s="195">
        <f>IF(B285="","",T285+'入力・概要'!$E$9*F285)</f>
        <v/>
      </c>
      <c r="W285" s="195">
        <f>IF(B285="","",U285+'入力・概要'!$E$9*G285)</f>
        <v/>
      </c>
      <c r="X285" s="195">
        <f>IF(B285="","",'入力・概要'!$E$9+T285*F285-U285*G285)</f>
        <v/>
      </c>
      <c r="Y285" s="195">
        <f>IF(B285="","",T285*G285+U285*F285)</f>
        <v/>
      </c>
      <c r="Z285" s="195">
        <f>IF(B285="","",'入力・概要'!$E$9*(V285*X285+W285*Y285)/(X285^2+Y285^2)+'入力・概要'!$B$36)</f>
        <v/>
      </c>
      <c r="AA285" s="195">
        <f>IF(B285="","",'入力・概要'!$E$9*(W285*X285-V285*Y285)/(X285^2+Y285^2)+C285*'入力・概要'!$B$37*1E-9)</f>
        <v/>
      </c>
      <c r="AB285" s="195">
        <f>IF(B285="","",SQRT(Z285^2+AA285^2))</f>
        <v/>
      </c>
      <c r="AC285" s="195">
        <f>IF(B285="","",IF(Z285&gt;0,DEGREES(ATAN(AA285/Z285)),IF(Z285&lt;0,IF(AA285&gt;=0,DEGREES(ATAN(AA285/Z285))+180,DEGREES(ATAN(AA285/Z285))-180),IF(AA285&gt;0,90,IF(AA285&lt;0,-90,0)))))</f>
        <v/>
      </c>
      <c r="AD285" s="195">
        <f>IF(B285="","",LOG10(B285))</f>
        <v/>
      </c>
      <c r="AE285" s="195">
        <f>IF(AB285="","",LOG10(MAX(AB285,1E-12)))</f>
        <v/>
      </c>
      <c r="AF285" s="195">
        <f>IF(B285="","",SQRT(P285^2+Q285^2))</f>
        <v/>
      </c>
      <c r="AG285" s="195">
        <f>IF(B285="","",SQRT(R285^2+S285^2))</f>
        <v/>
      </c>
    </row>
    <row r="286">
      <c r="A286" t="n">
        <v>283</v>
      </c>
      <c r="B286" s="196">
        <f>IF(A286&lt;='入力・概要'!$B$40,10^(LOG10('入力・概要'!$B$38)+(A286-1)*(LOG10('入力・概要'!$B$39)-LOG10('入力・概要'!$B$38))/('入力・概要'!$B$40-1)),"")</f>
        <v/>
      </c>
      <c r="C286" s="195">
        <f>IF(B286="","",2*PI()*B286)</f>
        <v/>
      </c>
      <c r="D286" s="195">
        <f>IF(B286="","",ATANH(MIN(0.999999,'入力・概要'!$E$20/'入力・概要'!$E$9))+'入力・概要'!$B$20*SQRT(B286/1E6)+E286*'入力・概要'!$B$15/2)</f>
        <v/>
      </c>
      <c r="E286" s="195">
        <f>IF(B286="","",C286*('入力・概要'!$E$11*1E-9))</f>
        <v/>
      </c>
      <c r="F286" s="195">
        <f>IF(B286="","",SINH(2*D286)/(COSH(2*D286)+COS(2*E286)))</f>
        <v/>
      </c>
      <c r="G286" s="195">
        <f>IF(B286="","",SIN(2*E286)/(COSH(2*D286)+COS(2*E286)))</f>
        <v/>
      </c>
      <c r="H286" s="195">
        <f>IF(B286="","",ATANH(MIN(0.999999,'入力・概要'!$E$21/'入力・概要'!$E$15))+'入力・概要'!$B$21*SQRT(B286/1E6)+I286*'入力・概要'!$B$16/2)</f>
        <v/>
      </c>
      <c r="I286" s="195">
        <f>IF(B286="","",C286*('入力・概要'!$E$17*1E-9))</f>
        <v/>
      </c>
      <c r="J286" s="195">
        <f>IF(B286="","",SINH(2*H286)/(COSH(2*H286)+COS(2*I286)))</f>
        <v/>
      </c>
      <c r="K286" s="195">
        <f>IF(B286="","",SIN(2*I286)/(COSH(2*H286)+COS(2*I286)))</f>
        <v/>
      </c>
      <c r="L286" s="195">
        <f>IF(B286="","",'入力・概要'!$B$25)</f>
        <v/>
      </c>
      <c r="M286" s="195">
        <f>IF(B286="","",C286*'入力・概要'!$B$26*1E-9-1/(C286*'入力・概要'!$B$24*1E-6))</f>
        <v/>
      </c>
      <c r="N286" s="195">
        <f>IF(B286="","",'入力・概要'!$B$28)</f>
        <v/>
      </c>
      <c r="O286" s="195">
        <f>IF(B286="","",C286*'入力・概要'!$B$29*1E-9-1/(C286*'入力・概要'!$B$27*1E-6))</f>
        <v/>
      </c>
      <c r="P286" s="195">
        <f>IF(B286="","",((L286*N286-M286*O286)*(L286+N286)+(L286*O286+M286*N286)*(M286+O286))/((L286+N286)^2+(M286+O286)^2))</f>
        <v/>
      </c>
      <c r="Q286" s="195">
        <f>IF(B286="","",((L286*O286+M286*N286)*(L286+N286)-(L286*N286-M286*O286)*(M286+O286))/((L286+N286)^2+(M286+O286)^2))</f>
        <v/>
      </c>
      <c r="R286" s="195">
        <f>IF(B286="","",'入力・概要'!$E$15*J286)</f>
        <v/>
      </c>
      <c r="S286" s="195">
        <f>IF(B286="","",'入力・概要'!$E$15*K286)</f>
        <v/>
      </c>
      <c r="T286" s="195">
        <f>IF(B286="","",P286+R286)</f>
        <v/>
      </c>
      <c r="U286" s="195">
        <f>IF(B286="","",Q286+S286)</f>
        <v/>
      </c>
      <c r="V286" s="195">
        <f>IF(B286="","",T286+'入力・概要'!$E$9*F286)</f>
        <v/>
      </c>
      <c r="W286" s="195">
        <f>IF(B286="","",U286+'入力・概要'!$E$9*G286)</f>
        <v/>
      </c>
      <c r="X286" s="195">
        <f>IF(B286="","",'入力・概要'!$E$9+T286*F286-U286*G286)</f>
        <v/>
      </c>
      <c r="Y286" s="195">
        <f>IF(B286="","",T286*G286+U286*F286)</f>
        <v/>
      </c>
      <c r="Z286" s="195">
        <f>IF(B286="","",'入力・概要'!$E$9*(V286*X286+W286*Y286)/(X286^2+Y286^2)+'入力・概要'!$B$36)</f>
        <v/>
      </c>
      <c r="AA286" s="195">
        <f>IF(B286="","",'入力・概要'!$E$9*(W286*X286-V286*Y286)/(X286^2+Y286^2)+C286*'入力・概要'!$B$37*1E-9)</f>
        <v/>
      </c>
      <c r="AB286" s="195">
        <f>IF(B286="","",SQRT(Z286^2+AA286^2))</f>
        <v/>
      </c>
      <c r="AC286" s="195">
        <f>IF(B286="","",IF(Z286&gt;0,DEGREES(ATAN(AA286/Z286)),IF(Z286&lt;0,IF(AA286&gt;=0,DEGREES(ATAN(AA286/Z286))+180,DEGREES(ATAN(AA286/Z286))-180),IF(AA286&gt;0,90,IF(AA286&lt;0,-90,0)))))</f>
        <v/>
      </c>
      <c r="AD286" s="195">
        <f>IF(B286="","",LOG10(B286))</f>
        <v/>
      </c>
      <c r="AE286" s="195">
        <f>IF(AB286="","",LOG10(MAX(AB286,1E-12)))</f>
        <v/>
      </c>
      <c r="AF286" s="195">
        <f>IF(B286="","",SQRT(P286^2+Q286^2))</f>
        <v/>
      </c>
      <c r="AG286" s="195">
        <f>IF(B286="","",SQRT(R286^2+S286^2))</f>
        <v/>
      </c>
    </row>
    <row r="287">
      <c r="A287" t="n">
        <v>284</v>
      </c>
      <c r="B287" s="196">
        <f>IF(A287&lt;='入力・概要'!$B$40,10^(LOG10('入力・概要'!$B$38)+(A287-1)*(LOG10('入力・概要'!$B$39)-LOG10('入力・概要'!$B$38))/('入力・概要'!$B$40-1)),"")</f>
        <v/>
      </c>
      <c r="C287" s="195">
        <f>IF(B287="","",2*PI()*B287)</f>
        <v/>
      </c>
      <c r="D287" s="195">
        <f>IF(B287="","",ATANH(MIN(0.999999,'入力・概要'!$E$20/'入力・概要'!$E$9))+'入力・概要'!$B$20*SQRT(B287/1E6)+E287*'入力・概要'!$B$15/2)</f>
        <v/>
      </c>
      <c r="E287" s="195">
        <f>IF(B287="","",C287*('入力・概要'!$E$11*1E-9))</f>
        <v/>
      </c>
      <c r="F287" s="195">
        <f>IF(B287="","",SINH(2*D287)/(COSH(2*D287)+COS(2*E287)))</f>
        <v/>
      </c>
      <c r="G287" s="195">
        <f>IF(B287="","",SIN(2*E287)/(COSH(2*D287)+COS(2*E287)))</f>
        <v/>
      </c>
      <c r="H287" s="195">
        <f>IF(B287="","",ATANH(MIN(0.999999,'入力・概要'!$E$21/'入力・概要'!$E$15))+'入力・概要'!$B$21*SQRT(B287/1E6)+I287*'入力・概要'!$B$16/2)</f>
        <v/>
      </c>
      <c r="I287" s="195">
        <f>IF(B287="","",C287*('入力・概要'!$E$17*1E-9))</f>
        <v/>
      </c>
      <c r="J287" s="195">
        <f>IF(B287="","",SINH(2*H287)/(COSH(2*H287)+COS(2*I287)))</f>
        <v/>
      </c>
      <c r="K287" s="195">
        <f>IF(B287="","",SIN(2*I287)/(COSH(2*H287)+COS(2*I287)))</f>
        <v/>
      </c>
      <c r="L287" s="195">
        <f>IF(B287="","",'入力・概要'!$B$25)</f>
        <v/>
      </c>
      <c r="M287" s="195">
        <f>IF(B287="","",C287*'入力・概要'!$B$26*1E-9-1/(C287*'入力・概要'!$B$24*1E-6))</f>
        <v/>
      </c>
      <c r="N287" s="195">
        <f>IF(B287="","",'入力・概要'!$B$28)</f>
        <v/>
      </c>
      <c r="O287" s="195">
        <f>IF(B287="","",C287*'入力・概要'!$B$29*1E-9-1/(C287*'入力・概要'!$B$27*1E-6))</f>
        <v/>
      </c>
      <c r="P287" s="195">
        <f>IF(B287="","",((L287*N287-M287*O287)*(L287+N287)+(L287*O287+M287*N287)*(M287+O287))/((L287+N287)^2+(M287+O287)^2))</f>
        <v/>
      </c>
      <c r="Q287" s="195">
        <f>IF(B287="","",((L287*O287+M287*N287)*(L287+N287)-(L287*N287-M287*O287)*(M287+O287))/((L287+N287)^2+(M287+O287)^2))</f>
        <v/>
      </c>
      <c r="R287" s="195">
        <f>IF(B287="","",'入力・概要'!$E$15*J287)</f>
        <v/>
      </c>
      <c r="S287" s="195">
        <f>IF(B287="","",'入力・概要'!$E$15*K287)</f>
        <v/>
      </c>
      <c r="T287" s="195">
        <f>IF(B287="","",P287+R287)</f>
        <v/>
      </c>
      <c r="U287" s="195">
        <f>IF(B287="","",Q287+S287)</f>
        <v/>
      </c>
      <c r="V287" s="195">
        <f>IF(B287="","",T287+'入力・概要'!$E$9*F287)</f>
        <v/>
      </c>
      <c r="W287" s="195">
        <f>IF(B287="","",U287+'入力・概要'!$E$9*G287)</f>
        <v/>
      </c>
      <c r="X287" s="195">
        <f>IF(B287="","",'入力・概要'!$E$9+T287*F287-U287*G287)</f>
        <v/>
      </c>
      <c r="Y287" s="195">
        <f>IF(B287="","",T287*G287+U287*F287)</f>
        <v/>
      </c>
      <c r="Z287" s="195">
        <f>IF(B287="","",'入力・概要'!$E$9*(V287*X287+W287*Y287)/(X287^2+Y287^2)+'入力・概要'!$B$36)</f>
        <v/>
      </c>
      <c r="AA287" s="195">
        <f>IF(B287="","",'入力・概要'!$E$9*(W287*X287-V287*Y287)/(X287^2+Y287^2)+C287*'入力・概要'!$B$37*1E-9)</f>
        <v/>
      </c>
      <c r="AB287" s="195">
        <f>IF(B287="","",SQRT(Z287^2+AA287^2))</f>
        <v/>
      </c>
      <c r="AC287" s="195">
        <f>IF(B287="","",IF(Z287&gt;0,DEGREES(ATAN(AA287/Z287)),IF(Z287&lt;0,IF(AA287&gt;=0,DEGREES(ATAN(AA287/Z287))+180,DEGREES(ATAN(AA287/Z287))-180),IF(AA287&gt;0,90,IF(AA287&lt;0,-90,0)))))</f>
        <v/>
      </c>
      <c r="AD287" s="195">
        <f>IF(B287="","",LOG10(B287))</f>
        <v/>
      </c>
      <c r="AE287" s="195">
        <f>IF(AB287="","",LOG10(MAX(AB287,1E-12)))</f>
        <v/>
      </c>
      <c r="AF287" s="195">
        <f>IF(B287="","",SQRT(P287^2+Q287^2))</f>
        <v/>
      </c>
      <c r="AG287" s="195">
        <f>IF(B287="","",SQRT(R287^2+S287^2))</f>
        <v/>
      </c>
    </row>
    <row r="288">
      <c r="A288" t="n">
        <v>285</v>
      </c>
      <c r="B288" s="196">
        <f>IF(A288&lt;='入力・概要'!$B$40,10^(LOG10('入力・概要'!$B$38)+(A288-1)*(LOG10('入力・概要'!$B$39)-LOG10('入力・概要'!$B$38))/('入力・概要'!$B$40-1)),"")</f>
        <v/>
      </c>
      <c r="C288" s="195">
        <f>IF(B288="","",2*PI()*B288)</f>
        <v/>
      </c>
      <c r="D288" s="195">
        <f>IF(B288="","",ATANH(MIN(0.999999,'入力・概要'!$E$20/'入力・概要'!$E$9))+'入力・概要'!$B$20*SQRT(B288/1E6)+E288*'入力・概要'!$B$15/2)</f>
        <v/>
      </c>
      <c r="E288" s="195">
        <f>IF(B288="","",C288*('入力・概要'!$E$11*1E-9))</f>
        <v/>
      </c>
      <c r="F288" s="195">
        <f>IF(B288="","",SINH(2*D288)/(COSH(2*D288)+COS(2*E288)))</f>
        <v/>
      </c>
      <c r="G288" s="195">
        <f>IF(B288="","",SIN(2*E288)/(COSH(2*D288)+COS(2*E288)))</f>
        <v/>
      </c>
      <c r="H288" s="195">
        <f>IF(B288="","",ATANH(MIN(0.999999,'入力・概要'!$E$21/'入力・概要'!$E$15))+'入力・概要'!$B$21*SQRT(B288/1E6)+I288*'入力・概要'!$B$16/2)</f>
        <v/>
      </c>
      <c r="I288" s="195">
        <f>IF(B288="","",C288*('入力・概要'!$E$17*1E-9))</f>
        <v/>
      </c>
      <c r="J288" s="195">
        <f>IF(B288="","",SINH(2*H288)/(COSH(2*H288)+COS(2*I288)))</f>
        <v/>
      </c>
      <c r="K288" s="195">
        <f>IF(B288="","",SIN(2*I288)/(COSH(2*H288)+COS(2*I288)))</f>
        <v/>
      </c>
      <c r="L288" s="195">
        <f>IF(B288="","",'入力・概要'!$B$25)</f>
        <v/>
      </c>
      <c r="M288" s="195">
        <f>IF(B288="","",C288*'入力・概要'!$B$26*1E-9-1/(C288*'入力・概要'!$B$24*1E-6))</f>
        <v/>
      </c>
      <c r="N288" s="195">
        <f>IF(B288="","",'入力・概要'!$B$28)</f>
        <v/>
      </c>
      <c r="O288" s="195">
        <f>IF(B288="","",C288*'入力・概要'!$B$29*1E-9-1/(C288*'入力・概要'!$B$27*1E-6))</f>
        <v/>
      </c>
      <c r="P288" s="195">
        <f>IF(B288="","",((L288*N288-M288*O288)*(L288+N288)+(L288*O288+M288*N288)*(M288+O288))/((L288+N288)^2+(M288+O288)^2))</f>
        <v/>
      </c>
      <c r="Q288" s="195">
        <f>IF(B288="","",((L288*O288+M288*N288)*(L288+N288)-(L288*N288-M288*O288)*(M288+O288))/((L288+N288)^2+(M288+O288)^2))</f>
        <v/>
      </c>
      <c r="R288" s="195">
        <f>IF(B288="","",'入力・概要'!$E$15*J288)</f>
        <v/>
      </c>
      <c r="S288" s="195">
        <f>IF(B288="","",'入力・概要'!$E$15*K288)</f>
        <v/>
      </c>
      <c r="T288" s="195">
        <f>IF(B288="","",P288+R288)</f>
        <v/>
      </c>
      <c r="U288" s="195">
        <f>IF(B288="","",Q288+S288)</f>
        <v/>
      </c>
      <c r="V288" s="195">
        <f>IF(B288="","",T288+'入力・概要'!$E$9*F288)</f>
        <v/>
      </c>
      <c r="W288" s="195">
        <f>IF(B288="","",U288+'入力・概要'!$E$9*G288)</f>
        <v/>
      </c>
      <c r="X288" s="195">
        <f>IF(B288="","",'入力・概要'!$E$9+T288*F288-U288*G288)</f>
        <v/>
      </c>
      <c r="Y288" s="195">
        <f>IF(B288="","",T288*G288+U288*F288)</f>
        <v/>
      </c>
      <c r="Z288" s="195">
        <f>IF(B288="","",'入力・概要'!$E$9*(V288*X288+W288*Y288)/(X288^2+Y288^2)+'入力・概要'!$B$36)</f>
        <v/>
      </c>
      <c r="AA288" s="195">
        <f>IF(B288="","",'入力・概要'!$E$9*(W288*X288-V288*Y288)/(X288^2+Y288^2)+C288*'入力・概要'!$B$37*1E-9)</f>
        <v/>
      </c>
      <c r="AB288" s="195">
        <f>IF(B288="","",SQRT(Z288^2+AA288^2))</f>
        <v/>
      </c>
      <c r="AC288" s="195">
        <f>IF(B288="","",IF(Z288&gt;0,DEGREES(ATAN(AA288/Z288)),IF(Z288&lt;0,IF(AA288&gt;=0,DEGREES(ATAN(AA288/Z288))+180,DEGREES(ATAN(AA288/Z288))-180),IF(AA288&gt;0,90,IF(AA288&lt;0,-90,0)))))</f>
        <v/>
      </c>
      <c r="AD288" s="195">
        <f>IF(B288="","",LOG10(B288))</f>
        <v/>
      </c>
      <c r="AE288" s="195">
        <f>IF(AB288="","",LOG10(MAX(AB288,1E-12)))</f>
        <v/>
      </c>
      <c r="AF288" s="195">
        <f>IF(B288="","",SQRT(P288^2+Q288^2))</f>
        <v/>
      </c>
      <c r="AG288" s="195">
        <f>IF(B288="","",SQRT(R288^2+S288^2))</f>
        <v/>
      </c>
    </row>
    <row r="289">
      <c r="A289" t="n">
        <v>286</v>
      </c>
      <c r="B289" s="196">
        <f>IF(A289&lt;='入力・概要'!$B$40,10^(LOG10('入力・概要'!$B$38)+(A289-1)*(LOG10('入力・概要'!$B$39)-LOG10('入力・概要'!$B$38))/('入力・概要'!$B$40-1)),"")</f>
        <v/>
      </c>
      <c r="C289" s="195">
        <f>IF(B289="","",2*PI()*B289)</f>
        <v/>
      </c>
      <c r="D289" s="195">
        <f>IF(B289="","",ATANH(MIN(0.999999,'入力・概要'!$E$20/'入力・概要'!$E$9))+'入力・概要'!$B$20*SQRT(B289/1E6)+E289*'入力・概要'!$B$15/2)</f>
        <v/>
      </c>
      <c r="E289" s="195">
        <f>IF(B289="","",C289*('入力・概要'!$E$11*1E-9))</f>
        <v/>
      </c>
      <c r="F289" s="195">
        <f>IF(B289="","",SINH(2*D289)/(COSH(2*D289)+COS(2*E289)))</f>
        <v/>
      </c>
      <c r="G289" s="195">
        <f>IF(B289="","",SIN(2*E289)/(COSH(2*D289)+COS(2*E289)))</f>
        <v/>
      </c>
      <c r="H289" s="195">
        <f>IF(B289="","",ATANH(MIN(0.999999,'入力・概要'!$E$21/'入力・概要'!$E$15))+'入力・概要'!$B$21*SQRT(B289/1E6)+I289*'入力・概要'!$B$16/2)</f>
        <v/>
      </c>
      <c r="I289" s="195">
        <f>IF(B289="","",C289*('入力・概要'!$E$17*1E-9))</f>
        <v/>
      </c>
      <c r="J289" s="195">
        <f>IF(B289="","",SINH(2*H289)/(COSH(2*H289)+COS(2*I289)))</f>
        <v/>
      </c>
      <c r="K289" s="195">
        <f>IF(B289="","",SIN(2*I289)/(COSH(2*H289)+COS(2*I289)))</f>
        <v/>
      </c>
      <c r="L289" s="195">
        <f>IF(B289="","",'入力・概要'!$B$25)</f>
        <v/>
      </c>
      <c r="M289" s="195">
        <f>IF(B289="","",C289*'入力・概要'!$B$26*1E-9-1/(C289*'入力・概要'!$B$24*1E-6))</f>
        <v/>
      </c>
      <c r="N289" s="195">
        <f>IF(B289="","",'入力・概要'!$B$28)</f>
        <v/>
      </c>
      <c r="O289" s="195">
        <f>IF(B289="","",C289*'入力・概要'!$B$29*1E-9-1/(C289*'入力・概要'!$B$27*1E-6))</f>
        <v/>
      </c>
      <c r="P289" s="195">
        <f>IF(B289="","",((L289*N289-M289*O289)*(L289+N289)+(L289*O289+M289*N289)*(M289+O289))/((L289+N289)^2+(M289+O289)^2))</f>
        <v/>
      </c>
      <c r="Q289" s="195">
        <f>IF(B289="","",((L289*O289+M289*N289)*(L289+N289)-(L289*N289-M289*O289)*(M289+O289))/((L289+N289)^2+(M289+O289)^2))</f>
        <v/>
      </c>
      <c r="R289" s="195">
        <f>IF(B289="","",'入力・概要'!$E$15*J289)</f>
        <v/>
      </c>
      <c r="S289" s="195">
        <f>IF(B289="","",'入力・概要'!$E$15*K289)</f>
        <v/>
      </c>
      <c r="T289" s="195">
        <f>IF(B289="","",P289+R289)</f>
        <v/>
      </c>
      <c r="U289" s="195">
        <f>IF(B289="","",Q289+S289)</f>
        <v/>
      </c>
      <c r="V289" s="195">
        <f>IF(B289="","",T289+'入力・概要'!$E$9*F289)</f>
        <v/>
      </c>
      <c r="W289" s="195">
        <f>IF(B289="","",U289+'入力・概要'!$E$9*G289)</f>
        <v/>
      </c>
      <c r="X289" s="195">
        <f>IF(B289="","",'入力・概要'!$E$9+T289*F289-U289*G289)</f>
        <v/>
      </c>
      <c r="Y289" s="195">
        <f>IF(B289="","",T289*G289+U289*F289)</f>
        <v/>
      </c>
      <c r="Z289" s="195">
        <f>IF(B289="","",'入力・概要'!$E$9*(V289*X289+W289*Y289)/(X289^2+Y289^2)+'入力・概要'!$B$36)</f>
        <v/>
      </c>
      <c r="AA289" s="195">
        <f>IF(B289="","",'入力・概要'!$E$9*(W289*X289-V289*Y289)/(X289^2+Y289^2)+C289*'入力・概要'!$B$37*1E-9)</f>
        <v/>
      </c>
      <c r="AB289" s="195">
        <f>IF(B289="","",SQRT(Z289^2+AA289^2))</f>
        <v/>
      </c>
      <c r="AC289" s="195">
        <f>IF(B289="","",IF(Z289&gt;0,DEGREES(ATAN(AA289/Z289)),IF(Z289&lt;0,IF(AA289&gt;=0,DEGREES(ATAN(AA289/Z289))+180,DEGREES(ATAN(AA289/Z289))-180),IF(AA289&gt;0,90,IF(AA289&lt;0,-90,0)))))</f>
        <v/>
      </c>
      <c r="AD289" s="195">
        <f>IF(B289="","",LOG10(B289))</f>
        <v/>
      </c>
      <c r="AE289" s="195">
        <f>IF(AB289="","",LOG10(MAX(AB289,1E-12)))</f>
        <v/>
      </c>
      <c r="AF289" s="195">
        <f>IF(B289="","",SQRT(P289^2+Q289^2))</f>
        <v/>
      </c>
      <c r="AG289" s="195">
        <f>IF(B289="","",SQRT(R289^2+S289^2))</f>
        <v/>
      </c>
    </row>
    <row r="290">
      <c r="A290" t="n">
        <v>287</v>
      </c>
      <c r="B290" s="196">
        <f>IF(A290&lt;='入力・概要'!$B$40,10^(LOG10('入力・概要'!$B$38)+(A290-1)*(LOG10('入力・概要'!$B$39)-LOG10('入力・概要'!$B$38))/('入力・概要'!$B$40-1)),"")</f>
        <v/>
      </c>
      <c r="C290" s="195">
        <f>IF(B290="","",2*PI()*B290)</f>
        <v/>
      </c>
      <c r="D290" s="195">
        <f>IF(B290="","",ATANH(MIN(0.999999,'入力・概要'!$E$20/'入力・概要'!$E$9))+'入力・概要'!$B$20*SQRT(B290/1E6)+E290*'入力・概要'!$B$15/2)</f>
        <v/>
      </c>
      <c r="E290" s="195">
        <f>IF(B290="","",C290*('入力・概要'!$E$11*1E-9))</f>
        <v/>
      </c>
      <c r="F290" s="195">
        <f>IF(B290="","",SINH(2*D290)/(COSH(2*D290)+COS(2*E290)))</f>
        <v/>
      </c>
      <c r="G290" s="195">
        <f>IF(B290="","",SIN(2*E290)/(COSH(2*D290)+COS(2*E290)))</f>
        <v/>
      </c>
      <c r="H290" s="195">
        <f>IF(B290="","",ATANH(MIN(0.999999,'入力・概要'!$E$21/'入力・概要'!$E$15))+'入力・概要'!$B$21*SQRT(B290/1E6)+I290*'入力・概要'!$B$16/2)</f>
        <v/>
      </c>
      <c r="I290" s="195">
        <f>IF(B290="","",C290*('入力・概要'!$E$17*1E-9))</f>
        <v/>
      </c>
      <c r="J290" s="195">
        <f>IF(B290="","",SINH(2*H290)/(COSH(2*H290)+COS(2*I290)))</f>
        <v/>
      </c>
      <c r="K290" s="195">
        <f>IF(B290="","",SIN(2*I290)/(COSH(2*H290)+COS(2*I290)))</f>
        <v/>
      </c>
      <c r="L290" s="195">
        <f>IF(B290="","",'入力・概要'!$B$25)</f>
        <v/>
      </c>
      <c r="M290" s="195">
        <f>IF(B290="","",C290*'入力・概要'!$B$26*1E-9-1/(C290*'入力・概要'!$B$24*1E-6))</f>
        <v/>
      </c>
      <c r="N290" s="195">
        <f>IF(B290="","",'入力・概要'!$B$28)</f>
        <v/>
      </c>
      <c r="O290" s="195">
        <f>IF(B290="","",C290*'入力・概要'!$B$29*1E-9-1/(C290*'入力・概要'!$B$27*1E-6))</f>
        <v/>
      </c>
      <c r="P290" s="195">
        <f>IF(B290="","",((L290*N290-M290*O290)*(L290+N290)+(L290*O290+M290*N290)*(M290+O290))/((L290+N290)^2+(M290+O290)^2))</f>
        <v/>
      </c>
      <c r="Q290" s="195">
        <f>IF(B290="","",((L290*O290+M290*N290)*(L290+N290)-(L290*N290-M290*O290)*(M290+O290))/((L290+N290)^2+(M290+O290)^2))</f>
        <v/>
      </c>
      <c r="R290" s="195">
        <f>IF(B290="","",'入力・概要'!$E$15*J290)</f>
        <v/>
      </c>
      <c r="S290" s="195">
        <f>IF(B290="","",'入力・概要'!$E$15*K290)</f>
        <v/>
      </c>
      <c r="T290" s="195">
        <f>IF(B290="","",P290+R290)</f>
        <v/>
      </c>
      <c r="U290" s="195">
        <f>IF(B290="","",Q290+S290)</f>
        <v/>
      </c>
      <c r="V290" s="195">
        <f>IF(B290="","",T290+'入力・概要'!$E$9*F290)</f>
        <v/>
      </c>
      <c r="W290" s="195">
        <f>IF(B290="","",U290+'入力・概要'!$E$9*G290)</f>
        <v/>
      </c>
      <c r="X290" s="195">
        <f>IF(B290="","",'入力・概要'!$E$9+T290*F290-U290*G290)</f>
        <v/>
      </c>
      <c r="Y290" s="195">
        <f>IF(B290="","",T290*G290+U290*F290)</f>
        <v/>
      </c>
      <c r="Z290" s="195">
        <f>IF(B290="","",'入力・概要'!$E$9*(V290*X290+W290*Y290)/(X290^2+Y290^2)+'入力・概要'!$B$36)</f>
        <v/>
      </c>
      <c r="AA290" s="195">
        <f>IF(B290="","",'入力・概要'!$E$9*(W290*X290-V290*Y290)/(X290^2+Y290^2)+C290*'入力・概要'!$B$37*1E-9)</f>
        <v/>
      </c>
      <c r="AB290" s="195">
        <f>IF(B290="","",SQRT(Z290^2+AA290^2))</f>
        <v/>
      </c>
      <c r="AC290" s="195">
        <f>IF(B290="","",IF(Z290&gt;0,DEGREES(ATAN(AA290/Z290)),IF(Z290&lt;0,IF(AA290&gt;=0,DEGREES(ATAN(AA290/Z290))+180,DEGREES(ATAN(AA290/Z290))-180),IF(AA290&gt;0,90,IF(AA290&lt;0,-90,0)))))</f>
        <v/>
      </c>
      <c r="AD290" s="195">
        <f>IF(B290="","",LOG10(B290))</f>
        <v/>
      </c>
      <c r="AE290" s="195">
        <f>IF(AB290="","",LOG10(MAX(AB290,1E-12)))</f>
        <v/>
      </c>
      <c r="AF290" s="195">
        <f>IF(B290="","",SQRT(P290^2+Q290^2))</f>
        <v/>
      </c>
      <c r="AG290" s="195">
        <f>IF(B290="","",SQRT(R290^2+S290^2))</f>
        <v/>
      </c>
    </row>
    <row r="291">
      <c r="A291" t="n">
        <v>288</v>
      </c>
      <c r="B291" s="196">
        <f>IF(A291&lt;='入力・概要'!$B$40,10^(LOG10('入力・概要'!$B$38)+(A291-1)*(LOG10('入力・概要'!$B$39)-LOG10('入力・概要'!$B$38))/('入力・概要'!$B$40-1)),"")</f>
        <v/>
      </c>
      <c r="C291" s="195">
        <f>IF(B291="","",2*PI()*B291)</f>
        <v/>
      </c>
      <c r="D291" s="195">
        <f>IF(B291="","",ATANH(MIN(0.999999,'入力・概要'!$E$20/'入力・概要'!$E$9))+'入力・概要'!$B$20*SQRT(B291/1E6)+E291*'入力・概要'!$B$15/2)</f>
        <v/>
      </c>
      <c r="E291" s="195">
        <f>IF(B291="","",C291*('入力・概要'!$E$11*1E-9))</f>
        <v/>
      </c>
      <c r="F291" s="195">
        <f>IF(B291="","",SINH(2*D291)/(COSH(2*D291)+COS(2*E291)))</f>
        <v/>
      </c>
      <c r="G291" s="195">
        <f>IF(B291="","",SIN(2*E291)/(COSH(2*D291)+COS(2*E291)))</f>
        <v/>
      </c>
      <c r="H291" s="195">
        <f>IF(B291="","",ATANH(MIN(0.999999,'入力・概要'!$E$21/'入力・概要'!$E$15))+'入力・概要'!$B$21*SQRT(B291/1E6)+I291*'入力・概要'!$B$16/2)</f>
        <v/>
      </c>
      <c r="I291" s="195">
        <f>IF(B291="","",C291*('入力・概要'!$E$17*1E-9))</f>
        <v/>
      </c>
      <c r="J291" s="195">
        <f>IF(B291="","",SINH(2*H291)/(COSH(2*H291)+COS(2*I291)))</f>
        <v/>
      </c>
      <c r="K291" s="195">
        <f>IF(B291="","",SIN(2*I291)/(COSH(2*H291)+COS(2*I291)))</f>
        <v/>
      </c>
      <c r="L291" s="195">
        <f>IF(B291="","",'入力・概要'!$B$25)</f>
        <v/>
      </c>
      <c r="M291" s="195">
        <f>IF(B291="","",C291*'入力・概要'!$B$26*1E-9-1/(C291*'入力・概要'!$B$24*1E-6))</f>
        <v/>
      </c>
      <c r="N291" s="195">
        <f>IF(B291="","",'入力・概要'!$B$28)</f>
        <v/>
      </c>
      <c r="O291" s="195">
        <f>IF(B291="","",C291*'入力・概要'!$B$29*1E-9-1/(C291*'入力・概要'!$B$27*1E-6))</f>
        <v/>
      </c>
      <c r="P291" s="195">
        <f>IF(B291="","",((L291*N291-M291*O291)*(L291+N291)+(L291*O291+M291*N291)*(M291+O291))/((L291+N291)^2+(M291+O291)^2))</f>
        <v/>
      </c>
      <c r="Q291" s="195">
        <f>IF(B291="","",((L291*O291+M291*N291)*(L291+N291)-(L291*N291-M291*O291)*(M291+O291))/((L291+N291)^2+(M291+O291)^2))</f>
        <v/>
      </c>
      <c r="R291" s="195">
        <f>IF(B291="","",'入力・概要'!$E$15*J291)</f>
        <v/>
      </c>
      <c r="S291" s="195">
        <f>IF(B291="","",'入力・概要'!$E$15*K291)</f>
        <v/>
      </c>
      <c r="T291" s="195">
        <f>IF(B291="","",P291+R291)</f>
        <v/>
      </c>
      <c r="U291" s="195">
        <f>IF(B291="","",Q291+S291)</f>
        <v/>
      </c>
      <c r="V291" s="195">
        <f>IF(B291="","",T291+'入力・概要'!$E$9*F291)</f>
        <v/>
      </c>
      <c r="W291" s="195">
        <f>IF(B291="","",U291+'入力・概要'!$E$9*G291)</f>
        <v/>
      </c>
      <c r="X291" s="195">
        <f>IF(B291="","",'入力・概要'!$E$9+T291*F291-U291*G291)</f>
        <v/>
      </c>
      <c r="Y291" s="195">
        <f>IF(B291="","",T291*G291+U291*F291)</f>
        <v/>
      </c>
      <c r="Z291" s="195">
        <f>IF(B291="","",'入力・概要'!$E$9*(V291*X291+W291*Y291)/(X291^2+Y291^2)+'入力・概要'!$B$36)</f>
        <v/>
      </c>
      <c r="AA291" s="195">
        <f>IF(B291="","",'入力・概要'!$E$9*(W291*X291-V291*Y291)/(X291^2+Y291^2)+C291*'入力・概要'!$B$37*1E-9)</f>
        <v/>
      </c>
      <c r="AB291" s="195">
        <f>IF(B291="","",SQRT(Z291^2+AA291^2))</f>
        <v/>
      </c>
      <c r="AC291" s="195">
        <f>IF(B291="","",IF(Z291&gt;0,DEGREES(ATAN(AA291/Z291)),IF(Z291&lt;0,IF(AA291&gt;=0,DEGREES(ATAN(AA291/Z291))+180,DEGREES(ATAN(AA291/Z291))-180),IF(AA291&gt;0,90,IF(AA291&lt;0,-90,0)))))</f>
        <v/>
      </c>
      <c r="AD291" s="195">
        <f>IF(B291="","",LOG10(B291))</f>
        <v/>
      </c>
      <c r="AE291" s="195">
        <f>IF(AB291="","",LOG10(MAX(AB291,1E-12)))</f>
        <v/>
      </c>
      <c r="AF291" s="195">
        <f>IF(B291="","",SQRT(P291^2+Q291^2))</f>
        <v/>
      </c>
      <c r="AG291" s="195">
        <f>IF(B291="","",SQRT(R291^2+S291^2))</f>
        <v/>
      </c>
    </row>
    <row r="292">
      <c r="A292" t="n">
        <v>289</v>
      </c>
      <c r="B292" s="196">
        <f>IF(A292&lt;='入力・概要'!$B$40,10^(LOG10('入力・概要'!$B$38)+(A292-1)*(LOG10('入力・概要'!$B$39)-LOG10('入力・概要'!$B$38))/('入力・概要'!$B$40-1)),"")</f>
        <v/>
      </c>
      <c r="C292" s="195">
        <f>IF(B292="","",2*PI()*B292)</f>
        <v/>
      </c>
      <c r="D292" s="195">
        <f>IF(B292="","",ATANH(MIN(0.999999,'入力・概要'!$E$20/'入力・概要'!$E$9))+'入力・概要'!$B$20*SQRT(B292/1E6)+E292*'入力・概要'!$B$15/2)</f>
        <v/>
      </c>
      <c r="E292" s="195">
        <f>IF(B292="","",C292*('入力・概要'!$E$11*1E-9))</f>
        <v/>
      </c>
      <c r="F292" s="195">
        <f>IF(B292="","",SINH(2*D292)/(COSH(2*D292)+COS(2*E292)))</f>
        <v/>
      </c>
      <c r="G292" s="195">
        <f>IF(B292="","",SIN(2*E292)/(COSH(2*D292)+COS(2*E292)))</f>
        <v/>
      </c>
      <c r="H292" s="195">
        <f>IF(B292="","",ATANH(MIN(0.999999,'入力・概要'!$E$21/'入力・概要'!$E$15))+'入力・概要'!$B$21*SQRT(B292/1E6)+I292*'入力・概要'!$B$16/2)</f>
        <v/>
      </c>
      <c r="I292" s="195">
        <f>IF(B292="","",C292*('入力・概要'!$E$17*1E-9))</f>
        <v/>
      </c>
      <c r="J292" s="195">
        <f>IF(B292="","",SINH(2*H292)/(COSH(2*H292)+COS(2*I292)))</f>
        <v/>
      </c>
      <c r="K292" s="195">
        <f>IF(B292="","",SIN(2*I292)/(COSH(2*H292)+COS(2*I292)))</f>
        <v/>
      </c>
      <c r="L292" s="195">
        <f>IF(B292="","",'入力・概要'!$B$25)</f>
        <v/>
      </c>
      <c r="M292" s="195">
        <f>IF(B292="","",C292*'入力・概要'!$B$26*1E-9-1/(C292*'入力・概要'!$B$24*1E-6))</f>
        <v/>
      </c>
      <c r="N292" s="195">
        <f>IF(B292="","",'入力・概要'!$B$28)</f>
        <v/>
      </c>
      <c r="O292" s="195">
        <f>IF(B292="","",C292*'入力・概要'!$B$29*1E-9-1/(C292*'入力・概要'!$B$27*1E-6))</f>
        <v/>
      </c>
      <c r="P292" s="195">
        <f>IF(B292="","",((L292*N292-M292*O292)*(L292+N292)+(L292*O292+M292*N292)*(M292+O292))/((L292+N292)^2+(M292+O292)^2))</f>
        <v/>
      </c>
      <c r="Q292" s="195">
        <f>IF(B292="","",((L292*O292+M292*N292)*(L292+N292)-(L292*N292-M292*O292)*(M292+O292))/((L292+N292)^2+(M292+O292)^2))</f>
        <v/>
      </c>
      <c r="R292" s="195">
        <f>IF(B292="","",'入力・概要'!$E$15*J292)</f>
        <v/>
      </c>
      <c r="S292" s="195">
        <f>IF(B292="","",'入力・概要'!$E$15*K292)</f>
        <v/>
      </c>
      <c r="T292" s="195">
        <f>IF(B292="","",P292+R292)</f>
        <v/>
      </c>
      <c r="U292" s="195">
        <f>IF(B292="","",Q292+S292)</f>
        <v/>
      </c>
      <c r="V292" s="195">
        <f>IF(B292="","",T292+'入力・概要'!$E$9*F292)</f>
        <v/>
      </c>
      <c r="W292" s="195">
        <f>IF(B292="","",U292+'入力・概要'!$E$9*G292)</f>
        <v/>
      </c>
      <c r="X292" s="195">
        <f>IF(B292="","",'入力・概要'!$E$9+T292*F292-U292*G292)</f>
        <v/>
      </c>
      <c r="Y292" s="195">
        <f>IF(B292="","",T292*G292+U292*F292)</f>
        <v/>
      </c>
      <c r="Z292" s="195">
        <f>IF(B292="","",'入力・概要'!$E$9*(V292*X292+W292*Y292)/(X292^2+Y292^2)+'入力・概要'!$B$36)</f>
        <v/>
      </c>
      <c r="AA292" s="195">
        <f>IF(B292="","",'入力・概要'!$E$9*(W292*X292-V292*Y292)/(X292^2+Y292^2)+C292*'入力・概要'!$B$37*1E-9)</f>
        <v/>
      </c>
      <c r="AB292" s="195">
        <f>IF(B292="","",SQRT(Z292^2+AA292^2))</f>
        <v/>
      </c>
      <c r="AC292" s="195">
        <f>IF(B292="","",IF(Z292&gt;0,DEGREES(ATAN(AA292/Z292)),IF(Z292&lt;0,IF(AA292&gt;=0,DEGREES(ATAN(AA292/Z292))+180,DEGREES(ATAN(AA292/Z292))-180),IF(AA292&gt;0,90,IF(AA292&lt;0,-90,0)))))</f>
        <v/>
      </c>
      <c r="AD292" s="195">
        <f>IF(B292="","",LOG10(B292))</f>
        <v/>
      </c>
      <c r="AE292" s="195">
        <f>IF(AB292="","",LOG10(MAX(AB292,1E-12)))</f>
        <v/>
      </c>
      <c r="AF292" s="195">
        <f>IF(B292="","",SQRT(P292^2+Q292^2))</f>
        <v/>
      </c>
      <c r="AG292" s="195">
        <f>IF(B292="","",SQRT(R292^2+S292^2))</f>
        <v/>
      </c>
    </row>
    <row r="293">
      <c r="A293" t="n">
        <v>290</v>
      </c>
      <c r="B293" s="196">
        <f>IF(A293&lt;='入力・概要'!$B$40,10^(LOG10('入力・概要'!$B$38)+(A293-1)*(LOG10('入力・概要'!$B$39)-LOG10('入力・概要'!$B$38))/('入力・概要'!$B$40-1)),"")</f>
        <v/>
      </c>
      <c r="C293" s="195">
        <f>IF(B293="","",2*PI()*B293)</f>
        <v/>
      </c>
      <c r="D293" s="195">
        <f>IF(B293="","",ATANH(MIN(0.999999,'入力・概要'!$E$20/'入力・概要'!$E$9))+'入力・概要'!$B$20*SQRT(B293/1E6)+E293*'入力・概要'!$B$15/2)</f>
        <v/>
      </c>
      <c r="E293" s="195">
        <f>IF(B293="","",C293*('入力・概要'!$E$11*1E-9))</f>
        <v/>
      </c>
      <c r="F293" s="195">
        <f>IF(B293="","",SINH(2*D293)/(COSH(2*D293)+COS(2*E293)))</f>
        <v/>
      </c>
      <c r="G293" s="195">
        <f>IF(B293="","",SIN(2*E293)/(COSH(2*D293)+COS(2*E293)))</f>
        <v/>
      </c>
      <c r="H293" s="195">
        <f>IF(B293="","",ATANH(MIN(0.999999,'入力・概要'!$E$21/'入力・概要'!$E$15))+'入力・概要'!$B$21*SQRT(B293/1E6)+I293*'入力・概要'!$B$16/2)</f>
        <v/>
      </c>
      <c r="I293" s="195">
        <f>IF(B293="","",C293*('入力・概要'!$E$17*1E-9))</f>
        <v/>
      </c>
      <c r="J293" s="195">
        <f>IF(B293="","",SINH(2*H293)/(COSH(2*H293)+COS(2*I293)))</f>
        <v/>
      </c>
      <c r="K293" s="195">
        <f>IF(B293="","",SIN(2*I293)/(COSH(2*H293)+COS(2*I293)))</f>
        <v/>
      </c>
      <c r="L293" s="195">
        <f>IF(B293="","",'入力・概要'!$B$25)</f>
        <v/>
      </c>
      <c r="M293" s="195">
        <f>IF(B293="","",C293*'入力・概要'!$B$26*1E-9-1/(C293*'入力・概要'!$B$24*1E-6))</f>
        <v/>
      </c>
      <c r="N293" s="195">
        <f>IF(B293="","",'入力・概要'!$B$28)</f>
        <v/>
      </c>
      <c r="O293" s="195">
        <f>IF(B293="","",C293*'入力・概要'!$B$29*1E-9-1/(C293*'入力・概要'!$B$27*1E-6))</f>
        <v/>
      </c>
      <c r="P293" s="195">
        <f>IF(B293="","",((L293*N293-M293*O293)*(L293+N293)+(L293*O293+M293*N293)*(M293+O293))/((L293+N293)^2+(M293+O293)^2))</f>
        <v/>
      </c>
      <c r="Q293" s="195">
        <f>IF(B293="","",((L293*O293+M293*N293)*(L293+N293)-(L293*N293-M293*O293)*(M293+O293))/((L293+N293)^2+(M293+O293)^2))</f>
        <v/>
      </c>
      <c r="R293" s="195">
        <f>IF(B293="","",'入力・概要'!$E$15*J293)</f>
        <v/>
      </c>
      <c r="S293" s="195">
        <f>IF(B293="","",'入力・概要'!$E$15*K293)</f>
        <v/>
      </c>
      <c r="T293" s="195">
        <f>IF(B293="","",P293+R293)</f>
        <v/>
      </c>
      <c r="U293" s="195">
        <f>IF(B293="","",Q293+S293)</f>
        <v/>
      </c>
      <c r="V293" s="195">
        <f>IF(B293="","",T293+'入力・概要'!$E$9*F293)</f>
        <v/>
      </c>
      <c r="W293" s="195">
        <f>IF(B293="","",U293+'入力・概要'!$E$9*G293)</f>
        <v/>
      </c>
      <c r="X293" s="195">
        <f>IF(B293="","",'入力・概要'!$E$9+T293*F293-U293*G293)</f>
        <v/>
      </c>
      <c r="Y293" s="195">
        <f>IF(B293="","",T293*G293+U293*F293)</f>
        <v/>
      </c>
      <c r="Z293" s="195">
        <f>IF(B293="","",'入力・概要'!$E$9*(V293*X293+W293*Y293)/(X293^2+Y293^2)+'入力・概要'!$B$36)</f>
        <v/>
      </c>
      <c r="AA293" s="195">
        <f>IF(B293="","",'入力・概要'!$E$9*(W293*X293-V293*Y293)/(X293^2+Y293^2)+C293*'入力・概要'!$B$37*1E-9)</f>
        <v/>
      </c>
      <c r="AB293" s="195">
        <f>IF(B293="","",SQRT(Z293^2+AA293^2))</f>
        <v/>
      </c>
      <c r="AC293" s="195">
        <f>IF(B293="","",IF(Z293&gt;0,DEGREES(ATAN(AA293/Z293)),IF(Z293&lt;0,IF(AA293&gt;=0,DEGREES(ATAN(AA293/Z293))+180,DEGREES(ATAN(AA293/Z293))-180),IF(AA293&gt;0,90,IF(AA293&lt;0,-90,0)))))</f>
        <v/>
      </c>
      <c r="AD293" s="195">
        <f>IF(B293="","",LOG10(B293))</f>
        <v/>
      </c>
      <c r="AE293" s="195">
        <f>IF(AB293="","",LOG10(MAX(AB293,1E-12)))</f>
        <v/>
      </c>
      <c r="AF293" s="195">
        <f>IF(B293="","",SQRT(P293^2+Q293^2))</f>
        <v/>
      </c>
      <c r="AG293" s="195">
        <f>IF(B293="","",SQRT(R293^2+S293^2))</f>
        <v/>
      </c>
    </row>
    <row r="294">
      <c r="A294" t="n">
        <v>291</v>
      </c>
      <c r="B294" s="196">
        <f>IF(A294&lt;='入力・概要'!$B$40,10^(LOG10('入力・概要'!$B$38)+(A294-1)*(LOG10('入力・概要'!$B$39)-LOG10('入力・概要'!$B$38))/('入力・概要'!$B$40-1)),"")</f>
        <v/>
      </c>
      <c r="C294" s="195">
        <f>IF(B294="","",2*PI()*B294)</f>
        <v/>
      </c>
      <c r="D294" s="195">
        <f>IF(B294="","",ATANH(MIN(0.999999,'入力・概要'!$E$20/'入力・概要'!$E$9))+'入力・概要'!$B$20*SQRT(B294/1E6)+E294*'入力・概要'!$B$15/2)</f>
        <v/>
      </c>
      <c r="E294" s="195">
        <f>IF(B294="","",C294*('入力・概要'!$E$11*1E-9))</f>
        <v/>
      </c>
      <c r="F294" s="195">
        <f>IF(B294="","",SINH(2*D294)/(COSH(2*D294)+COS(2*E294)))</f>
        <v/>
      </c>
      <c r="G294" s="195">
        <f>IF(B294="","",SIN(2*E294)/(COSH(2*D294)+COS(2*E294)))</f>
        <v/>
      </c>
      <c r="H294" s="195">
        <f>IF(B294="","",ATANH(MIN(0.999999,'入力・概要'!$E$21/'入力・概要'!$E$15))+'入力・概要'!$B$21*SQRT(B294/1E6)+I294*'入力・概要'!$B$16/2)</f>
        <v/>
      </c>
      <c r="I294" s="195">
        <f>IF(B294="","",C294*('入力・概要'!$E$17*1E-9))</f>
        <v/>
      </c>
      <c r="J294" s="195">
        <f>IF(B294="","",SINH(2*H294)/(COSH(2*H294)+COS(2*I294)))</f>
        <v/>
      </c>
      <c r="K294" s="195">
        <f>IF(B294="","",SIN(2*I294)/(COSH(2*H294)+COS(2*I294)))</f>
        <v/>
      </c>
      <c r="L294" s="195">
        <f>IF(B294="","",'入力・概要'!$B$25)</f>
        <v/>
      </c>
      <c r="M294" s="195">
        <f>IF(B294="","",C294*'入力・概要'!$B$26*1E-9-1/(C294*'入力・概要'!$B$24*1E-6))</f>
        <v/>
      </c>
      <c r="N294" s="195">
        <f>IF(B294="","",'入力・概要'!$B$28)</f>
        <v/>
      </c>
      <c r="O294" s="195">
        <f>IF(B294="","",C294*'入力・概要'!$B$29*1E-9-1/(C294*'入力・概要'!$B$27*1E-6))</f>
        <v/>
      </c>
      <c r="P294" s="195">
        <f>IF(B294="","",((L294*N294-M294*O294)*(L294+N294)+(L294*O294+M294*N294)*(M294+O294))/((L294+N294)^2+(M294+O294)^2))</f>
        <v/>
      </c>
      <c r="Q294" s="195">
        <f>IF(B294="","",((L294*O294+M294*N294)*(L294+N294)-(L294*N294-M294*O294)*(M294+O294))/((L294+N294)^2+(M294+O294)^2))</f>
        <v/>
      </c>
      <c r="R294" s="195">
        <f>IF(B294="","",'入力・概要'!$E$15*J294)</f>
        <v/>
      </c>
      <c r="S294" s="195">
        <f>IF(B294="","",'入力・概要'!$E$15*K294)</f>
        <v/>
      </c>
      <c r="T294" s="195">
        <f>IF(B294="","",P294+R294)</f>
        <v/>
      </c>
      <c r="U294" s="195">
        <f>IF(B294="","",Q294+S294)</f>
        <v/>
      </c>
      <c r="V294" s="195">
        <f>IF(B294="","",T294+'入力・概要'!$E$9*F294)</f>
        <v/>
      </c>
      <c r="W294" s="195">
        <f>IF(B294="","",U294+'入力・概要'!$E$9*G294)</f>
        <v/>
      </c>
      <c r="X294" s="195">
        <f>IF(B294="","",'入力・概要'!$E$9+T294*F294-U294*G294)</f>
        <v/>
      </c>
      <c r="Y294" s="195">
        <f>IF(B294="","",T294*G294+U294*F294)</f>
        <v/>
      </c>
      <c r="Z294" s="195">
        <f>IF(B294="","",'入力・概要'!$E$9*(V294*X294+W294*Y294)/(X294^2+Y294^2)+'入力・概要'!$B$36)</f>
        <v/>
      </c>
      <c r="AA294" s="195">
        <f>IF(B294="","",'入力・概要'!$E$9*(W294*X294-V294*Y294)/(X294^2+Y294^2)+C294*'入力・概要'!$B$37*1E-9)</f>
        <v/>
      </c>
      <c r="AB294" s="195">
        <f>IF(B294="","",SQRT(Z294^2+AA294^2))</f>
        <v/>
      </c>
      <c r="AC294" s="195">
        <f>IF(B294="","",IF(Z294&gt;0,DEGREES(ATAN(AA294/Z294)),IF(Z294&lt;0,IF(AA294&gt;=0,DEGREES(ATAN(AA294/Z294))+180,DEGREES(ATAN(AA294/Z294))-180),IF(AA294&gt;0,90,IF(AA294&lt;0,-90,0)))))</f>
        <v/>
      </c>
      <c r="AD294" s="195">
        <f>IF(B294="","",LOG10(B294))</f>
        <v/>
      </c>
      <c r="AE294" s="195">
        <f>IF(AB294="","",LOG10(MAX(AB294,1E-12)))</f>
        <v/>
      </c>
      <c r="AF294" s="195">
        <f>IF(B294="","",SQRT(P294^2+Q294^2))</f>
        <v/>
      </c>
      <c r="AG294" s="195">
        <f>IF(B294="","",SQRT(R294^2+S294^2))</f>
        <v/>
      </c>
    </row>
    <row r="295">
      <c r="A295" t="n">
        <v>292</v>
      </c>
      <c r="B295" s="196">
        <f>IF(A295&lt;='入力・概要'!$B$40,10^(LOG10('入力・概要'!$B$38)+(A295-1)*(LOG10('入力・概要'!$B$39)-LOG10('入力・概要'!$B$38))/('入力・概要'!$B$40-1)),"")</f>
        <v/>
      </c>
      <c r="C295" s="195">
        <f>IF(B295="","",2*PI()*B295)</f>
        <v/>
      </c>
      <c r="D295" s="195">
        <f>IF(B295="","",ATANH(MIN(0.999999,'入力・概要'!$E$20/'入力・概要'!$E$9))+'入力・概要'!$B$20*SQRT(B295/1E6)+E295*'入力・概要'!$B$15/2)</f>
        <v/>
      </c>
      <c r="E295" s="195">
        <f>IF(B295="","",C295*('入力・概要'!$E$11*1E-9))</f>
        <v/>
      </c>
      <c r="F295" s="195">
        <f>IF(B295="","",SINH(2*D295)/(COSH(2*D295)+COS(2*E295)))</f>
        <v/>
      </c>
      <c r="G295" s="195">
        <f>IF(B295="","",SIN(2*E295)/(COSH(2*D295)+COS(2*E295)))</f>
        <v/>
      </c>
      <c r="H295" s="195">
        <f>IF(B295="","",ATANH(MIN(0.999999,'入力・概要'!$E$21/'入力・概要'!$E$15))+'入力・概要'!$B$21*SQRT(B295/1E6)+I295*'入力・概要'!$B$16/2)</f>
        <v/>
      </c>
      <c r="I295" s="195">
        <f>IF(B295="","",C295*('入力・概要'!$E$17*1E-9))</f>
        <v/>
      </c>
      <c r="J295" s="195">
        <f>IF(B295="","",SINH(2*H295)/(COSH(2*H295)+COS(2*I295)))</f>
        <v/>
      </c>
      <c r="K295" s="195">
        <f>IF(B295="","",SIN(2*I295)/(COSH(2*H295)+COS(2*I295)))</f>
        <v/>
      </c>
      <c r="L295" s="195">
        <f>IF(B295="","",'入力・概要'!$B$25)</f>
        <v/>
      </c>
      <c r="M295" s="195">
        <f>IF(B295="","",C295*'入力・概要'!$B$26*1E-9-1/(C295*'入力・概要'!$B$24*1E-6))</f>
        <v/>
      </c>
      <c r="N295" s="195">
        <f>IF(B295="","",'入力・概要'!$B$28)</f>
        <v/>
      </c>
      <c r="O295" s="195">
        <f>IF(B295="","",C295*'入力・概要'!$B$29*1E-9-1/(C295*'入力・概要'!$B$27*1E-6))</f>
        <v/>
      </c>
      <c r="P295" s="195">
        <f>IF(B295="","",((L295*N295-M295*O295)*(L295+N295)+(L295*O295+M295*N295)*(M295+O295))/((L295+N295)^2+(M295+O295)^2))</f>
        <v/>
      </c>
      <c r="Q295" s="195">
        <f>IF(B295="","",((L295*O295+M295*N295)*(L295+N295)-(L295*N295-M295*O295)*(M295+O295))/((L295+N295)^2+(M295+O295)^2))</f>
        <v/>
      </c>
      <c r="R295" s="195">
        <f>IF(B295="","",'入力・概要'!$E$15*J295)</f>
        <v/>
      </c>
      <c r="S295" s="195">
        <f>IF(B295="","",'入力・概要'!$E$15*K295)</f>
        <v/>
      </c>
      <c r="T295" s="195">
        <f>IF(B295="","",P295+R295)</f>
        <v/>
      </c>
      <c r="U295" s="195">
        <f>IF(B295="","",Q295+S295)</f>
        <v/>
      </c>
      <c r="V295" s="195">
        <f>IF(B295="","",T295+'入力・概要'!$E$9*F295)</f>
        <v/>
      </c>
      <c r="W295" s="195">
        <f>IF(B295="","",U295+'入力・概要'!$E$9*G295)</f>
        <v/>
      </c>
      <c r="X295" s="195">
        <f>IF(B295="","",'入力・概要'!$E$9+T295*F295-U295*G295)</f>
        <v/>
      </c>
      <c r="Y295" s="195">
        <f>IF(B295="","",T295*G295+U295*F295)</f>
        <v/>
      </c>
      <c r="Z295" s="195">
        <f>IF(B295="","",'入力・概要'!$E$9*(V295*X295+W295*Y295)/(X295^2+Y295^2)+'入力・概要'!$B$36)</f>
        <v/>
      </c>
      <c r="AA295" s="195">
        <f>IF(B295="","",'入力・概要'!$E$9*(W295*X295-V295*Y295)/(X295^2+Y295^2)+C295*'入力・概要'!$B$37*1E-9)</f>
        <v/>
      </c>
      <c r="AB295" s="195">
        <f>IF(B295="","",SQRT(Z295^2+AA295^2))</f>
        <v/>
      </c>
      <c r="AC295" s="195">
        <f>IF(B295="","",IF(Z295&gt;0,DEGREES(ATAN(AA295/Z295)),IF(Z295&lt;0,IF(AA295&gt;=0,DEGREES(ATAN(AA295/Z295))+180,DEGREES(ATAN(AA295/Z295))-180),IF(AA295&gt;0,90,IF(AA295&lt;0,-90,0)))))</f>
        <v/>
      </c>
      <c r="AD295" s="195">
        <f>IF(B295="","",LOG10(B295))</f>
        <v/>
      </c>
      <c r="AE295" s="195">
        <f>IF(AB295="","",LOG10(MAX(AB295,1E-12)))</f>
        <v/>
      </c>
      <c r="AF295" s="195">
        <f>IF(B295="","",SQRT(P295^2+Q295^2))</f>
        <v/>
      </c>
      <c r="AG295" s="195">
        <f>IF(B295="","",SQRT(R295^2+S295^2))</f>
        <v/>
      </c>
    </row>
    <row r="296">
      <c r="A296" t="n">
        <v>293</v>
      </c>
      <c r="B296" s="196">
        <f>IF(A296&lt;='入力・概要'!$B$40,10^(LOG10('入力・概要'!$B$38)+(A296-1)*(LOG10('入力・概要'!$B$39)-LOG10('入力・概要'!$B$38))/('入力・概要'!$B$40-1)),"")</f>
        <v/>
      </c>
      <c r="C296" s="195">
        <f>IF(B296="","",2*PI()*B296)</f>
        <v/>
      </c>
      <c r="D296" s="195">
        <f>IF(B296="","",ATANH(MIN(0.999999,'入力・概要'!$E$20/'入力・概要'!$E$9))+'入力・概要'!$B$20*SQRT(B296/1E6)+E296*'入力・概要'!$B$15/2)</f>
        <v/>
      </c>
      <c r="E296" s="195">
        <f>IF(B296="","",C296*('入力・概要'!$E$11*1E-9))</f>
        <v/>
      </c>
      <c r="F296" s="195">
        <f>IF(B296="","",SINH(2*D296)/(COSH(2*D296)+COS(2*E296)))</f>
        <v/>
      </c>
      <c r="G296" s="195">
        <f>IF(B296="","",SIN(2*E296)/(COSH(2*D296)+COS(2*E296)))</f>
        <v/>
      </c>
      <c r="H296" s="195">
        <f>IF(B296="","",ATANH(MIN(0.999999,'入力・概要'!$E$21/'入力・概要'!$E$15))+'入力・概要'!$B$21*SQRT(B296/1E6)+I296*'入力・概要'!$B$16/2)</f>
        <v/>
      </c>
      <c r="I296" s="195">
        <f>IF(B296="","",C296*('入力・概要'!$E$17*1E-9))</f>
        <v/>
      </c>
      <c r="J296" s="195">
        <f>IF(B296="","",SINH(2*H296)/(COSH(2*H296)+COS(2*I296)))</f>
        <v/>
      </c>
      <c r="K296" s="195">
        <f>IF(B296="","",SIN(2*I296)/(COSH(2*H296)+COS(2*I296)))</f>
        <v/>
      </c>
      <c r="L296" s="195">
        <f>IF(B296="","",'入力・概要'!$B$25)</f>
        <v/>
      </c>
      <c r="M296" s="195">
        <f>IF(B296="","",C296*'入力・概要'!$B$26*1E-9-1/(C296*'入力・概要'!$B$24*1E-6))</f>
        <v/>
      </c>
      <c r="N296" s="195">
        <f>IF(B296="","",'入力・概要'!$B$28)</f>
        <v/>
      </c>
      <c r="O296" s="195">
        <f>IF(B296="","",C296*'入力・概要'!$B$29*1E-9-1/(C296*'入力・概要'!$B$27*1E-6))</f>
        <v/>
      </c>
      <c r="P296" s="195">
        <f>IF(B296="","",((L296*N296-M296*O296)*(L296+N296)+(L296*O296+M296*N296)*(M296+O296))/((L296+N296)^2+(M296+O296)^2))</f>
        <v/>
      </c>
      <c r="Q296" s="195">
        <f>IF(B296="","",((L296*O296+M296*N296)*(L296+N296)-(L296*N296-M296*O296)*(M296+O296))/((L296+N296)^2+(M296+O296)^2))</f>
        <v/>
      </c>
      <c r="R296" s="195">
        <f>IF(B296="","",'入力・概要'!$E$15*J296)</f>
        <v/>
      </c>
      <c r="S296" s="195">
        <f>IF(B296="","",'入力・概要'!$E$15*K296)</f>
        <v/>
      </c>
      <c r="T296" s="195">
        <f>IF(B296="","",P296+R296)</f>
        <v/>
      </c>
      <c r="U296" s="195">
        <f>IF(B296="","",Q296+S296)</f>
        <v/>
      </c>
      <c r="V296" s="195">
        <f>IF(B296="","",T296+'入力・概要'!$E$9*F296)</f>
        <v/>
      </c>
      <c r="W296" s="195">
        <f>IF(B296="","",U296+'入力・概要'!$E$9*G296)</f>
        <v/>
      </c>
      <c r="X296" s="195">
        <f>IF(B296="","",'入力・概要'!$E$9+T296*F296-U296*G296)</f>
        <v/>
      </c>
      <c r="Y296" s="195">
        <f>IF(B296="","",T296*G296+U296*F296)</f>
        <v/>
      </c>
      <c r="Z296" s="195">
        <f>IF(B296="","",'入力・概要'!$E$9*(V296*X296+W296*Y296)/(X296^2+Y296^2)+'入力・概要'!$B$36)</f>
        <v/>
      </c>
      <c r="AA296" s="195">
        <f>IF(B296="","",'入力・概要'!$E$9*(W296*X296-V296*Y296)/(X296^2+Y296^2)+C296*'入力・概要'!$B$37*1E-9)</f>
        <v/>
      </c>
      <c r="AB296" s="195">
        <f>IF(B296="","",SQRT(Z296^2+AA296^2))</f>
        <v/>
      </c>
      <c r="AC296" s="195">
        <f>IF(B296="","",IF(Z296&gt;0,DEGREES(ATAN(AA296/Z296)),IF(Z296&lt;0,IF(AA296&gt;=0,DEGREES(ATAN(AA296/Z296))+180,DEGREES(ATAN(AA296/Z296))-180),IF(AA296&gt;0,90,IF(AA296&lt;0,-90,0)))))</f>
        <v/>
      </c>
      <c r="AD296" s="195">
        <f>IF(B296="","",LOG10(B296))</f>
        <v/>
      </c>
      <c r="AE296" s="195">
        <f>IF(AB296="","",LOG10(MAX(AB296,1E-12)))</f>
        <v/>
      </c>
      <c r="AF296" s="195">
        <f>IF(B296="","",SQRT(P296^2+Q296^2))</f>
        <v/>
      </c>
      <c r="AG296" s="195">
        <f>IF(B296="","",SQRT(R296^2+S296^2))</f>
        <v/>
      </c>
    </row>
    <row r="297">
      <c r="A297" t="n">
        <v>294</v>
      </c>
      <c r="B297" s="196">
        <f>IF(A297&lt;='入力・概要'!$B$40,10^(LOG10('入力・概要'!$B$38)+(A297-1)*(LOG10('入力・概要'!$B$39)-LOG10('入力・概要'!$B$38))/('入力・概要'!$B$40-1)),"")</f>
        <v/>
      </c>
      <c r="C297" s="195">
        <f>IF(B297="","",2*PI()*B297)</f>
        <v/>
      </c>
      <c r="D297" s="195">
        <f>IF(B297="","",ATANH(MIN(0.999999,'入力・概要'!$E$20/'入力・概要'!$E$9))+'入力・概要'!$B$20*SQRT(B297/1E6)+E297*'入力・概要'!$B$15/2)</f>
        <v/>
      </c>
      <c r="E297" s="195">
        <f>IF(B297="","",C297*('入力・概要'!$E$11*1E-9))</f>
        <v/>
      </c>
      <c r="F297" s="195">
        <f>IF(B297="","",SINH(2*D297)/(COSH(2*D297)+COS(2*E297)))</f>
        <v/>
      </c>
      <c r="G297" s="195">
        <f>IF(B297="","",SIN(2*E297)/(COSH(2*D297)+COS(2*E297)))</f>
        <v/>
      </c>
      <c r="H297" s="195">
        <f>IF(B297="","",ATANH(MIN(0.999999,'入力・概要'!$E$21/'入力・概要'!$E$15))+'入力・概要'!$B$21*SQRT(B297/1E6)+I297*'入力・概要'!$B$16/2)</f>
        <v/>
      </c>
      <c r="I297" s="195">
        <f>IF(B297="","",C297*('入力・概要'!$E$17*1E-9))</f>
        <v/>
      </c>
      <c r="J297" s="195">
        <f>IF(B297="","",SINH(2*H297)/(COSH(2*H297)+COS(2*I297)))</f>
        <v/>
      </c>
      <c r="K297" s="195">
        <f>IF(B297="","",SIN(2*I297)/(COSH(2*H297)+COS(2*I297)))</f>
        <v/>
      </c>
      <c r="L297" s="195">
        <f>IF(B297="","",'入力・概要'!$B$25)</f>
        <v/>
      </c>
      <c r="M297" s="195">
        <f>IF(B297="","",C297*'入力・概要'!$B$26*1E-9-1/(C297*'入力・概要'!$B$24*1E-6))</f>
        <v/>
      </c>
      <c r="N297" s="195">
        <f>IF(B297="","",'入力・概要'!$B$28)</f>
        <v/>
      </c>
      <c r="O297" s="195">
        <f>IF(B297="","",C297*'入力・概要'!$B$29*1E-9-1/(C297*'入力・概要'!$B$27*1E-6))</f>
        <v/>
      </c>
      <c r="P297" s="195">
        <f>IF(B297="","",((L297*N297-M297*O297)*(L297+N297)+(L297*O297+M297*N297)*(M297+O297))/((L297+N297)^2+(M297+O297)^2))</f>
        <v/>
      </c>
      <c r="Q297" s="195">
        <f>IF(B297="","",((L297*O297+M297*N297)*(L297+N297)-(L297*N297-M297*O297)*(M297+O297))/((L297+N297)^2+(M297+O297)^2))</f>
        <v/>
      </c>
      <c r="R297" s="195">
        <f>IF(B297="","",'入力・概要'!$E$15*J297)</f>
        <v/>
      </c>
      <c r="S297" s="195">
        <f>IF(B297="","",'入力・概要'!$E$15*K297)</f>
        <v/>
      </c>
      <c r="T297" s="195">
        <f>IF(B297="","",P297+R297)</f>
        <v/>
      </c>
      <c r="U297" s="195">
        <f>IF(B297="","",Q297+S297)</f>
        <v/>
      </c>
      <c r="V297" s="195">
        <f>IF(B297="","",T297+'入力・概要'!$E$9*F297)</f>
        <v/>
      </c>
      <c r="W297" s="195">
        <f>IF(B297="","",U297+'入力・概要'!$E$9*G297)</f>
        <v/>
      </c>
      <c r="X297" s="195">
        <f>IF(B297="","",'入力・概要'!$E$9+T297*F297-U297*G297)</f>
        <v/>
      </c>
      <c r="Y297" s="195">
        <f>IF(B297="","",T297*G297+U297*F297)</f>
        <v/>
      </c>
      <c r="Z297" s="195">
        <f>IF(B297="","",'入力・概要'!$E$9*(V297*X297+W297*Y297)/(X297^2+Y297^2)+'入力・概要'!$B$36)</f>
        <v/>
      </c>
      <c r="AA297" s="195">
        <f>IF(B297="","",'入力・概要'!$E$9*(W297*X297-V297*Y297)/(X297^2+Y297^2)+C297*'入力・概要'!$B$37*1E-9)</f>
        <v/>
      </c>
      <c r="AB297" s="195">
        <f>IF(B297="","",SQRT(Z297^2+AA297^2))</f>
        <v/>
      </c>
      <c r="AC297" s="195">
        <f>IF(B297="","",IF(Z297&gt;0,DEGREES(ATAN(AA297/Z297)),IF(Z297&lt;0,IF(AA297&gt;=0,DEGREES(ATAN(AA297/Z297))+180,DEGREES(ATAN(AA297/Z297))-180),IF(AA297&gt;0,90,IF(AA297&lt;0,-90,0)))))</f>
        <v/>
      </c>
      <c r="AD297" s="195">
        <f>IF(B297="","",LOG10(B297))</f>
        <v/>
      </c>
      <c r="AE297" s="195">
        <f>IF(AB297="","",LOG10(MAX(AB297,1E-12)))</f>
        <v/>
      </c>
      <c r="AF297" s="195">
        <f>IF(B297="","",SQRT(P297^2+Q297^2))</f>
        <v/>
      </c>
      <c r="AG297" s="195">
        <f>IF(B297="","",SQRT(R297^2+S297^2))</f>
        <v/>
      </c>
    </row>
    <row r="298">
      <c r="A298" t="n">
        <v>295</v>
      </c>
      <c r="B298" s="196">
        <f>IF(A298&lt;='入力・概要'!$B$40,10^(LOG10('入力・概要'!$B$38)+(A298-1)*(LOG10('入力・概要'!$B$39)-LOG10('入力・概要'!$B$38))/('入力・概要'!$B$40-1)),"")</f>
        <v/>
      </c>
      <c r="C298" s="195">
        <f>IF(B298="","",2*PI()*B298)</f>
        <v/>
      </c>
      <c r="D298" s="195">
        <f>IF(B298="","",ATANH(MIN(0.999999,'入力・概要'!$E$20/'入力・概要'!$E$9))+'入力・概要'!$B$20*SQRT(B298/1E6)+E298*'入力・概要'!$B$15/2)</f>
        <v/>
      </c>
      <c r="E298" s="195">
        <f>IF(B298="","",C298*('入力・概要'!$E$11*1E-9))</f>
        <v/>
      </c>
      <c r="F298" s="195">
        <f>IF(B298="","",SINH(2*D298)/(COSH(2*D298)+COS(2*E298)))</f>
        <v/>
      </c>
      <c r="G298" s="195">
        <f>IF(B298="","",SIN(2*E298)/(COSH(2*D298)+COS(2*E298)))</f>
        <v/>
      </c>
      <c r="H298" s="195">
        <f>IF(B298="","",ATANH(MIN(0.999999,'入力・概要'!$E$21/'入力・概要'!$E$15))+'入力・概要'!$B$21*SQRT(B298/1E6)+I298*'入力・概要'!$B$16/2)</f>
        <v/>
      </c>
      <c r="I298" s="195">
        <f>IF(B298="","",C298*('入力・概要'!$E$17*1E-9))</f>
        <v/>
      </c>
      <c r="J298" s="195">
        <f>IF(B298="","",SINH(2*H298)/(COSH(2*H298)+COS(2*I298)))</f>
        <v/>
      </c>
      <c r="K298" s="195">
        <f>IF(B298="","",SIN(2*I298)/(COSH(2*H298)+COS(2*I298)))</f>
        <v/>
      </c>
      <c r="L298" s="195">
        <f>IF(B298="","",'入力・概要'!$B$25)</f>
        <v/>
      </c>
      <c r="M298" s="195">
        <f>IF(B298="","",C298*'入力・概要'!$B$26*1E-9-1/(C298*'入力・概要'!$B$24*1E-6))</f>
        <v/>
      </c>
      <c r="N298" s="195">
        <f>IF(B298="","",'入力・概要'!$B$28)</f>
        <v/>
      </c>
      <c r="O298" s="195">
        <f>IF(B298="","",C298*'入力・概要'!$B$29*1E-9-1/(C298*'入力・概要'!$B$27*1E-6))</f>
        <v/>
      </c>
      <c r="P298" s="195">
        <f>IF(B298="","",((L298*N298-M298*O298)*(L298+N298)+(L298*O298+M298*N298)*(M298+O298))/((L298+N298)^2+(M298+O298)^2))</f>
        <v/>
      </c>
      <c r="Q298" s="195">
        <f>IF(B298="","",((L298*O298+M298*N298)*(L298+N298)-(L298*N298-M298*O298)*(M298+O298))/((L298+N298)^2+(M298+O298)^2))</f>
        <v/>
      </c>
      <c r="R298" s="195">
        <f>IF(B298="","",'入力・概要'!$E$15*J298)</f>
        <v/>
      </c>
      <c r="S298" s="195">
        <f>IF(B298="","",'入力・概要'!$E$15*K298)</f>
        <v/>
      </c>
      <c r="T298" s="195">
        <f>IF(B298="","",P298+R298)</f>
        <v/>
      </c>
      <c r="U298" s="195">
        <f>IF(B298="","",Q298+S298)</f>
        <v/>
      </c>
      <c r="V298" s="195">
        <f>IF(B298="","",T298+'入力・概要'!$E$9*F298)</f>
        <v/>
      </c>
      <c r="W298" s="195">
        <f>IF(B298="","",U298+'入力・概要'!$E$9*G298)</f>
        <v/>
      </c>
      <c r="X298" s="195">
        <f>IF(B298="","",'入力・概要'!$E$9+T298*F298-U298*G298)</f>
        <v/>
      </c>
      <c r="Y298" s="195">
        <f>IF(B298="","",T298*G298+U298*F298)</f>
        <v/>
      </c>
      <c r="Z298" s="195">
        <f>IF(B298="","",'入力・概要'!$E$9*(V298*X298+W298*Y298)/(X298^2+Y298^2)+'入力・概要'!$B$36)</f>
        <v/>
      </c>
      <c r="AA298" s="195">
        <f>IF(B298="","",'入力・概要'!$E$9*(W298*X298-V298*Y298)/(X298^2+Y298^2)+C298*'入力・概要'!$B$37*1E-9)</f>
        <v/>
      </c>
      <c r="AB298" s="195">
        <f>IF(B298="","",SQRT(Z298^2+AA298^2))</f>
        <v/>
      </c>
      <c r="AC298" s="195">
        <f>IF(B298="","",IF(Z298&gt;0,DEGREES(ATAN(AA298/Z298)),IF(Z298&lt;0,IF(AA298&gt;=0,DEGREES(ATAN(AA298/Z298))+180,DEGREES(ATAN(AA298/Z298))-180),IF(AA298&gt;0,90,IF(AA298&lt;0,-90,0)))))</f>
        <v/>
      </c>
      <c r="AD298" s="195">
        <f>IF(B298="","",LOG10(B298))</f>
        <v/>
      </c>
      <c r="AE298" s="195">
        <f>IF(AB298="","",LOG10(MAX(AB298,1E-12)))</f>
        <v/>
      </c>
      <c r="AF298" s="195">
        <f>IF(B298="","",SQRT(P298^2+Q298^2))</f>
        <v/>
      </c>
      <c r="AG298" s="195">
        <f>IF(B298="","",SQRT(R298^2+S298^2))</f>
        <v/>
      </c>
    </row>
    <row r="299">
      <c r="A299" t="n">
        <v>296</v>
      </c>
      <c r="B299" s="196">
        <f>IF(A299&lt;='入力・概要'!$B$40,10^(LOG10('入力・概要'!$B$38)+(A299-1)*(LOG10('入力・概要'!$B$39)-LOG10('入力・概要'!$B$38))/('入力・概要'!$B$40-1)),"")</f>
        <v/>
      </c>
      <c r="C299" s="195">
        <f>IF(B299="","",2*PI()*B299)</f>
        <v/>
      </c>
      <c r="D299" s="195">
        <f>IF(B299="","",ATANH(MIN(0.999999,'入力・概要'!$E$20/'入力・概要'!$E$9))+'入力・概要'!$B$20*SQRT(B299/1E6)+E299*'入力・概要'!$B$15/2)</f>
        <v/>
      </c>
      <c r="E299" s="195">
        <f>IF(B299="","",C299*('入力・概要'!$E$11*1E-9))</f>
        <v/>
      </c>
      <c r="F299" s="195">
        <f>IF(B299="","",SINH(2*D299)/(COSH(2*D299)+COS(2*E299)))</f>
        <v/>
      </c>
      <c r="G299" s="195">
        <f>IF(B299="","",SIN(2*E299)/(COSH(2*D299)+COS(2*E299)))</f>
        <v/>
      </c>
      <c r="H299" s="195">
        <f>IF(B299="","",ATANH(MIN(0.999999,'入力・概要'!$E$21/'入力・概要'!$E$15))+'入力・概要'!$B$21*SQRT(B299/1E6)+I299*'入力・概要'!$B$16/2)</f>
        <v/>
      </c>
      <c r="I299" s="195">
        <f>IF(B299="","",C299*('入力・概要'!$E$17*1E-9))</f>
        <v/>
      </c>
      <c r="J299" s="195">
        <f>IF(B299="","",SINH(2*H299)/(COSH(2*H299)+COS(2*I299)))</f>
        <v/>
      </c>
      <c r="K299" s="195">
        <f>IF(B299="","",SIN(2*I299)/(COSH(2*H299)+COS(2*I299)))</f>
        <v/>
      </c>
      <c r="L299" s="195">
        <f>IF(B299="","",'入力・概要'!$B$25)</f>
        <v/>
      </c>
      <c r="M299" s="195">
        <f>IF(B299="","",C299*'入力・概要'!$B$26*1E-9-1/(C299*'入力・概要'!$B$24*1E-6))</f>
        <v/>
      </c>
      <c r="N299" s="195">
        <f>IF(B299="","",'入力・概要'!$B$28)</f>
        <v/>
      </c>
      <c r="O299" s="195">
        <f>IF(B299="","",C299*'入力・概要'!$B$29*1E-9-1/(C299*'入力・概要'!$B$27*1E-6))</f>
        <v/>
      </c>
      <c r="P299" s="195">
        <f>IF(B299="","",((L299*N299-M299*O299)*(L299+N299)+(L299*O299+M299*N299)*(M299+O299))/((L299+N299)^2+(M299+O299)^2))</f>
        <v/>
      </c>
      <c r="Q299" s="195">
        <f>IF(B299="","",((L299*O299+M299*N299)*(L299+N299)-(L299*N299-M299*O299)*(M299+O299))/((L299+N299)^2+(M299+O299)^2))</f>
        <v/>
      </c>
      <c r="R299" s="195">
        <f>IF(B299="","",'入力・概要'!$E$15*J299)</f>
        <v/>
      </c>
      <c r="S299" s="195">
        <f>IF(B299="","",'入力・概要'!$E$15*K299)</f>
        <v/>
      </c>
      <c r="T299" s="195">
        <f>IF(B299="","",P299+R299)</f>
        <v/>
      </c>
      <c r="U299" s="195">
        <f>IF(B299="","",Q299+S299)</f>
        <v/>
      </c>
      <c r="V299" s="195">
        <f>IF(B299="","",T299+'入力・概要'!$E$9*F299)</f>
        <v/>
      </c>
      <c r="W299" s="195">
        <f>IF(B299="","",U299+'入力・概要'!$E$9*G299)</f>
        <v/>
      </c>
      <c r="X299" s="195">
        <f>IF(B299="","",'入力・概要'!$E$9+T299*F299-U299*G299)</f>
        <v/>
      </c>
      <c r="Y299" s="195">
        <f>IF(B299="","",T299*G299+U299*F299)</f>
        <v/>
      </c>
      <c r="Z299" s="195">
        <f>IF(B299="","",'入力・概要'!$E$9*(V299*X299+W299*Y299)/(X299^2+Y299^2)+'入力・概要'!$B$36)</f>
        <v/>
      </c>
      <c r="AA299" s="195">
        <f>IF(B299="","",'入力・概要'!$E$9*(W299*X299-V299*Y299)/(X299^2+Y299^2)+C299*'入力・概要'!$B$37*1E-9)</f>
        <v/>
      </c>
      <c r="AB299" s="195">
        <f>IF(B299="","",SQRT(Z299^2+AA299^2))</f>
        <v/>
      </c>
      <c r="AC299" s="195">
        <f>IF(B299="","",IF(Z299&gt;0,DEGREES(ATAN(AA299/Z299)),IF(Z299&lt;0,IF(AA299&gt;=0,DEGREES(ATAN(AA299/Z299))+180,DEGREES(ATAN(AA299/Z299))-180),IF(AA299&gt;0,90,IF(AA299&lt;0,-90,0)))))</f>
        <v/>
      </c>
      <c r="AD299" s="195">
        <f>IF(B299="","",LOG10(B299))</f>
        <v/>
      </c>
      <c r="AE299" s="195">
        <f>IF(AB299="","",LOG10(MAX(AB299,1E-12)))</f>
        <v/>
      </c>
      <c r="AF299" s="195">
        <f>IF(B299="","",SQRT(P299^2+Q299^2))</f>
        <v/>
      </c>
      <c r="AG299" s="195">
        <f>IF(B299="","",SQRT(R299^2+S299^2))</f>
        <v/>
      </c>
    </row>
    <row r="300">
      <c r="A300" t="n">
        <v>297</v>
      </c>
      <c r="B300" s="196">
        <f>IF(A300&lt;='入力・概要'!$B$40,10^(LOG10('入力・概要'!$B$38)+(A300-1)*(LOG10('入力・概要'!$B$39)-LOG10('入力・概要'!$B$38))/('入力・概要'!$B$40-1)),"")</f>
        <v/>
      </c>
      <c r="C300" s="195">
        <f>IF(B300="","",2*PI()*B300)</f>
        <v/>
      </c>
      <c r="D300" s="195">
        <f>IF(B300="","",ATANH(MIN(0.999999,'入力・概要'!$E$20/'入力・概要'!$E$9))+'入力・概要'!$B$20*SQRT(B300/1E6)+E300*'入力・概要'!$B$15/2)</f>
        <v/>
      </c>
      <c r="E300" s="195">
        <f>IF(B300="","",C300*('入力・概要'!$E$11*1E-9))</f>
        <v/>
      </c>
      <c r="F300" s="195">
        <f>IF(B300="","",SINH(2*D300)/(COSH(2*D300)+COS(2*E300)))</f>
        <v/>
      </c>
      <c r="G300" s="195">
        <f>IF(B300="","",SIN(2*E300)/(COSH(2*D300)+COS(2*E300)))</f>
        <v/>
      </c>
      <c r="H300" s="195">
        <f>IF(B300="","",ATANH(MIN(0.999999,'入力・概要'!$E$21/'入力・概要'!$E$15))+'入力・概要'!$B$21*SQRT(B300/1E6)+I300*'入力・概要'!$B$16/2)</f>
        <v/>
      </c>
      <c r="I300" s="195">
        <f>IF(B300="","",C300*('入力・概要'!$E$17*1E-9))</f>
        <v/>
      </c>
      <c r="J300" s="195">
        <f>IF(B300="","",SINH(2*H300)/(COSH(2*H300)+COS(2*I300)))</f>
        <v/>
      </c>
      <c r="K300" s="195">
        <f>IF(B300="","",SIN(2*I300)/(COSH(2*H300)+COS(2*I300)))</f>
        <v/>
      </c>
      <c r="L300" s="195">
        <f>IF(B300="","",'入力・概要'!$B$25)</f>
        <v/>
      </c>
      <c r="M300" s="195">
        <f>IF(B300="","",C300*'入力・概要'!$B$26*1E-9-1/(C300*'入力・概要'!$B$24*1E-6))</f>
        <v/>
      </c>
      <c r="N300" s="195">
        <f>IF(B300="","",'入力・概要'!$B$28)</f>
        <v/>
      </c>
      <c r="O300" s="195">
        <f>IF(B300="","",C300*'入力・概要'!$B$29*1E-9-1/(C300*'入力・概要'!$B$27*1E-6))</f>
        <v/>
      </c>
      <c r="P300" s="195">
        <f>IF(B300="","",((L300*N300-M300*O300)*(L300+N300)+(L300*O300+M300*N300)*(M300+O300))/((L300+N300)^2+(M300+O300)^2))</f>
        <v/>
      </c>
      <c r="Q300" s="195">
        <f>IF(B300="","",((L300*O300+M300*N300)*(L300+N300)-(L300*N300-M300*O300)*(M300+O300))/((L300+N300)^2+(M300+O300)^2))</f>
        <v/>
      </c>
      <c r="R300" s="195">
        <f>IF(B300="","",'入力・概要'!$E$15*J300)</f>
        <v/>
      </c>
      <c r="S300" s="195">
        <f>IF(B300="","",'入力・概要'!$E$15*K300)</f>
        <v/>
      </c>
      <c r="T300" s="195">
        <f>IF(B300="","",P300+R300)</f>
        <v/>
      </c>
      <c r="U300" s="195">
        <f>IF(B300="","",Q300+S300)</f>
        <v/>
      </c>
      <c r="V300" s="195">
        <f>IF(B300="","",T300+'入力・概要'!$E$9*F300)</f>
        <v/>
      </c>
      <c r="W300" s="195">
        <f>IF(B300="","",U300+'入力・概要'!$E$9*G300)</f>
        <v/>
      </c>
      <c r="X300" s="195">
        <f>IF(B300="","",'入力・概要'!$E$9+T300*F300-U300*G300)</f>
        <v/>
      </c>
      <c r="Y300" s="195">
        <f>IF(B300="","",T300*G300+U300*F300)</f>
        <v/>
      </c>
      <c r="Z300" s="195">
        <f>IF(B300="","",'入力・概要'!$E$9*(V300*X300+W300*Y300)/(X300^2+Y300^2)+'入力・概要'!$B$36)</f>
        <v/>
      </c>
      <c r="AA300" s="195">
        <f>IF(B300="","",'入力・概要'!$E$9*(W300*X300-V300*Y300)/(X300^2+Y300^2)+C300*'入力・概要'!$B$37*1E-9)</f>
        <v/>
      </c>
      <c r="AB300" s="195">
        <f>IF(B300="","",SQRT(Z300^2+AA300^2))</f>
        <v/>
      </c>
      <c r="AC300" s="195">
        <f>IF(B300="","",IF(Z300&gt;0,DEGREES(ATAN(AA300/Z300)),IF(Z300&lt;0,IF(AA300&gt;=0,DEGREES(ATAN(AA300/Z300))+180,DEGREES(ATAN(AA300/Z300))-180),IF(AA300&gt;0,90,IF(AA300&lt;0,-90,0)))))</f>
        <v/>
      </c>
      <c r="AD300" s="195">
        <f>IF(B300="","",LOG10(B300))</f>
        <v/>
      </c>
      <c r="AE300" s="195">
        <f>IF(AB300="","",LOG10(MAX(AB300,1E-12)))</f>
        <v/>
      </c>
      <c r="AF300" s="195">
        <f>IF(B300="","",SQRT(P300^2+Q300^2))</f>
        <v/>
      </c>
      <c r="AG300" s="195">
        <f>IF(B300="","",SQRT(R300^2+S300^2))</f>
        <v/>
      </c>
    </row>
    <row r="301">
      <c r="A301" t="n">
        <v>298</v>
      </c>
      <c r="B301" s="196">
        <f>IF(A301&lt;='入力・概要'!$B$40,10^(LOG10('入力・概要'!$B$38)+(A301-1)*(LOG10('入力・概要'!$B$39)-LOG10('入力・概要'!$B$38))/('入力・概要'!$B$40-1)),"")</f>
        <v/>
      </c>
      <c r="C301" s="195">
        <f>IF(B301="","",2*PI()*B301)</f>
        <v/>
      </c>
      <c r="D301" s="195">
        <f>IF(B301="","",ATANH(MIN(0.999999,'入力・概要'!$E$20/'入力・概要'!$E$9))+'入力・概要'!$B$20*SQRT(B301/1E6)+E301*'入力・概要'!$B$15/2)</f>
        <v/>
      </c>
      <c r="E301" s="195">
        <f>IF(B301="","",C301*('入力・概要'!$E$11*1E-9))</f>
        <v/>
      </c>
      <c r="F301" s="195">
        <f>IF(B301="","",SINH(2*D301)/(COSH(2*D301)+COS(2*E301)))</f>
        <v/>
      </c>
      <c r="G301" s="195">
        <f>IF(B301="","",SIN(2*E301)/(COSH(2*D301)+COS(2*E301)))</f>
        <v/>
      </c>
      <c r="H301" s="195">
        <f>IF(B301="","",ATANH(MIN(0.999999,'入力・概要'!$E$21/'入力・概要'!$E$15))+'入力・概要'!$B$21*SQRT(B301/1E6)+I301*'入力・概要'!$B$16/2)</f>
        <v/>
      </c>
      <c r="I301" s="195">
        <f>IF(B301="","",C301*('入力・概要'!$E$17*1E-9))</f>
        <v/>
      </c>
      <c r="J301" s="195">
        <f>IF(B301="","",SINH(2*H301)/(COSH(2*H301)+COS(2*I301)))</f>
        <v/>
      </c>
      <c r="K301" s="195">
        <f>IF(B301="","",SIN(2*I301)/(COSH(2*H301)+COS(2*I301)))</f>
        <v/>
      </c>
      <c r="L301" s="195">
        <f>IF(B301="","",'入力・概要'!$B$25)</f>
        <v/>
      </c>
      <c r="M301" s="195">
        <f>IF(B301="","",C301*'入力・概要'!$B$26*1E-9-1/(C301*'入力・概要'!$B$24*1E-6))</f>
        <v/>
      </c>
      <c r="N301" s="195">
        <f>IF(B301="","",'入力・概要'!$B$28)</f>
        <v/>
      </c>
      <c r="O301" s="195">
        <f>IF(B301="","",C301*'入力・概要'!$B$29*1E-9-1/(C301*'入力・概要'!$B$27*1E-6))</f>
        <v/>
      </c>
      <c r="P301" s="195">
        <f>IF(B301="","",((L301*N301-M301*O301)*(L301+N301)+(L301*O301+M301*N301)*(M301+O301))/((L301+N301)^2+(M301+O301)^2))</f>
        <v/>
      </c>
      <c r="Q301" s="195">
        <f>IF(B301="","",((L301*O301+M301*N301)*(L301+N301)-(L301*N301-M301*O301)*(M301+O301))/((L301+N301)^2+(M301+O301)^2))</f>
        <v/>
      </c>
      <c r="R301" s="195">
        <f>IF(B301="","",'入力・概要'!$E$15*J301)</f>
        <v/>
      </c>
      <c r="S301" s="195">
        <f>IF(B301="","",'入力・概要'!$E$15*K301)</f>
        <v/>
      </c>
      <c r="T301" s="195">
        <f>IF(B301="","",P301+R301)</f>
        <v/>
      </c>
      <c r="U301" s="195">
        <f>IF(B301="","",Q301+S301)</f>
        <v/>
      </c>
      <c r="V301" s="195">
        <f>IF(B301="","",T301+'入力・概要'!$E$9*F301)</f>
        <v/>
      </c>
      <c r="W301" s="195">
        <f>IF(B301="","",U301+'入力・概要'!$E$9*G301)</f>
        <v/>
      </c>
      <c r="X301" s="195">
        <f>IF(B301="","",'入力・概要'!$E$9+T301*F301-U301*G301)</f>
        <v/>
      </c>
      <c r="Y301" s="195">
        <f>IF(B301="","",T301*G301+U301*F301)</f>
        <v/>
      </c>
      <c r="Z301" s="195">
        <f>IF(B301="","",'入力・概要'!$E$9*(V301*X301+W301*Y301)/(X301^2+Y301^2)+'入力・概要'!$B$36)</f>
        <v/>
      </c>
      <c r="AA301" s="195">
        <f>IF(B301="","",'入力・概要'!$E$9*(W301*X301-V301*Y301)/(X301^2+Y301^2)+C301*'入力・概要'!$B$37*1E-9)</f>
        <v/>
      </c>
      <c r="AB301" s="195">
        <f>IF(B301="","",SQRT(Z301^2+AA301^2))</f>
        <v/>
      </c>
      <c r="AC301" s="195">
        <f>IF(B301="","",IF(Z301&gt;0,DEGREES(ATAN(AA301/Z301)),IF(Z301&lt;0,IF(AA301&gt;=0,DEGREES(ATAN(AA301/Z301))+180,DEGREES(ATAN(AA301/Z301))-180),IF(AA301&gt;0,90,IF(AA301&lt;0,-90,0)))))</f>
        <v/>
      </c>
      <c r="AD301" s="195">
        <f>IF(B301="","",LOG10(B301))</f>
        <v/>
      </c>
      <c r="AE301" s="195">
        <f>IF(AB301="","",LOG10(MAX(AB301,1E-12)))</f>
        <v/>
      </c>
      <c r="AF301" s="195">
        <f>IF(B301="","",SQRT(P301^2+Q301^2))</f>
        <v/>
      </c>
      <c r="AG301" s="195">
        <f>IF(B301="","",SQRT(R301^2+S301^2))</f>
        <v/>
      </c>
    </row>
    <row r="302">
      <c r="A302" t="n">
        <v>299</v>
      </c>
      <c r="B302" s="196">
        <f>IF(A302&lt;='入力・概要'!$B$40,10^(LOG10('入力・概要'!$B$38)+(A302-1)*(LOG10('入力・概要'!$B$39)-LOG10('入力・概要'!$B$38))/('入力・概要'!$B$40-1)),"")</f>
        <v/>
      </c>
      <c r="C302" s="195">
        <f>IF(B302="","",2*PI()*B302)</f>
        <v/>
      </c>
      <c r="D302" s="195">
        <f>IF(B302="","",ATANH(MIN(0.999999,'入力・概要'!$E$20/'入力・概要'!$E$9))+'入力・概要'!$B$20*SQRT(B302/1E6)+E302*'入力・概要'!$B$15/2)</f>
        <v/>
      </c>
      <c r="E302" s="195">
        <f>IF(B302="","",C302*('入力・概要'!$E$11*1E-9))</f>
        <v/>
      </c>
      <c r="F302" s="195">
        <f>IF(B302="","",SINH(2*D302)/(COSH(2*D302)+COS(2*E302)))</f>
        <v/>
      </c>
      <c r="G302" s="195">
        <f>IF(B302="","",SIN(2*E302)/(COSH(2*D302)+COS(2*E302)))</f>
        <v/>
      </c>
      <c r="H302" s="195">
        <f>IF(B302="","",ATANH(MIN(0.999999,'入力・概要'!$E$21/'入力・概要'!$E$15))+'入力・概要'!$B$21*SQRT(B302/1E6)+I302*'入力・概要'!$B$16/2)</f>
        <v/>
      </c>
      <c r="I302" s="195">
        <f>IF(B302="","",C302*('入力・概要'!$E$17*1E-9))</f>
        <v/>
      </c>
      <c r="J302" s="195">
        <f>IF(B302="","",SINH(2*H302)/(COSH(2*H302)+COS(2*I302)))</f>
        <v/>
      </c>
      <c r="K302" s="195">
        <f>IF(B302="","",SIN(2*I302)/(COSH(2*H302)+COS(2*I302)))</f>
        <v/>
      </c>
      <c r="L302" s="195">
        <f>IF(B302="","",'入力・概要'!$B$25)</f>
        <v/>
      </c>
      <c r="M302" s="195">
        <f>IF(B302="","",C302*'入力・概要'!$B$26*1E-9-1/(C302*'入力・概要'!$B$24*1E-6))</f>
        <v/>
      </c>
      <c r="N302" s="195">
        <f>IF(B302="","",'入力・概要'!$B$28)</f>
        <v/>
      </c>
      <c r="O302" s="195">
        <f>IF(B302="","",C302*'入力・概要'!$B$29*1E-9-1/(C302*'入力・概要'!$B$27*1E-6))</f>
        <v/>
      </c>
      <c r="P302" s="195">
        <f>IF(B302="","",((L302*N302-M302*O302)*(L302+N302)+(L302*O302+M302*N302)*(M302+O302))/((L302+N302)^2+(M302+O302)^2))</f>
        <v/>
      </c>
      <c r="Q302" s="195">
        <f>IF(B302="","",((L302*O302+M302*N302)*(L302+N302)-(L302*N302-M302*O302)*(M302+O302))/((L302+N302)^2+(M302+O302)^2))</f>
        <v/>
      </c>
      <c r="R302" s="195">
        <f>IF(B302="","",'入力・概要'!$E$15*J302)</f>
        <v/>
      </c>
      <c r="S302" s="195">
        <f>IF(B302="","",'入力・概要'!$E$15*K302)</f>
        <v/>
      </c>
      <c r="T302" s="195">
        <f>IF(B302="","",P302+R302)</f>
        <v/>
      </c>
      <c r="U302" s="195">
        <f>IF(B302="","",Q302+S302)</f>
        <v/>
      </c>
      <c r="V302" s="195">
        <f>IF(B302="","",T302+'入力・概要'!$E$9*F302)</f>
        <v/>
      </c>
      <c r="W302" s="195">
        <f>IF(B302="","",U302+'入力・概要'!$E$9*G302)</f>
        <v/>
      </c>
      <c r="X302" s="195">
        <f>IF(B302="","",'入力・概要'!$E$9+T302*F302-U302*G302)</f>
        <v/>
      </c>
      <c r="Y302" s="195">
        <f>IF(B302="","",T302*G302+U302*F302)</f>
        <v/>
      </c>
      <c r="Z302" s="195">
        <f>IF(B302="","",'入力・概要'!$E$9*(V302*X302+W302*Y302)/(X302^2+Y302^2)+'入力・概要'!$B$36)</f>
        <v/>
      </c>
      <c r="AA302" s="195">
        <f>IF(B302="","",'入力・概要'!$E$9*(W302*X302-V302*Y302)/(X302^2+Y302^2)+C302*'入力・概要'!$B$37*1E-9)</f>
        <v/>
      </c>
      <c r="AB302" s="195">
        <f>IF(B302="","",SQRT(Z302^2+AA302^2))</f>
        <v/>
      </c>
      <c r="AC302" s="195">
        <f>IF(B302="","",IF(Z302&gt;0,DEGREES(ATAN(AA302/Z302)),IF(Z302&lt;0,IF(AA302&gt;=0,DEGREES(ATAN(AA302/Z302))+180,DEGREES(ATAN(AA302/Z302))-180),IF(AA302&gt;0,90,IF(AA302&lt;0,-90,0)))))</f>
        <v/>
      </c>
      <c r="AD302" s="195">
        <f>IF(B302="","",LOG10(B302))</f>
        <v/>
      </c>
      <c r="AE302" s="195">
        <f>IF(AB302="","",LOG10(MAX(AB302,1E-12)))</f>
        <v/>
      </c>
      <c r="AF302" s="195">
        <f>IF(B302="","",SQRT(P302^2+Q302^2))</f>
        <v/>
      </c>
      <c r="AG302" s="195">
        <f>IF(B302="","",SQRT(R302^2+S302^2))</f>
        <v/>
      </c>
    </row>
    <row r="303">
      <c r="A303" t="n">
        <v>300</v>
      </c>
      <c r="B303" s="196">
        <f>IF(A303&lt;='入力・概要'!$B$40,10^(LOG10('入力・概要'!$B$38)+(A303-1)*(LOG10('入力・概要'!$B$39)-LOG10('入力・概要'!$B$38))/('入力・概要'!$B$40-1)),"")</f>
        <v/>
      </c>
      <c r="C303" s="195">
        <f>IF(B303="","",2*PI()*B303)</f>
        <v/>
      </c>
      <c r="D303" s="195">
        <f>IF(B303="","",ATANH(MIN(0.999999,'入力・概要'!$E$20/'入力・概要'!$E$9))+'入力・概要'!$B$20*SQRT(B303/1E6)+E303*'入力・概要'!$B$15/2)</f>
        <v/>
      </c>
      <c r="E303" s="195">
        <f>IF(B303="","",C303*('入力・概要'!$E$11*1E-9))</f>
        <v/>
      </c>
      <c r="F303" s="195">
        <f>IF(B303="","",SINH(2*D303)/(COSH(2*D303)+COS(2*E303)))</f>
        <v/>
      </c>
      <c r="G303" s="195">
        <f>IF(B303="","",SIN(2*E303)/(COSH(2*D303)+COS(2*E303)))</f>
        <v/>
      </c>
      <c r="H303" s="195">
        <f>IF(B303="","",ATANH(MIN(0.999999,'入力・概要'!$E$21/'入力・概要'!$E$15))+'入力・概要'!$B$21*SQRT(B303/1E6)+I303*'入力・概要'!$B$16/2)</f>
        <v/>
      </c>
      <c r="I303" s="195">
        <f>IF(B303="","",C303*('入力・概要'!$E$17*1E-9))</f>
        <v/>
      </c>
      <c r="J303" s="195">
        <f>IF(B303="","",SINH(2*H303)/(COSH(2*H303)+COS(2*I303)))</f>
        <v/>
      </c>
      <c r="K303" s="195">
        <f>IF(B303="","",SIN(2*I303)/(COSH(2*H303)+COS(2*I303)))</f>
        <v/>
      </c>
      <c r="L303" s="195">
        <f>IF(B303="","",'入力・概要'!$B$25)</f>
        <v/>
      </c>
      <c r="M303" s="195">
        <f>IF(B303="","",C303*'入力・概要'!$B$26*1E-9-1/(C303*'入力・概要'!$B$24*1E-6))</f>
        <v/>
      </c>
      <c r="N303" s="195">
        <f>IF(B303="","",'入力・概要'!$B$28)</f>
        <v/>
      </c>
      <c r="O303" s="195">
        <f>IF(B303="","",C303*'入力・概要'!$B$29*1E-9-1/(C303*'入力・概要'!$B$27*1E-6))</f>
        <v/>
      </c>
      <c r="P303" s="195">
        <f>IF(B303="","",((L303*N303-M303*O303)*(L303+N303)+(L303*O303+M303*N303)*(M303+O303))/((L303+N303)^2+(M303+O303)^2))</f>
        <v/>
      </c>
      <c r="Q303" s="195">
        <f>IF(B303="","",((L303*O303+M303*N303)*(L303+N303)-(L303*N303-M303*O303)*(M303+O303))/((L303+N303)^2+(M303+O303)^2))</f>
        <v/>
      </c>
      <c r="R303" s="195">
        <f>IF(B303="","",'入力・概要'!$E$15*J303)</f>
        <v/>
      </c>
      <c r="S303" s="195">
        <f>IF(B303="","",'入力・概要'!$E$15*K303)</f>
        <v/>
      </c>
      <c r="T303" s="195">
        <f>IF(B303="","",P303+R303)</f>
        <v/>
      </c>
      <c r="U303" s="195">
        <f>IF(B303="","",Q303+S303)</f>
        <v/>
      </c>
      <c r="V303" s="195">
        <f>IF(B303="","",T303+'入力・概要'!$E$9*F303)</f>
        <v/>
      </c>
      <c r="W303" s="195">
        <f>IF(B303="","",U303+'入力・概要'!$E$9*G303)</f>
        <v/>
      </c>
      <c r="X303" s="195">
        <f>IF(B303="","",'入力・概要'!$E$9+T303*F303-U303*G303)</f>
        <v/>
      </c>
      <c r="Y303" s="195">
        <f>IF(B303="","",T303*G303+U303*F303)</f>
        <v/>
      </c>
      <c r="Z303" s="195">
        <f>IF(B303="","",'入力・概要'!$E$9*(V303*X303+W303*Y303)/(X303^2+Y303^2)+'入力・概要'!$B$36)</f>
        <v/>
      </c>
      <c r="AA303" s="195">
        <f>IF(B303="","",'入力・概要'!$E$9*(W303*X303-V303*Y303)/(X303^2+Y303^2)+C303*'入力・概要'!$B$37*1E-9)</f>
        <v/>
      </c>
      <c r="AB303" s="195">
        <f>IF(B303="","",SQRT(Z303^2+AA303^2))</f>
        <v/>
      </c>
      <c r="AC303" s="195">
        <f>IF(B303="","",IF(Z303&gt;0,DEGREES(ATAN(AA303/Z303)),IF(Z303&lt;0,IF(AA303&gt;=0,DEGREES(ATAN(AA303/Z303))+180,DEGREES(ATAN(AA303/Z303))-180),IF(AA303&gt;0,90,IF(AA303&lt;0,-90,0)))))</f>
        <v/>
      </c>
      <c r="AD303" s="195">
        <f>IF(B303="","",LOG10(B303))</f>
        <v/>
      </c>
      <c r="AE303" s="195">
        <f>IF(AB303="","",LOG10(MAX(AB303,1E-12)))</f>
        <v/>
      </c>
      <c r="AF303" s="195">
        <f>IF(B303="","",SQRT(P303^2+Q303^2))</f>
        <v/>
      </c>
      <c r="AG303" s="195">
        <f>IF(B303="","",SQRT(R303^2+S303^2))</f>
        <v/>
      </c>
    </row>
    <row r="304">
      <c r="A304" t="n">
        <v>301</v>
      </c>
      <c r="B304" s="196">
        <f>IF(A304&lt;='入力・概要'!$B$40,10^(LOG10('入力・概要'!$B$38)+(A304-1)*(LOG10('入力・概要'!$B$39)-LOG10('入力・概要'!$B$38))/('入力・概要'!$B$40-1)),"")</f>
        <v/>
      </c>
      <c r="C304" s="195">
        <f>IF(B304="","",2*PI()*B304)</f>
        <v/>
      </c>
      <c r="D304" s="195">
        <f>IF(B304="","",ATANH(MIN(0.999999,'入力・概要'!$E$20/'入力・概要'!$E$9))+'入力・概要'!$B$20*SQRT(B304/1E6)+E304*'入力・概要'!$B$15/2)</f>
        <v/>
      </c>
      <c r="E304" s="195">
        <f>IF(B304="","",C304*('入力・概要'!$E$11*1E-9))</f>
        <v/>
      </c>
      <c r="F304" s="195">
        <f>IF(B304="","",SINH(2*D304)/(COSH(2*D304)+COS(2*E304)))</f>
        <v/>
      </c>
      <c r="G304" s="195">
        <f>IF(B304="","",SIN(2*E304)/(COSH(2*D304)+COS(2*E304)))</f>
        <v/>
      </c>
      <c r="H304" s="195">
        <f>IF(B304="","",ATANH(MIN(0.999999,'入力・概要'!$E$21/'入力・概要'!$E$15))+'入力・概要'!$B$21*SQRT(B304/1E6)+I304*'入力・概要'!$B$16/2)</f>
        <v/>
      </c>
      <c r="I304" s="195">
        <f>IF(B304="","",C304*('入力・概要'!$E$17*1E-9))</f>
        <v/>
      </c>
      <c r="J304" s="195">
        <f>IF(B304="","",SINH(2*H304)/(COSH(2*H304)+COS(2*I304)))</f>
        <v/>
      </c>
      <c r="K304" s="195">
        <f>IF(B304="","",SIN(2*I304)/(COSH(2*H304)+COS(2*I304)))</f>
        <v/>
      </c>
      <c r="L304" s="195">
        <f>IF(B304="","",'入力・概要'!$B$25)</f>
        <v/>
      </c>
      <c r="M304" s="195">
        <f>IF(B304="","",C304*'入力・概要'!$B$26*1E-9-1/(C304*'入力・概要'!$B$24*1E-6))</f>
        <v/>
      </c>
      <c r="N304" s="195">
        <f>IF(B304="","",'入力・概要'!$B$28)</f>
        <v/>
      </c>
      <c r="O304" s="195">
        <f>IF(B304="","",C304*'入力・概要'!$B$29*1E-9-1/(C304*'入力・概要'!$B$27*1E-6))</f>
        <v/>
      </c>
      <c r="P304" s="195">
        <f>IF(B304="","",((L304*N304-M304*O304)*(L304+N304)+(L304*O304+M304*N304)*(M304+O304))/((L304+N304)^2+(M304+O304)^2))</f>
        <v/>
      </c>
      <c r="Q304" s="195">
        <f>IF(B304="","",((L304*O304+M304*N304)*(L304+N304)-(L304*N304-M304*O304)*(M304+O304))/((L304+N304)^2+(M304+O304)^2))</f>
        <v/>
      </c>
      <c r="R304" s="195">
        <f>IF(B304="","",'入力・概要'!$E$15*J304)</f>
        <v/>
      </c>
      <c r="S304" s="195">
        <f>IF(B304="","",'入力・概要'!$E$15*K304)</f>
        <v/>
      </c>
      <c r="T304" s="195">
        <f>IF(B304="","",P304+R304)</f>
        <v/>
      </c>
      <c r="U304" s="195">
        <f>IF(B304="","",Q304+S304)</f>
        <v/>
      </c>
      <c r="V304" s="195">
        <f>IF(B304="","",T304+'入力・概要'!$E$9*F304)</f>
        <v/>
      </c>
      <c r="W304" s="195">
        <f>IF(B304="","",U304+'入力・概要'!$E$9*G304)</f>
        <v/>
      </c>
      <c r="X304" s="195">
        <f>IF(B304="","",'入力・概要'!$E$9+T304*F304-U304*G304)</f>
        <v/>
      </c>
      <c r="Y304" s="195">
        <f>IF(B304="","",T304*G304+U304*F304)</f>
        <v/>
      </c>
      <c r="Z304" s="195">
        <f>IF(B304="","",'入力・概要'!$E$9*(V304*X304+W304*Y304)/(X304^2+Y304^2)+'入力・概要'!$B$36)</f>
        <v/>
      </c>
      <c r="AA304" s="195">
        <f>IF(B304="","",'入力・概要'!$E$9*(W304*X304-V304*Y304)/(X304^2+Y304^2)+C304*'入力・概要'!$B$37*1E-9)</f>
        <v/>
      </c>
      <c r="AB304" s="195">
        <f>IF(B304="","",SQRT(Z304^2+AA304^2))</f>
        <v/>
      </c>
      <c r="AC304" s="195">
        <f>IF(B304="","",IF(Z304&gt;0,DEGREES(ATAN(AA304/Z304)),IF(Z304&lt;0,IF(AA304&gt;=0,DEGREES(ATAN(AA304/Z304))+180,DEGREES(ATAN(AA304/Z304))-180),IF(AA304&gt;0,90,IF(AA304&lt;0,-90,0)))))</f>
        <v/>
      </c>
      <c r="AD304" s="195">
        <f>IF(B304="","",LOG10(B304))</f>
        <v/>
      </c>
      <c r="AE304" s="195">
        <f>IF(AB304="","",LOG10(MAX(AB304,1E-12)))</f>
        <v/>
      </c>
      <c r="AF304" s="195">
        <f>IF(B304="","",SQRT(P304^2+Q304^2))</f>
        <v/>
      </c>
      <c r="AG304" s="195">
        <f>IF(B304="","",SQRT(R304^2+S304^2))</f>
        <v/>
      </c>
    </row>
    <row r="305">
      <c r="A305" t="n">
        <v>302</v>
      </c>
      <c r="B305" s="196">
        <f>IF(A305&lt;='入力・概要'!$B$40,10^(LOG10('入力・概要'!$B$38)+(A305-1)*(LOG10('入力・概要'!$B$39)-LOG10('入力・概要'!$B$38))/('入力・概要'!$B$40-1)),"")</f>
        <v/>
      </c>
      <c r="C305" s="195">
        <f>IF(B305="","",2*PI()*B305)</f>
        <v/>
      </c>
      <c r="D305" s="195">
        <f>IF(B305="","",ATANH(MIN(0.999999,'入力・概要'!$E$20/'入力・概要'!$E$9))+'入力・概要'!$B$20*SQRT(B305/1E6)+E305*'入力・概要'!$B$15/2)</f>
        <v/>
      </c>
      <c r="E305" s="195">
        <f>IF(B305="","",C305*('入力・概要'!$E$11*1E-9))</f>
        <v/>
      </c>
      <c r="F305" s="195">
        <f>IF(B305="","",SINH(2*D305)/(COSH(2*D305)+COS(2*E305)))</f>
        <v/>
      </c>
      <c r="G305" s="195">
        <f>IF(B305="","",SIN(2*E305)/(COSH(2*D305)+COS(2*E305)))</f>
        <v/>
      </c>
      <c r="H305" s="195">
        <f>IF(B305="","",ATANH(MIN(0.999999,'入力・概要'!$E$21/'入力・概要'!$E$15))+'入力・概要'!$B$21*SQRT(B305/1E6)+I305*'入力・概要'!$B$16/2)</f>
        <v/>
      </c>
      <c r="I305" s="195">
        <f>IF(B305="","",C305*('入力・概要'!$E$17*1E-9))</f>
        <v/>
      </c>
      <c r="J305" s="195">
        <f>IF(B305="","",SINH(2*H305)/(COSH(2*H305)+COS(2*I305)))</f>
        <v/>
      </c>
      <c r="K305" s="195">
        <f>IF(B305="","",SIN(2*I305)/(COSH(2*H305)+COS(2*I305)))</f>
        <v/>
      </c>
      <c r="L305" s="195">
        <f>IF(B305="","",'入力・概要'!$B$25)</f>
        <v/>
      </c>
      <c r="M305" s="195">
        <f>IF(B305="","",C305*'入力・概要'!$B$26*1E-9-1/(C305*'入力・概要'!$B$24*1E-6))</f>
        <v/>
      </c>
      <c r="N305" s="195">
        <f>IF(B305="","",'入力・概要'!$B$28)</f>
        <v/>
      </c>
      <c r="O305" s="195">
        <f>IF(B305="","",C305*'入力・概要'!$B$29*1E-9-1/(C305*'入力・概要'!$B$27*1E-6))</f>
        <v/>
      </c>
      <c r="P305" s="195">
        <f>IF(B305="","",((L305*N305-M305*O305)*(L305+N305)+(L305*O305+M305*N305)*(M305+O305))/((L305+N305)^2+(M305+O305)^2))</f>
        <v/>
      </c>
      <c r="Q305" s="195">
        <f>IF(B305="","",((L305*O305+M305*N305)*(L305+N305)-(L305*N305-M305*O305)*(M305+O305))/((L305+N305)^2+(M305+O305)^2))</f>
        <v/>
      </c>
      <c r="R305" s="195">
        <f>IF(B305="","",'入力・概要'!$E$15*J305)</f>
        <v/>
      </c>
      <c r="S305" s="195">
        <f>IF(B305="","",'入力・概要'!$E$15*K305)</f>
        <v/>
      </c>
      <c r="T305" s="195">
        <f>IF(B305="","",P305+R305)</f>
        <v/>
      </c>
      <c r="U305" s="195">
        <f>IF(B305="","",Q305+S305)</f>
        <v/>
      </c>
      <c r="V305" s="195">
        <f>IF(B305="","",T305+'入力・概要'!$E$9*F305)</f>
        <v/>
      </c>
      <c r="W305" s="195">
        <f>IF(B305="","",U305+'入力・概要'!$E$9*G305)</f>
        <v/>
      </c>
      <c r="X305" s="195">
        <f>IF(B305="","",'入力・概要'!$E$9+T305*F305-U305*G305)</f>
        <v/>
      </c>
      <c r="Y305" s="195">
        <f>IF(B305="","",T305*G305+U305*F305)</f>
        <v/>
      </c>
      <c r="Z305" s="195">
        <f>IF(B305="","",'入力・概要'!$E$9*(V305*X305+W305*Y305)/(X305^2+Y305^2)+'入力・概要'!$B$36)</f>
        <v/>
      </c>
      <c r="AA305" s="195">
        <f>IF(B305="","",'入力・概要'!$E$9*(W305*X305-V305*Y305)/(X305^2+Y305^2)+C305*'入力・概要'!$B$37*1E-9)</f>
        <v/>
      </c>
      <c r="AB305" s="195">
        <f>IF(B305="","",SQRT(Z305^2+AA305^2))</f>
        <v/>
      </c>
      <c r="AC305" s="195">
        <f>IF(B305="","",IF(Z305&gt;0,DEGREES(ATAN(AA305/Z305)),IF(Z305&lt;0,IF(AA305&gt;=0,DEGREES(ATAN(AA305/Z305))+180,DEGREES(ATAN(AA305/Z305))-180),IF(AA305&gt;0,90,IF(AA305&lt;0,-90,0)))))</f>
        <v/>
      </c>
      <c r="AD305" s="195">
        <f>IF(B305="","",LOG10(B305))</f>
        <v/>
      </c>
      <c r="AE305" s="195">
        <f>IF(AB305="","",LOG10(MAX(AB305,1E-12)))</f>
        <v/>
      </c>
      <c r="AF305" s="195">
        <f>IF(B305="","",SQRT(P305^2+Q305^2))</f>
        <v/>
      </c>
      <c r="AG305" s="195">
        <f>IF(B305="","",SQRT(R305^2+S305^2))</f>
        <v/>
      </c>
    </row>
    <row r="306">
      <c r="A306" t="n">
        <v>303</v>
      </c>
      <c r="B306" s="196">
        <f>IF(A306&lt;='入力・概要'!$B$40,10^(LOG10('入力・概要'!$B$38)+(A306-1)*(LOG10('入力・概要'!$B$39)-LOG10('入力・概要'!$B$38))/('入力・概要'!$B$40-1)),"")</f>
        <v/>
      </c>
      <c r="C306" s="195">
        <f>IF(B306="","",2*PI()*B306)</f>
        <v/>
      </c>
      <c r="D306" s="195">
        <f>IF(B306="","",ATANH(MIN(0.999999,'入力・概要'!$E$20/'入力・概要'!$E$9))+'入力・概要'!$B$20*SQRT(B306/1E6)+E306*'入力・概要'!$B$15/2)</f>
        <v/>
      </c>
      <c r="E306" s="195">
        <f>IF(B306="","",C306*('入力・概要'!$E$11*1E-9))</f>
        <v/>
      </c>
      <c r="F306" s="195">
        <f>IF(B306="","",SINH(2*D306)/(COSH(2*D306)+COS(2*E306)))</f>
        <v/>
      </c>
      <c r="G306" s="195">
        <f>IF(B306="","",SIN(2*E306)/(COSH(2*D306)+COS(2*E306)))</f>
        <v/>
      </c>
      <c r="H306" s="195">
        <f>IF(B306="","",ATANH(MIN(0.999999,'入力・概要'!$E$21/'入力・概要'!$E$15))+'入力・概要'!$B$21*SQRT(B306/1E6)+I306*'入力・概要'!$B$16/2)</f>
        <v/>
      </c>
      <c r="I306" s="195">
        <f>IF(B306="","",C306*('入力・概要'!$E$17*1E-9))</f>
        <v/>
      </c>
      <c r="J306" s="195">
        <f>IF(B306="","",SINH(2*H306)/(COSH(2*H306)+COS(2*I306)))</f>
        <v/>
      </c>
      <c r="K306" s="195">
        <f>IF(B306="","",SIN(2*I306)/(COSH(2*H306)+COS(2*I306)))</f>
        <v/>
      </c>
      <c r="L306" s="195">
        <f>IF(B306="","",'入力・概要'!$B$25)</f>
        <v/>
      </c>
      <c r="M306" s="195">
        <f>IF(B306="","",C306*'入力・概要'!$B$26*1E-9-1/(C306*'入力・概要'!$B$24*1E-6))</f>
        <v/>
      </c>
      <c r="N306" s="195">
        <f>IF(B306="","",'入力・概要'!$B$28)</f>
        <v/>
      </c>
      <c r="O306" s="195">
        <f>IF(B306="","",C306*'入力・概要'!$B$29*1E-9-1/(C306*'入力・概要'!$B$27*1E-6))</f>
        <v/>
      </c>
      <c r="P306" s="195">
        <f>IF(B306="","",((L306*N306-M306*O306)*(L306+N306)+(L306*O306+M306*N306)*(M306+O306))/((L306+N306)^2+(M306+O306)^2))</f>
        <v/>
      </c>
      <c r="Q306" s="195">
        <f>IF(B306="","",((L306*O306+M306*N306)*(L306+N306)-(L306*N306-M306*O306)*(M306+O306))/((L306+N306)^2+(M306+O306)^2))</f>
        <v/>
      </c>
      <c r="R306" s="195">
        <f>IF(B306="","",'入力・概要'!$E$15*J306)</f>
        <v/>
      </c>
      <c r="S306" s="195">
        <f>IF(B306="","",'入力・概要'!$E$15*K306)</f>
        <v/>
      </c>
      <c r="T306" s="195">
        <f>IF(B306="","",P306+R306)</f>
        <v/>
      </c>
      <c r="U306" s="195">
        <f>IF(B306="","",Q306+S306)</f>
        <v/>
      </c>
      <c r="V306" s="195">
        <f>IF(B306="","",T306+'入力・概要'!$E$9*F306)</f>
        <v/>
      </c>
      <c r="W306" s="195">
        <f>IF(B306="","",U306+'入力・概要'!$E$9*G306)</f>
        <v/>
      </c>
      <c r="X306" s="195">
        <f>IF(B306="","",'入力・概要'!$E$9+T306*F306-U306*G306)</f>
        <v/>
      </c>
      <c r="Y306" s="195">
        <f>IF(B306="","",T306*G306+U306*F306)</f>
        <v/>
      </c>
      <c r="Z306" s="195">
        <f>IF(B306="","",'入力・概要'!$E$9*(V306*X306+W306*Y306)/(X306^2+Y306^2)+'入力・概要'!$B$36)</f>
        <v/>
      </c>
      <c r="AA306" s="195">
        <f>IF(B306="","",'入力・概要'!$E$9*(W306*X306-V306*Y306)/(X306^2+Y306^2)+C306*'入力・概要'!$B$37*1E-9)</f>
        <v/>
      </c>
      <c r="AB306" s="195">
        <f>IF(B306="","",SQRT(Z306^2+AA306^2))</f>
        <v/>
      </c>
      <c r="AC306" s="195">
        <f>IF(B306="","",IF(Z306&gt;0,DEGREES(ATAN(AA306/Z306)),IF(Z306&lt;0,IF(AA306&gt;=0,DEGREES(ATAN(AA306/Z306))+180,DEGREES(ATAN(AA306/Z306))-180),IF(AA306&gt;0,90,IF(AA306&lt;0,-90,0)))))</f>
        <v/>
      </c>
      <c r="AD306" s="195">
        <f>IF(B306="","",LOG10(B306))</f>
        <v/>
      </c>
      <c r="AE306" s="195">
        <f>IF(AB306="","",LOG10(MAX(AB306,1E-12)))</f>
        <v/>
      </c>
      <c r="AF306" s="195">
        <f>IF(B306="","",SQRT(P306^2+Q306^2))</f>
        <v/>
      </c>
      <c r="AG306" s="195">
        <f>IF(B306="","",SQRT(R306^2+S306^2))</f>
        <v/>
      </c>
    </row>
    <row r="307">
      <c r="A307" t="n">
        <v>304</v>
      </c>
      <c r="B307" s="196">
        <f>IF(A307&lt;='入力・概要'!$B$40,10^(LOG10('入力・概要'!$B$38)+(A307-1)*(LOG10('入力・概要'!$B$39)-LOG10('入力・概要'!$B$38))/('入力・概要'!$B$40-1)),"")</f>
        <v/>
      </c>
      <c r="C307" s="195">
        <f>IF(B307="","",2*PI()*B307)</f>
        <v/>
      </c>
      <c r="D307" s="195">
        <f>IF(B307="","",ATANH(MIN(0.999999,'入力・概要'!$E$20/'入力・概要'!$E$9))+'入力・概要'!$B$20*SQRT(B307/1E6)+E307*'入力・概要'!$B$15/2)</f>
        <v/>
      </c>
      <c r="E307" s="195">
        <f>IF(B307="","",C307*('入力・概要'!$E$11*1E-9))</f>
        <v/>
      </c>
      <c r="F307" s="195">
        <f>IF(B307="","",SINH(2*D307)/(COSH(2*D307)+COS(2*E307)))</f>
        <v/>
      </c>
      <c r="G307" s="195">
        <f>IF(B307="","",SIN(2*E307)/(COSH(2*D307)+COS(2*E307)))</f>
        <v/>
      </c>
      <c r="H307" s="195">
        <f>IF(B307="","",ATANH(MIN(0.999999,'入力・概要'!$E$21/'入力・概要'!$E$15))+'入力・概要'!$B$21*SQRT(B307/1E6)+I307*'入力・概要'!$B$16/2)</f>
        <v/>
      </c>
      <c r="I307" s="195">
        <f>IF(B307="","",C307*('入力・概要'!$E$17*1E-9))</f>
        <v/>
      </c>
      <c r="J307" s="195">
        <f>IF(B307="","",SINH(2*H307)/(COSH(2*H307)+COS(2*I307)))</f>
        <v/>
      </c>
      <c r="K307" s="195">
        <f>IF(B307="","",SIN(2*I307)/(COSH(2*H307)+COS(2*I307)))</f>
        <v/>
      </c>
      <c r="L307" s="195">
        <f>IF(B307="","",'入力・概要'!$B$25)</f>
        <v/>
      </c>
      <c r="M307" s="195">
        <f>IF(B307="","",C307*'入力・概要'!$B$26*1E-9-1/(C307*'入力・概要'!$B$24*1E-6))</f>
        <v/>
      </c>
      <c r="N307" s="195">
        <f>IF(B307="","",'入力・概要'!$B$28)</f>
        <v/>
      </c>
      <c r="O307" s="195">
        <f>IF(B307="","",C307*'入力・概要'!$B$29*1E-9-1/(C307*'入力・概要'!$B$27*1E-6))</f>
        <v/>
      </c>
      <c r="P307" s="195">
        <f>IF(B307="","",((L307*N307-M307*O307)*(L307+N307)+(L307*O307+M307*N307)*(M307+O307))/((L307+N307)^2+(M307+O307)^2))</f>
        <v/>
      </c>
      <c r="Q307" s="195">
        <f>IF(B307="","",((L307*O307+M307*N307)*(L307+N307)-(L307*N307-M307*O307)*(M307+O307))/((L307+N307)^2+(M307+O307)^2))</f>
        <v/>
      </c>
      <c r="R307" s="195">
        <f>IF(B307="","",'入力・概要'!$E$15*J307)</f>
        <v/>
      </c>
      <c r="S307" s="195">
        <f>IF(B307="","",'入力・概要'!$E$15*K307)</f>
        <v/>
      </c>
      <c r="T307" s="195">
        <f>IF(B307="","",P307+R307)</f>
        <v/>
      </c>
      <c r="U307" s="195">
        <f>IF(B307="","",Q307+S307)</f>
        <v/>
      </c>
      <c r="V307" s="195">
        <f>IF(B307="","",T307+'入力・概要'!$E$9*F307)</f>
        <v/>
      </c>
      <c r="W307" s="195">
        <f>IF(B307="","",U307+'入力・概要'!$E$9*G307)</f>
        <v/>
      </c>
      <c r="X307" s="195">
        <f>IF(B307="","",'入力・概要'!$E$9+T307*F307-U307*G307)</f>
        <v/>
      </c>
      <c r="Y307" s="195">
        <f>IF(B307="","",T307*G307+U307*F307)</f>
        <v/>
      </c>
      <c r="Z307" s="195">
        <f>IF(B307="","",'入力・概要'!$E$9*(V307*X307+W307*Y307)/(X307^2+Y307^2)+'入力・概要'!$B$36)</f>
        <v/>
      </c>
      <c r="AA307" s="195">
        <f>IF(B307="","",'入力・概要'!$E$9*(W307*X307-V307*Y307)/(X307^2+Y307^2)+C307*'入力・概要'!$B$37*1E-9)</f>
        <v/>
      </c>
      <c r="AB307" s="195">
        <f>IF(B307="","",SQRT(Z307^2+AA307^2))</f>
        <v/>
      </c>
      <c r="AC307" s="195">
        <f>IF(B307="","",IF(Z307&gt;0,DEGREES(ATAN(AA307/Z307)),IF(Z307&lt;0,IF(AA307&gt;=0,DEGREES(ATAN(AA307/Z307))+180,DEGREES(ATAN(AA307/Z307))-180),IF(AA307&gt;0,90,IF(AA307&lt;0,-90,0)))))</f>
        <v/>
      </c>
      <c r="AD307" s="195">
        <f>IF(B307="","",LOG10(B307))</f>
        <v/>
      </c>
      <c r="AE307" s="195">
        <f>IF(AB307="","",LOG10(MAX(AB307,1E-12)))</f>
        <v/>
      </c>
      <c r="AF307" s="195">
        <f>IF(B307="","",SQRT(P307^2+Q307^2))</f>
        <v/>
      </c>
      <c r="AG307" s="195">
        <f>IF(B307="","",SQRT(R307^2+S307^2))</f>
        <v/>
      </c>
    </row>
    <row r="308">
      <c r="A308" t="n">
        <v>305</v>
      </c>
      <c r="B308" s="196">
        <f>IF(A308&lt;='入力・概要'!$B$40,10^(LOG10('入力・概要'!$B$38)+(A308-1)*(LOG10('入力・概要'!$B$39)-LOG10('入力・概要'!$B$38))/('入力・概要'!$B$40-1)),"")</f>
        <v/>
      </c>
      <c r="C308" s="195">
        <f>IF(B308="","",2*PI()*B308)</f>
        <v/>
      </c>
      <c r="D308" s="195">
        <f>IF(B308="","",ATANH(MIN(0.999999,'入力・概要'!$E$20/'入力・概要'!$E$9))+'入力・概要'!$B$20*SQRT(B308/1E6)+E308*'入力・概要'!$B$15/2)</f>
        <v/>
      </c>
      <c r="E308" s="195">
        <f>IF(B308="","",C308*('入力・概要'!$E$11*1E-9))</f>
        <v/>
      </c>
      <c r="F308" s="195">
        <f>IF(B308="","",SINH(2*D308)/(COSH(2*D308)+COS(2*E308)))</f>
        <v/>
      </c>
      <c r="G308" s="195">
        <f>IF(B308="","",SIN(2*E308)/(COSH(2*D308)+COS(2*E308)))</f>
        <v/>
      </c>
      <c r="H308" s="195">
        <f>IF(B308="","",ATANH(MIN(0.999999,'入力・概要'!$E$21/'入力・概要'!$E$15))+'入力・概要'!$B$21*SQRT(B308/1E6)+I308*'入力・概要'!$B$16/2)</f>
        <v/>
      </c>
      <c r="I308" s="195">
        <f>IF(B308="","",C308*('入力・概要'!$E$17*1E-9))</f>
        <v/>
      </c>
      <c r="J308" s="195">
        <f>IF(B308="","",SINH(2*H308)/(COSH(2*H308)+COS(2*I308)))</f>
        <v/>
      </c>
      <c r="K308" s="195">
        <f>IF(B308="","",SIN(2*I308)/(COSH(2*H308)+COS(2*I308)))</f>
        <v/>
      </c>
      <c r="L308" s="195">
        <f>IF(B308="","",'入力・概要'!$B$25)</f>
        <v/>
      </c>
      <c r="M308" s="195">
        <f>IF(B308="","",C308*'入力・概要'!$B$26*1E-9-1/(C308*'入力・概要'!$B$24*1E-6))</f>
        <v/>
      </c>
      <c r="N308" s="195">
        <f>IF(B308="","",'入力・概要'!$B$28)</f>
        <v/>
      </c>
      <c r="O308" s="195">
        <f>IF(B308="","",C308*'入力・概要'!$B$29*1E-9-1/(C308*'入力・概要'!$B$27*1E-6))</f>
        <v/>
      </c>
      <c r="P308" s="195">
        <f>IF(B308="","",((L308*N308-M308*O308)*(L308+N308)+(L308*O308+M308*N308)*(M308+O308))/((L308+N308)^2+(M308+O308)^2))</f>
        <v/>
      </c>
      <c r="Q308" s="195">
        <f>IF(B308="","",((L308*O308+M308*N308)*(L308+N308)-(L308*N308-M308*O308)*(M308+O308))/((L308+N308)^2+(M308+O308)^2))</f>
        <v/>
      </c>
      <c r="R308" s="195">
        <f>IF(B308="","",'入力・概要'!$E$15*J308)</f>
        <v/>
      </c>
      <c r="S308" s="195">
        <f>IF(B308="","",'入力・概要'!$E$15*K308)</f>
        <v/>
      </c>
      <c r="T308" s="195">
        <f>IF(B308="","",P308+R308)</f>
        <v/>
      </c>
      <c r="U308" s="195">
        <f>IF(B308="","",Q308+S308)</f>
        <v/>
      </c>
      <c r="V308" s="195">
        <f>IF(B308="","",T308+'入力・概要'!$E$9*F308)</f>
        <v/>
      </c>
      <c r="W308" s="195">
        <f>IF(B308="","",U308+'入力・概要'!$E$9*G308)</f>
        <v/>
      </c>
      <c r="X308" s="195">
        <f>IF(B308="","",'入力・概要'!$E$9+T308*F308-U308*G308)</f>
        <v/>
      </c>
      <c r="Y308" s="195">
        <f>IF(B308="","",T308*G308+U308*F308)</f>
        <v/>
      </c>
      <c r="Z308" s="195">
        <f>IF(B308="","",'入力・概要'!$E$9*(V308*X308+W308*Y308)/(X308^2+Y308^2)+'入力・概要'!$B$36)</f>
        <v/>
      </c>
      <c r="AA308" s="195">
        <f>IF(B308="","",'入力・概要'!$E$9*(W308*X308-V308*Y308)/(X308^2+Y308^2)+C308*'入力・概要'!$B$37*1E-9)</f>
        <v/>
      </c>
      <c r="AB308" s="195">
        <f>IF(B308="","",SQRT(Z308^2+AA308^2))</f>
        <v/>
      </c>
      <c r="AC308" s="195">
        <f>IF(B308="","",IF(Z308&gt;0,DEGREES(ATAN(AA308/Z308)),IF(Z308&lt;0,IF(AA308&gt;=0,DEGREES(ATAN(AA308/Z308))+180,DEGREES(ATAN(AA308/Z308))-180),IF(AA308&gt;0,90,IF(AA308&lt;0,-90,0)))))</f>
        <v/>
      </c>
      <c r="AD308" s="195">
        <f>IF(B308="","",LOG10(B308))</f>
        <v/>
      </c>
      <c r="AE308" s="195">
        <f>IF(AB308="","",LOG10(MAX(AB308,1E-12)))</f>
        <v/>
      </c>
      <c r="AF308" s="195">
        <f>IF(B308="","",SQRT(P308^2+Q308^2))</f>
        <v/>
      </c>
      <c r="AG308" s="195">
        <f>IF(B308="","",SQRT(R308^2+S308^2))</f>
        <v/>
      </c>
    </row>
    <row r="309">
      <c r="A309" t="n">
        <v>306</v>
      </c>
      <c r="B309" s="196">
        <f>IF(A309&lt;='入力・概要'!$B$40,10^(LOG10('入力・概要'!$B$38)+(A309-1)*(LOG10('入力・概要'!$B$39)-LOG10('入力・概要'!$B$38))/('入力・概要'!$B$40-1)),"")</f>
        <v/>
      </c>
      <c r="C309" s="195">
        <f>IF(B309="","",2*PI()*B309)</f>
        <v/>
      </c>
      <c r="D309" s="195">
        <f>IF(B309="","",ATANH(MIN(0.999999,'入力・概要'!$E$20/'入力・概要'!$E$9))+'入力・概要'!$B$20*SQRT(B309/1E6)+E309*'入力・概要'!$B$15/2)</f>
        <v/>
      </c>
      <c r="E309" s="195">
        <f>IF(B309="","",C309*('入力・概要'!$E$11*1E-9))</f>
        <v/>
      </c>
      <c r="F309" s="195">
        <f>IF(B309="","",SINH(2*D309)/(COSH(2*D309)+COS(2*E309)))</f>
        <v/>
      </c>
      <c r="G309" s="195">
        <f>IF(B309="","",SIN(2*E309)/(COSH(2*D309)+COS(2*E309)))</f>
        <v/>
      </c>
      <c r="H309" s="195">
        <f>IF(B309="","",ATANH(MIN(0.999999,'入力・概要'!$E$21/'入力・概要'!$E$15))+'入力・概要'!$B$21*SQRT(B309/1E6)+I309*'入力・概要'!$B$16/2)</f>
        <v/>
      </c>
      <c r="I309" s="195">
        <f>IF(B309="","",C309*('入力・概要'!$E$17*1E-9))</f>
        <v/>
      </c>
      <c r="J309" s="195">
        <f>IF(B309="","",SINH(2*H309)/(COSH(2*H309)+COS(2*I309)))</f>
        <v/>
      </c>
      <c r="K309" s="195">
        <f>IF(B309="","",SIN(2*I309)/(COSH(2*H309)+COS(2*I309)))</f>
        <v/>
      </c>
      <c r="L309" s="195">
        <f>IF(B309="","",'入力・概要'!$B$25)</f>
        <v/>
      </c>
      <c r="M309" s="195">
        <f>IF(B309="","",C309*'入力・概要'!$B$26*1E-9-1/(C309*'入力・概要'!$B$24*1E-6))</f>
        <v/>
      </c>
      <c r="N309" s="195">
        <f>IF(B309="","",'入力・概要'!$B$28)</f>
        <v/>
      </c>
      <c r="O309" s="195">
        <f>IF(B309="","",C309*'入力・概要'!$B$29*1E-9-1/(C309*'入力・概要'!$B$27*1E-6))</f>
        <v/>
      </c>
      <c r="P309" s="195">
        <f>IF(B309="","",((L309*N309-M309*O309)*(L309+N309)+(L309*O309+M309*N309)*(M309+O309))/((L309+N309)^2+(M309+O309)^2))</f>
        <v/>
      </c>
      <c r="Q309" s="195">
        <f>IF(B309="","",((L309*O309+M309*N309)*(L309+N309)-(L309*N309-M309*O309)*(M309+O309))/((L309+N309)^2+(M309+O309)^2))</f>
        <v/>
      </c>
      <c r="R309" s="195">
        <f>IF(B309="","",'入力・概要'!$E$15*J309)</f>
        <v/>
      </c>
      <c r="S309" s="195">
        <f>IF(B309="","",'入力・概要'!$E$15*K309)</f>
        <v/>
      </c>
      <c r="T309" s="195">
        <f>IF(B309="","",P309+R309)</f>
        <v/>
      </c>
      <c r="U309" s="195">
        <f>IF(B309="","",Q309+S309)</f>
        <v/>
      </c>
      <c r="V309" s="195">
        <f>IF(B309="","",T309+'入力・概要'!$E$9*F309)</f>
        <v/>
      </c>
      <c r="W309" s="195">
        <f>IF(B309="","",U309+'入力・概要'!$E$9*G309)</f>
        <v/>
      </c>
      <c r="X309" s="195">
        <f>IF(B309="","",'入力・概要'!$E$9+T309*F309-U309*G309)</f>
        <v/>
      </c>
      <c r="Y309" s="195">
        <f>IF(B309="","",T309*G309+U309*F309)</f>
        <v/>
      </c>
      <c r="Z309" s="195">
        <f>IF(B309="","",'入力・概要'!$E$9*(V309*X309+W309*Y309)/(X309^2+Y309^2)+'入力・概要'!$B$36)</f>
        <v/>
      </c>
      <c r="AA309" s="195">
        <f>IF(B309="","",'入力・概要'!$E$9*(W309*X309-V309*Y309)/(X309^2+Y309^2)+C309*'入力・概要'!$B$37*1E-9)</f>
        <v/>
      </c>
      <c r="AB309" s="195">
        <f>IF(B309="","",SQRT(Z309^2+AA309^2))</f>
        <v/>
      </c>
      <c r="AC309" s="195">
        <f>IF(B309="","",IF(Z309&gt;0,DEGREES(ATAN(AA309/Z309)),IF(Z309&lt;0,IF(AA309&gt;=0,DEGREES(ATAN(AA309/Z309))+180,DEGREES(ATAN(AA309/Z309))-180),IF(AA309&gt;0,90,IF(AA309&lt;0,-90,0)))))</f>
        <v/>
      </c>
      <c r="AD309" s="195">
        <f>IF(B309="","",LOG10(B309))</f>
        <v/>
      </c>
      <c r="AE309" s="195">
        <f>IF(AB309="","",LOG10(MAX(AB309,1E-12)))</f>
        <v/>
      </c>
      <c r="AF309" s="195">
        <f>IF(B309="","",SQRT(P309^2+Q309^2))</f>
        <v/>
      </c>
      <c r="AG309" s="195">
        <f>IF(B309="","",SQRT(R309^2+S309^2))</f>
        <v/>
      </c>
    </row>
    <row r="310">
      <c r="A310" t="n">
        <v>307</v>
      </c>
      <c r="B310" s="196">
        <f>IF(A310&lt;='入力・概要'!$B$40,10^(LOG10('入力・概要'!$B$38)+(A310-1)*(LOG10('入力・概要'!$B$39)-LOG10('入力・概要'!$B$38))/('入力・概要'!$B$40-1)),"")</f>
        <v/>
      </c>
      <c r="C310" s="195">
        <f>IF(B310="","",2*PI()*B310)</f>
        <v/>
      </c>
      <c r="D310" s="195">
        <f>IF(B310="","",ATANH(MIN(0.999999,'入力・概要'!$E$20/'入力・概要'!$E$9))+'入力・概要'!$B$20*SQRT(B310/1E6)+E310*'入力・概要'!$B$15/2)</f>
        <v/>
      </c>
      <c r="E310" s="195">
        <f>IF(B310="","",C310*('入力・概要'!$E$11*1E-9))</f>
        <v/>
      </c>
      <c r="F310" s="195">
        <f>IF(B310="","",SINH(2*D310)/(COSH(2*D310)+COS(2*E310)))</f>
        <v/>
      </c>
      <c r="G310" s="195">
        <f>IF(B310="","",SIN(2*E310)/(COSH(2*D310)+COS(2*E310)))</f>
        <v/>
      </c>
      <c r="H310" s="195">
        <f>IF(B310="","",ATANH(MIN(0.999999,'入力・概要'!$E$21/'入力・概要'!$E$15))+'入力・概要'!$B$21*SQRT(B310/1E6)+I310*'入力・概要'!$B$16/2)</f>
        <v/>
      </c>
      <c r="I310" s="195">
        <f>IF(B310="","",C310*('入力・概要'!$E$17*1E-9))</f>
        <v/>
      </c>
      <c r="J310" s="195">
        <f>IF(B310="","",SINH(2*H310)/(COSH(2*H310)+COS(2*I310)))</f>
        <v/>
      </c>
      <c r="K310" s="195">
        <f>IF(B310="","",SIN(2*I310)/(COSH(2*H310)+COS(2*I310)))</f>
        <v/>
      </c>
      <c r="L310" s="195">
        <f>IF(B310="","",'入力・概要'!$B$25)</f>
        <v/>
      </c>
      <c r="M310" s="195">
        <f>IF(B310="","",C310*'入力・概要'!$B$26*1E-9-1/(C310*'入力・概要'!$B$24*1E-6))</f>
        <v/>
      </c>
      <c r="N310" s="195">
        <f>IF(B310="","",'入力・概要'!$B$28)</f>
        <v/>
      </c>
      <c r="O310" s="195">
        <f>IF(B310="","",C310*'入力・概要'!$B$29*1E-9-1/(C310*'入力・概要'!$B$27*1E-6))</f>
        <v/>
      </c>
      <c r="P310" s="195">
        <f>IF(B310="","",((L310*N310-M310*O310)*(L310+N310)+(L310*O310+M310*N310)*(M310+O310))/((L310+N310)^2+(M310+O310)^2))</f>
        <v/>
      </c>
      <c r="Q310" s="195">
        <f>IF(B310="","",((L310*O310+M310*N310)*(L310+N310)-(L310*N310-M310*O310)*(M310+O310))/((L310+N310)^2+(M310+O310)^2))</f>
        <v/>
      </c>
      <c r="R310" s="195">
        <f>IF(B310="","",'入力・概要'!$E$15*J310)</f>
        <v/>
      </c>
      <c r="S310" s="195">
        <f>IF(B310="","",'入力・概要'!$E$15*K310)</f>
        <v/>
      </c>
      <c r="T310" s="195">
        <f>IF(B310="","",P310+R310)</f>
        <v/>
      </c>
      <c r="U310" s="195">
        <f>IF(B310="","",Q310+S310)</f>
        <v/>
      </c>
      <c r="V310" s="195">
        <f>IF(B310="","",T310+'入力・概要'!$E$9*F310)</f>
        <v/>
      </c>
      <c r="W310" s="195">
        <f>IF(B310="","",U310+'入力・概要'!$E$9*G310)</f>
        <v/>
      </c>
      <c r="X310" s="195">
        <f>IF(B310="","",'入力・概要'!$E$9+T310*F310-U310*G310)</f>
        <v/>
      </c>
      <c r="Y310" s="195">
        <f>IF(B310="","",T310*G310+U310*F310)</f>
        <v/>
      </c>
      <c r="Z310" s="195">
        <f>IF(B310="","",'入力・概要'!$E$9*(V310*X310+W310*Y310)/(X310^2+Y310^2)+'入力・概要'!$B$36)</f>
        <v/>
      </c>
      <c r="AA310" s="195">
        <f>IF(B310="","",'入力・概要'!$E$9*(W310*X310-V310*Y310)/(X310^2+Y310^2)+C310*'入力・概要'!$B$37*1E-9)</f>
        <v/>
      </c>
      <c r="AB310" s="195">
        <f>IF(B310="","",SQRT(Z310^2+AA310^2))</f>
        <v/>
      </c>
      <c r="AC310" s="195">
        <f>IF(B310="","",IF(Z310&gt;0,DEGREES(ATAN(AA310/Z310)),IF(Z310&lt;0,IF(AA310&gt;=0,DEGREES(ATAN(AA310/Z310))+180,DEGREES(ATAN(AA310/Z310))-180),IF(AA310&gt;0,90,IF(AA310&lt;0,-90,0)))))</f>
        <v/>
      </c>
      <c r="AD310" s="195">
        <f>IF(B310="","",LOG10(B310))</f>
        <v/>
      </c>
      <c r="AE310" s="195">
        <f>IF(AB310="","",LOG10(MAX(AB310,1E-12)))</f>
        <v/>
      </c>
      <c r="AF310" s="195">
        <f>IF(B310="","",SQRT(P310^2+Q310^2))</f>
        <v/>
      </c>
      <c r="AG310" s="195">
        <f>IF(B310="","",SQRT(R310^2+S310^2))</f>
        <v/>
      </c>
    </row>
    <row r="311">
      <c r="A311" t="n">
        <v>308</v>
      </c>
      <c r="B311" s="196">
        <f>IF(A311&lt;='入力・概要'!$B$40,10^(LOG10('入力・概要'!$B$38)+(A311-1)*(LOG10('入力・概要'!$B$39)-LOG10('入力・概要'!$B$38))/('入力・概要'!$B$40-1)),"")</f>
        <v/>
      </c>
      <c r="C311" s="195">
        <f>IF(B311="","",2*PI()*B311)</f>
        <v/>
      </c>
      <c r="D311" s="195">
        <f>IF(B311="","",ATANH(MIN(0.999999,'入力・概要'!$E$20/'入力・概要'!$E$9))+'入力・概要'!$B$20*SQRT(B311/1E6)+E311*'入力・概要'!$B$15/2)</f>
        <v/>
      </c>
      <c r="E311" s="195">
        <f>IF(B311="","",C311*('入力・概要'!$E$11*1E-9))</f>
        <v/>
      </c>
      <c r="F311" s="195">
        <f>IF(B311="","",SINH(2*D311)/(COSH(2*D311)+COS(2*E311)))</f>
        <v/>
      </c>
      <c r="G311" s="195">
        <f>IF(B311="","",SIN(2*E311)/(COSH(2*D311)+COS(2*E311)))</f>
        <v/>
      </c>
      <c r="H311" s="195">
        <f>IF(B311="","",ATANH(MIN(0.999999,'入力・概要'!$E$21/'入力・概要'!$E$15))+'入力・概要'!$B$21*SQRT(B311/1E6)+I311*'入力・概要'!$B$16/2)</f>
        <v/>
      </c>
      <c r="I311" s="195">
        <f>IF(B311="","",C311*('入力・概要'!$E$17*1E-9))</f>
        <v/>
      </c>
      <c r="J311" s="195">
        <f>IF(B311="","",SINH(2*H311)/(COSH(2*H311)+COS(2*I311)))</f>
        <v/>
      </c>
      <c r="K311" s="195">
        <f>IF(B311="","",SIN(2*I311)/(COSH(2*H311)+COS(2*I311)))</f>
        <v/>
      </c>
      <c r="L311" s="195">
        <f>IF(B311="","",'入力・概要'!$B$25)</f>
        <v/>
      </c>
      <c r="M311" s="195">
        <f>IF(B311="","",C311*'入力・概要'!$B$26*1E-9-1/(C311*'入力・概要'!$B$24*1E-6))</f>
        <v/>
      </c>
      <c r="N311" s="195">
        <f>IF(B311="","",'入力・概要'!$B$28)</f>
        <v/>
      </c>
      <c r="O311" s="195">
        <f>IF(B311="","",C311*'入力・概要'!$B$29*1E-9-1/(C311*'入力・概要'!$B$27*1E-6))</f>
        <v/>
      </c>
      <c r="P311" s="195">
        <f>IF(B311="","",((L311*N311-M311*O311)*(L311+N311)+(L311*O311+M311*N311)*(M311+O311))/((L311+N311)^2+(M311+O311)^2))</f>
        <v/>
      </c>
      <c r="Q311" s="195">
        <f>IF(B311="","",((L311*O311+M311*N311)*(L311+N311)-(L311*N311-M311*O311)*(M311+O311))/((L311+N311)^2+(M311+O311)^2))</f>
        <v/>
      </c>
      <c r="R311" s="195">
        <f>IF(B311="","",'入力・概要'!$E$15*J311)</f>
        <v/>
      </c>
      <c r="S311" s="195">
        <f>IF(B311="","",'入力・概要'!$E$15*K311)</f>
        <v/>
      </c>
      <c r="T311" s="195">
        <f>IF(B311="","",P311+R311)</f>
        <v/>
      </c>
      <c r="U311" s="195">
        <f>IF(B311="","",Q311+S311)</f>
        <v/>
      </c>
      <c r="V311" s="195">
        <f>IF(B311="","",T311+'入力・概要'!$E$9*F311)</f>
        <v/>
      </c>
      <c r="W311" s="195">
        <f>IF(B311="","",U311+'入力・概要'!$E$9*G311)</f>
        <v/>
      </c>
      <c r="X311" s="195">
        <f>IF(B311="","",'入力・概要'!$E$9+T311*F311-U311*G311)</f>
        <v/>
      </c>
      <c r="Y311" s="195">
        <f>IF(B311="","",T311*G311+U311*F311)</f>
        <v/>
      </c>
      <c r="Z311" s="195">
        <f>IF(B311="","",'入力・概要'!$E$9*(V311*X311+W311*Y311)/(X311^2+Y311^2)+'入力・概要'!$B$36)</f>
        <v/>
      </c>
      <c r="AA311" s="195">
        <f>IF(B311="","",'入力・概要'!$E$9*(W311*X311-V311*Y311)/(X311^2+Y311^2)+C311*'入力・概要'!$B$37*1E-9)</f>
        <v/>
      </c>
      <c r="AB311" s="195">
        <f>IF(B311="","",SQRT(Z311^2+AA311^2))</f>
        <v/>
      </c>
      <c r="AC311" s="195">
        <f>IF(B311="","",IF(Z311&gt;0,DEGREES(ATAN(AA311/Z311)),IF(Z311&lt;0,IF(AA311&gt;=0,DEGREES(ATAN(AA311/Z311))+180,DEGREES(ATAN(AA311/Z311))-180),IF(AA311&gt;0,90,IF(AA311&lt;0,-90,0)))))</f>
        <v/>
      </c>
      <c r="AD311" s="195">
        <f>IF(B311="","",LOG10(B311))</f>
        <v/>
      </c>
      <c r="AE311" s="195">
        <f>IF(AB311="","",LOG10(MAX(AB311,1E-12)))</f>
        <v/>
      </c>
      <c r="AF311" s="195">
        <f>IF(B311="","",SQRT(P311^2+Q311^2))</f>
        <v/>
      </c>
      <c r="AG311" s="195">
        <f>IF(B311="","",SQRT(R311^2+S311^2))</f>
        <v/>
      </c>
    </row>
    <row r="312">
      <c r="A312" t="n">
        <v>309</v>
      </c>
      <c r="B312" s="196">
        <f>IF(A312&lt;='入力・概要'!$B$40,10^(LOG10('入力・概要'!$B$38)+(A312-1)*(LOG10('入力・概要'!$B$39)-LOG10('入力・概要'!$B$38))/('入力・概要'!$B$40-1)),"")</f>
        <v/>
      </c>
      <c r="C312" s="195">
        <f>IF(B312="","",2*PI()*B312)</f>
        <v/>
      </c>
      <c r="D312" s="195">
        <f>IF(B312="","",ATANH(MIN(0.999999,'入力・概要'!$E$20/'入力・概要'!$E$9))+'入力・概要'!$B$20*SQRT(B312/1E6)+E312*'入力・概要'!$B$15/2)</f>
        <v/>
      </c>
      <c r="E312" s="195">
        <f>IF(B312="","",C312*('入力・概要'!$E$11*1E-9))</f>
        <v/>
      </c>
      <c r="F312" s="195">
        <f>IF(B312="","",SINH(2*D312)/(COSH(2*D312)+COS(2*E312)))</f>
        <v/>
      </c>
      <c r="G312" s="195">
        <f>IF(B312="","",SIN(2*E312)/(COSH(2*D312)+COS(2*E312)))</f>
        <v/>
      </c>
      <c r="H312" s="195">
        <f>IF(B312="","",ATANH(MIN(0.999999,'入力・概要'!$E$21/'入力・概要'!$E$15))+'入力・概要'!$B$21*SQRT(B312/1E6)+I312*'入力・概要'!$B$16/2)</f>
        <v/>
      </c>
      <c r="I312" s="195">
        <f>IF(B312="","",C312*('入力・概要'!$E$17*1E-9))</f>
        <v/>
      </c>
      <c r="J312" s="195">
        <f>IF(B312="","",SINH(2*H312)/(COSH(2*H312)+COS(2*I312)))</f>
        <v/>
      </c>
      <c r="K312" s="195">
        <f>IF(B312="","",SIN(2*I312)/(COSH(2*H312)+COS(2*I312)))</f>
        <v/>
      </c>
      <c r="L312" s="195">
        <f>IF(B312="","",'入力・概要'!$B$25)</f>
        <v/>
      </c>
      <c r="M312" s="195">
        <f>IF(B312="","",C312*'入力・概要'!$B$26*1E-9-1/(C312*'入力・概要'!$B$24*1E-6))</f>
        <v/>
      </c>
      <c r="N312" s="195">
        <f>IF(B312="","",'入力・概要'!$B$28)</f>
        <v/>
      </c>
      <c r="O312" s="195">
        <f>IF(B312="","",C312*'入力・概要'!$B$29*1E-9-1/(C312*'入力・概要'!$B$27*1E-6))</f>
        <v/>
      </c>
      <c r="P312" s="195">
        <f>IF(B312="","",((L312*N312-M312*O312)*(L312+N312)+(L312*O312+M312*N312)*(M312+O312))/((L312+N312)^2+(M312+O312)^2))</f>
        <v/>
      </c>
      <c r="Q312" s="195">
        <f>IF(B312="","",((L312*O312+M312*N312)*(L312+N312)-(L312*N312-M312*O312)*(M312+O312))/((L312+N312)^2+(M312+O312)^2))</f>
        <v/>
      </c>
      <c r="R312" s="195">
        <f>IF(B312="","",'入力・概要'!$E$15*J312)</f>
        <v/>
      </c>
      <c r="S312" s="195">
        <f>IF(B312="","",'入力・概要'!$E$15*K312)</f>
        <v/>
      </c>
      <c r="T312" s="195">
        <f>IF(B312="","",P312+R312)</f>
        <v/>
      </c>
      <c r="U312" s="195">
        <f>IF(B312="","",Q312+S312)</f>
        <v/>
      </c>
      <c r="V312" s="195">
        <f>IF(B312="","",T312+'入力・概要'!$E$9*F312)</f>
        <v/>
      </c>
      <c r="W312" s="195">
        <f>IF(B312="","",U312+'入力・概要'!$E$9*G312)</f>
        <v/>
      </c>
      <c r="X312" s="195">
        <f>IF(B312="","",'入力・概要'!$E$9+T312*F312-U312*G312)</f>
        <v/>
      </c>
      <c r="Y312" s="195">
        <f>IF(B312="","",T312*G312+U312*F312)</f>
        <v/>
      </c>
      <c r="Z312" s="195">
        <f>IF(B312="","",'入力・概要'!$E$9*(V312*X312+W312*Y312)/(X312^2+Y312^2)+'入力・概要'!$B$36)</f>
        <v/>
      </c>
      <c r="AA312" s="195">
        <f>IF(B312="","",'入力・概要'!$E$9*(W312*X312-V312*Y312)/(X312^2+Y312^2)+C312*'入力・概要'!$B$37*1E-9)</f>
        <v/>
      </c>
      <c r="AB312" s="195">
        <f>IF(B312="","",SQRT(Z312^2+AA312^2))</f>
        <v/>
      </c>
      <c r="AC312" s="195">
        <f>IF(B312="","",IF(Z312&gt;0,DEGREES(ATAN(AA312/Z312)),IF(Z312&lt;0,IF(AA312&gt;=0,DEGREES(ATAN(AA312/Z312))+180,DEGREES(ATAN(AA312/Z312))-180),IF(AA312&gt;0,90,IF(AA312&lt;0,-90,0)))))</f>
        <v/>
      </c>
      <c r="AD312" s="195">
        <f>IF(B312="","",LOG10(B312))</f>
        <v/>
      </c>
      <c r="AE312" s="195">
        <f>IF(AB312="","",LOG10(MAX(AB312,1E-12)))</f>
        <v/>
      </c>
      <c r="AF312" s="195">
        <f>IF(B312="","",SQRT(P312^2+Q312^2))</f>
        <v/>
      </c>
      <c r="AG312" s="195">
        <f>IF(B312="","",SQRT(R312^2+S312^2))</f>
        <v/>
      </c>
    </row>
    <row r="313">
      <c r="A313" t="n">
        <v>310</v>
      </c>
      <c r="B313" s="196">
        <f>IF(A313&lt;='入力・概要'!$B$40,10^(LOG10('入力・概要'!$B$38)+(A313-1)*(LOG10('入力・概要'!$B$39)-LOG10('入力・概要'!$B$38))/('入力・概要'!$B$40-1)),"")</f>
        <v/>
      </c>
      <c r="C313" s="195">
        <f>IF(B313="","",2*PI()*B313)</f>
        <v/>
      </c>
      <c r="D313" s="195">
        <f>IF(B313="","",ATANH(MIN(0.999999,'入力・概要'!$E$20/'入力・概要'!$E$9))+'入力・概要'!$B$20*SQRT(B313/1E6)+E313*'入力・概要'!$B$15/2)</f>
        <v/>
      </c>
      <c r="E313" s="195">
        <f>IF(B313="","",C313*('入力・概要'!$E$11*1E-9))</f>
        <v/>
      </c>
      <c r="F313" s="195">
        <f>IF(B313="","",SINH(2*D313)/(COSH(2*D313)+COS(2*E313)))</f>
        <v/>
      </c>
      <c r="G313" s="195">
        <f>IF(B313="","",SIN(2*E313)/(COSH(2*D313)+COS(2*E313)))</f>
        <v/>
      </c>
      <c r="H313" s="195">
        <f>IF(B313="","",ATANH(MIN(0.999999,'入力・概要'!$E$21/'入力・概要'!$E$15))+'入力・概要'!$B$21*SQRT(B313/1E6)+I313*'入力・概要'!$B$16/2)</f>
        <v/>
      </c>
      <c r="I313" s="195">
        <f>IF(B313="","",C313*('入力・概要'!$E$17*1E-9))</f>
        <v/>
      </c>
      <c r="J313" s="195">
        <f>IF(B313="","",SINH(2*H313)/(COSH(2*H313)+COS(2*I313)))</f>
        <v/>
      </c>
      <c r="K313" s="195">
        <f>IF(B313="","",SIN(2*I313)/(COSH(2*H313)+COS(2*I313)))</f>
        <v/>
      </c>
      <c r="L313" s="195">
        <f>IF(B313="","",'入力・概要'!$B$25)</f>
        <v/>
      </c>
      <c r="M313" s="195">
        <f>IF(B313="","",C313*'入力・概要'!$B$26*1E-9-1/(C313*'入力・概要'!$B$24*1E-6))</f>
        <v/>
      </c>
      <c r="N313" s="195">
        <f>IF(B313="","",'入力・概要'!$B$28)</f>
        <v/>
      </c>
      <c r="O313" s="195">
        <f>IF(B313="","",C313*'入力・概要'!$B$29*1E-9-1/(C313*'入力・概要'!$B$27*1E-6))</f>
        <v/>
      </c>
      <c r="P313" s="195">
        <f>IF(B313="","",((L313*N313-M313*O313)*(L313+N313)+(L313*O313+M313*N313)*(M313+O313))/((L313+N313)^2+(M313+O313)^2))</f>
        <v/>
      </c>
      <c r="Q313" s="195">
        <f>IF(B313="","",((L313*O313+M313*N313)*(L313+N313)-(L313*N313-M313*O313)*(M313+O313))/((L313+N313)^2+(M313+O313)^2))</f>
        <v/>
      </c>
      <c r="R313" s="195">
        <f>IF(B313="","",'入力・概要'!$E$15*J313)</f>
        <v/>
      </c>
      <c r="S313" s="195">
        <f>IF(B313="","",'入力・概要'!$E$15*K313)</f>
        <v/>
      </c>
      <c r="T313" s="195">
        <f>IF(B313="","",P313+R313)</f>
        <v/>
      </c>
      <c r="U313" s="195">
        <f>IF(B313="","",Q313+S313)</f>
        <v/>
      </c>
      <c r="V313" s="195">
        <f>IF(B313="","",T313+'入力・概要'!$E$9*F313)</f>
        <v/>
      </c>
      <c r="W313" s="195">
        <f>IF(B313="","",U313+'入力・概要'!$E$9*G313)</f>
        <v/>
      </c>
      <c r="X313" s="195">
        <f>IF(B313="","",'入力・概要'!$E$9+T313*F313-U313*G313)</f>
        <v/>
      </c>
      <c r="Y313" s="195">
        <f>IF(B313="","",T313*G313+U313*F313)</f>
        <v/>
      </c>
      <c r="Z313" s="195">
        <f>IF(B313="","",'入力・概要'!$E$9*(V313*X313+W313*Y313)/(X313^2+Y313^2)+'入力・概要'!$B$36)</f>
        <v/>
      </c>
      <c r="AA313" s="195">
        <f>IF(B313="","",'入力・概要'!$E$9*(W313*X313-V313*Y313)/(X313^2+Y313^2)+C313*'入力・概要'!$B$37*1E-9)</f>
        <v/>
      </c>
      <c r="AB313" s="195">
        <f>IF(B313="","",SQRT(Z313^2+AA313^2))</f>
        <v/>
      </c>
      <c r="AC313" s="195">
        <f>IF(B313="","",IF(Z313&gt;0,DEGREES(ATAN(AA313/Z313)),IF(Z313&lt;0,IF(AA313&gt;=0,DEGREES(ATAN(AA313/Z313))+180,DEGREES(ATAN(AA313/Z313))-180),IF(AA313&gt;0,90,IF(AA313&lt;0,-90,0)))))</f>
        <v/>
      </c>
      <c r="AD313" s="195">
        <f>IF(B313="","",LOG10(B313))</f>
        <v/>
      </c>
      <c r="AE313" s="195">
        <f>IF(AB313="","",LOG10(MAX(AB313,1E-12)))</f>
        <v/>
      </c>
      <c r="AF313" s="195">
        <f>IF(B313="","",SQRT(P313^2+Q313^2))</f>
        <v/>
      </c>
      <c r="AG313" s="195">
        <f>IF(B313="","",SQRT(R313^2+S313^2))</f>
        <v/>
      </c>
    </row>
    <row r="314">
      <c r="A314" t="n">
        <v>311</v>
      </c>
      <c r="B314" s="196">
        <f>IF(A314&lt;='入力・概要'!$B$40,10^(LOG10('入力・概要'!$B$38)+(A314-1)*(LOG10('入力・概要'!$B$39)-LOG10('入力・概要'!$B$38))/('入力・概要'!$B$40-1)),"")</f>
        <v/>
      </c>
      <c r="C314" s="195">
        <f>IF(B314="","",2*PI()*B314)</f>
        <v/>
      </c>
      <c r="D314" s="195">
        <f>IF(B314="","",ATANH(MIN(0.999999,'入力・概要'!$E$20/'入力・概要'!$E$9))+'入力・概要'!$B$20*SQRT(B314/1E6)+E314*'入力・概要'!$B$15/2)</f>
        <v/>
      </c>
      <c r="E314" s="195">
        <f>IF(B314="","",C314*('入力・概要'!$E$11*1E-9))</f>
        <v/>
      </c>
      <c r="F314" s="195">
        <f>IF(B314="","",SINH(2*D314)/(COSH(2*D314)+COS(2*E314)))</f>
        <v/>
      </c>
      <c r="G314" s="195">
        <f>IF(B314="","",SIN(2*E314)/(COSH(2*D314)+COS(2*E314)))</f>
        <v/>
      </c>
      <c r="H314" s="195">
        <f>IF(B314="","",ATANH(MIN(0.999999,'入力・概要'!$E$21/'入力・概要'!$E$15))+'入力・概要'!$B$21*SQRT(B314/1E6)+I314*'入力・概要'!$B$16/2)</f>
        <v/>
      </c>
      <c r="I314" s="195">
        <f>IF(B314="","",C314*('入力・概要'!$E$17*1E-9))</f>
        <v/>
      </c>
      <c r="J314" s="195">
        <f>IF(B314="","",SINH(2*H314)/(COSH(2*H314)+COS(2*I314)))</f>
        <v/>
      </c>
      <c r="K314" s="195">
        <f>IF(B314="","",SIN(2*I314)/(COSH(2*H314)+COS(2*I314)))</f>
        <v/>
      </c>
      <c r="L314" s="195">
        <f>IF(B314="","",'入力・概要'!$B$25)</f>
        <v/>
      </c>
      <c r="M314" s="195">
        <f>IF(B314="","",C314*'入力・概要'!$B$26*1E-9-1/(C314*'入力・概要'!$B$24*1E-6))</f>
        <v/>
      </c>
      <c r="N314" s="195">
        <f>IF(B314="","",'入力・概要'!$B$28)</f>
        <v/>
      </c>
      <c r="O314" s="195">
        <f>IF(B314="","",C314*'入力・概要'!$B$29*1E-9-1/(C314*'入力・概要'!$B$27*1E-6))</f>
        <v/>
      </c>
      <c r="P314" s="195">
        <f>IF(B314="","",((L314*N314-M314*O314)*(L314+N314)+(L314*O314+M314*N314)*(M314+O314))/((L314+N314)^2+(M314+O314)^2))</f>
        <v/>
      </c>
      <c r="Q314" s="195">
        <f>IF(B314="","",((L314*O314+M314*N314)*(L314+N314)-(L314*N314-M314*O314)*(M314+O314))/((L314+N314)^2+(M314+O314)^2))</f>
        <v/>
      </c>
      <c r="R314" s="195">
        <f>IF(B314="","",'入力・概要'!$E$15*J314)</f>
        <v/>
      </c>
      <c r="S314" s="195">
        <f>IF(B314="","",'入力・概要'!$E$15*K314)</f>
        <v/>
      </c>
      <c r="T314" s="195">
        <f>IF(B314="","",P314+R314)</f>
        <v/>
      </c>
      <c r="U314" s="195">
        <f>IF(B314="","",Q314+S314)</f>
        <v/>
      </c>
      <c r="V314" s="195">
        <f>IF(B314="","",T314+'入力・概要'!$E$9*F314)</f>
        <v/>
      </c>
      <c r="W314" s="195">
        <f>IF(B314="","",U314+'入力・概要'!$E$9*G314)</f>
        <v/>
      </c>
      <c r="X314" s="195">
        <f>IF(B314="","",'入力・概要'!$E$9+T314*F314-U314*G314)</f>
        <v/>
      </c>
      <c r="Y314" s="195">
        <f>IF(B314="","",T314*G314+U314*F314)</f>
        <v/>
      </c>
      <c r="Z314" s="195">
        <f>IF(B314="","",'入力・概要'!$E$9*(V314*X314+W314*Y314)/(X314^2+Y314^2)+'入力・概要'!$B$36)</f>
        <v/>
      </c>
      <c r="AA314" s="195">
        <f>IF(B314="","",'入力・概要'!$E$9*(W314*X314-V314*Y314)/(X314^2+Y314^2)+C314*'入力・概要'!$B$37*1E-9)</f>
        <v/>
      </c>
      <c r="AB314" s="195">
        <f>IF(B314="","",SQRT(Z314^2+AA314^2))</f>
        <v/>
      </c>
      <c r="AC314" s="195">
        <f>IF(B314="","",IF(Z314&gt;0,DEGREES(ATAN(AA314/Z314)),IF(Z314&lt;0,IF(AA314&gt;=0,DEGREES(ATAN(AA314/Z314))+180,DEGREES(ATAN(AA314/Z314))-180),IF(AA314&gt;0,90,IF(AA314&lt;0,-90,0)))))</f>
        <v/>
      </c>
      <c r="AD314" s="195">
        <f>IF(B314="","",LOG10(B314))</f>
        <v/>
      </c>
      <c r="AE314" s="195">
        <f>IF(AB314="","",LOG10(MAX(AB314,1E-12)))</f>
        <v/>
      </c>
      <c r="AF314" s="195">
        <f>IF(B314="","",SQRT(P314^2+Q314^2))</f>
        <v/>
      </c>
      <c r="AG314" s="195">
        <f>IF(B314="","",SQRT(R314^2+S314^2))</f>
        <v/>
      </c>
    </row>
    <row r="315">
      <c r="A315" t="n">
        <v>312</v>
      </c>
      <c r="B315" s="196">
        <f>IF(A315&lt;='入力・概要'!$B$40,10^(LOG10('入力・概要'!$B$38)+(A315-1)*(LOG10('入力・概要'!$B$39)-LOG10('入力・概要'!$B$38))/('入力・概要'!$B$40-1)),"")</f>
        <v/>
      </c>
      <c r="C315" s="195">
        <f>IF(B315="","",2*PI()*B315)</f>
        <v/>
      </c>
      <c r="D315" s="195">
        <f>IF(B315="","",ATANH(MIN(0.999999,'入力・概要'!$E$20/'入力・概要'!$E$9))+'入力・概要'!$B$20*SQRT(B315/1E6)+E315*'入力・概要'!$B$15/2)</f>
        <v/>
      </c>
      <c r="E315" s="195">
        <f>IF(B315="","",C315*('入力・概要'!$E$11*1E-9))</f>
        <v/>
      </c>
      <c r="F315" s="195">
        <f>IF(B315="","",SINH(2*D315)/(COSH(2*D315)+COS(2*E315)))</f>
        <v/>
      </c>
      <c r="G315" s="195">
        <f>IF(B315="","",SIN(2*E315)/(COSH(2*D315)+COS(2*E315)))</f>
        <v/>
      </c>
      <c r="H315" s="195">
        <f>IF(B315="","",ATANH(MIN(0.999999,'入力・概要'!$E$21/'入力・概要'!$E$15))+'入力・概要'!$B$21*SQRT(B315/1E6)+I315*'入力・概要'!$B$16/2)</f>
        <v/>
      </c>
      <c r="I315" s="195">
        <f>IF(B315="","",C315*('入力・概要'!$E$17*1E-9))</f>
        <v/>
      </c>
      <c r="J315" s="195">
        <f>IF(B315="","",SINH(2*H315)/(COSH(2*H315)+COS(2*I315)))</f>
        <v/>
      </c>
      <c r="K315" s="195">
        <f>IF(B315="","",SIN(2*I315)/(COSH(2*H315)+COS(2*I315)))</f>
        <v/>
      </c>
      <c r="L315" s="195">
        <f>IF(B315="","",'入力・概要'!$B$25)</f>
        <v/>
      </c>
      <c r="M315" s="195">
        <f>IF(B315="","",C315*'入力・概要'!$B$26*1E-9-1/(C315*'入力・概要'!$B$24*1E-6))</f>
        <v/>
      </c>
      <c r="N315" s="195">
        <f>IF(B315="","",'入力・概要'!$B$28)</f>
        <v/>
      </c>
      <c r="O315" s="195">
        <f>IF(B315="","",C315*'入力・概要'!$B$29*1E-9-1/(C315*'入力・概要'!$B$27*1E-6))</f>
        <v/>
      </c>
      <c r="P315" s="195">
        <f>IF(B315="","",((L315*N315-M315*O315)*(L315+N315)+(L315*O315+M315*N315)*(M315+O315))/((L315+N315)^2+(M315+O315)^2))</f>
        <v/>
      </c>
      <c r="Q315" s="195">
        <f>IF(B315="","",((L315*O315+M315*N315)*(L315+N315)-(L315*N315-M315*O315)*(M315+O315))/((L315+N315)^2+(M315+O315)^2))</f>
        <v/>
      </c>
      <c r="R315" s="195">
        <f>IF(B315="","",'入力・概要'!$E$15*J315)</f>
        <v/>
      </c>
      <c r="S315" s="195">
        <f>IF(B315="","",'入力・概要'!$E$15*K315)</f>
        <v/>
      </c>
      <c r="T315" s="195">
        <f>IF(B315="","",P315+R315)</f>
        <v/>
      </c>
      <c r="U315" s="195">
        <f>IF(B315="","",Q315+S315)</f>
        <v/>
      </c>
      <c r="V315" s="195">
        <f>IF(B315="","",T315+'入力・概要'!$E$9*F315)</f>
        <v/>
      </c>
      <c r="W315" s="195">
        <f>IF(B315="","",U315+'入力・概要'!$E$9*G315)</f>
        <v/>
      </c>
      <c r="X315" s="195">
        <f>IF(B315="","",'入力・概要'!$E$9+T315*F315-U315*G315)</f>
        <v/>
      </c>
      <c r="Y315" s="195">
        <f>IF(B315="","",T315*G315+U315*F315)</f>
        <v/>
      </c>
      <c r="Z315" s="195">
        <f>IF(B315="","",'入力・概要'!$E$9*(V315*X315+W315*Y315)/(X315^2+Y315^2)+'入力・概要'!$B$36)</f>
        <v/>
      </c>
      <c r="AA315" s="195">
        <f>IF(B315="","",'入力・概要'!$E$9*(W315*X315-V315*Y315)/(X315^2+Y315^2)+C315*'入力・概要'!$B$37*1E-9)</f>
        <v/>
      </c>
      <c r="AB315" s="195">
        <f>IF(B315="","",SQRT(Z315^2+AA315^2))</f>
        <v/>
      </c>
      <c r="AC315" s="195">
        <f>IF(B315="","",IF(Z315&gt;0,DEGREES(ATAN(AA315/Z315)),IF(Z315&lt;0,IF(AA315&gt;=0,DEGREES(ATAN(AA315/Z315))+180,DEGREES(ATAN(AA315/Z315))-180),IF(AA315&gt;0,90,IF(AA315&lt;0,-90,0)))))</f>
        <v/>
      </c>
      <c r="AD315" s="195">
        <f>IF(B315="","",LOG10(B315))</f>
        <v/>
      </c>
      <c r="AE315" s="195">
        <f>IF(AB315="","",LOG10(MAX(AB315,1E-12)))</f>
        <v/>
      </c>
      <c r="AF315" s="195">
        <f>IF(B315="","",SQRT(P315^2+Q315^2))</f>
        <v/>
      </c>
      <c r="AG315" s="195">
        <f>IF(B315="","",SQRT(R315^2+S315^2))</f>
        <v/>
      </c>
    </row>
    <row r="316">
      <c r="A316" t="n">
        <v>313</v>
      </c>
      <c r="B316" s="196">
        <f>IF(A316&lt;='入力・概要'!$B$40,10^(LOG10('入力・概要'!$B$38)+(A316-1)*(LOG10('入力・概要'!$B$39)-LOG10('入力・概要'!$B$38))/('入力・概要'!$B$40-1)),"")</f>
        <v/>
      </c>
      <c r="C316" s="195">
        <f>IF(B316="","",2*PI()*B316)</f>
        <v/>
      </c>
      <c r="D316" s="195">
        <f>IF(B316="","",ATANH(MIN(0.999999,'入力・概要'!$E$20/'入力・概要'!$E$9))+'入力・概要'!$B$20*SQRT(B316/1E6)+E316*'入力・概要'!$B$15/2)</f>
        <v/>
      </c>
      <c r="E316" s="195">
        <f>IF(B316="","",C316*('入力・概要'!$E$11*1E-9))</f>
        <v/>
      </c>
      <c r="F316" s="195">
        <f>IF(B316="","",SINH(2*D316)/(COSH(2*D316)+COS(2*E316)))</f>
        <v/>
      </c>
      <c r="G316" s="195">
        <f>IF(B316="","",SIN(2*E316)/(COSH(2*D316)+COS(2*E316)))</f>
        <v/>
      </c>
      <c r="H316" s="195">
        <f>IF(B316="","",ATANH(MIN(0.999999,'入力・概要'!$E$21/'入力・概要'!$E$15))+'入力・概要'!$B$21*SQRT(B316/1E6)+I316*'入力・概要'!$B$16/2)</f>
        <v/>
      </c>
      <c r="I316" s="195">
        <f>IF(B316="","",C316*('入力・概要'!$E$17*1E-9))</f>
        <v/>
      </c>
      <c r="J316" s="195">
        <f>IF(B316="","",SINH(2*H316)/(COSH(2*H316)+COS(2*I316)))</f>
        <v/>
      </c>
      <c r="K316" s="195">
        <f>IF(B316="","",SIN(2*I316)/(COSH(2*H316)+COS(2*I316)))</f>
        <v/>
      </c>
      <c r="L316" s="195">
        <f>IF(B316="","",'入力・概要'!$B$25)</f>
        <v/>
      </c>
      <c r="M316" s="195">
        <f>IF(B316="","",C316*'入力・概要'!$B$26*1E-9-1/(C316*'入力・概要'!$B$24*1E-6))</f>
        <v/>
      </c>
      <c r="N316" s="195">
        <f>IF(B316="","",'入力・概要'!$B$28)</f>
        <v/>
      </c>
      <c r="O316" s="195">
        <f>IF(B316="","",C316*'入力・概要'!$B$29*1E-9-1/(C316*'入力・概要'!$B$27*1E-6))</f>
        <v/>
      </c>
      <c r="P316" s="195">
        <f>IF(B316="","",((L316*N316-M316*O316)*(L316+N316)+(L316*O316+M316*N316)*(M316+O316))/((L316+N316)^2+(M316+O316)^2))</f>
        <v/>
      </c>
      <c r="Q316" s="195">
        <f>IF(B316="","",((L316*O316+M316*N316)*(L316+N316)-(L316*N316-M316*O316)*(M316+O316))/((L316+N316)^2+(M316+O316)^2))</f>
        <v/>
      </c>
      <c r="R316" s="195">
        <f>IF(B316="","",'入力・概要'!$E$15*J316)</f>
        <v/>
      </c>
      <c r="S316" s="195">
        <f>IF(B316="","",'入力・概要'!$E$15*K316)</f>
        <v/>
      </c>
      <c r="T316" s="195">
        <f>IF(B316="","",P316+R316)</f>
        <v/>
      </c>
      <c r="U316" s="195">
        <f>IF(B316="","",Q316+S316)</f>
        <v/>
      </c>
      <c r="V316" s="195">
        <f>IF(B316="","",T316+'入力・概要'!$E$9*F316)</f>
        <v/>
      </c>
      <c r="W316" s="195">
        <f>IF(B316="","",U316+'入力・概要'!$E$9*G316)</f>
        <v/>
      </c>
      <c r="X316" s="195">
        <f>IF(B316="","",'入力・概要'!$E$9+T316*F316-U316*G316)</f>
        <v/>
      </c>
      <c r="Y316" s="195">
        <f>IF(B316="","",T316*G316+U316*F316)</f>
        <v/>
      </c>
      <c r="Z316" s="195">
        <f>IF(B316="","",'入力・概要'!$E$9*(V316*X316+W316*Y316)/(X316^2+Y316^2)+'入力・概要'!$B$36)</f>
        <v/>
      </c>
      <c r="AA316" s="195">
        <f>IF(B316="","",'入力・概要'!$E$9*(W316*X316-V316*Y316)/(X316^2+Y316^2)+C316*'入力・概要'!$B$37*1E-9)</f>
        <v/>
      </c>
      <c r="AB316" s="195">
        <f>IF(B316="","",SQRT(Z316^2+AA316^2))</f>
        <v/>
      </c>
      <c r="AC316" s="195">
        <f>IF(B316="","",IF(Z316&gt;0,DEGREES(ATAN(AA316/Z316)),IF(Z316&lt;0,IF(AA316&gt;=0,DEGREES(ATAN(AA316/Z316))+180,DEGREES(ATAN(AA316/Z316))-180),IF(AA316&gt;0,90,IF(AA316&lt;0,-90,0)))))</f>
        <v/>
      </c>
      <c r="AD316" s="195">
        <f>IF(B316="","",LOG10(B316))</f>
        <v/>
      </c>
      <c r="AE316" s="195">
        <f>IF(AB316="","",LOG10(MAX(AB316,1E-12)))</f>
        <v/>
      </c>
      <c r="AF316" s="195">
        <f>IF(B316="","",SQRT(P316^2+Q316^2))</f>
        <v/>
      </c>
      <c r="AG316" s="195">
        <f>IF(B316="","",SQRT(R316^2+S316^2))</f>
        <v/>
      </c>
    </row>
    <row r="317">
      <c r="A317" t="n">
        <v>314</v>
      </c>
      <c r="B317" s="196">
        <f>IF(A317&lt;='入力・概要'!$B$40,10^(LOG10('入力・概要'!$B$38)+(A317-1)*(LOG10('入力・概要'!$B$39)-LOG10('入力・概要'!$B$38))/('入力・概要'!$B$40-1)),"")</f>
        <v/>
      </c>
      <c r="C317" s="195">
        <f>IF(B317="","",2*PI()*B317)</f>
        <v/>
      </c>
      <c r="D317" s="195">
        <f>IF(B317="","",ATANH(MIN(0.999999,'入力・概要'!$E$20/'入力・概要'!$E$9))+'入力・概要'!$B$20*SQRT(B317/1E6)+E317*'入力・概要'!$B$15/2)</f>
        <v/>
      </c>
      <c r="E317" s="195">
        <f>IF(B317="","",C317*('入力・概要'!$E$11*1E-9))</f>
        <v/>
      </c>
      <c r="F317" s="195">
        <f>IF(B317="","",SINH(2*D317)/(COSH(2*D317)+COS(2*E317)))</f>
        <v/>
      </c>
      <c r="G317" s="195">
        <f>IF(B317="","",SIN(2*E317)/(COSH(2*D317)+COS(2*E317)))</f>
        <v/>
      </c>
      <c r="H317" s="195">
        <f>IF(B317="","",ATANH(MIN(0.999999,'入力・概要'!$E$21/'入力・概要'!$E$15))+'入力・概要'!$B$21*SQRT(B317/1E6)+I317*'入力・概要'!$B$16/2)</f>
        <v/>
      </c>
      <c r="I317" s="195">
        <f>IF(B317="","",C317*('入力・概要'!$E$17*1E-9))</f>
        <v/>
      </c>
      <c r="J317" s="195">
        <f>IF(B317="","",SINH(2*H317)/(COSH(2*H317)+COS(2*I317)))</f>
        <v/>
      </c>
      <c r="K317" s="195">
        <f>IF(B317="","",SIN(2*I317)/(COSH(2*H317)+COS(2*I317)))</f>
        <v/>
      </c>
      <c r="L317" s="195">
        <f>IF(B317="","",'入力・概要'!$B$25)</f>
        <v/>
      </c>
      <c r="M317" s="195">
        <f>IF(B317="","",C317*'入力・概要'!$B$26*1E-9-1/(C317*'入力・概要'!$B$24*1E-6))</f>
        <v/>
      </c>
      <c r="N317" s="195">
        <f>IF(B317="","",'入力・概要'!$B$28)</f>
        <v/>
      </c>
      <c r="O317" s="195">
        <f>IF(B317="","",C317*'入力・概要'!$B$29*1E-9-1/(C317*'入力・概要'!$B$27*1E-6))</f>
        <v/>
      </c>
      <c r="P317" s="195">
        <f>IF(B317="","",((L317*N317-M317*O317)*(L317+N317)+(L317*O317+M317*N317)*(M317+O317))/((L317+N317)^2+(M317+O317)^2))</f>
        <v/>
      </c>
      <c r="Q317" s="195">
        <f>IF(B317="","",((L317*O317+M317*N317)*(L317+N317)-(L317*N317-M317*O317)*(M317+O317))/((L317+N317)^2+(M317+O317)^2))</f>
        <v/>
      </c>
      <c r="R317" s="195">
        <f>IF(B317="","",'入力・概要'!$E$15*J317)</f>
        <v/>
      </c>
      <c r="S317" s="195">
        <f>IF(B317="","",'入力・概要'!$E$15*K317)</f>
        <v/>
      </c>
      <c r="T317" s="195">
        <f>IF(B317="","",P317+R317)</f>
        <v/>
      </c>
      <c r="U317" s="195">
        <f>IF(B317="","",Q317+S317)</f>
        <v/>
      </c>
      <c r="V317" s="195">
        <f>IF(B317="","",T317+'入力・概要'!$E$9*F317)</f>
        <v/>
      </c>
      <c r="W317" s="195">
        <f>IF(B317="","",U317+'入力・概要'!$E$9*G317)</f>
        <v/>
      </c>
      <c r="X317" s="195">
        <f>IF(B317="","",'入力・概要'!$E$9+T317*F317-U317*G317)</f>
        <v/>
      </c>
      <c r="Y317" s="195">
        <f>IF(B317="","",T317*G317+U317*F317)</f>
        <v/>
      </c>
      <c r="Z317" s="195">
        <f>IF(B317="","",'入力・概要'!$E$9*(V317*X317+W317*Y317)/(X317^2+Y317^2)+'入力・概要'!$B$36)</f>
        <v/>
      </c>
      <c r="AA317" s="195">
        <f>IF(B317="","",'入力・概要'!$E$9*(W317*X317-V317*Y317)/(X317^2+Y317^2)+C317*'入力・概要'!$B$37*1E-9)</f>
        <v/>
      </c>
      <c r="AB317" s="195">
        <f>IF(B317="","",SQRT(Z317^2+AA317^2))</f>
        <v/>
      </c>
      <c r="AC317" s="195">
        <f>IF(B317="","",IF(Z317&gt;0,DEGREES(ATAN(AA317/Z317)),IF(Z317&lt;0,IF(AA317&gt;=0,DEGREES(ATAN(AA317/Z317))+180,DEGREES(ATAN(AA317/Z317))-180),IF(AA317&gt;0,90,IF(AA317&lt;0,-90,0)))))</f>
        <v/>
      </c>
      <c r="AD317" s="195">
        <f>IF(B317="","",LOG10(B317))</f>
        <v/>
      </c>
      <c r="AE317" s="195">
        <f>IF(AB317="","",LOG10(MAX(AB317,1E-12)))</f>
        <v/>
      </c>
      <c r="AF317" s="195">
        <f>IF(B317="","",SQRT(P317^2+Q317^2))</f>
        <v/>
      </c>
      <c r="AG317" s="195">
        <f>IF(B317="","",SQRT(R317^2+S317^2))</f>
        <v/>
      </c>
    </row>
    <row r="318">
      <c r="A318" t="n">
        <v>315</v>
      </c>
      <c r="B318" s="196">
        <f>IF(A318&lt;='入力・概要'!$B$40,10^(LOG10('入力・概要'!$B$38)+(A318-1)*(LOG10('入力・概要'!$B$39)-LOG10('入力・概要'!$B$38))/('入力・概要'!$B$40-1)),"")</f>
        <v/>
      </c>
      <c r="C318" s="195">
        <f>IF(B318="","",2*PI()*B318)</f>
        <v/>
      </c>
      <c r="D318" s="195">
        <f>IF(B318="","",ATANH(MIN(0.999999,'入力・概要'!$E$20/'入力・概要'!$E$9))+'入力・概要'!$B$20*SQRT(B318/1E6)+E318*'入力・概要'!$B$15/2)</f>
        <v/>
      </c>
      <c r="E318" s="195">
        <f>IF(B318="","",C318*('入力・概要'!$E$11*1E-9))</f>
        <v/>
      </c>
      <c r="F318" s="195">
        <f>IF(B318="","",SINH(2*D318)/(COSH(2*D318)+COS(2*E318)))</f>
        <v/>
      </c>
      <c r="G318" s="195">
        <f>IF(B318="","",SIN(2*E318)/(COSH(2*D318)+COS(2*E318)))</f>
        <v/>
      </c>
      <c r="H318" s="195">
        <f>IF(B318="","",ATANH(MIN(0.999999,'入力・概要'!$E$21/'入力・概要'!$E$15))+'入力・概要'!$B$21*SQRT(B318/1E6)+I318*'入力・概要'!$B$16/2)</f>
        <v/>
      </c>
      <c r="I318" s="195">
        <f>IF(B318="","",C318*('入力・概要'!$E$17*1E-9))</f>
        <v/>
      </c>
      <c r="J318" s="195">
        <f>IF(B318="","",SINH(2*H318)/(COSH(2*H318)+COS(2*I318)))</f>
        <v/>
      </c>
      <c r="K318" s="195">
        <f>IF(B318="","",SIN(2*I318)/(COSH(2*H318)+COS(2*I318)))</f>
        <v/>
      </c>
      <c r="L318" s="195">
        <f>IF(B318="","",'入力・概要'!$B$25)</f>
        <v/>
      </c>
      <c r="M318" s="195">
        <f>IF(B318="","",C318*'入力・概要'!$B$26*1E-9-1/(C318*'入力・概要'!$B$24*1E-6))</f>
        <v/>
      </c>
      <c r="N318" s="195">
        <f>IF(B318="","",'入力・概要'!$B$28)</f>
        <v/>
      </c>
      <c r="O318" s="195">
        <f>IF(B318="","",C318*'入力・概要'!$B$29*1E-9-1/(C318*'入力・概要'!$B$27*1E-6))</f>
        <v/>
      </c>
      <c r="P318" s="195">
        <f>IF(B318="","",((L318*N318-M318*O318)*(L318+N318)+(L318*O318+M318*N318)*(M318+O318))/((L318+N318)^2+(M318+O318)^2))</f>
        <v/>
      </c>
      <c r="Q318" s="195">
        <f>IF(B318="","",((L318*O318+M318*N318)*(L318+N318)-(L318*N318-M318*O318)*(M318+O318))/((L318+N318)^2+(M318+O318)^2))</f>
        <v/>
      </c>
      <c r="R318" s="195">
        <f>IF(B318="","",'入力・概要'!$E$15*J318)</f>
        <v/>
      </c>
      <c r="S318" s="195">
        <f>IF(B318="","",'入力・概要'!$E$15*K318)</f>
        <v/>
      </c>
      <c r="T318" s="195">
        <f>IF(B318="","",P318+R318)</f>
        <v/>
      </c>
      <c r="U318" s="195">
        <f>IF(B318="","",Q318+S318)</f>
        <v/>
      </c>
      <c r="V318" s="195">
        <f>IF(B318="","",T318+'入力・概要'!$E$9*F318)</f>
        <v/>
      </c>
      <c r="W318" s="195">
        <f>IF(B318="","",U318+'入力・概要'!$E$9*G318)</f>
        <v/>
      </c>
      <c r="X318" s="195">
        <f>IF(B318="","",'入力・概要'!$E$9+T318*F318-U318*G318)</f>
        <v/>
      </c>
      <c r="Y318" s="195">
        <f>IF(B318="","",T318*G318+U318*F318)</f>
        <v/>
      </c>
      <c r="Z318" s="195">
        <f>IF(B318="","",'入力・概要'!$E$9*(V318*X318+W318*Y318)/(X318^2+Y318^2)+'入力・概要'!$B$36)</f>
        <v/>
      </c>
      <c r="AA318" s="195">
        <f>IF(B318="","",'入力・概要'!$E$9*(W318*X318-V318*Y318)/(X318^2+Y318^2)+C318*'入力・概要'!$B$37*1E-9)</f>
        <v/>
      </c>
      <c r="AB318" s="195">
        <f>IF(B318="","",SQRT(Z318^2+AA318^2))</f>
        <v/>
      </c>
      <c r="AC318" s="195">
        <f>IF(B318="","",IF(Z318&gt;0,DEGREES(ATAN(AA318/Z318)),IF(Z318&lt;0,IF(AA318&gt;=0,DEGREES(ATAN(AA318/Z318))+180,DEGREES(ATAN(AA318/Z318))-180),IF(AA318&gt;0,90,IF(AA318&lt;0,-90,0)))))</f>
        <v/>
      </c>
      <c r="AD318" s="195">
        <f>IF(B318="","",LOG10(B318))</f>
        <v/>
      </c>
      <c r="AE318" s="195">
        <f>IF(AB318="","",LOG10(MAX(AB318,1E-12)))</f>
        <v/>
      </c>
      <c r="AF318" s="195">
        <f>IF(B318="","",SQRT(P318^2+Q318^2))</f>
        <v/>
      </c>
      <c r="AG318" s="195">
        <f>IF(B318="","",SQRT(R318^2+S318^2))</f>
        <v/>
      </c>
    </row>
    <row r="319">
      <c r="A319" t="n">
        <v>316</v>
      </c>
      <c r="B319" s="196">
        <f>IF(A319&lt;='入力・概要'!$B$40,10^(LOG10('入力・概要'!$B$38)+(A319-1)*(LOG10('入力・概要'!$B$39)-LOG10('入力・概要'!$B$38))/('入力・概要'!$B$40-1)),"")</f>
        <v/>
      </c>
      <c r="C319" s="195">
        <f>IF(B319="","",2*PI()*B319)</f>
        <v/>
      </c>
      <c r="D319" s="195">
        <f>IF(B319="","",ATANH(MIN(0.999999,'入力・概要'!$E$20/'入力・概要'!$E$9))+'入力・概要'!$B$20*SQRT(B319/1E6)+E319*'入力・概要'!$B$15/2)</f>
        <v/>
      </c>
      <c r="E319" s="195">
        <f>IF(B319="","",C319*('入力・概要'!$E$11*1E-9))</f>
        <v/>
      </c>
      <c r="F319" s="195">
        <f>IF(B319="","",SINH(2*D319)/(COSH(2*D319)+COS(2*E319)))</f>
        <v/>
      </c>
      <c r="G319" s="195">
        <f>IF(B319="","",SIN(2*E319)/(COSH(2*D319)+COS(2*E319)))</f>
        <v/>
      </c>
      <c r="H319" s="195">
        <f>IF(B319="","",ATANH(MIN(0.999999,'入力・概要'!$E$21/'入力・概要'!$E$15))+'入力・概要'!$B$21*SQRT(B319/1E6)+I319*'入力・概要'!$B$16/2)</f>
        <v/>
      </c>
      <c r="I319" s="195">
        <f>IF(B319="","",C319*('入力・概要'!$E$17*1E-9))</f>
        <v/>
      </c>
      <c r="J319" s="195">
        <f>IF(B319="","",SINH(2*H319)/(COSH(2*H319)+COS(2*I319)))</f>
        <v/>
      </c>
      <c r="K319" s="195">
        <f>IF(B319="","",SIN(2*I319)/(COSH(2*H319)+COS(2*I319)))</f>
        <v/>
      </c>
      <c r="L319" s="195">
        <f>IF(B319="","",'入力・概要'!$B$25)</f>
        <v/>
      </c>
      <c r="M319" s="195">
        <f>IF(B319="","",C319*'入力・概要'!$B$26*1E-9-1/(C319*'入力・概要'!$B$24*1E-6))</f>
        <v/>
      </c>
      <c r="N319" s="195">
        <f>IF(B319="","",'入力・概要'!$B$28)</f>
        <v/>
      </c>
      <c r="O319" s="195">
        <f>IF(B319="","",C319*'入力・概要'!$B$29*1E-9-1/(C319*'入力・概要'!$B$27*1E-6))</f>
        <v/>
      </c>
      <c r="P319" s="195">
        <f>IF(B319="","",((L319*N319-M319*O319)*(L319+N319)+(L319*O319+M319*N319)*(M319+O319))/((L319+N319)^2+(M319+O319)^2))</f>
        <v/>
      </c>
      <c r="Q319" s="195">
        <f>IF(B319="","",((L319*O319+M319*N319)*(L319+N319)-(L319*N319-M319*O319)*(M319+O319))/((L319+N319)^2+(M319+O319)^2))</f>
        <v/>
      </c>
      <c r="R319" s="195">
        <f>IF(B319="","",'入力・概要'!$E$15*J319)</f>
        <v/>
      </c>
      <c r="S319" s="195">
        <f>IF(B319="","",'入力・概要'!$E$15*K319)</f>
        <v/>
      </c>
      <c r="T319" s="195">
        <f>IF(B319="","",P319+R319)</f>
        <v/>
      </c>
      <c r="U319" s="195">
        <f>IF(B319="","",Q319+S319)</f>
        <v/>
      </c>
      <c r="V319" s="195">
        <f>IF(B319="","",T319+'入力・概要'!$E$9*F319)</f>
        <v/>
      </c>
      <c r="W319" s="195">
        <f>IF(B319="","",U319+'入力・概要'!$E$9*G319)</f>
        <v/>
      </c>
      <c r="X319" s="195">
        <f>IF(B319="","",'入力・概要'!$E$9+T319*F319-U319*G319)</f>
        <v/>
      </c>
      <c r="Y319" s="195">
        <f>IF(B319="","",T319*G319+U319*F319)</f>
        <v/>
      </c>
      <c r="Z319" s="195">
        <f>IF(B319="","",'入力・概要'!$E$9*(V319*X319+W319*Y319)/(X319^2+Y319^2)+'入力・概要'!$B$36)</f>
        <v/>
      </c>
      <c r="AA319" s="195">
        <f>IF(B319="","",'入力・概要'!$E$9*(W319*X319-V319*Y319)/(X319^2+Y319^2)+C319*'入力・概要'!$B$37*1E-9)</f>
        <v/>
      </c>
      <c r="AB319" s="195">
        <f>IF(B319="","",SQRT(Z319^2+AA319^2))</f>
        <v/>
      </c>
      <c r="AC319" s="195">
        <f>IF(B319="","",IF(Z319&gt;0,DEGREES(ATAN(AA319/Z319)),IF(Z319&lt;0,IF(AA319&gt;=0,DEGREES(ATAN(AA319/Z319))+180,DEGREES(ATAN(AA319/Z319))-180),IF(AA319&gt;0,90,IF(AA319&lt;0,-90,0)))))</f>
        <v/>
      </c>
      <c r="AD319" s="195">
        <f>IF(B319="","",LOG10(B319))</f>
        <v/>
      </c>
      <c r="AE319" s="195">
        <f>IF(AB319="","",LOG10(MAX(AB319,1E-12)))</f>
        <v/>
      </c>
      <c r="AF319" s="195">
        <f>IF(B319="","",SQRT(P319^2+Q319^2))</f>
        <v/>
      </c>
      <c r="AG319" s="195">
        <f>IF(B319="","",SQRT(R319^2+S319^2))</f>
        <v/>
      </c>
    </row>
    <row r="320">
      <c r="A320" t="n">
        <v>317</v>
      </c>
      <c r="B320" s="196">
        <f>IF(A320&lt;='入力・概要'!$B$40,10^(LOG10('入力・概要'!$B$38)+(A320-1)*(LOG10('入力・概要'!$B$39)-LOG10('入力・概要'!$B$38))/('入力・概要'!$B$40-1)),"")</f>
        <v/>
      </c>
      <c r="C320" s="195">
        <f>IF(B320="","",2*PI()*B320)</f>
        <v/>
      </c>
      <c r="D320" s="195">
        <f>IF(B320="","",ATANH(MIN(0.999999,'入力・概要'!$E$20/'入力・概要'!$E$9))+'入力・概要'!$B$20*SQRT(B320/1E6)+E320*'入力・概要'!$B$15/2)</f>
        <v/>
      </c>
      <c r="E320" s="195">
        <f>IF(B320="","",C320*('入力・概要'!$E$11*1E-9))</f>
        <v/>
      </c>
      <c r="F320" s="195">
        <f>IF(B320="","",SINH(2*D320)/(COSH(2*D320)+COS(2*E320)))</f>
        <v/>
      </c>
      <c r="G320" s="195">
        <f>IF(B320="","",SIN(2*E320)/(COSH(2*D320)+COS(2*E320)))</f>
        <v/>
      </c>
      <c r="H320" s="195">
        <f>IF(B320="","",ATANH(MIN(0.999999,'入力・概要'!$E$21/'入力・概要'!$E$15))+'入力・概要'!$B$21*SQRT(B320/1E6)+I320*'入力・概要'!$B$16/2)</f>
        <v/>
      </c>
      <c r="I320" s="195">
        <f>IF(B320="","",C320*('入力・概要'!$E$17*1E-9))</f>
        <v/>
      </c>
      <c r="J320" s="195">
        <f>IF(B320="","",SINH(2*H320)/(COSH(2*H320)+COS(2*I320)))</f>
        <v/>
      </c>
      <c r="K320" s="195">
        <f>IF(B320="","",SIN(2*I320)/(COSH(2*H320)+COS(2*I320)))</f>
        <v/>
      </c>
      <c r="L320" s="195">
        <f>IF(B320="","",'入力・概要'!$B$25)</f>
        <v/>
      </c>
      <c r="M320" s="195">
        <f>IF(B320="","",C320*'入力・概要'!$B$26*1E-9-1/(C320*'入力・概要'!$B$24*1E-6))</f>
        <v/>
      </c>
      <c r="N320" s="195">
        <f>IF(B320="","",'入力・概要'!$B$28)</f>
        <v/>
      </c>
      <c r="O320" s="195">
        <f>IF(B320="","",C320*'入力・概要'!$B$29*1E-9-1/(C320*'入力・概要'!$B$27*1E-6))</f>
        <v/>
      </c>
      <c r="P320" s="195">
        <f>IF(B320="","",((L320*N320-M320*O320)*(L320+N320)+(L320*O320+M320*N320)*(M320+O320))/((L320+N320)^2+(M320+O320)^2))</f>
        <v/>
      </c>
      <c r="Q320" s="195">
        <f>IF(B320="","",((L320*O320+M320*N320)*(L320+N320)-(L320*N320-M320*O320)*(M320+O320))/((L320+N320)^2+(M320+O320)^2))</f>
        <v/>
      </c>
      <c r="R320" s="195">
        <f>IF(B320="","",'入力・概要'!$E$15*J320)</f>
        <v/>
      </c>
      <c r="S320" s="195">
        <f>IF(B320="","",'入力・概要'!$E$15*K320)</f>
        <v/>
      </c>
      <c r="T320" s="195">
        <f>IF(B320="","",P320+R320)</f>
        <v/>
      </c>
      <c r="U320" s="195">
        <f>IF(B320="","",Q320+S320)</f>
        <v/>
      </c>
      <c r="V320" s="195">
        <f>IF(B320="","",T320+'入力・概要'!$E$9*F320)</f>
        <v/>
      </c>
      <c r="W320" s="195">
        <f>IF(B320="","",U320+'入力・概要'!$E$9*G320)</f>
        <v/>
      </c>
      <c r="X320" s="195">
        <f>IF(B320="","",'入力・概要'!$E$9+T320*F320-U320*G320)</f>
        <v/>
      </c>
      <c r="Y320" s="195">
        <f>IF(B320="","",T320*G320+U320*F320)</f>
        <v/>
      </c>
      <c r="Z320" s="195">
        <f>IF(B320="","",'入力・概要'!$E$9*(V320*X320+W320*Y320)/(X320^2+Y320^2)+'入力・概要'!$B$36)</f>
        <v/>
      </c>
      <c r="AA320" s="195">
        <f>IF(B320="","",'入力・概要'!$E$9*(W320*X320-V320*Y320)/(X320^2+Y320^2)+C320*'入力・概要'!$B$37*1E-9)</f>
        <v/>
      </c>
      <c r="AB320" s="195">
        <f>IF(B320="","",SQRT(Z320^2+AA320^2))</f>
        <v/>
      </c>
      <c r="AC320" s="195">
        <f>IF(B320="","",IF(Z320&gt;0,DEGREES(ATAN(AA320/Z320)),IF(Z320&lt;0,IF(AA320&gt;=0,DEGREES(ATAN(AA320/Z320))+180,DEGREES(ATAN(AA320/Z320))-180),IF(AA320&gt;0,90,IF(AA320&lt;0,-90,0)))))</f>
        <v/>
      </c>
      <c r="AD320" s="195">
        <f>IF(B320="","",LOG10(B320))</f>
        <v/>
      </c>
      <c r="AE320" s="195">
        <f>IF(AB320="","",LOG10(MAX(AB320,1E-12)))</f>
        <v/>
      </c>
      <c r="AF320" s="195">
        <f>IF(B320="","",SQRT(P320^2+Q320^2))</f>
        <v/>
      </c>
      <c r="AG320" s="195">
        <f>IF(B320="","",SQRT(R320^2+S320^2))</f>
        <v/>
      </c>
    </row>
    <row r="321">
      <c r="A321" t="n">
        <v>318</v>
      </c>
      <c r="B321" s="196">
        <f>IF(A321&lt;='入力・概要'!$B$40,10^(LOG10('入力・概要'!$B$38)+(A321-1)*(LOG10('入力・概要'!$B$39)-LOG10('入力・概要'!$B$38))/('入力・概要'!$B$40-1)),"")</f>
        <v/>
      </c>
      <c r="C321" s="195">
        <f>IF(B321="","",2*PI()*B321)</f>
        <v/>
      </c>
      <c r="D321" s="195">
        <f>IF(B321="","",ATANH(MIN(0.999999,'入力・概要'!$E$20/'入力・概要'!$E$9))+'入力・概要'!$B$20*SQRT(B321/1E6)+E321*'入力・概要'!$B$15/2)</f>
        <v/>
      </c>
      <c r="E321" s="195">
        <f>IF(B321="","",C321*('入力・概要'!$E$11*1E-9))</f>
        <v/>
      </c>
      <c r="F321" s="195">
        <f>IF(B321="","",SINH(2*D321)/(COSH(2*D321)+COS(2*E321)))</f>
        <v/>
      </c>
      <c r="G321" s="195">
        <f>IF(B321="","",SIN(2*E321)/(COSH(2*D321)+COS(2*E321)))</f>
        <v/>
      </c>
      <c r="H321" s="195">
        <f>IF(B321="","",ATANH(MIN(0.999999,'入力・概要'!$E$21/'入力・概要'!$E$15))+'入力・概要'!$B$21*SQRT(B321/1E6)+I321*'入力・概要'!$B$16/2)</f>
        <v/>
      </c>
      <c r="I321" s="195">
        <f>IF(B321="","",C321*('入力・概要'!$E$17*1E-9))</f>
        <v/>
      </c>
      <c r="J321" s="195">
        <f>IF(B321="","",SINH(2*H321)/(COSH(2*H321)+COS(2*I321)))</f>
        <v/>
      </c>
      <c r="K321" s="195">
        <f>IF(B321="","",SIN(2*I321)/(COSH(2*H321)+COS(2*I321)))</f>
        <v/>
      </c>
      <c r="L321" s="195">
        <f>IF(B321="","",'入力・概要'!$B$25)</f>
        <v/>
      </c>
      <c r="M321" s="195">
        <f>IF(B321="","",C321*'入力・概要'!$B$26*1E-9-1/(C321*'入力・概要'!$B$24*1E-6))</f>
        <v/>
      </c>
      <c r="N321" s="195">
        <f>IF(B321="","",'入力・概要'!$B$28)</f>
        <v/>
      </c>
      <c r="O321" s="195">
        <f>IF(B321="","",C321*'入力・概要'!$B$29*1E-9-1/(C321*'入力・概要'!$B$27*1E-6))</f>
        <v/>
      </c>
      <c r="P321" s="195">
        <f>IF(B321="","",((L321*N321-M321*O321)*(L321+N321)+(L321*O321+M321*N321)*(M321+O321))/((L321+N321)^2+(M321+O321)^2))</f>
        <v/>
      </c>
      <c r="Q321" s="195">
        <f>IF(B321="","",((L321*O321+M321*N321)*(L321+N321)-(L321*N321-M321*O321)*(M321+O321))/((L321+N321)^2+(M321+O321)^2))</f>
        <v/>
      </c>
      <c r="R321" s="195">
        <f>IF(B321="","",'入力・概要'!$E$15*J321)</f>
        <v/>
      </c>
      <c r="S321" s="195">
        <f>IF(B321="","",'入力・概要'!$E$15*K321)</f>
        <v/>
      </c>
      <c r="T321" s="195">
        <f>IF(B321="","",P321+R321)</f>
        <v/>
      </c>
      <c r="U321" s="195">
        <f>IF(B321="","",Q321+S321)</f>
        <v/>
      </c>
      <c r="V321" s="195">
        <f>IF(B321="","",T321+'入力・概要'!$E$9*F321)</f>
        <v/>
      </c>
      <c r="W321" s="195">
        <f>IF(B321="","",U321+'入力・概要'!$E$9*G321)</f>
        <v/>
      </c>
      <c r="X321" s="195">
        <f>IF(B321="","",'入力・概要'!$E$9+T321*F321-U321*G321)</f>
        <v/>
      </c>
      <c r="Y321" s="195">
        <f>IF(B321="","",T321*G321+U321*F321)</f>
        <v/>
      </c>
      <c r="Z321" s="195">
        <f>IF(B321="","",'入力・概要'!$E$9*(V321*X321+W321*Y321)/(X321^2+Y321^2)+'入力・概要'!$B$36)</f>
        <v/>
      </c>
      <c r="AA321" s="195">
        <f>IF(B321="","",'入力・概要'!$E$9*(W321*X321-V321*Y321)/(X321^2+Y321^2)+C321*'入力・概要'!$B$37*1E-9)</f>
        <v/>
      </c>
      <c r="AB321" s="195">
        <f>IF(B321="","",SQRT(Z321^2+AA321^2))</f>
        <v/>
      </c>
      <c r="AC321" s="195">
        <f>IF(B321="","",IF(Z321&gt;0,DEGREES(ATAN(AA321/Z321)),IF(Z321&lt;0,IF(AA321&gt;=0,DEGREES(ATAN(AA321/Z321))+180,DEGREES(ATAN(AA321/Z321))-180),IF(AA321&gt;0,90,IF(AA321&lt;0,-90,0)))))</f>
        <v/>
      </c>
      <c r="AD321" s="195">
        <f>IF(B321="","",LOG10(B321))</f>
        <v/>
      </c>
      <c r="AE321" s="195">
        <f>IF(AB321="","",LOG10(MAX(AB321,1E-12)))</f>
        <v/>
      </c>
      <c r="AF321" s="195">
        <f>IF(B321="","",SQRT(P321^2+Q321^2))</f>
        <v/>
      </c>
      <c r="AG321" s="195">
        <f>IF(B321="","",SQRT(R321^2+S321^2))</f>
        <v/>
      </c>
    </row>
    <row r="322">
      <c r="A322" t="n">
        <v>319</v>
      </c>
      <c r="B322" s="196">
        <f>IF(A322&lt;='入力・概要'!$B$40,10^(LOG10('入力・概要'!$B$38)+(A322-1)*(LOG10('入力・概要'!$B$39)-LOG10('入力・概要'!$B$38))/('入力・概要'!$B$40-1)),"")</f>
        <v/>
      </c>
      <c r="C322" s="195">
        <f>IF(B322="","",2*PI()*B322)</f>
        <v/>
      </c>
      <c r="D322" s="195">
        <f>IF(B322="","",ATANH(MIN(0.999999,'入力・概要'!$E$20/'入力・概要'!$E$9))+'入力・概要'!$B$20*SQRT(B322/1E6)+E322*'入力・概要'!$B$15/2)</f>
        <v/>
      </c>
      <c r="E322" s="195">
        <f>IF(B322="","",C322*('入力・概要'!$E$11*1E-9))</f>
        <v/>
      </c>
      <c r="F322" s="195">
        <f>IF(B322="","",SINH(2*D322)/(COSH(2*D322)+COS(2*E322)))</f>
        <v/>
      </c>
      <c r="G322" s="195">
        <f>IF(B322="","",SIN(2*E322)/(COSH(2*D322)+COS(2*E322)))</f>
        <v/>
      </c>
      <c r="H322" s="195">
        <f>IF(B322="","",ATANH(MIN(0.999999,'入力・概要'!$E$21/'入力・概要'!$E$15))+'入力・概要'!$B$21*SQRT(B322/1E6)+I322*'入力・概要'!$B$16/2)</f>
        <v/>
      </c>
      <c r="I322" s="195">
        <f>IF(B322="","",C322*('入力・概要'!$E$17*1E-9))</f>
        <v/>
      </c>
      <c r="J322" s="195">
        <f>IF(B322="","",SINH(2*H322)/(COSH(2*H322)+COS(2*I322)))</f>
        <v/>
      </c>
      <c r="K322" s="195">
        <f>IF(B322="","",SIN(2*I322)/(COSH(2*H322)+COS(2*I322)))</f>
        <v/>
      </c>
      <c r="L322" s="195">
        <f>IF(B322="","",'入力・概要'!$B$25)</f>
        <v/>
      </c>
      <c r="M322" s="195">
        <f>IF(B322="","",C322*'入力・概要'!$B$26*1E-9-1/(C322*'入力・概要'!$B$24*1E-6))</f>
        <v/>
      </c>
      <c r="N322" s="195">
        <f>IF(B322="","",'入力・概要'!$B$28)</f>
        <v/>
      </c>
      <c r="O322" s="195">
        <f>IF(B322="","",C322*'入力・概要'!$B$29*1E-9-1/(C322*'入力・概要'!$B$27*1E-6))</f>
        <v/>
      </c>
      <c r="P322" s="195">
        <f>IF(B322="","",((L322*N322-M322*O322)*(L322+N322)+(L322*O322+M322*N322)*(M322+O322))/((L322+N322)^2+(M322+O322)^2))</f>
        <v/>
      </c>
      <c r="Q322" s="195">
        <f>IF(B322="","",((L322*O322+M322*N322)*(L322+N322)-(L322*N322-M322*O322)*(M322+O322))/((L322+N322)^2+(M322+O322)^2))</f>
        <v/>
      </c>
      <c r="R322" s="195">
        <f>IF(B322="","",'入力・概要'!$E$15*J322)</f>
        <v/>
      </c>
      <c r="S322" s="195">
        <f>IF(B322="","",'入力・概要'!$E$15*K322)</f>
        <v/>
      </c>
      <c r="T322" s="195">
        <f>IF(B322="","",P322+R322)</f>
        <v/>
      </c>
      <c r="U322" s="195">
        <f>IF(B322="","",Q322+S322)</f>
        <v/>
      </c>
      <c r="V322" s="195">
        <f>IF(B322="","",T322+'入力・概要'!$E$9*F322)</f>
        <v/>
      </c>
      <c r="W322" s="195">
        <f>IF(B322="","",U322+'入力・概要'!$E$9*G322)</f>
        <v/>
      </c>
      <c r="X322" s="195">
        <f>IF(B322="","",'入力・概要'!$E$9+T322*F322-U322*G322)</f>
        <v/>
      </c>
      <c r="Y322" s="195">
        <f>IF(B322="","",T322*G322+U322*F322)</f>
        <v/>
      </c>
      <c r="Z322" s="195">
        <f>IF(B322="","",'入力・概要'!$E$9*(V322*X322+W322*Y322)/(X322^2+Y322^2)+'入力・概要'!$B$36)</f>
        <v/>
      </c>
      <c r="AA322" s="195">
        <f>IF(B322="","",'入力・概要'!$E$9*(W322*X322-V322*Y322)/(X322^2+Y322^2)+C322*'入力・概要'!$B$37*1E-9)</f>
        <v/>
      </c>
      <c r="AB322" s="195">
        <f>IF(B322="","",SQRT(Z322^2+AA322^2))</f>
        <v/>
      </c>
      <c r="AC322" s="195">
        <f>IF(B322="","",IF(Z322&gt;0,DEGREES(ATAN(AA322/Z322)),IF(Z322&lt;0,IF(AA322&gt;=0,DEGREES(ATAN(AA322/Z322))+180,DEGREES(ATAN(AA322/Z322))-180),IF(AA322&gt;0,90,IF(AA322&lt;0,-90,0)))))</f>
        <v/>
      </c>
      <c r="AD322" s="195">
        <f>IF(B322="","",LOG10(B322))</f>
        <v/>
      </c>
      <c r="AE322" s="195">
        <f>IF(AB322="","",LOG10(MAX(AB322,1E-12)))</f>
        <v/>
      </c>
      <c r="AF322" s="195">
        <f>IF(B322="","",SQRT(P322^2+Q322^2))</f>
        <v/>
      </c>
      <c r="AG322" s="195">
        <f>IF(B322="","",SQRT(R322^2+S322^2))</f>
        <v/>
      </c>
    </row>
    <row r="323">
      <c r="A323" t="n">
        <v>320</v>
      </c>
      <c r="B323" s="196">
        <f>IF(A323&lt;='入力・概要'!$B$40,10^(LOG10('入力・概要'!$B$38)+(A323-1)*(LOG10('入力・概要'!$B$39)-LOG10('入力・概要'!$B$38))/('入力・概要'!$B$40-1)),"")</f>
        <v/>
      </c>
      <c r="C323" s="195">
        <f>IF(B323="","",2*PI()*B323)</f>
        <v/>
      </c>
      <c r="D323" s="195">
        <f>IF(B323="","",ATANH(MIN(0.999999,'入力・概要'!$E$20/'入力・概要'!$E$9))+'入力・概要'!$B$20*SQRT(B323/1E6)+E323*'入力・概要'!$B$15/2)</f>
        <v/>
      </c>
      <c r="E323" s="195">
        <f>IF(B323="","",C323*('入力・概要'!$E$11*1E-9))</f>
        <v/>
      </c>
      <c r="F323" s="195">
        <f>IF(B323="","",SINH(2*D323)/(COSH(2*D323)+COS(2*E323)))</f>
        <v/>
      </c>
      <c r="G323" s="195">
        <f>IF(B323="","",SIN(2*E323)/(COSH(2*D323)+COS(2*E323)))</f>
        <v/>
      </c>
      <c r="H323" s="195">
        <f>IF(B323="","",ATANH(MIN(0.999999,'入力・概要'!$E$21/'入力・概要'!$E$15))+'入力・概要'!$B$21*SQRT(B323/1E6)+I323*'入力・概要'!$B$16/2)</f>
        <v/>
      </c>
      <c r="I323" s="195">
        <f>IF(B323="","",C323*('入力・概要'!$E$17*1E-9))</f>
        <v/>
      </c>
      <c r="J323" s="195">
        <f>IF(B323="","",SINH(2*H323)/(COSH(2*H323)+COS(2*I323)))</f>
        <v/>
      </c>
      <c r="K323" s="195">
        <f>IF(B323="","",SIN(2*I323)/(COSH(2*H323)+COS(2*I323)))</f>
        <v/>
      </c>
      <c r="L323" s="195">
        <f>IF(B323="","",'入力・概要'!$B$25)</f>
        <v/>
      </c>
      <c r="M323" s="195">
        <f>IF(B323="","",C323*'入力・概要'!$B$26*1E-9-1/(C323*'入力・概要'!$B$24*1E-6))</f>
        <v/>
      </c>
      <c r="N323" s="195">
        <f>IF(B323="","",'入力・概要'!$B$28)</f>
        <v/>
      </c>
      <c r="O323" s="195">
        <f>IF(B323="","",C323*'入力・概要'!$B$29*1E-9-1/(C323*'入力・概要'!$B$27*1E-6))</f>
        <v/>
      </c>
      <c r="P323" s="195">
        <f>IF(B323="","",((L323*N323-M323*O323)*(L323+N323)+(L323*O323+M323*N323)*(M323+O323))/((L323+N323)^2+(M323+O323)^2))</f>
        <v/>
      </c>
      <c r="Q323" s="195">
        <f>IF(B323="","",((L323*O323+M323*N323)*(L323+N323)-(L323*N323-M323*O323)*(M323+O323))/((L323+N323)^2+(M323+O323)^2))</f>
        <v/>
      </c>
      <c r="R323" s="195">
        <f>IF(B323="","",'入力・概要'!$E$15*J323)</f>
        <v/>
      </c>
      <c r="S323" s="195">
        <f>IF(B323="","",'入力・概要'!$E$15*K323)</f>
        <v/>
      </c>
      <c r="T323" s="195">
        <f>IF(B323="","",P323+R323)</f>
        <v/>
      </c>
      <c r="U323" s="195">
        <f>IF(B323="","",Q323+S323)</f>
        <v/>
      </c>
      <c r="V323" s="195">
        <f>IF(B323="","",T323+'入力・概要'!$E$9*F323)</f>
        <v/>
      </c>
      <c r="W323" s="195">
        <f>IF(B323="","",U323+'入力・概要'!$E$9*G323)</f>
        <v/>
      </c>
      <c r="X323" s="195">
        <f>IF(B323="","",'入力・概要'!$E$9+T323*F323-U323*G323)</f>
        <v/>
      </c>
      <c r="Y323" s="195">
        <f>IF(B323="","",T323*G323+U323*F323)</f>
        <v/>
      </c>
      <c r="Z323" s="195">
        <f>IF(B323="","",'入力・概要'!$E$9*(V323*X323+W323*Y323)/(X323^2+Y323^2)+'入力・概要'!$B$36)</f>
        <v/>
      </c>
      <c r="AA323" s="195">
        <f>IF(B323="","",'入力・概要'!$E$9*(W323*X323-V323*Y323)/(X323^2+Y323^2)+C323*'入力・概要'!$B$37*1E-9)</f>
        <v/>
      </c>
      <c r="AB323" s="195">
        <f>IF(B323="","",SQRT(Z323^2+AA323^2))</f>
        <v/>
      </c>
      <c r="AC323" s="195">
        <f>IF(B323="","",IF(Z323&gt;0,DEGREES(ATAN(AA323/Z323)),IF(Z323&lt;0,IF(AA323&gt;=0,DEGREES(ATAN(AA323/Z323))+180,DEGREES(ATAN(AA323/Z323))-180),IF(AA323&gt;0,90,IF(AA323&lt;0,-90,0)))))</f>
        <v/>
      </c>
      <c r="AD323" s="195">
        <f>IF(B323="","",LOG10(B323))</f>
        <v/>
      </c>
      <c r="AE323" s="195">
        <f>IF(AB323="","",LOG10(MAX(AB323,1E-12)))</f>
        <v/>
      </c>
      <c r="AF323" s="195">
        <f>IF(B323="","",SQRT(P323^2+Q323^2))</f>
        <v/>
      </c>
      <c r="AG323" s="195">
        <f>IF(B323="","",SQRT(R323^2+S323^2))</f>
        <v/>
      </c>
    </row>
    <row r="324">
      <c r="A324" t="n">
        <v>321</v>
      </c>
      <c r="B324" s="196">
        <f>IF(A324&lt;='入力・概要'!$B$40,10^(LOG10('入力・概要'!$B$38)+(A324-1)*(LOG10('入力・概要'!$B$39)-LOG10('入力・概要'!$B$38))/('入力・概要'!$B$40-1)),"")</f>
        <v/>
      </c>
      <c r="C324" s="195">
        <f>IF(B324="","",2*PI()*B324)</f>
        <v/>
      </c>
      <c r="D324" s="195">
        <f>IF(B324="","",ATANH(MIN(0.999999,'入力・概要'!$E$20/'入力・概要'!$E$9))+'入力・概要'!$B$20*SQRT(B324/1E6)+E324*'入力・概要'!$B$15/2)</f>
        <v/>
      </c>
      <c r="E324" s="195">
        <f>IF(B324="","",C324*('入力・概要'!$E$11*1E-9))</f>
        <v/>
      </c>
      <c r="F324" s="195">
        <f>IF(B324="","",SINH(2*D324)/(COSH(2*D324)+COS(2*E324)))</f>
        <v/>
      </c>
      <c r="G324" s="195">
        <f>IF(B324="","",SIN(2*E324)/(COSH(2*D324)+COS(2*E324)))</f>
        <v/>
      </c>
      <c r="H324" s="195">
        <f>IF(B324="","",ATANH(MIN(0.999999,'入力・概要'!$E$21/'入力・概要'!$E$15))+'入力・概要'!$B$21*SQRT(B324/1E6)+I324*'入力・概要'!$B$16/2)</f>
        <v/>
      </c>
      <c r="I324" s="195">
        <f>IF(B324="","",C324*('入力・概要'!$E$17*1E-9))</f>
        <v/>
      </c>
      <c r="J324" s="195">
        <f>IF(B324="","",SINH(2*H324)/(COSH(2*H324)+COS(2*I324)))</f>
        <v/>
      </c>
      <c r="K324" s="195">
        <f>IF(B324="","",SIN(2*I324)/(COSH(2*H324)+COS(2*I324)))</f>
        <v/>
      </c>
      <c r="L324" s="195">
        <f>IF(B324="","",'入力・概要'!$B$25)</f>
        <v/>
      </c>
      <c r="M324" s="195">
        <f>IF(B324="","",C324*'入力・概要'!$B$26*1E-9-1/(C324*'入力・概要'!$B$24*1E-6))</f>
        <v/>
      </c>
      <c r="N324" s="195">
        <f>IF(B324="","",'入力・概要'!$B$28)</f>
        <v/>
      </c>
      <c r="O324" s="195">
        <f>IF(B324="","",C324*'入力・概要'!$B$29*1E-9-1/(C324*'入力・概要'!$B$27*1E-6))</f>
        <v/>
      </c>
      <c r="P324" s="195">
        <f>IF(B324="","",((L324*N324-M324*O324)*(L324+N324)+(L324*O324+M324*N324)*(M324+O324))/((L324+N324)^2+(M324+O324)^2))</f>
        <v/>
      </c>
      <c r="Q324" s="195">
        <f>IF(B324="","",((L324*O324+M324*N324)*(L324+N324)-(L324*N324-M324*O324)*(M324+O324))/((L324+N324)^2+(M324+O324)^2))</f>
        <v/>
      </c>
      <c r="R324" s="195">
        <f>IF(B324="","",'入力・概要'!$E$15*J324)</f>
        <v/>
      </c>
      <c r="S324" s="195">
        <f>IF(B324="","",'入力・概要'!$E$15*K324)</f>
        <v/>
      </c>
      <c r="T324" s="195">
        <f>IF(B324="","",P324+R324)</f>
        <v/>
      </c>
      <c r="U324" s="195">
        <f>IF(B324="","",Q324+S324)</f>
        <v/>
      </c>
      <c r="V324" s="195">
        <f>IF(B324="","",T324+'入力・概要'!$E$9*F324)</f>
        <v/>
      </c>
      <c r="W324" s="195">
        <f>IF(B324="","",U324+'入力・概要'!$E$9*G324)</f>
        <v/>
      </c>
      <c r="X324" s="195">
        <f>IF(B324="","",'入力・概要'!$E$9+T324*F324-U324*G324)</f>
        <v/>
      </c>
      <c r="Y324" s="195">
        <f>IF(B324="","",T324*G324+U324*F324)</f>
        <v/>
      </c>
      <c r="Z324" s="195">
        <f>IF(B324="","",'入力・概要'!$E$9*(V324*X324+W324*Y324)/(X324^2+Y324^2)+'入力・概要'!$B$36)</f>
        <v/>
      </c>
      <c r="AA324" s="195">
        <f>IF(B324="","",'入力・概要'!$E$9*(W324*X324-V324*Y324)/(X324^2+Y324^2)+C324*'入力・概要'!$B$37*1E-9)</f>
        <v/>
      </c>
      <c r="AB324" s="195">
        <f>IF(B324="","",SQRT(Z324^2+AA324^2))</f>
        <v/>
      </c>
      <c r="AC324" s="195">
        <f>IF(B324="","",IF(Z324&gt;0,DEGREES(ATAN(AA324/Z324)),IF(Z324&lt;0,IF(AA324&gt;=0,DEGREES(ATAN(AA324/Z324))+180,DEGREES(ATAN(AA324/Z324))-180),IF(AA324&gt;0,90,IF(AA324&lt;0,-90,0)))))</f>
        <v/>
      </c>
      <c r="AD324" s="195">
        <f>IF(B324="","",LOG10(B324))</f>
        <v/>
      </c>
      <c r="AE324" s="195">
        <f>IF(AB324="","",LOG10(MAX(AB324,1E-12)))</f>
        <v/>
      </c>
      <c r="AF324" s="195">
        <f>IF(B324="","",SQRT(P324^2+Q324^2))</f>
        <v/>
      </c>
      <c r="AG324" s="195">
        <f>IF(B324="","",SQRT(R324^2+S324^2))</f>
        <v/>
      </c>
    </row>
    <row r="325">
      <c r="A325" t="n">
        <v>322</v>
      </c>
      <c r="B325" s="196">
        <f>IF(A325&lt;='入力・概要'!$B$40,10^(LOG10('入力・概要'!$B$38)+(A325-1)*(LOG10('入力・概要'!$B$39)-LOG10('入力・概要'!$B$38))/('入力・概要'!$B$40-1)),"")</f>
        <v/>
      </c>
      <c r="C325" s="195">
        <f>IF(B325="","",2*PI()*B325)</f>
        <v/>
      </c>
      <c r="D325" s="195">
        <f>IF(B325="","",ATANH(MIN(0.999999,'入力・概要'!$E$20/'入力・概要'!$E$9))+'入力・概要'!$B$20*SQRT(B325/1E6)+E325*'入力・概要'!$B$15/2)</f>
        <v/>
      </c>
      <c r="E325" s="195">
        <f>IF(B325="","",C325*('入力・概要'!$E$11*1E-9))</f>
        <v/>
      </c>
      <c r="F325" s="195">
        <f>IF(B325="","",SINH(2*D325)/(COSH(2*D325)+COS(2*E325)))</f>
        <v/>
      </c>
      <c r="G325" s="195">
        <f>IF(B325="","",SIN(2*E325)/(COSH(2*D325)+COS(2*E325)))</f>
        <v/>
      </c>
      <c r="H325" s="195">
        <f>IF(B325="","",ATANH(MIN(0.999999,'入力・概要'!$E$21/'入力・概要'!$E$15))+'入力・概要'!$B$21*SQRT(B325/1E6)+I325*'入力・概要'!$B$16/2)</f>
        <v/>
      </c>
      <c r="I325" s="195">
        <f>IF(B325="","",C325*('入力・概要'!$E$17*1E-9))</f>
        <v/>
      </c>
      <c r="J325" s="195">
        <f>IF(B325="","",SINH(2*H325)/(COSH(2*H325)+COS(2*I325)))</f>
        <v/>
      </c>
      <c r="K325" s="195">
        <f>IF(B325="","",SIN(2*I325)/(COSH(2*H325)+COS(2*I325)))</f>
        <v/>
      </c>
      <c r="L325" s="195">
        <f>IF(B325="","",'入力・概要'!$B$25)</f>
        <v/>
      </c>
      <c r="M325" s="195">
        <f>IF(B325="","",C325*'入力・概要'!$B$26*1E-9-1/(C325*'入力・概要'!$B$24*1E-6))</f>
        <v/>
      </c>
      <c r="N325" s="195">
        <f>IF(B325="","",'入力・概要'!$B$28)</f>
        <v/>
      </c>
      <c r="O325" s="195">
        <f>IF(B325="","",C325*'入力・概要'!$B$29*1E-9-1/(C325*'入力・概要'!$B$27*1E-6))</f>
        <v/>
      </c>
      <c r="P325" s="195">
        <f>IF(B325="","",((L325*N325-M325*O325)*(L325+N325)+(L325*O325+M325*N325)*(M325+O325))/((L325+N325)^2+(M325+O325)^2))</f>
        <v/>
      </c>
      <c r="Q325" s="195">
        <f>IF(B325="","",((L325*O325+M325*N325)*(L325+N325)-(L325*N325-M325*O325)*(M325+O325))/((L325+N325)^2+(M325+O325)^2))</f>
        <v/>
      </c>
      <c r="R325" s="195">
        <f>IF(B325="","",'入力・概要'!$E$15*J325)</f>
        <v/>
      </c>
      <c r="S325" s="195">
        <f>IF(B325="","",'入力・概要'!$E$15*K325)</f>
        <v/>
      </c>
      <c r="T325" s="195">
        <f>IF(B325="","",P325+R325)</f>
        <v/>
      </c>
      <c r="U325" s="195">
        <f>IF(B325="","",Q325+S325)</f>
        <v/>
      </c>
      <c r="V325" s="195">
        <f>IF(B325="","",T325+'入力・概要'!$E$9*F325)</f>
        <v/>
      </c>
      <c r="W325" s="195">
        <f>IF(B325="","",U325+'入力・概要'!$E$9*G325)</f>
        <v/>
      </c>
      <c r="X325" s="195">
        <f>IF(B325="","",'入力・概要'!$E$9+T325*F325-U325*G325)</f>
        <v/>
      </c>
      <c r="Y325" s="195">
        <f>IF(B325="","",T325*G325+U325*F325)</f>
        <v/>
      </c>
      <c r="Z325" s="195">
        <f>IF(B325="","",'入力・概要'!$E$9*(V325*X325+W325*Y325)/(X325^2+Y325^2)+'入力・概要'!$B$36)</f>
        <v/>
      </c>
      <c r="AA325" s="195">
        <f>IF(B325="","",'入力・概要'!$E$9*(W325*X325-V325*Y325)/(X325^2+Y325^2)+C325*'入力・概要'!$B$37*1E-9)</f>
        <v/>
      </c>
      <c r="AB325" s="195">
        <f>IF(B325="","",SQRT(Z325^2+AA325^2))</f>
        <v/>
      </c>
      <c r="AC325" s="195">
        <f>IF(B325="","",IF(Z325&gt;0,DEGREES(ATAN(AA325/Z325)),IF(Z325&lt;0,IF(AA325&gt;=0,DEGREES(ATAN(AA325/Z325))+180,DEGREES(ATAN(AA325/Z325))-180),IF(AA325&gt;0,90,IF(AA325&lt;0,-90,0)))))</f>
        <v/>
      </c>
      <c r="AD325" s="195">
        <f>IF(B325="","",LOG10(B325))</f>
        <v/>
      </c>
      <c r="AE325" s="195">
        <f>IF(AB325="","",LOG10(MAX(AB325,1E-12)))</f>
        <v/>
      </c>
      <c r="AF325" s="195">
        <f>IF(B325="","",SQRT(P325^2+Q325^2))</f>
        <v/>
      </c>
      <c r="AG325" s="195">
        <f>IF(B325="","",SQRT(R325^2+S325^2))</f>
        <v/>
      </c>
    </row>
    <row r="326">
      <c r="A326" t="n">
        <v>323</v>
      </c>
      <c r="B326" s="196">
        <f>IF(A326&lt;='入力・概要'!$B$40,10^(LOG10('入力・概要'!$B$38)+(A326-1)*(LOG10('入力・概要'!$B$39)-LOG10('入力・概要'!$B$38))/('入力・概要'!$B$40-1)),"")</f>
        <v/>
      </c>
      <c r="C326" s="195">
        <f>IF(B326="","",2*PI()*B326)</f>
        <v/>
      </c>
      <c r="D326" s="195">
        <f>IF(B326="","",ATANH(MIN(0.999999,'入力・概要'!$E$20/'入力・概要'!$E$9))+'入力・概要'!$B$20*SQRT(B326/1E6)+E326*'入力・概要'!$B$15/2)</f>
        <v/>
      </c>
      <c r="E326" s="195">
        <f>IF(B326="","",C326*('入力・概要'!$E$11*1E-9))</f>
        <v/>
      </c>
      <c r="F326" s="195">
        <f>IF(B326="","",SINH(2*D326)/(COSH(2*D326)+COS(2*E326)))</f>
        <v/>
      </c>
      <c r="G326" s="195">
        <f>IF(B326="","",SIN(2*E326)/(COSH(2*D326)+COS(2*E326)))</f>
        <v/>
      </c>
      <c r="H326" s="195">
        <f>IF(B326="","",ATANH(MIN(0.999999,'入力・概要'!$E$21/'入力・概要'!$E$15))+'入力・概要'!$B$21*SQRT(B326/1E6)+I326*'入力・概要'!$B$16/2)</f>
        <v/>
      </c>
      <c r="I326" s="195">
        <f>IF(B326="","",C326*('入力・概要'!$E$17*1E-9))</f>
        <v/>
      </c>
      <c r="J326" s="195">
        <f>IF(B326="","",SINH(2*H326)/(COSH(2*H326)+COS(2*I326)))</f>
        <v/>
      </c>
      <c r="K326" s="195">
        <f>IF(B326="","",SIN(2*I326)/(COSH(2*H326)+COS(2*I326)))</f>
        <v/>
      </c>
      <c r="L326" s="195">
        <f>IF(B326="","",'入力・概要'!$B$25)</f>
        <v/>
      </c>
      <c r="M326" s="195">
        <f>IF(B326="","",C326*'入力・概要'!$B$26*1E-9-1/(C326*'入力・概要'!$B$24*1E-6))</f>
        <v/>
      </c>
      <c r="N326" s="195">
        <f>IF(B326="","",'入力・概要'!$B$28)</f>
        <v/>
      </c>
      <c r="O326" s="195">
        <f>IF(B326="","",C326*'入力・概要'!$B$29*1E-9-1/(C326*'入力・概要'!$B$27*1E-6))</f>
        <v/>
      </c>
      <c r="P326" s="195">
        <f>IF(B326="","",((L326*N326-M326*O326)*(L326+N326)+(L326*O326+M326*N326)*(M326+O326))/((L326+N326)^2+(M326+O326)^2))</f>
        <v/>
      </c>
      <c r="Q326" s="195">
        <f>IF(B326="","",((L326*O326+M326*N326)*(L326+N326)-(L326*N326-M326*O326)*(M326+O326))/((L326+N326)^2+(M326+O326)^2))</f>
        <v/>
      </c>
      <c r="R326" s="195">
        <f>IF(B326="","",'入力・概要'!$E$15*J326)</f>
        <v/>
      </c>
      <c r="S326" s="195">
        <f>IF(B326="","",'入力・概要'!$E$15*K326)</f>
        <v/>
      </c>
      <c r="T326" s="195">
        <f>IF(B326="","",P326+R326)</f>
        <v/>
      </c>
      <c r="U326" s="195">
        <f>IF(B326="","",Q326+S326)</f>
        <v/>
      </c>
      <c r="V326" s="195">
        <f>IF(B326="","",T326+'入力・概要'!$E$9*F326)</f>
        <v/>
      </c>
      <c r="W326" s="195">
        <f>IF(B326="","",U326+'入力・概要'!$E$9*G326)</f>
        <v/>
      </c>
      <c r="X326" s="195">
        <f>IF(B326="","",'入力・概要'!$E$9+T326*F326-U326*G326)</f>
        <v/>
      </c>
      <c r="Y326" s="195">
        <f>IF(B326="","",T326*G326+U326*F326)</f>
        <v/>
      </c>
      <c r="Z326" s="195">
        <f>IF(B326="","",'入力・概要'!$E$9*(V326*X326+W326*Y326)/(X326^2+Y326^2)+'入力・概要'!$B$36)</f>
        <v/>
      </c>
      <c r="AA326" s="195">
        <f>IF(B326="","",'入力・概要'!$E$9*(W326*X326-V326*Y326)/(X326^2+Y326^2)+C326*'入力・概要'!$B$37*1E-9)</f>
        <v/>
      </c>
      <c r="AB326" s="195">
        <f>IF(B326="","",SQRT(Z326^2+AA326^2))</f>
        <v/>
      </c>
      <c r="AC326" s="195">
        <f>IF(B326="","",IF(Z326&gt;0,DEGREES(ATAN(AA326/Z326)),IF(Z326&lt;0,IF(AA326&gt;=0,DEGREES(ATAN(AA326/Z326))+180,DEGREES(ATAN(AA326/Z326))-180),IF(AA326&gt;0,90,IF(AA326&lt;0,-90,0)))))</f>
        <v/>
      </c>
      <c r="AD326" s="195">
        <f>IF(B326="","",LOG10(B326))</f>
        <v/>
      </c>
      <c r="AE326" s="195">
        <f>IF(AB326="","",LOG10(MAX(AB326,1E-12)))</f>
        <v/>
      </c>
      <c r="AF326" s="195">
        <f>IF(B326="","",SQRT(P326^2+Q326^2))</f>
        <v/>
      </c>
      <c r="AG326" s="195">
        <f>IF(B326="","",SQRT(R326^2+S326^2))</f>
        <v/>
      </c>
    </row>
    <row r="327">
      <c r="A327" t="n">
        <v>324</v>
      </c>
      <c r="B327" s="196">
        <f>IF(A327&lt;='入力・概要'!$B$40,10^(LOG10('入力・概要'!$B$38)+(A327-1)*(LOG10('入力・概要'!$B$39)-LOG10('入力・概要'!$B$38))/('入力・概要'!$B$40-1)),"")</f>
        <v/>
      </c>
      <c r="C327" s="195">
        <f>IF(B327="","",2*PI()*B327)</f>
        <v/>
      </c>
      <c r="D327" s="195">
        <f>IF(B327="","",ATANH(MIN(0.999999,'入力・概要'!$E$20/'入力・概要'!$E$9))+'入力・概要'!$B$20*SQRT(B327/1E6)+E327*'入力・概要'!$B$15/2)</f>
        <v/>
      </c>
      <c r="E327" s="195">
        <f>IF(B327="","",C327*('入力・概要'!$E$11*1E-9))</f>
        <v/>
      </c>
      <c r="F327" s="195">
        <f>IF(B327="","",SINH(2*D327)/(COSH(2*D327)+COS(2*E327)))</f>
        <v/>
      </c>
      <c r="G327" s="195">
        <f>IF(B327="","",SIN(2*E327)/(COSH(2*D327)+COS(2*E327)))</f>
        <v/>
      </c>
      <c r="H327" s="195">
        <f>IF(B327="","",ATANH(MIN(0.999999,'入力・概要'!$E$21/'入力・概要'!$E$15))+'入力・概要'!$B$21*SQRT(B327/1E6)+I327*'入力・概要'!$B$16/2)</f>
        <v/>
      </c>
      <c r="I327" s="195">
        <f>IF(B327="","",C327*('入力・概要'!$E$17*1E-9))</f>
        <v/>
      </c>
      <c r="J327" s="195">
        <f>IF(B327="","",SINH(2*H327)/(COSH(2*H327)+COS(2*I327)))</f>
        <v/>
      </c>
      <c r="K327" s="195">
        <f>IF(B327="","",SIN(2*I327)/(COSH(2*H327)+COS(2*I327)))</f>
        <v/>
      </c>
      <c r="L327" s="195">
        <f>IF(B327="","",'入力・概要'!$B$25)</f>
        <v/>
      </c>
      <c r="M327" s="195">
        <f>IF(B327="","",C327*'入力・概要'!$B$26*1E-9-1/(C327*'入力・概要'!$B$24*1E-6))</f>
        <v/>
      </c>
      <c r="N327" s="195">
        <f>IF(B327="","",'入力・概要'!$B$28)</f>
        <v/>
      </c>
      <c r="O327" s="195">
        <f>IF(B327="","",C327*'入力・概要'!$B$29*1E-9-1/(C327*'入力・概要'!$B$27*1E-6))</f>
        <v/>
      </c>
      <c r="P327" s="195">
        <f>IF(B327="","",((L327*N327-M327*O327)*(L327+N327)+(L327*O327+M327*N327)*(M327+O327))/((L327+N327)^2+(M327+O327)^2))</f>
        <v/>
      </c>
      <c r="Q327" s="195">
        <f>IF(B327="","",((L327*O327+M327*N327)*(L327+N327)-(L327*N327-M327*O327)*(M327+O327))/((L327+N327)^2+(M327+O327)^2))</f>
        <v/>
      </c>
      <c r="R327" s="195">
        <f>IF(B327="","",'入力・概要'!$E$15*J327)</f>
        <v/>
      </c>
      <c r="S327" s="195">
        <f>IF(B327="","",'入力・概要'!$E$15*K327)</f>
        <v/>
      </c>
      <c r="T327" s="195">
        <f>IF(B327="","",P327+R327)</f>
        <v/>
      </c>
      <c r="U327" s="195">
        <f>IF(B327="","",Q327+S327)</f>
        <v/>
      </c>
      <c r="V327" s="195">
        <f>IF(B327="","",T327+'入力・概要'!$E$9*F327)</f>
        <v/>
      </c>
      <c r="W327" s="195">
        <f>IF(B327="","",U327+'入力・概要'!$E$9*G327)</f>
        <v/>
      </c>
      <c r="X327" s="195">
        <f>IF(B327="","",'入力・概要'!$E$9+T327*F327-U327*G327)</f>
        <v/>
      </c>
      <c r="Y327" s="195">
        <f>IF(B327="","",T327*G327+U327*F327)</f>
        <v/>
      </c>
      <c r="Z327" s="195">
        <f>IF(B327="","",'入力・概要'!$E$9*(V327*X327+W327*Y327)/(X327^2+Y327^2)+'入力・概要'!$B$36)</f>
        <v/>
      </c>
      <c r="AA327" s="195">
        <f>IF(B327="","",'入力・概要'!$E$9*(W327*X327-V327*Y327)/(X327^2+Y327^2)+C327*'入力・概要'!$B$37*1E-9)</f>
        <v/>
      </c>
      <c r="AB327" s="195">
        <f>IF(B327="","",SQRT(Z327^2+AA327^2))</f>
        <v/>
      </c>
      <c r="AC327" s="195">
        <f>IF(B327="","",IF(Z327&gt;0,DEGREES(ATAN(AA327/Z327)),IF(Z327&lt;0,IF(AA327&gt;=0,DEGREES(ATAN(AA327/Z327))+180,DEGREES(ATAN(AA327/Z327))-180),IF(AA327&gt;0,90,IF(AA327&lt;0,-90,0)))))</f>
        <v/>
      </c>
      <c r="AD327" s="195">
        <f>IF(B327="","",LOG10(B327))</f>
        <v/>
      </c>
      <c r="AE327" s="195">
        <f>IF(AB327="","",LOG10(MAX(AB327,1E-12)))</f>
        <v/>
      </c>
      <c r="AF327" s="195">
        <f>IF(B327="","",SQRT(P327^2+Q327^2))</f>
        <v/>
      </c>
      <c r="AG327" s="195">
        <f>IF(B327="","",SQRT(R327^2+S327^2))</f>
        <v/>
      </c>
    </row>
    <row r="328">
      <c r="A328" t="n">
        <v>325</v>
      </c>
      <c r="B328" s="196">
        <f>IF(A328&lt;='入力・概要'!$B$40,10^(LOG10('入力・概要'!$B$38)+(A328-1)*(LOG10('入力・概要'!$B$39)-LOG10('入力・概要'!$B$38))/('入力・概要'!$B$40-1)),"")</f>
        <v/>
      </c>
      <c r="C328" s="195">
        <f>IF(B328="","",2*PI()*B328)</f>
        <v/>
      </c>
      <c r="D328" s="195">
        <f>IF(B328="","",ATANH(MIN(0.999999,'入力・概要'!$E$20/'入力・概要'!$E$9))+'入力・概要'!$B$20*SQRT(B328/1E6)+E328*'入力・概要'!$B$15/2)</f>
        <v/>
      </c>
      <c r="E328" s="195">
        <f>IF(B328="","",C328*('入力・概要'!$E$11*1E-9))</f>
        <v/>
      </c>
      <c r="F328" s="195">
        <f>IF(B328="","",SINH(2*D328)/(COSH(2*D328)+COS(2*E328)))</f>
        <v/>
      </c>
      <c r="G328" s="195">
        <f>IF(B328="","",SIN(2*E328)/(COSH(2*D328)+COS(2*E328)))</f>
        <v/>
      </c>
      <c r="H328" s="195">
        <f>IF(B328="","",ATANH(MIN(0.999999,'入力・概要'!$E$21/'入力・概要'!$E$15))+'入力・概要'!$B$21*SQRT(B328/1E6)+I328*'入力・概要'!$B$16/2)</f>
        <v/>
      </c>
      <c r="I328" s="195">
        <f>IF(B328="","",C328*('入力・概要'!$E$17*1E-9))</f>
        <v/>
      </c>
      <c r="J328" s="195">
        <f>IF(B328="","",SINH(2*H328)/(COSH(2*H328)+COS(2*I328)))</f>
        <v/>
      </c>
      <c r="K328" s="195">
        <f>IF(B328="","",SIN(2*I328)/(COSH(2*H328)+COS(2*I328)))</f>
        <v/>
      </c>
      <c r="L328" s="195">
        <f>IF(B328="","",'入力・概要'!$B$25)</f>
        <v/>
      </c>
      <c r="M328" s="195">
        <f>IF(B328="","",C328*'入力・概要'!$B$26*1E-9-1/(C328*'入力・概要'!$B$24*1E-6))</f>
        <v/>
      </c>
      <c r="N328" s="195">
        <f>IF(B328="","",'入力・概要'!$B$28)</f>
        <v/>
      </c>
      <c r="O328" s="195">
        <f>IF(B328="","",C328*'入力・概要'!$B$29*1E-9-1/(C328*'入力・概要'!$B$27*1E-6))</f>
        <v/>
      </c>
      <c r="P328" s="195">
        <f>IF(B328="","",((L328*N328-M328*O328)*(L328+N328)+(L328*O328+M328*N328)*(M328+O328))/((L328+N328)^2+(M328+O328)^2))</f>
        <v/>
      </c>
      <c r="Q328" s="195">
        <f>IF(B328="","",((L328*O328+M328*N328)*(L328+N328)-(L328*N328-M328*O328)*(M328+O328))/((L328+N328)^2+(M328+O328)^2))</f>
        <v/>
      </c>
      <c r="R328" s="195">
        <f>IF(B328="","",'入力・概要'!$E$15*J328)</f>
        <v/>
      </c>
      <c r="S328" s="195">
        <f>IF(B328="","",'入力・概要'!$E$15*K328)</f>
        <v/>
      </c>
      <c r="T328" s="195">
        <f>IF(B328="","",P328+R328)</f>
        <v/>
      </c>
      <c r="U328" s="195">
        <f>IF(B328="","",Q328+S328)</f>
        <v/>
      </c>
      <c r="V328" s="195">
        <f>IF(B328="","",T328+'入力・概要'!$E$9*F328)</f>
        <v/>
      </c>
      <c r="W328" s="195">
        <f>IF(B328="","",U328+'入力・概要'!$E$9*G328)</f>
        <v/>
      </c>
      <c r="X328" s="195">
        <f>IF(B328="","",'入力・概要'!$E$9+T328*F328-U328*G328)</f>
        <v/>
      </c>
      <c r="Y328" s="195">
        <f>IF(B328="","",T328*G328+U328*F328)</f>
        <v/>
      </c>
      <c r="Z328" s="195">
        <f>IF(B328="","",'入力・概要'!$E$9*(V328*X328+W328*Y328)/(X328^2+Y328^2)+'入力・概要'!$B$36)</f>
        <v/>
      </c>
      <c r="AA328" s="195">
        <f>IF(B328="","",'入力・概要'!$E$9*(W328*X328-V328*Y328)/(X328^2+Y328^2)+C328*'入力・概要'!$B$37*1E-9)</f>
        <v/>
      </c>
      <c r="AB328" s="195">
        <f>IF(B328="","",SQRT(Z328^2+AA328^2))</f>
        <v/>
      </c>
      <c r="AC328" s="195">
        <f>IF(B328="","",IF(Z328&gt;0,DEGREES(ATAN(AA328/Z328)),IF(Z328&lt;0,IF(AA328&gt;=0,DEGREES(ATAN(AA328/Z328))+180,DEGREES(ATAN(AA328/Z328))-180),IF(AA328&gt;0,90,IF(AA328&lt;0,-90,0)))))</f>
        <v/>
      </c>
      <c r="AD328" s="195">
        <f>IF(B328="","",LOG10(B328))</f>
        <v/>
      </c>
      <c r="AE328" s="195">
        <f>IF(AB328="","",LOG10(MAX(AB328,1E-12)))</f>
        <v/>
      </c>
      <c r="AF328" s="195">
        <f>IF(B328="","",SQRT(P328^2+Q328^2))</f>
        <v/>
      </c>
      <c r="AG328" s="195">
        <f>IF(B328="","",SQRT(R328^2+S328^2))</f>
        <v/>
      </c>
    </row>
    <row r="329">
      <c r="A329" t="n">
        <v>326</v>
      </c>
      <c r="B329" s="196">
        <f>IF(A329&lt;='入力・概要'!$B$40,10^(LOG10('入力・概要'!$B$38)+(A329-1)*(LOG10('入力・概要'!$B$39)-LOG10('入力・概要'!$B$38))/('入力・概要'!$B$40-1)),"")</f>
        <v/>
      </c>
      <c r="C329" s="195">
        <f>IF(B329="","",2*PI()*B329)</f>
        <v/>
      </c>
      <c r="D329" s="195">
        <f>IF(B329="","",ATANH(MIN(0.999999,'入力・概要'!$E$20/'入力・概要'!$E$9))+'入力・概要'!$B$20*SQRT(B329/1E6)+E329*'入力・概要'!$B$15/2)</f>
        <v/>
      </c>
      <c r="E329" s="195">
        <f>IF(B329="","",C329*('入力・概要'!$E$11*1E-9))</f>
        <v/>
      </c>
      <c r="F329" s="195">
        <f>IF(B329="","",SINH(2*D329)/(COSH(2*D329)+COS(2*E329)))</f>
        <v/>
      </c>
      <c r="G329" s="195">
        <f>IF(B329="","",SIN(2*E329)/(COSH(2*D329)+COS(2*E329)))</f>
        <v/>
      </c>
      <c r="H329" s="195">
        <f>IF(B329="","",ATANH(MIN(0.999999,'入力・概要'!$E$21/'入力・概要'!$E$15))+'入力・概要'!$B$21*SQRT(B329/1E6)+I329*'入力・概要'!$B$16/2)</f>
        <v/>
      </c>
      <c r="I329" s="195">
        <f>IF(B329="","",C329*('入力・概要'!$E$17*1E-9))</f>
        <v/>
      </c>
      <c r="J329" s="195">
        <f>IF(B329="","",SINH(2*H329)/(COSH(2*H329)+COS(2*I329)))</f>
        <v/>
      </c>
      <c r="K329" s="195">
        <f>IF(B329="","",SIN(2*I329)/(COSH(2*H329)+COS(2*I329)))</f>
        <v/>
      </c>
      <c r="L329" s="195">
        <f>IF(B329="","",'入力・概要'!$B$25)</f>
        <v/>
      </c>
      <c r="M329" s="195">
        <f>IF(B329="","",C329*'入力・概要'!$B$26*1E-9-1/(C329*'入力・概要'!$B$24*1E-6))</f>
        <v/>
      </c>
      <c r="N329" s="195">
        <f>IF(B329="","",'入力・概要'!$B$28)</f>
        <v/>
      </c>
      <c r="O329" s="195">
        <f>IF(B329="","",C329*'入力・概要'!$B$29*1E-9-1/(C329*'入力・概要'!$B$27*1E-6))</f>
        <v/>
      </c>
      <c r="P329" s="195">
        <f>IF(B329="","",((L329*N329-M329*O329)*(L329+N329)+(L329*O329+M329*N329)*(M329+O329))/((L329+N329)^2+(M329+O329)^2))</f>
        <v/>
      </c>
      <c r="Q329" s="195">
        <f>IF(B329="","",((L329*O329+M329*N329)*(L329+N329)-(L329*N329-M329*O329)*(M329+O329))/((L329+N329)^2+(M329+O329)^2))</f>
        <v/>
      </c>
      <c r="R329" s="195">
        <f>IF(B329="","",'入力・概要'!$E$15*J329)</f>
        <v/>
      </c>
      <c r="S329" s="195">
        <f>IF(B329="","",'入力・概要'!$E$15*K329)</f>
        <v/>
      </c>
      <c r="T329" s="195">
        <f>IF(B329="","",P329+R329)</f>
        <v/>
      </c>
      <c r="U329" s="195">
        <f>IF(B329="","",Q329+S329)</f>
        <v/>
      </c>
      <c r="V329" s="195">
        <f>IF(B329="","",T329+'入力・概要'!$E$9*F329)</f>
        <v/>
      </c>
      <c r="W329" s="195">
        <f>IF(B329="","",U329+'入力・概要'!$E$9*G329)</f>
        <v/>
      </c>
      <c r="X329" s="195">
        <f>IF(B329="","",'入力・概要'!$E$9+T329*F329-U329*G329)</f>
        <v/>
      </c>
      <c r="Y329" s="195">
        <f>IF(B329="","",T329*G329+U329*F329)</f>
        <v/>
      </c>
      <c r="Z329" s="195">
        <f>IF(B329="","",'入力・概要'!$E$9*(V329*X329+W329*Y329)/(X329^2+Y329^2)+'入力・概要'!$B$36)</f>
        <v/>
      </c>
      <c r="AA329" s="195">
        <f>IF(B329="","",'入力・概要'!$E$9*(W329*X329-V329*Y329)/(X329^2+Y329^2)+C329*'入力・概要'!$B$37*1E-9)</f>
        <v/>
      </c>
      <c r="AB329" s="195">
        <f>IF(B329="","",SQRT(Z329^2+AA329^2))</f>
        <v/>
      </c>
      <c r="AC329" s="195">
        <f>IF(B329="","",IF(Z329&gt;0,DEGREES(ATAN(AA329/Z329)),IF(Z329&lt;0,IF(AA329&gt;=0,DEGREES(ATAN(AA329/Z329))+180,DEGREES(ATAN(AA329/Z329))-180),IF(AA329&gt;0,90,IF(AA329&lt;0,-90,0)))))</f>
        <v/>
      </c>
      <c r="AD329" s="195">
        <f>IF(B329="","",LOG10(B329))</f>
        <v/>
      </c>
      <c r="AE329" s="195">
        <f>IF(AB329="","",LOG10(MAX(AB329,1E-12)))</f>
        <v/>
      </c>
      <c r="AF329" s="195">
        <f>IF(B329="","",SQRT(P329^2+Q329^2))</f>
        <v/>
      </c>
      <c r="AG329" s="195">
        <f>IF(B329="","",SQRT(R329^2+S329^2))</f>
        <v/>
      </c>
    </row>
    <row r="330">
      <c r="A330" t="n">
        <v>327</v>
      </c>
      <c r="B330" s="196">
        <f>IF(A330&lt;='入力・概要'!$B$40,10^(LOG10('入力・概要'!$B$38)+(A330-1)*(LOG10('入力・概要'!$B$39)-LOG10('入力・概要'!$B$38))/('入力・概要'!$B$40-1)),"")</f>
        <v/>
      </c>
      <c r="C330" s="195">
        <f>IF(B330="","",2*PI()*B330)</f>
        <v/>
      </c>
      <c r="D330" s="195">
        <f>IF(B330="","",ATANH(MIN(0.999999,'入力・概要'!$E$20/'入力・概要'!$E$9))+'入力・概要'!$B$20*SQRT(B330/1E6)+E330*'入力・概要'!$B$15/2)</f>
        <v/>
      </c>
      <c r="E330" s="195">
        <f>IF(B330="","",C330*('入力・概要'!$E$11*1E-9))</f>
        <v/>
      </c>
      <c r="F330" s="195">
        <f>IF(B330="","",SINH(2*D330)/(COSH(2*D330)+COS(2*E330)))</f>
        <v/>
      </c>
      <c r="G330" s="195">
        <f>IF(B330="","",SIN(2*E330)/(COSH(2*D330)+COS(2*E330)))</f>
        <v/>
      </c>
      <c r="H330" s="195">
        <f>IF(B330="","",ATANH(MIN(0.999999,'入力・概要'!$E$21/'入力・概要'!$E$15))+'入力・概要'!$B$21*SQRT(B330/1E6)+I330*'入力・概要'!$B$16/2)</f>
        <v/>
      </c>
      <c r="I330" s="195">
        <f>IF(B330="","",C330*('入力・概要'!$E$17*1E-9))</f>
        <v/>
      </c>
      <c r="J330" s="195">
        <f>IF(B330="","",SINH(2*H330)/(COSH(2*H330)+COS(2*I330)))</f>
        <v/>
      </c>
      <c r="K330" s="195">
        <f>IF(B330="","",SIN(2*I330)/(COSH(2*H330)+COS(2*I330)))</f>
        <v/>
      </c>
      <c r="L330" s="195">
        <f>IF(B330="","",'入力・概要'!$B$25)</f>
        <v/>
      </c>
      <c r="M330" s="195">
        <f>IF(B330="","",C330*'入力・概要'!$B$26*1E-9-1/(C330*'入力・概要'!$B$24*1E-6))</f>
        <v/>
      </c>
      <c r="N330" s="195">
        <f>IF(B330="","",'入力・概要'!$B$28)</f>
        <v/>
      </c>
      <c r="O330" s="195">
        <f>IF(B330="","",C330*'入力・概要'!$B$29*1E-9-1/(C330*'入力・概要'!$B$27*1E-6))</f>
        <v/>
      </c>
      <c r="P330" s="195">
        <f>IF(B330="","",((L330*N330-M330*O330)*(L330+N330)+(L330*O330+M330*N330)*(M330+O330))/((L330+N330)^2+(M330+O330)^2))</f>
        <v/>
      </c>
      <c r="Q330" s="195">
        <f>IF(B330="","",((L330*O330+M330*N330)*(L330+N330)-(L330*N330-M330*O330)*(M330+O330))/((L330+N330)^2+(M330+O330)^2))</f>
        <v/>
      </c>
      <c r="R330" s="195">
        <f>IF(B330="","",'入力・概要'!$E$15*J330)</f>
        <v/>
      </c>
      <c r="S330" s="195">
        <f>IF(B330="","",'入力・概要'!$E$15*K330)</f>
        <v/>
      </c>
      <c r="T330" s="195">
        <f>IF(B330="","",P330+R330)</f>
        <v/>
      </c>
      <c r="U330" s="195">
        <f>IF(B330="","",Q330+S330)</f>
        <v/>
      </c>
      <c r="V330" s="195">
        <f>IF(B330="","",T330+'入力・概要'!$E$9*F330)</f>
        <v/>
      </c>
      <c r="W330" s="195">
        <f>IF(B330="","",U330+'入力・概要'!$E$9*G330)</f>
        <v/>
      </c>
      <c r="X330" s="195">
        <f>IF(B330="","",'入力・概要'!$E$9+T330*F330-U330*G330)</f>
        <v/>
      </c>
      <c r="Y330" s="195">
        <f>IF(B330="","",T330*G330+U330*F330)</f>
        <v/>
      </c>
      <c r="Z330" s="195">
        <f>IF(B330="","",'入力・概要'!$E$9*(V330*X330+W330*Y330)/(X330^2+Y330^2)+'入力・概要'!$B$36)</f>
        <v/>
      </c>
      <c r="AA330" s="195">
        <f>IF(B330="","",'入力・概要'!$E$9*(W330*X330-V330*Y330)/(X330^2+Y330^2)+C330*'入力・概要'!$B$37*1E-9)</f>
        <v/>
      </c>
      <c r="AB330" s="195">
        <f>IF(B330="","",SQRT(Z330^2+AA330^2))</f>
        <v/>
      </c>
      <c r="AC330" s="195">
        <f>IF(B330="","",IF(Z330&gt;0,DEGREES(ATAN(AA330/Z330)),IF(Z330&lt;0,IF(AA330&gt;=0,DEGREES(ATAN(AA330/Z330))+180,DEGREES(ATAN(AA330/Z330))-180),IF(AA330&gt;0,90,IF(AA330&lt;0,-90,0)))))</f>
        <v/>
      </c>
      <c r="AD330" s="195">
        <f>IF(B330="","",LOG10(B330))</f>
        <v/>
      </c>
      <c r="AE330" s="195">
        <f>IF(AB330="","",LOG10(MAX(AB330,1E-12)))</f>
        <v/>
      </c>
      <c r="AF330" s="195">
        <f>IF(B330="","",SQRT(P330^2+Q330^2))</f>
        <v/>
      </c>
      <c r="AG330" s="195">
        <f>IF(B330="","",SQRT(R330^2+S330^2))</f>
        <v/>
      </c>
    </row>
    <row r="331">
      <c r="A331" t="n">
        <v>328</v>
      </c>
      <c r="B331" s="196">
        <f>IF(A331&lt;='入力・概要'!$B$40,10^(LOG10('入力・概要'!$B$38)+(A331-1)*(LOG10('入力・概要'!$B$39)-LOG10('入力・概要'!$B$38))/('入力・概要'!$B$40-1)),"")</f>
        <v/>
      </c>
      <c r="C331" s="195">
        <f>IF(B331="","",2*PI()*B331)</f>
        <v/>
      </c>
      <c r="D331" s="195">
        <f>IF(B331="","",ATANH(MIN(0.999999,'入力・概要'!$E$20/'入力・概要'!$E$9))+'入力・概要'!$B$20*SQRT(B331/1E6)+E331*'入力・概要'!$B$15/2)</f>
        <v/>
      </c>
      <c r="E331" s="195">
        <f>IF(B331="","",C331*('入力・概要'!$E$11*1E-9))</f>
        <v/>
      </c>
      <c r="F331" s="195">
        <f>IF(B331="","",SINH(2*D331)/(COSH(2*D331)+COS(2*E331)))</f>
        <v/>
      </c>
      <c r="G331" s="195">
        <f>IF(B331="","",SIN(2*E331)/(COSH(2*D331)+COS(2*E331)))</f>
        <v/>
      </c>
      <c r="H331" s="195">
        <f>IF(B331="","",ATANH(MIN(0.999999,'入力・概要'!$E$21/'入力・概要'!$E$15))+'入力・概要'!$B$21*SQRT(B331/1E6)+I331*'入力・概要'!$B$16/2)</f>
        <v/>
      </c>
      <c r="I331" s="195">
        <f>IF(B331="","",C331*('入力・概要'!$E$17*1E-9))</f>
        <v/>
      </c>
      <c r="J331" s="195">
        <f>IF(B331="","",SINH(2*H331)/(COSH(2*H331)+COS(2*I331)))</f>
        <v/>
      </c>
      <c r="K331" s="195">
        <f>IF(B331="","",SIN(2*I331)/(COSH(2*H331)+COS(2*I331)))</f>
        <v/>
      </c>
      <c r="L331" s="195">
        <f>IF(B331="","",'入力・概要'!$B$25)</f>
        <v/>
      </c>
      <c r="M331" s="195">
        <f>IF(B331="","",C331*'入力・概要'!$B$26*1E-9-1/(C331*'入力・概要'!$B$24*1E-6))</f>
        <v/>
      </c>
      <c r="N331" s="195">
        <f>IF(B331="","",'入力・概要'!$B$28)</f>
        <v/>
      </c>
      <c r="O331" s="195">
        <f>IF(B331="","",C331*'入力・概要'!$B$29*1E-9-1/(C331*'入力・概要'!$B$27*1E-6))</f>
        <v/>
      </c>
      <c r="P331" s="195">
        <f>IF(B331="","",((L331*N331-M331*O331)*(L331+N331)+(L331*O331+M331*N331)*(M331+O331))/((L331+N331)^2+(M331+O331)^2))</f>
        <v/>
      </c>
      <c r="Q331" s="195">
        <f>IF(B331="","",((L331*O331+M331*N331)*(L331+N331)-(L331*N331-M331*O331)*(M331+O331))/((L331+N331)^2+(M331+O331)^2))</f>
        <v/>
      </c>
      <c r="R331" s="195">
        <f>IF(B331="","",'入力・概要'!$E$15*J331)</f>
        <v/>
      </c>
      <c r="S331" s="195">
        <f>IF(B331="","",'入力・概要'!$E$15*K331)</f>
        <v/>
      </c>
      <c r="T331" s="195">
        <f>IF(B331="","",P331+R331)</f>
        <v/>
      </c>
      <c r="U331" s="195">
        <f>IF(B331="","",Q331+S331)</f>
        <v/>
      </c>
      <c r="V331" s="195">
        <f>IF(B331="","",T331+'入力・概要'!$E$9*F331)</f>
        <v/>
      </c>
      <c r="W331" s="195">
        <f>IF(B331="","",U331+'入力・概要'!$E$9*G331)</f>
        <v/>
      </c>
      <c r="X331" s="195">
        <f>IF(B331="","",'入力・概要'!$E$9+T331*F331-U331*G331)</f>
        <v/>
      </c>
      <c r="Y331" s="195">
        <f>IF(B331="","",T331*G331+U331*F331)</f>
        <v/>
      </c>
      <c r="Z331" s="195">
        <f>IF(B331="","",'入力・概要'!$E$9*(V331*X331+W331*Y331)/(X331^2+Y331^2)+'入力・概要'!$B$36)</f>
        <v/>
      </c>
      <c r="AA331" s="195">
        <f>IF(B331="","",'入力・概要'!$E$9*(W331*X331-V331*Y331)/(X331^2+Y331^2)+C331*'入力・概要'!$B$37*1E-9)</f>
        <v/>
      </c>
      <c r="AB331" s="195">
        <f>IF(B331="","",SQRT(Z331^2+AA331^2))</f>
        <v/>
      </c>
      <c r="AC331" s="195">
        <f>IF(B331="","",IF(Z331&gt;0,DEGREES(ATAN(AA331/Z331)),IF(Z331&lt;0,IF(AA331&gt;=0,DEGREES(ATAN(AA331/Z331))+180,DEGREES(ATAN(AA331/Z331))-180),IF(AA331&gt;0,90,IF(AA331&lt;0,-90,0)))))</f>
        <v/>
      </c>
      <c r="AD331" s="195">
        <f>IF(B331="","",LOG10(B331))</f>
        <v/>
      </c>
      <c r="AE331" s="195">
        <f>IF(AB331="","",LOG10(MAX(AB331,1E-12)))</f>
        <v/>
      </c>
      <c r="AF331" s="195">
        <f>IF(B331="","",SQRT(P331^2+Q331^2))</f>
        <v/>
      </c>
      <c r="AG331" s="195">
        <f>IF(B331="","",SQRT(R331^2+S331^2))</f>
        <v/>
      </c>
    </row>
    <row r="332">
      <c r="A332" t="n">
        <v>329</v>
      </c>
      <c r="B332" s="196">
        <f>IF(A332&lt;='入力・概要'!$B$40,10^(LOG10('入力・概要'!$B$38)+(A332-1)*(LOG10('入力・概要'!$B$39)-LOG10('入力・概要'!$B$38))/('入力・概要'!$B$40-1)),"")</f>
        <v/>
      </c>
      <c r="C332" s="195">
        <f>IF(B332="","",2*PI()*B332)</f>
        <v/>
      </c>
      <c r="D332" s="195">
        <f>IF(B332="","",ATANH(MIN(0.999999,'入力・概要'!$E$20/'入力・概要'!$E$9))+'入力・概要'!$B$20*SQRT(B332/1E6)+E332*'入力・概要'!$B$15/2)</f>
        <v/>
      </c>
      <c r="E332" s="195">
        <f>IF(B332="","",C332*('入力・概要'!$E$11*1E-9))</f>
        <v/>
      </c>
      <c r="F332" s="195">
        <f>IF(B332="","",SINH(2*D332)/(COSH(2*D332)+COS(2*E332)))</f>
        <v/>
      </c>
      <c r="G332" s="195">
        <f>IF(B332="","",SIN(2*E332)/(COSH(2*D332)+COS(2*E332)))</f>
        <v/>
      </c>
      <c r="H332" s="195">
        <f>IF(B332="","",ATANH(MIN(0.999999,'入力・概要'!$E$21/'入力・概要'!$E$15))+'入力・概要'!$B$21*SQRT(B332/1E6)+I332*'入力・概要'!$B$16/2)</f>
        <v/>
      </c>
      <c r="I332" s="195">
        <f>IF(B332="","",C332*('入力・概要'!$E$17*1E-9))</f>
        <v/>
      </c>
      <c r="J332" s="195">
        <f>IF(B332="","",SINH(2*H332)/(COSH(2*H332)+COS(2*I332)))</f>
        <v/>
      </c>
      <c r="K332" s="195">
        <f>IF(B332="","",SIN(2*I332)/(COSH(2*H332)+COS(2*I332)))</f>
        <v/>
      </c>
      <c r="L332" s="195">
        <f>IF(B332="","",'入力・概要'!$B$25)</f>
        <v/>
      </c>
      <c r="M332" s="195">
        <f>IF(B332="","",C332*'入力・概要'!$B$26*1E-9-1/(C332*'入力・概要'!$B$24*1E-6))</f>
        <v/>
      </c>
      <c r="N332" s="195">
        <f>IF(B332="","",'入力・概要'!$B$28)</f>
        <v/>
      </c>
      <c r="O332" s="195">
        <f>IF(B332="","",C332*'入力・概要'!$B$29*1E-9-1/(C332*'入力・概要'!$B$27*1E-6))</f>
        <v/>
      </c>
      <c r="P332" s="195">
        <f>IF(B332="","",((L332*N332-M332*O332)*(L332+N332)+(L332*O332+M332*N332)*(M332+O332))/((L332+N332)^2+(M332+O332)^2))</f>
        <v/>
      </c>
      <c r="Q332" s="195">
        <f>IF(B332="","",((L332*O332+M332*N332)*(L332+N332)-(L332*N332-M332*O332)*(M332+O332))/((L332+N332)^2+(M332+O332)^2))</f>
        <v/>
      </c>
      <c r="R332" s="195">
        <f>IF(B332="","",'入力・概要'!$E$15*J332)</f>
        <v/>
      </c>
      <c r="S332" s="195">
        <f>IF(B332="","",'入力・概要'!$E$15*K332)</f>
        <v/>
      </c>
      <c r="T332" s="195">
        <f>IF(B332="","",P332+R332)</f>
        <v/>
      </c>
      <c r="U332" s="195">
        <f>IF(B332="","",Q332+S332)</f>
        <v/>
      </c>
      <c r="V332" s="195">
        <f>IF(B332="","",T332+'入力・概要'!$E$9*F332)</f>
        <v/>
      </c>
      <c r="W332" s="195">
        <f>IF(B332="","",U332+'入力・概要'!$E$9*G332)</f>
        <v/>
      </c>
      <c r="X332" s="195">
        <f>IF(B332="","",'入力・概要'!$E$9+T332*F332-U332*G332)</f>
        <v/>
      </c>
      <c r="Y332" s="195">
        <f>IF(B332="","",T332*G332+U332*F332)</f>
        <v/>
      </c>
      <c r="Z332" s="195">
        <f>IF(B332="","",'入力・概要'!$E$9*(V332*X332+W332*Y332)/(X332^2+Y332^2)+'入力・概要'!$B$36)</f>
        <v/>
      </c>
      <c r="AA332" s="195">
        <f>IF(B332="","",'入力・概要'!$E$9*(W332*X332-V332*Y332)/(X332^2+Y332^2)+C332*'入力・概要'!$B$37*1E-9)</f>
        <v/>
      </c>
      <c r="AB332" s="195">
        <f>IF(B332="","",SQRT(Z332^2+AA332^2))</f>
        <v/>
      </c>
      <c r="AC332" s="195">
        <f>IF(B332="","",IF(Z332&gt;0,DEGREES(ATAN(AA332/Z332)),IF(Z332&lt;0,IF(AA332&gt;=0,DEGREES(ATAN(AA332/Z332))+180,DEGREES(ATAN(AA332/Z332))-180),IF(AA332&gt;0,90,IF(AA332&lt;0,-90,0)))))</f>
        <v/>
      </c>
      <c r="AD332" s="195">
        <f>IF(B332="","",LOG10(B332))</f>
        <v/>
      </c>
      <c r="AE332" s="195">
        <f>IF(AB332="","",LOG10(MAX(AB332,1E-12)))</f>
        <v/>
      </c>
      <c r="AF332" s="195">
        <f>IF(B332="","",SQRT(P332^2+Q332^2))</f>
        <v/>
      </c>
      <c r="AG332" s="195">
        <f>IF(B332="","",SQRT(R332^2+S332^2))</f>
        <v/>
      </c>
    </row>
    <row r="333">
      <c r="A333" t="n">
        <v>330</v>
      </c>
      <c r="B333" s="196">
        <f>IF(A333&lt;='入力・概要'!$B$40,10^(LOG10('入力・概要'!$B$38)+(A333-1)*(LOG10('入力・概要'!$B$39)-LOG10('入力・概要'!$B$38))/('入力・概要'!$B$40-1)),"")</f>
        <v/>
      </c>
      <c r="C333" s="195">
        <f>IF(B333="","",2*PI()*B333)</f>
        <v/>
      </c>
      <c r="D333" s="195">
        <f>IF(B333="","",ATANH(MIN(0.999999,'入力・概要'!$E$20/'入力・概要'!$E$9))+'入力・概要'!$B$20*SQRT(B333/1E6)+E333*'入力・概要'!$B$15/2)</f>
        <v/>
      </c>
      <c r="E333" s="195">
        <f>IF(B333="","",C333*('入力・概要'!$E$11*1E-9))</f>
        <v/>
      </c>
      <c r="F333" s="195">
        <f>IF(B333="","",SINH(2*D333)/(COSH(2*D333)+COS(2*E333)))</f>
        <v/>
      </c>
      <c r="G333" s="195">
        <f>IF(B333="","",SIN(2*E333)/(COSH(2*D333)+COS(2*E333)))</f>
        <v/>
      </c>
      <c r="H333" s="195">
        <f>IF(B333="","",ATANH(MIN(0.999999,'入力・概要'!$E$21/'入力・概要'!$E$15))+'入力・概要'!$B$21*SQRT(B333/1E6)+I333*'入力・概要'!$B$16/2)</f>
        <v/>
      </c>
      <c r="I333" s="195">
        <f>IF(B333="","",C333*('入力・概要'!$E$17*1E-9))</f>
        <v/>
      </c>
      <c r="J333" s="195">
        <f>IF(B333="","",SINH(2*H333)/(COSH(2*H333)+COS(2*I333)))</f>
        <v/>
      </c>
      <c r="K333" s="195">
        <f>IF(B333="","",SIN(2*I333)/(COSH(2*H333)+COS(2*I333)))</f>
        <v/>
      </c>
      <c r="L333" s="195">
        <f>IF(B333="","",'入力・概要'!$B$25)</f>
        <v/>
      </c>
      <c r="M333" s="195">
        <f>IF(B333="","",C333*'入力・概要'!$B$26*1E-9-1/(C333*'入力・概要'!$B$24*1E-6))</f>
        <v/>
      </c>
      <c r="N333" s="195">
        <f>IF(B333="","",'入力・概要'!$B$28)</f>
        <v/>
      </c>
      <c r="O333" s="195">
        <f>IF(B333="","",C333*'入力・概要'!$B$29*1E-9-1/(C333*'入力・概要'!$B$27*1E-6))</f>
        <v/>
      </c>
      <c r="P333" s="195">
        <f>IF(B333="","",((L333*N333-M333*O333)*(L333+N333)+(L333*O333+M333*N333)*(M333+O333))/((L333+N333)^2+(M333+O333)^2))</f>
        <v/>
      </c>
      <c r="Q333" s="195">
        <f>IF(B333="","",((L333*O333+M333*N333)*(L333+N333)-(L333*N333-M333*O333)*(M333+O333))/((L333+N333)^2+(M333+O333)^2))</f>
        <v/>
      </c>
      <c r="R333" s="195">
        <f>IF(B333="","",'入力・概要'!$E$15*J333)</f>
        <v/>
      </c>
      <c r="S333" s="195">
        <f>IF(B333="","",'入力・概要'!$E$15*K333)</f>
        <v/>
      </c>
      <c r="T333" s="195">
        <f>IF(B333="","",P333+R333)</f>
        <v/>
      </c>
      <c r="U333" s="195">
        <f>IF(B333="","",Q333+S333)</f>
        <v/>
      </c>
      <c r="V333" s="195">
        <f>IF(B333="","",T333+'入力・概要'!$E$9*F333)</f>
        <v/>
      </c>
      <c r="W333" s="195">
        <f>IF(B333="","",U333+'入力・概要'!$E$9*G333)</f>
        <v/>
      </c>
      <c r="X333" s="195">
        <f>IF(B333="","",'入力・概要'!$E$9+T333*F333-U333*G333)</f>
        <v/>
      </c>
      <c r="Y333" s="195">
        <f>IF(B333="","",T333*G333+U333*F333)</f>
        <v/>
      </c>
      <c r="Z333" s="195">
        <f>IF(B333="","",'入力・概要'!$E$9*(V333*X333+W333*Y333)/(X333^2+Y333^2)+'入力・概要'!$B$36)</f>
        <v/>
      </c>
      <c r="AA333" s="195">
        <f>IF(B333="","",'入力・概要'!$E$9*(W333*X333-V333*Y333)/(X333^2+Y333^2)+C333*'入力・概要'!$B$37*1E-9)</f>
        <v/>
      </c>
      <c r="AB333" s="195">
        <f>IF(B333="","",SQRT(Z333^2+AA333^2))</f>
        <v/>
      </c>
      <c r="AC333" s="195">
        <f>IF(B333="","",IF(Z333&gt;0,DEGREES(ATAN(AA333/Z333)),IF(Z333&lt;0,IF(AA333&gt;=0,DEGREES(ATAN(AA333/Z333))+180,DEGREES(ATAN(AA333/Z333))-180),IF(AA333&gt;0,90,IF(AA333&lt;0,-90,0)))))</f>
        <v/>
      </c>
      <c r="AD333" s="195">
        <f>IF(B333="","",LOG10(B333))</f>
        <v/>
      </c>
      <c r="AE333" s="195">
        <f>IF(AB333="","",LOG10(MAX(AB333,1E-12)))</f>
        <v/>
      </c>
      <c r="AF333" s="195">
        <f>IF(B333="","",SQRT(P333^2+Q333^2))</f>
        <v/>
      </c>
      <c r="AG333" s="195">
        <f>IF(B333="","",SQRT(R333^2+S333^2))</f>
        <v/>
      </c>
    </row>
    <row r="334">
      <c r="A334" t="n">
        <v>331</v>
      </c>
      <c r="B334" s="196">
        <f>IF(A334&lt;='入力・概要'!$B$40,10^(LOG10('入力・概要'!$B$38)+(A334-1)*(LOG10('入力・概要'!$B$39)-LOG10('入力・概要'!$B$38))/('入力・概要'!$B$40-1)),"")</f>
        <v/>
      </c>
      <c r="C334" s="195">
        <f>IF(B334="","",2*PI()*B334)</f>
        <v/>
      </c>
      <c r="D334" s="195">
        <f>IF(B334="","",ATANH(MIN(0.999999,'入力・概要'!$E$20/'入力・概要'!$E$9))+'入力・概要'!$B$20*SQRT(B334/1E6)+E334*'入力・概要'!$B$15/2)</f>
        <v/>
      </c>
      <c r="E334" s="195">
        <f>IF(B334="","",C334*('入力・概要'!$E$11*1E-9))</f>
        <v/>
      </c>
      <c r="F334" s="195">
        <f>IF(B334="","",SINH(2*D334)/(COSH(2*D334)+COS(2*E334)))</f>
        <v/>
      </c>
      <c r="G334" s="195">
        <f>IF(B334="","",SIN(2*E334)/(COSH(2*D334)+COS(2*E334)))</f>
        <v/>
      </c>
      <c r="H334" s="195">
        <f>IF(B334="","",ATANH(MIN(0.999999,'入力・概要'!$E$21/'入力・概要'!$E$15))+'入力・概要'!$B$21*SQRT(B334/1E6)+I334*'入力・概要'!$B$16/2)</f>
        <v/>
      </c>
      <c r="I334" s="195">
        <f>IF(B334="","",C334*('入力・概要'!$E$17*1E-9))</f>
        <v/>
      </c>
      <c r="J334" s="195">
        <f>IF(B334="","",SINH(2*H334)/(COSH(2*H334)+COS(2*I334)))</f>
        <v/>
      </c>
      <c r="K334" s="195">
        <f>IF(B334="","",SIN(2*I334)/(COSH(2*H334)+COS(2*I334)))</f>
        <v/>
      </c>
      <c r="L334" s="195">
        <f>IF(B334="","",'入力・概要'!$B$25)</f>
        <v/>
      </c>
      <c r="M334" s="195">
        <f>IF(B334="","",C334*'入力・概要'!$B$26*1E-9-1/(C334*'入力・概要'!$B$24*1E-6))</f>
        <v/>
      </c>
      <c r="N334" s="195">
        <f>IF(B334="","",'入力・概要'!$B$28)</f>
        <v/>
      </c>
      <c r="O334" s="195">
        <f>IF(B334="","",C334*'入力・概要'!$B$29*1E-9-1/(C334*'入力・概要'!$B$27*1E-6))</f>
        <v/>
      </c>
      <c r="P334" s="195">
        <f>IF(B334="","",((L334*N334-M334*O334)*(L334+N334)+(L334*O334+M334*N334)*(M334+O334))/((L334+N334)^2+(M334+O334)^2))</f>
        <v/>
      </c>
      <c r="Q334" s="195">
        <f>IF(B334="","",((L334*O334+M334*N334)*(L334+N334)-(L334*N334-M334*O334)*(M334+O334))/((L334+N334)^2+(M334+O334)^2))</f>
        <v/>
      </c>
      <c r="R334" s="195">
        <f>IF(B334="","",'入力・概要'!$E$15*J334)</f>
        <v/>
      </c>
      <c r="S334" s="195">
        <f>IF(B334="","",'入力・概要'!$E$15*K334)</f>
        <v/>
      </c>
      <c r="T334" s="195">
        <f>IF(B334="","",P334+R334)</f>
        <v/>
      </c>
      <c r="U334" s="195">
        <f>IF(B334="","",Q334+S334)</f>
        <v/>
      </c>
      <c r="V334" s="195">
        <f>IF(B334="","",T334+'入力・概要'!$E$9*F334)</f>
        <v/>
      </c>
      <c r="W334" s="195">
        <f>IF(B334="","",U334+'入力・概要'!$E$9*G334)</f>
        <v/>
      </c>
      <c r="X334" s="195">
        <f>IF(B334="","",'入力・概要'!$E$9+T334*F334-U334*G334)</f>
        <v/>
      </c>
      <c r="Y334" s="195">
        <f>IF(B334="","",T334*G334+U334*F334)</f>
        <v/>
      </c>
      <c r="Z334" s="195">
        <f>IF(B334="","",'入力・概要'!$E$9*(V334*X334+W334*Y334)/(X334^2+Y334^2)+'入力・概要'!$B$36)</f>
        <v/>
      </c>
      <c r="AA334" s="195">
        <f>IF(B334="","",'入力・概要'!$E$9*(W334*X334-V334*Y334)/(X334^2+Y334^2)+C334*'入力・概要'!$B$37*1E-9)</f>
        <v/>
      </c>
      <c r="AB334" s="195">
        <f>IF(B334="","",SQRT(Z334^2+AA334^2))</f>
        <v/>
      </c>
      <c r="AC334" s="195">
        <f>IF(B334="","",IF(Z334&gt;0,DEGREES(ATAN(AA334/Z334)),IF(Z334&lt;0,IF(AA334&gt;=0,DEGREES(ATAN(AA334/Z334))+180,DEGREES(ATAN(AA334/Z334))-180),IF(AA334&gt;0,90,IF(AA334&lt;0,-90,0)))))</f>
        <v/>
      </c>
      <c r="AD334" s="195">
        <f>IF(B334="","",LOG10(B334))</f>
        <v/>
      </c>
      <c r="AE334" s="195">
        <f>IF(AB334="","",LOG10(MAX(AB334,1E-12)))</f>
        <v/>
      </c>
      <c r="AF334" s="195">
        <f>IF(B334="","",SQRT(P334^2+Q334^2))</f>
        <v/>
      </c>
      <c r="AG334" s="195">
        <f>IF(B334="","",SQRT(R334^2+S334^2))</f>
        <v/>
      </c>
    </row>
    <row r="335">
      <c r="A335" t="n">
        <v>332</v>
      </c>
      <c r="B335" s="196">
        <f>IF(A335&lt;='入力・概要'!$B$40,10^(LOG10('入力・概要'!$B$38)+(A335-1)*(LOG10('入力・概要'!$B$39)-LOG10('入力・概要'!$B$38))/('入力・概要'!$B$40-1)),"")</f>
        <v/>
      </c>
      <c r="C335" s="195">
        <f>IF(B335="","",2*PI()*B335)</f>
        <v/>
      </c>
      <c r="D335" s="195">
        <f>IF(B335="","",ATANH(MIN(0.999999,'入力・概要'!$E$20/'入力・概要'!$E$9))+'入力・概要'!$B$20*SQRT(B335/1E6)+E335*'入力・概要'!$B$15/2)</f>
        <v/>
      </c>
      <c r="E335" s="195">
        <f>IF(B335="","",C335*('入力・概要'!$E$11*1E-9))</f>
        <v/>
      </c>
      <c r="F335" s="195">
        <f>IF(B335="","",SINH(2*D335)/(COSH(2*D335)+COS(2*E335)))</f>
        <v/>
      </c>
      <c r="G335" s="195">
        <f>IF(B335="","",SIN(2*E335)/(COSH(2*D335)+COS(2*E335)))</f>
        <v/>
      </c>
      <c r="H335" s="195">
        <f>IF(B335="","",ATANH(MIN(0.999999,'入力・概要'!$E$21/'入力・概要'!$E$15))+'入力・概要'!$B$21*SQRT(B335/1E6)+I335*'入力・概要'!$B$16/2)</f>
        <v/>
      </c>
      <c r="I335" s="195">
        <f>IF(B335="","",C335*('入力・概要'!$E$17*1E-9))</f>
        <v/>
      </c>
      <c r="J335" s="195">
        <f>IF(B335="","",SINH(2*H335)/(COSH(2*H335)+COS(2*I335)))</f>
        <v/>
      </c>
      <c r="K335" s="195">
        <f>IF(B335="","",SIN(2*I335)/(COSH(2*H335)+COS(2*I335)))</f>
        <v/>
      </c>
      <c r="L335" s="195">
        <f>IF(B335="","",'入力・概要'!$B$25)</f>
        <v/>
      </c>
      <c r="M335" s="195">
        <f>IF(B335="","",C335*'入力・概要'!$B$26*1E-9-1/(C335*'入力・概要'!$B$24*1E-6))</f>
        <v/>
      </c>
      <c r="N335" s="195">
        <f>IF(B335="","",'入力・概要'!$B$28)</f>
        <v/>
      </c>
      <c r="O335" s="195">
        <f>IF(B335="","",C335*'入力・概要'!$B$29*1E-9-1/(C335*'入力・概要'!$B$27*1E-6))</f>
        <v/>
      </c>
      <c r="P335" s="195">
        <f>IF(B335="","",((L335*N335-M335*O335)*(L335+N335)+(L335*O335+M335*N335)*(M335+O335))/((L335+N335)^2+(M335+O335)^2))</f>
        <v/>
      </c>
      <c r="Q335" s="195">
        <f>IF(B335="","",((L335*O335+M335*N335)*(L335+N335)-(L335*N335-M335*O335)*(M335+O335))/((L335+N335)^2+(M335+O335)^2))</f>
        <v/>
      </c>
      <c r="R335" s="195">
        <f>IF(B335="","",'入力・概要'!$E$15*J335)</f>
        <v/>
      </c>
      <c r="S335" s="195">
        <f>IF(B335="","",'入力・概要'!$E$15*K335)</f>
        <v/>
      </c>
      <c r="T335" s="195">
        <f>IF(B335="","",P335+R335)</f>
        <v/>
      </c>
      <c r="U335" s="195">
        <f>IF(B335="","",Q335+S335)</f>
        <v/>
      </c>
      <c r="V335" s="195">
        <f>IF(B335="","",T335+'入力・概要'!$E$9*F335)</f>
        <v/>
      </c>
      <c r="W335" s="195">
        <f>IF(B335="","",U335+'入力・概要'!$E$9*G335)</f>
        <v/>
      </c>
      <c r="X335" s="195">
        <f>IF(B335="","",'入力・概要'!$E$9+T335*F335-U335*G335)</f>
        <v/>
      </c>
      <c r="Y335" s="195">
        <f>IF(B335="","",T335*G335+U335*F335)</f>
        <v/>
      </c>
      <c r="Z335" s="195">
        <f>IF(B335="","",'入力・概要'!$E$9*(V335*X335+W335*Y335)/(X335^2+Y335^2)+'入力・概要'!$B$36)</f>
        <v/>
      </c>
      <c r="AA335" s="195">
        <f>IF(B335="","",'入力・概要'!$E$9*(W335*X335-V335*Y335)/(X335^2+Y335^2)+C335*'入力・概要'!$B$37*1E-9)</f>
        <v/>
      </c>
      <c r="AB335" s="195">
        <f>IF(B335="","",SQRT(Z335^2+AA335^2))</f>
        <v/>
      </c>
      <c r="AC335" s="195">
        <f>IF(B335="","",IF(Z335&gt;0,DEGREES(ATAN(AA335/Z335)),IF(Z335&lt;0,IF(AA335&gt;=0,DEGREES(ATAN(AA335/Z335))+180,DEGREES(ATAN(AA335/Z335))-180),IF(AA335&gt;0,90,IF(AA335&lt;0,-90,0)))))</f>
        <v/>
      </c>
      <c r="AD335" s="195">
        <f>IF(B335="","",LOG10(B335))</f>
        <v/>
      </c>
      <c r="AE335" s="195">
        <f>IF(AB335="","",LOG10(MAX(AB335,1E-12)))</f>
        <v/>
      </c>
      <c r="AF335" s="195">
        <f>IF(B335="","",SQRT(P335^2+Q335^2))</f>
        <v/>
      </c>
      <c r="AG335" s="195">
        <f>IF(B335="","",SQRT(R335^2+S335^2))</f>
        <v/>
      </c>
    </row>
    <row r="336">
      <c r="A336" t="n">
        <v>333</v>
      </c>
      <c r="B336" s="196">
        <f>IF(A336&lt;='入力・概要'!$B$40,10^(LOG10('入力・概要'!$B$38)+(A336-1)*(LOG10('入力・概要'!$B$39)-LOG10('入力・概要'!$B$38))/('入力・概要'!$B$40-1)),"")</f>
        <v/>
      </c>
      <c r="C336" s="195">
        <f>IF(B336="","",2*PI()*B336)</f>
        <v/>
      </c>
      <c r="D336" s="195">
        <f>IF(B336="","",ATANH(MIN(0.999999,'入力・概要'!$E$20/'入力・概要'!$E$9))+'入力・概要'!$B$20*SQRT(B336/1E6)+E336*'入力・概要'!$B$15/2)</f>
        <v/>
      </c>
      <c r="E336" s="195">
        <f>IF(B336="","",C336*('入力・概要'!$E$11*1E-9))</f>
        <v/>
      </c>
      <c r="F336" s="195">
        <f>IF(B336="","",SINH(2*D336)/(COSH(2*D336)+COS(2*E336)))</f>
        <v/>
      </c>
      <c r="G336" s="195">
        <f>IF(B336="","",SIN(2*E336)/(COSH(2*D336)+COS(2*E336)))</f>
        <v/>
      </c>
      <c r="H336" s="195">
        <f>IF(B336="","",ATANH(MIN(0.999999,'入力・概要'!$E$21/'入力・概要'!$E$15))+'入力・概要'!$B$21*SQRT(B336/1E6)+I336*'入力・概要'!$B$16/2)</f>
        <v/>
      </c>
      <c r="I336" s="195">
        <f>IF(B336="","",C336*('入力・概要'!$E$17*1E-9))</f>
        <v/>
      </c>
      <c r="J336" s="195">
        <f>IF(B336="","",SINH(2*H336)/(COSH(2*H336)+COS(2*I336)))</f>
        <v/>
      </c>
      <c r="K336" s="195">
        <f>IF(B336="","",SIN(2*I336)/(COSH(2*H336)+COS(2*I336)))</f>
        <v/>
      </c>
      <c r="L336" s="195">
        <f>IF(B336="","",'入力・概要'!$B$25)</f>
        <v/>
      </c>
      <c r="M336" s="195">
        <f>IF(B336="","",C336*'入力・概要'!$B$26*1E-9-1/(C336*'入力・概要'!$B$24*1E-6))</f>
        <v/>
      </c>
      <c r="N336" s="195">
        <f>IF(B336="","",'入力・概要'!$B$28)</f>
        <v/>
      </c>
      <c r="O336" s="195">
        <f>IF(B336="","",C336*'入力・概要'!$B$29*1E-9-1/(C336*'入力・概要'!$B$27*1E-6))</f>
        <v/>
      </c>
      <c r="P336" s="195">
        <f>IF(B336="","",((L336*N336-M336*O336)*(L336+N336)+(L336*O336+M336*N336)*(M336+O336))/((L336+N336)^2+(M336+O336)^2))</f>
        <v/>
      </c>
      <c r="Q336" s="195">
        <f>IF(B336="","",((L336*O336+M336*N336)*(L336+N336)-(L336*N336-M336*O336)*(M336+O336))/((L336+N336)^2+(M336+O336)^2))</f>
        <v/>
      </c>
      <c r="R336" s="195">
        <f>IF(B336="","",'入力・概要'!$E$15*J336)</f>
        <v/>
      </c>
      <c r="S336" s="195">
        <f>IF(B336="","",'入力・概要'!$E$15*K336)</f>
        <v/>
      </c>
      <c r="T336" s="195">
        <f>IF(B336="","",P336+R336)</f>
        <v/>
      </c>
      <c r="U336" s="195">
        <f>IF(B336="","",Q336+S336)</f>
        <v/>
      </c>
      <c r="V336" s="195">
        <f>IF(B336="","",T336+'入力・概要'!$E$9*F336)</f>
        <v/>
      </c>
      <c r="W336" s="195">
        <f>IF(B336="","",U336+'入力・概要'!$E$9*G336)</f>
        <v/>
      </c>
      <c r="X336" s="195">
        <f>IF(B336="","",'入力・概要'!$E$9+T336*F336-U336*G336)</f>
        <v/>
      </c>
      <c r="Y336" s="195">
        <f>IF(B336="","",T336*G336+U336*F336)</f>
        <v/>
      </c>
      <c r="Z336" s="195">
        <f>IF(B336="","",'入力・概要'!$E$9*(V336*X336+W336*Y336)/(X336^2+Y336^2)+'入力・概要'!$B$36)</f>
        <v/>
      </c>
      <c r="AA336" s="195">
        <f>IF(B336="","",'入力・概要'!$E$9*(W336*X336-V336*Y336)/(X336^2+Y336^2)+C336*'入力・概要'!$B$37*1E-9)</f>
        <v/>
      </c>
      <c r="AB336" s="195">
        <f>IF(B336="","",SQRT(Z336^2+AA336^2))</f>
        <v/>
      </c>
      <c r="AC336" s="195">
        <f>IF(B336="","",IF(Z336&gt;0,DEGREES(ATAN(AA336/Z336)),IF(Z336&lt;0,IF(AA336&gt;=0,DEGREES(ATAN(AA336/Z336))+180,DEGREES(ATAN(AA336/Z336))-180),IF(AA336&gt;0,90,IF(AA336&lt;0,-90,0)))))</f>
        <v/>
      </c>
      <c r="AD336" s="195">
        <f>IF(B336="","",LOG10(B336))</f>
        <v/>
      </c>
      <c r="AE336" s="195">
        <f>IF(AB336="","",LOG10(MAX(AB336,1E-12)))</f>
        <v/>
      </c>
      <c r="AF336" s="195">
        <f>IF(B336="","",SQRT(P336^2+Q336^2))</f>
        <v/>
      </c>
      <c r="AG336" s="195">
        <f>IF(B336="","",SQRT(R336^2+S336^2))</f>
        <v/>
      </c>
    </row>
    <row r="337">
      <c r="A337" t="n">
        <v>334</v>
      </c>
      <c r="B337" s="196">
        <f>IF(A337&lt;='入力・概要'!$B$40,10^(LOG10('入力・概要'!$B$38)+(A337-1)*(LOG10('入力・概要'!$B$39)-LOG10('入力・概要'!$B$38))/('入力・概要'!$B$40-1)),"")</f>
        <v/>
      </c>
      <c r="C337" s="195">
        <f>IF(B337="","",2*PI()*B337)</f>
        <v/>
      </c>
      <c r="D337" s="195">
        <f>IF(B337="","",ATANH(MIN(0.999999,'入力・概要'!$E$20/'入力・概要'!$E$9))+'入力・概要'!$B$20*SQRT(B337/1E6)+E337*'入力・概要'!$B$15/2)</f>
        <v/>
      </c>
      <c r="E337" s="195">
        <f>IF(B337="","",C337*('入力・概要'!$E$11*1E-9))</f>
        <v/>
      </c>
      <c r="F337" s="195">
        <f>IF(B337="","",SINH(2*D337)/(COSH(2*D337)+COS(2*E337)))</f>
        <v/>
      </c>
      <c r="G337" s="195">
        <f>IF(B337="","",SIN(2*E337)/(COSH(2*D337)+COS(2*E337)))</f>
        <v/>
      </c>
      <c r="H337" s="195">
        <f>IF(B337="","",ATANH(MIN(0.999999,'入力・概要'!$E$21/'入力・概要'!$E$15))+'入力・概要'!$B$21*SQRT(B337/1E6)+I337*'入力・概要'!$B$16/2)</f>
        <v/>
      </c>
      <c r="I337" s="195">
        <f>IF(B337="","",C337*('入力・概要'!$E$17*1E-9))</f>
        <v/>
      </c>
      <c r="J337" s="195">
        <f>IF(B337="","",SINH(2*H337)/(COSH(2*H337)+COS(2*I337)))</f>
        <v/>
      </c>
      <c r="K337" s="195">
        <f>IF(B337="","",SIN(2*I337)/(COSH(2*H337)+COS(2*I337)))</f>
        <v/>
      </c>
      <c r="L337" s="195">
        <f>IF(B337="","",'入力・概要'!$B$25)</f>
        <v/>
      </c>
      <c r="M337" s="195">
        <f>IF(B337="","",C337*'入力・概要'!$B$26*1E-9-1/(C337*'入力・概要'!$B$24*1E-6))</f>
        <v/>
      </c>
      <c r="N337" s="195">
        <f>IF(B337="","",'入力・概要'!$B$28)</f>
        <v/>
      </c>
      <c r="O337" s="195">
        <f>IF(B337="","",C337*'入力・概要'!$B$29*1E-9-1/(C337*'入力・概要'!$B$27*1E-6))</f>
        <v/>
      </c>
      <c r="P337" s="195">
        <f>IF(B337="","",((L337*N337-M337*O337)*(L337+N337)+(L337*O337+M337*N337)*(M337+O337))/((L337+N337)^2+(M337+O337)^2))</f>
        <v/>
      </c>
      <c r="Q337" s="195">
        <f>IF(B337="","",((L337*O337+M337*N337)*(L337+N337)-(L337*N337-M337*O337)*(M337+O337))/((L337+N337)^2+(M337+O337)^2))</f>
        <v/>
      </c>
      <c r="R337" s="195">
        <f>IF(B337="","",'入力・概要'!$E$15*J337)</f>
        <v/>
      </c>
      <c r="S337" s="195">
        <f>IF(B337="","",'入力・概要'!$E$15*K337)</f>
        <v/>
      </c>
      <c r="T337" s="195">
        <f>IF(B337="","",P337+R337)</f>
        <v/>
      </c>
      <c r="U337" s="195">
        <f>IF(B337="","",Q337+S337)</f>
        <v/>
      </c>
      <c r="V337" s="195">
        <f>IF(B337="","",T337+'入力・概要'!$E$9*F337)</f>
        <v/>
      </c>
      <c r="W337" s="195">
        <f>IF(B337="","",U337+'入力・概要'!$E$9*G337)</f>
        <v/>
      </c>
      <c r="X337" s="195">
        <f>IF(B337="","",'入力・概要'!$E$9+T337*F337-U337*G337)</f>
        <v/>
      </c>
      <c r="Y337" s="195">
        <f>IF(B337="","",T337*G337+U337*F337)</f>
        <v/>
      </c>
      <c r="Z337" s="195">
        <f>IF(B337="","",'入力・概要'!$E$9*(V337*X337+W337*Y337)/(X337^2+Y337^2)+'入力・概要'!$B$36)</f>
        <v/>
      </c>
      <c r="AA337" s="195">
        <f>IF(B337="","",'入力・概要'!$E$9*(W337*X337-V337*Y337)/(X337^2+Y337^2)+C337*'入力・概要'!$B$37*1E-9)</f>
        <v/>
      </c>
      <c r="AB337" s="195">
        <f>IF(B337="","",SQRT(Z337^2+AA337^2))</f>
        <v/>
      </c>
      <c r="AC337" s="195">
        <f>IF(B337="","",IF(Z337&gt;0,DEGREES(ATAN(AA337/Z337)),IF(Z337&lt;0,IF(AA337&gt;=0,DEGREES(ATAN(AA337/Z337))+180,DEGREES(ATAN(AA337/Z337))-180),IF(AA337&gt;0,90,IF(AA337&lt;0,-90,0)))))</f>
        <v/>
      </c>
      <c r="AD337" s="195">
        <f>IF(B337="","",LOG10(B337))</f>
        <v/>
      </c>
      <c r="AE337" s="195">
        <f>IF(AB337="","",LOG10(MAX(AB337,1E-12)))</f>
        <v/>
      </c>
      <c r="AF337" s="195">
        <f>IF(B337="","",SQRT(P337^2+Q337^2))</f>
        <v/>
      </c>
      <c r="AG337" s="195">
        <f>IF(B337="","",SQRT(R337^2+S337^2))</f>
        <v/>
      </c>
    </row>
    <row r="338">
      <c r="A338" t="n">
        <v>335</v>
      </c>
      <c r="B338" s="196">
        <f>IF(A338&lt;='入力・概要'!$B$40,10^(LOG10('入力・概要'!$B$38)+(A338-1)*(LOG10('入力・概要'!$B$39)-LOG10('入力・概要'!$B$38))/('入力・概要'!$B$40-1)),"")</f>
        <v/>
      </c>
      <c r="C338" s="195">
        <f>IF(B338="","",2*PI()*B338)</f>
        <v/>
      </c>
      <c r="D338" s="195">
        <f>IF(B338="","",ATANH(MIN(0.999999,'入力・概要'!$E$20/'入力・概要'!$E$9))+'入力・概要'!$B$20*SQRT(B338/1E6)+E338*'入力・概要'!$B$15/2)</f>
        <v/>
      </c>
      <c r="E338" s="195">
        <f>IF(B338="","",C338*('入力・概要'!$E$11*1E-9))</f>
        <v/>
      </c>
      <c r="F338" s="195">
        <f>IF(B338="","",SINH(2*D338)/(COSH(2*D338)+COS(2*E338)))</f>
        <v/>
      </c>
      <c r="G338" s="195">
        <f>IF(B338="","",SIN(2*E338)/(COSH(2*D338)+COS(2*E338)))</f>
        <v/>
      </c>
      <c r="H338" s="195">
        <f>IF(B338="","",ATANH(MIN(0.999999,'入力・概要'!$E$21/'入力・概要'!$E$15))+'入力・概要'!$B$21*SQRT(B338/1E6)+I338*'入力・概要'!$B$16/2)</f>
        <v/>
      </c>
      <c r="I338" s="195">
        <f>IF(B338="","",C338*('入力・概要'!$E$17*1E-9))</f>
        <v/>
      </c>
      <c r="J338" s="195">
        <f>IF(B338="","",SINH(2*H338)/(COSH(2*H338)+COS(2*I338)))</f>
        <v/>
      </c>
      <c r="K338" s="195">
        <f>IF(B338="","",SIN(2*I338)/(COSH(2*H338)+COS(2*I338)))</f>
        <v/>
      </c>
      <c r="L338" s="195">
        <f>IF(B338="","",'入力・概要'!$B$25)</f>
        <v/>
      </c>
      <c r="M338" s="195">
        <f>IF(B338="","",C338*'入力・概要'!$B$26*1E-9-1/(C338*'入力・概要'!$B$24*1E-6))</f>
        <v/>
      </c>
      <c r="N338" s="195">
        <f>IF(B338="","",'入力・概要'!$B$28)</f>
        <v/>
      </c>
      <c r="O338" s="195">
        <f>IF(B338="","",C338*'入力・概要'!$B$29*1E-9-1/(C338*'入力・概要'!$B$27*1E-6))</f>
        <v/>
      </c>
      <c r="P338" s="195">
        <f>IF(B338="","",((L338*N338-M338*O338)*(L338+N338)+(L338*O338+M338*N338)*(M338+O338))/((L338+N338)^2+(M338+O338)^2))</f>
        <v/>
      </c>
      <c r="Q338" s="195">
        <f>IF(B338="","",((L338*O338+M338*N338)*(L338+N338)-(L338*N338-M338*O338)*(M338+O338))/((L338+N338)^2+(M338+O338)^2))</f>
        <v/>
      </c>
      <c r="R338" s="195">
        <f>IF(B338="","",'入力・概要'!$E$15*J338)</f>
        <v/>
      </c>
      <c r="S338" s="195">
        <f>IF(B338="","",'入力・概要'!$E$15*K338)</f>
        <v/>
      </c>
      <c r="T338" s="195">
        <f>IF(B338="","",P338+R338)</f>
        <v/>
      </c>
      <c r="U338" s="195">
        <f>IF(B338="","",Q338+S338)</f>
        <v/>
      </c>
      <c r="V338" s="195">
        <f>IF(B338="","",T338+'入力・概要'!$E$9*F338)</f>
        <v/>
      </c>
      <c r="W338" s="195">
        <f>IF(B338="","",U338+'入力・概要'!$E$9*G338)</f>
        <v/>
      </c>
      <c r="X338" s="195">
        <f>IF(B338="","",'入力・概要'!$E$9+T338*F338-U338*G338)</f>
        <v/>
      </c>
      <c r="Y338" s="195">
        <f>IF(B338="","",T338*G338+U338*F338)</f>
        <v/>
      </c>
      <c r="Z338" s="195">
        <f>IF(B338="","",'入力・概要'!$E$9*(V338*X338+W338*Y338)/(X338^2+Y338^2)+'入力・概要'!$B$36)</f>
        <v/>
      </c>
      <c r="AA338" s="195">
        <f>IF(B338="","",'入力・概要'!$E$9*(W338*X338-V338*Y338)/(X338^2+Y338^2)+C338*'入力・概要'!$B$37*1E-9)</f>
        <v/>
      </c>
      <c r="AB338" s="195">
        <f>IF(B338="","",SQRT(Z338^2+AA338^2))</f>
        <v/>
      </c>
      <c r="AC338" s="195">
        <f>IF(B338="","",IF(Z338&gt;0,DEGREES(ATAN(AA338/Z338)),IF(Z338&lt;0,IF(AA338&gt;=0,DEGREES(ATAN(AA338/Z338))+180,DEGREES(ATAN(AA338/Z338))-180),IF(AA338&gt;0,90,IF(AA338&lt;0,-90,0)))))</f>
        <v/>
      </c>
      <c r="AD338" s="195">
        <f>IF(B338="","",LOG10(B338))</f>
        <v/>
      </c>
      <c r="AE338" s="195">
        <f>IF(AB338="","",LOG10(MAX(AB338,1E-12)))</f>
        <v/>
      </c>
      <c r="AF338" s="195">
        <f>IF(B338="","",SQRT(P338^2+Q338^2))</f>
        <v/>
      </c>
      <c r="AG338" s="195">
        <f>IF(B338="","",SQRT(R338^2+S338^2))</f>
        <v/>
      </c>
    </row>
    <row r="339">
      <c r="A339" t="n">
        <v>336</v>
      </c>
      <c r="B339" s="196">
        <f>IF(A339&lt;='入力・概要'!$B$40,10^(LOG10('入力・概要'!$B$38)+(A339-1)*(LOG10('入力・概要'!$B$39)-LOG10('入力・概要'!$B$38))/('入力・概要'!$B$40-1)),"")</f>
        <v/>
      </c>
      <c r="C339" s="195">
        <f>IF(B339="","",2*PI()*B339)</f>
        <v/>
      </c>
      <c r="D339" s="195">
        <f>IF(B339="","",ATANH(MIN(0.999999,'入力・概要'!$E$20/'入力・概要'!$E$9))+'入力・概要'!$B$20*SQRT(B339/1E6)+E339*'入力・概要'!$B$15/2)</f>
        <v/>
      </c>
      <c r="E339" s="195">
        <f>IF(B339="","",C339*('入力・概要'!$E$11*1E-9))</f>
        <v/>
      </c>
      <c r="F339" s="195">
        <f>IF(B339="","",SINH(2*D339)/(COSH(2*D339)+COS(2*E339)))</f>
        <v/>
      </c>
      <c r="G339" s="195">
        <f>IF(B339="","",SIN(2*E339)/(COSH(2*D339)+COS(2*E339)))</f>
        <v/>
      </c>
      <c r="H339" s="195">
        <f>IF(B339="","",ATANH(MIN(0.999999,'入力・概要'!$E$21/'入力・概要'!$E$15))+'入力・概要'!$B$21*SQRT(B339/1E6)+I339*'入力・概要'!$B$16/2)</f>
        <v/>
      </c>
      <c r="I339" s="195">
        <f>IF(B339="","",C339*('入力・概要'!$E$17*1E-9))</f>
        <v/>
      </c>
      <c r="J339" s="195">
        <f>IF(B339="","",SINH(2*H339)/(COSH(2*H339)+COS(2*I339)))</f>
        <v/>
      </c>
      <c r="K339" s="195">
        <f>IF(B339="","",SIN(2*I339)/(COSH(2*H339)+COS(2*I339)))</f>
        <v/>
      </c>
      <c r="L339" s="195">
        <f>IF(B339="","",'入力・概要'!$B$25)</f>
        <v/>
      </c>
      <c r="M339" s="195">
        <f>IF(B339="","",C339*'入力・概要'!$B$26*1E-9-1/(C339*'入力・概要'!$B$24*1E-6))</f>
        <v/>
      </c>
      <c r="N339" s="195">
        <f>IF(B339="","",'入力・概要'!$B$28)</f>
        <v/>
      </c>
      <c r="O339" s="195">
        <f>IF(B339="","",C339*'入力・概要'!$B$29*1E-9-1/(C339*'入力・概要'!$B$27*1E-6))</f>
        <v/>
      </c>
      <c r="P339" s="195">
        <f>IF(B339="","",((L339*N339-M339*O339)*(L339+N339)+(L339*O339+M339*N339)*(M339+O339))/((L339+N339)^2+(M339+O339)^2))</f>
        <v/>
      </c>
      <c r="Q339" s="195">
        <f>IF(B339="","",((L339*O339+M339*N339)*(L339+N339)-(L339*N339-M339*O339)*(M339+O339))/((L339+N339)^2+(M339+O339)^2))</f>
        <v/>
      </c>
      <c r="R339" s="195">
        <f>IF(B339="","",'入力・概要'!$E$15*J339)</f>
        <v/>
      </c>
      <c r="S339" s="195">
        <f>IF(B339="","",'入力・概要'!$E$15*K339)</f>
        <v/>
      </c>
      <c r="T339" s="195">
        <f>IF(B339="","",P339+R339)</f>
        <v/>
      </c>
      <c r="U339" s="195">
        <f>IF(B339="","",Q339+S339)</f>
        <v/>
      </c>
      <c r="V339" s="195">
        <f>IF(B339="","",T339+'入力・概要'!$E$9*F339)</f>
        <v/>
      </c>
      <c r="W339" s="195">
        <f>IF(B339="","",U339+'入力・概要'!$E$9*G339)</f>
        <v/>
      </c>
      <c r="X339" s="195">
        <f>IF(B339="","",'入力・概要'!$E$9+T339*F339-U339*G339)</f>
        <v/>
      </c>
      <c r="Y339" s="195">
        <f>IF(B339="","",T339*G339+U339*F339)</f>
        <v/>
      </c>
      <c r="Z339" s="195">
        <f>IF(B339="","",'入力・概要'!$E$9*(V339*X339+W339*Y339)/(X339^2+Y339^2)+'入力・概要'!$B$36)</f>
        <v/>
      </c>
      <c r="AA339" s="195">
        <f>IF(B339="","",'入力・概要'!$E$9*(W339*X339-V339*Y339)/(X339^2+Y339^2)+C339*'入力・概要'!$B$37*1E-9)</f>
        <v/>
      </c>
      <c r="AB339" s="195">
        <f>IF(B339="","",SQRT(Z339^2+AA339^2))</f>
        <v/>
      </c>
      <c r="AC339" s="195">
        <f>IF(B339="","",IF(Z339&gt;0,DEGREES(ATAN(AA339/Z339)),IF(Z339&lt;0,IF(AA339&gt;=0,DEGREES(ATAN(AA339/Z339))+180,DEGREES(ATAN(AA339/Z339))-180),IF(AA339&gt;0,90,IF(AA339&lt;0,-90,0)))))</f>
        <v/>
      </c>
      <c r="AD339" s="195">
        <f>IF(B339="","",LOG10(B339))</f>
        <v/>
      </c>
      <c r="AE339" s="195">
        <f>IF(AB339="","",LOG10(MAX(AB339,1E-12)))</f>
        <v/>
      </c>
      <c r="AF339" s="195">
        <f>IF(B339="","",SQRT(P339^2+Q339^2))</f>
        <v/>
      </c>
      <c r="AG339" s="195">
        <f>IF(B339="","",SQRT(R339^2+S339^2))</f>
        <v/>
      </c>
    </row>
    <row r="340">
      <c r="A340" t="n">
        <v>337</v>
      </c>
      <c r="B340" s="196">
        <f>IF(A340&lt;='入力・概要'!$B$40,10^(LOG10('入力・概要'!$B$38)+(A340-1)*(LOG10('入力・概要'!$B$39)-LOG10('入力・概要'!$B$38))/('入力・概要'!$B$40-1)),"")</f>
        <v/>
      </c>
      <c r="C340" s="195">
        <f>IF(B340="","",2*PI()*B340)</f>
        <v/>
      </c>
      <c r="D340" s="195">
        <f>IF(B340="","",ATANH(MIN(0.999999,'入力・概要'!$E$20/'入力・概要'!$E$9))+'入力・概要'!$B$20*SQRT(B340/1E6)+E340*'入力・概要'!$B$15/2)</f>
        <v/>
      </c>
      <c r="E340" s="195">
        <f>IF(B340="","",C340*('入力・概要'!$E$11*1E-9))</f>
        <v/>
      </c>
      <c r="F340" s="195">
        <f>IF(B340="","",SINH(2*D340)/(COSH(2*D340)+COS(2*E340)))</f>
        <v/>
      </c>
      <c r="G340" s="195">
        <f>IF(B340="","",SIN(2*E340)/(COSH(2*D340)+COS(2*E340)))</f>
        <v/>
      </c>
      <c r="H340" s="195">
        <f>IF(B340="","",ATANH(MIN(0.999999,'入力・概要'!$E$21/'入力・概要'!$E$15))+'入力・概要'!$B$21*SQRT(B340/1E6)+I340*'入力・概要'!$B$16/2)</f>
        <v/>
      </c>
      <c r="I340" s="195">
        <f>IF(B340="","",C340*('入力・概要'!$E$17*1E-9))</f>
        <v/>
      </c>
      <c r="J340" s="195">
        <f>IF(B340="","",SINH(2*H340)/(COSH(2*H340)+COS(2*I340)))</f>
        <v/>
      </c>
      <c r="K340" s="195">
        <f>IF(B340="","",SIN(2*I340)/(COSH(2*H340)+COS(2*I340)))</f>
        <v/>
      </c>
      <c r="L340" s="195">
        <f>IF(B340="","",'入力・概要'!$B$25)</f>
        <v/>
      </c>
      <c r="M340" s="195">
        <f>IF(B340="","",C340*'入力・概要'!$B$26*1E-9-1/(C340*'入力・概要'!$B$24*1E-6))</f>
        <v/>
      </c>
      <c r="N340" s="195">
        <f>IF(B340="","",'入力・概要'!$B$28)</f>
        <v/>
      </c>
      <c r="O340" s="195">
        <f>IF(B340="","",C340*'入力・概要'!$B$29*1E-9-1/(C340*'入力・概要'!$B$27*1E-6))</f>
        <v/>
      </c>
      <c r="P340" s="195">
        <f>IF(B340="","",((L340*N340-M340*O340)*(L340+N340)+(L340*O340+M340*N340)*(M340+O340))/((L340+N340)^2+(M340+O340)^2))</f>
        <v/>
      </c>
      <c r="Q340" s="195">
        <f>IF(B340="","",((L340*O340+M340*N340)*(L340+N340)-(L340*N340-M340*O340)*(M340+O340))/((L340+N340)^2+(M340+O340)^2))</f>
        <v/>
      </c>
      <c r="R340" s="195">
        <f>IF(B340="","",'入力・概要'!$E$15*J340)</f>
        <v/>
      </c>
      <c r="S340" s="195">
        <f>IF(B340="","",'入力・概要'!$E$15*K340)</f>
        <v/>
      </c>
      <c r="T340" s="195">
        <f>IF(B340="","",P340+R340)</f>
        <v/>
      </c>
      <c r="U340" s="195">
        <f>IF(B340="","",Q340+S340)</f>
        <v/>
      </c>
      <c r="V340" s="195">
        <f>IF(B340="","",T340+'入力・概要'!$E$9*F340)</f>
        <v/>
      </c>
      <c r="W340" s="195">
        <f>IF(B340="","",U340+'入力・概要'!$E$9*G340)</f>
        <v/>
      </c>
      <c r="X340" s="195">
        <f>IF(B340="","",'入力・概要'!$E$9+T340*F340-U340*G340)</f>
        <v/>
      </c>
      <c r="Y340" s="195">
        <f>IF(B340="","",T340*G340+U340*F340)</f>
        <v/>
      </c>
      <c r="Z340" s="195">
        <f>IF(B340="","",'入力・概要'!$E$9*(V340*X340+W340*Y340)/(X340^2+Y340^2)+'入力・概要'!$B$36)</f>
        <v/>
      </c>
      <c r="AA340" s="195">
        <f>IF(B340="","",'入力・概要'!$E$9*(W340*X340-V340*Y340)/(X340^2+Y340^2)+C340*'入力・概要'!$B$37*1E-9)</f>
        <v/>
      </c>
      <c r="AB340" s="195">
        <f>IF(B340="","",SQRT(Z340^2+AA340^2))</f>
        <v/>
      </c>
      <c r="AC340" s="195">
        <f>IF(B340="","",IF(Z340&gt;0,DEGREES(ATAN(AA340/Z340)),IF(Z340&lt;0,IF(AA340&gt;=0,DEGREES(ATAN(AA340/Z340))+180,DEGREES(ATAN(AA340/Z340))-180),IF(AA340&gt;0,90,IF(AA340&lt;0,-90,0)))))</f>
        <v/>
      </c>
      <c r="AD340" s="195">
        <f>IF(B340="","",LOG10(B340))</f>
        <v/>
      </c>
      <c r="AE340" s="195">
        <f>IF(AB340="","",LOG10(MAX(AB340,1E-12)))</f>
        <v/>
      </c>
      <c r="AF340" s="195">
        <f>IF(B340="","",SQRT(P340^2+Q340^2))</f>
        <v/>
      </c>
      <c r="AG340" s="195">
        <f>IF(B340="","",SQRT(R340^2+S340^2))</f>
        <v/>
      </c>
    </row>
    <row r="341">
      <c r="A341" t="n">
        <v>338</v>
      </c>
      <c r="B341" s="196">
        <f>IF(A341&lt;='入力・概要'!$B$40,10^(LOG10('入力・概要'!$B$38)+(A341-1)*(LOG10('入力・概要'!$B$39)-LOG10('入力・概要'!$B$38))/('入力・概要'!$B$40-1)),"")</f>
        <v/>
      </c>
      <c r="C341" s="195">
        <f>IF(B341="","",2*PI()*B341)</f>
        <v/>
      </c>
      <c r="D341" s="195">
        <f>IF(B341="","",ATANH(MIN(0.999999,'入力・概要'!$E$20/'入力・概要'!$E$9))+'入力・概要'!$B$20*SQRT(B341/1E6)+E341*'入力・概要'!$B$15/2)</f>
        <v/>
      </c>
      <c r="E341" s="195">
        <f>IF(B341="","",C341*('入力・概要'!$E$11*1E-9))</f>
        <v/>
      </c>
      <c r="F341" s="195">
        <f>IF(B341="","",SINH(2*D341)/(COSH(2*D341)+COS(2*E341)))</f>
        <v/>
      </c>
      <c r="G341" s="195">
        <f>IF(B341="","",SIN(2*E341)/(COSH(2*D341)+COS(2*E341)))</f>
        <v/>
      </c>
      <c r="H341" s="195">
        <f>IF(B341="","",ATANH(MIN(0.999999,'入力・概要'!$E$21/'入力・概要'!$E$15))+'入力・概要'!$B$21*SQRT(B341/1E6)+I341*'入力・概要'!$B$16/2)</f>
        <v/>
      </c>
      <c r="I341" s="195">
        <f>IF(B341="","",C341*('入力・概要'!$E$17*1E-9))</f>
        <v/>
      </c>
      <c r="J341" s="195">
        <f>IF(B341="","",SINH(2*H341)/(COSH(2*H341)+COS(2*I341)))</f>
        <v/>
      </c>
      <c r="K341" s="195">
        <f>IF(B341="","",SIN(2*I341)/(COSH(2*H341)+COS(2*I341)))</f>
        <v/>
      </c>
      <c r="L341" s="195">
        <f>IF(B341="","",'入力・概要'!$B$25)</f>
        <v/>
      </c>
      <c r="M341" s="195">
        <f>IF(B341="","",C341*'入力・概要'!$B$26*1E-9-1/(C341*'入力・概要'!$B$24*1E-6))</f>
        <v/>
      </c>
      <c r="N341" s="195">
        <f>IF(B341="","",'入力・概要'!$B$28)</f>
        <v/>
      </c>
      <c r="O341" s="195">
        <f>IF(B341="","",C341*'入力・概要'!$B$29*1E-9-1/(C341*'入力・概要'!$B$27*1E-6))</f>
        <v/>
      </c>
      <c r="P341" s="195">
        <f>IF(B341="","",((L341*N341-M341*O341)*(L341+N341)+(L341*O341+M341*N341)*(M341+O341))/((L341+N341)^2+(M341+O341)^2))</f>
        <v/>
      </c>
      <c r="Q341" s="195">
        <f>IF(B341="","",((L341*O341+M341*N341)*(L341+N341)-(L341*N341-M341*O341)*(M341+O341))/((L341+N341)^2+(M341+O341)^2))</f>
        <v/>
      </c>
      <c r="R341" s="195">
        <f>IF(B341="","",'入力・概要'!$E$15*J341)</f>
        <v/>
      </c>
      <c r="S341" s="195">
        <f>IF(B341="","",'入力・概要'!$E$15*K341)</f>
        <v/>
      </c>
      <c r="T341" s="195">
        <f>IF(B341="","",P341+R341)</f>
        <v/>
      </c>
      <c r="U341" s="195">
        <f>IF(B341="","",Q341+S341)</f>
        <v/>
      </c>
      <c r="V341" s="195">
        <f>IF(B341="","",T341+'入力・概要'!$E$9*F341)</f>
        <v/>
      </c>
      <c r="W341" s="195">
        <f>IF(B341="","",U341+'入力・概要'!$E$9*G341)</f>
        <v/>
      </c>
      <c r="X341" s="195">
        <f>IF(B341="","",'入力・概要'!$E$9+T341*F341-U341*G341)</f>
        <v/>
      </c>
      <c r="Y341" s="195">
        <f>IF(B341="","",T341*G341+U341*F341)</f>
        <v/>
      </c>
      <c r="Z341" s="195">
        <f>IF(B341="","",'入力・概要'!$E$9*(V341*X341+W341*Y341)/(X341^2+Y341^2)+'入力・概要'!$B$36)</f>
        <v/>
      </c>
      <c r="AA341" s="195">
        <f>IF(B341="","",'入力・概要'!$E$9*(W341*X341-V341*Y341)/(X341^2+Y341^2)+C341*'入力・概要'!$B$37*1E-9)</f>
        <v/>
      </c>
      <c r="AB341" s="195">
        <f>IF(B341="","",SQRT(Z341^2+AA341^2))</f>
        <v/>
      </c>
      <c r="AC341" s="195">
        <f>IF(B341="","",IF(Z341&gt;0,DEGREES(ATAN(AA341/Z341)),IF(Z341&lt;0,IF(AA341&gt;=0,DEGREES(ATAN(AA341/Z341))+180,DEGREES(ATAN(AA341/Z341))-180),IF(AA341&gt;0,90,IF(AA341&lt;0,-90,0)))))</f>
        <v/>
      </c>
      <c r="AD341" s="195">
        <f>IF(B341="","",LOG10(B341))</f>
        <v/>
      </c>
      <c r="AE341" s="195">
        <f>IF(AB341="","",LOG10(MAX(AB341,1E-12)))</f>
        <v/>
      </c>
      <c r="AF341" s="195">
        <f>IF(B341="","",SQRT(P341^2+Q341^2))</f>
        <v/>
      </c>
      <c r="AG341" s="195">
        <f>IF(B341="","",SQRT(R341^2+S341^2))</f>
        <v/>
      </c>
    </row>
    <row r="342">
      <c r="A342" t="n">
        <v>339</v>
      </c>
      <c r="B342" s="196">
        <f>IF(A342&lt;='入力・概要'!$B$40,10^(LOG10('入力・概要'!$B$38)+(A342-1)*(LOG10('入力・概要'!$B$39)-LOG10('入力・概要'!$B$38))/('入力・概要'!$B$40-1)),"")</f>
        <v/>
      </c>
      <c r="C342" s="195">
        <f>IF(B342="","",2*PI()*B342)</f>
        <v/>
      </c>
      <c r="D342" s="195">
        <f>IF(B342="","",ATANH(MIN(0.999999,'入力・概要'!$E$20/'入力・概要'!$E$9))+'入力・概要'!$B$20*SQRT(B342/1E6)+E342*'入力・概要'!$B$15/2)</f>
        <v/>
      </c>
      <c r="E342" s="195">
        <f>IF(B342="","",C342*('入力・概要'!$E$11*1E-9))</f>
        <v/>
      </c>
      <c r="F342" s="195">
        <f>IF(B342="","",SINH(2*D342)/(COSH(2*D342)+COS(2*E342)))</f>
        <v/>
      </c>
      <c r="G342" s="195">
        <f>IF(B342="","",SIN(2*E342)/(COSH(2*D342)+COS(2*E342)))</f>
        <v/>
      </c>
      <c r="H342" s="195">
        <f>IF(B342="","",ATANH(MIN(0.999999,'入力・概要'!$E$21/'入力・概要'!$E$15))+'入力・概要'!$B$21*SQRT(B342/1E6)+I342*'入力・概要'!$B$16/2)</f>
        <v/>
      </c>
      <c r="I342" s="195">
        <f>IF(B342="","",C342*('入力・概要'!$E$17*1E-9))</f>
        <v/>
      </c>
      <c r="J342" s="195">
        <f>IF(B342="","",SINH(2*H342)/(COSH(2*H342)+COS(2*I342)))</f>
        <v/>
      </c>
      <c r="K342" s="195">
        <f>IF(B342="","",SIN(2*I342)/(COSH(2*H342)+COS(2*I342)))</f>
        <v/>
      </c>
      <c r="L342" s="195">
        <f>IF(B342="","",'入力・概要'!$B$25)</f>
        <v/>
      </c>
      <c r="M342" s="195">
        <f>IF(B342="","",C342*'入力・概要'!$B$26*1E-9-1/(C342*'入力・概要'!$B$24*1E-6))</f>
        <v/>
      </c>
      <c r="N342" s="195">
        <f>IF(B342="","",'入力・概要'!$B$28)</f>
        <v/>
      </c>
      <c r="O342" s="195">
        <f>IF(B342="","",C342*'入力・概要'!$B$29*1E-9-1/(C342*'入力・概要'!$B$27*1E-6))</f>
        <v/>
      </c>
      <c r="P342" s="195">
        <f>IF(B342="","",((L342*N342-M342*O342)*(L342+N342)+(L342*O342+M342*N342)*(M342+O342))/((L342+N342)^2+(M342+O342)^2))</f>
        <v/>
      </c>
      <c r="Q342" s="195">
        <f>IF(B342="","",((L342*O342+M342*N342)*(L342+N342)-(L342*N342-M342*O342)*(M342+O342))/((L342+N342)^2+(M342+O342)^2))</f>
        <v/>
      </c>
      <c r="R342" s="195">
        <f>IF(B342="","",'入力・概要'!$E$15*J342)</f>
        <v/>
      </c>
      <c r="S342" s="195">
        <f>IF(B342="","",'入力・概要'!$E$15*K342)</f>
        <v/>
      </c>
      <c r="T342" s="195">
        <f>IF(B342="","",P342+R342)</f>
        <v/>
      </c>
      <c r="U342" s="195">
        <f>IF(B342="","",Q342+S342)</f>
        <v/>
      </c>
      <c r="V342" s="195">
        <f>IF(B342="","",T342+'入力・概要'!$E$9*F342)</f>
        <v/>
      </c>
      <c r="W342" s="195">
        <f>IF(B342="","",U342+'入力・概要'!$E$9*G342)</f>
        <v/>
      </c>
      <c r="X342" s="195">
        <f>IF(B342="","",'入力・概要'!$E$9+T342*F342-U342*G342)</f>
        <v/>
      </c>
      <c r="Y342" s="195">
        <f>IF(B342="","",T342*G342+U342*F342)</f>
        <v/>
      </c>
      <c r="Z342" s="195">
        <f>IF(B342="","",'入力・概要'!$E$9*(V342*X342+W342*Y342)/(X342^2+Y342^2)+'入力・概要'!$B$36)</f>
        <v/>
      </c>
      <c r="AA342" s="195">
        <f>IF(B342="","",'入力・概要'!$E$9*(W342*X342-V342*Y342)/(X342^2+Y342^2)+C342*'入力・概要'!$B$37*1E-9)</f>
        <v/>
      </c>
      <c r="AB342" s="195">
        <f>IF(B342="","",SQRT(Z342^2+AA342^2))</f>
        <v/>
      </c>
      <c r="AC342" s="195">
        <f>IF(B342="","",IF(Z342&gt;0,DEGREES(ATAN(AA342/Z342)),IF(Z342&lt;0,IF(AA342&gt;=0,DEGREES(ATAN(AA342/Z342))+180,DEGREES(ATAN(AA342/Z342))-180),IF(AA342&gt;0,90,IF(AA342&lt;0,-90,0)))))</f>
        <v/>
      </c>
      <c r="AD342" s="195">
        <f>IF(B342="","",LOG10(B342))</f>
        <v/>
      </c>
      <c r="AE342" s="195">
        <f>IF(AB342="","",LOG10(MAX(AB342,1E-12)))</f>
        <v/>
      </c>
      <c r="AF342" s="195">
        <f>IF(B342="","",SQRT(P342^2+Q342^2))</f>
        <v/>
      </c>
      <c r="AG342" s="195">
        <f>IF(B342="","",SQRT(R342^2+S342^2))</f>
        <v/>
      </c>
    </row>
    <row r="343">
      <c r="A343" t="n">
        <v>340</v>
      </c>
      <c r="B343" s="196">
        <f>IF(A343&lt;='入力・概要'!$B$40,10^(LOG10('入力・概要'!$B$38)+(A343-1)*(LOG10('入力・概要'!$B$39)-LOG10('入力・概要'!$B$38))/('入力・概要'!$B$40-1)),"")</f>
        <v/>
      </c>
      <c r="C343" s="195">
        <f>IF(B343="","",2*PI()*B343)</f>
        <v/>
      </c>
      <c r="D343" s="195">
        <f>IF(B343="","",ATANH(MIN(0.999999,'入力・概要'!$E$20/'入力・概要'!$E$9))+'入力・概要'!$B$20*SQRT(B343/1E6)+E343*'入力・概要'!$B$15/2)</f>
        <v/>
      </c>
      <c r="E343" s="195">
        <f>IF(B343="","",C343*('入力・概要'!$E$11*1E-9))</f>
        <v/>
      </c>
      <c r="F343" s="195">
        <f>IF(B343="","",SINH(2*D343)/(COSH(2*D343)+COS(2*E343)))</f>
        <v/>
      </c>
      <c r="G343" s="195">
        <f>IF(B343="","",SIN(2*E343)/(COSH(2*D343)+COS(2*E343)))</f>
        <v/>
      </c>
      <c r="H343" s="195">
        <f>IF(B343="","",ATANH(MIN(0.999999,'入力・概要'!$E$21/'入力・概要'!$E$15))+'入力・概要'!$B$21*SQRT(B343/1E6)+I343*'入力・概要'!$B$16/2)</f>
        <v/>
      </c>
      <c r="I343" s="195">
        <f>IF(B343="","",C343*('入力・概要'!$E$17*1E-9))</f>
        <v/>
      </c>
      <c r="J343" s="195">
        <f>IF(B343="","",SINH(2*H343)/(COSH(2*H343)+COS(2*I343)))</f>
        <v/>
      </c>
      <c r="K343" s="195">
        <f>IF(B343="","",SIN(2*I343)/(COSH(2*H343)+COS(2*I343)))</f>
        <v/>
      </c>
      <c r="L343" s="195">
        <f>IF(B343="","",'入力・概要'!$B$25)</f>
        <v/>
      </c>
      <c r="M343" s="195">
        <f>IF(B343="","",C343*'入力・概要'!$B$26*1E-9-1/(C343*'入力・概要'!$B$24*1E-6))</f>
        <v/>
      </c>
      <c r="N343" s="195">
        <f>IF(B343="","",'入力・概要'!$B$28)</f>
        <v/>
      </c>
      <c r="O343" s="195">
        <f>IF(B343="","",C343*'入力・概要'!$B$29*1E-9-1/(C343*'入力・概要'!$B$27*1E-6))</f>
        <v/>
      </c>
      <c r="P343" s="195">
        <f>IF(B343="","",((L343*N343-M343*O343)*(L343+N343)+(L343*O343+M343*N343)*(M343+O343))/((L343+N343)^2+(M343+O343)^2))</f>
        <v/>
      </c>
      <c r="Q343" s="195">
        <f>IF(B343="","",((L343*O343+M343*N343)*(L343+N343)-(L343*N343-M343*O343)*(M343+O343))/((L343+N343)^2+(M343+O343)^2))</f>
        <v/>
      </c>
      <c r="R343" s="195">
        <f>IF(B343="","",'入力・概要'!$E$15*J343)</f>
        <v/>
      </c>
      <c r="S343" s="195">
        <f>IF(B343="","",'入力・概要'!$E$15*K343)</f>
        <v/>
      </c>
      <c r="T343" s="195">
        <f>IF(B343="","",P343+R343)</f>
        <v/>
      </c>
      <c r="U343" s="195">
        <f>IF(B343="","",Q343+S343)</f>
        <v/>
      </c>
      <c r="V343" s="195">
        <f>IF(B343="","",T343+'入力・概要'!$E$9*F343)</f>
        <v/>
      </c>
      <c r="W343" s="195">
        <f>IF(B343="","",U343+'入力・概要'!$E$9*G343)</f>
        <v/>
      </c>
      <c r="X343" s="195">
        <f>IF(B343="","",'入力・概要'!$E$9+T343*F343-U343*G343)</f>
        <v/>
      </c>
      <c r="Y343" s="195">
        <f>IF(B343="","",T343*G343+U343*F343)</f>
        <v/>
      </c>
      <c r="Z343" s="195">
        <f>IF(B343="","",'入力・概要'!$E$9*(V343*X343+W343*Y343)/(X343^2+Y343^2)+'入力・概要'!$B$36)</f>
        <v/>
      </c>
      <c r="AA343" s="195">
        <f>IF(B343="","",'入力・概要'!$E$9*(W343*X343-V343*Y343)/(X343^2+Y343^2)+C343*'入力・概要'!$B$37*1E-9)</f>
        <v/>
      </c>
      <c r="AB343" s="195">
        <f>IF(B343="","",SQRT(Z343^2+AA343^2))</f>
        <v/>
      </c>
      <c r="AC343" s="195">
        <f>IF(B343="","",IF(Z343&gt;0,DEGREES(ATAN(AA343/Z343)),IF(Z343&lt;0,IF(AA343&gt;=0,DEGREES(ATAN(AA343/Z343))+180,DEGREES(ATAN(AA343/Z343))-180),IF(AA343&gt;0,90,IF(AA343&lt;0,-90,0)))))</f>
        <v/>
      </c>
      <c r="AD343" s="195">
        <f>IF(B343="","",LOG10(B343))</f>
        <v/>
      </c>
      <c r="AE343" s="195">
        <f>IF(AB343="","",LOG10(MAX(AB343,1E-12)))</f>
        <v/>
      </c>
      <c r="AF343" s="195">
        <f>IF(B343="","",SQRT(P343^2+Q343^2))</f>
        <v/>
      </c>
      <c r="AG343" s="195">
        <f>IF(B343="","",SQRT(R343^2+S343^2))</f>
        <v/>
      </c>
    </row>
    <row r="344">
      <c r="A344" t="n">
        <v>341</v>
      </c>
      <c r="B344" s="196">
        <f>IF(A344&lt;='入力・概要'!$B$40,10^(LOG10('入力・概要'!$B$38)+(A344-1)*(LOG10('入力・概要'!$B$39)-LOG10('入力・概要'!$B$38))/('入力・概要'!$B$40-1)),"")</f>
        <v/>
      </c>
      <c r="C344" s="195">
        <f>IF(B344="","",2*PI()*B344)</f>
        <v/>
      </c>
      <c r="D344" s="195">
        <f>IF(B344="","",ATANH(MIN(0.999999,'入力・概要'!$E$20/'入力・概要'!$E$9))+'入力・概要'!$B$20*SQRT(B344/1E6)+E344*'入力・概要'!$B$15/2)</f>
        <v/>
      </c>
      <c r="E344" s="195">
        <f>IF(B344="","",C344*('入力・概要'!$E$11*1E-9))</f>
        <v/>
      </c>
      <c r="F344" s="195">
        <f>IF(B344="","",SINH(2*D344)/(COSH(2*D344)+COS(2*E344)))</f>
        <v/>
      </c>
      <c r="G344" s="195">
        <f>IF(B344="","",SIN(2*E344)/(COSH(2*D344)+COS(2*E344)))</f>
        <v/>
      </c>
      <c r="H344" s="195">
        <f>IF(B344="","",ATANH(MIN(0.999999,'入力・概要'!$E$21/'入力・概要'!$E$15))+'入力・概要'!$B$21*SQRT(B344/1E6)+I344*'入力・概要'!$B$16/2)</f>
        <v/>
      </c>
      <c r="I344" s="195">
        <f>IF(B344="","",C344*('入力・概要'!$E$17*1E-9))</f>
        <v/>
      </c>
      <c r="J344" s="195">
        <f>IF(B344="","",SINH(2*H344)/(COSH(2*H344)+COS(2*I344)))</f>
        <v/>
      </c>
      <c r="K344" s="195">
        <f>IF(B344="","",SIN(2*I344)/(COSH(2*H344)+COS(2*I344)))</f>
        <v/>
      </c>
      <c r="L344" s="195">
        <f>IF(B344="","",'入力・概要'!$B$25)</f>
        <v/>
      </c>
      <c r="M344" s="195">
        <f>IF(B344="","",C344*'入力・概要'!$B$26*1E-9-1/(C344*'入力・概要'!$B$24*1E-6))</f>
        <v/>
      </c>
      <c r="N344" s="195">
        <f>IF(B344="","",'入力・概要'!$B$28)</f>
        <v/>
      </c>
      <c r="O344" s="195">
        <f>IF(B344="","",C344*'入力・概要'!$B$29*1E-9-1/(C344*'入力・概要'!$B$27*1E-6))</f>
        <v/>
      </c>
      <c r="P344" s="195">
        <f>IF(B344="","",((L344*N344-M344*O344)*(L344+N344)+(L344*O344+M344*N344)*(M344+O344))/((L344+N344)^2+(M344+O344)^2))</f>
        <v/>
      </c>
      <c r="Q344" s="195">
        <f>IF(B344="","",((L344*O344+M344*N344)*(L344+N344)-(L344*N344-M344*O344)*(M344+O344))/((L344+N344)^2+(M344+O344)^2))</f>
        <v/>
      </c>
      <c r="R344" s="195">
        <f>IF(B344="","",'入力・概要'!$E$15*J344)</f>
        <v/>
      </c>
      <c r="S344" s="195">
        <f>IF(B344="","",'入力・概要'!$E$15*K344)</f>
        <v/>
      </c>
      <c r="T344" s="195">
        <f>IF(B344="","",P344+R344)</f>
        <v/>
      </c>
      <c r="U344" s="195">
        <f>IF(B344="","",Q344+S344)</f>
        <v/>
      </c>
      <c r="V344" s="195">
        <f>IF(B344="","",T344+'入力・概要'!$E$9*F344)</f>
        <v/>
      </c>
      <c r="W344" s="195">
        <f>IF(B344="","",U344+'入力・概要'!$E$9*G344)</f>
        <v/>
      </c>
      <c r="X344" s="195">
        <f>IF(B344="","",'入力・概要'!$E$9+T344*F344-U344*G344)</f>
        <v/>
      </c>
      <c r="Y344" s="195">
        <f>IF(B344="","",T344*G344+U344*F344)</f>
        <v/>
      </c>
      <c r="Z344" s="195">
        <f>IF(B344="","",'入力・概要'!$E$9*(V344*X344+W344*Y344)/(X344^2+Y344^2)+'入力・概要'!$B$36)</f>
        <v/>
      </c>
      <c r="AA344" s="195">
        <f>IF(B344="","",'入力・概要'!$E$9*(W344*X344-V344*Y344)/(X344^2+Y344^2)+C344*'入力・概要'!$B$37*1E-9)</f>
        <v/>
      </c>
      <c r="AB344" s="195">
        <f>IF(B344="","",SQRT(Z344^2+AA344^2))</f>
        <v/>
      </c>
      <c r="AC344" s="195">
        <f>IF(B344="","",IF(Z344&gt;0,DEGREES(ATAN(AA344/Z344)),IF(Z344&lt;0,IF(AA344&gt;=0,DEGREES(ATAN(AA344/Z344))+180,DEGREES(ATAN(AA344/Z344))-180),IF(AA344&gt;0,90,IF(AA344&lt;0,-90,0)))))</f>
        <v/>
      </c>
      <c r="AD344" s="195">
        <f>IF(B344="","",LOG10(B344))</f>
        <v/>
      </c>
      <c r="AE344" s="195">
        <f>IF(AB344="","",LOG10(MAX(AB344,1E-12)))</f>
        <v/>
      </c>
      <c r="AF344" s="195">
        <f>IF(B344="","",SQRT(P344^2+Q344^2))</f>
        <v/>
      </c>
      <c r="AG344" s="195">
        <f>IF(B344="","",SQRT(R344^2+S344^2))</f>
        <v/>
      </c>
    </row>
    <row r="345">
      <c r="A345" t="n">
        <v>342</v>
      </c>
      <c r="B345" s="196">
        <f>IF(A345&lt;='入力・概要'!$B$40,10^(LOG10('入力・概要'!$B$38)+(A345-1)*(LOG10('入力・概要'!$B$39)-LOG10('入力・概要'!$B$38))/('入力・概要'!$B$40-1)),"")</f>
        <v/>
      </c>
      <c r="C345" s="195">
        <f>IF(B345="","",2*PI()*B345)</f>
        <v/>
      </c>
      <c r="D345" s="195">
        <f>IF(B345="","",ATANH(MIN(0.999999,'入力・概要'!$E$20/'入力・概要'!$E$9))+'入力・概要'!$B$20*SQRT(B345/1E6)+E345*'入力・概要'!$B$15/2)</f>
        <v/>
      </c>
      <c r="E345" s="195">
        <f>IF(B345="","",C345*('入力・概要'!$E$11*1E-9))</f>
        <v/>
      </c>
      <c r="F345" s="195">
        <f>IF(B345="","",SINH(2*D345)/(COSH(2*D345)+COS(2*E345)))</f>
        <v/>
      </c>
      <c r="G345" s="195">
        <f>IF(B345="","",SIN(2*E345)/(COSH(2*D345)+COS(2*E345)))</f>
        <v/>
      </c>
      <c r="H345" s="195">
        <f>IF(B345="","",ATANH(MIN(0.999999,'入力・概要'!$E$21/'入力・概要'!$E$15))+'入力・概要'!$B$21*SQRT(B345/1E6)+I345*'入力・概要'!$B$16/2)</f>
        <v/>
      </c>
      <c r="I345" s="195">
        <f>IF(B345="","",C345*('入力・概要'!$E$17*1E-9))</f>
        <v/>
      </c>
      <c r="J345" s="195">
        <f>IF(B345="","",SINH(2*H345)/(COSH(2*H345)+COS(2*I345)))</f>
        <v/>
      </c>
      <c r="K345" s="195">
        <f>IF(B345="","",SIN(2*I345)/(COSH(2*H345)+COS(2*I345)))</f>
        <v/>
      </c>
      <c r="L345" s="195">
        <f>IF(B345="","",'入力・概要'!$B$25)</f>
        <v/>
      </c>
      <c r="M345" s="195">
        <f>IF(B345="","",C345*'入力・概要'!$B$26*1E-9-1/(C345*'入力・概要'!$B$24*1E-6))</f>
        <v/>
      </c>
      <c r="N345" s="195">
        <f>IF(B345="","",'入力・概要'!$B$28)</f>
        <v/>
      </c>
      <c r="O345" s="195">
        <f>IF(B345="","",C345*'入力・概要'!$B$29*1E-9-1/(C345*'入力・概要'!$B$27*1E-6))</f>
        <v/>
      </c>
      <c r="P345" s="195">
        <f>IF(B345="","",((L345*N345-M345*O345)*(L345+N345)+(L345*O345+M345*N345)*(M345+O345))/((L345+N345)^2+(M345+O345)^2))</f>
        <v/>
      </c>
      <c r="Q345" s="195">
        <f>IF(B345="","",((L345*O345+M345*N345)*(L345+N345)-(L345*N345-M345*O345)*(M345+O345))/((L345+N345)^2+(M345+O345)^2))</f>
        <v/>
      </c>
      <c r="R345" s="195">
        <f>IF(B345="","",'入力・概要'!$E$15*J345)</f>
        <v/>
      </c>
      <c r="S345" s="195">
        <f>IF(B345="","",'入力・概要'!$E$15*K345)</f>
        <v/>
      </c>
      <c r="T345" s="195">
        <f>IF(B345="","",P345+R345)</f>
        <v/>
      </c>
      <c r="U345" s="195">
        <f>IF(B345="","",Q345+S345)</f>
        <v/>
      </c>
      <c r="V345" s="195">
        <f>IF(B345="","",T345+'入力・概要'!$E$9*F345)</f>
        <v/>
      </c>
      <c r="W345" s="195">
        <f>IF(B345="","",U345+'入力・概要'!$E$9*G345)</f>
        <v/>
      </c>
      <c r="X345" s="195">
        <f>IF(B345="","",'入力・概要'!$E$9+T345*F345-U345*G345)</f>
        <v/>
      </c>
      <c r="Y345" s="195">
        <f>IF(B345="","",T345*G345+U345*F345)</f>
        <v/>
      </c>
      <c r="Z345" s="195">
        <f>IF(B345="","",'入力・概要'!$E$9*(V345*X345+W345*Y345)/(X345^2+Y345^2)+'入力・概要'!$B$36)</f>
        <v/>
      </c>
      <c r="AA345" s="195">
        <f>IF(B345="","",'入力・概要'!$E$9*(W345*X345-V345*Y345)/(X345^2+Y345^2)+C345*'入力・概要'!$B$37*1E-9)</f>
        <v/>
      </c>
      <c r="AB345" s="195">
        <f>IF(B345="","",SQRT(Z345^2+AA345^2))</f>
        <v/>
      </c>
      <c r="AC345" s="195">
        <f>IF(B345="","",IF(Z345&gt;0,DEGREES(ATAN(AA345/Z345)),IF(Z345&lt;0,IF(AA345&gt;=0,DEGREES(ATAN(AA345/Z345))+180,DEGREES(ATAN(AA345/Z345))-180),IF(AA345&gt;0,90,IF(AA345&lt;0,-90,0)))))</f>
        <v/>
      </c>
      <c r="AD345" s="195">
        <f>IF(B345="","",LOG10(B345))</f>
        <v/>
      </c>
      <c r="AE345" s="195">
        <f>IF(AB345="","",LOG10(MAX(AB345,1E-12)))</f>
        <v/>
      </c>
      <c r="AF345" s="195">
        <f>IF(B345="","",SQRT(P345^2+Q345^2))</f>
        <v/>
      </c>
      <c r="AG345" s="195">
        <f>IF(B345="","",SQRT(R345^2+S345^2))</f>
        <v/>
      </c>
    </row>
    <row r="346">
      <c r="A346" t="n">
        <v>343</v>
      </c>
      <c r="B346" s="196">
        <f>IF(A346&lt;='入力・概要'!$B$40,10^(LOG10('入力・概要'!$B$38)+(A346-1)*(LOG10('入力・概要'!$B$39)-LOG10('入力・概要'!$B$38))/('入力・概要'!$B$40-1)),"")</f>
        <v/>
      </c>
      <c r="C346" s="195">
        <f>IF(B346="","",2*PI()*B346)</f>
        <v/>
      </c>
      <c r="D346" s="195">
        <f>IF(B346="","",ATANH(MIN(0.999999,'入力・概要'!$E$20/'入力・概要'!$E$9))+'入力・概要'!$B$20*SQRT(B346/1E6)+E346*'入力・概要'!$B$15/2)</f>
        <v/>
      </c>
      <c r="E346" s="195">
        <f>IF(B346="","",C346*('入力・概要'!$E$11*1E-9))</f>
        <v/>
      </c>
      <c r="F346" s="195">
        <f>IF(B346="","",SINH(2*D346)/(COSH(2*D346)+COS(2*E346)))</f>
        <v/>
      </c>
      <c r="G346" s="195">
        <f>IF(B346="","",SIN(2*E346)/(COSH(2*D346)+COS(2*E346)))</f>
        <v/>
      </c>
      <c r="H346" s="195">
        <f>IF(B346="","",ATANH(MIN(0.999999,'入力・概要'!$E$21/'入力・概要'!$E$15))+'入力・概要'!$B$21*SQRT(B346/1E6)+I346*'入力・概要'!$B$16/2)</f>
        <v/>
      </c>
      <c r="I346" s="195">
        <f>IF(B346="","",C346*('入力・概要'!$E$17*1E-9))</f>
        <v/>
      </c>
      <c r="J346" s="195">
        <f>IF(B346="","",SINH(2*H346)/(COSH(2*H346)+COS(2*I346)))</f>
        <v/>
      </c>
      <c r="K346" s="195">
        <f>IF(B346="","",SIN(2*I346)/(COSH(2*H346)+COS(2*I346)))</f>
        <v/>
      </c>
      <c r="L346" s="195">
        <f>IF(B346="","",'入力・概要'!$B$25)</f>
        <v/>
      </c>
      <c r="M346" s="195">
        <f>IF(B346="","",C346*'入力・概要'!$B$26*1E-9-1/(C346*'入力・概要'!$B$24*1E-6))</f>
        <v/>
      </c>
      <c r="N346" s="195">
        <f>IF(B346="","",'入力・概要'!$B$28)</f>
        <v/>
      </c>
      <c r="O346" s="195">
        <f>IF(B346="","",C346*'入力・概要'!$B$29*1E-9-1/(C346*'入力・概要'!$B$27*1E-6))</f>
        <v/>
      </c>
      <c r="P346" s="195">
        <f>IF(B346="","",((L346*N346-M346*O346)*(L346+N346)+(L346*O346+M346*N346)*(M346+O346))/((L346+N346)^2+(M346+O346)^2))</f>
        <v/>
      </c>
      <c r="Q346" s="195">
        <f>IF(B346="","",((L346*O346+M346*N346)*(L346+N346)-(L346*N346-M346*O346)*(M346+O346))/((L346+N346)^2+(M346+O346)^2))</f>
        <v/>
      </c>
      <c r="R346" s="195">
        <f>IF(B346="","",'入力・概要'!$E$15*J346)</f>
        <v/>
      </c>
      <c r="S346" s="195">
        <f>IF(B346="","",'入力・概要'!$E$15*K346)</f>
        <v/>
      </c>
      <c r="T346" s="195">
        <f>IF(B346="","",P346+R346)</f>
        <v/>
      </c>
      <c r="U346" s="195">
        <f>IF(B346="","",Q346+S346)</f>
        <v/>
      </c>
      <c r="V346" s="195">
        <f>IF(B346="","",T346+'入力・概要'!$E$9*F346)</f>
        <v/>
      </c>
      <c r="W346" s="195">
        <f>IF(B346="","",U346+'入力・概要'!$E$9*G346)</f>
        <v/>
      </c>
      <c r="X346" s="195">
        <f>IF(B346="","",'入力・概要'!$E$9+T346*F346-U346*G346)</f>
        <v/>
      </c>
      <c r="Y346" s="195">
        <f>IF(B346="","",T346*G346+U346*F346)</f>
        <v/>
      </c>
      <c r="Z346" s="195">
        <f>IF(B346="","",'入力・概要'!$E$9*(V346*X346+W346*Y346)/(X346^2+Y346^2)+'入力・概要'!$B$36)</f>
        <v/>
      </c>
      <c r="AA346" s="195">
        <f>IF(B346="","",'入力・概要'!$E$9*(W346*X346-V346*Y346)/(X346^2+Y346^2)+C346*'入力・概要'!$B$37*1E-9)</f>
        <v/>
      </c>
      <c r="AB346" s="195">
        <f>IF(B346="","",SQRT(Z346^2+AA346^2))</f>
        <v/>
      </c>
      <c r="AC346" s="195">
        <f>IF(B346="","",IF(Z346&gt;0,DEGREES(ATAN(AA346/Z346)),IF(Z346&lt;0,IF(AA346&gt;=0,DEGREES(ATAN(AA346/Z346))+180,DEGREES(ATAN(AA346/Z346))-180),IF(AA346&gt;0,90,IF(AA346&lt;0,-90,0)))))</f>
        <v/>
      </c>
      <c r="AD346" s="195">
        <f>IF(B346="","",LOG10(B346))</f>
        <v/>
      </c>
      <c r="AE346" s="195">
        <f>IF(AB346="","",LOG10(MAX(AB346,1E-12)))</f>
        <v/>
      </c>
      <c r="AF346" s="195">
        <f>IF(B346="","",SQRT(P346^2+Q346^2))</f>
        <v/>
      </c>
      <c r="AG346" s="195">
        <f>IF(B346="","",SQRT(R346^2+S346^2))</f>
        <v/>
      </c>
    </row>
    <row r="347">
      <c r="A347" t="n">
        <v>344</v>
      </c>
      <c r="B347" s="196">
        <f>IF(A347&lt;='入力・概要'!$B$40,10^(LOG10('入力・概要'!$B$38)+(A347-1)*(LOG10('入力・概要'!$B$39)-LOG10('入力・概要'!$B$38))/('入力・概要'!$B$40-1)),"")</f>
        <v/>
      </c>
      <c r="C347" s="195">
        <f>IF(B347="","",2*PI()*B347)</f>
        <v/>
      </c>
      <c r="D347" s="195">
        <f>IF(B347="","",ATANH(MIN(0.999999,'入力・概要'!$E$20/'入力・概要'!$E$9))+'入力・概要'!$B$20*SQRT(B347/1E6)+E347*'入力・概要'!$B$15/2)</f>
        <v/>
      </c>
      <c r="E347" s="195">
        <f>IF(B347="","",C347*('入力・概要'!$E$11*1E-9))</f>
        <v/>
      </c>
      <c r="F347" s="195">
        <f>IF(B347="","",SINH(2*D347)/(COSH(2*D347)+COS(2*E347)))</f>
        <v/>
      </c>
      <c r="G347" s="195">
        <f>IF(B347="","",SIN(2*E347)/(COSH(2*D347)+COS(2*E347)))</f>
        <v/>
      </c>
      <c r="H347" s="195">
        <f>IF(B347="","",ATANH(MIN(0.999999,'入力・概要'!$E$21/'入力・概要'!$E$15))+'入力・概要'!$B$21*SQRT(B347/1E6)+I347*'入力・概要'!$B$16/2)</f>
        <v/>
      </c>
      <c r="I347" s="195">
        <f>IF(B347="","",C347*('入力・概要'!$E$17*1E-9))</f>
        <v/>
      </c>
      <c r="J347" s="195">
        <f>IF(B347="","",SINH(2*H347)/(COSH(2*H347)+COS(2*I347)))</f>
        <v/>
      </c>
      <c r="K347" s="195">
        <f>IF(B347="","",SIN(2*I347)/(COSH(2*H347)+COS(2*I347)))</f>
        <v/>
      </c>
      <c r="L347" s="195">
        <f>IF(B347="","",'入力・概要'!$B$25)</f>
        <v/>
      </c>
      <c r="M347" s="195">
        <f>IF(B347="","",C347*'入力・概要'!$B$26*1E-9-1/(C347*'入力・概要'!$B$24*1E-6))</f>
        <v/>
      </c>
      <c r="N347" s="195">
        <f>IF(B347="","",'入力・概要'!$B$28)</f>
        <v/>
      </c>
      <c r="O347" s="195">
        <f>IF(B347="","",C347*'入力・概要'!$B$29*1E-9-1/(C347*'入力・概要'!$B$27*1E-6))</f>
        <v/>
      </c>
      <c r="P347" s="195">
        <f>IF(B347="","",((L347*N347-M347*O347)*(L347+N347)+(L347*O347+M347*N347)*(M347+O347))/((L347+N347)^2+(M347+O347)^2))</f>
        <v/>
      </c>
      <c r="Q347" s="195">
        <f>IF(B347="","",((L347*O347+M347*N347)*(L347+N347)-(L347*N347-M347*O347)*(M347+O347))/((L347+N347)^2+(M347+O347)^2))</f>
        <v/>
      </c>
      <c r="R347" s="195">
        <f>IF(B347="","",'入力・概要'!$E$15*J347)</f>
        <v/>
      </c>
      <c r="S347" s="195">
        <f>IF(B347="","",'入力・概要'!$E$15*K347)</f>
        <v/>
      </c>
      <c r="T347" s="195">
        <f>IF(B347="","",P347+R347)</f>
        <v/>
      </c>
      <c r="U347" s="195">
        <f>IF(B347="","",Q347+S347)</f>
        <v/>
      </c>
      <c r="V347" s="195">
        <f>IF(B347="","",T347+'入力・概要'!$E$9*F347)</f>
        <v/>
      </c>
      <c r="W347" s="195">
        <f>IF(B347="","",U347+'入力・概要'!$E$9*G347)</f>
        <v/>
      </c>
      <c r="X347" s="195">
        <f>IF(B347="","",'入力・概要'!$E$9+T347*F347-U347*G347)</f>
        <v/>
      </c>
      <c r="Y347" s="195">
        <f>IF(B347="","",T347*G347+U347*F347)</f>
        <v/>
      </c>
      <c r="Z347" s="195">
        <f>IF(B347="","",'入力・概要'!$E$9*(V347*X347+W347*Y347)/(X347^2+Y347^2)+'入力・概要'!$B$36)</f>
        <v/>
      </c>
      <c r="AA347" s="195">
        <f>IF(B347="","",'入力・概要'!$E$9*(W347*X347-V347*Y347)/(X347^2+Y347^2)+C347*'入力・概要'!$B$37*1E-9)</f>
        <v/>
      </c>
      <c r="AB347" s="195">
        <f>IF(B347="","",SQRT(Z347^2+AA347^2))</f>
        <v/>
      </c>
      <c r="AC347" s="195">
        <f>IF(B347="","",IF(Z347&gt;0,DEGREES(ATAN(AA347/Z347)),IF(Z347&lt;0,IF(AA347&gt;=0,DEGREES(ATAN(AA347/Z347))+180,DEGREES(ATAN(AA347/Z347))-180),IF(AA347&gt;0,90,IF(AA347&lt;0,-90,0)))))</f>
        <v/>
      </c>
      <c r="AD347" s="195">
        <f>IF(B347="","",LOG10(B347))</f>
        <v/>
      </c>
      <c r="AE347" s="195">
        <f>IF(AB347="","",LOG10(MAX(AB347,1E-12)))</f>
        <v/>
      </c>
      <c r="AF347" s="195">
        <f>IF(B347="","",SQRT(P347^2+Q347^2))</f>
        <v/>
      </c>
      <c r="AG347" s="195">
        <f>IF(B347="","",SQRT(R347^2+S347^2))</f>
        <v/>
      </c>
    </row>
    <row r="348">
      <c r="A348" t="n">
        <v>345</v>
      </c>
      <c r="B348" s="196">
        <f>IF(A348&lt;='入力・概要'!$B$40,10^(LOG10('入力・概要'!$B$38)+(A348-1)*(LOG10('入力・概要'!$B$39)-LOG10('入力・概要'!$B$38))/('入力・概要'!$B$40-1)),"")</f>
        <v/>
      </c>
      <c r="C348" s="195">
        <f>IF(B348="","",2*PI()*B348)</f>
        <v/>
      </c>
      <c r="D348" s="195">
        <f>IF(B348="","",ATANH(MIN(0.999999,'入力・概要'!$E$20/'入力・概要'!$E$9))+'入力・概要'!$B$20*SQRT(B348/1E6)+E348*'入力・概要'!$B$15/2)</f>
        <v/>
      </c>
      <c r="E348" s="195">
        <f>IF(B348="","",C348*('入力・概要'!$E$11*1E-9))</f>
        <v/>
      </c>
      <c r="F348" s="195">
        <f>IF(B348="","",SINH(2*D348)/(COSH(2*D348)+COS(2*E348)))</f>
        <v/>
      </c>
      <c r="G348" s="195">
        <f>IF(B348="","",SIN(2*E348)/(COSH(2*D348)+COS(2*E348)))</f>
        <v/>
      </c>
      <c r="H348" s="195">
        <f>IF(B348="","",ATANH(MIN(0.999999,'入力・概要'!$E$21/'入力・概要'!$E$15))+'入力・概要'!$B$21*SQRT(B348/1E6)+I348*'入力・概要'!$B$16/2)</f>
        <v/>
      </c>
      <c r="I348" s="195">
        <f>IF(B348="","",C348*('入力・概要'!$E$17*1E-9))</f>
        <v/>
      </c>
      <c r="J348" s="195">
        <f>IF(B348="","",SINH(2*H348)/(COSH(2*H348)+COS(2*I348)))</f>
        <v/>
      </c>
      <c r="K348" s="195">
        <f>IF(B348="","",SIN(2*I348)/(COSH(2*H348)+COS(2*I348)))</f>
        <v/>
      </c>
      <c r="L348" s="195">
        <f>IF(B348="","",'入力・概要'!$B$25)</f>
        <v/>
      </c>
      <c r="M348" s="195">
        <f>IF(B348="","",C348*'入力・概要'!$B$26*1E-9-1/(C348*'入力・概要'!$B$24*1E-6))</f>
        <v/>
      </c>
      <c r="N348" s="195">
        <f>IF(B348="","",'入力・概要'!$B$28)</f>
        <v/>
      </c>
      <c r="O348" s="195">
        <f>IF(B348="","",C348*'入力・概要'!$B$29*1E-9-1/(C348*'入力・概要'!$B$27*1E-6))</f>
        <v/>
      </c>
      <c r="P348" s="195">
        <f>IF(B348="","",((L348*N348-M348*O348)*(L348+N348)+(L348*O348+M348*N348)*(M348+O348))/((L348+N348)^2+(M348+O348)^2))</f>
        <v/>
      </c>
      <c r="Q348" s="195">
        <f>IF(B348="","",((L348*O348+M348*N348)*(L348+N348)-(L348*N348-M348*O348)*(M348+O348))/((L348+N348)^2+(M348+O348)^2))</f>
        <v/>
      </c>
      <c r="R348" s="195">
        <f>IF(B348="","",'入力・概要'!$E$15*J348)</f>
        <v/>
      </c>
      <c r="S348" s="195">
        <f>IF(B348="","",'入力・概要'!$E$15*K348)</f>
        <v/>
      </c>
      <c r="T348" s="195">
        <f>IF(B348="","",P348+R348)</f>
        <v/>
      </c>
      <c r="U348" s="195">
        <f>IF(B348="","",Q348+S348)</f>
        <v/>
      </c>
      <c r="V348" s="195">
        <f>IF(B348="","",T348+'入力・概要'!$E$9*F348)</f>
        <v/>
      </c>
      <c r="W348" s="195">
        <f>IF(B348="","",U348+'入力・概要'!$E$9*G348)</f>
        <v/>
      </c>
      <c r="X348" s="195">
        <f>IF(B348="","",'入力・概要'!$E$9+T348*F348-U348*G348)</f>
        <v/>
      </c>
      <c r="Y348" s="195">
        <f>IF(B348="","",T348*G348+U348*F348)</f>
        <v/>
      </c>
      <c r="Z348" s="195">
        <f>IF(B348="","",'入力・概要'!$E$9*(V348*X348+W348*Y348)/(X348^2+Y348^2)+'入力・概要'!$B$36)</f>
        <v/>
      </c>
      <c r="AA348" s="195">
        <f>IF(B348="","",'入力・概要'!$E$9*(W348*X348-V348*Y348)/(X348^2+Y348^2)+C348*'入力・概要'!$B$37*1E-9)</f>
        <v/>
      </c>
      <c r="AB348" s="195">
        <f>IF(B348="","",SQRT(Z348^2+AA348^2))</f>
        <v/>
      </c>
      <c r="AC348" s="195">
        <f>IF(B348="","",IF(Z348&gt;0,DEGREES(ATAN(AA348/Z348)),IF(Z348&lt;0,IF(AA348&gt;=0,DEGREES(ATAN(AA348/Z348))+180,DEGREES(ATAN(AA348/Z348))-180),IF(AA348&gt;0,90,IF(AA348&lt;0,-90,0)))))</f>
        <v/>
      </c>
      <c r="AD348" s="195">
        <f>IF(B348="","",LOG10(B348))</f>
        <v/>
      </c>
      <c r="AE348" s="195">
        <f>IF(AB348="","",LOG10(MAX(AB348,1E-12)))</f>
        <v/>
      </c>
      <c r="AF348" s="195">
        <f>IF(B348="","",SQRT(P348^2+Q348^2))</f>
        <v/>
      </c>
      <c r="AG348" s="195">
        <f>IF(B348="","",SQRT(R348^2+S348^2))</f>
        <v/>
      </c>
    </row>
    <row r="349">
      <c r="A349" t="n">
        <v>346</v>
      </c>
      <c r="B349" s="196">
        <f>IF(A349&lt;='入力・概要'!$B$40,10^(LOG10('入力・概要'!$B$38)+(A349-1)*(LOG10('入力・概要'!$B$39)-LOG10('入力・概要'!$B$38))/('入力・概要'!$B$40-1)),"")</f>
        <v/>
      </c>
      <c r="C349" s="195">
        <f>IF(B349="","",2*PI()*B349)</f>
        <v/>
      </c>
      <c r="D349" s="195">
        <f>IF(B349="","",ATANH(MIN(0.999999,'入力・概要'!$E$20/'入力・概要'!$E$9))+'入力・概要'!$B$20*SQRT(B349/1E6)+E349*'入力・概要'!$B$15/2)</f>
        <v/>
      </c>
      <c r="E349" s="195">
        <f>IF(B349="","",C349*('入力・概要'!$E$11*1E-9))</f>
        <v/>
      </c>
      <c r="F349" s="195">
        <f>IF(B349="","",SINH(2*D349)/(COSH(2*D349)+COS(2*E349)))</f>
        <v/>
      </c>
      <c r="G349" s="195">
        <f>IF(B349="","",SIN(2*E349)/(COSH(2*D349)+COS(2*E349)))</f>
        <v/>
      </c>
      <c r="H349" s="195">
        <f>IF(B349="","",ATANH(MIN(0.999999,'入力・概要'!$E$21/'入力・概要'!$E$15))+'入力・概要'!$B$21*SQRT(B349/1E6)+I349*'入力・概要'!$B$16/2)</f>
        <v/>
      </c>
      <c r="I349" s="195">
        <f>IF(B349="","",C349*('入力・概要'!$E$17*1E-9))</f>
        <v/>
      </c>
      <c r="J349" s="195">
        <f>IF(B349="","",SINH(2*H349)/(COSH(2*H349)+COS(2*I349)))</f>
        <v/>
      </c>
      <c r="K349" s="195">
        <f>IF(B349="","",SIN(2*I349)/(COSH(2*H349)+COS(2*I349)))</f>
        <v/>
      </c>
      <c r="L349" s="195">
        <f>IF(B349="","",'入力・概要'!$B$25)</f>
        <v/>
      </c>
      <c r="M349" s="195">
        <f>IF(B349="","",C349*'入力・概要'!$B$26*1E-9-1/(C349*'入力・概要'!$B$24*1E-6))</f>
        <v/>
      </c>
      <c r="N349" s="195">
        <f>IF(B349="","",'入力・概要'!$B$28)</f>
        <v/>
      </c>
      <c r="O349" s="195">
        <f>IF(B349="","",C349*'入力・概要'!$B$29*1E-9-1/(C349*'入力・概要'!$B$27*1E-6))</f>
        <v/>
      </c>
      <c r="P349" s="195">
        <f>IF(B349="","",((L349*N349-M349*O349)*(L349+N349)+(L349*O349+M349*N349)*(M349+O349))/((L349+N349)^2+(M349+O349)^2))</f>
        <v/>
      </c>
      <c r="Q349" s="195">
        <f>IF(B349="","",((L349*O349+M349*N349)*(L349+N349)-(L349*N349-M349*O349)*(M349+O349))/((L349+N349)^2+(M349+O349)^2))</f>
        <v/>
      </c>
      <c r="R349" s="195">
        <f>IF(B349="","",'入力・概要'!$E$15*J349)</f>
        <v/>
      </c>
      <c r="S349" s="195">
        <f>IF(B349="","",'入力・概要'!$E$15*K349)</f>
        <v/>
      </c>
      <c r="T349" s="195">
        <f>IF(B349="","",P349+R349)</f>
        <v/>
      </c>
      <c r="U349" s="195">
        <f>IF(B349="","",Q349+S349)</f>
        <v/>
      </c>
      <c r="V349" s="195">
        <f>IF(B349="","",T349+'入力・概要'!$E$9*F349)</f>
        <v/>
      </c>
      <c r="W349" s="195">
        <f>IF(B349="","",U349+'入力・概要'!$E$9*G349)</f>
        <v/>
      </c>
      <c r="X349" s="195">
        <f>IF(B349="","",'入力・概要'!$E$9+T349*F349-U349*G349)</f>
        <v/>
      </c>
      <c r="Y349" s="195">
        <f>IF(B349="","",T349*G349+U349*F349)</f>
        <v/>
      </c>
      <c r="Z349" s="195">
        <f>IF(B349="","",'入力・概要'!$E$9*(V349*X349+W349*Y349)/(X349^2+Y349^2)+'入力・概要'!$B$36)</f>
        <v/>
      </c>
      <c r="AA349" s="195">
        <f>IF(B349="","",'入力・概要'!$E$9*(W349*X349-V349*Y349)/(X349^2+Y349^2)+C349*'入力・概要'!$B$37*1E-9)</f>
        <v/>
      </c>
      <c r="AB349" s="195">
        <f>IF(B349="","",SQRT(Z349^2+AA349^2))</f>
        <v/>
      </c>
      <c r="AC349" s="195">
        <f>IF(B349="","",IF(Z349&gt;0,DEGREES(ATAN(AA349/Z349)),IF(Z349&lt;0,IF(AA349&gt;=0,DEGREES(ATAN(AA349/Z349))+180,DEGREES(ATAN(AA349/Z349))-180),IF(AA349&gt;0,90,IF(AA349&lt;0,-90,0)))))</f>
        <v/>
      </c>
      <c r="AD349" s="195">
        <f>IF(B349="","",LOG10(B349))</f>
        <v/>
      </c>
      <c r="AE349" s="195">
        <f>IF(AB349="","",LOG10(MAX(AB349,1E-12)))</f>
        <v/>
      </c>
      <c r="AF349" s="195">
        <f>IF(B349="","",SQRT(P349^2+Q349^2))</f>
        <v/>
      </c>
      <c r="AG349" s="195">
        <f>IF(B349="","",SQRT(R349^2+S349^2))</f>
        <v/>
      </c>
    </row>
    <row r="350">
      <c r="A350" t="n">
        <v>347</v>
      </c>
      <c r="B350" s="196">
        <f>IF(A350&lt;='入力・概要'!$B$40,10^(LOG10('入力・概要'!$B$38)+(A350-1)*(LOG10('入力・概要'!$B$39)-LOG10('入力・概要'!$B$38))/('入力・概要'!$B$40-1)),"")</f>
        <v/>
      </c>
      <c r="C350" s="195">
        <f>IF(B350="","",2*PI()*B350)</f>
        <v/>
      </c>
      <c r="D350" s="195">
        <f>IF(B350="","",ATANH(MIN(0.999999,'入力・概要'!$E$20/'入力・概要'!$E$9))+'入力・概要'!$B$20*SQRT(B350/1E6)+E350*'入力・概要'!$B$15/2)</f>
        <v/>
      </c>
      <c r="E350" s="195">
        <f>IF(B350="","",C350*('入力・概要'!$E$11*1E-9))</f>
        <v/>
      </c>
      <c r="F350" s="195">
        <f>IF(B350="","",SINH(2*D350)/(COSH(2*D350)+COS(2*E350)))</f>
        <v/>
      </c>
      <c r="G350" s="195">
        <f>IF(B350="","",SIN(2*E350)/(COSH(2*D350)+COS(2*E350)))</f>
        <v/>
      </c>
      <c r="H350" s="195">
        <f>IF(B350="","",ATANH(MIN(0.999999,'入力・概要'!$E$21/'入力・概要'!$E$15))+'入力・概要'!$B$21*SQRT(B350/1E6)+I350*'入力・概要'!$B$16/2)</f>
        <v/>
      </c>
      <c r="I350" s="195">
        <f>IF(B350="","",C350*('入力・概要'!$E$17*1E-9))</f>
        <v/>
      </c>
      <c r="J350" s="195">
        <f>IF(B350="","",SINH(2*H350)/(COSH(2*H350)+COS(2*I350)))</f>
        <v/>
      </c>
      <c r="K350" s="195">
        <f>IF(B350="","",SIN(2*I350)/(COSH(2*H350)+COS(2*I350)))</f>
        <v/>
      </c>
      <c r="L350" s="195">
        <f>IF(B350="","",'入力・概要'!$B$25)</f>
        <v/>
      </c>
      <c r="M350" s="195">
        <f>IF(B350="","",C350*'入力・概要'!$B$26*1E-9-1/(C350*'入力・概要'!$B$24*1E-6))</f>
        <v/>
      </c>
      <c r="N350" s="195">
        <f>IF(B350="","",'入力・概要'!$B$28)</f>
        <v/>
      </c>
      <c r="O350" s="195">
        <f>IF(B350="","",C350*'入力・概要'!$B$29*1E-9-1/(C350*'入力・概要'!$B$27*1E-6))</f>
        <v/>
      </c>
      <c r="P350" s="195">
        <f>IF(B350="","",((L350*N350-M350*O350)*(L350+N350)+(L350*O350+M350*N350)*(M350+O350))/((L350+N350)^2+(M350+O350)^2))</f>
        <v/>
      </c>
      <c r="Q350" s="195">
        <f>IF(B350="","",((L350*O350+M350*N350)*(L350+N350)-(L350*N350-M350*O350)*(M350+O350))/((L350+N350)^2+(M350+O350)^2))</f>
        <v/>
      </c>
      <c r="R350" s="195">
        <f>IF(B350="","",'入力・概要'!$E$15*J350)</f>
        <v/>
      </c>
      <c r="S350" s="195">
        <f>IF(B350="","",'入力・概要'!$E$15*K350)</f>
        <v/>
      </c>
      <c r="T350" s="195">
        <f>IF(B350="","",P350+R350)</f>
        <v/>
      </c>
      <c r="U350" s="195">
        <f>IF(B350="","",Q350+S350)</f>
        <v/>
      </c>
      <c r="V350" s="195">
        <f>IF(B350="","",T350+'入力・概要'!$E$9*F350)</f>
        <v/>
      </c>
      <c r="W350" s="195">
        <f>IF(B350="","",U350+'入力・概要'!$E$9*G350)</f>
        <v/>
      </c>
      <c r="X350" s="195">
        <f>IF(B350="","",'入力・概要'!$E$9+T350*F350-U350*G350)</f>
        <v/>
      </c>
      <c r="Y350" s="195">
        <f>IF(B350="","",T350*G350+U350*F350)</f>
        <v/>
      </c>
      <c r="Z350" s="195">
        <f>IF(B350="","",'入力・概要'!$E$9*(V350*X350+W350*Y350)/(X350^2+Y350^2)+'入力・概要'!$B$36)</f>
        <v/>
      </c>
      <c r="AA350" s="195">
        <f>IF(B350="","",'入力・概要'!$E$9*(W350*X350-V350*Y350)/(X350^2+Y350^2)+C350*'入力・概要'!$B$37*1E-9)</f>
        <v/>
      </c>
      <c r="AB350" s="195">
        <f>IF(B350="","",SQRT(Z350^2+AA350^2))</f>
        <v/>
      </c>
      <c r="AC350" s="195">
        <f>IF(B350="","",IF(Z350&gt;0,DEGREES(ATAN(AA350/Z350)),IF(Z350&lt;0,IF(AA350&gt;=0,DEGREES(ATAN(AA350/Z350))+180,DEGREES(ATAN(AA350/Z350))-180),IF(AA350&gt;0,90,IF(AA350&lt;0,-90,0)))))</f>
        <v/>
      </c>
      <c r="AD350" s="195">
        <f>IF(B350="","",LOG10(B350))</f>
        <v/>
      </c>
      <c r="AE350" s="195">
        <f>IF(AB350="","",LOG10(MAX(AB350,1E-12)))</f>
        <v/>
      </c>
      <c r="AF350" s="195">
        <f>IF(B350="","",SQRT(P350^2+Q350^2))</f>
        <v/>
      </c>
      <c r="AG350" s="195">
        <f>IF(B350="","",SQRT(R350^2+S350^2))</f>
        <v/>
      </c>
    </row>
    <row r="351">
      <c r="A351" t="n">
        <v>348</v>
      </c>
      <c r="B351" s="196">
        <f>IF(A351&lt;='入力・概要'!$B$40,10^(LOG10('入力・概要'!$B$38)+(A351-1)*(LOG10('入力・概要'!$B$39)-LOG10('入力・概要'!$B$38))/('入力・概要'!$B$40-1)),"")</f>
        <v/>
      </c>
      <c r="C351" s="195">
        <f>IF(B351="","",2*PI()*B351)</f>
        <v/>
      </c>
      <c r="D351" s="195">
        <f>IF(B351="","",ATANH(MIN(0.999999,'入力・概要'!$E$20/'入力・概要'!$E$9))+'入力・概要'!$B$20*SQRT(B351/1E6)+E351*'入力・概要'!$B$15/2)</f>
        <v/>
      </c>
      <c r="E351" s="195">
        <f>IF(B351="","",C351*('入力・概要'!$E$11*1E-9))</f>
        <v/>
      </c>
      <c r="F351" s="195">
        <f>IF(B351="","",SINH(2*D351)/(COSH(2*D351)+COS(2*E351)))</f>
        <v/>
      </c>
      <c r="G351" s="195">
        <f>IF(B351="","",SIN(2*E351)/(COSH(2*D351)+COS(2*E351)))</f>
        <v/>
      </c>
      <c r="H351" s="195">
        <f>IF(B351="","",ATANH(MIN(0.999999,'入力・概要'!$E$21/'入力・概要'!$E$15))+'入力・概要'!$B$21*SQRT(B351/1E6)+I351*'入力・概要'!$B$16/2)</f>
        <v/>
      </c>
      <c r="I351" s="195">
        <f>IF(B351="","",C351*('入力・概要'!$E$17*1E-9))</f>
        <v/>
      </c>
      <c r="J351" s="195">
        <f>IF(B351="","",SINH(2*H351)/(COSH(2*H351)+COS(2*I351)))</f>
        <v/>
      </c>
      <c r="K351" s="195">
        <f>IF(B351="","",SIN(2*I351)/(COSH(2*H351)+COS(2*I351)))</f>
        <v/>
      </c>
      <c r="L351" s="195">
        <f>IF(B351="","",'入力・概要'!$B$25)</f>
        <v/>
      </c>
      <c r="M351" s="195">
        <f>IF(B351="","",C351*'入力・概要'!$B$26*1E-9-1/(C351*'入力・概要'!$B$24*1E-6))</f>
        <v/>
      </c>
      <c r="N351" s="195">
        <f>IF(B351="","",'入力・概要'!$B$28)</f>
        <v/>
      </c>
      <c r="O351" s="195">
        <f>IF(B351="","",C351*'入力・概要'!$B$29*1E-9-1/(C351*'入力・概要'!$B$27*1E-6))</f>
        <v/>
      </c>
      <c r="P351" s="195">
        <f>IF(B351="","",((L351*N351-M351*O351)*(L351+N351)+(L351*O351+M351*N351)*(M351+O351))/((L351+N351)^2+(M351+O351)^2))</f>
        <v/>
      </c>
      <c r="Q351" s="195">
        <f>IF(B351="","",((L351*O351+M351*N351)*(L351+N351)-(L351*N351-M351*O351)*(M351+O351))/((L351+N351)^2+(M351+O351)^2))</f>
        <v/>
      </c>
      <c r="R351" s="195">
        <f>IF(B351="","",'入力・概要'!$E$15*J351)</f>
        <v/>
      </c>
      <c r="S351" s="195">
        <f>IF(B351="","",'入力・概要'!$E$15*K351)</f>
        <v/>
      </c>
      <c r="T351" s="195">
        <f>IF(B351="","",P351+R351)</f>
        <v/>
      </c>
      <c r="U351" s="195">
        <f>IF(B351="","",Q351+S351)</f>
        <v/>
      </c>
      <c r="V351" s="195">
        <f>IF(B351="","",T351+'入力・概要'!$E$9*F351)</f>
        <v/>
      </c>
      <c r="W351" s="195">
        <f>IF(B351="","",U351+'入力・概要'!$E$9*G351)</f>
        <v/>
      </c>
      <c r="X351" s="195">
        <f>IF(B351="","",'入力・概要'!$E$9+T351*F351-U351*G351)</f>
        <v/>
      </c>
      <c r="Y351" s="195">
        <f>IF(B351="","",T351*G351+U351*F351)</f>
        <v/>
      </c>
      <c r="Z351" s="195">
        <f>IF(B351="","",'入力・概要'!$E$9*(V351*X351+W351*Y351)/(X351^2+Y351^2)+'入力・概要'!$B$36)</f>
        <v/>
      </c>
      <c r="AA351" s="195">
        <f>IF(B351="","",'入力・概要'!$E$9*(W351*X351-V351*Y351)/(X351^2+Y351^2)+C351*'入力・概要'!$B$37*1E-9)</f>
        <v/>
      </c>
      <c r="AB351" s="195">
        <f>IF(B351="","",SQRT(Z351^2+AA351^2))</f>
        <v/>
      </c>
      <c r="AC351" s="195">
        <f>IF(B351="","",IF(Z351&gt;0,DEGREES(ATAN(AA351/Z351)),IF(Z351&lt;0,IF(AA351&gt;=0,DEGREES(ATAN(AA351/Z351))+180,DEGREES(ATAN(AA351/Z351))-180),IF(AA351&gt;0,90,IF(AA351&lt;0,-90,0)))))</f>
        <v/>
      </c>
      <c r="AD351" s="195">
        <f>IF(B351="","",LOG10(B351))</f>
        <v/>
      </c>
      <c r="AE351" s="195">
        <f>IF(AB351="","",LOG10(MAX(AB351,1E-12)))</f>
        <v/>
      </c>
      <c r="AF351" s="195">
        <f>IF(B351="","",SQRT(P351^2+Q351^2))</f>
        <v/>
      </c>
      <c r="AG351" s="195">
        <f>IF(B351="","",SQRT(R351^2+S351^2))</f>
        <v/>
      </c>
    </row>
    <row r="352">
      <c r="A352" t="n">
        <v>349</v>
      </c>
      <c r="B352" s="196">
        <f>IF(A352&lt;='入力・概要'!$B$40,10^(LOG10('入力・概要'!$B$38)+(A352-1)*(LOG10('入力・概要'!$B$39)-LOG10('入力・概要'!$B$38))/('入力・概要'!$B$40-1)),"")</f>
        <v/>
      </c>
      <c r="C352" s="195">
        <f>IF(B352="","",2*PI()*B352)</f>
        <v/>
      </c>
      <c r="D352" s="195">
        <f>IF(B352="","",ATANH(MIN(0.999999,'入力・概要'!$E$20/'入力・概要'!$E$9))+'入力・概要'!$B$20*SQRT(B352/1E6)+E352*'入力・概要'!$B$15/2)</f>
        <v/>
      </c>
      <c r="E352" s="195">
        <f>IF(B352="","",C352*('入力・概要'!$E$11*1E-9))</f>
        <v/>
      </c>
      <c r="F352" s="195">
        <f>IF(B352="","",SINH(2*D352)/(COSH(2*D352)+COS(2*E352)))</f>
        <v/>
      </c>
      <c r="G352" s="195">
        <f>IF(B352="","",SIN(2*E352)/(COSH(2*D352)+COS(2*E352)))</f>
        <v/>
      </c>
      <c r="H352" s="195">
        <f>IF(B352="","",ATANH(MIN(0.999999,'入力・概要'!$E$21/'入力・概要'!$E$15))+'入力・概要'!$B$21*SQRT(B352/1E6)+I352*'入力・概要'!$B$16/2)</f>
        <v/>
      </c>
      <c r="I352" s="195">
        <f>IF(B352="","",C352*('入力・概要'!$E$17*1E-9))</f>
        <v/>
      </c>
      <c r="J352" s="195">
        <f>IF(B352="","",SINH(2*H352)/(COSH(2*H352)+COS(2*I352)))</f>
        <v/>
      </c>
      <c r="K352" s="195">
        <f>IF(B352="","",SIN(2*I352)/(COSH(2*H352)+COS(2*I352)))</f>
        <v/>
      </c>
      <c r="L352" s="195">
        <f>IF(B352="","",'入力・概要'!$B$25)</f>
        <v/>
      </c>
      <c r="M352" s="195">
        <f>IF(B352="","",C352*'入力・概要'!$B$26*1E-9-1/(C352*'入力・概要'!$B$24*1E-6))</f>
        <v/>
      </c>
      <c r="N352" s="195">
        <f>IF(B352="","",'入力・概要'!$B$28)</f>
        <v/>
      </c>
      <c r="O352" s="195">
        <f>IF(B352="","",C352*'入力・概要'!$B$29*1E-9-1/(C352*'入力・概要'!$B$27*1E-6))</f>
        <v/>
      </c>
      <c r="P352" s="195">
        <f>IF(B352="","",((L352*N352-M352*O352)*(L352+N352)+(L352*O352+M352*N352)*(M352+O352))/((L352+N352)^2+(M352+O352)^2))</f>
        <v/>
      </c>
      <c r="Q352" s="195">
        <f>IF(B352="","",((L352*O352+M352*N352)*(L352+N352)-(L352*N352-M352*O352)*(M352+O352))/((L352+N352)^2+(M352+O352)^2))</f>
        <v/>
      </c>
      <c r="R352" s="195">
        <f>IF(B352="","",'入力・概要'!$E$15*J352)</f>
        <v/>
      </c>
      <c r="S352" s="195">
        <f>IF(B352="","",'入力・概要'!$E$15*K352)</f>
        <v/>
      </c>
      <c r="T352" s="195">
        <f>IF(B352="","",P352+R352)</f>
        <v/>
      </c>
      <c r="U352" s="195">
        <f>IF(B352="","",Q352+S352)</f>
        <v/>
      </c>
      <c r="V352" s="195">
        <f>IF(B352="","",T352+'入力・概要'!$E$9*F352)</f>
        <v/>
      </c>
      <c r="W352" s="195">
        <f>IF(B352="","",U352+'入力・概要'!$E$9*G352)</f>
        <v/>
      </c>
      <c r="X352" s="195">
        <f>IF(B352="","",'入力・概要'!$E$9+T352*F352-U352*G352)</f>
        <v/>
      </c>
      <c r="Y352" s="195">
        <f>IF(B352="","",T352*G352+U352*F352)</f>
        <v/>
      </c>
      <c r="Z352" s="195">
        <f>IF(B352="","",'入力・概要'!$E$9*(V352*X352+W352*Y352)/(X352^2+Y352^2)+'入力・概要'!$B$36)</f>
        <v/>
      </c>
      <c r="AA352" s="195">
        <f>IF(B352="","",'入力・概要'!$E$9*(W352*X352-V352*Y352)/(X352^2+Y352^2)+C352*'入力・概要'!$B$37*1E-9)</f>
        <v/>
      </c>
      <c r="AB352" s="195">
        <f>IF(B352="","",SQRT(Z352^2+AA352^2))</f>
        <v/>
      </c>
      <c r="AC352" s="195">
        <f>IF(B352="","",IF(Z352&gt;0,DEGREES(ATAN(AA352/Z352)),IF(Z352&lt;0,IF(AA352&gt;=0,DEGREES(ATAN(AA352/Z352))+180,DEGREES(ATAN(AA352/Z352))-180),IF(AA352&gt;0,90,IF(AA352&lt;0,-90,0)))))</f>
        <v/>
      </c>
      <c r="AD352" s="195">
        <f>IF(B352="","",LOG10(B352))</f>
        <v/>
      </c>
      <c r="AE352" s="195">
        <f>IF(AB352="","",LOG10(MAX(AB352,1E-12)))</f>
        <v/>
      </c>
      <c r="AF352" s="195">
        <f>IF(B352="","",SQRT(P352^2+Q352^2))</f>
        <v/>
      </c>
      <c r="AG352" s="195">
        <f>IF(B352="","",SQRT(R352^2+S352^2))</f>
        <v/>
      </c>
    </row>
    <row r="353">
      <c r="A353" t="n">
        <v>350</v>
      </c>
      <c r="B353" s="196">
        <f>IF(A353&lt;='入力・概要'!$B$40,10^(LOG10('入力・概要'!$B$38)+(A353-1)*(LOG10('入力・概要'!$B$39)-LOG10('入力・概要'!$B$38))/('入力・概要'!$B$40-1)),"")</f>
        <v/>
      </c>
      <c r="C353" s="195">
        <f>IF(B353="","",2*PI()*B353)</f>
        <v/>
      </c>
      <c r="D353" s="195">
        <f>IF(B353="","",ATANH(MIN(0.999999,'入力・概要'!$E$20/'入力・概要'!$E$9))+'入力・概要'!$B$20*SQRT(B353/1E6)+E353*'入力・概要'!$B$15/2)</f>
        <v/>
      </c>
      <c r="E353" s="195">
        <f>IF(B353="","",C353*('入力・概要'!$E$11*1E-9))</f>
        <v/>
      </c>
      <c r="F353" s="195">
        <f>IF(B353="","",SINH(2*D353)/(COSH(2*D353)+COS(2*E353)))</f>
        <v/>
      </c>
      <c r="G353" s="195">
        <f>IF(B353="","",SIN(2*E353)/(COSH(2*D353)+COS(2*E353)))</f>
        <v/>
      </c>
      <c r="H353" s="195">
        <f>IF(B353="","",ATANH(MIN(0.999999,'入力・概要'!$E$21/'入力・概要'!$E$15))+'入力・概要'!$B$21*SQRT(B353/1E6)+I353*'入力・概要'!$B$16/2)</f>
        <v/>
      </c>
      <c r="I353" s="195">
        <f>IF(B353="","",C353*('入力・概要'!$E$17*1E-9))</f>
        <v/>
      </c>
      <c r="J353" s="195">
        <f>IF(B353="","",SINH(2*H353)/(COSH(2*H353)+COS(2*I353)))</f>
        <v/>
      </c>
      <c r="K353" s="195">
        <f>IF(B353="","",SIN(2*I353)/(COSH(2*H353)+COS(2*I353)))</f>
        <v/>
      </c>
      <c r="L353" s="195">
        <f>IF(B353="","",'入力・概要'!$B$25)</f>
        <v/>
      </c>
      <c r="M353" s="195">
        <f>IF(B353="","",C353*'入力・概要'!$B$26*1E-9-1/(C353*'入力・概要'!$B$24*1E-6))</f>
        <v/>
      </c>
      <c r="N353" s="195">
        <f>IF(B353="","",'入力・概要'!$B$28)</f>
        <v/>
      </c>
      <c r="O353" s="195">
        <f>IF(B353="","",C353*'入力・概要'!$B$29*1E-9-1/(C353*'入力・概要'!$B$27*1E-6))</f>
        <v/>
      </c>
      <c r="P353" s="195">
        <f>IF(B353="","",((L353*N353-M353*O353)*(L353+N353)+(L353*O353+M353*N353)*(M353+O353))/((L353+N353)^2+(M353+O353)^2))</f>
        <v/>
      </c>
      <c r="Q353" s="195">
        <f>IF(B353="","",((L353*O353+M353*N353)*(L353+N353)-(L353*N353-M353*O353)*(M353+O353))/((L353+N353)^2+(M353+O353)^2))</f>
        <v/>
      </c>
      <c r="R353" s="195">
        <f>IF(B353="","",'入力・概要'!$E$15*J353)</f>
        <v/>
      </c>
      <c r="S353" s="195">
        <f>IF(B353="","",'入力・概要'!$E$15*K353)</f>
        <v/>
      </c>
      <c r="T353" s="195">
        <f>IF(B353="","",P353+R353)</f>
        <v/>
      </c>
      <c r="U353" s="195">
        <f>IF(B353="","",Q353+S353)</f>
        <v/>
      </c>
      <c r="V353" s="195">
        <f>IF(B353="","",T353+'入力・概要'!$E$9*F353)</f>
        <v/>
      </c>
      <c r="W353" s="195">
        <f>IF(B353="","",U353+'入力・概要'!$E$9*G353)</f>
        <v/>
      </c>
      <c r="X353" s="195">
        <f>IF(B353="","",'入力・概要'!$E$9+T353*F353-U353*G353)</f>
        <v/>
      </c>
      <c r="Y353" s="195">
        <f>IF(B353="","",T353*G353+U353*F353)</f>
        <v/>
      </c>
      <c r="Z353" s="195">
        <f>IF(B353="","",'入力・概要'!$E$9*(V353*X353+W353*Y353)/(X353^2+Y353^2)+'入力・概要'!$B$36)</f>
        <v/>
      </c>
      <c r="AA353" s="195">
        <f>IF(B353="","",'入力・概要'!$E$9*(W353*X353-V353*Y353)/(X353^2+Y353^2)+C353*'入力・概要'!$B$37*1E-9)</f>
        <v/>
      </c>
      <c r="AB353" s="195">
        <f>IF(B353="","",SQRT(Z353^2+AA353^2))</f>
        <v/>
      </c>
      <c r="AC353" s="195">
        <f>IF(B353="","",IF(Z353&gt;0,DEGREES(ATAN(AA353/Z353)),IF(Z353&lt;0,IF(AA353&gt;=0,DEGREES(ATAN(AA353/Z353))+180,DEGREES(ATAN(AA353/Z353))-180),IF(AA353&gt;0,90,IF(AA353&lt;0,-90,0)))))</f>
        <v/>
      </c>
      <c r="AD353" s="195">
        <f>IF(B353="","",LOG10(B353))</f>
        <v/>
      </c>
      <c r="AE353" s="195">
        <f>IF(AB353="","",LOG10(MAX(AB353,1E-12)))</f>
        <v/>
      </c>
      <c r="AF353" s="195">
        <f>IF(B353="","",SQRT(P353^2+Q353^2))</f>
        <v/>
      </c>
      <c r="AG353" s="195">
        <f>IF(B353="","",SQRT(R353^2+S353^2))</f>
        <v/>
      </c>
    </row>
    <row r="354">
      <c r="A354" t="n">
        <v>351</v>
      </c>
      <c r="B354" s="196">
        <f>IF(A354&lt;='入力・概要'!$B$40,10^(LOG10('入力・概要'!$B$38)+(A354-1)*(LOG10('入力・概要'!$B$39)-LOG10('入力・概要'!$B$38))/('入力・概要'!$B$40-1)),"")</f>
        <v/>
      </c>
      <c r="C354" s="195">
        <f>IF(B354="","",2*PI()*B354)</f>
        <v/>
      </c>
      <c r="D354" s="195">
        <f>IF(B354="","",ATANH(MIN(0.999999,'入力・概要'!$E$20/'入力・概要'!$E$9))+'入力・概要'!$B$20*SQRT(B354/1E6)+E354*'入力・概要'!$B$15/2)</f>
        <v/>
      </c>
      <c r="E354" s="195">
        <f>IF(B354="","",C354*('入力・概要'!$E$11*1E-9))</f>
        <v/>
      </c>
      <c r="F354" s="195">
        <f>IF(B354="","",SINH(2*D354)/(COSH(2*D354)+COS(2*E354)))</f>
        <v/>
      </c>
      <c r="G354" s="195">
        <f>IF(B354="","",SIN(2*E354)/(COSH(2*D354)+COS(2*E354)))</f>
        <v/>
      </c>
      <c r="H354" s="195">
        <f>IF(B354="","",ATANH(MIN(0.999999,'入力・概要'!$E$21/'入力・概要'!$E$15))+'入力・概要'!$B$21*SQRT(B354/1E6)+I354*'入力・概要'!$B$16/2)</f>
        <v/>
      </c>
      <c r="I354" s="195">
        <f>IF(B354="","",C354*('入力・概要'!$E$17*1E-9))</f>
        <v/>
      </c>
      <c r="J354" s="195">
        <f>IF(B354="","",SINH(2*H354)/(COSH(2*H354)+COS(2*I354)))</f>
        <v/>
      </c>
      <c r="K354" s="195">
        <f>IF(B354="","",SIN(2*I354)/(COSH(2*H354)+COS(2*I354)))</f>
        <v/>
      </c>
      <c r="L354" s="195">
        <f>IF(B354="","",'入力・概要'!$B$25)</f>
        <v/>
      </c>
      <c r="M354" s="195">
        <f>IF(B354="","",C354*'入力・概要'!$B$26*1E-9-1/(C354*'入力・概要'!$B$24*1E-6))</f>
        <v/>
      </c>
      <c r="N354" s="195">
        <f>IF(B354="","",'入力・概要'!$B$28)</f>
        <v/>
      </c>
      <c r="O354" s="195">
        <f>IF(B354="","",C354*'入力・概要'!$B$29*1E-9-1/(C354*'入力・概要'!$B$27*1E-6))</f>
        <v/>
      </c>
      <c r="P354" s="195">
        <f>IF(B354="","",((L354*N354-M354*O354)*(L354+N354)+(L354*O354+M354*N354)*(M354+O354))/((L354+N354)^2+(M354+O354)^2))</f>
        <v/>
      </c>
      <c r="Q354" s="195">
        <f>IF(B354="","",((L354*O354+M354*N354)*(L354+N354)-(L354*N354-M354*O354)*(M354+O354))/((L354+N354)^2+(M354+O354)^2))</f>
        <v/>
      </c>
      <c r="R354" s="195">
        <f>IF(B354="","",'入力・概要'!$E$15*J354)</f>
        <v/>
      </c>
      <c r="S354" s="195">
        <f>IF(B354="","",'入力・概要'!$E$15*K354)</f>
        <v/>
      </c>
      <c r="T354" s="195">
        <f>IF(B354="","",P354+R354)</f>
        <v/>
      </c>
      <c r="U354" s="195">
        <f>IF(B354="","",Q354+S354)</f>
        <v/>
      </c>
      <c r="V354" s="195">
        <f>IF(B354="","",T354+'入力・概要'!$E$9*F354)</f>
        <v/>
      </c>
      <c r="W354" s="195">
        <f>IF(B354="","",U354+'入力・概要'!$E$9*G354)</f>
        <v/>
      </c>
      <c r="X354" s="195">
        <f>IF(B354="","",'入力・概要'!$E$9+T354*F354-U354*G354)</f>
        <v/>
      </c>
      <c r="Y354" s="195">
        <f>IF(B354="","",T354*G354+U354*F354)</f>
        <v/>
      </c>
      <c r="Z354" s="195">
        <f>IF(B354="","",'入力・概要'!$E$9*(V354*X354+W354*Y354)/(X354^2+Y354^2)+'入力・概要'!$B$36)</f>
        <v/>
      </c>
      <c r="AA354" s="195">
        <f>IF(B354="","",'入力・概要'!$E$9*(W354*X354-V354*Y354)/(X354^2+Y354^2)+C354*'入力・概要'!$B$37*1E-9)</f>
        <v/>
      </c>
      <c r="AB354" s="195">
        <f>IF(B354="","",SQRT(Z354^2+AA354^2))</f>
        <v/>
      </c>
      <c r="AC354" s="195">
        <f>IF(B354="","",IF(Z354&gt;0,DEGREES(ATAN(AA354/Z354)),IF(Z354&lt;0,IF(AA354&gt;=0,DEGREES(ATAN(AA354/Z354))+180,DEGREES(ATAN(AA354/Z354))-180),IF(AA354&gt;0,90,IF(AA354&lt;0,-90,0)))))</f>
        <v/>
      </c>
      <c r="AD354" s="195">
        <f>IF(B354="","",LOG10(B354))</f>
        <v/>
      </c>
      <c r="AE354" s="195">
        <f>IF(AB354="","",LOG10(MAX(AB354,1E-12)))</f>
        <v/>
      </c>
      <c r="AF354" s="195">
        <f>IF(B354="","",SQRT(P354^2+Q354^2))</f>
        <v/>
      </c>
      <c r="AG354" s="195">
        <f>IF(B354="","",SQRT(R354^2+S354^2))</f>
        <v/>
      </c>
    </row>
    <row r="355">
      <c r="A355" t="n">
        <v>352</v>
      </c>
      <c r="B355" s="196">
        <f>IF(A355&lt;='入力・概要'!$B$40,10^(LOG10('入力・概要'!$B$38)+(A355-1)*(LOG10('入力・概要'!$B$39)-LOG10('入力・概要'!$B$38))/('入力・概要'!$B$40-1)),"")</f>
        <v/>
      </c>
      <c r="C355" s="195">
        <f>IF(B355="","",2*PI()*B355)</f>
        <v/>
      </c>
      <c r="D355" s="195">
        <f>IF(B355="","",ATANH(MIN(0.999999,'入力・概要'!$E$20/'入力・概要'!$E$9))+'入力・概要'!$B$20*SQRT(B355/1E6)+E355*'入力・概要'!$B$15/2)</f>
        <v/>
      </c>
      <c r="E355" s="195">
        <f>IF(B355="","",C355*('入力・概要'!$E$11*1E-9))</f>
        <v/>
      </c>
      <c r="F355" s="195">
        <f>IF(B355="","",SINH(2*D355)/(COSH(2*D355)+COS(2*E355)))</f>
        <v/>
      </c>
      <c r="G355" s="195">
        <f>IF(B355="","",SIN(2*E355)/(COSH(2*D355)+COS(2*E355)))</f>
        <v/>
      </c>
      <c r="H355" s="195">
        <f>IF(B355="","",ATANH(MIN(0.999999,'入力・概要'!$E$21/'入力・概要'!$E$15))+'入力・概要'!$B$21*SQRT(B355/1E6)+I355*'入力・概要'!$B$16/2)</f>
        <v/>
      </c>
      <c r="I355" s="195">
        <f>IF(B355="","",C355*('入力・概要'!$E$17*1E-9))</f>
        <v/>
      </c>
      <c r="J355" s="195">
        <f>IF(B355="","",SINH(2*H355)/(COSH(2*H355)+COS(2*I355)))</f>
        <v/>
      </c>
      <c r="K355" s="195">
        <f>IF(B355="","",SIN(2*I355)/(COSH(2*H355)+COS(2*I355)))</f>
        <v/>
      </c>
      <c r="L355" s="195">
        <f>IF(B355="","",'入力・概要'!$B$25)</f>
        <v/>
      </c>
      <c r="M355" s="195">
        <f>IF(B355="","",C355*'入力・概要'!$B$26*1E-9-1/(C355*'入力・概要'!$B$24*1E-6))</f>
        <v/>
      </c>
      <c r="N355" s="195">
        <f>IF(B355="","",'入力・概要'!$B$28)</f>
        <v/>
      </c>
      <c r="O355" s="195">
        <f>IF(B355="","",C355*'入力・概要'!$B$29*1E-9-1/(C355*'入力・概要'!$B$27*1E-6))</f>
        <v/>
      </c>
      <c r="P355" s="195">
        <f>IF(B355="","",((L355*N355-M355*O355)*(L355+N355)+(L355*O355+M355*N355)*(M355+O355))/((L355+N355)^2+(M355+O355)^2))</f>
        <v/>
      </c>
      <c r="Q355" s="195">
        <f>IF(B355="","",((L355*O355+M355*N355)*(L355+N355)-(L355*N355-M355*O355)*(M355+O355))/((L355+N355)^2+(M355+O355)^2))</f>
        <v/>
      </c>
      <c r="R355" s="195">
        <f>IF(B355="","",'入力・概要'!$E$15*J355)</f>
        <v/>
      </c>
      <c r="S355" s="195">
        <f>IF(B355="","",'入力・概要'!$E$15*K355)</f>
        <v/>
      </c>
      <c r="T355" s="195">
        <f>IF(B355="","",P355+R355)</f>
        <v/>
      </c>
      <c r="U355" s="195">
        <f>IF(B355="","",Q355+S355)</f>
        <v/>
      </c>
      <c r="V355" s="195">
        <f>IF(B355="","",T355+'入力・概要'!$E$9*F355)</f>
        <v/>
      </c>
      <c r="W355" s="195">
        <f>IF(B355="","",U355+'入力・概要'!$E$9*G355)</f>
        <v/>
      </c>
      <c r="X355" s="195">
        <f>IF(B355="","",'入力・概要'!$E$9+T355*F355-U355*G355)</f>
        <v/>
      </c>
      <c r="Y355" s="195">
        <f>IF(B355="","",T355*G355+U355*F355)</f>
        <v/>
      </c>
      <c r="Z355" s="195">
        <f>IF(B355="","",'入力・概要'!$E$9*(V355*X355+W355*Y355)/(X355^2+Y355^2)+'入力・概要'!$B$36)</f>
        <v/>
      </c>
      <c r="AA355" s="195">
        <f>IF(B355="","",'入力・概要'!$E$9*(W355*X355-V355*Y355)/(X355^2+Y355^2)+C355*'入力・概要'!$B$37*1E-9)</f>
        <v/>
      </c>
      <c r="AB355" s="195">
        <f>IF(B355="","",SQRT(Z355^2+AA355^2))</f>
        <v/>
      </c>
      <c r="AC355" s="195">
        <f>IF(B355="","",IF(Z355&gt;0,DEGREES(ATAN(AA355/Z355)),IF(Z355&lt;0,IF(AA355&gt;=0,DEGREES(ATAN(AA355/Z355))+180,DEGREES(ATAN(AA355/Z355))-180),IF(AA355&gt;0,90,IF(AA355&lt;0,-90,0)))))</f>
        <v/>
      </c>
      <c r="AD355" s="195">
        <f>IF(B355="","",LOG10(B355))</f>
        <v/>
      </c>
      <c r="AE355" s="195">
        <f>IF(AB355="","",LOG10(MAX(AB355,1E-12)))</f>
        <v/>
      </c>
      <c r="AF355" s="195">
        <f>IF(B355="","",SQRT(P355^2+Q355^2))</f>
        <v/>
      </c>
      <c r="AG355" s="195">
        <f>IF(B355="","",SQRT(R355^2+S355^2))</f>
        <v/>
      </c>
    </row>
    <row r="356">
      <c r="A356" t="n">
        <v>353</v>
      </c>
      <c r="B356" s="196">
        <f>IF(A356&lt;='入力・概要'!$B$40,10^(LOG10('入力・概要'!$B$38)+(A356-1)*(LOG10('入力・概要'!$B$39)-LOG10('入力・概要'!$B$38))/('入力・概要'!$B$40-1)),"")</f>
        <v/>
      </c>
      <c r="C356" s="195">
        <f>IF(B356="","",2*PI()*B356)</f>
        <v/>
      </c>
      <c r="D356" s="195">
        <f>IF(B356="","",ATANH(MIN(0.999999,'入力・概要'!$E$20/'入力・概要'!$E$9))+'入力・概要'!$B$20*SQRT(B356/1E6)+E356*'入力・概要'!$B$15/2)</f>
        <v/>
      </c>
      <c r="E356" s="195">
        <f>IF(B356="","",C356*('入力・概要'!$E$11*1E-9))</f>
        <v/>
      </c>
      <c r="F356" s="195">
        <f>IF(B356="","",SINH(2*D356)/(COSH(2*D356)+COS(2*E356)))</f>
        <v/>
      </c>
      <c r="G356" s="195">
        <f>IF(B356="","",SIN(2*E356)/(COSH(2*D356)+COS(2*E356)))</f>
        <v/>
      </c>
      <c r="H356" s="195">
        <f>IF(B356="","",ATANH(MIN(0.999999,'入力・概要'!$E$21/'入力・概要'!$E$15))+'入力・概要'!$B$21*SQRT(B356/1E6)+I356*'入力・概要'!$B$16/2)</f>
        <v/>
      </c>
      <c r="I356" s="195">
        <f>IF(B356="","",C356*('入力・概要'!$E$17*1E-9))</f>
        <v/>
      </c>
      <c r="J356" s="195">
        <f>IF(B356="","",SINH(2*H356)/(COSH(2*H356)+COS(2*I356)))</f>
        <v/>
      </c>
      <c r="K356" s="195">
        <f>IF(B356="","",SIN(2*I356)/(COSH(2*H356)+COS(2*I356)))</f>
        <v/>
      </c>
      <c r="L356" s="195">
        <f>IF(B356="","",'入力・概要'!$B$25)</f>
        <v/>
      </c>
      <c r="M356" s="195">
        <f>IF(B356="","",C356*'入力・概要'!$B$26*1E-9-1/(C356*'入力・概要'!$B$24*1E-6))</f>
        <v/>
      </c>
      <c r="N356" s="195">
        <f>IF(B356="","",'入力・概要'!$B$28)</f>
        <v/>
      </c>
      <c r="O356" s="195">
        <f>IF(B356="","",C356*'入力・概要'!$B$29*1E-9-1/(C356*'入力・概要'!$B$27*1E-6))</f>
        <v/>
      </c>
      <c r="P356" s="195">
        <f>IF(B356="","",((L356*N356-M356*O356)*(L356+N356)+(L356*O356+M356*N356)*(M356+O356))/((L356+N356)^2+(M356+O356)^2))</f>
        <v/>
      </c>
      <c r="Q356" s="195">
        <f>IF(B356="","",((L356*O356+M356*N356)*(L356+N356)-(L356*N356-M356*O356)*(M356+O356))/((L356+N356)^2+(M356+O356)^2))</f>
        <v/>
      </c>
      <c r="R356" s="195">
        <f>IF(B356="","",'入力・概要'!$E$15*J356)</f>
        <v/>
      </c>
      <c r="S356" s="195">
        <f>IF(B356="","",'入力・概要'!$E$15*K356)</f>
        <v/>
      </c>
      <c r="T356" s="195">
        <f>IF(B356="","",P356+R356)</f>
        <v/>
      </c>
      <c r="U356" s="195">
        <f>IF(B356="","",Q356+S356)</f>
        <v/>
      </c>
      <c r="V356" s="195">
        <f>IF(B356="","",T356+'入力・概要'!$E$9*F356)</f>
        <v/>
      </c>
      <c r="W356" s="195">
        <f>IF(B356="","",U356+'入力・概要'!$E$9*G356)</f>
        <v/>
      </c>
      <c r="X356" s="195">
        <f>IF(B356="","",'入力・概要'!$E$9+T356*F356-U356*G356)</f>
        <v/>
      </c>
      <c r="Y356" s="195">
        <f>IF(B356="","",T356*G356+U356*F356)</f>
        <v/>
      </c>
      <c r="Z356" s="195">
        <f>IF(B356="","",'入力・概要'!$E$9*(V356*X356+W356*Y356)/(X356^2+Y356^2)+'入力・概要'!$B$36)</f>
        <v/>
      </c>
      <c r="AA356" s="195">
        <f>IF(B356="","",'入力・概要'!$E$9*(W356*X356-V356*Y356)/(X356^2+Y356^2)+C356*'入力・概要'!$B$37*1E-9)</f>
        <v/>
      </c>
      <c r="AB356" s="195">
        <f>IF(B356="","",SQRT(Z356^2+AA356^2))</f>
        <v/>
      </c>
      <c r="AC356" s="195">
        <f>IF(B356="","",IF(Z356&gt;0,DEGREES(ATAN(AA356/Z356)),IF(Z356&lt;0,IF(AA356&gt;=0,DEGREES(ATAN(AA356/Z356))+180,DEGREES(ATAN(AA356/Z356))-180),IF(AA356&gt;0,90,IF(AA356&lt;0,-90,0)))))</f>
        <v/>
      </c>
      <c r="AD356" s="195">
        <f>IF(B356="","",LOG10(B356))</f>
        <v/>
      </c>
      <c r="AE356" s="195">
        <f>IF(AB356="","",LOG10(MAX(AB356,1E-12)))</f>
        <v/>
      </c>
      <c r="AF356" s="195">
        <f>IF(B356="","",SQRT(P356^2+Q356^2))</f>
        <v/>
      </c>
      <c r="AG356" s="195">
        <f>IF(B356="","",SQRT(R356^2+S356^2))</f>
        <v/>
      </c>
    </row>
    <row r="357">
      <c r="A357" t="n">
        <v>354</v>
      </c>
      <c r="B357" s="196">
        <f>IF(A357&lt;='入力・概要'!$B$40,10^(LOG10('入力・概要'!$B$38)+(A357-1)*(LOG10('入力・概要'!$B$39)-LOG10('入力・概要'!$B$38))/('入力・概要'!$B$40-1)),"")</f>
        <v/>
      </c>
      <c r="C357" s="195">
        <f>IF(B357="","",2*PI()*B357)</f>
        <v/>
      </c>
      <c r="D357" s="195">
        <f>IF(B357="","",ATANH(MIN(0.999999,'入力・概要'!$E$20/'入力・概要'!$E$9))+'入力・概要'!$B$20*SQRT(B357/1E6)+E357*'入力・概要'!$B$15/2)</f>
        <v/>
      </c>
      <c r="E357" s="195">
        <f>IF(B357="","",C357*('入力・概要'!$E$11*1E-9))</f>
        <v/>
      </c>
      <c r="F357" s="195">
        <f>IF(B357="","",SINH(2*D357)/(COSH(2*D357)+COS(2*E357)))</f>
        <v/>
      </c>
      <c r="G357" s="195">
        <f>IF(B357="","",SIN(2*E357)/(COSH(2*D357)+COS(2*E357)))</f>
        <v/>
      </c>
      <c r="H357" s="195">
        <f>IF(B357="","",ATANH(MIN(0.999999,'入力・概要'!$E$21/'入力・概要'!$E$15))+'入力・概要'!$B$21*SQRT(B357/1E6)+I357*'入力・概要'!$B$16/2)</f>
        <v/>
      </c>
      <c r="I357" s="195">
        <f>IF(B357="","",C357*('入力・概要'!$E$17*1E-9))</f>
        <v/>
      </c>
      <c r="J357" s="195">
        <f>IF(B357="","",SINH(2*H357)/(COSH(2*H357)+COS(2*I357)))</f>
        <v/>
      </c>
      <c r="K357" s="195">
        <f>IF(B357="","",SIN(2*I357)/(COSH(2*H357)+COS(2*I357)))</f>
        <v/>
      </c>
      <c r="L357" s="195">
        <f>IF(B357="","",'入力・概要'!$B$25)</f>
        <v/>
      </c>
      <c r="M357" s="195">
        <f>IF(B357="","",C357*'入力・概要'!$B$26*1E-9-1/(C357*'入力・概要'!$B$24*1E-6))</f>
        <v/>
      </c>
      <c r="N357" s="195">
        <f>IF(B357="","",'入力・概要'!$B$28)</f>
        <v/>
      </c>
      <c r="O357" s="195">
        <f>IF(B357="","",C357*'入力・概要'!$B$29*1E-9-1/(C357*'入力・概要'!$B$27*1E-6))</f>
        <v/>
      </c>
      <c r="P357" s="195">
        <f>IF(B357="","",((L357*N357-M357*O357)*(L357+N357)+(L357*O357+M357*N357)*(M357+O357))/((L357+N357)^2+(M357+O357)^2))</f>
        <v/>
      </c>
      <c r="Q357" s="195">
        <f>IF(B357="","",((L357*O357+M357*N357)*(L357+N357)-(L357*N357-M357*O357)*(M357+O357))/((L357+N357)^2+(M357+O357)^2))</f>
        <v/>
      </c>
      <c r="R357" s="195">
        <f>IF(B357="","",'入力・概要'!$E$15*J357)</f>
        <v/>
      </c>
      <c r="S357" s="195">
        <f>IF(B357="","",'入力・概要'!$E$15*K357)</f>
        <v/>
      </c>
      <c r="T357" s="195">
        <f>IF(B357="","",P357+R357)</f>
        <v/>
      </c>
      <c r="U357" s="195">
        <f>IF(B357="","",Q357+S357)</f>
        <v/>
      </c>
      <c r="V357" s="195">
        <f>IF(B357="","",T357+'入力・概要'!$E$9*F357)</f>
        <v/>
      </c>
      <c r="W357" s="195">
        <f>IF(B357="","",U357+'入力・概要'!$E$9*G357)</f>
        <v/>
      </c>
      <c r="X357" s="195">
        <f>IF(B357="","",'入力・概要'!$E$9+T357*F357-U357*G357)</f>
        <v/>
      </c>
      <c r="Y357" s="195">
        <f>IF(B357="","",T357*G357+U357*F357)</f>
        <v/>
      </c>
      <c r="Z357" s="195">
        <f>IF(B357="","",'入力・概要'!$E$9*(V357*X357+W357*Y357)/(X357^2+Y357^2)+'入力・概要'!$B$36)</f>
        <v/>
      </c>
      <c r="AA357" s="195">
        <f>IF(B357="","",'入力・概要'!$E$9*(W357*X357-V357*Y357)/(X357^2+Y357^2)+C357*'入力・概要'!$B$37*1E-9)</f>
        <v/>
      </c>
      <c r="AB357" s="195">
        <f>IF(B357="","",SQRT(Z357^2+AA357^2))</f>
        <v/>
      </c>
      <c r="AC357" s="195">
        <f>IF(B357="","",IF(Z357&gt;0,DEGREES(ATAN(AA357/Z357)),IF(Z357&lt;0,IF(AA357&gt;=0,DEGREES(ATAN(AA357/Z357))+180,DEGREES(ATAN(AA357/Z357))-180),IF(AA357&gt;0,90,IF(AA357&lt;0,-90,0)))))</f>
        <v/>
      </c>
      <c r="AD357" s="195">
        <f>IF(B357="","",LOG10(B357))</f>
        <v/>
      </c>
      <c r="AE357" s="195">
        <f>IF(AB357="","",LOG10(MAX(AB357,1E-12)))</f>
        <v/>
      </c>
      <c r="AF357" s="195">
        <f>IF(B357="","",SQRT(P357^2+Q357^2))</f>
        <v/>
      </c>
      <c r="AG357" s="195">
        <f>IF(B357="","",SQRT(R357^2+S357^2))</f>
        <v/>
      </c>
    </row>
    <row r="358">
      <c r="A358" t="n">
        <v>355</v>
      </c>
      <c r="B358" s="196">
        <f>IF(A358&lt;='入力・概要'!$B$40,10^(LOG10('入力・概要'!$B$38)+(A358-1)*(LOG10('入力・概要'!$B$39)-LOG10('入力・概要'!$B$38))/('入力・概要'!$B$40-1)),"")</f>
        <v/>
      </c>
      <c r="C358" s="195">
        <f>IF(B358="","",2*PI()*B358)</f>
        <v/>
      </c>
      <c r="D358" s="195">
        <f>IF(B358="","",ATANH(MIN(0.999999,'入力・概要'!$E$20/'入力・概要'!$E$9))+'入力・概要'!$B$20*SQRT(B358/1E6)+E358*'入力・概要'!$B$15/2)</f>
        <v/>
      </c>
      <c r="E358" s="195">
        <f>IF(B358="","",C358*('入力・概要'!$E$11*1E-9))</f>
        <v/>
      </c>
      <c r="F358" s="195">
        <f>IF(B358="","",SINH(2*D358)/(COSH(2*D358)+COS(2*E358)))</f>
        <v/>
      </c>
      <c r="G358" s="195">
        <f>IF(B358="","",SIN(2*E358)/(COSH(2*D358)+COS(2*E358)))</f>
        <v/>
      </c>
      <c r="H358" s="195">
        <f>IF(B358="","",ATANH(MIN(0.999999,'入力・概要'!$E$21/'入力・概要'!$E$15))+'入力・概要'!$B$21*SQRT(B358/1E6)+I358*'入力・概要'!$B$16/2)</f>
        <v/>
      </c>
      <c r="I358" s="195">
        <f>IF(B358="","",C358*('入力・概要'!$E$17*1E-9))</f>
        <v/>
      </c>
      <c r="J358" s="195">
        <f>IF(B358="","",SINH(2*H358)/(COSH(2*H358)+COS(2*I358)))</f>
        <v/>
      </c>
      <c r="K358" s="195">
        <f>IF(B358="","",SIN(2*I358)/(COSH(2*H358)+COS(2*I358)))</f>
        <v/>
      </c>
      <c r="L358" s="195">
        <f>IF(B358="","",'入力・概要'!$B$25)</f>
        <v/>
      </c>
      <c r="M358" s="195">
        <f>IF(B358="","",C358*'入力・概要'!$B$26*1E-9-1/(C358*'入力・概要'!$B$24*1E-6))</f>
        <v/>
      </c>
      <c r="N358" s="195">
        <f>IF(B358="","",'入力・概要'!$B$28)</f>
        <v/>
      </c>
      <c r="O358" s="195">
        <f>IF(B358="","",C358*'入力・概要'!$B$29*1E-9-1/(C358*'入力・概要'!$B$27*1E-6))</f>
        <v/>
      </c>
      <c r="P358" s="195">
        <f>IF(B358="","",((L358*N358-M358*O358)*(L358+N358)+(L358*O358+M358*N358)*(M358+O358))/((L358+N358)^2+(M358+O358)^2))</f>
        <v/>
      </c>
      <c r="Q358" s="195">
        <f>IF(B358="","",((L358*O358+M358*N358)*(L358+N358)-(L358*N358-M358*O358)*(M358+O358))/((L358+N358)^2+(M358+O358)^2))</f>
        <v/>
      </c>
      <c r="R358" s="195">
        <f>IF(B358="","",'入力・概要'!$E$15*J358)</f>
        <v/>
      </c>
      <c r="S358" s="195">
        <f>IF(B358="","",'入力・概要'!$E$15*K358)</f>
        <v/>
      </c>
      <c r="T358" s="195">
        <f>IF(B358="","",P358+R358)</f>
        <v/>
      </c>
      <c r="U358" s="195">
        <f>IF(B358="","",Q358+S358)</f>
        <v/>
      </c>
      <c r="V358" s="195">
        <f>IF(B358="","",T358+'入力・概要'!$E$9*F358)</f>
        <v/>
      </c>
      <c r="W358" s="195">
        <f>IF(B358="","",U358+'入力・概要'!$E$9*G358)</f>
        <v/>
      </c>
      <c r="X358" s="195">
        <f>IF(B358="","",'入力・概要'!$E$9+T358*F358-U358*G358)</f>
        <v/>
      </c>
      <c r="Y358" s="195">
        <f>IF(B358="","",T358*G358+U358*F358)</f>
        <v/>
      </c>
      <c r="Z358" s="195">
        <f>IF(B358="","",'入力・概要'!$E$9*(V358*X358+W358*Y358)/(X358^2+Y358^2)+'入力・概要'!$B$36)</f>
        <v/>
      </c>
      <c r="AA358" s="195">
        <f>IF(B358="","",'入力・概要'!$E$9*(W358*X358-V358*Y358)/(X358^2+Y358^2)+C358*'入力・概要'!$B$37*1E-9)</f>
        <v/>
      </c>
      <c r="AB358" s="195">
        <f>IF(B358="","",SQRT(Z358^2+AA358^2))</f>
        <v/>
      </c>
      <c r="AC358" s="195">
        <f>IF(B358="","",IF(Z358&gt;0,DEGREES(ATAN(AA358/Z358)),IF(Z358&lt;0,IF(AA358&gt;=0,DEGREES(ATAN(AA358/Z358))+180,DEGREES(ATAN(AA358/Z358))-180),IF(AA358&gt;0,90,IF(AA358&lt;0,-90,0)))))</f>
        <v/>
      </c>
      <c r="AD358" s="195">
        <f>IF(B358="","",LOG10(B358))</f>
        <v/>
      </c>
      <c r="AE358" s="195">
        <f>IF(AB358="","",LOG10(MAX(AB358,1E-12)))</f>
        <v/>
      </c>
      <c r="AF358" s="195">
        <f>IF(B358="","",SQRT(P358^2+Q358^2))</f>
        <v/>
      </c>
      <c r="AG358" s="195">
        <f>IF(B358="","",SQRT(R358^2+S358^2))</f>
        <v/>
      </c>
    </row>
    <row r="359">
      <c r="A359" t="n">
        <v>356</v>
      </c>
      <c r="B359" s="196">
        <f>IF(A359&lt;='入力・概要'!$B$40,10^(LOG10('入力・概要'!$B$38)+(A359-1)*(LOG10('入力・概要'!$B$39)-LOG10('入力・概要'!$B$38))/('入力・概要'!$B$40-1)),"")</f>
        <v/>
      </c>
      <c r="C359" s="195">
        <f>IF(B359="","",2*PI()*B359)</f>
        <v/>
      </c>
      <c r="D359" s="195">
        <f>IF(B359="","",ATANH(MIN(0.999999,'入力・概要'!$E$20/'入力・概要'!$E$9))+'入力・概要'!$B$20*SQRT(B359/1E6)+E359*'入力・概要'!$B$15/2)</f>
        <v/>
      </c>
      <c r="E359" s="195">
        <f>IF(B359="","",C359*('入力・概要'!$E$11*1E-9))</f>
        <v/>
      </c>
      <c r="F359" s="195">
        <f>IF(B359="","",SINH(2*D359)/(COSH(2*D359)+COS(2*E359)))</f>
        <v/>
      </c>
      <c r="G359" s="195">
        <f>IF(B359="","",SIN(2*E359)/(COSH(2*D359)+COS(2*E359)))</f>
        <v/>
      </c>
      <c r="H359" s="195">
        <f>IF(B359="","",ATANH(MIN(0.999999,'入力・概要'!$E$21/'入力・概要'!$E$15))+'入力・概要'!$B$21*SQRT(B359/1E6)+I359*'入力・概要'!$B$16/2)</f>
        <v/>
      </c>
      <c r="I359" s="195">
        <f>IF(B359="","",C359*('入力・概要'!$E$17*1E-9))</f>
        <v/>
      </c>
      <c r="J359" s="195">
        <f>IF(B359="","",SINH(2*H359)/(COSH(2*H359)+COS(2*I359)))</f>
        <v/>
      </c>
      <c r="K359" s="195">
        <f>IF(B359="","",SIN(2*I359)/(COSH(2*H359)+COS(2*I359)))</f>
        <v/>
      </c>
      <c r="L359" s="195">
        <f>IF(B359="","",'入力・概要'!$B$25)</f>
        <v/>
      </c>
      <c r="M359" s="195">
        <f>IF(B359="","",C359*'入力・概要'!$B$26*1E-9-1/(C359*'入力・概要'!$B$24*1E-6))</f>
        <v/>
      </c>
      <c r="N359" s="195">
        <f>IF(B359="","",'入力・概要'!$B$28)</f>
        <v/>
      </c>
      <c r="O359" s="195">
        <f>IF(B359="","",C359*'入力・概要'!$B$29*1E-9-1/(C359*'入力・概要'!$B$27*1E-6))</f>
        <v/>
      </c>
      <c r="P359" s="195">
        <f>IF(B359="","",((L359*N359-M359*O359)*(L359+N359)+(L359*O359+M359*N359)*(M359+O359))/((L359+N359)^2+(M359+O359)^2))</f>
        <v/>
      </c>
      <c r="Q359" s="195">
        <f>IF(B359="","",((L359*O359+M359*N359)*(L359+N359)-(L359*N359-M359*O359)*(M359+O359))/((L359+N359)^2+(M359+O359)^2))</f>
        <v/>
      </c>
      <c r="R359" s="195">
        <f>IF(B359="","",'入力・概要'!$E$15*J359)</f>
        <v/>
      </c>
      <c r="S359" s="195">
        <f>IF(B359="","",'入力・概要'!$E$15*K359)</f>
        <v/>
      </c>
      <c r="T359" s="195">
        <f>IF(B359="","",P359+R359)</f>
        <v/>
      </c>
      <c r="U359" s="195">
        <f>IF(B359="","",Q359+S359)</f>
        <v/>
      </c>
      <c r="V359" s="195">
        <f>IF(B359="","",T359+'入力・概要'!$E$9*F359)</f>
        <v/>
      </c>
      <c r="W359" s="195">
        <f>IF(B359="","",U359+'入力・概要'!$E$9*G359)</f>
        <v/>
      </c>
      <c r="X359" s="195">
        <f>IF(B359="","",'入力・概要'!$E$9+T359*F359-U359*G359)</f>
        <v/>
      </c>
      <c r="Y359" s="195">
        <f>IF(B359="","",T359*G359+U359*F359)</f>
        <v/>
      </c>
      <c r="Z359" s="195">
        <f>IF(B359="","",'入力・概要'!$E$9*(V359*X359+W359*Y359)/(X359^2+Y359^2)+'入力・概要'!$B$36)</f>
        <v/>
      </c>
      <c r="AA359" s="195">
        <f>IF(B359="","",'入力・概要'!$E$9*(W359*X359-V359*Y359)/(X359^2+Y359^2)+C359*'入力・概要'!$B$37*1E-9)</f>
        <v/>
      </c>
      <c r="AB359" s="195">
        <f>IF(B359="","",SQRT(Z359^2+AA359^2))</f>
        <v/>
      </c>
      <c r="AC359" s="195">
        <f>IF(B359="","",IF(Z359&gt;0,DEGREES(ATAN(AA359/Z359)),IF(Z359&lt;0,IF(AA359&gt;=0,DEGREES(ATAN(AA359/Z359))+180,DEGREES(ATAN(AA359/Z359))-180),IF(AA359&gt;0,90,IF(AA359&lt;0,-90,0)))))</f>
        <v/>
      </c>
      <c r="AD359" s="195">
        <f>IF(B359="","",LOG10(B359))</f>
        <v/>
      </c>
      <c r="AE359" s="195">
        <f>IF(AB359="","",LOG10(MAX(AB359,1E-12)))</f>
        <v/>
      </c>
      <c r="AF359" s="195">
        <f>IF(B359="","",SQRT(P359^2+Q359^2))</f>
        <v/>
      </c>
      <c r="AG359" s="195">
        <f>IF(B359="","",SQRT(R359^2+S359^2))</f>
        <v/>
      </c>
    </row>
    <row r="360">
      <c r="A360" t="n">
        <v>357</v>
      </c>
      <c r="B360" s="196">
        <f>IF(A360&lt;='入力・概要'!$B$40,10^(LOG10('入力・概要'!$B$38)+(A360-1)*(LOG10('入力・概要'!$B$39)-LOG10('入力・概要'!$B$38))/('入力・概要'!$B$40-1)),"")</f>
        <v/>
      </c>
      <c r="C360" s="195">
        <f>IF(B360="","",2*PI()*B360)</f>
        <v/>
      </c>
      <c r="D360" s="195">
        <f>IF(B360="","",ATANH(MIN(0.999999,'入力・概要'!$E$20/'入力・概要'!$E$9))+'入力・概要'!$B$20*SQRT(B360/1E6)+E360*'入力・概要'!$B$15/2)</f>
        <v/>
      </c>
      <c r="E360" s="195">
        <f>IF(B360="","",C360*('入力・概要'!$E$11*1E-9))</f>
        <v/>
      </c>
      <c r="F360" s="195">
        <f>IF(B360="","",SINH(2*D360)/(COSH(2*D360)+COS(2*E360)))</f>
        <v/>
      </c>
      <c r="G360" s="195">
        <f>IF(B360="","",SIN(2*E360)/(COSH(2*D360)+COS(2*E360)))</f>
        <v/>
      </c>
      <c r="H360" s="195">
        <f>IF(B360="","",ATANH(MIN(0.999999,'入力・概要'!$E$21/'入力・概要'!$E$15))+'入力・概要'!$B$21*SQRT(B360/1E6)+I360*'入力・概要'!$B$16/2)</f>
        <v/>
      </c>
      <c r="I360" s="195">
        <f>IF(B360="","",C360*('入力・概要'!$E$17*1E-9))</f>
        <v/>
      </c>
      <c r="J360" s="195">
        <f>IF(B360="","",SINH(2*H360)/(COSH(2*H360)+COS(2*I360)))</f>
        <v/>
      </c>
      <c r="K360" s="195">
        <f>IF(B360="","",SIN(2*I360)/(COSH(2*H360)+COS(2*I360)))</f>
        <v/>
      </c>
      <c r="L360" s="195">
        <f>IF(B360="","",'入力・概要'!$B$25)</f>
        <v/>
      </c>
      <c r="M360" s="195">
        <f>IF(B360="","",C360*'入力・概要'!$B$26*1E-9-1/(C360*'入力・概要'!$B$24*1E-6))</f>
        <v/>
      </c>
      <c r="N360" s="195">
        <f>IF(B360="","",'入力・概要'!$B$28)</f>
        <v/>
      </c>
      <c r="O360" s="195">
        <f>IF(B360="","",C360*'入力・概要'!$B$29*1E-9-1/(C360*'入力・概要'!$B$27*1E-6))</f>
        <v/>
      </c>
      <c r="P360" s="195">
        <f>IF(B360="","",((L360*N360-M360*O360)*(L360+N360)+(L360*O360+M360*N360)*(M360+O360))/((L360+N360)^2+(M360+O360)^2))</f>
        <v/>
      </c>
      <c r="Q360" s="195">
        <f>IF(B360="","",((L360*O360+M360*N360)*(L360+N360)-(L360*N360-M360*O360)*(M360+O360))/((L360+N360)^2+(M360+O360)^2))</f>
        <v/>
      </c>
      <c r="R360" s="195">
        <f>IF(B360="","",'入力・概要'!$E$15*J360)</f>
        <v/>
      </c>
      <c r="S360" s="195">
        <f>IF(B360="","",'入力・概要'!$E$15*K360)</f>
        <v/>
      </c>
      <c r="T360" s="195">
        <f>IF(B360="","",P360+R360)</f>
        <v/>
      </c>
      <c r="U360" s="195">
        <f>IF(B360="","",Q360+S360)</f>
        <v/>
      </c>
      <c r="V360" s="195">
        <f>IF(B360="","",T360+'入力・概要'!$E$9*F360)</f>
        <v/>
      </c>
      <c r="W360" s="195">
        <f>IF(B360="","",U360+'入力・概要'!$E$9*G360)</f>
        <v/>
      </c>
      <c r="X360" s="195">
        <f>IF(B360="","",'入力・概要'!$E$9+T360*F360-U360*G360)</f>
        <v/>
      </c>
      <c r="Y360" s="195">
        <f>IF(B360="","",T360*G360+U360*F360)</f>
        <v/>
      </c>
      <c r="Z360" s="195">
        <f>IF(B360="","",'入力・概要'!$E$9*(V360*X360+W360*Y360)/(X360^2+Y360^2)+'入力・概要'!$B$36)</f>
        <v/>
      </c>
      <c r="AA360" s="195">
        <f>IF(B360="","",'入力・概要'!$E$9*(W360*X360-V360*Y360)/(X360^2+Y360^2)+C360*'入力・概要'!$B$37*1E-9)</f>
        <v/>
      </c>
      <c r="AB360" s="195">
        <f>IF(B360="","",SQRT(Z360^2+AA360^2))</f>
        <v/>
      </c>
      <c r="AC360" s="195">
        <f>IF(B360="","",IF(Z360&gt;0,DEGREES(ATAN(AA360/Z360)),IF(Z360&lt;0,IF(AA360&gt;=0,DEGREES(ATAN(AA360/Z360))+180,DEGREES(ATAN(AA360/Z360))-180),IF(AA360&gt;0,90,IF(AA360&lt;0,-90,0)))))</f>
        <v/>
      </c>
      <c r="AD360" s="195">
        <f>IF(B360="","",LOG10(B360))</f>
        <v/>
      </c>
      <c r="AE360" s="195">
        <f>IF(AB360="","",LOG10(MAX(AB360,1E-12)))</f>
        <v/>
      </c>
      <c r="AF360" s="195">
        <f>IF(B360="","",SQRT(P360^2+Q360^2))</f>
        <v/>
      </c>
      <c r="AG360" s="195">
        <f>IF(B360="","",SQRT(R360^2+S360^2))</f>
        <v/>
      </c>
    </row>
    <row r="361">
      <c r="A361" t="n">
        <v>358</v>
      </c>
      <c r="B361" s="196">
        <f>IF(A361&lt;='入力・概要'!$B$40,10^(LOG10('入力・概要'!$B$38)+(A361-1)*(LOG10('入力・概要'!$B$39)-LOG10('入力・概要'!$B$38))/('入力・概要'!$B$40-1)),"")</f>
        <v/>
      </c>
      <c r="C361" s="195">
        <f>IF(B361="","",2*PI()*B361)</f>
        <v/>
      </c>
      <c r="D361" s="195">
        <f>IF(B361="","",ATANH(MIN(0.999999,'入力・概要'!$E$20/'入力・概要'!$E$9))+'入力・概要'!$B$20*SQRT(B361/1E6)+E361*'入力・概要'!$B$15/2)</f>
        <v/>
      </c>
      <c r="E361" s="195">
        <f>IF(B361="","",C361*('入力・概要'!$E$11*1E-9))</f>
        <v/>
      </c>
      <c r="F361" s="195">
        <f>IF(B361="","",SINH(2*D361)/(COSH(2*D361)+COS(2*E361)))</f>
        <v/>
      </c>
      <c r="G361" s="195">
        <f>IF(B361="","",SIN(2*E361)/(COSH(2*D361)+COS(2*E361)))</f>
        <v/>
      </c>
      <c r="H361" s="195">
        <f>IF(B361="","",ATANH(MIN(0.999999,'入力・概要'!$E$21/'入力・概要'!$E$15))+'入力・概要'!$B$21*SQRT(B361/1E6)+I361*'入力・概要'!$B$16/2)</f>
        <v/>
      </c>
      <c r="I361" s="195">
        <f>IF(B361="","",C361*('入力・概要'!$E$17*1E-9))</f>
        <v/>
      </c>
      <c r="J361" s="195">
        <f>IF(B361="","",SINH(2*H361)/(COSH(2*H361)+COS(2*I361)))</f>
        <v/>
      </c>
      <c r="K361" s="195">
        <f>IF(B361="","",SIN(2*I361)/(COSH(2*H361)+COS(2*I361)))</f>
        <v/>
      </c>
      <c r="L361" s="195">
        <f>IF(B361="","",'入力・概要'!$B$25)</f>
        <v/>
      </c>
      <c r="M361" s="195">
        <f>IF(B361="","",C361*'入力・概要'!$B$26*1E-9-1/(C361*'入力・概要'!$B$24*1E-6))</f>
        <v/>
      </c>
      <c r="N361" s="195">
        <f>IF(B361="","",'入力・概要'!$B$28)</f>
        <v/>
      </c>
      <c r="O361" s="195">
        <f>IF(B361="","",C361*'入力・概要'!$B$29*1E-9-1/(C361*'入力・概要'!$B$27*1E-6))</f>
        <v/>
      </c>
      <c r="P361" s="195">
        <f>IF(B361="","",((L361*N361-M361*O361)*(L361+N361)+(L361*O361+M361*N361)*(M361+O361))/((L361+N361)^2+(M361+O361)^2))</f>
        <v/>
      </c>
      <c r="Q361" s="195">
        <f>IF(B361="","",((L361*O361+M361*N361)*(L361+N361)-(L361*N361-M361*O361)*(M361+O361))/((L361+N361)^2+(M361+O361)^2))</f>
        <v/>
      </c>
      <c r="R361" s="195">
        <f>IF(B361="","",'入力・概要'!$E$15*J361)</f>
        <v/>
      </c>
      <c r="S361" s="195">
        <f>IF(B361="","",'入力・概要'!$E$15*K361)</f>
        <v/>
      </c>
      <c r="T361" s="195">
        <f>IF(B361="","",P361+R361)</f>
        <v/>
      </c>
      <c r="U361" s="195">
        <f>IF(B361="","",Q361+S361)</f>
        <v/>
      </c>
      <c r="V361" s="195">
        <f>IF(B361="","",T361+'入力・概要'!$E$9*F361)</f>
        <v/>
      </c>
      <c r="W361" s="195">
        <f>IF(B361="","",U361+'入力・概要'!$E$9*G361)</f>
        <v/>
      </c>
      <c r="X361" s="195">
        <f>IF(B361="","",'入力・概要'!$E$9+T361*F361-U361*G361)</f>
        <v/>
      </c>
      <c r="Y361" s="195">
        <f>IF(B361="","",T361*G361+U361*F361)</f>
        <v/>
      </c>
      <c r="Z361" s="195">
        <f>IF(B361="","",'入力・概要'!$E$9*(V361*X361+W361*Y361)/(X361^2+Y361^2)+'入力・概要'!$B$36)</f>
        <v/>
      </c>
      <c r="AA361" s="195">
        <f>IF(B361="","",'入力・概要'!$E$9*(W361*X361-V361*Y361)/(X361^2+Y361^2)+C361*'入力・概要'!$B$37*1E-9)</f>
        <v/>
      </c>
      <c r="AB361" s="195">
        <f>IF(B361="","",SQRT(Z361^2+AA361^2))</f>
        <v/>
      </c>
      <c r="AC361" s="195">
        <f>IF(B361="","",IF(Z361&gt;0,DEGREES(ATAN(AA361/Z361)),IF(Z361&lt;0,IF(AA361&gt;=0,DEGREES(ATAN(AA361/Z361))+180,DEGREES(ATAN(AA361/Z361))-180),IF(AA361&gt;0,90,IF(AA361&lt;0,-90,0)))))</f>
        <v/>
      </c>
      <c r="AD361" s="195">
        <f>IF(B361="","",LOG10(B361))</f>
        <v/>
      </c>
      <c r="AE361" s="195">
        <f>IF(AB361="","",LOG10(MAX(AB361,1E-12)))</f>
        <v/>
      </c>
      <c r="AF361" s="195">
        <f>IF(B361="","",SQRT(P361^2+Q361^2))</f>
        <v/>
      </c>
      <c r="AG361" s="195">
        <f>IF(B361="","",SQRT(R361^2+S361^2))</f>
        <v/>
      </c>
    </row>
    <row r="362">
      <c r="A362" t="n">
        <v>359</v>
      </c>
      <c r="B362" s="196">
        <f>IF(A362&lt;='入力・概要'!$B$40,10^(LOG10('入力・概要'!$B$38)+(A362-1)*(LOG10('入力・概要'!$B$39)-LOG10('入力・概要'!$B$38))/('入力・概要'!$B$40-1)),"")</f>
        <v/>
      </c>
      <c r="C362" s="195">
        <f>IF(B362="","",2*PI()*B362)</f>
        <v/>
      </c>
      <c r="D362" s="195">
        <f>IF(B362="","",ATANH(MIN(0.999999,'入力・概要'!$E$20/'入力・概要'!$E$9))+'入力・概要'!$B$20*SQRT(B362/1E6)+E362*'入力・概要'!$B$15/2)</f>
        <v/>
      </c>
      <c r="E362" s="195">
        <f>IF(B362="","",C362*('入力・概要'!$E$11*1E-9))</f>
        <v/>
      </c>
      <c r="F362" s="195">
        <f>IF(B362="","",SINH(2*D362)/(COSH(2*D362)+COS(2*E362)))</f>
        <v/>
      </c>
      <c r="G362" s="195">
        <f>IF(B362="","",SIN(2*E362)/(COSH(2*D362)+COS(2*E362)))</f>
        <v/>
      </c>
      <c r="H362" s="195">
        <f>IF(B362="","",ATANH(MIN(0.999999,'入力・概要'!$E$21/'入力・概要'!$E$15))+'入力・概要'!$B$21*SQRT(B362/1E6)+I362*'入力・概要'!$B$16/2)</f>
        <v/>
      </c>
      <c r="I362" s="195">
        <f>IF(B362="","",C362*('入力・概要'!$E$17*1E-9))</f>
        <v/>
      </c>
      <c r="J362" s="195">
        <f>IF(B362="","",SINH(2*H362)/(COSH(2*H362)+COS(2*I362)))</f>
        <v/>
      </c>
      <c r="K362" s="195">
        <f>IF(B362="","",SIN(2*I362)/(COSH(2*H362)+COS(2*I362)))</f>
        <v/>
      </c>
      <c r="L362" s="195">
        <f>IF(B362="","",'入力・概要'!$B$25)</f>
        <v/>
      </c>
      <c r="M362" s="195">
        <f>IF(B362="","",C362*'入力・概要'!$B$26*1E-9-1/(C362*'入力・概要'!$B$24*1E-6))</f>
        <v/>
      </c>
      <c r="N362" s="195">
        <f>IF(B362="","",'入力・概要'!$B$28)</f>
        <v/>
      </c>
      <c r="O362" s="195">
        <f>IF(B362="","",C362*'入力・概要'!$B$29*1E-9-1/(C362*'入力・概要'!$B$27*1E-6))</f>
        <v/>
      </c>
      <c r="P362" s="195">
        <f>IF(B362="","",((L362*N362-M362*O362)*(L362+N362)+(L362*O362+M362*N362)*(M362+O362))/((L362+N362)^2+(M362+O362)^2))</f>
        <v/>
      </c>
      <c r="Q362" s="195">
        <f>IF(B362="","",((L362*O362+M362*N362)*(L362+N362)-(L362*N362-M362*O362)*(M362+O362))/((L362+N362)^2+(M362+O362)^2))</f>
        <v/>
      </c>
      <c r="R362" s="195">
        <f>IF(B362="","",'入力・概要'!$E$15*J362)</f>
        <v/>
      </c>
      <c r="S362" s="195">
        <f>IF(B362="","",'入力・概要'!$E$15*K362)</f>
        <v/>
      </c>
      <c r="T362" s="195">
        <f>IF(B362="","",P362+R362)</f>
        <v/>
      </c>
      <c r="U362" s="195">
        <f>IF(B362="","",Q362+S362)</f>
        <v/>
      </c>
      <c r="V362" s="195">
        <f>IF(B362="","",T362+'入力・概要'!$E$9*F362)</f>
        <v/>
      </c>
      <c r="W362" s="195">
        <f>IF(B362="","",U362+'入力・概要'!$E$9*G362)</f>
        <v/>
      </c>
      <c r="X362" s="195">
        <f>IF(B362="","",'入力・概要'!$E$9+T362*F362-U362*G362)</f>
        <v/>
      </c>
      <c r="Y362" s="195">
        <f>IF(B362="","",T362*G362+U362*F362)</f>
        <v/>
      </c>
      <c r="Z362" s="195">
        <f>IF(B362="","",'入力・概要'!$E$9*(V362*X362+W362*Y362)/(X362^2+Y362^2)+'入力・概要'!$B$36)</f>
        <v/>
      </c>
      <c r="AA362" s="195">
        <f>IF(B362="","",'入力・概要'!$E$9*(W362*X362-V362*Y362)/(X362^2+Y362^2)+C362*'入力・概要'!$B$37*1E-9)</f>
        <v/>
      </c>
      <c r="AB362" s="195">
        <f>IF(B362="","",SQRT(Z362^2+AA362^2))</f>
        <v/>
      </c>
      <c r="AC362" s="195">
        <f>IF(B362="","",IF(Z362&gt;0,DEGREES(ATAN(AA362/Z362)),IF(Z362&lt;0,IF(AA362&gt;=0,DEGREES(ATAN(AA362/Z362))+180,DEGREES(ATAN(AA362/Z362))-180),IF(AA362&gt;0,90,IF(AA362&lt;0,-90,0)))))</f>
        <v/>
      </c>
      <c r="AD362" s="195">
        <f>IF(B362="","",LOG10(B362))</f>
        <v/>
      </c>
      <c r="AE362" s="195">
        <f>IF(AB362="","",LOG10(MAX(AB362,1E-12)))</f>
        <v/>
      </c>
      <c r="AF362" s="195">
        <f>IF(B362="","",SQRT(P362^2+Q362^2))</f>
        <v/>
      </c>
      <c r="AG362" s="195">
        <f>IF(B362="","",SQRT(R362^2+S362^2))</f>
        <v/>
      </c>
    </row>
    <row r="363">
      <c r="A363" t="n">
        <v>360</v>
      </c>
      <c r="B363" s="196">
        <f>IF(A363&lt;='入力・概要'!$B$40,10^(LOG10('入力・概要'!$B$38)+(A363-1)*(LOG10('入力・概要'!$B$39)-LOG10('入力・概要'!$B$38))/('入力・概要'!$B$40-1)),"")</f>
        <v/>
      </c>
      <c r="C363" s="195">
        <f>IF(B363="","",2*PI()*B363)</f>
        <v/>
      </c>
      <c r="D363" s="195">
        <f>IF(B363="","",ATANH(MIN(0.999999,'入力・概要'!$E$20/'入力・概要'!$E$9))+'入力・概要'!$B$20*SQRT(B363/1E6)+E363*'入力・概要'!$B$15/2)</f>
        <v/>
      </c>
      <c r="E363" s="195">
        <f>IF(B363="","",C363*('入力・概要'!$E$11*1E-9))</f>
        <v/>
      </c>
      <c r="F363" s="195">
        <f>IF(B363="","",SINH(2*D363)/(COSH(2*D363)+COS(2*E363)))</f>
        <v/>
      </c>
      <c r="G363" s="195">
        <f>IF(B363="","",SIN(2*E363)/(COSH(2*D363)+COS(2*E363)))</f>
        <v/>
      </c>
      <c r="H363" s="195">
        <f>IF(B363="","",ATANH(MIN(0.999999,'入力・概要'!$E$21/'入力・概要'!$E$15))+'入力・概要'!$B$21*SQRT(B363/1E6)+I363*'入力・概要'!$B$16/2)</f>
        <v/>
      </c>
      <c r="I363" s="195">
        <f>IF(B363="","",C363*('入力・概要'!$E$17*1E-9))</f>
        <v/>
      </c>
      <c r="J363" s="195">
        <f>IF(B363="","",SINH(2*H363)/(COSH(2*H363)+COS(2*I363)))</f>
        <v/>
      </c>
      <c r="K363" s="195">
        <f>IF(B363="","",SIN(2*I363)/(COSH(2*H363)+COS(2*I363)))</f>
        <v/>
      </c>
      <c r="L363" s="195">
        <f>IF(B363="","",'入力・概要'!$B$25)</f>
        <v/>
      </c>
      <c r="M363" s="195">
        <f>IF(B363="","",C363*'入力・概要'!$B$26*1E-9-1/(C363*'入力・概要'!$B$24*1E-6))</f>
        <v/>
      </c>
      <c r="N363" s="195">
        <f>IF(B363="","",'入力・概要'!$B$28)</f>
        <v/>
      </c>
      <c r="O363" s="195">
        <f>IF(B363="","",C363*'入力・概要'!$B$29*1E-9-1/(C363*'入力・概要'!$B$27*1E-6))</f>
        <v/>
      </c>
      <c r="P363" s="195">
        <f>IF(B363="","",((L363*N363-M363*O363)*(L363+N363)+(L363*O363+M363*N363)*(M363+O363))/((L363+N363)^2+(M363+O363)^2))</f>
        <v/>
      </c>
      <c r="Q363" s="195">
        <f>IF(B363="","",((L363*O363+M363*N363)*(L363+N363)-(L363*N363-M363*O363)*(M363+O363))/((L363+N363)^2+(M363+O363)^2))</f>
        <v/>
      </c>
      <c r="R363" s="195">
        <f>IF(B363="","",'入力・概要'!$E$15*J363)</f>
        <v/>
      </c>
      <c r="S363" s="195">
        <f>IF(B363="","",'入力・概要'!$E$15*K363)</f>
        <v/>
      </c>
      <c r="T363" s="195">
        <f>IF(B363="","",P363+R363)</f>
        <v/>
      </c>
      <c r="U363" s="195">
        <f>IF(B363="","",Q363+S363)</f>
        <v/>
      </c>
      <c r="V363" s="195">
        <f>IF(B363="","",T363+'入力・概要'!$E$9*F363)</f>
        <v/>
      </c>
      <c r="W363" s="195">
        <f>IF(B363="","",U363+'入力・概要'!$E$9*G363)</f>
        <v/>
      </c>
      <c r="X363" s="195">
        <f>IF(B363="","",'入力・概要'!$E$9+T363*F363-U363*G363)</f>
        <v/>
      </c>
      <c r="Y363" s="195">
        <f>IF(B363="","",T363*G363+U363*F363)</f>
        <v/>
      </c>
      <c r="Z363" s="195">
        <f>IF(B363="","",'入力・概要'!$E$9*(V363*X363+W363*Y363)/(X363^2+Y363^2)+'入力・概要'!$B$36)</f>
        <v/>
      </c>
      <c r="AA363" s="195">
        <f>IF(B363="","",'入力・概要'!$E$9*(W363*X363-V363*Y363)/(X363^2+Y363^2)+C363*'入力・概要'!$B$37*1E-9)</f>
        <v/>
      </c>
      <c r="AB363" s="195">
        <f>IF(B363="","",SQRT(Z363^2+AA363^2))</f>
        <v/>
      </c>
      <c r="AC363" s="195">
        <f>IF(B363="","",IF(Z363&gt;0,DEGREES(ATAN(AA363/Z363)),IF(Z363&lt;0,IF(AA363&gt;=0,DEGREES(ATAN(AA363/Z363))+180,DEGREES(ATAN(AA363/Z363))-180),IF(AA363&gt;0,90,IF(AA363&lt;0,-90,0)))))</f>
        <v/>
      </c>
      <c r="AD363" s="195">
        <f>IF(B363="","",LOG10(B363))</f>
        <v/>
      </c>
      <c r="AE363" s="195">
        <f>IF(AB363="","",LOG10(MAX(AB363,1E-12)))</f>
        <v/>
      </c>
      <c r="AF363" s="195">
        <f>IF(B363="","",SQRT(P363^2+Q363^2))</f>
        <v/>
      </c>
      <c r="AG363" s="195">
        <f>IF(B363="","",SQRT(R363^2+S363^2))</f>
        <v/>
      </c>
    </row>
    <row r="364">
      <c r="A364" t="n">
        <v>361</v>
      </c>
      <c r="B364" s="196">
        <f>IF(A364&lt;='入力・概要'!$B$40,10^(LOG10('入力・概要'!$B$38)+(A364-1)*(LOG10('入力・概要'!$B$39)-LOG10('入力・概要'!$B$38))/('入力・概要'!$B$40-1)),"")</f>
        <v/>
      </c>
      <c r="C364" s="195">
        <f>IF(B364="","",2*PI()*B364)</f>
        <v/>
      </c>
      <c r="D364" s="195">
        <f>IF(B364="","",ATANH(MIN(0.999999,'入力・概要'!$E$20/'入力・概要'!$E$9))+'入力・概要'!$B$20*SQRT(B364/1E6)+E364*'入力・概要'!$B$15/2)</f>
        <v/>
      </c>
      <c r="E364" s="195">
        <f>IF(B364="","",C364*('入力・概要'!$E$11*1E-9))</f>
        <v/>
      </c>
      <c r="F364" s="195">
        <f>IF(B364="","",SINH(2*D364)/(COSH(2*D364)+COS(2*E364)))</f>
        <v/>
      </c>
      <c r="G364" s="195">
        <f>IF(B364="","",SIN(2*E364)/(COSH(2*D364)+COS(2*E364)))</f>
        <v/>
      </c>
      <c r="H364" s="195">
        <f>IF(B364="","",ATANH(MIN(0.999999,'入力・概要'!$E$21/'入力・概要'!$E$15))+'入力・概要'!$B$21*SQRT(B364/1E6)+I364*'入力・概要'!$B$16/2)</f>
        <v/>
      </c>
      <c r="I364" s="195">
        <f>IF(B364="","",C364*('入力・概要'!$E$17*1E-9))</f>
        <v/>
      </c>
      <c r="J364" s="195">
        <f>IF(B364="","",SINH(2*H364)/(COSH(2*H364)+COS(2*I364)))</f>
        <v/>
      </c>
      <c r="K364" s="195">
        <f>IF(B364="","",SIN(2*I364)/(COSH(2*H364)+COS(2*I364)))</f>
        <v/>
      </c>
      <c r="L364" s="195">
        <f>IF(B364="","",'入力・概要'!$B$25)</f>
        <v/>
      </c>
      <c r="M364" s="195">
        <f>IF(B364="","",C364*'入力・概要'!$B$26*1E-9-1/(C364*'入力・概要'!$B$24*1E-6))</f>
        <v/>
      </c>
      <c r="N364" s="195">
        <f>IF(B364="","",'入力・概要'!$B$28)</f>
        <v/>
      </c>
      <c r="O364" s="195">
        <f>IF(B364="","",C364*'入力・概要'!$B$29*1E-9-1/(C364*'入力・概要'!$B$27*1E-6))</f>
        <v/>
      </c>
      <c r="P364" s="195">
        <f>IF(B364="","",((L364*N364-M364*O364)*(L364+N364)+(L364*O364+M364*N364)*(M364+O364))/((L364+N364)^2+(M364+O364)^2))</f>
        <v/>
      </c>
      <c r="Q364" s="195">
        <f>IF(B364="","",((L364*O364+M364*N364)*(L364+N364)-(L364*N364-M364*O364)*(M364+O364))/((L364+N364)^2+(M364+O364)^2))</f>
        <v/>
      </c>
      <c r="R364" s="195">
        <f>IF(B364="","",'入力・概要'!$E$15*J364)</f>
        <v/>
      </c>
      <c r="S364" s="195">
        <f>IF(B364="","",'入力・概要'!$E$15*K364)</f>
        <v/>
      </c>
      <c r="T364" s="195">
        <f>IF(B364="","",P364+R364)</f>
        <v/>
      </c>
      <c r="U364" s="195">
        <f>IF(B364="","",Q364+S364)</f>
        <v/>
      </c>
      <c r="V364" s="195">
        <f>IF(B364="","",T364+'入力・概要'!$E$9*F364)</f>
        <v/>
      </c>
      <c r="W364" s="195">
        <f>IF(B364="","",U364+'入力・概要'!$E$9*G364)</f>
        <v/>
      </c>
      <c r="X364" s="195">
        <f>IF(B364="","",'入力・概要'!$E$9+T364*F364-U364*G364)</f>
        <v/>
      </c>
      <c r="Y364" s="195">
        <f>IF(B364="","",T364*G364+U364*F364)</f>
        <v/>
      </c>
      <c r="Z364" s="195">
        <f>IF(B364="","",'入力・概要'!$E$9*(V364*X364+W364*Y364)/(X364^2+Y364^2)+'入力・概要'!$B$36)</f>
        <v/>
      </c>
      <c r="AA364" s="195">
        <f>IF(B364="","",'入力・概要'!$E$9*(W364*X364-V364*Y364)/(X364^2+Y364^2)+C364*'入力・概要'!$B$37*1E-9)</f>
        <v/>
      </c>
      <c r="AB364" s="195">
        <f>IF(B364="","",SQRT(Z364^2+AA364^2))</f>
        <v/>
      </c>
      <c r="AC364" s="195">
        <f>IF(B364="","",IF(Z364&gt;0,DEGREES(ATAN(AA364/Z364)),IF(Z364&lt;0,IF(AA364&gt;=0,DEGREES(ATAN(AA364/Z364))+180,DEGREES(ATAN(AA364/Z364))-180),IF(AA364&gt;0,90,IF(AA364&lt;0,-90,0)))))</f>
        <v/>
      </c>
      <c r="AD364" s="195">
        <f>IF(B364="","",LOG10(B364))</f>
        <v/>
      </c>
      <c r="AE364" s="195">
        <f>IF(AB364="","",LOG10(MAX(AB364,1E-12)))</f>
        <v/>
      </c>
      <c r="AF364" s="195">
        <f>IF(B364="","",SQRT(P364^2+Q364^2))</f>
        <v/>
      </c>
      <c r="AG364" s="195">
        <f>IF(B364="","",SQRT(R364^2+S364^2))</f>
        <v/>
      </c>
    </row>
    <row r="365">
      <c r="A365" t="n">
        <v>362</v>
      </c>
      <c r="B365" s="196">
        <f>IF(A365&lt;='入力・概要'!$B$40,10^(LOG10('入力・概要'!$B$38)+(A365-1)*(LOG10('入力・概要'!$B$39)-LOG10('入力・概要'!$B$38))/('入力・概要'!$B$40-1)),"")</f>
        <v/>
      </c>
      <c r="C365" s="195">
        <f>IF(B365="","",2*PI()*B365)</f>
        <v/>
      </c>
      <c r="D365" s="195">
        <f>IF(B365="","",ATANH(MIN(0.999999,'入力・概要'!$E$20/'入力・概要'!$E$9))+'入力・概要'!$B$20*SQRT(B365/1E6)+E365*'入力・概要'!$B$15/2)</f>
        <v/>
      </c>
      <c r="E365" s="195">
        <f>IF(B365="","",C365*('入力・概要'!$E$11*1E-9))</f>
        <v/>
      </c>
      <c r="F365" s="195">
        <f>IF(B365="","",SINH(2*D365)/(COSH(2*D365)+COS(2*E365)))</f>
        <v/>
      </c>
      <c r="G365" s="195">
        <f>IF(B365="","",SIN(2*E365)/(COSH(2*D365)+COS(2*E365)))</f>
        <v/>
      </c>
      <c r="H365" s="195">
        <f>IF(B365="","",ATANH(MIN(0.999999,'入力・概要'!$E$21/'入力・概要'!$E$15))+'入力・概要'!$B$21*SQRT(B365/1E6)+I365*'入力・概要'!$B$16/2)</f>
        <v/>
      </c>
      <c r="I365" s="195">
        <f>IF(B365="","",C365*('入力・概要'!$E$17*1E-9))</f>
        <v/>
      </c>
      <c r="J365" s="195">
        <f>IF(B365="","",SINH(2*H365)/(COSH(2*H365)+COS(2*I365)))</f>
        <v/>
      </c>
      <c r="K365" s="195">
        <f>IF(B365="","",SIN(2*I365)/(COSH(2*H365)+COS(2*I365)))</f>
        <v/>
      </c>
      <c r="L365" s="195">
        <f>IF(B365="","",'入力・概要'!$B$25)</f>
        <v/>
      </c>
      <c r="M365" s="195">
        <f>IF(B365="","",C365*'入力・概要'!$B$26*1E-9-1/(C365*'入力・概要'!$B$24*1E-6))</f>
        <v/>
      </c>
      <c r="N365" s="195">
        <f>IF(B365="","",'入力・概要'!$B$28)</f>
        <v/>
      </c>
      <c r="O365" s="195">
        <f>IF(B365="","",C365*'入力・概要'!$B$29*1E-9-1/(C365*'入力・概要'!$B$27*1E-6))</f>
        <v/>
      </c>
      <c r="P365" s="195">
        <f>IF(B365="","",((L365*N365-M365*O365)*(L365+N365)+(L365*O365+M365*N365)*(M365+O365))/((L365+N365)^2+(M365+O365)^2))</f>
        <v/>
      </c>
      <c r="Q365" s="195">
        <f>IF(B365="","",((L365*O365+M365*N365)*(L365+N365)-(L365*N365-M365*O365)*(M365+O365))/((L365+N365)^2+(M365+O365)^2))</f>
        <v/>
      </c>
      <c r="R365" s="195">
        <f>IF(B365="","",'入力・概要'!$E$15*J365)</f>
        <v/>
      </c>
      <c r="S365" s="195">
        <f>IF(B365="","",'入力・概要'!$E$15*K365)</f>
        <v/>
      </c>
      <c r="T365" s="195">
        <f>IF(B365="","",P365+R365)</f>
        <v/>
      </c>
      <c r="U365" s="195">
        <f>IF(B365="","",Q365+S365)</f>
        <v/>
      </c>
      <c r="V365" s="195">
        <f>IF(B365="","",T365+'入力・概要'!$E$9*F365)</f>
        <v/>
      </c>
      <c r="W365" s="195">
        <f>IF(B365="","",U365+'入力・概要'!$E$9*G365)</f>
        <v/>
      </c>
      <c r="X365" s="195">
        <f>IF(B365="","",'入力・概要'!$E$9+T365*F365-U365*G365)</f>
        <v/>
      </c>
      <c r="Y365" s="195">
        <f>IF(B365="","",T365*G365+U365*F365)</f>
        <v/>
      </c>
      <c r="Z365" s="195">
        <f>IF(B365="","",'入力・概要'!$E$9*(V365*X365+W365*Y365)/(X365^2+Y365^2)+'入力・概要'!$B$36)</f>
        <v/>
      </c>
      <c r="AA365" s="195">
        <f>IF(B365="","",'入力・概要'!$E$9*(W365*X365-V365*Y365)/(X365^2+Y365^2)+C365*'入力・概要'!$B$37*1E-9)</f>
        <v/>
      </c>
      <c r="AB365" s="195">
        <f>IF(B365="","",SQRT(Z365^2+AA365^2))</f>
        <v/>
      </c>
      <c r="AC365" s="195">
        <f>IF(B365="","",IF(Z365&gt;0,DEGREES(ATAN(AA365/Z365)),IF(Z365&lt;0,IF(AA365&gt;=0,DEGREES(ATAN(AA365/Z365))+180,DEGREES(ATAN(AA365/Z365))-180),IF(AA365&gt;0,90,IF(AA365&lt;0,-90,0)))))</f>
        <v/>
      </c>
      <c r="AD365" s="195">
        <f>IF(B365="","",LOG10(B365))</f>
        <v/>
      </c>
      <c r="AE365" s="195">
        <f>IF(AB365="","",LOG10(MAX(AB365,1E-12)))</f>
        <v/>
      </c>
      <c r="AF365" s="195">
        <f>IF(B365="","",SQRT(P365^2+Q365^2))</f>
        <v/>
      </c>
      <c r="AG365" s="195">
        <f>IF(B365="","",SQRT(R365^2+S365^2))</f>
        <v/>
      </c>
    </row>
    <row r="366">
      <c r="A366" t="n">
        <v>363</v>
      </c>
      <c r="B366" s="196">
        <f>IF(A366&lt;='入力・概要'!$B$40,10^(LOG10('入力・概要'!$B$38)+(A366-1)*(LOG10('入力・概要'!$B$39)-LOG10('入力・概要'!$B$38))/('入力・概要'!$B$40-1)),"")</f>
        <v/>
      </c>
      <c r="C366" s="195">
        <f>IF(B366="","",2*PI()*B366)</f>
        <v/>
      </c>
      <c r="D366" s="195">
        <f>IF(B366="","",ATANH(MIN(0.999999,'入力・概要'!$E$20/'入力・概要'!$E$9))+'入力・概要'!$B$20*SQRT(B366/1E6)+E366*'入力・概要'!$B$15/2)</f>
        <v/>
      </c>
      <c r="E366" s="195">
        <f>IF(B366="","",C366*('入力・概要'!$E$11*1E-9))</f>
        <v/>
      </c>
      <c r="F366" s="195">
        <f>IF(B366="","",SINH(2*D366)/(COSH(2*D366)+COS(2*E366)))</f>
        <v/>
      </c>
      <c r="G366" s="195">
        <f>IF(B366="","",SIN(2*E366)/(COSH(2*D366)+COS(2*E366)))</f>
        <v/>
      </c>
      <c r="H366" s="195">
        <f>IF(B366="","",ATANH(MIN(0.999999,'入力・概要'!$E$21/'入力・概要'!$E$15))+'入力・概要'!$B$21*SQRT(B366/1E6)+I366*'入力・概要'!$B$16/2)</f>
        <v/>
      </c>
      <c r="I366" s="195">
        <f>IF(B366="","",C366*('入力・概要'!$E$17*1E-9))</f>
        <v/>
      </c>
      <c r="J366" s="195">
        <f>IF(B366="","",SINH(2*H366)/(COSH(2*H366)+COS(2*I366)))</f>
        <v/>
      </c>
      <c r="K366" s="195">
        <f>IF(B366="","",SIN(2*I366)/(COSH(2*H366)+COS(2*I366)))</f>
        <v/>
      </c>
      <c r="L366" s="195">
        <f>IF(B366="","",'入力・概要'!$B$25)</f>
        <v/>
      </c>
      <c r="M366" s="195">
        <f>IF(B366="","",C366*'入力・概要'!$B$26*1E-9-1/(C366*'入力・概要'!$B$24*1E-6))</f>
        <v/>
      </c>
      <c r="N366" s="195">
        <f>IF(B366="","",'入力・概要'!$B$28)</f>
        <v/>
      </c>
      <c r="O366" s="195">
        <f>IF(B366="","",C366*'入力・概要'!$B$29*1E-9-1/(C366*'入力・概要'!$B$27*1E-6))</f>
        <v/>
      </c>
      <c r="P366" s="195">
        <f>IF(B366="","",((L366*N366-M366*O366)*(L366+N366)+(L366*O366+M366*N366)*(M366+O366))/((L366+N366)^2+(M366+O366)^2))</f>
        <v/>
      </c>
      <c r="Q366" s="195">
        <f>IF(B366="","",((L366*O366+M366*N366)*(L366+N366)-(L366*N366-M366*O366)*(M366+O366))/((L366+N366)^2+(M366+O366)^2))</f>
        <v/>
      </c>
      <c r="R366" s="195">
        <f>IF(B366="","",'入力・概要'!$E$15*J366)</f>
        <v/>
      </c>
      <c r="S366" s="195">
        <f>IF(B366="","",'入力・概要'!$E$15*K366)</f>
        <v/>
      </c>
      <c r="T366" s="195">
        <f>IF(B366="","",P366+R366)</f>
        <v/>
      </c>
      <c r="U366" s="195">
        <f>IF(B366="","",Q366+S366)</f>
        <v/>
      </c>
      <c r="V366" s="195">
        <f>IF(B366="","",T366+'入力・概要'!$E$9*F366)</f>
        <v/>
      </c>
      <c r="W366" s="195">
        <f>IF(B366="","",U366+'入力・概要'!$E$9*G366)</f>
        <v/>
      </c>
      <c r="X366" s="195">
        <f>IF(B366="","",'入力・概要'!$E$9+T366*F366-U366*G366)</f>
        <v/>
      </c>
      <c r="Y366" s="195">
        <f>IF(B366="","",T366*G366+U366*F366)</f>
        <v/>
      </c>
      <c r="Z366" s="195">
        <f>IF(B366="","",'入力・概要'!$E$9*(V366*X366+W366*Y366)/(X366^2+Y366^2)+'入力・概要'!$B$36)</f>
        <v/>
      </c>
      <c r="AA366" s="195">
        <f>IF(B366="","",'入力・概要'!$E$9*(W366*X366-V366*Y366)/(X366^2+Y366^2)+C366*'入力・概要'!$B$37*1E-9)</f>
        <v/>
      </c>
      <c r="AB366" s="195">
        <f>IF(B366="","",SQRT(Z366^2+AA366^2))</f>
        <v/>
      </c>
      <c r="AC366" s="195">
        <f>IF(B366="","",IF(Z366&gt;0,DEGREES(ATAN(AA366/Z366)),IF(Z366&lt;0,IF(AA366&gt;=0,DEGREES(ATAN(AA366/Z366))+180,DEGREES(ATAN(AA366/Z366))-180),IF(AA366&gt;0,90,IF(AA366&lt;0,-90,0)))))</f>
        <v/>
      </c>
      <c r="AD366" s="195">
        <f>IF(B366="","",LOG10(B366))</f>
        <v/>
      </c>
      <c r="AE366" s="195">
        <f>IF(AB366="","",LOG10(MAX(AB366,1E-12)))</f>
        <v/>
      </c>
      <c r="AF366" s="195">
        <f>IF(B366="","",SQRT(P366^2+Q366^2))</f>
        <v/>
      </c>
      <c r="AG366" s="195">
        <f>IF(B366="","",SQRT(R366^2+S366^2))</f>
        <v/>
      </c>
    </row>
    <row r="367">
      <c r="A367" t="n">
        <v>364</v>
      </c>
      <c r="B367" s="196">
        <f>IF(A367&lt;='入力・概要'!$B$40,10^(LOG10('入力・概要'!$B$38)+(A367-1)*(LOG10('入力・概要'!$B$39)-LOG10('入力・概要'!$B$38))/('入力・概要'!$B$40-1)),"")</f>
        <v/>
      </c>
      <c r="C367" s="195">
        <f>IF(B367="","",2*PI()*B367)</f>
        <v/>
      </c>
      <c r="D367" s="195">
        <f>IF(B367="","",ATANH(MIN(0.999999,'入力・概要'!$E$20/'入力・概要'!$E$9))+'入力・概要'!$B$20*SQRT(B367/1E6)+E367*'入力・概要'!$B$15/2)</f>
        <v/>
      </c>
      <c r="E367" s="195">
        <f>IF(B367="","",C367*('入力・概要'!$E$11*1E-9))</f>
        <v/>
      </c>
      <c r="F367" s="195">
        <f>IF(B367="","",SINH(2*D367)/(COSH(2*D367)+COS(2*E367)))</f>
        <v/>
      </c>
      <c r="G367" s="195">
        <f>IF(B367="","",SIN(2*E367)/(COSH(2*D367)+COS(2*E367)))</f>
        <v/>
      </c>
      <c r="H367" s="195">
        <f>IF(B367="","",ATANH(MIN(0.999999,'入力・概要'!$E$21/'入力・概要'!$E$15))+'入力・概要'!$B$21*SQRT(B367/1E6)+I367*'入力・概要'!$B$16/2)</f>
        <v/>
      </c>
      <c r="I367" s="195">
        <f>IF(B367="","",C367*('入力・概要'!$E$17*1E-9))</f>
        <v/>
      </c>
      <c r="J367" s="195">
        <f>IF(B367="","",SINH(2*H367)/(COSH(2*H367)+COS(2*I367)))</f>
        <v/>
      </c>
      <c r="K367" s="195">
        <f>IF(B367="","",SIN(2*I367)/(COSH(2*H367)+COS(2*I367)))</f>
        <v/>
      </c>
      <c r="L367" s="195">
        <f>IF(B367="","",'入力・概要'!$B$25)</f>
        <v/>
      </c>
      <c r="M367" s="195">
        <f>IF(B367="","",C367*'入力・概要'!$B$26*1E-9-1/(C367*'入力・概要'!$B$24*1E-6))</f>
        <v/>
      </c>
      <c r="N367" s="195">
        <f>IF(B367="","",'入力・概要'!$B$28)</f>
        <v/>
      </c>
      <c r="O367" s="195">
        <f>IF(B367="","",C367*'入力・概要'!$B$29*1E-9-1/(C367*'入力・概要'!$B$27*1E-6))</f>
        <v/>
      </c>
      <c r="P367" s="195">
        <f>IF(B367="","",((L367*N367-M367*O367)*(L367+N367)+(L367*O367+M367*N367)*(M367+O367))/((L367+N367)^2+(M367+O367)^2))</f>
        <v/>
      </c>
      <c r="Q367" s="195">
        <f>IF(B367="","",((L367*O367+M367*N367)*(L367+N367)-(L367*N367-M367*O367)*(M367+O367))/((L367+N367)^2+(M367+O367)^2))</f>
        <v/>
      </c>
      <c r="R367" s="195">
        <f>IF(B367="","",'入力・概要'!$E$15*J367)</f>
        <v/>
      </c>
      <c r="S367" s="195">
        <f>IF(B367="","",'入力・概要'!$E$15*K367)</f>
        <v/>
      </c>
      <c r="T367" s="195">
        <f>IF(B367="","",P367+R367)</f>
        <v/>
      </c>
      <c r="U367" s="195">
        <f>IF(B367="","",Q367+S367)</f>
        <v/>
      </c>
      <c r="V367" s="195">
        <f>IF(B367="","",T367+'入力・概要'!$E$9*F367)</f>
        <v/>
      </c>
      <c r="W367" s="195">
        <f>IF(B367="","",U367+'入力・概要'!$E$9*G367)</f>
        <v/>
      </c>
      <c r="X367" s="195">
        <f>IF(B367="","",'入力・概要'!$E$9+T367*F367-U367*G367)</f>
        <v/>
      </c>
      <c r="Y367" s="195">
        <f>IF(B367="","",T367*G367+U367*F367)</f>
        <v/>
      </c>
      <c r="Z367" s="195">
        <f>IF(B367="","",'入力・概要'!$E$9*(V367*X367+W367*Y367)/(X367^2+Y367^2)+'入力・概要'!$B$36)</f>
        <v/>
      </c>
      <c r="AA367" s="195">
        <f>IF(B367="","",'入力・概要'!$E$9*(W367*X367-V367*Y367)/(X367^2+Y367^2)+C367*'入力・概要'!$B$37*1E-9)</f>
        <v/>
      </c>
      <c r="AB367" s="195">
        <f>IF(B367="","",SQRT(Z367^2+AA367^2))</f>
        <v/>
      </c>
      <c r="AC367" s="195">
        <f>IF(B367="","",IF(Z367&gt;0,DEGREES(ATAN(AA367/Z367)),IF(Z367&lt;0,IF(AA367&gt;=0,DEGREES(ATAN(AA367/Z367))+180,DEGREES(ATAN(AA367/Z367))-180),IF(AA367&gt;0,90,IF(AA367&lt;0,-90,0)))))</f>
        <v/>
      </c>
      <c r="AD367" s="195">
        <f>IF(B367="","",LOG10(B367))</f>
        <v/>
      </c>
      <c r="AE367" s="195">
        <f>IF(AB367="","",LOG10(MAX(AB367,1E-12)))</f>
        <v/>
      </c>
      <c r="AF367" s="195">
        <f>IF(B367="","",SQRT(P367^2+Q367^2))</f>
        <v/>
      </c>
      <c r="AG367" s="195">
        <f>IF(B367="","",SQRT(R367^2+S367^2))</f>
        <v/>
      </c>
    </row>
    <row r="368">
      <c r="A368" t="n">
        <v>365</v>
      </c>
      <c r="B368" s="196">
        <f>IF(A368&lt;='入力・概要'!$B$40,10^(LOG10('入力・概要'!$B$38)+(A368-1)*(LOG10('入力・概要'!$B$39)-LOG10('入力・概要'!$B$38))/('入力・概要'!$B$40-1)),"")</f>
        <v/>
      </c>
      <c r="C368" s="195">
        <f>IF(B368="","",2*PI()*B368)</f>
        <v/>
      </c>
      <c r="D368" s="195">
        <f>IF(B368="","",ATANH(MIN(0.999999,'入力・概要'!$E$20/'入力・概要'!$E$9))+'入力・概要'!$B$20*SQRT(B368/1E6)+E368*'入力・概要'!$B$15/2)</f>
        <v/>
      </c>
      <c r="E368" s="195">
        <f>IF(B368="","",C368*('入力・概要'!$E$11*1E-9))</f>
        <v/>
      </c>
      <c r="F368" s="195">
        <f>IF(B368="","",SINH(2*D368)/(COSH(2*D368)+COS(2*E368)))</f>
        <v/>
      </c>
      <c r="G368" s="195">
        <f>IF(B368="","",SIN(2*E368)/(COSH(2*D368)+COS(2*E368)))</f>
        <v/>
      </c>
      <c r="H368" s="195">
        <f>IF(B368="","",ATANH(MIN(0.999999,'入力・概要'!$E$21/'入力・概要'!$E$15))+'入力・概要'!$B$21*SQRT(B368/1E6)+I368*'入力・概要'!$B$16/2)</f>
        <v/>
      </c>
      <c r="I368" s="195">
        <f>IF(B368="","",C368*('入力・概要'!$E$17*1E-9))</f>
        <v/>
      </c>
      <c r="J368" s="195">
        <f>IF(B368="","",SINH(2*H368)/(COSH(2*H368)+COS(2*I368)))</f>
        <v/>
      </c>
      <c r="K368" s="195">
        <f>IF(B368="","",SIN(2*I368)/(COSH(2*H368)+COS(2*I368)))</f>
        <v/>
      </c>
      <c r="L368" s="195">
        <f>IF(B368="","",'入力・概要'!$B$25)</f>
        <v/>
      </c>
      <c r="M368" s="195">
        <f>IF(B368="","",C368*'入力・概要'!$B$26*1E-9-1/(C368*'入力・概要'!$B$24*1E-6))</f>
        <v/>
      </c>
      <c r="N368" s="195">
        <f>IF(B368="","",'入力・概要'!$B$28)</f>
        <v/>
      </c>
      <c r="O368" s="195">
        <f>IF(B368="","",C368*'入力・概要'!$B$29*1E-9-1/(C368*'入力・概要'!$B$27*1E-6))</f>
        <v/>
      </c>
      <c r="P368" s="195">
        <f>IF(B368="","",((L368*N368-M368*O368)*(L368+N368)+(L368*O368+M368*N368)*(M368+O368))/((L368+N368)^2+(M368+O368)^2))</f>
        <v/>
      </c>
      <c r="Q368" s="195">
        <f>IF(B368="","",((L368*O368+M368*N368)*(L368+N368)-(L368*N368-M368*O368)*(M368+O368))/((L368+N368)^2+(M368+O368)^2))</f>
        <v/>
      </c>
      <c r="R368" s="195">
        <f>IF(B368="","",'入力・概要'!$E$15*J368)</f>
        <v/>
      </c>
      <c r="S368" s="195">
        <f>IF(B368="","",'入力・概要'!$E$15*K368)</f>
        <v/>
      </c>
      <c r="T368" s="195">
        <f>IF(B368="","",P368+R368)</f>
        <v/>
      </c>
      <c r="U368" s="195">
        <f>IF(B368="","",Q368+S368)</f>
        <v/>
      </c>
      <c r="V368" s="195">
        <f>IF(B368="","",T368+'入力・概要'!$E$9*F368)</f>
        <v/>
      </c>
      <c r="W368" s="195">
        <f>IF(B368="","",U368+'入力・概要'!$E$9*G368)</f>
        <v/>
      </c>
      <c r="X368" s="195">
        <f>IF(B368="","",'入力・概要'!$E$9+T368*F368-U368*G368)</f>
        <v/>
      </c>
      <c r="Y368" s="195">
        <f>IF(B368="","",T368*G368+U368*F368)</f>
        <v/>
      </c>
      <c r="Z368" s="195">
        <f>IF(B368="","",'入力・概要'!$E$9*(V368*X368+W368*Y368)/(X368^2+Y368^2)+'入力・概要'!$B$36)</f>
        <v/>
      </c>
      <c r="AA368" s="195">
        <f>IF(B368="","",'入力・概要'!$E$9*(W368*X368-V368*Y368)/(X368^2+Y368^2)+C368*'入力・概要'!$B$37*1E-9)</f>
        <v/>
      </c>
      <c r="AB368" s="195">
        <f>IF(B368="","",SQRT(Z368^2+AA368^2))</f>
        <v/>
      </c>
      <c r="AC368" s="195">
        <f>IF(B368="","",IF(Z368&gt;0,DEGREES(ATAN(AA368/Z368)),IF(Z368&lt;0,IF(AA368&gt;=0,DEGREES(ATAN(AA368/Z368))+180,DEGREES(ATAN(AA368/Z368))-180),IF(AA368&gt;0,90,IF(AA368&lt;0,-90,0)))))</f>
        <v/>
      </c>
      <c r="AD368" s="195">
        <f>IF(B368="","",LOG10(B368))</f>
        <v/>
      </c>
      <c r="AE368" s="195">
        <f>IF(AB368="","",LOG10(MAX(AB368,1E-12)))</f>
        <v/>
      </c>
      <c r="AF368" s="195">
        <f>IF(B368="","",SQRT(P368^2+Q368^2))</f>
        <v/>
      </c>
      <c r="AG368" s="195">
        <f>IF(B368="","",SQRT(R368^2+S368^2))</f>
        <v/>
      </c>
    </row>
    <row r="369">
      <c r="A369" t="n">
        <v>366</v>
      </c>
      <c r="B369" s="196">
        <f>IF(A369&lt;='入力・概要'!$B$40,10^(LOG10('入力・概要'!$B$38)+(A369-1)*(LOG10('入力・概要'!$B$39)-LOG10('入力・概要'!$B$38))/('入力・概要'!$B$40-1)),"")</f>
        <v/>
      </c>
      <c r="C369" s="195">
        <f>IF(B369="","",2*PI()*B369)</f>
        <v/>
      </c>
      <c r="D369" s="195">
        <f>IF(B369="","",ATANH(MIN(0.999999,'入力・概要'!$E$20/'入力・概要'!$E$9))+'入力・概要'!$B$20*SQRT(B369/1E6)+E369*'入力・概要'!$B$15/2)</f>
        <v/>
      </c>
      <c r="E369" s="195">
        <f>IF(B369="","",C369*('入力・概要'!$E$11*1E-9))</f>
        <v/>
      </c>
      <c r="F369" s="195">
        <f>IF(B369="","",SINH(2*D369)/(COSH(2*D369)+COS(2*E369)))</f>
        <v/>
      </c>
      <c r="G369" s="195">
        <f>IF(B369="","",SIN(2*E369)/(COSH(2*D369)+COS(2*E369)))</f>
        <v/>
      </c>
      <c r="H369" s="195">
        <f>IF(B369="","",ATANH(MIN(0.999999,'入力・概要'!$E$21/'入力・概要'!$E$15))+'入力・概要'!$B$21*SQRT(B369/1E6)+I369*'入力・概要'!$B$16/2)</f>
        <v/>
      </c>
      <c r="I369" s="195">
        <f>IF(B369="","",C369*('入力・概要'!$E$17*1E-9))</f>
        <v/>
      </c>
      <c r="J369" s="195">
        <f>IF(B369="","",SINH(2*H369)/(COSH(2*H369)+COS(2*I369)))</f>
        <v/>
      </c>
      <c r="K369" s="195">
        <f>IF(B369="","",SIN(2*I369)/(COSH(2*H369)+COS(2*I369)))</f>
        <v/>
      </c>
      <c r="L369" s="195">
        <f>IF(B369="","",'入力・概要'!$B$25)</f>
        <v/>
      </c>
      <c r="M369" s="195">
        <f>IF(B369="","",C369*'入力・概要'!$B$26*1E-9-1/(C369*'入力・概要'!$B$24*1E-6))</f>
        <v/>
      </c>
      <c r="N369" s="195">
        <f>IF(B369="","",'入力・概要'!$B$28)</f>
        <v/>
      </c>
      <c r="O369" s="195">
        <f>IF(B369="","",C369*'入力・概要'!$B$29*1E-9-1/(C369*'入力・概要'!$B$27*1E-6))</f>
        <v/>
      </c>
      <c r="P369" s="195">
        <f>IF(B369="","",((L369*N369-M369*O369)*(L369+N369)+(L369*O369+M369*N369)*(M369+O369))/((L369+N369)^2+(M369+O369)^2))</f>
        <v/>
      </c>
      <c r="Q369" s="195">
        <f>IF(B369="","",((L369*O369+M369*N369)*(L369+N369)-(L369*N369-M369*O369)*(M369+O369))/((L369+N369)^2+(M369+O369)^2))</f>
        <v/>
      </c>
      <c r="R369" s="195">
        <f>IF(B369="","",'入力・概要'!$E$15*J369)</f>
        <v/>
      </c>
      <c r="S369" s="195">
        <f>IF(B369="","",'入力・概要'!$E$15*K369)</f>
        <v/>
      </c>
      <c r="T369" s="195">
        <f>IF(B369="","",P369+R369)</f>
        <v/>
      </c>
      <c r="U369" s="195">
        <f>IF(B369="","",Q369+S369)</f>
        <v/>
      </c>
      <c r="V369" s="195">
        <f>IF(B369="","",T369+'入力・概要'!$E$9*F369)</f>
        <v/>
      </c>
      <c r="W369" s="195">
        <f>IF(B369="","",U369+'入力・概要'!$E$9*G369)</f>
        <v/>
      </c>
      <c r="X369" s="195">
        <f>IF(B369="","",'入力・概要'!$E$9+T369*F369-U369*G369)</f>
        <v/>
      </c>
      <c r="Y369" s="195">
        <f>IF(B369="","",T369*G369+U369*F369)</f>
        <v/>
      </c>
      <c r="Z369" s="195">
        <f>IF(B369="","",'入力・概要'!$E$9*(V369*X369+W369*Y369)/(X369^2+Y369^2)+'入力・概要'!$B$36)</f>
        <v/>
      </c>
      <c r="AA369" s="195">
        <f>IF(B369="","",'入力・概要'!$E$9*(W369*X369-V369*Y369)/(X369^2+Y369^2)+C369*'入力・概要'!$B$37*1E-9)</f>
        <v/>
      </c>
      <c r="AB369" s="195">
        <f>IF(B369="","",SQRT(Z369^2+AA369^2))</f>
        <v/>
      </c>
      <c r="AC369" s="195">
        <f>IF(B369="","",IF(Z369&gt;0,DEGREES(ATAN(AA369/Z369)),IF(Z369&lt;0,IF(AA369&gt;=0,DEGREES(ATAN(AA369/Z369))+180,DEGREES(ATAN(AA369/Z369))-180),IF(AA369&gt;0,90,IF(AA369&lt;0,-90,0)))))</f>
        <v/>
      </c>
      <c r="AD369" s="195">
        <f>IF(B369="","",LOG10(B369))</f>
        <v/>
      </c>
      <c r="AE369" s="195">
        <f>IF(AB369="","",LOG10(MAX(AB369,1E-12)))</f>
        <v/>
      </c>
      <c r="AF369" s="195">
        <f>IF(B369="","",SQRT(P369^2+Q369^2))</f>
        <v/>
      </c>
      <c r="AG369" s="195">
        <f>IF(B369="","",SQRT(R369^2+S369^2))</f>
        <v/>
      </c>
    </row>
    <row r="370">
      <c r="A370" t="n">
        <v>367</v>
      </c>
      <c r="B370" s="196">
        <f>IF(A370&lt;='入力・概要'!$B$40,10^(LOG10('入力・概要'!$B$38)+(A370-1)*(LOG10('入力・概要'!$B$39)-LOG10('入力・概要'!$B$38))/('入力・概要'!$B$40-1)),"")</f>
        <v/>
      </c>
      <c r="C370" s="195">
        <f>IF(B370="","",2*PI()*B370)</f>
        <v/>
      </c>
      <c r="D370" s="195">
        <f>IF(B370="","",ATANH(MIN(0.999999,'入力・概要'!$E$20/'入力・概要'!$E$9))+'入力・概要'!$B$20*SQRT(B370/1E6)+E370*'入力・概要'!$B$15/2)</f>
        <v/>
      </c>
      <c r="E370" s="195">
        <f>IF(B370="","",C370*('入力・概要'!$E$11*1E-9))</f>
        <v/>
      </c>
      <c r="F370" s="195">
        <f>IF(B370="","",SINH(2*D370)/(COSH(2*D370)+COS(2*E370)))</f>
        <v/>
      </c>
      <c r="G370" s="195">
        <f>IF(B370="","",SIN(2*E370)/(COSH(2*D370)+COS(2*E370)))</f>
        <v/>
      </c>
      <c r="H370" s="195">
        <f>IF(B370="","",ATANH(MIN(0.999999,'入力・概要'!$E$21/'入力・概要'!$E$15))+'入力・概要'!$B$21*SQRT(B370/1E6)+I370*'入力・概要'!$B$16/2)</f>
        <v/>
      </c>
      <c r="I370" s="195">
        <f>IF(B370="","",C370*('入力・概要'!$E$17*1E-9))</f>
        <v/>
      </c>
      <c r="J370" s="195">
        <f>IF(B370="","",SINH(2*H370)/(COSH(2*H370)+COS(2*I370)))</f>
        <v/>
      </c>
      <c r="K370" s="195">
        <f>IF(B370="","",SIN(2*I370)/(COSH(2*H370)+COS(2*I370)))</f>
        <v/>
      </c>
      <c r="L370" s="195">
        <f>IF(B370="","",'入力・概要'!$B$25)</f>
        <v/>
      </c>
      <c r="M370" s="195">
        <f>IF(B370="","",C370*'入力・概要'!$B$26*1E-9-1/(C370*'入力・概要'!$B$24*1E-6))</f>
        <v/>
      </c>
      <c r="N370" s="195">
        <f>IF(B370="","",'入力・概要'!$B$28)</f>
        <v/>
      </c>
      <c r="O370" s="195">
        <f>IF(B370="","",C370*'入力・概要'!$B$29*1E-9-1/(C370*'入力・概要'!$B$27*1E-6))</f>
        <v/>
      </c>
      <c r="P370" s="195">
        <f>IF(B370="","",((L370*N370-M370*O370)*(L370+N370)+(L370*O370+M370*N370)*(M370+O370))/((L370+N370)^2+(M370+O370)^2))</f>
        <v/>
      </c>
      <c r="Q370" s="195">
        <f>IF(B370="","",((L370*O370+M370*N370)*(L370+N370)-(L370*N370-M370*O370)*(M370+O370))/((L370+N370)^2+(M370+O370)^2))</f>
        <v/>
      </c>
      <c r="R370" s="195">
        <f>IF(B370="","",'入力・概要'!$E$15*J370)</f>
        <v/>
      </c>
      <c r="S370" s="195">
        <f>IF(B370="","",'入力・概要'!$E$15*K370)</f>
        <v/>
      </c>
      <c r="T370" s="195">
        <f>IF(B370="","",P370+R370)</f>
        <v/>
      </c>
      <c r="U370" s="195">
        <f>IF(B370="","",Q370+S370)</f>
        <v/>
      </c>
      <c r="V370" s="195">
        <f>IF(B370="","",T370+'入力・概要'!$E$9*F370)</f>
        <v/>
      </c>
      <c r="W370" s="195">
        <f>IF(B370="","",U370+'入力・概要'!$E$9*G370)</f>
        <v/>
      </c>
      <c r="X370" s="195">
        <f>IF(B370="","",'入力・概要'!$E$9+T370*F370-U370*G370)</f>
        <v/>
      </c>
      <c r="Y370" s="195">
        <f>IF(B370="","",T370*G370+U370*F370)</f>
        <v/>
      </c>
      <c r="Z370" s="195">
        <f>IF(B370="","",'入力・概要'!$E$9*(V370*X370+W370*Y370)/(X370^2+Y370^2)+'入力・概要'!$B$36)</f>
        <v/>
      </c>
      <c r="AA370" s="195">
        <f>IF(B370="","",'入力・概要'!$E$9*(W370*X370-V370*Y370)/(X370^2+Y370^2)+C370*'入力・概要'!$B$37*1E-9)</f>
        <v/>
      </c>
      <c r="AB370" s="195">
        <f>IF(B370="","",SQRT(Z370^2+AA370^2))</f>
        <v/>
      </c>
      <c r="AC370" s="195">
        <f>IF(B370="","",IF(Z370&gt;0,DEGREES(ATAN(AA370/Z370)),IF(Z370&lt;0,IF(AA370&gt;=0,DEGREES(ATAN(AA370/Z370))+180,DEGREES(ATAN(AA370/Z370))-180),IF(AA370&gt;0,90,IF(AA370&lt;0,-90,0)))))</f>
        <v/>
      </c>
      <c r="AD370" s="195">
        <f>IF(B370="","",LOG10(B370))</f>
        <v/>
      </c>
      <c r="AE370" s="195">
        <f>IF(AB370="","",LOG10(MAX(AB370,1E-12)))</f>
        <v/>
      </c>
      <c r="AF370" s="195">
        <f>IF(B370="","",SQRT(P370^2+Q370^2))</f>
        <v/>
      </c>
      <c r="AG370" s="195">
        <f>IF(B370="","",SQRT(R370^2+S370^2))</f>
        <v/>
      </c>
    </row>
    <row r="371">
      <c r="A371" t="n">
        <v>368</v>
      </c>
      <c r="B371" s="196">
        <f>IF(A371&lt;='入力・概要'!$B$40,10^(LOG10('入力・概要'!$B$38)+(A371-1)*(LOG10('入力・概要'!$B$39)-LOG10('入力・概要'!$B$38))/('入力・概要'!$B$40-1)),"")</f>
        <v/>
      </c>
      <c r="C371" s="195">
        <f>IF(B371="","",2*PI()*B371)</f>
        <v/>
      </c>
      <c r="D371" s="195">
        <f>IF(B371="","",ATANH(MIN(0.999999,'入力・概要'!$E$20/'入力・概要'!$E$9))+'入力・概要'!$B$20*SQRT(B371/1E6)+E371*'入力・概要'!$B$15/2)</f>
        <v/>
      </c>
      <c r="E371" s="195">
        <f>IF(B371="","",C371*('入力・概要'!$E$11*1E-9))</f>
        <v/>
      </c>
      <c r="F371" s="195">
        <f>IF(B371="","",SINH(2*D371)/(COSH(2*D371)+COS(2*E371)))</f>
        <v/>
      </c>
      <c r="G371" s="195">
        <f>IF(B371="","",SIN(2*E371)/(COSH(2*D371)+COS(2*E371)))</f>
        <v/>
      </c>
      <c r="H371" s="195">
        <f>IF(B371="","",ATANH(MIN(0.999999,'入力・概要'!$E$21/'入力・概要'!$E$15))+'入力・概要'!$B$21*SQRT(B371/1E6)+I371*'入力・概要'!$B$16/2)</f>
        <v/>
      </c>
      <c r="I371" s="195">
        <f>IF(B371="","",C371*('入力・概要'!$E$17*1E-9))</f>
        <v/>
      </c>
      <c r="J371" s="195">
        <f>IF(B371="","",SINH(2*H371)/(COSH(2*H371)+COS(2*I371)))</f>
        <v/>
      </c>
      <c r="K371" s="195">
        <f>IF(B371="","",SIN(2*I371)/(COSH(2*H371)+COS(2*I371)))</f>
        <v/>
      </c>
      <c r="L371" s="195">
        <f>IF(B371="","",'入力・概要'!$B$25)</f>
        <v/>
      </c>
      <c r="M371" s="195">
        <f>IF(B371="","",C371*'入力・概要'!$B$26*1E-9-1/(C371*'入力・概要'!$B$24*1E-6))</f>
        <v/>
      </c>
      <c r="N371" s="195">
        <f>IF(B371="","",'入力・概要'!$B$28)</f>
        <v/>
      </c>
      <c r="O371" s="195">
        <f>IF(B371="","",C371*'入力・概要'!$B$29*1E-9-1/(C371*'入力・概要'!$B$27*1E-6))</f>
        <v/>
      </c>
      <c r="P371" s="195">
        <f>IF(B371="","",((L371*N371-M371*O371)*(L371+N371)+(L371*O371+M371*N371)*(M371+O371))/((L371+N371)^2+(M371+O371)^2))</f>
        <v/>
      </c>
      <c r="Q371" s="195">
        <f>IF(B371="","",((L371*O371+M371*N371)*(L371+N371)-(L371*N371-M371*O371)*(M371+O371))/((L371+N371)^2+(M371+O371)^2))</f>
        <v/>
      </c>
      <c r="R371" s="195">
        <f>IF(B371="","",'入力・概要'!$E$15*J371)</f>
        <v/>
      </c>
      <c r="S371" s="195">
        <f>IF(B371="","",'入力・概要'!$E$15*K371)</f>
        <v/>
      </c>
      <c r="T371" s="195">
        <f>IF(B371="","",P371+R371)</f>
        <v/>
      </c>
      <c r="U371" s="195">
        <f>IF(B371="","",Q371+S371)</f>
        <v/>
      </c>
      <c r="V371" s="195">
        <f>IF(B371="","",T371+'入力・概要'!$E$9*F371)</f>
        <v/>
      </c>
      <c r="W371" s="195">
        <f>IF(B371="","",U371+'入力・概要'!$E$9*G371)</f>
        <v/>
      </c>
      <c r="X371" s="195">
        <f>IF(B371="","",'入力・概要'!$E$9+T371*F371-U371*G371)</f>
        <v/>
      </c>
      <c r="Y371" s="195">
        <f>IF(B371="","",T371*G371+U371*F371)</f>
        <v/>
      </c>
      <c r="Z371" s="195">
        <f>IF(B371="","",'入力・概要'!$E$9*(V371*X371+W371*Y371)/(X371^2+Y371^2)+'入力・概要'!$B$36)</f>
        <v/>
      </c>
      <c r="AA371" s="195">
        <f>IF(B371="","",'入力・概要'!$E$9*(W371*X371-V371*Y371)/(X371^2+Y371^2)+C371*'入力・概要'!$B$37*1E-9)</f>
        <v/>
      </c>
      <c r="AB371" s="195">
        <f>IF(B371="","",SQRT(Z371^2+AA371^2))</f>
        <v/>
      </c>
      <c r="AC371" s="195">
        <f>IF(B371="","",IF(Z371&gt;0,DEGREES(ATAN(AA371/Z371)),IF(Z371&lt;0,IF(AA371&gt;=0,DEGREES(ATAN(AA371/Z371))+180,DEGREES(ATAN(AA371/Z371))-180),IF(AA371&gt;0,90,IF(AA371&lt;0,-90,0)))))</f>
        <v/>
      </c>
      <c r="AD371" s="195">
        <f>IF(B371="","",LOG10(B371))</f>
        <v/>
      </c>
      <c r="AE371" s="195">
        <f>IF(AB371="","",LOG10(MAX(AB371,1E-12)))</f>
        <v/>
      </c>
      <c r="AF371" s="195">
        <f>IF(B371="","",SQRT(P371^2+Q371^2))</f>
        <v/>
      </c>
      <c r="AG371" s="195">
        <f>IF(B371="","",SQRT(R371^2+S371^2))</f>
        <v/>
      </c>
    </row>
    <row r="372">
      <c r="A372" t="n">
        <v>369</v>
      </c>
      <c r="B372" s="196">
        <f>IF(A372&lt;='入力・概要'!$B$40,10^(LOG10('入力・概要'!$B$38)+(A372-1)*(LOG10('入力・概要'!$B$39)-LOG10('入力・概要'!$B$38))/('入力・概要'!$B$40-1)),"")</f>
        <v/>
      </c>
      <c r="C372" s="195">
        <f>IF(B372="","",2*PI()*B372)</f>
        <v/>
      </c>
      <c r="D372" s="195">
        <f>IF(B372="","",ATANH(MIN(0.999999,'入力・概要'!$E$20/'入力・概要'!$E$9))+'入力・概要'!$B$20*SQRT(B372/1E6)+E372*'入力・概要'!$B$15/2)</f>
        <v/>
      </c>
      <c r="E372" s="195">
        <f>IF(B372="","",C372*('入力・概要'!$E$11*1E-9))</f>
        <v/>
      </c>
      <c r="F372" s="195">
        <f>IF(B372="","",SINH(2*D372)/(COSH(2*D372)+COS(2*E372)))</f>
        <v/>
      </c>
      <c r="G372" s="195">
        <f>IF(B372="","",SIN(2*E372)/(COSH(2*D372)+COS(2*E372)))</f>
        <v/>
      </c>
      <c r="H372" s="195">
        <f>IF(B372="","",ATANH(MIN(0.999999,'入力・概要'!$E$21/'入力・概要'!$E$15))+'入力・概要'!$B$21*SQRT(B372/1E6)+I372*'入力・概要'!$B$16/2)</f>
        <v/>
      </c>
      <c r="I372" s="195">
        <f>IF(B372="","",C372*('入力・概要'!$E$17*1E-9))</f>
        <v/>
      </c>
      <c r="J372" s="195">
        <f>IF(B372="","",SINH(2*H372)/(COSH(2*H372)+COS(2*I372)))</f>
        <v/>
      </c>
      <c r="K372" s="195">
        <f>IF(B372="","",SIN(2*I372)/(COSH(2*H372)+COS(2*I372)))</f>
        <v/>
      </c>
      <c r="L372" s="195">
        <f>IF(B372="","",'入力・概要'!$B$25)</f>
        <v/>
      </c>
      <c r="M372" s="195">
        <f>IF(B372="","",C372*'入力・概要'!$B$26*1E-9-1/(C372*'入力・概要'!$B$24*1E-6))</f>
        <v/>
      </c>
      <c r="N372" s="195">
        <f>IF(B372="","",'入力・概要'!$B$28)</f>
        <v/>
      </c>
      <c r="O372" s="195">
        <f>IF(B372="","",C372*'入力・概要'!$B$29*1E-9-1/(C372*'入力・概要'!$B$27*1E-6))</f>
        <v/>
      </c>
      <c r="P372" s="195">
        <f>IF(B372="","",((L372*N372-M372*O372)*(L372+N372)+(L372*O372+M372*N372)*(M372+O372))/((L372+N372)^2+(M372+O372)^2))</f>
        <v/>
      </c>
      <c r="Q372" s="195">
        <f>IF(B372="","",((L372*O372+M372*N372)*(L372+N372)-(L372*N372-M372*O372)*(M372+O372))/((L372+N372)^2+(M372+O372)^2))</f>
        <v/>
      </c>
      <c r="R372" s="195">
        <f>IF(B372="","",'入力・概要'!$E$15*J372)</f>
        <v/>
      </c>
      <c r="S372" s="195">
        <f>IF(B372="","",'入力・概要'!$E$15*K372)</f>
        <v/>
      </c>
      <c r="T372" s="195">
        <f>IF(B372="","",P372+R372)</f>
        <v/>
      </c>
      <c r="U372" s="195">
        <f>IF(B372="","",Q372+S372)</f>
        <v/>
      </c>
      <c r="V372" s="195">
        <f>IF(B372="","",T372+'入力・概要'!$E$9*F372)</f>
        <v/>
      </c>
      <c r="W372" s="195">
        <f>IF(B372="","",U372+'入力・概要'!$E$9*G372)</f>
        <v/>
      </c>
      <c r="X372" s="195">
        <f>IF(B372="","",'入力・概要'!$E$9+T372*F372-U372*G372)</f>
        <v/>
      </c>
      <c r="Y372" s="195">
        <f>IF(B372="","",T372*G372+U372*F372)</f>
        <v/>
      </c>
      <c r="Z372" s="195">
        <f>IF(B372="","",'入力・概要'!$E$9*(V372*X372+W372*Y372)/(X372^2+Y372^2)+'入力・概要'!$B$36)</f>
        <v/>
      </c>
      <c r="AA372" s="195">
        <f>IF(B372="","",'入力・概要'!$E$9*(W372*X372-V372*Y372)/(X372^2+Y372^2)+C372*'入力・概要'!$B$37*1E-9)</f>
        <v/>
      </c>
      <c r="AB372" s="195">
        <f>IF(B372="","",SQRT(Z372^2+AA372^2))</f>
        <v/>
      </c>
      <c r="AC372" s="195">
        <f>IF(B372="","",IF(Z372&gt;0,DEGREES(ATAN(AA372/Z372)),IF(Z372&lt;0,IF(AA372&gt;=0,DEGREES(ATAN(AA372/Z372))+180,DEGREES(ATAN(AA372/Z372))-180),IF(AA372&gt;0,90,IF(AA372&lt;0,-90,0)))))</f>
        <v/>
      </c>
      <c r="AD372" s="195">
        <f>IF(B372="","",LOG10(B372))</f>
        <v/>
      </c>
      <c r="AE372" s="195">
        <f>IF(AB372="","",LOG10(MAX(AB372,1E-12)))</f>
        <v/>
      </c>
      <c r="AF372" s="195">
        <f>IF(B372="","",SQRT(P372^2+Q372^2))</f>
        <v/>
      </c>
      <c r="AG372" s="195">
        <f>IF(B372="","",SQRT(R372^2+S372^2))</f>
        <v/>
      </c>
    </row>
    <row r="373">
      <c r="A373" t="n">
        <v>370</v>
      </c>
      <c r="B373" s="196">
        <f>IF(A373&lt;='入力・概要'!$B$40,10^(LOG10('入力・概要'!$B$38)+(A373-1)*(LOG10('入力・概要'!$B$39)-LOG10('入力・概要'!$B$38))/('入力・概要'!$B$40-1)),"")</f>
        <v/>
      </c>
      <c r="C373" s="195">
        <f>IF(B373="","",2*PI()*B373)</f>
        <v/>
      </c>
      <c r="D373" s="195">
        <f>IF(B373="","",ATANH(MIN(0.999999,'入力・概要'!$E$20/'入力・概要'!$E$9))+'入力・概要'!$B$20*SQRT(B373/1E6)+E373*'入力・概要'!$B$15/2)</f>
        <v/>
      </c>
      <c r="E373" s="195">
        <f>IF(B373="","",C373*('入力・概要'!$E$11*1E-9))</f>
        <v/>
      </c>
      <c r="F373" s="195">
        <f>IF(B373="","",SINH(2*D373)/(COSH(2*D373)+COS(2*E373)))</f>
        <v/>
      </c>
      <c r="G373" s="195">
        <f>IF(B373="","",SIN(2*E373)/(COSH(2*D373)+COS(2*E373)))</f>
        <v/>
      </c>
      <c r="H373" s="195">
        <f>IF(B373="","",ATANH(MIN(0.999999,'入力・概要'!$E$21/'入力・概要'!$E$15))+'入力・概要'!$B$21*SQRT(B373/1E6)+I373*'入力・概要'!$B$16/2)</f>
        <v/>
      </c>
      <c r="I373" s="195">
        <f>IF(B373="","",C373*('入力・概要'!$E$17*1E-9))</f>
        <v/>
      </c>
      <c r="J373" s="195">
        <f>IF(B373="","",SINH(2*H373)/(COSH(2*H373)+COS(2*I373)))</f>
        <v/>
      </c>
      <c r="K373" s="195">
        <f>IF(B373="","",SIN(2*I373)/(COSH(2*H373)+COS(2*I373)))</f>
        <v/>
      </c>
      <c r="L373" s="195">
        <f>IF(B373="","",'入力・概要'!$B$25)</f>
        <v/>
      </c>
      <c r="M373" s="195">
        <f>IF(B373="","",C373*'入力・概要'!$B$26*1E-9-1/(C373*'入力・概要'!$B$24*1E-6))</f>
        <v/>
      </c>
      <c r="N373" s="195">
        <f>IF(B373="","",'入力・概要'!$B$28)</f>
        <v/>
      </c>
      <c r="O373" s="195">
        <f>IF(B373="","",C373*'入力・概要'!$B$29*1E-9-1/(C373*'入力・概要'!$B$27*1E-6))</f>
        <v/>
      </c>
      <c r="P373" s="195">
        <f>IF(B373="","",((L373*N373-M373*O373)*(L373+N373)+(L373*O373+M373*N373)*(M373+O373))/((L373+N373)^2+(M373+O373)^2))</f>
        <v/>
      </c>
      <c r="Q373" s="195">
        <f>IF(B373="","",((L373*O373+M373*N373)*(L373+N373)-(L373*N373-M373*O373)*(M373+O373))/((L373+N373)^2+(M373+O373)^2))</f>
        <v/>
      </c>
      <c r="R373" s="195">
        <f>IF(B373="","",'入力・概要'!$E$15*J373)</f>
        <v/>
      </c>
      <c r="S373" s="195">
        <f>IF(B373="","",'入力・概要'!$E$15*K373)</f>
        <v/>
      </c>
      <c r="T373" s="195">
        <f>IF(B373="","",P373+R373)</f>
        <v/>
      </c>
      <c r="U373" s="195">
        <f>IF(B373="","",Q373+S373)</f>
        <v/>
      </c>
      <c r="V373" s="195">
        <f>IF(B373="","",T373+'入力・概要'!$E$9*F373)</f>
        <v/>
      </c>
      <c r="W373" s="195">
        <f>IF(B373="","",U373+'入力・概要'!$E$9*G373)</f>
        <v/>
      </c>
      <c r="X373" s="195">
        <f>IF(B373="","",'入力・概要'!$E$9+T373*F373-U373*G373)</f>
        <v/>
      </c>
      <c r="Y373" s="195">
        <f>IF(B373="","",T373*G373+U373*F373)</f>
        <v/>
      </c>
      <c r="Z373" s="195">
        <f>IF(B373="","",'入力・概要'!$E$9*(V373*X373+W373*Y373)/(X373^2+Y373^2)+'入力・概要'!$B$36)</f>
        <v/>
      </c>
      <c r="AA373" s="195">
        <f>IF(B373="","",'入力・概要'!$E$9*(W373*X373-V373*Y373)/(X373^2+Y373^2)+C373*'入力・概要'!$B$37*1E-9)</f>
        <v/>
      </c>
      <c r="AB373" s="195">
        <f>IF(B373="","",SQRT(Z373^2+AA373^2))</f>
        <v/>
      </c>
      <c r="AC373" s="195">
        <f>IF(B373="","",IF(Z373&gt;0,DEGREES(ATAN(AA373/Z373)),IF(Z373&lt;0,IF(AA373&gt;=0,DEGREES(ATAN(AA373/Z373))+180,DEGREES(ATAN(AA373/Z373))-180),IF(AA373&gt;0,90,IF(AA373&lt;0,-90,0)))))</f>
        <v/>
      </c>
      <c r="AD373" s="195">
        <f>IF(B373="","",LOG10(B373))</f>
        <v/>
      </c>
      <c r="AE373" s="195">
        <f>IF(AB373="","",LOG10(MAX(AB373,1E-12)))</f>
        <v/>
      </c>
      <c r="AF373" s="195">
        <f>IF(B373="","",SQRT(P373^2+Q373^2))</f>
        <v/>
      </c>
      <c r="AG373" s="195">
        <f>IF(B373="","",SQRT(R373^2+S373^2))</f>
        <v/>
      </c>
    </row>
    <row r="374">
      <c r="A374" t="n">
        <v>371</v>
      </c>
      <c r="B374" s="196">
        <f>IF(A374&lt;='入力・概要'!$B$40,10^(LOG10('入力・概要'!$B$38)+(A374-1)*(LOG10('入力・概要'!$B$39)-LOG10('入力・概要'!$B$38))/('入力・概要'!$B$40-1)),"")</f>
        <v/>
      </c>
      <c r="C374" s="195">
        <f>IF(B374="","",2*PI()*B374)</f>
        <v/>
      </c>
      <c r="D374" s="195">
        <f>IF(B374="","",ATANH(MIN(0.999999,'入力・概要'!$E$20/'入力・概要'!$E$9))+'入力・概要'!$B$20*SQRT(B374/1E6)+E374*'入力・概要'!$B$15/2)</f>
        <v/>
      </c>
      <c r="E374" s="195">
        <f>IF(B374="","",C374*('入力・概要'!$E$11*1E-9))</f>
        <v/>
      </c>
      <c r="F374" s="195">
        <f>IF(B374="","",SINH(2*D374)/(COSH(2*D374)+COS(2*E374)))</f>
        <v/>
      </c>
      <c r="G374" s="195">
        <f>IF(B374="","",SIN(2*E374)/(COSH(2*D374)+COS(2*E374)))</f>
        <v/>
      </c>
      <c r="H374" s="195">
        <f>IF(B374="","",ATANH(MIN(0.999999,'入力・概要'!$E$21/'入力・概要'!$E$15))+'入力・概要'!$B$21*SQRT(B374/1E6)+I374*'入力・概要'!$B$16/2)</f>
        <v/>
      </c>
      <c r="I374" s="195">
        <f>IF(B374="","",C374*('入力・概要'!$E$17*1E-9))</f>
        <v/>
      </c>
      <c r="J374" s="195">
        <f>IF(B374="","",SINH(2*H374)/(COSH(2*H374)+COS(2*I374)))</f>
        <v/>
      </c>
      <c r="K374" s="195">
        <f>IF(B374="","",SIN(2*I374)/(COSH(2*H374)+COS(2*I374)))</f>
        <v/>
      </c>
      <c r="L374" s="195">
        <f>IF(B374="","",'入力・概要'!$B$25)</f>
        <v/>
      </c>
      <c r="M374" s="195">
        <f>IF(B374="","",C374*'入力・概要'!$B$26*1E-9-1/(C374*'入力・概要'!$B$24*1E-6))</f>
        <v/>
      </c>
      <c r="N374" s="195">
        <f>IF(B374="","",'入力・概要'!$B$28)</f>
        <v/>
      </c>
      <c r="O374" s="195">
        <f>IF(B374="","",C374*'入力・概要'!$B$29*1E-9-1/(C374*'入力・概要'!$B$27*1E-6))</f>
        <v/>
      </c>
      <c r="P374" s="195">
        <f>IF(B374="","",((L374*N374-M374*O374)*(L374+N374)+(L374*O374+M374*N374)*(M374+O374))/((L374+N374)^2+(M374+O374)^2))</f>
        <v/>
      </c>
      <c r="Q374" s="195">
        <f>IF(B374="","",((L374*O374+M374*N374)*(L374+N374)-(L374*N374-M374*O374)*(M374+O374))/((L374+N374)^2+(M374+O374)^2))</f>
        <v/>
      </c>
      <c r="R374" s="195">
        <f>IF(B374="","",'入力・概要'!$E$15*J374)</f>
        <v/>
      </c>
      <c r="S374" s="195">
        <f>IF(B374="","",'入力・概要'!$E$15*K374)</f>
        <v/>
      </c>
      <c r="T374" s="195">
        <f>IF(B374="","",P374+R374)</f>
        <v/>
      </c>
      <c r="U374" s="195">
        <f>IF(B374="","",Q374+S374)</f>
        <v/>
      </c>
      <c r="V374" s="195">
        <f>IF(B374="","",T374+'入力・概要'!$E$9*F374)</f>
        <v/>
      </c>
      <c r="W374" s="195">
        <f>IF(B374="","",U374+'入力・概要'!$E$9*G374)</f>
        <v/>
      </c>
      <c r="X374" s="195">
        <f>IF(B374="","",'入力・概要'!$E$9+T374*F374-U374*G374)</f>
        <v/>
      </c>
      <c r="Y374" s="195">
        <f>IF(B374="","",T374*G374+U374*F374)</f>
        <v/>
      </c>
      <c r="Z374" s="195">
        <f>IF(B374="","",'入力・概要'!$E$9*(V374*X374+W374*Y374)/(X374^2+Y374^2)+'入力・概要'!$B$36)</f>
        <v/>
      </c>
      <c r="AA374" s="195">
        <f>IF(B374="","",'入力・概要'!$E$9*(W374*X374-V374*Y374)/(X374^2+Y374^2)+C374*'入力・概要'!$B$37*1E-9)</f>
        <v/>
      </c>
      <c r="AB374" s="195">
        <f>IF(B374="","",SQRT(Z374^2+AA374^2))</f>
        <v/>
      </c>
      <c r="AC374" s="195">
        <f>IF(B374="","",IF(Z374&gt;0,DEGREES(ATAN(AA374/Z374)),IF(Z374&lt;0,IF(AA374&gt;=0,DEGREES(ATAN(AA374/Z374))+180,DEGREES(ATAN(AA374/Z374))-180),IF(AA374&gt;0,90,IF(AA374&lt;0,-90,0)))))</f>
        <v/>
      </c>
      <c r="AD374" s="195">
        <f>IF(B374="","",LOG10(B374))</f>
        <v/>
      </c>
      <c r="AE374" s="195">
        <f>IF(AB374="","",LOG10(MAX(AB374,1E-12)))</f>
        <v/>
      </c>
      <c r="AF374" s="195">
        <f>IF(B374="","",SQRT(P374^2+Q374^2))</f>
        <v/>
      </c>
      <c r="AG374" s="195">
        <f>IF(B374="","",SQRT(R374^2+S374^2))</f>
        <v/>
      </c>
    </row>
    <row r="375">
      <c r="A375" t="n">
        <v>372</v>
      </c>
      <c r="B375" s="196">
        <f>IF(A375&lt;='入力・概要'!$B$40,10^(LOG10('入力・概要'!$B$38)+(A375-1)*(LOG10('入力・概要'!$B$39)-LOG10('入力・概要'!$B$38))/('入力・概要'!$B$40-1)),"")</f>
        <v/>
      </c>
      <c r="C375" s="195">
        <f>IF(B375="","",2*PI()*B375)</f>
        <v/>
      </c>
      <c r="D375" s="195">
        <f>IF(B375="","",ATANH(MIN(0.999999,'入力・概要'!$E$20/'入力・概要'!$E$9))+'入力・概要'!$B$20*SQRT(B375/1E6)+E375*'入力・概要'!$B$15/2)</f>
        <v/>
      </c>
      <c r="E375" s="195">
        <f>IF(B375="","",C375*('入力・概要'!$E$11*1E-9))</f>
        <v/>
      </c>
      <c r="F375" s="195">
        <f>IF(B375="","",SINH(2*D375)/(COSH(2*D375)+COS(2*E375)))</f>
        <v/>
      </c>
      <c r="G375" s="195">
        <f>IF(B375="","",SIN(2*E375)/(COSH(2*D375)+COS(2*E375)))</f>
        <v/>
      </c>
      <c r="H375" s="195">
        <f>IF(B375="","",ATANH(MIN(0.999999,'入力・概要'!$E$21/'入力・概要'!$E$15))+'入力・概要'!$B$21*SQRT(B375/1E6)+I375*'入力・概要'!$B$16/2)</f>
        <v/>
      </c>
      <c r="I375" s="195">
        <f>IF(B375="","",C375*('入力・概要'!$E$17*1E-9))</f>
        <v/>
      </c>
      <c r="J375" s="195">
        <f>IF(B375="","",SINH(2*H375)/(COSH(2*H375)+COS(2*I375)))</f>
        <v/>
      </c>
      <c r="K375" s="195">
        <f>IF(B375="","",SIN(2*I375)/(COSH(2*H375)+COS(2*I375)))</f>
        <v/>
      </c>
      <c r="L375" s="195">
        <f>IF(B375="","",'入力・概要'!$B$25)</f>
        <v/>
      </c>
      <c r="M375" s="195">
        <f>IF(B375="","",C375*'入力・概要'!$B$26*1E-9-1/(C375*'入力・概要'!$B$24*1E-6))</f>
        <v/>
      </c>
      <c r="N375" s="195">
        <f>IF(B375="","",'入力・概要'!$B$28)</f>
        <v/>
      </c>
      <c r="O375" s="195">
        <f>IF(B375="","",C375*'入力・概要'!$B$29*1E-9-1/(C375*'入力・概要'!$B$27*1E-6))</f>
        <v/>
      </c>
      <c r="P375" s="195">
        <f>IF(B375="","",((L375*N375-M375*O375)*(L375+N375)+(L375*O375+M375*N375)*(M375+O375))/((L375+N375)^2+(M375+O375)^2))</f>
        <v/>
      </c>
      <c r="Q375" s="195">
        <f>IF(B375="","",((L375*O375+M375*N375)*(L375+N375)-(L375*N375-M375*O375)*(M375+O375))/((L375+N375)^2+(M375+O375)^2))</f>
        <v/>
      </c>
      <c r="R375" s="195">
        <f>IF(B375="","",'入力・概要'!$E$15*J375)</f>
        <v/>
      </c>
      <c r="S375" s="195">
        <f>IF(B375="","",'入力・概要'!$E$15*K375)</f>
        <v/>
      </c>
      <c r="T375" s="195">
        <f>IF(B375="","",P375+R375)</f>
        <v/>
      </c>
      <c r="U375" s="195">
        <f>IF(B375="","",Q375+S375)</f>
        <v/>
      </c>
      <c r="V375" s="195">
        <f>IF(B375="","",T375+'入力・概要'!$E$9*F375)</f>
        <v/>
      </c>
      <c r="W375" s="195">
        <f>IF(B375="","",U375+'入力・概要'!$E$9*G375)</f>
        <v/>
      </c>
      <c r="X375" s="195">
        <f>IF(B375="","",'入力・概要'!$E$9+T375*F375-U375*G375)</f>
        <v/>
      </c>
      <c r="Y375" s="195">
        <f>IF(B375="","",T375*G375+U375*F375)</f>
        <v/>
      </c>
      <c r="Z375" s="195">
        <f>IF(B375="","",'入力・概要'!$E$9*(V375*X375+W375*Y375)/(X375^2+Y375^2)+'入力・概要'!$B$36)</f>
        <v/>
      </c>
      <c r="AA375" s="195">
        <f>IF(B375="","",'入力・概要'!$E$9*(W375*X375-V375*Y375)/(X375^2+Y375^2)+C375*'入力・概要'!$B$37*1E-9)</f>
        <v/>
      </c>
      <c r="AB375" s="195">
        <f>IF(B375="","",SQRT(Z375^2+AA375^2))</f>
        <v/>
      </c>
      <c r="AC375" s="195">
        <f>IF(B375="","",IF(Z375&gt;0,DEGREES(ATAN(AA375/Z375)),IF(Z375&lt;0,IF(AA375&gt;=0,DEGREES(ATAN(AA375/Z375))+180,DEGREES(ATAN(AA375/Z375))-180),IF(AA375&gt;0,90,IF(AA375&lt;0,-90,0)))))</f>
        <v/>
      </c>
      <c r="AD375" s="195">
        <f>IF(B375="","",LOG10(B375))</f>
        <v/>
      </c>
      <c r="AE375" s="195">
        <f>IF(AB375="","",LOG10(MAX(AB375,1E-12)))</f>
        <v/>
      </c>
      <c r="AF375" s="195">
        <f>IF(B375="","",SQRT(P375^2+Q375^2))</f>
        <v/>
      </c>
      <c r="AG375" s="195">
        <f>IF(B375="","",SQRT(R375^2+S375^2))</f>
        <v/>
      </c>
    </row>
    <row r="376">
      <c r="A376" t="n">
        <v>373</v>
      </c>
      <c r="B376" s="196">
        <f>IF(A376&lt;='入力・概要'!$B$40,10^(LOG10('入力・概要'!$B$38)+(A376-1)*(LOG10('入力・概要'!$B$39)-LOG10('入力・概要'!$B$38))/('入力・概要'!$B$40-1)),"")</f>
        <v/>
      </c>
      <c r="C376" s="195">
        <f>IF(B376="","",2*PI()*B376)</f>
        <v/>
      </c>
      <c r="D376" s="195">
        <f>IF(B376="","",ATANH(MIN(0.999999,'入力・概要'!$E$20/'入力・概要'!$E$9))+'入力・概要'!$B$20*SQRT(B376/1E6)+E376*'入力・概要'!$B$15/2)</f>
        <v/>
      </c>
      <c r="E376" s="195">
        <f>IF(B376="","",C376*('入力・概要'!$E$11*1E-9))</f>
        <v/>
      </c>
      <c r="F376" s="195">
        <f>IF(B376="","",SINH(2*D376)/(COSH(2*D376)+COS(2*E376)))</f>
        <v/>
      </c>
      <c r="G376" s="195">
        <f>IF(B376="","",SIN(2*E376)/(COSH(2*D376)+COS(2*E376)))</f>
        <v/>
      </c>
      <c r="H376" s="195">
        <f>IF(B376="","",ATANH(MIN(0.999999,'入力・概要'!$E$21/'入力・概要'!$E$15))+'入力・概要'!$B$21*SQRT(B376/1E6)+I376*'入力・概要'!$B$16/2)</f>
        <v/>
      </c>
      <c r="I376" s="195">
        <f>IF(B376="","",C376*('入力・概要'!$E$17*1E-9))</f>
        <v/>
      </c>
      <c r="J376" s="195">
        <f>IF(B376="","",SINH(2*H376)/(COSH(2*H376)+COS(2*I376)))</f>
        <v/>
      </c>
      <c r="K376" s="195">
        <f>IF(B376="","",SIN(2*I376)/(COSH(2*H376)+COS(2*I376)))</f>
        <v/>
      </c>
      <c r="L376" s="195">
        <f>IF(B376="","",'入力・概要'!$B$25)</f>
        <v/>
      </c>
      <c r="M376" s="195">
        <f>IF(B376="","",C376*'入力・概要'!$B$26*1E-9-1/(C376*'入力・概要'!$B$24*1E-6))</f>
        <v/>
      </c>
      <c r="N376" s="195">
        <f>IF(B376="","",'入力・概要'!$B$28)</f>
        <v/>
      </c>
      <c r="O376" s="195">
        <f>IF(B376="","",C376*'入力・概要'!$B$29*1E-9-1/(C376*'入力・概要'!$B$27*1E-6))</f>
        <v/>
      </c>
      <c r="P376" s="195">
        <f>IF(B376="","",((L376*N376-M376*O376)*(L376+N376)+(L376*O376+M376*N376)*(M376+O376))/((L376+N376)^2+(M376+O376)^2))</f>
        <v/>
      </c>
      <c r="Q376" s="195">
        <f>IF(B376="","",((L376*O376+M376*N376)*(L376+N376)-(L376*N376-M376*O376)*(M376+O376))/((L376+N376)^2+(M376+O376)^2))</f>
        <v/>
      </c>
      <c r="R376" s="195">
        <f>IF(B376="","",'入力・概要'!$E$15*J376)</f>
        <v/>
      </c>
      <c r="S376" s="195">
        <f>IF(B376="","",'入力・概要'!$E$15*K376)</f>
        <v/>
      </c>
      <c r="T376" s="195">
        <f>IF(B376="","",P376+R376)</f>
        <v/>
      </c>
      <c r="U376" s="195">
        <f>IF(B376="","",Q376+S376)</f>
        <v/>
      </c>
      <c r="V376" s="195">
        <f>IF(B376="","",T376+'入力・概要'!$E$9*F376)</f>
        <v/>
      </c>
      <c r="W376" s="195">
        <f>IF(B376="","",U376+'入力・概要'!$E$9*G376)</f>
        <v/>
      </c>
      <c r="X376" s="195">
        <f>IF(B376="","",'入力・概要'!$E$9+T376*F376-U376*G376)</f>
        <v/>
      </c>
      <c r="Y376" s="195">
        <f>IF(B376="","",T376*G376+U376*F376)</f>
        <v/>
      </c>
      <c r="Z376" s="195">
        <f>IF(B376="","",'入力・概要'!$E$9*(V376*X376+W376*Y376)/(X376^2+Y376^2)+'入力・概要'!$B$36)</f>
        <v/>
      </c>
      <c r="AA376" s="195">
        <f>IF(B376="","",'入力・概要'!$E$9*(W376*X376-V376*Y376)/(X376^2+Y376^2)+C376*'入力・概要'!$B$37*1E-9)</f>
        <v/>
      </c>
      <c r="AB376" s="195">
        <f>IF(B376="","",SQRT(Z376^2+AA376^2))</f>
        <v/>
      </c>
      <c r="AC376" s="195">
        <f>IF(B376="","",IF(Z376&gt;0,DEGREES(ATAN(AA376/Z376)),IF(Z376&lt;0,IF(AA376&gt;=0,DEGREES(ATAN(AA376/Z376))+180,DEGREES(ATAN(AA376/Z376))-180),IF(AA376&gt;0,90,IF(AA376&lt;0,-90,0)))))</f>
        <v/>
      </c>
      <c r="AD376" s="195">
        <f>IF(B376="","",LOG10(B376))</f>
        <v/>
      </c>
      <c r="AE376" s="195">
        <f>IF(AB376="","",LOG10(MAX(AB376,1E-12)))</f>
        <v/>
      </c>
      <c r="AF376" s="195">
        <f>IF(B376="","",SQRT(P376^2+Q376^2))</f>
        <v/>
      </c>
      <c r="AG376" s="195">
        <f>IF(B376="","",SQRT(R376^2+S376^2))</f>
        <v/>
      </c>
    </row>
    <row r="377">
      <c r="A377" t="n">
        <v>374</v>
      </c>
      <c r="B377" s="196">
        <f>IF(A377&lt;='入力・概要'!$B$40,10^(LOG10('入力・概要'!$B$38)+(A377-1)*(LOG10('入力・概要'!$B$39)-LOG10('入力・概要'!$B$38))/('入力・概要'!$B$40-1)),"")</f>
        <v/>
      </c>
      <c r="C377" s="195">
        <f>IF(B377="","",2*PI()*B377)</f>
        <v/>
      </c>
      <c r="D377" s="195">
        <f>IF(B377="","",ATANH(MIN(0.999999,'入力・概要'!$E$20/'入力・概要'!$E$9))+'入力・概要'!$B$20*SQRT(B377/1E6)+E377*'入力・概要'!$B$15/2)</f>
        <v/>
      </c>
      <c r="E377" s="195">
        <f>IF(B377="","",C377*('入力・概要'!$E$11*1E-9))</f>
        <v/>
      </c>
      <c r="F377" s="195">
        <f>IF(B377="","",SINH(2*D377)/(COSH(2*D377)+COS(2*E377)))</f>
        <v/>
      </c>
      <c r="G377" s="195">
        <f>IF(B377="","",SIN(2*E377)/(COSH(2*D377)+COS(2*E377)))</f>
        <v/>
      </c>
      <c r="H377" s="195">
        <f>IF(B377="","",ATANH(MIN(0.999999,'入力・概要'!$E$21/'入力・概要'!$E$15))+'入力・概要'!$B$21*SQRT(B377/1E6)+I377*'入力・概要'!$B$16/2)</f>
        <v/>
      </c>
      <c r="I377" s="195">
        <f>IF(B377="","",C377*('入力・概要'!$E$17*1E-9))</f>
        <v/>
      </c>
      <c r="J377" s="195">
        <f>IF(B377="","",SINH(2*H377)/(COSH(2*H377)+COS(2*I377)))</f>
        <v/>
      </c>
      <c r="K377" s="195">
        <f>IF(B377="","",SIN(2*I377)/(COSH(2*H377)+COS(2*I377)))</f>
        <v/>
      </c>
      <c r="L377" s="195">
        <f>IF(B377="","",'入力・概要'!$B$25)</f>
        <v/>
      </c>
      <c r="M377" s="195">
        <f>IF(B377="","",C377*'入力・概要'!$B$26*1E-9-1/(C377*'入力・概要'!$B$24*1E-6))</f>
        <v/>
      </c>
      <c r="N377" s="195">
        <f>IF(B377="","",'入力・概要'!$B$28)</f>
        <v/>
      </c>
      <c r="O377" s="195">
        <f>IF(B377="","",C377*'入力・概要'!$B$29*1E-9-1/(C377*'入力・概要'!$B$27*1E-6))</f>
        <v/>
      </c>
      <c r="P377" s="195">
        <f>IF(B377="","",((L377*N377-M377*O377)*(L377+N377)+(L377*O377+M377*N377)*(M377+O377))/((L377+N377)^2+(M377+O377)^2))</f>
        <v/>
      </c>
      <c r="Q377" s="195">
        <f>IF(B377="","",((L377*O377+M377*N377)*(L377+N377)-(L377*N377-M377*O377)*(M377+O377))/((L377+N377)^2+(M377+O377)^2))</f>
        <v/>
      </c>
      <c r="R377" s="195">
        <f>IF(B377="","",'入力・概要'!$E$15*J377)</f>
        <v/>
      </c>
      <c r="S377" s="195">
        <f>IF(B377="","",'入力・概要'!$E$15*K377)</f>
        <v/>
      </c>
      <c r="T377" s="195">
        <f>IF(B377="","",P377+R377)</f>
        <v/>
      </c>
      <c r="U377" s="195">
        <f>IF(B377="","",Q377+S377)</f>
        <v/>
      </c>
      <c r="V377" s="195">
        <f>IF(B377="","",T377+'入力・概要'!$E$9*F377)</f>
        <v/>
      </c>
      <c r="W377" s="195">
        <f>IF(B377="","",U377+'入力・概要'!$E$9*G377)</f>
        <v/>
      </c>
      <c r="X377" s="195">
        <f>IF(B377="","",'入力・概要'!$E$9+T377*F377-U377*G377)</f>
        <v/>
      </c>
      <c r="Y377" s="195">
        <f>IF(B377="","",T377*G377+U377*F377)</f>
        <v/>
      </c>
      <c r="Z377" s="195">
        <f>IF(B377="","",'入力・概要'!$E$9*(V377*X377+W377*Y377)/(X377^2+Y377^2)+'入力・概要'!$B$36)</f>
        <v/>
      </c>
      <c r="AA377" s="195">
        <f>IF(B377="","",'入力・概要'!$E$9*(W377*X377-V377*Y377)/(X377^2+Y377^2)+C377*'入力・概要'!$B$37*1E-9)</f>
        <v/>
      </c>
      <c r="AB377" s="195">
        <f>IF(B377="","",SQRT(Z377^2+AA377^2))</f>
        <v/>
      </c>
      <c r="AC377" s="195">
        <f>IF(B377="","",IF(Z377&gt;0,DEGREES(ATAN(AA377/Z377)),IF(Z377&lt;0,IF(AA377&gt;=0,DEGREES(ATAN(AA377/Z377))+180,DEGREES(ATAN(AA377/Z377))-180),IF(AA377&gt;0,90,IF(AA377&lt;0,-90,0)))))</f>
        <v/>
      </c>
      <c r="AD377" s="195">
        <f>IF(B377="","",LOG10(B377))</f>
        <v/>
      </c>
      <c r="AE377" s="195">
        <f>IF(AB377="","",LOG10(MAX(AB377,1E-12)))</f>
        <v/>
      </c>
      <c r="AF377" s="195">
        <f>IF(B377="","",SQRT(P377^2+Q377^2))</f>
        <v/>
      </c>
      <c r="AG377" s="195">
        <f>IF(B377="","",SQRT(R377^2+S377^2))</f>
        <v/>
      </c>
    </row>
    <row r="378">
      <c r="A378" t="n">
        <v>375</v>
      </c>
      <c r="B378" s="196">
        <f>IF(A378&lt;='入力・概要'!$B$40,10^(LOG10('入力・概要'!$B$38)+(A378-1)*(LOG10('入力・概要'!$B$39)-LOG10('入力・概要'!$B$38))/('入力・概要'!$B$40-1)),"")</f>
        <v/>
      </c>
      <c r="C378" s="195">
        <f>IF(B378="","",2*PI()*B378)</f>
        <v/>
      </c>
      <c r="D378" s="195">
        <f>IF(B378="","",ATANH(MIN(0.999999,'入力・概要'!$E$20/'入力・概要'!$E$9))+'入力・概要'!$B$20*SQRT(B378/1E6)+E378*'入力・概要'!$B$15/2)</f>
        <v/>
      </c>
      <c r="E378" s="195">
        <f>IF(B378="","",C378*('入力・概要'!$E$11*1E-9))</f>
        <v/>
      </c>
      <c r="F378" s="195">
        <f>IF(B378="","",SINH(2*D378)/(COSH(2*D378)+COS(2*E378)))</f>
        <v/>
      </c>
      <c r="G378" s="195">
        <f>IF(B378="","",SIN(2*E378)/(COSH(2*D378)+COS(2*E378)))</f>
        <v/>
      </c>
      <c r="H378" s="195">
        <f>IF(B378="","",ATANH(MIN(0.999999,'入力・概要'!$E$21/'入力・概要'!$E$15))+'入力・概要'!$B$21*SQRT(B378/1E6)+I378*'入力・概要'!$B$16/2)</f>
        <v/>
      </c>
      <c r="I378" s="195">
        <f>IF(B378="","",C378*('入力・概要'!$E$17*1E-9))</f>
        <v/>
      </c>
      <c r="J378" s="195">
        <f>IF(B378="","",SINH(2*H378)/(COSH(2*H378)+COS(2*I378)))</f>
        <v/>
      </c>
      <c r="K378" s="195">
        <f>IF(B378="","",SIN(2*I378)/(COSH(2*H378)+COS(2*I378)))</f>
        <v/>
      </c>
      <c r="L378" s="195">
        <f>IF(B378="","",'入力・概要'!$B$25)</f>
        <v/>
      </c>
      <c r="M378" s="195">
        <f>IF(B378="","",C378*'入力・概要'!$B$26*1E-9-1/(C378*'入力・概要'!$B$24*1E-6))</f>
        <v/>
      </c>
      <c r="N378" s="195">
        <f>IF(B378="","",'入力・概要'!$B$28)</f>
        <v/>
      </c>
      <c r="O378" s="195">
        <f>IF(B378="","",C378*'入力・概要'!$B$29*1E-9-1/(C378*'入力・概要'!$B$27*1E-6))</f>
        <v/>
      </c>
      <c r="P378" s="195">
        <f>IF(B378="","",((L378*N378-M378*O378)*(L378+N378)+(L378*O378+M378*N378)*(M378+O378))/((L378+N378)^2+(M378+O378)^2))</f>
        <v/>
      </c>
      <c r="Q378" s="195">
        <f>IF(B378="","",((L378*O378+M378*N378)*(L378+N378)-(L378*N378-M378*O378)*(M378+O378))/((L378+N378)^2+(M378+O378)^2))</f>
        <v/>
      </c>
      <c r="R378" s="195">
        <f>IF(B378="","",'入力・概要'!$E$15*J378)</f>
        <v/>
      </c>
      <c r="S378" s="195">
        <f>IF(B378="","",'入力・概要'!$E$15*K378)</f>
        <v/>
      </c>
      <c r="T378" s="195">
        <f>IF(B378="","",P378+R378)</f>
        <v/>
      </c>
      <c r="U378" s="195">
        <f>IF(B378="","",Q378+S378)</f>
        <v/>
      </c>
      <c r="V378" s="195">
        <f>IF(B378="","",T378+'入力・概要'!$E$9*F378)</f>
        <v/>
      </c>
      <c r="W378" s="195">
        <f>IF(B378="","",U378+'入力・概要'!$E$9*G378)</f>
        <v/>
      </c>
      <c r="X378" s="195">
        <f>IF(B378="","",'入力・概要'!$E$9+T378*F378-U378*G378)</f>
        <v/>
      </c>
      <c r="Y378" s="195">
        <f>IF(B378="","",T378*G378+U378*F378)</f>
        <v/>
      </c>
      <c r="Z378" s="195">
        <f>IF(B378="","",'入力・概要'!$E$9*(V378*X378+W378*Y378)/(X378^2+Y378^2)+'入力・概要'!$B$36)</f>
        <v/>
      </c>
      <c r="AA378" s="195">
        <f>IF(B378="","",'入力・概要'!$E$9*(W378*X378-V378*Y378)/(X378^2+Y378^2)+C378*'入力・概要'!$B$37*1E-9)</f>
        <v/>
      </c>
      <c r="AB378" s="195">
        <f>IF(B378="","",SQRT(Z378^2+AA378^2))</f>
        <v/>
      </c>
      <c r="AC378" s="195">
        <f>IF(B378="","",IF(Z378&gt;0,DEGREES(ATAN(AA378/Z378)),IF(Z378&lt;0,IF(AA378&gt;=0,DEGREES(ATAN(AA378/Z378))+180,DEGREES(ATAN(AA378/Z378))-180),IF(AA378&gt;0,90,IF(AA378&lt;0,-90,0)))))</f>
        <v/>
      </c>
      <c r="AD378" s="195">
        <f>IF(B378="","",LOG10(B378))</f>
        <v/>
      </c>
      <c r="AE378" s="195">
        <f>IF(AB378="","",LOG10(MAX(AB378,1E-12)))</f>
        <v/>
      </c>
      <c r="AF378" s="195">
        <f>IF(B378="","",SQRT(P378^2+Q378^2))</f>
        <v/>
      </c>
      <c r="AG378" s="195">
        <f>IF(B378="","",SQRT(R378^2+S378^2))</f>
        <v/>
      </c>
    </row>
    <row r="379">
      <c r="A379" t="n">
        <v>376</v>
      </c>
      <c r="B379" s="196">
        <f>IF(A379&lt;='入力・概要'!$B$40,10^(LOG10('入力・概要'!$B$38)+(A379-1)*(LOG10('入力・概要'!$B$39)-LOG10('入力・概要'!$B$38))/('入力・概要'!$B$40-1)),"")</f>
        <v/>
      </c>
      <c r="C379" s="195">
        <f>IF(B379="","",2*PI()*B379)</f>
        <v/>
      </c>
      <c r="D379" s="195">
        <f>IF(B379="","",ATANH(MIN(0.999999,'入力・概要'!$E$20/'入力・概要'!$E$9))+'入力・概要'!$B$20*SQRT(B379/1E6)+E379*'入力・概要'!$B$15/2)</f>
        <v/>
      </c>
      <c r="E379" s="195">
        <f>IF(B379="","",C379*('入力・概要'!$E$11*1E-9))</f>
        <v/>
      </c>
      <c r="F379" s="195">
        <f>IF(B379="","",SINH(2*D379)/(COSH(2*D379)+COS(2*E379)))</f>
        <v/>
      </c>
      <c r="G379" s="195">
        <f>IF(B379="","",SIN(2*E379)/(COSH(2*D379)+COS(2*E379)))</f>
        <v/>
      </c>
      <c r="H379" s="195">
        <f>IF(B379="","",ATANH(MIN(0.999999,'入力・概要'!$E$21/'入力・概要'!$E$15))+'入力・概要'!$B$21*SQRT(B379/1E6)+I379*'入力・概要'!$B$16/2)</f>
        <v/>
      </c>
      <c r="I379" s="195">
        <f>IF(B379="","",C379*('入力・概要'!$E$17*1E-9))</f>
        <v/>
      </c>
      <c r="J379" s="195">
        <f>IF(B379="","",SINH(2*H379)/(COSH(2*H379)+COS(2*I379)))</f>
        <v/>
      </c>
      <c r="K379" s="195">
        <f>IF(B379="","",SIN(2*I379)/(COSH(2*H379)+COS(2*I379)))</f>
        <v/>
      </c>
      <c r="L379" s="195">
        <f>IF(B379="","",'入力・概要'!$B$25)</f>
        <v/>
      </c>
      <c r="M379" s="195">
        <f>IF(B379="","",C379*'入力・概要'!$B$26*1E-9-1/(C379*'入力・概要'!$B$24*1E-6))</f>
        <v/>
      </c>
      <c r="N379" s="195">
        <f>IF(B379="","",'入力・概要'!$B$28)</f>
        <v/>
      </c>
      <c r="O379" s="195">
        <f>IF(B379="","",C379*'入力・概要'!$B$29*1E-9-1/(C379*'入力・概要'!$B$27*1E-6))</f>
        <v/>
      </c>
      <c r="P379" s="195">
        <f>IF(B379="","",((L379*N379-M379*O379)*(L379+N379)+(L379*O379+M379*N379)*(M379+O379))/((L379+N379)^2+(M379+O379)^2))</f>
        <v/>
      </c>
      <c r="Q379" s="195">
        <f>IF(B379="","",((L379*O379+M379*N379)*(L379+N379)-(L379*N379-M379*O379)*(M379+O379))/((L379+N379)^2+(M379+O379)^2))</f>
        <v/>
      </c>
      <c r="R379" s="195">
        <f>IF(B379="","",'入力・概要'!$E$15*J379)</f>
        <v/>
      </c>
      <c r="S379" s="195">
        <f>IF(B379="","",'入力・概要'!$E$15*K379)</f>
        <v/>
      </c>
      <c r="T379" s="195">
        <f>IF(B379="","",P379+R379)</f>
        <v/>
      </c>
      <c r="U379" s="195">
        <f>IF(B379="","",Q379+S379)</f>
        <v/>
      </c>
      <c r="V379" s="195">
        <f>IF(B379="","",T379+'入力・概要'!$E$9*F379)</f>
        <v/>
      </c>
      <c r="W379" s="195">
        <f>IF(B379="","",U379+'入力・概要'!$E$9*G379)</f>
        <v/>
      </c>
      <c r="X379" s="195">
        <f>IF(B379="","",'入力・概要'!$E$9+T379*F379-U379*G379)</f>
        <v/>
      </c>
      <c r="Y379" s="195">
        <f>IF(B379="","",T379*G379+U379*F379)</f>
        <v/>
      </c>
      <c r="Z379" s="195">
        <f>IF(B379="","",'入力・概要'!$E$9*(V379*X379+W379*Y379)/(X379^2+Y379^2)+'入力・概要'!$B$36)</f>
        <v/>
      </c>
      <c r="AA379" s="195">
        <f>IF(B379="","",'入力・概要'!$E$9*(W379*X379-V379*Y379)/(X379^2+Y379^2)+C379*'入力・概要'!$B$37*1E-9)</f>
        <v/>
      </c>
      <c r="AB379" s="195">
        <f>IF(B379="","",SQRT(Z379^2+AA379^2))</f>
        <v/>
      </c>
      <c r="AC379" s="195">
        <f>IF(B379="","",IF(Z379&gt;0,DEGREES(ATAN(AA379/Z379)),IF(Z379&lt;0,IF(AA379&gt;=0,DEGREES(ATAN(AA379/Z379))+180,DEGREES(ATAN(AA379/Z379))-180),IF(AA379&gt;0,90,IF(AA379&lt;0,-90,0)))))</f>
        <v/>
      </c>
      <c r="AD379" s="195">
        <f>IF(B379="","",LOG10(B379))</f>
        <v/>
      </c>
      <c r="AE379" s="195">
        <f>IF(AB379="","",LOG10(MAX(AB379,1E-12)))</f>
        <v/>
      </c>
      <c r="AF379" s="195">
        <f>IF(B379="","",SQRT(P379^2+Q379^2))</f>
        <v/>
      </c>
      <c r="AG379" s="195">
        <f>IF(B379="","",SQRT(R379^2+S379^2))</f>
        <v/>
      </c>
    </row>
    <row r="380">
      <c r="A380" t="n">
        <v>377</v>
      </c>
      <c r="B380" s="196">
        <f>IF(A380&lt;='入力・概要'!$B$40,10^(LOG10('入力・概要'!$B$38)+(A380-1)*(LOG10('入力・概要'!$B$39)-LOG10('入力・概要'!$B$38))/('入力・概要'!$B$40-1)),"")</f>
        <v/>
      </c>
      <c r="C380" s="195">
        <f>IF(B380="","",2*PI()*B380)</f>
        <v/>
      </c>
      <c r="D380" s="195">
        <f>IF(B380="","",ATANH(MIN(0.999999,'入力・概要'!$E$20/'入力・概要'!$E$9))+'入力・概要'!$B$20*SQRT(B380/1E6)+E380*'入力・概要'!$B$15/2)</f>
        <v/>
      </c>
      <c r="E380" s="195">
        <f>IF(B380="","",C380*('入力・概要'!$E$11*1E-9))</f>
        <v/>
      </c>
      <c r="F380" s="195">
        <f>IF(B380="","",SINH(2*D380)/(COSH(2*D380)+COS(2*E380)))</f>
        <v/>
      </c>
      <c r="G380" s="195">
        <f>IF(B380="","",SIN(2*E380)/(COSH(2*D380)+COS(2*E380)))</f>
        <v/>
      </c>
      <c r="H380" s="195">
        <f>IF(B380="","",ATANH(MIN(0.999999,'入力・概要'!$E$21/'入力・概要'!$E$15))+'入力・概要'!$B$21*SQRT(B380/1E6)+I380*'入力・概要'!$B$16/2)</f>
        <v/>
      </c>
      <c r="I380" s="195">
        <f>IF(B380="","",C380*('入力・概要'!$E$17*1E-9))</f>
        <v/>
      </c>
      <c r="J380" s="195">
        <f>IF(B380="","",SINH(2*H380)/(COSH(2*H380)+COS(2*I380)))</f>
        <v/>
      </c>
      <c r="K380" s="195">
        <f>IF(B380="","",SIN(2*I380)/(COSH(2*H380)+COS(2*I380)))</f>
        <v/>
      </c>
      <c r="L380" s="195">
        <f>IF(B380="","",'入力・概要'!$B$25)</f>
        <v/>
      </c>
      <c r="M380" s="195">
        <f>IF(B380="","",C380*'入力・概要'!$B$26*1E-9-1/(C380*'入力・概要'!$B$24*1E-6))</f>
        <v/>
      </c>
      <c r="N380" s="195">
        <f>IF(B380="","",'入力・概要'!$B$28)</f>
        <v/>
      </c>
      <c r="O380" s="195">
        <f>IF(B380="","",C380*'入力・概要'!$B$29*1E-9-1/(C380*'入力・概要'!$B$27*1E-6))</f>
        <v/>
      </c>
      <c r="P380" s="195">
        <f>IF(B380="","",((L380*N380-M380*O380)*(L380+N380)+(L380*O380+M380*N380)*(M380+O380))/((L380+N380)^2+(M380+O380)^2))</f>
        <v/>
      </c>
      <c r="Q380" s="195">
        <f>IF(B380="","",((L380*O380+M380*N380)*(L380+N380)-(L380*N380-M380*O380)*(M380+O380))/((L380+N380)^2+(M380+O380)^2))</f>
        <v/>
      </c>
      <c r="R380" s="195">
        <f>IF(B380="","",'入力・概要'!$E$15*J380)</f>
        <v/>
      </c>
      <c r="S380" s="195">
        <f>IF(B380="","",'入力・概要'!$E$15*K380)</f>
        <v/>
      </c>
      <c r="T380" s="195">
        <f>IF(B380="","",P380+R380)</f>
        <v/>
      </c>
      <c r="U380" s="195">
        <f>IF(B380="","",Q380+S380)</f>
        <v/>
      </c>
      <c r="V380" s="195">
        <f>IF(B380="","",T380+'入力・概要'!$E$9*F380)</f>
        <v/>
      </c>
      <c r="W380" s="195">
        <f>IF(B380="","",U380+'入力・概要'!$E$9*G380)</f>
        <v/>
      </c>
      <c r="X380" s="195">
        <f>IF(B380="","",'入力・概要'!$E$9+T380*F380-U380*G380)</f>
        <v/>
      </c>
      <c r="Y380" s="195">
        <f>IF(B380="","",T380*G380+U380*F380)</f>
        <v/>
      </c>
      <c r="Z380" s="195">
        <f>IF(B380="","",'入力・概要'!$E$9*(V380*X380+W380*Y380)/(X380^2+Y380^2)+'入力・概要'!$B$36)</f>
        <v/>
      </c>
      <c r="AA380" s="195">
        <f>IF(B380="","",'入力・概要'!$E$9*(W380*X380-V380*Y380)/(X380^2+Y380^2)+C380*'入力・概要'!$B$37*1E-9)</f>
        <v/>
      </c>
      <c r="AB380" s="195">
        <f>IF(B380="","",SQRT(Z380^2+AA380^2))</f>
        <v/>
      </c>
      <c r="AC380" s="195">
        <f>IF(B380="","",IF(Z380&gt;0,DEGREES(ATAN(AA380/Z380)),IF(Z380&lt;0,IF(AA380&gt;=0,DEGREES(ATAN(AA380/Z380))+180,DEGREES(ATAN(AA380/Z380))-180),IF(AA380&gt;0,90,IF(AA380&lt;0,-90,0)))))</f>
        <v/>
      </c>
      <c r="AD380" s="195">
        <f>IF(B380="","",LOG10(B380))</f>
        <v/>
      </c>
      <c r="AE380" s="195">
        <f>IF(AB380="","",LOG10(MAX(AB380,1E-12)))</f>
        <v/>
      </c>
      <c r="AF380" s="195">
        <f>IF(B380="","",SQRT(P380^2+Q380^2))</f>
        <v/>
      </c>
      <c r="AG380" s="195">
        <f>IF(B380="","",SQRT(R380^2+S380^2))</f>
        <v/>
      </c>
    </row>
    <row r="381">
      <c r="A381" t="n">
        <v>378</v>
      </c>
      <c r="B381" s="196">
        <f>IF(A381&lt;='入力・概要'!$B$40,10^(LOG10('入力・概要'!$B$38)+(A381-1)*(LOG10('入力・概要'!$B$39)-LOG10('入力・概要'!$B$38))/('入力・概要'!$B$40-1)),"")</f>
        <v/>
      </c>
      <c r="C381" s="195">
        <f>IF(B381="","",2*PI()*B381)</f>
        <v/>
      </c>
      <c r="D381" s="195">
        <f>IF(B381="","",ATANH(MIN(0.999999,'入力・概要'!$E$20/'入力・概要'!$E$9))+'入力・概要'!$B$20*SQRT(B381/1E6)+E381*'入力・概要'!$B$15/2)</f>
        <v/>
      </c>
      <c r="E381" s="195">
        <f>IF(B381="","",C381*('入力・概要'!$E$11*1E-9))</f>
        <v/>
      </c>
      <c r="F381" s="195">
        <f>IF(B381="","",SINH(2*D381)/(COSH(2*D381)+COS(2*E381)))</f>
        <v/>
      </c>
      <c r="G381" s="195">
        <f>IF(B381="","",SIN(2*E381)/(COSH(2*D381)+COS(2*E381)))</f>
        <v/>
      </c>
      <c r="H381" s="195">
        <f>IF(B381="","",ATANH(MIN(0.999999,'入力・概要'!$E$21/'入力・概要'!$E$15))+'入力・概要'!$B$21*SQRT(B381/1E6)+I381*'入力・概要'!$B$16/2)</f>
        <v/>
      </c>
      <c r="I381" s="195">
        <f>IF(B381="","",C381*('入力・概要'!$E$17*1E-9))</f>
        <v/>
      </c>
      <c r="J381" s="195">
        <f>IF(B381="","",SINH(2*H381)/(COSH(2*H381)+COS(2*I381)))</f>
        <v/>
      </c>
      <c r="K381" s="195">
        <f>IF(B381="","",SIN(2*I381)/(COSH(2*H381)+COS(2*I381)))</f>
        <v/>
      </c>
      <c r="L381" s="195">
        <f>IF(B381="","",'入力・概要'!$B$25)</f>
        <v/>
      </c>
      <c r="M381" s="195">
        <f>IF(B381="","",C381*'入力・概要'!$B$26*1E-9-1/(C381*'入力・概要'!$B$24*1E-6))</f>
        <v/>
      </c>
      <c r="N381" s="195">
        <f>IF(B381="","",'入力・概要'!$B$28)</f>
        <v/>
      </c>
      <c r="O381" s="195">
        <f>IF(B381="","",C381*'入力・概要'!$B$29*1E-9-1/(C381*'入力・概要'!$B$27*1E-6))</f>
        <v/>
      </c>
      <c r="P381" s="195">
        <f>IF(B381="","",((L381*N381-M381*O381)*(L381+N381)+(L381*O381+M381*N381)*(M381+O381))/((L381+N381)^2+(M381+O381)^2))</f>
        <v/>
      </c>
      <c r="Q381" s="195">
        <f>IF(B381="","",((L381*O381+M381*N381)*(L381+N381)-(L381*N381-M381*O381)*(M381+O381))/((L381+N381)^2+(M381+O381)^2))</f>
        <v/>
      </c>
      <c r="R381" s="195">
        <f>IF(B381="","",'入力・概要'!$E$15*J381)</f>
        <v/>
      </c>
      <c r="S381" s="195">
        <f>IF(B381="","",'入力・概要'!$E$15*K381)</f>
        <v/>
      </c>
      <c r="T381" s="195">
        <f>IF(B381="","",P381+R381)</f>
        <v/>
      </c>
      <c r="U381" s="195">
        <f>IF(B381="","",Q381+S381)</f>
        <v/>
      </c>
      <c r="V381" s="195">
        <f>IF(B381="","",T381+'入力・概要'!$E$9*F381)</f>
        <v/>
      </c>
      <c r="W381" s="195">
        <f>IF(B381="","",U381+'入力・概要'!$E$9*G381)</f>
        <v/>
      </c>
      <c r="X381" s="195">
        <f>IF(B381="","",'入力・概要'!$E$9+T381*F381-U381*G381)</f>
        <v/>
      </c>
      <c r="Y381" s="195">
        <f>IF(B381="","",T381*G381+U381*F381)</f>
        <v/>
      </c>
      <c r="Z381" s="195">
        <f>IF(B381="","",'入力・概要'!$E$9*(V381*X381+W381*Y381)/(X381^2+Y381^2)+'入力・概要'!$B$36)</f>
        <v/>
      </c>
      <c r="AA381" s="195">
        <f>IF(B381="","",'入力・概要'!$E$9*(W381*X381-V381*Y381)/(X381^2+Y381^2)+C381*'入力・概要'!$B$37*1E-9)</f>
        <v/>
      </c>
      <c r="AB381" s="195">
        <f>IF(B381="","",SQRT(Z381^2+AA381^2))</f>
        <v/>
      </c>
      <c r="AC381" s="195">
        <f>IF(B381="","",IF(Z381&gt;0,DEGREES(ATAN(AA381/Z381)),IF(Z381&lt;0,IF(AA381&gt;=0,DEGREES(ATAN(AA381/Z381))+180,DEGREES(ATAN(AA381/Z381))-180),IF(AA381&gt;0,90,IF(AA381&lt;0,-90,0)))))</f>
        <v/>
      </c>
      <c r="AD381" s="195">
        <f>IF(B381="","",LOG10(B381))</f>
        <v/>
      </c>
      <c r="AE381" s="195">
        <f>IF(AB381="","",LOG10(MAX(AB381,1E-12)))</f>
        <v/>
      </c>
      <c r="AF381" s="195">
        <f>IF(B381="","",SQRT(P381^2+Q381^2))</f>
        <v/>
      </c>
      <c r="AG381" s="195">
        <f>IF(B381="","",SQRT(R381^2+S381^2))</f>
        <v/>
      </c>
    </row>
    <row r="382">
      <c r="A382" t="n">
        <v>379</v>
      </c>
      <c r="B382" s="196">
        <f>IF(A382&lt;='入力・概要'!$B$40,10^(LOG10('入力・概要'!$B$38)+(A382-1)*(LOG10('入力・概要'!$B$39)-LOG10('入力・概要'!$B$38))/('入力・概要'!$B$40-1)),"")</f>
        <v/>
      </c>
      <c r="C382" s="195">
        <f>IF(B382="","",2*PI()*B382)</f>
        <v/>
      </c>
      <c r="D382" s="195">
        <f>IF(B382="","",ATANH(MIN(0.999999,'入力・概要'!$E$20/'入力・概要'!$E$9))+'入力・概要'!$B$20*SQRT(B382/1E6)+E382*'入力・概要'!$B$15/2)</f>
        <v/>
      </c>
      <c r="E382" s="195">
        <f>IF(B382="","",C382*('入力・概要'!$E$11*1E-9))</f>
        <v/>
      </c>
      <c r="F382" s="195">
        <f>IF(B382="","",SINH(2*D382)/(COSH(2*D382)+COS(2*E382)))</f>
        <v/>
      </c>
      <c r="G382" s="195">
        <f>IF(B382="","",SIN(2*E382)/(COSH(2*D382)+COS(2*E382)))</f>
        <v/>
      </c>
      <c r="H382" s="195">
        <f>IF(B382="","",ATANH(MIN(0.999999,'入力・概要'!$E$21/'入力・概要'!$E$15))+'入力・概要'!$B$21*SQRT(B382/1E6)+I382*'入力・概要'!$B$16/2)</f>
        <v/>
      </c>
      <c r="I382" s="195">
        <f>IF(B382="","",C382*('入力・概要'!$E$17*1E-9))</f>
        <v/>
      </c>
      <c r="J382" s="195">
        <f>IF(B382="","",SINH(2*H382)/(COSH(2*H382)+COS(2*I382)))</f>
        <v/>
      </c>
      <c r="K382" s="195">
        <f>IF(B382="","",SIN(2*I382)/(COSH(2*H382)+COS(2*I382)))</f>
        <v/>
      </c>
      <c r="L382" s="195">
        <f>IF(B382="","",'入力・概要'!$B$25)</f>
        <v/>
      </c>
      <c r="M382" s="195">
        <f>IF(B382="","",C382*'入力・概要'!$B$26*1E-9-1/(C382*'入力・概要'!$B$24*1E-6))</f>
        <v/>
      </c>
      <c r="N382" s="195">
        <f>IF(B382="","",'入力・概要'!$B$28)</f>
        <v/>
      </c>
      <c r="O382" s="195">
        <f>IF(B382="","",C382*'入力・概要'!$B$29*1E-9-1/(C382*'入力・概要'!$B$27*1E-6))</f>
        <v/>
      </c>
      <c r="P382" s="195">
        <f>IF(B382="","",((L382*N382-M382*O382)*(L382+N382)+(L382*O382+M382*N382)*(M382+O382))/((L382+N382)^2+(M382+O382)^2))</f>
        <v/>
      </c>
      <c r="Q382" s="195">
        <f>IF(B382="","",((L382*O382+M382*N382)*(L382+N382)-(L382*N382-M382*O382)*(M382+O382))/((L382+N382)^2+(M382+O382)^2))</f>
        <v/>
      </c>
      <c r="R382" s="195">
        <f>IF(B382="","",'入力・概要'!$E$15*J382)</f>
        <v/>
      </c>
      <c r="S382" s="195">
        <f>IF(B382="","",'入力・概要'!$E$15*K382)</f>
        <v/>
      </c>
      <c r="T382" s="195">
        <f>IF(B382="","",P382+R382)</f>
        <v/>
      </c>
      <c r="U382" s="195">
        <f>IF(B382="","",Q382+S382)</f>
        <v/>
      </c>
      <c r="V382" s="195">
        <f>IF(B382="","",T382+'入力・概要'!$E$9*F382)</f>
        <v/>
      </c>
      <c r="W382" s="195">
        <f>IF(B382="","",U382+'入力・概要'!$E$9*G382)</f>
        <v/>
      </c>
      <c r="X382" s="195">
        <f>IF(B382="","",'入力・概要'!$E$9+T382*F382-U382*G382)</f>
        <v/>
      </c>
      <c r="Y382" s="195">
        <f>IF(B382="","",T382*G382+U382*F382)</f>
        <v/>
      </c>
      <c r="Z382" s="195">
        <f>IF(B382="","",'入力・概要'!$E$9*(V382*X382+W382*Y382)/(X382^2+Y382^2)+'入力・概要'!$B$36)</f>
        <v/>
      </c>
      <c r="AA382" s="195">
        <f>IF(B382="","",'入力・概要'!$E$9*(W382*X382-V382*Y382)/(X382^2+Y382^2)+C382*'入力・概要'!$B$37*1E-9)</f>
        <v/>
      </c>
      <c r="AB382" s="195">
        <f>IF(B382="","",SQRT(Z382^2+AA382^2))</f>
        <v/>
      </c>
      <c r="AC382" s="195">
        <f>IF(B382="","",IF(Z382&gt;0,DEGREES(ATAN(AA382/Z382)),IF(Z382&lt;0,IF(AA382&gt;=0,DEGREES(ATAN(AA382/Z382))+180,DEGREES(ATAN(AA382/Z382))-180),IF(AA382&gt;0,90,IF(AA382&lt;0,-90,0)))))</f>
        <v/>
      </c>
      <c r="AD382" s="195">
        <f>IF(B382="","",LOG10(B382))</f>
        <v/>
      </c>
      <c r="AE382" s="195">
        <f>IF(AB382="","",LOG10(MAX(AB382,1E-12)))</f>
        <v/>
      </c>
      <c r="AF382" s="195">
        <f>IF(B382="","",SQRT(P382^2+Q382^2))</f>
        <v/>
      </c>
      <c r="AG382" s="195">
        <f>IF(B382="","",SQRT(R382^2+S382^2))</f>
        <v/>
      </c>
    </row>
    <row r="383">
      <c r="A383" t="n">
        <v>380</v>
      </c>
      <c r="B383" s="196">
        <f>IF(A383&lt;='入力・概要'!$B$40,10^(LOG10('入力・概要'!$B$38)+(A383-1)*(LOG10('入力・概要'!$B$39)-LOG10('入力・概要'!$B$38))/('入力・概要'!$B$40-1)),"")</f>
        <v/>
      </c>
      <c r="C383" s="195">
        <f>IF(B383="","",2*PI()*B383)</f>
        <v/>
      </c>
      <c r="D383" s="195">
        <f>IF(B383="","",ATANH(MIN(0.999999,'入力・概要'!$E$20/'入力・概要'!$E$9))+'入力・概要'!$B$20*SQRT(B383/1E6)+E383*'入力・概要'!$B$15/2)</f>
        <v/>
      </c>
      <c r="E383" s="195">
        <f>IF(B383="","",C383*('入力・概要'!$E$11*1E-9))</f>
        <v/>
      </c>
      <c r="F383" s="195">
        <f>IF(B383="","",SINH(2*D383)/(COSH(2*D383)+COS(2*E383)))</f>
        <v/>
      </c>
      <c r="G383" s="195">
        <f>IF(B383="","",SIN(2*E383)/(COSH(2*D383)+COS(2*E383)))</f>
        <v/>
      </c>
      <c r="H383" s="195">
        <f>IF(B383="","",ATANH(MIN(0.999999,'入力・概要'!$E$21/'入力・概要'!$E$15))+'入力・概要'!$B$21*SQRT(B383/1E6)+I383*'入力・概要'!$B$16/2)</f>
        <v/>
      </c>
      <c r="I383" s="195">
        <f>IF(B383="","",C383*('入力・概要'!$E$17*1E-9))</f>
        <v/>
      </c>
      <c r="J383" s="195">
        <f>IF(B383="","",SINH(2*H383)/(COSH(2*H383)+COS(2*I383)))</f>
        <v/>
      </c>
      <c r="K383" s="195">
        <f>IF(B383="","",SIN(2*I383)/(COSH(2*H383)+COS(2*I383)))</f>
        <v/>
      </c>
      <c r="L383" s="195">
        <f>IF(B383="","",'入力・概要'!$B$25)</f>
        <v/>
      </c>
      <c r="M383" s="195">
        <f>IF(B383="","",C383*'入力・概要'!$B$26*1E-9-1/(C383*'入力・概要'!$B$24*1E-6))</f>
        <v/>
      </c>
      <c r="N383" s="195">
        <f>IF(B383="","",'入力・概要'!$B$28)</f>
        <v/>
      </c>
      <c r="O383" s="195">
        <f>IF(B383="","",C383*'入力・概要'!$B$29*1E-9-1/(C383*'入力・概要'!$B$27*1E-6))</f>
        <v/>
      </c>
      <c r="P383" s="195">
        <f>IF(B383="","",((L383*N383-M383*O383)*(L383+N383)+(L383*O383+M383*N383)*(M383+O383))/((L383+N383)^2+(M383+O383)^2))</f>
        <v/>
      </c>
      <c r="Q383" s="195">
        <f>IF(B383="","",((L383*O383+M383*N383)*(L383+N383)-(L383*N383-M383*O383)*(M383+O383))/((L383+N383)^2+(M383+O383)^2))</f>
        <v/>
      </c>
      <c r="R383" s="195">
        <f>IF(B383="","",'入力・概要'!$E$15*J383)</f>
        <v/>
      </c>
      <c r="S383" s="195">
        <f>IF(B383="","",'入力・概要'!$E$15*K383)</f>
        <v/>
      </c>
      <c r="T383" s="195">
        <f>IF(B383="","",P383+R383)</f>
        <v/>
      </c>
      <c r="U383" s="195">
        <f>IF(B383="","",Q383+S383)</f>
        <v/>
      </c>
      <c r="V383" s="195">
        <f>IF(B383="","",T383+'入力・概要'!$E$9*F383)</f>
        <v/>
      </c>
      <c r="W383" s="195">
        <f>IF(B383="","",U383+'入力・概要'!$E$9*G383)</f>
        <v/>
      </c>
      <c r="X383" s="195">
        <f>IF(B383="","",'入力・概要'!$E$9+T383*F383-U383*G383)</f>
        <v/>
      </c>
      <c r="Y383" s="195">
        <f>IF(B383="","",T383*G383+U383*F383)</f>
        <v/>
      </c>
      <c r="Z383" s="195">
        <f>IF(B383="","",'入力・概要'!$E$9*(V383*X383+W383*Y383)/(X383^2+Y383^2)+'入力・概要'!$B$36)</f>
        <v/>
      </c>
      <c r="AA383" s="195">
        <f>IF(B383="","",'入力・概要'!$E$9*(W383*X383-V383*Y383)/(X383^2+Y383^2)+C383*'入力・概要'!$B$37*1E-9)</f>
        <v/>
      </c>
      <c r="AB383" s="195">
        <f>IF(B383="","",SQRT(Z383^2+AA383^2))</f>
        <v/>
      </c>
      <c r="AC383" s="195">
        <f>IF(B383="","",IF(Z383&gt;0,DEGREES(ATAN(AA383/Z383)),IF(Z383&lt;0,IF(AA383&gt;=0,DEGREES(ATAN(AA383/Z383))+180,DEGREES(ATAN(AA383/Z383))-180),IF(AA383&gt;0,90,IF(AA383&lt;0,-90,0)))))</f>
        <v/>
      </c>
      <c r="AD383" s="195">
        <f>IF(B383="","",LOG10(B383))</f>
        <v/>
      </c>
      <c r="AE383" s="195">
        <f>IF(AB383="","",LOG10(MAX(AB383,1E-12)))</f>
        <v/>
      </c>
      <c r="AF383" s="195">
        <f>IF(B383="","",SQRT(P383^2+Q383^2))</f>
        <v/>
      </c>
      <c r="AG383" s="195">
        <f>IF(B383="","",SQRT(R383^2+S383^2))</f>
        <v/>
      </c>
    </row>
    <row r="384">
      <c r="A384" t="n">
        <v>381</v>
      </c>
      <c r="B384" s="196">
        <f>IF(A384&lt;='入力・概要'!$B$40,10^(LOG10('入力・概要'!$B$38)+(A384-1)*(LOG10('入力・概要'!$B$39)-LOG10('入力・概要'!$B$38))/('入力・概要'!$B$40-1)),"")</f>
        <v/>
      </c>
      <c r="C384" s="195">
        <f>IF(B384="","",2*PI()*B384)</f>
        <v/>
      </c>
      <c r="D384" s="195">
        <f>IF(B384="","",ATANH(MIN(0.999999,'入力・概要'!$E$20/'入力・概要'!$E$9))+'入力・概要'!$B$20*SQRT(B384/1E6)+E384*'入力・概要'!$B$15/2)</f>
        <v/>
      </c>
      <c r="E384" s="195">
        <f>IF(B384="","",C384*('入力・概要'!$E$11*1E-9))</f>
        <v/>
      </c>
      <c r="F384" s="195">
        <f>IF(B384="","",SINH(2*D384)/(COSH(2*D384)+COS(2*E384)))</f>
        <v/>
      </c>
      <c r="G384" s="195">
        <f>IF(B384="","",SIN(2*E384)/(COSH(2*D384)+COS(2*E384)))</f>
        <v/>
      </c>
      <c r="H384" s="195">
        <f>IF(B384="","",ATANH(MIN(0.999999,'入力・概要'!$E$21/'入力・概要'!$E$15))+'入力・概要'!$B$21*SQRT(B384/1E6)+I384*'入力・概要'!$B$16/2)</f>
        <v/>
      </c>
      <c r="I384" s="195">
        <f>IF(B384="","",C384*('入力・概要'!$E$17*1E-9))</f>
        <v/>
      </c>
      <c r="J384" s="195">
        <f>IF(B384="","",SINH(2*H384)/(COSH(2*H384)+COS(2*I384)))</f>
        <v/>
      </c>
      <c r="K384" s="195">
        <f>IF(B384="","",SIN(2*I384)/(COSH(2*H384)+COS(2*I384)))</f>
        <v/>
      </c>
      <c r="L384" s="195">
        <f>IF(B384="","",'入力・概要'!$B$25)</f>
        <v/>
      </c>
      <c r="M384" s="195">
        <f>IF(B384="","",C384*'入力・概要'!$B$26*1E-9-1/(C384*'入力・概要'!$B$24*1E-6))</f>
        <v/>
      </c>
      <c r="N384" s="195">
        <f>IF(B384="","",'入力・概要'!$B$28)</f>
        <v/>
      </c>
      <c r="O384" s="195">
        <f>IF(B384="","",C384*'入力・概要'!$B$29*1E-9-1/(C384*'入力・概要'!$B$27*1E-6))</f>
        <v/>
      </c>
      <c r="P384" s="195">
        <f>IF(B384="","",((L384*N384-M384*O384)*(L384+N384)+(L384*O384+M384*N384)*(M384+O384))/((L384+N384)^2+(M384+O384)^2))</f>
        <v/>
      </c>
      <c r="Q384" s="195">
        <f>IF(B384="","",((L384*O384+M384*N384)*(L384+N384)-(L384*N384-M384*O384)*(M384+O384))/((L384+N384)^2+(M384+O384)^2))</f>
        <v/>
      </c>
      <c r="R384" s="195">
        <f>IF(B384="","",'入力・概要'!$E$15*J384)</f>
        <v/>
      </c>
      <c r="S384" s="195">
        <f>IF(B384="","",'入力・概要'!$E$15*K384)</f>
        <v/>
      </c>
      <c r="T384" s="195">
        <f>IF(B384="","",P384+R384)</f>
        <v/>
      </c>
      <c r="U384" s="195">
        <f>IF(B384="","",Q384+S384)</f>
        <v/>
      </c>
      <c r="V384" s="195">
        <f>IF(B384="","",T384+'入力・概要'!$E$9*F384)</f>
        <v/>
      </c>
      <c r="W384" s="195">
        <f>IF(B384="","",U384+'入力・概要'!$E$9*G384)</f>
        <v/>
      </c>
      <c r="X384" s="195">
        <f>IF(B384="","",'入力・概要'!$E$9+T384*F384-U384*G384)</f>
        <v/>
      </c>
      <c r="Y384" s="195">
        <f>IF(B384="","",T384*G384+U384*F384)</f>
        <v/>
      </c>
      <c r="Z384" s="195">
        <f>IF(B384="","",'入力・概要'!$E$9*(V384*X384+W384*Y384)/(X384^2+Y384^2)+'入力・概要'!$B$36)</f>
        <v/>
      </c>
      <c r="AA384" s="195">
        <f>IF(B384="","",'入力・概要'!$E$9*(W384*X384-V384*Y384)/(X384^2+Y384^2)+C384*'入力・概要'!$B$37*1E-9)</f>
        <v/>
      </c>
      <c r="AB384" s="195">
        <f>IF(B384="","",SQRT(Z384^2+AA384^2))</f>
        <v/>
      </c>
      <c r="AC384" s="195">
        <f>IF(B384="","",IF(Z384&gt;0,DEGREES(ATAN(AA384/Z384)),IF(Z384&lt;0,IF(AA384&gt;=0,DEGREES(ATAN(AA384/Z384))+180,DEGREES(ATAN(AA384/Z384))-180),IF(AA384&gt;0,90,IF(AA384&lt;0,-90,0)))))</f>
        <v/>
      </c>
      <c r="AD384" s="195">
        <f>IF(B384="","",LOG10(B384))</f>
        <v/>
      </c>
      <c r="AE384" s="195">
        <f>IF(AB384="","",LOG10(MAX(AB384,1E-12)))</f>
        <v/>
      </c>
      <c r="AF384" s="195">
        <f>IF(B384="","",SQRT(P384^2+Q384^2))</f>
        <v/>
      </c>
      <c r="AG384" s="195">
        <f>IF(B384="","",SQRT(R384^2+S384^2))</f>
        <v/>
      </c>
    </row>
    <row r="385">
      <c r="A385" t="n">
        <v>382</v>
      </c>
      <c r="B385" s="196">
        <f>IF(A385&lt;='入力・概要'!$B$40,10^(LOG10('入力・概要'!$B$38)+(A385-1)*(LOG10('入力・概要'!$B$39)-LOG10('入力・概要'!$B$38))/('入力・概要'!$B$40-1)),"")</f>
        <v/>
      </c>
      <c r="C385" s="195">
        <f>IF(B385="","",2*PI()*B385)</f>
        <v/>
      </c>
      <c r="D385" s="195">
        <f>IF(B385="","",ATANH(MIN(0.999999,'入力・概要'!$E$20/'入力・概要'!$E$9))+'入力・概要'!$B$20*SQRT(B385/1E6)+E385*'入力・概要'!$B$15/2)</f>
        <v/>
      </c>
      <c r="E385" s="195">
        <f>IF(B385="","",C385*('入力・概要'!$E$11*1E-9))</f>
        <v/>
      </c>
      <c r="F385" s="195">
        <f>IF(B385="","",SINH(2*D385)/(COSH(2*D385)+COS(2*E385)))</f>
        <v/>
      </c>
      <c r="G385" s="195">
        <f>IF(B385="","",SIN(2*E385)/(COSH(2*D385)+COS(2*E385)))</f>
        <v/>
      </c>
      <c r="H385" s="195">
        <f>IF(B385="","",ATANH(MIN(0.999999,'入力・概要'!$E$21/'入力・概要'!$E$15))+'入力・概要'!$B$21*SQRT(B385/1E6)+I385*'入力・概要'!$B$16/2)</f>
        <v/>
      </c>
      <c r="I385" s="195">
        <f>IF(B385="","",C385*('入力・概要'!$E$17*1E-9))</f>
        <v/>
      </c>
      <c r="J385" s="195">
        <f>IF(B385="","",SINH(2*H385)/(COSH(2*H385)+COS(2*I385)))</f>
        <v/>
      </c>
      <c r="K385" s="195">
        <f>IF(B385="","",SIN(2*I385)/(COSH(2*H385)+COS(2*I385)))</f>
        <v/>
      </c>
      <c r="L385" s="195">
        <f>IF(B385="","",'入力・概要'!$B$25)</f>
        <v/>
      </c>
      <c r="M385" s="195">
        <f>IF(B385="","",C385*'入力・概要'!$B$26*1E-9-1/(C385*'入力・概要'!$B$24*1E-6))</f>
        <v/>
      </c>
      <c r="N385" s="195">
        <f>IF(B385="","",'入力・概要'!$B$28)</f>
        <v/>
      </c>
      <c r="O385" s="195">
        <f>IF(B385="","",C385*'入力・概要'!$B$29*1E-9-1/(C385*'入力・概要'!$B$27*1E-6))</f>
        <v/>
      </c>
      <c r="P385" s="195">
        <f>IF(B385="","",((L385*N385-M385*O385)*(L385+N385)+(L385*O385+M385*N385)*(M385+O385))/((L385+N385)^2+(M385+O385)^2))</f>
        <v/>
      </c>
      <c r="Q385" s="195">
        <f>IF(B385="","",((L385*O385+M385*N385)*(L385+N385)-(L385*N385-M385*O385)*(M385+O385))/((L385+N385)^2+(M385+O385)^2))</f>
        <v/>
      </c>
      <c r="R385" s="195">
        <f>IF(B385="","",'入力・概要'!$E$15*J385)</f>
        <v/>
      </c>
      <c r="S385" s="195">
        <f>IF(B385="","",'入力・概要'!$E$15*K385)</f>
        <v/>
      </c>
      <c r="T385" s="195">
        <f>IF(B385="","",P385+R385)</f>
        <v/>
      </c>
      <c r="U385" s="195">
        <f>IF(B385="","",Q385+S385)</f>
        <v/>
      </c>
      <c r="V385" s="195">
        <f>IF(B385="","",T385+'入力・概要'!$E$9*F385)</f>
        <v/>
      </c>
      <c r="W385" s="195">
        <f>IF(B385="","",U385+'入力・概要'!$E$9*G385)</f>
        <v/>
      </c>
      <c r="X385" s="195">
        <f>IF(B385="","",'入力・概要'!$E$9+T385*F385-U385*G385)</f>
        <v/>
      </c>
      <c r="Y385" s="195">
        <f>IF(B385="","",T385*G385+U385*F385)</f>
        <v/>
      </c>
      <c r="Z385" s="195">
        <f>IF(B385="","",'入力・概要'!$E$9*(V385*X385+W385*Y385)/(X385^2+Y385^2)+'入力・概要'!$B$36)</f>
        <v/>
      </c>
      <c r="AA385" s="195">
        <f>IF(B385="","",'入力・概要'!$E$9*(W385*X385-V385*Y385)/(X385^2+Y385^2)+C385*'入力・概要'!$B$37*1E-9)</f>
        <v/>
      </c>
      <c r="AB385" s="195">
        <f>IF(B385="","",SQRT(Z385^2+AA385^2))</f>
        <v/>
      </c>
      <c r="AC385" s="195">
        <f>IF(B385="","",IF(Z385&gt;0,DEGREES(ATAN(AA385/Z385)),IF(Z385&lt;0,IF(AA385&gt;=0,DEGREES(ATAN(AA385/Z385))+180,DEGREES(ATAN(AA385/Z385))-180),IF(AA385&gt;0,90,IF(AA385&lt;0,-90,0)))))</f>
        <v/>
      </c>
      <c r="AD385" s="195">
        <f>IF(B385="","",LOG10(B385))</f>
        <v/>
      </c>
      <c r="AE385" s="195">
        <f>IF(AB385="","",LOG10(MAX(AB385,1E-12)))</f>
        <v/>
      </c>
      <c r="AF385" s="195">
        <f>IF(B385="","",SQRT(P385^2+Q385^2))</f>
        <v/>
      </c>
      <c r="AG385" s="195">
        <f>IF(B385="","",SQRT(R385^2+S385^2))</f>
        <v/>
      </c>
    </row>
    <row r="386">
      <c r="A386" t="n">
        <v>383</v>
      </c>
      <c r="B386" s="196">
        <f>IF(A386&lt;='入力・概要'!$B$40,10^(LOG10('入力・概要'!$B$38)+(A386-1)*(LOG10('入力・概要'!$B$39)-LOG10('入力・概要'!$B$38))/('入力・概要'!$B$40-1)),"")</f>
        <v/>
      </c>
      <c r="C386" s="195">
        <f>IF(B386="","",2*PI()*B386)</f>
        <v/>
      </c>
      <c r="D386" s="195">
        <f>IF(B386="","",ATANH(MIN(0.999999,'入力・概要'!$E$20/'入力・概要'!$E$9))+'入力・概要'!$B$20*SQRT(B386/1E6)+E386*'入力・概要'!$B$15/2)</f>
        <v/>
      </c>
      <c r="E386" s="195">
        <f>IF(B386="","",C386*('入力・概要'!$E$11*1E-9))</f>
        <v/>
      </c>
      <c r="F386" s="195">
        <f>IF(B386="","",SINH(2*D386)/(COSH(2*D386)+COS(2*E386)))</f>
        <v/>
      </c>
      <c r="G386" s="195">
        <f>IF(B386="","",SIN(2*E386)/(COSH(2*D386)+COS(2*E386)))</f>
        <v/>
      </c>
      <c r="H386" s="195">
        <f>IF(B386="","",ATANH(MIN(0.999999,'入力・概要'!$E$21/'入力・概要'!$E$15))+'入力・概要'!$B$21*SQRT(B386/1E6)+I386*'入力・概要'!$B$16/2)</f>
        <v/>
      </c>
      <c r="I386" s="195">
        <f>IF(B386="","",C386*('入力・概要'!$E$17*1E-9))</f>
        <v/>
      </c>
      <c r="J386" s="195">
        <f>IF(B386="","",SINH(2*H386)/(COSH(2*H386)+COS(2*I386)))</f>
        <v/>
      </c>
      <c r="K386" s="195">
        <f>IF(B386="","",SIN(2*I386)/(COSH(2*H386)+COS(2*I386)))</f>
        <v/>
      </c>
      <c r="L386" s="195">
        <f>IF(B386="","",'入力・概要'!$B$25)</f>
        <v/>
      </c>
      <c r="M386" s="195">
        <f>IF(B386="","",C386*'入力・概要'!$B$26*1E-9-1/(C386*'入力・概要'!$B$24*1E-6))</f>
        <v/>
      </c>
      <c r="N386" s="195">
        <f>IF(B386="","",'入力・概要'!$B$28)</f>
        <v/>
      </c>
      <c r="O386" s="195">
        <f>IF(B386="","",C386*'入力・概要'!$B$29*1E-9-1/(C386*'入力・概要'!$B$27*1E-6))</f>
        <v/>
      </c>
      <c r="P386" s="195">
        <f>IF(B386="","",((L386*N386-M386*O386)*(L386+N386)+(L386*O386+M386*N386)*(M386+O386))/((L386+N386)^2+(M386+O386)^2))</f>
        <v/>
      </c>
      <c r="Q386" s="195">
        <f>IF(B386="","",((L386*O386+M386*N386)*(L386+N386)-(L386*N386-M386*O386)*(M386+O386))/((L386+N386)^2+(M386+O386)^2))</f>
        <v/>
      </c>
      <c r="R386" s="195">
        <f>IF(B386="","",'入力・概要'!$E$15*J386)</f>
        <v/>
      </c>
      <c r="S386" s="195">
        <f>IF(B386="","",'入力・概要'!$E$15*K386)</f>
        <v/>
      </c>
      <c r="T386" s="195">
        <f>IF(B386="","",P386+R386)</f>
        <v/>
      </c>
      <c r="U386" s="195">
        <f>IF(B386="","",Q386+S386)</f>
        <v/>
      </c>
      <c r="V386" s="195">
        <f>IF(B386="","",T386+'入力・概要'!$E$9*F386)</f>
        <v/>
      </c>
      <c r="W386" s="195">
        <f>IF(B386="","",U386+'入力・概要'!$E$9*G386)</f>
        <v/>
      </c>
      <c r="X386" s="195">
        <f>IF(B386="","",'入力・概要'!$E$9+T386*F386-U386*G386)</f>
        <v/>
      </c>
      <c r="Y386" s="195">
        <f>IF(B386="","",T386*G386+U386*F386)</f>
        <v/>
      </c>
      <c r="Z386" s="195">
        <f>IF(B386="","",'入力・概要'!$E$9*(V386*X386+W386*Y386)/(X386^2+Y386^2)+'入力・概要'!$B$36)</f>
        <v/>
      </c>
      <c r="AA386" s="195">
        <f>IF(B386="","",'入力・概要'!$E$9*(W386*X386-V386*Y386)/(X386^2+Y386^2)+C386*'入力・概要'!$B$37*1E-9)</f>
        <v/>
      </c>
      <c r="AB386" s="195">
        <f>IF(B386="","",SQRT(Z386^2+AA386^2))</f>
        <v/>
      </c>
      <c r="AC386" s="195">
        <f>IF(B386="","",IF(Z386&gt;0,DEGREES(ATAN(AA386/Z386)),IF(Z386&lt;0,IF(AA386&gt;=0,DEGREES(ATAN(AA386/Z386))+180,DEGREES(ATAN(AA386/Z386))-180),IF(AA386&gt;0,90,IF(AA386&lt;0,-90,0)))))</f>
        <v/>
      </c>
      <c r="AD386" s="195">
        <f>IF(B386="","",LOG10(B386))</f>
        <v/>
      </c>
      <c r="AE386" s="195">
        <f>IF(AB386="","",LOG10(MAX(AB386,1E-12)))</f>
        <v/>
      </c>
      <c r="AF386" s="195">
        <f>IF(B386="","",SQRT(P386^2+Q386^2))</f>
        <v/>
      </c>
      <c r="AG386" s="195">
        <f>IF(B386="","",SQRT(R386^2+S386^2))</f>
        <v/>
      </c>
    </row>
    <row r="387">
      <c r="A387" t="n">
        <v>384</v>
      </c>
      <c r="B387" s="196">
        <f>IF(A387&lt;='入力・概要'!$B$40,10^(LOG10('入力・概要'!$B$38)+(A387-1)*(LOG10('入力・概要'!$B$39)-LOG10('入力・概要'!$B$38))/('入力・概要'!$B$40-1)),"")</f>
        <v/>
      </c>
      <c r="C387" s="195">
        <f>IF(B387="","",2*PI()*B387)</f>
        <v/>
      </c>
      <c r="D387" s="195">
        <f>IF(B387="","",ATANH(MIN(0.999999,'入力・概要'!$E$20/'入力・概要'!$E$9))+'入力・概要'!$B$20*SQRT(B387/1E6)+E387*'入力・概要'!$B$15/2)</f>
        <v/>
      </c>
      <c r="E387" s="195">
        <f>IF(B387="","",C387*('入力・概要'!$E$11*1E-9))</f>
        <v/>
      </c>
      <c r="F387" s="195">
        <f>IF(B387="","",SINH(2*D387)/(COSH(2*D387)+COS(2*E387)))</f>
        <v/>
      </c>
      <c r="G387" s="195">
        <f>IF(B387="","",SIN(2*E387)/(COSH(2*D387)+COS(2*E387)))</f>
        <v/>
      </c>
      <c r="H387" s="195">
        <f>IF(B387="","",ATANH(MIN(0.999999,'入力・概要'!$E$21/'入力・概要'!$E$15))+'入力・概要'!$B$21*SQRT(B387/1E6)+I387*'入力・概要'!$B$16/2)</f>
        <v/>
      </c>
      <c r="I387" s="195">
        <f>IF(B387="","",C387*('入力・概要'!$E$17*1E-9))</f>
        <v/>
      </c>
      <c r="J387" s="195">
        <f>IF(B387="","",SINH(2*H387)/(COSH(2*H387)+COS(2*I387)))</f>
        <v/>
      </c>
      <c r="K387" s="195">
        <f>IF(B387="","",SIN(2*I387)/(COSH(2*H387)+COS(2*I387)))</f>
        <v/>
      </c>
      <c r="L387" s="195">
        <f>IF(B387="","",'入力・概要'!$B$25)</f>
        <v/>
      </c>
      <c r="M387" s="195">
        <f>IF(B387="","",C387*'入力・概要'!$B$26*1E-9-1/(C387*'入力・概要'!$B$24*1E-6))</f>
        <v/>
      </c>
      <c r="N387" s="195">
        <f>IF(B387="","",'入力・概要'!$B$28)</f>
        <v/>
      </c>
      <c r="O387" s="195">
        <f>IF(B387="","",C387*'入力・概要'!$B$29*1E-9-1/(C387*'入力・概要'!$B$27*1E-6))</f>
        <v/>
      </c>
      <c r="P387" s="195">
        <f>IF(B387="","",((L387*N387-M387*O387)*(L387+N387)+(L387*O387+M387*N387)*(M387+O387))/((L387+N387)^2+(M387+O387)^2))</f>
        <v/>
      </c>
      <c r="Q387" s="195">
        <f>IF(B387="","",((L387*O387+M387*N387)*(L387+N387)-(L387*N387-M387*O387)*(M387+O387))/((L387+N387)^2+(M387+O387)^2))</f>
        <v/>
      </c>
      <c r="R387" s="195">
        <f>IF(B387="","",'入力・概要'!$E$15*J387)</f>
        <v/>
      </c>
      <c r="S387" s="195">
        <f>IF(B387="","",'入力・概要'!$E$15*K387)</f>
        <v/>
      </c>
      <c r="T387" s="195">
        <f>IF(B387="","",P387+R387)</f>
        <v/>
      </c>
      <c r="U387" s="195">
        <f>IF(B387="","",Q387+S387)</f>
        <v/>
      </c>
      <c r="V387" s="195">
        <f>IF(B387="","",T387+'入力・概要'!$E$9*F387)</f>
        <v/>
      </c>
      <c r="W387" s="195">
        <f>IF(B387="","",U387+'入力・概要'!$E$9*G387)</f>
        <v/>
      </c>
      <c r="X387" s="195">
        <f>IF(B387="","",'入力・概要'!$E$9+T387*F387-U387*G387)</f>
        <v/>
      </c>
      <c r="Y387" s="195">
        <f>IF(B387="","",T387*G387+U387*F387)</f>
        <v/>
      </c>
      <c r="Z387" s="195">
        <f>IF(B387="","",'入力・概要'!$E$9*(V387*X387+W387*Y387)/(X387^2+Y387^2)+'入力・概要'!$B$36)</f>
        <v/>
      </c>
      <c r="AA387" s="195">
        <f>IF(B387="","",'入力・概要'!$E$9*(W387*X387-V387*Y387)/(X387^2+Y387^2)+C387*'入力・概要'!$B$37*1E-9)</f>
        <v/>
      </c>
      <c r="AB387" s="195">
        <f>IF(B387="","",SQRT(Z387^2+AA387^2))</f>
        <v/>
      </c>
      <c r="AC387" s="195">
        <f>IF(B387="","",IF(Z387&gt;0,DEGREES(ATAN(AA387/Z387)),IF(Z387&lt;0,IF(AA387&gt;=0,DEGREES(ATAN(AA387/Z387))+180,DEGREES(ATAN(AA387/Z387))-180),IF(AA387&gt;0,90,IF(AA387&lt;0,-90,0)))))</f>
        <v/>
      </c>
      <c r="AD387" s="195">
        <f>IF(B387="","",LOG10(B387))</f>
        <v/>
      </c>
      <c r="AE387" s="195">
        <f>IF(AB387="","",LOG10(MAX(AB387,1E-12)))</f>
        <v/>
      </c>
      <c r="AF387" s="195">
        <f>IF(B387="","",SQRT(P387^2+Q387^2))</f>
        <v/>
      </c>
      <c r="AG387" s="195">
        <f>IF(B387="","",SQRT(R387^2+S387^2))</f>
        <v/>
      </c>
    </row>
    <row r="388">
      <c r="A388" t="n">
        <v>385</v>
      </c>
      <c r="B388" s="196">
        <f>IF(A388&lt;='入力・概要'!$B$40,10^(LOG10('入力・概要'!$B$38)+(A388-1)*(LOG10('入力・概要'!$B$39)-LOG10('入力・概要'!$B$38))/('入力・概要'!$B$40-1)),"")</f>
        <v/>
      </c>
      <c r="C388" s="195">
        <f>IF(B388="","",2*PI()*B388)</f>
        <v/>
      </c>
      <c r="D388" s="195">
        <f>IF(B388="","",ATANH(MIN(0.999999,'入力・概要'!$E$20/'入力・概要'!$E$9))+'入力・概要'!$B$20*SQRT(B388/1E6)+E388*'入力・概要'!$B$15/2)</f>
        <v/>
      </c>
      <c r="E388" s="195">
        <f>IF(B388="","",C388*('入力・概要'!$E$11*1E-9))</f>
        <v/>
      </c>
      <c r="F388" s="195">
        <f>IF(B388="","",SINH(2*D388)/(COSH(2*D388)+COS(2*E388)))</f>
        <v/>
      </c>
      <c r="G388" s="195">
        <f>IF(B388="","",SIN(2*E388)/(COSH(2*D388)+COS(2*E388)))</f>
        <v/>
      </c>
      <c r="H388" s="195">
        <f>IF(B388="","",ATANH(MIN(0.999999,'入力・概要'!$E$21/'入力・概要'!$E$15))+'入力・概要'!$B$21*SQRT(B388/1E6)+I388*'入力・概要'!$B$16/2)</f>
        <v/>
      </c>
      <c r="I388" s="195">
        <f>IF(B388="","",C388*('入力・概要'!$E$17*1E-9))</f>
        <v/>
      </c>
      <c r="J388" s="195">
        <f>IF(B388="","",SINH(2*H388)/(COSH(2*H388)+COS(2*I388)))</f>
        <v/>
      </c>
      <c r="K388" s="195">
        <f>IF(B388="","",SIN(2*I388)/(COSH(2*H388)+COS(2*I388)))</f>
        <v/>
      </c>
      <c r="L388" s="195">
        <f>IF(B388="","",'入力・概要'!$B$25)</f>
        <v/>
      </c>
      <c r="M388" s="195">
        <f>IF(B388="","",C388*'入力・概要'!$B$26*1E-9-1/(C388*'入力・概要'!$B$24*1E-6))</f>
        <v/>
      </c>
      <c r="N388" s="195">
        <f>IF(B388="","",'入力・概要'!$B$28)</f>
        <v/>
      </c>
      <c r="O388" s="195">
        <f>IF(B388="","",C388*'入力・概要'!$B$29*1E-9-1/(C388*'入力・概要'!$B$27*1E-6))</f>
        <v/>
      </c>
      <c r="P388" s="195">
        <f>IF(B388="","",((L388*N388-M388*O388)*(L388+N388)+(L388*O388+M388*N388)*(M388+O388))/((L388+N388)^2+(M388+O388)^2))</f>
        <v/>
      </c>
      <c r="Q388" s="195">
        <f>IF(B388="","",((L388*O388+M388*N388)*(L388+N388)-(L388*N388-M388*O388)*(M388+O388))/((L388+N388)^2+(M388+O388)^2))</f>
        <v/>
      </c>
      <c r="R388" s="195">
        <f>IF(B388="","",'入力・概要'!$E$15*J388)</f>
        <v/>
      </c>
      <c r="S388" s="195">
        <f>IF(B388="","",'入力・概要'!$E$15*K388)</f>
        <v/>
      </c>
      <c r="T388" s="195">
        <f>IF(B388="","",P388+R388)</f>
        <v/>
      </c>
      <c r="U388" s="195">
        <f>IF(B388="","",Q388+S388)</f>
        <v/>
      </c>
      <c r="V388" s="195">
        <f>IF(B388="","",T388+'入力・概要'!$E$9*F388)</f>
        <v/>
      </c>
      <c r="W388" s="195">
        <f>IF(B388="","",U388+'入力・概要'!$E$9*G388)</f>
        <v/>
      </c>
      <c r="X388" s="195">
        <f>IF(B388="","",'入力・概要'!$E$9+T388*F388-U388*G388)</f>
        <v/>
      </c>
      <c r="Y388" s="195">
        <f>IF(B388="","",T388*G388+U388*F388)</f>
        <v/>
      </c>
      <c r="Z388" s="195">
        <f>IF(B388="","",'入力・概要'!$E$9*(V388*X388+W388*Y388)/(X388^2+Y388^2)+'入力・概要'!$B$36)</f>
        <v/>
      </c>
      <c r="AA388" s="195">
        <f>IF(B388="","",'入力・概要'!$E$9*(W388*X388-V388*Y388)/(X388^2+Y388^2)+C388*'入力・概要'!$B$37*1E-9)</f>
        <v/>
      </c>
      <c r="AB388" s="195">
        <f>IF(B388="","",SQRT(Z388^2+AA388^2))</f>
        <v/>
      </c>
      <c r="AC388" s="195">
        <f>IF(B388="","",IF(Z388&gt;0,DEGREES(ATAN(AA388/Z388)),IF(Z388&lt;0,IF(AA388&gt;=0,DEGREES(ATAN(AA388/Z388))+180,DEGREES(ATAN(AA388/Z388))-180),IF(AA388&gt;0,90,IF(AA388&lt;0,-90,0)))))</f>
        <v/>
      </c>
      <c r="AD388" s="195">
        <f>IF(B388="","",LOG10(B388))</f>
        <v/>
      </c>
      <c r="AE388" s="195">
        <f>IF(AB388="","",LOG10(MAX(AB388,1E-12)))</f>
        <v/>
      </c>
      <c r="AF388" s="195">
        <f>IF(B388="","",SQRT(P388^2+Q388^2))</f>
        <v/>
      </c>
      <c r="AG388" s="195">
        <f>IF(B388="","",SQRT(R388^2+S388^2))</f>
        <v/>
      </c>
    </row>
    <row r="389">
      <c r="A389" t="n">
        <v>386</v>
      </c>
      <c r="B389" s="196">
        <f>IF(A389&lt;='入力・概要'!$B$40,10^(LOG10('入力・概要'!$B$38)+(A389-1)*(LOG10('入力・概要'!$B$39)-LOG10('入力・概要'!$B$38))/('入力・概要'!$B$40-1)),"")</f>
        <v/>
      </c>
      <c r="C389" s="195">
        <f>IF(B389="","",2*PI()*B389)</f>
        <v/>
      </c>
      <c r="D389" s="195">
        <f>IF(B389="","",ATANH(MIN(0.999999,'入力・概要'!$E$20/'入力・概要'!$E$9))+'入力・概要'!$B$20*SQRT(B389/1E6)+E389*'入力・概要'!$B$15/2)</f>
        <v/>
      </c>
      <c r="E389" s="195">
        <f>IF(B389="","",C389*('入力・概要'!$E$11*1E-9))</f>
        <v/>
      </c>
      <c r="F389" s="195">
        <f>IF(B389="","",SINH(2*D389)/(COSH(2*D389)+COS(2*E389)))</f>
        <v/>
      </c>
      <c r="G389" s="195">
        <f>IF(B389="","",SIN(2*E389)/(COSH(2*D389)+COS(2*E389)))</f>
        <v/>
      </c>
      <c r="H389" s="195">
        <f>IF(B389="","",ATANH(MIN(0.999999,'入力・概要'!$E$21/'入力・概要'!$E$15))+'入力・概要'!$B$21*SQRT(B389/1E6)+I389*'入力・概要'!$B$16/2)</f>
        <v/>
      </c>
      <c r="I389" s="195">
        <f>IF(B389="","",C389*('入力・概要'!$E$17*1E-9))</f>
        <v/>
      </c>
      <c r="J389" s="195">
        <f>IF(B389="","",SINH(2*H389)/(COSH(2*H389)+COS(2*I389)))</f>
        <v/>
      </c>
      <c r="K389" s="195">
        <f>IF(B389="","",SIN(2*I389)/(COSH(2*H389)+COS(2*I389)))</f>
        <v/>
      </c>
      <c r="L389" s="195">
        <f>IF(B389="","",'入力・概要'!$B$25)</f>
        <v/>
      </c>
      <c r="M389" s="195">
        <f>IF(B389="","",C389*'入力・概要'!$B$26*1E-9-1/(C389*'入力・概要'!$B$24*1E-6))</f>
        <v/>
      </c>
      <c r="N389" s="195">
        <f>IF(B389="","",'入力・概要'!$B$28)</f>
        <v/>
      </c>
      <c r="O389" s="195">
        <f>IF(B389="","",C389*'入力・概要'!$B$29*1E-9-1/(C389*'入力・概要'!$B$27*1E-6))</f>
        <v/>
      </c>
      <c r="P389" s="195">
        <f>IF(B389="","",((L389*N389-M389*O389)*(L389+N389)+(L389*O389+M389*N389)*(M389+O389))/((L389+N389)^2+(M389+O389)^2))</f>
        <v/>
      </c>
      <c r="Q389" s="195">
        <f>IF(B389="","",((L389*O389+M389*N389)*(L389+N389)-(L389*N389-M389*O389)*(M389+O389))/((L389+N389)^2+(M389+O389)^2))</f>
        <v/>
      </c>
      <c r="R389" s="195">
        <f>IF(B389="","",'入力・概要'!$E$15*J389)</f>
        <v/>
      </c>
      <c r="S389" s="195">
        <f>IF(B389="","",'入力・概要'!$E$15*K389)</f>
        <v/>
      </c>
      <c r="T389" s="195">
        <f>IF(B389="","",P389+R389)</f>
        <v/>
      </c>
      <c r="U389" s="195">
        <f>IF(B389="","",Q389+S389)</f>
        <v/>
      </c>
      <c r="V389" s="195">
        <f>IF(B389="","",T389+'入力・概要'!$E$9*F389)</f>
        <v/>
      </c>
      <c r="W389" s="195">
        <f>IF(B389="","",U389+'入力・概要'!$E$9*G389)</f>
        <v/>
      </c>
      <c r="X389" s="195">
        <f>IF(B389="","",'入力・概要'!$E$9+T389*F389-U389*G389)</f>
        <v/>
      </c>
      <c r="Y389" s="195">
        <f>IF(B389="","",T389*G389+U389*F389)</f>
        <v/>
      </c>
      <c r="Z389" s="195">
        <f>IF(B389="","",'入力・概要'!$E$9*(V389*X389+W389*Y389)/(X389^2+Y389^2)+'入力・概要'!$B$36)</f>
        <v/>
      </c>
      <c r="AA389" s="195">
        <f>IF(B389="","",'入力・概要'!$E$9*(W389*X389-V389*Y389)/(X389^2+Y389^2)+C389*'入力・概要'!$B$37*1E-9)</f>
        <v/>
      </c>
      <c r="AB389" s="195">
        <f>IF(B389="","",SQRT(Z389^2+AA389^2))</f>
        <v/>
      </c>
      <c r="AC389" s="195">
        <f>IF(B389="","",IF(Z389&gt;0,DEGREES(ATAN(AA389/Z389)),IF(Z389&lt;0,IF(AA389&gt;=0,DEGREES(ATAN(AA389/Z389))+180,DEGREES(ATAN(AA389/Z389))-180),IF(AA389&gt;0,90,IF(AA389&lt;0,-90,0)))))</f>
        <v/>
      </c>
      <c r="AD389" s="195">
        <f>IF(B389="","",LOG10(B389))</f>
        <v/>
      </c>
      <c r="AE389" s="195">
        <f>IF(AB389="","",LOG10(MAX(AB389,1E-12)))</f>
        <v/>
      </c>
      <c r="AF389" s="195">
        <f>IF(B389="","",SQRT(P389^2+Q389^2))</f>
        <v/>
      </c>
      <c r="AG389" s="195">
        <f>IF(B389="","",SQRT(R389^2+S389^2))</f>
        <v/>
      </c>
    </row>
    <row r="390">
      <c r="A390" t="n">
        <v>387</v>
      </c>
      <c r="B390" s="196">
        <f>IF(A390&lt;='入力・概要'!$B$40,10^(LOG10('入力・概要'!$B$38)+(A390-1)*(LOG10('入力・概要'!$B$39)-LOG10('入力・概要'!$B$38))/('入力・概要'!$B$40-1)),"")</f>
        <v/>
      </c>
      <c r="C390" s="195">
        <f>IF(B390="","",2*PI()*B390)</f>
        <v/>
      </c>
      <c r="D390" s="195">
        <f>IF(B390="","",ATANH(MIN(0.999999,'入力・概要'!$E$20/'入力・概要'!$E$9))+'入力・概要'!$B$20*SQRT(B390/1E6)+E390*'入力・概要'!$B$15/2)</f>
        <v/>
      </c>
      <c r="E390" s="195">
        <f>IF(B390="","",C390*('入力・概要'!$E$11*1E-9))</f>
        <v/>
      </c>
      <c r="F390" s="195">
        <f>IF(B390="","",SINH(2*D390)/(COSH(2*D390)+COS(2*E390)))</f>
        <v/>
      </c>
      <c r="G390" s="195">
        <f>IF(B390="","",SIN(2*E390)/(COSH(2*D390)+COS(2*E390)))</f>
        <v/>
      </c>
      <c r="H390" s="195">
        <f>IF(B390="","",ATANH(MIN(0.999999,'入力・概要'!$E$21/'入力・概要'!$E$15))+'入力・概要'!$B$21*SQRT(B390/1E6)+I390*'入力・概要'!$B$16/2)</f>
        <v/>
      </c>
      <c r="I390" s="195">
        <f>IF(B390="","",C390*('入力・概要'!$E$17*1E-9))</f>
        <v/>
      </c>
      <c r="J390" s="195">
        <f>IF(B390="","",SINH(2*H390)/(COSH(2*H390)+COS(2*I390)))</f>
        <v/>
      </c>
      <c r="K390" s="195">
        <f>IF(B390="","",SIN(2*I390)/(COSH(2*H390)+COS(2*I390)))</f>
        <v/>
      </c>
      <c r="L390" s="195">
        <f>IF(B390="","",'入力・概要'!$B$25)</f>
        <v/>
      </c>
      <c r="M390" s="195">
        <f>IF(B390="","",C390*'入力・概要'!$B$26*1E-9-1/(C390*'入力・概要'!$B$24*1E-6))</f>
        <v/>
      </c>
      <c r="N390" s="195">
        <f>IF(B390="","",'入力・概要'!$B$28)</f>
        <v/>
      </c>
      <c r="O390" s="195">
        <f>IF(B390="","",C390*'入力・概要'!$B$29*1E-9-1/(C390*'入力・概要'!$B$27*1E-6))</f>
        <v/>
      </c>
      <c r="P390" s="195">
        <f>IF(B390="","",((L390*N390-M390*O390)*(L390+N390)+(L390*O390+M390*N390)*(M390+O390))/((L390+N390)^2+(M390+O390)^2))</f>
        <v/>
      </c>
      <c r="Q390" s="195">
        <f>IF(B390="","",((L390*O390+M390*N390)*(L390+N390)-(L390*N390-M390*O390)*(M390+O390))/((L390+N390)^2+(M390+O390)^2))</f>
        <v/>
      </c>
      <c r="R390" s="195">
        <f>IF(B390="","",'入力・概要'!$E$15*J390)</f>
        <v/>
      </c>
      <c r="S390" s="195">
        <f>IF(B390="","",'入力・概要'!$E$15*K390)</f>
        <v/>
      </c>
      <c r="T390" s="195">
        <f>IF(B390="","",P390+R390)</f>
        <v/>
      </c>
      <c r="U390" s="195">
        <f>IF(B390="","",Q390+S390)</f>
        <v/>
      </c>
      <c r="V390" s="195">
        <f>IF(B390="","",T390+'入力・概要'!$E$9*F390)</f>
        <v/>
      </c>
      <c r="W390" s="195">
        <f>IF(B390="","",U390+'入力・概要'!$E$9*G390)</f>
        <v/>
      </c>
      <c r="X390" s="195">
        <f>IF(B390="","",'入力・概要'!$E$9+T390*F390-U390*G390)</f>
        <v/>
      </c>
      <c r="Y390" s="195">
        <f>IF(B390="","",T390*G390+U390*F390)</f>
        <v/>
      </c>
      <c r="Z390" s="195">
        <f>IF(B390="","",'入力・概要'!$E$9*(V390*X390+W390*Y390)/(X390^2+Y390^2)+'入力・概要'!$B$36)</f>
        <v/>
      </c>
      <c r="AA390" s="195">
        <f>IF(B390="","",'入力・概要'!$E$9*(W390*X390-V390*Y390)/(X390^2+Y390^2)+C390*'入力・概要'!$B$37*1E-9)</f>
        <v/>
      </c>
      <c r="AB390" s="195">
        <f>IF(B390="","",SQRT(Z390^2+AA390^2))</f>
        <v/>
      </c>
      <c r="AC390" s="195">
        <f>IF(B390="","",IF(Z390&gt;0,DEGREES(ATAN(AA390/Z390)),IF(Z390&lt;0,IF(AA390&gt;=0,DEGREES(ATAN(AA390/Z390))+180,DEGREES(ATAN(AA390/Z390))-180),IF(AA390&gt;0,90,IF(AA390&lt;0,-90,0)))))</f>
        <v/>
      </c>
      <c r="AD390" s="195">
        <f>IF(B390="","",LOG10(B390))</f>
        <v/>
      </c>
      <c r="AE390" s="195">
        <f>IF(AB390="","",LOG10(MAX(AB390,1E-12)))</f>
        <v/>
      </c>
      <c r="AF390" s="195">
        <f>IF(B390="","",SQRT(P390^2+Q390^2))</f>
        <v/>
      </c>
      <c r="AG390" s="195">
        <f>IF(B390="","",SQRT(R390^2+S390^2))</f>
        <v/>
      </c>
    </row>
    <row r="391">
      <c r="A391" t="n">
        <v>388</v>
      </c>
      <c r="B391" s="196">
        <f>IF(A391&lt;='入力・概要'!$B$40,10^(LOG10('入力・概要'!$B$38)+(A391-1)*(LOG10('入力・概要'!$B$39)-LOG10('入力・概要'!$B$38))/('入力・概要'!$B$40-1)),"")</f>
        <v/>
      </c>
      <c r="C391" s="195">
        <f>IF(B391="","",2*PI()*B391)</f>
        <v/>
      </c>
      <c r="D391" s="195">
        <f>IF(B391="","",ATANH(MIN(0.999999,'入力・概要'!$E$20/'入力・概要'!$E$9))+'入力・概要'!$B$20*SQRT(B391/1E6)+E391*'入力・概要'!$B$15/2)</f>
        <v/>
      </c>
      <c r="E391" s="195">
        <f>IF(B391="","",C391*('入力・概要'!$E$11*1E-9))</f>
        <v/>
      </c>
      <c r="F391" s="195">
        <f>IF(B391="","",SINH(2*D391)/(COSH(2*D391)+COS(2*E391)))</f>
        <v/>
      </c>
      <c r="G391" s="195">
        <f>IF(B391="","",SIN(2*E391)/(COSH(2*D391)+COS(2*E391)))</f>
        <v/>
      </c>
      <c r="H391" s="195">
        <f>IF(B391="","",ATANH(MIN(0.999999,'入力・概要'!$E$21/'入力・概要'!$E$15))+'入力・概要'!$B$21*SQRT(B391/1E6)+I391*'入力・概要'!$B$16/2)</f>
        <v/>
      </c>
      <c r="I391" s="195">
        <f>IF(B391="","",C391*('入力・概要'!$E$17*1E-9))</f>
        <v/>
      </c>
      <c r="J391" s="195">
        <f>IF(B391="","",SINH(2*H391)/(COSH(2*H391)+COS(2*I391)))</f>
        <v/>
      </c>
      <c r="K391" s="195">
        <f>IF(B391="","",SIN(2*I391)/(COSH(2*H391)+COS(2*I391)))</f>
        <v/>
      </c>
      <c r="L391" s="195">
        <f>IF(B391="","",'入力・概要'!$B$25)</f>
        <v/>
      </c>
      <c r="M391" s="195">
        <f>IF(B391="","",C391*'入力・概要'!$B$26*1E-9-1/(C391*'入力・概要'!$B$24*1E-6))</f>
        <v/>
      </c>
      <c r="N391" s="195">
        <f>IF(B391="","",'入力・概要'!$B$28)</f>
        <v/>
      </c>
      <c r="O391" s="195">
        <f>IF(B391="","",C391*'入力・概要'!$B$29*1E-9-1/(C391*'入力・概要'!$B$27*1E-6))</f>
        <v/>
      </c>
      <c r="P391" s="195">
        <f>IF(B391="","",((L391*N391-M391*O391)*(L391+N391)+(L391*O391+M391*N391)*(M391+O391))/((L391+N391)^2+(M391+O391)^2))</f>
        <v/>
      </c>
      <c r="Q391" s="195">
        <f>IF(B391="","",((L391*O391+M391*N391)*(L391+N391)-(L391*N391-M391*O391)*(M391+O391))/((L391+N391)^2+(M391+O391)^2))</f>
        <v/>
      </c>
      <c r="R391" s="195">
        <f>IF(B391="","",'入力・概要'!$E$15*J391)</f>
        <v/>
      </c>
      <c r="S391" s="195">
        <f>IF(B391="","",'入力・概要'!$E$15*K391)</f>
        <v/>
      </c>
      <c r="T391" s="195">
        <f>IF(B391="","",P391+R391)</f>
        <v/>
      </c>
      <c r="U391" s="195">
        <f>IF(B391="","",Q391+S391)</f>
        <v/>
      </c>
      <c r="V391" s="195">
        <f>IF(B391="","",T391+'入力・概要'!$E$9*F391)</f>
        <v/>
      </c>
      <c r="W391" s="195">
        <f>IF(B391="","",U391+'入力・概要'!$E$9*G391)</f>
        <v/>
      </c>
      <c r="X391" s="195">
        <f>IF(B391="","",'入力・概要'!$E$9+T391*F391-U391*G391)</f>
        <v/>
      </c>
      <c r="Y391" s="195">
        <f>IF(B391="","",T391*G391+U391*F391)</f>
        <v/>
      </c>
      <c r="Z391" s="195">
        <f>IF(B391="","",'入力・概要'!$E$9*(V391*X391+W391*Y391)/(X391^2+Y391^2)+'入力・概要'!$B$36)</f>
        <v/>
      </c>
      <c r="AA391" s="195">
        <f>IF(B391="","",'入力・概要'!$E$9*(W391*X391-V391*Y391)/(X391^2+Y391^2)+C391*'入力・概要'!$B$37*1E-9)</f>
        <v/>
      </c>
      <c r="AB391" s="195">
        <f>IF(B391="","",SQRT(Z391^2+AA391^2))</f>
        <v/>
      </c>
      <c r="AC391" s="195">
        <f>IF(B391="","",IF(Z391&gt;0,DEGREES(ATAN(AA391/Z391)),IF(Z391&lt;0,IF(AA391&gt;=0,DEGREES(ATAN(AA391/Z391))+180,DEGREES(ATAN(AA391/Z391))-180),IF(AA391&gt;0,90,IF(AA391&lt;0,-90,0)))))</f>
        <v/>
      </c>
      <c r="AD391" s="195">
        <f>IF(B391="","",LOG10(B391))</f>
        <v/>
      </c>
      <c r="AE391" s="195">
        <f>IF(AB391="","",LOG10(MAX(AB391,1E-12)))</f>
        <v/>
      </c>
      <c r="AF391" s="195">
        <f>IF(B391="","",SQRT(P391^2+Q391^2))</f>
        <v/>
      </c>
      <c r="AG391" s="195">
        <f>IF(B391="","",SQRT(R391^2+S391^2))</f>
        <v/>
      </c>
    </row>
    <row r="392">
      <c r="A392" t="n">
        <v>389</v>
      </c>
      <c r="B392" s="196">
        <f>IF(A392&lt;='入力・概要'!$B$40,10^(LOG10('入力・概要'!$B$38)+(A392-1)*(LOG10('入力・概要'!$B$39)-LOG10('入力・概要'!$B$38))/('入力・概要'!$B$40-1)),"")</f>
        <v/>
      </c>
      <c r="C392" s="195">
        <f>IF(B392="","",2*PI()*B392)</f>
        <v/>
      </c>
      <c r="D392" s="195">
        <f>IF(B392="","",ATANH(MIN(0.999999,'入力・概要'!$E$20/'入力・概要'!$E$9))+'入力・概要'!$B$20*SQRT(B392/1E6)+E392*'入力・概要'!$B$15/2)</f>
        <v/>
      </c>
      <c r="E392" s="195">
        <f>IF(B392="","",C392*('入力・概要'!$E$11*1E-9))</f>
        <v/>
      </c>
      <c r="F392" s="195">
        <f>IF(B392="","",SINH(2*D392)/(COSH(2*D392)+COS(2*E392)))</f>
        <v/>
      </c>
      <c r="G392" s="195">
        <f>IF(B392="","",SIN(2*E392)/(COSH(2*D392)+COS(2*E392)))</f>
        <v/>
      </c>
      <c r="H392" s="195">
        <f>IF(B392="","",ATANH(MIN(0.999999,'入力・概要'!$E$21/'入力・概要'!$E$15))+'入力・概要'!$B$21*SQRT(B392/1E6)+I392*'入力・概要'!$B$16/2)</f>
        <v/>
      </c>
      <c r="I392" s="195">
        <f>IF(B392="","",C392*('入力・概要'!$E$17*1E-9))</f>
        <v/>
      </c>
      <c r="J392" s="195">
        <f>IF(B392="","",SINH(2*H392)/(COSH(2*H392)+COS(2*I392)))</f>
        <v/>
      </c>
      <c r="K392" s="195">
        <f>IF(B392="","",SIN(2*I392)/(COSH(2*H392)+COS(2*I392)))</f>
        <v/>
      </c>
      <c r="L392" s="195">
        <f>IF(B392="","",'入力・概要'!$B$25)</f>
        <v/>
      </c>
      <c r="M392" s="195">
        <f>IF(B392="","",C392*'入力・概要'!$B$26*1E-9-1/(C392*'入力・概要'!$B$24*1E-6))</f>
        <v/>
      </c>
      <c r="N392" s="195">
        <f>IF(B392="","",'入力・概要'!$B$28)</f>
        <v/>
      </c>
      <c r="O392" s="195">
        <f>IF(B392="","",C392*'入力・概要'!$B$29*1E-9-1/(C392*'入力・概要'!$B$27*1E-6))</f>
        <v/>
      </c>
      <c r="P392" s="195">
        <f>IF(B392="","",((L392*N392-M392*O392)*(L392+N392)+(L392*O392+M392*N392)*(M392+O392))/((L392+N392)^2+(M392+O392)^2))</f>
        <v/>
      </c>
      <c r="Q392" s="195">
        <f>IF(B392="","",((L392*O392+M392*N392)*(L392+N392)-(L392*N392-M392*O392)*(M392+O392))/((L392+N392)^2+(M392+O392)^2))</f>
        <v/>
      </c>
      <c r="R392" s="195">
        <f>IF(B392="","",'入力・概要'!$E$15*J392)</f>
        <v/>
      </c>
      <c r="S392" s="195">
        <f>IF(B392="","",'入力・概要'!$E$15*K392)</f>
        <v/>
      </c>
      <c r="T392" s="195">
        <f>IF(B392="","",P392+R392)</f>
        <v/>
      </c>
      <c r="U392" s="195">
        <f>IF(B392="","",Q392+S392)</f>
        <v/>
      </c>
      <c r="V392" s="195">
        <f>IF(B392="","",T392+'入力・概要'!$E$9*F392)</f>
        <v/>
      </c>
      <c r="W392" s="195">
        <f>IF(B392="","",U392+'入力・概要'!$E$9*G392)</f>
        <v/>
      </c>
      <c r="X392" s="195">
        <f>IF(B392="","",'入力・概要'!$E$9+T392*F392-U392*G392)</f>
        <v/>
      </c>
      <c r="Y392" s="195">
        <f>IF(B392="","",T392*G392+U392*F392)</f>
        <v/>
      </c>
      <c r="Z392" s="195">
        <f>IF(B392="","",'入力・概要'!$E$9*(V392*X392+W392*Y392)/(X392^2+Y392^2)+'入力・概要'!$B$36)</f>
        <v/>
      </c>
      <c r="AA392" s="195">
        <f>IF(B392="","",'入力・概要'!$E$9*(W392*X392-V392*Y392)/(X392^2+Y392^2)+C392*'入力・概要'!$B$37*1E-9)</f>
        <v/>
      </c>
      <c r="AB392" s="195">
        <f>IF(B392="","",SQRT(Z392^2+AA392^2))</f>
        <v/>
      </c>
      <c r="AC392" s="195">
        <f>IF(B392="","",IF(Z392&gt;0,DEGREES(ATAN(AA392/Z392)),IF(Z392&lt;0,IF(AA392&gt;=0,DEGREES(ATAN(AA392/Z392))+180,DEGREES(ATAN(AA392/Z392))-180),IF(AA392&gt;0,90,IF(AA392&lt;0,-90,0)))))</f>
        <v/>
      </c>
      <c r="AD392" s="195">
        <f>IF(B392="","",LOG10(B392))</f>
        <v/>
      </c>
      <c r="AE392" s="195">
        <f>IF(AB392="","",LOG10(MAX(AB392,1E-12)))</f>
        <v/>
      </c>
      <c r="AF392" s="195">
        <f>IF(B392="","",SQRT(P392^2+Q392^2))</f>
        <v/>
      </c>
      <c r="AG392" s="195">
        <f>IF(B392="","",SQRT(R392^2+S392^2))</f>
        <v/>
      </c>
    </row>
    <row r="393">
      <c r="A393" t="n">
        <v>390</v>
      </c>
      <c r="B393" s="196">
        <f>IF(A393&lt;='入力・概要'!$B$40,10^(LOG10('入力・概要'!$B$38)+(A393-1)*(LOG10('入力・概要'!$B$39)-LOG10('入力・概要'!$B$38))/('入力・概要'!$B$40-1)),"")</f>
        <v/>
      </c>
      <c r="C393" s="195">
        <f>IF(B393="","",2*PI()*B393)</f>
        <v/>
      </c>
      <c r="D393" s="195">
        <f>IF(B393="","",ATANH(MIN(0.999999,'入力・概要'!$E$20/'入力・概要'!$E$9))+'入力・概要'!$B$20*SQRT(B393/1E6)+E393*'入力・概要'!$B$15/2)</f>
        <v/>
      </c>
      <c r="E393" s="195">
        <f>IF(B393="","",C393*('入力・概要'!$E$11*1E-9))</f>
        <v/>
      </c>
      <c r="F393" s="195">
        <f>IF(B393="","",SINH(2*D393)/(COSH(2*D393)+COS(2*E393)))</f>
        <v/>
      </c>
      <c r="G393" s="195">
        <f>IF(B393="","",SIN(2*E393)/(COSH(2*D393)+COS(2*E393)))</f>
        <v/>
      </c>
      <c r="H393" s="195">
        <f>IF(B393="","",ATANH(MIN(0.999999,'入力・概要'!$E$21/'入力・概要'!$E$15))+'入力・概要'!$B$21*SQRT(B393/1E6)+I393*'入力・概要'!$B$16/2)</f>
        <v/>
      </c>
      <c r="I393" s="195">
        <f>IF(B393="","",C393*('入力・概要'!$E$17*1E-9))</f>
        <v/>
      </c>
      <c r="J393" s="195">
        <f>IF(B393="","",SINH(2*H393)/(COSH(2*H393)+COS(2*I393)))</f>
        <v/>
      </c>
      <c r="K393" s="195">
        <f>IF(B393="","",SIN(2*I393)/(COSH(2*H393)+COS(2*I393)))</f>
        <v/>
      </c>
      <c r="L393" s="195">
        <f>IF(B393="","",'入力・概要'!$B$25)</f>
        <v/>
      </c>
      <c r="M393" s="195">
        <f>IF(B393="","",C393*'入力・概要'!$B$26*1E-9-1/(C393*'入力・概要'!$B$24*1E-6))</f>
        <v/>
      </c>
      <c r="N393" s="195">
        <f>IF(B393="","",'入力・概要'!$B$28)</f>
        <v/>
      </c>
      <c r="O393" s="195">
        <f>IF(B393="","",C393*'入力・概要'!$B$29*1E-9-1/(C393*'入力・概要'!$B$27*1E-6))</f>
        <v/>
      </c>
      <c r="P393" s="195">
        <f>IF(B393="","",((L393*N393-M393*O393)*(L393+N393)+(L393*O393+M393*N393)*(M393+O393))/((L393+N393)^2+(M393+O393)^2))</f>
        <v/>
      </c>
      <c r="Q393" s="195">
        <f>IF(B393="","",((L393*O393+M393*N393)*(L393+N393)-(L393*N393-M393*O393)*(M393+O393))/((L393+N393)^2+(M393+O393)^2))</f>
        <v/>
      </c>
      <c r="R393" s="195">
        <f>IF(B393="","",'入力・概要'!$E$15*J393)</f>
        <v/>
      </c>
      <c r="S393" s="195">
        <f>IF(B393="","",'入力・概要'!$E$15*K393)</f>
        <v/>
      </c>
      <c r="T393" s="195">
        <f>IF(B393="","",P393+R393)</f>
        <v/>
      </c>
      <c r="U393" s="195">
        <f>IF(B393="","",Q393+S393)</f>
        <v/>
      </c>
      <c r="V393" s="195">
        <f>IF(B393="","",T393+'入力・概要'!$E$9*F393)</f>
        <v/>
      </c>
      <c r="W393" s="195">
        <f>IF(B393="","",U393+'入力・概要'!$E$9*G393)</f>
        <v/>
      </c>
      <c r="X393" s="195">
        <f>IF(B393="","",'入力・概要'!$E$9+T393*F393-U393*G393)</f>
        <v/>
      </c>
      <c r="Y393" s="195">
        <f>IF(B393="","",T393*G393+U393*F393)</f>
        <v/>
      </c>
      <c r="Z393" s="195">
        <f>IF(B393="","",'入力・概要'!$E$9*(V393*X393+W393*Y393)/(X393^2+Y393^2)+'入力・概要'!$B$36)</f>
        <v/>
      </c>
      <c r="AA393" s="195">
        <f>IF(B393="","",'入力・概要'!$E$9*(W393*X393-V393*Y393)/(X393^2+Y393^2)+C393*'入力・概要'!$B$37*1E-9)</f>
        <v/>
      </c>
      <c r="AB393" s="195">
        <f>IF(B393="","",SQRT(Z393^2+AA393^2))</f>
        <v/>
      </c>
      <c r="AC393" s="195">
        <f>IF(B393="","",IF(Z393&gt;0,DEGREES(ATAN(AA393/Z393)),IF(Z393&lt;0,IF(AA393&gt;=0,DEGREES(ATAN(AA393/Z393))+180,DEGREES(ATAN(AA393/Z393))-180),IF(AA393&gt;0,90,IF(AA393&lt;0,-90,0)))))</f>
        <v/>
      </c>
      <c r="AD393" s="195">
        <f>IF(B393="","",LOG10(B393))</f>
        <v/>
      </c>
      <c r="AE393" s="195">
        <f>IF(AB393="","",LOG10(MAX(AB393,1E-12)))</f>
        <v/>
      </c>
      <c r="AF393" s="195">
        <f>IF(B393="","",SQRT(P393^2+Q393^2))</f>
        <v/>
      </c>
      <c r="AG393" s="195">
        <f>IF(B393="","",SQRT(R393^2+S393^2))</f>
        <v/>
      </c>
    </row>
    <row r="394">
      <c r="A394" t="n">
        <v>391</v>
      </c>
      <c r="B394" s="196">
        <f>IF(A394&lt;='入力・概要'!$B$40,10^(LOG10('入力・概要'!$B$38)+(A394-1)*(LOG10('入力・概要'!$B$39)-LOG10('入力・概要'!$B$38))/('入力・概要'!$B$40-1)),"")</f>
        <v/>
      </c>
      <c r="C394" s="195">
        <f>IF(B394="","",2*PI()*B394)</f>
        <v/>
      </c>
      <c r="D394" s="195">
        <f>IF(B394="","",ATANH(MIN(0.999999,'入力・概要'!$E$20/'入力・概要'!$E$9))+'入力・概要'!$B$20*SQRT(B394/1E6)+E394*'入力・概要'!$B$15/2)</f>
        <v/>
      </c>
      <c r="E394" s="195">
        <f>IF(B394="","",C394*('入力・概要'!$E$11*1E-9))</f>
        <v/>
      </c>
      <c r="F394" s="195">
        <f>IF(B394="","",SINH(2*D394)/(COSH(2*D394)+COS(2*E394)))</f>
        <v/>
      </c>
      <c r="G394" s="195">
        <f>IF(B394="","",SIN(2*E394)/(COSH(2*D394)+COS(2*E394)))</f>
        <v/>
      </c>
      <c r="H394" s="195">
        <f>IF(B394="","",ATANH(MIN(0.999999,'入力・概要'!$E$21/'入力・概要'!$E$15))+'入力・概要'!$B$21*SQRT(B394/1E6)+I394*'入力・概要'!$B$16/2)</f>
        <v/>
      </c>
      <c r="I394" s="195">
        <f>IF(B394="","",C394*('入力・概要'!$E$17*1E-9))</f>
        <v/>
      </c>
      <c r="J394" s="195">
        <f>IF(B394="","",SINH(2*H394)/(COSH(2*H394)+COS(2*I394)))</f>
        <v/>
      </c>
      <c r="K394" s="195">
        <f>IF(B394="","",SIN(2*I394)/(COSH(2*H394)+COS(2*I394)))</f>
        <v/>
      </c>
      <c r="L394" s="195">
        <f>IF(B394="","",'入力・概要'!$B$25)</f>
        <v/>
      </c>
      <c r="M394" s="195">
        <f>IF(B394="","",C394*'入力・概要'!$B$26*1E-9-1/(C394*'入力・概要'!$B$24*1E-6))</f>
        <v/>
      </c>
      <c r="N394" s="195">
        <f>IF(B394="","",'入力・概要'!$B$28)</f>
        <v/>
      </c>
      <c r="O394" s="195">
        <f>IF(B394="","",C394*'入力・概要'!$B$29*1E-9-1/(C394*'入力・概要'!$B$27*1E-6))</f>
        <v/>
      </c>
      <c r="P394" s="195">
        <f>IF(B394="","",((L394*N394-M394*O394)*(L394+N394)+(L394*O394+M394*N394)*(M394+O394))/((L394+N394)^2+(M394+O394)^2))</f>
        <v/>
      </c>
      <c r="Q394" s="195">
        <f>IF(B394="","",((L394*O394+M394*N394)*(L394+N394)-(L394*N394-M394*O394)*(M394+O394))/((L394+N394)^2+(M394+O394)^2))</f>
        <v/>
      </c>
      <c r="R394" s="195">
        <f>IF(B394="","",'入力・概要'!$E$15*J394)</f>
        <v/>
      </c>
      <c r="S394" s="195">
        <f>IF(B394="","",'入力・概要'!$E$15*K394)</f>
        <v/>
      </c>
      <c r="T394" s="195">
        <f>IF(B394="","",P394+R394)</f>
        <v/>
      </c>
      <c r="U394" s="195">
        <f>IF(B394="","",Q394+S394)</f>
        <v/>
      </c>
      <c r="V394" s="195">
        <f>IF(B394="","",T394+'入力・概要'!$E$9*F394)</f>
        <v/>
      </c>
      <c r="W394" s="195">
        <f>IF(B394="","",U394+'入力・概要'!$E$9*G394)</f>
        <v/>
      </c>
      <c r="X394" s="195">
        <f>IF(B394="","",'入力・概要'!$E$9+T394*F394-U394*G394)</f>
        <v/>
      </c>
      <c r="Y394" s="195">
        <f>IF(B394="","",T394*G394+U394*F394)</f>
        <v/>
      </c>
      <c r="Z394" s="195">
        <f>IF(B394="","",'入力・概要'!$E$9*(V394*X394+W394*Y394)/(X394^2+Y394^2)+'入力・概要'!$B$36)</f>
        <v/>
      </c>
      <c r="AA394" s="195">
        <f>IF(B394="","",'入力・概要'!$E$9*(W394*X394-V394*Y394)/(X394^2+Y394^2)+C394*'入力・概要'!$B$37*1E-9)</f>
        <v/>
      </c>
      <c r="AB394" s="195">
        <f>IF(B394="","",SQRT(Z394^2+AA394^2))</f>
        <v/>
      </c>
      <c r="AC394" s="195">
        <f>IF(B394="","",IF(Z394&gt;0,DEGREES(ATAN(AA394/Z394)),IF(Z394&lt;0,IF(AA394&gt;=0,DEGREES(ATAN(AA394/Z394))+180,DEGREES(ATAN(AA394/Z394))-180),IF(AA394&gt;0,90,IF(AA394&lt;0,-90,0)))))</f>
        <v/>
      </c>
      <c r="AD394" s="195">
        <f>IF(B394="","",LOG10(B394))</f>
        <v/>
      </c>
      <c r="AE394" s="195">
        <f>IF(AB394="","",LOG10(MAX(AB394,1E-12)))</f>
        <v/>
      </c>
      <c r="AF394" s="195">
        <f>IF(B394="","",SQRT(P394^2+Q394^2))</f>
        <v/>
      </c>
      <c r="AG394" s="195">
        <f>IF(B394="","",SQRT(R394^2+S394^2))</f>
        <v/>
      </c>
    </row>
    <row r="395">
      <c r="A395" t="n">
        <v>392</v>
      </c>
      <c r="B395" s="196">
        <f>IF(A395&lt;='入力・概要'!$B$40,10^(LOG10('入力・概要'!$B$38)+(A395-1)*(LOG10('入力・概要'!$B$39)-LOG10('入力・概要'!$B$38))/('入力・概要'!$B$40-1)),"")</f>
        <v/>
      </c>
      <c r="C395" s="195">
        <f>IF(B395="","",2*PI()*B395)</f>
        <v/>
      </c>
      <c r="D395" s="195">
        <f>IF(B395="","",ATANH(MIN(0.999999,'入力・概要'!$E$20/'入力・概要'!$E$9))+'入力・概要'!$B$20*SQRT(B395/1E6)+E395*'入力・概要'!$B$15/2)</f>
        <v/>
      </c>
      <c r="E395" s="195">
        <f>IF(B395="","",C395*('入力・概要'!$E$11*1E-9))</f>
        <v/>
      </c>
      <c r="F395" s="195">
        <f>IF(B395="","",SINH(2*D395)/(COSH(2*D395)+COS(2*E395)))</f>
        <v/>
      </c>
      <c r="G395" s="195">
        <f>IF(B395="","",SIN(2*E395)/(COSH(2*D395)+COS(2*E395)))</f>
        <v/>
      </c>
      <c r="H395" s="195">
        <f>IF(B395="","",ATANH(MIN(0.999999,'入力・概要'!$E$21/'入力・概要'!$E$15))+'入力・概要'!$B$21*SQRT(B395/1E6)+I395*'入力・概要'!$B$16/2)</f>
        <v/>
      </c>
      <c r="I395" s="195">
        <f>IF(B395="","",C395*('入力・概要'!$E$17*1E-9))</f>
        <v/>
      </c>
      <c r="J395" s="195">
        <f>IF(B395="","",SINH(2*H395)/(COSH(2*H395)+COS(2*I395)))</f>
        <v/>
      </c>
      <c r="K395" s="195">
        <f>IF(B395="","",SIN(2*I395)/(COSH(2*H395)+COS(2*I395)))</f>
        <v/>
      </c>
      <c r="L395" s="195">
        <f>IF(B395="","",'入力・概要'!$B$25)</f>
        <v/>
      </c>
      <c r="M395" s="195">
        <f>IF(B395="","",C395*'入力・概要'!$B$26*1E-9-1/(C395*'入力・概要'!$B$24*1E-6))</f>
        <v/>
      </c>
      <c r="N395" s="195">
        <f>IF(B395="","",'入力・概要'!$B$28)</f>
        <v/>
      </c>
      <c r="O395" s="195">
        <f>IF(B395="","",C395*'入力・概要'!$B$29*1E-9-1/(C395*'入力・概要'!$B$27*1E-6))</f>
        <v/>
      </c>
      <c r="P395" s="195">
        <f>IF(B395="","",((L395*N395-M395*O395)*(L395+N395)+(L395*O395+M395*N395)*(M395+O395))/((L395+N395)^2+(M395+O395)^2))</f>
        <v/>
      </c>
      <c r="Q395" s="195">
        <f>IF(B395="","",((L395*O395+M395*N395)*(L395+N395)-(L395*N395-M395*O395)*(M395+O395))/((L395+N395)^2+(M395+O395)^2))</f>
        <v/>
      </c>
      <c r="R395" s="195">
        <f>IF(B395="","",'入力・概要'!$E$15*J395)</f>
        <v/>
      </c>
      <c r="S395" s="195">
        <f>IF(B395="","",'入力・概要'!$E$15*K395)</f>
        <v/>
      </c>
      <c r="T395" s="195">
        <f>IF(B395="","",P395+R395)</f>
        <v/>
      </c>
      <c r="U395" s="195">
        <f>IF(B395="","",Q395+S395)</f>
        <v/>
      </c>
      <c r="V395" s="195">
        <f>IF(B395="","",T395+'入力・概要'!$E$9*F395)</f>
        <v/>
      </c>
      <c r="W395" s="195">
        <f>IF(B395="","",U395+'入力・概要'!$E$9*G395)</f>
        <v/>
      </c>
      <c r="X395" s="195">
        <f>IF(B395="","",'入力・概要'!$E$9+T395*F395-U395*G395)</f>
        <v/>
      </c>
      <c r="Y395" s="195">
        <f>IF(B395="","",T395*G395+U395*F395)</f>
        <v/>
      </c>
      <c r="Z395" s="195">
        <f>IF(B395="","",'入力・概要'!$E$9*(V395*X395+W395*Y395)/(X395^2+Y395^2)+'入力・概要'!$B$36)</f>
        <v/>
      </c>
      <c r="AA395" s="195">
        <f>IF(B395="","",'入力・概要'!$E$9*(W395*X395-V395*Y395)/(X395^2+Y395^2)+C395*'入力・概要'!$B$37*1E-9)</f>
        <v/>
      </c>
      <c r="AB395" s="195">
        <f>IF(B395="","",SQRT(Z395^2+AA395^2))</f>
        <v/>
      </c>
      <c r="AC395" s="195">
        <f>IF(B395="","",IF(Z395&gt;0,DEGREES(ATAN(AA395/Z395)),IF(Z395&lt;0,IF(AA395&gt;=0,DEGREES(ATAN(AA395/Z395))+180,DEGREES(ATAN(AA395/Z395))-180),IF(AA395&gt;0,90,IF(AA395&lt;0,-90,0)))))</f>
        <v/>
      </c>
      <c r="AD395" s="195">
        <f>IF(B395="","",LOG10(B395))</f>
        <v/>
      </c>
      <c r="AE395" s="195">
        <f>IF(AB395="","",LOG10(MAX(AB395,1E-12)))</f>
        <v/>
      </c>
      <c r="AF395" s="195">
        <f>IF(B395="","",SQRT(P395^2+Q395^2))</f>
        <v/>
      </c>
      <c r="AG395" s="195">
        <f>IF(B395="","",SQRT(R395^2+S395^2))</f>
        <v/>
      </c>
    </row>
    <row r="396">
      <c r="A396" t="n">
        <v>393</v>
      </c>
      <c r="B396" s="196">
        <f>IF(A396&lt;='入力・概要'!$B$40,10^(LOG10('入力・概要'!$B$38)+(A396-1)*(LOG10('入力・概要'!$B$39)-LOG10('入力・概要'!$B$38))/('入力・概要'!$B$40-1)),"")</f>
        <v/>
      </c>
      <c r="C396" s="195">
        <f>IF(B396="","",2*PI()*B396)</f>
        <v/>
      </c>
      <c r="D396" s="195">
        <f>IF(B396="","",ATANH(MIN(0.999999,'入力・概要'!$E$20/'入力・概要'!$E$9))+'入力・概要'!$B$20*SQRT(B396/1E6)+E396*'入力・概要'!$B$15/2)</f>
        <v/>
      </c>
      <c r="E396" s="195">
        <f>IF(B396="","",C396*('入力・概要'!$E$11*1E-9))</f>
        <v/>
      </c>
      <c r="F396" s="195">
        <f>IF(B396="","",SINH(2*D396)/(COSH(2*D396)+COS(2*E396)))</f>
        <v/>
      </c>
      <c r="G396" s="195">
        <f>IF(B396="","",SIN(2*E396)/(COSH(2*D396)+COS(2*E396)))</f>
        <v/>
      </c>
      <c r="H396" s="195">
        <f>IF(B396="","",ATANH(MIN(0.999999,'入力・概要'!$E$21/'入力・概要'!$E$15))+'入力・概要'!$B$21*SQRT(B396/1E6)+I396*'入力・概要'!$B$16/2)</f>
        <v/>
      </c>
      <c r="I396" s="195">
        <f>IF(B396="","",C396*('入力・概要'!$E$17*1E-9))</f>
        <v/>
      </c>
      <c r="J396" s="195">
        <f>IF(B396="","",SINH(2*H396)/(COSH(2*H396)+COS(2*I396)))</f>
        <v/>
      </c>
      <c r="K396" s="195">
        <f>IF(B396="","",SIN(2*I396)/(COSH(2*H396)+COS(2*I396)))</f>
        <v/>
      </c>
      <c r="L396" s="195">
        <f>IF(B396="","",'入力・概要'!$B$25)</f>
        <v/>
      </c>
      <c r="M396" s="195">
        <f>IF(B396="","",C396*'入力・概要'!$B$26*1E-9-1/(C396*'入力・概要'!$B$24*1E-6))</f>
        <v/>
      </c>
      <c r="N396" s="195">
        <f>IF(B396="","",'入力・概要'!$B$28)</f>
        <v/>
      </c>
      <c r="O396" s="195">
        <f>IF(B396="","",C396*'入力・概要'!$B$29*1E-9-1/(C396*'入力・概要'!$B$27*1E-6))</f>
        <v/>
      </c>
      <c r="P396" s="195">
        <f>IF(B396="","",((L396*N396-M396*O396)*(L396+N396)+(L396*O396+M396*N396)*(M396+O396))/((L396+N396)^2+(M396+O396)^2))</f>
        <v/>
      </c>
      <c r="Q396" s="195">
        <f>IF(B396="","",((L396*O396+M396*N396)*(L396+N396)-(L396*N396-M396*O396)*(M396+O396))/((L396+N396)^2+(M396+O396)^2))</f>
        <v/>
      </c>
      <c r="R396" s="195">
        <f>IF(B396="","",'入力・概要'!$E$15*J396)</f>
        <v/>
      </c>
      <c r="S396" s="195">
        <f>IF(B396="","",'入力・概要'!$E$15*K396)</f>
        <v/>
      </c>
      <c r="T396" s="195">
        <f>IF(B396="","",P396+R396)</f>
        <v/>
      </c>
      <c r="U396" s="195">
        <f>IF(B396="","",Q396+S396)</f>
        <v/>
      </c>
      <c r="V396" s="195">
        <f>IF(B396="","",T396+'入力・概要'!$E$9*F396)</f>
        <v/>
      </c>
      <c r="W396" s="195">
        <f>IF(B396="","",U396+'入力・概要'!$E$9*G396)</f>
        <v/>
      </c>
      <c r="X396" s="195">
        <f>IF(B396="","",'入力・概要'!$E$9+T396*F396-U396*G396)</f>
        <v/>
      </c>
      <c r="Y396" s="195">
        <f>IF(B396="","",T396*G396+U396*F396)</f>
        <v/>
      </c>
      <c r="Z396" s="195">
        <f>IF(B396="","",'入力・概要'!$E$9*(V396*X396+W396*Y396)/(X396^2+Y396^2)+'入力・概要'!$B$36)</f>
        <v/>
      </c>
      <c r="AA396" s="195">
        <f>IF(B396="","",'入力・概要'!$E$9*(W396*X396-V396*Y396)/(X396^2+Y396^2)+C396*'入力・概要'!$B$37*1E-9)</f>
        <v/>
      </c>
      <c r="AB396" s="195">
        <f>IF(B396="","",SQRT(Z396^2+AA396^2))</f>
        <v/>
      </c>
      <c r="AC396" s="195">
        <f>IF(B396="","",IF(Z396&gt;0,DEGREES(ATAN(AA396/Z396)),IF(Z396&lt;0,IF(AA396&gt;=0,DEGREES(ATAN(AA396/Z396))+180,DEGREES(ATAN(AA396/Z396))-180),IF(AA396&gt;0,90,IF(AA396&lt;0,-90,0)))))</f>
        <v/>
      </c>
      <c r="AD396" s="195">
        <f>IF(B396="","",LOG10(B396))</f>
        <v/>
      </c>
      <c r="AE396" s="195">
        <f>IF(AB396="","",LOG10(MAX(AB396,1E-12)))</f>
        <v/>
      </c>
      <c r="AF396" s="195">
        <f>IF(B396="","",SQRT(P396^2+Q396^2))</f>
        <v/>
      </c>
      <c r="AG396" s="195">
        <f>IF(B396="","",SQRT(R396^2+S396^2))</f>
        <v/>
      </c>
    </row>
    <row r="397">
      <c r="A397" t="n">
        <v>394</v>
      </c>
      <c r="B397" s="196">
        <f>IF(A397&lt;='入力・概要'!$B$40,10^(LOG10('入力・概要'!$B$38)+(A397-1)*(LOG10('入力・概要'!$B$39)-LOG10('入力・概要'!$B$38))/('入力・概要'!$B$40-1)),"")</f>
        <v/>
      </c>
      <c r="C397" s="195">
        <f>IF(B397="","",2*PI()*B397)</f>
        <v/>
      </c>
      <c r="D397" s="195">
        <f>IF(B397="","",ATANH(MIN(0.999999,'入力・概要'!$E$20/'入力・概要'!$E$9))+'入力・概要'!$B$20*SQRT(B397/1E6)+E397*'入力・概要'!$B$15/2)</f>
        <v/>
      </c>
      <c r="E397" s="195">
        <f>IF(B397="","",C397*('入力・概要'!$E$11*1E-9))</f>
        <v/>
      </c>
      <c r="F397" s="195">
        <f>IF(B397="","",SINH(2*D397)/(COSH(2*D397)+COS(2*E397)))</f>
        <v/>
      </c>
      <c r="G397" s="195">
        <f>IF(B397="","",SIN(2*E397)/(COSH(2*D397)+COS(2*E397)))</f>
        <v/>
      </c>
      <c r="H397" s="195">
        <f>IF(B397="","",ATANH(MIN(0.999999,'入力・概要'!$E$21/'入力・概要'!$E$15))+'入力・概要'!$B$21*SQRT(B397/1E6)+I397*'入力・概要'!$B$16/2)</f>
        <v/>
      </c>
      <c r="I397" s="195">
        <f>IF(B397="","",C397*('入力・概要'!$E$17*1E-9))</f>
        <v/>
      </c>
      <c r="J397" s="195">
        <f>IF(B397="","",SINH(2*H397)/(COSH(2*H397)+COS(2*I397)))</f>
        <v/>
      </c>
      <c r="K397" s="195">
        <f>IF(B397="","",SIN(2*I397)/(COSH(2*H397)+COS(2*I397)))</f>
        <v/>
      </c>
      <c r="L397" s="195">
        <f>IF(B397="","",'入力・概要'!$B$25)</f>
        <v/>
      </c>
      <c r="M397" s="195">
        <f>IF(B397="","",C397*'入力・概要'!$B$26*1E-9-1/(C397*'入力・概要'!$B$24*1E-6))</f>
        <v/>
      </c>
      <c r="N397" s="195">
        <f>IF(B397="","",'入力・概要'!$B$28)</f>
        <v/>
      </c>
      <c r="O397" s="195">
        <f>IF(B397="","",C397*'入力・概要'!$B$29*1E-9-1/(C397*'入力・概要'!$B$27*1E-6))</f>
        <v/>
      </c>
      <c r="P397" s="195">
        <f>IF(B397="","",((L397*N397-M397*O397)*(L397+N397)+(L397*O397+M397*N397)*(M397+O397))/((L397+N397)^2+(M397+O397)^2))</f>
        <v/>
      </c>
      <c r="Q397" s="195">
        <f>IF(B397="","",((L397*O397+M397*N397)*(L397+N397)-(L397*N397-M397*O397)*(M397+O397))/((L397+N397)^2+(M397+O397)^2))</f>
        <v/>
      </c>
      <c r="R397" s="195">
        <f>IF(B397="","",'入力・概要'!$E$15*J397)</f>
        <v/>
      </c>
      <c r="S397" s="195">
        <f>IF(B397="","",'入力・概要'!$E$15*K397)</f>
        <v/>
      </c>
      <c r="T397" s="195">
        <f>IF(B397="","",P397+R397)</f>
        <v/>
      </c>
      <c r="U397" s="195">
        <f>IF(B397="","",Q397+S397)</f>
        <v/>
      </c>
      <c r="V397" s="195">
        <f>IF(B397="","",T397+'入力・概要'!$E$9*F397)</f>
        <v/>
      </c>
      <c r="W397" s="195">
        <f>IF(B397="","",U397+'入力・概要'!$E$9*G397)</f>
        <v/>
      </c>
      <c r="X397" s="195">
        <f>IF(B397="","",'入力・概要'!$E$9+T397*F397-U397*G397)</f>
        <v/>
      </c>
      <c r="Y397" s="195">
        <f>IF(B397="","",T397*G397+U397*F397)</f>
        <v/>
      </c>
      <c r="Z397" s="195">
        <f>IF(B397="","",'入力・概要'!$E$9*(V397*X397+W397*Y397)/(X397^2+Y397^2)+'入力・概要'!$B$36)</f>
        <v/>
      </c>
      <c r="AA397" s="195">
        <f>IF(B397="","",'入力・概要'!$E$9*(W397*X397-V397*Y397)/(X397^2+Y397^2)+C397*'入力・概要'!$B$37*1E-9)</f>
        <v/>
      </c>
      <c r="AB397" s="195">
        <f>IF(B397="","",SQRT(Z397^2+AA397^2))</f>
        <v/>
      </c>
      <c r="AC397" s="195">
        <f>IF(B397="","",IF(Z397&gt;0,DEGREES(ATAN(AA397/Z397)),IF(Z397&lt;0,IF(AA397&gt;=0,DEGREES(ATAN(AA397/Z397))+180,DEGREES(ATAN(AA397/Z397))-180),IF(AA397&gt;0,90,IF(AA397&lt;0,-90,0)))))</f>
        <v/>
      </c>
      <c r="AD397" s="195">
        <f>IF(B397="","",LOG10(B397))</f>
        <v/>
      </c>
      <c r="AE397" s="195">
        <f>IF(AB397="","",LOG10(MAX(AB397,1E-12)))</f>
        <v/>
      </c>
      <c r="AF397" s="195">
        <f>IF(B397="","",SQRT(P397^2+Q397^2))</f>
        <v/>
      </c>
      <c r="AG397" s="195">
        <f>IF(B397="","",SQRT(R397^2+S397^2))</f>
        <v/>
      </c>
    </row>
    <row r="398">
      <c r="A398" t="n">
        <v>395</v>
      </c>
      <c r="B398" s="196">
        <f>IF(A398&lt;='入力・概要'!$B$40,10^(LOG10('入力・概要'!$B$38)+(A398-1)*(LOG10('入力・概要'!$B$39)-LOG10('入力・概要'!$B$38))/('入力・概要'!$B$40-1)),"")</f>
        <v/>
      </c>
      <c r="C398" s="195">
        <f>IF(B398="","",2*PI()*B398)</f>
        <v/>
      </c>
      <c r="D398" s="195">
        <f>IF(B398="","",ATANH(MIN(0.999999,'入力・概要'!$E$20/'入力・概要'!$E$9))+'入力・概要'!$B$20*SQRT(B398/1E6)+E398*'入力・概要'!$B$15/2)</f>
        <v/>
      </c>
      <c r="E398" s="195">
        <f>IF(B398="","",C398*('入力・概要'!$E$11*1E-9))</f>
        <v/>
      </c>
      <c r="F398" s="195">
        <f>IF(B398="","",SINH(2*D398)/(COSH(2*D398)+COS(2*E398)))</f>
        <v/>
      </c>
      <c r="G398" s="195">
        <f>IF(B398="","",SIN(2*E398)/(COSH(2*D398)+COS(2*E398)))</f>
        <v/>
      </c>
      <c r="H398" s="195">
        <f>IF(B398="","",ATANH(MIN(0.999999,'入力・概要'!$E$21/'入力・概要'!$E$15))+'入力・概要'!$B$21*SQRT(B398/1E6)+I398*'入力・概要'!$B$16/2)</f>
        <v/>
      </c>
      <c r="I398" s="195">
        <f>IF(B398="","",C398*('入力・概要'!$E$17*1E-9))</f>
        <v/>
      </c>
      <c r="J398" s="195">
        <f>IF(B398="","",SINH(2*H398)/(COSH(2*H398)+COS(2*I398)))</f>
        <v/>
      </c>
      <c r="K398" s="195">
        <f>IF(B398="","",SIN(2*I398)/(COSH(2*H398)+COS(2*I398)))</f>
        <v/>
      </c>
      <c r="L398" s="195">
        <f>IF(B398="","",'入力・概要'!$B$25)</f>
        <v/>
      </c>
      <c r="M398" s="195">
        <f>IF(B398="","",C398*'入力・概要'!$B$26*1E-9-1/(C398*'入力・概要'!$B$24*1E-6))</f>
        <v/>
      </c>
      <c r="N398" s="195">
        <f>IF(B398="","",'入力・概要'!$B$28)</f>
        <v/>
      </c>
      <c r="O398" s="195">
        <f>IF(B398="","",C398*'入力・概要'!$B$29*1E-9-1/(C398*'入力・概要'!$B$27*1E-6))</f>
        <v/>
      </c>
      <c r="P398" s="195">
        <f>IF(B398="","",((L398*N398-M398*O398)*(L398+N398)+(L398*O398+M398*N398)*(M398+O398))/((L398+N398)^2+(M398+O398)^2))</f>
        <v/>
      </c>
      <c r="Q398" s="195">
        <f>IF(B398="","",((L398*O398+M398*N398)*(L398+N398)-(L398*N398-M398*O398)*(M398+O398))/((L398+N398)^2+(M398+O398)^2))</f>
        <v/>
      </c>
      <c r="R398" s="195">
        <f>IF(B398="","",'入力・概要'!$E$15*J398)</f>
        <v/>
      </c>
      <c r="S398" s="195">
        <f>IF(B398="","",'入力・概要'!$E$15*K398)</f>
        <v/>
      </c>
      <c r="T398" s="195">
        <f>IF(B398="","",P398+R398)</f>
        <v/>
      </c>
      <c r="U398" s="195">
        <f>IF(B398="","",Q398+S398)</f>
        <v/>
      </c>
      <c r="V398" s="195">
        <f>IF(B398="","",T398+'入力・概要'!$E$9*F398)</f>
        <v/>
      </c>
      <c r="W398" s="195">
        <f>IF(B398="","",U398+'入力・概要'!$E$9*G398)</f>
        <v/>
      </c>
      <c r="X398" s="195">
        <f>IF(B398="","",'入力・概要'!$E$9+T398*F398-U398*G398)</f>
        <v/>
      </c>
      <c r="Y398" s="195">
        <f>IF(B398="","",T398*G398+U398*F398)</f>
        <v/>
      </c>
      <c r="Z398" s="195">
        <f>IF(B398="","",'入力・概要'!$E$9*(V398*X398+W398*Y398)/(X398^2+Y398^2)+'入力・概要'!$B$36)</f>
        <v/>
      </c>
      <c r="AA398" s="195">
        <f>IF(B398="","",'入力・概要'!$E$9*(W398*X398-V398*Y398)/(X398^2+Y398^2)+C398*'入力・概要'!$B$37*1E-9)</f>
        <v/>
      </c>
      <c r="AB398" s="195">
        <f>IF(B398="","",SQRT(Z398^2+AA398^2))</f>
        <v/>
      </c>
      <c r="AC398" s="195">
        <f>IF(B398="","",IF(Z398&gt;0,DEGREES(ATAN(AA398/Z398)),IF(Z398&lt;0,IF(AA398&gt;=0,DEGREES(ATAN(AA398/Z398))+180,DEGREES(ATAN(AA398/Z398))-180),IF(AA398&gt;0,90,IF(AA398&lt;0,-90,0)))))</f>
        <v/>
      </c>
      <c r="AD398" s="195">
        <f>IF(B398="","",LOG10(B398))</f>
        <v/>
      </c>
      <c r="AE398" s="195">
        <f>IF(AB398="","",LOG10(MAX(AB398,1E-12)))</f>
        <v/>
      </c>
      <c r="AF398" s="195">
        <f>IF(B398="","",SQRT(P398^2+Q398^2))</f>
        <v/>
      </c>
      <c r="AG398" s="195">
        <f>IF(B398="","",SQRT(R398^2+S398^2))</f>
        <v/>
      </c>
    </row>
    <row r="399">
      <c r="A399" t="n">
        <v>396</v>
      </c>
      <c r="B399" s="196">
        <f>IF(A399&lt;='入力・概要'!$B$40,10^(LOG10('入力・概要'!$B$38)+(A399-1)*(LOG10('入力・概要'!$B$39)-LOG10('入力・概要'!$B$38))/('入力・概要'!$B$40-1)),"")</f>
        <v/>
      </c>
      <c r="C399" s="195">
        <f>IF(B399="","",2*PI()*B399)</f>
        <v/>
      </c>
      <c r="D399" s="195">
        <f>IF(B399="","",ATANH(MIN(0.999999,'入力・概要'!$E$20/'入力・概要'!$E$9))+'入力・概要'!$B$20*SQRT(B399/1E6)+E399*'入力・概要'!$B$15/2)</f>
        <v/>
      </c>
      <c r="E399" s="195">
        <f>IF(B399="","",C399*('入力・概要'!$E$11*1E-9))</f>
        <v/>
      </c>
      <c r="F399" s="195">
        <f>IF(B399="","",SINH(2*D399)/(COSH(2*D399)+COS(2*E399)))</f>
        <v/>
      </c>
      <c r="G399" s="195">
        <f>IF(B399="","",SIN(2*E399)/(COSH(2*D399)+COS(2*E399)))</f>
        <v/>
      </c>
      <c r="H399" s="195">
        <f>IF(B399="","",ATANH(MIN(0.999999,'入力・概要'!$E$21/'入力・概要'!$E$15))+'入力・概要'!$B$21*SQRT(B399/1E6)+I399*'入力・概要'!$B$16/2)</f>
        <v/>
      </c>
      <c r="I399" s="195">
        <f>IF(B399="","",C399*('入力・概要'!$E$17*1E-9))</f>
        <v/>
      </c>
      <c r="J399" s="195">
        <f>IF(B399="","",SINH(2*H399)/(COSH(2*H399)+COS(2*I399)))</f>
        <v/>
      </c>
      <c r="K399" s="195">
        <f>IF(B399="","",SIN(2*I399)/(COSH(2*H399)+COS(2*I399)))</f>
        <v/>
      </c>
      <c r="L399" s="195">
        <f>IF(B399="","",'入力・概要'!$B$25)</f>
        <v/>
      </c>
      <c r="M399" s="195">
        <f>IF(B399="","",C399*'入力・概要'!$B$26*1E-9-1/(C399*'入力・概要'!$B$24*1E-6))</f>
        <v/>
      </c>
      <c r="N399" s="195">
        <f>IF(B399="","",'入力・概要'!$B$28)</f>
        <v/>
      </c>
      <c r="O399" s="195">
        <f>IF(B399="","",C399*'入力・概要'!$B$29*1E-9-1/(C399*'入力・概要'!$B$27*1E-6))</f>
        <v/>
      </c>
      <c r="P399" s="195">
        <f>IF(B399="","",((L399*N399-M399*O399)*(L399+N399)+(L399*O399+M399*N399)*(M399+O399))/((L399+N399)^2+(M399+O399)^2))</f>
        <v/>
      </c>
      <c r="Q399" s="195">
        <f>IF(B399="","",((L399*O399+M399*N399)*(L399+N399)-(L399*N399-M399*O399)*(M399+O399))/((L399+N399)^2+(M399+O399)^2))</f>
        <v/>
      </c>
      <c r="R399" s="195">
        <f>IF(B399="","",'入力・概要'!$E$15*J399)</f>
        <v/>
      </c>
      <c r="S399" s="195">
        <f>IF(B399="","",'入力・概要'!$E$15*K399)</f>
        <v/>
      </c>
      <c r="T399" s="195">
        <f>IF(B399="","",P399+R399)</f>
        <v/>
      </c>
      <c r="U399" s="195">
        <f>IF(B399="","",Q399+S399)</f>
        <v/>
      </c>
      <c r="V399" s="195">
        <f>IF(B399="","",T399+'入力・概要'!$E$9*F399)</f>
        <v/>
      </c>
      <c r="W399" s="195">
        <f>IF(B399="","",U399+'入力・概要'!$E$9*G399)</f>
        <v/>
      </c>
      <c r="X399" s="195">
        <f>IF(B399="","",'入力・概要'!$E$9+T399*F399-U399*G399)</f>
        <v/>
      </c>
      <c r="Y399" s="195">
        <f>IF(B399="","",T399*G399+U399*F399)</f>
        <v/>
      </c>
      <c r="Z399" s="195">
        <f>IF(B399="","",'入力・概要'!$E$9*(V399*X399+W399*Y399)/(X399^2+Y399^2)+'入力・概要'!$B$36)</f>
        <v/>
      </c>
      <c r="AA399" s="195">
        <f>IF(B399="","",'入力・概要'!$E$9*(W399*X399-V399*Y399)/(X399^2+Y399^2)+C399*'入力・概要'!$B$37*1E-9)</f>
        <v/>
      </c>
      <c r="AB399" s="195">
        <f>IF(B399="","",SQRT(Z399^2+AA399^2))</f>
        <v/>
      </c>
      <c r="AC399" s="195">
        <f>IF(B399="","",IF(Z399&gt;0,DEGREES(ATAN(AA399/Z399)),IF(Z399&lt;0,IF(AA399&gt;=0,DEGREES(ATAN(AA399/Z399))+180,DEGREES(ATAN(AA399/Z399))-180),IF(AA399&gt;0,90,IF(AA399&lt;0,-90,0)))))</f>
        <v/>
      </c>
      <c r="AD399" s="195">
        <f>IF(B399="","",LOG10(B399))</f>
        <v/>
      </c>
      <c r="AE399" s="195">
        <f>IF(AB399="","",LOG10(MAX(AB399,1E-12)))</f>
        <v/>
      </c>
      <c r="AF399" s="195">
        <f>IF(B399="","",SQRT(P399^2+Q399^2))</f>
        <v/>
      </c>
      <c r="AG399" s="195">
        <f>IF(B399="","",SQRT(R399^2+S399^2))</f>
        <v/>
      </c>
    </row>
    <row r="400">
      <c r="A400" t="n">
        <v>397</v>
      </c>
      <c r="B400" s="196">
        <f>IF(A400&lt;='入力・概要'!$B$40,10^(LOG10('入力・概要'!$B$38)+(A400-1)*(LOG10('入力・概要'!$B$39)-LOG10('入力・概要'!$B$38))/('入力・概要'!$B$40-1)),"")</f>
        <v/>
      </c>
      <c r="C400" s="195">
        <f>IF(B400="","",2*PI()*B400)</f>
        <v/>
      </c>
      <c r="D400" s="195">
        <f>IF(B400="","",ATANH(MIN(0.999999,'入力・概要'!$E$20/'入力・概要'!$E$9))+'入力・概要'!$B$20*SQRT(B400/1E6)+E400*'入力・概要'!$B$15/2)</f>
        <v/>
      </c>
      <c r="E400" s="195">
        <f>IF(B400="","",C400*('入力・概要'!$E$11*1E-9))</f>
        <v/>
      </c>
      <c r="F400" s="195">
        <f>IF(B400="","",SINH(2*D400)/(COSH(2*D400)+COS(2*E400)))</f>
        <v/>
      </c>
      <c r="G400" s="195">
        <f>IF(B400="","",SIN(2*E400)/(COSH(2*D400)+COS(2*E400)))</f>
        <v/>
      </c>
      <c r="H400" s="195">
        <f>IF(B400="","",ATANH(MIN(0.999999,'入力・概要'!$E$21/'入力・概要'!$E$15))+'入力・概要'!$B$21*SQRT(B400/1E6)+I400*'入力・概要'!$B$16/2)</f>
        <v/>
      </c>
      <c r="I400" s="195">
        <f>IF(B400="","",C400*('入力・概要'!$E$17*1E-9))</f>
        <v/>
      </c>
      <c r="J400" s="195">
        <f>IF(B400="","",SINH(2*H400)/(COSH(2*H400)+COS(2*I400)))</f>
        <v/>
      </c>
      <c r="K400" s="195">
        <f>IF(B400="","",SIN(2*I400)/(COSH(2*H400)+COS(2*I400)))</f>
        <v/>
      </c>
      <c r="L400" s="195">
        <f>IF(B400="","",'入力・概要'!$B$25)</f>
        <v/>
      </c>
      <c r="M400" s="195">
        <f>IF(B400="","",C400*'入力・概要'!$B$26*1E-9-1/(C400*'入力・概要'!$B$24*1E-6))</f>
        <v/>
      </c>
      <c r="N400" s="195">
        <f>IF(B400="","",'入力・概要'!$B$28)</f>
        <v/>
      </c>
      <c r="O400" s="195">
        <f>IF(B400="","",C400*'入力・概要'!$B$29*1E-9-1/(C400*'入力・概要'!$B$27*1E-6))</f>
        <v/>
      </c>
      <c r="P400" s="195">
        <f>IF(B400="","",((L400*N400-M400*O400)*(L400+N400)+(L400*O400+M400*N400)*(M400+O400))/((L400+N400)^2+(M400+O400)^2))</f>
        <v/>
      </c>
      <c r="Q400" s="195">
        <f>IF(B400="","",((L400*O400+M400*N400)*(L400+N400)-(L400*N400-M400*O400)*(M400+O400))/((L400+N400)^2+(M400+O400)^2))</f>
        <v/>
      </c>
      <c r="R400" s="195">
        <f>IF(B400="","",'入力・概要'!$E$15*J400)</f>
        <v/>
      </c>
      <c r="S400" s="195">
        <f>IF(B400="","",'入力・概要'!$E$15*K400)</f>
        <v/>
      </c>
      <c r="T400" s="195">
        <f>IF(B400="","",P400+R400)</f>
        <v/>
      </c>
      <c r="U400" s="195">
        <f>IF(B400="","",Q400+S400)</f>
        <v/>
      </c>
      <c r="V400" s="195">
        <f>IF(B400="","",T400+'入力・概要'!$E$9*F400)</f>
        <v/>
      </c>
      <c r="W400" s="195">
        <f>IF(B400="","",U400+'入力・概要'!$E$9*G400)</f>
        <v/>
      </c>
      <c r="X400" s="195">
        <f>IF(B400="","",'入力・概要'!$E$9+T400*F400-U400*G400)</f>
        <v/>
      </c>
      <c r="Y400" s="195">
        <f>IF(B400="","",T400*G400+U400*F400)</f>
        <v/>
      </c>
      <c r="Z400" s="195">
        <f>IF(B400="","",'入力・概要'!$E$9*(V400*X400+W400*Y400)/(X400^2+Y400^2)+'入力・概要'!$B$36)</f>
        <v/>
      </c>
      <c r="AA400" s="195">
        <f>IF(B400="","",'入力・概要'!$E$9*(W400*X400-V400*Y400)/(X400^2+Y400^2)+C400*'入力・概要'!$B$37*1E-9)</f>
        <v/>
      </c>
      <c r="AB400" s="195">
        <f>IF(B400="","",SQRT(Z400^2+AA400^2))</f>
        <v/>
      </c>
      <c r="AC400" s="195">
        <f>IF(B400="","",IF(Z400&gt;0,DEGREES(ATAN(AA400/Z400)),IF(Z400&lt;0,IF(AA400&gt;=0,DEGREES(ATAN(AA400/Z400))+180,DEGREES(ATAN(AA400/Z400))-180),IF(AA400&gt;0,90,IF(AA400&lt;0,-90,0)))))</f>
        <v/>
      </c>
      <c r="AD400" s="195">
        <f>IF(B400="","",LOG10(B400))</f>
        <v/>
      </c>
      <c r="AE400" s="195">
        <f>IF(AB400="","",LOG10(MAX(AB400,1E-12)))</f>
        <v/>
      </c>
      <c r="AF400" s="195">
        <f>IF(B400="","",SQRT(P400^2+Q400^2))</f>
        <v/>
      </c>
      <c r="AG400" s="195">
        <f>IF(B400="","",SQRT(R400^2+S400^2))</f>
        <v/>
      </c>
    </row>
    <row r="401">
      <c r="A401" t="n">
        <v>398</v>
      </c>
      <c r="B401" s="196">
        <f>IF(A401&lt;='入力・概要'!$B$40,10^(LOG10('入力・概要'!$B$38)+(A401-1)*(LOG10('入力・概要'!$B$39)-LOG10('入力・概要'!$B$38))/('入力・概要'!$B$40-1)),"")</f>
        <v/>
      </c>
      <c r="C401" s="195">
        <f>IF(B401="","",2*PI()*B401)</f>
        <v/>
      </c>
      <c r="D401" s="195">
        <f>IF(B401="","",ATANH(MIN(0.999999,'入力・概要'!$E$20/'入力・概要'!$E$9))+'入力・概要'!$B$20*SQRT(B401/1E6)+E401*'入力・概要'!$B$15/2)</f>
        <v/>
      </c>
      <c r="E401" s="195">
        <f>IF(B401="","",C401*('入力・概要'!$E$11*1E-9))</f>
        <v/>
      </c>
      <c r="F401" s="195">
        <f>IF(B401="","",SINH(2*D401)/(COSH(2*D401)+COS(2*E401)))</f>
        <v/>
      </c>
      <c r="G401" s="195">
        <f>IF(B401="","",SIN(2*E401)/(COSH(2*D401)+COS(2*E401)))</f>
        <v/>
      </c>
      <c r="H401" s="195">
        <f>IF(B401="","",ATANH(MIN(0.999999,'入力・概要'!$E$21/'入力・概要'!$E$15))+'入力・概要'!$B$21*SQRT(B401/1E6)+I401*'入力・概要'!$B$16/2)</f>
        <v/>
      </c>
      <c r="I401" s="195">
        <f>IF(B401="","",C401*('入力・概要'!$E$17*1E-9))</f>
        <v/>
      </c>
      <c r="J401" s="195">
        <f>IF(B401="","",SINH(2*H401)/(COSH(2*H401)+COS(2*I401)))</f>
        <v/>
      </c>
      <c r="K401" s="195">
        <f>IF(B401="","",SIN(2*I401)/(COSH(2*H401)+COS(2*I401)))</f>
        <v/>
      </c>
      <c r="L401" s="195">
        <f>IF(B401="","",'入力・概要'!$B$25)</f>
        <v/>
      </c>
      <c r="M401" s="195">
        <f>IF(B401="","",C401*'入力・概要'!$B$26*1E-9-1/(C401*'入力・概要'!$B$24*1E-6))</f>
        <v/>
      </c>
      <c r="N401" s="195">
        <f>IF(B401="","",'入力・概要'!$B$28)</f>
        <v/>
      </c>
      <c r="O401" s="195">
        <f>IF(B401="","",C401*'入力・概要'!$B$29*1E-9-1/(C401*'入力・概要'!$B$27*1E-6))</f>
        <v/>
      </c>
      <c r="P401" s="195">
        <f>IF(B401="","",((L401*N401-M401*O401)*(L401+N401)+(L401*O401+M401*N401)*(M401+O401))/((L401+N401)^2+(M401+O401)^2))</f>
        <v/>
      </c>
      <c r="Q401" s="195">
        <f>IF(B401="","",((L401*O401+M401*N401)*(L401+N401)-(L401*N401-M401*O401)*(M401+O401))/((L401+N401)^2+(M401+O401)^2))</f>
        <v/>
      </c>
      <c r="R401" s="195">
        <f>IF(B401="","",'入力・概要'!$E$15*J401)</f>
        <v/>
      </c>
      <c r="S401" s="195">
        <f>IF(B401="","",'入力・概要'!$E$15*K401)</f>
        <v/>
      </c>
      <c r="T401" s="195">
        <f>IF(B401="","",P401+R401)</f>
        <v/>
      </c>
      <c r="U401" s="195">
        <f>IF(B401="","",Q401+S401)</f>
        <v/>
      </c>
      <c r="V401" s="195">
        <f>IF(B401="","",T401+'入力・概要'!$E$9*F401)</f>
        <v/>
      </c>
      <c r="W401" s="195">
        <f>IF(B401="","",U401+'入力・概要'!$E$9*G401)</f>
        <v/>
      </c>
      <c r="X401" s="195">
        <f>IF(B401="","",'入力・概要'!$E$9+T401*F401-U401*G401)</f>
        <v/>
      </c>
      <c r="Y401" s="195">
        <f>IF(B401="","",T401*G401+U401*F401)</f>
        <v/>
      </c>
      <c r="Z401" s="195">
        <f>IF(B401="","",'入力・概要'!$E$9*(V401*X401+W401*Y401)/(X401^2+Y401^2)+'入力・概要'!$B$36)</f>
        <v/>
      </c>
      <c r="AA401" s="195">
        <f>IF(B401="","",'入力・概要'!$E$9*(W401*X401-V401*Y401)/(X401^2+Y401^2)+C401*'入力・概要'!$B$37*1E-9)</f>
        <v/>
      </c>
      <c r="AB401" s="195">
        <f>IF(B401="","",SQRT(Z401^2+AA401^2))</f>
        <v/>
      </c>
      <c r="AC401" s="195">
        <f>IF(B401="","",IF(Z401&gt;0,DEGREES(ATAN(AA401/Z401)),IF(Z401&lt;0,IF(AA401&gt;=0,DEGREES(ATAN(AA401/Z401))+180,DEGREES(ATAN(AA401/Z401))-180),IF(AA401&gt;0,90,IF(AA401&lt;0,-90,0)))))</f>
        <v/>
      </c>
      <c r="AD401" s="195">
        <f>IF(B401="","",LOG10(B401))</f>
        <v/>
      </c>
      <c r="AE401" s="195">
        <f>IF(AB401="","",LOG10(MAX(AB401,1E-12)))</f>
        <v/>
      </c>
      <c r="AF401" s="195">
        <f>IF(B401="","",SQRT(P401^2+Q401^2))</f>
        <v/>
      </c>
      <c r="AG401" s="195">
        <f>IF(B401="","",SQRT(R401^2+S401^2))</f>
        <v/>
      </c>
    </row>
    <row r="402">
      <c r="A402" t="n">
        <v>399</v>
      </c>
      <c r="B402" s="196">
        <f>IF(A402&lt;='入力・概要'!$B$40,10^(LOG10('入力・概要'!$B$38)+(A402-1)*(LOG10('入力・概要'!$B$39)-LOG10('入力・概要'!$B$38))/('入力・概要'!$B$40-1)),"")</f>
        <v/>
      </c>
      <c r="C402" s="195">
        <f>IF(B402="","",2*PI()*B402)</f>
        <v/>
      </c>
      <c r="D402" s="195">
        <f>IF(B402="","",ATANH(MIN(0.999999,'入力・概要'!$E$20/'入力・概要'!$E$9))+'入力・概要'!$B$20*SQRT(B402/1E6)+E402*'入力・概要'!$B$15/2)</f>
        <v/>
      </c>
      <c r="E402" s="195">
        <f>IF(B402="","",C402*('入力・概要'!$E$11*1E-9))</f>
        <v/>
      </c>
      <c r="F402" s="195">
        <f>IF(B402="","",SINH(2*D402)/(COSH(2*D402)+COS(2*E402)))</f>
        <v/>
      </c>
      <c r="G402" s="195">
        <f>IF(B402="","",SIN(2*E402)/(COSH(2*D402)+COS(2*E402)))</f>
        <v/>
      </c>
      <c r="H402" s="195">
        <f>IF(B402="","",ATANH(MIN(0.999999,'入力・概要'!$E$21/'入力・概要'!$E$15))+'入力・概要'!$B$21*SQRT(B402/1E6)+I402*'入力・概要'!$B$16/2)</f>
        <v/>
      </c>
      <c r="I402" s="195">
        <f>IF(B402="","",C402*('入力・概要'!$E$17*1E-9))</f>
        <v/>
      </c>
      <c r="J402" s="195">
        <f>IF(B402="","",SINH(2*H402)/(COSH(2*H402)+COS(2*I402)))</f>
        <v/>
      </c>
      <c r="K402" s="195">
        <f>IF(B402="","",SIN(2*I402)/(COSH(2*H402)+COS(2*I402)))</f>
        <v/>
      </c>
      <c r="L402" s="195">
        <f>IF(B402="","",'入力・概要'!$B$25)</f>
        <v/>
      </c>
      <c r="M402" s="195">
        <f>IF(B402="","",C402*'入力・概要'!$B$26*1E-9-1/(C402*'入力・概要'!$B$24*1E-6))</f>
        <v/>
      </c>
      <c r="N402" s="195">
        <f>IF(B402="","",'入力・概要'!$B$28)</f>
        <v/>
      </c>
      <c r="O402" s="195">
        <f>IF(B402="","",C402*'入力・概要'!$B$29*1E-9-1/(C402*'入力・概要'!$B$27*1E-6))</f>
        <v/>
      </c>
      <c r="P402" s="195">
        <f>IF(B402="","",((L402*N402-M402*O402)*(L402+N402)+(L402*O402+M402*N402)*(M402+O402))/((L402+N402)^2+(M402+O402)^2))</f>
        <v/>
      </c>
      <c r="Q402" s="195">
        <f>IF(B402="","",((L402*O402+M402*N402)*(L402+N402)-(L402*N402-M402*O402)*(M402+O402))/((L402+N402)^2+(M402+O402)^2))</f>
        <v/>
      </c>
      <c r="R402" s="195">
        <f>IF(B402="","",'入力・概要'!$E$15*J402)</f>
        <v/>
      </c>
      <c r="S402" s="195">
        <f>IF(B402="","",'入力・概要'!$E$15*K402)</f>
        <v/>
      </c>
      <c r="T402" s="195">
        <f>IF(B402="","",P402+R402)</f>
        <v/>
      </c>
      <c r="U402" s="195">
        <f>IF(B402="","",Q402+S402)</f>
        <v/>
      </c>
      <c r="V402" s="195">
        <f>IF(B402="","",T402+'入力・概要'!$E$9*F402)</f>
        <v/>
      </c>
      <c r="W402" s="195">
        <f>IF(B402="","",U402+'入力・概要'!$E$9*G402)</f>
        <v/>
      </c>
      <c r="X402" s="195">
        <f>IF(B402="","",'入力・概要'!$E$9+T402*F402-U402*G402)</f>
        <v/>
      </c>
      <c r="Y402" s="195">
        <f>IF(B402="","",T402*G402+U402*F402)</f>
        <v/>
      </c>
      <c r="Z402" s="195">
        <f>IF(B402="","",'入力・概要'!$E$9*(V402*X402+W402*Y402)/(X402^2+Y402^2)+'入力・概要'!$B$36)</f>
        <v/>
      </c>
      <c r="AA402" s="195">
        <f>IF(B402="","",'入力・概要'!$E$9*(W402*X402-V402*Y402)/(X402^2+Y402^2)+C402*'入力・概要'!$B$37*1E-9)</f>
        <v/>
      </c>
      <c r="AB402" s="195">
        <f>IF(B402="","",SQRT(Z402^2+AA402^2))</f>
        <v/>
      </c>
      <c r="AC402" s="195">
        <f>IF(B402="","",IF(Z402&gt;0,DEGREES(ATAN(AA402/Z402)),IF(Z402&lt;0,IF(AA402&gt;=0,DEGREES(ATAN(AA402/Z402))+180,DEGREES(ATAN(AA402/Z402))-180),IF(AA402&gt;0,90,IF(AA402&lt;0,-90,0)))))</f>
        <v/>
      </c>
      <c r="AD402" s="195">
        <f>IF(B402="","",LOG10(B402))</f>
        <v/>
      </c>
      <c r="AE402" s="195">
        <f>IF(AB402="","",LOG10(MAX(AB402,1E-12)))</f>
        <v/>
      </c>
      <c r="AF402" s="195">
        <f>IF(B402="","",SQRT(P402^2+Q402^2))</f>
        <v/>
      </c>
      <c r="AG402" s="195">
        <f>IF(B402="","",SQRT(R402^2+S402^2))</f>
        <v/>
      </c>
    </row>
    <row r="403">
      <c r="A403" t="n">
        <v>400</v>
      </c>
      <c r="B403" s="196">
        <f>IF(A403&lt;='入力・概要'!$B$40,10^(LOG10('入力・概要'!$B$38)+(A403-1)*(LOG10('入力・概要'!$B$39)-LOG10('入力・概要'!$B$38))/('入力・概要'!$B$40-1)),"")</f>
        <v/>
      </c>
      <c r="C403" s="195">
        <f>IF(B403="","",2*PI()*B403)</f>
        <v/>
      </c>
      <c r="D403" s="195">
        <f>IF(B403="","",ATANH(MIN(0.999999,'入力・概要'!$E$20/'入力・概要'!$E$9))+'入力・概要'!$B$20*SQRT(B403/1E6)+E403*'入力・概要'!$B$15/2)</f>
        <v/>
      </c>
      <c r="E403" s="195">
        <f>IF(B403="","",C403*('入力・概要'!$E$11*1E-9))</f>
        <v/>
      </c>
      <c r="F403" s="195">
        <f>IF(B403="","",SINH(2*D403)/(COSH(2*D403)+COS(2*E403)))</f>
        <v/>
      </c>
      <c r="G403" s="195">
        <f>IF(B403="","",SIN(2*E403)/(COSH(2*D403)+COS(2*E403)))</f>
        <v/>
      </c>
      <c r="H403" s="195">
        <f>IF(B403="","",ATANH(MIN(0.999999,'入力・概要'!$E$21/'入力・概要'!$E$15))+'入力・概要'!$B$21*SQRT(B403/1E6)+I403*'入力・概要'!$B$16/2)</f>
        <v/>
      </c>
      <c r="I403" s="195">
        <f>IF(B403="","",C403*('入力・概要'!$E$17*1E-9))</f>
        <v/>
      </c>
      <c r="J403" s="195">
        <f>IF(B403="","",SINH(2*H403)/(COSH(2*H403)+COS(2*I403)))</f>
        <v/>
      </c>
      <c r="K403" s="195">
        <f>IF(B403="","",SIN(2*I403)/(COSH(2*H403)+COS(2*I403)))</f>
        <v/>
      </c>
      <c r="L403" s="195">
        <f>IF(B403="","",'入力・概要'!$B$25)</f>
        <v/>
      </c>
      <c r="M403" s="195">
        <f>IF(B403="","",C403*'入力・概要'!$B$26*1E-9-1/(C403*'入力・概要'!$B$24*1E-6))</f>
        <v/>
      </c>
      <c r="N403" s="195">
        <f>IF(B403="","",'入力・概要'!$B$28)</f>
        <v/>
      </c>
      <c r="O403" s="195">
        <f>IF(B403="","",C403*'入力・概要'!$B$29*1E-9-1/(C403*'入力・概要'!$B$27*1E-6))</f>
        <v/>
      </c>
      <c r="P403" s="195">
        <f>IF(B403="","",((L403*N403-M403*O403)*(L403+N403)+(L403*O403+M403*N403)*(M403+O403))/((L403+N403)^2+(M403+O403)^2))</f>
        <v/>
      </c>
      <c r="Q403" s="195">
        <f>IF(B403="","",((L403*O403+M403*N403)*(L403+N403)-(L403*N403-M403*O403)*(M403+O403))/((L403+N403)^2+(M403+O403)^2))</f>
        <v/>
      </c>
      <c r="R403" s="195">
        <f>IF(B403="","",'入力・概要'!$E$15*J403)</f>
        <v/>
      </c>
      <c r="S403" s="195">
        <f>IF(B403="","",'入力・概要'!$E$15*K403)</f>
        <v/>
      </c>
      <c r="T403" s="195">
        <f>IF(B403="","",P403+R403)</f>
        <v/>
      </c>
      <c r="U403" s="195">
        <f>IF(B403="","",Q403+S403)</f>
        <v/>
      </c>
      <c r="V403" s="195">
        <f>IF(B403="","",T403+'入力・概要'!$E$9*F403)</f>
        <v/>
      </c>
      <c r="W403" s="195">
        <f>IF(B403="","",U403+'入力・概要'!$E$9*G403)</f>
        <v/>
      </c>
      <c r="X403" s="195">
        <f>IF(B403="","",'入力・概要'!$E$9+T403*F403-U403*G403)</f>
        <v/>
      </c>
      <c r="Y403" s="195">
        <f>IF(B403="","",T403*G403+U403*F403)</f>
        <v/>
      </c>
      <c r="Z403" s="195">
        <f>IF(B403="","",'入力・概要'!$E$9*(V403*X403+W403*Y403)/(X403^2+Y403^2)+'入力・概要'!$B$36)</f>
        <v/>
      </c>
      <c r="AA403" s="195">
        <f>IF(B403="","",'入力・概要'!$E$9*(W403*X403-V403*Y403)/(X403^2+Y403^2)+C403*'入力・概要'!$B$37*1E-9)</f>
        <v/>
      </c>
      <c r="AB403" s="195">
        <f>IF(B403="","",SQRT(Z403^2+AA403^2))</f>
        <v/>
      </c>
      <c r="AC403" s="195">
        <f>IF(B403="","",IF(Z403&gt;0,DEGREES(ATAN(AA403/Z403)),IF(Z403&lt;0,IF(AA403&gt;=0,DEGREES(ATAN(AA403/Z403))+180,DEGREES(ATAN(AA403/Z403))-180),IF(AA403&gt;0,90,IF(AA403&lt;0,-90,0)))))</f>
        <v/>
      </c>
      <c r="AD403" s="195">
        <f>IF(B403="","",LOG10(B403))</f>
        <v/>
      </c>
      <c r="AE403" s="195">
        <f>IF(AB403="","",LOG10(MAX(AB403,1E-12)))</f>
        <v/>
      </c>
      <c r="AF403" s="195">
        <f>IF(B403="","",SQRT(P403^2+Q403^2))</f>
        <v/>
      </c>
      <c r="AG403" s="195">
        <f>IF(B403="","",SQRT(R403^2+S403^2))</f>
        <v/>
      </c>
    </row>
    <row r="404">
      <c r="A404" t="n">
        <v>401</v>
      </c>
      <c r="B404" s="196">
        <f>IF(A404&lt;='入力・概要'!$B$40,10^(LOG10('入力・概要'!$B$38)+(A404-1)*(LOG10('入力・概要'!$B$39)-LOG10('入力・概要'!$B$38))/('入力・概要'!$B$40-1)),"")</f>
        <v/>
      </c>
      <c r="C404" s="195">
        <f>IF(B404="","",2*PI()*B404)</f>
        <v/>
      </c>
      <c r="D404" s="195">
        <f>IF(B404="","",ATANH(MIN(0.999999,'入力・概要'!$E$20/'入力・概要'!$E$9))+'入力・概要'!$B$20*SQRT(B404/1E6)+E404*'入力・概要'!$B$15/2)</f>
        <v/>
      </c>
      <c r="E404" s="195">
        <f>IF(B404="","",C404*('入力・概要'!$E$11*1E-9))</f>
        <v/>
      </c>
      <c r="F404" s="195">
        <f>IF(B404="","",SINH(2*D404)/(COSH(2*D404)+COS(2*E404)))</f>
        <v/>
      </c>
      <c r="G404" s="195">
        <f>IF(B404="","",SIN(2*E404)/(COSH(2*D404)+COS(2*E404)))</f>
        <v/>
      </c>
      <c r="H404" s="195">
        <f>IF(B404="","",ATANH(MIN(0.999999,'入力・概要'!$E$21/'入力・概要'!$E$15))+'入力・概要'!$B$21*SQRT(B404/1E6)+I404*'入力・概要'!$B$16/2)</f>
        <v/>
      </c>
      <c r="I404" s="195">
        <f>IF(B404="","",C404*('入力・概要'!$E$17*1E-9))</f>
        <v/>
      </c>
      <c r="J404" s="195">
        <f>IF(B404="","",SINH(2*H404)/(COSH(2*H404)+COS(2*I404)))</f>
        <v/>
      </c>
      <c r="K404" s="195">
        <f>IF(B404="","",SIN(2*I404)/(COSH(2*H404)+COS(2*I404)))</f>
        <v/>
      </c>
      <c r="L404" s="195">
        <f>IF(B404="","",'入力・概要'!$B$25)</f>
        <v/>
      </c>
      <c r="M404" s="195">
        <f>IF(B404="","",C404*'入力・概要'!$B$26*1E-9-1/(C404*'入力・概要'!$B$24*1E-6))</f>
        <v/>
      </c>
      <c r="N404" s="195">
        <f>IF(B404="","",'入力・概要'!$B$28)</f>
        <v/>
      </c>
      <c r="O404" s="195">
        <f>IF(B404="","",C404*'入力・概要'!$B$29*1E-9-1/(C404*'入力・概要'!$B$27*1E-6))</f>
        <v/>
      </c>
      <c r="P404" s="195">
        <f>IF(B404="","",((L404*N404-M404*O404)*(L404+N404)+(L404*O404+M404*N404)*(M404+O404))/((L404+N404)^2+(M404+O404)^2))</f>
        <v/>
      </c>
      <c r="Q404" s="195">
        <f>IF(B404="","",((L404*O404+M404*N404)*(L404+N404)-(L404*N404-M404*O404)*(M404+O404))/((L404+N404)^2+(M404+O404)^2))</f>
        <v/>
      </c>
      <c r="R404" s="195">
        <f>IF(B404="","",'入力・概要'!$E$15*J404)</f>
        <v/>
      </c>
      <c r="S404" s="195">
        <f>IF(B404="","",'入力・概要'!$E$15*K404)</f>
        <v/>
      </c>
      <c r="T404" s="195">
        <f>IF(B404="","",P404+R404)</f>
        <v/>
      </c>
      <c r="U404" s="195">
        <f>IF(B404="","",Q404+S404)</f>
        <v/>
      </c>
      <c r="V404" s="195">
        <f>IF(B404="","",T404+'入力・概要'!$E$9*F404)</f>
        <v/>
      </c>
      <c r="W404" s="195">
        <f>IF(B404="","",U404+'入力・概要'!$E$9*G404)</f>
        <v/>
      </c>
      <c r="X404" s="195">
        <f>IF(B404="","",'入力・概要'!$E$9+T404*F404-U404*G404)</f>
        <v/>
      </c>
      <c r="Y404" s="195">
        <f>IF(B404="","",T404*G404+U404*F404)</f>
        <v/>
      </c>
      <c r="Z404" s="195">
        <f>IF(B404="","",'入力・概要'!$E$9*(V404*X404+W404*Y404)/(X404^2+Y404^2)+'入力・概要'!$B$36)</f>
        <v/>
      </c>
      <c r="AA404" s="195">
        <f>IF(B404="","",'入力・概要'!$E$9*(W404*X404-V404*Y404)/(X404^2+Y404^2)+C404*'入力・概要'!$B$37*1E-9)</f>
        <v/>
      </c>
      <c r="AB404" s="195">
        <f>IF(B404="","",SQRT(Z404^2+AA404^2))</f>
        <v/>
      </c>
      <c r="AC404" s="195">
        <f>IF(B404="","",IF(Z404&gt;0,DEGREES(ATAN(AA404/Z404)),IF(Z404&lt;0,IF(AA404&gt;=0,DEGREES(ATAN(AA404/Z404))+180,DEGREES(ATAN(AA404/Z404))-180),IF(AA404&gt;0,90,IF(AA404&lt;0,-90,0)))))</f>
        <v/>
      </c>
      <c r="AD404" s="195">
        <f>IF(B404="","",LOG10(B404))</f>
        <v/>
      </c>
      <c r="AE404" s="195">
        <f>IF(AB404="","",LOG10(MAX(AB404,1E-12)))</f>
        <v/>
      </c>
      <c r="AF404" s="195">
        <f>IF(B404="","",SQRT(P404^2+Q404^2))</f>
        <v/>
      </c>
      <c r="AG404" s="195">
        <f>IF(B404="","",SQRT(R404^2+S404^2))</f>
        <v/>
      </c>
    </row>
    <row r="405">
      <c r="A405" t="n">
        <v>402</v>
      </c>
      <c r="B405" s="196">
        <f>IF(A405&lt;='入力・概要'!$B$40,10^(LOG10('入力・概要'!$B$38)+(A405-1)*(LOG10('入力・概要'!$B$39)-LOG10('入力・概要'!$B$38))/('入力・概要'!$B$40-1)),"")</f>
        <v/>
      </c>
      <c r="C405" s="195">
        <f>IF(B405="","",2*PI()*B405)</f>
        <v/>
      </c>
      <c r="D405" s="195">
        <f>IF(B405="","",ATANH(MIN(0.999999,'入力・概要'!$E$20/'入力・概要'!$E$9))+'入力・概要'!$B$20*SQRT(B405/1E6)+E405*'入力・概要'!$B$15/2)</f>
        <v/>
      </c>
      <c r="E405" s="195">
        <f>IF(B405="","",C405*('入力・概要'!$E$11*1E-9))</f>
        <v/>
      </c>
      <c r="F405" s="195">
        <f>IF(B405="","",SINH(2*D405)/(COSH(2*D405)+COS(2*E405)))</f>
        <v/>
      </c>
      <c r="G405" s="195">
        <f>IF(B405="","",SIN(2*E405)/(COSH(2*D405)+COS(2*E405)))</f>
        <v/>
      </c>
      <c r="H405" s="195">
        <f>IF(B405="","",ATANH(MIN(0.999999,'入力・概要'!$E$21/'入力・概要'!$E$15))+'入力・概要'!$B$21*SQRT(B405/1E6)+I405*'入力・概要'!$B$16/2)</f>
        <v/>
      </c>
      <c r="I405" s="195">
        <f>IF(B405="","",C405*('入力・概要'!$E$17*1E-9))</f>
        <v/>
      </c>
      <c r="J405" s="195">
        <f>IF(B405="","",SINH(2*H405)/(COSH(2*H405)+COS(2*I405)))</f>
        <v/>
      </c>
      <c r="K405" s="195">
        <f>IF(B405="","",SIN(2*I405)/(COSH(2*H405)+COS(2*I405)))</f>
        <v/>
      </c>
      <c r="L405" s="195">
        <f>IF(B405="","",'入力・概要'!$B$25)</f>
        <v/>
      </c>
      <c r="M405" s="195">
        <f>IF(B405="","",C405*'入力・概要'!$B$26*1E-9-1/(C405*'入力・概要'!$B$24*1E-6))</f>
        <v/>
      </c>
      <c r="N405" s="195">
        <f>IF(B405="","",'入力・概要'!$B$28)</f>
        <v/>
      </c>
      <c r="O405" s="195">
        <f>IF(B405="","",C405*'入力・概要'!$B$29*1E-9-1/(C405*'入力・概要'!$B$27*1E-6))</f>
        <v/>
      </c>
      <c r="P405" s="195">
        <f>IF(B405="","",((L405*N405-M405*O405)*(L405+N405)+(L405*O405+M405*N405)*(M405+O405))/((L405+N405)^2+(M405+O405)^2))</f>
        <v/>
      </c>
      <c r="Q405" s="195">
        <f>IF(B405="","",((L405*O405+M405*N405)*(L405+N405)-(L405*N405-M405*O405)*(M405+O405))/((L405+N405)^2+(M405+O405)^2))</f>
        <v/>
      </c>
      <c r="R405" s="195">
        <f>IF(B405="","",'入力・概要'!$E$15*J405)</f>
        <v/>
      </c>
      <c r="S405" s="195">
        <f>IF(B405="","",'入力・概要'!$E$15*K405)</f>
        <v/>
      </c>
      <c r="T405" s="195">
        <f>IF(B405="","",P405+R405)</f>
        <v/>
      </c>
      <c r="U405" s="195">
        <f>IF(B405="","",Q405+S405)</f>
        <v/>
      </c>
      <c r="V405" s="195">
        <f>IF(B405="","",T405+'入力・概要'!$E$9*F405)</f>
        <v/>
      </c>
      <c r="W405" s="195">
        <f>IF(B405="","",U405+'入力・概要'!$E$9*G405)</f>
        <v/>
      </c>
      <c r="X405" s="195">
        <f>IF(B405="","",'入力・概要'!$E$9+T405*F405-U405*G405)</f>
        <v/>
      </c>
      <c r="Y405" s="195">
        <f>IF(B405="","",T405*G405+U405*F405)</f>
        <v/>
      </c>
      <c r="Z405" s="195">
        <f>IF(B405="","",'入力・概要'!$E$9*(V405*X405+W405*Y405)/(X405^2+Y405^2)+'入力・概要'!$B$36)</f>
        <v/>
      </c>
      <c r="AA405" s="195">
        <f>IF(B405="","",'入力・概要'!$E$9*(W405*X405-V405*Y405)/(X405^2+Y405^2)+C405*'入力・概要'!$B$37*1E-9)</f>
        <v/>
      </c>
      <c r="AB405" s="195">
        <f>IF(B405="","",SQRT(Z405^2+AA405^2))</f>
        <v/>
      </c>
      <c r="AC405" s="195">
        <f>IF(B405="","",IF(Z405&gt;0,DEGREES(ATAN(AA405/Z405)),IF(Z405&lt;0,IF(AA405&gt;=0,DEGREES(ATAN(AA405/Z405))+180,DEGREES(ATAN(AA405/Z405))-180),IF(AA405&gt;0,90,IF(AA405&lt;0,-90,0)))))</f>
        <v/>
      </c>
      <c r="AD405" s="195">
        <f>IF(B405="","",LOG10(B405))</f>
        <v/>
      </c>
      <c r="AE405" s="195">
        <f>IF(AB405="","",LOG10(MAX(AB405,1E-12)))</f>
        <v/>
      </c>
      <c r="AF405" s="195">
        <f>IF(B405="","",SQRT(P405^2+Q405^2))</f>
        <v/>
      </c>
      <c r="AG405" s="195">
        <f>IF(B405="","",SQRT(R405^2+S405^2))</f>
        <v/>
      </c>
    </row>
    <row r="406">
      <c r="A406" t="n">
        <v>403</v>
      </c>
      <c r="B406" s="196">
        <f>IF(A406&lt;='入力・概要'!$B$40,10^(LOG10('入力・概要'!$B$38)+(A406-1)*(LOG10('入力・概要'!$B$39)-LOG10('入力・概要'!$B$38))/('入力・概要'!$B$40-1)),"")</f>
        <v/>
      </c>
      <c r="C406" s="195">
        <f>IF(B406="","",2*PI()*B406)</f>
        <v/>
      </c>
      <c r="D406" s="195">
        <f>IF(B406="","",ATANH(MIN(0.999999,'入力・概要'!$E$20/'入力・概要'!$E$9))+'入力・概要'!$B$20*SQRT(B406/1E6)+E406*'入力・概要'!$B$15/2)</f>
        <v/>
      </c>
      <c r="E406" s="195">
        <f>IF(B406="","",C406*('入力・概要'!$E$11*1E-9))</f>
        <v/>
      </c>
      <c r="F406" s="195">
        <f>IF(B406="","",SINH(2*D406)/(COSH(2*D406)+COS(2*E406)))</f>
        <v/>
      </c>
      <c r="G406" s="195">
        <f>IF(B406="","",SIN(2*E406)/(COSH(2*D406)+COS(2*E406)))</f>
        <v/>
      </c>
      <c r="H406" s="195">
        <f>IF(B406="","",ATANH(MIN(0.999999,'入力・概要'!$E$21/'入力・概要'!$E$15))+'入力・概要'!$B$21*SQRT(B406/1E6)+I406*'入力・概要'!$B$16/2)</f>
        <v/>
      </c>
      <c r="I406" s="195">
        <f>IF(B406="","",C406*('入力・概要'!$E$17*1E-9))</f>
        <v/>
      </c>
      <c r="J406" s="195">
        <f>IF(B406="","",SINH(2*H406)/(COSH(2*H406)+COS(2*I406)))</f>
        <v/>
      </c>
      <c r="K406" s="195">
        <f>IF(B406="","",SIN(2*I406)/(COSH(2*H406)+COS(2*I406)))</f>
        <v/>
      </c>
      <c r="L406" s="195">
        <f>IF(B406="","",'入力・概要'!$B$25)</f>
        <v/>
      </c>
      <c r="M406" s="195">
        <f>IF(B406="","",C406*'入力・概要'!$B$26*1E-9-1/(C406*'入力・概要'!$B$24*1E-6))</f>
        <v/>
      </c>
      <c r="N406" s="195">
        <f>IF(B406="","",'入力・概要'!$B$28)</f>
        <v/>
      </c>
      <c r="O406" s="195">
        <f>IF(B406="","",C406*'入力・概要'!$B$29*1E-9-1/(C406*'入力・概要'!$B$27*1E-6))</f>
        <v/>
      </c>
      <c r="P406" s="195">
        <f>IF(B406="","",((L406*N406-M406*O406)*(L406+N406)+(L406*O406+M406*N406)*(M406+O406))/((L406+N406)^2+(M406+O406)^2))</f>
        <v/>
      </c>
      <c r="Q406" s="195">
        <f>IF(B406="","",((L406*O406+M406*N406)*(L406+N406)-(L406*N406-M406*O406)*(M406+O406))/((L406+N406)^2+(M406+O406)^2))</f>
        <v/>
      </c>
      <c r="R406" s="195">
        <f>IF(B406="","",'入力・概要'!$E$15*J406)</f>
        <v/>
      </c>
      <c r="S406" s="195">
        <f>IF(B406="","",'入力・概要'!$E$15*K406)</f>
        <v/>
      </c>
      <c r="T406" s="195">
        <f>IF(B406="","",P406+R406)</f>
        <v/>
      </c>
      <c r="U406" s="195">
        <f>IF(B406="","",Q406+S406)</f>
        <v/>
      </c>
      <c r="V406" s="195">
        <f>IF(B406="","",T406+'入力・概要'!$E$9*F406)</f>
        <v/>
      </c>
      <c r="W406" s="195">
        <f>IF(B406="","",U406+'入力・概要'!$E$9*G406)</f>
        <v/>
      </c>
      <c r="X406" s="195">
        <f>IF(B406="","",'入力・概要'!$E$9+T406*F406-U406*G406)</f>
        <v/>
      </c>
      <c r="Y406" s="195">
        <f>IF(B406="","",T406*G406+U406*F406)</f>
        <v/>
      </c>
      <c r="Z406" s="195">
        <f>IF(B406="","",'入力・概要'!$E$9*(V406*X406+W406*Y406)/(X406^2+Y406^2)+'入力・概要'!$B$36)</f>
        <v/>
      </c>
      <c r="AA406" s="195">
        <f>IF(B406="","",'入力・概要'!$E$9*(W406*X406-V406*Y406)/(X406^2+Y406^2)+C406*'入力・概要'!$B$37*1E-9)</f>
        <v/>
      </c>
      <c r="AB406" s="195">
        <f>IF(B406="","",SQRT(Z406^2+AA406^2))</f>
        <v/>
      </c>
      <c r="AC406" s="195">
        <f>IF(B406="","",IF(Z406&gt;0,DEGREES(ATAN(AA406/Z406)),IF(Z406&lt;0,IF(AA406&gt;=0,DEGREES(ATAN(AA406/Z406))+180,DEGREES(ATAN(AA406/Z406))-180),IF(AA406&gt;0,90,IF(AA406&lt;0,-90,0)))))</f>
        <v/>
      </c>
      <c r="AD406" s="195">
        <f>IF(B406="","",LOG10(B406))</f>
        <v/>
      </c>
      <c r="AE406" s="195">
        <f>IF(AB406="","",LOG10(MAX(AB406,1E-12)))</f>
        <v/>
      </c>
      <c r="AF406" s="195">
        <f>IF(B406="","",SQRT(P406^2+Q406^2))</f>
        <v/>
      </c>
      <c r="AG406" s="195">
        <f>IF(B406="","",SQRT(R406^2+S406^2))</f>
        <v/>
      </c>
    </row>
    <row r="407">
      <c r="A407" t="n">
        <v>404</v>
      </c>
      <c r="B407" s="196">
        <f>IF(A407&lt;='入力・概要'!$B$40,10^(LOG10('入力・概要'!$B$38)+(A407-1)*(LOG10('入力・概要'!$B$39)-LOG10('入力・概要'!$B$38))/('入力・概要'!$B$40-1)),"")</f>
        <v/>
      </c>
      <c r="C407" s="195">
        <f>IF(B407="","",2*PI()*B407)</f>
        <v/>
      </c>
      <c r="D407" s="195">
        <f>IF(B407="","",ATANH(MIN(0.999999,'入力・概要'!$E$20/'入力・概要'!$E$9))+'入力・概要'!$B$20*SQRT(B407/1E6)+E407*'入力・概要'!$B$15/2)</f>
        <v/>
      </c>
      <c r="E407" s="195">
        <f>IF(B407="","",C407*('入力・概要'!$E$11*1E-9))</f>
        <v/>
      </c>
      <c r="F407" s="195">
        <f>IF(B407="","",SINH(2*D407)/(COSH(2*D407)+COS(2*E407)))</f>
        <v/>
      </c>
      <c r="G407" s="195">
        <f>IF(B407="","",SIN(2*E407)/(COSH(2*D407)+COS(2*E407)))</f>
        <v/>
      </c>
      <c r="H407" s="195">
        <f>IF(B407="","",ATANH(MIN(0.999999,'入力・概要'!$E$21/'入力・概要'!$E$15))+'入力・概要'!$B$21*SQRT(B407/1E6)+I407*'入力・概要'!$B$16/2)</f>
        <v/>
      </c>
      <c r="I407" s="195">
        <f>IF(B407="","",C407*('入力・概要'!$E$17*1E-9))</f>
        <v/>
      </c>
      <c r="J407" s="195">
        <f>IF(B407="","",SINH(2*H407)/(COSH(2*H407)+COS(2*I407)))</f>
        <v/>
      </c>
      <c r="K407" s="195">
        <f>IF(B407="","",SIN(2*I407)/(COSH(2*H407)+COS(2*I407)))</f>
        <v/>
      </c>
      <c r="L407" s="195">
        <f>IF(B407="","",'入力・概要'!$B$25)</f>
        <v/>
      </c>
      <c r="M407" s="195">
        <f>IF(B407="","",C407*'入力・概要'!$B$26*1E-9-1/(C407*'入力・概要'!$B$24*1E-6))</f>
        <v/>
      </c>
      <c r="N407" s="195">
        <f>IF(B407="","",'入力・概要'!$B$28)</f>
        <v/>
      </c>
      <c r="O407" s="195">
        <f>IF(B407="","",C407*'入力・概要'!$B$29*1E-9-1/(C407*'入力・概要'!$B$27*1E-6))</f>
        <v/>
      </c>
      <c r="P407" s="195">
        <f>IF(B407="","",((L407*N407-M407*O407)*(L407+N407)+(L407*O407+M407*N407)*(M407+O407))/((L407+N407)^2+(M407+O407)^2))</f>
        <v/>
      </c>
      <c r="Q407" s="195">
        <f>IF(B407="","",((L407*O407+M407*N407)*(L407+N407)-(L407*N407-M407*O407)*(M407+O407))/((L407+N407)^2+(M407+O407)^2))</f>
        <v/>
      </c>
      <c r="R407" s="195">
        <f>IF(B407="","",'入力・概要'!$E$15*J407)</f>
        <v/>
      </c>
      <c r="S407" s="195">
        <f>IF(B407="","",'入力・概要'!$E$15*K407)</f>
        <v/>
      </c>
      <c r="T407" s="195">
        <f>IF(B407="","",P407+R407)</f>
        <v/>
      </c>
      <c r="U407" s="195">
        <f>IF(B407="","",Q407+S407)</f>
        <v/>
      </c>
      <c r="V407" s="195">
        <f>IF(B407="","",T407+'入力・概要'!$E$9*F407)</f>
        <v/>
      </c>
      <c r="W407" s="195">
        <f>IF(B407="","",U407+'入力・概要'!$E$9*G407)</f>
        <v/>
      </c>
      <c r="X407" s="195">
        <f>IF(B407="","",'入力・概要'!$E$9+T407*F407-U407*G407)</f>
        <v/>
      </c>
      <c r="Y407" s="195">
        <f>IF(B407="","",T407*G407+U407*F407)</f>
        <v/>
      </c>
      <c r="Z407" s="195">
        <f>IF(B407="","",'入力・概要'!$E$9*(V407*X407+W407*Y407)/(X407^2+Y407^2)+'入力・概要'!$B$36)</f>
        <v/>
      </c>
      <c r="AA407" s="195">
        <f>IF(B407="","",'入力・概要'!$E$9*(W407*X407-V407*Y407)/(X407^2+Y407^2)+C407*'入力・概要'!$B$37*1E-9)</f>
        <v/>
      </c>
      <c r="AB407" s="195">
        <f>IF(B407="","",SQRT(Z407^2+AA407^2))</f>
        <v/>
      </c>
      <c r="AC407" s="195">
        <f>IF(B407="","",IF(Z407&gt;0,DEGREES(ATAN(AA407/Z407)),IF(Z407&lt;0,IF(AA407&gt;=0,DEGREES(ATAN(AA407/Z407))+180,DEGREES(ATAN(AA407/Z407))-180),IF(AA407&gt;0,90,IF(AA407&lt;0,-90,0)))))</f>
        <v/>
      </c>
      <c r="AD407" s="195">
        <f>IF(B407="","",LOG10(B407))</f>
        <v/>
      </c>
      <c r="AE407" s="195">
        <f>IF(AB407="","",LOG10(MAX(AB407,1E-12)))</f>
        <v/>
      </c>
      <c r="AF407" s="195">
        <f>IF(B407="","",SQRT(P407^2+Q407^2))</f>
        <v/>
      </c>
      <c r="AG407" s="195">
        <f>IF(B407="","",SQRT(R407^2+S407^2))</f>
        <v/>
      </c>
    </row>
    <row r="408">
      <c r="A408" t="n">
        <v>405</v>
      </c>
      <c r="B408" s="196">
        <f>IF(A408&lt;='入力・概要'!$B$40,10^(LOG10('入力・概要'!$B$38)+(A408-1)*(LOG10('入力・概要'!$B$39)-LOG10('入力・概要'!$B$38))/('入力・概要'!$B$40-1)),"")</f>
        <v/>
      </c>
      <c r="C408" s="195">
        <f>IF(B408="","",2*PI()*B408)</f>
        <v/>
      </c>
      <c r="D408" s="195">
        <f>IF(B408="","",ATANH(MIN(0.999999,'入力・概要'!$E$20/'入力・概要'!$E$9))+'入力・概要'!$B$20*SQRT(B408/1E6)+E408*'入力・概要'!$B$15/2)</f>
        <v/>
      </c>
      <c r="E408" s="195">
        <f>IF(B408="","",C408*('入力・概要'!$E$11*1E-9))</f>
        <v/>
      </c>
      <c r="F408" s="195">
        <f>IF(B408="","",SINH(2*D408)/(COSH(2*D408)+COS(2*E408)))</f>
        <v/>
      </c>
      <c r="G408" s="195">
        <f>IF(B408="","",SIN(2*E408)/(COSH(2*D408)+COS(2*E408)))</f>
        <v/>
      </c>
      <c r="H408" s="195">
        <f>IF(B408="","",ATANH(MIN(0.999999,'入力・概要'!$E$21/'入力・概要'!$E$15))+'入力・概要'!$B$21*SQRT(B408/1E6)+I408*'入力・概要'!$B$16/2)</f>
        <v/>
      </c>
      <c r="I408" s="195">
        <f>IF(B408="","",C408*('入力・概要'!$E$17*1E-9))</f>
        <v/>
      </c>
      <c r="J408" s="195">
        <f>IF(B408="","",SINH(2*H408)/(COSH(2*H408)+COS(2*I408)))</f>
        <v/>
      </c>
      <c r="K408" s="195">
        <f>IF(B408="","",SIN(2*I408)/(COSH(2*H408)+COS(2*I408)))</f>
        <v/>
      </c>
      <c r="L408" s="195">
        <f>IF(B408="","",'入力・概要'!$B$25)</f>
        <v/>
      </c>
      <c r="M408" s="195">
        <f>IF(B408="","",C408*'入力・概要'!$B$26*1E-9-1/(C408*'入力・概要'!$B$24*1E-6))</f>
        <v/>
      </c>
      <c r="N408" s="195">
        <f>IF(B408="","",'入力・概要'!$B$28)</f>
        <v/>
      </c>
      <c r="O408" s="195">
        <f>IF(B408="","",C408*'入力・概要'!$B$29*1E-9-1/(C408*'入力・概要'!$B$27*1E-6))</f>
        <v/>
      </c>
      <c r="P408" s="195">
        <f>IF(B408="","",((L408*N408-M408*O408)*(L408+N408)+(L408*O408+M408*N408)*(M408+O408))/((L408+N408)^2+(M408+O408)^2))</f>
        <v/>
      </c>
      <c r="Q408" s="195">
        <f>IF(B408="","",((L408*O408+M408*N408)*(L408+N408)-(L408*N408-M408*O408)*(M408+O408))/((L408+N408)^2+(M408+O408)^2))</f>
        <v/>
      </c>
      <c r="R408" s="195">
        <f>IF(B408="","",'入力・概要'!$E$15*J408)</f>
        <v/>
      </c>
      <c r="S408" s="195">
        <f>IF(B408="","",'入力・概要'!$E$15*K408)</f>
        <v/>
      </c>
      <c r="T408" s="195">
        <f>IF(B408="","",P408+R408)</f>
        <v/>
      </c>
      <c r="U408" s="195">
        <f>IF(B408="","",Q408+S408)</f>
        <v/>
      </c>
      <c r="V408" s="195">
        <f>IF(B408="","",T408+'入力・概要'!$E$9*F408)</f>
        <v/>
      </c>
      <c r="W408" s="195">
        <f>IF(B408="","",U408+'入力・概要'!$E$9*G408)</f>
        <v/>
      </c>
      <c r="X408" s="195">
        <f>IF(B408="","",'入力・概要'!$E$9+T408*F408-U408*G408)</f>
        <v/>
      </c>
      <c r="Y408" s="195">
        <f>IF(B408="","",T408*G408+U408*F408)</f>
        <v/>
      </c>
      <c r="Z408" s="195">
        <f>IF(B408="","",'入力・概要'!$E$9*(V408*X408+W408*Y408)/(X408^2+Y408^2)+'入力・概要'!$B$36)</f>
        <v/>
      </c>
      <c r="AA408" s="195">
        <f>IF(B408="","",'入力・概要'!$E$9*(W408*X408-V408*Y408)/(X408^2+Y408^2)+C408*'入力・概要'!$B$37*1E-9)</f>
        <v/>
      </c>
      <c r="AB408" s="195">
        <f>IF(B408="","",SQRT(Z408^2+AA408^2))</f>
        <v/>
      </c>
      <c r="AC408" s="195">
        <f>IF(B408="","",IF(Z408&gt;0,DEGREES(ATAN(AA408/Z408)),IF(Z408&lt;0,IF(AA408&gt;=0,DEGREES(ATAN(AA408/Z408))+180,DEGREES(ATAN(AA408/Z408))-180),IF(AA408&gt;0,90,IF(AA408&lt;0,-90,0)))))</f>
        <v/>
      </c>
      <c r="AD408" s="195">
        <f>IF(B408="","",LOG10(B408))</f>
        <v/>
      </c>
      <c r="AE408" s="195">
        <f>IF(AB408="","",LOG10(MAX(AB408,1E-12)))</f>
        <v/>
      </c>
      <c r="AF408" s="195">
        <f>IF(B408="","",SQRT(P408^2+Q408^2))</f>
        <v/>
      </c>
      <c r="AG408" s="195">
        <f>IF(B408="","",SQRT(R408^2+S408^2))</f>
        <v/>
      </c>
    </row>
    <row r="409">
      <c r="A409" t="n">
        <v>406</v>
      </c>
      <c r="B409" s="196">
        <f>IF(A409&lt;='入力・概要'!$B$40,10^(LOG10('入力・概要'!$B$38)+(A409-1)*(LOG10('入力・概要'!$B$39)-LOG10('入力・概要'!$B$38))/('入力・概要'!$B$40-1)),"")</f>
        <v/>
      </c>
      <c r="C409" s="195">
        <f>IF(B409="","",2*PI()*B409)</f>
        <v/>
      </c>
      <c r="D409" s="195">
        <f>IF(B409="","",ATANH(MIN(0.999999,'入力・概要'!$E$20/'入力・概要'!$E$9))+'入力・概要'!$B$20*SQRT(B409/1E6)+E409*'入力・概要'!$B$15/2)</f>
        <v/>
      </c>
      <c r="E409" s="195">
        <f>IF(B409="","",C409*('入力・概要'!$E$11*1E-9))</f>
        <v/>
      </c>
      <c r="F409" s="195">
        <f>IF(B409="","",SINH(2*D409)/(COSH(2*D409)+COS(2*E409)))</f>
        <v/>
      </c>
      <c r="G409" s="195">
        <f>IF(B409="","",SIN(2*E409)/(COSH(2*D409)+COS(2*E409)))</f>
        <v/>
      </c>
      <c r="H409" s="195">
        <f>IF(B409="","",ATANH(MIN(0.999999,'入力・概要'!$E$21/'入力・概要'!$E$15))+'入力・概要'!$B$21*SQRT(B409/1E6)+I409*'入力・概要'!$B$16/2)</f>
        <v/>
      </c>
      <c r="I409" s="195">
        <f>IF(B409="","",C409*('入力・概要'!$E$17*1E-9))</f>
        <v/>
      </c>
      <c r="J409" s="195">
        <f>IF(B409="","",SINH(2*H409)/(COSH(2*H409)+COS(2*I409)))</f>
        <v/>
      </c>
      <c r="K409" s="195">
        <f>IF(B409="","",SIN(2*I409)/(COSH(2*H409)+COS(2*I409)))</f>
        <v/>
      </c>
      <c r="L409" s="195">
        <f>IF(B409="","",'入力・概要'!$B$25)</f>
        <v/>
      </c>
      <c r="M409" s="195">
        <f>IF(B409="","",C409*'入力・概要'!$B$26*1E-9-1/(C409*'入力・概要'!$B$24*1E-6))</f>
        <v/>
      </c>
      <c r="N409" s="195">
        <f>IF(B409="","",'入力・概要'!$B$28)</f>
        <v/>
      </c>
      <c r="O409" s="195">
        <f>IF(B409="","",C409*'入力・概要'!$B$29*1E-9-1/(C409*'入力・概要'!$B$27*1E-6))</f>
        <v/>
      </c>
      <c r="P409" s="195">
        <f>IF(B409="","",((L409*N409-M409*O409)*(L409+N409)+(L409*O409+M409*N409)*(M409+O409))/((L409+N409)^2+(M409+O409)^2))</f>
        <v/>
      </c>
      <c r="Q409" s="195">
        <f>IF(B409="","",((L409*O409+M409*N409)*(L409+N409)-(L409*N409-M409*O409)*(M409+O409))/((L409+N409)^2+(M409+O409)^2))</f>
        <v/>
      </c>
      <c r="R409" s="195">
        <f>IF(B409="","",'入力・概要'!$E$15*J409)</f>
        <v/>
      </c>
      <c r="S409" s="195">
        <f>IF(B409="","",'入力・概要'!$E$15*K409)</f>
        <v/>
      </c>
      <c r="T409" s="195">
        <f>IF(B409="","",P409+R409)</f>
        <v/>
      </c>
      <c r="U409" s="195">
        <f>IF(B409="","",Q409+S409)</f>
        <v/>
      </c>
      <c r="V409" s="195">
        <f>IF(B409="","",T409+'入力・概要'!$E$9*F409)</f>
        <v/>
      </c>
      <c r="W409" s="195">
        <f>IF(B409="","",U409+'入力・概要'!$E$9*G409)</f>
        <v/>
      </c>
      <c r="X409" s="195">
        <f>IF(B409="","",'入力・概要'!$E$9+T409*F409-U409*G409)</f>
        <v/>
      </c>
      <c r="Y409" s="195">
        <f>IF(B409="","",T409*G409+U409*F409)</f>
        <v/>
      </c>
      <c r="Z409" s="195">
        <f>IF(B409="","",'入力・概要'!$E$9*(V409*X409+W409*Y409)/(X409^2+Y409^2)+'入力・概要'!$B$36)</f>
        <v/>
      </c>
      <c r="AA409" s="195">
        <f>IF(B409="","",'入力・概要'!$E$9*(W409*X409-V409*Y409)/(X409^2+Y409^2)+C409*'入力・概要'!$B$37*1E-9)</f>
        <v/>
      </c>
      <c r="AB409" s="195">
        <f>IF(B409="","",SQRT(Z409^2+AA409^2))</f>
        <v/>
      </c>
      <c r="AC409" s="195">
        <f>IF(B409="","",IF(Z409&gt;0,DEGREES(ATAN(AA409/Z409)),IF(Z409&lt;0,IF(AA409&gt;=0,DEGREES(ATAN(AA409/Z409))+180,DEGREES(ATAN(AA409/Z409))-180),IF(AA409&gt;0,90,IF(AA409&lt;0,-90,0)))))</f>
        <v/>
      </c>
      <c r="AD409" s="195">
        <f>IF(B409="","",LOG10(B409))</f>
        <v/>
      </c>
      <c r="AE409" s="195">
        <f>IF(AB409="","",LOG10(MAX(AB409,1E-12)))</f>
        <v/>
      </c>
      <c r="AF409" s="195">
        <f>IF(B409="","",SQRT(P409^2+Q409^2))</f>
        <v/>
      </c>
      <c r="AG409" s="195">
        <f>IF(B409="","",SQRT(R409^2+S409^2))</f>
        <v/>
      </c>
    </row>
    <row r="410">
      <c r="A410" t="n">
        <v>407</v>
      </c>
      <c r="B410" s="196">
        <f>IF(A410&lt;='入力・概要'!$B$40,10^(LOG10('入力・概要'!$B$38)+(A410-1)*(LOG10('入力・概要'!$B$39)-LOG10('入力・概要'!$B$38))/('入力・概要'!$B$40-1)),"")</f>
        <v/>
      </c>
      <c r="C410" s="195">
        <f>IF(B410="","",2*PI()*B410)</f>
        <v/>
      </c>
      <c r="D410" s="195">
        <f>IF(B410="","",ATANH(MIN(0.999999,'入力・概要'!$E$20/'入力・概要'!$E$9))+'入力・概要'!$B$20*SQRT(B410/1E6)+E410*'入力・概要'!$B$15/2)</f>
        <v/>
      </c>
      <c r="E410" s="195">
        <f>IF(B410="","",C410*('入力・概要'!$E$11*1E-9))</f>
        <v/>
      </c>
      <c r="F410" s="195">
        <f>IF(B410="","",SINH(2*D410)/(COSH(2*D410)+COS(2*E410)))</f>
        <v/>
      </c>
      <c r="G410" s="195">
        <f>IF(B410="","",SIN(2*E410)/(COSH(2*D410)+COS(2*E410)))</f>
        <v/>
      </c>
      <c r="H410" s="195">
        <f>IF(B410="","",ATANH(MIN(0.999999,'入力・概要'!$E$21/'入力・概要'!$E$15))+'入力・概要'!$B$21*SQRT(B410/1E6)+I410*'入力・概要'!$B$16/2)</f>
        <v/>
      </c>
      <c r="I410" s="195">
        <f>IF(B410="","",C410*('入力・概要'!$E$17*1E-9))</f>
        <v/>
      </c>
      <c r="J410" s="195">
        <f>IF(B410="","",SINH(2*H410)/(COSH(2*H410)+COS(2*I410)))</f>
        <v/>
      </c>
      <c r="K410" s="195">
        <f>IF(B410="","",SIN(2*I410)/(COSH(2*H410)+COS(2*I410)))</f>
        <v/>
      </c>
      <c r="L410" s="195">
        <f>IF(B410="","",'入力・概要'!$B$25)</f>
        <v/>
      </c>
      <c r="M410" s="195">
        <f>IF(B410="","",C410*'入力・概要'!$B$26*1E-9-1/(C410*'入力・概要'!$B$24*1E-6))</f>
        <v/>
      </c>
      <c r="N410" s="195">
        <f>IF(B410="","",'入力・概要'!$B$28)</f>
        <v/>
      </c>
      <c r="O410" s="195">
        <f>IF(B410="","",C410*'入力・概要'!$B$29*1E-9-1/(C410*'入力・概要'!$B$27*1E-6))</f>
        <v/>
      </c>
      <c r="P410" s="195">
        <f>IF(B410="","",((L410*N410-M410*O410)*(L410+N410)+(L410*O410+M410*N410)*(M410+O410))/((L410+N410)^2+(M410+O410)^2))</f>
        <v/>
      </c>
      <c r="Q410" s="195">
        <f>IF(B410="","",((L410*O410+M410*N410)*(L410+N410)-(L410*N410-M410*O410)*(M410+O410))/((L410+N410)^2+(M410+O410)^2))</f>
        <v/>
      </c>
      <c r="R410" s="195">
        <f>IF(B410="","",'入力・概要'!$E$15*J410)</f>
        <v/>
      </c>
      <c r="S410" s="195">
        <f>IF(B410="","",'入力・概要'!$E$15*K410)</f>
        <v/>
      </c>
      <c r="T410" s="195">
        <f>IF(B410="","",P410+R410)</f>
        <v/>
      </c>
      <c r="U410" s="195">
        <f>IF(B410="","",Q410+S410)</f>
        <v/>
      </c>
      <c r="V410" s="195">
        <f>IF(B410="","",T410+'入力・概要'!$E$9*F410)</f>
        <v/>
      </c>
      <c r="W410" s="195">
        <f>IF(B410="","",U410+'入力・概要'!$E$9*G410)</f>
        <v/>
      </c>
      <c r="X410" s="195">
        <f>IF(B410="","",'入力・概要'!$E$9+T410*F410-U410*G410)</f>
        <v/>
      </c>
      <c r="Y410" s="195">
        <f>IF(B410="","",T410*G410+U410*F410)</f>
        <v/>
      </c>
      <c r="Z410" s="195">
        <f>IF(B410="","",'入力・概要'!$E$9*(V410*X410+W410*Y410)/(X410^2+Y410^2)+'入力・概要'!$B$36)</f>
        <v/>
      </c>
      <c r="AA410" s="195">
        <f>IF(B410="","",'入力・概要'!$E$9*(W410*X410-V410*Y410)/(X410^2+Y410^2)+C410*'入力・概要'!$B$37*1E-9)</f>
        <v/>
      </c>
      <c r="AB410" s="195">
        <f>IF(B410="","",SQRT(Z410^2+AA410^2))</f>
        <v/>
      </c>
      <c r="AC410" s="195">
        <f>IF(B410="","",IF(Z410&gt;0,DEGREES(ATAN(AA410/Z410)),IF(Z410&lt;0,IF(AA410&gt;=0,DEGREES(ATAN(AA410/Z410))+180,DEGREES(ATAN(AA410/Z410))-180),IF(AA410&gt;0,90,IF(AA410&lt;0,-90,0)))))</f>
        <v/>
      </c>
      <c r="AD410" s="195">
        <f>IF(B410="","",LOG10(B410))</f>
        <v/>
      </c>
      <c r="AE410" s="195">
        <f>IF(AB410="","",LOG10(MAX(AB410,1E-12)))</f>
        <v/>
      </c>
      <c r="AF410" s="195">
        <f>IF(B410="","",SQRT(P410^2+Q410^2))</f>
        <v/>
      </c>
      <c r="AG410" s="195">
        <f>IF(B410="","",SQRT(R410^2+S410^2))</f>
        <v/>
      </c>
    </row>
    <row r="411">
      <c r="A411" t="n">
        <v>408</v>
      </c>
      <c r="B411" s="196">
        <f>IF(A411&lt;='入力・概要'!$B$40,10^(LOG10('入力・概要'!$B$38)+(A411-1)*(LOG10('入力・概要'!$B$39)-LOG10('入力・概要'!$B$38))/('入力・概要'!$B$40-1)),"")</f>
        <v/>
      </c>
      <c r="C411" s="195">
        <f>IF(B411="","",2*PI()*B411)</f>
        <v/>
      </c>
      <c r="D411" s="195">
        <f>IF(B411="","",ATANH(MIN(0.999999,'入力・概要'!$E$20/'入力・概要'!$E$9))+'入力・概要'!$B$20*SQRT(B411/1E6)+E411*'入力・概要'!$B$15/2)</f>
        <v/>
      </c>
      <c r="E411" s="195">
        <f>IF(B411="","",C411*('入力・概要'!$E$11*1E-9))</f>
        <v/>
      </c>
      <c r="F411" s="195">
        <f>IF(B411="","",SINH(2*D411)/(COSH(2*D411)+COS(2*E411)))</f>
        <v/>
      </c>
      <c r="G411" s="195">
        <f>IF(B411="","",SIN(2*E411)/(COSH(2*D411)+COS(2*E411)))</f>
        <v/>
      </c>
      <c r="H411" s="195">
        <f>IF(B411="","",ATANH(MIN(0.999999,'入力・概要'!$E$21/'入力・概要'!$E$15))+'入力・概要'!$B$21*SQRT(B411/1E6)+I411*'入力・概要'!$B$16/2)</f>
        <v/>
      </c>
      <c r="I411" s="195">
        <f>IF(B411="","",C411*('入力・概要'!$E$17*1E-9))</f>
        <v/>
      </c>
      <c r="J411" s="195">
        <f>IF(B411="","",SINH(2*H411)/(COSH(2*H411)+COS(2*I411)))</f>
        <v/>
      </c>
      <c r="K411" s="195">
        <f>IF(B411="","",SIN(2*I411)/(COSH(2*H411)+COS(2*I411)))</f>
        <v/>
      </c>
      <c r="L411" s="195">
        <f>IF(B411="","",'入力・概要'!$B$25)</f>
        <v/>
      </c>
      <c r="M411" s="195">
        <f>IF(B411="","",C411*'入力・概要'!$B$26*1E-9-1/(C411*'入力・概要'!$B$24*1E-6))</f>
        <v/>
      </c>
      <c r="N411" s="195">
        <f>IF(B411="","",'入力・概要'!$B$28)</f>
        <v/>
      </c>
      <c r="O411" s="195">
        <f>IF(B411="","",C411*'入力・概要'!$B$29*1E-9-1/(C411*'入力・概要'!$B$27*1E-6))</f>
        <v/>
      </c>
      <c r="P411" s="195">
        <f>IF(B411="","",((L411*N411-M411*O411)*(L411+N411)+(L411*O411+M411*N411)*(M411+O411))/((L411+N411)^2+(M411+O411)^2))</f>
        <v/>
      </c>
      <c r="Q411" s="195">
        <f>IF(B411="","",((L411*O411+M411*N411)*(L411+N411)-(L411*N411-M411*O411)*(M411+O411))/((L411+N411)^2+(M411+O411)^2))</f>
        <v/>
      </c>
      <c r="R411" s="195">
        <f>IF(B411="","",'入力・概要'!$E$15*J411)</f>
        <v/>
      </c>
      <c r="S411" s="195">
        <f>IF(B411="","",'入力・概要'!$E$15*K411)</f>
        <v/>
      </c>
      <c r="T411" s="195">
        <f>IF(B411="","",P411+R411)</f>
        <v/>
      </c>
      <c r="U411" s="195">
        <f>IF(B411="","",Q411+S411)</f>
        <v/>
      </c>
      <c r="V411" s="195">
        <f>IF(B411="","",T411+'入力・概要'!$E$9*F411)</f>
        <v/>
      </c>
      <c r="W411" s="195">
        <f>IF(B411="","",U411+'入力・概要'!$E$9*G411)</f>
        <v/>
      </c>
      <c r="X411" s="195">
        <f>IF(B411="","",'入力・概要'!$E$9+T411*F411-U411*G411)</f>
        <v/>
      </c>
      <c r="Y411" s="195">
        <f>IF(B411="","",T411*G411+U411*F411)</f>
        <v/>
      </c>
      <c r="Z411" s="195">
        <f>IF(B411="","",'入力・概要'!$E$9*(V411*X411+W411*Y411)/(X411^2+Y411^2)+'入力・概要'!$B$36)</f>
        <v/>
      </c>
      <c r="AA411" s="195">
        <f>IF(B411="","",'入力・概要'!$E$9*(W411*X411-V411*Y411)/(X411^2+Y411^2)+C411*'入力・概要'!$B$37*1E-9)</f>
        <v/>
      </c>
      <c r="AB411" s="195">
        <f>IF(B411="","",SQRT(Z411^2+AA411^2))</f>
        <v/>
      </c>
      <c r="AC411" s="195">
        <f>IF(B411="","",IF(Z411&gt;0,DEGREES(ATAN(AA411/Z411)),IF(Z411&lt;0,IF(AA411&gt;=0,DEGREES(ATAN(AA411/Z411))+180,DEGREES(ATAN(AA411/Z411))-180),IF(AA411&gt;0,90,IF(AA411&lt;0,-90,0)))))</f>
        <v/>
      </c>
      <c r="AD411" s="195">
        <f>IF(B411="","",LOG10(B411))</f>
        <v/>
      </c>
      <c r="AE411" s="195">
        <f>IF(AB411="","",LOG10(MAX(AB411,1E-12)))</f>
        <v/>
      </c>
      <c r="AF411" s="195">
        <f>IF(B411="","",SQRT(P411^2+Q411^2))</f>
        <v/>
      </c>
      <c r="AG411" s="195">
        <f>IF(B411="","",SQRT(R411^2+S411^2))</f>
        <v/>
      </c>
    </row>
    <row r="412">
      <c r="A412" t="n">
        <v>409</v>
      </c>
      <c r="B412" s="196">
        <f>IF(A412&lt;='入力・概要'!$B$40,10^(LOG10('入力・概要'!$B$38)+(A412-1)*(LOG10('入力・概要'!$B$39)-LOG10('入力・概要'!$B$38))/('入力・概要'!$B$40-1)),"")</f>
        <v/>
      </c>
      <c r="C412" s="195">
        <f>IF(B412="","",2*PI()*B412)</f>
        <v/>
      </c>
      <c r="D412" s="195">
        <f>IF(B412="","",ATANH(MIN(0.999999,'入力・概要'!$E$20/'入力・概要'!$E$9))+'入力・概要'!$B$20*SQRT(B412/1E6)+E412*'入力・概要'!$B$15/2)</f>
        <v/>
      </c>
      <c r="E412" s="195">
        <f>IF(B412="","",C412*('入力・概要'!$E$11*1E-9))</f>
        <v/>
      </c>
      <c r="F412" s="195">
        <f>IF(B412="","",SINH(2*D412)/(COSH(2*D412)+COS(2*E412)))</f>
        <v/>
      </c>
      <c r="G412" s="195">
        <f>IF(B412="","",SIN(2*E412)/(COSH(2*D412)+COS(2*E412)))</f>
        <v/>
      </c>
      <c r="H412" s="195">
        <f>IF(B412="","",ATANH(MIN(0.999999,'入力・概要'!$E$21/'入力・概要'!$E$15))+'入力・概要'!$B$21*SQRT(B412/1E6)+I412*'入力・概要'!$B$16/2)</f>
        <v/>
      </c>
      <c r="I412" s="195">
        <f>IF(B412="","",C412*('入力・概要'!$E$17*1E-9))</f>
        <v/>
      </c>
      <c r="J412" s="195">
        <f>IF(B412="","",SINH(2*H412)/(COSH(2*H412)+COS(2*I412)))</f>
        <v/>
      </c>
      <c r="K412" s="195">
        <f>IF(B412="","",SIN(2*I412)/(COSH(2*H412)+COS(2*I412)))</f>
        <v/>
      </c>
      <c r="L412" s="195">
        <f>IF(B412="","",'入力・概要'!$B$25)</f>
        <v/>
      </c>
      <c r="M412" s="195">
        <f>IF(B412="","",C412*'入力・概要'!$B$26*1E-9-1/(C412*'入力・概要'!$B$24*1E-6))</f>
        <v/>
      </c>
      <c r="N412" s="195">
        <f>IF(B412="","",'入力・概要'!$B$28)</f>
        <v/>
      </c>
      <c r="O412" s="195">
        <f>IF(B412="","",C412*'入力・概要'!$B$29*1E-9-1/(C412*'入力・概要'!$B$27*1E-6))</f>
        <v/>
      </c>
      <c r="P412" s="195">
        <f>IF(B412="","",((L412*N412-M412*O412)*(L412+N412)+(L412*O412+M412*N412)*(M412+O412))/((L412+N412)^2+(M412+O412)^2))</f>
        <v/>
      </c>
      <c r="Q412" s="195">
        <f>IF(B412="","",((L412*O412+M412*N412)*(L412+N412)-(L412*N412-M412*O412)*(M412+O412))/((L412+N412)^2+(M412+O412)^2))</f>
        <v/>
      </c>
      <c r="R412" s="195">
        <f>IF(B412="","",'入力・概要'!$E$15*J412)</f>
        <v/>
      </c>
      <c r="S412" s="195">
        <f>IF(B412="","",'入力・概要'!$E$15*K412)</f>
        <v/>
      </c>
      <c r="T412" s="195">
        <f>IF(B412="","",P412+R412)</f>
        <v/>
      </c>
      <c r="U412" s="195">
        <f>IF(B412="","",Q412+S412)</f>
        <v/>
      </c>
      <c r="V412" s="195">
        <f>IF(B412="","",T412+'入力・概要'!$E$9*F412)</f>
        <v/>
      </c>
      <c r="W412" s="195">
        <f>IF(B412="","",U412+'入力・概要'!$E$9*G412)</f>
        <v/>
      </c>
      <c r="X412" s="195">
        <f>IF(B412="","",'入力・概要'!$E$9+T412*F412-U412*G412)</f>
        <v/>
      </c>
      <c r="Y412" s="195">
        <f>IF(B412="","",T412*G412+U412*F412)</f>
        <v/>
      </c>
      <c r="Z412" s="195">
        <f>IF(B412="","",'入力・概要'!$E$9*(V412*X412+W412*Y412)/(X412^2+Y412^2)+'入力・概要'!$B$36)</f>
        <v/>
      </c>
      <c r="AA412" s="195">
        <f>IF(B412="","",'入力・概要'!$E$9*(W412*X412-V412*Y412)/(X412^2+Y412^2)+C412*'入力・概要'!$B$37*1E-9)</f>
        <v/>
      </c>
      <c r="AB412" s="195">
        <f>IF(B412="","",SQRT(Z412^2+AA412^2))</f>
        <v/>
      </c>
      <c r="AC412" s="195">
        <f>IF(B412="","",IF(Z412&gt;0,DEGREES(ATAN(AA412/Z412)),IF(Z412&lt;0,IF(AA412&gt;=0,DEGREES(ATAN(AA412/Z412))+180,DEGREES(ATAN(AA412/Z412))-180),IF(AA412&gt;0,90,IF(AA412&lt;0,-90,0)))))</f>
        <v/>
      </c>
      <c r="AD412" s="195">
        <f>IF(B412="","",LOG10(B412))</f>
        <v/>
      </c>
      <c r="AE412" s="195">
        <f>IF(AB412="","",LOG10(MAX(AB412,1E-12)))</f>
        <v/>
      </c>
      <c r="AF412" s="195">
        <f>IF(B412="","",SQRT(P412^2+Q412^2))</f>
        <v/>
      </c>
      <c r="AG412" s="195">
        <f>IF(B412="","",SQRT(R412^2+S412^2))</f>
        <v/>
      </c>
    </row>
    <row r="413">
      <c r="A413" t="n">
        <v>410</v>
      </c>
      <c r="B413" s="196">
        <f>IF(A413&lt;='入力・概要'!$B$40,10^(LOG10('入力・概要'!$B$38)+(A413-1)*(LOG10('入力・概要'!$B$39)-LOG10('入力・概要'!$B$38))/('入力・概要'!$B$40-1)),"")</f>
        <v/>
      </c>
      <c r="C413" s="195">
        <f>IF(B413="","",2*PI()*B413)</f>
        <v/>
      </c>
      <c r="D413" s="195">
        <f>IF(B413="","",ATANH(MIN(0.999999,'入力・概要'!$E$20/'入力・概要'!$E$9))+'入力・概要'!$B$20*SQRT(B413/1E6)+E413*'入力・概要'!$B$15/2)</f>
        <v/>
      </c>
      <c r="E413" s="195">
        <f>IF(B413="","",C413*('入力・概要'!$E$11*1E-9))</f>
        <v/>
      </c>
      <c r="F413" s="195">
        <f>IF(B413="","",SINH(2*D413)/(COSH(2*D413)+COS(2*E413)))</f>
        <v/>
      </c>
      <c r="G413" s="195">
        <f>IF(B413="","",SIN(2*E413)/(COSH(2*D413)+COS(2*E413)))</f>
        <v/>
      </c>
      <c r="H413" s="195">
        <f>IF(B413="","",ATANH(MIN(0.999999,'入力・概要'!$E$21/'入力・概要'!$E$15))+'入力・概要'!$B$21*SQRT(B413/1E6)+I413*'入力・概要'!$B$16/2)</f>
        <v/>
      </c>
      <c r="I413" s="195">
        <f>IF(B413="","",C413*('入力・概要'!$E$17*1E-9))</f>
        <v/>
      </c>
      <c r="J413" s="195">
        <f>IF(B413="","",SINH(2*H413)/(COSH(2*H413)+COS(2*I413)))</f>
        <v/>
      </c>
      <c r="K413" s="195">
        <f>IF(B413="","",SIN(2*I413)/(COSH(2*H413)+COS(2*I413)))</f>
        <v/>
      </c>
      <c r="L413" s="195">
        <f>IF(B413="","",'入力・概要'!$B$25)</f>
        <v/>
      </c>
      <c r="M413" s="195">
        <f>IF(B413="","",C413*'入力・概要'!$B$26*1E-9-1/(C413*'入力・概要'!$B$24*1E-6))</f>
        <v/>
      </c>
      <c r="N413" s="195">
        <f>IF(B413="","",'入力・概要'!$B$28)</f>
        <v/>
      </c>
      <c r="O413" s="195">
        <f>IF(B413="","",C413*'入力・概要'!$B$29*1E-9-1/(C413*'入力・概要'!$B$27*1E-6))</f>
        <v/>
      </c>
      <c r="P413" s="195">
        <f>IF(B413="","",((L413*N413-M413*O413)*(L413+N413)+(L413*O413+M413*N413)*(M413+O413))/((L413+N413)^2+(M413+O413)^2))</f>
        <v/>
      </c>
      <c r="Q413" s="195">
        <f>IF(B413="","",((L413*O413+M413*N413)*(L413+N413)-(L413*N413-M413*O413)*(M413+O413))/((L413+N413)^2+(M413+O413)^2))</f>
        <v/>
      </c>
      <c r="R413" s="195">
        <f>IF(B413="","",'入力・概要'!$E$15*J413)</f>
        <v/>
      </c>
      <c r="S413" s="195">
        <f>IF(B413="","",'入力・概要'!$E$15*K413)</f>
        <v/>
      </c>
      <c r="T413" s="195">
        <f>IF(B413="","",P413+R413)</f>
        <v/>
      </c>
      <c r="U413" s="195">
        <f>IF(B413="","",Q413+S413)</f>
        <v/>
      </c>
      <c r="V413" s="195">
        <f>IF(B413="","",T413+'入力・概要'!$E$9*F413)</f>
        <v/>
      </c>
      <c r="W413" s="195">
        <f>IF(B413="","",U413+'入力・概要'!$E$9*G413)</f>
        <v/>
      </c>
      <c r="X413" s="195">
        <f>IF(B413="","",'入力・概要'!$E$9+T413*F413-U413*G413)</f>
        <v/>
      </c>
      <c r="Y413" s="195">
        <f>IF(B413="","",T413*G413+U413*F413)</f>
        <v/>
      </c>
      <c r="Z413" s="195">
        <f>IF(B413="","",'入力・概要'!$E$9*(V413*X413+W413*Y413)/(X413^2+Y413^2)+'入力・概要'!$B$36)</f>
        <v/>
      </c>
      <c r="AA413" s="195">
        <f>IF(B413="","",'入力・概要'!$E$9*(W413*X413-V413*Y413)/(X413^2+Y413^2)+C413*'入力・概要'!$B$37*1E-9)</f>
        <v/>
      </c>
      <c r="AB413" s="195">
        <f>IF(B413="","",SQRT(Z413^2+AA413^2))</f>
        <v/>
      </c>
      <c r="AC413" s="195">
        <f>IF(B413="","",IF(Z413&gt;0,DEGREES(ATAN(AA413/Z413)),IF(Z413&lt;0,IF(AA413&gt;=0,DEGREES(ATAN(AA413/Z413))+180,DEGREES(ATAN(AA413/Z413))-180),IF(AA413&gt;0,90,IF(AA413&lt;0,-90,0)))))</f>
        <v/>
      </c>
      <c r="AD413" s="195">
        <f>IF(B413="","",LOG10(B413))</f>
        <v/>
      </c>
      <c r="AE413" s="195">
        <f>IF(AB413="","",LOG10(MAX(AB413,1E-12)))</f>
        <v/>
      </c>
      <c r="AF413" s="195">
        <f>IF(B413="","",SQRT(P413^2+Q413^2))</f>
        <v/>
      </c>
      <c r="AG413" s="195">
        <f>IF(B413="","",SQRT(R413^2+S413^2))</f>
        <v/>
      </c>
    </row>
    <row r="414">
      <c r="A414" t="n">
        <v>411</v>
      </c>
      <c r="B414" s="196">
        <f>IF(A414&lt;='入力・概要'!$B$40,10^(LOG10('入力・概要'!$B$38)+(A414-1)*(LOG10('入力・概要'!$B$39)-LOG10('入力・概要'!$B$38))/('入力・概要'!$B$40-1)),"")</f>
        <v/>
      </c>
      <c r="C414" s="195">
        <f>IF(B414="","",2*PI()*B414)</f>
        <v/>
      </c>
      <c r="D414" s="195">
        <f>IF(B414="","",ATANH(MIN(0.999999,'入力・概要'!$E$20/'入力・概要'!$E$9))+'入力・概要'!$B$20*SQRT(B414/1E6)+E414*'入力・概要'!$B$15/2)</f>
        <v/>
      </c>
      <c r="E414" s="195">
        <f>IF(B414="","",C414*('入力・概要'!$E$11*1E-9))</f>
        <v/>
      </c>
      <c r="F414" s="195">
        <f>IF(B414="","",SINH(2*D414)/(COSH(2*D414)+COS(2*E414)))</f>
        <v/>
      </c>
      <c r="G414" s="195">
        <f>IF(B414="","",SIN(2*E414)/(COSH(2*D414)+COS(2*E414)))</f>
        <v/>
      </c>
      <c r="H414" s="195">
        <f>IF(B414="","",ATANH(MIN(0.999999,'入力・概要'!$E$21/'入力・概要'!$E$15))+'入力・概要'!$B$21*SQRT(B414/1E6)+I414*'入力・概要'!$B$16/2)</f>
        <v/>
      </c>
      <c r="I414" s="195">
        <f>IF(B414="","",C414*('入力・概要'!$E$17*1E-9))</f>
        <v/>
      </c>
      <c r="J414" s="195">
        <f>IF(B414="","",SINH(2*H414)/(COSH(2*H414)+COS(2*I414)))</f>
        <v/>
      </c>
      <c r="K414" s="195">
        <f>IF(B414="","",SIN(2*I414)/(COSH(2*H414)+COS(2*I414)))</f>
        <v/>
      </c>
      <c r="L414" s="195">
        <f>IF(B414="","",'入力・概要'!$B$25)</f>
        <v/>
      </c>
      <c r="M414" s="195">
        <f>IF(B414="","",C414*'入力・概要'!$B$26*1E-9-1/(C414*'入力・概要'!$B$24*1E-6))</f>
        <v/>
      </c>
      <c r="N414" s="195">
        <f>IF(B414="","",'入力・概要'!$B$28)</f>
        <v/>
      </c>
      <c r="O414" s="195">
        <f>IF(B414="","",C414*'入力・概要'!$B$29*1E-9-1/(C414*'入力・概要'!$B$27*1E-6))</f>
        <v/>
      </c>
      <c r="P414" s="195">
        <f>IF(B414="","",((L414*N414-M414*O414)*(L414+N414)+(L414*O414+M414*N414)*(M414+O414))/((L414+N414)^2+(M414+O414)^2))</f>
        <v/>
      </c>
      <c r="Q414" s="195">
        <f>IF(B414="","",((L414*O414+M414*N414)*(L414+N414)-(L414*N414-M414*O414)*(M414+O414))/((L414+N414)^2+(M414+O414)^2))</f>
        <v/>
      </c>
      <c r="R414" s="195">
        <f>IF(B414="","",'入力・概要'!$E$15*J414)</f>
        <v/>
      </c>
      <c r="S414" s="195">
        <f>IF(B414="","",'入力・概要'!$E$15*K414)</f>
        <v/>
      </c>
      <c r="T414" s="195">
        <f>IF(B414="","",P414+R414)</f>
        <v/>
      </c>
      <c r="U414" s="195">
        <f>IF(B414="","",Q414+S414)</f>
        <v/>
      </c>
      <c r="V414" s="195">
        <f>IF(B414="","",T414+'入力・概要'!$E$9*F414)</f>
        <v/>
      </c>
      <c r="W414" s="195">
        <f>IF(B414="","",U414+'入力・概要'!$E$9*G414)</f>
        <v/>
      </c>
      <c r="X414" s="195">
        <f>IF(B414="","",'入力・概要'!$E$9+T414*F414-U414*G414)</f>
        <v/>
      </c>
      <c r="Y414" s="195">
        <f>IF(B414="","",T414*G414+U414*F414)</f>
        <v/>
      </c>
      <c r="Z414" s="195">
        <f>IF(B414="","",'入力・概要'!$E$9*(V414*X414+W414*Y414)/(X414^2+Y414^2)+'入力・概要'!$B$36)</f>
        <v/>
      </c>
      <c r="AA414" s="195">
        <f>IF(B414="","",'入力・概要'!$E$9*(W414*X414-V414*Y414)/(X414^2+Y414^2)+C414*'入力・概要'!$B$37*1E-9)</f>
        <v/>
      </c>
      <c r="AB414" s="195">
        <f>IF(B414="","",SQRT(Z414^2+AA414^2))</f>
        <v/>
      </c>
      <c r="AC414" s="195">
        <f>IF(B414="","",IF(Z414&gt;0,DEGREES(ATAN(AA414/Z414)),IF(Z414&lt;0,IF(AA414&gt;=0,DEGREES(ATAN(AA414/Z414))+180,DEGREES(ATAN(AA414/Z414))-180),IF(AA414&gt;0,90,IF(AA414&lt;0,-90,0)))))</f>
        <v/>
      </c>
      <c r="AD414" s="195">
        <f>IF(B414="","",LOG10(B414))</f>
        <v/>
      </c>
      <c r="AE414" s="195">
        <f>IF(AB414="","",LOG10(MAX(AB414,1E-12)))</f>
        <v/>
      </c>
      <c r="AF414" s="195">
        <f>IF(B414="","",SQRT(P414^2+Q414^2))</f>
        <v/>
      </c>
      <c r="AG414" s="195">
        <f>IF(B414="","",SQRT(R414^2+S414^2))</f>
        <v/>
      </c>
    </row>
    <row r="415">
      <c r="A415" t="n">
        <v>412</v>
      </c>
      <c r="B415" s="196">
        <f>IF(A415&lt;='入力・概要'!$B$40,10^(LOG10('入力・概要'!$B$38)+(A415-1)*(LOG10('入力・概要'!$B$39)-LOG10('入力・概要'!$B$38))/('入力・概要'!$B$40-1)),"")</f>
        <v/>
      </c>
      <c r="C415" s="195">
        <f>IF(B415="","",2*PI()*B415)</f>
        <v/>
      </c>
      <c r="D415" s="195">
        <f>IF(B415="","",ATANH(MIN(0.999999,'入力・概要'!$E$20/'入力・概要'!$E$9))+'入力・概要'!$B$20*SQRT(B415/1E6)+E415*'入力・概要'!$B$15/2)</f>
        <v/>
      </c>
      <c r="E415" s="195">
        <f>IF(B415="","",C415*('入力・概要'!$E$11*1E-9))</f>
        <v/>
      </c>
      <c r="F415" s="195">
        <f>IF(B415="","",SINH(2*D415)/(COSH(2*D415)+COS(2*E415)))</f>
        <v/>
      </c>
      <c r="G415" s="195">
        <f>IF(B415="","",SIN(2*E415)/(COSH(2*D415)+COS(2*E415)))</f>
        <v/>
      </c>
      <c r="H415" s="195">
        <f>IF(B415="","",ATANH(MIN(0.999999,'入力・概要'!$E$21/'入力・概要'!$E$15))+'入力・概要'!$B$21*SQRT(B415/1E6)+I415*'入力・概要'!$B$16/2)</f>
        <v/>
      </c>
      <c r="I415" s="195">
        <f>IF(B415="","",C415*('入力・概要'!$E$17*1E-9))</f>
        <v/>
      </c>
      <c r="J415" s="195">
        <f>IF(B415="","",SINH(2*H415)/(COSH(2*H415)+COS(2*I415)))</f>
        <v/>
      </c>
      <c r="K415" s="195">
        <f>IF(B415="","",SIN(2*I415)/(COSH(2*H415)+COS(2*I415)))</f>
        <v/>
      </c>
      <c r="L415" s="195">
        <f>IF(B415="","",'入力・概要'!$B$25)</f>
        <v/>
      </c>
      <c r="M415" s="195">
        <f>IF(B415="","",C415*'入力・概要'!$B$26*1E-9-1/(C415*'入力・概要'!$B$24*1E-6))</f>
        <v/>
      </c>
      <c r="N415" s="195">
        <f>IF(B415="","",'入力・概要'!$B$28)</f>
        <v/>
      </c>
      <c r="O415" s="195">
        <f>IF(B415="","",C415*'入力・概要'!$B$29*1E-9-1/(C415*'入力・概要'!$B$27*1E-6))</f>
        <v/>
      </c>
      <c r="P415" s="195">
        <f>IF(B415="","",((L415*N415-M415*O415)*(L415+N415)+(L415*O415+M415*N415)*(M415+O415))/((L415+N415)^2+(M415+O415)^2))</f>
        <v/>
      </c>
      <c r="Q415" s="195">
        <f>IF(B415="","",((L415*O415+M415*N415)*(L415+N415)-(L415*N415-M415*O415)*(M415+O415))/((L415+N415)^2+(M415+O415)^2))</f>
        <v/>
      </c>
      <c r="R415" s="195">
        <f>IF(B415="","",'入力・概要'!$E$15*J415)</f>
        <v/>
      </c>
      <c r="S415" s="195">
        <f>IF(B415="","",'入力・概要'!$E$15*K415)</f>
        <v/>
      </c>
      <c r="T415" s="195">
        <f>IF(B415="","",P415+R415)</f>
        <v/>
      </c>
      <c r="U415" s="195">
        <f>IF(B415="","",Q415+S415)</f>
        <v/>
      </c>
      <c r="V415" s="195">
        <f>IF(B415="","",T415+'入力・概要'!$E$9*F415)</f>
        <v/>
      </c>
      <c r="W415" s="195">
        <f>IF(B415="","",U415+'入力・概要'!$E$9*G415)</f>
        <v/>
      </c>
      <c r="X415" s="195">
        <f>IF(B415="","",'入力・概要'!$E$9+T415*F415-U415*G415)</f>
        <v/>
      </c>
      <c r="Y415" s="195">
        <f>IF(B415="","",T415*G415+U415*F415)</f>
        <v/>
      </c>
      <c r="Z415" s="195">
        <f>IF(B415="","",'入力・概要'!$E$9*(V415*X415+W415*Y415)/(X415^2+Y415^2)+'入力・概要'!$B$36)</f>
        <v/>
      </c>
      <c r="AA415" s="195">
        <f>IF(B415="","",'入力・概要'!$E$9*(W415*X415-V415*Y415)/(X415^2+Y415^2)+C415*'入力・概要'!$B$37*1E-9)</f>
        <v/>
      </c>
      <c r="AB415" s="195">
        <f>IF(B415="","",SQRT(Z415^2+AA415^2))</f>
        <v/>
      </c>
      <c r="AC415" s="195">
        <f>IF(B415="","",IF(Z415&gt;0,DEGREES(ATAN(AA415/Z415)),IF(Z415&lt;0,IF(AA415&gt;=0,DEGREES(ATAN(AA415/Z415))+180,DEGREES(ATAN(AA415/Z415))-180),IF(AA415&gt;0,90,IF(AA415&lt;0,-90,0)))))</f>
        <v/>
      </c>
      <c r="AD415" s="195">
        <f>IF(B415="","",LOG10(B415))</f>
        <v/>
      </c>
      <c r="AE415" s="195">
        <f>IF(AB415="","",LOG10(MAX(AB415,1E-12)))</f>
        <v/>
      </c>
      <c r="AF415" s="195">
        <f>IF(B415="","",SQRT(P415^2+Q415^2))</f>
        <v/>
      </c>
      <c r="AG415" s="195">
        <f>IF(B415="","",SQRT(R415^2+S415^2))</f>
        <v/>
      </c>
    </row>
    <row r="416">
      <c r="A416" t="n">
        <v>413</v>
      </c>
      <c r="B416" s="196">
        <f>IF(A416&lt;='入力・概要'!$B$40,10^(LOG10('入力・概要'!$B$38)+(A416-1)*(LOG10('入力・概要'!$B$39)-LOG10('入力・概要'!$B$38))/('入力・概要'!$B$40-1)),"")</f>
        <v/>
      </c>
      <c r="C416" s="195">
        <f>IF(B416="","",2*PI()*B416)</f>
        <v/>
      </c>
      <c r="D416" s="195">
        <f>IF(B416="","",ATANH(MIN(0.999999,'入力・概要'!$E$20/'入力・概要'!$E$9))+'入力・概要'!$B$20*SQRT(B416/1E6)+E416*'入力・概要'!$B$15/2)</f>
        <v/>
      </c>
      <c r="E416" s="195">
        <f>IF(B416="","",C416*('入力・概要'!$E$11*1E-9))</f>
        <v/>
      </c>
      <c r="F416" s="195">
        <f>IF(B416="","",SINH(2*D416)/(COSH(2*D416)+COS(2*E416)))</f>
        <v/>
      </c>
      <c r="G416" s="195">
        <f>IF(B416="","",SIN(2*E416)/(COSH(2*D416)+COS(2*E416)))</f>
        <v/>
      </c>
      <c r="H416" s="195">
        <f>IF(B416="","",ATANH(MIN(0.999999,'入力・概要'!$E$21/'入力・概要'!$E$15))+'入力・概要'!$B$21*SQRT(B416/1E6)+I416*'入力・概要'!$B$16/2)</f>
        <v/>
      </c>
      <c r="I416" s="195">
        <f>IF(B416="","",C416*('入力・概要'!$E$17*1E-9))</f>
        <v/>
      </c>
      <c r="J416" s="195">
        <f>IF(B416="","",SINH(2*H416)/(COSH(2*H416)+COS(2*I416)))</f>
        <v/>
      </c>
      <c r="K416" s="195">
        <f>IF(B416="","",SIN(2*I416)/(COSH(2*H416)+COS(2*I416)))</f>
        <v/>
      </c>
      <c r="L416" s="195">
        <f>IF(B416="","",'入力・概要'!$B$25)</f>
        <v/>
      </c>
      <c r="M416" s="195">
        <f>IF(B416="","",C416*'入力・概要'!$B$26*1E-9-1/(C416*'入力・概要'!$B$24*1E-6))</f>
        <v/>
      </c>
      <c r="N416" s="195">
        <f>IF(B416="","",'入力・概要'!$B$28)</f>
        <v/>
      </c>
      <c r="O416" s="195">
        <f>IF(B416="","",C416*'入力・概要'!$B$29*1E-9-1/(C416*'入力・概要'!$B$27*1E-6))</f>
        <v/>
      </c>
      <c r="P416" s="195">
        <f>IF(B416="","",((L416*N416-M416*O416)*(L416+N416)+(L416*O416+M416*N416)*(M416+O416))/((L416+N416)^2+(M416+O416)^2))</f>
        <v/>
      </c>
      <c r="Q416" s="195">
        <f>IF(B416="","",((L416*O416+M416*N416)*(L416+N416)-(L416*N416-M416*O416)*(M416+O416))/((L416+N416)^2+(M416+O416)^2))</f>
        <v/>
      </c>
      <c r="R416" s="195">
        <f>IF(B416="","",'入力・概要'!$E$15*J416)</f>
        <v/>
      </c>
      <c r="S416" s="195">
        <f>IF(B416="","",'入力・概要'!$E$15*K416)</f>
        <v/>
      </c>
      <c r="T416" s="195">
        <f>IF(B416="","",P416+R416)</f>
        <v/>
      </c>
      <c r="U416" s="195">
        <f>IF(B416="","",Q416+S416)</f>
        <v/>
      </c>
      <c r="V416" s="195">
        <f>IF(B416="","",T416+'入力・概要'!$E$9*F416)</f>
        <v/>
      </c>
      <c r="W416" s="195">
        <f>IF(B416="","",U416+'入力・概要'!$E$9*G416)</f>
        <v/>
      </c>
      <c r="X416" s="195">
        <f>IF(B416="","",'入力・概要'!$E$9+T416*F416-U416*G416)</f>
        <v/>
      </c>
      <c r="Y416" s="195">
        <f>IF(B416="","",T416*G416+U416*F416)</f>
        <v/>
      </c>
      <c r="Z416" s="195">
        <f>IF(B416="","",'入力・概要'!$E$9*(V416*X416+W416*Y416)/(X416^2+Y416^2)+'入力・概要'!$B$36)</f>
        <v/>
      </c>
      <c r="AA416" s="195">
        <f>IF(B416="","",'入力・概要'!$E$9*(W416*X416-V416*Y416)/(X416^2+Y416^2)+C416*'入力・概要'!$B$37*1E-9)</f>
        <v/>
      </c>
      <c r="AB416" s="195">
        <f>IF(B416="","",SQRT(Z416^2+AA416^2))</f>
        <v/>
      </c>
      <c r="AC416" s="195">
        <f>IF(B416="","",IF(Z416&gt;0,DEGREES(ATAN(AA416/Z416)),IF(Z416&lt;0,IF(AA416&gt;=0,DEGREES(ATAN(AA416/Z416))+180,DEGREES(ATAN(AA416/Z416))-180),IF(AA416&gt;0,90,IF(AA416&lt;0,-90,0)))))</f>
        <v/>
      </c>
      <c r="AD416" s="195">
        <f>IF(B416="","",LOG10(B416))</f>
        <v/>
      </c>
      <c r="AE416" s="195">
        <f>IF(AB416="","",LOG10(MAX(AB416,1E-12)))</f>
        <v/>
      </c>
      <c r="AF416" s="195">
        <f>IF(B416="","",SQRT(P416^2+Q416^2))</f>
        <v/>
      </c>
      <c r="AG416" s="195">
        <f>IF(B416="","",SQRT(R416^2+S416^2))</f>
        <v/>
      </c>
    </row>
    <row r="417">
      <c r="A417" t="n">
        <v>414</v>
      </c>
      <c r="B417" s="196">
        <f>IF(A417&lt;='入力・概要'!$B$40,10^(LOG10('入力・概要'!$B$38)+(A417-1)*(LOG10('入力・概要'!$B$39)-LOG10('入力・概要'!$B$38))/('入力・概要'!$B$40-1)),"")</f>
        <v/>
      </c>
      <c r="C417" s="195">
        <f>IF(B417="","",2*PI()*B417)</f>
        <v/>
      </c>
      <c r="D417" s="195">
        <f>IF(B417="","",ATANH(MIN(0.999999,'入力・概要'!$E$20/'入力・概要'!$E$9))+'入力・概要'!$B$20*SQRT(B417/1E6)+E417*'入力・概要'!$B$15/2)</f>
        <v/>
      </c>
      <c r="E417" s="195">
        <f>IF(B417="","",C417*('入力・概要'!$E$11*1E-9))</f>
        <v/>
      </c>
      <c r="F417" s="195">
        <f>IF(B417="","",SINH(2*D417)/(COSH(2*D417)+COS(2*E417)))</f>
        <v/>
      </c>
      <c r="G417" s="195">
        <f>IF(B417="","",SIN(2*E417)/(COSH(2*D417)+COS(2*E417)))</f>
        <v/>
      </c>
      <c r="H417" s="195">
        <f>IF(B417="","",ATANH(MIN(0.999999,'入力・概要'!$E$21/'入力・概要'!$E$15))+'入力・概要'!$B$21*SQRT(B417/1E6)+I417*'入力・概要'!$B$16/2)</f>
        <v/>
      </c>
      <c r="I417" s="195">
        <f>IF(B417="","",C417*('入力・概要'!$E$17*1E-9))</f>
        <v/>
      </c>
      <c r="J417" s="195">
        <f>IF(B417="","",SINH(2*H417)/(COSH(2*H417)+COS(2*I417)))</f>
        <v/>
      </c>
      <c r="K417" s="195">
        <f>IF(B417="","",SIN(2*I417)/(COSH(2*H417)+COS(2*I417)))</f>
        <v/>
      </c>
      <c r="L417" s="195">
        <f>IF(B417="","",'入力・概要'!$B$25)</f>
        <v/>
      </c>
      <c r="M417" s="195">
        <f>IF(B417="","",C417*'入力・概要'!$B$26*1E-9-1/(C417*'入力・概要'!$B$24*1E-6))</f>
        <v/>
      </c>
      <c r="N417" s="195">
        <f>IF(B417="","",'入力・概要'!$B$28)</f>
        <v/>
      </c>
      <c r="O417" s="195">
        <f>IF(B417="","",C417*'入力・概要'!$B$29*1E-9-1/(C417*'入力・概要'!$B$27*1E-6))</f>
        <v/>
      </c>
      <c r="P417" s="195">
        <f>IF(B417="","",((L417*N417-M417*O417)*(L417+N417)+(L417*O417+M417*N417)*(M417+O417))/((L417+N417)^2+(M417+O417)^2))</f>
        <v/>
      </c>
      <c r="Q417" s="195">
        <f>IF(B417="","",((L417*O417+M417*N417)*(L417+N417)-(L417*N417-M417*O417)*(M417+O417))/((L417+N417)^2+(M417+O417)^2))</f>
        <v/>
      </c>
      <c r="R417" s="195">
        <f>IF(B417="","",'入力・概要'!$E$15*J417)</f>
        <v/>
      </c>
      <c r="S417" s="195">
        <f>IF(B417="","",'入力・概要'!$E$15*K417)</f>
        <v/>
      </c>
      <c r="T417" s="195">
        <f>IF(B417="","",P417+R417)</f>
        <v/>
      </c>
      <c r="U417" s="195">
        <f>IF(B417="","",Q417+S417)</f>
        <v/>
      </c>
      <c r="V417" s="195">
        <f>IF(B417="","",T417+'入力・概要'!$E$9*F417)</f>
        <v/>
      </c>
      <c r="W417" s="195">
        <f>IF(B417="","",U417+'入力・概要'!$E$9*G417)</f>
        <v/>
      </c>
      <c r="X417" s="195">
        <f>IF(B417="","",'入力・概要'!$E$9+T417*F417-U417*G417)</f>
        <v/>
      </c>
      <c r="Y417" s="195">
        <f>IF(B417="","",T417*G417+U417*F417)</f>
        <v/>
      </c>
      <c r="Z417" s="195">
        <f>IF(B417="","",'入力・概要'!$E$9*(V417*X417+W417*Y417)/(X417^2+Y417^2)+'入力・概要'!$B$36)</f>
        <v/>
      </c>
      <c r="AA417" s="195">
        <f>IF(B417="","",'入力・概要'!$E$9*(W417*X417-V417*Y417)/(X417^2+Y417^2)+C417*'入力・概要'!$B$37*1E-9)</f>
        <v/>
      </c>
      <c r="AB417" s="195">
        <f>IF(B417="","",SQRT(Z417^2+AA417^2))</f>
        <v/>
      </c>
      <c r="AC417" s="195">
        <f>IF(B417="","",IF(Z417&gt;0,DEGREES(ATAN(AA417/Z417)),IF(Z417&lt;0,IF(AA417&gt;=0,DEGREES(ATAN(AA417/Z417))+180,DEGREES(ATAN(AA417/Z417))-180),IF(AA417&gt;0,90,IF(AA417&lt;0,-90,0)))))</f>
        <v/>
      </c>
      <c r="AD417" s="195">
        <f>IF(B417="","",LOG10(B417))</f>
        <v/>
      </c>
      <c r="AE417" s="195">
        <f>IF(AB417="","",LOG10(MAX(AB417,1E-12)))</f>
        <v/>
      </c>
      <c r="AF417" s="195">
        <f>IF(B417="","",SQRT(P417^2+Q417^2))</f>
        <v/>
      </c>
      <c r="AG417" s="195">
        <f>IF(B417="","",SQRT(R417^2+S417^2))</f>
        <v/>
      </c>
    </row>
    <row r="418">
      <c r="A418" t="n">
        <v>415</v>
      </c>
      <c r="B418" s="196">
        <f>IF(A418&lt;='入力・概要'!$B$40,10^(LOG10('入力・概要'!$B$38)+(A418-1)*(LOG10('入力・概要'!$B$39)-LOG10('入力・概要'!$B$38))/('入力・概要'!$B$40-1)),"")</f>
        <v/>
      </c>
      <c r="C418" s="195">
        <f>IF(B418="","",2*PI()*B418)</f>
        <v/>
      </c>
      <c r="D418" s="195">
        <f>IF(B418="","",ATANH(MIN(0.999999,'入力・概要'!$E$20/'入力・概要'!$E$9))+'入力・概要'!$B$20*SQRT(B418/1E6)+E418*'入力・概要'!$B$15/2)</f>
        <v/>
      </c>
      <c r="E418" s="195">
        <f>IF(B418="","",C418*('入力・概要'!$E$11*1E-9))</f>
        <v/>
      </c>
      <c r="F418" s="195">
        <f>IF(B418="","",SINH(2*D418)/(COSH(2*D418)+COS(2*E418)))</f>
        <v/>
      </c>
      <c r="G418" s="195">
        <f>IF(B418="","",SIN(2*E418)/(COSH(2*D418)+COS(2*E418)))</f>
        <v/>
      </c>
      <c r="H418" s="195">
        <f>IF(B418="","",ATANH(MIN(0.999999,'入力・概要'!$E$21/'入力・概要'!$E$15))+'入力・概要'!$B$21*SQRT(B418/1E6)+I418*'入力・概要'!$B$16/2)</f>
        <v/>
      </c>
      <c r="I418" s="195">
        <f>IF(B418="","",C418*('入力・概要'!$E$17*1E-9))</f>
        <v/>
      </c>
      <c r="J418" s="195">
        <f>IF(B418="","",SINH(2*H418)/(COSH(2*H418)+COS(2*I418)))</f>
        <v/>
      </c>
      <c r="K418" s="195">
        <f>IF(B418="","",SIN(2*I418)/(COSH(2*H418)+COS(2*I418)))</f>
        <v/>
      </c>
      <c r="L418" s="195">
        <f>IF(B418="","",'入力・概要'!$B$25)</f>
        <v/>
      </c>
      <c r="M418" s="195">
        <f>IF(B418="","",C418*'入力・概要'!$B$26*1E-9-1/(C418*'入力・概要'!$B$24*1E-6))</f>
        <v/>
      </c>
      <c r="N418" s="195">
        <f>IF(B418="","",'入力・概要'!$B$28)</f>
        <v/>
      </c>
      <c r="O418" s="195">
        <f>IF(B418="","",C418*'入力・概要'!$B$29*1E-9-1/(C418*'入力・概要'!$B$27*1E-6))</f>
        <v/>
      </c>
      <c r="P418" s="195">
        <f>IF(B418="","",((L418*N418-M418*O418)*(L418+N418)+(L418*O418+M418*N418)*(M418+O418))/((L418+N418)^2+(M418+O418)^2))</f>
        <v/>
      </c>
      <c r="Q418" s="195">
        <f>IF(B418="","",((L418*O418+M418*N418)*(L418+N418)-(L418*N418-M418*O418)*(M418+O418))/((L418+N418)^2+(M418+O418)^2))</f>
        <v/>
      </c>
      <c r="R418" s="195">
        <f>IF(B418="","",'入力・概要'!$E$15*J418)</f>
        <v/>
      </c>
      <c r="S418" s="195">
        <f>IF(B418="","",'入力・概要'!$E$15*K418)</f>
        <v/>
      </c>
      <c r="T418" s="195">
        <f>IF(B418="","",P418+R418)</f>
        <v/>
      </c>
      <c r="U418" s="195">
        <f>IF(B418="","",Q418+S418)</f>
        <v/>
      </c>
      <c r="V418" s="195">
        <f>IF(B418="","",T418+'入力・概要'!$E$9*F418)</f>
        <v/>
      </c>
      <c r="W418" s="195">
        <f>IF(B418="","",U418+'入力・概要'!$E$9*G418)</f>
        <v/>
      </c>
      <c r="X418" s="195">
        <f>IF(B418="","",'入力・概要'!$E$9+T418*F418-U418*G418)</f>
        <v/>
      </c>
      <c r="Y418" s="195">
        <f>IF(B418="","",T418*G418+U418*F418)</f>
        <v/>
      </c>
      <c r="Z418" s="195">
        <f>IF(B418="","",'入力・概要'!$E$9*(V418*X418+W418*Y418)/(X418^2+Y418^2)+'入力・概要'!$B$36)</f>
        <v/>
      </c>
      <c r="AA418" s="195">
        <f>IF(B418="","",'入力・概要'!$E$9*(W418*X418-V418*Y418)/(X418^2+Y418^2)+C418*'入力・概要'!$B$37*1E-9)</f>
        <v/>
      </c>
      <c r="AB418" s="195">
        <f>IF(B418="","",SQRT(Z418^2+AA418^2))</f>
        <v/>
      </c>
      <c r="AC418" s="195">
        <f>IF(B418="","",IF(Z418&gt;0,DEGREES(ATAN(AA418/Z418)),IF(Z418&lt;0,IF(AA418&gt;=0,DEGREES(ATAN(AA418/Z418))+180,DEGREES(ATAN(AA418/Z418))-180),IF(AA418&gt;0,90,IF(AA418&lt;0,-90,0)))))</f>
        <v/>
      </c>
      <c r="AD418" s="195">
        <f>IF(B418="","",LOG10(B418))</f>
        <v/>
      </c>
      <c r="AE418" s="195">
        <f>IF(AB418="","",LOG10(MAX(AB418,1E-12)))</f>
        <v/>
      </c>
      <c r="AF418" s="195">
        <f>IF(B418="","",SQRT(P418^2+Q418^2))</f>
        <v/>
      </c>
      <c r="AG418" s="195">
        <f>IF(B418="","",SQRT(R418^2+S418^2))</f>
        <v/>
      </c>
    </row>
    <row r="419">
      <c r="A419" t="n">
        <v>416</v>
      </c>
      <c r="B419" s="196">
        <f>IF(A419&lt;='入力・概要'!$B$40,10^(LOG10('入力・概要'!$B$38)+(A419-1)*(LOG10('入力・概要'!$B$39)-LOG10('入力・概要'!$B$38))/('入力・概要'!$B$40-1)),"")</f>
        <v/>
      </c>
      <c r="C419" s="195">
        <f>IF(B419="","",2*PI()*B419)</f>
        <v/>
      </c>
      <c r="D419" s="195">
        <f>IF(B419="","",ATANH(MIN(0.999999,'入力・概要'!$E$20/'入力・概要'!$E$9))+'入力・概要'!$B$20*SQRT(B419/1E6)+E419*'入力・概要'!$B$15/2)</f>
        <v/>
      </c>
      <c r="E419" s="195">
        <f>IF(B419="","",C419*('入力・概要'!$E$11*1E-9))</f>
        <v/>
      </c>
      <c r="F419" s="195">
        <f>IF(B419="","",SINH(2*D419)/(COSH(2*D419)+COS(2*E419)))</f>
        <v/>
      </c>
      <c r="G419" s="195">
        <f>IF(B419="","",SIN(2*E419)/(COSH(2*D419)+COS(2*E419)))</f>
        <v/>
      </c>
      <c r="H419" s="195">
        <f>IF(B419="","",ATANH(MIN(0.999999,'入力・概要'!$E$21/'入力・概要'!$E$15))+'入力・概要'!$B$21*SQRT(B419/1E6)+I419*'入力・概要'!$B$16/2)</f>
        <v/>
      </c>
      <c r="I419" s="195">
        <f>IF(B419="","",C419*('入力・概要'!$E$17*1E-9))</f>
        <v/>
      </c>
      <c r="J419" s="195">
        <f>IF(B419="","",SINH(2*H419)/(COSH(2*H419)+COS(2*I419)))</f>
        <v/>
      </c>
      <c r="K419" s="195">
        <f>IF(B419="","",SIN(2*I419)/(COSH(2*H419)+COS(2*I419)))</f>
        <v/>
      </c>
      <c r="L419" s="195">
        <f>IF(B419="","",'入力・概要'!$B$25)</f>
        <v/>
      </c>
      <c r="M419" s="195">
        <f>IF(B419="","",C419*'入力・概要'!$B$26*1E-9-1/(C419*'入力・概要'!$B$24*1E-6))</f>
        <v/>
      </c>
      <c r="N419" s="195">
        <f>IF(B419="","",'入力・概要'!$B$28)</f>
        <v/>
      </c>
      <c r="O419" s="195">
        <f>IF(B419="","",C419*'入力・概要'!$B$29*1E-9-1/(C419*'入力・概要'!$B$27*1E-6))</f>
        <v/>
      </c>
      <c r="P419" s="195">
        <f>IF(B419="","",((L419*N419-M419*O419)*(L419+N419)+(L419*O419+M419*N419)*(M419+O419))/((L419+N419)^2+(M419+O419)^2))</f>
        <v/>
      </c>
      <c r="Q419" s="195">
        <f>IF(B419="","",((L419*O419+M419*N419)*(L419+N419)-(L419*N419-M419*O419)*(M419+O419))/((L419+N419)^2+(M419+O419)^2))</f>
        <v/>
      </c>
      <c r="R419" s="195">
        <f>IF(B419="","",'入力・概要'!$E$15*J419)</f>
        <v/>
      </c>
      <c r="S419" s="195">
        <f>IF(B419="","",'入力・概要'!$E$15*K419)</f>
        <v/>
      </c>
      <c r="T419" s="195">
        <f>IF(B419="","",P419+R419)</f>
        <v/>
      </c>
      <c r="U419" s="195">
        <f>IF(B419="","",Q419+S419)</f>
        <v/>
      </c>
      <c r="V419" s="195">
        <f>IF(B419="","",T419+'入力・概要'!$E$9*F419)</f>
        <v/>
      </c>
      <c r="W419" s="195">
        <f>IF(B419="","",U419+'入力・概要'!$E$9*G419)</f>
        <v/>
      </c>
      <c r="X419" s="195">
        <f>IF(B419="","",'入力・概要'!$E$9+T419*F419-U419*G419)</f>
        <v/>
      </c>
      <c r="Y419" s="195">
        <f>IF(B419="","",T419*G419+U419*F419)</f>
        <v/>
      </c>
      <c r="Z419" s="195">
        <f>IF(B419="","",'入力・概要'!$E$9*(V419*X419+W419*Y419)/(X419^2+Y419^2)+'入力・概要'!$B$36)</f>
        <v/>
      </c>
      <c r="AA419" s="195">
        <f>IF(B419="","",'入力・概要'!$E$9*(W419*X419-V419*Y419)/(X419^2+Y419^2)+C419*'入力・概要'!$B$37*1E-9)</f>
        <v/>
      </c>
      <c r="AB419" s="195">
        <f>IF(B419="","",SQRT(Z419^2+AA419^2))</f>
        <v/>
      </c>
      <c r="AC419" s="195">
        <f>IF(B419="","",IF(Z419&gt;0,DEGREES(ATAN(AA419/Z419)),IF(Z419&lt;0,IF(AA419&gt;=0,DEGREES(ATAN(AA419/Z419))+180,DEGREES(ATAN(AA419/Z419))-180),IF(AA419&gt;0,90,IF(AA419&lt;0,-90,0)))))</f>
        <v/>
      </c>
      <c r="AD419" s="195">
        <f>IF(B419="","",LOG10(B419))</f>
        <v/>
      </c>
      <c r="AE419" s="195">
        <f>IF(AB419="","",LOG10(MAX(AB419,1E-12)))</f>
        <v/>
      </c>
      <c r="AF419" s="195">
        <f>IF(B419="","",SQRT(P419^2+Q419^2))</f>
        <v/>
      </c>
      <c r="AG419" s="195">
        <f>IF(B419="","",SQRT(R419^2+S419^2))</f>
        <v/>
      </c>
    </row>
    <row r="420">
      <c r="A420" t="n">
        <v>417</v>
      </c>
      <c r="B420" s="196">
        <f>IF(A420&lt;='入力・概要'!$B$40,10^(LOG10('入力・概要'!$B$38)+(A420-1)*(LOG10('入力・概要'!$B$39)-LOG10('入力・概要'!$B$38))/('入力・概要'!$B$40-1)),"")</f>
        <v/>
      </c>
      <c r="C420" s="195">
        <f>IF(B420="","",2*PI()*B420)</f>
        <v/>
      </c>
      <c r="D420" s="195">
        <f>IF(B420="","",ATANH(MIN(0.999999,'入力・概要'!$E$20/'入力・概要'!$E$9))+'入力・概要'!$B$20*SQRT(B420/1E6)+E420*'入力・概要'!$B$15/2)</f>
        <v/>
      </c>
      <c r="E420" s="195">
        <f>IF(B420="","",C420*('入力・概要'!$E$11*1E-9))</f>
        <v/>
      </c>
      <c r="F420" s="195">
        <f>IF(B420="","",SINH(2*D420)/(COSH(2*D420)+COS(2*E420)))</f>
        <v/>
      </c>
      <c r="G420" s="195">
        <f>IF(B420="","",SIN(2*E420)/(COSH(2*D420)+COS(2*E420)))</f>
        <v/>
      </c>
      <c r="H420" s="195">
        <f>IF(B420="","",ATANH(MIN(0.999999,'入力・概要'!$E$21/'入力・概要'!$E$15))+'入力・概要'!$B$21*SQRT(B420/1E6)+I420*'入力・概要'!$B$16/2)</f>
        <v/>
      </c>
      <c r="I420" s="195">
        <f>IF(B420="","",C420*('入力・概要'!$E$17*1E-9))</f>
        <v/>
      </c>
      <c r="J420" s="195">
        <f>IF(B420="","",SINH(2*H420)/(COSH(2*H420)+COS(2*I420)))</f>
        <v/>
      </c>
      <c r="K420" s="195">
        <f>IF(B420="","",SIN(2*I420)/(COSH(2*H420)+COS(2*I420)))</f>
        <v/>
      </c>
      <c r="L420" s="195">
        <f>IF(B420="","",'入力・概要'!$B$25)</f>
        <v/>
      </c>
      <c r="M420" s="195">
        <f>IF(B420="","",C420*'入力・概要'!$B$26*1E-9-1/(C420*'入力・概要'!$B$24*1E-6))</f>
        <v/>
      </c>
      <c r="N420" s="195">
        <f>IF(B420="","",'入力・概要'!$B$28)</f>
        <v/>
      </c>
      <c r="O420" s="195">
        <f>IF(B420="","",C420*'入力・概要'!$B$29*1E-9-1/(C420*'入力・概要'!$B$27*1E-6))</f>
        <v/>
      </c>
      <c r="P420" s="195">
        <f>IF(B420="","",((L420*N420-M420*O420)*(L420+N420)+(L420*O420+M420*N420)*(M420+O420))/((L420+N420)^2+(M420+O420)^2))</f>
        <v/>
      </c>
      <c r="Q420" s="195">
        <f>IF(B420="","",((L420*O420+M420*N420)*(L420+N420)-(L420*N420-M420*O420)*(M420+O420))/((L420+N420)^2+(M420+O420)^2))</f>
        <v/>
      </c>
      <c r="R420" s="195">
        <f>IF(B420="","",'入力・概要'!$E$15*J420)</f>
        <v/>
      </c>
      <c r="S420" s="195">
        <f>IF(B420="","",'入力・概要'!$E$15*K420)</f>
        <v/>
      </c>
      <c r="T420" s="195">
        <f>IF(B420="","",P420+R420)</f>
        <v/>
      </c>
      <c r="U420" s="195">
        <f>IF(B420="","",Q420+S420)</f>
        <v/>
      </c>
      <c r="V420" s="195">
        <f>IF(B420="","",T420+'入力・概要'!$E$9*F420)</f>
        <v/>
      </c>
      <c r="W420" s="195">
        <f>IF(B420="","",U420+'入力・概要'!$E$9*G420)</f>
        <v/>
      </c>
      <c r="X420" s="195">
        <f>IF(B420="","",'入力・概要'!$E$9+T420*F420-U420*G420)</f>
        <v/>
      </c>
      <c r="Y420" s="195">
        <f>IF(B420="","",T420*G420+U420*F420)</f>
        <v/>
      </c>
      <c r="Z420" s="195">
        <f>IF(B420="","",'入力・概要'!$E$9*(V420*X420+W420*Y420)/(X420^2+Y420^2)+'入力・概要'!$B$36)</f>
        <v/>
      </c>
      <c r="AA420" s="195">
        <f>IF(B420="","",'入力・概要'!$E$9*(W420*X420-V420*Y420)/(X420^2+Y420^2)+C420*'入力・概要'!$B$37*1E-9)</f>
        <v/>
      </c>
      <c r="AB420" s="195">
        <f>IF(B420="","",SQRT(Z420^2+AA420^2))</f>
        <v/>
      </c>
      <c r="AC420" s="195">
        <f>IF(B420="","",IF(Z420&gt;0,DEGREES(ATAN(AA420/Z420)),IF(Z420&lt;0,IF(AA420&gt;=0,DEGREES(ATAN(AA420/Z420))+180,DEGREES(ATAN(AA420/Z420))-180),IF(AA420&gt;0,90,IF(AA420&lt;0,-90,0)))))</f>
        <v/>
      </c>
      <c r="AD420" s="195">
        <f>IF(B420="","",LOG10(B420))</f>
        <v/>
      </c>
      <c r="AE420" s="195">
        <f>IF(AB420="","",LOG10(MAX(AB420,1E-12)))</f>
        <v/>
      </c>
      <c r="AF420" s="195">
        <f>IF(B420="","",SQRT(P420^2+Q420^2))</f>
        <v/>
      </c>
      <c r="AG420" s="195">
        <f>IF(B420="","",SQRT(R420^2+S420^2))</f>
        <v/>
      </c>
    </row>
    <row r="421">
      <c r="A421" t="n">
        <v>418</v>
      </c>
      <c r="B421" s="196">
        <f>IF(A421&lt;='入力・概要'!$B$40,10^(LOG10('入力・概要'!$B$38)+(A421-1)*(LOG10('入力・概要'!$B$39)-LOG10('入力・概要'!$B$38))/('入力・概要'!$B$40-1)),"")</f>
        <v/>
      </c>
      <c r="C421" s="195">
        <f>IF(B421="","",2*PI()*B421)</f>
        <v/>
      </c>
      <c r="D421" s="195">
        <f>IF(B421="","",ATANH(MIN(0.999999,'入力・概要'!$E$20/'入力・概要'!$E$9))+'入力・概要'!$B$20*SQRT(B421/1E6)+E421*'入力・概要'!$B$15/2)</f>
        <v/>
      </c>
      <c r="E421" s="195">
        <f>IF(B421="","",C421*('入力・概要'!$E$11*1E-9))</f>
        <v/>
      </c>
      <c r="F421" s="195">
        <f>IF(B421="","",SINH(2*D421)/(COSH(2*D421)+COS(2*E421)))</f>
        <v/>
      </c>
      <c r="G421" s="195">
        <f>IF(B421="","",SIN(2*E421)/(COSH(2*D421)+COS(2*E421)))</f>
        <v/>
      </c>
      <c r="H421" s="195">
        <f>IF(B421="","",ATANH(MIN(0.999999,'入力・概要'!$E$21/'入力・概要'!$E$15))+'入力・概要'!$B$21*SQRT(B421/1E6)+I421*'入力・概要'!$B$16/2)</f>
        <v/>
      </c>
      <c r="I421" s="195">
        <f>IF(B421="","",C421*('入力・概要'!$E$17*1E-9))</f>
        <v/>
      </c>
      <c r="J421" s="195">
        <f>IF(B421="","",SINH(2*H421)/(COSH(2*H421)+COS(2*I421)))</f>
        <v/>
      </c>
      <c r="K421" s="195">
        <f>IF(B421="","",SIN(2*I421)/(COSH(2*H421)+COS(2*I421)))</f>
        <v/>
      </c>
      <c r="L421" s="195">
        <f>IF(B421="","",'入力・概要'!$B$25)</f>
        <v/>
      </c>
      <c r="M421" s="195">
        <f>IF(B421="","",C421*'入力・概要'!$B$26*1E-9-1/(C421*'入力・概要'!$B$24*1E-6))</f>
        <v/>
      </c>
      <c r="N421" s="195">
        <f>IF(B421="","",'入力・概要'!$B$28)</f>
        <v/>
      </c>
      <c r="O421" s="195">
        <f>IF(B421="","",C421*'入力・概要'!$B$29*1E-9-1/(C421*'入力・概要'!$B$27*1E-6))</f>
        <v/>
      </c>
      <c r="P421" s="195">
        <f>IF(B421="","",((L421*N421-M421*O421)*(L421+N421)+(L421*O421+M421*N421)*(M421+O421))/((L421+N421)^2+(M421+O421)^2))</f>
        <v/>
      </c>
      <c r="Q421" s="195">
        <f>IF(B421="","",((L421*O421+M421*N421)*(L421+N421)-(L421*N421-M421*O421)*(M421+O421))/((L421+N421)^2+(M421+O421)^2))</f>
        <v/>
      </c>
      <c r="R421" s="195">
        <f>IF(B421="","",'入力・概要'!$E$15*J421)</f>
        <v/>
      </c>
      <c r="S421" s="195">
        <f>IF(B421="","",'入力・概要'!$E$15*K421)</f>
        <v/>
      </c>
      <c r="T421" s="195">
        <f>IF(B421="","",P421+R421)</f>
        <v/>
      </c>
      <c r="U421" s="195">
        <f>IF(B421="","",Q421+S421)</f>
        <v/>
      </c>
      <c r="V421" s="195">
        <f>IF(B421="","",T421+'入力・概要'!$E$9*F421)</f>
        <v/>
      </c>
      <c r="W421" s="195">
        <f>IF(B421="","",U421+'入力・概要'!$E$9*G421)</f>
        <v/>
      </c>
      <c r="X421" s="195">
        <f>IF(B421="","",'入力・概要'!$E$9+T421*F421-U421*G421)</f>
        <v/>
      </c>
      <c r="Y421" s="195">
        <f>IF(B421="","",T421*G421+U421*F421)</f>
        <v/>
      </c>
      <c r="Z421" s="195">
        <f>IF(B421="","",'入力・概要'!$E$9*(V421*X421+W421*Y421)/(X421^2+Y421^2)+'入力・概要'!$B$36)</f>
        <v/>
      </c>
      <c r="AA421" s="195">
        <f>IF(B421="","",'入力・概要'!$E$9*(W421*X421-V421*Y421)/(X421^2+Y421^2)+C421*'入力・概要'!$B$37*1E-9)</f>
        <v/>
      </c>
      <c r="AB421" s="195">
        <f>IF(B421="","",SQRT(Z421^2+AA421^2))</f>
        <v/>
      </c>
      <c r="AC421" s="195">
        <f>IF(B421="","",IF(Z421&gt;0,DEGREES(ATAN(AA421/Z421)),IF(Z421&lt;0,IF(AA421&gt;=0,DEGREES(ATAN(AA421/Z421))+180,DEGREES(ATAN(AA421/Z421))-180),IF(AA421&gt;0,90,IF(AA421&lt;0,-90,0)))))</f>
        <v/>
      </c>
      <c r="AD421" s="195">
        <f>IF(B421="","",LOG10(B421))</f>
        <v/>
      </c>
      <c r="AE421" s="195">
        <f>IF(AB421="","",LOG10(MAX(AB421,1E-12)))</f>
        <v/>
      </c>
      <c r="AF421" s="195">
        <f>IF(B421="","",SQRT(P421^2+Q421^2))</f>
        <v/>
      </c>
      <c r="AG421" s="195">
        <f>IF(B421="","",SQRT(R421^2+S421^2))</f>
        <v/>
      </c>
    </row>
    <row r="422">
      <c r="A422" t="n">
        <v>419</v>
      </c>
      <c r="B422" s="196">
        <f>IF(A422&lt;='入力・概要'!$B$40,10^(LOG10('入力・概要'!$B$38)+(A422-1)*(LOG10('入力・概要'!$B$39)-LOG10('入力・概要'!$B$38))/('入力・概要'!$B$40-1)),"")</f>
        <v/>
      </c>
      <c r="C422" s="195">
        <f>IF(B422="","",2*PI()*B422)</f>
        <v/>
      </c>
      <c r="D422" s="195">
        <f>IF(B422="","",ATANH(MIN(0.999999,'入力・概要'!$E$20/'入力・概要'!$E$9))+'入力・概要'!$B$20*SQRT(B422/1E6)+E422*'入力・概要'!$B$15/2)</f>
        <v/>
      </c>
      <c r="E422" s="195">
        <f>IF(B422="","",C422*('入力・概要'!$E$11*1E-9))</f>
        <v/>
      </c>
      <c r="F422" s="195">
        <f>IF(B422="","",SINH(2*D422)/(COSH(2*D422)+COS(2*E422)))</f>
        <v/>
      </c>
      <c r="G422" s="195">
        <f>IF(B422="","",SIN(2*E422)/(COSH(2*D422)+COS(2*E422)))</f>
        <v/>
      </c>
      <c r="H422" s="195">
        <f>IF(B422="","",ATANH(MIN(0.999999,'入力・概要'!$E$21/'入力・概要'!$E$15))+'入力・概要'!$B$21*SQRT(B422/1E6)+I422*'入力・概要'!$B$16/2)</f>
        <v/>
      </c>
      <c r="I422" s="195">
        <f>IF(B422="","",C422*('入力・概要'!$E$17*1E-9))</f>
        <v/>
      </c>
      <c r="J422" s="195">
        <f>IF(B422="","",SINH(2*H422)/(COSH(2*H422)+COS(2*I422)))</f>
        <v/>
      </c>
      <c r="K422" s="195">
        <f>IF(B422="","",SIN(2*I422)/(COSH(2*H422)+COS(2*I422)))</f>
        <v/>
      </c>
      <c r="L422" s="195">
        <f>IF(B422="","",'入力・概要'!$B$25)</f>
        <v/>
      </c>
      <c r="M422" s="195">
        <f>IF(B422="","",C422*'入力・概要'!$B$26*1E-9-1/(C422*'入力・概要'!$B$24*1E-6))</f>
        <v/>
      </c>
      <c r="N422" s="195">
        <f>IF(B422="","",'入力・概要'!$B$28)</f>
        <v/>
      </c>
      <c r="O422" s="195">
        <f>IF(B422="","",C422*'入力・概要'!$B$29*1E-9-1/(C422*'入力・概要'!$B$27*1E-6))</f>
        <v/>
      </c>
      <c r="P422" s="195">
        <f>IF(B422="","",((L422*N422-M422*O422)*(L422+N422)+(L422*O422+M422*N422)*(M422+O422))/((L422+N422)^2+(M422+O422)^2))</f>
        <v/>
      </c>
      <c r="Q422" s="195">
        <f>IF(B422="","",((L422*O422+M422*N422)*(L422+N422)-(L422*N422-M422*O422)*(M422+O422))/((L422+N422)^2+(M422+O422)^2))</f>
        <v/>
      </c>
      <c r="R422" s="195">
        <f>IF(B422="","",'入力・概要'!$E$15*J422)</f>
        <v/>
      </c>
      <c r="S422" s="195">
        <f>IF(B422="","",'入力・概要'!$E$15*K422)</f>
        <v/>
      </c>
      <c r="T422" s="195">
        <f>IF(B422="","",P422+R422)</f>
        <v/>
      </c>
      <c r="U422" s="195">
        <f>IF(B422="","",Q422+S422)</f>
        <v/>
      </c>
      <c r="V422" s="195">
        <f>IF(B422="","",T422+'入力・概要'!$E$9*F422)</f>
        <v/>
      </c>
      <c r="W422" s="195">
        <f>IF(B422="","",U422+'入力・概要'!$E$9*G422)</f>
        <v/>
      </c>
      <c r="X422" s="195">
        <f>IF(B422="","",'入力・概要'!$E$9+T422*F422-U422*G422)</f>
        <v/>
      </c>
      <c r="Y422" s="195">
        <f>IF(B422="","",T422*G422+U422*F422)</f>
        <v/>
      </c>
      <c r="Z422" s="195">
        <f>IF(B422="","",'入力・概要'!$E$9*(V422*X422+W422*Y422)/(X422^2+Y422^2)+'入力・概要'!$B$36)</f>
        <v/>
      </c>
      <c r="AA422" s="195">
        <f>IF(B422="","",'入力・概要'!$E$9*(W422*X422-V422*Y422)/(X422^2+Y422^2)+C422*'入力・概要'!$B$37*1E-9)</f>
        <v/>
      </c>
      <c r="AB422" s="195">
        <f>IF(B422="","",SQRT(Z422^2+AA422^2))</f>
        <v/>
      </c>
      <c r="AC422" s="195">
        <f>IF(B422="","",IF(Z422&gt;0,DEGREES(ATAN(AA422/Z422)),IF(Z422&lt;0,IF(AA422&gt;=0,DEGREES(ATAN(AA422/Z422))+180,DEGREES(ATAN(AA422/Z422))-180),IF(AA422&gt;0,90,IF(AA422&lt;0,-90,0)))))</f>
        <v/>
      </c>
      <c r="AD422" s="195">
        <f>IF(B422="","",LOG10(B422))</f>
        <v/>
      </c>
      <c r="AE422" s="195">
        <f>IF(AB422="","",LOG10(MAX(AB422,1E-12)))</f>
        <v/>
      </c>
      <c r="AF422" s="195">
        <f>IF(B422="","",SQRT(P422^2+Q422^2))</f>
        <v/>
      </c>
      <c r="AG422" s="195">
        <f>IF(B422="","",SQRT(R422^2+S422^2))</f>
        <v/>
      </c>
    </row>
    <row r="423">
      <c r="A423" t="n">
        <v>420</v>
      </c>
      <c r="B423" s="196">
        <f>IF(A423&lt;='入力・概要'!$B$40,10^(LOG10('入力・概要'!$B$38)+(A423-1)*(LOG10('入力・概要'!$B$39)-LOG10('入力・概要'!$B$38))/('入力・概要'!$B$40-1)),"")</f>
        <v/>
      </c>
      <c r="C423" s="195">
        <f>IF(B423="","",2*PI()*B423)</f>
        <v/>
      </c>
      <c r="D423" s="195">
        <f>IF(B423="","",ATANH(MIN(0.999999,'入力・概要'!$E$20/'入力・概要'!$E$9))+'入力・概要'!$B$20*SQRT(B423/1E6)+E423*'入力・概要'!$B$15/2)</f>
        <v/>
      </c>
      <c r="E423" s="195">
        <f>IF(B423="","",C423*('入力・概要'!$E$11*1E-9))</f>
        <v/>
      </c>
      <c r="F423" s="195">
        <f>IF(B423="","",SINH(2*D423)/(COSH(2*D423)+COS(2*E423)))</f>
        <v/>
      </c>
      <c r="G423" s="195">
        <f>IF(B423="","",SIN(2*E423)/(COSH(2*D423)+COS(2*E423)))</f>
        <v/>
      </c>
      <c r="H423" s="195">
        <f>IF(B423="","",ATANH(MIN(0.999999,'入力・概要'!$E$21/'入力・概要'!$E$15))+'入力・概要'!$B$21*SQRT(B423/1E6)+I423*'入力・概要'!$B$16/2)</f>
        <v/>
      </c>
      <c r="I423" s="195">
        <f>IF(B423="","",C423*('入力・概要'!$E$17*1E-9))</f>
        <v/>
      </c>
      <c r="J423" s="195">
        <f>IF(B423="","",SINH(2*H423)/(COSH(2*H423)+COS(2*I423)))</f>
        <v/>
      </c>
      <c r="K423" s="195">
        <f>IF(B423="","",SIN(2*I423)/(COSH(2*H423)+COS(2*I423)))</f>
        <v/>
      </c>
      <c r="L423" s="195">
        <f>IF(B423="","",'入力・概要'!$B$25)</f>
        <v/>
      </c>
      <c r="M423" s="195">
        <f>IF(B423="","",C423*'入力・概要'!$B$26*1E-9-1/(C423*'入力・概要'!$B$24*1E-6))</f>
        <v/>
      </c>
      <c r="N423" s="195">
        <f>IF(B423="","",'入力・概要'!$B$28)</f>
        <v/>
      </c>
      <c r="O423" s="195">
        <f>IF(B423="","",C423*'入力・概要'!$B$29*1E-9-1/(C423*'入力・概要'!$B$27*1E-6))</f>
        <v/>
      </c>
      <c r="P423" s="195">
        <f>IF(B423="","",((L423*N423-M423*O423)*(L423+N423)+(L423*O423+M423*N423)*(M423+O423))/((L423+N423)^2+(M423+O423)^2))</f>
        <v/>
      </c>
      <c r="Q423" s="195">
        <f>IF(B423="","",((L423*O423+M423*N423)*(L423+N423)-(L423*N423-M423*O423)*(M423+O423))/((L423+N423)^2+(M423+O423)^2))</f>
        <v/>
      </c>
      <c r="R423" s="195">
        <f>IF(B423="","",'入力・概要'!$E$15*J423)</f>
        <v/>
      </c>
      <c r="S423" s="195">
        <f>IF(B423="","",'入力・概要'!$E$15*K423)</f>
        <v/>
      </c>
      <c r="T423" s="195">
        <f>IF(B423="","",P423+R423)</f>
        <v/>
      </c>
      <c r="U423" s="195">
        <f>IF(B423="","",Q423+S423)</f>
        <v/>
      </c>
      <c r="V423" s="195">
        <f>IF(B423="","",T423+'入力・概要'!$E$9*F423)</f>
        <v/>
      </c>
      <c r="W423" s="195">
        <f>IF(B423="","",U423+'入力・概要'!$E$9*G423)</f>
        <v/>
      </c>
      <c r="X423" s="195">
        <f>IF(B423="","",'入力・概要'!$E$9+T423*F423-U423*G423)</f>
        <v/>
      </c>
      <c r="Y423" s="195">
        <f>IF(B423="","",T423*G423+U423*F423)</f>
        <v/>
      </c>
      <c r="Z423" s="195">
        <f>IF(B423="","",'入力・概要'!$E$9*(V423*X423+W423*Y423)/(X423^2+Y423^2)+'入力・概要'!$B$36)</f>
        <v/>
      </c>
      <c r="AA423" s="195">
        <f>IF(B423="","",'入力・概要'!$E$9*(W423*X423-V423*Y423)/(X423^2+Y423^2)+C423*'入力・概要'!$B$37*1E-9)</f>
        <v/>
      </c>
      <c r="AB423" s="195">
        <f>IF(B423="","",SQRT(Z423^2+AA423^2))</f>
        <v/>
      </c>
      <c r="AC423" s="195">
        <f>IF(B423="","",IF(Z423&gt;0,DEGREES(ATAN(AA423/Z423)),IF(Z423&lt;0,IF(AA423&gt;=0,DEGREES(ATAN(AA423/Z423))+180,DEGREES(ATAN(AA423/Z423))-180),IF(AA423&gt;0,90,IF(AA423&lt;0,-90,0)))))</f>
        <v/>
      </c>
      <c r="AD423" s="195">
        <f>IF(B423="","",LOG10(B423))</f>
        <v/>
      </c>
      <c r="AE423" s="195">
        <f>IF(AB423="","",LOG10(MAX(AB423,1E-12)))</f>
        <v/>
      </c>
      <c r="AF423" s="195">
        <f>IF(B423="","",SQRT(P423^2+Q423^2))</f>
        <v/>
      </c>
      <c r="AG423" s="195">
        <f>IF(B423="","",SQRT(R423^2+S423^2))</f>
        <v/>
      </c>
    </row>
    <row r="424">
      <c r="A424" t="n">
        <v>421</v>
      </c>
      <c r="B424" s="196">
        <f>IF(A424&lt;='入力・概要'!$B$40,10^(LOG10('入力・概要'!$B$38)+(A424-1)*(LOG10('入力・概要'!$B$39)-LOG10('入力・概要'!$B$38))/('入力・概要'!$B$40-1)),"")</f>
        <v/>
      </c>
      <c r="C424" s="195">
        <f>IF(B424="","",2*PI()*B424)</f>
        <v/>
      </c>
      <c r="D424" s="195">
        <f>IF(B424="","",ATANH(MIN(0.999999,'入力・概要'!$E$20/'入力・概要'!$E$9))+'入力・概要'!$B$20*SQRT(B424/1E6)+E424*'入力・概要'!$B$15/2)</f>
        <v/>
      </c>
      <c r="E424" s="195">
        <f>IF(B424="","",C424*('入力・概要'!$E$11*1E-9))</f>
        <v/>
      </c>
      <c r="F424" s="195">
        <f>IF(B424="","",SINH(2*D424)/(COSH(2*D424)+COS(2*E424)))</f>
        <v/>
      </c>
      <c r="G424" s="195">
        <f>IF(B424="","",SIN(2*E424)/(COSH(2*D424)+COS(2*E424)))</f>
        <v/>
      </c>
      <c r="H424" s="195">
        <f>IF(B424="","",ATANH(MIN(0.999999,'入力・概要'!$E$21/'入力・概要'!$E$15))+'入力・概要'!$B$21*SQRT(B424/1E6)+I424*'入力・概要'!$B$16/2)</f>
        <v/>
      </c>
      <c r="I424" s="195">
        <f>IF(B424="","",C424*('入力・概要'!$E$17*1E-9))</f>
        <v/>
      </c>
      <c r="J424" s="195">
        <f>IF(B424="","",SINH(2*H424)/(COSH(2*H424)+COS(2*I424)))</f>
        <v/>
      </c>
      <c r="K424" s="195">
        <f>IF(B424="","",SIN(2*I424)/(COSH(2*H424)+COS(2*I424)))</f>
        <v/>
      </c>
      <c r="L424" s="195">
        <f>IF(B424="","",'入力・概要'!$B$25)</f>
        <v/>
      </c>
      <c r="M424" s="195">
        <f>IF(B424="","",C424*'入力・概要'!$B$26*1E-9-1/(C424*'入力・概要'!$B$24*1E-6))</f>
        <v/>
      </c>
      <c r="N424" s="195">
        <f>IF(B424="","",'入力・概要'!$B$28)</f>
        <v/>
      </c>
      <c r="O424" s="195">
        <f>IF(B424="","",C424*'入力・概要'!$B$29*1E-9-1/(C424*'入力・概要'!$B$27*1E-6))</f>
        <v/>
      </c>
      <c r="P424" s="195">
        <f>IF(B424="","",((L424*N424-M424*O424)*(L424+N424)+(L424*O424+M424*N424)*(M424+O424))/((L424+N424)^2+(M424+O424)^2))</f>
        <v/>
      </c>
      <c r="Q424" s="195">
        <f>IF(B424="","",((L424*O424+M424*N424)*(L424+N424)-(L424*N424-M424*O424)*(M424+O424))/((L424+N424)^2+(M424+O424)^2))</f>
        <v/>
      </c>
      <c r="R424" s="195">
        <f>IF(B424="","",'入力・概要'!$E$15*J424)</f>
        <v/>
      </c>
      <c r="S424" s="195">
        <f>IF(B424="","",'入力・概要'!$E$15*K424)</f>
        <v/>
      </c>
      <c r="T424" s="195">
        <f>IF(B424="","",P424+R424)</f>
        <v/>
      </c>
      <c r="U424" s="195">
        <f>IF(B424="","",Q424+S424)</f>
        <v/>
      </c>
      <c r="V424" s="195">
        <f>IF(B424="","",T424+'入力・概要'!$E$9*F424)</f>
        <v/>
      </c>
      <c r="W424" s="195">
        <f>IF(B424="","",U424+'入力・概要'!$E$9*G424)</f>
        <v/>
      </c>
      <c r="X424" s="195">
        <f>IF(B424="","",'入力・概要'!$E$9+T424*F424-U424*G424)</f>
        <v/>
      </c>
      <c r="Y424" s="195">
        <f>IF(B424="","",T424*G424+U424*F424)</f>
        <v/>
      </c>
      <c r="Z424" s="195">
        <f>IF(B424="","",'入力・概要'!$E$9*(V424*X424+W424*Y424)/(X424^2+Y424^2)+'入力・概要'!$B$36)</f>
        <v/>
      </c>
      <c r="AA424" s="195">
        <f>IF(B424="","",'入力・概要'!$E$9*(W424*X424-V424*Y424)/(X424^2+Y424^2)+C424*'入力・概要'!$B$37*1E-9)</f>
        <v/>
      </c>
      <c r="AB424" s="195">
        <f>IF(B424="","",SQRT(Z424^2+AA424^2))</f>
        <v/>
      </c>
      <c r="AC424" s="195">
        <f>IF(B424="","",IF(Z424&gt;0,DEGREES(ATAN(AA424/Z424)),IF(Z424&lt;0,IF(AA424&gt;=0,DEGREES(ATAN(AA424/Z424))+180,DEGREES(ATAN(AA424/Z424))-180),IF(AA424&gt;0,90,IF(AA424&lt;0,-90,0)))))</f>
        <v/>
      </c>
      <c r="AD424" s="195">
        <f>IF(B424="","",LOG10(B424))</f>
        <v/>
      </c>
      <c r="AE424" s="195">
        <f>IF(AB424="","",LOG10(MAX(AB424,1E-12)))</f>
        <v/>
      </c>
      <c r="AF424" s="195">
        <f>IF(B424="","",SQRT(P424^2+Q424^2))</f>
        <v/>
      </c>
      <c r="AG424" s="195">
        <f>IF(B424="","",SQRT(R424^2+S424^2))</f>
        <v/>
      </c>
    </row>
    <row r="425">
      <c r="A425" t="n">
        <v>422</v>
      </c>
      <c r="B425" s="196">
        <f>IF(A425&lt;='入力・概要'!$B$40,10^(LOG10('入力・概要'!$B$38)+(A425-1)*(LOG10('入力・概要'!$B$39)-LOG10('入力・概要'!$B$38))/('入力・概要'!$B$40-1)),"")</f>
        <v/>
      </c>
      <c r="C425" s="195">
        <f>IF(B425="","",2*PI()*B425)</f>
        <v/>
      </c>
      <c r="D425" s="195">
        <f>IF(B425="","",ATANH(MIN(0.999999,'入力・概要'!$E$20/'入力・概要'!$E$9))+'入力・概要'!$B$20*SQRT(B425/1E6)+E425*'入力・概要'!$B$15/2)</f>
        <v/>
      </c>
      <c r="E425" s="195">
        <f>IF(B425="","",C425*('入力・概要'!$E$11*1E-9))</f>
        <v/>
      </c>
      <c r="F425" s="195">
        <f>IF(B425="","",SINH(2*D425)/(COSH(2*D425)+COS(2*E425)))</f>
        <v/>
      </c>
      <c r="G425" s="195">
        <f>IF(B425="","",SIN(2*E425)/(COSH(2*D425)+COS(2*E425)))</f>
        <v/>
      </c>
      <c r="H425" s="195">
        <f>IF(B425="","",ATANH(MIN(0.999999,'入力・概要'!$E$21/'入力・概要'!$E$15))+'入力・概要'!$B$21*SQRT(B425/1E6)+I425*'入力・概要'!$B$16/2)</f>
        <v/>
      </c>
      <c r="I425" s="195">
        <f>IF(B425="","",C425*('入力・概要'!$E$17*1E-9))</f>
        <v/>
      </c>
      <c r="J425" s="195">
        <f>IF(B425="","",SINH(2*H425)/(COSH(2*H425)+COS(2*I425)))</f>
        <v/>
      </c>
      <c r="K425" s="195">
        <f>IF(B425="","",SIN(2*I425)/(COSH(2*H425)+COS(2*I425)))</f>
        <v/>
      </c>
      <c r="L425" s="195">
        <f>IF(B425="","",'入力・概要'!$B$25)</f>
        <v/>
      </c>
      <c r="M425" s="195">
        <f>IF(B425="","",C425*'入力・概要'!$B$26*1E-9-1/(C425*'入力・概要'!$B$24*1E-6))</f>
        <v/>
      </c>
      <c r="N425" s="195">
        <f>IF(B425="","",'入力・概要'!$B$28)</f>
        <v/>
      </c>
      <c r="O425" s="195">
        <f>IF(B425="","",C425*'入力・概要'!$B$29*1E-9-1/(C425*'入力・概要'!$B$27*1E-6))</f>
        <v/>
      </c>
      <c r="P425" s="195">
        <f>IF(B425="","",((L425*N425-M425*O425)*(L425+N425)+(L425*O425+M425*N425)*(M425+O425))/((L425+N425)^2+(M425+O425)^2))</f>
        <v/>
      </c>
      <c r="Q425" s="195">
        <f>IF(B425="","",((L425*O425+M425*N425)*(L425+N425)-(L425*N425-M425*O425)*(M425+O425))/((L425+N425)^2+(M425+O425)^2))</f>
        <v/>
      </c>
      <c r="R425" s="195">
        <f>IF(B425="","",'入力・概要'!$E$15*J425)</f>
        <v/>
      </c>
      <c r="S425" s="195">
        <f>IF(B425="","",'入力・概要'!$E$15*K425)</f>
        <v/>
      </c>
      <c r="T425" s="195">
        <f>IF(B425="","",P425+R425)</f>
        <v/>
      </c>
      <c r="U425" s="195">
        <f>IF(B425="","",Q425+S425)</f>
        <v/>
      </c>
      <c r="V425" s="195">
        <f>IF(B425="","",T425+'入力・概要'!$E$9*F425)</f>
        <v/>
      </c>
      <c r="W425" s="195">
        <f>IF(B425="","",U425+'入力・概要'!$E$9*G425)</f>
        <v/>
      </c>
      <c r="X425" s="195">
        <f>IF(B425="","",'入力・概要'!$E$9+T425*F425-U425*G425)</f>
        <v/>
      </c>
      <c r="Y425" s="195">
        <f>IF(B425="","",T425*G425+U425*F425)</f>
        <v/>
      </c>
      <c r="Z425" s="195">
        <f>IF(B425="","",'入力・概要'!$E$9*(V425*X425+W425*Y425)/(X425^2+Y425^2)+'入力・概要'!$B$36)</f>
        <v/>
      </c>
      <c r="AA425" s="195">
        <f>IF(B425="","",'入力・概要'!$E$9*(W425*X425-V425*Y425)/(X425^2+Y425^2)+C425*'入力・概要'!$B$37*1E-9)</f>
        <v/>
      </c>
      <c r="AB425" s="195">
        <f>IF(B425="","",SQRT(Z425^2+AA425^2))</f>
        <v/>
      </c>
      <c r="AC425" s="195">
        <f>IF(B425="","",IF(Z425&gt;0,DEGREES(ATAN(AA425/Z425)),IF(Z425&lt;0,IF(AA425&gt;=0,DEGREES(ATAN(AA425/Z425))+180,DEGREES(ATAN(AA425/Z425))-180),IF(AA425&gt;0,90,IF(AA425&lt;0,-90,0)))))</f>
        <v/>
      </c>
      <c r="AD425" s="195">
        <f>IF(B425="","",LOG10(B425))</f>
        <v/>
      </c>
      <c r="AE425" s="195">
        <f>IF(AB425="","",LOG10(MAX(AB425,1E-12)))</f>
        <v/>
      </c>
      <c r="AF425" s="195">
        <f>IF(B425="","",SQRT(P425^2+Q425^2))</f>
        <v/>
      </c>
      <c r="AG425" s="195">
        <f>IF(B425="","",SQRT(R425^2+S425^2))</f>
        <v/>
      </c>
    </row>
    <row r="426">
      <c r="A426" t="n">
        <v>423</v>
      </c>
      <c r="B426" s="196">
        <f>IF(A426&lt;='入力・概要'!$B$40,10^(LOG10('入力・概要'!$B$38)+(A426-1)*(LOG10('入力・概要'!$B$39)-LOG10('入力・概要'!$B$38))/('入力・概要'!$B$40-1)),"")</f>
        <v/>
      </c>
      <c r="C426" s="195">
        <f>IF(B426="","",2*PI()*B426)</f>
        <v/>
      </c>
      <c r="D426" s="195">
        <f>IF(B426="","",ATANH(MIN(0.999999,'入力・概要'!$E$20/'入力・概要'!$E$9))+'入力・概要'!$B$20*SQRT(B426/1E6)+E426*'入力・概要'!$B$15/2)</f>
        <v/>
      </c>
      <c r="E426" s="195">
        <f>IF(B426="","",C426*('入力・概要'!$E$11*1E-9))</f>
        <v/>
      </c>
      <c r="F426" s="195">
        <f>IF(B426="","",SINH(2*D426)/(COSH(2*D426)+COS(2*E426)))</f>
        <v/>
      </c>
      <c r="G426" s="195">
        <f>IF(B426="","",SIN(2*E426)/(COSH(2*D426)+COS(2*E426)))</f>
        <v/>
      </c>
      <c r="H426" s="195">
        <f>IF(B426="","",ATANH(MIN(0.999999,'入力・概要'!$E$21/'入力・概要'!$E$15))+'入力・概要'!$B$21*SQRT(B426/1E6)+I426*'入力・概要'!$B$16/2)</f>
        <v/>
      </c>
      <c r="I426" s="195">
        <f>IF(B426="","",C426*('入力・概要'!$E$17*1E-9))</f>
        <v/>
      </c>
      <c r="J426" s="195">
        <f>IF(B426="","",SINH(2*H426)/(COSH(2*H426)+COS(2*I426)))</f>
        <v/>
      </c>
      <c r="K426" s="195">
        <f>IF(B426="","",SIN(2*I426)/(COSH(2*H426)+COS(2*I426)))</f>
        <v/>
      </c>
      <c r="L426" s="195">
        <f>IF(B426="","",'入力・概要'!$B$25)</f>
        <v/>
      </c>
      <c r="M426" s="195">
        <f>IF(B426="","",C426*'入力・概要'!$B$26*1E-9-1/(C426*'入力・概要'!$B$24*1E-6))</f>
        <v/>
      </c>
      <c r="N426" s="195">
        <f>IF(B426="","",'入力・概要'!$B$28)</f>
        <v/>
      </c>
      <c r="O426" s="195">
        <f>IF(B426="","",C426*'入力・概要'!$B$29*1E-9-1/(C426*'入力・概要'!$B$27*1E-6))</f>
        <v/>
      </c>
      <c r="P426" s="195">
        <f>IF(B426="","",((L426*N426-M426*O426)*(L426+N426)+(L426*O426+M426*N426)*(M426+O426))/((L426+N426)^2+(M426+O426)^2))</f>
        <v/>
      </c>
      <c r="Q426" s="195">
        <f>IF(B426="","",((L426*O426+M426*N426)*(L426+N426)-(L426*N426-M426*O426)*(M426+O426))/((L426+N426)^2+(M426+O426)^2))</f>
        <v/>
      </c>
      <c r="R426" s="195">
        <f>IF(B426="","",'入力・概要'!$E$15*J426)</f>
        <v/>
      </c>
      <c r="S426" s="195">
        <f>IF(B426="","",'入力・概要'!$E$15*K426)</f>
        <v/>
      </c>
      <c r="T426" s="195">
        <f>IF(B426="","",P426+R426)</f>
        <v/>
      </c>
      <c r="U426" s="195">
        <f>IF(B426="","",Q426+S426)</f>
        <v/>
      </c>
      <c r="V426" s="195">
        <f>IF(B426="","",T426+'入力・概要'!$E$9*F426)</f>
        <v/>
      </c>
      <c r="W426" s="195">
        <f>IF(B426="","",U426+'入力・概要'!$E$9*G426)</f>
        <v/>
      </c>
      <c r="X426" s="195">
        <f>IF(B426="","",'入力・概要'!$E$9+T426*F426-U426*G426)</f>
        <v/>
      </c>
      <c r="Y426" s="195">
        <f>IF(B426="","",T426*G426+U426*F426)</f>
        <v/>
      </c>
      <c r="Z426" s="195">
        <f>IF(B426="","",'入力・概要'!$E$9*(V426*X426+W426*Y426)/(X426^2+Y426^2)+'入力・概要'!$B$36)</f>
        <v/>
      </c>
      <c r="AA426" s="195">
        <f>IF(B426="","",'入力・概要'!$E$9*(W426*X426-V426*Y426)/(X426^2+Y426^2)+C426*'入力・概要'!$B$37*1E-9)</f>
        <v/>
      </c>
      <c r="AB426" s="195">
        <f>IF(B426="","",SQRT(Z426^2+AA426^2))</f>
        <v/>
      </c>
      <c r="AC426" s="195">
        <f>IF(B426="","",IF(Z426&gt;0,DEGREES(ATAN(AA426/Z426)),IF(Z426&lt;0,IF(AA426&gt;=0,DEGREES(ATAN(AA426/Z426))+180,DEGREES(ATAN(AA426/Z426))-180),IF(AA426&gt;0,90,IF(AA426&lt;0,-90,0)))))</f>
        <v/>
      </c>
      <c r="AD426" s="195">
        <f>IF(B426="","",LOG10(B426))</f>
        <v/>
      </c>
      <c r="AE426" s="195">
        <f>IF(AB426="","",LOG10(MAX(AB426,1E-12)))</f>
        <v/>
      </c>
      <c r="AF426" s="195">
        <f>IF(B426="","",SQRT(P426^2+Q426^2))</f>
        <v/>
      </c>
      <c r="AG426" s="195">
        <f>IF(B426="","",SQRT(R426^2+S426^2))</f>
        <v/>
      </c>
    </row>
    <row r="427">
      <c r="A427" t="n">
        <v>424</v>
      </c>
      <c r="B427" s="196">
        <f>IF(A427&lt;='入力・概要'!$B$40,10^(LOG10('入力・概要'!$B$38)+(A427-1)*(LOG10('入力・概要'!$B$39)-LOG10('入力・概要'!$B$38))/('入力・概要'!$B$40-1)),"")</f>
        <v/>
      </c>
      <c r="C427" s="195">
        <f>IF(B427="","",2*PI()*B427)</f>
        <v/>
      </c>
      <c r="D427" s="195">
        <f>IF(B427="","",ATANH(MIN(0.999999,'入力・概要'!$E$20/'入力・概要'!$E$9))+'入力・概要'!$B$20*SQRT(B427/1E6)+E427*'入力・概要'!$B$15/2)</f>
        <v/>
      </c>
      <c r="E427" s="195">
        <f>IF(B427="","",C427*('入力・概要'!$E$11*1E-9))</f>
        <v/>
      </c>
      <c r="F427" s="195">
        <f>IF(B427="","",SINH(2*D427)/(COSH(2*D427)+COS(2*E427)))</f>
        <v/>
      </c>
      <c r="G427" s="195">
        <f>IF(B427="","",SIN(2*E427)/(COSH(2*D427)+COS(2*E427)))</f>
        <v/>
      </c>
      <c r="H427" s="195">
        <f>IF(B427="","",ATANH(MIN(0.999999,'入力・概要'!$E$21/'入力・概要'!$E$15))+'入力・概要'!$B$21*SQRT(B427/1E6)+I427*'入力・概要'!$B$16/2)</f>
        <v/>
      </c>
      <c r="I427" s="195">
        <f>IF(B427="","",C427*('入力・概要'!$E$17*1E-9))</f>
        <v/>
      </c>
      <c r="J427" s="195">
        <f>IF(B427="","",SINH(2*H427)/(COSH(2*H427)+COS(2*I427)))</f>
        <v/>
      </c>
      <c r="K427" s="195">
        <f>IF(B427="","",SIN(2*I427)/(COSH(2*H427)+COS(2*I427)))</f>
        <v/>
      </c>
      <c r="L427" s="195">
        <f>IF(B427="","",'入力・概要'!$B$25)</f>
        <v/>
      </c>
      <c r="M427" s="195">
        <f>IF(B427="","",C427*'入力・概要'!$B$26*1E-9-1/(C427*'入力・概要'!$B$24*1E-6))</f>
        <v/>
      </c>
      <c r="N427" s="195">
        <f>IF(B427="","",'入力・概要'!$B$28)</f>
        <v/>
      </c>
      <c r="O427" s="195">
        <f>IF(B427="","",C427*'入力・概要'!$B$29*1E-9-1/(C427*'入力・概要'!$B$27*1E-6))</f>
        <v/>
      </c>
      <c r="P427" s="195">
        <f>IF(B427="","",((L427*N427-M427*O427)*(L427+N427)+(L427*O427+M427*N427)*(M427+O427))/((L427+N427)^2+(M427+O427)^2))</f>
        <v/>
      </c>
      <c r="Q427" s="195">
        <f>IF(B427="","",((L427*O427+M427*N427)*(L427+N427)-(L427*N427-M427*O427)*(M427+O427))/((L427+N427)^2+(M427+O427)^2))</f>
        <v/>
      </c>
      <c r="R427" s="195">
        <f>IF(B427="","",'入力・概要'!$E$15*J427)</f>
        <v/>
      </c>
      <c r="S427" s="195">
        <f>IF(B427="","",'入力・概要'!$E$15*K427)</f>
        <v/>
      </c>
      <c r="T427" s="195">
        <f>IF(B427="","",P427+R427)</f>
        <v/>
      </c>
      <c r="U427" s="195">
        <f>IF(B427="","",Q427+S427)</f>
        <v/>
      </c>
      <c r="V427" s="195">
        <f>IF(B427="","",T427+'入力・概要'!$E$9*F427)</f>
        <v/>
      </c>
      <c r="W427" s="195">
        <f>IF(B427="","",U427+'入力・概要'!$E$9*G427)</f>
        <v/>
      </c>
      <c r="X427" s="195">
        <f>IF(B427="","",'入力・概要'!$E$9+T427*F427-U427*G427)</f>
        <v/>
      </c>
      <c r="Y427" s="195">
        <f>IF(B427="","",T427*G427+U427*F427)</f>
        <v/>
      </c>
      <c r="Z427" s="195">
        <f>IF(B427="","",'入力・概要'!$E$9*(V427*X427+W427*Y427)/(X427^2+Y427^2)+'入力・概要'!$B$36)</f>
        <v/>
      </c>
      <c r="AA427" s="195">
        <f>IF(B427="","",'入力・概要'!$E$9*(W427*X427-V427*Y427)/(X427^2+Y427^2)+C427*'入力・概要'!$B$37*1E-9)</f>
        <v/>
      </c>
      <c r="AB427" s="195">
        <f>IF(B427="","",SQRT(Z427^2+AA427^2))</f>
        <v/>
      </c>
      <c r="AC427" s="195">
        <f>IF(B427="","",IF(Z427&gt;0,DEGREES(ATAN(AA427/Z427)),IF(Z427&lt;0,IF(AA427&gt;=0,DEGREES(ATAN(AA427/Z427))+180,DEGREES(ATAN(AA427/Z427))-180),IF(AA427&gt;0,90,IF(AA427&lt;0,-90,0)))))</f>
        <v/>
      </c>
      <c r="AD427" s="195">
        <f>IF(B427="","",LOG10(B427))</f>
        <v/>
      </c>
      <c r="AE427" s="195">
        <f>IF(AB427="","",LOG10(MAX(AB427,1E-12)))</f>
        <v/>
      </c>
      <c r="AF427" s="195">
        <f>IF(B427="","",SQRT(P427^2+Q427^2))</f>
        <v/>
      </c>
      <c r="AG427" s="195">
        <f>IF(B427="","",SQRT(R427^2+S427^2))</f>
        <v/>
      </c>
    </row>
    <row r="428">
      <c r="A428" t="n">
        <v>425</v>
      </c>
      <c r="B428" s="196">
        <f>IF(A428&lt;='入力・概要'!$B$40,10^(LOG10('入力・概要'!$B$38)+(A428-1)*(LOG10('入力・概要'!$B$39)-LOG10('入力・概要'!$B$38))/('入力・概要'!$B$40-1)),"")</f>
        <v/>
      </c>
      <c r="C428" s="195">
        <f>IF(B428="","",2*PI()*B428)</f>
        <v/>
      </c>
      <c r="D428" s="195">
        <f>IF(B428="","",ATANH(MIN(0.999999,'入力・概要'!$E$20/'入力・概要'!$E$9))+'入力・概要'!$B$20*SQRT(B428/1E6)+E428*'入力・概要'!$B$15/2)</f>
        <v/>
      </c>
      <c r="E428" s="195">
        <f>IF(B428="","",C428*('入力・概要'!$E$11*1E-9))</f>
        <v/>
      </c>
      <c r="F428" s="195">
        <f>IF(B428="","",SINH(2*D428)/(COSH(2*D428)+COS(2*E428)))</f>
        <v/>
      </c>
      <c r="G428" s="195">
        <f>IF(B428="","",SIN(2*E428)/(COSH(2*D428)+COS(2*E428)))</f>
        <v/>
      </c>
      <c r="H428" s="195">
        <f>IF(B428="","",ATANH(MIN(0.999999,'入力・概要'!$E$21/'入力・概要'!$E$15))+'入力・概要'!$B$21*SQRT(B428/1E6)+I428*'入力・概要'!$B$16/2)</f>
        <v/>
      </c>
      <c r="I428" s="195">
        <f>IF(B428="","",C428*('入力・概要'!$E$17*1E-9))</f>
        <v/>
      </c>
      <c r="J428" s="195">
        <f>IF(B428="","",SINH(2*H428)/(COSH(2*H428)+COS(2*I428)))</f>
        <v/>
      </c>
      <c r="K428" s="195">
        <f>IF(B428="","",SIN(2*I428)/(COSH(2*H428)+COS(2*I428)))</f>
        <v/>
      </c>
      <c r="L428" s="195">
        <f>IF(B428="","",'入力・概要'!$B$25)</f>
        <v/>
      </c>
      <c r="M428" s="195">
        <f>IF(B428="","",C428*'入力・概要'!$B$26*1E-9-1/(C428*'入力・概要'!$B$24*1E-6))</f>
        <v/>
      </c>
      <c r="N428" s="195">
        <f>IF(B428="","",'入力・概要'!$B$28)</f>
        <v/>
      </c>
      <c r="O428" s="195">
        <f>IF(B428="","",C428*'入力・概要'!$B$29*1E-9-1/(C428*'入力・概要'!$B$27*1E-6))</f>
        <v/>
      </c>
      <c r="P428" s="195">
        <f>IF(B428="","",((L428*N428-M428*O428)*(L428+N428)+(L428*O428+M428*N428)*(M428+O428))/((L428+N428)^2+(M428+O428)^2))</f>
        <v/>
      </c>
      <c r="Q428" s="195">
        <f>IF(B428="","",((L428*O428+M428*N428)*(L428+N428)-(L428*N428-M428*O428)*(M428+O428))/((L428+N428)^2+(M428+O428)^2))</f>
        <v/>
      </c>
      <c r="R428" s="195">
        <f>IF(B428="","",'入力・概要'!$E$15*J428)</f>
        <v/>
      </c>
      <c r="S428" s="195">
        <f>IF(B428="","",'入力・概要'!$E$15*K428)</f>
        <v/>
      </c>
      <c r="T428" s="195">
        <f>IF(B428="","",P428+R428)</f>
        <v/>
      </c>
      <c r="U428" s="195">
        <f>IF(B428="","",Q428+S428)</f>
        <v/>
      </c>
      <c r="V428" s="195">
        <f>IF(B428="","",T428+'入力・概要'!$E$9*F428)</f>
        <v/>
      </c>
      <c r="W428" s="195">
        <f>IF(B428="","",U428+'入力・概要'!$E$9*G428)</f>
        <v/>
      </c>
      <c r="X428" s="195">
        <f>IF(B428="","",'入力・概要'!$E$9+T428*F428-U428*G428)</f>
        <v/>
      </c>
      <c r="Y428" s="195">
        <f>IF(B428="","",T428*G428+U428*F428)</f>
        <v/>
      </c>
      <c r="Z428" s="195">
        <f>IF(B428="","",'入力・概要'!$E$9*(V428*X428+W428*Y428)/(X428^2+Y428^2)+'入力・概要'!$B$36)</f>
        <v/>
      </c>
      <c r="AA428" s="195">
        <f>IF(B428="","",'入力・概要'!$E$9*(W428*X428-V428*Y428)/(X428^2+Y428^2)+C428*'入力・概要'!$B$37*1E-9)</f>
        <v/>
      </c>
      <c r="AB428" s="195">
        <f>IF(B428="","",SQRT(Z428^2+AA428^2))</f>
        <v/>
      </c>
      <c r="AC428" s="195">
        <f>IF(B428="","",IF(Z428&gt;0,DEGREES(ATAN(AA428/Z428)),IF(Z428&lt;0,IF(AA428&gt;=0,DEGREES(ATAN(AA428/Z428))+180,DEGREES(ATAN(AA428/Z428))-180),IF(AA428&gt;0,90,IF(AA428&lt;0,-90,0)))))</f>
        <v/>
      </c>
      <c r="AD428" s="195">
        <f>IF(B428="","",LOG10(B428))</f>
        <v/>
      </c>
      <c r="AE428" s="195">
        <f>IF(AB428="","",LOG10(MAX(AB428,1E-12)))</f>
        <v/>
      </c>
      <c r="AF428" s="195">
        <f>IF(B428="","",SQRT(P428^2+Q428^2))</f>
        <v/>
      </c>
      <c r="AG428" s="195">
        <f>IF(B428="","",SQRT(R428^2+S428^2))</f>
        <v/>
      </c>
    </row>
    <row r="429">
      <c r="A429" t="n">
        <v>426</v>
      </c>
      <c r="B429" s="196">
        <f>IF(A429&lt;='入力・概要'!$B$40,10^(LOG10('入力・概要'!$B$38)+(A429-1)*(LOG10('入力・概要'!$B$39)-LOG10('入力・概要'!$B$38))/('入力・概要'!$B$40-1)),"")</f>
        <v/>
      </c>
      <c r="C429" s="195">
        <f>IF(B429="","",2*PI()*B429)</f>
        <v/>
      </c>
      <c r="D429" s="195">
        <f>IF(B429="","",ATANH(MIN(0.999999,'入力・概要'!$E$20/'入力・概要'!$E$9))+'入力・概要'!$B$20*SQRT(B429/1E6)+E429*'入力・概要'!$B$15/2)</f>
        <v/>
      </c>
      <c r="E429" s="195">
        <f>IF(B429="","",C429*('入力・概要'!$E$11*1E-9))</f>
        <v/>
      </c>
      <c r="F429" s="195">
        <f>IF(B429="","",SINH(2*D429)/(COSH(2*D429)+COS(2*E429)))</f>
        <v/>
      </c>
      <c r="G429" s="195">
        <f>IF(B429="","",SIN(2*E429)/(COSH(2*D429)+COS(2*E429)))</f>
        <v/>
      </c>
      <c r="H429" s="195">
        <f>IF(B429="","",ATANH(MIN(0.999999,'入力・概要'!$E$21/'入力・概要'!$E$15))+'入力・概要'!$B$21*SQRT(B429/1E6)+I429*'入力・概要'!$B$16/2)</f>
        <v/>
      </c>
      <c r="I429" s="195">
        <f>IF(B429="","",C429*('入力・概要'!$E$17*1E-9))</f>
        <v/>
      </c>
      <c r="J429" s="195">
        <f>IF(B429="","",SINH(2*H429)/(COSH(2*H429)+COS(2*I429)))</f>
        <v/>
      </c>
      <c r="K429" s="195">
        <f>IF(B429="","",SIN(2*I429)/(COSH(2*H429)+COS(2*I429)))</f>
        <v/>
      </c>
      <c r="L429" s="195">
        <f>IF(B429="","",'入力・概要'!$B$25)</f>
        <v/>
      </c>
      <c r="M429" s="195">
        <f>IF(B429="","",C429*'入力・概要'!$B$26*1E-9-1/(C429*'入力・概要'!$B$24*1E-6))</f>
        <v/>
      </c>
      <c r="N429" s="195">
        <f>IF(B429="","",'入力・概要'!$B$28)</f>
        <v/>
      </c>
      <c r="O429" s="195">
        <f>IF(B429="","",C429*'入力・概要'!$B$29*1E-9-1/(C429*'入力・概要'!$B$27*1E-6))</f>
        <v/>
      </c>
      <c r="P429" s="195">
        <f>IF(B429="","",((L429*N429-M429*O429)*(L429+N429)+(L429*O429+M429*N429)*(M429+O429))/((L429+N429)^2+(M429+O429)^2))</f>
        <v/>
      </c>
      <c r="Q429" s="195">
        <f>IF(B429="","",((L429*O429+M429*N429)*(L429+N429)-(L429*N429-M429*O429)*(M429+O429))/((L429+N429)^2+(M429+O429)^2))</f>
        <v/>
      </c>
      <c r="R429" s="195">
        <f>IF(B429="","",'入力・概要'!$E$15*J429)</f>
        <v/>
      </c>
      <c r="S429" s="195">
        <f>IF(B429="","",'入力・概要'!$E$15*K429)</f>
        <v/>
      </c>
      <c r="T429" s="195">
        <f>IF(B429="","",P429+R429)</f>
        <v/>
      </c>
      <c r="U429" s="195">
        <f>IF(B429="","",Q429+S429)</f>
        <v/>
      </c>
      <c r="V429" s="195">
        <f>IF(B429="","",T429+'入力・概要'!$E$9*F429)</f>
        <v/>
      </c>
      <c r="W429" s="195">
        <f>IF(B429="","",U429+'入力・概要'!$E$9*G429)</f>
        <v/>
      </c>
      <c r="X429" s="195">
        <f>IF(B429="","",'入力・概要'!$E$9+T429*F429-U429*G429)</f>
        <v/>
      </c>
      <c r="Y429" s="195">
        <f>IF(B429="","",T429*G429+U429*F429)</f>
        <v/>
      </c>
      <c r="Z429" s="195">
        <f>IF(B429="","",'入力・概要'!$E$9*(V429*X429+W429*Y429)/(X429^2+Y429^2)+'入力・概要'!$B$36)</f>
        <v/>
      </c>
      <c r="AA429" s="195">
        <f>IF(B429="","",'入力・概要'!$E$9*(W429*X429-V429*Y429)/(X429^2+Y429^2)+C429*'入力・概要'!$B$37*1E-9)</f>
        <v/>
      </c>
      <c r="AB429" s="195">
        <f>IF(B429="","",SQRT(Z429^2+AA429^2))</f>
        <v/>
      </c>
      <c r="AC429" s="195">
        <f>IF(B429="","",IF(Z429&gt;0,DEGREES(ATAN(AA429/Z429)),IF(Z429&lt;0,IF(AA429&gt;=0,DEGREES(ATAN(AA429/Z429))+180,DEGREES(ATAN(AA429/Z429))-180),IF(AA429&gt;0,90,IF(AA429&lt;0,-90,0)))))</f>
        <v/>
      </c>
      <c r="AD429" s="195">
        <f>IF(B429="","",LOG10(B429))</f>
        <v/>
      </c>
      <c r="AE429" s="195">
        <f>IF(AB429="","",LOG10(MAX(AB429,1E-12)))</f>
        <v/>
      </c>
      <c r="AF429" s="195">
        <f>IF(B429="","",SQRT(P429^2+Q429^2))</f>
        <v/>
      </c>
      <c r="AG429" s="195">
        <f>IF(B429="","",SQRT(R429^2+S429^2))</f>
        <v/>
      </c>
    </row>
    <row r="430">
      <c r="A430" t="n">
        <v>427</v>
      </c>
      <c r="B430" s="196">
        <f>IF(A430&lt;='入力・概要'!$B$40,10^(LOG10('入力・概要'!$B$38)+(A430-1)*(LOG10('入力・概要'!$B$39)-LOG10('入力・概要'!$B$38))/('入力・概要'!$B$40-1)),"")</f>
        <v/>
      </c>
      <c r="C430" s="195">
        <f>IF(B430="","",2*PI()*B430)</f>
        <v/>
      </c>
      <c r="D430" s="195">
        <f>IF(B430="","",ATANH(MIN(0.999999,'入力・概要'!$E$20/'入力・概要'!$E$9))+'入力・概要'!$B$20*SQRT(B430/1E6)+E430*'入力・概要'!$B$15/2)</f>
        <v/>
      </c>
      <c r="E430" s="195">
        <f>IF(B430="","",C430*('入力・概要'!$E$11*1E-9))</f>
        <v/>
      </c>
      <c r="F430" s="195">
        <f>IF(B430="","",SINH(2*D430)/(COSH(2*D430)+COS(2*E430)))</f>
        <v/>
      </c>
      <c r="G430" s="195">
        <f>IF(B430="","",SIN(2*E430)/(COSH(2*D430)+COS(2*E430)))</f>
        <v/>
      </c>
      <c r="H430" s="195">
        <f>IF(B430="","",ATANH(MIN(0.999999,'入力・概要'!$E$21/'入力・概要'!$E$15))+'入力・概要'!$B$21*SQRT(B430/1E6)+I430*'入力・概要'!$B$16/2)</f>
        <v/>
      </c>
      <c r="I430" s="195">
        <f>IF(B430="","",C430*('入力・概要'!$E$17*1E-9))</f>
        <v/>
      </c>
      <c r="J430" s="195">
        <f>IF(B430="","",SINH(2*H430)/(COSH(2*H430)+COS(2*I430)))</f>
        <v/>
      </c>
      <c r="K430" s="195">
        <f>IF(B430="","",SIN(2*I430)/(COSH(2*H430)+COS(2*I430)))</f>
        <v/>
      </c>
      <c r="L430" s="195">
        <f>IF(B430="","",'入力・概要'!$B$25)</f>
        <v/>
      </c>
      <c r="M430" s="195">
        <f>IF(B430="","",C430*'入力・概要'!$B$26*1E-9-1/(C430*'入力・概要'!$B$24*1E-6))</f>
        <v/>
      </c>
      <c r="N430" s="195">
        <f>IF(B430="","",'入力・概要'!$B$28)</f>
        <v/>
      </c>
      <c r="O430" s="195">
        <f>IF(B430="","",C430*'入力・概要'!$B$29*1E-9-1/(C430*'入力・概要'!$B$27*1E-6))</f>
        <v/>
      </c>
      <c r="P430" s="195">
        <f>IF(B430="","",((L430*N430-M430*O430)*(L430+N430)+(L430*O430+M430*N430)*(M430+O430))/((L430+N430)^2+(M430+O430)^2))</f>
        <v/>
      </c>
      <c r="Q430" s="195">
        <f>IF(B430="","",((L430*O430+M430*N430)*(L430+N430)-(L430*N430-M430*O430)*(M430+O430))/((L430+N430)^2+(M430+O430)^2))</f>
        <v/>
      </c>
      <c r="R430" s="195">
        <f>IF(B430="","",'入力・概要'!$E$15*J430)</f>
        <v/>
      </c>
      <c r="S430" s="195">
        <f>IF(B430="","",'入力・概要'!$E$15*K430)</f>
        <v/>
      </c>
      <c r="T430" s="195">
        <f>IF(B430="","",P430+R430)</f>
        <v/>
      </c>
      <c r="U430" s="195">
        <f>IF(B430="","",Q430+S430)</f>
        <v/>
      </c>
      <c r="V430" s="195">
        <f>IF(B430="","",T430+'入力・概要'!$E$9*F430)</f>
        <v/>
      </c>
      <c r="W430" s="195">
        <f>IF(B430="","",U430+'入力・概要'!$E$9*G430)</f>
        <v/>
      </c>
      <c r="X430" s="195">
        <f>IF(B430="","",'入力・概要'!$E$9+T430*F430-U430*G430)</f>
        <v/>
      </c>
      <c r="Y430" s="195">
        <f>IF(B430="","",T430*G430+U430*F430)</f>
        <v/>
      </c>
      <c r="Z430" s="195">
        <f>IF(B430="","",'入力・概要'!$E$9*(V430*X430+W430*Y430)/(X430^2+Y430^2)+'入力・概要'!$B$36)</f>
        <v/>
      </c>
      <c r="AA430" s="195">
        <f>IF(B430="","",'入力・概要'!$E$9*(W430*X430-V430*Y430)/(X430^2+Y430^2)+C430*'入力・概要'!$B$37*1E-9)</f>
        <v/>
      </c>
      <c r="AB430" s="195">
        <f>IF(B430="","",SQRT(Z430^2+AA430^2))</f>
        <v/>
      </c>
      <c r="AC430" s="195">
        <f>IF(B430="","",IF(Z430&gt;0,DEGREES(ATAN(AA430/Z430)),IF(Z430&lt;0,IF(AA430&gt;=0,DEGREES(ATAN(AA430/Z430))+180,DEGREES(ATAN(AA430/Z430))-180),IF(AA430&gt;0,90,IF(AA430&lt;0,-90,0)))))</f>
        <v/>
      </c>
      <c r="AD430" s="195">
        <f>IF(B430="","",LOG10(B430))</f>
        <v/>
      </c>
      <c r="AE430" s="195">
        <f>IF(AB430="","",LOG10(MAX(AB430,1E-12)))</f>
        <v/>
      </c>
      <c r="AF430" s="195">
        <f>IF(B430="","",SQRT(P430^2+Q430^2))</f>
        <v/>
      </c>
      <c r="AG430" s="195">
        <f>IF(B430="","",SQRT(R430^2+S430^2))</f>
        <v/>
      </c>
    </row>
    <row r="431">
      <c r="A431" t="n">
        <v>428</v>
      </c>
      <c r="B431" s="196">
        <f>IF(A431&lt;='入力・概要'!$B$40,10^(LOG10('入力・概要'!$B$38)+(A431-1)*(LOG10('入力・概要'!$B$39)-LOG10('入力・概要'!$B$38))/('入力・概要'!$B$40-1)),"")</f>
        <v/>
      </c>
      <c r="C431" s="195">
        <f>IF(B431="","",2*PI()*B431)</f>
        <v/>
      </c>
      <c r="D431" s="195">
        <f>IF(B431="","",ATANH(MIN(0.999999,'入力・概要'!$E$20/'入力・概要'!$E$9))+'入力・概要'!$B$20*SQRT(B431/1E6)+E431*'入力・概要'!$B$15/2)</f>
        <v/>
      </c>
      <c r="E431" s="195">
        <f>IF(B431="","",C431*('入力・概要'!$E$11*1E-9))</f>
        <v/>
      </c>
      <c r="F431" s="195">
        <f>IF(B431="","",SINH(2*D431)/(COSH(2*D431)+COS(2*E431)))</f>
        <v/>
      </c>
      <c r="G431" s="195">
        <f>IF(B431="","",SIN(2*E431)/(COSH(2*D431)+COS(2*E431)))</f>
        <v/>
      </c>
      <c r="H431" s="195">
        <f>IF(B431="","",ATANH(MIN(0.999999,'入力・概要'!$E$21/'入力・概要'!$E$15))+'入力・概要'!$B$21*SQRT(B431/1E6)+I431*'入力・概要'!$B$16/2)</f>
        <v/>
      </c>
      <c r="I431" s="195">
        <f>IF(B431="","",C431*('入力・概要'!$E$17*1E-9))</f>
        <v/>
      </c>
      <c r="J431" s="195">
        <f>IF(B431="","",SINH(2*H431)/(COSH(2*H431)+COS(2*I431)))</f>
        <v/>
      </c>
      <c r="K431" s="195">
        <f>IF(B431="","",SIN(2*I431)/(COSH(2*H431)+COS(2*I431)))</f>
        <v/>
      </c>
      <c r="L431" s="195">
        <f>IF(B431="","",'入力・概要'!$B$25)</f>
        <v/>
      </c>
      <c r="M431" s="195">
        <f>IF(B431="","",C431*'入力・概要'!$B$26*1E-9-1/(C431*'入力・概要'!$B$24*1E-6))</f>
        <v/>
      </c>
      <c r="N431" s="195">
        <f>IF(B431="","",'入力・概要'!$B$28)</f>
        <v/>
      </c>
      <c r="O431" s="195">
        <f>IF(B431="","",C431*'入力・概要'!$B$29*1E-9-1/(C431*'入力・概要'!$B$27*1E-6))</f>
        <v/>
      </c>
      <c r="P431" s="195">
        <f>IF(B431="","",((L431*N431-M431*O431)*(L431+N431)+(L431*O431+M431*N431)*(M431+O431))/((L431+N431)^2+(M431+O431)^2))</f>
        <v/>
      </c>
      <c r="Q431" s="195">
        <f>IF(B431="","",((L431*O431+M431*N431)*(L431+N431)-(L431*N431-M431*O431)*(M431+O431))/((L431+N431)^2+(M431+O431)^2))</f>
        <v/>
      </c>
      <c r="R431" s="195">
        <f>IF(B431="","",'入力・概要'!$E$15*J431)</f>
        <v/>
      </c>
      <c r="S431" s="195">
        <f>IF(B431="","",'入力・概要'!$E$15*K431)</f>
        <v/>
      </c>
      <c r="T431" s="195">
        <f>IF(B431="","",P431+R431)</f>
        <v/>
      </c>
      <c r="U431" s="195">
        <f>IF(B431="","",Q431+S431)</f>
        <v/>
      </c>
      <c r="V431" s="195">
        <f>IF(B431="","",T431+'入力・概要'!$E$9*F431)</f>
        <v/>
      </c>
      <c r="W431" s="195">
        <f>IF(B431="","",U431+'入力・概要'!$E$9*G431)</f>
        <v/>
      </c>
      <c r="X431" s="195">
        <f>IF(B431="","",'入力・概要'!$E$9+T431*F431-U431*G431)</f>
        <v/>
      </c>
      <c r="Y431" s="195">
        <f>IF(B431="","",T431*G431+U431*F431)</f>
        <v/>
      </c>
      <c r="Z431" s="195">
        <f>IF(B431="","",'入力・概要'!$E$9*(V431*X431+W431*Y431)/(X431^2+Y431^2)+'入力・概要'!$B$36)</f>
        <v/>
      </c>
      <c r="AA431" s="195">
        <f>IF(B431="","",'入力・概要'!$E$9*(W431*X431-V431*Y431)/(X431^2+Y431^2)+C431*'入力・概要'!$B$37*1E-9)</f>
        <v/>
      </c>
      <c r="AB431" s="195">
        <f>IF(B431="","",SQRT(Z431^2+AA431^2))</f>
        <v/>
      </c>
      <c r="AC431" s="195">
        <f>IF(B431="","",IF(Z431&gt;0,DEGREES(ATAN(AA431/Z431)),IF(Z431&lt;0,IF(AA431&gt;=0,DEGREES(ATAN(AA431/Z431))+180,DEGREES(ATAN(AA431/Z431))-180),IF(AA431&gt;0,90,IF(AA431&lt;0,-90,0)))))</f>
        <v/>
      </c>
      <c r="AD431" s="195">
        <f>IF(B431="","",LOG10(B431))</f>
        <v/>
      </c>
      <c r="AE431" s="195">
        <f>IF(AB431="","",LOG10(MAX(AB431,1E-12)))</f>
        <v/>
      </c>
      <c r="AF431" s="195">
        <f>IF(B431="","",SQRT(P431^2+Q431^2))</f>
        <v/>
      </c>
      <c r="AG431" s="195">
        <f>IF(B431="","",SQRT(R431^2+S431^2))</f>
        <v/>
      </c>
    </row>
    <row r="432">
      <c r="A432" t="n">
        <v>429</v>
      </c>
      <c r="B432" s="196">
        <f>IF(A432&lt;='入力・概要'!$B$40,10^(LOG10('入力・概要'!$B$38)+(A432-1)*(LOG10('入力・概要'!$B$39)-LOG10('入力・概要'!$B$38))/('入力・概要'!$B$40-1)),"")</f>
        <v/>
      </c>
      <c r="C432" s="195">
        <f>IF(B432="","",2*PI()*B432)</f>
        <v/>
      </c>
      <c r="D432" s="195">
        <f>IF(B432="","",ATANH(MIN(0.999999,'入力・概要'!$E$20/'入力・概要'!$E$9))+'入力・概要'!$B$20*SQRT(B432/1E6)+E432*'入力・概要'!$B$15/2)</f>
        <v/>
      </c>
      <c r="E432" s="195">
        <f>IF(B432="","",C432*('入力・概要'!$E$11*1E-9))</f>
        <v/>
      </c>
      <c r="F432" s="195">
        <f>IF(B432="","",SINH(2*D432)/(COSH(2*D432)+COS(2*E432)))</f>
        <v/>
      </c>
      <c r="G432" s="195">
        <f>IF(B432="","",SIN(2*E432)/(COSH(2*D432)+COS(2*E432)))</f>
        <v/>
      </c>
      <c r="H432" s="195">
        <f>IF(B432="","",ATANH(MIN(0.999999,'入力・概要'!$E$21/'入力・概要'!$E$15))+'入力・概要'!$B$21*SQRT(B432/1E6)+I432*'入力・概要'!$B$16/2)</f>
        <v/>
      </c>
      <c r="I432" s="195">
        <f>IF(B432="","",C432*('入力・概要'!$E$17*1E-9))</f>
        <v/>
      </c>
      <c r="J432" s="195">
        <f>IF(B432="","",SINH(2*H432)/(COSH(2*H432)+COS(2*I432)))</f>
        <v/>
      </c>
      <c r="K432" s="195">
        <f>IF(B432="","",SIN(2*I432)/(COSH(2*H432)+COS(2*I432)))</f>
        <v/>
      </c>
      <c r="L432" s="195">
        <f>IF(B432="","",'入力・概要'!$B$25)</f>
        <v/>
      </c>
      <c r="M432" s="195">
        <f>IF(B432="","",C432*'入力・概要'!$B$26*1E-9-1/(C432*'入力・概要'!$B$24*1E-6))</f>
        <v/>
      </c>
      <c r="N432" s="195">
        <f>IF(B432="","",'入力・概要'!$B$28)</f>
        <v/>
      </c>
      <c r="O432" s="195">
        <f>IF(B432="","",C432*'入力・概要'!$B$29*1E-9-1/(C432*'入力・概要'!$B$27*1E-6))</f>
        <v/>
      </c>
      <c r="P432" s="195">
        <f>IF(B432="","",((L432*N432-M432*O432)*(L432+N432)+(L432*O432+M432*N432)*(M432+O432))/((L432+N432)^2+(M432+O432)^2))</f>
        <v/>
      </c>
      <c r="Q432" s="195">
        <f>IF(B432="","",((L432*O432+M432*N432)*(L432+N432)-(L432*N432-M432*O432)*(M432+O432))/((L432+N432)^2+(M432+O432)^2))</f>
        <v/>
      </c>
      <c r="R432" s="195">
        <f>IF(B432="","",'入力・概要'!$E$15*J432)</f>
        <v/>
      </c>
      <c r="S432" s="195">
        <f>IF(B432="","",'入力・概要'!$E$15*K432)</f>
        <v/>
      </c>
      <c r="T432" s="195">
        <f>IF(B432="","",P432+R432)</f>
        <v/>
      </c>
      <c r="U432" s="195">
        <f>IF(B432="","",Q432+S432)</f>
        <v/>
      </c>
      <c r="V432" s="195">
        <f>IF(B432="","",T432+'入力・概要'!$E$9*F432)</f>
        <v/>
      </c>
      <c r="W432" s="195">
        <f>IF(B432="","",U432+'入力・概要'!$E$9*G432)</f>
        <v/>
      </c>
      <c r="X432" s="195">
        <f>IF(B432="","",'入力・概要'!$E$9+T432*F432-U432*G432)</f>
        <v/>
      </c>
      <c r="Y432" s="195">
        <f>IF(B432="","",T432*G432+U432*F432)</f>
        <v/>
      </c>
      <c r="Z432" s="195">
        <f>IF(B432="","",'入力・概要'!$E$9*(V432*X432+W432*Y432)/(X432^2+Y432^2)+'入力・概要'!$B$36)</f>
        <v/>
      </c>
      <c r="AA432" s="195">
        <f>IF(B432="","",'入力・概要'!$E$9*(W432*X432-V432*Y432)/(X432^2+Y432^2)+C432*'入力・概要'!$B$37*1E-9)</f>
        <v/>
      </c>
      <c r="AB432" s="195">
        <f>IF(B432="","",SQRT(Z432^2+AA432^2))</f>
        <v/>
      </c>
      <c r="AC432" s="195">
        <f>IF(B432="","",IF(Z432&gt;0,DEGREES(ATAN(AA432/Z432)),IF(Z432&lt;0,IF(AA432&gt;=0,DEGREES(ATAN(AA432/Z432))+180,DEGREES(ATAN(AA432/Z432))-180),IF(AA432&gt;0,90,IF(AA432&lt;0,-90,0)))))</f>
        <v/>
      </c>
      <c r="AD432" s="195">
        <f>IF(B432="","",LOG10(B432))</f>
        <v/>
      </c>
      <c r="AE432" s="195">
        <f>IF(AB432="","",LOG10(MAX(AB432,1E-12)))</f>
        <v/>
      </c>
      <c r="AF432" s="195">
        <f>IF(B432="","",SQRT(P432^2+Q432^2))</f>
        <v/>
      </c>
      <c r="AG432" s="195">
        <f>IF(B432="","",SQRT(R432^2+S432^2))</f>
        <v/>
      </c>
    </row>
    <row r="433">
      <c r="A433" t="n">
        <v>430</v>
      </c>
      <c r="B433" s="196">
        <f>IF(A433&lt;='入力・概要'!$B$40,10^(LOG10('入力・概要'!$B$38)+(A433-1)*(LOG10('入力・概要'!$B$39)-LOG10('入力・概要'!$B$38))/('入力・概要'!$B$40-1)),"")</f>
        <v/>
      </c>
      <c r="C433" s="195">
        <f>IF(B433="","",2*PI()*B433)</f>
        <v/>
      </c>
      <c r="D433" s="195">
        <f>IF(B433="","",ATANH(MIN(0.999999,'入力・概要'!$E$20/'入力・概要'!$E$9))+'入力・概要'!$B$20*SQRT(B433/1E6)+E433*'入力・概要'!$B$15/2)</f>
        <v/>
      </c>
      <c r="E433" s="195">
        <f>IF(B433="","",C433*('入力・概要'!$E$11*1E-9))</f>
        <v/>
      </c>
      <c r="F433" s="195">
        <f>IF(B433="","",SINH(2*D433)/(COSH(2*D433)+COS(2*E433)))</f>
        <v/>
      </c>
      <c r="G433" s="195">
        <f>IF(B433="","",SIN(2*E433)/(COSH(2*D433)+COS(2*E433)))</f>
        <v/>
      </c>
      <c r="H433" s="195">
        <f>IF(B433="","",ATANH(MIN(0.999999,'入力・概要'!$E$21/'入力・概要'!$E$15))+'入力・概要'!$B$21*SQRT(B433/1E6)+I433*'入力・概要'!$B$16/2)</f>
        <v/>
      </c>
      <c r="I433" s="195">
        <f>IF(B433="","",C433*('入力・概要'!$E$17*1E-9))</f>
        <v/>
      </c>
      <c r="J433" s="195">
        <f>IF(B433="","",SINH(2*H433)/(COSH(2*H433)+COS(2*I433)))</f>
        <v/>
      </c>
      <c r="K433" s="195">
        <f>IF(B433="","",SIN(2*I433)/(COSH(2*H433)+COS(2*I433)))</f>
        <v/>
      </c>
      <c r="L433" s="195">
        <f>IF(B433="","",'入力・概要'!$B$25)</f>
        <v/>
      </c>
      <c r="M433" s="195">
        <f>IF(B433="","",C433*'入力・概要'!$B$26*1E-9-1/(C433*'入力・概要'!$B$24*1E-6))</f>
        <v/>
      </c>
      <c r="N433" s="195">
        <f>IF(B433="","",'入力・概要'!$B$28)</f>
        <v/>
      </c>
      <c r="O433" s="195">
        <f>IF(B433="","",C433*'入力・概要'!$B$29*1E-9-1/(C433*'入力・概要'!$B$27*1E-6))</f>
        <v/>
      </c>
      <c r="P433" s="195">
        <f>IF(B433="","",((L433*N433-M433*O433)*(L433+N433)+(L433*O433+M433*N433)*(M433+O433))/((L433+N433)^2+(M433+O433)^2))</f>
        <v/>
      </c>
      <c r="Q433" s="195">
        <f>IF(B433="","",((L433*O433+M433*N433)*(L433+N433)-(L433*N433-M433*O433)*(M433+O433))/((L433+N433)^2+(M433+O433)^2))</f>
        <v/>
      </c>
      <c r="R433" s="195">
        <f>IF(B433="","",'入力・概要'!$E$15*J433)</f>
        <v/>
      </c>
      <c r="S433" s="195">
        <f>IF(B433="","",'入力・概要'!$E$15*K433)</f>
        <v/>
      </c>
      <c r="T433" s="195">
        <f>IF(B433="","",P433+R433)</f>
        <v/>
      </c>
      <c r="U433" s="195">
        <f>IF(B433="","",Q433+S433)</f>
        <v/>
      </c>
      <c r="V433" s="195">
        <f>IF(B433="","",T433+'入力・概要'!$E$9*F433)</f>
        <v/>
      </c>
      <c r="W433" s="195">
        <f>IF(B433="","",U433+'入力・概要'!$E$9*G433)</f>
        <v/>
      </c>
      <c r="X433" s="195">
        <f>IF(B433="","",'入力・概要'!$E$9+T433*F433-U433*G433)</f>
        <v/>
      </c>
      <c r="Y433" s="195">
        <f>IF(B433="","",T433*G433+U433*F433)</f>
        <v/>
      </c>
      <c r="Z433" s="195">
        <f>IF(B433="","",'入力・概要'!$E$9*(V433*X433+W433*Y433)/(X433^2+Y433^2)+'入力・概要'!$B$36)</f>
        <v/>
      </c>
      <c r="AA433" s="195">
        <f>IF(B433="","",'入力・概要'!$E$9*(W433*X433-V433*Y433)/(X433^2+Y433^2)+C433*'入力・概要'!$B$37*1E-9)</f>
        <v/>
      </c>
      <c r="AB433" s="195">
        <f>IF(B433="","",SQRT(Z433^2+AA433^2))</f>
        <v/>
      </c>
      <c r="AC433" s="195">
        <f>IF(B433="","",IF(Z433&gt;0,DEGREES(ATAN(AA433/Z433)),IF(Z433&lt;0,IF(AA433&gt;=0,DEGREES(ATAN(AA433/Z433))+180,DEGREES(ATAN(AA433/Z433))-180),IF(AA433&gt;0,90,IF(AA433&lt;0,-90,0)))))</f>
        <v/>
      </c>
      <c r="AD433" s="195">
        <f>IF(B433="","",LOG10(B433))</f>
        <v/>
      </c>
      <c r="AE433" s="195">
        <f>IF(AB433="","",LOG10(MAX(AB433,1E-12)))</f>
        <v/>
      </c>
      <c r="AF433" s="195">
        <f>IF(B433="","",SQRT(P433^2+Q433^2))</f>
        <v/>
      </c>
      <c r="AG433" s="195">
        <f>IF(B433="","",SQRT(R433^2+S433^2))</f>
        <v/>
      </c>
    </row>
    <row r="434">
      <c r="A434" t="n">
        <v>431</v>
      </c>
      <c r="B434" s="196">
        <f>IF(A434&lt;='入力・概要'!$B$40,10^(LOG10('入力・概要'!$B$38)+(A434-1)*(LOG10('入力・概要'!$B$39)-LOG10('入力・概要'!$B$38))/('入力・概要'!$B$40-1)),"")</f>
        <v/>
      </c>
      <c r="C434" s="195">
        <f>IF(B434="","",2*PI()*B434)</f>
        <v/>
      </c>
      <c r="D434" s="195">
        <f>IF(B434="","",ATANH(MIN(0.999999,'入力・概要'!$E$20/'入力・概要'!$E$9))+'入力・概要'!$B$20*SQRT(B434/1E6)+E434*'入力・概要'!$B$15/2)</f>
        <v/>
      </c>
      <c r="E434" s="195">
        <f>IF(B434="","",C434*('入力・概要'!$E$11*1E-9))</f>
        <v/>
      </c>
      <c r="F434" s="195">
        <f>IF(B434="","",SINH(2*D434)/(COSH(2*D434)+COS(2*E434)))</f>
        <v/>
      </c>
      <c r="G434" s="195">
        <f>IF(B434="","",SIN(2*E434)/(COSH(2*D434)+COS(2*E434)))</f>
        <v/>
      </c>
      <c r="H434" s="195">
        <f>IF(B434="","",ATANH(MIN(0.999999,'入力・概要'!$E$21/'入力・概要'!$E$15))+'入力・概要'!$B$21*SQRT(B434/1E6)+I434*'入力・概要'!$B$16/2)</f>
        <v/>
      </c>
      <c r="I434" s="195">
        <f>IF(B434="","",C434*('入力・概要'!$E$17*1E-9))</f>
        <v/>
      </c>
      <c r="J434" s="195">
        <f>IF(B434="","",SINH(2*H434)/(COSH(2*H434)+COS(2*I434)))</f>
        <v/>
      </c>
      <c r="K434" s="195">
        <f>IF(B434="","",SIN(2*I434)/(COSH(2*H434)+COS(2*I434)))</f>
        <v/>
      </c>
      <c r="L434" s="195">
        <f>IF(B434="","",'入力・概要'!$B$25)</f>
        <v/>
      </c>
      <c r="M434" s="195">
        <f>IF(B434="","",C434*'入力・概要'!$B$26*1E-9-1/(C434*'入力・概要'!$B$24*1E-6))</f>
        <v/>
      </c>
      <c r="N434" s="195">
        <f>IF(B434="","",'入力・概要'!$B$28)</f>
        <v/>
      </c>
      <c r="O434" s="195">
        <f>IF(B434="","",C434*'入力・概要'!$B$29*1E-9-1/(C434*'入力・概要'!$B$27*1E-6))</f>
        <v/>
      </c>
      <c r="P434" s="195">
        <f>IF(B434="","",((L434*N434-M434*O434)*(L434+N434)+(L434*O434+M434*N434)*(M434+O434))/((L434+N434)^2+(M434+O434)^2))</f>
        <v/>
      </c>
      <c r="Q434" s="195">
        <f>IF(B434="","",((L434*O434+M434*N434)*(L434+N434)-(L434*N434-M434*O434)*(M434+O434))/((L434+N434)^2+(M434+O434)^2))</f>
        <v/>
      </c>
      <c r="R434" s="195">
        <f>IF(B434="","",'入力・概要'!$E$15*J434)</f>
        <v/>
      </c>
      <c r="S434" s="195">
        <f>IF(B434="","",'入力・概要'!$E$15*K434)</f>
        <v/>
      </c>
      <c r="T434" s="195">
        <f>IF(B434="","",P434+R434)</f>
        <v/>
      </c>
      <c r="U434" s="195">
        <f>IF(B434="","",Q434+S434)</f>
        <v/>
      </c>
      <c r="V434" s="195">
        <f>IF(B434="","",T434+'入力・概要'!$E$9*F434)</f>
        <v/>
      </c>
      <c r="W434" s="195">
        <f>IF(B434="","",U434+'入力・概要'!$E$9*G434)</f>
        <v/>
      </c>
      <c r="X434" s="195">
        <f>IF(B434="","",'入力・概要'!$E$9+T434*F434-U434*G434)</f>
        <v/>
      </c>
      <c r="Y434" s="195">
        <f>IF(B434="","",T434*G434+U434*F434)</f>
        <v/>
      </c>
      <c r="Z434" s="195">
        <f>IF(B434="","",'入力・概要'!$E$9*(V434*X434+W434*Y434)/(X434^2+Y434^2)+'入力・概要'!$B$36)</f>
        <v/>
      </c>
      <c r="AA434" s="195">
        <f>IF(B434="","",'入力・概要'!$E$9*(W434*X434-V434*Y434)/(X434^2+Y434^2)+C434*'入力・概要'!$B$37*1E-9)</f>
        <v/>
      </c>
      <c r="AB434" s="195">
        <f>IF(B434="","",SQRT(Z434^2+AA434^2))</f>
        <v/>
      </c>
      <c r="AC434" s="195">
        <f>IF(B434="","",IF(Z434&gt;0,DEGREES(ATAN(AA434/Z434)),IF(Z434&lt;0,IF(AA434&gt;=0,DEGREES(ATAN(AA434/Z434))+180,DEGREES(ATAN(AA434/Z434))-180),IF(AA434&gt;0,90,IF(AA434&lt;0,-90,0)))))</f>
        <v/>
      </c>
      <c r="AD434" s="195">
        <f>IF(B434="","",LOG10(B434))</f>
        <v/>
      </c>
      <c r="AE434" s="195">
        <f>IF(AB434="","",LOG10(MAX(AB434,1E-12)))</f>
        <v/>
      </c>
      <c r="AF434" s="195">
        <f>IF(B434="","",SQRT(P434^2+Q434^2))</f>
        <v/>
      </c>
      <c r="AG434" s="195">
        <f>IF(B434="","",SQRT(R434^2+S434^2))</f>
        <v/>
      </c>
    </row>
    <row r="435">
      <c r="A435" t="n">
        <v>432</v>
      </c>
      <c r="B435" s="196">
        <f>IF(A435&lt;='入力・概要'!$B$40,10^(LOG10('入力・概要'!$B$38)+(A435-1)*(LOG10('入力・概要'!$B$39)-LOG10('入力・概要'!$B$38))/('入力・概要'!$B$40-1)),"")</f>
        <v/>
      </c>
      <c r="C435" s="195">
        <f>IF(B435="","",2*PI()*B435)</f>
        <v/>
      </c>
      <c r="D435" s="195">
        <f>IF(B435="","",ATANH(MIN(0.999999,'入力・概要'!$E$20/'入力・概要'!$E$9))+'入力・概要'!$B$20*SQRT(B435/1E6)+E435*'入力・概要'!$B$15/2)</f>
        <v/>
      </c>
      <c r="E435" s="195">
        <f>IF(B435="","",C435*('入力・概要'!$E$11*1E-9))</f>
        <v/>
      </c>
      <c r="F435" s="195">
        <f>IF(B435="","",SINH(2*D435)/(COSH(2*D435)+COS(2*E435)))</f>
        <v/>
      </c>
      <c r="G435" s="195">
        <f>IF(B435="","",SIN(2*E435)/(COSH(2*D435)+COS(2*E435)))</f>
        <v/>
      </c>
      <c r="H435" s="195">
        <f>IF(B435="","",ATANH(MIN(0.999999,'入力・概要'!$E$21/'入力・概要'!$E$15))+'入力・概要'!$B$21*SQRT(B435/1E6)+I435*'入力・概要'!$B$16/2)</f>
        <v/>
      </c>
      <c r="I435" s="195">
        <f>IF(B435="","",C435*('入力・概要'!$E$17*1E-9))</f>
        <v/>
      </c>
      <c r="J435" s="195">
        <f>IF(B435="","",SINH(2*H435)/(COSH(2*H435)+COS(2*I435)))</f>
        <v/>
      </c>
      <c r="K435" s="195">
        <f>IF(B435="","",SIN(2*I435)/(COSH(2*H435)+COS(2*I435)))</f>
        <v/>
      </c>
      <c r="L435" s="195">
        <f>IF(B435="","",'入力・概要'!$B$25)</f>
        <v/>
      </c>
      <c r="M435" s="195">
        <f>IF(B435="","",C435*'入力・概要'!$B$26*1E-9-1/(C435*'入力・概要'!$B$24*1E-6))</f>
        <v/>
      </c>
      <c r="N435" s="195">
        <f>IF(B435="","",'入力・概要'!$B$28)</f>
        <v/>
      </c>
      <c r="O435" s="195">
        <f>IF(B435="","",C435*'入力・概要'!$B$29*1E-9-1/(C435*'入力・概要'!$B$27*1E-6))</f>
        <v/>
      </c>
      <c r="P435" s="195">
        <f>IF(B435="","",((L435*N435-M435*O435)*(L435+N435)+(L435*O435+M435*N435)*(M435+O435))/((L435+N435)^2+(M435+O435)^2))</f>
        <v/>
      </c>
      <c r="Q435" s="195">
        <f>IF(B435="","",((L435*O435+M435*N435)*(L435+N435)-(L435*N435-M435*O435)*(M435+O435))/((L435+N435)^2+(M435+O435)^2))</f>
        <v/>
      </c>
      <c r="R435" s="195">
        <f>IF(B435="","",'入力・概要'!$E$15*J435)</f>
        <v/>
      </c>
      <c r="S435" s="195">
        <f>IF(B435="","",'入力・概要'!$E$15*K435)</f>
        <v/>
      </c>
      <c r="T435" s="195">
        <f>IF(B435="","",P435+R435)</f>
        <v/>
      </c>
      <c r="U435" s="195">
        <f>IF(B435="","",Q435+S435)</f>
        <v/>
      </c>
      <c r="V435" s="195">
        <f>IF(B435="","",T435+'入力・概要'!$E$9*F435)</f>
        <v/>
      </c>
      <c r="W435" s="195">
        <f>IF(B435="","",U435+'入力・概要'!$E$9*G435)</f>
        <v/>
      </c>
      <c r="X435" s="195">
        <f>IF(B435="","",'入力・概要'!$E$9+T435*F435-U435*G435)</f>
        <v/>
      </c>
      <c r="Y435" s="195">
        <f>IF(B435="","",T435*G435+U435*F435)</f>
        <v/>
      </c>
      <c r="Z435" s="195">
        <f>IF(B435="","",'入力・概要'!$E$9*(V435*X435+W435*Y435)/(X435^2+Y435^2)+'入力・概要'!$B$36)</f>
        <v/>
      </c>
      <c r="AA435" s="195">
        <f>IF(B435="","",'入力・概要'!$E$9*(W435*X435-V435*Y435)/(X435^2+Y435^2)+C435*'入力・概要'!$B$37*1E-9)</f>
        <v/>
      </c>
      <c r="AB435" s="195">
        <f>IF(B435="","",SQRT(Z435^2+AA435^2))</f>
        <v/>
      </c>
      <c r="AC435" s="195">
        <f>IF(B435="","",IF(Z435&gt;0,DEGREES(ATAN(AA435/Z435)),IF(Z435&lt;0,IF(AA435&gt;=0,DEGREES(ATAN(AA435/Z435))+180,DEGREES(ATAN(AA435/Z435))-180),IF(AA435&gt;0,90,IF(AA435&lt;0,-90,0)))))</f>
        <v/>
      </c>
      <c r="AD435" s="195">
        <f>IF(B435="","",LOG10(B435))</f>
        <v/>
      </c>
      <c r="AE435" s="195">
        <f>IF(AB435="","",LOG10(MAX(AB435,1E-12)))</f>
        <v/>
      </c>
      <c r="AF435" s="195">
        <f>IF(B435="","",SQRT(P435^2+Q435^2))</f>
        <v/>
      </c>
      <c r="AG435" s="195">
        <f>IF(B435="","",SQRT(R435^2+S435^2))</f>
        <v/>
      </c>
    </row>
    <row r="436">
      <c r="A436" t="n">
        <v>433</v>
      </c>
      <c r="B436" s="196">
        <f>IF(A436&lt;='入力・概要'!$B$40,10^(LOG10('入力・概要'!$B$38)+(A436-1)*(LOG10('入力・概要'!$B$39)-LOG10('入力・概要'!$B$38))/('入力・概要'!$B$40-1)),"")</f>
        <v/>
      </c>
      <c r="C436" s="195">
        <f>IF(B436="","",2*PI()*B436)</f>
        <v/>
      </c>
      <c r="D436" s="195">
        <f>IF(B436="","",ATANH(MIN(0.999999,'入力・概要'!$E$20/'入力・概要'!$E$9))+'入力・概要'!$B$20*SQRT(B436/1E6)+E436*'入力・概要'!$B$15/2)</f>
        <v/>
      </c>
      <c r="E436" s="195">
        <f>IF(B436="","",C436*('入力・概要'!$E$11*1E-9))</f>
        <v/>
      </c>
      <c r="F436" s="195">
        <f>IF(B436="","",SINH(2*D436)/(COSH(2*D436)+COS(2*E436)))</f>
        <v/>
      </c>
      <c r="G436" s="195">
        <f>IF(B436="","",SIN(2*E436)/(COSH(2*D436)+COS(2*E436)))</f>
        <v/>
      </c>
      <c r="H436" s="195">
        <f>IF(B436="","",ATANH(MIN(0.999999,'入力・概要'!$E$21/'入力・概要'!$E$15))+'入力・概要'!$B$21*SQRT(B436/1E6)+I436*'入力・概要'!$B$16/2)</f>
        <v/>
      </c>
      <c r="I436" s="195">
        <f>IF(B436="","",C436*('入力・概要'!$E$17*1E-9))</f>
        <v/>
      </c>
      <c r="J436" s="195">
        <f>IF(B436="","",SINH(2*H436)/(COSH(2*H436)+COS(2*I436)))</f>
        <v/>
      </c>
      <c r="K436" s="195">
        <f>IF(B436="","",SIN(2*I436)/(COSH(2*H436)+COS(2*I436)))</f>
        <v/>
      </c>
      <c r="L436" s="195">
        <f>IF(B436="","",'入力・概要'!$B$25)</f>
        <v/>
      </c>
      <c r="M436" s="195">
        <f>IF(B436="","",C436*'入力・概要'!$B$26*1E-9-1/(C436*'入力・概要'!$B$24*1E-6))</f>
        <v/>
      </c>
      <c r="N436" s="195">
        <f>IF(B436="","",'入力・概要'!$B$28)</f>
        <v/>
      </c>
      <c r="O436" s="195">
        <f>IF(B436="","",C436*'入力・概要'!$B$29*1E-9-1/(C436*'入力・概要'!$B$27*1E-6))</f>
        <v/>
      </c>
      <c r="P436" s="195">
        <f>IF(B436="","",((L436*N436-M436*O436)*(L436+N436)+(L436*O436+M436*N436)*(M436+O436))/((L436+N436)^2+(M436+O436)^2))</f>
        <v/>
      </c>
      <c r="Q436" s="195">
        <f>IF(B436="","",((L436*O436+M436*N436)*(L436+N436)-(L436*N436-M436*O436)*(M436+O436))/((L436+N436)^2+(M436+O436)^2))</f>
        <v/>
      </c>
      <c r="R436" s="195">
        <f>IF(B436="","",'入力・概要'!$E$15*J436)</f>
        <v/>
      </c>
      <c r="S436" s="195">
        <f>IF(B436="","",'入力・概要'!$E$15*K436)</f>
        <v/>
      </c>
      <c r="T436" s="195">
        <f>IF(B436="","",P436+R436)</f>
        <v/>
      </c>
      <c r="U436" s="195">
        <f>IF(B436="","",Q436+S436)</f>
        <v/>
      </c>
      <c r="V436" s="195">
        <f>IF(B436="","",T436+'入力・概要'!$E$9*F436)</f>
        <v/>
      </c>
      <c r="W436" s="195">
        <f>IF(B436="","",U436+'入力・概要'!$E$9*G436)</f>
        <v/>
      </c>
      <c r="X436" s="195">
        <f>IF(B436="","",'入力・概要'!$E$9+T436*F436-U436*G436)</f>
        <v/>
      </c>
      <c r="Y436" s="195">
        <f>IF(B436="","",T436*G436+U436*F436)</f>
        <v/>
      </c>
      <c r="Z436" s="195">
        <f>IF(B436="","",'入力・概要'!$E$9*(V436*X436+W436*Y436)/(X436^2+Y436^2)+'入力・概要'!$B$36)</f>
        <v/>
      </c>
      <c r="AA436" s="195">
        <f>IF(B436="","",'入力・概要'!$E$9*(W436*X436-V436*Y436)/(X436^2+Y436^2)+C436*'入力・概要'!$B$37*1E-9)</f>
        <v/>
      </c>
      <c r="AB436" s="195">
        <f>IF(B436="","",SQRT(Z436^2+AA436^2))</f>
        <v/>
      </c>
      <c r="AC436" s="195">
        <f>IF(B436="","",IF(Z436&gt;0,DEGREES(ATAN(AA436/Z436)),IF(Z436&lt;0,IF(AA436&gt;=0,DEGREES(ATAN(AA436/Z436))+180,DEGREES(ATAN(AA436/Z436))-180),IF(AA436&gt;0,90,IF(AA436&lt;0,-90,0)))))</f>
        <v/>
      </c>
      <c r="AD436" s="195">
        <f>IF(B436="","",LOG10(B436))</f>
        <v/>
      </c>
      <c r="AE436" s="195">
        <f>IF(AB436="","",LOG10(MAX(AB436,1E-12)))</f>
        <v/>
      </c>
      <c r="AF436" s="195">
        <f>IF(B436="","",SQRT(P436^2+Q436^2))</f>
        <v/>
      </c>
      <c r="AG436" s="195">
        <f>IF(B436="","",SQRT(R436^2+S436^2))</f>
        <v/>
      </c>
    </row>
    <row r="437">
      <c r="A437" t="n">
        <v>434</v>
      </c>
      <c r="B437" s="196">
        <f>IF(A437&lt;='入力・概要'!$B$40,10^(LOG10('入力・概要'!$B$38)+(A437-1)*(LOG10('入力・概要'!$B$39)-LOG10('入力・概要'!$B$38))/('入力・概要'!$B$40-1)),"")</f>
        <v/>
      </c>
      <c r="C437" s="195">
        <f>IF(B437="","",2*PI()*B437)</f>
        <v/>
      </c>
      <c r="D437" s="195">
        <f>IF(B437="","",ATANH(MIN(0.999999,'入力・概要'!$E$20/'入力・概要'!$E$9))+'入力・概要'!$B$20*SQRT(B437/1E6)+E437*'入力・概要'!$B$15/2)</f>
        <v/>
      </c>
      <c r="E437" s="195">
        <f>IF(B437="","",C437*('入力・概要'!$E$11*1E-9))</f>
        <v/>
      </c>
      <c r="F437" s="195">
        <f>IF(B437="","",SINH(2*D437)/(COSH(2*D437)+COS(2*E437)))</f>
        <v/>
      </c>
      <c r="G437" s="195">
        <f>IF(B437="","",SIN(2*E437)/(COSH(2*D437)+COS(2*E437)))</f>
        <v/>
      </c>
      <c r="H437" s="195">
        <f>IF(B437="","",ATANH(MIN(0.999999,'入力・概要'!$E$21/'入力・概要'!$E$15))+'入力・概要'!$B$21*SQRT(B437/1E6)+I437*'入力・概要'!$B$16/2)</f>
        <v/>
      </c>
      <c r="I437" s="195">
        <f>IF(B437="","",C437*('入力・概要'!$E$17*1E-9))</f>
        <v/>
      </c>
      <c r="J437" s="195">
        <f>IF(B437="","",SINH(2*H437)/(COSH(2*H437)+COS(2*I437)))</f>
        <v/>
      </c>
      <c r="K437" s="195">
        <f>IF(B437="","",SIN(2*I437)/(COSH(2*H437)+COS(2*I437)))</f>
        <v/>
      </c>
      <c r="L437" s="195">
        <f>IF(B437="","",'入力・概要'!$B$25)</f>
        <v/>
      </c>
      <c r="M437" s="195">
        <f>IF(B437="","",C437*'入力・概要'!$B$26*1E-9-1/(C437*'入力・概要'!$B$24*1E-6))</f>
        <v/>
      </c>
      <c r="N437" s="195">
        <f>IF(B437="","",'入力・概要'!$B$28)</f>
        <v/>
      </c>
      <c r="O437" s="195">
        <f>IF(B437="","",C437*'入力・概要'!$B$29*1E-9-1/(C437*'入力・概要'!$B$27*1E-6))</f>
        <v/>
      </c>
      <c r="P437" s="195">
        <f>IF(B437="","",((L437*N437-M437*O437)*(L437+N437)+(L437*O437+M437*N437)*(M437+O437))/((L437+N437)^2+(M437+O437)^2))</f>
        <v/>
      </c>
      <c r="Q437" s="195">
        <f>IF(B437="","",((L437*O437+M437*N437)*(L437+N437)-(L437*N437-M437*O437)*(M437+O437))/((L437+N437)^2+(M437+O437)^2))</f>
        <v/>
      </c>
      <c r="R437" s="195">
        <f>IF(B437="","",'入力・概要'!$E$15*J437)</f>
        <v/>
      </c>
      <c r="S437" s="195">
        <f>IF(B437="","",'入力・概要'!$E$15*K437)</f>
        <v/>
      </c>
      <c r="T437" s="195">
        <f>IF(B437="","",P437+R437)</f>
        <v/>
      </c>
      <c r="U437" s="195">
        <f>IF(B437="","",Q437+S437)</f>
        <v/>
      </c>
      <c r="V437" s="195">
        <f>IF(B437="","",T437+'入力・概要'!$E$9*F437)</f>
        <v/>
      </c>
      <c r="W437" s="195">
        <f>IF(B437="","",U437+'入力・概要'!$E$9*G437)</f>
        <v/>
      </c>
      <c r="X437" s="195">
        <f>IF(B437="","",'入力・概要'!$E$9+T437*F437-U437*G437)</f>
        <v/>
      </c>
      <c r="Y437" s="195">
        <f>IF(B437="","",T437*G437+U437*F437)</f>
        <v/>
      </c>
      <c r="Z437" s="195">
        <f>IF(B437="","",'入力・概要'!$E$9*(V437*X437+W437*Y437)/(X437^2+Y437^2)+'入力・概要'!$B$36)</f>
        <v/>
      </c>
      <c r="AA437" s="195">
        <f>IF(B437="","",'入力・概要'!$E$9*(W437*X437-V437*Y437)/(X437^2+Y437^2)+C437*'入力・概要'!$B$37*1E-9)</f>
        <v/>
      </c>
      <c r="AB437" s="195">
        <f>IF(B437="","",SQRT(Z437^2+AA437^2))</f>
        <v/>
      </c>
      <c r="AC437" s="195">
        <f>IF(B437="","",IF(Z437&gt;0,DEGREES(ATAN(AA437/Z437)),IF(Z437&lt;0,IF(AA437&gt;=0,DEGREES(ATAN(AA437/Z437))+180,DEGREES(ATAN(AA437/Z437))-180),IF(AA437&gt;0,90,IF(AA437&lt;0,-90,0)))))</f>
        <v/>
      </c>
      <c r="AD437" s="195">
        <f>IF(B437="","",LOG10(B437))</f>
        <v/>
      </c>
      <c r="AE437" s="195">
        <f>IF(AB437="","",LOG10(MAX(AB437,1E-12)))</f>
        <v/>
      </c>
      <c r="AF437" s="195">
        <f>IF(B437="","",SQRT(P437^2+Q437^2))</f>
        <v/>
      </c>
      <c r="AG437" s="195">
        <f>IF(B437="","",SQRT(R437^2+S437^2))</f>
        <v/>
      </c>
    </row>
    <row r="438">
      <c r="A438" t="n">
        <v>435</v>
      </c>
      <c r="B438" s="196">
        <f>IF(A438&lt;='入力・概要'!$B$40,10^(LOG10('入力・概要'!$B$38)+(A438-1)*(LOG10('入力・概要'!$B$39)-LOG10('入力・概要'!$B$38))/('入力・概要'!$B$40-1)),"")</f>
        <v/>
      </c>
      <c r="C438" s="195">
        <f>IF(B438="","",2*PI()*B438)</f>
        <v/>
      </c>
      <c r="D438" s="195">
        <f>IF(B438="","",ATANH(MIN(0.999999,'入力・概要'!$E$20/'入力・概要'!$E$9))+'入力・概要'!$B$20*SQRT(B438/1E6)+E438*'入力・概要'!$B$15/2)</f>
        <v/>
      </c>
      <c r="E438" s="195">
        <f>IF(B438="","",C438*('入力・概要'!$E$11*1E-9))</f>
        <v/>
      </c>
      <c r="F438" s="195">
        <f>IF(B438="","",SINH(2*D438)/(COSH(2*D438)+COS(2*E438)))</f>
        <v/>
      </c>
      <c r="G438" s="195">
        <f>IF(B438="","",SIN(2*E438)/(COSH(2*D438)+COS(2*E438)))</f>
        <v/>
      </c>
      <c r="H438" s="195">
        <f>IF(B438="","",ATANH(MIN(0.999999,'入力・概要'!$E$21/'入力・概要'!$E$15))+'入力・概要'!$B$21*SQRT(B438/1E6)+I438*'入力・概要'!$B$16/2)</f>
        <v/>
      </c>
      <c r="I438" s="195">
        <f>IF(B438="","",C438*('入力・概要'!$E$17*1E-9))</f>
        <v/>
      </c>
      <c r="J438" s="195">
        <f>IF(B438="","",SINH(2*H438)/(COSH(2*H438)+COS(2*I438)))</f>
        <v/>
      </c>
      <c r="K438" s="195">
        <f>IF(B438="","",SIN(2*I438)/(COSH(2*H438)+COS(2*I438)))</f>
        <v/>
      </c>
      <c r="L438" s="195">
        <f>IF(B438="","",'入力・概要'!$B$25)</f>
        <v/>
      </c>
      <c r="M438" s="195">
        <f>IF(B438="","",C438*'入力・概要'!$B$26*1E-9-1/(C438*'入力・概要'!$B$24*1E-6))</f>
        <v/>
      </c>
      <c r="N438" s="195">
        <f>IF(B438="","",'入力・概要'!$B$28)</f>
        <v/>
      </c>
      <c r="O438" s="195">
        <f>IF(B438="","",C438*'入力・概要'!$B$29*1E-9-1/(C438*'入力・概要'!$B$27*1E-6))</f>
        <v/>
      </c>
      <c r="P438" s="195">
        <f>IF(B438="","",((L438*N438-M438*O438)*(L438+N438)+(L438*O438+M438*N438)*(M438+O438))/((L438+N438)^2+(M438+O438)^2))</f>
        <v/>
      </c>
      <c r="Q438" s="195">
        <f>IF(B438="","",((L438*O438+M438*N438)*(L438+N438)-(L438*N438-M438*O438)*(M438+O438))/((L438+N438)^2+(M438+O438)^2))</f>
        <v/>
      </c>
      <c r="R438" s="195">
        <f>IF(B438="","",'入力・概要'!$E$15*J438)</f>
        <v/>
      </c>
      <c r="S438" s="195">
        <f>IF(B438="","",'入力・概要'!$E$15*K438)</f>
        <v/>
      </c>
      <c r="T438" s="195">
        <f>IF(B438="","",P438+R438)</f>
        <v/>
      </c>
      <c r="U438" s="195">
        <f>IF(B438="","",Q438+S438)</f>
        <v/>
      </c>
      <c r="V438" s="195">
        <f>IF(B438="","",T438+'入力・概要'!$E$9*F438)</f>
        <v/>
      </c>
      <c r="W438" s="195">
        <f>IF(B438="","",U438+'入力・概要'!$E$9*G438)</f>
        <v/>
      </c>
      <c r="X438" s="195">
        <f>IF(B438="","",'入力・概要'!$E$9+T438*F438-U438*G438)</f>
        <v/>
      </c>
      <c r="Y438" s="195">
        <f>IF(B438="","",T438*G438+U438*F438)</f>
        <v/>
      </c>
      <c r="Z438" s="195">
        <f>IF(B438="","",'入力・概要'!$E$9*(V438*X438+W438*Y438)/(X438^2+Y438^2)+'入力・概要'!$B$36)</f>
        <v/>
      </c>
      <c r="AA438" s="195">
        <f>IF(B438="","",'入力・概要'!$E$9*(W438*X438-V438*Y438)/(X438^2+Y438^2)+C438*'入力・概要'!$B$37*1E-9)</f>
        <v/>
      </c>
      <c r="AB438" s="195">
        <f>IF(B438="","",SQRT(Z438^2+AA438^2))</f>
        <v/>
      </c>
      <c r="AC438" s="195">
        <f>IF(B438="","",IF(Z438&gt;0,DEGREES(ATAN(AA438/Z438)),IF(Z438&lt;0,IF(AA438&gt;=0,DEGREES(ATAN(AA438/Z438))+180,DEGREES(ATAN(AA438/Z438))-180),IF(AA438&gt;0,90,IF(AA438&lt;0,-90,0)))))</f>
        <v/>
      </c>
      <c r="AD438" s="195">
        <f>IF(B438="","",LOG10(B438))</f>
        <v/>
      </c>
      <c r="AE438" s="195">
        <f>IF(AB438="","",LOG10(MAX(AB438,1E-12)))</f>
        <v/>
      </c>
      <c r="AF438" s="195">
        <f>IF(B438="","",SQRT(P438^2+Q438^2))</f>
        <v/>
      </c>
      <c r="AG438" s="195">
        <f>IF(B438="","",SQRT(R438^2+S438^2))</f>
        <v/>
      </c>
    </row>
    <row r="439">
      <c r="A439" t="n">
        <v>436</v>
      </c>
      <c r="B439" s="196">
        <f>IF(A439&lt;='入力・概要'!$B$40,10^(LOG10('入力・概要'!$B$38)+(A439-1)*(LOG10('入力・概要'!$B$39)-LOG10('入力・概要'!$B$38))/('入力・概要'!$B$40-1)),"")</f>
        <v/>
      </c>
      <c r="C439" s="195">
        <f>IF(B439="","",2*PI()*B439)</f>
        <v/>
      </c>
      <c r="D439" s="195">
        <f>IF(B439="","",ATANH(MIN(0.999999,'入力・概要'!$E$20/'入力・概要'!$E$9))+'入力・概要'!$B$20*SQRT(B439/1E6)+E439*'入力・概要'!$B$15/2)</f>
        <v/>
      </c>
      <c r="E439" s="195">
        <f>IF(B439="","",C439*('入力・概要'!$E$11*1E-9))</f>
        <v/>
      </c>
      <c r="F439" s="195">
        <f>IF(B439="","",SINH(2*D439)/(COSH(2*D439)+COS(2*E439)))</f>
        <v/>
      </c>
      <c r="G439" s="195">
        <f>IF(B439="","",SIN(2*E439)/(COSH(2*D439)+COS(2*E439)))</f>
        <v/>
      </c>
      <c r="H439" s="195">
        <f>IF(B439="","",ATANH(MIN(0.999999,'入力・概要'!$E$21/'入力・概要'!$E$15))+'入力・概要'!$B$21*SQRT(B439/1E6)+I439*'入力・概要'!$B$16/2)</f>
        <v/>
      </c>
      <c r="I439" s="195">
        <f>IF(B439="","",C439*('入力・概要'!$E$17*1E-9))</f>
        <v/>
      </c>
      <c r="J439" s="195">
        <f>IF(B439="","",SINH(2*H439)/(COSH(2*H439)+COS(2*I439)))</f>
        <v/>
      </c>
      <c r="K439" s="195">
        <f>IF(B439="","",SIN(2*I439)/(COSH(2*H439)+COS(2*I439)))</f>
        <v/>
      </c>
      <c r="L439" s="195">
        <f>IF(B439="","",'入力・概要'!$B$25)</f>
        <v/>
      </c>
      <c r="M439" s="195">
        <f>IF(B439="","",C439*'入力・概要'!$B$26*1E-9-1/(C439*'入力・概要'!$B$24*1E-6))</f>
        <v/>
      </c>
      <c r="N439" s="195">
        <f>IF(B439="","",'入力・概要'!$B$28)</f>
        <v/>
      </c>
      <c r="O439" s="195">
        <f>IF(B439="","",C439*'入力・概要'!$B$29*1E-9-1/(C439*'入力・概要'!$B$27*1E-6))</f>
        <v/>
      </c>
      <c r="P439" s="195">
        <f>IF(B439="","",((L439*N439-M439*O439)*(L439+N439)+(L439*O439+M439*N439)*(M439+O439))/((L439+N439)^2+(M439+O439)^2))</f>
        <v/>
      </c>
      <c r="Q439" s="195">
        <f>IF(B439="","",((L439*O439+M439*N439)*(L439+N439)-(L439*N439-M439*O439)*(M439+O439))/((L439+N439)^2+(M439+O439)^2))</f>
        <v/>
      </c>
      <c r="R439" s="195">
        <f>IF(B439="","",'入力・概要'!$E$15*J439)</f>
        <v/>
      </c>
      <c r="S439" s="195">
        <f>IF(B439="","",'入力・概要'!$E$15*K439)</f>
        <v/>
      </c>
      <c r="T439" s="195">
        <f>IF(B439="","",P439+R439)</f>
        <v/>
      </c>
      <c r="U439" s="195">
        <f>IF(B439="","",Q439+S439)</f>
        <v/>
      </c>
      <c r="V439" s="195">
        <f>IF(B439="","",T439+'入力・概要'!$E$9*F439)</f>
        <v/>
      </c>
      <c r="W439" s="195">
        <f>IF(B439="","",U439+'入力・概要'!$E$9*G439)</f>
        <v/>
      </c>
      <c r="X439" s="195">
        <f>IF(B439="","",'入力・概要'!$E$9+T439*F439-U439*G439)</f>
        <v/>
      </c>
      <c r="Y439" s="195">
        <f>IF(B439="","",T439*G439+U439*F439)</f>
        <v/>
      </c>
      <c r="Z439" s="195">
        <f>IF(B439="","",'入力・概要'!$E$9*(V439*X439+W439*Y439)/(X439^2+Y439^2)+'入力・概要'!$B$36)</f>
        <v/>
      </c>
      <c r="AA439" s="195">
        <f>IF(B439="","",'入力・概要'!$E$9*(W439*X439-V439*Y439)/(X439^2+Y439^2)+C439*'入力・概要'!$B$37*1E-9)</f>
        <v/>
      </c>
      <c r="AB439" s="195">
        <f>IF(B439="","",SQRT(Z439^2+AA439^2))</f>
        <v/>
      </c>
      <c r="AC439" s="195">
        <f>IF(B439="","",IF(Z439&gt;0,DEGREES(ATAN(AA439/Z439)),IF(Z439&lt;0,IF(AA439&gt;=0,DEGREES(ATAN(AA439/Z439))+180,DEGREES(ATAN(AA439/Z439))-180),IF(AA439&gt;0,90,IF(AA439&lt;0,-90,0)))))</f>
        <v/>
      </c>
      <c r="AD439" s="195">
        <f>IF(B439="","",LOG10(B439))</f>
        <v/>
      </c>
      <c r="AE439" s="195">
        <f>IF(AB439="","",LOG10(MAX(AB439,1E-12)))</f>
        <v/>
      </c>
      <c r="AF439" s="195">
        <f>IF(B439="","",SQRT(P439^2+Q439^2))</f>
        <v/>
      </c>
      <c r="AG439" s="195">
        <f>IF(B439="","",SQRT(R439^2+S439^2))</f>
        <v/>
      </c>
    </row>
    <row r="440">
      <c r="A440" t="n">
        <v>437</v>
      </c>
      <c r="B440" s="196">
        <f>IF(A440&lt;='入力・概要'!$B$40,10^(LOG10('入力・概要'!$B$38)+(A440-1)*(LOG10('入力・概要'!$B$39)-LOG10('入力・概要'!$B$38))/('入力・概要'!$B$40-1)),"")</f>
        <v/>
      </c>
      <c r="C440" s="195">
        <f>IF(B440="","",2*PI()*B440)</f>
        <v/>
      </c>
      <c r="D440" s="195">
        <f>IF(B440="","",ATANH(MIN(0.999999,'入力・概要'!$E$20/'入力・概要'!$E$9))+'入力・概要'!$B$20*SQRT(B440/1E6)+E440*'入力・概要'!$B$15/2)</f>
        <v/>
      </c>
      <c r="E440" s="195">
        <f>IF(B440="","",C440*('入力・概要'!$E$11*1E-9))</f>
        <v/>
      </c>
      <c r="F440" s="195">
        <f>IF(B440="","",SINH(2*D440)/(COSH(2*D440)+COS(2*E440)))</f>
        <v/>
      </c>
      <c r="G440" s="195">
        <f>IF(B440="","",SIN(2*E440)/(COSH(2*D440)+COS(2*E440)))</f>
        <v/>
      </c>
      <c r="H440" s="195">
        <f>IF(B440="","",ATANH(MIN(0.999999,'入力・概要'!$E$21/'入力・概要'!$E$15))+'入力・概要'!$B$21*SQRT(B440/1E6)+I440*'入力・概要'!$B$16/2)</f>
        <v/>
      </c>
      <c r="I440" s="195">
        <f>IF(B440="","",C440*('入力・概要'!$E$17*1E-9))</f>
        <v/>
      </c>
      <c r="J440" s="195">
        <f>IF(B440="","",SINH(2*H440)/(COSH(2*H440)+COS(2*I440)))</f>
        <v/>
      </c>
      <c r="K440" s="195">
        <f>IF(B440="","",SIN(2*I440)/(COSH(2*H440)+COS(2*I440)))</f>
        <v/>
      </c>
      <c r="L440" s="195">
        <f>IF(B440="","",'入力・概要'!$B$25)</f>
        <v/>
      </c>
      <c r="M440" s="195">
        <f>IF(B440="","",C440*'入力・概要'!$B$26*1E-9-1/(C440*'入力・概要'!$B$24*1E-6))</f>
        <v/>
      </c>
      <c r="N440" s="195">
        <f>IF(B440="","",'入力・概要'!$B$28)</f>
        <v/>
      </c>
      <c r="O440" s="195">
        <f>IF(B440="","",C440*'入力・概要'!$B$29*1E-9-1/(C440*'入力・概要'!$B$27*1E-6))</f>
        <v/>
      </c>
      <c r="P440" s="195">
        <f>IF(B440="","",((L440*N440-M440*O440)*(L440+N440)+(L440*O440+M440*N440)*(M440+O440))/((L440+N440)^2+(M440+O440)^2))</f>
        <v/>
      </c>
      <c r="Q440" s="195">
        <f>IF(B440="","",((L440*O440+M440*N440)*(L440+N440)-(L440*N440-M440*O440)*(M440+O440))/((L440+N440)^2+(M440+O440)^2))</f>
        <v/>
      </c>
      <c r="R440" s="195">
        <f>IF(B440="","",'入力・概要'!$E$15*J440)</f>
        <v/>
      </c>
      <c r="S440" s="195">
        <f>IF(B440="","",'入力・概要'!$E$15*K440)</f>
        <v/>
      </c>
      <c r="T440" s="195">
        <f>IF(B440="","",P440+R440)</f>
        <v/>
      </c>
      <c r="U440" s="195">
        <f>IF(B440="","",Q440+S440)</f>
        <v/>
      </c>
      <c r="V440" s="195">
        <f>IF(B440="","",T440+'入力・概要'!$E$9*F440)</f>
        <v/>
      </c>
      <c r="W440" s="195">
        <f>IF(B440="","",U440+'入力・概要'!$E$9*G440)</f>
        <v/>
      </c>
      <c r="X440" s="195">
        <f>IF(B440="","",'入力・概要'!$E$9+T440*F440-U440*G440)</f>
        <v/>
      </c>
      <c r="Y440" s="195">
        <f>IF(B440="","",T440*G440+U440*F440)</f>
        <v/>
      </c>
      <c r="Z440" s="195">
        <f>IF(B440="","",'入力・概要'!$E$9*(V440*X440+W440*Y440)/(X440^2+Y440^2)+'入力・概要'!$B$36)</f>
        <v/>
      </c>
      <c r="AA440" s="195">
        <f>IF(B440="","",'入力・概要'!$E$9*(W440*X440-V440*Y440)/(X440^2+Y440^2)+C440*'入力・概要'!$B$37*1E-9)</f>
        <v/>
      </c>
      <c r="AB440" s="195">
        <f>IF(B440="","",SQRT(Z440^2+AA440^2))</f>
        <v/>
      </c>
      <c r="AC440" s="195">
        <f>IF(B440="","",IF(Z440&gt;0,DEGREES(ATAN(AA440/Z440)),IF(Z440&lt;0,IF(AA440&gt;=0,DEGREES(ATAN(AA440/Z440))+180,DEGREES(ATAN(AA440/Z440))-180),IF(AA440&gt;0,90,IF(AA440&lt;0,-90,0)))))</f>
        <v/>
      </c>
      <c r="AD440" s="195">
        <f>IF(B440="","",LOG10(B440))</f>
        <v/>
      </c>
      <c r="AE440" s="195">
        <f>IF(AB440="","",LOG10(MAX(AB440,1E-12)))</f>
        <v/>
      </c>
      <c r="AF440" s="195">
        <f>IF(B440="","",SQRT(P440^2+Q440^2))</f>
        <v/>
      </c>
      <c r="AG440" s="195">
        <f>IF(B440="","",SQRT(R440^2+S440^2))</f>
        <v/>
      </c>
    </row>
    <row r="441">
      <c r="A441" t="n">
        <v>438</v>
      </c>
      <c r="B441" s="196">
        <f>IF(A441&lt;='入力・概要'!$B$40,10^(LOG10('入力・概要'!$B$38)+(A441-1)*(LOG10('入力・概要'!$B$39)-LOG10('入力・概要'!$B$38))/('入力・概要'!$B$40-1)),"")</f>
        <v/>
      </c>
      <c r="C441" s="195">
        <f>IF(B441="","",2*PI()*B441)</f>
        <v/>
      </c>
      <c r="D441" s="195">
        <f>IF(B441="","",ATANH(MIN(0.999999,'入力・概要'!$E$20/'入力・概要'!$E$9))+'入力・概要'!$B$20*SQRT(B441/1E6)+E441*'入力・概要'!$B$15/2)</f>
        <v/>
      </c>
      <c r="E441" s="195">
        <f>IF(B441="","",C441*('入力・概要'!$E$11*1E-9))</f>
        <v/>
      </c>
      <c r="F441" s="195">
        <f>IF(B441="","",SINH(2*D441)/(COSH(2*D441)+COS(2*E441)))</f>
        <v/>
      </c>
      <c r="G441" s="195">
        <f>IF(B441="","",SIN(2*E441)/(COSH(2*D441)+COS(2*E441)))</f>
        <v/>
      </c>
      <c r="H441" s="195">
        <f>IF(B441="","",ATANH(MIN(0.999999,'入力・概要'!$E$21/'入力・概要'!$E$15))+'入力・概要'!$B$21*SQRT(B441/1E6)+I441*'入力・概要'!$B$16/2)</f>
        <v/>
      </c>
      <c r="I441" s="195">
        <f>IF(B441="","",C441*('入力・概要'!$E$17*1E-9))</f>
        <v/>
      </c>
      <c r="J441" s="195">
        <f>IF(B441="","",SINH(2*H441)/(COSH(2*H441)+COS(2*I441)))</f>
        <v/>
      </c>
      <c r="K441" s="195">
        <f>IF(B441="","",SIN(2*I441)/(COSH(2*H441)+COS(2*I441)))</f>
        <v/>
      </c>
      <c r="L441" s="195">
        <f>IF(B441="","",'入力・概要'!$B$25)</f>
        <v/>
      </c>
      <c r="M441" s="195">
        <f>IF(B441="","",C441*'入力・概要'!$B$26*1E-9-1/(C441*'入力・概要'!$B$24*1E-6))</f>
        <v/>
      </c>
      <c r="N441" s="195">
        <f>IF(B441="","",'入力・概要'!$B$28)</f>
        <v/>
      </c>
      <c r="O441" s="195">
        <f>IF(B441="","",C441*'入力・概要'!$B$29*1E-9-1/(C441*'入力・概要'!$B$27*1E-6))</f>
        <v/>
      </c>
      <c r="P441" s="195">
        <f>IF(B441="","",((L441*N441-M441*O441)*(L441+N441)+(L441*O441+M441*N441)*(M441+O441))/((L441+N441)^2+(M441+O441)^2))</f>
        <v/>
      </c>
      <c r="Q441" s="195">
        <f>IF(B441="","",((L441*O441+M441*N441)*(L441+N441)-(L441*N441-M441*O441)*(M441+O441))/((L441+N441)^2+(M441+O441)^2))</f>
        <v/>
      </c>
      <c r="R441" s="195">
        <f>IF(B441="","",'入力・概要'!$E$15*J441)</f>
        <v/>
      </c>
      <c r="S441" s="195">
        <f>IF(B441="","",'入力・概要'!$E$15*K441)</f>
        <v/>
      </c>
      <c r="T441" s="195">
        <f>IF(B441="","",P441+R441)</f>
        <v/>
      </c>
      <c r="U441" s="195">
        <f>IF(B441="","",Q441+S441)</f>
        <v/>
      </c>
      <c r="V441" s="195">
        <f>IF(B441="","",T441+'入力・概要'!$E$9*F441)</f>
        <v/>
      </c>
      <c r="W441" s="195">
        <f>IF(B441="","",U441+'入力・概要'!$E$9*G441)</f>
        <v/>
      </c>
      <c r="X441" s="195">
        <f>IF(B441="","",'入力・概要'!$E$9+T441*F441-U441*G441)</f>
        <v/>
      </c>
      <c r="Y441" s="195">
        <f>IF(B441="","",T441*G441+U441*F441)</f>
        <v/>
      </c>
      <c r="Z441" s="195">
        <f>IF(B441="","",'入力・概要'!$E$9*(V441*X441+W441*Y441)/(X441^2+Y441^2)+'入力・概要'!$B$36)</f>
        <v/>
      </c>
      <c r="AA441" s="195">
        <f>IF(B441="","",'入力・概要'!$E$9*(W441*X441-V441*Y441)/(X441^2+Y441^2)+C441*'入力・概要'!$B$37*1E-9)</f>
        <v/>
      </c>
      <c r="AB441" s="195">
        <f>IF(B441="","",SQRT(Z441^2+AA441^2))</f>
        <v/>
      </c>
      <c r="AC441" s="195">
        <f>IF(B441="","",IF(Z441&gt;0,DEGREES(ATAN(AA441/Z441)),IF(Z441&lt;0,IF(AA441&gt;=0,DEGREES(ATAN(AA441/Z441))+180,DEGREES(ATAN(AA441/Z441))-180),IF(AA441&gt;0,90,IF(AA441&lt;0,-90,0)))))</f>
        <v/>
      </c>
      <c r="AD441" s="195">
        <f>IF(B441="","",LOG10(B441))</f>
        <v/>
      </c>
      <c r="AE441" s="195">
        <f>IF(AB441="","",LOG10(MAX(AB441,1E-12)))</f>
        <v/>
      </c>
      <c r="AF441" s="195">
        <f>IF(B441="","",SQRT(P441^2+Q441^2))</f>
        <v/>
      </c>
      <c r="AG441" s="195">
        <f>IF(B441="","",SQRT(R441^2+S441^2))</f>
        <v/>
      </c>
    </row>
    <row r="442">
      <c r="A442" t="n">
        <v>439</v>
      </c>
      <c r="B442" s="196">
        <f>IF(A442&lt;='入力・概要'!$B$40,10^(LOG10('入力・概要'!$B$38)+(A442-1)*(LOG10('入力・概要'!$B$39)-LOG10('入力・概要'!$B$38))/('入力・概要'!$B$40-1)),"")</f>
        <v/>
      </c>
      <c r="C442" s="195">
        <f>IF(B442="","",2*PI()*B442)</f>
        <v/>
      </c>
      <c r="D442" s="195">
        <f>IF(B442="","",ATANH(MIN(0.999999,'入力・概要'!$E$20/'入力・概要'!$E$9))+'入力・概要'!$B$20*SQRT(B442/1E6)+E442*'入力・概要'!$B$15/2)</f>
        <v/>
      </c>
      <c r="E442" s="195">
        <f>IF(B442="","",C442*('入力・概要'!$E$11*1E-9))</f>
        <v/>
      </c>
      <c r="F442" s="195">
        <f>IF(B442="","",SINH(2*D442)/(COSH(2*D442)+COS(2*E442)))</f>
        <v/>
      </c>
      <c r="G442" s="195">
        <f>IF(B442="","",SIN(2*E442)/(COSH(2*D442)+COS(2*E442)))</f>
        <v/>
      </c>
      <c r="H442" s="195">
        <f>IF(B442="","",ATANH(MIN(0.999999,'入力・概要'!$E$21/'入力・概要'!$E$15))+'入力・概要'!$B$21*SQRT(B442/1E6)+I442*'入力・概要'!$B$16/2)</f>
        <v/>
      </c>
      <c r="I442" s="195">
        <f>IF(B442="","",C442*('入力・概要'!$E$17*1E-9))</f>
        <v/>
      </c>
      <c r="J442" s="195">
        <f>IF(B442="","",SINH(2*H442)/(COSH(2*H442)+COS(2*I442)))</f>
        <v/>
      </c>
      <c r="K442" s="195">
        <f>IF(B442="","",SIN(2*I442)/(COSH(2*H442)+COS(2*I442)))</f>
        <v/>
      </c>
      <c r="L442" s="195">
        <f>IF(B442="","",'入力・概要'!$B$25)</f>
        <v/>
      </c>
      <c r="M442" s="195">
        <f>IF(B442="","",C442*'入力・概要'!$B$26*1E-9-1/(C442*'入力・概要'!$B$24*1E-6))</f>
        <v/>
      </c>
      <c r="N442" s="195">
        <f>IF(B442="","",'入力・概要'!$B$28)</f>
        <v/>
      </c>
      <c r="O442" s="195">
        <f>IF(B442="","",C442*'入力・概要'!$B$29*1E-9-1/(C442*'入力・概要'!$B$27*1E-6))</f>
        <v/>
      </c>
      <c r="P442" s="195">
        <f>IF(B442="","",((L442*N442-M442*O442)*(L442+N442)+(L442*O442+M442*N442)*(M442+O442))/((L442+N442)^2+(M442+O442)^2))</f>
        <v/>
      </c>
      <c r="Q442" s="195">
        <f>IF(B442="","",((L442*O442+M442*N442)*(L442+N442)-(L442*N442-M442*O442)*(M442+O442))/((L442+N442)^2+(M442+O442)^2))</f>
        <v/>
      </c>
      <c r="R442" s="195">
        <f>IF(B442="","",'入力・概要'!$E$15*J442)</f>
        <v/>
      </c>
      <c r="S442" s="195">
        <f>IF(B442="","",'入力・概要'!$E$15*K442)</f>
        <v/>
      </c>
      <c r="T442" s="195">
        <f>IF(B442="","",P442+R442)</f>
        <v/>
      </c>
      <c r="U442" s="195">
        <f>IF(B442="","",Q442+S442)</f>
        <v/>
      </c>
      <c r="V442" s="195">
        <f>IF(B442="","",T442+'入力・概要'!$E$9*F442)</f>
        <v/>
      </c>
      <c r="W442" s="195">
        <f>IF(B442="","",U442+'入力・概要'!$E$9*G442)</f>
        <v/>
      </c>
      <c r="X442" s="195">
        <f>IF(B442="","",'入力・概要'!$E$9+T442*F442-U442*G442)</f>
        <v/>
      </c>
      <c r="Y442" s="195">
        <f>IF(B442="","",T442*G442+U442*F442)</f>
        <v/>
      </c>
      <c r="Z442" s="195">
        <f>IF(B442="","",'入力・概要'!$E$9*(V442*X442+W442*Y442)/(X442^2+Y442^2)+'入力・概要'!$B$36)</f>
        <v/>
      </c>
      <c r="AA442" s="195">
        <f>IF(B442="","",'入力・概要'!$E$9*(W442*X442-V442*Y442)/(X442^2+Y442^2)+C442*'入力・概要'!$B$37*1E-9)</f>
        <v/>
      </c>
      <c r="AB442" s="195">
        <f>IF(B442="","",SQRT(Z442^2+AA442^2))</f>
        <v/>
      </c>
      <c r="AC442" s="195">
        <f>IF(B442="","",IF(Z442&gt;0,DEGREES(ATAN(AA442/Z442)),IF(Z442&lt;0,IF(AA442&gt;=0,DEGREES(ATAN(AA442/Z442))+180,DEGREES(ATAN(AA442/Z442))-180),IF(AA442&gt;0,90,IF(AA442&lt;0,-90,0)))))</f>
        <v/>
      </c>
      <c r="AD442" s="195">
        <f>IF(B442="","",LOG10(B442))</f>
        <v/>
      </c>
      <c r="AE442" s="195">
        <f>IF(AB442="","",LOG10(MAX(AB442,1E-12)))</f>
        <v/>
      </c>
      <c r="AF442" s="195">
        <f>IF(B442="","",SQRT(P442^2+Q442^2))</f>
        <v/>
      </c>
      <c r="AG442" s="195">
        <f>IF(B442="","",SQRT(R442^2+S442^2))</f>
        <v/>
      </c>
    </row>
    <row r="443">
      <c r="A443" t="n">
        <v>440</v>
      </c>
      <c r="B443" s="196">
        <f>IF(A443&lt;='入力・概要'!$B$40,10^(LOG10('入力・概要'!$B$38)+(A443-1)*(LOG10('入力・概要'!$B$39)-LOG10('入力・概要'!$B$38))/('入力・概要'!$B$40-1)),"")</f>
        <v/>
      </c>
      <c r="C443" s="195">
        <f>IF(B443="","",2*PI()*B443)</f>
        <v/>
      </c>
      <c r="D443" s="195">
        <f>IF(B443="","",ATANH(MIN(0.999999,'入力・概要'!$E$20/'入力・概要'!$E$9))+'入力・概要'!$B$20*SQRT(B443/1E6)+E443*'入力・概要'!$B$15/2)</f>
        <v/>
      </c>
      <c r="E443" s="195">
        <f>IF(B443="","",C443*('入力・概要'!$E$11*1E-9))</f>
        <v/>
      </c>
      <c r="F443" s="195">
        <f>IF(B443="","",SINH(2*D443)/(COSH(2*D443)+COS(2*E443)))</f>
        <v/>
      </c>
      <c r="G443" s="195">
        <f>IF(B443="","",SIN(2*E443)/(COSH(2*D443)+COS(2*E443)))</f>
        <v/>
      </c>
      <c r="H443" s="195">
        <f>IF(B443="","",ATANH(MIN(0.999999,'入力・概要'!$E$21/'入力・概要'!$E$15))+'入力・概要'!$B$21*SQRT(B443/1E6)+I443*'入力・概要'!$B$16/2)</f>
        <v/>
      </c>
      <c r="I443" s="195">
        <f>IF(B443="","",C443*('入力・概要'!$E$17*1E-9))</f>
        <v/>
      </c>
      <c r="J443" s="195">
        <f>IF(B443="","",SINH(2*H443)/(COSH(2*H443)+COS(2*I443)))</f>
        <v/>
      </c>
      <c r="K443" s="195">
        <f>IF(B443="","",SIN(2*I443)/(COSH(2*H443)+COS(2*I443)))</f>
        <v/>
      </c>
      <c r="L443" s="195">
        <f>IF(B443="","",'入力・概要'!$B$25)</f>
        <v/>
      </c>
      <c r="M443" s="195">
        <f>IF(B443="","",C443*'入力・概要'!$B$26*1E-9-1/(C443*'入力・概要'!$B$24*1E-6))</f>
        <v/>
      </c>
      <c r="N443" s="195">
        <f>IF(B443="","",'入力・概要'!$B$28)</f>
        <v/>
      </c>
      <c r="O443" s="195">
        <f>IF(B443="","",C443*'入力・概要'!$B$29*1E-9-1/(C443*'入力・概要'!$B$27*1E-6))</f>
        <v/>
      </c>
      <c r="P443" s="195">
        <f>IF(B443="","",((L443*N443-M443*O443)*(L443+N443)+(L443*O443+M443*N443)*(M443+O443))/((L443+N443)^2+(M443+O443)^2))</f>
        <v/>
      </c>
      <c r="Q443" s="195">
        <f>IF(B443="","",((L443*O443+M443*N443)*(L443+N443)-(L443*N443-M443*O443)*(M443+O443))/((L443+N443)^2+(M443+O443)^2))</f>
        <v/>
      </c>
      <c r="R443" s="195">
        <f>IF(B443="","",'入力・概要'!$E$15*J443)</f>
        <v/>
      </c>
      <c r="S443" s="195">
        <f>IF(B443="","",'入力・概要'!$E$15*K443)</f>
        <v/>
      </c>
      <c r="T443" s="195">
        <f>IF(B443="","",P443+R443)</f>
        <v/>
      </c>
      <c r="U443" s="195">
        <f>IF(B443="","",Q443+S443)</f>
        <v/>
      </c>
      <c r="V443" s="195">
        <f>IF(B443="","",T443+'入力・概要'!$E$9*F443)</f>
        <v/>
      </c>
      <c r="W443" s="195">
        <f>IF(B443="","",U443+'入力・概要'!$E$9*G443)</f>
        <v/>
      </c>
      <c r="X443" s="195">
        <f>IF(B443="","",'入力・概要'!$E$9+T443*F443-U443*G443)</f>
        <v/>
      </c>
      <c r="Y443" s="195">
        <f>IF(B443="","",T443*G443+U443*F443)</f>
        <v/>
      </c>
      <c r="Z443" s="195">
        <f>IF(B443="","",'入力・概要'!$E$9*(V443*X443+W443*Y443)/(X443^2+Y443^2)+'入力・概要'!$B$36)</f>
        <v/>
      </c>
      <c r="AA443" s="195">
        <f>IF(B443="","",'入力・概要'!$E$9*(W443*X443-V443*Y443)/(X443^2+Y443^2)+C443*'入力・概要'!$B$37*1E-9)</f>
        <v/>
      </c>
      <c r="AB443" s="195">
        <f>IF(B443="","",SQRT(Z443^2+AA443^2))</f>
        <v/>
      </c>
      <c r="AC443" s="195">
        <f>IF(B443="","",IF(Z443&gt;0,DEGREES(ATAN(AA443/Z443)),IF(Z443&lt;0,IF(AA443&gt;=0,DEGREES(ATAN(AA443/Z443))+180,DEGREES(ATAN(AA443/Z443))-180),IF(AA443&gt;0,90,IF(AA443&lt;0,-90,0)))))</f>
        <v/>
      </c>
      <c r="AD443" s="195">
        <f>IF(B443="","",LOG10(B443))</f>
        <v/>
      </c>
      <c r="AE443" s="195">
        <f>IF(AB443="","",LOG10(MAX(AB443,1E-12)))</f>
        <v/>
      </c>
      <c r="AF443" s="195">
        <f>IF(B443="","",SQRT(P443^2+Q443^2))</f>
        <v/>
      </c>
      <c r="AG443" s="195">
        <f>IF(B443="","",SQRT(R443^2+S443^2))</f>
        <v/>
      </c>
    </row>
    <row r="444">
      <c r="A444" t="n">
        <v>441</v>
      </c>
      <c r="B444" s="196">
        <f>IF(A444&lt;='入力・概要'!$B$40,10^(LOG10('入力・概要'!$B$38)+(A444-1)*(LOG10('入力・概要'!$B$39)-LOG10('入力・概要'!$B$38))/('入力・概要'!$B$40-1)),"")</f>
        <v/>
      </c>
      <c r="C444" s="195">
        <f>IF(B444="","",2*PI()*B444)</f>
        <v/>
      </c>
      <c r="D444" s="195">
        <f>IF(B444="","",ATANH(MIN(0.999999,'入力・概要'!$E$20/'入力・概要'!$E$9))+'入力・概要'!$B$20*SQRT(B444/1E6)+E444*'入力・概要'!$B$15/2)</f>
        <v/>
      </c>
      <c r="E444" s="195">
        <f>IF(B444="","",C444*('入力・概要'!$E$11*1E-9))</f>
        <v/>
      </c>
      <c r="F444" s="195">
        <f>IF(B444="","",SINH(2*D444)/(COSH(2*D444)+COS(2*E444)))</f>
        <v/>
      </c>
      <c r="G444" s="195">
        <f>IF(B444="","",SIN(2*E444)/(COSH(2*D444)+COS(2*E444)))</f>
        <v/>
      </c>
      <c r="H444" s="195">
        <f>IF(B444="","",ATANH(MIN(0.999999,'入力・概要'!$E$21/'入力・概要'!$E$15))+'入力・概要'!$B$21*SQRT(B444/1E6)+I444*'入力・概要'!$B$16/2)</f>
        <v/>
      </c>
      <c r="I444" s="195">
        <f>IF(B444="","",C444*('入力・概要'!$E$17*1E-9))</f>
        <v/>
      </c>
      <c r="J444" s="195">
        <f>IF(B444="","",SINH(2*H444)/(COSH(2*H444)+COS(2*I444)))</f>
        <v/>
      </c>
      <c r="K444" s="195">
        <f>IF(B444="","",SIN(2*I444)/(COSH(2*H444)+COS(2*I444)))</f>
        <v/>
      </c>
      <c r="L444" s="195">
        <f>IF(B444="","",'入力・概要'!$B$25)</f>
        <v/>
      </c>
      <c r="M444" s="195">
        <f>IF(B444="","",C444*'入力・概要'!$B$26*1E-9-1/(C444*'入力・概要'!$B$24*1E-6))</f>
        <v/>
      </c>
      <c r="N444" s="195">
        <f>IF(B444="","",'入力・概要'!$B$28)</f>
        <v/>
      </c>
      <c r="O444" s="195">
        <f>IF(B444="","",C444*'入力・概要'!$B$29*1E-9-1/(C444*'入力・概要'!$B$27*1E-6))</f>
        <v/>
      </c>
      <c r="P444" s="195">
        <f>IF(B444="","",((L444*N444-M444*O444)*(L444+N444)+(L444*O444+M444*N444)*(M444+O444))/((L444+N444)^2+(M444+O444)^2))</f>
        <v/>
      </c>
      <c r="Q444" s="195">
        <f>IF(B444="","",((L444*O444+M444*N444)*(L444+N444)-(L444*N444-M444*O444)*(M444+O444))/((L444+N444)^2+(M444+O444)^2))</f>
        <v/>
      </c>
      <c r="R444" s="195">
        <f>IF(B444="","",'入力・概要'!$E$15*J444)</f>
        <v/>
      </c>
      <c r="S444" s="195">
        <f>IF(B444="","",'入力・概要'!$E$15*K444)</f>
        <v/>
      </c>
      <c r="T444" s="195">
        <f>IF(B444="","",P444+R444)</f>
        <v/>
      </c>
      <c r="U444" s="195">
        <f>IF(B444="","",Q444+S444)</f>
        <v/>
      </c>
      <c r="V444" s="195">
        <f>IF(B444="","",T444+'入力・概要'!$E$9*F444)</f>
        <v/>
      </c>
      <c r="W444" s="195">
        <f>IF(B444="","",U444+'入力・概要'!$E$9*G444)</f>
        <v/>
      </c>
      <c r="X444" s="195">
        <f>IF(B444="","",'入力・概要'!$E$9+T444*F444-U444*G444)</f>
        <v/>
      </c>
      <c r="Y444" s="195">
        <f>IF(B444="","",T444*G444+U444*F444)</f>
        <v/>
      </c>
      <c r="Z444" s="195">
        <f>IF(B444="","",'入力・概要'!$E$9*(V444*X444+W444*Y444)/(X444^2+Y444^2)+'入力・概要'!$B$36)</f>
        <v/>
      </c>
      <c r="AA444" s="195">
        <f>IF(B444="","",'入力・概要'!$E$9*(W444*X444-V444*Y444)/(X444^2+Y444^2)+C444*'入力・概要'!$B$37*1E-9)</f>
        <v/>
      </c>
      <c r="AB444" s="195">
        <f>IF(B444="","",SQRT(Z444^2+AA444^2))</f>
        <v/>
      </c>
      <c r="AC444" s="195">
        <f>IF(B444="","",IF(Z444&gt;0,DEGREES(ATAN(AA444/Z444)),IF(Z444&lt;0,IF(AA444&gt;=0,DEGREES(ATAN(AA444/Z444))+180,DEGREES(ATAN(AA444/Z444))-180),IF(AA444&gt;0,90,IF(AA444&lt;0,-90,0)))))</f>
        <v/>
      </c>
      <c r="AD444" s="195">
        <f>IF(B444="","",LOG10(B444))</f>
        <v/>
      </c>
      <c r="AE444" s="195">
        <f>IF(AB444="","",LOG10(MAX(AB444,1E-12)))</f>
        <v/>
      </c>
      <c r="AF444" s="195">
        <f>IF(B444="","",SQRT(P444^2+Q444^2))</f>
        <v/>
      </c>
      <c r="AG444" s="195">
        <f>IF(B444="","",SQRT(R444^2+S444^2))</f>
        <v/>
      </c>
    </row>
    <row r="445">
      <c r="A445" t="n">
        <v>442</v>
      </c>
      <c r="B445" s="196">
        <f>IF(A445&lt;='入力・概要'!$B$40,10^(LOG10('入力・概要'!$B$38)+(A445-1)*(LOG10('入力・概要'!$B$39)-LOG10('入力・概要'!$B$38))/('入力・概要'!$B$40-1)),"")</f>
        <v/>
      </c>
      <c r="C445" s="195">
        <f>IF(B445="","",2*PI()*B445)</f>
        <v/>
      </c>
      <c r="D445" s="195">
        <f>IF(B445="","",ATANH(MIN(0.999999,'入力・概要'!$E$20/'入力・概要'!$E$9))+'入力・概要'!$B$20*SQRT(B445/1E6)+E445*'入力・概要'!$B$15/2)</f>
        <v/>
      </c>
      <c r="E445" s="195">
        <f>IF(B445="","",C445*('入力・概要'!$E$11*1E-9))</f>
        <v/>
      </c>
      <c r="F445" s="195">
        <f>IF(B445="","",SINH(2*D445)/(COSH(2*D445)+COS(2*E445)))</f>
        <v/>
      </c>
      <c r="G445" s="195">
        <f>IF(B445="","",SIN(2*E445)/(COSH(2*D445)+COS(2*E445)))</f>
        <v/>
      </c>
      <c r="H445" s="195">
        <f>IF(B445="","",ATANH(MIN(0.999999,'入力・概要'!$E$21/'入力・概要'!$E$15))+'入力・概要'!$B$21*SQRT(B445/1E6)+I445*'入力・概要'!$B$16/2)</f>
        <v/>
      </c>
      <c r="I445" s="195">
        <f>IF(B445="","",C445*('入力・概要'!$E$17*1E-9))</f>
        <v/>
      </c>
      <c r="J445" s="195">
        <f>IF(B445="","",SINH(2*H445)/(COSH(2*H445)+COS(2*I445)))</f>
        <v/>
      </c>
      <c r="K445" s="195">
        <f>IF(B445="","",SIN(2*I445)/(COSH(2*H445)+COS(2*I445)))</f>
        <v/>
      </c>
      <c r="L445" s="195">
        <f>IF(B445="","",'入力・概要'!$B$25)</f>
        <v/>
      </c>
      <c r="M445" s="195">
        <f>IF(B445="","",C445*'入力・概要'!$B$26*1E-9-1/(C445*'入力・概要'!$B$24*1E-6))</f>
        <v/>
      </c>
      <c r="N445" s="195">
        <f>IF(B445="","",'入力・概要'!$B$28)</f>
        <v/>
      </c>
      <c r="O445" s="195">
        <f>IF(B445="","",C445*'入力・概要'!$B$29*1E-9-1/(C445*'入力・概要'!$B$27*1E-6))</f>
        <v/>
      </c>
      <c r="P445" s="195">
        <f>IF(B445="","",((L445*N445-M445*O445)*(L445+N445)+(L445*O445+M445*N445)*(M445+O445))/((L445+N445)^2+(M445+O445)^2))</f>
        <v/>
      </c>
      <c r="Q445" s="195">
        <f>IF(B445="","",((L445*O445+M445*N445)*(L445+N445)-(L445*N445-M445*O445)*(M445+O445))/((L445+N445)^2+(M445+O445)^2))</f>
        <v/>
      </c>
      <c r="R445" s="195">
        <f>IF(B445="","",'入力・概要'!$E$15*J445)</f>
        <v/>
      </c>
      <c r="S445" s="195">
        <f>IF(B445="","",'入力・概要'!$E$15*K445)</f>
        <v/>
      </c>
      <c r="T445" s="195">
        <f>IF(B445="","",P445+R445)</f>
        <v/>
      </c>
      <c r="U445" s="195">
        <f>IF(B445="","",Q445+S445)</f>
        <v/>
      </c>
      <c r="V445" s="195">
        <f>IF(B445="","",T445+'入力・概要'!$E$9*F445)</f>
        <v/>
      </c>
      <c r="W445" s="195">
        <f>IF(B445="","",U445+'入力・概要'!$E$9*G445)</f>
        <v/>
      </c>
      <c r="X445" s="195">
        <f>IF(B445="","",'入力・概要'!$E$9+T445*F445-U445*G445)</f>
        <v/>
      </c>
      <c r="Y445" s="195">
        <f>IF(B445="","",T445*G445+U445*F445)</f>
        <v/>
      </c>
      <c r="Z445" s="195">
        <f>IF(B445="","",'入力・概要'!$E$9*(V445*X445+W445*Y445)/(X445^2+Y445^2)+'入力・概要'!$B$36)</f>
        <v/>
      </c>
      <c r="AA445" s="195">
        <f>IF(B445="","",'入力・概要'!$E$9*(W445*X445-V445*Y445)/(X445^2+Y445^2)+C445*'入力・概要'!$B$37*1E-9)</f>
        <v/>
      </c>
      <c r="AB445" s="195">
        <f>IF(B445="","",SQRT(Z445^2+AA445^2))</f>
        <v/>
      </c>
      <c r="AC445" s="195">
        <f>IF(B445="","",IF(Z445&gt;0,DEGREES(ATAN(AA445/Z445)),IF(Z445&lt;0,IF(AA445&gt;=0,DEGREES(ATAN(AA445/Z445))+180,DEGREES(ATAN(AA445/Z445))-180),IF(AA445&gt;0,90,IF(AA445&lt;0,-90,0)))))</f>
        <v/>
      </c>
      <c r="AD445" s="195">
        <f>IF(B445="","",LOG10(B445))</f>
        <v/>
      </c>
      <c r="AE445" s="195">
        <f>IF(AB445="","",LOG10(MAX(AB445,1E-12)))</f>
        <v/>
      </c>
      <c r="AF445" s="195">
        <f>IF(B445="","",SQRT(P445^2+Q445^2))</f>
        <v/>
      </c>
      <c r="AG445" s="195">
        <f>IF(B445="","",SQRT(R445^2+S445^2))</f>
        <v/>
      </c>
    </row>
    <row r="446">
      <c r="A446" t="n">
        <v>443</v>
      </c>
      <c r="B446" s="196">
        <f>IF(A446&lt;='入力・概要'!$B$40,10^(LOG10('入力・概要'!$B$38)+(A446-1)*(LOG10('入力・概要'!$B$39)-LOG10('入力・概要'!$B$38))/('入力・概要'!$B$40-1)),"")</f>
        <v/>
      </c>
      <c r="C446" s="195">
        <f>IF(B446="","",2*PI()*B446)</f>
        <v/>
      </c>
      <c r="D446" s="195">
        <f>IF(B446="","",ATANH(MIN(0.999999,'入力・概要'!$E$20/'入力・概要'!$E$9))+'入力・概要'!$B$20*SQRT(B446/1E6)+E446*'入力・概要'!$B$15/2)</f>
        <v/>
      </c>
      <c r="E446" s="195">
        <f>IF(B446="","",C446*('入力・概要'!$E$11*1E-9))</f>
        <v/>
      </c>
      <c r="F446" s="195">
        <f>IF(B446="","",SINH(2*D446)/(COSH(2*D446)+COS(2*E446)))</f>
        <v/>
      </c>
      <c r="G446" s="195">
        <f>IF(B446="","",SIN(2*E446)/(COSH(2*D446)+COS(2*E446)))</f>
        <v/>
      </c>
      <c r="H446" s="195">
        <f>IF(B446="","",ATANH(MIN(0.999999,'入力・概要'!$E$21/'入力・概要'!$E$15))+'入力・概要'!$B$21*SQRT(B446/1E6)+I446*'入力・概要'!$B$16/2)</f>
        <v/>
      </c>
      <c r="I446" s="195">
        <f>IF(B446="","",C446*('入力・概要'!$E$17*1E-9))</f>
        <v/>
      </c>
      <c r="J446" s="195">
        <f>IF(B446="","",SINH(2*H446)/(COSH(2*H446)+COS(2*I446)))</f>
        <v/>
      </c>
      <c r="K446" s="195">
        <f>IF(B446="","",SIN(2*I446)/(COSH(2*H446)+COS(2*I446)))</f>
        <v/>
      </c>
      <c r="L446" s="195">
        <f>IF(B446="","",'入力・概要'!$B$25)</f>
        <v/>
      </c>
      <c r="M446" s="195">
        <f>IF(B446="","",C446*'入力・概要'!$B$26*1E-9-1/(C446*'入力・概要'!$B$24*1E-6))</f>
        <v/>
      </c>
      <c r="N446" s="195">
        <f>IF(B446="","",'入力・概要'!$B$28)</f>
        <v/>
      </c>
      <c r="O446" s="195">
        <f>IF(B446="","",C446*'入力・概要'!$B$29*1E-9-1/(C446*'入力・概要'!$B$27*1E-6))</f>
        <v/>
      </c>
      <c r="P446" s="195">
        <f>IF(B446="","",((L446*N446-M446*O446)*(L446+N446)+(L446*O446+M446*N446)*(M446+O446))/((L446+N446)^2+(M446+O446)^2))</f>
        <v/>
      </c>
      <c r="Q446" s="195">
        <f>IF(B446="","",((L446*O446+M446*N446)*(L446+N446)-(L446*N446-M446*O446)*(M446+O446))/((L446+N446)^2+(M446+O446)^2))</f>
        <v/>
      </c>
      <c r="R446" s="195">
        <f>IF(B446="","",'入力・概要'!$E$15*J446)</f>
        <v/>
      </c>
      <c r="S446" s="195">
        <f>IF(B446="","",'入力・概要'!$E$15*K446)</f>
        <v/>
      </c>
      <c r="T446" s="195">
        <f>IF(B446="","",P446+R446)</f>
        <v/>
      </c>
      <c r="U446" s="195">
        <f>IF(B446="","",Q446+S446)</f>
        <v/>
      </c>
      <c r="V446" s="195">
        <f>IF(B446="","",T446+'入力・概要'!$E$9*F446)</f>
        <v/>
      </c>
      <c r="W446" s="195">
        <f>IF(B446="","",U446+'入力・概要'!$E$9*G446)</f>
        <v/>
      </c>
      <c r="X446" s="195">
        <f>IF(B446="","",'入力・概要'!$E$9+T446*F446-U446*G446)</f>
        <v/>
      </c>
      <c r="Y446" s="195">
        <f>IF(B446="","",T446*G446+U446*F446)</f>
        <v/>
      </c>
      <c r="Z446" s="195">
        <f>IF(B446="","",'入力・概要'!$E$9*(V446*X446+W446*Y446)/(X446^2+Y446^2)+'入力・概要'!$B$36)</f>
        <v/>
      </c>
      <c r="AA446" s="195">
        <f>IF(B446="","",'入力・概要'!$E$9*(W446*X446-V446*Y446)/(X446^2+Y446^2)+C446*'入力・概要'!$B$37*1E-9)</f>
        <v/>
      </c>
      <c r="AB446" s="195">
        <f>IF(B446="","",SQRT(Z446^2+AA446^2))</f>
        <v/>
      </c>
      <c r="AC446" s="195">
        <f>IF(B446="","",IF(Z446&gt;0,DEGREES(ATAN(AA446/Z446)),IF(Z446&lt;0,IF(AA446&gt;=0,DEGREES(ATAN(AA446/Z446))+180,DEGREES(ATAN(AA446/Z446))-180),IF(AA446&gt;0,90,IF(AA446&lt;0,-90,0)))))</f>
        <v/>
      </c>
      <c r="AD446" s="195">
        <f>IF(B446="","",LOG10(B446))</f>
        <v/>
      </c>
      <c r="AE446" s="195">
        <f>IF(AB446="","",LOG10(MAX(AB446,1E-12)))</f>
        <v/>
      </c>
      <c r="AF446" s="195">
        <f>IF(B446="","",SQRT(P446^2+Q446^2))</f>
        <v/>
      </c>
      <c r="AG446" s="195">
        <f>IF(B446="","",SQRT(R446^2+S446^2))</f>
        <v/>
      </c>
    </row>
    <row r="447">
      <c r="A447" t="n">
        <v>444</v>
      </c>
      <c r="B447" s="196">
        <f>IF(A447&lt;='入力・概要'!$B$40,10^(LOG10('入力・概要'!$B$38)+(A447-1)*(LOG10('入力・概要'!$B$39)-LOG10('入力・概要'!$B$38))/('入力・概要'!$B$40-1)),"")</f>
        <v/>
      </c>
      <c r="C447" s="195">
        <f>IF(B447="","",2*PI()*B447)</f>
        <v/>
      </c>
      <c r="D447" s="195">
        <f>IF(B447="","",ATANH(MIN(0.999999,'入力・概要'!$E$20/'入力・概要'!$E$9))+'入力・概要'!$B$20*SQRT(B447/1E6)+E447*'入力・概要'!$B$15/2)</f>
        <v/>
      </c>
      <c r="E447" s="195">
        <f>IF(B447="","",C447*('入力・概要'!$E$11*1E-9))</f>
        <v/>
      </c>
      <c r="F447" s="195">
        <f>IF(B447="","",SINH(2*D447)/(COSH(2*D447)+COS(2*E447)))</f>
        <v/>
      </c>
      <c r="G447" s="195">
        <f>IF(B447="","",SIN(2*E447)/(COSH(2*D447)+COS(2*E447)))</f>
        <v/>
      </c>
      <c r="H447" s="195">
        <f>IF(B447="","",ATANH(MIN(0.999999,'入力・概要'!$E$21/'入力・概要'!$E$15))+'入力・概要'!$B$21*SQRT(B447/1E6)+I447*'入力・概要'!$B$16/2)</f>
        <v/>
      </c>
      <c r="I447" s="195">
        <f>IF(B447="","",C447*('入力・概要'!$E$17*1E-9))</f>
        <v/>
      </c>
      <c r="J447" s="195">
        <f>IF(B447="","",SINH(2*H447)/(COSH(2*H447)+COS(2*I447)))</f>
        <v/>
      </c>
      <c r="K447" s="195">
        <f>IF(B447="","",SIN(2*I447)/(COSH(2*H447)+COS(2*I447)))</f>
        <v/>
      </c>
      <c r="L447" s="195">
        <f>IF(B447="","",'入力・概要'!$B$25)</f>
        <v/>
      </c>
      <c r="M447" s="195">
        <f>IF(B447="","",C447*'入力・概要'!$B$26*1E-9-1/(C447*'入力・概要'!$B$24*1E-6))</f>
        <v/>
      </c>
      <c r="N447" s="195">
        <f>IF(B447="","",'入力・概要'!$B$28)</f>
        <v/>
      </c>
      <c r="O447" s="195">
        <f>IF(B447="","",C447*'入力・概要'!$B$29*1E-9-1/(C447*'入力・概要'!$B$27*1E-6))</f>
        <v/>
      </c>
      <c r="P447" s="195">
        <f>IF(B447="","",((L447*N447-M447*O447)*(L447+N447)+(L447*O447+M447*N447)*(M447+O447))/((L447+N447)^2+(M447+O447)^2))</f>
        <v/>
      </c>
      <c r="Q447" s="195">
        <f>IF(B447="","",((L447*O447+M447*N447)*(L447+N447)-(L447*N447-M447*O447)*(M447+O447))/((L447+N447)^2+(M447+O447)^2))</f>
        <v/>
      </c>
      <c r="R447" s="195">
        <f>IF(B447="","",'入力・概要'!$E$15*J447)</f>
        <v/>
      </c>
      <c r="S447" s="195">
        <f>IF(B447="","",'入力・概要'!$E$15*K447)</f>
        <v/>
      </c>
      <c r="T447" s="195">
        <f>IF(B447="","",P447+R447)</f>
        <v/>
      </c>
      <c r="U447" s="195">
        <f>IF(B447="","",Q447+S447)</f>
        <v/>
      </c>
      <c r="V447" s="195">
        <f>IF(B447="","",T447+'入力・概要'!$E$9*F447)</f>
        <v/>
      </c>
      <c r="W447" s="195">
        <f>IF(B447="","",U447+'入力・概要'!$E$9*G447)</f>
        <v/>
      </c>
      <c r="X447" s="195">
        <f>IF(B447="","",'入力・概要'!$E$9+T447*F447-U447*G447)</f>
        <v/>
      </c>
      <c r="Y447" s="195">
        <f>IF(B447="","",T447*G447+U447*F447)</f>
        <v/>
      </c>
      <c r="Z447" s="195">
        <f>IF(B447="","",'入力・概要'!$E$9*(V447*X447+W447*Y447)/(X447^2+Y447^2)+'入力・概要'!$B$36)</f>
        <v/>
      </c>
      <c r="AA447" s="195">
        <f>IF(B447="","",'入力・概要'!$E$9*(W447*X447-V447*Y447)/(X447^2+Y447^2)+C447*'入力・概要'!$B$37*1E-9)</f>
        <v/>
      </c>
      <c r="AB447" s="195">
        <f>IF(B447="","",SQRT(Z447^2+AA447^2))</f>
        <v/>
      </c>
      <c r="AC447" s="195">
        <f>IF(B447="","",IF(Z447&gt;0,DEGREES(ATAN(AA447/Z447)),IF(Z447&lt;0,IF(AA447&gt;=0,DEGREES(ATAN(AA447/Z447))+180,DEGREES(ATAN(AA447/Z447))-180),IF(AA447&gt;0,90,IF(AA447&lt;0,-90,0)))))</f>
        <v/>
      </c>
      <c r="AD447" s="195">
        <f>IF(B447="","",LOG10(B447))</f>
        <v/>
      </c>
      <c r="AE447" s="195">
        <f>IF(AB447="","",LOG10(MAX(AB447,1E-12)))</f>
        <v/>
      </c>
      <c r="AF447" s="195">
        <f>IF(B447="","",SQRT(P447^2+Q447^2))</f>
        <v/>
      </c>
      <c r="AG447" s="195">
        <f>IF(B447="","",SQRT(R447^2+S447^2))</f>
        <v/>
      </c>
    </row>
    <row r="448">
      <c r="A448" t="n">
        <v>445</v>
      </c>
      <c r="B448" s="196">
        <f>IF(A448&lt;='入力・概要'!$B$40,10^(LOG10('入力・概要'!$B$38)+(A448-1)*(LOG10('入力・概要'!$B$39)-LOG10('入力・概要'!$B$38))/('入力・概要'!$B$40-1)),"")</f>
        <v/>
      </c>
      <c r="C448" s="195">
        <f>IF(B448="","",2*PI()*B448)</f>
        <v/>
      </c>
      <c r="D448" s="195">
        <f>IF(B448="","",ATANH(MIN(0.999999,'入力・概要'!$E$20/'入力・概要'!$E$9))+'入力・概要'!$B$20*SQRT(B448/1E6)+E448*'入力・概要'!$B$15/2)</f>
        <v/>
      </c>
      <c r="E448" s="195">
        <f>IF(B448="","",C448*('入力・概要'!$E$11*1E-9))</f>
        <v/>
      </c>
      <c r="F448" s="195">
        <f>IF(B448="","",SINH(2*D448)/(COSH(2*D448)+COS(2*E448)))</f>
        <v/>
      </c>
      <c r="G448" s="195">
        <f>IF(B448="","",SIN(2*E448)/(COSH(2*D448)+COS(2*E448)))</f>
        <v/>
      </c>
      <c r="H448" s="195">
        <f>IF(B448="","",ATANH(MIN(0.999999,'入力・概要'!$E$21/'入力・概要'!$E$15))+'入力・概要'!$B$21*SQRT(B448/1E6)+I448*'入力・概要'!$B$16/2)</f>
        <v/>
      </c>
      <c r="I448" s="195">
        <f>IF(B448="","",C448*('入力・概要'!$E$17*1E-9))</f>
        <v/>
      </c>
      <c r="J448" s="195">
        <f>IF(B448="","",SINH(2*H448)/(COSH(2*H448)+COS(2*I448)))</f>
        <v/>
      </c>
      <c r="K448" s="195">
        <f>IF(B448="","",SIN(2*I448)/(COSH(2*H448)+COS(2*I448)))</f>
        <v/>
      </c>
      <c r="L448" s="195">
        <f>IF(B448="","",'入力・概要'!$B$25)</f>
        <v/>
      </c>
      <c r="M448" s="195">
        <f>IF(B448="","",C448*'入力・概要'!$B$26*1E-9-1/(C448*'入力・概要'!$B$24*1E-6))</f>
        <v/>
      </c>
      <c r="N448" s="195">
        <f>IF(B448="","",'入力・概要'!$B$28)</f>
        <v/>
      </c>
      <c r="O448" s="195">
        <f>IF(B448="","",C448*'入力・概要'!$B$29*1E-9-1/(C448*'入力・概要'!$B$27*1E-6))</f>
        <v/>
      </c>
      <c r="P448" s="195">
        <f>IF(B448="","",((L448*N448-M448*O448)*(L448+N448)+(L448*O448+M448*N448)*(M448+O448))/((L448+N448)^2+(M448+O448)^2))</f>
        <v/>
      </c>
      <c r="Q448" s="195">
        <f>IF(B448="","",((L448*O448+M448*N448)*(L448+N448)-(L448*N448-M448*O448)*(M448+O448))/((L448+N448)^2+(M448+O448)^2))</f>
        <v/>
      </c>
      <c r="R448" s="195">
        <f>IF(B448="","",'入力・概要'!$E$15*J448)</f>
        <v/>
      </c>
      <c r="S448" s="195">
        <f>IF(B448="","",'入力・概要'!$E$15*K448)</f>
        <v/>
      </c>
      <c r="T448" s="195">
        <f>IF(B448="","",P448+R448)</f>
        <v/>
      </c>
      <c r="U448" s="195">
        <f>IF(B448="","",Q448+S448)</f>
        <v/>
      </c>
      <c r="V448" s="195">
        <f>IF(B448="","",T448+'入力・概要'!$E$9*F448)</f>
        <v/>
      </c>
      <c r="W448" s="195">
        <f>IF(B448="","",U448+'入力・概要'!$E$9*G448)</f>
        <v/>
      </c>
      <c r="X448" s="195">
        <f>IF(B448="","",'入力・概要'!$E$9+T448*F448-U448*G448)</f>
        <v/>
      </c>
      <c r="Y448" s="195">
        <f>IF(B448="","",T448*G448+U448*F448)</f>
        <v/>
      </c>
      <c r="Z448" s="195">
        <f>IF(B448="","",'入力・概要'!$E$9*(V448*X448+W448*Y448)/(X448^2+Y448^2)+'入力・概要'!$B$36)</f>
        <v/>
      </c>
      <c r="AA448" s="195">
        <f>IF(B448="","",'入力・概要'!$E$9*(W448*X448-V448*Y448)/(X448^2+Y448^2)+C448*'入力・概要'!$B$37*1E-9)</f>
        <v/>
      </c>
      <c r="AB448" s="195">
        <f>IF(B448="","",SQRT(Z448^2+AA448^2))</f>
        <v/>
      </c>
      <c r="AC448" s="195">
        <f>IF(B448="","",IF(Z448&gt;0,DEGREES(ATAN(AA448/Z448)),IF(Z448&lt;0,IF(AA448&gt;=0,DEGREES(ATAN(AA448/Z448))+180,DEGREES(ATAN(AA448/Z448))-180),IF(AA448&gt;0,90,IF(AA448&lt;0,-90,0)))))</f>
        <v/>
      </c>
      <c r="AD448" s="195">
        <f>IF(B448="","",LOG10(B448))</f>
        <v/>
      </c>
      <c r="AE448" s="195">
        <f>IF(AB448="","",LOG10(MAX(AB448,1E-12)))</f>
        <v/>
      </c>
      <c r="AF448" s="195">
        <f>IF(B448="","",SQRT(P448^2+Q448^2))</f>
        <v/>
      </c>
      <c r="AG448" s="195">
        <f>IF(B448="","",SQRT(R448^2+S448^2))</f>
        <v/>
      </c>
    </row>
    <row r="449">
      <c r="A449" t="n">
        <v>446</v>
      </c>
      <c r="B449" s="196">
        <f>IF(A449&lt;='入力・概要'!$B$40,10^(LOG10('入力・概要'!$B$38)+(A449-1)*(LOG10('入力・概要'!$B$39)-LOG10('入力・概要'!$B$38))/('入力・概要'!$B$40-1)),"")</f>
        <v/>
      </c>
      <c r="C449" s="195">
        <f>IF(B449="","",2*PI()*B449)</f>
        <v/>
      </c>
      <c r="D449" s="195">
        <f>IF(B449="","",ATANH(MIN(0.999999,'入力・概要'!$E$20/'入力・概要'!$E$9))+'入力・概要'!$B$20*SQRT(B449/1E6)+E449*'入力・概要'!$B$15/2)</f>
        <v/>
      </c>
      <c r="E449" s="195">
        <f>IF(B449="","",C449*('入力・概要'!$E$11*1E-9))</f>
        <v/>
      </c>
      <c r="F449" s="195">
        <f>IF(B449="","",SINH(2*D449)/(COSH(2*D449)+COS(2*E449)))</f>
        <v/>
      </c>
      <c r="G449" s="195">
        <f>IF(B449="","",SIN(2*E449)/(COSH(2*D449)+COS(2*E449)))</f>
        <v/>
      </c>
      <c r="H449" s="195">
        <f>IF(B449="","",ATANH(MIN(0.999999,'入力・概要'!$E$21/'入力・概要'!$E$15))+'入力・概要'!$B$21*SQRT(B449/1E6)+I449*'入力・概要'!$B$16/2)</f>
        <v/>
      </c>
      <c r="I449" s="195">
        <f>IF(B449="","",C449*('入力・概要'!$E$17*1E-9))</f>
        <v/>
      </c>
      <c r="J449" s="195">
        <f>IF(B449="","",SINH(2*H449)/(COSH(2*H449)+COS(2*I449)))</f>
        <v/>
      </c>
      <c r="K449" s="195">
        <f>IF(B449="","",SIN(2*I449)/(COSH(2*H449)+COS(2*I449)))</f>
        <v/>
      </c>
      <c r="L449" s="195">
        <f>IF(B449="","",'入力・概要'!$B$25)</f>
        <v/>
      </c>
      <c r="M449" s="195">
        <f>IF(B449="","",C449*'入力・概要'!$B$26*1E-9-1/(C449*'入力・概要'!$B$24*1E-6))</f>
        <v/>
      </c>
      <c r="N449" s="195">
        <f>IF(B449="","",'入力・概要'!$B$28)</f>
        <v/>
      </c>
      <c r="O449" s="195">
        <f>IF(B449="","",C449*'入力・概要'!$B$29*1E-9-1/(C449*'入力・概要'!$B$27*1E-6))</f>
        <v/>
      </c>
      <c r="P449" s="195">
        <f>IF(B449="","",((L449*N449-M449*O449)*(L449+N449)+(L449*O449+M449*N449)*(M449+O449))/((L449+N449)^2+(M449+O449)^2))</f>
        <v/>
      </c>
      <c r="Q449" s="195">
        <f>IF(B449="","",((L449*O449+M449*N449)*(L449+N449)-(L449*N449-M449*O449)*(M449+O449))/((L449+N449)^2+(M449+O449)^2))</f>
        <v/>
      </c>
      <c r="R449" s="195">
        <f>IF(B449="","",'入力・概要'!$E$15*J449)</f>
        <v/>
      </c>
      <c r="S449" s="195">
        <f>IF(B449="","",'入力・概要'!$E$15*K449)</f>
        <v/>
      </c>
      <c r="T449" s="195">
        <f>IF(B449="","",P449+R449)</f>
        <v/>
      </c>
      <c r="U449" s="195">
        <f>IF(B449="","",Q449+S449)</f>
        <v/>
      </c>
      <c r="V449" s="195">
        <f>IF(B449="","",T449+'入力・概要'!$E$9*F449)</f>
        <v/>
      </c>
      <c r="W449" s="195">
        <f>IF(B449="","",U449+'入力・概要'!$E$9*G449)</f>
        <v/>
      </c>
      <c r="X449" s="195">
        <f>IF(B449="","",'入力・概要'!$E$9+T449*F449-U449*G449)</f>
        <v/>
      </c>
      <c r="Y449" s="195">
        <f>IF(B449="","",T449*G449+U449*F449)</f>
        <v/>
      </c>
      <c r="Z449" s="195">
        <f>IF(B449="","",'入力・概要'!$E$9*(V449*X449+W449*Y449)/(X449^2+Y449^2)+'入力・概要'!$B$36)</f>
        <v/>
      </c>
      <c r="AA449" s="195">
        <f>IF(B449="","",'入力・概要'!$E$9*(W449*X449-V449*Y449)/(X449^2+Y449^2)+C449*'入力・概要'!$B$37*1E-9)</f>
        <v/>
      </c>
      <c r="AB449" s="195">
        <f>IF(B449="","",SQRT(Z449^2+AA449^2))</f>
        <v/>
      </c>
      <c r="AC449" s="195">
        <f>IF(B449="","",IF(Z449&gt;0,DEGREES(ATAN(AA449/Z449)),IF(Z449&lt;0,IF(AA449&gt;=0,DEGREES(ATAN(AA449/Z449))+180,DEGREES(ATAN(AA449/Z449))-180),IF(AA449&gt;0,90,IF(AA449&lt;0,-90,0)))))</f>
        <v/>
      </c>
      <c r="AD449" s="195">
        <f>IF(B449="","",LOG10(B449))</f>
        <v/>
      </c>
      <c r="AE449" s="195">
        <f>IF(AB449="","",LOG10(MAX(AB449,1E-12)))</f>
        <v/>
      </c>
      <c r="AF449" s="195">
        <f>IF(B449="","",SQRT(P449^2+Q449^2))</f>
        <v/>
      </c>
      <c r="AG449" s="195">
        <f>IF(B449="","",SQRT(R449^2+S449^2))</f>
        <v/>
      </c>
    </row>
    <row r="450">
      <c r="A450" t="n">
        <v>447</v>
      </c>
      <c r="B450" s="196">
        <f>IF(A450&lt;='入力・概要'!$B$40,10^(LOG10('入力・概要'!$B$38)+(A450-1)*(LOG10('入力・概要'!$B$39)-LOG10('入力・概要'!$B$38))/('入力・概要'!$B$40-1)),"")</f>
        <v/>
      </c>
      <c r="C450" s="195">
        <f>IF(B450="","",2*PI()*B450)</f>
        <v/>
      </c>
      <c r="D450" s="195">
        <f>IF(B450="","",ATANH(MIN(0.999999,'入力・概要'!$E$20/'入力・概要'!$E$9))+'入力・概要'!$B$20*SQRT(B450/1E6)+E450*'入力・概要'!$B$15/2)</f>
        <v/>
      </c>
      <c r="E450" s="195">
        <f>IF(B450="","",C450*('入力・概要'!$E$11*1E-9))</f>
        <v/>
      </c>
      <c r="F450" s="195">
        <f>IF(B450="","",SINH(2*D450)/(COSH(2*D450)+COS(2*E450)))</f>
        <v/>
      </c>
      <c r="G450" s="195">
        <f>IF(B450="","",SIN(2*E450)/(COSH(2*D450)+COS(2*E450)))</f>
        <v/>
      </c>
      <c r="H450" s="195">
        <f>IF(B450="","",ATANH(MIN(0.999999,'入力・概要'!$E$21/'入力・概要'!$E$15))+'入力・概要'!$B$21*SQRT(B450/1E6)+I450*'入力・概要'!$B$16/2)</f>
        <v/>
      </c>
      <c r="I450" s="195">
        <f>IF(B450="","",C450*('入力・概要'!$E$17*1E-9))</f>
        <v/>
      </c>
      <c r="J450" s="195">
        <f>IF(B450="","",SINH(2*H450)/(COSH(2*H450)+COS(2*I450)))</f>
        <v/>
      </c>
      <c r="K450" s="195">
        <f>IF(B450="","",SIN(2*I450)/(COSH(2*H450)+COS(2*I450)))</f>
        <v/>
      </c>
      <c r="L450" s="195">
        <f>IF(B450="","",'入力・概要'!$B$25)</f>
        <v/>
      </c>
      <c r="M450" s="195">
        <f>IF(B450="","",C450*'入力・概要'!$B$26*1E-9-1/(C450*'入力・概要'!$B$24*1E-6))</f>
        <v/>
      </c>
      <c r="N450" s="195">
        <f>IF(B450="","",'入力・概要'!$B$28)</f>
        <v/>
      </c>
      <c r="O450" s="195">
        <f>IF(B450="","",C450*'入力・概要'!$B$29*1E-9-1/(C450*'入力・概要'!$B$27*1E-6))</f>
        <v/>
      </c>
      <c r="P450" s="195">
        <f>IF(B450="","",((L450*N450-M450*O450)*(L450+N450)+(L450*O450+M450*N450)*(M450+O450))/((L450+N450)^2+(M450+O450)^2))</f>
        <v/>
      </c>
      <c r="Q450" s="195">
        <f>IF(B450="","",((L450*O450+M450*N450)*(L450+N450)-(L450*N450-M450*O450)*(M450+O450))/((L450+N450)^2+(M450+O450)^2))</f>
        <v/>
      </c>
      <c r="R450" s="195">
        <f>IF(B450="","",'入力・概要'!$E$15*J450)</f>
        <v/>
      </c>
      <c r="S450" s="195">
        <f>IF(B450="","",'入力・概要'!$E$15*K450)</f>
        <v/>
      </c>
      <c r="T450" s="195">
        <f>IF(B450="","",P450+R450)</f>
        <v/>
      </c>
      <c r="U450" s="195">
        <f>IF(B450="","",Q450+S450)</f>
        <v/>
      </c>
      <c r="V450" s="195">
        <f>IF(B450="","",T450+'入力・概要'!$E$9*F450)</f>
        <v/>
      </c>
      <c r="W450" s="195">
        <f>IF(B450="","",U450+'入力・概要'!$E$9*G450)</f>
        <v/>
      </c>
      <c r="X450" s="195">
        <f>IF(B450="","",'入力・概要'!$E$9+T450*F450-U450*G450)</f>
        <v/>
      </c>
      <c r="Y450" s="195">
        <f>IF(B450="","",T450*G450+U450*F450)</f>
        <v/>
      </c>
      <c r="Z450" s="195">
        <f>IF(B450="","",'入力・概要'!$E$9*(V450*X450+W450*Y450)/(X450^2+Y450^2)+'入力・概要'!$B$36)</f>
        <v/>
      </c>
      <c r="AA450" s="195">
        <f>IF(B450="","",'入力・概要'!$E$9*(W450*X450-V450*Y450)/(X450^2+Y450^2)+C450*'入力・概要'!$B$37*1E-9)</f>
        <v/>
      </c>
      <c r="AB450" s="195">
        <f>IF(B450="","",SQRT(Z450^2+AA450^2))</f>
        <v/>
      </c>
      <c r="AC450" s="195">
        <f>IF(B450="","",IF(Z450&gt;0,DEGREES(ATAN(AA450/Z450)),IF(Z450&lt;0,IF(AA450&gt;=0,DEGREES(ATAN(AA450/Z450))+180,DEGREES(ATAN(AA450/Z450))-180),IF(AA450&gt;0,90,IF(AA450&lt;0,-90,0)))))</f>
        <v/>
      </c>
      <c r="AD450" s="195">
        <f>IF(B450="","",LOG10(B450))</f>
        <v/>
      </c>
      <c r="AE450" s="195">
        <f>IF(AB450="","",LOG10(MAX(AB450,1E-12)))</f>
        <v/>
      </c>
      <c r="AF450" s="195">
        <f>IF(B450="","",SQRT(P450^2+Q450^2))</f>
        <v/>
      </c>
      <c r="AG450" s="195">
        <f>IF(B450="","",SQRT(R450^2+S450^2))</f>
        <v/>
      </c>
    </row>
    <row r="451">
      <c r="A451" t="n">
        <v>448</v>
      </c>
      <c r="B451" s="196">
        <f>IF(A451&lt;='入力・概要'!$B$40,10^(LOG10('入力・概要'!$B$38)+(A451-1)*(LOG10('入力・概要'!$B$39)-LOG10('入力・概要'!$B$38))/('入力・概要'!$B$40-1)),"")</f>
        <v/>
      </c>
      <c r="C451" s="195">
        <f>IF(B451="","",2*PI()*B451)</f>
        <v/>
      </c>
      <c r="D451" s="195">
        <f>IF(B451="","",ATANH(MIN(0.999999,'入力・概要'!$E$20/'入力・概要'!$E$9))+'入力・概要'!$B$20*SQRT(B451/1E6)+E451*'入力・概要'!$B$15/2)</f>
        <v/>
      </c>
      <c r="E451" s="195">
        <f>IF(B451="","",C451*('入力・概要'!$E$11*1E-9))</f>
        <v/>
      </c>
      <c r="F451" s="195">
        <f>IF(B451="","",SINH(2*D451)/(COSH(2*D451)+COS(2*E451)))</f>
        <v/>
      </c>
      <c r="G451" s="195">
        <f>IF(B451="","",SIN(2*E451)/(COSH(2*D451)+COS(2*E451)))</f>
        <v/>
      </c>
      <c r="H451" s="195">
        <f>IF(B451="","",ATANH(MIN(0.999999,'入力・概要'!$E$21/'入力・概要'!$E$15))+'入力・概要'!$B$21*SQRT(B451/1E6)+I451*'入力・概要'!$B$16/2)</f>
        <v/>
      </c>
      <c r="I451" s="195">
        <f>IF(B451="","",C451*('入力・概要'!$E$17*1E-9))</f>
        <v/>
      </c>
      <c r="J451" s="195">
        <f>IF(B451="","",SINH(2*H451)/(COSH(2*H451)+COS(2*I451)))</f>
        <v/>
      </c>
      <c r="K451" s="195">
        <f>IF(B451="","",SIN(2*I451)/(COSH(2*H451)+COS(2*I451)))</f>
        <v/>
      </c>
      <c r="L451" s="195">
        <f>IF(B451="","",'入力・概要'!$B$25)</f>
        <v/>
      </c>
      <c r="M451" s="195">
        <f>IF(B451="","",C451*'入力・概要'!$B$26*1E-9-1/(C451*'入力・概要'!$B$24*1E-6))</f>
        <v/>
      </c>
      <c r="N451" s="195">
        <f>IF(B451="","",'入力・概要'!$B$28)</f>
        <v/>
      </c>
      <c r="O451" s="195">
        <f>IF(B451="","",C451*'入力・概要'!$B$29*1E-9-1/(C451*'入力・概要'!$B$27*1E-6))</f>
        <v/>
      </c>
      <c r="P451" s="195">
        <f>IF(B451="","",((L451*N451-M451*O451)*(L451+N451)+(L451*O451+M451*N451)*(M451+O451))/((L451+N451)^2+(M451+O451)^2))</f>
        <v/>
      </c>
      <c r="Q451" s="195">
        <f>IF(B451="","",((L451*O451+M451*N451)*(L451+N451)-(L451*N451-M451*O451)*(M451+O451))/((L451+N451)^2+(M451+O451)^2))</f>
        <v/>
      </c>
      <c r="R451" s="195">
        <f>IF(B451="","",'入力・概要'!$E$15*J451)</f>
        <v/>
      </c>
      <c r="S451" s="195">
        <f>IF(B451="","",'入力・概要'!$E$15*K451)</f>
        <v/>
      </c>
      <c r="T451" s="195">
        <f>IF(B451="","",P451+R451)</f>
        <v/>
      </c>
      <c r="U451" s="195">
        <f>IF(B451="","",Q451+S451)</f>
        <v/>
      </c>
      <c r="V451" s="195">
        <f>IF(B451="","",T451+'入力・概要'!$E$9*F451)</f>
        <v/>
      </c>
      <c r="W451" s="195">
        <f>IF(B451="","",U451+'入力・概要'!$E$9*G451)</f>
        <v/>
      </c>
      <c r="X451" s="195">
        <f>IF(B451="","",'入力・概要'!$E$9+T451*F451-U451*G451)</f>
        <v/>
      </c>
      <c r="Y451" s="195">
        <f>IF(B451="","",T451*G451+U451*F451)</f>
        <v/>
      </c>
      <c r="Z451" s="195">
        <f>IF(B451="","",'入力・概要'!$E$9*(V451*X451+W451*Y451)/(X451^2+Y451^2)+'入力・概要'!$B$36)</f>
        <v/>
      </c>
      <c r="AA451" s="195">
        <f>IF(B451="","",'入力・概要'!$E$9*(W451*X451-V451*Y451)/(X451^2+Y451^2)+C451*'入力・概要'!$B$37*1E-9)</f>
        <v/>
      </c>
      <c r="AB451" s="195">
        <f>IF(B451="","",SQRT(Z451^2+AA451^2))</f>
        <v/>
      </c>
      <c r="AC451" s="195">
        <f>IF(B451="","",IF(Z451&gt;0,DEGREES(ATAN(AA451/Z451)),IF(Z451&lt;0,IF(AA451&gt;=0,DEGREES(ATAN(AA451/Z451))+180,DEGREES(ATAN(AA451/Z451))-180),IF(AA451&gt;0,90,IF(AA451&lt;0,-90,0)))))</f>
        <v/>
      </c>
      <c r="AD451" s="195">
        <f>IF(B451="","",LOG10(B451))</f>
        <v/>
      </c>
      <c r="AE451" s="195">
        <f>IF(AB451="","",LOG10(MAX(AB451,1E-12)))</f>
        <v/>
      </c>
      <c r="AF451" s="195">
        <f>IF(B451="","",SQRT(P451^2+Q451^2))</f>
        <v/>
      </c>
      <c r="AG451" s="195">
        <f>IF(B451="","",SQRT(R451^2+S451^2))</f>
        <v/>
      </c>
    </row>
    <row r="452">
      <c r="A452" t="n">
        <v>449</v>
      </c>
      <c r="B452" s="196">
        <f>IF(A452&lt;='入力・概要'!$B$40,10^(LOG10('入力・概要'!$B$38)+(A452-1)*(LOG10('入力・概要'!$B$39)-LOG10('入力・概要'!$B$38))/('入力・概要'!$B$40-1)),"")</f>
        <v/>
      </c>
      <c r="C452" s="195">
        <f>IF(B452="","",2*PI()*B452)</f>
        <v/>
      </c>
      <c r="D452" s="195">
        <f>IF(B452="","",ATANH(MIN(0.999999,'入力・概要'!$E$20/'入力・概要'!$E$9))+'入力・概要'!$B$20*SQRT(B452/1E6)+E452*'入力・概要'!$B$15/2)</f>
        <v/>
      </c>
      <c r="E452" s="195">
        <f>IF(B452="","",C452*('入力・概要'!$E$11*1E-9))</f>
        <v/>
      </c>
      <c r="F452" s="195">
        <f>IF(B452="","",SINH(2*D452)/(COSH(2*D452)+COS(2*E452)))</f>
        <v/>
      </c>
      <c r="G452" s="195">
        <f>IF(B452="","",SIN(2*E452)/(COSH(2*D452)+COS(2*E452)))</f>
        <v/>
      </c>
      <c r="H452" s="195">
        <f>IF(B452="","",ATANH(MIN(0.999999,'入力・概要'!$E$21/'入力・概要'!$E$15))+'入力・概要'!$B$21*SQRT(B452/1E6)+I452*'入力・概要'!$B$16/2)</f>
        <v/>
      </c>
      <c r="I452" s="195">
        <f>IF(B452="","",C452*('入力・概要'!$E$17*1E-9))</f>
        <v/>
      </c>
      <c r="J452" s="195">
        <f>IF(B452="","",SINH(2*H452)/(COSH(2*H452)+COS(2*I452)))</f>
        <v/>
      </c>
      <c r="K452" s="195">
        <f>IF(B452="","",SIN(2*I452)/(COSH(2*H452)+COS(2*I452)))</f>
        <v/>
      </c>
      <c r="L452" s="195">
        <f>IF(B452="","",'入力・概要'!$B$25)</f>
        <v/>
      </c>
      <c r="M452" s="195">
        <f>IF(B452="","",C452*'入力・概要'!$B$26*1E-9-1/(C452*'入力・概要'!$B$24*1E-6))</f>
        <v/>
      </c>
      <c r="N452" s="195">
        <f>IF(B452="","",'入力・概要'!$B$28)</f>
        <v/>
      </c>
      <c r="O452" s="195">
        <f>IF(B452="","",C452*'入力・概要'!$B$29*1E-9-1/(C452*'入力・概要'!$B$27*1E-6))</f>
        <v/>
      </c>
      <c r="P452" s="195">
        <f>IF(B452="","",((L452*N452-M452*O452)*(L452+N452)+(L452*O452+M452*N452)*(M452+O452))/((L452+N452)^2+(M452+O452)^2))</f>
        <v/>
      </c>
      <c r="Q452" s="195">
        <f>IF(B452="","",((L452*O452+M452*N452)*(L452+N452)-(L452*N452-M452*O452)*(M452+O452))/((L452+N452)^2+(M452+O452)^2))</f>
        <v/>
      </c>
      <c r="R452" s="195">
        <f>IF(B452="","",'入力・概要'!$E$15*J452)</f>
        <v/>
      </c>
      <c r="S452" s="195">
        <f>IF(B452="","",'入力・概要'!$E$15*K452)</f>
        <v/>
      </c>
      <c r="T452" s="195">
        <f>IF(B452="","",P452+R452)</f>
        <v/>
      </c>
      <c r="U452" s="195">
        <f>IF(B452="","",Q452+S452)</f>
        <v/>
      </c>
      <c r="V452" s="195">
        <f>IF(B452="","",T452+'入力・概要'!$E$9*F452)</f>
        <v/>
      </c>
      <c r="W452" s="195">
        <f>IF(B452="","",U452+'入力・概要'!$E$9*G452)</f>
        <v/>
      </c>
      <c r="X452" s="195">
        <f>IF(B452="","",'入力・概要'!$E$9+T452*F452-U452*G452)</f>
        <v/>
      </c>
      <c r="Y452" s="195">
        <f>IF(B452="","",T452*G452+U452*F452)</f>
        <v/>
      </c>
      <c r="Z452" s="195">
        <f>IF(B452="","",'入力・概要'!$E$9*(V452*X452+W452*Y452)/(X452^2+Y452^2)+'入力・概要'!$B$36)</f>
        <v/>
      </c>
      <c r="AA452" s="195">
        <f>IF(B452="","",'入力・概要'!$E$9*(W452*X452-V452*Y452)/(X452^2+Y452^2)+C452*'入力・概要'!$B$37*1E-9)</f>
        <v/>
      </c>
      <c r="AB452" s="195">
        <f>IF(B452="","",SQRT(Z452^2+AA452^2))</f>
        <v/>
      </c>
      <c r="AC452" s="195">
        <f>IF(B452="","",IF(Z452&gt;0,DEGREES(ATAN(AA452/Z452)),IF(Z452&lt;0,IF(AA452&gt;=0,DEGREES(ATAN(AA452/Z452))+180,DEGREES(ATAN(AA452/Z452))-180),IF(AA452&gt;0,90,IF(AA452&lt;0,-90,0)))))</f>
        <v/>
      </c>
      <c r="AD452" s="195">
        <f>IF(B452="","",LOG10(B452))</f>
        <v/>
      </c>
      <c r="AE452" s="195">
        <f>IF(AB452="","",LOG10(MAX(AB452,1E-12)))</f>
        <v/>
      </c>
      <c r="AF452" s="195">
        <f>IF(B452="","",SQRT(P452^2+Q452^2))</f>
        <v/>
      </c>
      <c r="AG452" s="195">
        <f>IF(B452="","",SQRT(R452^2+S452^2))</f>
        <v/>
      </c>
    </row>
    <row r="453">
      <c r="A453" t="n">
        <v>450</v>
      </c>
      <c r="B453" s="196">
        <f>IF(A453&lt;='入力・概要'!$B$40,10^(LOG10('入力・概要'!$B$38)+(A453-1)*(LOG10('入力・概要'!$B$39)-LOG10('入力・概要'!$B$38))/('入力・概要'!$B$40-1)),"")</f>
        <v/>
      </c>
      <c r="C453" s="195">
        <f>IF(B453="","",2*PI()*B453)</f>
        <v/>
      </c>
      <c r="D453" s="195">
        <f>IF(B453="","",ATANH(MIN(0.999999,'入力・概要'!$E$20/'入力・概要'!$E$9))+'入力・概要'!$B$20*SQRT(B453/1E6)+E453*'入力・概要'!$B$15/2)</f>
        <v/>
      </c>
      <c r="E453" s="195">
        <f>IF(B453="","",C453*('入力・概要'!$E$11*1E-9))</f>
        <v/>
      </c>
      <c r="F453" s="195">
        <f>IF(B453="","",SINH(2*D453)/(COSH(2*D453)+COS(2*E453)))</f>
        <v/>
      </c>
      <c r="G453" s="195">
        <f>IF(B453="","",SIN(2*E453)/(COSH(2*D453)+COS(2*E453)))</f>
        <v/>
      </c>
      <c r="H453" s="195">
        <f>IF(B453="","",ATANH(MIN(0.999999,'入力・概要'!$E$21/'入力・概要'!$E$15))+'入力・概要'!$B$21*SQRT(B453/1E6)+I453*'入力・概要'!$B$16/2)</f>
        <v/>
      </c>
      <c r="I453" s="195">
        <f>IF(B453="","",C453*('入力・概要'!$E$17*1E-9))</f>
        <v/>
      </c>
      <c r="J453" s="195">
        <f>IF(B453="","",SINH(2*H453)/(COSH(2*H453)+COS(2*I453)))</f>
        <v/>
      </c>
      <c r="K453" s="195">
        <f>IF(B453="","",SIN(2*I453)/(COSH(2*H453)+COS(2*I453)))</f>
        <v/>
      </c>
      <c r="L453" s="195">
        <f>IF(B453="","",'入力・概要'!$B$25)</f>
        <v/>
      </c>
      <c r="M453" s="195">
        <f>IF(B453="","",C453*'入力・概要'!$B$26*1E-9-1/(C453*'入力・概要'!$B$24*1E-6))</f>
        <v/>
      </c>
      <c r="N453" s="195">
        <f>IF(B453="","",'入力・概要'!$B$28)</f>
        <v/>
      </c>
      <c r="O453" s="195">
        <f>IF(B453="","",C453*'入力・概要'!$B$29*1E-9-1/(C453*'入力・概要'!$B$27*1E-6))</f>
        <v/>
      </c>
      <c r="P453" s="195">
        <f>IF(B453="","",((L453*N453-M453*O453)*(L453+N453)+(L453*O453+M453*N453)*(M453+O453))/((L453+N453)^2+(M453+O453)^2))</f>
        <v/>
      </c>
      <c r="Q453" s="195">
        <f>IF(B453="","",((L453*O453+M453*N453)*(L453+N453)-(L453*N453-M453*O453)*(M453+O453))/((L453+N453)^2+(M453+O453)^2))</f>
        <v/>
      </c>
      <c r="R453" s="195">
        <f>IF(B453="","",'入力・概要'!$E$15*J453)</f>
        <v/>
      </c>
      <c r="S453" s="195">
        <f>IF(B453="","",'入力・概要'!$E$15*K453)</f>
        <v/>
      </c>
      <c r="T453" s="195">
        <f>IF(B453="","",P453+R453)</f>
        <v/>
      </c>
      <c r="U453" s="195">
        <f>IF(B453="","",Q453+S453)</f>
        <v/>
      </c>
      <c r="V453" s="195">
        <f>IF(B453="","",T453+'入力・概要'!$E$9*F453)</f>
        <v/>
      </c>
      <c r="W453" s="195">
        <f>IF(B453="","",U453+'入力・概要'!$E$9*G453)</f>
        <v/>
      </c>
      <c r="X453" s="195">
        <f>IF(B453="","",'入力・概要'!$E$9+T453*F453-U453*G453)</f>
        <v/>
      </c>
      <c r="Y453" s="195">
        <f>IF(B453="","",T453*G453+U453*F453)</f>
        <v/>
      </c>
      <c r="Z453" s="195">
        <f>IF(B453="","",'入力・概要'!$E$9*(V453*X453+W453*Y453)/(X453^2+Y453^2)+'入力・概要'!$B$36)</f>
        <v/>
      </c>
      <c r="AA453" s="195">
        <f>IF(B453="","",'入力・概要'!$E$9*(W453*X453-V453*Y453)/(X453^2+Y453^2)+C453*'入力・概要'!$B$37*1E-9)</f>
        <v/>
      </c>
      <c r="AB453" s="195">
        <f>IF(B453="","",SQRT(Z453^2+AA453^2))</f>
        <v/>
      </c>
      <c r="AC453" s="195">
        <f>IF(B453="","",IF(Z453&gt;0,DEGREES(ATAN(AA453/Z453)),IF(Z453&lt;0,IF(AA453&gt;=0,DEGREES(ATAN(AA453/Z453))+180,DEGREES(ATAN(AA453/Z453))-180),IF(AA453&gt;0,90,IF(AA453&lt;0,-90,0)))))</f>
        <v/>
      </c>
      <c r="AD453" s="195">
        <f>IF(B453="","",LOG10(B453))</f>
        <v/>
      </c>
      <c r="AE453" s="195">
        <f>IF(AB453="","",LOG10(MAX(AB453,1E-12)))</f>
        <v/>
      </c>
      <c r="AF453" s="195">
        <f>IF(B453="","",SQRT(P453^2+Q453^2))</f>
        <v/>
      </c>
      <c r="AG453" s="195">
        <f>IF(B453="","",SQRT(R453^2+S453^2))</f>
        <v/>
      </c>
    </row>
    <row r="454">
      <c r="A454" t="n">
        <v>451</v>
      </c>
      <c r="B454" s="196">
        <f>IF(A454&lt;='入力・概要'!$B$40,10^(LOG10('入力・概要'!$B$38)+(A454-1)*(LOG10('入力・概要'!$B$39)-LOG10('入力・概要'!$B$38))/('入力・概要'!$B$40-1)),"")</f>
        <v/>
      </c>
      <c r="C454" s="195">
        <f>IF(B454="","",2*PI()*B454)</f>
        <v/>
      </c>
      <c r="D454" s="195">
        <f>IF(B454="","",ATANH(MIN(0.999999,'入力・概要'!$E$20/'入力・概要'!$E$9))+'入力・概要'!$B$20*SQRT(B454/1E6)+E454*'入力・概要'!$B$15/2)</f>
        <v/>
      </c>
      <c r="E454" s="195">
        <f>IF(B454="","",C454*('入力・概要'!$E$11*1E-9))</f>
        <v/>
      </c>
      <c r="F454" s="195">
        <f>IF(B454="","",SINH(2*D454)/(COSH(2*D454)+COS(2*E454)))</f>
        <v/>
      </c>
      <c r="G454" s="195">
        <f>IF(B454="","",SIN(2*E454)/(COSH(2*D454)+COS(2*E454)))</f>
        <v/>
      </c>
      <c r="H454" s="195">
        <f>IF(B454="","",ATANH(MIN(0.999999,'入力・概要'!$E$21/'入力・概要'!$E$15))+'入力・概要'!$B$21*SQRT(B454/1E6)+I454*'入力・概要'!$B$16/2)</f>
        <v/>
      </c>
      <c r="I454" s="195">
        <f>IF(B454="","",C454*('入力・概要'!$E$17*1E-9))</f>
        <v/>
      </c>
      <c r="J454" s="195">
        <f>IF(B454="","",SINH(2*H454)/(COSH(2*H454)+COS(2*I454)))</f>
        <v/>
      </c>
      <c r="K454" s="195">
        <f>IF(B454="","",SIN(2*I454)/(COSH(2*H454)+COS(2*I454)))</f>
        <v/>
      </c>
      <c r="L454" s="195">
        <f>IF(B454="","",'入力・概要'!$B$25)</f>
        <v/>
      </c>
      <c r="M454" s="195">
        <f>IF(B454="","",C454*'入力・概要'!$B$26*1E-9-1/(C454*'入力・概要'!$B$24*1E-6))</f>
        <v/>
      </c>
      <c r="N454" s="195">
        <f>IF(B454="","",'入力・概要'!$B$28)</f>
        <v/>
      </c>
      <c r="O454" s="195">
        <f>IF(B454="","",C454*'入力・概要'!$B$29*1E-9-1/(C454*'入力・概要'!$B$27*1E-6))</f>
        <v/>
      </c>
      <c r="P454" s="195">
        <f>IF(B454="","",((L454*N454-M454*O454)*(L454+N454)+(L454*O454+M454*N454)*(M454+O454))/((L454+N454)^2+(M454+O454)^2))</f>
        <v/>
      </c>
      <c r="Q454" s="195">
        <f>IF(B454="","",((L454*O454+M454*N454)*(L454+N454)-(L454*N454-M454*O454)*(M454+O454))/((L454+N454)^2+(M454+O454)^2))</f>
        <v/>
      </c>
      <c r="R454" s="195">
        <f>IF(B454="","",'入力・概要'!$E$15*J454)</f>
        <v/>
      </c>
      <c r="S454" s="195">
        <f>IF(B454="","",'入力・概要'!$E$15*K454)</f>
        <v/>
      </c>
      <c r="T454" s="195">
        <f>IF(B454="","",P454+R454)</f>
        <v/>
      </c>
      <c r="U454" s="195">
        <f>IF(B454="","",Q454+S454)</f>
        <v/>
      </c>
      <c r="V454" s="195">
        <f>IF(B454="","",T454+'入力・概要'!$E$9*F454)</f>
        <v/>
      </c>
      <c r="W454" s="195">
        <f>IF(B454="","",U454+'入力・概要'!$E$9*G454)</f>
        <v/>
      </c>
      <c r="X454" s="195">
        <f>IF(B454="","",'入力・概要'!$E$9+T454*F454-U454*G454)</f>
        <v/>
      </c>
      <c r="Y454" s="195">
        <f>IF(B454="","",T454*G454+U454*F454)</f>
        <v/>
      </c>
      <c r="Z454" s="195">
        <f>IF(B454="","",'入力・概要'!$E$9*(V454*X454+W454*Y454)/(X454^2+Y454^2)+'入力・概要'!$B$36)</f>
        <v/>
      </c>
      <c r="AA454" s="195">
        <f>IF(B454="","",'入力・概要'!$E$9*(W454*X454-V454*Y454)/(X454^2+Y454^2)+C454*'入力・概要'!$B$37*1E-9)</f>
        <v/>
      </c>
      <c r="AB454" s="195">
        <f>IF(B454="","",SQRT(Z454^2+AA454^2))</f>
        <v/>
      </c>
      <c r="AC454" s="195">
        <f>IF(B454="","",IF(Z454&gt;0,DEGREES(ATAN(AA454/Z454)),IF(Z454&lt;0,IF(AA454&gt;=0,DEGREES(ATAN(AA454/Z454))+180,DEGREES(ATAN(AA454/Z454))-180),IF(AA454&gt;0,90,IF(AA454&lt;0,-90,0)))))</f>
        <v/>
      </c>
      <c r="AD454" s="195">
        <f>IF(B454="","",LOG10(B454))</f>
        <v/>
      </c>
      <c r="AE454" s="195">
        <f>IF(AB454="","",LOG10(MAX(AB454,1E-12)))</f>
        <v/>
      </c>
      <c r="AF454" s="195">
        <f>IF(B454="","",SQRT(P454^2+Q454^2))</f>
        <v/>
      </c>
      <c r="AG454" s="195">
        <f>IF(B454="","",SQRT(R454^2+S454^2))</f>
        <v/>
      </c>
    </row>
    <row r="455">
      <c r="A455" t="n">
        <v>452</v>
      </c>
      <c r="B455" s="196">
        <f>IF(A455&lt;='入力・概要'!$B$40,10^(LOG10('入力・概要'!$B$38)+(A455-1)*(LOG10('入力・概要'!$B$39)-LOG10('入力・概要'!$B$38))/('入力・概要'!$B$40-1)),"")</f>
        <v/>
      </c>
      <c r="C455" s="195">
        <f>IF(B455="","",2*PI()*B455)</f>
        <v/>
      </c>
      <c r="D455" s="195">
        <f>IF(B455="","",ATANH(MIN(0.999999,'入力・概要'!$E$20/'入力・概要'!$E$9))+'入力・概要'!$B$20*SQRT(B455/1E6)+E455*'入力・概要'!$B$15/2)</f>
        <v/>
      </c>
      <c r="E455" s="195">
        <f>IF(B455="","",C455*('入力・概要'!$E$11*1E-9))</f>
        <v/>
      </c>
      <c r="F455" s="195">
        <f>IF(B455="","",SINH(2*D455)/(COSH(2*D455)+COS(2*E455)))</f>
        <v/>
      </c>
      <c r="G455" s="195">
        <f>IF(B455="","",SIN(2*E455)/(COSH(2*D455)+COS(2*E455)))</f>
        <v/>
      </c>
      <c r="H455" s="195">
        <f>IF(B455="","",ATANH(MIN(0.999999,'入力・概要'!$E$21/'入力・概要'!$E$15))+'入力・概要'!$B$21*SQRT(B455/1E6)+I455*'入力・概要'!$B$16/2)</f>
        <v/>
      </c>
      <c r="I455" s="195">
        <f>IF(B455="","",C455*('入力・概要'!$E$17*1E-9))</f>
        <v/>
      </c>
      <c r="J455" s="195">
        <f>IF(B455="","",SINH(2*H455)/(COSH(2*H455)+COS(2*I455)))</f>
        <v/>
      </c>
      <c r="K455" s="195">
        <f>IF(B455="","",SIN(2*I455)/(COSH(2*H455)+COS(2*I455)))</f>
        <v/>
      </c>
      <c r="L455" s="195">
        <f>IF(B455="","",'入力・概要'!$B$25)</f>
        <v/>
      </c>
      <c r="M455" s="195">
        <f>IF(B455="","",C455*'入力・概要'!$B$26*1E-9-1/(C455*'入力・概要'!$B$24*1E-6))</f>
        <v/>
      </c>
      <c r="N455" s="195">
        <f>IF(B455="","",'入力・概要'!$B$28)</f>
        <v/>
      </c>
      <c r="O455" s="195">
        <f>IF(B455="","",C455*'入力・概要'!$B$29*1E-9-1/(C455*'入力・概要'!$B$27*1E-6))</f>
        <v/>
      </c>
      <c r="P455" s="195">
        <f>IF(B455="","",((L455*N455-M455*O455)*(L455+N455)+(L455*O455+M455*N455)*(M455+O455))/((L455+N455)^2+(M455+O455)^2))</f>
        <v/>
      </c>
      <c r="Q455" s="195">
        <f>IF(B455="","",((L455*O455+M455*N455)*(L455+N455)-(L455*N455-M455*O455)*(M455+O455))/((L455+N455)^2+(M455+O455)^2))</f>
        <v/>
      </c>
      <c r="R455" s="195">
        <f>IF(B455="","",'入力・概要'!$E$15*J455)</f>
        <v/>
      </c>
      <c r="S455" s="195">
        <f>IF(B455="","",'入力・概要'!$E$15*K455)</f>
        <v/>
      </c>
      <c r="T455" s="195">
        <f>IF(B455="","",P455+R455)</f>
        <v/>
      </c>
      <c r="U455" s="195">
        <f>IF(B455="","",Q455+S455)</f>
        <v/>
      </c>
      <c r="V455" s="195">
        <f>IF(B455="","",T455+'入力・概要'!$E$9*F455)</f>
        <v/>
      </c>
      <c r="W455" s="195">
        <f>IF(B455="","",U455+'入力・概要'!$E$9*G455)</f>
        <v/>
      </c>
      <c r="X455" s="195">
        <f>IF(B455="","",'入力・概要'!$E$9+T455*F455-U455*G455)</f>
        <v/>
      </c>
      <c r="Y455" s="195">
        <f>IF(B455="","",T455*G455+U455*F455)</f>
        <v/>
      </c>
      <c r="Z455" s="195">
        <f>IF(B455="","",'入力・概要'!$E$9*(V455*X455+W455*Y455)/(X455^2+Y455^2)+'入力・概要'!$B$36)</f>
        <v/>
      </c>
      <c r="AA455" s="195">
        <f>IF(B455="","",'入力・概要'!$E$9*(W455*X455-V455*Y455)/(X455^2+Y455^2)+C455*'入力・概要'!$B$37*1E-9)</f>
        <v/>
      </c>
      <c r="AB455" s="195">
        <f>IF(B455="","",SQRT(Z455^2+AA455^2))</f>
        <v/>
      </c>
      <c r="AC455" s="195">
        <f>IF(B455="","",IF(Z455&gt;0,DEGREES(ATAN(AA455/Z455)),IF(Z455&lt;0,IF(AA455&gt;=0,DEGREES(ATAN(AA455/Z455))+180,DEGREES(ATAN(AA455/Z455))-180),IF(AA455&gt;0,90,IF(AA455&lt;0,-90,0)))))</f>
        <v/>
      </c>
      <c r="AD455" s="195">
        <f>IF(B455="","",LOG10(B455))</f>
        <v/>
      </c>
      <c r="AE455" s="195">
        <f>IF(AB455="","",LOG10(MAX(AB455,1E-12)))</f>
        <v/>
      </c>
      <c r="AF455" s="195">
        <f>IF(B455="","",SQRT(P455^2+Q455^2))</f>
        <v/>
      </c>
      <c r="AG455" s="195">
        <f>IF(B455="","",SQRT(R455^2+S455^2))</f>
        <v/>
      </c>
    </row>
    <row r="456">
      <c r="A456" t="n">
        <v>453</v>
      </c>
      <c r="B456" s="196">
        <f>IF(A456&lt;='入力・概要'!$B$40,10^(LOG10('入力・概要'!$B$38)+(A456-1)*(LOG10('入力・概要'!$B$39)-LOG10('入力・概要'!$B$38))/('入力・概要'!$B$40-1)),"")</f>
        <v/>
      </c>
      <c r="C456" s="195">
        <f>IF(B456="","",2*PI()*B456)</f>
        <v/>
      </c>
      <c r="D456" s="195">
        <f>IF(B456="","",ATANH(MIN(0.999999,'入力・概要'!$E$20/'入力・概要'!$E$9))+'入力・概要'!$B$20*SQRT(B456/1E6)+E456*'入力・概要'!$B$15/2)</f>
        <v/>
      </c>
      <c r="E456" s="195">
        <f>IF(B456="","",C456*('入力・概要'!$E$11*1E-9))</f>
        <v/>
      </c>
      <c r="F456" s="195">
        <f>IF(B456="","",SINH(2*D456)/(COSH(2*D456)+COS(2*E456)))</f>
        <v/>
      </c>
      <c r="G456" s="195">
        <f>IF(B456="","",SIN(2*E456)/(COSH(2*D456)+COS(2*E456)))</f>
        <v/>
      </c>
      <c r="H456" s="195">
        <f>IF(B456="","",ATANH(MIN(0.999999,'入力・概要'!$E$21/'入力・概要'!$E$15))+'入力・概要'!$B$21*SQRT(B456/1E6)+I456*'入力・概要'!$B$16/2)</f>
        <v/>
      </c>
      <c r="I456" s="195">
        <f>IF(B456="","",C456*('入力・概要'!$E$17*1E-9))</f>
        <v/>
      </c>
      <c r="J456" s="195">
        <f>IF(B456="","",SINH(2*H456)/(COSH(2*H456)+COS(2*I456)))</f>
        <v/>
      </c>
      <c r="K456" s="195">
        <f>IF(B456="","",SIN(2*I456)/(COSH(2*H456)+COS(2*I456)))</f>
        <v/>
      </c>
      <c r="L456" s="195">
        <f>IF(B456="","",'入力・概要'!$B$25)</f>
        <v/>
      </c>
      <c r="M456" s="195">
        <f>IF(B456="","",C456*'入力・概要'!$B$26*1E-9-1/(C456*'入力・概要'!$B$24*1E-6))</f>
        <v/>
      </c>
      <c r="N456" s="195">
        <f>IF(B456="","",'入力・概要'!$B$28)</f>
        <v/>
      </c>
      <c r="O456" s="195">
        <f>IF(B456="","",C456*'入力・概要'!$B$29*1E-9-1/(C456*'入力・概要'!$B$27*1E-6))</f>
        <v/>
      </c>
      <c r="P456" s="195">
        <f>IF(B456="","",((L456*N456-M456*O456)*(L456+N456)+(L456*O456+M456*N456)*(M456+O456))/((L456+N456)^2+(M456+O456)^2))</f>
        <v/>
      </c>
      <c r="Q456" s="195">
        <f>IF(B456="","",((L456*O456+M456*N456)*(L456+N456)-(L456*N456-M456*O456)*(M456+O456))/((L456+N456)^2+(M456+O456)^2))</f>
        <v/>
      </c>
      <c r="R456" s="195">
        <f>IF(B456="","",'入力・概要'!$E$15*J456)</f>
        <v/>
      </c>
      <c r="S456" s="195">
        <f>IF(B456="","",'入力・概要'!$E$15*K456)</f>
        <v/>
      </c>
      <c r="T456" s="195">
        <f>IF(B456="","",P456+R456)</f>
        <v/>
      </c>
      <c r="U456" s="195">
        <f>IF(B456="","",Q456+S456)</f>
        <v/>
      </c>
      <c r="V456" s="195">
        <f>IF(B456="","",T456+'入力・概要'!$E$9*F456)</f>
        <v/>
      </c>
      <c r="W456" s="195">
        <f>IF(B456="","",U456+'入力・概要'!$E$9*G456)</f>
        <v/>
      </c>
      <c r="X456" s="195">
        <f>IF(B456="","",'入力・概要'!$E$9+T456*F456-U456*G456)</f>
        <v/>
      </c>
      <c r="Y456" s="195">
        <f>IF(B456="","",T456*G456+U456*F456)</f>
        <v/>
      </c>
      <c r="Z456" s="195">
        <f>IF(B456="","",'入力・概要'!$E$9*(V456*X456+W456*Y456)/(X456^2+Y456^2)+'入力・概要'!$B$36)</f>
        <v/>
      </c>
      <c r="AA456" s="195">
        <f>IF(B456="","",'入力・概要'!$E$9*(W456*X456-V456*Y456)/(X456^2+Y456^2)+C456*'入力・概要'!$B$37*1E-9)</f>
        <v/>
      </c>
      <c r="AB456" s="195">
        <f>IF(B456="","",SQRT(Z456^2+AA456^2))</f>
        <v/>
      </c>
      <c r="AC456" s="195">
        <f>IF(B456="","",IF(Z456&gt;0,DEGREES(ATAN(AA456/Z456)),IF(Z456&lt;0,IF(AA456&gt;=0,DEGREES(ATAN(AA456/Z456))+180,DEGREES(ATAN(AA456/Z456))-180),IF(AA456&gt;0,90,IF(AA456&lt;0,-90,0)))))</f>
        <v/>
      </c>
      <c r="AD456" s="195">
        <f>IF(B456="","",LOG10(B456))</f>
        <v/>
      </c>
      <c r="AE456" s="195">
        <f>IF(AB456="","",LOG10(MAX(AB456,1E-12)))</f>
        <v/>
      </c>
      <c r="AF456" s="195">
        <f>IF(B456="","",SQRT(P456^2+Q456^2))</f>
        <v/>
      </c>
      <c r="AG456" s="195">
        <f>IF(B456="","",SQRT(R456^2+S456^2))</f>
        <v/>
      </c>
    </row>
    <row r="457">
      <c r="A457" t="n">
        <v>454</v>
      </c>
      <c r="B457" s="196">
        <f>IF(A457&lt;='入力・概要'!$B$40,10^(LOG10('入力・概要'!$B$38)+(A457-1)*(LOG10('入力・概要'!$B$39)-LOG10('入力・概要'!$B$38))/('入力・概要'!$B$40-1)),"")</f>
        <v/>
      </c>
      <c r="C457" s="195">
        <f>IF(B457="","",2*PI()*B457)</f>
        <v/>
      </c>
      <c r="D457" s="195">
        <f>IF(B457="","",ATANH(MIN(0.999999,'入力・概要'!$E$20/'入力・概要'!$E$9))+'入力・概要'!$B$20*SQRT(B457/1E6)+E457*'入力・概要'!$B$15/2)</f>
        <v/>
      </c>
      <c r="E457" s="195">
        <f>IF(B457="","",C457*('入力・概要'!$E$11*1E-9))</f>
        <v/>
      </c>
      <c r="F457" s="195">
        <f>IF(B457="","",SINH(2*D457)/(COSH(2*D457)+COS(2*E457)))</f>
        <v/>
      </c>
      <c r="G457" s="195">
        <f>IF(B457="","",SIN(2*E457)/(COSH(2*D457)+COS(2*E457)))</f>
        <v/>
      </c>
      <c r="H457" s="195">
        <f>IF(B457="","",ATANH(MIN(0.999999,'入力・概要'!$E$21/'入力・概要'!$E$15))+'入力・概要'!$B$21*SQRT(B457/1E6)+I457*'入力・概要'!$B$16/2)</f>
        <v/>
      </c>
      <c r="I457" s="195">
        <f>IF(B457="","",C457*('入力・概要'!$E$17*1E-9))</f>
        <v/>
      </c>
      <c r="J457" s="195">
        <f>IF(B457="","",SINH(2*H457)/(COSH(2*H457)+COS(2*I457)))</f>
        <v/>
      </c>
      <c r="K457" s="195">
        <f>IF(B457="","",SIN(2*I457)/(COSH(2*H457)+COS(2*I457)))</f>
        <v/>
      </c>
      <c r="L457" s="195">
        <f>IF(B457="","",'入力・概要'!$B$25)</f>
        <v/>
      </c>
      <c r="M457" s="195">
        <f>IF(B457="","",C457*'入力・概要'!$B$26*1E-9-1/(C457*'入力・概要'!$B$24*1E-6))</f>
        <v/>
      </c>
      <c r="N457" s="195">
        <f>IF(B457="","",'入力・概要'!$B$28)</f>
        <v/>
      </c>
      <c r="O457" s="195">
        <f>IF(B457="","",C457*'入力・概要'!$B$29*1E-9-1/(C457*'入力・概要'!$B$27*1E-6))</f>
        <v/>
      </c>
      <c r="P457" s="195">
        <f>IF(B457="","",((L457*N457-M457*O457)*(L457+N457)+(L457*O457+M457*N457)*(M457+O457))/((L457+N457)^2+(M457+O457)^2))</f>
        <v/>
      </c>
      <c r="Q457" s="195">
        <f>IF(B457="","",((L457*O457+M457*N457)*(L457+N457)-(L457*N457-M457*O457)*(M457+O457))/((L457+N457)^2+(M457+O457)^2))</f>
        <v/>
      </c>
      <c r="R457" s="195">
        <f>IF(B457="","",'入力・概要'!$E$15*J457)</f>
        <v/>
      </c>
      <c r="S457" s="195">
        <f>IF(B457="","",'入力・概要'!$E$15*K457)</f>
        <v/>
      </c>
      <c r="T457" s="195">
        <f>IF(B457="","",P457+R457)</f>
        <v/>
      </c>
      <c r="U457" s="195">
        <f>IF(B457="","",Q457+S457)</f>
        <v/>
      </c>
      <c r="V457" s="195">
        <f>IF(B457="","",T457+'入力・概要'!$E$9*F457)</f>
        <v/>
      </c>
      <c r="W457" s="195">
        <f>IF(B457="","",U457+'入力・概要'!$E$9*G457)</f>
        <v/>
      </c>
      <c r="X457" s="195">
        <f>IF(B457="","",'入力・概要'!$E$9+T457*F457-U457*G457)</f>
        <v/>
      </c>
      <c r="Y457" s="195">
        <f>IF(B457="","",T457*G457+U457*F457)</f>
        <v/>
      </c>
      <c r="Z457" s="195">
        <f>IF(B457="","",'入力・概要'!$E$9*(V457*X457+W457*Y457)/(X457^2+Y457^2)+'入力・概要'!$B$36)</f>
        <v/>
      </c>
      <c r="AA457" s="195">
        <f>IF(B457="","",'入力・概要'!$E$9*(W457*X457-V457*Y457)/(X457^2+Y457^2)+C457*'入力・概要'!$B$37*1E-9)</f>
        <v/>
      </c>
      <c r="AB457" s="195">
        <f>IF(B457="","",SQRT(Z457^2+AA457^2))</f>
        <v/>
      </c>
      <c r="AC457" s="195">
        <f>IF(B457="","",IF(Z457&gt;0,DEGREES(ATAN(AA457/Z457)),IF(Z457&lt;0,IF(AA457&gt;=0,DEGREES(ATAN(AA457/Z457))+180,DEGREES(ATAN(AA457/Z457))-180),IF(AA457&gt;0,90,IF(AA457&lt;0,-90,0)))))</f>
        <v/>
      </c>
      <c r="AD457" s="195">
        <f>IF(B457="","",LOG10(B457))</f>
        <v/>
      </c>
      <c r="AE457" s="195">
        <f>IF(AB457="","",LOG10(MAX(AB457,1E-12)))</f>
        <v/>
      </c>
      <c r="AF457" s="195">
        <f>IF(B457="","",SQRT(P457^2+Q457^2))</f>
        <v/>
      </c>
      <c r="AG457" s="195">
        <f>IF(B457="","",SQRT(R457^2+S457^2))</f>
        <v/>
      </c>
    </row>
    <row r="458">
      <c r="A458" t="n">
        <v>455</v>
      </c>
      <c r="B458" s="196">
        <f>IF(A458&lt;='入力・概要'!$B$40,10^(LOG10('入力・概要'!$B$38)+(A458-1)*(LOG10('入力・概要'!$B$39)-LOG10('入力・概要'!$B$38))/('入力・概要'!$B$40-1)),"")</f>
        <v/>
      </c>
      <c r="C458" s="195">
        <f>IF(B458="","",2*PI()*B458)</f>
        <v/>
      </c>
      <c r="D458" s="195">
        <f>IF(B458="","",ATANH(MIN(0.999999,'入力・概要'!$E$20/'入力・概要'!$E$9))+'入力・概要'!$B$20*SQRT(B458/1E6)+E458*'入力・概要'!$B$15/2)</f>
        <v/>
      </c>
      <c r="E458" s="195">
        <f>IF(B458="","",C458*('入力・概要'!$E$11*1E-9))</f>
        <v/>
      </c>
      <c r="F458" s="195">
        <f>IF(B458="","",SINH(2*D458)/(COSH(2*D458)+COS(2*E458)))</f>
        <v/>
      </c>
      <c r="G458" s="195">
        <f>IF(B458="","",SIN(2*E458)/(COSH(2*D458)+COS(2*E458)))</f>
        <v/>
      </c>
      <c r="H458" s="195">
        <f>IF(B458="","",ATANH(MIN(0.999999,'入力・概要'!$E$21/'入力・概要'!$E$15))+'入力・概要'!$B$21*SQRT(B458/1E6)+I458*'入力・概要'!$B$16/2)</f>
        <v/>
      </c>
      <c r="I458" s="195">
        <f>IF(B458="","",C458*('入力・概要'!$E$17*1E-9))</f>
        <v/>
      </c>
      <c r="J458" s="195">
        <f>IF(B458="","",SINH(2*H458)/(COSH(2*H458)+COS(2*I458)))</f>
        <v/>
      </c>
      <c r="K458" s="195">
        <f>IF(B458="","",SIN(2*I458)/(COSH(2*H458)+COS(2*I458)))</f>
        <v/>
      </c>
      <c r="L458" s="195">
        <f>IF(B458="","",'入力・概要'!$B$25)</f>
        <v/>
      </c>
      <c r="M458" s="195">
        <f>IF(B458="","",C458*'入力・概要'!$B$26*1E-9-1/(C458*'入力・概要'!$B$24*1E-6))</f>
        <v/>
      </c>
      <c r="N458" s="195">
        <f>IF(B458="","",'入力・概要'!$B$28)</f>
        <v/>
      </c>
      <c r="O458" s="195">
        <f>IF(B458="","",C458*'入力・概要'!$B$29*1E-9-1/(C458*'入力・概要'!$B$27*1E-6))</f>
        <v/>
      </c>
      <c r="P458" s="195">
        <f>IF(B458="","",((L458*N458-M458*O458)*(L458+N458)+(L458*O458+M458*N458)*(M458+O458))/((L458+N458)^2+(M458+O458)^2))</f>
        <v/>
      </c>
      <c r="Q458" s="195">
        <f>IF(B458="","",((L458*O458+M458*N458)*(L458+N458)-(L458*N458-M458*O458)*(M458+O458))/((L458+N458)^2+(M458+O458)^2))</f>
        <v/>
      </c>
      <c r="R458" s="195">
        <f>IF(B458="","",'入力・概要'!$E$15*J458)</f>
        <v/>
      </c>
      <c r="S458" s="195">
        <f>IF(B458="","",'入力・概要'!$E$15*K458)</f>
        <v/>
      </c>
      <c r="T458" s="195">
        <f>IF(B458="","",P458+R458)</f>
        <v/>
      </c>
      <c r="U458" s="195">
        <f>IF(B458="","",Q458+S458)</f>
        <v/>
      </c>
      <c r="V458" s="195">
        <f>IF(B458="","",T458+'入力・概要'!$E$9*F458)</f>
        <v/>
      </c>
      <c r="W458" s="195">
        <f>IF(B458="","",U458+'入力・概要'!$E$9*G458)</f>
        <v/>
      </c>
      <c r="X458" s="195">
        <f>IF(B458="","",'入力・概要'!$E$9+T458*F458-U458*G458)</f>
        <v/>
      </c>
      <c r="Y458" s="195">
        <f>IF(B458="","",T458*G458+U458*F458)</f>
        <v/>
      </c>
      <c r="Z458" s="195">
        <f>IF(B458="","",'入力・概要'!$E$9*(V458*X458+W458*Y458)/(X458^2+Y458^2)+'入力・概要'!$B$36)</f>
        <v/>
      </c>
      <c r="AA458" s="195">
        <f>IF(B458="","",'入力・概要'!$E$9*(W458*X458-V458*Y458)/(X458^2+Y458^2)+C458*'入力・概要'!$B$37*1E-9)</f>
        <v/>
      </c>
      <c r="AB458" s="195">
        <f>IF(B458="","",SQRT(Z458^2+AA458^2))</f>
        <v/>
      </c>
      <c r="AC458" s="195">
        <f>IF(B458="","",IF(Z458&gt;0,DEGREES(ATAN(AA458/Z458)),IF(Z458&lt;0,IF(AA458&gt;=0,DEGREES(ATAN(AA458/Z458))+180,DEGREES(ATAN(AA458/Z458))-180),IF(AA458&gt;0,90,IF(AA458&lt;0,-90,0)))))</f>
        <v/>
      </c>
      <c r="AD458" s="195">
        <f>IF(B458="","",LOG10(B458))</f>
        <v/>
      </c>
      <c r="AE458" s="195">
        <f>IF(AB458="","",LOG10(MAX(AB458,1E-12)))</f>
        <v/>
      </c>
      <c r="AF458" s="195">
        <f>IF(B458="","",SQRT(P458^2+Q458^2))</f>
        <v/>
      </c>
      <c r="AG458" s="195">
        <f>IF(B458="","",SQRT(R458^2+S458^2))</f>
        <v/>
      </c>
    </row>
    <row r="459">
      <c r="A459" t="n">
        <v>456</v>
      </c>
      <c r="B459" s="196">
        <f>IF(A459&lt;='入力・概要'!$B$40,10^(LOG10('入力・概要'!$B$38)+(A459-1)*(LOG10('入力・概要'!$B$39)-LOG10('入力・概要'!$B$38))/('入力・概要'!$B$40-1)),"")</f>
        <v/>
      </c>
      <c r="C459" s="195">
        <f>IF(B459="","",2*PI()*B459)</f>
        <v/>
      </c>
      <c r="D459" s="195">
        <f>IF(B459="","",ATANH(MIN(0.999999,'入力・概要'!$E$20/'入力・概要'!$E$9))+'入力・概要'!$B$20*SQRT(B459/1E6)+E459*'入力・概要'!$B$15/2)</f>
        <v/>
      </c>
      <c r="E459" s="195">
        <f>IF(B459="","",C459*('入力・概要'!$E$11*1E-9))</f>
        <v/>
      </c>
      <c r="F459" s="195">
        <f>IF(B459="","",SINH(2*D459)/(COSH(2*D459)+COS(2*E459)))</f>
        <v/>
      </c>
      <c r="G459" s="195">
        <f>IF(B459="","",SIN(2*E459)/(COSH(2*D459)+COS(2*E459)))</f>
        <v/>
      </c>
      <c r="H459" s="195">
        <f>IF(B459="","",ATANH(MIN(0.999999,'入力・概要'!$E$21/'入力・概要'!$E$15))+'入力・概要'!$B$21*SQRT(B459/1E6)+I459*'入力・概要'!$B$16/2)</f>
        <v/>
      </c>
      <c r="I459" s="195">
        <f>IF(B459="","",C459*('入力・概要'!$E$17*1E-9))</f>
        <v/>
      </c>
      <c r="J459" s="195">
        <f>IF(B459="","",SINH(2*H459)/(COSH(2*H459)+COS(2*I459)))</f>
        <v/>
      </c>
      <c r="K459" s="195">
        <f>IF(B459="","",SIN(2*I459)/(COSH(2*H459)+COS(2*I459)))</f>
        <v/>
      </c>
      <c r="L459" s="195">
        <f>IF(B459="","",'入力・概要'!$B$25)</f>
        <v/>
      </c>
      <c r="M459" s="195">
        <f>IF(B459="","",C459*'入力・概要'!$B$26*1E-9-1/(C459*'入力・概要'!$B$24*1E-6))</f>
        <v/>
      </c>
      <c r="N459" s="195">
        <f>IF(B459="","",'入力・概要'!$B$28)</f>
        <v/>
      </c>
      <c r="O459" s="195">
        <f>IF(B459="","",C459*'入力・概要'!$B$29*1E-9-1/(C459*'入力・概要'!$B$27*1E-6))</f>
        <v/>
      </c>
      <c r="P459" s="195">
        <f>IF(B459="","",((L459*N459-M459*O459)*(L459+N459)+(L459*O459+M459*N459)*(M459+O459))/((L459+N459)^2+(M459+O459)^2))</f>
        <v/>
      </c>
      <c r="Q459" s="195">
        <f>IF(B459="","",((L459*O459+M459*N459)*(L459+N459)-(L459*N459-M459*O459)*(M459+O459))/((L459+N459)^2+(M459+O459)^2))</f>
        <v/>
      </c>
      <c r="R459" s="195">
        <f>IF(B459="","",'入力・概要'!$E$15*J459)</f>
        <v/>
      </c>
      <c r="S459" s="195">
        <f>IF(B459="","",'入力・概要'!$E$15*K459)</f>
        <v/>
      </c>
      <c r="T459" s="195">
        <f>IF(B459="","",P459+R459)</f>
        <v/>
      </c>
      <c r="U459" s="195">
        <f>IF(B459="","",Q459+S459)</f>
        <v/>
      </c>
      <c r="V459" s="195">
        <f>IF(B459="","",T459+'入力・概要'!$E$9*F459)</f>
        <v/>
      </c>
      <c r="W459" s="195">
        <f>IF(B459="","",U459+'入力・概要'!$E$9*G459)</f>
        <v/>
      </c>
      <c r="X459" s="195">
        <f>IF(B459="","",'入力・概要'!$E$9+T459*F459-U459*G459)</f>
        <v/>
      </c>
      <c r="Y459" s="195">
        <f>IF(B459="","",T459*G459+U459*F459)</f>
        <v/>
      </c>
      <c r="Z459" s="195">
        <f>IF(B459="","",'入力・概要'!$E$9*(V459*X459+W459*Y459)/(X459^2+Y459^2)+'入力・概要'!$B$36)</f>
        <v/>
      </c>
      <c r="AA459" s="195">
        <f>IF(B459="","",'入力・概要'!$E$9*(W459*X459-V459*Y459)/(X459^2+Y459^2)+C459*'入力・概要'!$B$37*1E-9)</f>
        <v/>
      </c>
      <c r="AB459" s="195">
        <f>IF(B459="","",SQRT(Z459^2+AA459^2))</f>
        <v/>
      </c>
      <c r="AC459" s="195">
        <f>IF(B459="","",IF(Z459&gt;0,DEGREES(ATAN(AA459/Z459)),IF(Z459&lt;0,IF(AA459&gt;=0,DEGREES(ATAN(AA459/Z459))+180,DEGREES(ATAN(AA459/Z459))-180),IF(AA459&gt;0,90,IF(AA459&lt;0,-90,0)))))</f>
        <v/>
      </c>
      <c r="AD459" s="195">
        <f>IF(B459="","",LOG10(B459))</f>
        <v/>
      </c>
      <c r="AE459" s="195">
        <f>IF(AB459="","",LOG10(MAX(AB459,1E-12)))</f>
        <v/>
      </c>
      <c r="AF459" s="195">
        <f>IF(B459="","",SQRT(P459^2+Q459^2))</f>
        <v/>
      </c>
      <c r="AG459" s="195">
        <f>IF(B459="","",SQRT(R459^2+S459^2))</f>
        <v/>
      </c>
    </row>
    <row r="460">
      <c r="A460" t="n">
        <v>457</v>
      </c>
      <c r="B460" s="196">
        <f>IF(A460&lt;='入力・概要'!$B$40,10^(LOG10('入力・概要'!$B$38)+(A460-1)*(LOG10('入力・概要'!$B$39)-LOG10('入力・概要'!$B$38))/('入力・概要'!$B$40-1)),"")</f>
        <v/>
      </c>
      <c r="C460" s="195">
        <f>IF(B460="","",2*PI()*B460)</f>
        <v/>
      </c>
      <c r="D460" s="195">
        <f>IF(B460="","",ATANH(MIN(0.999999,'入力・概要'!$E$20/'入力・概要'!$E$9))+'入力・概要'!$B$20*SQRT(B460/1E6)+E460*'入力・概要'!$B$15/2)</f>
        <v/>
      </c>
      <c r="E460" s="195">
        <f>IF(B460="","",C460*('入力・概要'!$E$11*1E-9))</f>
        <v/>
      </c>
      <c r="F460" s="195">
        <f>IF(B460="","",SINH(2*D460)/(COSH(2*D460)+COS(2*E460)))</f>
        <v/>
      </c>
      <c r="G460" s="195">
        <f>IF(B460="","",SIN(2*E460)/(COSH(2*D460)+COS(2*E460)))</f>
        <v/>
      </c>
      <c r="H460" s="195">
        <f>IF(B460="","",ATANH(MIN(0.999999,'入力・概要'!$E$21/'入力・概要'!$E$15))+'入力・概要'!$B$21*SQRT(B460/1E6)+I460*'入力・概要'!$B$16/2)</f>
        <v/>
      </c>
      <c r="I460" s="195">
        <f>IF(B460="","",C460*('入力・概要'!$E$17*1E-9))</f>
        <v/>
      </c>
      <c r="J460" s="195">
        <f>IF(B460="","",SINH(2*H460)/(COSH(2*H460)+COS(2*I460)))</f>
        <v/>
      </c>
      <c r="K460" s="195">
        <f>IF(B460="","",SIN(2*I460)/(COSH(2*H460)+COS(2*I460)))</f>
        <v/>
      </c>
      <c r="L460" s="195">
        <f>IF(B460="","",'入力・概要'!$B$25)</f>
        <v/>
      </c>
      <c r="M460" s="195">
        <f>IF(B460="","",C460*'入力・概要'!$B$26*1E-9-1/(C460*'入力・概要'!$B$24*1E-6))</f>
        <v/>
      </c>
      <c r="N460" s="195">
        <f>IF(B460="","",'入力・概要'!$B$28)</f>
        <v/>
      </c>
      <c r="O460" s="195">
        <f>IF(B460="","",C460*'入力・概要'!$B$29*1E-9-1/(C460*'入力・概要'!$B$27*1E-6))</f>
        <v/>
      </c>
      <c r="P460" s="195">
        <f>IF(B460="","",((L460*N460-M460*O460)*(L460+N460)+(L460*O460+M460*N460)*(M460+O460))/((L460+N460)^2+(M460+O460)^2))</f>
        <v/>
      </c>
      <c r="Q460" s="195">
        <f>IF(B460="","",((L460*O460+M460*N460)*(L460+N460)-(L460*N460-M460*O460)*(M460+O460))/((L460+N460)^2+(M460+O460)^2))</f>
        <v/>
      </c>
      <c r="R460" s="195">
        <f>IF(B460="","",'入力・概要'!$E$15*J460)</f>
        <v/>
      </c>
      <c r="S460" s="195">
        <f>IF(B460="","",'入力・概要'!$E$15*K460)</f>
        <v/>
      </c>
      <c r="T460" s="195">
        <f>IF(B460="","",P460+R460)</f>
        <v/>
      </c>
      <c r="U460" s="195">
        <f>IF(B460="","",Q460+S460)</f>
        <v/>
      </c>
      <c r="V460" s="195">
        <f>IF(B460="","",T460+'入力・概要'!$E$9*F460)</f>
        <v/>
      </c>
      <c r="W460" s="195">
        <f>IF(B460="","",U460+'入力・概要'!$E$9*G460)</f>
        <v/>
      </c>
      <c r="X460" s="195">
        <f>IF(B460="","",'入力・概要'!$E$9+T460*F460-U460*G460)</f>
        <v/>
      </c>
      <c r="Y460" s="195">
        <f>IF(B460="","",T460*G460+U460*F460)</f>
        <v/>
      </c>
      <c r="Z460" s="195">
        <f>IF(B460="","",'入力・概要'!$E$9*(V460*X460+W460*Y460)/(X460^2+Y460^2)+'入力・概要'!$B$36)</f>
        <v/>
      </c>
      <c r="AA460" s="195">
        <f>IF(B460="","",'入力・概要'!$E$9*(W460*X460-V460*Y460)/(X460^2+Y460^2)+C460*'入力・概要'!$B$37*1E-9)</f>
        <v/>
      </c>
      <c r="AB460" s="195">
        <f>IF(B460="","",SQRT(Z460^2+AA460^2))</f>
        <v/>
      </c>
      <c r="AC460" s="195">
        <f>IF(B460="","",IF(Z460&gt;0,DEGREES(ATAN(AA460/Z460)),IF(Z460&lt;0,IF(AA460&gt;=0,DEGREES(ATAN(AA460/Z460))+180,DEGREES(ATAN(AA460/Z460))-180),IF(AA460&gt;0,90,IF(AA460&lt;0,-90,0)))))</f>
        <v/>
      </c>
      <c r="AD460" s="195">
        <f>IF(B460="","",LOG10(B460))</f>
        <v/>
      </c>
      <c r="AE460" s="195">
        <f>IF(AB460="","",LOG10(MAX(AB460,1E-12)))</f>
        <v/>
      </c>
      <c r="AF460" s="195">
        <f>IF(B460="","",SQRT(P460^2+Q460^2))</f>
        <v/>
      </c>
      <c r="AG460" s="195">
        <f>IF(B460="","",SQRT(R460^2+S460^2))</f>
        <v/>
      </c>
    </row>
    <row r="461">
      <c r="A461" t="n">
        <v>458</v>
      </c>
      <c r="B461" s="196">
        <f>IF(A461&lt;='入力・概要'!$B$40,10^(LOG10('入力・概要'!$B$38)+(A461-1)*(LOG10('入力・概要'!$B$39)-LOG10('入力・概要'!$B$38))/('入力・概要'!$B$40-1)),"")</f>
        <v/>
      </c>
      <c r="C461" s="195">
        <f>IF(B461="","",2*PI()*B461)</f>
        <v/>
      </c>
      <c r="D461" s="195">
        <f>IF(B461="","",ATANH(MIN(0.999999,'入力・概要'!$E$20/'入力・概要'!$E$9))+'入力・概要'!$B$20*SQRT(B461/1E6)+E461*'入力・概要'!$B$15/2)</f>
        <v/>
      </c>
      <c r="E461" s="195">
        <f>IF(B461="","",C461*('入力・概要'!$E$11*1E-9))</f>
        <v/>
      </c>
      <c r="F461" s="195">
        <f>IF(B461="","",SINH(2*D461)/(COSH(2*D461)+COS(2*E461)))</f>
        <v/>
      </c>
      <c r="G461" s="195">
        <f>IF(B461="","",SIN(2*E461)/(COSH(2*D461)+COS(2*E461)))</f>
        <v/>
      </c>
      <c r="H461" s="195">
        <f>IF(B461="","",ATANH(MIN(0.999999,'入力・概要'!$E$21/'入力・概要'!$E$15))+'入力・概要'!$B$21*SQRT(B461/1E6)+I461*'入力・概要'!$B$16/2)</f>
        <v/>
      </c>
      <c r="I461" s="195">
        <f>IF(B461="","",C461*('入力・概要'!$E$17*1E-9))</f>
        <v/>
      </c>
      <c r="J461" s="195">
        <f>IF(B461="","",SINH(2*H461)/(COSH(2*H461)+COS(2*I461)))</f>
        <v/>
      </c>
      <c r="K461" s="195">
        <f>IF(B461="","",SIN(2*I461)/(COSH(2*H461)+COS(2*I461)))</f>
        <v/>
      </c>
      <c r="L461" s="195">
        <f>IF(B461="","",'入力・概要'!$B$25)</f>
        <v/>
      </c>
      <c r="M461" s="195">
        <f>IF(B461="","",C461*'入力・概要'!$B$26*1E-9-1/(C461*'入力・概要'!$B$24*1E-6))</f>
        <v/>
      </c>
      <c r="N461" s="195">
        <f>IF(B461="","",'入力・概要'!$B$28)</f>
        <v/>
      </c>
      <c r="O461" s="195">
        <f>IF(B461="","",C461*'入力・概要'!$B$29*1E-9-1/(C461*'入力・概要'!$B$27*1E-6))</f>
        <v/>
      </c>
      <c r="P461" s="195">
        <f>IF(B461="","",((L461*N461-M461*O461)*(L461+N461)+(L461*O461+M461*N461)*(M461+O461))/((L461+N461)^2+(M461+O461)^2))</f>
        <v/>
      </c>
      <c r="Q461" s="195">
        <f>IF(B461="","",((L461*O461+M461*N461)*(L461+N461)-(L461*N461-M461*O461)*(M461+O461))/((L461+N461)^2+(M461+O461)^2))</f>
        <v/>
      </c>
      <c r="R461" s="195">
        <f>IF(B461="","",'入力・概要'!$E$15*J461)</f>
        <v/>
      </c>
      <c r="S461" s="195">
        <f>IF(B461="","",'入力・概要'!$E$15*K461)</f>
        <v/>
      </c>
      <c r="T461" s="195">
        <f>IF(B461="","",P461+R461)</f>
        <v/>
      </c>
      <c r="U461" s="195">
        <f>IF(B461="","",Q461+S461)</f>
        <v/>
      </c>
      <c r="V461" s="195">
        <f>IF(B461="","",T461+'入力・概要'!$E$9*F461)</f>
        <v/>
      </c>
      <c r="W461" s="195">
        <f>IF(B461="","",U461+'入力・概要'!$E$9*G461)</f>
        <v/>
      </c>
      <c r="X461" s="195">
        <f>IF(B461="","",'入力・概要'!$E$9+T461*F461-U461*G461)</f>
        <v/>
      </c>
      <c r="Y461" s="195">
        <f>IF(B461="","",T461*G461+U461*F461)</f>
        <v/>
      </c>
      <c r="Z461" s="195">
        <f>IF(B461="","",'入力・概要'!$E$9*(V461*X461+W461*Y461)/(X461^2+Y461^2)+'入力・概要'!$B$36)</f>
        <v/>
      </c>
      <c r="AA461" s="195">
        <f>IF(B461="","",'入力・概要'!$E$9*(W461*X461-V461*Y461)/(X461^2+Y461^2)+C461*'入力・概要'!$B$37*1E-9)</f>
        <v/>
      </c>
      <c r="AB461" s="195">
        <f>IF(B461="","",SQRT(Z461^2+AA461^2))</f>
        <v/>
      </c>
      <c r="AC461" s="195">
        <f>IF(B461="","",IF(Z461&gt;0,DEGREES(ATAN(AA461/Z461)),IF(Z461&lt;0,IF(AA461&gt;=0,DEGREES(ATAN(AA461/Z461))+180,DEGREES(ATAN(AA461/Z461))-180),IF(AA461&gt;0,90,IF(AA461&lt;0,-90,0)))))</f>
        <v/>
      </c>
      <c r="AD461" s="195">
        <f>IF(B461="","",LOG10(B461))</f>
        <v/>
      </c>
      <c r="AE461" s="195">
        <f>IF(AB461="","",LOG10(MAX(AB461,1E-12)))</f>
        <v/>
      </c>
      <c r="AF461" s="195">
        <f>IF(B461="","",SQRT(P461^2+Q461^2))</f>
        <v/>
      </c>
      <c r="AG461" s="195">
        <f>IF(B461="","",SQRT(R461^2+S461^2))</f>
        <v/>
      </c>
    </row>
    <row r="462">
      <c r="A462" t="n">
        <v>459</v>
      </c>
      <c r="B462" s="196">
        <f>IF(A462&lt;='入力・概要'!$B$40,10^(LOG10('入力・概要'!$B$38)+(A462-1)*(LOG10('入力・概要'!$B$39)-LOG10('入力・概要'!$B$38))/('入力・概要'!$B$40-1)),"")</f>
        <v/>
      </c>
      <c r="C462" s="195">
        <f>IF(B462="","",2*PI()*B462)</f>
        <v/>
      </c>
      <c r="D462" s="195">
        <f>IF(B462="","",ATANH(MIN(0.999999,'入力・概要'!$E$20/'入力・概要'!$E$9))+'入力・概要'!$B$20*SQRT(B462/1E6)+E462*'入力・概要'!$B$15/2)</f>
        <v/>
      </c>
      <c r="E462" s="195">
        <f>IF(B462="","",C462*('入力・概要'!$E$11*1E-9))</f>
        <v/>
      </c>
      <c r="F462" s="195">
        <f>IF(B462="","",SINH(2*D462)/(COSH(2*D462)+COS(2*E462)))</f>
        <v/>
      </c>
      <c r="G462" s="195">
        <f>IF(B462="","",SIN(2*E462)/(COSH(2*D462)+COS(2*E462)))</f>
        <v/>
      </c>
      <c r="H462" s="195">
        <f>IF(B462="","",ATANH(MIN(0.999999,'入力・概要'!$E$21/'入力・概要'!$E$15))+'入力・概要'!$B$21*SQRT(B462/1E6)+I462*'入力・概要'!$B$16/2)</f>
        <v/>
      </c>
      <c r="I462" s="195">
        <f>IF(B462="","",C462*('入力・概要'!$E$17*1E-9))</f>
        <v/>
      </c>
      <c r="J462" s="195">
        <f>IF(B462="","",SINH(2*H462)/(COSH(2*H462)+COS(2*I462)))</f>
        <v/>
      </c>
      <c r="K462" s="195">
        <f>IF(B462="","",SIN(2*I462)/(COSH(2*H462)+COS(2*I462)))</f>
        <v/>
      </c>
      <c r="L462" s="195">
        <f>IF(B462="","",'入力・概要'!$B$25)</f>
        <v/>
      </c>
      <c r="M462" s="195">
        <f>IF(B462="","",C462*'入力・概要'!$B$26*1E-9-1/(C462*'入力・概要'!$B$24*1E-6))</f>
        <v/>
      </c>
      <c r="N462" s="195">
        <f>IF(B462="","",'入力・概要'!$B$28)</f>
        <v/>
      </c>
      <c r="O462" s="195">
        <f>IF(B462="","",C462*'入力・概要'!$B$29*1E-9-1/(C462*'入力・概要'!$B$27*1E-6))</f>
        <v/>
      </c>
      <c r="P462" s="195">
        <f>IF(B462="","",((L462*N462-M462*O462)*(L462+N462)+(L462*O462+M462*N462)*(M462+O462))/((L462+N462)^2+(M462+O462)^2))</f>
        <v/>
      </c>
      <c r="Q462" s="195">
        <f>IF(B462="","",((L462*O462+M462*N462)*(L462+N462)-(L462*N462-M462*O462)*(M462+O462))/((L462+N462)^2+(M462+O462)^2))</f>
        <v/>
      </c>
      <c r="R462" s="195">
        <f>IF(B462="","",'入力・概要'!$E$15*J462)</f>
        <v/>
      </c>
      <c r="S462" s="195">
        <f>IF(B462="","",'入力・概要'!$E$15*K462)</f>
        <v/>
      </c>
      <c r="T462" s="195">
        <f>IF(B462="","",P462+R462)</f>
        <v/>
      </c>
      <c r="U462" s="195">
        <f>IF(B462="","",Q462+S462)</f>
        <v/>
      </c>
      <c r="V462" s="195">
        <f>IF(B462="","",T462+'入力・概要'!$E$9*F462)</f>
        <v/>
      </c>
      <c r="W462" s="195">
        <f>IF(B462="","",U462+'入力・概要'!$E$9*G462)</f>
        <v/>
      </c>
      <c r="X462" s="195">
        <f>IF(B462="","",'入力・概要'!$E$9+T462*F462-U462*G462)</f>
        <v/>
      </c>
      <c r="Y462" s="195">
        <f>IF(B462="","",T462*G462+U462*F462)</f>
        <v/>
      </c>
      <c r="Z462" s="195">
        <f>IF(B462="","",'入力・概要'!$E$9*(V462*X462+W462*Y462)/(X462^2+Y462^2)+'入力・概要'!$B$36)</f>
        <v/>
      </c>
      <c r="AA462" s="195">
        <f>IF(B462="","",'入力・概要'!$E$9*(W462*X462-V462*Y462)/(X462^2+Y462^2)+C462*'入力・概要'!$B$37*1E-9)</f>
        <v/>
      </c>
      <c r="AB462" s="195">
        <f>IF(B462="","",SQRT(Z462^2+AA462^2))</f>
        <v/>
      </c>
      <c r="AC462" s="195">
        <f>IF(B462="","",IF(Z462&gt;0,DEGREES(ATAN(AA462/Z462)),IF(Z462&lt;0,IF(AA462&gt;=0,DEGREES(ATAN(AA462/Z462))+180,DEGREES(ATAN(AA462/Z462))-180),IF(AA462&gt;0,90,IF(AA462&lt;0,-90,0)))))</f>
        <v/>
      </c>
      <c r="AD462" s="195">
        <f>IF(B462="","",LOG10(B462))</f>
        <v/>
      </c>
      <c r="AE462" s="195">
        <f>IF(AB462="","",LOG10(MAX(AB462,1E-12)))</f>
        <v/>
      </c>
      <c r="AF462" s="195">
        <f>IF(B462="","",SQRT(P462^2+Q462^2))</f>
        <v/>
      </c>
      <c r="AG462" s="195">
        <f>IF(B462="","",SQRT(R462^2+S462^2))</f>
        <v/>
      </c>
    </row>
    <row r="463">
      <c r="A463" t="n">
        <v>460</v>
      </c>
      <c r="B463" s="196">
        <f>IF(A463&lt;='入力・概要'!$B$40,10^(LOG10('入力・概要'!$B$38)+(A463-1)*(LOG10('入力・概要'!$B$39)-LOG10('入力・概要'!$B$38))/('入力・概要'!$B$40-1)),"")</f>
        <v/>
      </c>
      <c r="C463" s="195">
        <f>IF(B463="","",2*PI()*B463)</f>
        <v/>
      </c>
      <c r="D463" s="195">
        <f>IF(B463="","",ATANH(MIN(0.999999,'入力・概要'!$E$20/'入力・概要'!$E$9))+'入力・概要'!$B$20*SQRT(B463/1E6)+E463*'入力・概要'!$B$15/2)</f>
        <v/>
      </c>
      <c r="E463" s="195">
        <f>IF(B463="","",C463*('入力・概要'!$E$11*1E-9))</f>
        <v/>
      </c>
      <c r="F463" s="195">
        <f>IF(B463="","",SINH(2*D463)/(COSH(2*D463)+COS(2*E463)))</f>
        <v/>
      </c>
      <c r="G463" s="195">
        <f>IF(B463="","",SIN(2*E463)/(COSH(2*D463)+COS(2*E463)))</f>
        <v/>
      </c>
      <c r="H463" s="195">
        <f>IF(B463="","",ATANH(MIN(0.999999,'入力・概要'!$E$21/'入力・概要'!$E$15))+'入力・概要'!$B$21*SQRT(B463/1E6)+I463*'入力・概要'!$B$16/2)</f>
        <v/>
      </c>
      <c r="I463" s="195">
        <f>IF(B463="","",C463*('入力・概要'!$E$17*1E-9))</f>
        <v/>
      </c>
      <c r="J463" s="195">
        <f>IF(B463="","",SINH(2*H463)/(COSH(2*H463)+COS(2*I463)))</f>
        <v/>
      </c>
      <c r="K463" s="195">
        <f>IF(B463="","",SIN(2*I463)/(COSH(2*H463)+COS(2*I463)))</f>
        <v/>
      </c>
      <c r="L463" s="195">
        <f>IF(B463="","",'入力・概要'!$B$25)</f>
        <v/>
      </c>
      <c r="M463" s="195">
        <f>IF(B463="","",C463*'入力・概要'!$B$26*1E-9-1/(C463*'入力・概要'!$B$24*1E-6))</f>
        <v/>
      </c>
      <c r="N463" s="195">
        <f>IF(B463="","",'入力・概要'!$B$28)</f>
        <v/>
      </c>
      <c r="O463" s="195">
        <f>IF(B463="","",C463*'入力・概要'!$B$29*1E-9-1/(C463*'入力・概要'!$B$27*1E-6))</f>
        <v/>
      </c>
      <c r="P463" s="195">
        <f>IF(B463="","",((L463*N463-M463*O463)*(L463+N463)+(L463*O463+M463*N463)*(M463+O463))/((L463+N463)^2+(M463+O463)^2))</f>
        <v/>
      </c>
      <c r="Q463" s="195">
        <f>IF(B463="","",((L463*O463+M463*N463)*(L463+N463)-(L463*N463-M463*O463)*(M463+O463))/((L463+N463)^2+(M463+O463)^2))</f>
        <v/>
      </c>
      <c r="R463" s="195">
        <f>IF(B463="","",'入力・概要'!$E$15*J463)</f>
        <v/>
      </c>
      <c r="S463" s="195">
        <f>IF(B463="","",'入力・概要'!$E$15*K463)</f>
        <v/>
      </c>
      <c r="T463" s="195">
        <f>IF(B463="","",P463+R463)</f>
        <v/>
      </c>
      <c r="U463" s="195">
        <f>IF(B463="","",Q463+S463)</f>
        <v/>
      </c>
      <c r="V463" s="195">
        <f>IF(B463="","",T463+'入力・概要'!$E$9*F463)</f>
        <v/>
      </c>
      <c r="W463" s="195">
        <f>IF(B463="","",U463+'入力・概要'!$E$9*G463)</f>
        <v/>
      </c>
      <c r="X463" s="195">
        <f>IF(B463="","",'入力・概要'!$E$9+T463*F463-U463*G463)</f>
        <v/>
      </c>
      <c r="Y463" s="195">
        <f>IF(B463="","",T463*G463+U463*F463)</f>
        <v/>
      </c>
      <c r="Z463" s="195">
        <f>IF(B463="","",'入力・概要'!$E$9*(V463*X463+W463*Y463)/(X463^2+Y463^2)+'入力・概要'!$B$36)</f>
        <v/>
      </c>
      <c r="AA463" s="195">
        <f>IF(B463="","",'入力・概要'!$E$9*(W463*X463-V463*Y463)/(X463^2+Y463^2)+C463*'入力・概要'!$B$37*1E-9)</f>
        <v/>
      </c>
      <c r="AB463" s="195">
        <f>IF(B463="","",SQRT(Z463^2+AA463^2))</f>
        <v/>
      </c>
      <c r="AC463" s="195">
        <f>IF(B463="","",IF(Z463&gt;0,DEGREES(ATAN(AA463/Z463)),IF(Z463&lt;0,IF(AA463&gt;=0,DEGREES(ATAN(AA463/Z463))+180,DEGREES(ATAN(AA463/Z463))-180),IF(AA463&gt;0,90,IF(AA463&lt;0,-90,0)))))</f>
        <v/>
      </c>
      <c r="AD463" s="195">
        <f>IF(B463="","",LOG10(B463))</f>
        <v/>
      </c>
      <c r="AE463" s="195">
        <f>IF(AB463="","",LOG10(MAX(AB463,1E-12)))</f>
        <v/>
      </c>
      <c r="AF463" s="195">
        <f>IF(B463="","",SQRT(P463^2+Q463^2))</f>
        <v/>
      </c>
      <c r="AG463" s="195">
        <f>IF(B463="","",SQRT(R463^2+S463^2))</f>
        <v/>
      </c>
    </row>
    <row r="464">
      <c r="A464" t="n">
        <v>461</v>
      </c>
      <c r="B464" s="196">
        <f>IF(A464&lt;='入力・概要'!$B$40,10^(LOG10('入力・概要'!$B$38)+(A464-1)*(LOG10('入力・概要'!$B$39)-LOG10('入力・概要'!$B$38))/('入力・概要'!$B$40-1)),"")</f>
        <v/>
      </c>
      <c r="C464" s="195">
        <f>IF(B464="","",2*PI()*B464)</f>
        <v/>
      </c>
      <c r="D464" s="195">
        <f>IF(B464="","",ATANH(MIN(0.999999,'入力・概要'!$E$20/'入力・概要'!$E$9))+'入力・概要'!$B$20*SQRT(B464/1E6)+E464*'入力・概要'!$B$15/2)</f>
        <v/>
      </c>
      <c r="E464" s="195">
        <f>IF(B464="","",C464*('入力・概要'!$E$11*1E-9))</f>
        <v/>
      </c>
      <c r="F464" s="195">
        <f>IF(B464="","",SINH(2*D464)/(COSH(2*D464)+COS(2*E464)))</f>
        <v/>
      </c>
      <c r="G464" s="195">
        <f>IF(B464="","",SIN(2*E464)/(COSH(2*D464)+COS(2*E464)))</f>
        <v/>
      </c>
      <c r="H464" s="195">
        <f>IF(B464="","",ATANH(MIN(0.999999,'入力・概要'!$E$21/'入力・概要'!$E$15))+'入力・概要'!$B$21*SQRT(B464/1E6)+I464*'入力・概要'!$B$16/2)</f>
        <v/>
      </c>
      <c r="I464" s="195">
        <f>IF(B464="","",C464*('入力・概要'!$E$17*1E-9))</f>
        <v/>
      </c>
      <c r="J464" s="195">
        <f>IF(B464="","",SINH(2*H464)/(COSH(2*H464)+COS(2*I464)))</f>
        <v/>
      </c>
      <c r="K464" s="195">
        <f>IF(B464="","",SIN(2*I464)/(COSH(2*H464)+COS(2*I464)))</f>
        <v/>
      </c>
      <c r="L464" s="195">
        <f>IF(B464="","",'入力・概要'!$B$25)</f>
        <v/>
      </c>
      <c r="M464" s="195">
        <f>IF(B464="","",C464*'入力・概要'!$B$26*1E-9-1/(C464*'入力・概要'!$B$24*1E-6))</f>
        <v/>
      </c>
      <c r="N464" s="195">
        <f>IF(B464="","",'入力・概要'!$B$28)</f>
        <v/>
      </c>
      <c r="O464" s="195">
        <f>IF(B464="","",C464*'入力・概要'!$B$29*1E-9-1/(C464*'入力・概要'!$B$27*1E-6))</f>
        <v/>
      </c>
      <c r="P464" s="195">
        <f>IF(B464="","",((L464*N464-M464*O464)*(L464+N464)+(L464*O464+M464*N464)*(M464+O464))/((L464+N464)^2+(M464+O464)^2))</f>
        <v/>
      </c>
      <c r="Q464" s="195">
        <f>IF(B464="","",((L464*O464+M464*N464)*(L464+N464)-(L464*N464-M464*O464)*(M464+O464))/((L464+N464)^2+(M464+O464)^2))</f>
        <v/>
      </c>
      <c r="R464" s="195">
        <f>IF(B464="","",'入力・概要'!$E$15*J464)</f>
        <v/>
      </c>
      <c r="S464" s="195">
        <f>IF(B464="","",'入力・概要'!$E$15*K464)</f>
        <v/>
      </c>
      <c r="T464" s="195">
        <f>IF(B464="","",P464+R464)</f>
        <v/>
      </c>
      <c r="U464" s="195">
        <f>IF(B464="","",Q464+S464)</f>
        <v/>
      </c>
      <c r="V464" s="195">
        <f>IF(B464="","",T464+'入力・概要'!$E$9*F464)</f>
        <v/>
      </c>
      <c r="W464" s="195">
        <f>IF(B464="","",U464+'入力・概要'!$E$9*G464)</f>
        <v/>
      </c>
      <c r="X464" s="195">
        <f>IF(B464="","",'入力・概要'!$E$9+T464*F464-U464*G464)</f>
        <v/>
      </c>
      <c r="Y464" s="195">
        <f>IF(B464="","",T464*G464+U464*F464)</f>
        <v/>
      </c>
      <c r="Z464" s="195">
        <f>IF(B464="","",'入力・概要'!$E$9*(V464*X464+W464*Y464)/(X464^2+Y464^2)+'入力・概要'!$B$36)</f>
        <v/>
      </c>
      <c r="AA464" s="195">
        <f>IF(B464="","",'入力・概要'!$E$9*(W464*X464-V464*Y464)/(X464^2+Y464^2)+C464*'入力・概要'!$B$37*1E-9)</f>
        <v/>
      </c>
      <c r="AB464" s="195">
        <f>IF(B464="","",SQRT(Z464^2+AA464^2))</f>
        <v/>
      </c>
      <c r="AC464" s="195">
        <f>IF(B464="","",IF(Z464&gt;0,DEGREES(ATAN(AA464/Z464)),IF(Z464&lt;0,IF(AA464&gt;=0,DEGREES(ATAN(AA464/Z464))+180,DEGREES(ATAN(AA464/Z464))-180),IF(AA464&gt;0,90,IF(AA464&lt;0,-90,0)))))</f>
        <v/>
      </c>
      <c r="AD464" s="195">
        <f>IF(B464="","",LOG10(B464))</f>
        <v/>
      </c>
      <c r="AE464" s="195">
        <f>IF(AB464="","",LOG10(MAX(AB464,1E-12)))</f>
        <v/>
      </c>
      <c r="AF464" s="195">
        <f>IF(B464="","",SQRT(P464^2+Q464^2))</f>
        <v/>
      </c>
      <c r="AG464" s="195">
        <f>IF(B464="","",SQRT(R464^2+S464^2))</f>
        <v/>
      </c>
    </row>
    <row r="465">
      <c r="A465" t="n">
        <v>462</v>
      </c>
      <c r="B465" s="196">
        <f>IF(A465&lt;='入力・概要'!$B$40,10^(LOG10('入力・概要'!$B$38)+(A465-1)*(LOG10('入力・概要'!$B$39)-LOG10('入力・概要'!$B$38))/('入力・概要'!$B$40-1)),"")</f>
        <v/>
      </c>
      <c r="C465" s="195">
        <f>IF(B465="","",2*PI()*B465)</f>
        <v/>
      </c>
      <c r="D465" s="195">
        <f>IF(B465="","",ATANH(MIN(0.999999,'入力・概要'!$E$20/'入力・概要'!$E$9))+'入力・概要'!$B$20*SQRT(B465/1E6)+E465*'入力・概要'!$B$15/2)</f>
        <v/>
      </c>
      <c r="E465" s="195">
        <f>IF(B465="","",C465*('入力・概要'!$E$11*1E-9))</f>
        <v/>
      </c>
      <c r="F465" s="195">
        <f>IF(B465="","",SINH(2*D465)/(COSH(2*D465)+COS(2*E465)))</f>
        <v/>
      </c>
      <c r="G465" s="195">
        <f>IF(B465="","",SIN(2*E465)/(COSH(2*D465)+COS(2*E465)))</f>
        <v/>
      </c>
      <c r="H465" s="195">
        <f>IF(B465="","",ATANH(MIN(0.999999,'入力・概要'!$E$21/'入力・概要'!$E$15))+'入力・概要'!$B$21*SQRT(B465/1E6)+I465*'入力・概要'!$B$16/2)</f>
        <v/>
      </c>
      <c r="I465" s="195">
        <f>IF(B465="","",C465*('入力・概要'!$E$17*1E-9))</f>
        <v/>
      </c>
      <c r="J465" s="195">
        <f>IF(B465="","",SINH(2*H465)/(COSH(2*H465)+COS(2*I465)))</f>
        <v/>
      </c>
      <c r="K465" s="195">
        <f>IF(B465="","",SIN(2*I465)/(COSH(2*H465)+COS(2*I465)))</f>
        <v/>
      </c>
      <c r="L465" s="195">
        <f>IF(B465="","",'入力・概要'!$B$25)</f>
        <v/>
      </c>
      <c r="M465" s="195">
        <f>IF(B465="","",C465*'入力・概要'!$B$26*1E-9-1/(C465*'入力・概要'!$B$24*1E-6))</f>
        <v/>
      </c>
      <c r="N465" s="195">
        <f>IF(B465="","",'入力・概要'!$B$28)</f>
        <v/>
      </c>
      <c r="O465" s="195">
        <f>IF(B465="","",C465*'入力・概要'!$B$29*1E-9-1/(C465*'入力・概要'!$B$27*1E-6))</f>
        <v/>
      </c>
      <c r="P465" s="195">
        <f>IF(B465="","",((L465*N465-M465*O465)*(L465+N465)+(L465*O465+M465*N465)*(M465+O465))/((L465+N465)^2+(M465+O465)^2))</f>
        <v/>
      </c>
      <c r="Q465" s="195">
        <f>IF(B465="","",((L465*O465+M465*N465)*(L465+N465)-(L465*N465-M465*O465)*(M465+O465))/((L465+N465)^2+(M465+O465)^2))</f>
        <v/>
      </c>
      <c r="R465" s="195">
        <f>IF(B465="","",'入力・概要'!$E$15*J465)</f>
        <v/>
      </c>
      <c r="S465" s="195">
        <f>IF(B465="","",'入力・概要'!$E$15*K465)</f>
        <v/>
      </c>
      <c r="T465" s="195">
        <f>IF(B465="","",P465+R465)</f>
        <v/>
      </c>
      <c r="U465" s="195">
        <f>IF(B465="","",Q465+S465)</f>
        <v/>
      </c>
      <c r="V465" s="195">
        <f>IF(B465="","",T465+'入力・概要'!$E$9*F465)</f>
        <v/>
      </c>
      <c r="W465" s="195">
        <f>IF(B465="","",U465+'入力・概要'!$E$9*G465)</f>
        <v/>
      </c>
      <c r="X465" s="195">
        <f>IF(B465="","",'入力・概要'!$E$9+T465*F465-U465*G465)</f>
        <v/>
      </c>
      <c r="Y465" s="195">
        <f>IF(B465="","",T465*G465+U465*F465)</f>
        <v/>
      </c>
      <c r="Z465" s="195">
        <f>IF(B465="","",'入力・概要'!$E$9*(V465*X465+W465*Y465)/(X465^2+Y465^2)+'入力・概要'!$B$36)</f>
        <v/>
      </c>
      <c r="AA465" s="195">
        <f>IF(B465="","",'入力・概要'!$E$9*(W465*X465-V465*Y465)/(X465^2+Y465^2)+C465*'入力・概要'!$B$37*1E-9)</f>
        <v/>
      </c>
      <c r="AB465" s="195">
        <f>IF(B465="","",SQRT(Z465^2+AA465^2))</f>
        <v/>
      </c>
      <c r="AC465" s="195">
        <f>IF(B465="","",IF(Z465&gt;0,DEGREES(ATAN(AA465/Z465)),IF(Z465&lt;0,IF(AA465&gt;=0,DEGREES(ATAN(AA465/Z465))+180,DEGREES(ATAN(AA465/Z465))-180),IF(AA465&gt;0,90,IF(AA465&lt;0,-90,0)))))</f>
        <v/>
      </c>
      <c r="AD465" s="195">
        <f>IF(B465="","",LOG10(B465))</f>
        <v/>
      </c>
      <c r="AE465" s="195">
        <f>IF(AB465="","",LOG10(MAX(AB465,1E-12)))</f>
        <v/>
      </c>
      <c r="AF465" s="195">
        <f>IF(B465="","",SQRT(P465^2+Q465^2))</f>
        <v/>
      </c>
      <c r="AG465" s="195">
        <f>IF(B465="","",SQRT(R465^2+S465^2))</f>
        <v/>
      </c>
    </row>
    <row r="466">
      <c r="A466" t="n">
        <v>463</v>
      </c>
      <c r="B466" s="196">
        <f>IF(A466&lt;='入力・概要'!$B$40,10^(LOG10('入力・概要'!$B$38)+(A466-1)*(LOG10('入力・概要'!$B$39)-LOG10('入力・概要'!$B$38))/('入力・概要'!$B$40-1)),"")</f>
        <v/>
      </c>
      <c r="C466" s="195">
        <f>IF(B466="","",2*PI()*B466)</f>
        <v/>
      </c>
      <c r="D466" s="195">
        <f>IF(B466="","",ATANH(MIN(0.999999,'入力・概要'!$E$20/'入力・概要'!$E$9))+'入力・概要'!$B$20*SQRT(B466/1E6)+E466*'入力・概要'!$B$15/2)</f>
        <v/>
      </c>
      <c r="E466" s="195">
        <f>IF(B466="","",C466*('入力・概要'!$E$11*1E-9))</f>
        <v/>
      </c>
      <c r="F466" s="195">
        <f>IF(B466="","",SINH(2*D466)/(COSH(2*D466)+COS(2*E466)))</f>
        <v/>
      </c>
      <c r="G466" s="195">
        <f>IF(B466="","",SIN(2*E466)/(COSH(2*D466)+COS(2*E466)))</f>
        <v/>
      </c>
      <c r="H466" s="195">
        <f>IF(B466="","",ATANH(MIN(0.999999,'入力・概要'!$E$21/'入力・概要'!$E$15))+'入力・概要'!$B$21*SQRT(B466/1E6)+I466*'入力・概要'!$B$16/2)</f>
        <v/>
      </c>
      <c r="I466" s="195">
        <f>IF(B466="","",C466*('入力・概要'!$E$17*1E-9))</f>
        <v/>
      </c>
      <c r="J466" s="195">
        <f>IF(B466="","",SINH(2*H466)/(COSH(2*H466)+COS(2*I466)))</f>
        <v/>
      </c>
      <c r="K466" s="195">
        <f>IF(B466="","",SIN(2*I466)/(COSH(2*H466)+COS(2*I466)))</f>
        <v/>
      </c>
      <c r="L466" s="195">
        <f>IF(B466="","",'入力・概要'!$B$25)</f>
        <v/>
      </c>
      <c r="M466" s="195">
        <f>IF(B466="","",C466*'入力・概要'!$B$26*1E-9-1/(C466*'入力・概要'!$B$24*1E-6))</f>
        <v/>
      </c>
      <c r="N466" s="195">
        <f>IF(B466="","",'入力・概要'!$B$28)</f>
        <v/>
      </c>
      <c r="O466" s="195">
        <f>IF(B466="","",C466*'入力・概要'!$B$29*1E-9-1/(C466*'入力・概要'!$B$27*1E-6))</f>
        <v/>
      </c>
      <c r="P466" s="195">
        <f>IF(B466="","",((L466*N466-M466*O466)*(L466+N466)+(L466*O466+M466*N466)*(M466+O466))/((L466+N466)^2+(M466+O466)^2))</f>
        <v/>
      </c>
      <c r="Q466" s="195">
        <f>IF(B466="","",((L466*O466+M466*N466)*(L466+N466)-(L466*N466-M466*O466)*(M466+O466))/((L466+N466)^2+(M466+O466)^2))</f>
        <v/>
      </c>
      <c r="R466" s="195">
        <f>IF(B466="","",'入力・概要'!$E$15*J466)</f>
        <v/>
      </c>
      <c r="S466" s="195">
        <f>IF(B466="","",'入力・概要'!$E$15*K466)</f>
        <v/>
      </c>
      <c r="T466" s="195">
        <f>IF(B466="","",P466+R466)</f>
        <v/>
      </c>
      <c r="U466" s="195">
        <f>IF(B466="","",Q466+S466)</f>
        <v/>
      </c>
      <c r="V466" s="195">
        <f>IF(B466="","",T466+'入力・概要'!$E$9*F466)</f>
        <v/>
      </c>
      <c r="W466" s="195">
        <f>IF(B466="","",U466+'入力・概要'!$E$9*G466)</f>
        <v/>
      </c>
      <c r="X466" s="195">
        <f>IF(B466="","",'入力・概要'!$E$9+T466*F466-U466*G466)</f>
        <v/>
      </c>
      <c r="Y466" s="195">
        <f>IF(B466="","",T466*G466+U466*F466)</f>
        <v/>
      </c>
      <c r="Z466" s="195">
        <f>IF(B466="","",'入力・概要'!$E$9*(V466*X466+W466*Y466)/(X466^2+Y466^2)+'入力・概要'!$B$36)</f>
        <v/>
      </c>
      <c r="AA466" s="195">
        <f>IF(B466="","",'入力・概要'!$E$9*(W466*X466-V466*Y466)/(X466^2+Y466^2)+C466*'入力・概要'!$B$37*1E-9)</f>
        <v/>
      </c>
      <c r="AB466" s="195">
        <f>IF(B466="","",SQRT(Z466^2+AA466^2))</f>
        <v/>
      </c>
      <c r="AC466" s="195">
        <f>IF(B466="","",IF(Z466&gt;0,DEGREES(ATAN(AA466/Z466)),IF(Z466&lt;0,IF(AA466&gt;=0,DEGREES(ATAN(AA466/Z466))+180,DEGREES(ATAN(AA466/Z466))-180),IF(AA466&gt;0,90,IF(AA466&lt;0,-90,0)))))</f>
        <v/>
      </c>
      <c r="AD466" s="195">
        <f>IF(B466="","",LOG10(B466))</f>
        <v/>
      </c>
      <c r="AE466" s="195">
        <f>IF(AB466="","",LOG10(MAX(AB466,1E-12)))</f>
        <v/>
      </c>
      <c r="AF466" s="195">
        <f>IF(B466="","",SQRT(P466^2+Q466^2))</f>
        <v/>
      </c>
      <c r="AG466" s="195">
        <f>IF(B466="","",SQRT(R466^2+S466^2))</f>
        <v/>
      </c>
    </row>
    <row r="467">
      <c r="A467" t="n">
        <v>464</v>
      </c>
      <c r="B467" s="196">
        <f>IF(A467&lt;='入力・概要'!$B$40,10^(LOG10('入力・概要'!$B$38)+(A467-1)*(LOG10('入力・概要'!$B$39)-LOG10('入力・概要'!$B$38))/('入力・概要'!$B$40-1)),"")</f>
        <v/>
      </c>
      <c r="C467" s="195">
        <f>IF(B467="","",2*PI()*B467)</f>
        <v/>
      </c>
      <c r="D467" s="195">
        <f>IF(B467="","",ATANH(MIN(0.999999,'入力・概要'!$E$20/'入力・概要'!$E$9))+'入力・概要'!$B$20*SQRT(B467/1E6)+E467*'入力・概要'!$B$15/2)</f>
        <v/>
      </c>
      <c r="E467" s="195">
        <f>IF(B467="","",C467*('入力・概要'!$E$11*1E-9))</f>
        <v/>
      </c>
      <c r="F467" s="195">
        <f>IF(B467="","",SINH(2*D467)/(COSH(2*D467)+COS(2*E467)))</f>
        <v/>
      </c>
      <c r="G467" s="195">
        <f>IF(B467="","",SIN(2*E467)/(COSH(2*D467)+COS(2*E467)))</f>
        <v/>
      </c>
      <c r="H467" s="195">
        <f>IF(B467="","",ATANH(MIN(0.999999,'入力・概要'!$E$21/'入力・概要'!$E$15))+'入力・概要'!$B$21*SQRT(B467/1E6)+I467*'入力・概要'!$B$16/2)</f>
        <v/>
      </c>
      <c r="I467" s="195">
        <f>IF(B467="","",C467*('入力・概要'!$E$17*1E-9))</f>
        <v/>
      </c>
      <c r="J467" s="195">
        <f>IF(B467="","",SINH(2*H467)/(COSH(2*H467)+COS(2*I467)))</f>
        <v/>
      </c>
      <c r="K467" s="195">
        <f>IF(B467="","",SIN(2*I467)/(COSH(2*H467)+COS(2*I467)))</f>
        <v/>
      </c>
      <c r="L467" s="195">
        <f>IF(B467="","",'入力・概要'!$B$25)</f>
        <v/>
      </c>
      <c r="M467" s="195">
        <f>IF(B467="","",C467*'入力・概要'!$B$26*1E-9-1/(C467*'入力・概要'!$B$24*1E-6))</f>
        <v/>
      </c>
      <c r="N467" s="195">
        <f>IF(B467="","",'入力・概要'!$B$28)</f>
        <v/>
      </c>
      <c r="O467" s="195">
        <f>IF(B467="","",C467*'入力・概要'!$B$29*1E-9-1/(C467*'入力・概要'!$B$27*1E-6))</f>
        <v/>
      </c>
      <c r="P467" s="195">
        <f>IF(B467="","",((L467*N467-M467*O467)*(L467+N467)+(L467*O467+M467*N467)*(M467+O467))/((L467+N467)^2+(M467+O467)^2))</f>
        <v/>
      </c>
      <c r="Q467" s="195">
        <f>IF(B467="","",((L467*O467+M467*N467)*(L467+N467)-(L467*N467-M467*O467)*(M467+O467))/((L467+N467)^2+(M467+O467)^2))</f>
        <v/>
      </c>
      <c r="R467" s="195">
        <f>IF(B467="","",'入力・概要'!$E$15*J467)</f>
        <v/>
      </c>
      <c r="S467" s="195">
        <f>IF(B467="","",'入力・概要'!$E$15*K467)</f>
        <v/>
      </c>
      <c r="T467" s="195">
        <f>IF(B467="","",P467+R467)</f>
        <v/>
      </c>
      <c r="U467" s="195">
        <f>IF(B467="","",Q467+S467)</f>
        <v/>
      </c>
      <c r="V467" s="195">
        <f>IF(B467="","",T467+'入力・概要'!$E$9*F467)</f>
        <v/>
      </c>
      <c r="W467" s="195">
        <f>IF(B467="","",U467+'入力・概要'!$E$9*G467)</f>
        <v/>
      </c>
      <c r="X467" s="195">
        <f>IF(B467="","",'入力・概要'!$E$9+T467*F467-U467*G467)</f>
        <v/>
      </c>
      <c r="Y467" s="195">
        <f>IF(B467="","",T467*G467+U467*F467)</f>
        <v/>
      </c>
      <c r="Z467" s="195">
        <f>IF(B467="","",'入力・概要'!$E$9*(V467*X467+W467*Y467)/(X467^2+Y467^2)+'入力・概要'!$B$36)</f>
        <v/>
      </c>
      <c r="AA467" s="195">
        <f>IF(B467="","",'入力・概要'!$E$9*(W467*X467-V467*Y467)/(X467^2+Y467^2)+C467*'入力・概要'!$B$37*1E-9)</f>
        <v/>
      </c>
      <c r="AB467" s="195">
        <f>IF(B467="","",SQRT(Z467^2+AA467^2))</f>
        <v/>
      </c>
      <c r="AC467" s="195">
        <f>IF(B467="","",IF(Z467&gt;0,DEGREES(ATAN(AA467/Z467)),IF(Z467&lt;0,IF(AA467&gt;=0,DEGREES(ATAN(AA467/Z467))+180,DEGREES(ATAN(AA467/Z467))-180),IF(AA467&gt;0,90,IF(AA467&lt;0,-90,0)))))</f>
        <v/>
      </c>
      <c r="AD467" s="195">
        <f>IF(B467="","",LOG10(B467))</f>
        <v/>
      </c>
      <c r="AE467" s="195">
        <f>IF(AB467="","",LOG10(MAX(AB467,1E-12)))</f>
        <v/>
      </c>
      <c r="AF467" s="195">
        <f>IF(B467="","",SQRT(P467^2+Q467^2))</f>
        <v/>
      </c>
      <c r="AG467" s="195">
        <f>IF(B467="","",SQRT(R467^2+S467^2))</f>
        <v/>
      </c>
    </row>
    <row r="468">
      <c r="A468" t="n">
        <v>465</v>
      </c>
      <c r="B468" s="196">
        <f>IF(A468&lt;='入力・概要'!$B$40,10^(LOG10('入力・概要'!$B$38)+(A468-1)*(LOG10('入力・概要'!$B$39)-LOG10('入力・概要'!$B$38))/('入力・概要'!$B$40-1)),"")</f>
        <v/>
      </c>
      <c r="C468" s="195">
        <f>IF(B468="","",2*PI()*B468)</f>
        <v/>
      </c>
      <c r="D468" s="195">
        <f>IF(B468="","",ATANH(MIN(0.999999,'入力・概要'!$E$20/'入力・概要'!$E$9))+'入力・概要'!$B$20*SQRT(B468/1E6)+E468*'入力・概要'!$B$15/2)</f>
        <v/>
      </c>
      <c r="E468" s="195">
        <f>IF(B468="","",C468*('入力・概要'!$E$11*1E-9))</f>
        <v/>
      </c>
      <c r="F468" s="195">
        <f>IF(B468="","",SINH(2*D468)/(COSH(2*D468)+COS(2*E468)))</f>
        <v/>
      </c>
      <c r="G468" s="195">
        <f>IF(B468="","",SIN(2*E468)/(COSH(2*D468)+COS(2*E468)))</f>
        <v/>
      </c>
      <c r="H468" s="195">
        <f>IF(B468="","",ATANH(MIN(0.999999,'入力・概要'!$E$21/'入力・概要'!$E$15))+'入力・概要'!$B$21*SQRT(B468/1E6)+I468*'入力・概要'!$B$16/2)</f>
        <v/>
      </c>
      <c r="I468" s="195">
        <f>IF(B468="","",C468*('入力・概要'!$E$17*1E-9))</f>
        <v/>
      </c>
      <c r="J468" s="195">
        <f>IF(B468="","",SINH(2*H468)/(COSH(2*H468)+COS(2*I468)))</f>
        <v/>
      </c>
      <c r="K468" s="195">
        <f>IF(B468="","",SIN(2*I468)/(COSH(2*H468)+COS(2*I468)))</f>
        <v/>
      </c>
      <c r="L468" s="195">
        <f>IF(B468="","",'入力・概要'!$B$25)</f>
        <v/>
      </c>
      <c r="M468" s="195">
        <f>IF(B468="","",C468*'入力・概要'!$B$26*1E-9-1/(C468*'入力・概要'!$B$24*1E-6))</f>
        <v/>
      </c>
      <c r="N468" s="195">
        <f>IF(B468="","",'入力・概要'!$B$28)</f>
        <v/>
      </c>
      <c r="O468" s="195">
        <f>IF(B468="","",C468*'入力・概要'!$B$29*1E-9-1/(C468*'入力・概要'!$B$27*1E-6))</f>
        <v/>
      </c>
      <c r="P468" s="195">
        <f>IF(B468="","",((L468*N468-M468*O468)*(L468+N468)+(L468*O468+M468*N468)*(M468+O468))/((L468+N468)^2+(M468+O468)^2))</f>
        <v/>
      </c>
      <c r="Q468" s="195">
        <f>IF(B468="","",((L468*O468+M468*N468)*(L468+N468)-(L468*N468-M468*O468)*(M468+O468))/((L468+N468)^2+(M468+O468)^2))</f>
        <v/>
      </c>
      <c r="R468" s="195">
        <f>IF(B468="","",'入力・概要'!$E$15*J468)</f>
        <v/>
      </c>
      <c r="S468" s="195">
        <f>IF(B468="","",'入力・概要'!$E$15*K468)</f>
        <v/>
      </c>
      <c r="T468" s="195">
        <f>IF(B468="","",P468+R468)</f>
        <v/>
      </c>
      <c r="U468" s="195">
        <f>IF(B468="","",Q468+S468)</f>
        <v/>
      </c>
      <c r="V468" s="195">
        <f>IF(B468="","",T468+'入力・概要'!$E$9*F468)</f>
        <v/>
      </c>
      <c r="W468" s="195">
        <f>IF(B468="","",U468+'入力・概要'!$E$9*G468)</f>
        <v/>
      </c>
      <c r="X468" s="195">
        <f>IF(B468="","",'入力・概要'!$E$9+T468*F468-U468*G468)</f>
        <v/>
      </c>
      <c r="Y468" s="195">
        <f>IF(B468="","",T468*G468+U468*F468)</f>
        <v/>
      </c>
      <c r="Z468" s="195">
        <f>IF(B468="","",'入力・概要'!$E$9*(V468*X468+W468*Y468)/(X468^2+Y468^2)+'入力・概要'!$B$36)</f>
        <v/>
      </c>
      <c r="AA468" s="195">
        <f>IF(B468="","",'入力・概要'!$E$9*(W468*X468-V468*Y468)/(X468^2+Y468^2)+C468*'入力・概要'!$B$37*1E-9)</f>
        <v/>
      </c>
      <c r="AB468" s="195">
        <f>IF(B468="","",SQRT(Z468^2+AA468^2))</f>
        <v/>
      </c>
      <c r="AC468" s="195">
        <f>IF(B468="","",IF(Z468&gt;0,DEGREES(ATAN(AA468/Z468)),IF(Z468&lt;0,IF(AA468&gt;=0,DEGREES(ATAN(AA468/Z468))+180,DEGREES(ATAN(AA468/Z468))-180),IF(AA468&gt;0,90,IF(AA468&lt;0,-90,0)))))</f>
        <v/>
      </c>
      <c r="AD468" s="195">
        <f>IF(B468="","",LOG10(B468))</f>
        <v/>
      </c>
      <c r="AE468" s="195">
        <f>IF(AB468="","",LOG10(MAX(AB468,1E-12)))</f>
        <v/>
      </c>
      <c r="AF468" s="195">
        <f>IF(B468="","",SQRT(P468^2+Q468^2))</f>
        <v/>
      </c>
      <c r="AG468" s="195">
        <f>IF(B468="","",SQRT(R468^2+S468^2))</f>
        <v/>
      </c>
    </row>
    <row r="469">
      <c r="A469" t="n">
        <v>466</v>
      </c>
      <c r="B469" s="196">
        <f>IF(A469&lt;='入力・概要'!$B$40,10^(LOG10('入力・概要'!$B$38)+(A469-1)*(LOG10('入力・概要'!$B$39)-LOG10('入力・概要'!$B$38))/('入力・概要'!$B$40-1)),"")</f>
        <v/>
      </c>
      <c r="C469" s="195">
        <f>IF(B469="","",2*PI()*B469)</f>
        <v/>
      </c>
      <c r="D469" s="195">
        <f>IF(B469="","",ATANH(MIN(0.999999,'入力・概要'!$E$20/'入力・概要'!$E$9))+'入力・概要'!$B$20*SQRT(B469/1E6)+E469*'入力・概要'!$B$15/2)</f>
        <v/>
      </c>
      <c r="E469" s="195">
        <f>IF(B469="","",C469*('入力・概要'!$E$11*1E-9))</f>
        <v/>
      </c>
      <c r="F469" s="195">
        <f>IF(B469="","",SINH(2*D469)/(COSH(2*D469)+COS(2*E469)))</f>
        <v/>
      </c>
      <c r="G469" s="195">
        <f>IF(B469="","",SIN(2*E469)/(COSH(2*D469)+COS(2*E469)))</f>
        <v/>
      </c>
      <c r="H469" s="195">
        <f>IF(B469="","",ATANH(MIN(0.999999,'入力・概要'!$E$21/'入力・概要'!$E$15))+'入力・概要'!$B$21*SQRT(B469/1E6)+I469*'入力・概要'!$B$16/2)</f>
        <v/>
      </c>
      <c r="I469" s="195">
        <f>IF(B469="","",C469*('入力・概要'!$E$17*1E-9))</f>
        <v/>
      </c>
      <c r="J469" s="195">
        <f>IF(B469="","",SINH(2*H469)/(COSH(2*H469)+COS(2*I469)))</f>
        <v/>
      </c>
      <c r="K469" s="195">
        <f>IF(B469="","",SIN(2*I469)/(COSH(2*H469)+COS(2*I469)))</f>
        <v/>
      </c>
      <c r="L469" s="195">
        <f>IF(B469="","",'入力・概要'!$B$25)</f>
        <v/>
      </c>
      <c r="M469" s="195">
        <f>IF(B469="","",C469*'入力・概要'!$B$26*1E-9-1/(C469*'入力・概要'!$B$24*1E-6))</f>
        <v/>
      </c>
      <c r="N469" s="195">
        <f>IF(B469="","",'入力・概要'!$B$28)</f>
        <v/>
      </c>
      <c r="O469" s="195">
        <f>IF(B469="","",C469*'入力・概要'!$B$29*1E-9-1/(C469*'入力・概要'!$B$27*1E-6))</f>
        <v/>
      </c>
      <c r="P469" s="195">
        <f>IF(B469="","",((L469*N469-M469*O469)*(L469+N469)+(L469*O469+M469*N469)*(M469+O469))/((L469+N469)^2+(M469+O469)^2))</f>
        <v/>
      </c>
      <c r="Q469" s="195">
        <f>IF(B469="","",((L469*O469+M469*N469)*(L469+N469)-(L469*N469-M469*O469)*(M469+O469))/((L469+N469)^2+(M469+O469)^2))</f>
        <v/>
      </c>
      <c r="R469" s="195">
        <f>IF(B469="","",'入力・概要'!$E$15*J469)</f>
        <v/>
      </c>
      <c r="S469" s="195">
        <f>IF(B469="","",'入力・概要'!$E$15*K469)</f>
        <v/>
      </c>
      <c r="T469" s="195">
        <f>IF(B469="","",P469+R469)</f>
        <v/>
      </c>
      <c r="U469" s="195">
        <f>IF(B469="","",Q469+S469)</f>
        <v/>
      </c>
      <c r="V469" s="195">
        <f>IF(B469="","",T469+'入力・概要'!$E$9*F469)</f>
        <v/>
      </c>
      <c r="W469" s="195">
        <f>IF(B469="","",U469+'入力・概要'!$E$9*G469)</f>
        <v/>
      </c>
      <c r="X469" s="195">
        <f>IF(B469="","",'入力・概要'!$E$9+T469*F469-U469*G469)</f>
        <v/>
      </c>
      <c r="Y469" s="195">
        <f>IF(B469="","",T469*G469+U469*F469)</f>
        <v/>
      </c>
      <c r="Z469" s="195">
        <f>IF(B469="","",'入力・概要'!$E$9*(V469*X469+W469*Y469)/(X469^2+Y469^2)+'入力・概要'!$B$36)</f>
        <v/>
      </c>
      <c r="AA469" s="195">
        <f>IF(B469="","",'入力・概要'!$E$9*(W469*X469-V469*Y469)/(X469^2+Y469^2)+C469*'入力・概要'!$B$37*1E-9)</f>
        <v/>
      </c>
      <c r="AB469" s="195">
        <f>IF(B469="","",SQRT(Z469^2+AA469^2))</f>
        <v/>
      </c>
      <c r="AC469" s="195">
        <f>IF(B469="","",IF(Z469&gt;0,DEGREES(ATAN(AA469/Z469)),IF(Z469&lt;0,IF(AA469&gt;=0,DEGREES(ATAN(AA469/Z469))+180,DEGREES(ATAN(AA469/Z469))-180),IF(AA469&gt;0,90,IF(AA469&lt;0,-90,0)))))</f>
        <v/>
      </c>
      <c r="AD469" s="195">
        <f>IF(B469="","",LOG10(B469))</f>
        <v/>
      </c>
      <c r="AE469" s="195">
        <f>IF(AB469="","",LOG10(MAX(AB469,1E-12)))</f>
        <v/>
      </c>
      <c r="AF469" s="195">
        <f>IF(B469="","",SQRT(P469^2+Q469^2))</f>
        <v/>
      </c>
      <c r="AG469" s="195">
        <f>IF(B469="","",SQRT(R469^2+S469^2))</f>
        <v/>
      </c>
    </row>
    <row r="470">
      <c r="A470" t="n">
        <v>467</v>
      </c>
      <c r="B470" s="196">
        <f>IF(A470&lt;='入力・概要'!$B$40,10^(LOG10('入力・概要'!$B$38)+(A470-1)*(LOG10('入力・概要'!$B$39)-LOG10('入力・概要'!$B$38))/('入力・概要'!$B$40-1)),"")</f>
        <v/>
      </c>
      <c r="C470" s="195">
        <f>IF(B470="","",2*PI()*B470)</f>
        <v/>
      </c>
      <c r="D470" s="195">
        <f>IF(B470="","",ATANH(MIN(0.999999,'入力・概要'!$E$20/'入力・概要'!$E$9))+'入力・概要'!$B$20*SQRT(B470/1E6)+E470*'入力・概要'!$B$15/2)</f>
        <v/>
      </c>
      <c r="E470" s="195">
        <f>IF(B470="","",C470*('入力・概要'!$E$11*1E-9))</f>
        <v/>
      </c>
      <c r="F470" s="195">
        <f>IF(B470="","",SINH(2*D470)/(COSH(2*D470)+COS(2*E470)))</f>
        <v/>
      </c>
      <c r="G470" s="195">
        <f>IF(B470="","",SIN(2*E470)/(COSH(2*D470)+COS(2*E470)))</f>
        <v/>
      </c>
      <c r="H470" s="195">
        <f>IF(B470="","",ATANH(MIN(0.999999,'入力・概要'!$E$21/'入力・概要'!$E$15))+'入力・概要'!$B$21*SQRT(B470/1E6)+I470*'入力・概要'!$B$16/2)</f>
        <v/>
      </c>
      <c r="I470" s="195">
        <f>IF(B470="","",C470*('入力・概要'!$E$17*1E-9))</f>
        <v/>
      </c>
      <c r="J470" s="195">
        <f>IF(B470="","",SINH(2*H470)/(COSH(2*H470)+COS(2*I470)))</f>
        <v/>
      </c>
      <c r="K470" s="195">
        <f>IF(B470="","",SIN(2*I470)/(COSH(2*H470)+COS(2*I470)))</f>
        <v/>
      </c>
      <c r="L470" s="195">
        <f>IF(B470="","",'入力・概要'!$B$25)</f>
        <v/>
      </c>
      <c r="M470" s="195">
        <f>IF(B470="","",C470*'入力・概要'!$B$26*1E-9-1/(C470*'入力・概要'!$B$24*1E-6))</f>
        <v/>
      </c>
      <c r="N470" s="195">
        <f>IF(B470="","",'入力・概要'!$B$28)</f>
        <v/>
      </c>
      <c r="O470" s="195">
        <f>IF(B470="","",C470*'入力・概要'!$B$29*1E-9-1/(C470*'入力・概要'!$B$27*1E-6))</f>
        <v/>
      </c>
      <c r="P470" s="195">
        <f>IF(B470="","",((L470*N470-M470*O470)*(L470+N470)+(L470*O470+M470*N470)*(M470+O470))/((L470+N470)^2+(M470+O470)^2))</f>
        <v/>
      </c>
      <c r="Q470" s="195">
        <f>IF(B470="","",((L470*O470+M470*N470)*(L470+N470)-(L470*N470-M470*O470)*(M470+O470))/((L470+N470)^2+(M470+O470)^2))</f>
        <v/>
      </c>
      <c r="R470" s="195">
        <f>IF(B470="","",'入力・概要'!$E$15*J470)</f>
        <v/>
      </c>
      <c r="S470" s="195">
        <f>IF(B470="","",'入力・概要'!$E$15*K470)</f>
        <v/>
      </c>
      <c r="T470" s="195">
        <f>IF(B470="","",P470+R470)</f>
        <v/>
      </c>
      <c r="U470" s="195">
        <f>IF(B470="","",Q470+S470)</f>
        <v/>
      </c>
      <c r="V470" s="195">
        <f>IF(B470="","",T470+'入力・概要'!$E$9*F470)</f>
        <v/>
      </c>
      <c r="W470" s="195">
        <f>IF(B470="","",U470+'入力・概要'!$E$9*G470)</f>
        <v/>
      </c>
      <c r="X470" s="195">
        <f>IF(B470="","",'入力・概要'!$E$9+T470*F470-U470*G470)</f>
        <v/>
      </c>
      <c r="Y470" s="195">
        <f>IF(B470="","",T470*G470+U470*F470)</f>
        <v/>
      </c>
      <c r="Z470" s="195">
        <f>IF(B470="","",'入力・概要'!$E$9*(V470*X470+W470*Y470)/(X470^2+Y470^2)+'入力・概要'!$B$36)</f>
        <v/>
      </c>
      <c r="AA470" s="195">
        <f>IF(B470="","",'入力・概要'!$E$9*(W470*X470-V470*Y470)/(X470^2+Y470^2)+C470*'入力・概要'!$B$37*1E-9)</f>
        <v/>
      </c>
      <c r="AB470" s="195">
        <f>IF(B470="","",SQRT(Z470^2+AA470^2))</f>
        <v/>
      </c>
      <c r="AC470" s="195">
        <f>IF(B470="","",IF(Z470&gt;0,DEGREES(ATAN(AA470/Z470)),IF(Z470&lt;0,IF(AA470&gt;=0,DEGREES(ATAN(AA470/Z470))+180,DEGREES(ATAN(AA470/Z470))-180),IF(AA470&gt;0,90,IF(AA470&lt;0,-90,0)))))</f>
        <v/>
      </c>
      <c r="AD470" s="195">
        <f>IF(B470="","",LOG10(B470))</f>
        <v/>
      </c>
      <c r="AE470" s="195">
        <f>IF(AB470="","",LOG10(MAX(AB470,1E-12)))</f>
        <v/>
      </c>
      <c r="AF470" s="195">
        <f>IF(B470="","",SQRT(P470^2+Q470^2))</f>
        <v/>
      </c>
      <c r="AG470" s="195">
        <f>IF(B470="","",SQRT(R470^2+S470^2))</f>
        <v/>
      </c>
    </row>
    <row r="471">
      <c r="A471" t="n">
        <v>468</v>
      </c>
      <c r="B471" s="196">
        <f>IF(A471&lt;='入力・概要'!$B$40,10^(LOG10('入力・概要'!$B$38)+(A471-1)*(LOG10('入力・概要'!$B$39)-LOG10('入力・概要'!$B$38))/('入力・概要'!$B$40-1)),"")</f>
        <v/>
      </c>
      <c r="C471" s="195">
        <f>IF(B471="","",2*PI()*B471)</f>
        <v/>
      </c>
      <c r="D471" s="195">
        <f>IF(B471="","",ATANH(MIN(0.999999,'入力・概要'!$E$20/'入力・概要'!$E$9))+'入力・概要'!$B$20*SQRT(B471/1E6)+E471*'入力・概要'!$B$15/2)</f>
        <v/>
      </c>
      <c r="E471" s="195">
        <f>IF(B471="","",C471*('入力・概要'!$E$11*1E-9))</f>
        <v/>
      </c>
      <c r="F471" s="195">
        <f>IF(B471="","",SINH(2*D471)/(COSH(2*D471)+COS(2*E471)))</f>
        <v/>
      </c>
      <c r="G471" s="195">
        <f>IF(B471="","",SIN(2*E471)/(COSH(2*D471)+COS(2*E471)))</f>
        <v/>
      </c>
      <c r="H471" s="195">
        <f>IF(B471="","",ATANH(MIN(0.999999,'入力・概要'!$E$21/'入力・概要'!$E$15))+'入力・概要'!$B$21*SQRT(B471/1E6)+I471*'入力・概要'!$B$16/2)</f>
        <v/>
      </c>
      <c r="I471" s="195">
        <f>IF(B471="","",C471*('入力・概要'!$E$17*1E-9))</f>
        <v/>
      </c>
      <c r="J471" s="195">
        <f>IF(B471="","",SINH(2*H471)/(COSH(2*H471)+COS(2*I471)))</f>
        <v/>
      </c>
      <c r="K471" s="195">
        <f>IF(B471="","",SIN(2*I471)/(COSH(2*H471)+COS(2*I471)))</f>
        <v/>
      </c>
      <c r="L471" s="195">
        <f>IF(B471="","",'入力・概要'!$B$25)</f>
        <v/>
      </c>
      <c r="M471" s="195">
        <f>IF(B471="","",C471*'入力・概要'!$B$26*1E-9-1/(C471*'入力・概要'!$B$24*1E-6))</f>
        <v/>
      </c>
      <c r="N471" s="195">
        <f>IF(B471="","",'入力・概要'!$B$28)</f>
        <v/>
      </c>
      <c r="O471" s="195">
        <f>IF(B471="","",C471*'入力・概要'!$B$29*1E-9-1/(C471*'入力・概要'!$B$27*1E-6))</f>
        <v/>
      </c>
      <c r="P471" s="195">
        <f>IF(B471="","",((L471*N471-M471*O471)*(L471+N471)+(L471*O471+M471*N471)*(M471+O471))/((L471+N471)^2+(M471+O471)^2))</f>
        <v/>
      </c>
      <c r="Q471" s="195">
        <f>IF(B471="","",((L471*O471+M471*N471)*(L471+N471)-(L471*N471-M471*O471)*(M471+O471))/((L471+N471)^2+(M471+O471)^2))</f>
        <v/>
      </c>
      <c r="R471" s="195">
        <f>IF(B471="","",'入力・概要'!$E$15*J471)</f>
        <v/>
      </c>
      <c r="S471" s="195">
        <f>IF(B471="","",'入力・概要'!$E$15*K471)</f>
        <v/>
      </c>
      <c r="T471" s="195">
        <f>IF(B471="","",P471+R471)</f>
        <v/>
      </c>
      <c r="U471" s="195">
        <f>IF(B471="","",Q471+S471)</f>
        <v/>
      </c>
      <c r="V471" s="195">
        <f>IF(B471="","",T471+'入力・概要'!$E$9*F471)</f>
        <v/>
      </c>
      <c r="W471" s="195">
        <f>IF(B471="","",U471+'入力・概要'!$E$9*G471)</f>
        <v/>
      </c>
      <c r="X471" s="195">
        <f>IF(B471="","",'入力・概要'!$E$9+T471*F471-U471*G471)</f>
        <v/>
      </c>
      <c r="Y471" s="195">
        <f>IF(B471="","",T471*G471+U471*F471)</f>
        <v/>
      </c>
      <c r="Z471" s="195">
        <f>IF(B471="","",'入力・概要'!$E$9*(V471*X471+W471*Y471)/(X471^2+Y471^2)+'入力・概要'!$B$36)</f>
        <v/>
      </c>
      <c r="AA471" s="195">
        <f>IF(B471="","",'入力・概要'!$E$9*(W471*X471-V471*Y471)/(X471^2+Y471^2)+C471*'入力・概要'!$B$37*1E-9)</f>
        <v/>
      </c>
      <c r="AB471" s="195">
        <f>IF(B471="","",SQRT(Z471^2+AA471^2))</f>
        <v/>
      </c>
      <c r="AC471" s="195">
        <f>IF(B471="","",IF(Z471&gt;0,DEGREES(ATAN(AA471/Z471)),IF(Z471&lt;0,IF(AA471&gt;=0,DEGREES(ATAN(AA471/Z471))+180,DEGREES(ATAN(AA471/Z471))-180),IF(AA471&gt;0,90,IF(AA471&lt;0,-90,0)))))</f>
        <v/>
      </c>
      <c r="AD471" s="195">
        <f>IF(B471="","",LOG10(B471))</f>
        <v/>
      </c>
      <c r="AE471" s="195">
        <f>IF(AB471="","",LOG10(MAX(AB471,1E-12)))</f>
        <v/>
      </c>
      <c r="AF471" s="195">
        <f>IF(B471="","",SQRT(P471^2+Q471^2))</f>
        <v/>
      </c>
      <c r="AG471" s="195">
        <f>IF(B471="","",SQRT(R471^2+S471^2))</f>
        <v/>
      </c>
    </row>
    <row r="472">
      <c r="A472" t="n">
        <v>469</v>
      </c>
      <c r="B472" s="196">
        <f>IF(A472&lt;='入力・概要'!$B$40,10^(LOG10('入力・概要'!$B$38)+(A472-1)*(LOG10('入力・概要'!$B$39)-LOG10('入力・概要'!$B$38))/('入力・概要'!$B$40-1)),"")</f>
        <v/>
      </c>
      <c r="C472" s="195">
        <f>IF(B472="","",2*PI()*B472)</f>
        <v/>
      </c>
      <c r="D472" s="195">
        <f>IF(B472="","",ATANH(MIN(0.999999,'入力・概要'!$E$20/'入力・概要'!$E$9))+'入力・概要'!$B$20*SQRT(B472/1E6)+E472*'入力・概要'!$B$15/2)</f>
        <v/>
      </c>
      <c r="E472" s="195">
        <f>IF(B472="","",C472*('入力・概要'!$E$11*1E-9))</f>
        <v/>
      </c>
      <c r="F472" s="195">
        <f>IF(B472="","",SINH(2*D472)/(COSH(2*D472)+COS(2*E472)))</f>
        <v/>
      </c>
      <c r="G472" s="195">
        <f>IF(B472="","",SIN(2*E472)/(COSH(2*D472)+COS(2*E472)))</f>
        <v/>
      </c>
      <c r="H472" s="195">
        <f>IF(B472="","",ATANH(MIN(0.999999,'入力・概要'!$E$21/'入力・概要'!$E$15))+'入力・概要'!$B$21*SQRT(B472/1E6)+I472*'入力・概要'!$B$16/2)</f>
        <v/>
      </c>
      <c r="I472" s="195">
        <f>IF(B472="","",C472*('入力・概要'!$E$17*1E-9))</f>
        <v/>
      </c>
      <c r="J472" s="195">
        <f>IF(B472="","",SINH(2*H472)/(COSH(2*H472)+COS(2*I472)))</f>
        <v/>
      </c>
      <c r="K472" s="195">
        <f>IF(B472="","",SIN(2*I472)/(COSH(2*H472)+COS(2*I472)))</f>
        <v/>
      </c>
      <c r="L472" s="195">
        <f>IF(B472="","",'入力・概要'!$B$25)</f>
        <v/>
      </c>
      <c r="M472" s="195">
        <f>IF(B472="","",C472*'入力・概要'!$B$26*1E-9-1/(C472*'入力・概要'!$B$24*1E-6))</f>
        <v/>
      </c>
      <c r="N472" s="195">
        <f>IF(B472="","",'入力・概要'!$B$28)</f>
        <v/>
      </c>
      <c r="O472" s="195">
        <f>IF(B472="","",C472*'入力・概要'!$B$29*1E-9-1/(C472*'入力・概要'!$B$27*1E-6))</f>
        <v/>
      </c>
      <c r="P472" s="195">
        <f>IF(B472="","",((L472*N472-M472*O472)*(L472+N472)+(L472*O472+M472*N472)*(M472+O472))/((L472+N472)^2+(M472+O472)^2))</f>
        <v/>
      </c>
      <c r="Q472" s="195">
        <f>IF(B472="","",((L472*O472+M472*N472)*(L472+N472)-(L472*N472-M472*O472)*(M472+O472))/((L472+N472)^2+(M472+O472)^2))</f>
        <v/>
      </c>
      <c r="R472" s="195">
        <f>IF(B472="","",'入力・概要'!$E$15*J472)</f>
        <v/>
      </c>
      <c r="S472" s="195">
        <f>IF(B472="","",'入力・概要'!$E$15*K472)</f>
        <v/>
      </c>
      <c r="T472" s="195">
        <f>IF(B472="","",P472+R472)</f>
        <v/>
      </c>
      <c r="U472" s="195">
        <f>IF(B472="","",Q472+S472)</f>
        <v/>
      </c>
      <c r="V472" s="195">
        <f>IF(B472="","",T472+'入力・概要'!$E$9*F472)</f>
        <v/>
      </c>
      <c r="W472" s="195">
        <f>IF(B472="","",U472+'入力・概要'!$E$9*G472)</f>
        <v/>
      </c>
      <c r="X472" s="195">
        <f>IF(B472="","",'入力・概要'!$E$9+T472*F472-U472*G472)</f>
        <v/>
      </c>
      <c r="Y472" s="195">
        <f>IF(B472="","",T472*G472+U472*F472)</f>
        <v/>
      </c>
      <c r="Z472" s="195">
        <f>IF(B472="","",'入力・概要'!$E$9*(V472*X472+W472*Y472)/(X472^2+Y472^2)+'入力・概要'!$B$36)</f>
        <v/>
      </c>
      <c r="AA472" s="195">
        <f>IF(B472="","",'入力・概要'!$E$9*(W472*X472-V472*Y472)/(X472^2+Y472^2)+C472*'入力・概要'!$B$37*1E-9)</f>
        <v/>
      </c>
      <c r="AB472" s="195">
        <f>IF(B472="","",SQRT(Z472^2+AA472^2))</f>
        <v/>
      </c>
      <c r="AC472" s="195">
        <f>IF(B472="","",IF(Z472&gt;0,DEGREES(ATAN(AA472/Z472)),IF(Z472&lt;0,IF(AA472&gt;=0,DEGREES(ATAN(AA472/Z472))+180,DEGREES(ATAN(AA472/Z472))-180),IF(AA472&gt;0,90,IF(AA472&lt;0,-90,0)))))</f>
        <v/>
      </c>
      <c r="AD472" s="195">
        <f>IF(B472="","",LOG10(B472))</f>
        <v/>
      </c>
      <c r="AE472" s="195">
        <f>IF(AB472="","",LOG10(MAX(AB472,1E-12)))</f>
        <v/>
      </c>
      <c r="AF472" s="195">
        <f>IF(B472="","",SQRT(P472^2+Q472^2))</f>
        <v/>
      </c>
      <c r="AG472" s="195">
        <f>IF(B472="","",SQRT(R472^2+S472^2))</f>
        <v/>
      </c>
    </row>
    <row r="473">
      <c r="A473" t="n">
        <v>470</v>
      </c>
      <c r="B473" s="196">
        <f>IF(A473&lt;='入力・概要'!$B$40,10^(LOG10('入力・概要'!$B$38)+(A473-1)*(LOG10('入力・概要'!$B$39)-LOG10('入力・概要'!$B$38))/('入力・概要'!$B$40-1)),"")</f>
        <v/>
      </c>
      <c r="C473" s="195">
        <f>IF(B473="","",2*PI()*B473)</f>
        <v/>
      </c>
      <c r="D473" s="195">
        <f>IF(B473="","",ATANH(MIN(0.999999,'入力・概要'!$E$20/'入力・概要'!$E$9))+'入力・概要'!$B$20*SQRT(B473/1E6)+E473*'入力・概要'!$B$15/2)</f>
        <v/>
      </c>
      <c r="E473" s="195">
        <f>IF(B473="","",C473*('入力・概要'!$E$11*1E-9))</f>
        <v/>
      </c>
      <c r="F473" s="195">
        <f>IF(B473="","",SINH(2*D473)/(COSH(2*D473)+COS(2*E473)))</f>
        <v/>
      </c>
      <c r="G473" s="195">
        <f>IF(B473="","",SIN(2*E473)/(COSH(2*D473)+COS(2*E473)))</f>
        <v/>
      </c>
      <c r="H473" s="195">
        <f>IF(B473="","",ATANH(MIN(0.999999,'入力・概要'!$E$21/'入力・概要'!$E$15))+'入力・概要'!$B$21*SQRT(B473/1E6)+I473*'入力・概要'!$B$16/2)</f>
        <v/>
      </c>
      <c r="I473" s="195">
        <f>IF(B473="","",C473*('入力・概要'!$E$17*1E-9))</f>
        <v/>
      </c>
      <c r="J473" s="195">
        <f>IF(B473="","",SINH(2*H473)/(COSH(2*H473)+COS(2*I473)))</f>
        <v/>
      </c>
      <c r="K473" s="195">
        <f>IF(B473="","",SIN(2*I473)/(COSH(2*H473)+COS(2*I473)))</f>
        <v/>
      </c>
      <c r="L473" s="195">
        <f>IF(B473="","",'入力・概要'!$B$25)</f>
        <v/>
      </c>
      <c r="M473" s="195">
        <f>IF(B473="","",C473*'入力・概要'!$B$26*1E-9-1/(C473*'入力・概要'!$B$24*1E-6))</f>
        <v/>
      </c>
      <c r="N473" s="195">
        <f>IF(B473="","",'入力・概要'!$B$28)</f>
        <v/>
      </c>
      <c r="O473" s="195">
        <f>IF(B473="","",C473*'入力・概要'!$B$29*1E-9-1/(C473*'入力・概要'!$B$27*1E-6))</f>
        <v/>
      </c>
      <c r="P473" s="195">
        <f>IF(B473="","",((L473*N473-M473*O473)*(L473+N473)+(L473*O473+M473*N473)*(M473+O473))/((L473+N473)^2+(M473+O473)^2))</f>
        <v/>
      </c>
      <c r="Q473" s="195">
        <f>IF(B473="","",((L473*O473+M473*N473)*(L473+N473)-(L473*N473-M473*O473)*(M473+O473))/((L473+N473)^2+(M473+O473)^2))</f>
        <v/>
      </c>
      <c r="R473" s="195">
        <f>IF(B473="","",'入力・概要'!$E$15*J473)</f>
        <v/>
      </c>
      <c r="S473" s="195">
        <f>IF(B473="","",'入力・概要'!$E$15*K473)</f>
        <v/>
      </c>
      <c r="T473" s="195">
        <f>IF(B473="","",P473+R473)</f>
        <v/>
      </c>
      <c r="U473" s="195">
        <f>IF(B473="","",Q473+S473)</f>
        <v/>
      </c>
      <c r="V473" s="195">
        <f>IF(B473="","",T473+'入力・概要'!$E$9*F473)</f>
        <v/>
      </c>
      <c r="W473" s="195">
        <f>IF(B473="","",U473+'入力・概要'!$E$9*G473)</f>
        <v/>
      </c>
      <c r="X473" s="195">
        <f>IF(B473="","",'入力・概要'!$E$9+T473*F473-U473*G473)</f>
        <v/>
      </c>
      <c r="Y473" s="195">
        <f>IF(B473="","",T473*G473+U473*F473)</f>
        <v/>
      </c>
      <c r="Z473" s="195">
        <f>IF(B473="","",'入力・概要'!$E$9*(V473*X473+W473*Y473)/(X473^2+Y473^2)+'入力・概要'!$B$36)</f>
        <v/>
      </c>
      <c r="AA473" s="195">
        <f>IF(B473="","",'入力・概要'!$E$9*(W473*X473-V473*Y473)/(X473^2+Y473^2)+C473*'入力・概要'!$B$37*1E-9)</f>
        <v/>
      </c>
      <c r="AB473" s="195">
        <f>IF(B473="","",SQRT(Z473^2+AA473^2))</f>
        <v/>
      </c>
      <c r="AC473" s="195">
        <f>IF(B473="","",IF(Z473&gt;0,DEGREES(ATAN(AA473/Z473)),IF(Z473&lt;0,IF(AA473&gt;=0,DEGREES(ATAN(AA473/Z473))+180,DEGREES(ATAN(AA473/Z473))-180),IF(AA473&gt;0,90,IF(AA473&lt;0,-90,0)))))</f>
        <v/>
      </c>
      <c r="AD473" s="195">
        <f>IF(B473="","",LOG10(B473))</f>
        <v/>
      </c>
      <c r="AE473" s="195">
        <f>IF(AB473="","",LOG10(MAX(AB473,1E-12)))</f>
        <v/>
      </c>
      <c r="AF473" s="195">
        <f>IF(B473="","",SQRT(P473^2+Q473^2))</f>
        <v/>
      </c>
      <c r="AG473" s="195">
        <f>IF(B473="","",SQRT(R473^2+S473^2))</f>
        <v/>
      </c>
    </row>
    <row r="474">
      <c r="A474" t="n">
        <v>471</v>
      </c>
      <c r="B474" s="196">
        <f>IF(A474&lt;='入力・概要'!$B$40,10^(LOG10('入力・概要'!$B$38)+(A474-1)*(LOG10('入力・概要'!$B$39)-LOG10('入力・概要'!$B$38))/('入力・概要'!$B$40-1)),"")</f>
        <v/>
      </c>
      <c r="C474" s="195">
        <f>IF(B474="","",2*PI()*B474)</f>
        <v/>
      </c>
      <c r="D474" s="195">
        <f>IF(B474="","",ATANH(MIN(0.999999,'入力・概要'!$E$20/'入力・概要'!$E$9))+'入力・概要'!$B$20*SQRT(B474/1E6)+E474*'入力・概要'!$B$15/2)</f>
        <v/>
      </c>
      <c r="E474" s="195">
        <f>IF(B474="","",C474*('入力・概要'!$E$11*1E-9))</f>
        <v/>
      </c>
      <c r="F474" s="195">
        <f>IF(B474="","",SINH(2*D474)/(COSH(2*D474)+COS(2*E474)))</f>
        <v/>
      </c>
      <c r="G474" s="195">
        <f>IF(B474="","",SIN(2*E474)/(COSH(2*D474)+COS(2*E474)))</f>
        <v/>
      </c>
      <c r="H474" s="195">
        <f>IF(B474="","",ATANH(MIN(0.999999,'入力・概要'!$E$21/'入力・概要'!$E$15))+'入力・概要'!$B$21*SQRT(B474/1E6)+I474*'入力・概要'!$B$16/2)</f>
        <v/>
      </c>
      <c r="I474" s="195">
        <f>IF(B474="","",C474*('入力・概要'!$E$17*1E-9))</f>
        <v/>
      </c>
      <c r="J474" s="195">
        <f>IF(B474="","",SINH(2*H474)/(COSH(2*H474)+COS(2*I474)))</f>
        <v/>
      </c>
      <c r="K474" s="195">
        <f>IF(B474="","",SIN(2*I474)/(COSH(2*H474)+COS(2*I474)))</f>
        <v/>
      </c>
      <c r="L474" s="195">
        <f>IF(B474="","",'入力・概要'!$B$25)</f>
        <v/>
      </c>
      <c r="M474" s="195">
        <f>IF(B474="","",C474*'入力・概要'!$B$26*1E-9-1/(C474*'入力・概要'!$B$24*1E-6))</f>
        <v/>
      </c>
      <c r="N474" s="195">
        <f>IF(B474="","",'入力・概要'!$B$28)</f>
        <v/>
      </c>
      <c r="O474" s="195">
        <f>IF(B474="","",C474*'入力・概要'!$B$29*1E-9-1/(C474*'入力・概要'!$B$27*1E-6))</f>
        <v/>
      </c>
      <c r="P474" s="195">
        <f>IF(B474="","",((L474*N474-M474*O474)*(L474+N474)+(L474*O474+M474*N474)*(M474+O474))/((L474+N474)^2+(M474+O474)^2))</f>
        <v/>
      </c>
      <c r="Q474" s="195">
        <f>IF(B474="","",((L474*O474+M474*N474)*(L474+N474)-(L474*N474-M474*O474)*(M474+O474))/((L474+N474)^2+(M474+O474)^2))</f>
        <v/>
      </c>
      <c r="R474" s="195">
        <f>IF(B474="","",'入力・概要'!$E$15*J474)</f>
        <v/>
      </c>
      <c r="S474" s="195">
        <f>IF(B474="","",'入力・概要'!$E$15*K474)</f>
        <v/>
      </c>
      <c r="T474" s="195">
        <f>IF(B474="","",P474+R474)</f>
        <v/>
      </c>
      <c r="U474" s="195">
        <f>IF(B474="","",Q474+S474)</f>
        <v/>
      </c>
      <c r="V474" s="195">
        <f>IF(B474="","",T474+'入力・概要'!$E$9*F474)</f>
        <v/>
      </c>
      <c r="W474" s="195">
        <f>IF(B474="","",U474+'入力・概要'!$E$9*G474)</f>
        <v/>
      </c>
      <c r="X474" s="195">
        <f>IF(B474="","",'入力・概要'!$E$9+T474*F474-U474*G474)</f>
        <v/>
      </c>
      <c r="Y474" s="195">
        <f>IF(B474="","",T474*G474+U474*F474)</f>
        <v/>
      </c>
      <c r="Z474" s="195">
        <f>IF(B474="","",'入力・概要'!$E$9*(V474*X474+W474*Y474)/(X474^2+Y474^2)+'入力・概要'!$B$36)</f>
        <v/>
      </c>
      <c r="AA474" s="195">
        <f>IF(B474="","",'入力・概要'!$E$9*(W474*X474-V474*Y474)/(X474^2+Y474^2)+C474*'入力・概要'!$B$37*1E-9)</f>
        <v/>
      </c>
      <c r="AB474" s="195">
        <f>IF(B474="","",SQRT(Z474^2+AA474^2))</f>
        <v/>
      </c>
      <c r="AC474" s="195">
        <f>IF(B474="","",IF(Z474&gt;0,DEGREES(ATAN(AA474/Z474)),IF(Z474&lt;0,IF(AA474&gt;=0,DEGREES(ATAN(AA474/Z474))+180,DEGREES(ATAN(AA474/Z474))-180),IF(AA474&gt;0,90,IF(AA474&lt;0,-90,0)))))</f>
        <v/>
      </c>
      <c r="AD474" s="195">
        <f>IF(B474="","",LOG10(B474))</f>
        <v/>
      </c>
      <c r="AE474" s="195">
        <f>IF(AB474="","",LOG10(MAX(AB474,1E-12)))</f>
        <v/>
      </c>
      <c r="AF474" s="195">
        <f>IF(B474="","",SQRT(P474^2+Q474^2))</f>
        <v/>
      </c>
      <c r="AG474" s="195">
        <f>IF(B474="","",SQRT(R474^2+S474^2))</f>
        <v/>
      </c>
    </row>
    <row r="475">
      <c r="A475" t="n">
        <v>472</v>
      </c>
      <c r="B475" s="196">
        <f>IF(A475&lt;='入力・概要'!$B$40,10^(LOG10('入力・概要'!$B$38)+(A475-1)*(LOG10('入力・概要'!$B$39)-LOG10('入力・概要'!$B$38))/('入力・概要'!$B$40-1)),"")</f>
        <v/>
      </c>
      <c r="C475" s="195">
        <f>IF(B475="","",2*PI()*B475)</f>
        <v/>
      </c>
      <c r="D475" s="195">
        <f>IF(B475="","",ATANH(MIN(0.999999,'入力・概要'!$E$20/'入力・概要'!$E$9))+'入力・概要'!$B$20*SQRT(B475/1E6)+E475*'入力・概要'!$B$15/2)</f>
        <v/>
      </c>
      <c r="E475" s="195">
        <f>IF(B475="","",C475*('入力・概要'!$E$11*1E-9))</f>
        <v/>
      </c>
      <c r="F475" s="195">
        <f>IF(B475="","",SINH(2*D475)/(COSH(2*D475)+COS(2*E475)))</f>
        <v/>
      </c>
      <c r="G475" s="195">
        <f>IF(B475="","",SIN(2*E475)/(COSH(2*D475)+COS(2*E475)))</f>
        <v/>
      </c>
      <c r="H475" s="195">
        <f>IF(B475="","",ATANH(MIN(0.999999,'入力・概要'!$E$21/'入力・概要'!$E$15))+'入力・概要'!$B$21*SQRT(B475/1E6)+I475*'入力・概要'!$B$16/2)</f>
        <v/>
      </c>
      <c r="I475" s="195">
        <f>IF(B475="","",C475*('入力・概要'!$E$17*1E-9))</f>
        <v/>
      </c>
      <c r="J475" s="195">
        <f>IF(B475="","",SINH(2*H475)/(COSH(2*H475)+COS(2*I475)))</f>
        <v/>
      </c>
      <c r="K475" s="195">
        <f>IF(B475="","",SIN(2*I475)/(COSH(2*H475)+COS(2*I475)))</f>
        <v/>
      </c>
      <c r="L475" s="195">
        <f>IF(B475="","",'入力・概要'!$B$25)</f>
        <v/>
      </c>
      <c r="M475" s="195">
        <f>IF(B475="","",C475*'入力・概要'!$B$26*1E-9-1/(C475*'入力・概要'!$B$24*1E-6))</f>
        <v/>
      </c>
      <c r="N475" s="195">
        <f>IF(B475="","",'入力・概要'!$B$28)</f>
        <v/>
      </c>
      <c r="O475" s="195">
        <f>IF(B475="","",C475*'入力・概要'!$B$29*1E-9-1/(C475*'入力・概要'!$B$27*1E-6))</f>
        <v/>
      </c>
      <c r="P475" s="195">
        <f>IF(B475="","",((L475*N475-M475*O475)*(L475+N475)+(L475*O475+M475*N475)*(M475+O475))/((L475+N475)^2+(M475+O475)^2))</f>
        <v/>
      </c>
      <c r="Q475" s="195">
        <f>IF(B475="","",((L475*O475+M475*N475)*(L475+N475)-(L475*N475-M475*O475)*(M475+O475))/((L475+N475)^2+(M475+O475)^2))</f>
        <v/>
      </c>
      <c r="R475" s="195">
        <f>IF(B475="","",'入力・概要'!$E$15*J475)</f>
        <v/>
      </c>
      <c r="S475" s="195">
        <f>IF(B475="","",'入力・概要'!$E$15*K475)</f>
        <v/>
      </c>
      <c r="T475" s="195">
        <f>IF(B475="","",P475+R475)</f>
        <v/>
      </c>
      <c r="U475" s="195">
        <f>IF(B475="","",Q475+S475)</f>
        <v/>
      </c>
      <c r="V475" s="195">
        <f>IF(B475="","",T475+'入力・概要'!$E$9*F475)</f>
        <v/>
      </c>
      <c r="W475" s="195">
        <f>IF(B475="","",U475+'入力・概要'!$E$9*G475)</f>
        <v/>
      </c>
      <c r="X475" s="195">
        <f>IF(B475="","",'入力・概要'!$E$9+T475*F475-U475*G475)</f>
        <v/>
      </c>
      <c r="Y475" s="195">
        <f>IF(B475="","",T475*G475+U475*F475)</f>
        <v/>
      </c>
      <c r="Z475" s="195">
        <f>IF(B475="","",'入力・概要'!$E$9*(V475*X475+W475*Y475)/(X475^2+Y475^2)+'入力・概要'!$B$36)</f>
        <v/>
      </c>
      <c r="AA475" s="195">
        <f>IF(B475="","",'入力・概要'!$E$9*(W475*X475-V475*Y475)/(X475^2+Y475^2)+C475*'入力・概要'!$B$37*1E-9)</f>
        <v/>
      </c>
      <c r="AB475" s="195">
        <f>IF(B475="","",SQRT(Z475^2+AA475^2))</f>
        <v/>
      </c>
      <c r="AC475" s="195">
        <f>IF(B475="","",IF(Z475&gt;0,DEGREES(ATAN(AA475/Z475)),IF(Z475&lt;0,IF(AA475&gt;=0,DEGREES(ATAN(AA475/Z475))+180,DEGREES(ATAN(AA475/Z475))-180),IF(AA475&gt;0,90,IF(AA475&lt;0,-90,0)))))</f>
        <v/>
      </c>
      <c r="AD475" s="195">
        <f>IF(B475="","",LOG10(B475))</f>
        <v/>
      </c>
      <c r="AE475" s="195">
        <f>IF(AB475="","",LOG10(MAX(AB475,1E-12)))</f>
        <v/>
      </c>
      <c r="AF475" s="195">
        <f>IF(B475="","",SQRT(P475^2+Q475^2))</f>
        <v/>
      </c>
      <c r="AG475" s="195">
        <f>IF(B475="","",SQRT(R475^2+S475^2))</f>
        <v/>
      </c>
    </row>
    <row r="476">
      <c r="A476" t="n">
        <v>473</v>
      </c>
      <c r="B476" s="196">
        <f>IF(A476&lt;='入力・概要'!$B$40,10^(LOG10('入力・概要'!$B$38)+(A476-1)*(LOG10('入力・概要'!$B$39)-LOG10('入力・概要'!$B$38))/('入力・概要'!$B$40-1)),"")</f>
        <v/>
      </c>
      <c r="C476" s="195">
        <f>IF(B476="","",2*PI()*B476)</f>
        <v/>
      </c>
      <c r="D476" s="195">
        <f>IF(B476="","",ATANH(MIN(0.999999,'入力・概要'!$E$20/'入力・概要'!$E$9))+'入力・概要'!$B$20*SQRT(B476/1E6)+E476*'入力・概要'!$B$15/2)</f>
        <v/>
      </c>
      <c r="E476" s="195">
        <f>IF(B476="","",C476*('入力・概要'!$E$11*1E-9))</f>
        <v/>
      </c>
      <c r="F476" s="195">
        <f>IF(B476="","",SINH(2*D476)/(COSH(2*D476)+COS(2*E476)))</f>
        <v/>
      </c>
      <c r="G476" s="195">
        <f>IF(B476="","",SIN(2*E476)/(COSH(2*D476)+COS(2*E476)))</f>
        <v/>
      </c>
      <c r="H476" s="195">
        <f>IF(B476="","",ATANH(MIN(0.999999,'入力・概要'!$E$21/'入力・概要'!$E$15))+'入力・概要'!$B$21*SQRT(B476/1E6)+I476*'入力・概要'!$B$16/2)</f>
        <v/>
      </c>
      <c r="I476" s="195">
        <f>IF(B476="","",C476*('入力・概要'!$E$17*1E-9))</f>
        <v/>
      </c>
      <c r="J476" s="195">
        <f>IF(B476="","",SINH(2*H476)/(COSH(2*H476)+COS(2*I476)))</f>
        <v/>
      </c>
      <c r="K476" s="195">
        <f>IF(B476="","",SIN(2*I476)/(COSH(2*H476)+COS(2*I476)))</f>
        <v/>
      </c>
      <c r="L476" s="195">
        <f>IF(B476="","",'入力・概要'!$B$25)</f>
        <v/>
      </c>
      <c r="M476" s="195">
        <f>IF(B476="","",C476*'入力・概要'!$B$26*1E-9-1/(C476*'入力・概要'!$B$24*1E-6))</f>
        <v/>
      </c>
      <c r="N476" s="195">
        <f>IF(B476="","",'入力・概要'!$B$28)</f>
        <v/>
      </c>
      <c r="O476" s="195">
        <f>IF(B476="","",C476*'入力・概要'!$B$29*1E-9-1/(C476*'入力・概要'!$B$27*1E-6))</f>
        <v/>
      </c>
      <c r="P476" s="195">
        <f>IF(B476="","",((L476*N476-M476*O476)*(L476+N476)+(L476*O476+M476*N476)*(M476+O476))/((L476+N476)^2+(M476+O476)^2))</f>
        <v/>
      </c>
      <c r="Q476" s="195">
        <f>IF(B476="","",((L476*O476+M476*N476)*(L476+N476)-(L476*N476-M476*O476)*(M476+O476))/((L476+N476)^2+(M476+O476)^2))</f>
        <v/>
      </c>
      <c r="R476" s="195">
        <f>IF(B476="","",'入力・概要'!$E$15*J476)</f>
        <v/>
      </c>
      <c r="S476" s="195">
        <f>IF(B476="","",'入力・概要'!$E$15*K476)</f>
        <v/>
      </c>
      <c r="T476" s="195">
        <f>IF(B476="","",P476+R476)</f>
        <v/>
      </c>
      <c r="U476" s="195">
        <f>IF(B476="","",Q476+S476)</f>
        <v/>
      </c>
      <c r="V476" s="195">
        <f>IF(B476="","",T476+'入力・概要'!$E$9*F476)</f>
        <v/>
      </c>
      <c r="W476" s="195">
        <f>IF(B476="","",U476+'入力・概要'!$E$9*G476)</f>
        <v/>
      </c>
      <c r="X476" s="195">
        <f>IF(B476="","",'入力・概要'!$E$9+T476*F476-U476*G476)</f>
        <v/>
      </c>
      <c r="Y476" s="195">
        <f>IF(B476="","",T476*G476+U476*F476)</f>
        <v/>
      </c>
      <c r="Z476" s="195">
        <f>IF(B476="","",'入力・概要'!$E$9*(V476*X476+W476*Y476)/(X476^2+Y476^2)+'入力・概要'!$B$36)</f>
        <v/>
      </c>
      <c r="AA476" s="195">
        <f>IF(B476="","",'入力・概要'!$E$9*(W476*X476-V476*Y476)/(X476^2+Y476^2)+C476*'入力・概要'!$B$37*1E-9)</f>
        <v/>
      </c>
      <c r="AB476" s="195">
        <f>IF(B476="","",SQRT(Z476^2+AA476^2))</f>
        <v/>
      </c>
      <c r="AC476" s="195">
        <f>IF(B476="","",IF(Z476&gt;0,DEGREES(ATAN(AA476/Z476)),IF(Z476&lt;0,IF(AA476&gt;=0,DEGREES(ATAN(AA476/Z476))+180,DEGREES(ATAN(AA476/Z476))-180),IF(AA476&gt;0,90,IF(AA476&lt;0,-90,0)))))</f>
        <v/>
      </c>
      <c r="AD476" s="195">
        <f>IF(B476="","",LOG10(B476))</f>
        <v/>
      </c>
      <c r="AE476" s="195">
        <f>IF(AB476="","",LOG10(MAX(AB476,1E-12)))</f>
        <v/>
      </c>
      <c r="AF476" s="195">
        <f>IF(B476="","",SQRT(P476^2+Q476^2))</f>
        <v/>
      </c>
      <c r="AG476" s="195">
        <f>IF(B476="","",SQRT(R476^2+S476^2))</f>
        <v/>
      </c>
    </row>
    <row r="477">
      <c r="A477" t="n">
        <v>474</v>
      </c>
      <c r="B477" s="196">
        <f>IF(A477&lt;='入力・概要'!$B$40,10^(LOG10('入力・概要'!$B$38)+(A477-1)*(LOG10('入力・概要'!$B$39)-LOG10('入力・概要'!$B$38))/('入力・概要'!$B$40-1)),"")</f>
        <v/>
      </c>
      <c r="C477" s="195">
        <f>IF(B477="","",2*PI()*B477)</f>
        <v/>
      </c>
      <c r="D477" s="195">
        <f>IF(B477="","",ATANH(MIN(0.999999,'入力・概要'!$E$20/'入力・概要'!$E$9))+'入力・概要'!$B$20*SQRT(B477/1E6)+E477*'入力・概要'!$B$15/2)</f>
        <v/>
      </c>
      <c r="E477" s="195">
        <f>IF(B477="","",C477*('入力・概要'!$E$11*1E-9))</f>
        <v/>
      </c>
      <c r="F477" s="195">
        <f>IF(B477="","",SINH(2*D477)/(COSH(2*D477)+COS(2*E477)))</f>
        <v/>
      </c>
      <c r="G477" s="195">
        <f>IF(B477="","",SIN(2*E477)/(COSH(2*D477)+COS(2*E477)))</f>
        <v/>
      </c>
      <c r="H477" s="195">
        <f>IF(B477="","",ATANH(MIN(0.999999,'入力・概要'!$E$21/'入力・概要'!$E$15))+'入力・概要'!$B$21*SQRT(B477/1E6)+I477*'入力・概要'!$B$16/2)</f>
        <v/>
      </c>
      <c r="I477" s="195">
        <f>IF(B477="","",C477*('入力・概要'!$E$17*1E-9))</f>
        <v/>
      </c>
      <c r="J477" s="195">
        <f>IF(B477="","",SINH(2*H477)/(COSH(2*H477)+COS(2*I477)))</f>
        <v/>
      </c>
      <c r="K477" s="195">
        <f>IF(B477="","",SIN(2*I477)/(COSH(2*H477)+COS(2*I477)))</f>
        <v/>
      </c>
      <c r="L477" s="195">
        <f>IF(B477="","",'入力・概要'!$B$25)</f>
        <v/>
      </c>
      <c r="M477" s="195">
        <f>IF(B477="","",C477*'入力・概要'!$B$26*1E-9-1/(C477*'入力・概要'!$B$24*1E-6))</f>
        <v/>
      </c>
      <c r="N477" s="195">
        <f>IF(B477="","",'入力・概要'!$B$28)</f>
        <v/>
      </c>
      <c r="O477" s="195">
        <f>IF(B477="","",C477*'入力・概要'!$B$29*1E-9-1/(C477*'入力・概要'!$B$27*1E-6))</f>
        <v/>
      </c>
      <c r="P477" s="195">
        <f>IF(B477="","",((L477*N477-M477*O477)*(L477+N477)+(L477*O477+M477*N477)*(M477+O477))/((L477+N477)^2+(M477+O477)^2))</f>
        <v/>
      </c>
      <c r="Q477" s="195">
        <f>IF(B477="","",((L477*O477+M477*N477)*(L477+N477)-(L477*N477-M477*O477)*(M477+O477))/((L477+N477)^2+(M477+O477)^2))</f>
        <v/>
      </c>
      <c r="R477" s="195">
        <f>IF(B477="","",'入力・概要'!$E$15*J477)</f>
        <v/>
      </c>
      <c r="S477" s="195">
        <f>IF(B477="","",'入力・概要'!$E$15*K477)</f>
        <v/>
      </c>
      <c r="T477" s="195">
        <f>IF(B477="","",P477+R477)</f>
        <v/>
      </c>
      <c r="U477" s="195">
        <f>IF(B477="","",Q477+S477)</f>
        <v/>
      </c>
      <c r="V477" s="195">
        <f>IF(B477="","",T477+'入力・概要'!$E$9*F477)</f>
        <v/>
      </c>
      <c r="W477" s="195">
        <f>IF(B477="","",U477+'入力・概要'!$E$9*G477)</f>
        <v/>
      </c>
      <c r="X477" s="195">
        <f>IF(B477="","",'入力・概要'!$E$9+T477*F477-U477*G477)</f>
        <v/>
      </c>
      <c r="Y477" s="195">
        <f>IF(B477="","",T477*G477+U477*F477)</f>
        <v/>
      </c>
      <c r="Z477" s="195">
        <f>IF(B477="","",'入力・概要'!$E$9*(V477*X477+W477*Y477)/(X477^2+Y477^2)+'入力・概要'!$B$36)</f>
        <v/>
      </c>
      <c r="AA477" s="195">
        <f>IF(B477="","",'入力・概要'!$E$9*(W477*X477-V477*Y477)/(X477^2+Y477^2)+C477*'入力・概要'!$B$37*1E-9)</f>
        <v/>
      </c>
      <c r="AB477" s="195">
        <f>IF(B477="","",SQRT(Z477^2+AA477^2))</f>
        <v/>
      </c>
      <c r="AC477" s="195">
        <f>IF(B477="","",IF(Z477&gt;0,DEGREES(ATAN(AA477/Z477)),IF(Z477&lt;0,IF(AA477&gt;=0,DEGREES(ATAN(AA477/Z477))+180,DEGREES(ATAN(AA477/Z477))-180),IF(AA477&gt;0,90,IF(AA477&lt;0,-90,0)))))</f>
        <v/>
      </c>
      <c r="AD477" s="195">
        <f>IF(B477="","",LOG10(B477))</f>
        <v/>
      </c>
      <c r="AE477" s="195">
        <f>IF(AB477="","",LOG10(MAX(AB477,1E-12)))</f>
        <v/>
      </c>
      <c r="AF477" s="195">
        <f>IF(B477="","",SQRT(P477^2+Q477^2))</f>
        <v/>
      </c>
      <c r="AG477" s="195">
        <f>IF(B477="","",SQRT(R477^2+S477^2))</f>
        <v/>
      </c>
    </row>
    <row r="478">
      <c r="A478" t="n">
        <v>475</v>
      </c>
      <c r="B478" s="196">
        <f>IF(A478&lt;='入力・概要'!$B$40,10^(LOG10('入力・概要'!$B$38)+(A478-1)*(LOG10('入力・概要'!$B$39)-LOG10('入力・概要'!$B$38))/('入力・概要'!$B$40-1)),"")</f>
        <v/>
      </c>
      <c r="C478" s="195">
        <f>IF(B478="","",2*PI()*B478)</f>
        <v/>
      </c>
      <c r="D478" s="195">
        <f>IF(B478="","",ATANH(MIN(0.999999,'入力・概要'!$E$20/'入力・概要'!$E$9))+'入力・概要'!$B$20*SQRT(B478/1E6)+E478*'入力・概要'!$B$15/2)</f>
        <v/>
      </c>
      <c r="E478" s="195">
        <f>IF(B478="","",C478*('入力・概要'!$E$11*1E-9))</f>
        <v/>
      </c>
      <c r="F478" s="195">
        <f>IF(B478="","",SINH(2*D478)/(COSH(2*D478)+COS(2*E478)))</f>
        <v/>
      </c>
      <c r="G478" s="195">
        <f>IF(B478="","",SIN(2*E478)/(COSH(2*D478)+COS(2*E478)))</f>
        <v/>
      </c>
      <c r="H478" s="195">
        <f>IF(B478="","",ATANH(MIN(0.999999,'入力・概要'!$E$21/'入力・概要'!$E$15))+'入力・概要'!$B$21*SQRT(B478/1E6)+I478*'入力・概要'!$B$16/2)</f>
        <v/>
      </c>
      <c r="I478" s="195">
        <f>IF(B478="","",C478*('入力・概要'!$E$17*1E-9))</f>
        <v/>
      </c>
      <c r="J478" s="195">
        <f>IF(B478="","",SINH(2*H478)/(COSH(2*H478)+COS(2*I478)))</f>
        <v/>
      </c>
      <c r="K478" s="195">
        <f>IF(B478="","",SIN(2*I478)/(COSH(2*H478)+COS(2*I478)))</f>
        <v/>
      </c>
      <c r="L478" s="195">
        <f>IF(B478="","",'入力・概要'!$B$25)</f>
        <v/>
      </c>
      <c r="M478" s="195">
        <f>IF(B478="","",C478*'入力・概要'!$B$26*1E-9-1/(C478*'入力・概要'!$B$24*1E-6))</f>
        <v/>
      </c>
      <c r="N478" s="195">
        <f>IF(B478="","",'入力・概要'!$B$28)</f>
        <v/>
      </c>
      <c r="O478" s="195">
        <f>IF(B478="","",C478*'入力・概要'!$B$29*1E-9-1/(C478*'入力・概要'!$B$27*1E-6))</f>
        <v/>
      </c>
      <c r="P478" s="195">
        <f>IF(B478="","",((L478*N478-M478*O478)*(L478+N478)+(L478*O478+M478*N478)*(M478+O478))/((L478+N478)^2+(M478+O478)^2))</f>
        <v/>
      </c>
      <c r="Q478" s="195">
        <f>IF(B478="","",((L478*O478+M478*N478)*(L478+N478)-(L478*N478-M478*O478)*(M478+O478))/((L478+N478)^2+(M478+O478)^2))</f>
        <v/>
      </c>
      <c r="R478" s="195">
        <f>IF(B478="","",'入力・概要'!$E$15*J478)</f>
        <v/>
      </c>
      <c r="S478" s="195">
        <f>IF(B478="","",'入力・概要'!$E$15*K478)</f>
        <v/>
      </c>
      <c r="T478" s="195">
        <f>IF(B478="","",P478+R478)</f>
        <v/>
      </c>
      <c r="U478" s="195">
        <f>IF(B478="","",Q478+S478)</f>
        <v/>
      </c>
      <c r="V478" s="195">
        <f>IF(B478="","",T478+'入力・概要'!$E$9*F478)</f>
        <v/>
      </c>
      <c r="W478" s="195">
        <f>IF(B478="","",U478+'入力・概要'!$E$9*G478)</f>
        <v/>
      </c>
      <c r="X478" s="195">
        <f>IF(B478="","",'入力・概要'!$E$9+T478*F478-U478*G478)</f>
        <v/>
      </c>
      <c r="Y478" s="195">
        <f>IF(B478="","",T478*G478+U478*F478)</f>
        <v/>
      </c>
      <c r="Z478" s="195">
        <f>IF(B478="","",'入力・概要'!$E$9*(V478*X478+W478*Y478)/(X478^2+Y478^2)+'入力・概要'!$B$36)</f>
        <v/>
      </c>
      <c r="AA478" s="195">
        <f>IF(B478="","",'入力・概要'!$E$9*(W478*X478-V478*Y478)/(X478^2+Y478^2)+C478*'入力・概要'!$B$37*1E-9)</f>
        <v/>
      </c>
      <c r="AB478" s="195">
        <f>IF(B478="","",SQRT(Z478^2+AA478^2))</f>
        <v/>
      </c>
      <c r="AC478" s="195">
        <f>IF(B478="","",IF(Z478&gt;0,DEGREES(ATAN(AA478/Z478)),IF(Z478&lt;0,IF(AA478&gt;=0,DEGREES(ATAN(AA478/Z478))+180,DEGREES(ATAN(AA478/Z478))-180),IF(AA478&gt;0,90,IF(AA478&lt;0,-90,0)))))</f>
        <v/>
      </c>
      <c r="AD478" s="195">
        <f>IF(B478="","",LOG10(B478))</f>
        <v/>
      </c>
      <c r="AE478" s="195">
        <f>IF(AB478="","",LOG10(MAX(AB478,1E-12)))</f>
        <v/>
      </c>
      <c r="AF478" s="195">
        <f>IF(B478="","",SQRT(P478^2+Q478^2))</f>
        <v/>
      </c>
      <c r="AG478" s="195">
        <f>IF(B478="","",SQRT(R478^2+S478^2))</f>
        <v/>
      </c>
    </row>
    <row r="479">
      <c r="A479" t="n">
        <v>476</v>
      </c>
      <c r="B479" s="196">
        <f>IF(A479&lt;='入力・概要'!$B$40,10^(LOG10('入力・概要'!$B$38)+(A479-1)*(LOG10('入力・概要'!$B$39)-LOG10('入力・概要'!$B$38))/('入力・概要'!$B$40-1)),"")</f>
        <v/>
      </c>
      <c r="C479" s="195">
        <f>IF(B479="","",2*PI()*B479)</f>
        <v/>
      </c>
      <c r="D479" s="195">
        <f>IF(B479="","",ATANH(MIN(0.999999,'入力・概要'!$E$20/'入力・概要'!$E$9))+'入力・概要'!$B$20*SQRT(B479/1E6)+E479*'入力・概要'!$B$15/2)</f>
        <v/>
      </c>
      <c r="E479" s="195">
        <f>IF(B479="","",C479*('入力・概要'!$E$11*1E-9))</f>
        <v/>
      </c>
      <c r="F479" s="195">
        <f>IF(B479="","",SINH(2*D479)/(COSH(2*D479)+COS(2*E479)))</f>
        <v/>
      </c>
      <c r="G479" s="195">
        <f>IF(B479="","",SIN(2*E479)/(COSH(2*D479)+COS(2*E479)))</f>
        <v/>
      </c>
      <c r="H479" s="195">
        <f>IF(B479="","",ATANH(MIN(0.999999,'入力・概要'!$E$21/'入力・概要'!$E$15))+'入力・概要'!$B$21*SQRT(B479/1E6)+I479*'入力・概要'!$B$16/2)</f>
        <v/>
      </c>
      <c r="I479" s="195">
        <f>IF(B479="","",C479*('入力・概要'!$E$17*1E-9))</f>
        <v/>
      </c>
      <c r="J479" s="195">
        <f>IF(B479="","",SINH(2*H479)/(COSH(2*H479)+COS(2*I479)))</f>
        <v/>
      </c>
      <c r="K479" s="195">
        <f>IF(B479="","",SIN(2*I479)/(COSH(2*H479)+COS(2*I479)))</f>
        <v/>
      </c>
      <c r="L479" s="195">
        <f>IF(B479="","",'入力・概要'!$B$25)</f>
        <v/>
      </c>
      <c r="M479" s="195">
        <f>IF(B479="","",C479*'入力・概要'!$B$26*1E-9-1/(C479*'入力・概要'!$B$24*1E-6))</f>
        <v/>
      </c>
      <c r="N479" s="195">
        <f>IF(B479="","",'入力・概要'!$B$28)</f>
        <v/>
      </c>
      <c r="O479" s="195">
        <f>IF(B479="","",C479*'入力・概要'!$B$29*1E-9-1/(C479*'入力・概要'!$B$27*1E-6))</f>
        <v/>
      </c>
      <c r="P479" s="195">
        <f>IF(B479="","",((L479*N479-M479*O479)*(L479+N479)+(L479*O479+M479*N479)*(M479+O479))/((L479+N479)^2+(M479+O479)^2))</f>
        <v/>
      </c>
      <c r="Q479" s="195">
        <f>IF(B479="","",((L479*O479+M479*N479)*(L479+N479)-(L479*N479-M479*O479)*(M479+O479))/((L479+N479)^2+(M479+O479)^2))</f>
        <v/>
      </c>
      <c r="R479" s="195">
        <f>IF(B479="","",'入力・概要'!$E$15*J479)</f>
        <v/>
      </c>
      <c r="S479" s="195">
        <f>IF(B479="","",'入力・概要'!$E$15*K479)</f>
        <v/>
      </c>
      <c r="T479" s="195">
        <f>IF(B479="","",P479+R479)</f>
        <v/>
      </c>
      <c r="U479" s="195">
        <f>IF(B479="","",Q479+S479)</f>
        <v/>
      </c>
      <c r="V479" s="195">
        <f>IF(B479="","",T479+'入力・概要'!$E$9*F479)</f>
        <v/>
      </c>
      <c r="W479" s="195">
        <f>IF(B479="","",U479+'入力・概要'!$E$9*G479)</f>
        <v/>
      </c>
      <c r="X479" s="195">
        <f>IF(B479="","",'入力・概要'!$E$9+T479*F479-U479*G479)</f>
        <v/>
      </c>
      <c r="Y479" s="195">
        <f>IF(B479="","",T479*G479+U479*F479)</f>
        <v/>
      </c>
      <c r="Z479" s="195">
        <f>IF(B479="","",'入力・概要'!$E$9*(V479*X479+W479*Y479)/(X479^2+Y479^2)+'入力・概要'!$B$36)</f>
        <v/>
      </c>
      <c r="AA479" s="195">
        <f>IF(B479="","",'入力・概要'!$E$9*(W479*X479-V479*Y479)/(X479^2+Y479^2)+C479*'入力・概要'!$B$37*1E-9)</f>
        <v/>
      </c>
      <c r="AB479" s="195">
        <f>IF(B479="","",SQRT(Z479^2+AA479^2))</f>
        <v/>
      </c>
      <c r="AC479" s="195">
        <f>IF(B479="","",IF(Z479&gt;0,DEGREES(ATAN(AA479/Z479)),IF(Z479&lt;0,IF(AA479&gt;=0,DEGREES(ATAN(AA479/Z479))+180,DEGREES(ATAN(AA479/Z479))-180),IF(AA479&gt;0,90,IF(AA479&lt;0,-90,0)))))</f>
        <v/>
      </c>
      <c r="AD479" s="195">
        <f>IF(B479="","",LOG10(B479))</f>
        <v/>
      </c>
      <c r="AE479" s="195">
        <f>IF(AB479="","",LOG10(MAX(AB479,1E-12)))</f>
        <v/>
      </c>
      <c r="AF479" s="195">
        <f>IF(B479="","",SQRT(P479^2+Q479^2))</f>
        <v/>
      </c>
      <c r="AG479" s="195">
        <f>IF(B479="","",SQRT(R479^2+S479^2))</f>
        <v/>
      </c>
    </row>
    <row r="480">
      <c r="A480" t="n">
        <v>477</v>
      </c>
      <c r="B480" s="196">
        <f>IF(A480&lt;='入力・概要'!$B$40,10^(LOG10('入力・概要'!$B$38)+(A480-1)*(LOG10('入力・概要'!$B$39)-LOG10('入力・概要'!$B$38))/('入力・概要'!$B$40-1)),"")</f>
        <v/>
      </c>
      <c r="C480" s="195">
        <f>IF(B480="","",2*PI()*B480)</f>
        <v/>
      </c>
      <c r="D480" s="195">
        <f>IF(B480="","",ATANH(MIN(0.999999,'入力・概要'!$E$20/'入力・概要'!$E$9))+'入力・概要'!$B$20*SQRT(B480/1E6)+E480*'入力・概要'!$B$15/2)</f>
        <v/>
      </c>
      <c r="E480" s="195">
        <f>IF(B480="","",C480*('入力・概要'!$E$11*1E-9))</f>
        <v/>
      </c>
      <c r="F480" s="195">
        <f>IF(B480="","",SINH(2*D480)/(COSH(2*D480)+COS(2*E480)))</f>
        <v/>
      </c>
      <c r="G480" s="195">
        <f>IF(B480="","",SIN(2*E480)/(COSH(2*D480)+COS(2*E480)))</f>
        <v/>
      </c>
      <c r="H480" s="195">
        <f>IF(B480="","",ATANH(MIN(0.999999,'入力・概要'!$E$21/'入力・概要'!$E$15))+'入力・概要'!$B$21*SQRT(B480/1E6)+I480*'入力・概要'!$B$16/2)</f>
        <v/>
      </c>
      <c r="I480" s="195">
        <f>IF(B480="","",C480*('入力・概要'!$E$17*1E-9))</f>
        <v/>
      </c>
      <c r="J480" s="195">
        <f>IF(B480="","",SINH(2*H480)/(COSH(2*H480)+COS(2*I480)))</f>
        <v/>
      </c>
      <c r="K480" s="195">
        <f>IF(B480="","",SIN(2*I480)/(COSH(2*H480)+COS(2*I480)))</f>
        <v/>
      </c>
      <c r="L480" s="195">
        <f>IF(B480="","",'入力・概要'!$B$25)</f>
        <v/>
      </c>
      <c r="M480" s="195">
        <f>IF(B480="","",C480*'入力・概要'!$B$26*1E-9-1/(C480*'入力・概要'!$B$24*1E-6))</f>
        <v/>
      </c>
      <c r="N480" s="195">
        <f>IF(B480="","",'入力・概要'!$B$28)</f>
        <v/>
      </c>
      <c r="O480" s="195">
        <f>IF(B480="","",C480*'入力・概要'!$B$29*1E-9-1/(C480*'入力・概要'!$B$27*1E-6))</f>
        <v/>
      </c>
      <c r="P480" s="195">
        <f>IF(B480="","",((L480*N480-M480*O480)*(L480+N480)+(L480*O480+M480*N480)*(M480+O480))/((L480+N480)^2+(M480+O480)^2))</f>
        <v/>
      </c>
      <c r="Q480" s="195">
        <f>IF(B480="","",((L480*O480+M480*N480)*(L480+N480)-(L480*N480-M480*O480)*(M480+O480))/((L480+N480)^2+(M480+O480)^2))</f>
        <v/>
      </c>
      <c r="R480" s="195">
        <f>IF(B480="","",'入力・概要'!$E$15*J480)</f>
        <v/>
      </c>
      <c r="S480" s="195">
        <f>IF(B480="","",'入力・概要'!$E$15*K480)</f>
        <v/>
      </c>
      <c r="T480" s="195">
        <f>IF(B480="","",P480+R480)</f>
        <v/>
      </c>
      <c r="U480" s="195">
        <f>IF(B480="","",Q480+S480)</f>
        <v/>
      </c>
      <c r="V480" s="195">
        <f>IF(B480="","",T480+'入力・概要'!$E$9*F480)</f>
        <v/>
      </c>
      <c r="W480" s="195">
        <f>IF(B480="","",U480+'入力・概要'!$E$9*G480)</f>
        <v/>
      </c>
      <c r="X480" s="195">
        <f>IF(B480="","",'入力・概要'!$E$9+T480*F480-U480*G480)</f>
        <v/>
      </c>
      <c r="Y480" s="195">
        <f>IF(B480="","",T480*G480+U480*F480)</f>
        <v/>
      </c>
      <c r="Z480" s="195">
        <f>IF(B480="","",'入力・概要'!$E$9*(V480*X480+W480*Y480)/(X480^2+Y480^2)+'入力・概要'!$B$36)</f>
        <v/>
      </c>
      <c r="AA480" s="195">
        <f>IF(B480="","",'入力・概要'!$E$9*(W480*X480-V480*Y480)/(X480^2+Y480^2)+C480*'入力・概要'!$B$37*1E-9)</f>
        <v/>
      </c>
      <c r="AB480" s="195">
        <f>IF(B480="","",SQRT(Z480^2+AA480^2))</f>
        <v/>
      </c>
      <c r="AC480" s="195">
        <f>IF(B480="","",IF(Z480&gt;0,DEGREES(ATAN(AA480/Z480)),IF(Z480&lt;0,IF(AA480&gt;=0,DEGREES(ATAN(AA480/Z480))+180,DEGREES(ATAN(AA480/Z480))-180),IF(AA480&gt;0,90,IF(AA480&lt;0,-90,0)))))</f>
        <v/>
      </c>
      <c r="AD480" s="195">
        <f>IF(B480="","",LOG10(B480))</f>
        <v/>
      </c>
      <c r="AE480" s="195">
        <f>IF(AB480="","",LOG10(MAX(AB480,1E-12)))</f>
        <v/>
      </c>
      <c r="AF480" s="195">
        <f>IF(B480="","",SQRT(P480^2+Q480^2))</f>
        <v/>
      </c>
      <c r="AG480" s="195">
        <f>IF(B480="","",SQRT(R480^2+S480^2))</f>
        <v/>
      </c>
    </row>
    <row r="481">
      <c r="A481" t="n">
        <v>478</v>
      </c>
      <c r="B481" s="196">
        <f>IF(A481&lt;='入力・概要'!$B$40,10^(LOG10('入力・概要'!$B$38)+(A481-1)*(LOG10('入力・概要'!$B$39)-LOG10('入力・概要'!$B$38))/('入力・概要'!$B$40-1)),"")</f>
        <v/>
      </c>
      <c r="C481" s="195">
        <f>IF(B481="","",2*PI()*B481)</f>
        <v/>
      </c>
      <c r="D481" s="195">
        <f>IF(B481="","",ATANH(MIN(0.999999,'入力・概要'!$E$20/'入力・概要'!$E$9))+'入力・概要'!$B$20*SQRT(B481/1E6)+E481*'入力・概要'!$B$15/2)</f>
        <v/>
      </c>
      <c r="E481" s="195">
        <f>IF(B481="","",C481*('入力・概要'!$E$11*1E-9))</f>
        <v/>
      </c>
      <c r="F481" s="195">
        <f>IF(B481="","",SINH(2*D481)/(COSH(2*D481)+COS(2*E481)))</f>
        <v/>
      </c>
      <c r="G481" s="195">
        <f>IF(B481="","",SIN(2*E481)/(COSH(2*D481)+COS(2*E481)))</f>
        <v/>
      </c>
      <c r="H481" s="195">
        <f>IF(B481="","",ATANH(MIN(0.999999,'入力・概要'!$E$21/'入力・概要'!$E$15))+'入力・概要'!$B$21*SQRT(B481/1E6)+I481*'入力・概要'!$B$16/2)</f>
        <v/>
      </c>
      <c r="I481" s="195">
        <f>IF(B481="","",C481*('入力・概要'!$E$17*1E-9))</f>
        <v/>
      </c>
      <c r="J481" s="195">
        <f>IF(B481="","",SINH(2*H481)/(COSH(2*H481)+COS(2*I481)))</f>
        <v/>
      </c>
      <c r="K481" s="195">
        <f>IF(B481="","",SIN(2*I481)/(COSH(2*H481)+COS(2*I481)))</f>
        <v/>
      </c>
      <c r="L481" s="195">
        <f>IF(B481="","",'入力・概要'!$B$25)</f>
        <v/>
      </c>
      <c r="M481" s="195">
        <f>IF(B481="","",C481*'入力・概要'!$B$26*1E-9-1/(C481*'入力・概要'!$B$24*1E-6))</f>
        <v/>
      </c>
      <c r="N481" s="195">
        <f>IF(B481="","",'入力・概要'!$B$28)</f>
        <v/>
      </c>
      <c r="O481" s="195">
        <f>IF(B481="","",C481*'入力・概要'!$B$29*1E-9-1/(C481*'入力・概要'!$B$27*1E-6))</f>
        <v/>
      </c>
      <c r="P481" s="195">
        <f>IF(B481="","",((L481*N481-M481*O481)*(L481+N481)+(L481*O481+M481*N481)*(M481+O481))/((L481+N481)^2+(M481+O481)^2))</f>
        <v/>
      </c>
      <c r="Q481" s="195">
        <f>IF(B481="","",((L481*O481+M481*N481)*(L481+N481)-(L481*N481-M481*O481)*(M481+O481))/((L481+N481)^2+(M481+O481)^2))</f>
        <v/>
      </c>
      <c r="R481" s="195">
        <f>IF(B481="","",'入力・概要'!$E$15*J481)</f>
        <v/>
      </c>
      <c r="S481" s="195">
        <f>IF(B481="","",'入力・概要'!$E$15*K481)</f>
        <v/>
      </c>
      <c r="T481" s="195">
        <f>IF(B481="","",P481+R481)</f>
        <v/>
      </c>
      <c r="U481" s="195">
        <f>IF(B481="","",Q481+S481)</f>
        <v/>
      </c>
      <c r="V481" s="195">
        <f>IF(B481="","",T481+'入力・概要'!$E$9*F481)</f>
        <v/>
      </c>
      <c r="W481" s="195">
        <f>IF(B481="","",U481+'入力・概要'!$E$9*G481)</f>
        <v/>
      </c>
      <c r="X481" s="195">
        <f>IF(B481="","",'入力・概要'!$E$9+T481*F481-U481*G481)</f>
        <v/>
      </c>
      <c r="Y481" s="195">
        <f>IF(B481="","",T481*G481+U481*F481)</f>
        <v/>
      </c>
      <c r="Z481" s="195">
        <f>IF(B481="","",'入力・概要'!$E$9*(V481*X481+W481*Y481)/(X481^2+Y481^2)+'入力・概要'!$B$36)</f>
        <v/>
      </c>
      <c r="AA481" s="195">
        <f>IF(B481="","",'入力・概要'!$E$9*(W481*X481-V481*Y481)/(X481^2+Y481^2)+C481*'入力・概要'!$B$37*1E-9)</f>
        <v/>
      </c>
      <c r="AB481" s="195">
        <f>IF(B481="","",SQRT(Z481^2+AA481^2))</f>
        <v/>
      </c>
      <c r="AC481" s="195">
        <f>IF(B481="","",IF(Z481&gt;0,DEGREES(ATAN(AA481/Z481)),IF(Z481&lt;0,IF(AA481&gt;=0,DEGREES(ATAN(AA481/Z481))+180,DEGREES(ATAN(AA481/Z481))-180),IF(AA481&gt;0,90,IF(AA481&lt;0,-90,0)))))</f>
        <v/>
      </c>
      <c r="AD481" s="195">
        <f>IF(B481="","",LOG10(B481))</f>
        <v/>
      </c>
      <c r="AE481" s="195">
        <f>IF(AB481="","",LOG10(MAX(AB481,1E-12)))</f>
        <v/>
      </c>
      <c r="AF481" s="195">
        <f>IF(B481="","",SQRT(P481^2+Q481^2))</f>
        <v/>
      </c>
      <c r="AG481" s="195">
        <f>IF(B481="","",SQRT(R481^2+S481^2))</f>
        <v/>
      </c>
    </row>
    <row r="482">
      <c r="A482" t="n">
        <v>479</v>
      </c>
      <c r="B482" s="196">
        <f>IF(A482&lt;='入力・概要'!$B$40,10^(LOG10('入力・概要'!$B$38)+(A482-1)*(LOG10('入力・概要'!$B$39)-LOG10('入力・概要'!$B$38))/('入力・概要'!$B$40-1)),"")</f>
        <v/>
      </c>
      <c r="C482" s="195">
        <f>IF(B482="","",2*PI()*B482)</f>
        <v/>
      </c>
      <c r="D482" s="195">
        <f>IF(B482="","",ATANH(MIN(0.999999,'入力・概要'!$E$20/'入力・概要'!$E$9))+'入力・概要'!$B$20*SQRT(B482/1E6)+E482*'入力・概要'!$B$15/2)</f>
        <v/>
      </c>
      <c r="E482" s="195">
        <f>IF(B482="","",C482*('入力・概要'!$E$11*1E-9))</f>
        <v/>
      </c>
      <c r="F482" s="195">
        <f>IF(B482="","",SINH(2*D482)/(COSH(2*D482)+COS(2*E482)))</f>
        <v/>
      </c>
      <c r="G482" s="195">
        <f>IF(B482="","",SIN(2*E482)/(COSH(2*D482)+COS(2*E482)))</f>
        <v/>
      </c>
      <c r="H482" s="195">
        <f>IF(B482="","",ATANH(MIN(0.999999,'入力・概要'!$E$21/'入力・概要'!$E$15))+'入力・概要'!$B$21*SQRT(B482/1E6)+I482*'入力・概要'!$B$16/2)</f>
        <v/>
      </c>
      <c r="I482" s="195">
        <f>IF(B482="","",C482*('入力・概要'!$E$17*1E-9))</f>
        <v/>
      </c>
      <c r="J482" s="195">
        <f>IF(B482="","",SINH(2*H482)/(COSH(2*H482)+COS(2*I482)))</f>
        <v/>
      </c>
      <c r="K482" s="195">
        <f>IF(B482="","",SIN(2*I482)/(COSH(2*H482)+COS(2*I482)))</f>
        <v/>
      </c>
      <c r="L482" s="195">
        <f>IF(B482="","",'入力・概要'!$B$25)</f>
        <v/>
      </c>
      <c r="M482" s="195">
        <f>IF(B482="","",C482*'入力・概要'!$B$26*1E-9-1/(C482*'入力・概要'!$B$24*1E-6))</f>
        <v/>
      </c>
      <c r="N482" s="195">
        <f>IF(B482="","",'入力・概要'!$B$28)</f>
        <v/>
      </c>
      <c r="O482" s="195">
        <f>IF(B482="","",C482*'入力・概要'!$B$29*1E-9-1/(C482*'入力・概要'!$B$27*1E-6))</f>
        <v/>
      </c>
      <c r="P482" s="195">
        <f>IF(B482="","",((L482*N482-M482*O482)*(L482+N482)+(L482*O482+M482*N482)*(M482+O482))/((L482+N482)^2+(M482+O482)^2))</f>
        <v/>
      </c>
      <c r="Q482" s="195">
        <f>IF(B482="","",((L482*O482+M482*N482)*(L482+N482)-(L482*N482-M482*O482)*(M482+O482))/((L482+N482)^2+(M482+O482)^2))</f>
        <v/>
      </c>
      <c r="R482" s="195">
        <f>IF(B482="","",'入力・概要'!$E$15*J482)</f>
        <v/>
      </c>
      <c r="S482" s="195">
        <f>IF(B482="","",'入力・概要'!$E$15*K482)</f>
        <v/>
      </c>
      <c r="T482" s="195">
        <f>IF(B482="","",P482+R482)</f>
        <v/>
      </c>
      <c r="U482" s="195">
        <f>IF(B482="","",Q482+S482)</f>
        <v/>
      </c>
      <c r="V482" s="195">
        <f>IF(B482="","",T482+'入力・概要'!$E$9*F482)</f>
        <v/>
      </c>
      <c r="W482" s="195">
        <f>IF(B482="","",U482+'入力・概要'!$E$9*G482)</f>
        <v/>
      </c>
      <c r="X482" s="195">
        <f>IF(B482="","",'入力・概要'!$E$9+T482*F482-U482*G482)</f>
        <v/>
      </c>
      <c r="Y482" s="195">
        <f>IF(B482="","",T482*G482+U482*F482)</f>
        <v/>
      </c>
      <c r="Z482" s="195">
        <f>IF(B482="","",'入力・概要'!$E$9*(V482*X482+W482*Y482)/(X482^2+Y482^2)+'入力・概要'!$B$36)</f>
        <v/>
      </c>
      <c r="AA482" s="195">
        <f>IF(B482="","",'入力・概要'!$E$9*(W482*X482-V482*Y482)/(X482^2+Y482^2)+C482*'入力・概要'!$B$37*1E-9)</f>
        <v/>
      </c>
      <c r="AB482" s="195">
        <f>IF(B482="","",SQRT(Z482^2+AA482^2))</f>
        <v/>
      </c>
      <c r="AC482" s="195">
        <f>IF(B482="","",IF(Z482&gt;0,DEGREES(ATAN(AA482/Z482)),IF(Z482&lt;0,IF(AA482&gt;=0,DEGREES(ATAN(AA482/Z482))+180,DEGREES(ATAN(AA482/Z482))-180),IF(AA482&gt;0,90,IF(AA482&lt;0,-90,0)))))</f>
        <v/>
      </c>
      <c r="AD482" s="195">
        <f>IF(B482="","",LOG10(B482))</f>
        <v/>
      </c>
      <c r="AE482" s="195">
        <f>IF(AB482="","",LOG10(MAX(AB482,1E-12)))</f>
        <v/>
      </c>
      <c r="AF482" s="195">
        <f>IF(B482="","",SQRT(P482^2+Q482^2))</f>
        <v/>
      </c>
      <c r="AG482" s="195">
        <f>IF(B482="","",SQRT(R482^2+S482^2))</f>
        <v/>
      </c>
    </row>
    <row r="483">
      <c r="A483" t="n">
        <v>480</v>
      </c>
      <c r="B483" s="196">
        <f>IF(A483&lt;='入力・概要'!$B$40,10^(LOG10('入力・概要'!$B$38)+(A483-1)*(LOG10('入力・概要'!$B$39)-LOG10('入力・概要'!$B$38))/('入力・概要'!$B$40-1)),"")</f>
        <v/>
      </c>
      <c r="C483" s="195">
        <f>IF(B483="","",2*PI()*B483)</f>
        <v/>
      </c>
      <c r="D483" s="195">
        <f>IF(B483="","",ATANH(MIN(0.999999,'入力・概要'!$E$20/'入力・概要'!$E$9))+'入力・概要'!$B$20*SQRT(B483/1E6)+E483*'入力・概要'!$B$15/2)</f>
        <v/>
      </c>
      <c r="E483" s="195">
        <f>IF(B483="","",C483*('入力・概要'!$E$11*1E-9))</f>
        <v/>
      </c>
      <c r="F483" s="195">
        <f>IF(B483="","",SINH(2*D483)/(COSH(2*D483)+COS(2*E483)))</f>
        <v/>
      </c>
      <c r="G483" s="195">
        <f>IF(B483="","",SIN(2*E483)/(COSH(2*D483)+COS(2*E483)))</f>
        <v/>
      </c>
      <c r="H483" s="195">
        <f>IF(B483="","",ATANH(MIN(0.999999,'入力・概要'!$E$21/'入力・概要'!$E$15))+'入力・概要'!$B$21*SQRT(B483/1E6)+I483*'入力・概要'!$B$16/2)</f>
        <v/>
      </c>
      <c r="I483" s="195">
        <f>IF(B483="","",C483*('入力・概要'!$E$17*1E-9))</f>
        <v/>
      </c>
      <c r="J483" s="195">
        <f>IF(B483="","",SINH(2*H483)/(COSH(2*H483)+COS(2*I483)))</f>
        <v/>
      </c>
      <c r="K483" s="195">
        <f>IF(B483="","",SIN(2*I483)/(COSH(2*H483)+COS(2*I483)))</f>
        <v/>
      </c>
      <c r="L483" s="195">
        <f>IF(B483="","",'入力・概要'!$B$25)</f>
        <v/>
      </c>
      <c r="M483" s="195">
        <f>IF(B483="","",C483*'入力・概要'!$B$26*1E-9-1/(C483*'入力・概要'!$B$24*1E-6))</f>
        <v/>
      </c>
      <c r="N483" s="195">
        <f>IF(B483="","",'入力・概要'!$B$28)</f>
        <v/>
      </c>
      <c r="O483" s="195">
        <f>IF(B483="","",C483*'入力・概要'!$B$29*1E-9-1/(C483*'入力・概要'!$B$27*1E-6))</f>
        <v/>
      </c>
      <c r="P483" s="195">
        <f>IF(B483="","",((L483*N483-M483*O483)*(L483+N483)+(L483*O483+M483*N483)*(M483+O483))/((L483+N483)^2+(M483+O483)^2))</f>
        <v/>
      </c>
      <c r="Q483" s="195">
        <f>IF(B483="","",((L483*O483+M483*N483)*(L483+N483)-(L483*N483-M483*O483)*(M483+O483))/((L483+N483)^2+(M483+O483)^2))</f>
        <v/>
      </c>
      <c r="R483" s="195">
        <f>IF(B483="","",'入力・概要'!$E$15*J483)</f>
        <v/>
      </c>
      <c r="S483" s="195">
        <f>IF(B483="","",'入力・概要'!$E$15*K483)</f>
        <v/>
      </c>
      <c r="T483" s="195">
        <f>IF(B483="","",P483+R483)</f>
        <v/>
      </c>
      <c r="U483" s="195">
        <f>IF(B483="","",Q483+S483)</f>
        <v/>
      </c>
      <c r="V483" s="195">
        <f>IF(B483="","",T483+'入力・概要'!$E$9*F483)</f>
        <v/>
      </c>
      <c r="W483" s="195">
        <f>IF(B483="","",U483+'入力・概要'!$E$9*G483)</f>
        <v/>
      </c>
      <c r="X483" s="195">
        <f>IF(B483="","",'入力・概要'!$E$9+T483*F483-U483*G483)</f>
        <v/>
      </c>
      <c r="Y483" s="195">
        <f>IF(B483="","",T483*G483+U483*F483)</f>
        <v/>
      </c>
      <c r="Z483" s="195">
        <f>IF(B483="","",'入力・概要'!$E$9*(V483*X483+W483*Y483)/(X483^2+Y483^2)+'入力・概要'!$B$36)</f>
        <v/>
      </c>
      <c r="AA483" s="195">
        <f>IF(B483="","",'入力・概要'!$E$9*(W483*X483-V483*Y483)/(X483^2+Y483^2)+C483*'入力・概要'!$B$37*1E-9)</f>
        <v/>
      </c>
      <c r="AB483" s="195">
        <f>IF(B483="","",SQRT(Z483^2+AA483^2))</f>
        <v/>
      </c>
      <c r="AC483" s="195">
        <f>IF(B483="","",IF(Z483&gt;0,DEGREES(ATAN(AA483/Z483)),IF(Z483&lt;0,IF(AA483&gt;=0,DEGREES(ATAN(AA483/Z483))+180,DEGREES(ATAN(AA483/Z483))-180),IF(AA483&gt;0,90,IF(AA483&lt;0,-90,0)))))</f>
        <v/>
      </c>
      <c r="AD483" s="195">
        <f>IF(B483="","",LOG10(B483))</f>
        <v/>
      </c>
      <c r="AE483" s="195">
        <f>IF(AB483="","",LOG10(MAX(AB483,1E-12)))</f>
        <v/>
      </c>
      <c r="AF483" s="195">
        <f>IF(B483="","",SQRT(P483^2+Q483^2))</f>
        <v/>
      </c>
      <c r="AG483" s="195">
        <f>IF(B483="","",SQRT(R483^2+S483^2))</f>
        <v/>
      </c>
    </row>
    <row r="484">
      <c r="A484" t="n">
        <v>481</v>
      </c>
      <c r="B484" s="196">
        <f>IF(A484&lt;='入力・概要'!$B$40,10^(LOG10('入力・概要'!$B$38)+(A484-1)*(LOG10('入力・概要'!$B$39)-LOG10('入力・概要'!$B$38))/('入力・概要'!$B$40-1)),"")</f>
        <v/>
      </c>
      <c r="C484" s="195">
        <f>IF(B484="","",2*PI()*B484)</f>
        <v/>
      </c>
      <c r="D484" s="195">
        <f>IF(B484="","",ATANH(MIN(0.999999,'入力・概要'!$E$20/'入力・概要'!$E$9))+'入力・概要'!$B$20*SQRT(B484/1E6)+E484*'入力・概要'!$B$15/2)</f>
        <v/>
      </c>
      <c r="E484" s="195">
        <f>IF(B484="","",C484*('入力・概要'!$E$11*1E-9))</f>
        <v/>
      </c>
      <c r="F484" s="195">
        <f>IF(B484="","",SINH(2*D484)/(COSH(2*D484)+COS(2*E484)))</f>
        <v/>
      </c>
      <c r="G484" s="195">
        <f>IF(B484="","",SIN(2*E484)/(COSH(2*D484)+COS(2*E484)))</f>
        <v/>
      </c>
      <c r="H484" s="195">
        <f>IF(B484="","",ATANH(MIN(0.999999,'入力・概要'!$E$21/'入力・概要'!$E$15))+'入力・概要'!$B$21*SQRT(B484/1E6)+I484*'入力・概要'!$B$16/2)</f>
        <v/>
      </c>
      <c r="I484" s="195">
        <f>IF(B484="","",C484*('入力・概要'!$E$17*1E-9))</f>
        <v/>
      </c>
      <c r="J484" s="195">
        <f>IF(B484="","",SINH(2*H484)/(COSH(2*H484)+COS(2*I484)))</f>
        <v/>
      </c>
      <c r="K484" s="195">
        <f>IF(B484="","",SIN(2*I484)/(COSH(2*H484)+COS(2*I484)))</f>
        <v/>
      </c>
      <c r="L484" s="195">
        <f>IF(B484="","",'入力・概要'!$B$25)</f>
        <v/>
      </c>
      <c r="M484" s="195">
        <f>IF(B484="","",C484*'入力・概要'!$B$26*1E-9-1/(C484*'入力・概要'!$B$24*1E-6))</f>
        <v/>
      </c>
      <c r="N484" s="195">
        <f>IF(B484="","",'入力・概要'!$B$28)</f>
        <v/>
      </c>
      <c r="O484" s="195">
        <f>IF(B484="","",C484*'入力・概要'!$B$29*1E-9-1/(C484*'入力・概要'!$B$27*1E-6))</f>
        <v/>
      </c>
      <c r="P484" s="195">
        <f>IF(B484="","",((L484*N484-M484*O484)*(L484+N484)+(L484*O484+M484*N484)*(M484+O484))/((L484+N484)^2+(M484+O484)^2))</f>
        <v/>
      </c>
      <c r="Q484" s="195">
        <f>IF(B484="","",((L484*O484+M484*N484)*(L484+N484)-(L484*N484-M484*O484)*(M484+O484))/((L484+N484)^2+(M484+O484)^2))</f>
        <v/>
      </c>
      <c r="R484" s="195">
        <f>IF(B484="","",'入力・概要'!$E$15*J484)</f>
        <v/>
      </c>
      <c r="S484" s="195">
        <f>IF(B484="","",'入力・概要'!$E$15*K484)</f>
        <v/>
      </c>
      <c r="T484" s="195">
        <f>IF(B484="","",P484+R484)</f>
        <v/>
      </c>
      <c r="U484" s="195">
        <f>IF(B484="","",Q484+S484)</f>
        <v/>
      </c>
      <c r="V484" s="195">
        <f>IF(B484="","",T484+'入力・概要'!$E$9*F484)</f>
        <v/>
      </c>
      <c r="W484" s="195">
        <f>IF(B484="","",U484+'入力・概要'!$E$9*G484)</f>
        <v/>
      </c>
      <c r="X484" s="195">
        <f>IF(B484="","",'入力・概要'!$E$9+T484*F484-U484*G484)</f>
        <v/>
      </c>
      <c r="Y484" s="195">
        <f>IF(B484="","",T484*G484+U484*F484)</f>
        <v/>
      </c>
      <c r="Z484" s="195">
        <f>IF(B484="","",'入力・概要'!$E$9*(V484*X484+W484*Y484)/(X484^2+Y484^2)+'入力・概要'!$B$36)</f>
        <v/>
      </c>
      <c r="AA484" s="195">
        <f>IF(B484="","",'入力・概要'!$E$9*(W484*X484-V484*Y484)/(X484^2+Y484^2)+C484*'入力・概要'!$B$37*1E-9)</f>
        <v/>
      </c>
      <c r="AB484" s="195">
        <f>IF(B484="","",SQRT(Z484^2+AA484^2))</f>
        <v/>
      </c>
      <c r="AC484" s="195">
        <f>IF(B484="","",IF(Z484&gt;0,DEGREES(ATAN(AA484/Z484)),IF(Z484&lt;0,IF(AA484&gt;=0,DEGREES(ATAN(AA484/Z484))+180,DEGREES(ATAN(AA484/Z484))-180),IF(AA484&gt;0,90,IF(AA484&lt;0,-90,0)))))</f>
        <v/>
      </c>
      <c r="AD484" s="195">
        <f>IF(B484="","",LOG10(B484))</f>
        <v/>
      </c>
      <c r="AE484" s="195">
        <f>IF(AB484="","",LOG10(MAX(AB484,1E-12)))</f>
        <v/>
      </c>
      <c r="AF484" s="195">
        <f>IF(B484="","",SQRT(P484^2+Q484^2))</f>
        <v/>
      </c>
      <c r="AG484" s="195">
        <f>IF(B484="","",SQRT(R484^2+S484^2))</f>
        <v/>
      </c>
    </row>
    <row r="485">
      <c r="A485" t="n">
        <v>482</v>
      </c>
      <c r="B485" s="196">
        <f>IF(A485&lt;='入力・概要'!$B$40,10^(LOG10('入力・概要'!$B$38)+(A485-1)*(LOG10('入力・概要'!$B$39)-LOG10('入力・概要'!$B$38))/('入力・概要'!$B$40-1)),"")</f>
        <v/>
      </c>
      <c r="C485" s="195">
        <f>IF(B485="","",2*PI()*B485)</f>
        <v/>
      </c>
      <c r="D485" s="195">
        <f>IF(B485="","",ATANH(MIN(0.999999,'入力・概要'!$E$20/'入力・概要'!$E$9))+'入力・概要'!$B$20*SQRT(B485/1E6)+E485*'入力・概要'!$B$15/2)</f>
        <v/>
      </c>
      <c r="E485" s="195">
        <f>IF(B485="","",C485*('入力・概要'!$E$11*1E-9))</f>
        <v/>
      </c>
      <c r="F485" s="195">
        <f>IF(B485="","",SINH(2*D485)/(COSH(2*D485)+COS(2*E485)))</f>
        <v/>
      </c>
      <c r="G485" s="195">
        <f>IF(B485="","",SIN(2*E485)/(COSH(2*D485)+COS(2*E485)))</f>
        <v/>
      </c>
      <c r="H485" s="195">
        <f>IF(B485="","",ATANH(MIN(0.999999,'入力・概要'!$E$21/'入力・概要'!$E$15))+'入力・概要'!$B$21*SQRT(B485/1E6)+I485*'入力・概要'!$B$16/2)</f>
        <v/>
      </c>
      <c r="I485" s="195">
        <f>IF(B485="","",C485*('入力・概要'!$E$17*1E-9))</f>
        <v/>
      </c>
      <c r="J485" s="195">
        <f>IF(B485="","",SINH(2*H485)/(COSH(2*H485)+COS(2*I485)))</f>
        <v/>
      </c>
      <c r="K485" s="195">
        <f>IF(B485="","",SIN(2*I485)/(COSH(2*H485)+COS(2*I485)))</f>
        <v/>
      </c>
      <c r="L485" s="195">
        <f>IF(B485="","",'入力・概要'!$B$25)</f>
        <v/>
      </c>
      <c r="M485" s="195">
        <f>IF(B485="","",C485*'入力・概要'!$B$26*1E-9-1/(C485*'入力・概要'!$B$24*1E-6))</f>
        <v/>
      </c>
      <c r="N485" s="195">
        <f>IF(B485="","",'入力・概要'!$B$28)</f>
        <v/>
      </c>
      <c r="O485" s="195">
        <f>IF(B485="","",C485*'入力・概要'!$B$29*1E-9-1/(C485*'入力・概要'!$B$27*1E-6))</f>
        <v/>
      </c>
      <c r="P485" s="195">
        <f>IF(B485="","",((L485*N485-M485*O485)*(L485+N485)+(L485*O485+M485*N485)*(M485+O485))/((L485+N485)^2+(M485+O485)^2))</f>
        <v/>
      </c>
      <c r="Q485" s="195">
        <f>IF(B485="","",((L485*O485+M485*N485)*(L485+N485)-(L485*N485-M485*O485)*(M485+O485))/((L485+N485)^2+(M485+O485)^2))</f>
        <v/>
      </c>
      <c r="R485" s="195">
        <f>IF(B485="","",'入力・概要'!$E$15*J485)</f>
        <v/>
      </c>
      <c r="S485" s="195">
        <f>IF(B485="","",'入力・概要'!$E$15*K485)</f>
        <v/>
      </c>
      <c r="T485" s="195">
        <f>IF(B485="","",P485+R485)</f>
        <v/>
      </c>
      <c r="U485" s="195">
        <f>IF(B485="","",Q485+S485)</f>
        <v/>
      </c>
      <c r="V485" s="195">
        <f>IF(B485="","",T485+'入力・概要'!$E$9*F485)</f>
        <v/>
      </c>
      <c r="W485" s="195">
        <f>IF(B485="","",U485+'入力・概要'!$E$9*G485)</f>
        <v/>
      </c>
      <c r="X485" s="195">
        <f>IF(B485="","",'入力・概要'!$E$9+T485*F485-U485*G485)</f>
        <v/>
      </c>
      <c r="Y485" s="195">
        <f>IF(B485="","",T485*G485+U485*F485)</f>
        <v/>
      </c>
      <c r="Z485" s="195">
        <f>IF(B485="","",'入力・概要'!$E$9*(V485*X485+W485*Y485)/(X485^2+Y485^2)+'入力・概要'!$B$36)</f>
        <v/>
      </c>
      <c r="AA485" s="195">
        <f>IF(B485="","",'入力・概要'!$E$9*(W485*X485-V485*Y485)/(X485^2+Y485^2)+C485*'入力・概要'!$B$37*1E-9)</f>
        <v/>
      </c>
      <c r="AB485" s="195">
        <f>IF(B485="","",SQRT(Z485^2+AA485^2))</f>
        <v/>
      </c>
      <c r="AC485" s="195">
        <f>IF(B485="","",IF(Z485&gt;0,DEGREES(ATAN(AA485/Z485)),IF(Z485&lt;0,IF(AA485&gt;=0,DEGREES(ATAN(AA485/Z485))+180,DEGREES(ATAN(AA485/Z485))-180),IF(AA485&gt;0,90,IF(AA485&lt;0,-90,0)))))</f>
        <v/>
      </c>
      <c r="AD485" s="195">
        <f>IF(B485="","",LOG10(B485))</f>
        <v/>
      </c>
      <c r="AE485" s="195">
        <f>IF(AB485="","",LOG10(MAX(AB485,1E-12)))</f>
        <v/>
      </c>
      <c r="AF485" s="195">
        <f>IF(B485="","",SQRT(P485^2+Q485^2))</f>
        <v/>
      </c>
      <c r="AG485" s="195">
        <f>IF(B485="","",SQRT(R485^2+S485^2))</f>
        <v/>
      </c>
    </row>
    <row r="486">
      <c r="A486" t="n">
        <v>483</v>
      </c>
      <c r="B486" s="196">
        <f>IF(A486&lt;='入力・概要'!$B$40,10^(LOG10('入力・概要'!$B$38)+(A486-1)*(LOG10('入力・概要'!$B$39)-LOG10('入力・概要'!$B$38))/('入力・概要'!$B$40-1)),"")</f>
        <v/>
      </c>
      <c r="C486" s="195">
        <f>IF(B486="","",2*PI()*B486)</f>
        <v/>
      </c>
      <c r="D486" s="195">
        <f>IF(B486="","",ATANH(MIN(0.999999,'入力・概要'!$E$20/'入力・概要'!$E$9))+'入力・概要'!$B$20*SQRT(B486/1E6)+E486*'入力・概要'!$B$15/2)</f>
        <v/>
      </c>
      <c r="E486" s="195">
        <f>IF(B486="","",C486*('入力・概要'!$E$11*1E-9))</f>
        <v/>
      </c>
      <c r="F486" s="195">
        <f>IF(B486="","",SINH(2*D486)/(COSH(2*D486)+COS(2*E486)))</f>
        <v/>
      </c>
      <c r="G486" s="195">
        <f>IF(B486="","",SIN(2*E486)/(COSH(2*D486)+COS(2*E486)))</f>
        <v/>
      </c>
      <c r="H486" s="195">
        <f>IF(B486="","",ATANH(MIN(0.999999,'入力・概要'!$E$21/'入力・概要'!$E$15))+'入力・概要'!$B$21*SQRT(B486/1E6)+I486*'入力・概要'!$B$16/2)</f>
        <v/>
      </c>
      <c r="I486" s="195">
        <f>IF(B486="","",C486*('入力・概要'!$E$17*1E-9))</f>
        <v/>
      </c>
      <c r="J486" s="195">
        <f>IF(B486="","",SINH(2*H486)/(COSH(2*H486)+COS(2*I486)))</f>
        <v/>
      </c>
      <c r="K486" s="195">
        <f>IF(B486="","",SIN(2*I486)/(COSH(2*H486)+COS(2*I486)))</f>
        <v/>
      </c>
      <c r="L486" s="195">
        <f>IF(B486="","",'入力・概要'!$B$25)</f>
        <v/>
      </c>
      <c r="M486" s="195">
        <f>IF(B486="","",C486*'入力・概要'!$B$26*1E-9-1/(C486*'入力・概要'!$B$24*1E-6))</f>
        <v/>
      </c>
      <c r="N486" s="195">
        <f>IF(B486="","",'入力・概要'!$B$28)</f>
        <v/>
      </c>
      <c r="O486" s="195">
        <f>IF(B486="","",C486*'入力・概要'!$B$29*1E-9-1/(C486*'入力・概要'!$B$27*1E-6))</f>
        <v/>
      </c>
      <c r="P486" s="195">
        <f>IF(B486="","",((L486*N486-M486*O486)*(L486+N486)+(L486*O486+M486*N486)*(M486+O486))/((L486+N486)^2+(M486+O486)^2))</f>
        <v/>
      </c>
      <c r="Q486" s="195">
        <f>IF(B486="","",((L486*O486+M486*N486)*(L486+N486)-(L486*N486-M486*O486)*(M486+O486))/((L486+N486)^2+(M486+O486)^2))</f>
        <v/>
      </c>
      <c r="R486" s="195">
        <f>IF(B486="","",'入力・概要'!$E$15*J486)</f>
        <v/>
      </c>
      <c r="S486" s="195">
        <f>IF(B486="","",'入力・概要'!$E$15*K486)</f>
        <v/>
      </c>
      <c r="T486" s="195">
        <f>IF(B486="","",P486+R486)</f>
        <v/>
      </c>
      <c r="U486" s="195">
        <f>IF(B486="","",Q486+S486)</f>
        <v/>
      </c>
      <c r="V486" s="195">
        <f>IF(B486="","",T486+'入力・概要'!$E$9*F486)</f>
        <v/>
      </c>
      <c r="W486" s="195">
        <f>IF(B486="","",U486+'入力・概要'!$E$9*G486)</f>
        <v/>
      </c>
      <c r="X486" s="195">
        <f>IF(B486="","",'入力・概要'!$E$9+T486*F486-U486*G486)</f>
        <v/>
      </c>
      <c r="Y486" s="195">
        <f>IF(B486="","",T486*G486+U486*F486)</f>
        <v/>
      </c>
      <c r="Z486" s="195">
        <f>IF(B486="","",'入力・概要'!$E$9*(V486*X486+W486*Y486)/(X486^2+Y486^2)+'入力・概要'!$B$36)</f>
        <v/>
      </c>
      <c r="AA486" s="195">
        <f>IF(B486="","",'入力・概要'!$E$9*(W486*X486-V486*Y486)/(X486^2+Y486^2)+C486*'入力・概要'!$B$37*1E-9)</f>
        <v/>
      </c>
      <c r="AB486" s="195">
        <f>IF(B486="","",SQRT(Z486^2+AA486^2))</f>
        <v/>
      </c>
      <c r="AC486" s="195">
        <f>IF(B486="","",IF(Z486&gt;0,DEGREES(ATAN(AA486/Z486)),IF(Z486&lt;0,IF(AA486&gt;=0,DEGREES(ATAN(AA486/Z486))+180,DEGREES(ATAN(AA486/Z486))-180),IF(AA486&gt;0,90,IF(AA486&lt;0,-90,0)))))</f>
        <v/>
      </c>
      <c r="AD486" s="195">
        <f>IF(B486="","",LOG10(B486))</f>
        <v/>
      </c>
      <c r="AE486" s="195">
        <f>IF(AB486="","",LOG10(MAX(AB486,1E-12)))</f>
        <v/>
      </c>
      <c r="AF486" s="195">
        <f>IF(B486="","",SQRT(P486^2+Q486^2))</f>
        <v/>
      </c>
      <c r="AG486" s="195">
        <f>IF(B486="","",SQRT(R486^2+S486^2))</f>
        <v/>
      </c>
    </row>
    <row r="487">
      <c r="A487" t="n">
        <v>484</v>
      </c>
      <c r="B487" s="196">
        <f>IF(A487&lt;='入力・概要'!$B$40,10^(LOG10('入力・概要'!$B$38)+(A487-1)*(LOG10('入力・概要'!$B$39)-LOG10('入力・概要'!$B$38))/('入力・概要'!$B$40-1)),"")</f>
        <v/>
      </c>
      <c r="C487" s="195">
        <f>IF(B487="","",2*PI()*B487)</f>
        <v/>
      </c>
      <c r="D487" s="195">
        <f>IF(B487="","",ATANH(MIN(0.999999,'入力・概要'!$E$20/'入力・概要'!$E$9))+'入力・概要'!$B$20*SQRT(B487/1E6)+E487*'入力・概要'!$B$15/2)</f>
        <v/>
      </c>
      <c r="E487" s="195">
        <f>IF(B487="","",C487*('入力・概要'!$E$11*1E-9))</f>
        <v/>
      </c>
      <c r="F487" s="195">
        <f>IF(B487="","",SINH(2*D487)/(COSH(2*D487)+COS(2*E487)))</f>
        <v/>
      </c>
      <c r="G487" s="195">
        <f>IF(B487="","",SIN(2*E487)/(COSH(2*D487)+COS(2*E487)))</f>
        <v/>
      </c>
      <c r="H487" s="195">
        <f>IF(B487="","",ATANH(MIN(0.999999,'入力・概要'!$E$21/'入力・概要'!$E$15))+'入力・概要'!$B$21*SQRT(B487/1E6)+I487*'入力・概要'!$B$16/2)</f>
        <v/>
      </c>
      <c r="I487" s="195">
        <f>IF(B487="","",C487*('入力・概要'!$E$17*1E-9))</f>
        <v/>
      </c>
      <c r="J487" s="195">
        <f>IF(B487="","",SINH(2*H487)/(COSH(2*H487)+COS(2*I487)))</f>
        <v/>
      </c>
      <c r="K487" s="195">
        <f>IF(B487="","",SIN(2*I487)/(COSH(2*H487)+COS(2*I487)))</f>
        <v/>
      </c>
      <c r="L487" s="195">
        <f>IF(B487="","",'入力・概要'!$B$25)</f>
        <v/>
      </c>
      <c r="M487" s="195">
        <f>IF(B487="","",C487*'入力・概要'!$B$26*1E-9-1/(C487*'入力・概要'!$B$24*1E-6))</f>
        <v/>
      </c>
      <c r="N487" s="195">
        <f>IF(B487="","",'入力・概要'!$B$28)</f>
        <v/>
      </c>
      <c r="O487" s="195">
        <f>IF(B487="","",C487*'入力・概要'!$B$29*1E-9-1/(C487*'入力・概要'!$B$27*1E-6))</f>
        <v/>
      </c>
      <c r="P487" s="195">
        <f>IF(B487="","",((L487*N487-M487*O487)*(L487+N487)+(L487*O487+M487*N487)*(M487+O487))/((L487+N487)^2+(M487+O487)^2))</f>
        <v/>
      </c>
      <c r="Q487" s="195">
        <f>IF(B487="","",((L487*O487+M487*N487)*(L487+N487)-(L487*N487-M487*O487)*(M487+O487))/((L487+N487)^2+(M487+O487)^2))</f>
        <v/>
      </c>
      <c r="R487" s="195">
        <f>IF(B487="","",'入力・概要'!$E$15*J487)</f>
        <v/>
      </c>
      <c r="S487" s="195">
        <f>IF(B487="","",'入力・概要'!$E$15*K487)</f>
        <v/>
      </c>
      <c r="T487" s="195">
        <f>IF(B487="","",P487+R487)</f>
        <v/>
      </c>
      <c r="U487" s="195">
        <f>IF(B487="","",Q487+S487)</f>
        <v/>
      </c>
      <c r="V487" s="195">
        <f>IF(B487="","",T487+'入力・概要'!$E$9*F487)</f>
        <v/>
      </c>
      <c r="W487" s="195">
        <f>IF(B487="","",U487+'入力・概要'!$E$9*G487)</f>
        <v/>
      </c>
      <c r="X487" s="195">
        <f>IF(B487="","",'入力・概要'!$E$9+T487*F487-U487*G487)</f>
        <v/>
      </c>
      <c r="Y487" s="195">
        <f>IF(B487="","",T487*G487+U487*F487)</f>
        <v/>
      </c>
      <c r="Z487" s="195">
        <f>IF(B487="","",'入力・概要'!$E$9*(V487*X487+W487*Y487)/(X487^2+Y487^2)+'入力・概要'!$B$36)</f>
        <v/>
      </c>
      <c r="AA487" s="195">
        <f>IF(B487="","",'入力・概要'!$E$9*(W487*X487-V487*Y487)/(X487^2+Y487^2)+C487*'入力・概要'!$B$37*1E-9)</f>
        <v/>
      </c>
      <c r="AB487" s="195">
        <f>IF(B487="","",SQRT(Z487^2+AA487^2))</f>
        <v/>
      </c>
      <c r="AC487" s="195">
        <f>IF(B487="","",IF(Z487&gt;0,DEGREES(ATAN(AA487/Z487)),IF(Z487&lt;0,IF(AA487&gt;=0,DEGREES(ATAN(AA487/Z487))+180,DEGREES(ATAN(AA487/Z487))-180),IF(AA487&gt;0,90,IF(AA487&lt;0,-90,0)))))</f>
        <v/>
      </c>
      <c r="AD487" s="195">
        <f>IF(B487="","",LOG10(B487))</f>
        <v/>
      </c>
      <c r="AE487" s="195">
        <f>IF(AB487="","",LOG10(MAX(AB487,1E-12)))</f>
        <v/>
      </c>
      <c r="AF487" s="195">
        <f>IF(B487="","",SQRT(P487^2+Q487^2))</f>
        <v/>
      </c>
      <c r="AG487" s="195">
        <f>IF(B487="","",SQRT(R487^2+S487^2))</f>
        <v/>
      </c>
    </row>
    <row r="488">
      <c r="A488" t="n">
        <v>485</v>
      </c>
      <c r="B488" s="196">
        <f>IF(A488&lt;='入力・概要'!$B$40,10^(LOG10('入力・概要'!$B$38)+(A488-1)*(LOG10('入力・概要'!$B$39)-LOG10('入力・概要'!$B$38))/('入力・概要'!$B$40-1)),"")</f>
        <v/>
      </c>
      <c r="C488" s="195">
        <f>IF(B488="","",2*PI()*B488)</f>
        <v/>
      </c>
      <c r="D488" s="195">
        <f>IF(B488="","",ATANH(MIN(0.999999,'入力・概要'!$E$20/'入力・概要'!$E$9))+'入力・概要'!$B$20*SQRT(B488/1E6)+E488*'入力・概要'!$B$15/2)</f>
        <v/>
      </c>
      <c r="E488" s="195">
        <f>IF(B488="","",C488*('入力・概要'!$E$11*1E-9))</f>
        <v/>
      </c>
      <c r="F488" s="195">
        <f>IF(B488="","",SINH(2*D488)/(COSH(2*D488)+COS(2*E488)))</f>
        <v/>
      </c>
      <c r="G488" s="195">
        <f>IF(B488="","",SIN(2*E488)/(COSH(2*D488)+COS(2*E488)))</f>
        <v/>
      </c>
      <c r="H488" s="195">
        <f>IF(B488="","",ATANH(MIN(0.999999,'入力・概要'!$E$21/'入力・概要'!$E$15))+'入力・概要'!$B$21*SQRT(B488/1E6)+I488*'入力・概要'!$B$16/2)</f>
        <v/>
      </c>
      <c r="I488" s="195">
        <f>IF(B488="","",C488*('入力・概要'!$E$17*1E-9))</f>
        <v/>
      </c>
      <c r="J488" s="195">
        <f>IF(B488="","",SINH(2*H488)/(COSH(2*H488)+COS(2*I488)))</f>
        <v/>
      </c>
      <c r="K488" s="195">
        <f>IF(B488="","",SIN(2*I488)/(COSH(2*H488)+COS(2*I488)))</f>
        <v/>
      </c>
      <c r="L488" s="195">
        <f>IF(B488="","",'入力・概要'!$B$25)</f>
        <v/>
      </c>
      <c r="M488" s="195">
        <f>IF(B488="","",C488*'入力・概要'!$B$26*1E-9-1/(C488*'入力・概要'!$B$24*1E-6))</f>
        <v/>
      </c>
      <c r="N488" s="195">
        <f>IF(B488="","",'入力・概要'!$B$28)</f>
        <v/>
      </c>
      <c r="O488" s="195">
        <f>IF(B488="","",C488*'入力・概要'!$B$29*1E-9-1/(C488*'入力・概要'!$B$27*1E-6))</f>
        <v/>
      </c>
      <c r="P488" s="195">
        <f>IF(B488="","",((L488*N488-M488*O488)*(L488+N488)+(L488*O488+M488*N488)*(M488+O488))/((L488+N488)^2+(M488+O488)^2))</f>
        <v/>
      </c>
      <c r="Q488" s="195">
        <f>IF(B488="","",((L488*O488+M488*N488)*(L488+N488)-(L488*N488-M488*O488)*(M488+O488))/((L488+N488)^2+(M488+O488)^2))</f>
        <v/>
      </c>
      <c r="R488" s="195">
        <f>IF(B488="","",'入力・概要'!$E$15*J488)</f>
        <v/>
      </c>
      <c r="S488" s="195">
        <f>IF(B488="","",'入力・概要'!$E$15*K488)</f>
        <v/>
      </c>
      <c r="T488" s="195">
        <f>IF(B488="","",P488+R488)</f>
        <v/>
      </c>
      <c r="U488" s="195">
        <f>IF(B488="","",Q488+S488)</f>
        <v/>
      </c>
      <c r="V488" s="195">
        <f>IF(B488="","",T488+'入力・概要'!$E$9*F488)</f>
        <v/>
      </c>
      <c r="W488" s="195">
        <f>IF(B488="","",U488+'入力・概要'!$E$9*G488)</f>
        <v/>
      </c>
      <c r="X488" s="195">
        <f>IF(B488="","",'入力・概要'!$E$9+T488*F488-U488*G488)</f>
        <v/>
      </c>
      <c r="Y488" s="195">
        <f>IF(B488="","",T488*G488+U488*F488)</f>
        <v/>
      </c>
      <c r="Z488" s="195">
        <f>IF(B488="","",'入力・概要'!$E$9*(V488*X488+W488*Y488)/(X488^2+Y488^2)+'入力・概要'!$B$36)</f>
        <v/>
      </c>
      <c r="AA488" s="195">
        <f>IF(B488="","",'入力・概要'!$E$9*(W488*X488-V488*Y488)/(X488^2+Y488^2)+C488*'入力・概要'!$B$37*1E-9)</f>
        <v/>
      </c>
      <c r="AB488" s="195">
        <f>IF(B488="","",SQRT(Z488^2+AA488^2))</f>
        <v/>
      </c>
      <c r="AC488" s="195">
        <f>IF(B488="","",IF(Z488&gt;0,DEGREES(ATAN(AA488/Z488)),IF(Z488&lt;0,IF(AA488&gt;=0,DEGREES(ATAN(AA488/Z488))+180,DEGREES(ATAN(AA488/Z488))-180),IF(AA488&gt;0,90,IF(AA488&lt;0,-90,0)))))</f>
        <v/>
      </c>
      <c r="AD488" s="195">
        <f>IF(B488="","",LOG10(B488))</f>
        <v/>
      </c>
      <c r="AE488" s="195">
        <f>IF(AB488="","",LOG10(MAX(AB488,1E-12)))</f>
        <v/>
      </c>
      <c r="AF488" s="195">
        <f>IF(B488="","",SQRT(P488^2+Q488^2))</f>
        <v/>
      </c>
      <c r="AG488" s="195">
        <f>IF(B488="","",SQRT(R488^2+S488^2))</f>
        <v/>
      </c>
    </row>
    <row r="489">
      <c r="A489" t="n">
        <v>486</v>
      </c>
      <c r="B489" s="196">
        <f>IF(A489&lt;='入力・概要'!$B$40,10^(LOG10('入力・概要'!$B$38)+(A489-1)*(LOG10('入力・概要'!$B$39)-LOG10('入力・概要'!$B$38))/('入力・概要'!$B$40-1)),"")</f>
        <v/>
      </c>
      <c r="C489" s="195">
        <f>IF(B489="","",2*PI()*B489)</f>
        <v/>
      </c>
      <c r="D489" s="195">
        <f>IF(B489="","",ATANH(MIN(0.999999,'入力・概要'!$E$20/'入力・概要'!$E$9))+'入力・概要'!$B$20*SQRT(B489/1E6)+E489*'入力・概要'!$B$15/2)</f>
        <v/>
      </c>
      <c r="E489" s="195">
        <f>IF(B489="","",C489*('入力・概要'!$E$11*1E-9))</f>
        <v/>
      </c>
      <c r="F489" s="195">
        <f>IF(B489="","",SINH(2*D489)/(COSH(2*D489)+COS(2*E489)))</f>
        <v/>
      </c>
      <c r="G489" s="195">
        <f>IF(B489="","",SIN(2*E489)/(COSH(2*D489)+COS(2*E489)))</f>
        <v/>
      </c>
      <c r="H489" s="195">
        <f>IF(B489="","",ATANH(MIN(0.999999,'入力・概要'!$E$21/'入力・概要'!$E$15))+'入力・概要'!$B$21*SQRT(B489/1E6)+I489*'入力・概要'!$B$16/2)</f>
        <v/>
      </c>
      <c r="I489" s="195">
        <f>IF(B489="","",C489*('入力・概要'!$E$17*1E-9))</f>
        <v/>
      </c>
      <c r="J489" s="195">
        <f>IF(B489="","",SINH(2*H489)/(COSH(2*H489)+COS(2*I489)))</f>
        <v/>
      </c>
      <c r="K489" s="195">
        <f>IF(B489="","",SIN(2*I489)/(COSH(2*H489)+COS(2*I489)))</f>
        <v/>
      </c>
      <c r="L489" s="195">
        <f>IF(B489="","",'入力・概要'!$B$25)</f>
        <v/>
      </c>
      <c r="M489" s="195">
        <f>IF(B489="","",C489*'入力・概要'!$B$26*1E-9-1/(C489*'入力・概要'!$B$24*1E-6))</f>
        <v/>
      </c>
      <c r="N489" s="195">
        <f>IF(B489="","",'入力・概要'!$B$28)</f>
        <v/>
      </c>
      <c r="O489" s="195">
        <f>IF(B489="","",C489*'入力・概要'!$B$29*1E-9-1/(C489*'入力・概要'!$B$27*1E-6))</f>
        <v/>
      </c>
      <c r="P489" s="195">
        <f>IF(B489="","",((L489*N489-M489*O489)*(L489+N489)+(L489*O489+M489*N489)*(M489+O489))/((L489+N489)^2+(M489+O489)^2))</f>
        <v/>
      </c>
      <c r="Q489" s="195">
        <f>IF(B489="","",((L489*O489+M489*N489)*(L489+N489)-(L489*N489-M489*O489)*(M489+O489))/((L489+N489)^2+(M489+O489)^2))</f>
        <v/>
      </c>
      <c r="R489" s="195">
        <f>IF(B489="","",'入力・概要'!$E$15*J489)</f>
        <v/>
      </c>
      <c r="S489" s="195">
        <f>IF(B489="","",'入力・概要'!$E$15*K489)</f>
        <v/>
      </c>
      <c r="T489" s="195">
        <f>IF(B489="","",P489+R489)</f>
        <v/>
      </c>
      <c r="U489" s="195">
        <f>IF(B489="","",Q489+S489)</f>
        <v/>
      </c>
      <c r="V489" s="195">
        <f>IF(B489="","",T489+'入力・概要'!$E$9*F489)</f>
        <v/>
      </c>
      <c r="W489" s="195">
        <f>IF(B489="","",U489+'入力・概要'!$E$9*G489)</f>
        <v/>
      </c>
      <c r="X489" s="195">
        <f>IF(B489="","",'入力・概要'!$E$9+T489*F489-U489*G489)</f>
        <v/>
      </c>
      <c r="Y489" s="195">
        <f>IF(B489="","",T489*G489+U489*F489)</f>
        <v/>
      </c>
      <c r="Z489" s="195">
        <f>IF(B489="","",'入力・概要'!$E$9*(V489*X489+W489*Y489)/(X489^2+Y489^2)+'入力・概要'!$B$36)</f>
        <v/>
      </c>
      <c r="AA489" s="195">
        <f>IF(B489="","",'入力・概要'!$E$9*(W489*X489-V489*Y489)/(X489^2+Y489^2)+C489*'入力・概要'!$B$37*1E-9)</f>
        <v/>
      </c>
      <c r="AB489" s="195">
        <f>IF(B489="","",SQRT(Z489^2+AA489^2))</f>
        <v/>
      </c>
      <c r="AC489" s="195">
        <f>IF(B489="","",IF(Z489&gt;0,DEGREES(ATAN(AA489/Z489)),IF(Z489&lt;0,IF(AA489&gt;=0,DEGREES(ATAN(AA489/Z489))+180,DEGREES(ATAN(AA489/Z489))-180),IF(AA489&gt;0,90,IF(AA489&lt;0,-90,0)))))</f>
        <v/>
      </c>
      <c r="AD489" s="195">
        <f>IF(B489="","",LOG10(B489))</f>
        <v/>
      </c>
      <c r="AE489" s="195">
        <f>IF(AB489="","",LOG10(MAX(AB489,1E-12)))</f>
        <v/>
      </c>
      <c r="AF489" s="195">
        <f>IF(B489="","",SQRT(P489^2+Q489^2))</f>
        <v/>
      </c>
      <c r="AG489" s="195">
        <f>IF(B489="","",SQRT(R489^2+S489^2))</f>
        <v/>
      </c>
    </row>
    <row r="490">
      <c r="A490" t="n">
        <v>487</v>
      </c>
      <c r="B490" s="196">
        <f>IF(A490&lt;='入力・概要'!$B$40,10^(LOG10('入力・概要'!$B$38)+(A490-1)*(LOG10('入力・概要'!$B$39)-LOG10('入力・概要'!$B$38))/('入力・概要'!$B$40-1)),"")</f>
        <v/>
      </c>
      <c r="C490" s="195">
        <f>IF(B490="","",2*PI()*B490)</f>
        <v/>
      </c>
      <c r="D490" s="195">
        <f>IF(B490="","",ATANH(MIN(0.999999,'入力・概要'!$E$20/'入力・概要'!$E$9))+'入力・概要'!$B$20*SQRT(B490/1E6)+E490*'入力・概要'!$B$15/2)</f>
        <v/>
      </c>
      <c r="E490" s="195">
        <f>IF(B490="","",C490*('入力・概要'!$E$11*1E-9))</f>
        <v/>
      </c>
      <c r="F490" s="195">
        <f>IF(B490="","",SINH(2*D490)/(COSH(2*D490)+COS(2*E490)))</f>
        <v/>
      </c>
      <c r="G490" s="195">
        <f>IF(B490="","",SIN(2*E490)/(COSH(2*D490)+COS(2*E490)))</f>
        <v/>
      </c>
      <c r="H490" s="195">
        <f>IF(B490="","",ATANH(MIN(0.999999,'入力・概要'!$E$21/'入力・概要'!$E$15))+'入力・概要'!$B$21*SQRT(B490/1E6)+I490*'入力・概要'!$B$16/2)</f>
        <v/>
      </c>
      <c r="I490" s="195">
        <f>IF(B490="","",C490*('入力・概要'!$E$17*1E-9))</f>
        <v/>
      </c>
      <c r="J490" s="195">
        <f>IF(B490="","",SINH(2*H490)/(COSH(2*H490)+COS(2*I490)))</f>
        <v/>
      </c>
      <c r="K490" s="195">
        <f>IF(B490="","",SIN(2*I490)/(COSH(2*H490)+COS(2*I490)))</f>
        <v/>
      </c>
      <c r="L490" s="195">
        <f>IF(B490="","",'入力・概要'!$B$25)</f>
        <v/>
      </c>
      <c r="M490" s="195">
        <f>IF(B490="","",C490*'入力・概要'!$B$26*1E-9-1/(C490*'入力・概要'!$B$24*1E-6))</f>
        <v/>
      </c>
      <c r="N490" s="195">
        <f>IF(B490="","",'入力・概要'!$B$28)</f>
        <v/>
      </c>
      <c r="O490" s="195">
        <f>IF(B490="","",C490*'入力・概要'!$B$29*1E-9-1/(C490*'入力・概要'!$B$27*1E-6))</f>
        <v/>
      </c>
      <c r="P490" s="195">
        <f>IF(B490="","",((L490*N490-M490*O490)*(L490+N490)+(L490*O490+M490*N490)*(M490+O490))/((L490+N490)^2+(M490+O490)^2))</f>
        <v/>
      </c>
      <c r="Q490" s="195">
        <f>IF(B490="","",((L490*O490+M490*N490)*(L490+N490)-(L490*N490-M490*O490)*(M490+O490))/((L490+N490)^2+(M490+O490)^2))</f>
        <v/>
      </c>
      <c r="R490" s="195">
        <f>IF(B490="","",'入力・概要'!$E$15*J490)</f>
        <v/>
      </c>
      <c r="S490" s="195">
        <f>IF(B490="","",'入力・概要'!$E$15*K490)</f>
        <v/>
      </c>
      <c r="T490" s="195">
        <f>IF(B490="","",P490+R490)</f>
        <v/>
      </c>
      <c r="U490" s="195">
        <f>IF(B490="","",Q490+S490)</f>
        <v/>
      </c>
      <c r="V490" s="195">
        <f>IF(B490="","",T490+'入力・概要'!$E$9*F490)</f>
        <v/>
      </c>
      <c r="W490" s="195">
        <f>IF(B490="","",U490+'入力・概要'!$E$9*G490)</f>
        <v/>
      </c>
      <c r="X490" s="195">
        <f>IF(B490="","",'入力・概要'!$E$9+T490*F490-U490*G490)</f>
        <v/>
      </c>
      <c r="Y490" s="195">
        <f>IF(B490="","",T490*G490+U490*F490)</f>
        <v/>
      </c>
      <c r="Z490" s="195">
        <f>IF(B490="","",'入力・概要'!$E$9*(V490*X490+W490*Y490)/(X490^2+Y490^2)+'入力・概要'!$B$36)</f>
        <v/>
      </c>
      <c r="AA490" s="195">
        <f>IF(B490="","",'入力・概要'!$E$9*(W490*X490-V490*Y490)/(X490^2+Y490^2)+C490*'入力・概要'!$B$37*1E-9)</f>
        <v/>
      </c>
      <c r="AB490" s="195">
        <f>IF(B490="","",SQRT(Z490^2+AA490^2))</f>
        <v/>
      </c>
      <c r="AC490" s="195">
        <f>IF(B490="","",IF(Z490&gt;0,DEGREES(ATAN(AA490/Z490)),IF(Z490&lt;0,IF(AA490&gt;=0,DEGREES(ATAN(AA490/Z490))+180,DEGREES(ATAN(AA490/Z490))-180),IF(AA490&gt;0,90,IF(AA490&lt;0,-90,0)))))</f>
        <v/>
      </c>
      <c r="AD490" s="195">
        <f>IF(B490="","",LOG10(B490))</f>
        <v/>
      </c>
      <c r="AE490" s="195">
        <f>IF(AB490="","",LOG10(MAX(AB490,1E-12)))</f>
        <v/>
      </c>
      <c r="AF490" s="195">
        <f>IF(B490="","",SQRT(P490^2+Q490^2))</f>
        <v/>
      </c>
      <c r="AG490" s="195">
        <f>IF(B490="","",SQRT(R490^2+S490^2))</f>
        <v/>
      </c>
    </row>
    <row r="491">
      <c r="A491" t="n">
        <v>488</v>
      </c>
      <c r="B491" s="196">
        <f>IF(A491&lt;='入力・概要'!$B$40,10^(LOG10('入力・概要'!$B$38)+(A491-1)*(LOG10('入力・概要'!$B$39)-LOG10('入力・概要'!$B$38))/('入力・概要'!$B$40-1)),"")</f>
        <v/>
      </c>
      <c r="C491" s="195">
        <f>IF(B491="","",2*PI()*B491)</f>
        <v/>
      </c>
      <c r="D491" s="195">
        <f>IF(B491="","",ATANH(MIN(0.999999,'入力・概要'!$E$20/'入力・概要'!$E$9))+'入力・概要'!$B$20*SQRT(B491/1E6)+E491*'入力・概要'!$B$15/2)</f>
        <v/>
      </c>
      <c r="E491" s="195">
        <f>IF(B491="","",C491*('入力・概要'!$E$11*1E-9))</f>
        <v/>
      </c>
      <c r="F491" s="195">
        <f>IF(B491="","",SINH(2*D491)/(COSH(2*D491)+COS(2*E491)))</f>
        <v/>
      </c>
      <c r="G491" s="195">
        <f>IF(B491="","",SIN(2*E491)/(COSH(2*D491)+COS(2*E491)))</f>
        <v/>
      </c>
      <c r="H491" s="195">
        <f>IF(B491="","",ATANH(MIN(0.999999,'入力・概要'!$E$21/'入力・概要'!$E$15))+'入力・概要'!$B$21*SQRT(B491/1E6)+I491*'入力・概要'!$B$16/2)</f>
        <v/>
      </c>
      <c r="I491" s="195">
        <f>IF(B491="","",C491*('入力・概要'!$E$17*1E-9))</f>
        <v/>
      </c>
      <c r="J491" s="195">
        <f>IF(B491="","",SINH(2*H491)/(COSH(2*H491)+COS(2*I491)))</f>
        <v/>
      </c>
      <c r="K491" s="195">
        <f>IF(B491="","",SIN(2*I491)/(COSH(2*H491)+COS(2*I491)))</f>
        <v/>
      </c>
      <c r="L491" s="195">
        <f>IF(B491="","",'入力・概要'!$B$25)</f>
        <v/>
      </c>
      <c r="M491" s="195">
        <f>IF(B491="","",C491*'入力・概要'!$B$26*1E-9-1/(C491*'入力・概要'!$B$24*1E-6))</f>
        <v/>
      </c>
      <c r="N491" s="195">
        <f>IF(B491="","",'入力・概要'!$B$28)</f>
        <v/>
      </c>
      <c r="O491" s="195">
        <f>IF(B491="","",C491*'入力・概要'!$B$29*1E-9-1/(C491*'入力・概要'!$B$27*1E-6))</f>
        <v/>
      </c>
      <c r="P491" s="195">
        <f>IF(B491="","",((L491*N491-M491*O491)*(L491+N491)+(L491*O491+M491*N491)*(M491+O491))/((L491+N491)^2+(M491+O491)^2))</f>
        <v/>
      </c>
      <c r="Q491" s="195">
        <f>IF(B491="","",((L491*O491+M491*N491)*(L491+N491)-(L491*N491-M491*O491)*(M491+O491))/((L491+N491)^2+(M491+O491)^2))</f>
        <v/>
      </c>
      <c r="R491" s="195">
        <f>IF(B491="","",'入力・概要'!$E$15*J491)</f>
        <v/>
      </c>
      <c r="S491" s="195">
        <f>IF(B491="","",'入力・概要'!$E$15*K491)</f>
        <v/>
      </c>
      <c r="T491" s="195">
        <f>IF(B491="","",P491+R491)</f>
        <v/>
      </c>
      <c r="U491" s="195">
        <f>IF(B491="","",Q491+S491)</f>
        <v/>
      </c>
      <c r="V491" s="195">
        <f>IF(B491="","",T491+'入力・概要'!$E$9*F491)</f>
        <v/>
      </c>
      <c r="W491" s="195">
        <f>IF(B491="","",U491+'入力・概要'!$E$9*G491)</f>
        <v/>
      </c>
      <c r="X491" s="195">
        <f>IF(B491="","",'入力・概要'!$E$9+T491*F491-U491*G491)</f>
        <v/>
      </c>
      <c r="Y491" s="195">
        <f>IF(B491="","",T491*G491+U491*F491)</f>
        <v/>
      </c>
      <c r="Z491" s="195">
        <f>IF(B491="","",'入力・概要'!$E$9*(V491*X491+W491*Y491)/(X491^2+Y491^2)+'入力・概要'!$B$36)</f>
        <v/>
      </c>
      <c r="AA491" s="195">
        <f>IF(B491="","",'入力・概要'!$E$9*(W491*X491-V491*Y491)/(X491^2+Y491^2)+C491*'入力・概要'!$B$37*1E-9)</f>
        <v/>
      </c>
      <c r="AB491" s="195">
        <f>IF(B491="","",SQRT(Z491^2+AA491^2))</f>
        <v/>
      </c>
      <c r="AC491" s="195">
        <f>IF(B491="","",IF(Z491&gt;0,DEGREES(ATAN(AA491/Z491)),IF(Z491&lt;0,IF(AA491&gt;=0,DEGREES(ATAN(AA491/Z491))+180,DEGREES(ATAN(AA491/Z491))-180),IF(AA491&gt;0,90,IF(AA491&lt;0,-90,0)))))</f>
        <v/>
      </c>
      <c r="AD491" s="195">
        <f>IF(B491="","",LOG10(B491))</f>
        <v/>
      </c>
      <c r="AE491" s="195">
        <f>IF(AB491="","",LOG10(MAX(AB491,1E-12)))</f>
        <v/>
      </c>
      <c r="AF491" s="195">
        <f>IF(B491="","",SQRT(P491^2+Q491^2))</f>
        <v/>
      </c>
      <c r="AG491" s="195">
        <f>IF(B491="","",SQRT(R491^2+S491^2))</f>
        <v/>
      </c>
    </row>
    <row r="492">
      <c r="A492" t="n">
        <v>489</v>
      </c>
      <c r="B492" s="196">
        <f>IF(A492&lt;='入力・概要'!$B$40,10^(LOG10('入力・概要'!$B$38)+(A492-1)*(LOG10('入力・概要'!$B$39)-LOG10('入力・概要'!$B$38))/('入力・概要'!$B$40-1)),"")</f>
        <v/>
      </c>
      <c r="C492" s="195">
        <f>IF(B492="","",2*PI()*B492)</f>
        <v/>
      </c>
      <c r="D492" s="195">
        <f>IF(B492="","",ATANH(MIN(0.999999,'入力・概要'!$E$20/'入力・概要'!$E$9))+'入力・概要'!$B$20*SQRT(B492/1E6)+E492*'入力・概要'!$B$15/2)</f>
        <v/>
      </c>
      <c r="E492" s="195">
        <f>IF(B492="","",C492*('入力・概要'!$E$11*1E-9))</f>
        <v/>
      </c>
      <c r="F492" s="195">
        <f>IF(B492="","",SINH(2*D492)/(COSH(2*D492)+COS(2*E492)))</f>
        <v/>
      </c>
      <c r="G492" s="195">
        <f>IF(B492="","",SIN(2*E492)/(COSH(2*D492)+COS(2*E492)))</f>
        <v/>
      </c>
      <c r="H492" s="195">
        <f>IF(B492="","",ATANH(MIN(0.999999,'入力・概要'!$E$21/'入力・概要'!$E$15))+'入力・概要'!$B$21*SQRT(B492/1E6)+I492*'入力・概要'!$B$16/2)</f>
        <v/>
      </c>
      <c r="I492" s="195">
        <f>IF(B492="","",C492*('入力・概要'!$E$17*1E-9))</f>
        <v/>
      </c>
      <c r="J492" s="195">
        <f>IF(B492="","",SINH(2*H492)/(COSH(2*H492)+COS(2*I492)))</f>
        <v/>
      </c>
      <c r="K492" s="195">
        <f>IF(B492="","",SIN(2*I492)/(COSH(2*H492)+COS(2*I492)))</f>
        <v/>
      </c>
      <c r="L492" s="195">
        <f>IF(B492="","",'入力・概要'!$B$25)</f>
        <v/>
      </c>
      <c r="M492" s="195">
        <f>IF(B492="","",C492*'入力・概要'!$B$26*1E-9-1/(C492*'入力・概要'!$B$24*1E-6))</f>
        <v/>
      </c>
      <c r="N492" s="195">
        <f>IF(B492="","",'入力・概要'!$B$28)</f>
        <v/>
      </c>
      <c r="O492" s="195">
        <f>IF(B492="","",C492*'入力・概要'!$B$29*1E-9-1/(C492*'入力・概要'!$B$27*1E-6))</f>
        <v/>
      </c>
      <c r="P492" s="195">
        <f>IF(B492="","",((L492*N492-M492*O492)*(L492+N492)+(L492*O492+M492*N492)*(M492+O492))/((L492+N492)^2+(M492+O492)^2))</f>
        <v/>
      </c>
      <c r="Q492" s="195">
        <f>IF(B492="","",((L492*O492+M492*N492)*(L492+N492)-(L492*N492-M492*O492)*(M492+O492))/((L492+N492)^2+(M492+O492)^2))</f>
        <v/>
      </c>
      <c r="R492" s="195">
        <f>IF(B492="","",'入力・概要'!$E$15*J492)</f>
        <v/>
      </c>
      <c r="S492" s="195">
        <f>IF(B492="","",'入力・概要'!$E$15*K492)</f>
        <v/>
      </c>
      <c r="T492" s="195">
        <f>IF(B492="","",P492+R492)</f>
        <v/>
      </c>
      <c r="U492" s="195">
        <f>IF(B492="","",Q492+S492)</f>
        <v/>
      </c>
      <c r="V492" s="195">
        <f>IF(B492="","",T492+'入力・概要'!$E$9*F492)</f>
        <v/>
      </c>
      <c r="W492" s="195">
        <f>IF(B492="","",U492+'入力・概要'!$E$9*G492)</f>
        <v/>
      </c>
      <c r="X492" s="195">
        <f>IF(B492="","",'入力・概要'!$E$9+T492*F492-U492*G492)</f>
        <v/>
      </c>
      <c r="Y492" s="195">
        <f>IF(B492="","",T492*G492+U492*F492)</f>
        <v/>
      </c>
      <c r="Z492" s="195">
        <f>IF(B492="","",'入力・概要'!$E$9*(V492*X492+W492*Y492)/(X492^2+Y492^2)+'入力・概要'!$B$36)</f>
        <v/>
      </c>
      <c r="AA492" s="195">
        <f>IF(B492="","",'入力・概要'!$E$9*(W492*X492-V492*Y492)/(X492^2+Y492^2)+C492*'入力・概要'!$B$37*1E-9)</f>
        <v/>
      </c>
      <c r="AB492" s="195">
        <f>IF(B492="","",SQRT(Z492^2+AA492^2))</f>
        <v/>
      </c>
      <c r="AC492" s="195">
        <f>IF(B492="","",IF(Z492&gt;0,DEGREES(ATAN(AA492/Z492)),IF(Z492&lt;0,IF(AA492&gt;=0,DEGREES(ATAN(AA492/Z492))+180,DEGREES(ATAN(AA492/Z492))-180),IF(AA492&gt;0,90,IF(AA492&lt;0,-90,0)))))</f>
        <v/>
      </c>
      <c r="AD492" s="195">
        <f>IF(B492="","",LOG10(B492))</f>
        <v/>
      </c>
      <c r="AE492" s="195">
        <f>IF(AB492="","",LOG10(MAX(AB492,1E-12)))</f>
        <v/>
      </c>
      <c r="AF492" s="195">
        <f>IF(B492="","",SQRT(P492^2+Q492^2))</f>
        <v/>
      </c>
      <c r="AG492" s="195">
        <f>IF(B492="","",SQRT(R492^2+S492^2))</f>
        <v/>
      </c>
    </row>
    <row r="493">
      <c r="A493" t="n">
        <v>490</v>
      </c>
      <c r="B493" s="196">
        <f>IF(A493&lt;='入力・概要'!$B$40,10^(LOG10('入力・概要'!$B$38)+(A493-1)*(LOG10('入力・概要'!$B$39)-LOG10('入力・概要'!$B$38))/('入力・概要'!$B$40-1)),"")</f>
        <v/>
      </c>
      <c r="C493" s="195">
        <f>IF(B493="","",2*PI()*B493)</f>
        <v/>
      </c>
      <c r="D493" s="195">
        <f>IF(B493="","",ATANH(MIN(0.999999,'入力・概要'!$E$20/'入力・概要'!$E$9))+'入力・概要'!$B$20*SQRT(B493/1E6)+E493*'入力・概要'!$B$15/2)</f>
        <v/>
      </c>
      <c r="E493" s="195">
        <f>IF(B493="","",C493*('入力・概要'!$E$11*1E-9))</f>
        <v/>
      </c>
      <c r="F493" s="195">
        <f>IF(B493="","",SINH(2*D493)/(COSH(2*D493)+COS(2*E493)))</f>
        <v/>
      </c>
      <c r="G493" s="195">
        <f>IF(B493="","",SIN(2*E493)/(COSH(2*D493)+COS(2*E493)))</f>
        <v/>
      </c>
      <c r="H493" s="195">
        <f>IF(B493="","",ATANH(MIN(0.999999,'入力・概要'!$E$21/'入力・概要'!$E$15))+'入力・概要'!$B$21*SQRT(B493/1E6)+I493*'入力・概要'!$B$16/2)</f>
        <v/>
      </c>
      <c r="I493" s="195">
        <f>IF(B493="","",C493*('入力・概要'!$E$17*1E-9))</f>
        <v/>
      </c>
      <c r="J493" s="195">
        <f>IF(B493="","",SINH(2*H493)/(COSH(2*H493)+COS(2*I493)))</f>
        <v/>
      </c>
      <c r="K493" s="195">
        <f>IF(B493="","",SIN(2*I493)/(COSH(2*H493)+COS(2*I493)))</f>
        <v/>
      </c>
      <c r="L493" s="195">
        <f>IF(B493="","",'入力・概要'!$B$25)</f>
        <v/>
      </c>
      <c r="M493" s="195">
        <f>IF(B493="","",C493*'入力・概要'!$B$26*1E-9-1/(C493*'入力・概要'!$B$24*1E-6))</f>
        <v/>
      </c>
      <c r="N493" s="195">
        <f>IF(B493="","",'入力・概要'!$B$28)</f>
        <v/>
      </c>
      <c r="O493" s="195">
        <f>IF(B493="","",C493*'入力・概要'!$B$29*1E-9-1/(C493*'入力・概要'!$B$27*1E-6))</f>
        <v/>
      </c>
      <c r="P493" s="195">
        <f>IF(B493="","",((L493*N493-M493*O493)*(L493+N493)+(L493*O493+M493*N493)*(M493+O493))/((L493+N493)^2+(M493+O493)^2))</f>
        <v/>
      </c>
      <c r="Q493" s="195">
        <f>IF(B493="","",((L493*O493+M493*N493)*(L493+N493)-(L493*N493-M493*O493)*(M493+O493))/((L493+N493)^2+(M493+O493)^2))</f>
        <v/>
      </c>
      <c r="R493" s="195">
        <f>IF(B493="","",'入力・概要'!$E$15*J493)</f>
        <v/>
      </c>
      <c r="S493" s="195">
        <f>IF(B493="","",'入力・概要'!$E$15*K493)</f>
        <v/>
      </c>
      <c r="T493" s="195">
        <f>IF(B493="","",P493+R493)</f>
        <v/>
      </c>
      <c r="U493" s="195">
        <f>IF(B493="","",Q493+S493)</f>
        <v/>
      </c>
      <c r="V493" s="195">
        <f>IF(B493="","",T493+'入力・概要'!$E$9*F493)</f>
        <v/>
      </c>
      <c r="W493" s="195">
        <f>IF(B493="","",U493+'入力・概要'!$E$9*G493)</f>
        <v/>
      </c>
      <c r="X493" s="195">
        <f>IF(B493="","",'入力・概要'!$E$9+T493*F493-U493*G493)</f>
        <v/>
      </c>
      <c r="Y493" s="195">
        <f>IF(B493="","",T493*G493+U493*F493)</f>
        <v/>
      </c>
      <c r="Z493" s="195">
        <f>IF(B493="","",'入力・概要'!$E$9*(V493*X493+W493*Y493)/(X493^2+Y493^2)+'入力・概要'!$B$36)</f>
        <v/>
      </c>
      <c r="AA493" s="195">
        <f>IF(B493="","",'入力・概要'!$E$9*(W493*X493-V493*Y493)/(X493^2+Y493^2)+C493*'入力・概要'!$B$37*1E-9)</f>
        <v/>
      </c>
      <c r="AB493" s="195">
        <f>IF(B493="","",SQRT(Z493^2+AA493^2))</f>
        <v/>
      </c>
      <c r="AC493" s="195">
        <f>IF(B493="","",IF(Z493&gt;0,DEGREES(ATAN(AA493/Z493)),IF(Z493&lt;0,IF(AA493&gt;=0,DEGREES(ATAN(AA493/Z493))+180,DEGREES(ATAN(AA493/Z493))-180),IF(AA493&gt;0,90,IF(AA493&lt;0,-90,0)))))</f>
        <v/>
      </c>
      <c r="AD493" s="195">
        <f>IF(B493="","",LOG10(B493))</f>
        <v/>
      </c>
      <c r="AE493" s="195">
        <f>IF(AB493="","",LOG10(MAX(AB493,1E-12)))</f>
        <v/>
      </c>
      <c r="AF493" s="195">
        <f>IF(B493="","",SQRT(P493^2+Q493^2))</f>
        <v/>
      </c>
      <c r="AG493" s="195">
        <f>IF(B493="","",SQRT(R493^2+S493^2))</f>
        <v/>
      </c>
    </row>
    <row r="494">
      <c r="A494" t="n">
        <v>491</v>
      </c>
      <c r="B494" s="196">
        <f>IF(A494&lt;='入力・概要'!$B$40,10^(LOG10('入力・概要'!$B$38)+(A494-1)*(LOG10('入力・概要'!$B$39)-LOG10('入力・概要'!$B$38))/('入力・概要'!$B$40-1)),"")</f>
        <v/>
      </c>
      <c r="C494" s="195">
        <f>IF(B494="","",2*PI()*B494)</f>
        <v/>
      </c>
      <c r="D494" s="195">
        <f>IF(B494="","",ATANH(MIN(0.999999,'入力・概要'!$E$20/'入力・概要'!$E$9))+'入力・概要'!$B$20*SQRT(B494/1E6)+E494*'入力・概要'!$B$15/2)</f>
        <v/>
      </c>
      <c r="E494" s="195">
        <f>IF(B494="","",C494*('入力・概要'!$E$11*1E-9))</f>
        <v/>
      </c>
      <c r="F494" s="195">
        <f>IF(B494="","",SINH(2*D494)/(COSH(2*D494)+COS(2*E494)))</f>
        <v/>
      </c>
      <c r="G494" s="195">
        <f>IF(B494="","",SIN(2*E494)/(COSH(2*D494)+COS(2*E494)))</f>
        <v/>
      </c>
      <c r="H494" s="195">
        <f>IF(B494="","",ATANH(MIN(0.999999,'入力・概要'!$E$21/'入力・概要'!$E$15))+'入力・概要'!$B$21*SQRT(B494/1E6)+I494*'入力・概要'!$B$16/2)</f>
        <v/>
      </c>
      <c r="I494" s="195">
        <f>IF(B494="","",C494*('入力・概要'!$E$17*1E-9))</f>
        <v/>
      </c>
      <c r="J494" s="195">
        <f>IF(B494="","",SINH(2*H494)/(COSH(2*H494)+COS(2*I494)))</f>
        <v/>
      </c>
      <c r="K494" s="195">
        <f>IF(B494="","",SIN(2*I494)/(COSH(2*H494)+COS(2*I494)))</f>
        <v/>
      </c>
      <c r="L494" s="195">
        <f>IF(B494="","",'入力・概要'!$B$25)</f>
        <v/>
      </c>
      <c r="M494" s="195">
        <f>IF(B494="","",C494*'入力・概要'!$B$26*1E-9-1/(C494*'入力・概要'!$B$24*1E-6))</f>
        <v/>
      </c>
      <c r="N494" s="195">
        <f>IF(B494="","",'入力・概要'!$B$28)</f>
        <v/>
      </c>
      <c r="O494" s="195">
        <f>IF(B494="","",C494*'入力・概要'!$B$29*1E-9-1/(C494*'入力・概要'!$B$27*1E-6))</f>
        <v/>
      </c>
      <c r="P494" s="195">
        <f>IF(B494="","",((L494*N494-M494*O494)*(L494+N494)+(L494*O494+M494*N494)*(M494+O494))/((L494+N494)^2+(M494+O494)^2))</f>
        <v/>
      </c>
      <c r="Q494" s="195">
        <f>IF(B494="","",((L494*O494+M494*N494)*(L494+N494)-(L494*N494-M494*O494)*(M494+O494))/((L494+N494)^2+(M494+O494)^2))</f>
        <v/>
      </c>
      <c r="R494" s="195">
        <f>IF(B494="","",'入力・概要'!$E$15*J494)</f>
        <v/>
      </c>
      <c r="S494" s="195">
        <f>IF(B494="","",'入力・概要'!$E$15*K494)</f>
        <v/>
      </c>
      <c r="T494" s="195">
        <f>IF(B494="","",P494+R494)</f>
        <v/>
      </c>
      <c r="U494" s="195">
        <f>IF(B494="","",Q494+S494)</f>
        <v/>
      </c>
      <c r="V494" s="195">
        <f>IF(B494="","",T494+'入力・概要'!$E$9*F494)</f>
        <v/>
      </c>
      <c r="W494" s="195">
        <f>IF(B494="","",U494+'入力・概要'!$E$9*G494)</f>
        <v/>
      </c>
      <c r="X494" s="195">
        <f>IF(B494="","",'入力・概要'!$E$9+T494*F494-U494*G494)</f>
        <v/>
      </c>
      <c r="Y494" s="195">
        <f>IF(B494="","",T494*G494+U494*F494)</f>
        <v/>
      </c>
      <c r="Z494" s="195">
        <f>IF(B494="","",'入力・概要'!$E$9*(V494*X494+W494*Y494)/(X494^2+Y494^2)+'入力・概要'!$B$36)</f>
        <v/>
      </c>
      <c r="AA494" s="195">
        <f>IF(B494="","",'入力・概要'!$E$9*(W494*X494-V494*Y494)/(X494^2+Y494^2)+C494*'入力・概要'!$B$37*1E-9)</f>
        <v/>
      </c>
      <c r="AB494" s="195">
        <f>IF(B494="","",SQRT(Z494^2+AA494^2))</f>
        <v/>
      </c>
      <c r="AC494" s="195">
        <f>IF(B494="","",IF(Z494&gt;0,DEGREES(ATAN(AA494/Z494)),IF(Z494&lt;0,IF(AA494&gt;=0,DEGREES(ATAN(AA494/Z494))+180,DEGREES(ATAN(AA494/Z494))-180),IF(AA494&gt;0,90,IF(AA494&lt;0,-90,0)))))</f>
        <v/>
      </c>
      <c r="AD494" s="195">
        <f>IF(B494="","",LOG10(B494))</f>
        <v/>
      </c>
      <c r="AE494" s="195">
        <f>IF(AB494="","",LOG10(MAX(AB494,1E-12)))</f>
        <v/>
      </c>
      <c r="AF494" s="195">
        <f>IF(B494="","",SQRT(P494^2+Q494^2))</f>
        <v/>
      </c>
      <c r="AG494" s="195">
        <f>IF(B494="","",SQRT(R494^2+S494^2))</f>
        <v/>
      </c>
    </row>
    <row r="495">
      <c r="A495" t="n">
        <v>492</v>
      </c>
      <c r="B495" s="196">
        <f>IF(A495&lt;='入力・概要'!$B$40,10^(LOG10('入力・概要'!$B$38)+(A495-1)*(LOG10('入力・概要'!$B$39)-LOG10('入力・概要'!$B$38))/('入力・概要'!$B$40-1)),"")</f>
        <v/>
      </c>
      <c r="C495" s="195">
        <f>IF(B495="","",2*PI()*B495)</f>
        <v/>
      </c>
      <c r="D495" s="195">
        <f>IF(B495="","",ATANH(MIN(0.999999,'入力・概要'!$E$20/'入力・概要'!$E$9))+'入力・概要'!$B$20*SQRT(B495/1E6)+E495*'入力・概要'!$B$15/2)</f>
        <v/>
      </c>
      <c r="E495" s="195">
        <f>IF(B495="","",C495*('入力・概要'!$E$11*1E-9))</f>
        <v/>
      </c>
      <c r="F495" s="195">
        <f>IF(B495="","",SINH(2*D495)/(COSH(2*D495)+COS(2*E495)))</f>
        <v/>
      </c>
      <c r="G495" s="195">
        <f>IF(B495="","",SIN(2*E495)/(COSH(2*D495)+COS(2*E495)))</f>
        <v/>
      </c>
      <c r="H495" s="195">
        <f>IF(B495="","",ATANH(MIN(0.999999,'入力・概要'!$E$21/'入力・概要'!$E$15))+'入力・概要'!$B$21*SQRT(B495/1E6)+I495*'入力・概要'!$B$16/2)</f>
        <v/>
      </c>
      <c r="I495" s="195">
        <f>IF(B495="","",C495*('入力・概要'!$E$17*1E-9))</f>
        <v/>
      </c>
      <c r="J495" s="195">
        <f>IF(B495="","",SINH(2*H495)/(COSH(2*H495)+COS(2*I495)))</f>
        <v/>
      </c>
      <c r="K495" s="195">
        <f>IF(B495="","",SIN(2*I495)/(COSH(2*H495)+COS(2*I495)))</f>
        <v/>
      </c>
      <c r="L495" s="195">
        <f>IF(B495="","",'入力・概要'!$B$25)</f>
        <v/>
      </c>
      <c r="M495" s="195">
        <f>IF(B495="","",C495*'入力・概要'!$B$26*1E-9-1/(C495*'入力・概要'!$B$24*1E-6))</f>
        <v/>
      </c>
      <c r="N495" s="195">
        <f>IF(B495="","",'入力・概要'!$B$28)</f>
        <v/>
      </c>
      <c r="O495" s="195">
        <f>IF(B495="","",C495*'入力・概要'!$B$29*1E-9-1/(C495*'入力・概要'!$B$27*1E-6))</f>
        <v/>
      </c>
      <c r="P495" s="195">
        <f>IF(B495="","",((L495*N495-M495*O495)*(L495+N495)+(L495*O495+M495*N495)*(M495+O495))/((L495+N495)^2+(M495+O495)^2))</f>
        <v/>
      </c>
      <c r="Q495" s="195">
        <f>IF(B495="","",((L495*O495+M495*N495)*(L495+N495)-(L495*N495-M495*O495)*(M495+O495))/((L495+N495)^2+(M495+O495)^2))</f>
        <v/>
      </c>
      <c r="R495" s="195">
        <f>IF(B495="","",'入力・概要'!$E$15*J495)</f>
        <v/>
      </c>
      <c r="S495" s="195">
        <f>IF(B495="","",'入力・概要'!$E$15*K495)</f>
        <v/>
      </c>
      <c r="T495" s="195">
        <f>IF(B495="","",P495+R495)</f>
        <v/>
      </c>
      <c r="U495" s="195">
        <f>IF(B495="","",Q495+S495)</f>
        <v/>
      </c>
      <c r="V495" s="195">
        <f>IF(B495="","",T495+'入力・概要'!$E$9*F495)</f>
        <v/>
      </c>
      <c r="W495" s="195">
        <f>IF(B495="","",U495+'入力・概要'!$E$9*G495)</f>
        <v/>
      </c>
      <c r="X495" s="195">
        <f>IF(B495="","",'入力・概要'!$E$9+T495*F495-U495*G495)</f>
        <v/>
      </c>
      <c r="Y495" s="195">
        <f>IF(B495="","",T495*G495+U495*F495)</f>
        <v/>
      </c>
      <c r="Z495" s="195">
        <f>IF(B495="","",'入力・概要'!$E$9*(V495*X495+W495*Y495)/(X495^2+Y495^2)+'入力・概要'!$B$36)</f>
        <v/>
      </c>
      <c r="AA495" s="195">
        <f>IF(B495="","",'入力・概要'!$E$9*(W495*X495-V495*Y495)/(X495^2+Y495^2)+C495*'入力・概要'!$B$37*1E-9)</f>
        <v/>
      </c>
      <c r="AB495" s="195">
        <f>IF(B495="","",SQRT(Z495^2+AA495^2))</f>
        <v/>
      </c>
      <c r="AC495" s="195">
        <f>IF(B495="","",IF(Z495&gt;0,DEGREES(ATAN(AA495/Z495)),IF(Z495&lt;0,IF(AA495&gt;=0,DEGREES(ATAN(AA495/Z495))+180,DEGREES(ATAN(AA495/Z495))-180),IF(AA495&gt;0,90,IF(AA495&lt;0,-90,0)))))</f>
        <v/>
      </c>
      <c r="AD495" s="195">
        <f>IF(B495="","",LOG10(B495))</f>
        <v/>
      </c>
      <c r="AE495" s="195">
        <f>IF(AB495="","",LOG10(MAX(AB495,1E-12)))</f>
        <v/>
      </c>
      <c r="AF495" s="195">
        <f>IF(B495="","",SQRT(P495^2+Q495^2))</f>
        <v/>
      </c>
      <c r="AG495" s="195">
        <f>IF(B495="","",SQRT(R495^2+S495^2))</f>
        <v/>
      </c>
    </row>
    <row r="496">
      <c r="A496" t="n">
        <v>493</v>
      </c>
      <c r="B496" s="196">
        <f>IF(A496&lt;='入力・概要'!$B$40,10^(LOG10('入力・概要'!$B$38)+(A496-1)*(LOG10('入力・概要'!$B$39)-LOG10('入力・概要'!$B$38))/('入力・概要'!$B$40-1)),"")</f>
        <v/>
      </c>
      <c r="C496" s="195">
        <f>IF(B496="","",2*PI()*B496)</f>
        <v/>
      </c>
      <c r="D496" s="195">
        <f>IF(B496="","",ATANH(MIN(0.999999,'入力・概要'!$E$20/'入力・概要'!$E$9))+'入力・概要'!$B$20*SQRT(B496/1E6)+E496*'入力・概要'!$B$15/2)</f>
        <v/>
      </c>
      <c r="E496" s="195">
        <f>IF(B496="","",C496*('入力・概要'!$E$11*1E-9))</f>
        <v/>
      </c>
      <c r="F496" s="195">
        <f>IF(B496="","",SINH(2*D496)/(COSH(2*D496)+COS(2*E496)))</f>
        <v/>
      </c>
      <c r="G496" s="195">
        <f>IF(B496="","",SIN(2*E496)/(COSH(2*D496)+COS(2*E496)))</f>
        <v/>
      </c>
      <c r="H496" s="195">
        <f>IF(B496="","",ATANH(MIN(0.999999,'入力・概要'!$E$21/'入力・概要'!$E$15))+'入力・概要'!$B$21*SQRT(B496/1E6)+I496*'入力・概要'!$B$16/2)</f>
        <v/>
      </c>
      <c r="I496" s="195">
        <f>IF(B496="","",C496*('入力・概要'!$E$17*1E-9))</f>
        <v/>
      </c>
      <c r="J496" s="195">
        <f>IF(B496="","",SINH(2*H496)/(COSH(2*H496)+COS(2*I496)))</f>
        <v/>
      </c>
      <c r="K496" s="195">
        <f>IF(B496="","",SIN(2*I496)/(COSH(2*H496)+COS(2*I496)))</f>
        <v/>
      </c>
      <c r="L496" s="195">
        <f>IF(B496="","",'入力・概要'!$B$25)</f>
        <v/>
      </c>
      <c r="M496" s="195">
        <f>IF(B496="","",C496*'入力・概要'!$B$26*1E-9-1/(C496*'入力・概要'!$B$24*1E-6))</f>
        <v/>
      </c>
      <c r="N496" s="195">
        <f>IF(B496="","",'入力・概要'!$B$28)</f>
        <v/>
      </c>
      <c r="O496" s="195">
        <f>IF(B496="","",C496*'入力・概要'!$B$29*1E-9-1/(C496*'入力・概要'!$B$27*1E-6))</f>
        <v/>
      </c>
      <c r="P496" s="195">
        <f>IF(B496="","",((L496*N496-M496*O496)*(L496+N496)+(L496*O496+M496*N496)*(M496+O496))/((L496+N496)^2+(M496+O496)^2))</f>
        <v/>
      </c>
      <c r="Q496" s="195">
        <f>IF(B496="","",((L496*O496+M496*N496)*(L496+N496)-(L496*N496-M496*O496)*(M496+O496))/((L496+N496)^2+(M496+O496)^2))</f>
        <v/>
      </c>
      <c r="R496" s="195">
        <f>IF(B496="","",'入力・概要'!$E$15*J496)</f>
        <v/>
      </c>
      <c r="S496" s="195">
        <f>IF(B496="","",'入力・概要'!$E$15*K496)</f>
        <v/>
      </c>
      <c r="T496" s="195">
        <f>IF(B496="","",P496+R496)</f>
        <v/>
      </c>
      <c r="U496" s="195">
        <f>IF(B496="","",Q496+S496)</f>
        <v/>
      </c>
      <c r="V496" s="195">
        <f>IF(B496="","",T496+'入力・概要'!$E$9*F496)</f>
        <v/>
      </c>
      <c r="W496" s="195">
        <f>IF(B496="","",U496+'入力・概要'!$E$9*G496)</f>
        <v/>
      </c>
      <c r="X496" s="195">
        <f>IF(B496="","",'入力・概要'!$E$9+T496*F496-U496*G496)</f>
        <v/>
      </c>
      <c r="Y496" s="195">
        <f>IF(B496="","",T496*G496+U496*F496)</f>
        <v/>
      </c>
      <c r="Z496" s="195">
        <f>IF(B496="","",'入力・概要'!$E$9*(V496*X496+W496*Y496)/(X496^2+Y496^2)+'入力・概要'!$B$36)</f>
        <v/>
      </c>
      <c r="AA496" s="195">
        <f>IF(B496="","",'入力・概要'!$E$9*(W496*X496-V496*Y496)/(X496^2+Y496^2)+C496*'入力・概要'!$B$37*1E-9)</f>
        <v/>
      </c>
      <c r="AB496" s="195">
        <f>IF(B496="","",SQRT(Z496^2+AA496^2))</f>
        <v/>
      </c>
      <c r="AC496" s="195">
        <f>IF(B496="","",IF(Z496&gt;0,DEGREES(ATAN(AA496/Z496)),IF(Z496&lt;0,IF(AA496&gt;=0,DEGREES(ATAN(AA496/Z496))+180,DEGREES(ATAN(AA496/Z496))-180),IF(AA496&gt;0,90,IF(AA496&lt;0,-90,0)))))</f>
        <v/>
      </c>
      <c r="AD496" s="195">
        <f>IF(B496="","",LOG10(B496))</f>
        <v/>
      </c>
      <c r="AE496" s="195">
        <f>IF(AB496="","",LOG10(MAX(AB496,1E-12)))</f>
        <v/>
      </c>
      <c r="AF496" s="195">
        <f>IF(B496="","",SQRT(P496^2+Q496^2))</f>
        <v/>
      </c>
      <c r="AG496" s="195">
        <f>IF(B496="","",SQRT(R496^2+S496^2))</f>
        <v/>
      </c>
    </row>
    <row r="497">
      <c r="A497" t="n">
        <v>494</v>
      </c>
      <c r="B497" s="196">
        <f>IF(A497&lt;='入力・概要'!$B$40,10^(LOG10('入力・概要'!$B$38)+(A497-1)*(LOG10('入力・概要'!$B$39)-LOG10('入力・概要'!$B$38))/('入力・概要'!$B$40-1)),"")</f>
        <v/>
      </c>
      <c r="C497" s="195">
        <f>IF(B497="","",2*PI()*B497)</f>
        <v/>
      </c>
      <c r="D497" s="195">
        <f>IF(B497="","",ATANH(MIN(0.999999,'入力・概要'!$E$20/'入力・概要'!$E$9))+'入力・概要'!$B$20*SQRT(B497/1E6)+E497*'入力・概要'!$B$15/2)</f>
        <v/>
      </c>
      <c r="E497" s="195">
        <f>IF(B497="","",C497*('入力・概要'!$E$11*1E-9))</f>
        <v/>
      </c>
      <c r="F497" s="195">
        <f>IF(B497="","",SINH(2*D497)/(COSH(2*D497)+COS(2*E497)))</f>
        <v/>
      </c>
      <c r="G497" s="195">
        <f>IF(B497="","",SIN(2*E497)/(COSH(2*D497)+COS(2*E497)))</f>
        <v/>
      </c>
      <c r="H497" s="195">
        <f>IF(B497="","",ATANH(MIN(0.999999,'入力・概要'!$E$21/'入力・概要'!$E$15))+'入力・概要'!$B$21*SQRT(B497/1E6)+I497*'入力・概要'!$B$16/2)</f>
        <v/>
      </c>
      <c r="I497" s="195">
        <f>IF(B497="","",C497*('入力・概要'!$E$17*1E-9))</f>
        <v/>
      </c>
      <c r="J497" s="195">
        <f>IF(B497="","",SINH(2*H497)/(COSH(2*H497)+COS(2*I497)))</f>
        <v/>
      </c>
      <c r="K497" s="195">
        <f>IF(B497="","",SIN(2*I497)/(COSH(2*H497)+COS(2*I497)))</f>
        <v/>
      </c>
      <c r="L497" s="195">
        <f>IF(B497="","",'入力・概要'!$B$25)</f>
        <v/>
      </c>
      <c r="M497" s="195">
        <f>IF(B497="","",C497*'入力・概要'!$B$26*1E-9-1/(C497*'入力・概要'!$B$24*1E-6))</f>
        <v/>
      </c>
      <c r="N497" s="195">
        <f>IF(B497="","",'入力・概要'!$B$28)</f>
        <v/>
      </c>
      <c r="O497" s="195">
        <f>IF(B497="","",C497*'入力・概要'!$B$29*1E-9-1/(C497*'入力・概要'!$B$27*1E-6))</f>
        <v/>
      </c>
      <c r="P497" s="195">
        <f>IF(B497="","",((L497*N497-M497*O497)*(L497+N497)+(L497*O497+M497*N497)*(M497+O497))/((L497+N497)^2+(M497+O497)^2))</f>
        <v/>
      </c>
      <c r="Q497" s="195">
        <f>IF(B497="","",((L497*O497+M497*N497)*(L497+N497)-(L497*N497-M497*O497)*(M497+O497))/((L497+N497)^2+(M497+O497)^2))</f>
        <v/>
      </c>
      <c r="R497" s="195">
        <f>IF(B497="","",'入力・概要'!$E$15*J497)</f>
        <v/>
      </c>
      <c r="S497" s="195">
        <f>IF(B497="","",'入力・概要'!$E$15*K497)</f>
        <v/>
      </c>
      <c r="T497" s="195">
        <f>IF(B497="","",P497+R497)</f>
        <v/>
      </c>
      <c r="U497" s="195">
        <f>IF(B497="","",Q497+S497)</f>
        <v/>
      </c>
      <c r="V497" s="195">
        <f>IF(B497="","",T497+'入力・概要'!$E$9*F497)</f>
        <v/>
      </c>
      <c r="W497" s="195">
        <f>IF(B497="","",U497+'入力・概要'!$E$9*G497)</f>
        <v/>
      </c>
      <c r="X497" s="195">
        <f>IF(B497="","",'入力・概要'!$E$9+T497*F497-U497*G497)</f>
        <v/>
      </c>
      <c r="Y497" s="195">
        <f>IF(B497="","",T497*G497+U497*F497)</f>
        <v/>
      </c>
      <c r="Z497" s="195">
        <f>IF(B497="","",'入力・概要'!$E$9*(V497*X497+W497*Y497)/(X497^2+Y497^2)+'入力・概要'!$B$36)</f>
        <v/>
      </c>
      <c r="AA497" s="195">
        <f>IF(B497="","",'入力・概要'!$E$9*(W497*X497-V497*Y497)/(X497^2+Y497^2)+C497*'入力・概要'!$B$37*1E-9)</f>
        <v/>
      </c>
      <c r="AB497" s="195">
        <f>IF(B497="","",SQRT(Z497^2+AA497^2))</f>
        <v/>
      </c>
      <c r="AC497" s="195">
        <f>IF(B497="","",IF(Z497&gt;0,DEGREES(ATAN(AA497/Z497)),IF(Z497&lt;0,IF(AA497&gt;=0,DEGREES(ATAN(AA497/Z497))+180,DEGREES(ATAN(AA497/Z497))-180),IF(AA497&gt;0,90,IF(AA497&lt;0,-90,0)))))</f>
        <v/>
      </c>
      <c r="AD497" s="195">
        <f>IF(B497="","",LOG10(B497))</f>
        <v/>
      </c>
      <c r="AE497" s="195">
        <f>IF(AB497="","",LOG10(MAX(AB497,1E-12)))</f>
        <v/>
      </c>
      <c r="AF497" s="195">
        <f>IF(B497="","",SQRT(P497^2+Q497^2))</f>
        <v/>
      </c>
      <c r="AG497" s="195">
        <f>IF(B497="","",SQRT(R497^2+S497^2))</f>
        <v/>
      </c>
    </row>
    <row r="498">
      <c r="A498" t="n">
        <v>495</v>
      </c>
      <c r="B498" s="196">
        <f>IF(A498&lt;='入力・概要'!$B$40,10^(LOG10('入力・概要'!$B$38)+(A498-1)*(LOG10('入力・概要'!$B$39)-LOG10('入力・概要'!$B$38))/('入力・概要'!$B$40-1)),"")</f>
        <v/>
      </c>
      <c r="C498" s="195">
        <f>IF(B498="","",2*PI()*B498)</f>
        <v/>
      </c>
      <c r="D498" s="195">
        <f>IF(B498="","",ATANH(MIN(0.999999,'入力・概要'!$E$20/'入力・概要'!$E$9))+'入力・概要'!$B$20*SQRT(B498/1E6)+E498*'入力・概要'!$B$15/2)</f>
        <v/>
      </c>
      <c r="E498" s="195">
        <f>IF(B498="","",C498*('入力・概要'!$E$11*1E-9))</f>
        <v/>
      </c>
      <c r="F498" s="195">
        <f>IF(B498="","",SINH(2*D498)/(COSH(2*D498)+COS(2*E498)))</f>
        <v/>
      </c>
      <c r="G498" s="195">
        <f>IF(B498="","",SIN(2*E498)/(COSH(2*D498)+COS(2*E498)))</f>
        <v/>
      </c>
      <c r="H498" s="195">
        <f>IF(B498="","",ATANH(MIN(0.999999,'入力・概要'!$E$21/'入力・概要'!$E$15))+'入力・概要'!$B$21*SQRT(B498/1E6)+I498*'入力・概要'!$B$16/2)</f>
        <v/>
      </c>
      <c r="I498" s="195">
        <f>IF(B498="","",C498*('入力・概要'!$E$17*1E-9))</f>
        <v/>
      </c>
      <c r="J498" s="195">
        <f>IF(B498="","",SINH(2*H498)/(COSH(2*H498)+COS(2*I498)))</f>
        <v/>
      </c>
      <c r="K498" s="195">
        <f>IF(B498="","",SIN(2*I498)/(COSH(2*H498)+COS(2*I498)))</f>
        <v/>
      </c>
      <c r="L498" s="195">
        <f>IF(B498="","",'入力・概要'!$B$25)</f>
        <v/>
      </c>
      <c r="M498" s="195">
        <f>IF(B498="","",C498*'入力・概要'!$B$26*1E-9-1/(C498*'入力・概要'!$B$24*1E-6))</f>
        <v/>
      </c>
      <c r="N498" s="195">
        <f>IF(B498="","",'入力・概要'!$B$28)</f>
        <v/>
      </c>
      <c r="O498" s="195">
        <f>IF(B498="","",C498*'入力・概要'!$B$29*1E-9-1/(C498*'入力・概要'!$B$27*1E-6))</f>
        <v/>
      </c>
      <c r="P498" s="195">
        <f>IF(B498="","",((L498*N498-M498*O498)*(L498+N498)+(L498*O498+M498*N498)*(M498+O498))/((L498+N498)^2+(M498+O498)^2))</f>
        <v/>
      </c>
      <c r="Q498" s="195">
        <f>IF(B498="","",((L498*O498+M498*N498)*(L498+N498)-(L498*N498-M498*O498)*(M498+O498))/((L498+N498)^2+(M498+O498)^2))</f>
        <v/>
      </c>
      <c r="R498" s="195">
        <f>IF(B498="","",'入力・概要'!$E$15*J498)</f>
        <v/>
      </c>
      <c r="S498" s="195">
        <f>IF(B498="","",'入力・概要'!$E$15*K498)</f>
        <v/>
      </c>
      <c r="T498" s="195">
        <f>IF(B498="","",P498+R498)</f>
        <v/>
      </c>
      <c r="U498" s="195">
        <f>IF(B498="","",Q498+S498)</f>
        <v/>
      </c>
      <c r="V498" s="195">
        <f>IF(B498="","",T498+'入力・概要'!$E$9*F498)</f>
        <v/>
      </c>
      <c r="W498" s="195">
        <f>IF(B498="","",U498+'入力・概要'!$E$9*G498)</f>
        <v/>
      </c>
      <c r="X498" s="195">
        <f>IF(B498="","",'入力・概要'!$E$9+T498*F498-U498*G498)</f>
        <v/>
      </c>
      <c r="Y498" s="195">
        <f>IF(B498="","",T498*G498+U498*F498)</f>
        <v/>
      </c>
      <c r="Z498" s="195">
        <f>IF(B498="","",'入力・概要'!$E$9*(V498*X498+W498*Y498)/(X498^2+Y498^2)+'入力・概要'!$B$36)</f>
        <v/>
      </c>
      <c r="AA498" s="195">
        <f>IF(B498="","",'入力・概要'!$E$9*(W498*X498-V498*Y498)/(X498^2+Y498^2)+C498*'入力・概要'!$B$37*1E-9)</f>
        <v/>
      </c>
      <c r="AB498" s="195">
        <f>IF(B498="","",SQRT(Z498^2+AA498^2))</f>
        <v/>
      </c>
      <c r="AC498" s="195">
        <f>IF(B498="","",IF(Z498&gt;0,DEGREES(ATAN(AA498/Z498)),IF(Z498&lt;0,IF(AA498&gt;=0,DEGREES(ATAN(AA498/Z498))+180,DEGREES(ATAN(AA498/Z498))-180),IF(AA498&gt;0,90,IF(AA498&lt;0,-90,0)))))</f>
        <v/>
      </c>
      <c r="AD498" s="195">
        <f>IF(B498="","",LOG10(B498))</f>
        <v/>
      </c>
      <c r="AE498" s="195">
        <f>IF(AB498="","",LOG10(MAX(AB498,1E-12)))</f>
        <v/>
      </c>
      <c r="AF498" s="195">
        <f>IF(B498="","",SQRT(P498^2+Q498^2))</f>
        <v/>
      </c>
      <c r="AG498" s="195">
        <f>IF(B498="","",SQRT(R498^2+S498^2))</f>
        <v/>
      </c>
    </row>
    <row r="499">
      <c r="A499" t="n">
        <v>496</v>
      </c>
      <c r="B499" s="196">
        <f>IF(A499&lt;='入力・概要'!$B$40,10^(LOG10('入力・概要'!$B$38)+(A499-1)*(LOG10('入力・概要'!$B$39)-LOG10('入力・概要'!$B$38))/('入力・概要'!$B$40-1)),"")</f>
        <v/>
      </c>
      <c r="C499" s="195">
        <f>IF(B499="","",2*PI()*B499)</f>
        <v/>
      </c>
      <c r="D499" s="195">
        <f>IF(B499="","",ATANH(MIN(0.999999,'入力・概要'!$E$20/'入力・概要'!$E$9))+'入力・概要'!$B$20*SQRT(B499/1E6)+E499*'入力・概要'!$B$15/2)</f>
        <v/>
      </c>
      <c r="E499" s="195">
        <f>IF(B499="","",C499*('入力・概要'!$E$11*1E-9))</f>
        <v/>
      </c>
      <c r="F499" s="195">
        <f>IF(B499="","",SINH(2*D499)/(COSH(2*D499)+COS(2*E499)))</f>
        <v/>
      </c>
      <c r="G499" s="195">
        <f>IF(B499="","",SIN(2*E499)/(COSH(2*D499)+COS(2*E499)))</f>
        <v/>
      </c>
      <c r="H499" s="195">
        <f>IF(B499="","",ATANH(MIN(0.999999,'入力・概要'!$E$21/'入力・概要'!$E$15))+'入力・概要'!$B$21*SQRT(B499/1E6)+I499*'入力・概要'!$B$16/2)</f>
        <v/>
      </c>
      <c r="I499" s="195">
        <f>IF(B499="","",C499*('入力・概要'!$E$17*1E-9))</f>
        <v/>
      </c>
      <c r="J499" s="195">
        <f>IF(B499="","",SINH(2*H499)/(COSH(2*H499)+COS(2*I499)))</f>
        <v/>
      </c>
      <c r="K499" s="195">
        <f>IF(B499="","",SIN(2*I499)/(COSH(2*H499)+COS(2*I499)))</f>
        <v/>
      </c>
      <c r="L499" s="195">
        <f>IF(B499="","",'入力・概要'!$B$25)</f>
        <v/>
      </c>
      <c r="M499" s="195">
        <f>IF(B499="","",C499*'入力・概要'!$B$26*1E-9-1/(C499*'入力・概要'!$B$24*1E-6))</f>
        <v/>
      </c>
      <c r="N499" s="195">
        <f>IF(B499="","",'入力・概要'!$B$28)</f>
        <v/>
      </c>
      <c r="O499" s="195">
        <f>IF(B499="","",C499*'入力・概要'!$B$29*1E-9-1/(C499*'入力・概要'!$B$27*1E-6))</f>
        <v/>
      </c>
      <c r="P499" s="195">
        <f>IF(B499="","",((L499*N499-M499*O499)*(L499+N499)+(L499*O499+M499*N499)*(M499+O499))/((L499+N499)^2+(M499+O499)^2))</f>
        <v/>
      </c>
      <c r="Q499" s="195">
        <f>IF(B499="","",((L499*O499+M499*N499)*(L499+N499)-(L499*N499-M499*O499)*(M499+O499))/((L499+N499)^2+(M499+O499)^2))</f>
        <v/>
      </c>
      <c r="R499" s="195">
        <f>IF(B499="","",'入力・概要'!$E$15*J499)</f>
        <v/>
      </c>
      <c r="S499" s="195">
        <f>IF(B499="","",'入力・概要'!$E$15*K499)</f>
        <v/>
      </c>
      <c r="T499" s="195">
        <f>IF(B499="","",P499+R499)</f>
        <v/>
      </c>
      <c r="U499" s="195">
        <f>IF(B499="","",Q499+S499)</f>
        <v/>
      </c>
      <c r="V499" s="195">
        <f>IF(B499="","",T499+'入力・概要'!$E$9*F499)</f>
        <v/>
      </c>
      <c r="W499" s="195">
        <f>IF(B499="","",U499+'入力・概要'!$E$9*G499)</f>
        <v/>
      </c>
      <c r="X499" s="195">
        <f>IF(B499="","",'入力・概要'!$E$9+T499*F499-U499*G499)</f>
        <v/>
      </c>
      <c r="Y499" s="195">
        <f>IF(B499="","",T499*G499+U499*F499)</f>
        <v/>
      </c>
      <c r="Z499" s="195">
        <f>IF(B499="","",'入力・概要'!$E$9*(V499*X499+W499*Y499)/(X499^2+Y499^2)+'入力・概要'!$B$36)</f>
        <v/>
      </c>
      <c r="AA499" s="195">
        <f>IF(B499="","",'入力・概要'!$E$9*(W499*X499-V499*Y499)/(X499^2+Y499^2)+C499*'入力・概要'!$B$37*1E-9)</f>
        <v/>
      </c>
      <c r="AB499" s="195">
        <f>IF(B499="","",SQRT(Z499^2+AA499^2))</f>
        <v/>
      </c>
      <c r="AC499" s="195">
        <f>IF(B499="","",IF(Z499&gt;0,DEGREES(ATAN(AA499/Z499)),IF(Z499&lt;0,IF(AA499&gt;=0,DEGREES(ATAN(AA499/Z499))+180,DEGREES(ATAN(AA499/Z499))-180),IF(AA499&gt;0,90,IF(AA499&lt;0,-90,0)))))</f>
        <v/>
      </c>
      <c r="AD499" s="195">
        <f>IF(B499="","",LOG10(B499))</f>
        <v/>
      </c>
      <c r="AE499" s="195">
        <f>IF(AB499="","",LOG10(MAX(AB499,1E-12)))</f>
        <v/>
      </c>
      <c r="AF499" s="195">
        <f>IF(B499="","",SQRT(P499^2+Q499^2))</f>
        <v/>
      </c>
      <c r="AG499" s="195">
        <f>IF(B499="","",SQRT(R499^2+S499^2))</f>
        <v/>
      </c>
    </row>
    <row r="500">
      <c r="A500" t="n">
        <v>497</v>
      </c>
      <c r="B500" s="196">
        <f>IF(A500&lt;='入力・概要'!$B$40,10^(LOG10('入力・概要'!$B$38)+(A500-1)*(LOG10('入力・概要'!$B$39)-LOG10('入力・概要'!$B$38))/('入力・概要'!$B$40-1)),"")</f>
        <v/>
      </c>
      <c r="C500" s="195">
        <f>IF(B500="","",2*PI()*B500)</f>
        <v/>
      </c>
      <c r="D500" s="195">
        <f>IF(B500="","",ATANH(MIN(0.999999,'入力・概要'!$E$20/'入力・概要'!$E$9))+'入力・概要'!$B$20*SQRT(B500/1E6)+E500*'入力・概要'!$B$15/2)</f>
        <v/>
      </c>
      <c r="E500" s="195">
        <f>IF(B500="","",C500*('入力・概要'!$E$11*1E-9))</f>
        <v/>
      </c>
      <c r="F500" s="195">
        <f>IF(B500="","",SINH(2*D500)/(COSH(2*D500)+COS(2*E500)))</f>
        <v/>
      </c>
      <c r="G500" s="195">
        <f>IF(B500="","",SIN(2*E500)/(COSH(2*D500)+COS(2*E500)))</f>
        <v/>
      </c>
      <c r="H500" s="195">
        <f>IF(B500="","",ATANH(MIN(0.999999,'入力・概要'!$E$21/'入力・概要'!$E$15))+'入力・概要'!$B$21*SQRT(B500/1E6)+I500*'入力・概要'!$B$16/2)</f>
        <v/>
      </c>
      <c r="I500" s="195">
        <f>IF(B500="","",C500*('入力・概要'!$E$17*1E-9))</f>
        <v/>
      </c>
      <c r="J500" s="195">
        <f>IF(B500="","",SINH(2*H500)/(COSH(2*H500)+COS(2*I500)))</f>
        <v/>
      </c>
      <c r="K500" s="195">
        <f>IF(B500="","",SIN(2*I500)/(COSH(2*H500)+COS(2*I500)))</f>
        <v/>
      </c>
      <c r="L500" s="195">
        <f>IF(B500="","",'入力・概要'!$B$25)</f>
        <v/>
      </c>
      <c r="M500" s="195">
        <f>IF(B500="","",C500*'入力・概要'!$B$26*1E-9-1/(C500*'入力・概要'!$B$24*1E-6))</f>
        <v/>
      </c>
      <c r="N500" s="195">
        <f>IF(B500="","",'入力・概要'!$B$28)</f>
        <v/>
      </c>
      <c r="O500" s="195">
        <f>IF(B500="","",C500*'入力・概要'!$B$29*1E-9-1/(C500*'入力・概要'!$B$27*1E-6))</f>
        <v/>
      </c>
      <c r="P500" s="195">
        <f>IF(B500="","",((L500*N500-M500*O500)*(L500+N500)+(L500*O500+M500*N500)*(M500+O500))/((L500+N500)^2+(M500+O500)^2))</f>
        <v/>
      </c>
      <c r="Q500" s="195">
        <f>IF(B500="","",((L500*O500+M500*N500)*(L500+N500)-(L500*N500-M500*O500)*(M500+O500))/((L500+N500)^2+(M500+O500)^2))</f>
        <v/>
      </c>
      <c r="R500" s="195">
        <f>IF(B500="","",'入力・概要'!$E$15*J500)</f>
        <v/>
      </c>
      <c r="S500" s="195">
        <f>IF(B500="","",'入力・概要'!$E$15*K500)</f>
        <v/>
      </c>
      <c r="T500" s="195">
        <f>IF(B500="","",P500+R500)</f>
        <v/>
      </c>
      <c r="U500" s="195">
        <f>IF(B500="","",Q500+S500)</f>
        <v/>
      </c>
      <c r="V500" s="195">
        <f>IF(B500="","",T500+'入力・概要'!$E$9*F500)</f>
        <v/>
      </c>
      <c r="W500" s="195">
        <f>IF(B500="","",U500+'入力・概要'!$E$9*G500)</f>
        <v/>
      </c>
      <c r="X500" s="195">
        <f>IF(B500="","",'入力・概要'!$E$9+T500*F500-U500*G500)</f>
        <v/>
      </c>
      <c r="Y500" s="195">
        <f>IF(B500="","",T500*G500+U500*F500)</f>
        <v/>
      </c>
      <c r="Z500" s="195">
        <f>IF(B500="","",'入力・概要'!$E$9*(V500*X500+W500*Y500)/(X500^2+Y500^2)+'入力・概要'!$B$36)</f>
        <v/>
      </c>
      <c r="AA500" s="195">
        <f>IF(B500="","",'入力・概要'!$E$9*(W500*X500-V500*Y500)/(X500^2+Y500^2)+C500*'入力・概要'!$B$37*1E-9)</f>
        <v/>
      </c>
      <c r="AB500" s="195">
        <f>IF(B500="","",SQRT(Z500^2+AA500^2))</f>
        <v/>
      </c>
      <c r="AC500" s="195">
        <f>IF(B500="","",IF(Z500&gt;0,DEGREES(ATAN(AA500/Z500)),IF(Z500&lt;0,IF(AA500&gt;=0,DEGREES(ATAN(AA500/Z500))+180,DEGREES(ATAN(AA500/Z500))-180),IF(AA500&gt;0,90,IF(AA500&lt;0,-90,0)))))</f>
        <v/>
      </c>
      <c r="AD500" s="195">
        <f>IF(B500="","",LOG10(B500))</f>
        <v/>
      </c>
      <c r="AE500" s="195">
        <f>IF(AB500="","",LOG10(MAX(AB500,1E-12)))</f>
        <v/>
      </c>
      <c r="AF500" s="195">
        <f>IF(B500="","",SQRT(P500^2+Q500^2))</f>
        <v/>
      </c>
      <c r="AG500" s="195">
        <f>IF(B500="","",SQRT(R500^2+S500^2))</f>
        <v/>
      </c>
    </row>
    <row r="501">
      <c r="A501" t="n">
        <v>498</v>
      </c>
      <c r="B501" s="196">
        <f>IF(A501&lt;='入力・概要'!$B$40,10^(LOG10('入力・概要'!$B$38)+(A501-1)*(LOG10('入力・概要'!$B$39)-LOG10('入力・概要'!$B$38))/('入力・概要'!$B$40-1)),"")</f>
        <v/>
      </c>
      <c r="C501" s="195">
        <f>IF(B501="","",2*PI()*B501)</f>
        <v/>
      </c>
      <c r="D501" s="195">
        <f>IF(B501="","",ATANH(MIN(0.999999,'入力・概要'!$E$20/'入力・概要'!$E$9))+'入力・概要'!$B$20*SQRT(B501/1E6)+E501*'入力・概要'!$B$15/2)</f>
        <v/>
      </c>
      <c r="E501" s="195">
        <f>IF(B501="","",C501*('入力・概要'!$E$11*1E-9))</f>
        <v/>
      </c>
      <c r="F501" s="195">
        <f>IF(B501="","",SINH(2*D501)/(COSH(2*D501)+COS(2*E501)))</f>
        <v/>
      </c>
      <c r="G501" s="195">
        <f>IF(B501="","",SIN(2*E501)/(COSH(2*D501)+COS(2*E501)))</f>
        <v/>
      </c>
      <c r="H501" s="195">
        <f>IF(B501="","",ATANH(MIN(0.999999,'入力・概要'!$E$21/'入力・概要'!$E$15))+'入力・概要'!$B$21*SQRT(B501/1E6)+I501*'入力・概要'!$B$16/2)</f>
        <v/>
      </c>
      <c r="I501" s="195">
        <f>IF(B501="","",C501*('入力・概要'!$E$17*1E-9))</f>
        <v/>
      </c>
      <c r="J501" s="195">
        <f>IF(B501="","",SINH(2*H501)/(COSH(2*H501)+COS(2*I501)))</f>
        <v/>
      </c>
      <c r="K501" s="195">
        <f>IF(B501="","",SIN(2*I501)/(COSH(2*H501)+COS(2*I501)))</f>
        <v/>
      </c>
      <c r="L501" s="195">
        <f>IF(B501="","",'入力・概要'!$B$25)</f>
        <v/>
      </c>
      <c r="M501" s="195">
        <f>IF(B501="","",C501*'入力・概要'!$B$26*1E-9-1/(C501*'入力・概要'!$B$24*1E-6))</f>
        <v/>
      </c>
      <c r="N501" s="195">
        <f>IF(B501="","",'入力・概要'!$B$28)</f>
        <v/>
      </c>
      <c r="O501" s="195">
        <f>IF(B501="","",C501*'入力・概要'!$B$29*1E-9-1/(C501*'入力・概要'!$B$27*1E-6))</f>
        <v/>
      </c>
      <c r="P501" s="195">
        <f>IF(B501="","",((L501*N501-M501*O501)*(L501+N501)+(L501*O501+M501*N501)*(M501+O501))/((L501+N501)^2+(M501+O501)^2))</f>
        <v/>
      </c>
      <c r="Q501" s="195">
        <f>IF(B501="","",((L501*O501+M501*N501)*(L501+N501)-(L501*N501-M501*O501)*(M501+O501))/((L501+N501)^2+(M501+O501)^2))</f>
        <v/>
      </c>
      <c r="R501" s="195">
        <f>IF(B501="","",'入力・概要'!$E$15*J501)</f>
        <v/>
      </c>
      <c r="S501" s="195">
        <f>IF(B501="","",'入力・概要'!$E$15*K501)</f>
        <v/>
      </c>
      <c r="T501" s="195">
        <f>IF(B501="","",P501+R501)</f>
        <v/>
      </c>
      <c r="U501" s="195">
        <f>IF(B501="","",Q501+S501)</f>
        <v/>
      </c>
      <c r="V501" s="195">
        <f>IF(B501="","",T501+'入力・概要'!$E$9*F501)</f>
        <v/>
      </c>
      <c r="W501" s="195">
        <f>IF(B501="","",U501+'入力・概要'!$E$9*G501)</f>
        <v/>
      </c>
      <c r="X501" s="195">
        <f>IF(B501="","",'入力・概要'!$E$9+T501*F501-U501*G501)</f>
        <v/>
      </c>
      <c r="Y501" s="195">
        <f>IF(B501="","",T501*G501+U501*F501)</f>
        <v/>
      </c>
      <c r="Z501" s="195">
        <f>IF(B501="","",'入力・概要'!$E$9*(V501*X501+W501*Y501)/(X501^2+Y501^2)+'入力・概要'!$B$36)</f>
        <v/>
      </c>
      <c r="AA501" s="195">
        <f>IF(B501="","",'入力・概要'!$E$9*(W501*X501-V501*Y501)/(X501^2+Y501^2)+C501*'入力・概要'!$B$37*1E-9)</f>
        <v/>
      </c>
      <c r="AB501" s="195">
        <f>IF(B501="","",SQRT(Z501^2+AA501^2))</f>
        <v/>
      </c>
      <c r="AC501" s="195">
        <f>IF(B501="","",IF(Z501&gt;0,DEGREES(ATAN(AA501/Z501)),IF(Z501&lt;0,IF(AA501&gt;=0,DEGREES(ATAN(AA501/Z501))+180,DEGREES(ATAN(AA501/Z501))-180),IF(AA501&gt;0,90,IF(AA501&lt;0,-90,0)))))</f>
        <v/>
      </c>
      <c r="AD501" s="195">
        <f>IF(B501="","",LOG10(B501))</f>
        <v/>
      </c>
      <c r="AE501" s="195">
        <f>IF(AB501="","",LOG10(MAX(AB501,1E-12)))</f>
        <v/>
      </c>
      <c r="AF501" s="195">
        <f>IF(B501="","",SQRT(P501^2+Q501^2))</f>
        <v/>
      </c>
      <c r="AG501" s="195">
        <f>IF(B501="","",SQRT(R501^2+S501^2))</f>
        <v/>
      </c>
    </row>
    <row r="502">
      <c r="A502" t="n">
        <v>499</v>
      </c>
      <c r="B502" s="196">
        <f>IF(A502&lt;='入力・概要'!$B$40,10^(LOG10('入力・概要'!$B$38)+(A502-1)*(LOG10('入力・概要'!$B$39)-LOG10('入力・概要'!$B$38))/('入力・概要'!$B$40-1)),"")</f>
        <v/>
      </c>
      <c r="C502" s="195">
        <f>IF(B502="","",2*PI()*B502)</f>
        <v/>
      </c>
      <c r="D502" s="195">
        <f>IF(B502="","",ATANH(MIN(0.999999,'入力・概要'!$E$20/'入力・概要'!$E$9))+'入力・概要'!$B$20*SQRT(B502/1E6)+E502*'入力・概要'!$B$15/2)</f>
        <v/>
      </c>
      <c r="E502" s="195">
        <f>IF(B502="","",C502*('入力・概要'!$E$11*1E-9))</f>
        <v/>
      </c>
      <c r="F502" s="195">
        <f>IF(B502="","",SINH(2*D502)/(COSH(2*D502)+COS(2*E502)))</f>
        <v/>
      </c>
      <c r="G502" s="195">
        <f>IF(B502="","",SIN(2*E502)/(COSH(2*D502)+COS(2*E502)))</f>
        <v/>
      </c>
      <c r="H502" s="195">
        <f>IF(B502="","",ATANH(MIN(0.999999,'入力・概要'!$E$21/'入力・概要'!$E$15))+'入力・概要'!$B$21*SQRT(B502/1E6)+I502*'入力・概要'!$B$16/2)</f>
        <v/>
      </c>
      <c r="I502" s="195">
        <f>IF(B502="","",C502*('入力・概要'!$E$17*1E-9))</f>
        <v/>
      </c>
      <c r="J502" s="195">
        <f>IF(B502="","",SINH(2*H502)/(COSH(2*H502)+COS(2*I502)))</f>
        <v/>
      </c>
      <c r="K502" s="195">
        <f>IF(B502="","",SIN(2*I502)/(COSH(2*H502)+COS(2*I502)))</f>
        <v/>
      </c>
      <c r="L502" s="195">
        <f>IF(B502="","",'入力・概要'!$B$25)</f>
        <v/>
      </c>
      <c r="M502" s="195">
        <f>IF(B502="","",C502*'入力・概要'!$B$26*1E-9-1/(C502*'入力・概要'!$B$24*1E-6))</f>
        <v/>
      </c>
      <c r="N502" s="195">
        <f>IF(B502="","",'入力・概要'!$B$28)</f>
        <v/>
      </c>
      <c r="O502" s="195">
        <f>IF(B502="","",C502*'入力・概要'!$B$29*1E-9-1/(C502*'入力・概要'!$B$27*1E-6))</f>
        <v/>
      </c>
      <c r="P502" s="195">
        <f>IF(B502="","",((L502*N502-M502*O502)*(L502+N502)+(L502*O502+M502*N502)*(M502+O502))/((L502+N502)^2+(M502+O502)^2))</f>
        <v/>
      </c>
      <c r="Q502" s="195">
        <f>IF(B502="","",((L502*O502+M502*N502)*(L502+N502)-(L502*N502-M502*O502)*(M502+O502))/((L502+N502)^2+(M502+O502)^2))</f>
        <v/>
      </c>
      <c r="R502" s="195">
        <f>IF(B502="","",'入力・概要'!$E$15*J502)</f>
        <v/>
      </c>
      <c r="S502" s="195">
        <f>IF(B502="","",'入力・概要'!$E$15*K502)</f>
        <v/>
      </c>
      <c r="T502" s="195">
        <f>IF(B502="","",P502+R502)</f>
        <v/>
      </c>
      <c r="U502" s="195">
        <f>IF(B502="","",Q502+S502)</f>
        <v/>
      </c>
      <c r="V502" s="195">
        <f>IF(B502="","",T502+'入力・概要'!$E$9*F502)</f>
        <v/>
      </c>
      <c r="W502" s="195">
        <f>IF(B502="","",U502+'入力・概要'!$E$9*G502)</f>
        <v/>
      </c>
      <c r="X502" s="195">
        <f>IF(B502="","",'入力・概要'!$E$9+T502*F502-U502*G502)</f>
        <v/>
      </c>
      <c r="Y502" s="195">
        <f>IF(B502="","",T502*G502+U502*F502)</f>
        <v/>
      </c>
      <c r="Z502" s="195">
        <f>IF(B502="","",'入力・概要'!$E$9*(V502*X502+W502*Y502)/(X502^2+Y502^2)+'入力・概要'!$B$36)</f>
        <v/>
      </c>
      <c r="AA502" s="195">
        <f>IF(B502="","",'入力・概要'!$E$9*(W502*X502-V502*Y502)/(X502^2+Y502^2)+C502*'入力・概要'!$B$37*1E-9)</f>
        <v/>
      </c>
      <c r="AB502" s="195">
        <f>IF(B502="","",SQRT(Z502^2+AA502^2))</f>
        <v/>
      </c>
      <c r="AC502" s="195">
        <f>IF(B502="","",IF(Z502&gt;0,DEGREES(ATAN(AA502/Z502)),IF(Z502&lt;0,IF(AA502&gt;=0,DEGREES(ATAN(AA502/Z502))+180,DEGREES(ATAN(AA502/Z502))-180),IF(AA502&gt;0,90,IF(AA502&lt;0,-90,0)))))</f>
        <v/>
      </c>
      <c r="AD502" s="195">
        <f>IF(B502="","",LOG10(B502))</f>
        <v/>
      </c>
      <c r="AE502" s="195">
        <f>IF(AB502="","",LOG10(MAX(AB502,1E-12)))</f>
        <v/>
      </c>
      <c r="AF502" s="195">
        <f>IF(B502="","",SQRT(P502^2+Q502^2))</f>
        <v/>
      </c>
      <c r="AG502" s="195">
        <f>IF(B502="","",SQRT(R502^2+S502^2))</f>
        <v/>
      </c>
    </row>
    <row r="503">
      <c r="A503" t="n">
        <v>500</v>
      </c>
      <c r="B503" s="196">
        <f>IF(A503&lt;='入力・概要'!$B$40,10^(LOG10('入力・概要'!$B$38)+(A503-1)*(LOG10('入力・概要'!$B$39)-LOG10('入力・概要'!$B$38))/('入力・概要'!$B$40-1)),"")</f>
        <v/>
      </c>
      <c r="C503" s="195">
        <f>IF(B503="","",2*PI()*B503)</f>
        <v/>
      </c>
      <c r="D503" s="195">
        <f>IF(B503="","",ATANH(MIN(0.999999,'入力・概要'!$E$20/'入力・概要'!$E$9))+'入力・概要'!$B$20*SQRT(B503/1E6)+E503*'入力・概要'!$B$15/2)</f>
        <v/>
      </c>
      <c r="E503" s="195">
        <f>IF(B503="","",C503*('入力・概要'!$E$11*1E-9))</f>
        <v/>
      </c>
      <c r="F503" s="195">
        <f>IF(B503="","",SINH(2*D503)/(COSH(2*D503)+COS(2*E503)))</f>
        <v/>
      </c>
      <c r="G503" s="195">
        <f>IF(B503="","",SIN(2*E503)/(COSH(2*D503)+COS(2*E503)))</f>
        <v/>
      </c>
      <c r="H503" s="195">
        <f>IF(B503="","",ATANH(MIN(0.999999,'入力・概要'!$E$21/'入力・概要'!$E$15))+'入力・概要'!$B$21*SQRT(B503/1E6)+I503*'入力・概要'!$B$16/2)</f>
        <v/>
      </c>
      <c r="I503" s="195">
        <f>IF(B503="","",C503*('入力・概要'!$E$17*1E-9))</f>
        <v/>
      </c>
      <c r="J503" s="195">
        <f>IF(B503="","",SINH(2*H503)/(COSH(2*H503)+COS(2*I503)))</f>
        <v/>
      </c>
      <c r="K503" s="195">
        <f>IF(B503="","",SIN(2*I503)/(COSH(2*H503)+COS(2*I503)))</f>
        <v/>
      </c>
      <c r="L503" s="195">
        <f>IF(B503="","",'入力・概要'!$B$25)</f>
        <v/>
      </c>
      <c r="M503" s="195">
        <f>IF(B503="","",C503*'入力・概要'!$B$26*1E-9-1/(C503*'入力・概要'!$B$24*1E-6))</f>
        <v/>
      </c>
      <c r="N503" s="195">
        <f>IF(B503="","",'入力・概要'!$B$28)</f>
        <v/>
      </c>
      <c r="O503" s="195">
        <f>IF(B503="","",C503*'入力・概要'!$B$29*1E-9-1/(C503*'入力・概要'!$B$27*1E-6))</f>
        <v/>
      </c>
      <c r="P503" s="195">
        <f>IF(B503="","",((L503*N503-M503*O503)*(L503+N503)+(L503*O503+M503*N503)*(M503+O503))/((L503+N503)^2+(M503+O503)^2))</f>
        <v/>
      </c>
      <c r="Q503" s="195">
        <f>IF(B503="","",((L503*O503+M503*N503)*(L503+N503)-(L503*N503-M503*O503)*(M503+O503))/((L503+N503)^2+(M503+O503)^2))</f>
        <v/>
      </c>
      <c r="R503" s="195">
        <f>IF(B503="","",'入力・概要'!$E$15*J503)</f>
        <v/>
      </c>
      <c r="S503" s="195">
        <f>IF(B503="","",'入力・概要'!$E$15*K503)</f>
        <v/>
      </c>
      <c r="T503" s="195">
        <f>IF(B503="","",P503+R503)</f>
        <v/>
      </c>
      <c r="U503" s="195">
        <f>IF(B503="","",Q503+S503)</f>
        <v/>
      </c>
      <c r="V503" s="195">
        <f>IF(B503="","",T503+'入力・概要'!$E$9*F503)</f>
        <v/>
      </c>
      <c r="W503" s="195">
        <f>IF(B503="","",U503+'入力・概要'!$E$9*G503)</f>
        <v/>
      </c>
      <c r="X503" s="195">
        <f>IF(B503="","",'入力・概要'!$E$9+T503*F503-U503*G503)</f>
        <v/>
      </c>
      <c r="Y503" s="195">
        <f>IF(B503="","",T503*G503+U503*F503)</f>
        <v/>
      </c>
      <c r="Z503" s="195">
        <f>IF(B503="","",'入力・概要'!$E$9*(V503*X503+W503*Y503)/(X503^2+Y503^2)+'入力・概要'!$B$36)</f>
        <v/>
      </c>
      <c r="AA503" s="195">
        <f>IF(B503="","",'入力・概要'!$E$9*(W503*X503-V503*Y503)/(X503^2+Y503^2)+C503*'入力・概要'!$B$37*1E-9)</f>
        <v/>
      </c>
      <c r="AB503" s="195">
        <f>IF(B503="","",SQRT(Z503^2+AA503^2))</f>
        <v/>
      </c>
      <c r="AC503" s="195">
        <f>IF(B503="","",IF(Z503&gt;0,DEGREES(ATAN(AA503/Z503)),IF(Z503&lt;0,IF(AA503&gt;=0,DEGREES(ATAN(AA503/Z503))+180,DEGREES(ATAN(AA503/Z503))-180),IF(AA503&gt;0,90,IF(AA503&lt;0,-90,0)))))</f>
        <v/>
      </c>
      <c r="AD503" s="195">
        <f>IF(B503="","",LOG10(B503))</f>
        <v/>
      </c>
      <c r="AE503" s="195">
        <f>IF(AB503="","",LOG10(MAX(AB503,1E-12)))</f>
        <v/>
      </c>
      <c r="AF503" s="195">
        <f>IF(B503="","",SQRT(P503^2+Q503^2))</f>
        <v/>
      </c>
      <c r="AG503" s="195">
        <f>IF(B503="","",SQRT(R503^2+S503^2))</f>
        <v/>
      </c>
    </row>
    <row r="504">
      <c r="A504" t="n">
        <v>501</v>
      </c>
      <c r="B504" s="196">
        <f>IF(A504&lt;='入力・概要'!$B$40,10^(LOG10('入力・概要'!$B$38)+(A504-1)*(LOG10('入力・概要'!$B$39)-LOG10('入力・概要'!$B$38))/('入力・概要'!$B$40-1)),"")</f>
        <v/>
      </c>
      <c r="C504" s="195">
        <f>IF(B504="","",2*PI()*B504)</f>
        <v/>
      </c>
      <c r="D504" s="195">
        <f>IF(B504="","",ATANH(MIN(0.999999,'入力・概要'!$E$20/'入力・概要'!$E$9))+'入力・概要'!$B$20*SQRT(B504/1E6)+E504*'入力・概要'!$B$15/2)</f>
        <v/>
      </c>
      <c r="E504" s="195">
        <f>IF(B504="","",C504*('入力・概要'!$E$11*1E-9))</f>
        <v/>
      </c>
      <c r="F504" s="195">
        <f>IF(B504="","",SINH(2*D504)/(COSH(2*D504)+COS(2*E504)))</f>
        <v/>
      </c>
      <c r="G504" s="195">
        <f>IF(B504="","",SIN(2*E504)/(COSH(2*D504)+COS(2*E504)))</f>
        <v/>
      </c>
      <c r="H504" s="195">
        <f>IF(B504="","",ATANH(MIN(0.999999,'入力・概要'!$E$21/'入力・概要'!$E$15))+'入力・概要'!$B$21*SQRT(B504/1E6)+I504*'入力・概要'!$B$16/2)</f>
        <v/>
      </c>
      <c r="I504" s="195">
        <f>IF(B504="","",C504*('入力・概要'!$E$17*1E-9))</f>
        <v/>
      </c>
      <c r="J504" s="195">
        <f>IF(B504="","",SINH(2*H504)/(COSH(2*H504)+COS(2*I504)))</f>
        <v/>
      </c>
      <c r="K504" s="195">
        <f>IF(B504="","",SIN(2*I504)/(COSH(2*H504)+COS(2*I504)))</f>
        <v/>
      </c>
      <c r="L504" s="195">
        <f>IF(B504="","",'入力・概要'!$B$25)</f>
        <v/>
      </c>
      <c r="M504" s="195">
        <f>IF(B504="","",C504*'入力・概要'!$B$26*1E-9-1/(C504*'入力・概要'!$B$24*1E-6))</f>
        <v/>
      </c>
      <c r="N504" s="195">
        <f>IF(B504="","",'入力・概要'!$B$28)</f>
        <v/>
      </c>
      <c r="O504" s="195">
        <f>IF(B504="","",C504*'入力・概要'!$B$29*1E-9-1/(C504*'入力・概要'!$B$27*1E-6))</f>
        <v/>
      </c>
      <c r="P504" s="195">
        <f>IF(B504="","",((L504*N504-M504*O504)*(L504+N504)+(L504*O504+M504*N504)*(M504+O504))/((L504+N504)^2+(M504+O504)^2))</f>
        <v/>
      </c>
      <c r="Q504" s="195">
        <f>IF(B504="","",((L504*O504+M504*N504)*(L504+N504)-(L504*N504-M504*O504)*(M504+O504))/((L504+N504)^2+(M504+O504)^2))</f>
        <v/>
      </c>
      <c r="R504" s="195">
        <f>IF(B504="","",'入力・概要'!$E$15*J504)</f>
        <v/>
      </c>
      <c r="S504" s="195">
        <f>IF(B504="","",'入力・概要'!$E$15*K504)</f>
        <v/>
      </c>
      <c r="T504" s="195">
        <f>IF(B504="","",P504+R504)</f>
        <v/>
      </c>
      <c r="U504" s="195">
        <f>IF(B504="","",Q504+S504)</f>
        <v/>
      </c>
      <c r="V504" s="195">
        <f>IF(B504="","",T504+'入力・概要'!$E$9*F504)</f>
        <v/>
      </c>
      <c r="W504" s="195">
        <f>IF(B504="","",U504+'入力・概要'!$E$9*G504)</f>
        <v/>
      </c>
      <c r="X504" s="195">
        <f>IF(B504="","",'入力・概要'!$E$9+T504*F504-U504*G504)</f>
        <v/>
      </c>
      <c r="Y504" s="195">
        <f>IF(B504="","",T504*G504+U504*F504)</f>
        <v/>
      </c>
      <c r="Z504" s="195">
        <f>IF(B504="","",'入力・概要'!$E$9*(V504*X504+W504*Y504)/(X504^2+Y504^2)+'入力・概要'!$B$36)</f>
        <v/>
      </c>
      <c r="AA504" s="195">
        <f>IF(B504="","",'入力・概要'!$E$9*(W504*X504-V504*Y504)/(X504^2+Y504^2)+C504*'入力・概要'!$B$37*1E-9)</f>
        <v/>
      </c>
      <c r="AB504" s="195">
        <f>IF(B504="","",SQRT(Z504^2+AA504^2))</f>
        <v/>
      </c>
      <c r="AC504" s="195">
        <f>IF(B504="","",IF(Z504&gt;0,DEGREES(ATAN(AA504/Z504)),IF(Z504&lt;0,IF(AA504&gt;=0,DEGREES(ATAN(AA504/Z504))+180,DEGREES(ATAN(AA504/Z504))-180),IF(AA504&gt;0,90,IF(AA504&lt;0,-90,0)))))</f>
        <v/>
      </c>
      <c r="AD504" s="195">
        <f>IF(B504="","",LOG10(B504))</f>
        <v/>
      </c>
      <c r="AE504" s="195">
        <f>IF(AB504="","",LOG10(MAX(AB504,1E-12)))</f>
        <v/>
      </c>
      <c r="AF504" s="195">
        <f>IF(B504="","",SQRT(P504^2+Q504^2))</f>
        <v/>
      </c>
      <c r="AG504" s="195">
        <f>IF(B504="","",SQRT(R504^2+S504^2))</f>
        <v/>
      </c>
    </row>
    <row r="505">
      <c r="A505" t="n">
        <v>502</v>
      </c>
      <c r="B505" s="196">
        <f>IF(A505&lt;='入力・概要'!$B$40,10^(LOG10('入力・概要'!$B$38)+(A505-1)*(LOG10('入力・概要'!$B$39)-LOG10('入力・概要'!$B$38))/('入力・概要'!$B$40-1)),"")</f>
        <v/>
      </c>
      <c r="C505" s="195">
        <f>IF(B505="","",2*PI()*B505)</f>
        <v/>
      </c>
      <c r="D505" s="195">
        <f>IF(B505="","",ATANH(MIN(0.999999,'入力・概要'!$E$20/'入力・概要'!$E$9))+'入力・概要'!$B$20*SQRT(B505/1E6)+E505*'入力・概要'!$B$15/2)</f>
        <v/>
      </c>
      <c r="E505" s="195">
        <f>IF(B505="","",C505*('入力・概要'!$E$11*1E-9))</f>
        <v/>
      </c>
      <c r="F505" s="195">
        <f>IF(B505="","",SINH(2*D505)/(COSH(2*D505)+COS(2*E505)))</f>
        <v/>
      </c>
      <c r="G505" s="195">
        <f>IF(B505="","",SIN(2*E505)/(COSH(2*D505)+COS(2*E505)))</f>
        <v/>
      </c>
      <c r="H505" s="195">
        <f>IF(B505="","",ATANH(MIN(0.999999,'入力・概要'!$E$21/'入力・概要'!$E$15))+'入力・概要'!$B$21*SQRT(B505/1E6)+I505*'入力・概要'!$B$16/2)</f>
        <v/>
      </c>
      <c r="I505" s="195">
        <f>IF(B505="","",C505*('入力・概要'!$E$17*1E-9))</f>
        <v/>
      </c>
      <c r="J505" s="195">
        <f>IF(B505="","",SINH(2*H505)/(COSH(2*H505)+COS(2*I505)))</f>
        <v/>
      </c>
      <c r="K505" s="195">
        <f>IF(B505="","",SIN(2*I505)/(COSH(2*H505)+COS(2*I505)))</f>
        <v/>
      </c>
      <c r="L505" s="195">
        <f>IF(B505="","",'入力・概要'!$B$25)</f>
        <v/>
      </c>
      <c r="M505" s="195">
        <f>IF(B505="","",C505*'入力・概要'!$B$26*1E-9-1/(C505*'入力・概要'!$B$24*1E-6))</f>
        <v/>
      </c>
      <c r="N505" s="195">
        <f>IF(B505="","",'入力・概要'!$B$28)</f>
        <v/>
      </c>
      <c r="O505" s="195">
        <f>IF(B505="","",C505*'入力・概要'!$B$29*1E-9-1/(C505*'入力・概要'!$B$27*1E-6))</f>
        <v/>
      </c>
      <c r="P505" s="195">
        <f>IF(B505="","",((L505*N505-M505*O505)*(L505+N505)+(L505*O505+M505*N505)*(M505+O505))/((L505+N505)^2+(M505+O505)^2))</f>
        <v/>
      </c>
      <c r="Q505" s="195">
        <f>IF(B505="","",((L505*O505+M505*N505)*(L505+N505)-(L505*N505-M505*O505)*(M505+O505))/((L505+N505)^2+(M505+O505)^2))</f>
        <v/>
      </c>
      <c r="R505" s="195">
        <f>IF(B505="","",'入力・概要'!$E$15*J505)</f>
        <v/>
      </c>
      <c r="S505" s="195">
        <f>IF(B505="","",'入力・概要'!$E$15*K505)</f>
        <v/>
      </c>
      <c r="T505" s="195">
        <f>IF(B505="","",P505+R505)</f>
        <v/>
      </c>
      <c r="U505" s="195">
        <f>IF(B505="","",Q505+S505)</f>
        <v/>
      </c>
      <c r="V505" s="195">
        <f>IF(B505="","",T505+'入力・概要'!$E$9*F505)</f>
        <v/>
      </c>
      <c r="W505" s="195">
        <f>IF(B505="","",U505+'入力・概要'!$E$9*G505)</f>
        <v/>
      </c>
      <c r="X505" s="195">
        <f>IF(B505="","",'入力・概要'!$E$9+T505*F505-U505*G505)</f>
        <v/>
      </c>
      <c r="Y505" s="195">
        <f>IF(B505="","",T505*G505+U505*F505)</f>
        <v/>
      </c>
      <c r="Z505" s="195">
        <f>IF(B505="","",'入力・概要'!$E$9*(V505*X505+W505*Y505)/(X505^2+Y505^2)+'入力・概要'!$B$36)</f>
        <v/>
      </c>
      <c r="AA505" s="195">
        <f>IF(B505="","",'入力・概要'!$E$9*(W505*X505-V505*Y505)/(X505^2+Y505^2)+C505*'入力・概要'!$B$37*1E-9)</f>
        <v/>
      </c>
      <c r="AB505" s="195">
        <f>IF(B505="","",SQRT(Z505^2+AA505^2))</f>
        <v/>
      </c>
      <c r="AC505" s="195">
        <f>IF(B505="","",IF(Z505&gt;0,DEGREES(ATAN(AA505/Z505)),IF(Z505&lt;0,IF(AA505&gt;=0,DEGREES(ATAN(AA505/Z505))+180,DEGREES(ATAN(AA505/Z505))-180),IF(AA505&gt;0,90,IF(AA505&lt;0,-90,0)))))</f>
        <v/>
      </c>
      <c r="AD505" s="195">
        <f>IF(B505="","",LOG10(B505))</f>
        <v/>
      </c>
      <c r="AE505" s="195">
        <f>IF(AB505="","",LOG10(MAX(AB505,1E-12)))</f>
        <v/>
      </c>
      <c r="AF505" s="195">
        <f>IF(B505="","",SQRT(P505^2+Q505^2))</f>
        <v/>
      </c>
      <c r="AG505" s="195">
        <f>IF(B505="","",SQRT(R505^2+S505^2))</f>
        <v/>
      </c>
    </row>
    <row r="506">
      <c r="A506" t="n">
        <v>503</v>
      </c>
      <c r="B506" s="196">
        <f>IF(A506&lt;='入力・概要'!$B$40,10^(LOG10('入力・概要'!$B$38)+(A506-1)*(LOG10('入力・概要'!$B$39)-LOG10('入力・概要'!$B$38))/('入力・概要'!$B$40-1)),"")</f>
        <v/>
      </c>
      <c r="C506" s="195">
        <f>IF(B506="","",2*PI()*B506)</f>
        <v/>
      </c>
      <c r="D506" s="195">
        <f>IF(B506="","",ATANH(MIN(0.999999,'入力・概要'!$E$20/'入力・概要'!$E$9))+'入力・概要'!$B$20*SQRT(B506/1E6)+E506*'入力・概要'!$B$15/2)</f>
        <v/>
      </c>
      <c r="E506" s="195">
        <f>IF(B506="","",C506*('入力・概要'!$E$11*1E-9))</f>
        <v/>
      </c>
      <c r="F506" s="195">
        <f>IF(B506="","",SINH(2*D506)/(COSH(2*D506)+COS(2*E506)))</f>
        <v/>
      </c>
      <c r="G506" s="195">
        <f>IF(B506="","",SIN(2*E506)/(COSH(2*D506)+COS(2*E506)))</f>
        <v/>
      </c>
      <c r="H506" s="195">
        <f>IF(B506="","",ATANH(MIN(0.999999,'入力・概要'!$E$21/'入力・概要'!$E$15))+'入力・概要'!$B$21*SQRT(B506/1E6)+I506*'入力・概要'!$B$16/2)</f>
        <v/>
      </c>
      <c r="I506" s="195">
        <f>IF(B506="","",C506*('入力・概要'!$E$17*1E-9))</f>
        <v/>
      </c>
      <c r="J506" s="195">
        <f>IF(B506="","",SINH(2*H506)/(COSH(2*H506)+COS(2*I506)))</f>
        <v/>
      </c>
      <c r="K506" s="195">
        <f>IF(B506="","",SIN(2*I506)/(COSH(2*H506)+COS(2*I506)))</f>
        <v/>
      </c>
      <c r="L506" s="195">
        <f>IF(B506="","",'入力・概要'!$B$25)</f>
        <v/>
      </c>
      <c r="M506" s="195">
        <f>IF(B506="","",C506*'入力・概要'!$B$26*1E-9-1/(C506*'入力・概要'!$B$24*1E-6))</f>
        <v/>
      </c>
      <c r="N506" s="195">
        <f>IF(B506="","",'入力・概要'!$B$28)</f>
        <v/>
      </c>
      <c r="O506" s="195">
        <f>IF(B506="","",C506*'入力・概要'!$B$29*1E-9-1/(C506*'入力・概要'!$B$27*1E-6))</f>
        <v/>
      </c>
      <c r="P506" s="195">
        <f>IF(B506="","",((L506*N506-M506*O506)*(L506+N506)+(L506*O506+M506*N506)*(M506+O506))/((L506+N506)^2+(M506+O506)^2))</f>
        <v/>
      </c>
      <c r="Q506" s="195">
        <f>IF(B506="","",((L506*O506+M506*N506)*(L506+N506)-(L506*N506-M506*O506)*(M506+O506))/((L506+N506)^2+(M506+O506)^2))</f>
        <v/>
      </c>
      <c r="R506" s="195">
        <f>IF(B506="","",'入力・概要'!$E$15*J506)</f>
        <v/>
      </c>
      <c r="S506" s="195">
        <f>IF(B506="","",'入力・概要'!$E$15*K506)</f>
        <v/>
      </c>
      <c r="T506" s="195">
        <f>IF(B506="","",P506+R506)</f>
        <v/>
      </c>
      <c r="U506" s="195">
        <f>IF(B506="","",Q506+S506)</f>
        <v/>
      </c>
      <c r="V506" s="195">
        <f>IF(B506="","",T506+'入力・概要'!$E$9*F506)</f>
        <v/>
      </c>
      <c r="W506" s="195">
        <f>IF(B506="","",U506+'入力・概要'!$E$9*G506)</f>
        <v/>
      </c>
      <c r="X506" s="195">
        <f>IF(B506="","",'入力・概要'!$E$9+T506*F506-U506*G506)</f>
        <v/>
      </c>
      <c r="Y506" s="195">
        <f>IF(B506="","",T506*G506+U506*F506)</f>
        <v/>
      </c>
      <c r="Z506" s="195">
        <f>IF(B506="","",'入力・概要'!$E$9*(V506*X506+W506*Y506)/(X506^2+Y506^2)+'入力・概要'!$B$36)</f>
        <v/>
      </c>
      <c r="AA506" s="195">
        <f>IF(B506="","",'入力・概要'!$E$9*(W506*X506-V506*Y506)/(X506^2+Y506^2)+C506*'入力・概要'!$B$37*1E-9)</f>
        <v/>
      </c>
      <c r="AB506" s="195">
        <f>IF(B506="","",SQRT(Z506^2+AA506^2))</f>
        <v/>
      </c>
      <c r="AC506" s="195">
        <f>IF(B506="","",IF(Z506&gt;0,DEGREES(ATAN(AA506/Z506)),IF(Z506&lt;0,IF(AA506&gt;=0,DEGREES(ATAN(AA506/Z506))+180,DEGREES(ATAN(AA506/Z506))-180),IF(AA506&gt;0,90,IF(AA506&lt;0,-90,0)))))</f>
        <v/>
      </c>
      <c r="AD506" s="195">
        <f>IF(B506="","",LOG10(B506))</f>
        <v/>
      </c>
      <c r="AE506" s="195">
        <f>IF(AB506="","",LOG10(MAX(AB506,1E-12)))</f>
        <v/>
      </c>
      <c r="AF506" s="195">
        <f>IF(B506="","",SQRT(P506^2+Q506^2))</f>
        <v/>
      </c>
      <c r="AG506" s="195">
        <f>IF(B506="","",SQRT(R506^2+S506^2))</f>
        <v/>
      </c>
    </row>
    <row r="507">
      <c r="A507" t="n">
        <v>504</v>
      </c>
      <c r="B507" s="196">
        <f>IF(A507&lt;='入力・概要'!$B$40,10^(LOG10('入力・概要'!$B$38)+(A507-1)*(LOG10('入力・概要'!$B$39)-LOG10('入力・概要'!$B$38))/('入力・概要'!$B$40-1)),"")</f>
        <v/>
      </c>
      <c r="C507" s="195">
        <f>IF(B507="","",2*PI()*B507)</f>
        <v/>
      </c>
      <c r="D507" s="195">
        <f>IF(B507="","",ATANH(MIN(0.999999,'入力・概要'!$E$20/'入力・概要'!$E$9))+'入力・概要'!$B$20*SQRT(B507/1E6)+E507*'入力・概要'!$B$15/2)</f>
        <v/>
      </c>
      <c r="E507" s="195">
        <f>IF(B507="","",C507*('入力・概要'!$E$11*1E-9))</f>
        <v/>
      </c>
      <c r="F507" s="195">
        <f>IF(B507="","",SINH(2*D507)/(COSH(2*D507)+COS(2*E507)))</f>
        <v/>
      </c>
      <c r="G507" s="195">
        <f>IF(B507="","",SIN(2*E507)/(COSH(2*D507)+COS(2*E507)))</f>
        <v/>
      </c>
      <c r="H507" s="195">
        <f>IF(B507="","",ATANH(MIN(0.999999,'入力・概要'!$E$21/'入力・概要'!$E$15))+'入力・概要'!$B$21*SQRT(B507/1E6)+I507*'入力・概要'!$B$16/2)</f>
        <v/>
      </c>
      <c r="I507" s="195">
        <f>IF(B507="","",C507*('入力・概要'!$E$17*1E-9))</f>
        <v/>
      </c>
      <c r="J507" s="195">
        <f>IF(B507="","",SINH(2*H507)/(COSH(2*H507)+COS(2*I507)))</f>
        <v/>
      </c>
      <c r="K507" s="195">
        <f>IF(B507="","",SIN(2*I507)/(COSH(2*H507)+COS(2*I507)))</f>
        <v/>
      </c>
      <c r="L507" s="195">
        <f>IF(B507="","",'入力・概要'!$B$25)</f>
        <v/>
      </c>
      <c r="M507" s="195">
        <f>IF(B507="","",C507*'入力・概要'!$B$26*1E-9-1/(C507*'入力・概要'!$B$24*1E-6))</f>
        <v/>
      </c>
      <c r="N507" s="195">
        <f>IF(B507="","",'入力・概要'!$B$28)</f>
        <v/>
      </c>
      <c r="O507" s="195">
        <f>IF(B507="","",C507*'入力・概要'!$B$29*1E-9-1/(C507*'入力・概要'!$B$27*1E-6))</f>
        <v/>
      </c>
      <c r="P507" s="195">
        <f>IF(B507="","",((L507*N507-M507*O507)*(L507+N507)+(L507*O507+M507*N507)*(M507+O507))/((L507+N507)^2+(M507+O507)^2))</f>
        <v/>
      </c>
      <c r="Q507" s="195">
        <f>IF(B507="","",((L507*O507+M507*N507)*(L507+N507)-(L507*N507-M507*O507)*(M507+O507))/((L507+N507)^2+(M507+O507)^2))</f>
        <v/>
      </c>
      <c r="R507" s="195">
        <f>IF(B507="","",'入力・概要'!$E$15*J507)</f>
        <v/>
      </c>
      <c r="S507" s="195">
        <f>IF(B507="","",'入力・概要'!$E$15*K507)</f>
        <v/>
      </c>
      <c r="T507" s="195">
        <f>IF(B507="","",P507+R507)</f>
        <v/>
      </c>
      <c r="U507" s="195">
        <f>IF(B507="","",Q507+S507)</f>
        <v/>
      </c>
      <c r="V507" s="195">
        <f>IF(B507="","",T507+'入力・概要'!$E$9*F507)</f>
        <v/>
      </c>
      <c r="W507" s="195">
        <f>IF(B507="","",U507+'入力・概要'!$E$9*G507)</f>
        <v/>
      </c>
      <c r="X507" s="195">
        <f>IF(B507="","",'入力・概要'!$E$9+T507*F507-U507*G507)</f>
        <v/>
      </c>
      <c r="Y507" s="195">
        <f>IF(B507="","",T507*G507+U507*F507)</f>
        <v/>
      </c>
      <c r="Z507" s="195">
        <f>IF(B507="","",'入力・概要'!$E$9*(V507*X507+W507*Y507)/(X507^2+Y507^2)+'入力・概要'!$B$36)</f>
        <v/>
      </c>
      <c r="AA507" s="195">
        <f>IF(B507="","",'入力・概要'!$E$9*(W507*X507-V507*Y507)/(X507^2+Y507^2)+C507*'入力・概要'!$B$37*1E-9)</f>
        <v/>
      </c>
      <c r="AB507" s="195">
        <f>IF(B507="","",SQRT(Z507^2+AA507^2))</f>
        <v/>
      </c>
      <c r="AC507" s="195">
        <f>IF(B507="","",IF(Z507&gt;0,DEGREES(ATAN(AA507/Z507)),IF(Z507&lt;0,IF(AA507&gt;=0,DEGREES(ATAN(AA507/Z507))+180,DEGREES(ATAN(AA507/Z507))-180),IF(AA507&gt;0,90,IF(AA507&lt;0,-90,0)))))</f>
        <v/>
      </c>
      <c r="AD507" s="195">
        <f>IF(B507="","",LOG10(B507))</f>
        <v/>
      </c>
      <c r="AE507" s="195">
        <f>IF(AB507="","",LOG10(MAX(AB507,1E-12)))</f>
        <v/>
      </c>
      <c r="AF507" s="195">
        <f>IF(B507="","",SQRT(P507^2+Q507^2))</f>
        <v/>
      </c>
      <c r="AG507" s="195">
        <f>IF(B507="","",SQRT(R507^2+S507^2))</f>
        <v/>
      </c>
    </row>
    <row r="508">
      <c r="A508" t="n">
        <v>505</v>
      </c>
      <c r="B508" s="196">
        <f>IF(A508&lt;='入力・概要'!$B$40,10^(LOG10('入力・概要'!$B$38)+(A508-1)*(LOG10('入力・概要'!$B$39)-LOG10('入力・概要'!$B$38))/('入力・概要'!$B$40-1)),"")</f>
        <v/>
      </c>
      <c r="C508" s="195">
        <f>IF(B508="","",2*PI()*B508)</f>
        <v/>
      </c>
      <c r="D508" s="195">
        <f>IF(B508="","",ATANH(MIN(0.999999,'入力・概要'!$E$20/'入力・概要'!$E$9))+'入力・概要'!$B$20*SQRT(B508/1E6)+E508*'入力・概要'!$B$15/2)</f>
        <v/>
      </c>
      <c r="E508" s="195">
        <f>IF(B508="","",C508*('入力・概要'!$E$11*1E-9))</f>
        <v/>
      </c>
      <c r="F508" s="195">
        <f>IF(B508="","",SINH(2*D508)/(COSH(2*D508)+COS(2*E508)))</f>
        <v/>
      </c>
      <c r="G508" s="195">
        <f>IF(B508="","",SIN(2*E508)/(COSH(2*D508)+COS(2*E508)))</f>
        <v/>
      </c>
      <c r="H508" s="195">
        <f>IF(B508="","",ATANH(MIN(0.999999,'入力・概要'!$E$21/'入力・概要'!$E$15))+'入力・概要'!$B$21*SQRT(B508/1E6)+I508*'入力・概要'!$B$16/2)</f>
        <v/>
      </c>
      <c r="I508" s="195">
        <f>IF(B508="","",C508*('入力・概要'!$E$17*1E-9))</f>
        <v/>
      </c>
      <c r="J508" s="195">
        <f>IF(B508="","",SINH(2*H508)/(COSH(2*H508)+COS(2*I508)))</f>
        <v/>
      </c>
      <c r="K508" s="195">
        <f>IF(B508="","",SIN(2*I508)/(COSH(2*H508)+COS(2*I508)))</f>
        <v/>
      </c>
      <c r="L508" s="195">
        <f>IF(B508="","",'入力・概要'!$B$25)</f>
        <v/>
      </c>
      <c r="M508" s="195">
        <f>IF(B508="","",C508*'入力・概要'!$B$26*1E-9-1/(C508*'入力・概要'!$B$24*1E-6))</f>
        <v/>
      </c>
      <c r="N508" s="195">
        <f>IF(B508="","",'入力・概要'!$B$28)</f>
        <v/>
      </c>
      <c r="O508" s="195">
        <f>IF(B508="","",C508*'入力・概要'!$B$29*1E-9-1/(C508*'入力・概要'!$B$27*1E-6))</f>
        <v/>
      </c>
      <c r="P508" s="195">
        <f>IF(B508="","",((L508*N508-M508*O508)*(L508+N508)+(L508*O508+M508*N508)*(M508+O508))/((L508+N508)^2+(M508+O508)^2))</f>
        <v/>
      </c>
      <c r="Q508" s="195">
        <f>IF(B508="","",((L508*O508+M508*N508)*(L508+N508)-(L508*N508-M508*O508)*(M508+O508))/((L508+N508)^2+(M508+O508)^2))</f>
        <v/>
      </c>
      <c r="R508" s="195">
        <f>IF(B508="","",'入力・概要'!$E$15*J508)</f>
        <v/>
      </c>
      <c r="S508" s="195">
        <f>IF(B508="","",'入力・概要'!$E$15*K508)</f>
        <v/>
      </c>
      <c r="T508" s="195">
        <f>IF(B508="","",P508+R508)</f>
        <v/>
      </c>
      <c r="U508" s="195">
        <f>IF(B508="","",Q508+S508)</f>
        <v/>
      </c>
      <c r="V508" s="195">
        <f>IF(B508="","",T508+'入力・概要'!$E$9*F508)</f>
        <v/>
      </c>
      <c r="W508" s="195">
        <f>IF(B508="","",U508+'入力・概要'!$E$9*G508)</f>
        <v/>
      </c>
      <c r="X508" s="195">
        <f>IF(B508="","",'入力・概要'!$E$9+T508*F508-U508*G508)</f>
        <v/>
      </c>
      <c r="Y508" s="195">
        <f>IF(B508="","",T508*G508+U508*F508)</f>
        <v/>
      </c>
      <c r="Z508" s="195">
        <f>IF(B508="","",'入力・概要'!$E$9*(V508*X508+W508*Y508)/(X508^2+Y508^2)+'入力・概要'!$B$36)</f>
        <v/>
      </c>
      <c r="AA508" s="195">
        <f>IF(B508="","",'入力・概要'!$E$9*(W508*X508-V508*Y508)/(X508^2+Y508^2)+C508*'入力・概要'!$B$37*1E-9)</f>
        <v/>
      </c>
      <c r="AB508" s="195">
        <f>IF(B508="","",SQRT(Z508^2+AA508^2))</f>
        <v/>
      </c>
      <c r="AC508" s="195">
        <f>IF(B508="","",IF(Z508&gt;0,DEGREES(ATAN(AA508/Z508)),IF(Z508&lt;0,IF(AA508&gt;=0,DEGREES(ATAN(AA508/Z508))+180,DEGREES(ATAN(AA508/Z508))-180),IF(AA508&gt;0,90,IF(AA508&lt;0,-90,0)))))</f>
        <v/>
      </c>
      <c r="AD508" s="195">
        <f>IF(B508="","",LOG10(B508))</f>
        <v/>
      </c>
      <c r="AE508" s="195">
        <f>IF(AB508="","",LOG10(MAX(AB508,1E-12)))</f>
        <v/>
      </c>
      <c r="AF508" s="195">
        <f>IF(B508="","",SQRT(P508^2+Q508^2))</f>
        <v/>
      </c>
      <c r="AG508" s="195">
        <f>IF(B508="","",SQRT(R508^2+S508^2))</f>
        <v/>
      </c>
    </row>
    <row r="509">
      <c r="A509" t="n">
        <v>506</v>
      </c>
      <c r="B509" s="196">
        <f>IF(A509&lt;='入力・概要'!$B$40,10^(LOG10('入力・概要'!$B$38)+(A509-1)*(LOG10('入力・概要'!$B$39)-LOG10('入力・概要'!$B$38))/('入力・概要'!$B$40-1)),"")</f>
        <v/>
      </c>
      <c r="C509" s="195">
        <f>IF(B509="","",2*PI()*B509)</f>
        <v/>
      </c>
      <c r="D509" s="195">
        <f>IF(B509="","",ATANH(MIN(0.999999,'入力・概要'!$E$20/'入力・概要'!$E$9))+'入力・概要'!$B$20*SQRT(B509/1E6)+E509*'入力・概要'!$B$15/2)</f>
        <v/>
      </c>
      <c r="E509" s="195">
        <f>IF(B509="","",C509*('入力・概要'!$E$11*1E-9))</f>
        <v/>
      </c>
      <c r="F509" s="195">
        <f>IF(B509="","",SINH(2*D509)/(COSH(2*D509)+COS(2*E509)))</f>
        <v/>
      </c>
      <c r="G509" s="195">
        <f>IF(B509="","",SIN(2*E509)/(COSH(2*D509)+COS(2*E509)))</f>
        <v/>
      </c>
      <c r="H509" s="195">
        <f>IF(B509="","",ATANH(MIN(0.999999,'入力・概要'!$E$21/'入力・概要'!$E$15))+'入力・概要'!$B$21*SQRT(B509/1E6)+I509*'入力・概要'!$B$16/2)</f>
        <v/>
      </c>
      <c r="I509" s="195">
        <f>IF(B509="","",C509*('入力・概要'!$E$17*1E-9))</f>
        <v/>
      </c>
      <c r="J509" s="195">
        <f>IF(B509="","",SINH(2*H509)/(COSH(2*H509)+COS(2*I509)))</f>
        <v/>
      </c>
      <c r="K509" s="195">
        <f>IF(B509="","",SIN(2*I509)/(COSH(2*H509)+COS(2*I509)))</f>
        <v/>
      </c>
      <c r="L509" s="195">
        <f>IF(B509="","",'入力・概要'!$B$25)</f>
        <v/>
      </c>
      <c r="M509" s="195">
        <f>IF(B509="","",C509*'入力・概要'!$B$26*1E-9-1/(C509*'入力・概要'!$B$24*1E-6))</f>
        <v/>
      </c>
      <c r="N509" s="195">
        <f>IF(B509="","",'入力・概要'!$B$28)</f>
        <v/>
      </c>
      <c r="O509" s="195">
        <f>IF(B509="","",C509*'入力・概要'!$B$29*1E-9-1/(C509*'入力・概要'!$B$27*1E-6))</f>
        <v/>
      </c>
      <c r="P509" s="195">
        <f>IF(B509="","",((L509*N509-M509*O509)*(L509+N509)+(L509*O509+M509*N509)*(M509+O509))/((L509+N509)^2+(M509+O509)^2))</f>
        <v/>
      </c>
      <c r="Q509" s="195">
        <f>IF(B509="","",((L509*O509+M509*N509)*(L509+N509)-(L509*N509-M509*O509)*(M509+O509))/((L509+N509)^2+(M509+O509)^2))</f>
        <v/>
      </c>
      <c r="R509" s="195">
        <f>IF(B509="","",'入力・概要'!$E$15*J509)</f>
        <v/>
      </c>
      <c r="S509" s="195">
        <f>IF(B509="","",'入力・概要'!$E$15*K509)</f>
        <v/>
      </c>
      <c r="T509" s="195">
        <f>IF(B509="","",P509+R509)</f>
        <v/>
      </c>
      <c r="U509" s="195">
        <f>IF(B509="","",Q509+S509)</f>
        <v/>
      </c>
      <c r="V509" s="195">
        <f>IF(B509="","",T509+'入力・概要'!$E$9*F509)</f>
        <v/>
      </c>
      <c r="W509" s="195">
        <f>IF(B509="","",U509+'入力・概要'!$E$9*G509)</f>
        <v/>
      </c>
      <c r="X509" s="195">
        <f>IF(B509="","",'入力・概要'!$E$9+T509*F509-U509*G509)</f>
        <v/>
      </c>
      <c r="Y509" s="195">
        <f>IF(B509="","",T509*G509+U509*F509)</f>
        <v/>
      </c>
      <c r="Z509" s="195">
        <f>IF(B509="","",'入力・概要'!$E$9*(V509*X509+W509*Y509)/(X509^2+Y509^2)+'入力・概要'!$B$36)</f>
        <v/>
      </c>
      <c r="AA509" s="195">
        <f>IF(B509="","",'入力・概要'!$E$9*(W509*X509-V509*Y509)/(X509^2+Y509^2)+C509*'入力・概要'!$B$37*1E-9)</f>
        <v/>
      </c>
      <c r="AB509" s="195">
        <f>IF(B509="","",SQRT(Z509^2+AA509^2))</f>
        <v/>
      </c>
      <c r="AC509" s="195">
        <f>IF(B509="","",IF(Z509&gt;0,DEGREES(ATAN(AA509/Z509)),IF(Z509&lt;0,IF(AA509&gt;=0,DEGREES(ATAN(AA509/Z509))+180,DEGREES(ATAN(AA509/Z509))-180),IF(AA509&gt;0,90,IF(AA509&lt;0,-90,0)))))</f>
        <v/>
      </c>
      <c r="AD509" s="195">
        <f>IF(B509="","",LOG10(B509))</f>
        <v/>
      </c>
      <c r="AE509" s="195">
        <f>IF(AB509="","",LOG10(MAX(AB509,1E-12)))</f>
        <v/>
      </c>
      <c r="AF509" s="195">
        <f>IF(B509="","",SQRT(P509^2+Q509^2))</f>
        <v/>
      </c>
      <c r="AG509" s="195">
        <f>IF(B509="","",SQRT(R509^2+S509^2))</f>
        <v/>
      </c>
    </row>
    <row r="510">
      <c r="A510" t="n">
        <v>507</v>
      </c>
      <c r="B510" s="196">
        <f>IF(A510&lt;='入力・概要'!$B$40,10^(LOG10('入力・概要'!$B$38)+(A510-1)*(LOG10('入力・概要'!$B$39)-LOG10('入力・概要'!$B$38))/('入力・概要'!$B$40-1)),"")</f>
        <v/>
      </c>
      <c r="C510" s="195">
        <f>IF(B510="","",2*PI()*B510)</f>
        <v/>
      </c>
      <c r="D510" s="195">
        <f>IF(B510="","",ATANH(MIN(0.999999,'入力・概要'!$E$20/'入力・概要'!$E$9))+'入力・概要'!$B$20*SQRT(B510/1E6)+E510*'入力・概要'!$B$15/2)</f>
        <v/>
      </c>
      <c r="E510" s="195">
        <f>IF(B510="","",C510*('入力・概要'!$E$11*1E-9))</f>
        <v/>
      </c>
      <c r="F510" s="195">
        <f>IF(B510="","",SINH(2*D510)/(COSH(2*D510)+COS(2*E510)))</f>
        <v/>
      </c>
      <c r="G510" s="195">
        <f>IF(B510="","",SIN(2*E510)/(COSH(2*D510)+COS(2*E510)))</f>
        <v/>
      </c>
      <c r="H510" s="195">
        <f>IF(B510="","",ATANH(MIN(0.999999,'入力・概要'!$E$21/'入力・概要'!$E$15))+'入力・概要'!$B$21*SQRT(B510/1E6)+I510*'入力・概要'!$B$16/2)</f>
        <v/>
      </c>
      <c r="I510" s="195">
        <f>IF(B510="","",C510*('入力・概要'!$E$17*1E-9))</f>
        <v/>
      </c>
      <c r="J510" s="195">
        <f>IF(B510="","",SINH(2*H510)/(COSH(2*H510)+COS(2*I510)))</f>
        <v/>
      </c>
      <c r="K510" s="195">
        <f>IF(B510="","",SIN(2*I510)/(COSH(2*H510)+COS(2*I510)))</f>
        <v/>
      </c>
      <c r="L510" s="195">
        <f>IF(B510="","",'入力・概要'!$B$25)</f>
        <v/>
      </c>
      <c r="M510" s="195">
        <f>IF(B510="","",C510*'入力・概要'!$B$26*1E-9-1/(C510*'入力・概要'!$B$24*1E-6))</f>
        <v/>
      </c>
      <c r="N510" s="195">
        <f>IF(B510="","",'入力・概要'!$B$28)</f>
        <v/>
      </c>
      <c r="O510" s="195">
        <f>IF(B510="","",C510*'入力・概要'!$B$29*1E-9-1/(C510*'入力・概要'!$B$27*1E-6))</f>
        <v/>
      </c>
      <c r="P510" s="195">
        <f>IF(B510="","",((L510*N510-M510*O510)*(L510+N510)+(L510*O510+M510*N510)*(M510+O510))/((L510+N510)^2+(M510+O510)^2))</f>
        <v/>
      </c>
      <c r="Q510" s="195">
        <f>IF(B510="","",((L510*O510+M510*N510)*(L510+N510)-(L510*N510-M510*O510)*(M510+O510))/((L510+N510)^2+(M510+O510)^2))</f>
        <v/>
      </c>
      <c r="R510" s="195">
        <f>IF(B510="","",'入力・概要'!$E$15*J510)</f>
        <v/>
      </c>
      <c r="S510" s="195">
        <f>IF(B510="","",'入力・概要'!$E$15*K510)</f>
        <v/>
      </c>
      <c r="T510" s="195">
        <f>IF(B510="","",P510+R510)</f>
        <v/>
      </c>
      <c r="U510" s="195">
        <f>IF(B510="","",Q510+S510)</f>
        <v/>
      </c>
      <c r="V510" s="195">
        <f>IF(B510="","",T510+'入力・概要'!$E$9*F510)</f>
        <v/>
      </c>
      <c r="W510" s="195">
        <f>IF(B510="","",U510+'入力・概要'!$E$9*G510)</f>
        <v/>
      </c>
      <c r="X510" s="195">
        <f>IF(B510="","",'入力・概要'!$E$9+T510*F510-U510*G510)</f>
        <v/>
      </c>
      <c r="Y510" s="195">
        <f>IF(B510="","",T510*G510+U510*F510)</f>
        <v/>
      </c>
      <c r="Z510" s="195">
        <f>IF(B510="","",'入力・概要'!$E$9*(V510*X510+W510*Y510)/(X510^2+Y510^2)+'入力・概要'!$B$36)</f>
        <v/>
      </c>
      <c r="AA510" s="195">
        <f>IF(B510="","",'入力・概要'!$E$9*(W510*X510-V510*Y510)/(X510^2+Y510^2)+C510*'入力・概要'!$B$37*1E-9)</f>
        <v/>
      </c>
      <c r="AB510" s="195">
        <f>IF(B510="","",SQRT(Z510^2+AA510^2))</f>
        <v/>
      </c>
      <c r="AC510" s="195">
        <f>IF(B510="","",IF(Z510&gt;0,DEGREES(ATAN(AA510/Z510)),IF(Z510&lt;0,IF(AA510&gt;=0,DEGREES(ATAN(AA510/Z510))+180,DEGREES(ATAN(AA510/Z510))-180),IF(AA510&gt;0,90,IF(AA510&lt;0,-90,0)))))</f>
        <v/>
      </c>
      <c r="AD510" s="195">
        <f>IF(B510="","",LOG10(B510))</f>
        <v/>
      </c>
      <c r="AE510" s="195">
        <f>IF(AB510="","",LOG10(MAX(AB510,1E-12)))</f>
        <v/>
      </c>
      <c r="AF510" s="195">
        <f>IF(B510="","",SQRT(P510^2+Q510^2))</f>
        <v/>
      </c>
      <c r="AG510" s="195">
        <f>IF(B510="","",SQRT(R510^2+S510^2))</f>
        <v/>
      </c>
    </row>
    <row r="511">
      <c r="A511" t="n">
        <v>508</v>
      </c>
      <c r="B511" s="196">
        <f>IF(A511&lt;='入力・概要'!$B$40,10^(LOG10('入力・概要'!$B$38)+(A511-1)*(LOG10('入力・概要'!$B$39)-LOG10('入力・概要'!$B$38))/('入力・概要'!$B$40-1)),"")</f>
        <v/>
      </c>
      <c r="C511" s="195">
        <f>IF(B511="","",2*PI()*B511)</f>
        <v/>
      </c>
      <c r="D511" s="195">
        <f>IF(B511="","",ATANH(MIN(0.999999,'入力・概要'!$E$20/'入力・概要'!$E$9))+'入力・概要'!$B$20*SQRT(B511/1E6)+E511*'入力・概要'!$B$15/2)</f>
        <v/>
      </c>
      <c r="E511" s="195">
        <f>IF(B511="","",C511*('入力・概要'!$E$11*1E-9))</f>
        <v/>
      </c>
      <c r="F511" s="195">
        <f>IF(B511="","",SINH(2*D511)/(COSH(2*D511)+COS(2*E511)))</f>
        <v/>
      </c>
      <c r="G511" s="195">
        <f>IF(B511="","",SIN(2*E511)/(COSH(2*D511)+COS(2*E511)))</f>
        <v/>
      </c>
      <c r="H511" s="195">
        <f>IF(B511="","",ATANH(MIN(0.999999,'入力・概要'!$E$21/'入力・概要'!$E$15))+'入力・概要'!$B$21*SQRT(B511/1E6)+I511*'入力・概要'!$B$16/2)</f>
        <v/>
      </c>
      <c r="I511" s="195">
        <f>IF(B511="","",C511*('入力・概要'!$E$17*1E-9))</f>
        <v/>
      </c>
      <c r="J511" s="195">
        <f>IF(B511="","",SINH(2*H511)/(COSH(2*H511)+COS(2*I511)))</f>
        <v/>
      </c>
      <c r="K511" s="195">
        <f>IF(B511="","",SIN(2*I511)/(COSH(2*H511)+COS(2*I511)))</f>
        <v/>
      </c>
      <c r="L511" s="195">
        <f>IF(B511="","",'入力・概要'!$B$25)</f>
        <v/>
      </c>
      <c r="M511" s="195">
        <f>IF(B511="","",C511*'入力・概要'!$B$26*1E-9-1/(C511*'入力・概要'!$B$24*1E-6))</f>
        <v/>
      </c>
      <c r="N511" s="195">
        <f>IF(B511="","",'入力・概要'!$B$28)</f>
        <v/>
      </c>
      <c r="O511" s="195">
        <f>IF(B511="","",C511*'入力・概要'!$B$29*1E-9-1/(C511*'入力・概要'!$B$27*1E-6))</f>
        <v/>
      </c>
      <c r="P511" s="195">
        <f>IF(B511="","",((L511*N511-M511*O511)*(L511+N511)+(L511*O511+M511*N511)*(M511+O511))/((L511+N511)^2+(M511+O511)^2))</f>
        <v/>
      </c>
      <c r="Q511" s="195">
        <f>IF(B511="","",((L511*O511+M511*N511)*(L511+N511)-(L511*N511-M511*O511)*(M511+O511))/((L511+N511)^2+(M511+O511)^2))</f>
        <v/>
      </c>
      <c r="R511" s="195">
        <f>IF(B511="","",'入力・概要'!$E$15*J511)</f>
        <v/>
      </c>
      <c r="S511" s="195">
        <f>IF(B511="","",'入力・概要'!$E$15*K511)</f>
        <v/>
      </c>
      <c r="T511" s="195">
        <f>IF(B511="","",P511+R511)</f>
        <v/>
      </c>
      <c r="U511" s="195">
        <f>IF(B511="","",Q511+S511)</f>
        <v/>
      </c>
      <c r="V511" s="195">
        <f>IF(B511="","",T511+'入力・概要'!$E$9*F511)</f>
        <v/>
      </c>
      <c r="W511" s="195">
        <f>IF(B511="","",U511+'入力・概要'!$E$9*G511)</f>
        <v/>
      </c>
      <c r="X511" s="195">
        <f>IF(B511="","",'入力・概要'!$E$9+T511*F511-U511*G511)</f>
        <v/>
      </c>
      <c r="Y511" s="195">
        <f>IF(B511="","",T511*G511+U511*F511)</f>
        <v/>
      </c>
      <c r="Z511" s="195">
        <f>IF(B511="","",'入力・概要'!$E$9*(V511*X511+W511*Y511)/(X511^2+Y511^2)+'入力・概要'!$B$36)</f>
        <v/>
      </c>
      <c r="AA511" s="195">
        <f>IF(B511="","",'入力・概要'!$E$9*(W511*X511-V511*Y511)/(X511^2+Y511^2)+C511*'入力・概要'!$B$37*1E-9)</f>
        <v/>
      </c>
      <c r="AB511" s="195">
        <f>IF(B511="","",SQRT(Z511^2+AA511^2))</f>
        <v/>
      </c>
      <c r="AC511" s="195">
        <f>IF(B511="","",IF(Z511&gt;0,DEGREES(ATAN(AA511/Z511)),IF(Z511&lt;0,IF(AA511&gt;=0,DEGREES(ATAN(AA511/Z511))+180,DEGREES(ATAN(AA511/Z511))-180),IF(AA511&gt;0,90,IF(AA511&lt;0,-90,0)))))</f>
        <v/>
      </c>
      <c r="AD511" s="195">
        <f>IF(B511="","",LOG10(B511))</f>
        <v/>
      </c>
      <c r="AE511" s="195">
        <f>IF(AB511="","",LOG10(MAX(AB511,1E-12)))</f>
        <v/>
      </c>
      <c r="AF511" s="195">
        <f>IF(B511="","",SQRT(P511^2+Q511^2))</f>
        <v/>
      </c>
      <c r="AG511" s="195">
        <f>IF(B511="","",SQRT(R511^2+S511^2))</f>
        <v/>
      </c>
    </row>
    <row r="512">
      <c r="A512" t="n">
        <v>509</v>
      </c>
      <c r="B512" s="196">
        <f>IF(A512&lt;='入力・概要'!$B$40,10^(LOG10('入力・概要'!$B$38)+(A512-1)*(LOG10('入力・概要'!$B$39)-LOG10('入力・概要'!$B$38))/('入力・概要'!$B$40-1)),"")</f>
        <v/>
      </c>
      <c r="C512" s="195">
        <f>IF(B512="","",2*PI()*B512)</f>
        <v/>
      </c>
      <c r="D512" s="195">
        <f>IF(B512="","",ATANH(MIN(0.999999,'入力・概要'!$E$20/'入力・概要'!$E$9))+'入力・概要'!$B$20*SQRT(B512/1E6)+E512*'入力・概要'!$B$15/2)</f>
        <v/>
      </c>
      <c r="E512" s="195">
        <f>IF(B512="","",C512*('入力・概要'!$E$11*1E-9))</f>
        <v/>
      </c>
      <c r="F512" s="195">
        <f>IF(B512="","",SINH(2*D512)/(COSH(2*D512)+COS(2*E512)))</f>
        <v/>
      </c>
      <c r="G512" s="195">
        <f>IF(B512="","",SIN(2*E512)/(COSH(2*D512)+COS(2*E512)))</f>
        <v/>
      </c>
      <c r="H512" s="195">
        <f>IF(B512="","",ATANH(MIN(0.999999,'入力・概要'!$E$21/'入力・概要'!$E$15))+'入力・概要'!$B$21*SQRT(B512/1E6)+I512*'入力・概要'!$B$16/2)</f>
        <v/>
      </c>
      <c r="I512" s="195">
        <f>IF(B512="","",C512*('入力・概要'!$E$17*1E-9))</f>
        <v/>
      </c>
      <c r="J512" s="195">
        <f>IF(B512="","",SINH(2*H512)/(COSH(2*H512)+COS(2*I512)))</f>
        <v/>
      </c>
      <c r="K512" s="195">
        <f>IF(B512="","",SIN(2*I512)/(COSH(2*H512)+COS(2*I512)))</f>
        <v/>
      </c>
      <c r="L512" s="195">
        <f>IF(B512="","",'入力・概要'!$B$25)</f>
        <v/>
      </c>
      <c r="M512" s="195">
        <f>IF(B512="","",C512*'入力・概要'!$B$26*1E-9-1/(C512*'入力・概要'!$B$24*1E-6))</f>
        <v/>
      </c>
      <c r="N512" s="195">
        <f>IF(B512="","",'入力・概要'!$B$28)</f>
        <v/>
      </c>
      <c r="O512" s="195">
        <f>IF(B512="","",C512*'入力・概要'!$B$29*1E-9-1/(C512*'入力・概要'!$B$27*1E-6))</f>
        <v/>
      </c>
      <c r="P512" s="195">
        <f>IF(B512="","",((L512*N512-M512*O512)*(L512+N512)+(L512*O512+M512*N512)*(M512+O512))/((L512+N512)^2+(M512+O512)^2))</f>
        <v/>
      </c>
      <c r="Q512" s="195">
        <f>IF(B512="","",((L512*O512+M512*N512)*(L512+N512)-(L512*N512-M512*O512)*(M512+O512))/((L512+N512)^2+(M512+O512)^2))</f>
        <v/>
      </c>
      <c r="R512" s="195">
        <f>IF(B512="","",'入力・概要'!$E$15*J512)</f>
        <v/>
      </c>
      <c r="S512" s="195">
        <f>IF(B512="","",'入力・概要'!$E$15*K512)</f>
        <v/>
      </c>
      <c r="T512" s="195">
        <f>IF(B512="","",P512+R512)</f>
        <v/>
      </c>
      <c r="U512" s="195">
        <f>IF(B512="","",Q512+S512)</f>
        <v/>
      </c>
      <c r="V512" s="195">
        <f>IF(B512="","",T512+'入力・概要'!$E$9*F512)</f>
        <v/>
      </c>
      <c r="W512" s="195">
        <f>IF(B512="","",U512+'入力・概要'!$E$9*G512)</f>
        <v/>
      </c>
      <c r="X512" s="195">
        <f>IF(B512="","",'入力・概要'!$E$9+T512*F512-U512*G512)</f>
        <v/>
      </c>
      <c r="Y512" s="195">
        <f>IF(B512="","",T512*G512+U512*F512)</f>
        <v/>
      </c>
      <c r="Z512" s="195">
        <f>IF(B512="","",'入力・概要'!$E$9*(V512*X512+W512*Y512)/(X512^2+Y512^2)+'入力・概要'!$B$36)</f>
        <v/>
      </c>
      <c r="AA512" s="195">
        <f>IF(B512="","",'入力・概要'!$E$9*(W512*X512-V512*Y512)/(X512^2+Y512^2)+C512*'入力・概要'!$B$37*1E-9)</f>
        <v/>
      </c>
      <c r="AB512" s="195">
        <f>IF(B512="","",SQRT(Z512^2+AA512^2))</f>
        <v/>
      </c>
      <c r="AC512" s="195">
        <f>IF(B512="","",IF(Z512&gt;0,DEGREES(ATAN(AA512/Z512)),IF(Z512&lt;0,IF(AA512&gt;=0,DEGREES(ATAN(AA512/Z512))+180,DEGREES(ATAN(AA512/Z512))-180),IF(AA512&gt;0,90,IF(AA512&lt;0,-90,0)))))</f>
        <v/>
      </c>
      <c r="AD512" s="195">
        <f>IF(B512="","",LOG10(B512))</f>
        <v/>
      </c>
      <c r="AE512" s="195">
        <f>IF(AB512="","",LOG10(MAX(AB512,1E-12)))</f>
        <v/>
      </c>
      <c r="AF512" s="195">
        <f>IF(B512="","",SQRT(P512^2+Q512^2))</f>
        <v/>
      </c>
      <c r="AG512" s="195">
        <f>IF(B512="","",SQRT(R512^2+S512^2))</f>
        <v/>
      </c>
    </row>
    <row r="513">
      <c r="A513" t="n">
        <v>510</v>
      </c>
      <c r="B513" s="196">
        <f>IF(A513&lt;='入力・概要'!$B$40,10^(LOG10('入力・概要'!$B$38)+(A513-1)*(LOG10('入力・概要'!$B$39)-LOG10('入力・概要'!$B$38))/('入力・概要'!$B$40-1)),"")</f>
        <v/>
      </c>
      <c r="C513" s="195">
        <f>IF(B513="","",2*PI()*B513)</f>
        <v/>
      </c>
      <c r="D513" s="195">
        <f>IF(B513="","",ATANH(MIN(0.999999,'入力・概要'!$E$20/'入力・概要'!$E$9))+'入力・概要'!$B$20*SQRT(B513/1E6)+E513*'入力・概要'!$B$15/2)</f>
        <v/>
      </c>
      <c r="E513" s="195">
        <f>IF(B513="","",C513*('入力・概要'!$E$11*1E-9))</f>
        <v/>
      </c>
      <c r="F513" s="195">
        <f>IF(B513="","",SINH(2*D513)/(COSH(2*D513)+COS(2*E513)))</f>
        <v/>
      </c>
      <c r="G513" s="195">
        <f>IF(B513="","",SIN(2*E513)/(COSH(2*D513)+COS(2*E513)))</f>
        <v/>
      </c>
      <c r="H513" s="195">
        <f>IF(B513="","",ATANH(MIN(0.999999,'入力・概要'!$E$21/'入力・概要'!$E$15))+'入力・概要'!$B$21*SQRT(B513/1E6)+I513*'入力・概要'!$B$16/2)</f>
        <v/>
      </c>
      <c r="I513" s="195">
        <f>IF(B513="","",C513*('入力・概要'!$E$17*1E-9))</f>
        <v/>
      </c>
      <c r="J513" s="195">
        <f>IF(B513="","",SINH(2*H513)/(COSH(2*H513)+COS(2*I513)))</f>
        <v/>
      </c>
      <c r="K513" s="195">
        <f>IF(B513="","",SIN(2*I513)/(COSH(2*H513)+COS(2*I513)))</f>
        <v/>
      </c>
      <c r="L513" s="195">
        <f>IF(B513="","",'入力・概要'!$B$25)</f>
        <v/>
      </c>
      <c r="M513" s="195">
        <f>IF(B513="","",C513*'入力・概要'!$B$26*1E-9-1/(C513*'入力・概要'!$B$24*1E-6))</f>
        <v/>
      </c>
      <c r="N513" s="195">
        <f>IF(B513="","",'入力・概要'!$B$28)</f>
        <v/>
      </c>
      <c r="O513" s="195">
        <f>IF(B513="","",C513*'入力・概要'!$B$29*1E-9-1/(C513*'入力・概要'!$B$27*1E-6))</f>
        <v/>
      </c>
      <c r="P513" s="195">
        <f>IF(B513="","",((L513*N513-M513*O513)*(L513+N513)+(L513*O513+M513*N513)*(M513+O513))/((L513+N513)^2+(M513+O513)^2))</f>
        <v/>
      </c>
      <c r="Q513" s="195">
        <f>IF(B513="","",((L513*O513+M513*N513)*(L513+N513)-(L513*N513-M513*O513)*(M513+O513))/((L513+N513)^2+(M513+O513)^2))</f>
        <v/>
      </c>
      <c r="R513" s="195">
        <f>IF(B513="","",'入力・概要'!$E$15*J513)</f>
        <v/>
      </c>
      <c r="S513" s="195">
        <f>IF(B513="","",'入力・概要'!$E$15*K513)</f>
        <v/>
      </c>
      <c r="T513" s="195">
        <f>IF(B513="","",P513+R513)</f>
        <v/>
      </c>
      <c r="U513" s="195">
        <f>IF(B513="","",Q513+S513)</f>
        <v/>
      </c>
      <c r="V513" s="195">
        <f>IF(B513="","",T513+'入力・概要'!$E$9*F513)</f>
        <v/>
      </c>
      <c r="W513" s="195">
        <f>IF(B513="","",U513+'入力・概要'!$E$9*G513)</f>
        <v/>
      </c>
      <c r="X513" s="195">
        <f>IF(B513="","",'入力・概要'!$E$9+T513*F513-U513*G513)</f>
        <v/>
      </c>
      <c r="Y513" s="195">
        <f>IF(B513="","",T513*G513+U513*F513)</f>
        <v/>
      </c>
      <c r="Z513" s="195">
        <f>IF(B513="","",'入力・概要'!$E$9*(V513*X513+W513*Y513)/(X513^2+Y513^2)+'入力・概要'!$B$36)</f>
        <v/>
      </c>
      <c r="AA513" s="195">
        <f>IF(B513="","",'入力・概要'!$E$9*(W513*X513-V513*Y513)/(X513^2+Y513^2)+C513*'入力・概要'!$B$37*1E-9)</f>
        <v/>
      </c>
      <c r="AB513" s="195">
        <f>IF(B513="","",SQRT(Z513^2+AA513^2))</f>
        <v/>
      </c>
      <c r="AC513" s="195">
        <f>IF(B513="","",IF(Z513&gt;0,DEGREES(ATAN(AA513/Z513)),IF(Z513&lt;0,IF(AA513&gt;=0,DEGREES(ATAN(AA513/Z513))+180,DEGREES(ATAN(AA513/Z513))-180),IF(AA513&gt;0,90,IF(AA513&lt;0,-90,0)))))</f>
        <v/>
      </c>
      <c r="AD513" s="195">
        <f>IF(B513="","",LOG10(B513))</f>
        <v/>
      </c>
      <c r="AE513" s="195">
        <f>IF(AB513="","",LOG10(MAX(AB513,1E-12)))</f>
        <v/>
      </c>
      <c r="AF513" s="195">
        <f>IF(B513="","",SQRT(P513^2+Q513^2))</f>
        <v/>
      </c>
      <c r="AG513" s="195">
        <f>IF(B513="","",SQRT(R513^2+S513^2))</f>
        <v/>
      </c>
    </row>
    <row r="514">
      <c r="A514" t="n">
        <v>511</v>
      </c>
      <c r="B514" s="196">
        <f>IF(A514&lt;='入力・概要'!$B$40,10^(LOG10('入力・概要'!$B$38)+(A514-1)*(LOG10('入力・概要'!$B$39)-LOG10('入力・概要'!$B$38))/('入力・概要'!$B$40-1)),"")</f>
        <v/>
      </c>
      <c r="C514" s="195">
        <f>IF(B514="","",2*PI()*B514)</f>
        <v/>
      </c>
      <c r="D514" s="195">
        <f>IF(B514="","",ATANH(MIN(0.999999,'入力・概要'!$E$20/'入力・概要'!$E$9))+'入力・概要'!$B$20*SQRT(B514/1E6)+E514*'入力・概要'!$B$15/2)</f>
        <v/>
      </c>
      <c r="E514" s="195">
        <f>IF(B514="","",C514*('入力・概要'!$E$11*1E-9))</f>
        <v/>
      </c>
      <c r="F514" s="195">
        <f>IF(B514="","",SINH(2*D514)/(COSH(2*D514)+COS(2*E514)))</f>
        <v/>
      </c>
      <c r="G514" s="195">
        <f>IF(B514="","",SIN(2*E514)/(COSH(2*D514)+COS(2*E514)))</f>
        <v/>
      </c>
      <c r="H514" s="195">
        <f>IF(B514="","",ATANH(MIN(0.999999,'入力・概要'!$E$21/'入力・概要'!$E$15))+'入力・概要'!$B$21*SQRT(B514/1E6)+I514*'入力・概要'!$B$16/2)</f>
        <v/>
      </c>
      <c r="I514" s="195">
        <f>IF(B514="","",C514*('入力・概要'!$E$17*1E-9))</f>
        <v/>
      </c>
      <c r="J514" s="195">
        <f>IF(B514="","",SINH(2*H514)/(COSH(2*H514)+COS(2*I514)))</f>
        <v/>
      </c>
      <c r="K514" s="195">
        <f>IF(B514="","",SIN(2*I514)/(COSH(2*H514)+COS(2*I514)))</f>
        <v/>
      </c>
      <c r="L514" s="195">
        <f>IF(B514="","",'入力・概要'!$B$25)</f>
        <v/>
      </c>
      <c r="M514" s="195">
        <f>IF(B514="","",C514*'入力・概要'!$B$26*1E-9-1/(C514*'入力・概要'!$B$24*1E-6))</f>
        <v/>
      </c>
      <c r="N514" s="195">
        <f>IF(B514="","",'入力・概要'!$B$28)</f>
        <v/>
      </c>
      <c r="O514" s="195">
        <f>IF(B514="","",C514*'入力・概要'!$B$29*1E-9-1/(C514*'入力・概要'!$B$27*1E-6))</f>
        <v/>
      </c>
      <c r="P514" s="195">
        <f>IF(B514="","",((L514*N514-M514*O514)*(L514+N514)+(L514*O514+M514*N514)*(M514+O514))/((L514+N514)^2+(M514+O514)^2))</f>
        <v/>
      </c>
      <c r="Q514" s="195">
        <f>IF(B514="","",((L514*O514+M514*N514)*(L514+N514)-(L514*N514-M514*O514)*(M514+O514))/((L514+N514)^2+(M514+O514)^2))</f>
        <v/>
      </c>
      <c r="R514" s="195">
        <f>IF(B514="","",'入力・概要'!$E$15*J514)</f>
        <v/>
      </c>
      <c r="S514" s="195">
        <f>IF(B514="","",'入力・概要'!$E$15*K514)</f>
        <v/>
      </c>
      <c r="T514" s="195">
        <f>IF(B514="","",P514+R514)</f>
        <v/>
      </c>
      <c r="U514" s="195">
        <f>IF(B514="","",Q514+S514)</f>
        <v/>
      </c>
      <c r="V514" s="195">
        <f>IF(B514="","",T514+'入力・概要'!$E$9*F514)</f>
        <v/>
      </c>
      <c r="W514" s="195">
        <f>IF(B514="","",U514+'入力・概要'!$E$9*G514)</f>
        <v/>
      </c>
      <c r="X514" s="195">
        <f>IF(B514="","",'入力・概要'!$E$9+T514*F514-U514*G514)</f>
        <v/>
      </c>
      <c r="Y514" s="195">
        <f>IF(B514="","",T514*G514+U514*F514)</f>
        <v/>
      </c>
      <c r="Z514" s="195">
        <f>IF(B514="","",'入力・概要'!$E$9*(V514*X514+W514*Y514)/(X514^2+Y514^2)+'入力・概要'!$B$36)</f>
        <v/>
      </c>
      <c r="AA514" s="195">
        <f>IF(B514="","",'入力・概要'!$E$9*(W514*X514-V514*Y514)/(X514^2+Y514^2)+C514*'入力・概要'!$B$37*1E-9)</f>
        <v/>
      </c>
      <c r="AB514" s="195">
        <f>IF(B514="","",SQRT(Z514^2+AA514^2))</f>
        <v/>
      </c>
      <c r="AC514" s="195">
        <f>IF(B514="","",IF(Z514&gt;0,DEGREES(ATAN(AA514/Z514)),IF(Z514&lt;0,IF(AA514&gt;=0,DEGREES(ATAN(AA514/Z514))+180,DEGREES(ATAN(AA514/Z514))-180),IF(AA514&gt;0,90,IF(AA514&lt;0,-90,0)))))</f>
        <v/>
      </c>
      <c r="AD514" s="195">
        <f>IF(B514="","",LOG10(B514))</f>
        <v/>
      </c>
      <c r="AE514" s="195">
        <f>IF(AB514="","",LOG10(MAX(AB514,1E-12)))</f>
        <v/>
      </c>
      <c r="AF514" s="195">
        <f>IF(B514="","",SQRT(P514^2+Q514^2))</f>
        <v/>
      </c>
      <c r="AG514" s="195">
        <f>IF(B514="","",SQRT(R514^2+S514^2))</f>
        <v/>
      </c>
    </row>
    <row r="515">
      <c r="A515" t="n">
        <v>512</v>
      </c>
      <c r="B515" s="196">
        <f>IF(A515&lt;='入力・概要'!$B$40,10^(LOG10('入力・概要'!$B$38)+(A515-1)*(LOG10('入力・概要'!$B$39)-LOG10('入力・概要'!$B$38))/('入力・概要'!$B$40-1)),"")</f>
        <v/>
      </c>
      <c r="C515" s="195">
        <f>IF(B515="","",2*PI()*B515)</f>
        <v/>
      </c>
      <c r="D515" s="195">
        <f>IF(B515="","",ATANH(MIN(0.999999,'入力・概要'!$E$20/'入力・概要'!$E$9))+'入力・概要'!$B$20*SQRT(B515/1E6)+E515*'入力・概要'!$B$15/2)</f>
        <v/>
      </c>
      <c r="E515" s="195">
        <f>IF(B515="","",C515*('入力・概要'!$E$11*1E-9))</f>
        <v/>
      </c>
      <c r="F515" s="195">
        <f>IF(B515="","",SINH(2*D515)/(COSH(2*D515)+COS(2*E515)))</f>
        <v/>
      </c>
      <c r="G515" s="195">
        <f>IF(B515="","",SIN(2*E515)/(COSH(2*D515)+COS(2*E515)))</f>
        <v/>
      </c>
      <c r="H515" s="195">
        <f>IF(B515="","",ATANH(MIN(0.999999,'入力・概要'!$E$21/'入力・概要'!$E$15))+'入力・概要'!$B$21*SQRT(B515/1E6)+I515*'入力・概要'!$B$16/2)</f>
        <v/>
      </c>
      <c r="I515" s="195">
        <f>IF(B515="","",C515*('入力・概要'!$E$17*1E-9))</f>
        <v/>
      </c>
      <c r="J515" s="195">
        <f>IF(B515="","",SINH(2*H515)/(COSH(2*H515)+COS(2*I515)))</f>
        <v/>
      </c>
      <c r="K515" s="195">
        <f>IF(B515="","",SIN(2*I515)/(COSH(2*H515)+COS(2*I515)))</f>
        <v/>
      </c>
      <c r="L515" s="195">
        <f>IF(B515="","",'入力・概要'!$B$25)</f>
        <v/>
      </c>
      <c r="M515" s="195">
        <f>IF(B515="","",C515*'入力・概要'!$B$26*1E-9-1/(C515*'入力・概要'!$B$24*1E-6))</f>
        <v/>
      </c>
      <c r="N515" s="195">
        <f>IF(B515="","",'入力・概要'!$B$28)</f>
        <v/>
      </c>
      <c r="O515" s="195">
        <f>IF(B515="","",C515*'入力・概要'!$B$29*1E-9-1/(C515*'入力・概要'!$B$27*1E-6))</f>
        <v/>
      </c>
      <c r="P515" s="195">
        <f>IF(B515="","",((L515*N515-M515*O515)*(L515+N515)+(L515*O515+M515*N515)*(M515+O515))/((L515+N515)^2+(M515+O515)^2))</f>
        <v/>
      </c>
      <c r="Q515" s="195">
        <f>IF(B515="","",((L515*O515+M515*N515)*(L515+N515)-(L515*N515-M515*O515)*(M515+O515))/((L515+N515)^2+(M515+O515)^2))</f>
        <v/>
      </c>
      <c r="R515" s="195">
        <f>IF(B515="","",'入力・概要'!$E$15*J515)</f>
        <v/>
      </c>
      <c r="S515" s="195">
        <f>IF(B515="","",'入力・概要'!$E$15*K515)</f>
        <v/>
      </c>
      <c r="T515" s="195">
        <f>IF(B515="","",P515+R515)</f>
        <v/>
      </c>
      <c r="U515" s="195">
        <f>IF(B515="","",Q515+S515)</f>
        <v/>
      </c>
      <c r="V515" s="195">
        <f>IF(B515="","",T515+'入力・概要'!$E$9*F515)</f>
        <v/>
      </c>
      <c r="W515" s="195">
        <f>IF(B515="","",U515+'入力・概要'!$E$9*G515)</f>
        <v/>
      </c>
      <c r="X515" s="195">
        <f>IF(B515="","",'入力・概要'!$E$9+T515*F515-U515*G515)</f>
        <v/>
      </c>
      <c r="Y515" s="195">
        <f>IF(B515="","",T515*G515+U515*F515)</f>
        <v/>
      </c>
      <c r="Z515" s="195">
        <f>IF(B515="","",'入力・概要'!$E$9*(V515*X515+W515*Y515)/(X515^2+Y515^2)+'入力・概要'!$B$36)</f>
        <v/>
      </c>
      <c r="AA515" s="195">
        <f>IF(B515="","",'入力・概要'!$E$9*(W515*X515-V515*Y515)/(X515^2+Y515^2)+C515*'入力・概要'!$B$37*1E-9)</f>
        <v/>
      </c>
      <c r="AB515" s="195">
        <f>IF(B515="","",SQRT(Z515^2+AA515^2))</f>
        <v/>
      </c>
      <c r="AC515" s="195">
        <f>IF(B515="","",IF(Z515&gt;0,DEGREES(ATAN(AA515/Z515)),IF(Z515&lt;0,IF(AA515&gt;=0,DEGREES(ATAN(AA515/Z515))+180,DEGREES(ATAN(AA515/Z515))-180),IF(AA515&gt;0,90,IF(AA515&lt;0,-90,0)))))</f>
        <v/>
      </c>
      <c r="AD515" s="195">
        <f>IF(B515="","",LOG10(B515))</f>
        <v/>
      </c>
      <c r="AE515" s="195">
        <f>IF(AB515="","",LOG10(MAX(AB515,1E-12)))</f>
        <v/>
      </c>
      <c r="AF515" s="195">
        <f>IF(B515="","",SQRT(P515^2+Q515^2))</f>
        <v/>
      </c>
      <c r="AG515" s="195">
        <f>IF(B515="","",SQRT(R515^2+S515^2))</f>
        <v/>
      </c>
    </row>
    <row r="516">
      <c r="A516" t="n">
        <v>513</v>
      </c>
      <c r="B516" s="196">
        <f>IF(A516&lt;='入力・概要'!$B$40,10^(LOG10('入力・概要'!$B$38)+(A516-1)*(LOG10('入力・概要'!$B$39)-LOG10('入力・概要'!$B$38))/('入力・概要'!$B$40-1)),"")</f>
        <v/>
      </c>
      <c r="C516" s="195">
        <f>IF(B516="","",2*PI()*B516)</f>
        <v/>
      </c>
      <c r="D516" s="195">
        <f>IF(B516="","",ATANH(MIN(0.999999,'入力・概要'!$E$20/'入力・概要'!$E$9))+'入力・概要'!$B$20*SQRT(B516/1E6)+E516*'入力・概要'!$B$15/2)</f>
        <v/>
      </c>
      <c r="E516" s="195">
        <f>IF(B516="","",C516*('入力・概要'!$E$11*1E-9))</f>
        <v/>
      </c>
      <c r="F516" s="195">
        <f>IF(B516="","",SINH(2*D516)/(COSH(2*D516)+COS(2*E516)))</f>
        <v/>
      </c>
      <c r="G516" s="195">
        <f>IF(B516="","",SIN(2*E516)/(COSH(2*D516)+COS(2*E516)))</f>
        <v/>
      </c>
      <c r="H516" s="195">
        <f>IF(B516="","",ATANH(MIN(0.999999,'入力・概要'!$E$21/'入力・概要'!$E$15))+'入力・概要'!$B$21*SQRT(B516/1E6)+I516*'入力・概要'!$B$16/2)</f>
        <v/>
      </c>
      <c r="I516" s="195">
        <f>IF(B516="","",C516*('入力・概要'!$E$17*1E-9))</f>
        <v/>
      </c>
      <c r="J516" s="195">
        <f>IF(B516="","",SINH(2*H516)/(COSH(2*H516)+COS(2*I516)))</f>
        <v/>
      </c>
      <c r="K516" s="195">
        <f>IF(B516="","",SIN(2*I516)/(COSH(2*H516)+COS(2*I516)))</f>
        <v/>
      </c>
      <c r="L516" s="195">
        <f>IF(B516="","",'入力・概要'!$B$25)</f>
        <v/>
      </c>
      <c r="M516" s="195">
        <f>IF(B516="","",C516*'入力・概要'!$B$26*1E-9-1/(C516*'入力・概要'!$B$24*1E-6))</f>
        <v/>
      </c>
      <c r="N516" s="195">
        <f>IF(B516="","",'入力・概要'!$B$28)</f>
        <v/>
      </c>
      <c r="O516" s="195">
        <f>IF(B516="","",C516*'入力・概要'!$B$29*1E-9-1/(C516*'入力・概要'!$B$27*1E-6))</f>
        <v/>
      </c>
      <c r="P516" s="195">
        <f>IF(B516="","",((L516*N516-M516*O516)*(L516+N516)+(L516*O516+M516*N516)*(M516+O516))/((L516+N516)^2+(M516+O516)^2))</f>
        <v/>
      </c>
      <c r="Q516" s="195">
        <f>IF(B516="","",((L516*O516+M516*N516)*(L516+N516)-(L516*N516-M516*O516)*(M516+O516))/((L516+N516)^2+(M516+O516)^2))</f>
        <v/>
      </c>
      <c r="R516" s="195">
        <f>IF(B516="","",'入力・概要'!$E$15*J516)</f>
        <v/>
      </c>
      <c r="S516" s="195">
        <f>IF(B516="","",'入力・概要'!$E$15*K516)</f>
        <v/>
      </c>
      <c r="T516" s="195">
        <f>IF(B516="","",P516+R516)</f>
        <v/>
      </c>
      <c r="U516" s="195">
        <f>IF(B516="","",Q516+S516)</f>
        <v/>
      </c>
      <c r="V516" s="195">
        <f>IF(B516="","",T516+'入力・概要'!$E$9*F516)</f>
        <v/>
      </c>
      <c r="W516" s="195">
        <f>IF(B516="","",U516+'入力・概要'!$E$9*G516)</f>
        <v/>
      </c>
      <c r="X516" s="195">
        <f>IF(B516="","",'入力・概要'!$E$9+T516*F516-U516*G516)</f>
        <v/>
      </c>
      <c r="Y516" s="195">
        <f>IF(B516="","",T516*G516+U516*F516)</f>
        <v/>
      </c>
      <c r="Z516" s="195">
        <f>IF(B516="","",'入力・概要'!$E$9*(V516*X516+W516*Y516)/(X516^2+Y516^2)+'入力・概要'!$B$36)</f>
        <v/>
      </c>
      <c r="AA516" s="195">
        <f>IF(B516="","",'入力・概要'!$E$9*(W516*X516-V516*Y516)/(X516^2+Y516^2)+C516*'入力・概要'!$B$37*1E-9)</f>
        <v/>
      </c>
      <c r="AB516" s="195">
        <f>IF(B516="","",SQRT(Z516^2+AA516^2))</f>
        <v/>
      </c>
      <c r="AC516" s="195">
        <f>IF(B516="","",IF(Z516&gt;0,DEGREES(ATAN(AA516/Z516)),IF(Z516&lt;0,IF(AA516&gt;=0,DEGREES(ATAN(AA516/Z516))+180,DEGREES(ATAN(AA516/Z516))-180),IF(AA516&gt;0,90,IF(AA516&lt;0,-90,0)))))</f>
        <v/>
      </c>
      <c r="AD516" s="195">
        <f>IF(B516="","",LOG10(B516))</f>
        <v/>
      </c>
      <c r="AE516" s="195">
        <f>IF(AB516="","",LOG10(MAX(AB516,1E-12)))</f>
        <v/>
      </c>
      <c r="AF516" s="195">
        <f>IF(B516="","",SQRT(P516^2+Q516^2))</f>
        <v/>
      </c>
      <c r="AG516" s="195">
        <f>IF(B516="","",SQRT(R516^2+S516^2))</f>
        <v/>
      </c>
    </row>
    <row r="517">
      <c r="A517" t="n">
        <v>514</v>
      </c>
      <c r="B517" s="196">
        <f>IF(A517&lt;='入力・概要'!$B$40,10^(LOG10('入力・概要'!$B$38)+(A517-1)*(LOG10('入力・概要'!$B$39)-LOG10('入力・概要'!$B$38))/('入力・概要'!$B$40-1)),"")</f>
        <v/>
      </c>
      <c r="C517" s="195">
        <f>IF(B517="","",2*PI()*B517)</f>
        <v/>
      </c>
      <c r="D517" s="195">
        <f>IF(B517="","",ATANH(MIN(0.999999,'入力・概要'!$E$20/'入力・概要'!$E$9))+'入力・概要'!$B$20*SQRT(B517/1E6)+E517*'入力・概要'!$B$15/2)</f>
        <v/>
      </c>
      <c r="E517" s="195">
        <f>IF(B517="","",C517*('入力・概要'!$E$11*1E-9))</f>
        <v/>
      </c>
      <c r="F517" s="195">
        <f>IF(B517="","",SINH(2*D517)/(COSH(2*D517)+COS(2*E517)))</f>
        <v/>
      </c>
      <c r="G517" s="195">
        <f>IF(B517="","",SIN(2*E517)/(COSH(2*D517)+COS(2*E517)))</f>
        <v/>
      </c>
      <c r="H517" s="195">
        <f>IF(B517="","",ATANH(MIN(0.999999,'入力・概要'!$E$21/'入力・概要'!$E$15))+'入力・概要'!$B$21*SQRT(B517/1E6)+I517*'入力・概要'!$B$16/2)</f>
        <v/>
      </c>
      <c r="I517" s="195">
        <f>IF(B517="","",C517*('入力・概要'!$E$17*1E-9))</f>
        <v/>
      </c>
      <c r="J517" s="195">
        <f>IF(B517="","",SINH(2*H517)/(COSH(2*H517)+COS(2*I517)))</f>
        <v/>
      </c>
      <c r="K517" s="195">
        <f>IF(B517="","",SIN(2*I517)/(COSH(2*H517)+COS(2*I517)))</f>
        <v/>
      </c>
      <c r="L517" s="195">
        <f>IF(B517="","",'入力・概要'!$B$25)</f>
        <v/>
      </c>
      <c r="M517" s="195">
        <f>IF(B517="","",C517*'入力・概要'!$B$26*1E-9-1/(C517*'入力・概要'!$B$24*1E-6))</f>
        <v/>
      </c>
      <c r="N517" s="195">
        <f>IF(B517="","",'入力・概要'!$B$28)</f>
        <v/>
      </c>
      <c r="O517" s="195">
        <f>IF(B517="","",C517*'入力・概要'!$B$29*1E-9-1/(C517*'入力・概要'!$B$27*1E-6))</f>
        <v/>
      </c>
      <c r="P517" s="195">
        <f>IF(B517="","",((L517*N517-M517*O517)*(L517+N517)+(L517*O517+M517*N517)*(M517+O517))/((L517+N517)^2+(M517+O517)^2))</f>
        <v/>
      </c>
      <c r="Q517" s="195">
        <f>IF(B517="","",((L517*O517+M517*N517)*(L517+N517)-(L517*N517-M517*O517)*(M517+O517))/((L517+N517)^2+(M517+O517)^2))</f>
        <v/>
      </c>
      <c r="R517" s="195">
        <f>IF(B517="","",'入力・概要'!$E$15*J517)</f>
        <v/>
      </c>
      <c r="S517" s="195">
        <f>IF(B517="","",'入力・概要'!$E$15*K517)</f>
        <v/>
      </c>
      <c r="T517" s="195">
        <f>IF(B517="","",P517+R517)</f>
        <v/>
      </c>
      <c r="U517" s="195">
        <f>IF(B517="","",Q517+S517)</f>
        <v/>
      </c>
      <c r="V517" s="195">
        <f>IF(B517="","",T517+'入力・概要'!$E$9*F517)</f>
        <v/>
      </c>
      <c r="W517" s="195">
        <f>IF(B517="","",U517+'入力・概要'!$E$9*G517)</f>
        <v/>
      </c>
      <c r="X517" s="195">
        <f>IF(B517="","",'入力・概要'!$E$9+T517*F517-U517*G517)</f>
        <v/>
      </c>
      <c r="Y517" s="195">
        <f>IF(B517="","",T517*G517+U517*F517)</f>
        <v/>
      </c>
      <c r="Z517" s="195">
        <f>IF(B517="","",'入力・概要'!$E$9*(V517*X517+W517*Y517)/(X517^2+Y517^2)+'入力・概要'!$B$36)</f>
        <v/>
      </c>
      <c r="AA517" s="195">
        <f>IF(B517="","",'入力・概要'!$E$9*(W517*X517-V517*Y517)/(X517^2+Y517^2)+C517*'入力・概要'!$B$37*1E-9)</f>
        <v/>
      </c>
      <c r="AB517" s="195">
        <f>IF(B517="","",SQRT(Z517^2+AA517^2))</f>
        <v/>
      </c>
      <c r="AC517" s="195">
        <f>IF(B517="","",IF(Z517&gt;0,DEGREES(ATAN(AA517/Z517)),IF(Z517&lt;0,IF(AA517&gt;=0,DEGREES(ATAN(AA517/Z517))+180,DEGREES(ATAN(AA517/Z517))-180),IF(AA517&gt;0,90,IF(AA517&lt;0,-90,0)))))</f>
        <v/>
      </c>
      <c r="AD517" s="195">
        <f>IF(B517="","",LOG10(B517))</f>
        <v/>
      </c>
      <c r="AE517" s="195">
        <f>IF(AB517="","",LOG10(MAX(AB517,1E-12)))</f>
        <v/>
      </c>
      <c r="AF517" s="195">
        <f>IF(B517="","",SQRT(P517^2+Q517^2))</f>
        <v/>
      </c>
      <c r="AG517" s="195">
        <f>IF(B517="","",SQRT(R517^2+S517^2))</f>
        <v/>
      </c>
    </row>
    <row r="518">
      <c r="A518" t="n">
        <v>515</v>
      </c>
      <c r="B518" s="196">
        <f>IF(A518&lt;='入力・概要'!$B$40,10^(LOG10('入力・概要'!$B$38)+(A518-1)*(LOG10('入力・概要'!$B$39)-LOG10('入力・概要'!$B$38))/('入力・概要'!$B$40-1)),"")</f>
        <v/>
      </c>
      <c r="C518" s="195">
        <f>IF(B518="","",2*PI()*B518)</f>
        <v/>
      </c>
      <c r="D518" s="195">
        <f>IF(B518="","",ATANH(MIN(0.999999,'入力・概要'!$E$20/'入力・概要'!$E$9))+'入力・概要'!$B$20*SQRT(B518/1E6)+E518*'入力・概要'!$B$15/2)</f>
        <v/>
      </c>
      <c r="E518" s="195">
        <f>IF(B518="","",C518*('入力・概要'!$E$11*1E-9))</f>
        <v/>
      </c>
      <c r="F518" s="195">
        <f>IF(B518="","",SINH(2*D518)/(COSH(2*D518)+COS(2*E518)))</f>
        <v/>
      </c>
      <c r="G518" s="195">
        <f>IF(B518="","",SIN(2*E518)/(COSH(2*D518)+COS(2*E518)))</f>
        <v/>
      </c>
      <c r="H518" s="195">
        <f>IF(B518="","",ATANH(MIN(0.999999,'入力・概要'!$E$21/'入力・概要'!$E$15))+'入力・概要'!$B$21*SQRT(B518/1E6)+I518*'入力・概要'!$B$16/2)</f>
        <v/>
      </c>
      <c r="I518" s="195">
        <f>IF(B518="","",C518*('入力・概要'!$E$17*1E-9))</f>
        <v/>
      </c>
      <c r="J518" s="195">
        <f>IF(B518="","",SINH(2*H518)/(COSH(2*H518)+COS(2*I518)))</f>
        <v/>
      </c>
      <c r="K518" s="195">
        <f>IF(B518="","",SIN(2*I518)/(COSH(2*H518)+COS(2*I518)))</f>
        <v/>
      </c>
      <c r="L518" s="195">
        <f>IF(B518="","",'入力・概要'!$B$25)</f>
        <v/>
      </c>
      <c r="M518" s="195">
        <f>IF(B518="","",C518*'入力・概要'!$B$26*1E-9-1/(C518*'入力・概要'!$B$24*1E-6))</f>
        <v/>
      </c>
      <c r="N518" s="195">
        <f>IF(B518="","",'入力・概要'!$B$28)</f>
        <v/>
      </c>
      <c r="O518" s="195">
        <f>IF(B518="","",C518*'入力・概要'!$B$29*1E-9-1/(C518*'入力・概要'!$B$27*1E-6))</f>
        <v/>
      </c>
      <c r="P518" s="195">
        <f>IF(B518="","",((L518*N518-M518*O518)*(L518+N518)+(L518*O518+M518*N518)*(M518+O518))/((L518+N518)^2+(M518+O518)^2))</f>
        <v/>
      </c>
      <c r="Q518" s="195">
        <f>IF(B518="","",((L518*O518+M518*N518)*(L518+N518)-(L518*N518-M518*O518)*(M518+O518))/((L518+N518)^2+(M518+O518)^2))</f>
        <v/>
      </c>
      <c r="R518" s="195">
        <f>IF(B518="","",'入力・概要'!$E$15*J518)</f>
        <v/>
      </c>
      <c r="S518" s="195">
        <f>IF(B518="","",'入力・概要'!$E$15*K518)</f>
        <v/>
      </c>
      <c r="T518" s="195">
        <f>IF(B518="","",P518+R518)</f>
        <v/>
      </c>
      <c r="U518" s="195">
        <f>IF(B518="","",Q518+S518)</f>
        <v/>
      </c>
      <c r="V518" s="195">
        <f>IF(B518="","",T518+'入力・概要'!$E$9*F518)</f>
        <v/>
      </c>
      <c r="W518" s="195">
        <f>IF(B518="","",U518+'入力・概要'!$E$9*G518)</f>
        <v/>
      </c>
      <c r="X518" s="195">
        <f>IF(B518="","",'入力・概要'!$E$9+T518*F518-U518*G518)</f>
        <v/>
      </c>
      <c r="Y518" s="195">
        <f>IF(B518="","",T518*G518+U518*F518)</f>
        <v/>
      </c>
      <c r="Z518" s="195">
        <f>IF(B518="","",'入力・概要'!$E$9*(V518*X518+W518*Y518)/(X518^2+Y518^2)+'入力・概要'!$B$36)</f>
        <v/>
      </c>
      <c r="AA518" s="195">
        <f>IF(B518="","",'入力・概要'!$E$9*(W518*X518-V518*Y518)/(X518^2+Y518^2)+C518*'入力・概要'!$B$37*1E-9)</f>
        <v/>
      </c>
      <c r="AB518" s="195">
        <f>IF(B518="","",SQRT(Z518^2+AA518^2))</f>
        <v/>
      </c>
      <c r="AC518" s="195">
        <f>IF(B518="","",IF(Z518&gt;0,DEGREES(ATAN(AA518/Z518)),IF(Z518&lt;0,IF(AA518&gt;=0,DEGREES(ATAN(AA518/Z518))+180,DEGREES(ATAN(AA518/Z518))-180),IF(AA518&gt;0,90,IF(AA518&lt;0,-90,0)))))</f>
        <v/>
      </c>
      <c r="AD518" s="195">
        <f>IF(B518="","",LOG10(B518))</f>
        <v/>
      </c>
      <c r="AE518" s="195">
        <f>IF(AB518="","",LOG10(MAX(AB518,1E-12)))</f>
        <v/>
      </c>
      <c r="AF518" s="195">
        <f>IF(B518="","",SQRT(P518^2+Q518^2))</f>
        <v/>
      </c>
      <c r="AG518" s="195">
        <f>IF(B518="","",SQRT(R518^2+S518^2))</f>
        <v/>
      </c>
    </row>
    <row r="519">
      <c r="A519" t="n">
        <v>516</v>
      </c>
      <c r="B519" s="196">
        <f>IF(A519&lt;='入力・概要'!$B$40,10^(LOG10('入力・概要'!$B$38)+(A519-1)*(LOG10('入力・概要'!$B$39)-LOG10('入力・概要'!$B$38))/('入力・概要'!$B$40-1)),"")</f>
        <v/>
      </c>
      <c r="C519" s="195">
        <f>IF(B519="","",2*PI()*B519)</f>
        <v/>
      </c>
      <c r="D519" s="195">
        <f>IF(B519="","",ATANH(MIN(0.999999,'入力・概要'!$E$20/'入力・概要'!$E$9))+'入力・概要'!$B$20*SQRT(B519/1E6)+E519*'入力・概要'!$B$15/2)</f>
        <v/>
      </c>
      <c r="E519" s="195">
        <f>IF(B519="","",C519*('入力・概要'!$E$11*1E-9))</f>
        <v/>
      </c>
      <c r="F519" s="195">
        <f>IF(B519="","",SINH(2*D519)/(COSH(2*D519)+COS(2*E519)))</f>
        <v/>
      </c>
      <c r="G519" s="195">
        <f>IF(B519="","",SIN(2*E519)/(COSH(2*D519)+COS(2*E519)))</f>
        <v/>
      </c>
      <c r="H519" s="195">
        <f>IF(B519="","",ATANH(MIN(0.999999,'入力・概要'!$E$21/'入力・概要'!$E$15))+'入力・概要'!$B$21*SQRT(B519/1E6)+I519*'入力・概要'!$B$16/2)</f>
        <v/>
      </c>
      <c r="I519" s="195">
        <f>IF(B519="","",C519*('入力・概要'!$E$17*1E-9))</f>
        <v/>
      </c>
      <c r="J519" s="195">
        <f>IF(B519="","",SINH(2*H519)/(COSH(2*H519)+COS(2*I519)))</f>
        <v/>
      </c>
      <c r="K519" s="195">
        <f>IF(B519="","",SIN(2*I519)/(COSH(2*H519)+COS(2*I519)))</f>
        <v/>
      </c>
      <c r="L519" s="195">
        <f>IF(B519="","",'入力・概要'!$B$25)</f>
        <v/>
      </c>
      <c r="M519" s="195">
        <f>IF(B519="","",C519*'入力・概要'!$B$26*1E-9-1/(C519*'入力・概要'!$B$24*1E-6))</f>
        <v/>
      </c>
      <c r="N519" s="195">
        <f>IF(B519="","",'入力・概要'!$B$28)</f>
        <v/>
      </c>
      <c r="O519" s="195">
        <f>IF(B519="","",C519*'入力・概要'!$B$29*1E-9-1/(C519*'入力・概要'!$B$27*1E-6))</f>
        <v/>
      </c>
      <c r="P519" s="195">
        <f>IF(B519="","",((L519*N519-M519*O519)*(L519+N519)+(L519*O519+M519*N519)*(M519+O519))/((L519+N519)^2+(M519+O519)^2))</f>
        <v/>
      </c>
      <c r="Q519" s="195">
        <f>IF(B519="","",((L519*O519+M519*N519)*(L519+N519)-(L519*N519-M519*O519)*(M519+O519))/((L519+N519)^2+(M519+O519)^2))</f>
        <v/>
      </c>
      <c r="R519" s="195">
        <f>IF(B519="","",'入力・概要'!$E$15*J519)</f>
        <v/>
      </c>
      <c r="S519" s="195">
        <f>IF(B519="","",'入力・概要'!$E$15*K519)</f>
        <v/>
      </c>
      <c r="T519" s="195">
        <f>IF(B519="","",P519+R519)</f>
        <v/>
      </c>
      <c r="U519" s="195">
        <f>IF(B519="","",Q519+S519)</f>
        <v/>
      </c>
      <c r="V519" s="195">
        <f>IF(B519="","",T519+'入力・概要'!$E$9*F519)</f>
        <v/>
      </c>
      <c r="W519" s="195">
        <f>IF(B519="","",U519+'入力・概要'!$E$9*G519)</f>
        <v/>
      </c>
      <c r="X519" s="195">
        <f>IF(B519="","",'入力・概要'!$E$9+T519*F519-U519*G519)</f>
        <v/>
      </c>
      <c r="Y519" s="195">
        <f>IF(B519="","",T519*G519+U519*F519)</f>
        <v/>
      </c>
      <c r="Z519" s="195">
        <f>IF(B519="","",'入力・概要'!$E$9*(V519*X519+W519*Y519)/(X519^2+Y519^2)+'入力・概要'!$B$36)</f>
        <v/>
      </c>
      <c r="AA519" s="195">
        <f>IF(B519="","",'入力・概要'!$E$9*(W519*X519-V519*Y519)/(X519^2+Y519^2)+C519*'入力・概要'!$B$37*1E-9)</f>
        <v/>
      </c>
      <c r="AB519" s="195">
        <f>IF(B519="","",SQRT(Z519^2+AA519^2))</f>
        <v/>
      </c>
      <c r="AC519" s="195">
        <f>IF(B519="","",IF(Z519&gt;0,DEGREES(ATAN(AA519/Z519)),IF(Z519&lt;0,IF(AA519&gt;=0,DEGREES(ATAN(AA519/Z519))+180,DEGREES(ATAN(AA519/Z519))-180),IF(AA519&gt;0,90,IF(AA519&lt;0,-90,0)))))</f>
        <v/>
      </c>
      <c r="AD519" s="195">
        <f>IF(B519="","",LOG10(B519))</f>
        <v/>
      </c>
      <c r="AE519" s="195">
        <f>IF(AB519="","",LOG10(MAX(AB519,1E-12)))</f>
        <v/>
      </c>
      <c r="AF519" s="195">
        <f>IF(B519="","",SQRT(P519^2+Q519^2))</f>
        <v/>
      </c>
      <c r="AG519" s="195">
        <f>IF(B519="","",SQRT(R519^2+S519^2))</f>
        <v/>
      </c>
    </row>
    <row r="520">
      <c r="A520" t="n">
        <v>517</v>
      </c>
      <c r="B520" s="196">
        <f>IF(A520&lt;='入力・概要'!$B$40,10^(LOG10('入力・概要'!$B$38)+(A520-1)*(LOG10('入力・概要'!$B$39)-LOG10('入力・概要'!$B$38))/('入力・概要'!$B$40-1)),"")</f>
        <v/>
      </c>
      <c r="C520" s="195">
        <f>IF(B520="","",2*PI()*B520)</f>
        <v/>
      </c>
      <c r="D520" s="195">
        <f>IF(B520="","",ATANH(MIN(0.999999,'入力・概要'!$E$20/'入力・概要'!$E$9))+'入力・概要'!$B$20*SQRT(B520/1E6)+E520*'入力・概要'!$B$15/2)</f>
        <v/>
      </c>
      <c r="E520" s="195">
        <f>IF(B520="","",C520*('入力・概要'!$E$11*1E-9))</f>
        <v/>
      </c>
      <c r="F520" s="195">
        <f>IF(B520="","",SINH(2*D520)/(COSH(2*D520)+COS(2*E520)))</f>
        <v/>
      </c>
      <c r="G520" s="195">
        <f>IF(B520="","",SIN(2*E520)/(COSH(2*D520)+COS(2*E520)))</f>
        <v/>
      </c>
      <c r="H520" s="195">
        <f>IF(B520="","",ATANH(MIN(0.999999,'入力・概要'!$E$21/'入力・概要'!$E$15))+'入力・概要'!$B$21*SQRT(B520/1E6)+I520*'入力・概要'!$B$16/2)</f>
        <v/>
      </c>
      <c r="I520" s="195">
        <f>IF(B520="","",C520*('入力・概要'!$E$17*1E-9))</f>
        <v/>
      </c>
      <c r="J520" s="195">
        <f>IF(B520="","",SINH(2*H520)/(COSH(2*H520)+COS(2*I520)))</f>
        <v/>
      </c>
      <c r="K520" s="195">
        <f>IF(B520="","",SIN(2*I520)/(COSH(2*H520)+COS(2*I520)))</f>
        <v/>
      </c>
      <c r="L520" s="195">
        <f>IF(B520="","",'入力・概要'!$B$25)</f>
        <v/>
      </c>
      <c r="M520" s="195">
        <f>IF(B520="","",C520*'入力・概要'!$B$26*1E-9-1/(C520*'入力・概要'!$B$24*1E-6))</f>
        <v/>
      </c>
      <c r="N520" s="195">
        <f>IF(B520="","",'入力・概要'!$B$28)</f>
        <v/>
      </c>
      <c r="O520" s="195">
        <f>IF(B520="","",C520*'入力・概要'!$B$29*1E-9-1/(C520*'入力・概要'!$B$27*1E-6))</f>
        <v/>
      </c>
      <c r="P520" s="195">
        <f>IF(B520="","",((L520*N520-M520*O520)*(L520+N520)+(L520*O520+M520*N520)*(M520+O520))/((L520+N520)^2+(M520+O520)^2))</f>
        <v/>
      </c>
      <c r="Q520" s="195">
        <f>IF(B520="","",((L520*O520+M520*N520)*(L520+N520)-(L520*N520-M520*O520)*(M520+O520))/((L520+N520)^2+(M520+O520)^2))</f>
        <v/>
      </c>
      <c r="R520" s="195">
        <f>IF(B520="","",'入力・概要'!$E$15*J520)</f>
        <v/>
      </c>
      <c r="S520" s="195">
        <f>IF(B520="","",'入力・概要'!$E$15*K520)</f>
        <v/>
      </c>
      <c r="T520" s="195">
        <f>IF(B520="","",P520+R520)</f>
        <v/>
      </c>
      <c r="U520" s="195">
        <f>IF(B520="","",Q520+S520)</f>
        <v/>
      </c>
      <c r="V520" s="195">
        <f>IF(B520="","",T520+'入力・概要'!$E$9*F520)</f>
        <v/>
      </c>
      <c r="W520" s="195">
        <f>IF(B520="","",U520+'入力・概要'!$E$9*G520)</f>
        <v/>
      </c>
      <c r="X520" s="195">
        <f>IF(B520="","",'入力・概要'!$E$9+T520*F520-U520*G520)</f>
        <v/>
      </c>
      <c r="Y520" s="195">
        <f>IF(B520="","",T520*G520+U520*F520)</f>
        <v/>
      </c>
      <c r="Z520" s="195">
        <f>IF(B520="","",'入力・概要'!$E$9*(V520*X520+W520*Y520)/(X520^2+Y520^2)+'入力・概要'!$B$36)</f>
        <v/>
      </c>
      <c r="AA520" s="195">
        <f>IF(B520="","",'入力・概要'!$E$9*(W520*X520-V520*Y520)/(X520^2+Y520^2)+C520*'入力・概要'!$B$37*1E-9)</f>
        <v/>
      </c>
      <c r="AB520" s="195">
        <f>IF(B520="","",SQRT(Z520^2+AA520^2))</f>
        <v/>
      </c>
      <c r="AC520" s="195">
        <f>IF(B520="","",IF(Z520&gt;0,DEGREES(ATAN(AA520/Z520)),IF(Z520&lt;0,IF(AA520&gt;=0,DEGREES(ATAN(AA520/Z520))+180,DEGREES(ATAN(AA520/Z520))-180),IF(AA520&gt;0,90,IF(AA520&lt;0,-90,0)))))</f>
        <v/>
      </c>
      <c r="AD520" s="195">
        <f>IF(B520="","",LOG10(B520))</f>
        <v/>
      </c>
      <c r="AE520" s="195">
        <f>IF(AB520="","",LOG10(MAX(AB520,1E-12)))</f>
        <v/>
      </c>
      <c r="AF520" s="195">
        <f>IF(B520="","",SQRT(P520^2+Q520^2))</f>
        <v/>
      </c>
      <c r="AG520" s="195">
        <f>IF(B520="","",SQRT(R520^2+S520^2))</f>
        <v/>
      </c>
    </row>
    <row r="521">
      <c r="A521" t="n">
        <v>518</v>
      </c>
      <c r="B521" s="196">
        <f>IF(A521&lt;='入力・概要'!$B$40,10^(LOG10('入力・概要'!$B$38)+(A521-1)*(LOG10('入力・概要'!$B$39)-LOG10('入力・概要'!$B$38))/('入力・概要'!$B$40-1)),"")</f>
        <v/>
      </c>
      <c r="C521" s="195">
        <f>IF(B521="","",2*PI()*B521)</f>
        <v/>
      </c>
      <c r="D521" s="195">
        <f>IF(B521="","",ATANH(MIN(0.999999,'入力・概要'!$E$20/'入力・概要'!$E$9))+'入力・概要'!$B$20*SQRT(B521/1E6)+E521*'入力・概要'!$B$15/2)</f>
        <v/>
      </c>
      <c r="E521" s="195">
        <f>IF(B521="","",C521*('入力・概要'!$E$11*1E-9))</f>
        <v/>
      </c>
      <c r="F521" s="195">
        <f>IF(B521="","",SINH(2*D521)/(COSH(2*D521)+COS(2*E521)))</f>
        <v/>
      </c>
      <c r="G521" s="195">
        <f>IF(B521="","",SIN(2*E521)/(COSH(2*D521)+COS(2*E521)))</f>
        <v/>
      </c>
      <c r="H521" s="195">
        <f>IF(B521="","",ATANH(MIN(0.999999,'入力・概要'!$E$21/'入力・概要'!$E$15))+'入力・概要'!$B$21*SQRT(B521/1E6)+I521*'入力・概要'!$B$16/2)</f>
        <v/>
      </c>
      <c r="I521" s="195">
        <f>IF(B521="","",C521*('入力・概要'!$E$17*1E-9))</f>
        <v/>
      </c>
      <c r="J521" s="195">
        <f>IF(B521="","",SINH(2*H521)/(COSH(2*H521)+COS(2*I521)))</f>
        <v/>
      </c>
      <c r="K521" s="195">
        <f>IF(B521="","",SIN(2*I521)/(COSH(2*H521)+COS(2*I521)))</f>
        <v/>
      </c>
      <c r="L521" s="195">
        <f>IF(B521="","",'入力・概要'!$B$25)</f>
        <v/>
      </c>
      <c r="M521" s="195">
        <f>IF(B521="","",C521*'入力・概要'!$B$26*1E-9-1/(C521*'入力・概要'!$B$24*1E-6))</f>
        <v/>
      </c>
      <c r="N521" s="195">
        <f>IF(B521="","",'入力・概要'!$B$28)</f>
        <v/>
      </c>
      <c r="O521" s="195">
        <f>IF(B521="","",C521*'入力・概要'!$B$29*1E-9-1/(C521*'入力・概要'!$B$27*1E-6))</f>
        <v/>
      </c>
      <c r="P521" s="195">
        <f>IF(B521="","",((L521*N521-M521*O521)*(L521+N521)+(L521*O521+M521*N521)*(M521+O521))/((L521+N521)^2+(M521+O521)^2))</f>
        <v/>
      </c>
      <c r="Q521" s="195">
        <f>IF(B521="","",((L521*O521+M521*N521)*(L521+N521)-(L521*N521-M521*O521)*(M521+O521))/((L521+N521)^2+(M521+O521)^2))</f>
        <v/>
      </c>
      <c r="R521" s="195">
        <f>IF(B521="","",'入力・概要'!$E$15*J521)</f>
        <v/>
      </c>
      <c r="S521" s="195">
        <f>IF(B521="","",'入力・概要'!$E$15*K521)</f>
        <v/>
      </c>
      <c r="T521" s="195">
        <f>IF(B521="","",P521+R521)</f>
        <v/>
      </c>
      <c r="U521" s="195">
        <f>IF(B521="","",Q521+S521)</f>
        <v/>
      </c>
      <c r="V521" s="195">
        <f>IF(B521="","",T521+'入力・概要'!$E$9*F521)</f>
        <v/>
      </c>
      <c r="W521" s="195">
        <f>IF(B521="","",U521+'入力・概要'!$E$9*G521)</f>
        <v/>
      </c>
      <c r="X521" s="195">
        <f>IF(B521="","",'入力・概要'!$E$9+T521*F521-U521*G521)</f>
        <v/>
      </c>
      <c r="Y521" s="195">
        <f>IF(B521="","",T521*G521+U521*F521)</f>
        <v/>
      </c>
      <c r="Z521" s="195">
        <f>IF(B521="","",'入力・概要'!$E$9*(V521*X521+W521*Y521)/(X521^2+Y521^2)+'入力・概要'!$B$36)</f>
        <v/>
      </c>
      <c r="AA521" s="195">
        <f>IF(B521="","",'入力・概要'!$E$9*(W521*X521-V521*Y521)/(X521^2+Y521^2)+C521*'入力・概要'!$B$37*1E-9)</f>
        <v/>
      </c>
      <c r="AB521" s="195">
        <f>IF(B521="","",SQRT(Z521^2+AA521^2))</f>
        <v/>
      </c>
      <c r="AC521" s="195">
        <f>IF(B521="","",IF(Z521&gt;0,DEGREES(ATAN(AA521/Z521)),IF(Z521&lt;0,IF(AA521&gt;=0,DEGREES(ATAN(AA521/Z521))+180,DEGREES(ATAN(AA521/Z521))-180),IF(AA521&gt;0,90,IF(AA521&lt;0,-90,0)))))</f>
        <v/>
      </c>
      <c r="AD521" s="195">
        <f>IF(B521="","",LOG10(B521))</f>
        <v/>
      </c>
      <c r="AE521" s="195">
        <f>IF(AB521="","",LOG10(MAX(AB521,1E-12)))</f>
        <v/>
      </c>
      <c r="AF521" s="195">
        <f>IF(B521="","",SQRT(P521^2+Q521^2))</f>
        <v/>
      </c>
      <c r="AG521" s="195">
        <f>IF(B521="","",SQRT(R521^2+S521^2))</f>
        <v/>
      </c>
    </row>
    <row r="522">
      <c r="A522" t="n">
        <v>519</v>
      </c>
      <c r="B522" s="196">
        <f>IF(A522&lt;='入力・概要'!$B$40,10^(LOG10('入力・概要'!$B$38)+(A522-1)*(LOG10('入力・概要'!$B$39)-LOG10('入力・概要'!$B$38))/('入力・概要'!$B$40-1)),"")</f>
        <v/>
      </c>
      <c r="C522" s="195">
        <f>IF(B522="","",2*PI()*B522)</f>
        <v/>
      </c>
      <c r="D522" s="195">
        <f>IF(B522="","",ATANH(MIN(0.999999,'入力・概要'!$E$20/'入力・概要'!$E$9))+'入力・概要'!$B$20*SQRT(B522/1E6)+E522*'入力・概要'!$B$15/2)</f>
        <v/>
      </c>
      <c r="E522" s="195">
        <f>IF(B522="","",C522*('入力・概要'!$E$11*1E-9))</f>
        <v/>
      </c>
      <c r="F522" s="195">
        <f>IF(B522="","",SINH(2*D522)/(COSH(2*D522)+COS(2*E522)))</f>
        <v/>
      </c>
      <c r="G522" s="195">
        <f>IF(B522="","",SIN(2*E522)/(COSH(2*D522)+COS(2*E522)))</f>
        <v/>
      </c>
      <c r="H522" s="195">
        <f>IF(B522="","",ATANH(MIN(0.999999,'入力・概要'!$E$21/'入力・概要'!$E$15))+'入力・概要'!$B$21*SQRT(B522/1E6)+I522*'入力・概要'!$B$16/2)</f>
        <v/>
      </c>
      <c r="I522" s="195">
        <f>IF(B522="","",C522*('入力・概要'!$E$17*1E-9))</f>
        <v/>
      </c>
      <c r="J522" s="195">
        <f>IF(B522="","",SINH(2*H522)/(COSH(2*H522)+COS(2*I522)))</f>
        <v/>
      </c>
      <c r="K522" s="195">
        <f>IF(B522="","",SIN(2*I522)/(COSH(2*H522)+COS(2*I522)))</f>
        <v/>
      </c>
      <c r="L522" s="195">
        <f>IF(B522="","",'入力・概要'!$B$25)</f>
        <v/>
      </c>
      <c r="M522" s="195">
        <f>IF(B522="","",C522*'入力・概要'!$B$26*1E-9-1/(C522*'入力・概要'!$B$24*1E-6))</f>
        <v/>
      </c>
      <c r="N522" s="195">
        <f>IF(B522="","",'入力・概要'!$B$28)</f>
        <v/>
      </c>
      <c r="O522" s="195">
        <f>IF(B522="","",C522*'入力・概要'!$B$29*1E-9-1/(C522*'入力・概要'!$B$27*1E-6))</f>
        <v/>
      </c>
      <c r="P522" s="195">
        <f>IF(B522="","",((L522*N522-M522*O522)*(L522+N522)+(L522*O522+M522*N522)*(M522+O522))/((L522+N522)^2+(M522+O522)^2))</f>
        <v/>
      </c>
      <c r="Q522" s="195">
        <f>IF(B522="","",((L522*O522+M522*N522)*(L522+N522)-(L522*N522-M522*O522)*(M522+O522))/((L522+N522)^2+(M522+O522)^2))</f>
        <v/>
      </c>
      <c r="R522" s="195">
        <f>IF(B522="","",'入力・概要'!$E$15*J522)</f>
        <v/>
      </c>
      <c r="S522" s="195">
        <f>IF(B522="","",'入力・概要'!$E$15*K522)</f>
        <v/>
      </c>
      <c r="T522" s="195">
        <f>IF(B522="","",P522+R522)</f>
        <v/>
      </c>
      <c r="U522" s="195">
        <f>IF(B522="","",Q522+S522)</f>
        <v/>
      </c>
      <c r="V522" s="195">
        <f>IF(B522="","",T522+'入力・概要'!$E$9*F522)</f>
        <v/>
      </c>
      <c r="W522" s="195">
        <f>IF(B522="","",U522+'入力・概要'!$E$9*G522)</f>
        <v/>
      </c>
      <c r="X522" s="195">
        <f>IF(B522="","",'入力・概要'!$E$9+T522*F522-U522*G522)</f>
        <v/>
      </c>
      <c r="Y522" s="195">
        <f>IF(B522="","",T522*G522+U522*F522)</f>
        <v/>
      </c>
      <c r="Z522" s="195">
        <f>IF(B522="","",'入力・概要'!$E$9*(V522*X522+W522*Y522)/(X522^2+Y522^2)+'入力・概要'!$B$36)</f>
        <v/>
      </c>
      <c r="AA522" s="195">
        <f>IF(B522="","",'入力・概要'!$E$9*(W522*X522-V522*Y522)/(X522^2+Y522^2)+C522*'入力・概要'!$B$37*1E-9)</f>
        <v/>
      </c>
      <c r="AB522" s="195">
        <f>IF(B522="","",SQRT(Z522^2+AA522^2))</f>
        <v/>
      </c>
      <c r="AC522" s="195">
        <f>IF(B522="","",IF(Z522&gt;0,DEGREES(ATAN(AA522/Z522)),IF(Z522&lt;0,IF(AA522&gt;=0,DEGREES(ATAN(AA522/Z522))+180,DEGREES(ATAN(AA522/Z522))-180),IF(AA522&gt;0,90,IF(AA522&lt;0,-90,0)))))</f>
        <v/>
      </c>
      <c r="AD522" s="195">
        <f>IF(B522="","",LOG10(B522))</f>
        <v/>
      </c>
      <c r="AE522" s="195">
        <f>IF(AB522="","",LOG10(MAX(AB522,1E-12)))</f>
        <v/>
      </c>
      <c r="AF522" s="195">
        <f>IF(B522="","",SQRT(P522^2+Q522^2))</f>
        <v/>
      </c>
      <c r="AG522" s="195">
        <f>IF(B522="","",SQRT(R522^2+S522^2))</f>
        <v/>
      </c>
    </row>
    <row r="523">
      <c r="A523" t="n">
        <v>520</v>
      </c>
      <c r="B523" s="196">
        <f>IF(A523&lt;='入力・概要'!$B$40,10^(LOG10('入力・概要'!$B$38)+(A523-1)*(LOG10('入力・概要'!$B$39)-LOG10('入力・概要'!$B$38))/('入力・概要'!$B$40-1)),"")</f>
        <v/>
      </c>
      <c r="C523" s="195">
        <f>IF(B523="","",2*PI()*B523)</f>
        <v/>
      </c>
      <c r="D523" s="195">
        <f>IF(B523="","",ATANH(MIN(0.999999,'入力・概要'!$E$20/'入力・概要'!$E$9))+'入力・概要'!$B$20*SQRT(B523/1E6)+E523*'入力・概要'!$B$15/2)</f>
        <v/>
      </c>
      <c r="E523" s="195">
        <f>IF(B523="","",C523*('入力・概要'!$E$11*1E-9))</f>
        <v/>
      </c>
      <c r="F523" s="195">
        <f>IF(B523="","",SINH(2*D523)/(COSH(2*D523)+COS(2*E523)))</f>
        <v/>
      </c>
      <c r="G523" s="195">
        <f>IF(B523="","",SIN(2*E523)/(COSH(2*D523)+COS(2*E523)))</f>
        <v/>
      </c>
      <c r="H523" s="195">
        <f>IF(B523="","",ATANH(MIN(0.999999,'入力・概要'!$E$21/'入力・概要'!$E$15))+'入力・概要'!$B$21*SQRT(B523/1E6)+I523*'入力・概要'!$B$16/2)</f>
        <v/>
      </c>
      <c r="I523" s="195">
        <f>IF(B523="","",C523*('入力・概要'!$E$17*1E-9))</f>
        <v/>
      </c>
      <c r="J523" s="195">
        <f>IF(B523="","",SINH(2*H523)/(COSH(2*H523)+COS(2*I523)))</f>
        <v/>
      </c>
      <c r="K523" s="195">
        <f>IF(B523="","",SIN(2*I523)/(COSH(2*H523)+COS(2*I523)))</f>
        <v/>
      </c>
      <c r="L523" s="195">
        <f>IF(B523="","",'入力・概要'!$B$25)</f>
        <v/>
      </c>
      <c r="M523" s="195">
        <f>IF(B523="","",C523*'入力・概要'!$B$26*1E-9-1/(C523*'入力・概要'!$B$24*1E-6))</f>
        <v/>
      </c>
      <c r="N523" s="195">
        <f>IF(B523="","",'入力・概要'!$B$28)</f>
        <v/>
      </c>
      <c r="O523" s="195">
        <f>IF(B523="","",C523*'入力・概要'!$B$29*1E-9-1/(C523*'入力・概要'!$B$27*1E-6))</f>
        <v/>
      </c>
      <c r="P523" s="195">
        <f>IF(B523="","",((L523*N523-M523*O523)*(L523+N523)+(L523*O523+M523*N523)*(M523+O523))/((L523+N523)^2+(M523+O523)^2))</f>
        <v/>
      </c>
      <c r="Q523" s="195">
        <f>IF(B523="","",((L523*O523+M523*N523)*(L523+N523)-(L523*N523-M523*O523)*(M523+O523))/((L523+N523)^2+(M523+O523)^2))</f>
        <v/>
      </c>
      <c r="R523" s="195">
        <f>IF(B523="","",'入力・概要'!$E$15*J523)</f>
        <v/>
      </c>
      <c r="S523" s="195">
        <f>IF(B523="","",'入力・概要'!$E$15*K523)</f>
        <v/>
      </c>
      <c r="T523" s="195">
        <f>IF(B523="","",P523+R523)</f>
        <v/>
      </c>
      <c r="U523" s="195">
        <f>IF(B523="","",Q523+S523)</f>
        <v/>
      </c>
      <c r="V523" s="195">
        <f>IF(B523="","",T523+'入力・概要'!$E$9*F523)</f>
        <v/>
      </c>
      <c r="W523" s="195">
        <f>IF(B523="","",U523+'入力・概要'!$E$9*G523)</f>
        <v/>
      </c>
      <c r="X523" s="195">
        <f>IF(B523="","",'入力・概要'!$E$9+T523*F523-U523*G523)</f>
        <v/>
      </c>
      <c r="Y523" s="195">
        <f>IF(B523="","",T523*G523+U523*F523)</f>
        <v/>
      </c>
      <c r="Z523" s="195">
        <f>IF(B523="","",'入力・概要'!$E$9*(V523*X523+W523*Y523)/(X523^2+Y523^2)+'入力・概要'!$B$36)</f>
        <v/>
      </c>
      <c r="AA523" s="195">
        <f>IF(B523="","",'入力・概要'!$E$9*(W523*X523-V523*Y523)/(X523^2+Y523^2)+C523*'入力・概要'!$B$37*1E-9)</f>
        <v/>
      </c>
      <c r="AB523" s="195">
        <f>IF(B523="","",SQRT(Z523^2+AA523^2))</f>
        <v/>
      </c>
      <c r="AC523" s="195">
        <f>IF(B523="","",IF(Z523&gt;0,DEGREES(ATAN(AA523/Z523)),IF(Z523&lt;0,IF(AA523&gt;=0,DEGREES(ATAN(AA523/Z523))+180,DEGREES(ATAN(AA523/Z523))-180),IF(AA523&gt;0,90,IF(AA523&lt;0,-90,0)))))</f>
        <v/>
      </c>
      <c r="AD523" s="195">
        <f>IF(B523="","",LOG10(B523))</f>
        <v/>
      </c>
      <c r="AE523" s="195">
        <f>IF(AB523="","",LOG10(MAX(AB523,1E-12)))</f>
        <v/>
      </c>
      <c r="AF523" s="195">
        <f>IF(B523="","",SQRT(P523^2+Q523^2))</f>
        <v/>
      </c>
      <c r="AG523" s="195">
        <f>IF(B523="","",SQRT(R523^2+S523^2))</f>
        <v/>
      </c>
    </row>
    <row r="524">
      <c r="A524" t="n">
        <v>521</v>
      </c>
      <c r="B524" s="196">
        <f>IF(A524&lt;='入力・概要'!$B$40,10^(LOG10('入力・概要'!$B$38)+(A524-1)*(LOG10('入力・概要'!$B$39)-LOG10('入力・概要'!$B$38))/('入力・概要'!$B$40-1)),"")</f>
        <v/>
      </c>
      <c r="C524" s="195">
        <f>IF(B524="","",2*PI()*B524)</f>
        <v/>
      </c>
      <c r="D524" s="195">
        <f>IF(B524="","",ATANH(MIN(0.999999,'入力・概要'!$E$20/'入力・概要'!$E$9))+'入力・概要'!$B$20*SQRT(B524/1E6)+E524*'入力・概要'!$B$15/2)</f>
        <v/>
      </c>
      <c r="E524" s="195">
        <f>IF(B524="","",C524*('入力・概要'!$E$11*1E-9))</f>
        <v/>
      </c>
      <c r="F524" s="195">
        <f>IF(B524="","",SINH(2*D524)/(COSH(2*D524)+COS(2*E524)))</f>
        <v/>
      </c>
      <c r="G524" s="195">
        <f>IF(B524="","",SIN(2*E524)/(COSH(2*D524)+COS(2*E524)))</f>
        <v/>
      </c>
      <c r="H524" s="195">
        <f>IF(B524="","",ATANH(MIN(0.999999,'入力・概要'!$E$21/'入力・概要'!$E$15))+'入力・概要'!$B$21*SQRT(B524/1E6)+I524*'入力・概要'!$B$16/2)</f>
        <v/>
      </c>
      <c r="I524" s="195">
        <f>IF(B524="","",C524*('入力・概要'!$E$17*1E-9))</f>
        <v/>
      </c>
      <c r="J524" s="195">
        <f>IF(B524="","",SINH(2*H524)/(COSH(2*H524)+COS(2*I524)))</f>
        <v/>
      </c>
      <c r="K524" s="195">
        <f>IF(B524="","",SIN(2*I524)/(COSH(2*H524)+COS(2*I524)))</f>
        <v/>
      </c>
      <c r="L524" s="195">
        <f>IF(B524="","",'入力・概要'!$B$25)</f>
        <v/>
      </c>
      <c r="M524" s="195">
        <f>IF(B524="","",C524*'入力・概要'!$B$26*1E-9-1/(C524*'入力・概要'!$B$24*1E-6))</f>
        <v/>
      </c>
      <c r="N524" s="195">
        <f>IF(B524="","",'入力・概要'!$B$28)</f>
        <v/>
      </c>
      <c r="O524" s="195">
        <f>IF(B524="","",C524*'入力・概要'!$B$29*1E-9-1/(C524*'入力・概要'!$B$27*1E-6))</f>
        <v/>
      </c>
      <c r="P524" s="195">
        <f>IF(B524="","",((L524*N524-M524*O524)*(L524+N524)+(L524*O524+M524*N524)*(M524+O524))/((L524+N524)^2+(M524+O524)^2))</f>
        <v/>
      </c>
      <c r="Q524" s="195">
        <f>IF(B524="","",((L524*O524+M524*N524)*(L524+N524)-(L524*N524-M524*O524)*(M524+O524))/((L524+N524)^2+(M524+O524)^2))</f>
        <v/>
      </c>
      <c r="R524" s="195">
        <f>IF(B524="","",'入力・概要'!$E$15*J524)</f>
        <v/>
      </c>
      <c r="S524" s="195">
        <f>IF(B524="","",'入力・概要'!$E$15*K524)</f>
        <v/>
      </c>
      <c r="T524" s="195">
        <f>IF(B524="","",P524+R524)</f>
        <v/>
      </c>
      <c r="U524" s="195">
        <f>IF(B524="","",Q524+S524)</f>
        <v/>
      </c>
      <c r="V524" s="195">
        <f>IF(B524="","",T524+'入力・概要'!$E$9*F524)</f>
        <v/>
      </c>
      <c r="W524" s="195">
        <f>IF(B524="","",U524+'入力・概要'!$E$9*G524)</f>
        <v/>
      </c>
      <c r="X524" s="195">
        <f>IF(B524="","",'入力・概要'!$E$9+T524*F524-U524*G524)</f>
        <v/>
      </c>
      <c r="Y524" s="195">
        <f>IF(B524="","",T524*G524+U524*F524)</f>
        <v/>
      </c>
      <c r="Z524" s="195">
        <f>IF(B524="","",'入力・概要'!$E$9*(V524*X524+W524*Y524)/(X524^2+Y524^2)+'入力・概要'!$B$36)</f>
        <v/>
      </c>
      <c r="AA524" s="195">
        <f>IF(B524="","",'入力・概要'!$E$9*(W524*X524-V524*Y524)/(X524^2+Y524^2)+C524*'入力・概要'!$B$37*1E-9)</f>
        <v/>
      </c>
      <c r="AB524" s="195">
        <f>IF(B524="","",SQRT(Z524^2+AA524^2))</f>
        <v/>
      </c>
      <c r="AC524" s="195">
        <f>IF(B524="","",IF(Z524&gt;0,DEGREES(ATAN(AA524/Z524)),IF(Z524&lt;0,IF(AA524&gt;=0,DEGREES(ATAN(AA524/Z524))+180,DEGREES(ATAN(AA524/Z524))-180),IF(AA524&gt;0,90,IF(AA524&lt;0,-90,0)))))</f>
        <v/>
      </c>
      <c r="AD524" s="195">
        <f>IF(B524="","",LOG10(B524))</f>
        <v/>
      </c>
      <c r="AE524" s="195">
        <f>IF(AB524="","",LOG10(MAX(AB524,1E-12)))</f>
        <v/>
      </c>
      <c r="AF524" s="195">
        <f>IF(B524="","",SQRT(P524^2+Q524^2))</f>
        <v/>
      </c>
      <c r="AG524" s="195">
        <f>IF(B524="","",SQRT(R524^2+S524^2))</f>
        <v/>
      </c>
    </row>
    <row r="525">
      <c r="A525" t="n">
        <v>522</v>
      </c>
      <c r="B525" s="196">
        <f>IF(A525&lt;='入力・概要'!$B$40,10^(LOG10('入力・概要'!$B$38)+(A525-1)*(LOG10('入力・概要'!$B$39)-LOG10('入力・概要'!$B$38))/('入力・概要'!$B$40-1)),"")</f>
        <v/>
      </c>
      <c r="C525" s="195">
        <f>IF(B525="","",2*PI()*B525)</f>
        <v/>
      </c>
      <c r="D525" s="195">
        <f>IF(B525="","",ATANH(MIN(0.999999,'入力・概要'!$E$20/'入力・概要'!$E$9))+'入力・概要'!$B$20*SQRT(B525/1E6)+E525*'入力・概要'!$B$15/2)</f>
        <v/>
      </c>
      <c r="E525" s="195">
        <f>IF(B525="","",C525*('入力・概要'!$E$11*1E-9))</f>
        <v/>
      </c>
      <c r="F525" s="195">
        <f>IF(B525="","",SINH(2*D525)/(COSH(2*D525)+COS(2*E525)))</f>
        <v/>
      </c>
      <c r="G525" s="195">
        <f>IF(B525="","",SIN(2*E525)/(COSH(2*D525)+COS(2*E525)))</f>
        <v/>
      </c>
      <c r="H525" s="195">
        <f>IF(B525="","",ATANH(MIN(0.999999,'入力・概要'!$E$21/'入力・概要'!$E$15))+'入力・概要'!$B$21*SQRT(B525/1E6)+I525*'入力・概要'!$B$16/2)</f>
        <v/>
      </c>
      <c r="I525" s="195">
        <f>IF(B525="","",C525*('入力・概要'!$E$17*1E-9))</f>
        <v/>
      </c>
      <c r="J525" s="195">
        <f>IF(B525="","",SINH(2*H525)/(COSH(2*H525)+COS(2*I525)))</f>
        <v/>
      </c>
      <c r="K525" s="195">
        <f>IF(B525="","",SIN(2*I525)/(COSH(2*H525)+COS(2*I525)))</f>
        <v/>
      </c>
      <c r="L525" s="195">
        <f>IF(B525="","",'入力・概要'!$B$25)</f>
        <v/>
      </c>
      <c r="M525" s="195">
        <f>IF(B525="","",C525*'入力・概要'!$B$26*1E-9-1/(C525*'入力・概要'!$B$24*1E-6))</f>
        <v/>
      </c>
      <c r="N525" s="195">
        <f>IF(B525="","",'入力・概要'!$B$28)</f>
        <v/>
      </c>
      <c r="O525" s="195">
        <f>IF(B525="","",C525*'入力・概要'!$B$29*1E-9-1/(C525*'入力・概要'!$B$27*1E-6))</f>
        <v/>
      </c>
      <c r="P525" s="195">
        <f>IF(B525="","",((L525*N525-M525*O525)*(L525+N525)+(L525*O525+M525*N525)*(M525+O525))/((L525+N525)^2+(M525+O525)^2))</f>
        <v/>
      </c>
      <c r="Q525" s="195">
        <f>IF(B525="","",((L525*O525+M525*N525)*(L525+N525)-(L525*N525-M525*O525)*(M525+O525))/((L525+N525)^2+(M525+O525)^2))</f>
        <v/>
      </c>
      <c r="R525" s="195">
        <f>IF(B525="","",'入力・概要'!$E$15*J525)</f>
        <v/>
      </c>
      <c r="S525" s="195">
        <f>IF(B525="","",'入力・概要'!$E$15*K525)</f>
        <v/>
      </c>
      <c r="T525" s="195">
        <f>IF(B525="","",P525+R525)</f>
        <v/>
      </c>
      <c r="U525" s="195">
        <f>IF(B525="","",Q525+S525)</f>
        <v/>
      </c>
      <c r="V525" s="195">
        <f>IF(B525="","",T525+'入力・概要'!$E$9*F525)</f>
        <v/>
      </c>
      <c r="W525" s="195">
        <f>IF(B525="","",U525+'入力・概要'!$E$9*G525)</f>
        <v/>
      </c>
      <c r="X525" s="195">
        <f>IF(B525="","",'入力・概要'!$E$9+T525*F525-U525*G525)</f>
        <v/>
      </c>
      <c r="Y525" s="195">
        <f>IF(B525="","",T525*G525+U525*F525)</f>
        <v/>
      </c>
      <c r="Z525" s="195">
        <f>IF(B525="","",'入力・概要'!$E$9*(V525*X525+W525*Y525)/(X525^2+Y525^2)+'入力・概要'!$B$36)</f>
        <v/>
      </c>
      <c r="AA525" s="195">
        <f>IF(B525="","",'入力・概要'!$E$9*(W525*X525-V525*Y525)/(X525^2+Y525^2)+C525*'入力・概要'!$B$37*1E-9)</f>
        <v/>
      </c>
      <c r="AB525" s="195">
        <f>IF(B525="","",SQRT(Z525^2+AA525^2))</f>
        <v/>
      </c>
      <c r="AC525" s="195">
        <f>IF(B525="","",IF(Z525&gt;0,DEGREES(ATAN(AA525/Z525)),IF(Z525&lt;0,IF(AA525&gt;=0,DEGREES(ATAN(AA525/Z525))+180,DEGREES(ATAN(AA525/Z525))-180),IF(AA525&gt;0,90,IF(AA525&lt;0,-90,0)))))</f>
        <v/>
      </c>
      <c r="AD525" s="195">
        <f>IF(B525="","",LOG10(B525))</f>
        <v/>
      </c>
      <c r="AE525" s="195">
        <f>IF(AB525="","",LOG10(MAX(AB525,1E-12)))</f>
        <v/>
      </c>
      <c r="AF525" s="195">
        <f>IF(B525="","",SQRT(P525^2+Q525^2))</f>
        <v/>
      </c>
      <c r="AG525" s="195">
        <f>IF(B525="","",SQRT(R525^2+S525^2))</f>
        <v/>
      </c>
    </row>
    <row r="526">
      <c r="A526" t="n">
        <v>523</v>
      </c>
      <c r="B526" s="196">
        <f>IF(A526&lt;='入力・概要'!$B$40,10^(LOG10('入力・概要'!$B$38)+(A526-1)*(LOG10('入力・概要'!$B$39)-LOG10('入力・概要'!$B$38))/('入力・概要'!$B$40-1)),"")</f>
        <v/>
      </c>
      <c r="C526" s="195">
        <f>IF(B526="","",2*PI()*B526)</f>
        <v/>
      </c>
      <c r="D526" s="195">
        <f>IF(B526="","",ATANH(MIN(0.999999,'入力・概要'!$E$20/'入力・概要'!$E$9))+'入力・概要'!$B$20*SQRT(B526/1E6)+E526*'入力・概要'!$B$15/2)</f>
        <v/>
      </c>
      <c r="E526" s="195">
        <f>IF(B526="","",C526*('入力・概要'!$E$11*1E-9))</f>
        <v/>
      </c>
      <c r="F526" s="195">
        <f>IF(B526="","",SINH(2*D526)/(COSH(2*D526)+COS(2*E526)))</f>
        <v/>
      </c>
      <c r="G526" s="195">
        <f>IF(B526="","",SIN(2*E526)/(COSH(2*D526)+COS(2*E526)))</f>
        <v/>
      </c>
      <c r="H526" s="195">
        <f>IF(B526="","",ATANH(MIN(0.999999,'入力・概要'!$E$21/'入力・概要'!$E$15))+'入力・概要'!$B$21*SQRT(B526/1E6)+I526*'入力・概要'!$B$16/2)</f>
        <v/>
      </c>
      <c r="I526" s="195">
        <f>IF(B526="","",C526*('入力・概要'!$E$17*1E-9))</f>
        <v/>
      </c>
      <c r="J526" s="195">
        <f>IF(B526="","",SINH(2*H526)/(COSH(2*H526)+COS(2*I526)))</f>
        <v/>
      </c>
      <c r="K526" s="195">
        <f>IF(B526="","",SIN(2*I526)/(COSH(2*H526)+COS(2*I526)))</f>
        <v/>
      </c>
      <c r="L526" s="195">
        <f>IF(B526="","",'入力・概要'!$B$25)</f>
        <v/>
      </c>
      <c r="M526" s="195">
        <f>IF(B526="","",C526*'入力・概要'!$B$26*1E-9-1/(C526*'入力・概要'!$B$24*1E-6))</f>
        <v/>
      </c>
      <c r="N526" s="195">
        <f>IF(B526="","",'入力・概要'!$B$28)</f>
        <v/>
      </c>
      <c r="O526" s="195">
        <f>IF(B526="","",C526*'入力・概要'!$B$29*1E-9-1/(C526*'入力・概要'!$B$27*1E-6))</f>
        <v/>
      </c>
      <c r="P526" s="195">
        <f>IF(B526="","",((L526*N526-M526*O526)*(L526+N526)+(L526*O526+M526*N526)*(M526+O526))/((L526+N526)^2+(M526+O526)^2))</f>
        <v/>
      </c>
      <c r="Q526" s="195">
        <f>IF(B526="","",((L526*O526+M526*N526)*(L526+N526)-(L526*N526-M526*O526)*(M526+O526))/((L526+N526)^2+(M526+O526)^2))</f>
        <v/>
      </c>
      <c r="R526" s="195">
        <f>IF(B526="","",'入力・概要'!$E$15*J526)</f>
        <v/>
      </c>
      <c r="S526" s="195">
        <f>IF(B526="","",'入力・概要'!$E$15*K526)</f>
        <v/>
      </c>
      <c r="T526" s="195">
        <f>IF(B526="","",P526+R526)</f>
        <v/>
      </c>
      <c r="U526" s="195">
        <f>IF(B526="","",Q526+S526)</f>
        <v/>
      </c>
      <c r="V526" s="195">
        <f>IF(B526="","",T526+'入力・概要'!$E$9*F526)</f>
        <v/>
      </c>
      <c r="W526" s="195">
        <f>IF(B526="","",U526+'入力・概要'!$E$9*G526)</f>
        <v/>
      </c>
      <c r="X526" s="195">
        <f>IF(B526="","",'入力・概要'!$E$9+T526*F526-U526*G526)</f>
        <v/>
      </c>
      <c r="Y526" s="195">
        <f>IF(B526="","",T526*G526+U526*F526)</f>
        <v/>
      </c>
      <c r="Z526" s="195">
        <f>IF(B526="","",'入力・概要'!$E$9*(V526*X526+W526*Y526)/(X526^2+Y526^2)+'入力・概要'!$B$36)</f>
        <v/>
      </c>
      <c r="AA526" s="195">
        <f>IF(B526="","",'入力・概要'!$E$9*(W526*X526-V526*Y526)/(X526^2+Y526^2)+C526*'入力・概要'!$B$37*1E-9)</f>
        <v/>
      </c>
      <c r="AB526" s="195">
        <f>IF(B526="","",SQRT(Z526^2+AA526^2))</f>
        <v/>
      </c>
      <c r="AC526" s="195">
        <f>IF(B526="","",IF(Z526&gt;0,DEGREES(ATAN(AA526/Z526)),IF(Z526&lt;0,IF(AA526&gt;=0,DEGREES(ATAN(AA526/Z526))+180,DEGREES(ATAN(AA526/Z526))-180),IF(AA526&gt;0,90,IF(AA526&lt;0,-90,0)))))</f>
        <v/>
      </c>
      <c r="AD526" s="195">
        <f>IF(B526="","",LOG10(B526))</f>
        <v/>
      </c>
      <c r="AE526" s="195">
        <f>IF(AB526="","",LOG10(MAX(AB526,1E-12)))</f>
        <v/>
      </c>
      <c r="AF526" s="195">
        <f>IF(B526="","",SQRT(P526^2+Q526^2))</f>
        <v/>
      </c>
      <c r="AG526" s="195">
        <f>IF(B526="","",SQRT(R526^2+S526^2))</f>
        <v/>
      </c>
    </row>
    <row r="527">
      <c r="A527" t="n">
        <v>524</v>
      </c>
      <c r="B527" s="196">
        <f>IF(A527&lt;='入力・概要'!$B$40,10^(LOG10('入力・概要'!$B$38)+(A527-1)*(LOG10('入力・概要'!$B$39)-LOG10('入力・概要'!$B$38))/('入力・概要'!$B$40-1)),"")</f>
        <v/>
      </c>
      <c r="C527" s="195">
        <f>IF(B527="","",2*PI()*B527)</f>
        <v/>
      </c>
      <c r="D527" s="195">
        <f>IF(B527="","",ATANH(MIN(0.999999,'入力・概要'!$E$20/'入力・概要'!$E$9))+'入力・概要'!$B$20*SQRT(B527/1E6)+E527*'入力・概要'!$B$15/2)</f>
        <v/>
      </c>
      <c r="E527" s="195">
        <f>IF(B527="","",C527*('入力・概要'!$E$11*1E-9))</f>
        <v/>
      </c>
      <c r="F527" s="195">
        <f>IF(B527="","",SINH(2*D527)/(COSH(2*D527)+COS(2*E527)))</f>
        <v/>
      </c>
      <c r="G527" s="195">
        <f>IF(B527="","",SIN(2*E527)/(COSH(2*D527)+COS(2*E527)))</f>
        <v/>
      </c>
      <c r="H527" s="195">
        <f>IF(B527="","",ATANH(MIN(0.999999,'入力・概要'!$E$21/'入力・概要'!$E$15))+'入力・概要'!$B$21*SQRT(B527/1E6)+I527*'入力・概要'!$B$16/2)</f>
        <v/>
      </c>
      <c r="I527" s="195">
        <f>IF(B527="","",C527*('入力・概要'!$E$17*1E-9))</f>
        <v/>
      </c>
      <c r="J527" s="195">
        <f>IF(B527="","",SINH(2*H527)/(COSH(2*H527)+COS(2*I527)))</f>
        <v/>
      </c>
      <c r="K527" s="195">
        <f>IF(B527="","",SIN(2*I527)/(COSH(2*H527)+COS(2*I527)))</f>
        <v/>
      </c>
      <c r="L527" s="195">
        <f>IF(B527="","",'入力・概要'!$B$25)</f>
        <v/>
      </c>
      <c r="M527" s="195">
        <f>IF(B527="","",C527*'入力・概要'!$B$26*1E-9-1/(C527*'入力・概要'!$B$24*1E-6))</f>
        <v/>
      </c>
      <c r="N527" s="195">
        <f>IF(B527="","",'入力・概要'!$B$28)</f>
        <v/>
      </c>
      <c r="O527" s="195">
        <f>IF(B527="","",C527*'入力・概要'!$B$29*1E-9-1/(C527*'入力・概要'!$B$27*1E-6))</f>
        <v/>
      </c>
      <c r="P527" s="195">
        <f>IF(B527="","",((L527*N527-M527*O527)*(L527+N527)+(L527*O527+M527*N527)*(M527+O527))/((L527+N527)^2+(M527+O527)^2))</f>
        <v/>
      </c>
      <c r="Q527" s="195">
        <f>IF(B527="","",((L527*O527+M527*N527)*(L527+N527)-(L527*N527-M527*O527)*(M527+O527))/((L527+N527)^2+(M527+O527)^2))</f>
        <v/>
      </c>
      <c r="R527" s="195">
        <f>IF(B527="","",'入力・概要'!$E$15*J527)</f>
        <v/>
      </c>
      <c r="S527" s="195">
        <f>IF(B527="","",'入力・概要'!$E$15*K527)</f>
        <v/>
      </c>
      <c r="T527" s="195">
        <f>IF(B527="","",P527+R527)</f>
        <v/>
      </c>
      <c r="U527" s="195">
        <f>IF(B527="","",Q527+S527)</f>
        <v/>
      </c>
      <c r="V527" s="195">
        <f>IF(B527="","",T527+'入力・概要'!$E$9*F527)</f>
        <v/>
      </c>
      <c r="W527" s="195">
        <f>IF(B527="","",U527+'入力・概要'!$E$9*G527)</f>
        <v/>
      </c>
      <c r="X527" s="195">
        <f>IF(B527="","",'入力・概要'!$E$9+T527*F527-U527*G527)</f>
        <v/>
      </c>
      <c r="Y527" s="195">
        <f>IF(B527="","",T527*G527+U527*F527)</f>
        <v/>
      </c>
      <c r="Z527" s="195">
        <f>IF(B527="","",'入力・概要'!$E$9*(V527*X527+W527*Y527)/(X527^2+Y527^2)+'入力・概要'!$B$36)</f>
        <v/>
      </c>
      <c r="AA527" s="195">
        <f>IF(B527="","",'入力・概要'!$E$9*(W527*X527-V527*Y527)/(X527^2+Y527^2)+C527*'入力・概要'!$B$37*1E-9)</f>
        <v/>
      </c>
      <c r="AB527" s="195">
        <f>IF(B527="","",SQRT(Z527^2+AA527^2))</f>
        <v/>
      </c>
      <c r="AC527" s="195">
        <f>IF(B527="","",IF(Z527&gt;0,DEGREES(ATAN(AA527/Z527)),IF(Z527&lt;0,IF(AA527&gt;=0,DEGREES(ATAN(AA527/Z527))+180,DEGREES(ATAN(AA527/Z527))-180),IF(AA527&gt;0,90,IF(AA527&lt;0,-90,0)))))</f>
        <v/>
      </c>
      <c r="AD527" s="195">
        <f>IF(B527="","",LOG10(B527))</f>
        <v/>
      </c>
      <c r="AE527" s="195">
        <f>IF(AB527="","",LOG10(MAX(AB527,1E-12)))</f>
        <v/>
      </c>
      <c r="AF527" s="195">
        <f>IF(B527="","",SQRT(P527^2+Q527^2))</f>
        <v/>
      </c>
      <c r="AG527" s="195">
        <f>IF(B527="","",SQRT(R527^2+S527^2))</f>
        <v/>
      </c>
    </row>
    <row r="528">
      <c r="A528" t="n">
        <v>525</v>
      </c>
      <c r="B528" s="196">
        <f>IF(A528&lt;='入力・概要'!$B$40,10^(LOG10('入力・概要'!$B$38)+(A528-1)*(LOG10('入力・概要'!$B$39)-LOG10('入力・概要'!$B$38))/('入力・概要'!$B$40-1)),"")</f>
        <v/>
      </c>
      <c r="C528" s="195">
        <f>IF(B528="","",2*PI()*B528)</f>
        <v/>
      </c>
      <c r="D528" s="195">
        <f>IF(B528="","",ATANH(MIN(0.999999,'入力・概要'!$E$20/'入力・概要'!$E$9))+'入力・概要'!$B$20*SQRT(B528/1E6)+E528*'入力・概要'!$B$15/2)</f>
        <v/>
      </c>
      <c r="E528" s="195">
        <f>IF(B528="","",C528*('入力・概要'!$E$11*1E-9))</f>
        <v/>
      </c>
      <c r="F528" s="195">
        <f>IF(B528="","",SINH(2*D528)/(COSH(2*D528)+COS(2*E528)))</f>
        <v/>
      </c>
      <c r="G528" s="195">
        <f>IF(B528="","",SIN(2*E528)/(COSH(2*D528)+COS(2*E528)))</f>
        <v/>
      </c>
      <c r="H528" s="195">
        <f>IF(B528="","",ATANH(MIN(0.999999,'入力・概要'!$E$21/'入力・概要'!$E$15))+'入力・概要'!$B$21*SQRT(B528/1E6)+I528*'入力・概要'!$B$16/2)</f>
        <v/>
      </c>
      <c r="I528" s="195">
        <f>IF(B528="","",C528*('入力・概要'!$E$17*1E-9))</f>
        <v/>
      </c>
      <c r="J528" s="195">
        <f>IF(B528="","",SINH(2*H528)/(COSH(2*H528)+COS(2*I528)))</f>
        <v/>
      </c>
      <c r="K528" s="195">
        <f>IF(B528="","",SIN(2*I528)/(COSH(2*H528)+COS(2*I528)))</f>
        <v/>
      </c>
      <c r="L528" s="195">
        <f>IF(B528="","",'入力・概要'!$B$25)</f>
        <v/>
      </c>
      <c r="M528" s="195">
        <f>IF(B528="","",C528*'入力・概要'!$B$26*1E-9-1/(C528*'入力・概要'!$B$24*1E-6))</f>
        <v/>
      </c>
      <c r="N528" s="195">
        <f>IF(B528="","",'入力・概要'!$B$28)</f>
        <v/>
      </c>
      <c r="O528" s="195">
        <f>IF(B528="","",C528*'入力・概要'!$B$29*1E-9-1/(C528*'入力・概要'!$B$27*1E-6))</f>
        <v/>
      </c>
      <c r="P528" s="195">
        <f>IF(B528="","",((L528*N528-M528*O528)*(L528+N528)+(L528*O528+M528*N528)*(M528+O528))/((L528+N528)^2+(M528+O528)^2))</f>
        <v/>
      </c>
      <c r="Q528" s="195">
        <f>IF(B528="","",((L528*O528+M528*N528)*(L528+N528)-(L528*N528-M528*O528)*(M528+O528))/((L528+N528)^2+(M528+O528)^2))</f>
        <v/>
      </c>
      <c r="R528" s="195">
        <f>IF(B528="","",'入力・概要'!$E$15*J528)</f>
        <v/>
      </c>
      <c r="S528" s="195">
        <f>IF(B528="","",'入力・概要'!$E$15*K528)</f>
        <v/>
      </c>
      <c r="T528" s="195">
        <f>IF(B528="","",P528+R528)</f>
        <v/>
      </c>
      <c r="U528" s="195">
        <f>IF(B528="","",Q528+S528)</f>
        <v/>
      </c>
      <c r="V528" s="195">
        <f>IF(B528="","",T528+'入力・概要'!$E$9*F528)</f>
        <v/>
      </c>
      <c r="W528" s="195">
        <f>IF(B528="","",U528+'入力・概要'!$E$9*G528)</f>
        <v/>
      </c>
      <c r="X528" s="195">
        <f>IF(B528="","",'入力・概要'!$E$9+T528*F528-U528*G528)</f>
        <v/>
      </c>
      <c r="Y528" s="195">
        <f>IF(B528="","",T528*G528+U528*F528)</f>
        <v/>
      </c>
      <c r="Z528" s="195">
        <f>IF(B528="","",'入力・概要'!$E$9*(V528*X528+W528*Y528)/(X528^2+Y528^2)+'入力・概要'!$B$36)</f>
        <v/>
      </c>
      <c r="AA528" s="195">
        <f>IF(B528="","",'入力・概要'!$E$9*(W528*X528-V528*Y528)/(X528^2+Y528^2)+C528*'入力・概要'!$B$37*1E-9)</f>
        <v/>
      </c>
      <c r="AB528" s="195">
        <f>IF(B528="","",SQRT(Z528^2+AA528^2))</f>
        <v/>
      </c>
      <c r="AC528" s="195">
        <f>IF(B528="","",IF(Z528&gt;0,DEGREES(ATAN(AA528/Z528)),IF(Z528&lt;0,IF(AA528&gt;=0,DEGREES(ATAN(AA528/Z528))+180,DEGREES(ATAN(AA528/Z528))-180),IF(AA528&gt;0,90,IF(AA528&lt;0,-90,0)))))</f>
        <v/>
      </c>
      <c r="AD528" s="195">
        <f>IF(B528="","",LOG10(B528))</f>
        <v/>
      </c>
      <c r="AE528" s="195">
        <f>IF(AB528="","",LOG10(MAX(AB528,1E-12)))</f>
        <v/>
      </c>
      <c r="AF528" s="195">
        <f>IF(B528="","",SQRT(P528^2+Q528^2))</f>
        <v/>
      </c>
      <c r="AG528" s="195">
        <f>IF(B528="","",SQRT(R528^2+S528^2))</f>
        <v/>
      </c>
    </row>
    <row r="529">
      <c r="A529" t="n">
        <v>526</v>
      </c>
      <c r="B529" s="196">
        <f>IF(A529&lt;='入力・概要'!$B$40,10^(LOG10('入力・概要'!$B$38)+(A529-1)*(LOG10('入力・概要'!$B$39)-LOG10('入力・概要'!$B$38))/('入力・概要'!$B$40-1)),"")</f>
        <v/>
      </c>
      <c r="C529" s="195">
        <f>IF(B529="","",2*PI()*B529)</f>
        <v/>
      </c>
      <c r="D529" s="195">
        <f>IF(B529="","",ATANH(MIN(0.999999,'入力・概要'!$E$20/'入力・概要'!$E$9))+'入力・概要'!$B$20*SQRT(B529/1E6)+E529*'入力・概要'!$B$15/2)</f>
        <v/>
      </c>
      <c r="E529" s="195">
        <f>IF(B529="","",C529*('入力・概要'!$E$11*1E-9))</f>
        <v/>
      </c>
      <c r="F529" s="195">
        <f>IF(B529="","",SINH(2*D529)/(COSH(2*D529)+COS(2*E529)))</f>
        <v/>
      </c>
      <c r="G529" s="195">
        <f>IF(B529="","",SIN(2*E529)/(COSH(2*D529)+COS(2*E529)))</f>
        <v/>
      </c>
      <c r="H529" s="195">
        <f>IF(B529="","",ATANH(MIN(0.999999,'入力・概要'!$E$21/'入力・概要'!$E$15))+'入力・概要'!$B$21*SQRT(B529/1E6)+I529*'入力・概要'!$B$16/2)</f>
        <v/>
      </c>
      <c r="I529" s="195">
        <f>IF(B529="","",C529*('入力・概要'!$E$17*1E-9))</f>
        <v/>
      </c>
      <c r="J529" s="195">
        <f>IF(B529="","",SINH(2*H529)/(COSH(2*H529)+COS(2*I529)))</f>
        <v/>
      </c>
      <c r="K529" s="195">
        <f>IF(B529="","",SIN(2*I529)/(COSH(2*H529)+COS(2*I529)))</f>
        <v/>
      </c>
      <c r="L529" s="195">
        <f>IF(B529="","",'入力・概要'!$B$25)</f>
        <v/>
      </c>
      <c r="M529" s="195">
        <f>IF(B529="","",C529*'入力・概要'!$B$26*1E-9-1/(C529*'入力・概要'!$B$24*1E-6))</f>
        <v/>
      </c>
      <c r="N529" s="195">
        <f>IF(B529="","",'入力・概要'!$B$28)</f>
        <v/>
      </c>
      <c r="O529" s="195">
        <f>IF(B529="","",C529*'入力・概要'!$B$29*1E-9-1/(C529*'入力・概要'!$B$27*1E-6))</f>
        <v/>
      </c>
      <c r="P529" s="195">
        <f>IF(B529="","",((L529*N529-M529*O529)*(L529+N529)+(L529*O529+M529*N529)*(M529+O529))/((L529+N529)^2+(M529+O529)^2))</f>
        <v/>
      </c>
      <c r="Q529" s="195">
        <f>IF(B529="","",((L529*O529+M529*N529)*(L529+N529)-(L529*N529-M529*O529)*(M529+O529))/((L529+N529)^2+(M529+O529)^2))</f>
        <v/>
      </c>
      <c r="R529" s="195">
        <f>IF(B529="","",'入力・概要'!$E$15*J529)</f>
        <v/>
      </c>
      <c r="S529" s="195">
        <f>IF(B529="","",'入力・概要'!$E$15*K529)</f>
        <v/>
      </c>
      <c r="T529" s="195">
        <f>IF(B529="","",P529+R529)</f>
        <v/>
      </c>
      <c r="U529" s="195">
        <f>IF(B529="","",Q529+S529)</f>
        <v/>
      </c>
      <c r="V529" s="195">
        <f>IF(B529="","",T529+'入力・概要'!$E$9*F529)</f>
        <v/>
      </c>
      <c r="W529" s="195">
        <f>IF(B529="","",U529+'入力・概要'!$E$9*G529)</f>
        <v/>
      </c>
      <c r="X529" s="195">
        <f>IF(B529="","",'入力・概要'!$E$9+T529*F529-U529*G529)</f>
        <v/>
      </c>
      <c r="Y529" s="195">
        <f>IF(B529="","",T529*G529+U529*F529)</f>
        <v/>
      </c>
      <c r="Z529" s="195">
        <f>IF(B529="","",'入力・概要'!$E$9*(V529*X529+W529*Y529)/(X529^2+Y529^2)+'入力・概要'!$B$36)</f>
        <v/>
      </c>
      <c r="AA529" s="195">
        <f>IF(B529="","",'入力・概要'!$E$9*(W529*X529-V529*Y529)/(X529^2+Y529^2)+C529*'入力・概要'!$B$37*1E-9)</f>
        <v/>
      </c>
      <c r="AB529" s="195">
        <f>IF(B529="","",SQRT(Z529^2+AA529^2))</f>
        <v/>
      </c>
      <c r="AC529" s="195">
        <f>IF(B529="","",IF(Z529&gt;0,DEGREES(ATAN(AA529/Z529)),IF(Z529&lt;0,IF(AA529&gt;=0,DEGREES(ATAN(AA529/Z529))+180,DEGREES(ATAN(AA529/Z529))-180),IF(AA529&gt;0,90,IF(AA529&lt;0,-90,0)))))</f>
        <v/>
      </c>
      <c r="AD529" s="195">
        <f>IF(B529="","",LOG10(B529))</f>
        <v/>
      </c>
      <c r="AE529" s="195">
        <f>IF(AB529="","",LOG10(MAX(AB529,1E-12)))</f>
        <v/>
      </c>
      <c r="AF529" s="195">
        <f>IF(B529="","",SQRT(P529^2+Q529^2))</f>
        <v/>
      </c>
      <c r="AG529" s="195">
        <f>IF(B529="","",SQRT(R529^2+S529^2))</f>
        <v/>
      </c>
    </row>
    <row r="530">
      <c r="A530" t="n">
        <v>527</v>
      </c>
      <c r="B530" s="196">
        <f>IF(A530&lt;='入力・概要'!$B$40,10^(LOG10('入力・概要'!$B$38)+(A530-1)*(LOG10('入力・概要'!$B$39)-LOG10('入力・概要'!$B$38))/('入力・概要'!$B$40-1)),"")</f>
        <v/>
      </c>
      <c r="C530" s="195">
        <f>IF(B530="","",2*PI()*B530)</f>
        <v/>
      </c>
      <c r="D530" s="195">
        <f>IF(B530="","",ATANH(MIN(0.999999,'入力・概要'!$E$20/'入力・概要'!$E$9))+'入力・概要'!$B$20*SQRT(B530/1E6)+E530*'入力・概要'!$B$15/2)</f>
        <v/>
      </c>
      <c r="E530" s="195">
        <f>IF(B530="","",C530*('入力・概要'!$E$11*1E-9))</f>
        <v/>
      </c>
      <c r="F530" s="195">
        <f>IF(B530="","",SINH(2*D530)/(COSH(2*D530)+COS(2*E530)))</f>
        <v/>
      </c>
      <c r="G530" s="195">
        <f>IF(B530="","",SIN(2*E530)/(COSH(2*D530)+COS(2*E530)))</f>
        <v/>
      </c>
      <c r="H530" s="195">
        <f>IF(B530="","",ATANH(MIN(0.999999,'入力・概要'!$E$21/'入力・概要'!$E$15))+'入力・概要'!$B$21*SQRT(B530/1E6)+I530*'入力・概要'!$B$16/2)</f>
        <v/>
      </c>
      <c r="I530" s="195">
        <f>IF(B530="","",C530*('入力・概要'!$E$17*1E-9))</f>
        <v/>
      </c>
      <c r="J530" s="195">
        <f>IF(B530="","",SINH(2*H530)/(COSH(2*H530)+COS(2*I530)))</f>
        <v/>
      </c>
      <c r="K530" s="195">
        <f>IF(B530="","",SIN(2*I530)/(COSH(2*H530)+COS(2*I530)))</f>
        <v/>
      </c>
      <c r="L530" s="195">
        <f>IF(B530="","",'入力・概要'!$B$25)</f>
        <v/>
      </c>
      <c r="M530" s="195">
        <f>IF(B530="","",C530*'入力・概要'!$B$26*1E-9-1/(C530*'入力・概要'!$B$24*1E-6))</f>
        <v/>
      </c>
      <c r="N530" s="195">
        <f>IF(B530="","",'入力・概要'!$B$28)</f>
        <v/>
      </c>
      <c r="O530" s="195">
        <f>IF(B530="","",C530*'入力・概要'!$B$29*1E-9-1/(C530*'入力・概要'!$B$27*1E-6))</f>
        <v/>
      </c>
      <c r="P530" s="195">
        <f>IF(B530="","",((L530*N530-M530*O530)*(L530+N530)+(L530*O530+M530*N530)*(M530+O530))/((L530+N530)^2+(M530+O530)^2))</f>
        <v/>
      </c>
      <c r="Q530" s="195">
        <f>IF(B530="","",((L530*O530+M530*N530)*(L530+N530)-(L530*N530-M530*O530)*(M530+O530))/((L530+N530)^2+(M530+O530)^2))</f>
        <v/>
      </c>
      <c r="R530" s="195">
        <f>IF(B530="","",'入力・概要'!$E$15*J530)</f>
        <v/>
      </c>
      <c r="S530" s="195">
        <f>IF(B530="","",'入力・概要'!$E$15*K530)</f>
        <v/>
      </c>
      <c r="T530" s="195">
        <f>IF(B530="","",P530+R530)</f>
        <v/>
      </c>
      <c r="U530" s="195">
        <f>IF(B530="","",Q530+S530)</f>
        <v/>
      </c>
      <c r="V530" s="195">
        <f>IF(B530="","",T530+'入力・概要'!$E$9*F530)</f>
        <v/>
      </c>
      <c r="W530" s="195">
        <f>IF(B530="","",U530+'入力・概要'!$E$9*G530)</f>
        <v/>
      </c>
      <c r="X530" s="195">
        <f>IF(B530="","",'入力・概要'!$E$9+T530*F530-U530*G530)</f>
        <v/>
      </c>
      <c r="Y530" s="195">
        <f>IF(B530="","",T530*G530+U530*F530)</f>
        <v/>
      </c>
      <c r="Z530" s="195">
        <f>IF(B530="","",'入力・概要'!$E$9*(V530*X530+W530*Y530)/(X530^2+Y530^2)+'入力・概要'!$B$36)</f>
        <v/>
      </c>
      <c r="AA530" s="195">
        <f>IF(B530="","",'入力・概要'!$E$9*(W530*X530-V530*Y530)/(X530^2+Y530^2)+C530*'入力・概要'!$B$37*1E-9)</f>
        <v/>
      </c>
      <c r="AB530" s="195">
        <f>IF(B530="","",SQRT(Z530^2+AA530^2))</f>
        <v/>
      </c>
      <c r="AC530" s="195">
        <f>IF(B530="","",IF(Z530&gt;0,DEGREES(ATAN(AA530/Z530)),IF(Z530&lt;0,IF(AA530&gt;=0,DEGREES(ATAN(AA530/Z530))+180,DEGREES(ATAN(AA530/Z530))-180),IF(AA530&gt;0,90,IF(AA530&lt;0,-90,0)))))</f>
        <v/>
      </c>
      <c r="AD530" s="195">
        <f>IF(B530="","",LOG10(B530))</f>
        <v/>
      </c>
      <c r="AE530" s="195">
        <f>IF(AB530="","",LOG10(MAX(AB530,1E-12)))</f>
        <v/>
      </c>
      <c r="AF530" s="195">
        <f>IF(B530="","",SQRT(P530^2+Q530^2))</f>
        <v/>
      </c>
      <c r="AG530" s="195">
        <f>IF(B530="","",SQRT(R530^2+S530^2))</f>
        <v/>
      </c>
    </row>
    <row r="531">
      <c r="A531" t="n">
        <v>528</v>
      </c>
      <c r="B531" s="196">
        <f>IF(A531&lt;='入力・概要'!$B$40,10^(LOG10('入力・概要'!$B$38)+(A531-1)*(LOG10('入力・概要'!$B$39)-LOG10('入力・概要'!$B$38))/('入力・概要'!$B$40-1)),"")</f>
        <v/>
      </c>
      <c r="C531" s="195">
        <f>IF(B531="","",2*PI()*B531)</f>
        <v/>
      </c>
      <c r="D531" s="195">
        <f>IF(B531="","",ATANH(MIN(0.999999,'入力・概要'!$E$20/'入力・概要'!$E$9))+'入力・概要'!$B$20*SQRT(B531/1E6)+E531*'入力・概要'!$B$15/2)</f>
        <v/>
      </c>
      <c r="E531" s="195">
        <f>IF(B531="","",C531*('入力・概要'!$E$11*1E-9))</f>
        <v/>
      </c>
      <c r="F531" s="195">
        <f>IF(B531="","",SINH(2*D531)/(COSH(2*D531)+COS(2*E531)))</f>
        <v/>
      </c>
      <c r="G531" s="195">
        <f>IF(B531="","",SIN(2*E531)/(COSH(2*D531)+COS(2*E531)))</f>
        <v/>
      </c>
      <c r="H531" s="195">
        <f>IF(B531="","",ATANH(MIN(0.999999,'入力・概要'!$E$21/'入力・概要'!$E$15))+'入力・概要'!$B$21*SQRT(B531/1E6)+I531*'入力・概要'!$B$16/2)</f>
        <v/>
      </c>
      <c r="I531" s="195">
        <f>IF(B531="","",C531*('入力・概要'!$E$17*1E-9))</f>
        <v/>
      </c>
      <c r="J531" s="195">
        <f>IF(B531="","",SINH(2*H531)/(COSH(2*H531)+COS(2*I531)))</f>
        <v/>
      </c>
      <c r="K531" s="195">
        <f>IF(B531="","",SIN(2*I531)/(COSH(2*H531)+COS(2*I531)))</f>
        <v/>
      </c>
      <c r="L531" s="195">
        <f>IF(B531="","",'入力・概要'!$B$25)</f>
        <v/>
      </c>
      <c r="M531" s="195">
        <f>IF(B531="","",C531*'入力・概要'!$B$26*1E-9-1/(C531*'入力・概要'!$B$24*1E-6))</f>
        <v/>
      </c>
      <c r="N531" s="195">
        <f>IF(B531="","",'入力・概要'!$B$28)</f>
        <v/>
      </c>
      <c r="O531" s="195">
        <f>IF(B531="","",C531*'入力・概要'!$B$29*1E-9-1/(C531*'入力・概要'!$B$27*1E-6))</f>
        <v/>
      </c>
      <c r="P531" s="195">
        <f>IF(B531="","",((L531*N531-M531*O531)*(L531+N531)+(L531*O531+M531*N531)*(M531+O531))/((L531+N531)^2+(M531+O531)^2))</f>
        <v/>
      </c>
      <c r="Q531" s="195">
        <f>IF(B531="","",((L531*O531+M531*N531)*(L531+N531)-(L531*N531-M531*O531)*(M531+O531))/((L531+N531)^2+(M531+O531)^2))</f>
        <v/>
      </c>
      <c r="R531" s="195">
        <f>IF(B531="","",'入力・概要'!$E$15*J531)</f>
        <v/>
      </c>
      <c r="S531" s="195">
        <f>IF(B531="","",'入力・概要'!$E$15*K531)</f>
        <v/>
      </c>
      <c r="T531" s="195">
        <f>IF(B531="","",P531+R531)</f>
        <v/>
      </c>
      <c r="U531" s="195">
        <f>IF(B531="","",Q531+S531)</f>
        <v/>
      </c>
      <c r="V531" s="195">
        <f>IF(B531="","",T531+'入力・概要'!$E$9*F531)</f>
        <v/>
      </c>
      <c r="W531" s="195">
        <f>IF(B531="","",U531+'入力・概要'!$E$9*G531)</f>
        <v/>
      </c>
      <c r="X531" s="195">
        <f>IF(B531="","",'入力・概要'!$E$9+T531*F531-U531*G531)</f>
        <v/>
      </c>
      <c r="Y531" s="195">
        <f>IF(B531="","",T531*G531+U531*F531)</f>
        <v/>
      </c>
      <c r="Z531" s="195">
        <f>IF(B531="","",'入力・概要'!$E$9*(V531*X531+W531*Y531)/(X531^2+Y531^2)+'入力・概要'!$B$36)</f>
        <v/>
      </c>
      <c r="AA531" s="195">
        <f>IF(B531="","",'入力・概要'!$E$9*(W531*X531-V531*Y531)/(X531^2+Y531^2)+C531*'入力・概要'!$B$37*1E-9)</f>
        <v/>
      </c>
      <c r="AB531" s="195">
        <f>IF(B531="","",SQRT(Z531^2+AA531^2))</f>
        <v/>
      </c>
      <c r="AC531" s="195">
        <f>IF(B531="","",IF(Z531&gt;0,DEGREES(ATAN(AA531/Z531)),IF(Z531&lt;0,IF(AA531&gt;=0,DEGREES(ATAN(AA531/Z531))+180,DEGREES(ATAN(AA531/Z531))-180),IF(AA531&gt;0,90,IF(AA531&lt;0,-90,0)))))</f>
        <v/>
      </c>
      <c r="AD531" s="195">
        <f>IF(B531="","",LOG10(B531))</f>
        <v/>
      </c>
      <c r="AE531" s="195">
        <f>IF(AB531="","",LOG10(MAX(AB531,1E-12)))</f>
        <v/>
      </c>
      <c r="AF531" s="195">
        <f>IF(B531="","",SQRT(P531^2+Q531^2))</f>
        <v/>
      </c>
      <c r="AG531" s="195">
        <f>IF(B531="","",SQRT(R531^2+S531^2))</f>
        <v/>
      </c>
    </row>
    <row r="532">
      <c r="A532" t="n">
        <v>529</v>
      </c>
      <c r="B532" s="196">
        <f>IF(A532&lt;='入力・概要'!$B$40,10^(LOG10('入力・概要'!$B$38)+(A532-1)*(LOG10('入力・概要'!$B$39)-LOG10('入力・概要'!$B$38))/('入力・概要'!$B$40-1)),"")</f>
        <v/>
      </c>
      <c r="C532" s="195">
        <f>IF(B532="","",2*PI()*B532)</f>
        <v/>
      </c>
      <c r="D532" s="195">
        <f>IF(B532="","",ATANH(MIN(0.999999,'入力・概要'!$E$20/'入力・概要'!$E$9))+'入力・概要'!$B$20*SQRT(B532/1E6)+E532*'入力・概要'!$B$15/2)</f>
        <v/>
      </c>
      <c r="E532" s="195">
        <f>IF(B532="","",C532*('入力・概要'!$E$11*1E-9))</f>
        <v/>
      </c>
      <c r="F532" s="195">
        <f>IF(B532="","",SINH(2*D532)/(COSH(2*D532)+COS(2*E532)))</f>
        <v/>
      </c>
      <c r="G532" s="195">
        <f>IF(B532="","",SIN(2*E532)/(COSH(2*D532)+COS(2*E532)))</f>
        <v/>
      </c>
      <c r="H532" s="195">
        <f>IF(B532="","",ATANH(MIN(0.999999,'入力・概要'!$E$21/'入力・概要'!$E$15))+'入力・概要'!$B$21*SQRT(B532/1E6)+I532*'入力・概要'!$B$16/2)</f>
        <v/>
      </c>
      <c r="I532" s="195">
        <f>IF(B532="","",C532*('入力・概要'!$E$17*1E-9))</f>
        <v/>
      </c>
      <c r="J532" s="195">
        <f>IF(B532="","",SINH(2*H532)/(COSH(2*H532)+COS(2*I532)))</f>
        <v/>
      </c>
      <c r="K532" s="195">
        <f>IF(B532="","",SIN(2*I532)/(COSH(2*H532)+COS(2*I532)))</f>
        <v/>
      </c>
      <c r="L532" s="195">
        <f>IF(B532="","",'入力・概要'!$B$25)</f>
        <v/>
      </c>
      <c r="M532" s="195">
        <f>IF(B532="","",C532*'入力・概要'!$B$26*1E-9-1/(C532*'入力・概要'!$B$24*1E-6))</f>
        <v/>
      </c>
      <c r="N532" s="195">
        <f>IF(B532="","",'入力・概要'!$B$28)</f>
        <v/>
      </c>
      <c r="O532" s="195">
        <f>IF(B532="","",C532*'入力・概要'!$B$29*1E-9-1/(C532*'入力・概要'!$B$27*1E-6))</f>
        <v/>
      </c>
      <c r="P532" s="195">
        <f>IF(B532="","",((L532*N532-M532*O532)*(L532+N532)+(L532*O532+M532*N532)*(M532+O532))/((L532+N532)^2+(M532+O532)^2))</f>
        <v/>
      </c>
      <c r="Q532" s="195">
        <f>IF(B532="","",((L532*O532+M532*N532)*(L532+N532)-(L532*N532-M532*O532)*(M532+O532))/((L532+N532)^2+(M532+O532)^2))</f>
        <v/>
      </c>
      <c r="R532" s="195">
        <f>IF(B532="","",'入力・概要'!$E$15*J532)</f>
        <v/>
      </c>
      <c r="S532" s="195">
        <f>IF(B532="","",'入力・概要'!$E$15*K532)</f>
        <v/>
      </c>
      <c r="T532" s="195">
        <f>IF(B532="","",P532+R532)</f>
        <v/>
      </c>
      <c r="U532" s="195">
        <f>IF(B532="","",Q532+S532)</f>
        <v/>
      </c>
      <c r="V532" s="195">
        <f>IF(B532="","",T532+'入力・概要'!$E$9*F532)</f>
        <v/>
      </c>
      <c r="W532" s="195">
        <f>IF(B532="","",U532+'入力・概要'!$E$9*G532)</f>
        <v/>
      </c>
      <c r="X532" s="195">
        <f>IF(B532="","",'入力・概要'!$E$9+T532*F532-U532*G532)</f>
        <v/>
      </c>
      <c r="Y532" s="195">
        <f>IF(B532="","",T532*G532+U532*F532)</f>
        <v/>
      </c>
      <c r="Z532" s="195">
        <f>IF(B532="","",'入力・概要'!$E$9*(V532*X532+W532*Y532)/(X532^2+Y532^2)+'入力・概要'!$B$36)</f>
        <v/>
      </c>
      <c r="AA532" s="195">
        <f>IF(B532="","",'入力・概要'!$E$9*(W532*X532-V532*Y532)/(X532^2+Y532^2)+C532*'入力・概要'!$B$37*1E-9)</f>
        <v/>
      </c>
      <c r="AB532" s="195">
        <f>IF(B532="","",SQRT(Z532^2+AA532^2))</f>
        <v/>
      </c>
      <c r="AC532" s="195">
        <f>IF(B532="","",IF(Z532&gt;0,DEGREES(ATAN(AA532/Z532)),IF(Z532&lt;0,IF(AA532&gt;=0,DEGREES(ATAN(AA532/Z532))+180,DEGREES(ATAN(AA532/Z532))-180),IF(AA532&gt;0,90,IF(AA532&lt;0,-90,0)))))</f>
        <v/>
      </c>
      <c r="AD532" s="195">
        <f>IF(B532="","",LOG10(B532))</f>
        <v/>
      </c>
      <c r="AE532" s="195">
        <f>IF(AB532="","",LOG10(MAX(AB532,1E-12)))</f>
        <v/>
      </c>
      <c r="AF532" s="195">
        <f>IF(B532="","",SQRT(P532^2+Q532^2))</f>
        <v/>
      </c>
      <c r="AG532" s="195">
        <f>IF(B532="","",SQRT(R532^2+S532^2))</f>
        <v/>
      </c>
    </row>
    <row r="533">
      <c r="A533" t="n">
        <v>530</v>
      </c>
      <c r="B533" s="196">
        <f>IF(A533&lt;='入力・概要'!$B$40,10^(LOG10('入力・概要'!$B$38)+(A533-1)*(LOG10('入力・概要'!$B$39)-LOG10('入力・概要'!$B$38))/('入力・概要'!$B$40-1)),"")</f>
        <v/>
      </c>
      <c r="C533" s="195">
        <f>IF(B533="","",2*PI()*B533)</f>
        <v/>
      </c>
      <c r="D533" s="195">
        <f>IF(B533="","",ATANH(MIN(0.999999,'入力・概要'!$E$20/'入力・概要'!$E$9))+'入力・概要'!$B$20*SQRT(B533/1E6)+E533*'入力・概要'!$B$15/2)</f>
        <v/>
      </c>
      <c r="E533" s="195">
        <f>IF(B533="","",C533*('入力・概要'!$E$11*1E-9))</f>
        <v/>
      </c>
      <c r="F533" s="195">
        <f>IF(B533="","",SINH(2*D533)/(COSH(2*D533)+COS(2*E533)))</f>
        <v/>
      </c>
      <c r="G533" s="195">
        <f>IF(B533="","",SIN(2*E533)/(COSH(2*D533)+COS(2*E533)))</f>
        <v/>
      </c>
      <c r="H533" s="195">
        <f>IF(B533="","",ATANH(MIN(0.999999,'入力・概要'!$E$21/'入力・概要'!$E$15))+'入力・概要'!$B$21*SQRT(B533/1E6)+I533*'入力・概要'!$B$16/2)</f>
        <v/>
      </c>
      <c r="I533" s="195">
        <f>IF(B533="","",C533*('入力・概要'!$E$17*1E-9))</f>
        <v/>
      </c>
      <c r="J533" s="195">
        <f>IF(B533="","",SINH(2*H533)/(COSH(2*H533)+COS(2*I533)))</f>
        <v/>
      </c>
      <c r="K533" s="195">
        <f>IF(B533="","",SIN(2*I533)/(COSH(2*H533)+COS(2*I533)))</f>
        <v/>
      </c>
      <c r="L533" s="195">
        <f>IF(B533="","",'入力・概要'!$B$25)</f>
        <v/>
      </c>
      <c r="M533" s="195">
        <f>IF(B533="","",C533*'入力・概要'!$B$26*1E-9-1/(C533*'入力・概要'!$B$24*1E-6))</f>
        <v/>
      </c>
      <c r="N533" s="195">
        <f>IF(B533="","",'入力・概要'!$B$28)</f>
        <v/>
      </c>
      <c r="O533" s="195">
        <f>IF(B533="","",C533*'入力・概要'!$B$29*1E-9-1/(C533*'入力・概要'!$B$27*1E-6))</f>
        <v/>
      </c>
      <c r="P533" s="195">
        <f>IF(B533="","",((L533*N533-M533*O533)*(L533+N533)+(L533*O533+M533*N533)*(M533+O533))/((L533+N533)^2+(M533+O533)^2))</f>
        <v/>
      </c>
      <c r="Q533" s="195">
        <f>IF(B533="","",((L533*O533+M533*N533)*(L533+N533)-(L533*N533-M533*O533)*(M533+O533))/((L533+N533)^2+(M533+O533)^2))</f>
        <v/>
      </c>
      <c r="R533" s="195">
        <f>IF(B533="","",'入力・概要'!$E$15*J533)</f>
        <v/>
      </c>
      <c r="S533" s="195">
        <f>IF(B533="","",'入力・概要'!$E$15*K533)</f>
        <v/>
      </c>
      <c r="T533" s="195">
        <f>IF(B533="","",P533+R533)</f>
        <v/>
      </c>
      <c r="U533" s="195">
        <f>IF(B533="","",Q533+S533)</f>
        <v/>
      </c>
      <c r="V533" s="195">
        <f>IF(B533="","",T533+'入力・概要'!$E$9*F533)</f>
        <v/>
      </c>
      <c r="W533" s="195">
        <f>IF(B533="","",U533+'入力・概要'!$E$9*G533)</f>
        <v/>
      </c>
      <c r="X533" s="195">
        <f>IF(B533="","",'入力・概要'!$E$9+T533*F533-U533*G533)</f>
        <v/>
      </c>
      <c r="Y533" s="195">
        <f>IF(B533="","",T533*G533+U533*F533)</f>
        <v/>
      </c>
      <c r="Z533" s="195">
        <f>IF(B533="","",'入力・概要'!$E$9*(V533*X533+W533*Y533)/(X533^2+Y533^2)+'入力・概要'!$B$36)</f>
        <v/>
      </c>
      <c r="AA533" s="195">
        <f>IF(B533="","",'入力・概要'!$E$9*(W533*X533-V533*Y533)/(X533^2+Y533^2)+C533*'入力・概要'!$B$37*1E-9)</f>
        <v/>
      </c>
      <c r="AB533" s="195">
        <f>IF(B533="","",SQRT(Z533^2+AA533^2))</f>
        <v/>
      </c>
      <c r="AC533" s="195">
        <f>IF(B533="","",IF(Z533&gt;0,DEGREES(ATAN(AA533/Z533)),IF(Z533&lt;0,IF(AA533&gt;=0,DEGREES(ATAN(AA533/Z533))+180,DEGREES(ATAN(AA533/Z533))-180),IF(AA533&gt;0,90,IF(AA533&lt;0,-90,0)))))</f>
        <v/>
      </c>
      <c r="AD533" s="195">
        <f>IF(B533="","",LOG10(B533))</f>
        <v/>
      </c>
      <c r="AE533" s="195">
        <f>IF(AB533="","",LOG10(MAX(AB533,1E-12)))</f>
        <v/>
      </c>
      <c r="AF533" s="195">
        <f>IF(B533="","",SQRT(P533^2+Q533^2))</f>
        <v/>
      </c>
      <c r="AG533" s="195">
        <f>IF(B533="","",SQRT(R533^2+S533^2))</f>
        <v/>
      </c>
    </row>
    <row r="534">
      <c r="A534" t="n">
        <v>531</v>
      </c>
      <c r="B534" s="196">
        <f>IF(A534&lt;='入力・概要'!$B$40,10^(LOG10('入力・概要'!$B$38)+(A534-1)*(LOG10('入力・概要'!$B$39)-LOG10('入力・概要'!$B$38))/('入力・概要'!$B$40-1)),"")</f>
        <v/>
      </c>
      <c r="C534" s="195">
        <f>IF(B534="","",2*PI()*B534)</f>
        <v/>
      </c>
      <c r="D534" s="195">
        <f>IF(B534="","",ATANH(MIN(0.999999,'入力・概要'!$E$20/'入力・概要'!$E$9))+'入力・概要'!$B$20*SQRT(B534/1E6)+E534*'入力・概要'!$B$15/2)</f>
        <v/>
      </c>
      <c r="E534" s="195">
        <f>IF(B534="","",C534*('入力・概要'!$E$11*1E-9))</f>
        <v/>
      </c>
      <c r="F534" s="195">
        <f>IF(B534="","",SINH(2*D534)/(COSH(2*D534)+COS(2*E534)))</f>
        <v/>
      </c>
      <c r="G534" s="195">
        <f>IF(B534="","",SIN(2*E534)/(COSH(2*D534)+COS(2*E534)))</f>
        <v/>
      </c>
      <c r="H534" s="195">
        <f>IF(B534="","",ATANH(MIN(0.999999,'入力・概要'!$E$21/'入力・概要'!$E$15))+'入力・概要'!$B$21*SQRT(B534/1E6)+I534*'入力・概要'!$B$16/2)</f>
        <v/>
      </c>
      <c r="I534" s="195">
        <f>IF(B534="","",C534*('入力・概要'!$E$17*1E-9))</f>
        <v/>
      </c>
      <c r="J534" s="195">
        <f>IF(B534="","",SINH(2*H534)/(COSH(2*H534)+COS(2*I534)))</f>
        <v/>
      </c>
      <c r="K534" s="195">
        <f>IF(B534="","",SIN(2*I534)/(COSH(2*H534)+COS(2*I534)))</f>
        <v/>
      </c>
      <c r="L534" s="195">
        <f>IF(B534="","",'入力・概要'!$B$25)</f>
        <v/>
      </c>
      <c r="M534" s="195">
        <f>IF(B534="","",C534*'入力・概要'!$B$26*1E-9-1/(C534*'入力・概要'!$B$24*1E-6))</f>
        <v/>
      </c>
      <c r="N534" s="195">
        <f>IF(B534="","",'入力・概要'!$B$28)</f>
        <v/>
      </c>
      <c r="O534" s="195">
        <f>IF(B534="","",C534*'入力・概要'!$B$29*1E-9-1/(C534*'入力・概要'!$B$27*1E-6))</f>
        <v/>
      </c>
      <c r="P534" s="195">
        <f>IF(B534="","",((L534*N534-M534*O534)*(L534+N534)+(L534*O534+M534*N534)*(M534+O534))/((L534+N534)^2+(M534+O534)^2))</f>
        <v/>
      </c>
      <c r="Q534" s="195">
        <f>IF(B534="","",((L534*O534+M534*N534)*(L534+N534)-(L534*N534-M534*O534)*(M534+O534))/((L534+N534)^2+(M534+O534)^2))</f>
        <v/>
      </c>
      <c r="R534" s="195">
        <f>IF(B534="","",'入力・概要'!$E$15*J534)</f>
        <v/>
      </c>
      <c r="S534" s="195">
        <f>IF(B534="","",'入力・概要'!$E$15*K534)</f>
        <v/>
      </c>
      <c r="T534" s="195">
        <f>IF(B534="","",P534+R534)</f>
        <v/>
      </c>
      <c r="U534" s="195">
        <f>IF(B534="","",Q534+S534)</f>
        <v/>
      </c>
      <c r="V534" s="195">
        <f>IF(B534="","",T534+'入力・概要'!$E$9*F534)</f>
        <v/>
      </c>
      <c r="W534" s="195">
        <f>IF(B534="","",U534+'入力・概要'!$E$9*G534)</f>
        <v/>
      </c>
      <c r="X534" s="195">
        <f>IF(B534="","",'入力・概要'!$E$9+T534*F534-U534*G534)</f>
        <v/>
      </c>
      <c r="Y534" s="195">
        <f>IF(B534="","",T534*G534+U534*F534)</f>
        <v/>
      </c>
      <c r="Z534" s="195">
        <f>IF(B534="","",'入力・概要'!$E$9*(V534*X534+W534*Y534)/(X534^2+Y534^2)+'入力・概要'!$B$36)</f>
        <v/>
      </c>
      <c r="AA534" s="195">
        <f>IF(B534="","",'入力・概要'!$E$9*(W534*X534-V534*Y534)/(X534^2+Y534^2)+C534*'入力・概要'!$B$37*1E-9)</f>
        <v/>
      </c>
      <c r="AB534" s="195">
        <f>IF(B534="","",SQRT(Z534^2+AA534^2))</f>
        <v/>
      </c>
      <c r="AC534" s="195">
        <f>IF(B534="","",IF(Z534&gt;0,DEGREES(ATAN(AA534/Z534)),IF(Z534&lt;0,IF(AA534&gt;=0,DEGREES(ATAN(AA534/Z534))+180,DEGREES(ATAN(AA534/Z534))-180),IF(AA534&gt;0,90,IF(AA534&lt;0,-90,0)))))</f>
        <v/>
      </c>
      <c r="AD534" s="195">
        <f>IF(B534="","",LOG10(B534))</f>
        <v/>
      </c>
      <c r="AE534" s="195">
        <f>IF(AB534="","",LOG10(MAX(AB534,1E-12)))</f>
        <v/>
      </c>
      <c r="AF534" s="195">
        <f>IF(B534="","",SQRT(P534^2+Q534^2))</f>
        <v/>
      </c>
      <c r="AG534" s="195">
        <f>IF(B534="","",SQRT(R534^2+S534^2))</f>
        <v/>
      </c>
    </row>
    <row r="535">
      <c r="A535" t="n">
        <v>532</v>
      </c>
      <c r="B535" s="196">
        <f>IF(A535&lt;='入力・概要'!$B$40,10^(LOG10('入力・概要'!$B$38)+(A535-1)*(LOG10('入力・概要'!$B$39)-LOG10('入力・概要'!$B$38))/('入力・概要'!$B$40-1)),"")</f>
        <v/>
      </c>
      <c r="C535" s="195">
        <f>IF(B535="","",2*PI()*B535)</f>
        <v/>
      </c>
      <c r="D535" s="195">
        <f>IF(B535="","",ATANH(MIN(0.999999,'入力・概要'!$E$20/'入力・概要'!$E$9))+'入力・概要'!$B$20*SQRT(B535/1E6)+E535*'入力・概要'!$B$15/2)</f>
        <v/>
      </c>
      <c r="E535" s="195">
        <f>IF(B535="","",C535*('入力・概要'!$E$11*1E-9))</f>
        <v/>
      </c>
      <c r="F535" s="195">
        <f>IF(B535="","",SINH(2*D535)/(COSH(2*D535)+COS(2*E535)))</f>
        <v/>
      </c>
      <c r="G535" s="195">
        <f>IF(B535="","",SIN(2*E535)/(COSH(2*D535)+COS(2*E535)))</f>
        <v/>
      </c>
      <c r="H535" s="195">
        <f>IF(B535="","",ATANH(MIN(0.999999,'入力・概要'!$E$21/'入力・概要'!$E$15))+'入力・概要'!$B$21*SQRT(B535/1E6)+I535*'入力・概要'!$B$16/2)</f>
        <v/>
      </c>
      <c r="I535" s="195">
        <f>IF(B535="","",C535*('入力・概要'!$E$17*1E-9))</f>
        <v/>
      </c>
      <c r="J535" s="195">
        <f>IF(B535="","",SINH(2*H535)/(COSH(2*H535)+COS(2*I535)))</f>
        <v/>
      </c>
      <c r="K535" s="195">
        <f>IF(B535="","",SIN(2*I535)/(COSH(2*H535)+COS(2*I535)))</f>
        <v/>
      </c>
      <c r="L535" s="195">
        <f>IF(B535="","",'入力・概要'!$B$25)</f>
        <v/>
      </c>
      <c r="M535" s="195">
        <f>IF(B535="","",C535*'入力・概要'!$B$26*1E-9-1/(C535*'入力・概要'!$B$24*1E-6))</f>
        <v/>
      </c>
      <c r="N535" s="195">
        <f>IF(B535="","",'入力・概要'!$B$28)</f>
        <v/>
      </c>
      <c r="O535" s="195">
        <f>IF(B535="","",C535*'入力・概要'!$B$29*1E-9-1/(C535*'入力・概要'!$B$27*1E-6))</f>
        <v/>
      </c>
      <c r="P535" s="195">
        <f>IF(B535="","",((L535*N535-M535*O535)*(L535+N535)+(L535*O535+M535*N535)*(M535+O535))/((L535+N535)^2+(M535+O535)^2))</f>
        <v/>
      </c>
      <c r="Q535" s="195">
        <f>IF(B535="","",((L535*O535+M535*N535)*(L535+N535)-(L535*N535-M535*O535)*(M535+O535))/((L535+N535)^2+(M535+O535)^2))</f>
        <v/>
      </c>
      <c r="R535" s="195">
        <f>IF(B535="","",'入力・概要'!$E$15*J535)</f>
        <v/>
      </c>
      <c r="S535" s="195">
        <f>IF(B535="","",'入力・概要'!$E$15*K535)</f>
        <v/>
      </c>
      <c r="T535" s="195">
        <f>IF(B535="","",P535+R535)</f>
        <v/>
      </c>
      <c r="U535" s="195">
        <f>IF(B535="","",Q535+S535)</f>
        <v/>
      </c>
      <c r="V535" s="195">
        <f>IF(B535="","",T535+'入力・概要'!$E$9*F535)</f>
        <v/>
      </c>
      <c r="W535" s="195">
        <f>IF(B535="","",U535+'入力・概要'!$E$9*G535)</f>
        <v/>
      </c>
      <c r="X535" s="195">
        <f>IF(B535="","",'入力・概要'!$E$9+T535*F535-U535*G535)</f>
        <v/>
      </c>
      <c r="Y535" s="195">
        <f>IF(B535="","",T535*G535+U535*F535)</f>
        <v/>
      </c>
      <c r="Z535" s="195">
        <f>IF(B535="","",'入力・概要'!$E$9*(V535*X535+W535*Y535)/(X535^2+Y535^2)+'入力・概要'!$B$36)</f>
        <v/>
      </c>
      <c r="AA535" s="195">
        <f>IF(B535="","",'入力・概要'!$E$9*(W535*X535-V535*Y535)/(X535^2+Y535^2)+C535*'入力・概要'!$B$37*1E-9)</f>
        <v/>
      </c>
      <c r="AB535" s="195">
        <f>IF(B535="","",SQRT(Z535^2+AA535^2))</f>
        <v/>
      </c>
      <c r="AC535" s="195">
        <f>IF(B535="","",IF(Z535&gt;0,DEGREES(ATAN(AA535/Z535)),IF(Z535&lt;0,IF(AA535&gt;=0,DEGREES(ATAN(AA535/Z535))+180,DEGREES(ATAN(AA535/Z535))-180),IF(AA535&gt;0,90,IF(AA535&lt;0,-90,0)))))</f>
        <v/>
      </c>
      <c r="AD535" s="195">
        <f>IF(B535="","",LOG10(B535))</f>
        <v/>
      </c>
      <c r="AE535" s="195">
        <f>IF(AB535="","",LOG10(MAX(AB535,1E-12)))</f>
        <v/>
      </c>
      <c r="AF535" s="195">
        <f>IF(B535="","",SQRT(P535^2+Q535^2))</f>
        <v/>
      </c>
      <c r="AG535" s="195">
        <f>IF(B535="","",SQRT(R535^2+S535^2))</f>
        <v/>
      </c>
    </row>
    <row r="536">
      <c r="A536" t="n">
        <v>533</v>
      </c>
      <c r="B536" s="196">
        <f>IF(A536&lt;='入力・概要'!$B$40,10^(LOG10('入力・概要'!$B$38)+(A536-1)*(LOG10('入力・概要'!$B$39)-LOG10('入力・概要'!$B$38))/('入力・概要'!$B$40-1)),"")</f>
        <v/>
      </c>
      <c r="C536" s="195">
        <f>IF(B536="","",2*PI()*B536)</f>
        <v/>
      </c>
      <c r="D536" s="195">
        <f>IF(B536="","",ATANH(MIN(0.999999,'入力・概要'!$E$20/'入力・概要'!$E$9))+'入力・概要'!$B$20*SQRT(B536/1E6)+E536*'入力・概要'!$B$15/2)</f>
        <v/>
      </c>
      <c r="E536" s="195">
        <f>IF(B536="","",C536*('入力・概要'!$E$11*1E-9))</f>
        <v/>
      </c>
      <c r="F536" s="195">
        <f>IF(B536="","",SINH(2*D536)/(COSH(2*D536)+COS(2*E536)))</f>
        <v/>
      </c>
      <c r="G536" s="195">
        <f>IF(B536="","",SIN(2*E536)/(COSH(2*D536)+COS(2*E536)))</f>
        <v/>
      </c>
      <c r="H536" s="195">
        <f>IF(B536="","",ATANH(MIN(0.999999,'入力・概要'!$E$21/'入力・概要'!$E$15))+'入力・概要'!$B$21*SQRT(B536/1E6)+I536*'入力・概要'!$B$16/2)</f>
        <v/>
      </c>
      <c r="I536" s="195">
        <f>IF(B536="","",C536*('入力・概要'!$E$17*1E-9))</f>
        <v/>
      </c>
      <c r="J536" s="195">
        <f>IF(B536="","",SINH(2*H536)/(COSH(2*H536)+COS(2*I536)))</f>
        <v/>
      </c>
      <c r="K536" s="195">
        <f>IF(B536="","",SIN(2*I536)/(COSH(2*H536)+COS(2*I536)))</f>
        <v/>
      </c>
      <c r="L536" s="195">
        <f>IF(B536="","",'入力・概要'!$B$25)</f>
        <v/>
      </c>
      <c r="M536" s="195">
        <f>IF(B536="","",C536*'入力・概要'!$B$26*1E-9-1/(C536*'入力・概要'!$B$24*1E-6))</f>
        <v/>
      </c>
      <c r="N536" s="195">
        <f>IF(B536="","",'入力・概要'!$B$28)</f>
        <v/>
      </c>
      <c r="O536" s="195">
        <f>IF(B536="","",C536*'入力・概要'!$B$29*1E-9-1/(C536*'入力・概要'!$B$27*1E-6))</f>
        <v/>
      </c>
      <c r="P536" s="195">
        <f>IF(B536="","",((L536*N536-M536*O536)*(L536+N536)+(L536*O536+M536*N536)*(M536+O536))/((L536+N536)^2+(M536+O536)^2))</f>
        <v/>
      </c>
      <c r="Q536" s="195">
        <f>IF(B536="","",((L536*O536+M536*N536)*(L536+N536)-(L536*N536-M536*O536)*(M536+O536))/((L536+N536)^2+(M536+O536)^2))</f>
        <v/>
      </c>
      <c r="R536" s="195">
        <f>IF(B536="","",'入力・概要'!$E$15*J536)</f>
        <v/>
      </c>
      <c r="S536" s="195">
        <f>IF(B536="","",'入力・概要'!$E$15*K536)</f>
        <v/>
      </c>
      <c r="T536" s="195">
        <f>IF(B536="","",P536+R536)</f>
        <v/>
      </c>
      <c r="U536" s="195">
        <f>IF(B536="","",Q536+S536)</f>
        <v/>
      </c>
      <c r="V536" s="195">
        <f>IF(B536="","",T536+'入力・概要'!$E$9*F536)</f>
        <v/>
      </c>
      <c r="W536" s="195">
        <f>IF(B536="","",U536+'入力・概要'!$E$9*G536)</f>
        <v/>
      </c>
      <c r="X536" s="195">
        <f>IF(B536="","",'入力・概要'!$E$9+T536*F536-U536*G536)</f>
        <v/>
      </c>
      <c r="Y536" s="195">
        <f>IF(B536="","",T536*G536+U536*F536)</f>
        <v/>
      </c>
      <c r="Z536" s="195">
        <f>IF(B536="","",'入力・概要'!$E$9*(V536*X536+W536*Y536)/(X536^2+Y536^2)+'入力・概要'!$B$36)</f>
        <v/>
      </c>
      <c r="AA536" s="195">
        <f>IF(B536="","",'入力・概要'!$E$9*(W536*X536-V536*Y536)/(X536^2+Y536^2)+C536*'入力・概要'!$B$37*1E-9)</f>
        <v/>
      </c>
      <c r="AB536" s="195">
        <f>IF(B536="","",SQRT(Z536^2+AA536^2))</f>
        <v/>
      </c>
      <c r="AC536" s="195">
        <f>IF(B536="","",IF(Z536&gt;0,DEGREES(ATAN(AA536/Z536)),IF(Z536&lt;0,IF(AA536&gt;=0,DEGREES(ATAN(AA536/Z536))+180,DEGREES(ATAN(AA536/Z536))-180),IF(AA536&gt;0,90,IF(AA536&lt;0,-90,0)))))</f>
        <v/>
      </c>
      <c r="AD536" s="195">
        <f>IF(B536="","",LOG10(B536))</f>
        <v/>
      </c>
      <c r="AE536" s="195">
        <f>IF(AB536="","",LOG10(MAX(AB536,1E-12)))</f>
        <v/>
      </c>
      <c r="AF536" s="195">
        <f>IF(B536="","",SQRT(P536^2+Q536^2))</f>
        <v/>
      </c>
      <c r="AG536" s="195">
        <f>IF(B536="","",SQRT(R536^2+S536^2))</f>
        <v/>
      </c>
    </row>
    <row r="537">
      <c r="A537" t="n">
        <v>534</v>
      </c>
      <c r="B537" s="196">
        <f>IF(A537&lt;='入力・概要'!$B$40,10^(LOG10('入力・概要'!$B$38)+(A537-1)*(LOG10('入力・概要'!$B$39)-LOG10('入力・概要'!$B$38))/('入力・概要'!$B$40-1)),"")</f>
        <v/>
      </c>
      <c r="C537" s="195">
        <f>IF(B537="","",2*PI()*B537)</f>
        <v/>
      </c>
      <c r="D537" s="195">
        <f>IF(B537="","",ATANH(MIN(0.999999,'入力・概要'!$E$20/'入力・概要'!$E$9))+'入力・概要'!$B$20*SQRT(B537/1E6)+E537*'入力・概要'!$B$15/2)</f>
        <v/>
      </c>
      <c r="E537" s="195">
        <f>IF(B537="","",C537*('入力・概要'!$E$11*1E-9))</f>
        <v/>
      </c>
      <c r="F537" s="195">
        <f>IF(B537="","",SINH(2*D537)/(COSH(2*D537)+COS(2*E537)))</f>
        <v/>
      </c>
      <c r="G537" s="195">
        <f>IF(B537="","",SIN(2*E537)/(COSH(2*D537)+COS(2*E537)))</f>
        <v/>
      </c>
      <c r="H537" s="195">
        <f>IF(B537="","",ATANH(MIN(0.999999,'入力・概要'!$E$21/'入力・概要'!$E$15))+'入力・概要'!$B$21*SQRT(B537/1E6)+I537*'入力・概要'!$B$16/2)</f>
        <v/>
      </c>
      <c r="I537" s="195">
        <f>IF(B537="","",C537*('入力・概要'!$E$17*1E-9))</f>
        <v/>
      </c>
      <c r="J537" s="195">
        <f>IF(B537="","",SINH(2*H537)/(COSH(2*H537)+COS(2*I537)))</f>
        <v/>
      </c>
      <c r="K537" s="195">
        <f>IF(B537="","",SIN(2*I537)/(COSH(2*H537)+COS(2*I537)))</f>
        <v/>
      </c>
      <c r="L537" s="195">
        <f>IF(B537="","",'入力・概要'!$B$25)</f>
        <v/>
      </c>
      <c r="M537" s="195">
        <f>IF(B537="","",C537*'入力・概要'!$B$26*1E-9-1/(C537*'入力・概要'!$B$24*1E-6))</f>
        <v/>
      </c>
      <c r="N537" s="195">
        <f>IF(B537="","",'入力・概要'!$B$28)</f>
        <v/>
      </c>
      <c r="O537" s="195">
        <f>IF(B537="","",C537*'入力・概要'!$B$29*1E-9-1/(C537*'入力・概要'!$B$27*1E-6))</f>
        <v/>
      </c>
      <c r="P537" s="195">
        <f>IF(B537="","",((L537*N537-M537*O537)*(L537+N537)+(L537*O537+M537*N537)*(M537+O537))/((L537+N537)^2+(M537+O537)^2))</f>
        <v/>
      </c>
      <c r="Q537" s="195">
        <f>IF(B537="","",((L537*O537+M537*N537)*(L537+N537)-(L537*N537-M537*O537)*(M537+O537))/((L537+N537)^2+(M537+O537)^2))</f>
        <v/>
      </c>
      <c r="R537" s="195">
        <f>IF(B537="","",'入力・概要'!$E$15*J537)</f>
        <v/>
      </c>
      <c r="S537" s="195">
        <f>IF(B537="","",'入力・概要'!$E$15*K537)</f>
        <v/>
      </c>
      <c r="T537" s="195">
        <f>IF(B537="","",P537+R537)</f>
        <v/>
      </c>
      <c r="U537" s="195">
        <f>IF(B537="","",Q537+S537)</f>
        <v/>
      </c>
      <c r="V537" s="195">
        <f>IF(B537="","",T537+'入力・概要'!$E$9*F537)</f>
        <v/>
      </c>
      <c r="W537" s="195">
        <f>IF(B537="","",U537+'入力・概要'!$E$9*G537)</f>
        <v/>
      </c>
      <c r="X537" s="195">
        <f>IF(B537="","",'入力・概要'!$E$9+T537*F537-U537*G537)</f>
        <v/>
      </c>
      <c r="Y537" s="195">
        <f>IF(B537="","",T537*G537+U537*F537)</f>
        <v/>
      </c>
      <c r="Z537" s="195">
        <f>IF(B537="","",'入力・概要'!$E$9*(V537*X537+W537*Y537)/(X537^2+Y537^2)+'入力・概要'!$B$36)</f>
        <v/>
      </c>
      <c r="AA537" s="195">
        <f>IF(B537="","",'入力・概要'!$E$9*(W537*X537-V537*Y537)/(X537^2+Y537^2)+C537*'入力・概要'!$B$37*1E-9)</f>
        <v/>
      </c>
      <c r="AB537" s="195">
        <f>IF(B537="","",SQRT(Z537^2+AA537^2))</f>
        <v/>
      </c>
      <c r="AC537" s="195">
        <f>IF(B537="","",IF(Z537&gt;0,DEGREES(ATAN(AA537/Z537)),IF(Z537&lt;0,IF(AA537&gt;=0,DEGREES(ATAN(AA537/Z537))+180,DEGREES(ATAN(AA537/Z537))-180),IF(AA537&gt;0,90,IF(AA537&lt;0,-90,0)))))</f>
        <v/>
      </c>
      <c r="AD537" s="195">
        <f>IF(B537="","",LOG10(B537))</f>
        <v/>
      </c>
      <c r="AE537" s="195">
        <f>IF(AB537="","",LOG10(MAX(AB537,1E-12)))</f>
        <v/>
      </c>
      <c r="AF537" s="195">
        <f>IF(B537="","",SQRT(P537^2+Q537^2))</f>
        <v/>
      </c>
      <c r="AG537" s="195">
        <f>IF(B537="","",SQRT(R537^2+S537^2))</f>
        <v/>
      </c>
    </row>
    <row r="538">
      <c r="A538" t="n">
        <v>535</v>
      </c>
      <c r="B538" s="196">
        <f>IF(A538&lt;='入力・概要'!$B$40,10^(LOG10('入力・概要'!$B$38)+(A538-1)*(LOG10('入力・概要'!$B$39)-LOG10('入力・概要'!$B$38))/('入力・概要'!$B$40-1)),"")</f>
        <v/>
      </c>
      <c r="C538" s="195">
        <f>IF(B538="","",2*PI()*B538)</f>
        <v/>
      </c>
      <c r="D538" s="195">
        <f>IF(B538="","",ATANH(MIN(0.999999,'入力・概要'!$E$20/'入力・概要'!$E$9))+'入力・概要'!$B$20*SQRT(B538/1E6)+E538*'入力・概要'!$B$15/2)</f>
        <v/>
      </c>
      <c r="E538" s="195">
        <f>IF(B538="","",C538*('入力・概要'!$E$11*1E-9))</f>
        <v/>
      </c>
      <c r="F538" s="195">
        <f>IF(B538="","",SINH(2*D538)/(COSH(2*D538)+COS(2*E538)))</f>
        <v/>
      </c>
      <c r="G538" s="195">
        <f>IF(B538="","",SIN(2*E538)/(COSH(2*D538)+COS(2*E538)))</f>
        <v/>
      </c>
      <c r="H538" s="195">
        <f>IF(B538="","",ATANH(MIN(0.999999,'入力・概要'!$E$21/'入力・概要'!$E$15))+'入力・概要'!$B$21*SQRT(B538/1E6)+I538*'入力・概要'!$B$16/2)</f>
        <v/>
      </c>
      <c r="I538" s="195">
        <f>IF(B538="","",C538*('入力・概要'!$E$17*1E-9))</f>
        <v/>
      </c>
      <c r="J538" s="195">
        <f>IF(B538="","",SINH(2*H538)/(COSH(2*H538)+COS(2*I538)))</f>
        <v/>
      </c>
      <c r="K538" s="195">
        <f>IF(B538="","",SIN(2*I538)/(COSH(2*H538)+COS(2*I538)))</f>
        <v/>
      </c>
      <c r="L538" s="195">
        <f>IF(B538="","",'入力・概要'!$B$25)</f>
        <v/>
      </c>
      <c r="M538" s="195">
        <f>IF(B538="","",C538*'入力・概要'!$B$26*1E-9-1/(C538*'入力・概要'!$B$24*1E-6))</f>
        <v/>
      </c>
      <c r="N538" s="195">
        <f>IF(B538="","",'入力・概要'!$B$28)</f>
        <v/>
      </c>
      <c r="O538" s="195">
        <f>IF(B538="","",C538*'入力・概要'!$B$29*1E-9-1/(C538*'入力・概要'!$B$27*1E-6))</f>
        <v/>
      </c>
      <c r="P538" s="195">
        <f>IF(B538="","",((L538*N538-M538*O538)*(L538+N538)+(L538*O538+M538*N538)*(M538+O538))/((L538+N538)^2+(M538+O538)^2))</f>
        <v/>
      </c>
      <c r="Q538" s="195">
        <f>IF(B538="","",((L538*O538+M538*N538)*(L538+N538)-(L538*N538-M538*O538)*(M538+O538))/((L538+N538)^2+(M538+O538)^2))</f>
        <v/>
      </c>
      <c r="R538" s="195">
        <f>IF(B538="","",'入力・概要'!$E$15*J538)</f>
        <v/>
      </c>
      <c r="S538" s="195">
        <f>IF(B538="","",'入力・概要'!$E$15*K538)</f>
        <v/>
      </c>
      <c r="T538" s="195">
        <f>IF(B538="","",P538+R538)</f>
        <v/>
      </c>
      <c r="U538" s="195">
        <f>IF(B538="","",Q538+S538)</f>
        <v/>
      </c>
      <c r="V538" s="195">
        <f>IF(B538="","",T538+'入力・概要'!$E$9*F538)</f>
        <v/>
      </c>
      <c r="W538" s="195">
        <f>IF(B538="","",U538+'入力・概要'!$E$9*G538)</f>
        <v/>
      </c>
      <c r="X538" s="195">
        <f>IF(B538="","",'入力・概要'!$E$9+T538*F538-U538*G538)</f>
        <v/>
      </c>
      <c r="Y538" s="195">
        <f>IF(B538="","",T538*G538+U538*F538)</f>
        <v/>
      </c>
      <c r="Z538" s="195">
        <f>IF(B538="","",'入力・概要'!$E$9*(V538*X538+W538*Y538)/(X538^2+Y538^2)+'入力・概要'!$B$36)</f>
        <v/>
      </c>
      <c r="AA538" s="195">
        <f>IF(B538="","",'入力・概要'!$E$9*(W538*X538-V538*Y538)/(X538^2+Y538^2)+C538*'入力・概要'!$B$37*1E-9)</f>
        <v/>
      </c>
      <c r="AB538" s="195">
        <f>IF(B538="","",SQRT(Z538^2+AA538^2))</f>
        <v/>
      </c>
      <c r="AC538" s="195">
        <f>IF(B538="","",IF(Z538&gt;0,DEGREES(ATAN(AA538/Z538)),IF(Z538&lt;0,IF(AA538&gt;=0,DEGREES(ATAN(AA538/Z538))+180,DEGREES(ATAN(AA538/Z538))-180),IF(AA538&gt;0,90,IF(AA538&lt;0,-90,0)))))</f>
        <v/>
      </c>
      <c r="AD538" s="195">
        <f>IF(B538="","",LOG10(B538))</f>
        <v/>
      </c>
      <c r="AE538" s="195">
        <f>IF(AB538="","",LOG10(MAX(AB538,1E-12)))</f>
        <v/>
      </c>
      <c r="AF538" s="195">
        <f>IF(B538="","",SQRT(P538^2+Q538^2))</f>
        <v/>
      </c>
      <c r="AG538" s="195">
        <f>IF(B538="","",SQRT(R538^2+S538^2))</f>
        <v/>
      </c>
    </row>
    <row r="539">
      <c r="A539" t="n">
        <v>536</v>
      </c>
      <c r="B539" s="196">
        <f>IF(A539&lt;='入力・概要'!$B$40,10^(LOG10('入力・概要'!$B$38)+(A539-1)*(LOG10('入力・概要'!$B$39)-LOG10('入力・概要'!$B$38))/('入力・概要'!$B$40-1)),"")</f>
        <v/>
      </c>
      <c r="C539" s="195">
        <f>IF(B539="","",2*PI()*B539)</f>
        <v/>
      </c>
      <c r="D539" s="195">
        <f>IF(B539="","",ATANH(MIN(0.999999,'入力・概要'!$E$20/'入力・概要'!$E$9))+'入力・概要'!$B$20*SQRT(B539/1E6)+E539*'入力・概要'!$B$15/2)</f>
        <v/>
      </c>
      <c r="E539" s="195">
        <f>IF(B539="","",C539*('入力・概要'!$E$11*1E-9))</f>
        <v/>
      </c>
      <c r="F539" s="195">
        <f>IF(B539="","",SINH(2*D539)/(COSH(2*D539)+COS(2*E539)))</f>
        <v/>
      </c>
      <c r="G539" s="195">
        <f>IF(B539="","",SIN(2*E539)/(COSH(2*D539)+COS(2*E539)))</f>
        <v/>
      </c>
      <c r="H539" s="195">
        <f>IF(B539="","",ATANH(MIN(0.999999,'入力・概要'!$E$21/'入力・概要'!$E$15))+'入力・概要'!$B$21*SQRT(B539/1E6)+I539*'入力・概要'!$B$16/2)</f>
        <v/>
      </c>
      <c r="I539" s="195">
        <f>IF(B539="","",C539*('入力・概要'!$E$17*1E-9))</f>
        <v/>
      </c>
      <c r="J539" s="195">
        <f>IF(B539="","",SINH(2*H539)/(COSH(2*H539)+COS(2*I539)))</f>
        <v/>
      </c>
      <c r="K539" s="195">
        <f>IF(B539="","",SIN(2*I539)/(COSH(2*H539)+COS(2*I539)))</f>
        <v/>
      </c>
      <c r="L539" s="195">
        <f>IF(B539="","",'入力・概要'!$B$25)</f>
        <v/>
      </c>
      <c r="M539" s="195">
        <f>IF(B539="","",C539*'入力・概要'!$B$26*1E-9-1/(C539*'入力・概要'!$B$24*1E-6))</f>
        <v/>
      </c>
      <c r="N539" s="195">
        <f>IF(B539="","",'入力・概要'!$B$28)</f>
        <v/>
      </c>
      <c r="O539" s="195">
        <f>IF(B539="","",C539*'入力・概要'!$B$29*1E-9-1/(C539*'入力・概要'!$B$27*1E-6))</f>
        <v/>
      </c>
      <c r="P539" s="195">
        <f>IF(B539="","",((L539*N539-M539*O539)*(L539+N539)+(L539*O539+M539*N539)*(M539+O539))/((L539+N539)^2+(M539+O539)^2))</f>
        <v/>
      </c>
      <c r="Q539" s="195">
        <f>IF(B539="","",((L539*O539+M539*N539)*(L539+N539)-(L539*N539-M539*O539)*(M539+O539))/((L539+N539)^2+(M539+O539)^2))</f>
        <v/>
      </c>
      <c r="R539" s="195">
        <f>IF(B539="","",'入力・概要'!$E$15*J539)</f>
        <v/>
      </c>
      <c r="S539" s="195">
        <f>IF(B539="","",'入力・概要'!$E$15*K539)</f>
        <v/>
      </c>
      <c r="T539" s="195">
        <f>IF(B539="","",P539+R539)</f>
        <v/>
      </c>
      <c r="U539" s="195">
        <f>IF(B539="","",Q539+S539)</f>
        <v/>
      </c>
      <c r="V539" s="195">
        <f>IF(B539="","",T539+'入力・概要'!$E$9*F539)</f>
        <v/>
      </c>
      <c r="W539" s="195">
        <f>IF(B539="","",U539+'入力・概要'!$E$9*G539)</f>
        <v/>
      </c>
      <c r="X539" s="195">
        <f>IF(B539="","",'入力・概要'!$E$9+T539*F539-U539*G539)</f>
        <v/>
      </c>
      <c r="Y539" s="195">
        <f>IF(B539="","",T539*G539+U539*F539)</f>
        <v/>
      </c>
      <c r="Z539" s="195">
        <f>IF(B539="","",'入力・概要'!$E$9*(V539*X539+W539*Y539)/(X539^2+Y539^2)+'入力・概要'!$B$36)</f>
        <v/>
      </c>
      <c r="AA539" s="195">
        <f>IF(B539="","",'入力・概要'!$E$9*(W539*X539-V539*Y539)/(X539^2+Y539^2)+C539*'入力・概要'!$B$37*1E-9)</f>
        <v/>
      </c>
      <c r="AB539" s="195">
        <f>IF(B539="","",SQRT(Z539^2+AA539^2))</f>
        <v/>
      </c>
      <c r="AC539" s="195">
        <f>IF(B539="","",IF(Z539&gt;0,DEGREES(ATAN(AA539/Z539)),IF(Z539&lt;0,IF(AA539&gt;=0,DEGREES(ATAN(AA539/Z539))+180,DEGREES(ATAN(AA539/Z539))-180),IF(AA539&gt;0,90,IF(AA539&lt;0,-90,0)))))</f>
        <v/>
      </c>
      <c r="AD539" s="195">
        <f>IF(B539="","",LOG10(B539))</f>
        <v/>
      </c>
      <c r="AE539" s="195">
        <f>IF(AB539="","",LOG10(MAX(AB539,1E-12)))</f>
        <v/>
      </c>
      <c r="AF539" s="195">
        <f>IF(B539="","",SQRT(P539^2+Q539^2))</f>
        <v/>
      </c>
      <c r="AG539" s="195">
        <f>IF(B539="","",SQRT(R539^2+S539^2))</f>
        <v/>
      </c>
    </row>
    <row r="540">
      <c r="A540" t="n">
        <v>537</v>
      </c>
      <c r="B540" s="196">
        <f>IF(A540&lt;='入力・概要'!$B$40,10^(LOG10('入力・概要'!$B$38)+(A540-1)*(LOG10('入力・概要'!$B$39)-LOG10('入力・概要'!$B$38))/('入力・概要'!$B$40-1)),"")</f>
        <v/>
      </c>
      <c r="C540" s="195">
        <f>IF(B540="","",2*PI()*B540)</f>
        <v/>
      </c>
      <c r="D540" s="195">
        <f>IF(B540="","",ATANH(MIN(0.999999,'入力・概要'!$E$20/'入力・概要'!$E$9))+'入力・概要'!$B$20*SQRT(B540/1E6)+E540*'入力・概要'!$B$15/2)</f>
        <v/>
      </c>
      <c r="E540" s="195">
        <f>IF(B540="","",C540*('入力・概要'!$E$11*1E-9))</f>
        <v/>
      </c>
      <c r="F540" s="195">
        <f>IF(B540="","",SINH(2*D540)/(COSH(2*D540)+COS(2*E540)))</f>
        <v/>
      </c>
      <c r="G540" s="195">
        <f>IF(B540="","",SIN(2*E540)/(COSH(2*D540)+COS(2*E540)))</f>
        <v/>
      </c>
      <c r="H540" s="195">
        <f>IF(B540="","",ATANH(MIN(0.999999,'入力・概要'!$E$21/'入力・概要'!$E$15))+'入力・概要'!$B$21*SQRT(B540/1E6)+I540*'入力・概要'!$B$16/2)</f>
        <v/>
      </c>
      <c r="I540" s="195">
        <f>IF(B540="","",C540*('入力・概要'!$E$17*1E-9))</f>
        <v/>
      </c>
      <c r="J540" s="195">
        <f>IF(B540="","",SINH(2*H540)/(COSH(2*H540)+COS(2*I540)))</f>
        <v/>
      </c>
      <c r="K540" s="195">
        <f>IF(B540="","",SIN(2*I540)/(COSH(2*H540)+COS(2*I540)))</f>
        <v/>
      </c>
      <c r="L540" s="195">
        <f>IF(B540="","",'入力・概要'!$B$25)</f>
        <v/>
      </c>
      <c r="M540" s="195">
        <f>IF(B540="","",C540*'入力・概要'!$B$26*1E-9-1/(C540*'入力・概要'!$B$24*1E-6))</f>
        <v/>
      </c>
      <c r="N540" s="195">
        <f>IF(B540="","",'入力・概要'!$B$28)</f>
        <v/>
      </c>
      <c r="O540" s="195">
        <f>IF(B540="","",C540*'入力・概要'!$B$29*1E-9-1/(C540*'入力・概要'!$B$27*1E-6))</f>
        <v/>
      </c>
      <c r="P540" s="195">
        <f>IF(B540="","",((L540*N540-M540*O540)*(L540+N540)+(L540*O540+M540*N540)*(M540+O540))/((L540+N540)^2+(M540+O540)^2))</f>
        <v/>
      </c>
      <c r="Q540" s="195">
        <f>IF(B540="","",((L540*O540+M540*N540)*(L540+N540)-(L540*N540-M540*O540)*(M540+O540))/((L540+N540)^2+(M540+O540)^2))</f>
        <v/>
      </c>
      <c r="R540" s="195">
        <f>IF(B540="","",'入力・概要'!$E$15*J540)</f>
        <v/>
      </c>
      <c r="S540" s="195">
        <f>IF(B540="","",'入力・概要'!$E$15*K540)</f>
        <v/>
      </c>
      <c r="T540" s="195">
        <f>IF(B540="","",P540+R540)</f>
        <v/>
      </c>
      <c r="U540" s="195">
        <f>IF(B540="","",Q540+S540)</f>
        <v/>
      </c>
      <c r="V540" s="195">
        <f>IF(B540="","",T540+'入力・概要'!$E$9*F540)</f>
        <v/>
      </c>
      <c r="W540" s="195">
        <f>IF(B540="","",U540+'入力・概要'!$E$9*G540)</f>
        <v/>
      </c>
      <c r="X540" s="195">
        <f>IF(B540="","",'入力・概要'!$E$9+T540*F540-U540*G540)</f>
        <v/>
      </c>
      <c r="Y540" s="195">
        <f>IF(B540="","",T540*G540+U540*F540)</f>
        <v/>
      </c>
      <c r="Z540" s="195">
        <f>IF(B540="","",'入力・概要'!$E$9*(V540*X540+W540*Y540)/(X540^2+Y540^2)+'入力・概要'!$B$36)</f>
        <v/>
      </c>
      <c r="AA540" s="195">
        <f>IF(B540="","",'入力・概要'!$E$9*(W540*X540-V540*Y540)/(X540^2+Y540^2)+C540*'入力・概要'!$B$37*1E-9)</f>
        <v/>
      </c>
      <c r="AB540" s="195">
        <f>IF(B540="","",SQRT(Z540^2+AA540^2))</f>
        <v/>
      </c>
      <c r="AC540" s="195">
        <f>IF(B540="","",IF(Z540&gt;0,DEGREES(ATAN(AA540/Z540)),IF(Z540&lt;0,IF(AA540&gt;=0,DEGREES(ATAN(AA540/Z540))+180,DEGREES(ATAN(AA540/Z540))-180),IF(AA540&gt;0,90,IF(AA540&lt;0,-90,0)))))</f>
        <v/>
      </c>
      <c r="AD540" s="195">
        <f>IF(B540="","",LOG10(B540))</f>
        <v/>
      </c>
      <c r="AE540" s="195">
        <f>IF(AB540="","",LOG10(MAX(AB540,1E-12)))</f>
        <v/>
      </c>
      <c r="AF540" s="195">
        <f>IF(B540="","",SQRT(P540^2+Q540^2))</f>
        <v/>
      </c>
      <c r="AG540" s="195">
        <f>IF(B540="","",SQRT(R540^2+S540^2))</f>
        <v/>
      </c>
    </row>
    <row r="541">
      <c r="A541" t="n">
        <v>538</v>
      </c>
      <c r="B541" s="196">
        <f>IF(A541&lt;='入力・概要'!$B$40,10^(LOG10('入力・概要'!$B$38)+(A541-1)*(LOG10('入力・概要'!$B$39)-LOG10('入力・概要'!$B$38))/('入力・概要'!$B$40-1)),"")</f>
        <v/>
      </c>
      <c r="C541" s="195">
        <f>IF(B541="","",2*PI()*B541)</f>
        <v/>
      </c>
      <c r="D541" s="195">
        <f>IF(B541="","",ATANH(MIN(0.999999,'入力・概要'!$E$20/'入力・概要'!$E$9))+'入力・概要'!$B$20*SQRT(B541/1E6)+E541*'入力・概要'!$B$15/2)</f>
        <v/>
      </c>
      <c r="E541" s="195">
        <f>IF(B541="","",C541*('入力・概要'!$E$11*1E-9))</f>
        <v/>
      </c>
      <c r="F541" s="195">
        <f>IF(B541="","",SINH(2*D541)/(COSH(2*D541)+COS(2*E541)))</f>
        <v/>
      </c>
      <c r="G541" s="195">
        <f>IF(B541="","",SIN(2*E541)/(COSH(2*D541)+COS(2*E541)))</f>
        <v/>
      </c>
      <c r="H541" s="195">
        <f>IF(B541="","",ATANH(MIN(0.999999,'入力・概要'!$E$21/'入力・概要'!$E$15))+'入力・概要'!$B$21*SQRT(B541/1E6)+I541*'入力・概要'!$B$16/2)</f>
        <v/>
      </c>
      <c r="I541" s="195">
        <f>IF(B541="","",C541*('入力・概要'!$E$17*1E-9))</f>
        <v/>
      </c>
      <c r="J541" s="195">
        <f>IF(B541="","",SINH(2*H541)/(COSH(2*H541)+COS(2*I541)))</f>
        <v/>
      </c>
      <c r="K541" s="195">
        <f>IF(B541="","",SIN(2*I541)/(COSH(2*H541)+COS(2*I541)))</f>
        <v/>
      </c>
      <c r="L541" s="195">
        <f>IF(B541="","",'入力・概要'!$B$25)</f>
        <v/>
      </c>
      <c r="M541" s="195">
        <f>IF(B541="","",C541*'入力・概要'!$B$26*1E-9-1/(C541*'入力・概要'!$B$24*1E-6))</f>
        <v/>
      </c>
      <c r="N541" s="195">
        <f>IF(B541="","",'入力・概要'!$B$28)</f>
        <v/>
      </c>
      <c r="O541" s="195">
        <f>IF(B541="","",C541*'入力・概要'!$B$29*1E-9-1/(C541*'入力・概要'!$B$27*1E-6))</f>
        <v/>
      </c>
      <c r="P541" s="195">
        <f>IF(B541="","",((L541*N541-M541*O541)*(L541+N541)+(L541*O541+M541*N541)*(M541+O541))/((L541+N541)^2+(M541+O541)^2))</f>
        <v/>
      </c>
      <c r="Q541" s="195">
        <f>IF(B541="","",((L541*O541+M541*N541)*(L541+N541)-(L541*N541-M541*O541)*(M541+O541))/((L541+N541)^2+(M541+O541)^2))</f>
        <v/>
      </c>
      <c r="R541" s="195">
        <f>IF(B541="","",'入力・概要'!$E$15*J541)</f>
        <v/>
      </c>
      <c r="S541" s="195">
        <f>IF(B541="","",'入力・概要'!$E$15*K541)</f>
        <v/>
      </c>
      <c r="T541" s="195">
        <f>IF(B541="","",P541+R541)</f>
        <v/>
      </c>
      <c r="U541" s="195">
        <f>IF(B541="","",Q541+S541)</f>
        <v/>
      </c>
      <c r="V541" s="195">
        <f>IF(B541="","",T541+'入力・概要'!$E$9*F541)</f>
        <v/>
      </c>
      <c r="W541" s="195">
        <f>IF(B541="","",U541+'入力・概要'!$E$9*G541)</f>
        <v/>
      </c>
      <c r="X541" s="195">
        <f>IF(B541="","",'入力・概要'!$E$9+T541*F541-U541*G541)</f>
        <v/>
      </c>
      <c r="Y541" s="195">
        <f>IF(B541="","",T541*G541+U541*F541)</f>
        <v/>
      </c>
      <c r="Z541" s="195">
        <f>IF(B541="","",'入力・概要'!$E$9*(V541*X541+W541*Y541)/(X541^2+Y541^2)+'入力・概要'!$B$36)</f>
        <v/>
      </c>
      <c r="AA541" s="195">
        <f>IF(B541="","",'入力・概要'!$E$9*(W541*X541-V541*Y541)/(X541^2+Y541^2)+C541*'入力・概要'!$B$37*1E-9)</f>
        <v/>
      </c>
      <c r="AB541" s="195">
        <f>IF(B541="","",SQRT(Z541^2+AA541^2))</f>
        <v/>
      </c>
      <c r="AC541" s="195">
        <f>IF(B541="","",IF(Z541&gt;0,DEGREES(ATAN(AA541/Z541)),IF(Z541&lt;0,IF(AA541&gt;=0,DEGREES(ATAN(AA541/Z541))+180,DEGREES(ATAN(AA541/Z541))-180),IF(AA541&gt;0,90,IF(AA541&lt;0,-90,0)))))</f>
        <v/>
      </c>
      <c r="AD541" s="195">
        <f>IF(B541="","",LOG10(B541))</f>
        <v/>
      </c>
      <c r="AE541" s="195">
        <f>IF(AB541="","",LOG10(MAX(AB541,1E-12)))</f>
        <v/>
      </c>
      <c r="AF541" s="195">
        <f>IF(B541="","",SQRT(P541^2+Q541^2))</f>
        <v/>
      </c>
      <c r="AG541" s="195">
        <f>IF(B541="","",SQRT(R541^2+S541^2))</f>
        <v/>
      </c>
    </row>
    <row r="542">
      <c r="A542" t="n">
        <v>539</v>
      </c>
      <c r="B542" s="196">
        <f>IF(A542&lt;='入力・概要'!$B$40,10^(LOG10('入力・概要'!$B$38)+(A542-1)*(LOG10('入力・概要'!$B$39)-LOG10('入力・概要'!$B$38))/('入力・概要'!$B$40-1)),"")</f>
        <v/>
      </c>
      <c r="C542" s="195">
        <f>IF(B542="","",2*PI()*B542)</f>
        <v/>
      </c>
      <c r="D542" s="195">
        <f>IF(B542="","",ATANH(MIN(0.999999,'入力・概要'!$E$20/'入力・概要'!$E$9))+'入力・概要'!$B$20*SQRT(B542/1E6)+E542*'入力・概要'!$B$15/2)</f>
        <v/>
      </c>
      <c r="E542" s="195">
        <f>IF(B542="","",C542*('入力・概要'!$E$11*1E-9))</f>
        <v/>
      </c>
      <c r="F542" s="195">
        <f>IF(B542="","",SINH(2*D542)/(COSH(2*D542)+COS(2*E542)))</f>
        <v/>
      </c>
      <c r="G542" s="195">
        <f>IF(B542="","",SIN(2*E542)/(COSH(2*D542)+COS(2*E542)))</f>
        <v/>
      </c>
      <c r="H542" s="195">
        <f>IF(B542="","",ATANH(MIN(0.999999,'入力・概要'!$E$21/'入力・概要'!$E$15))+'入力・概要'!$B$21*SQRT(B542/1E6)+I542*'入力・概要'!$B$16/2)</f>
        <v/>
      </c>
      <c r="I542" s="195">
        <f>IF(B542="","",C542*('入力・概要'!$E$17*1E-9))</f>
        <v/>
      </c>
      <c r="J542" s="195">
        <f>IF(B542="","",SINH(2*H542)/(COSH(2*H542)+COS(2*I542)))</f>
        <v/>
      </c>
      <c r="K542" s="195">
        <f>IF(B542="","",SIN(2*I542)/(COSH(2*H542)+COS(2*I542)))</f>
        <v/>
      </c>
      <c r="L542" s="195">
        <f>IF(B542="","",'入力・概要'!$B$25)</f>
        <v/>
      </c>
      <c r="M542" s="195">
        <f>IF(B542="","",C542*'入力・概要'!$B$26*1E-9-1/(C542*'入力・概要'!$B$24*1E-6))</f>
        <v/>
      </c>
      <c r="N542" s="195">
        <f>IF(B542="","",'入力・概要'!$B$28)</f>
        <v/>
      </c>
      <c r="O542" s="195">
        <f>IF(B542="","",C542*'入力・概要'!$B$29*1E-9-1/(C542*'入力・概要'!$B$27*1E-6))</f>
        <v/>
      </c>
      <c r="P542" s="195">
        <f>IF(B542="","",((L542*N542-M542*O542)*(L542+N542)+(L542*O542+M542*N542)*(M542+O542))/((L542+N542)^2+(M542+O542)^2))</f>
        <v/>
      </c>
      <c r="Q542" s="195">
        <f>IF(B542="","",((L542*O542+M542*N542)*(L542+N542)-(L542*N542-M542*O542)*(M542+O542))/((L542+N542)^2+(M542+O542)^2))</f>
        <v/>
      </c>
      <c r="R542" s="195">
        <f>IF(B542="","",'入力・概要'!$E$15*J542)</f>
        <v/>
      </c>
      <c r="S542" s="195">
        <f>IF(B542="","",'入力・概要'!$E$15*K542)</f>
        <v/>
      </c>
      <c r="T542" s="195">
        <f>IF(B542="","",P542+R542)</f>
        <v/>
      </c>
      <c r="U542" s="195">
        <f>IF(B542="","",Q542+S542)</f>
        <v/>
      </c>
      <c r="V542" s="195">
        <f>IF(B542="","",T542+'入力・概要'!$E$9*F542)</f>
        <v/>
      </c>
      <c r="W542" s="195">
        <f>IF(B542="","",U542+'入力・概要'!$E$9*G542)</f>
        <v/>
      </c>
      <c r="X542" s="195">
        <f>IF(B542="","",'入力・概要'!$E$9+T542*F542-U542*G542)</f>
        <v/>
      </c>
      <c r="Y542" s="195">
        <f>IF(B542="","",T542*G542+U542*F542)</f>
        <v/>
      </c>
      <c r="Z542" s="195">
        <f>IF(B542="","",'入力・概要'!$E$9*(V542*X542+W542*Y542)/(X542^2+Y542^2)+'入力・概要'!$B$36)</f>
        <v/>
      </c>
      <c r="AA542" s="195">
        <f>IF(B542="","",'入力・概要'!$E$9*(W542*X542-V542*Y542)/(X542^2+Y542^2)+C542*'入力・概要'!$B$37*1E-9)</f>
        <v/>
      </c>
      <c r="AB542" s="195">
        <f>IF(B542="","",SQRT(Z542^2+AA542^2))</f>
        <v/>
      </c>
      <c r="AC542" s="195">
        <f>IF(B542="","",IF(Z542&gt;0,DEGREES(ATAN(AA542/Z542)),IF(Z542&lt;0,IF(AA542&gt;=0,DEGREES(ATAN(AA542/Z542))+180,DEGREES(ATAN(AA542/Z542))-180),IF(AA542&gt;0,90,IF(AA542&lt;0,-90,0)))))</f>
        <v/>
      </c>
      <c r="AD542" s="195">
        <f>IF(B542="","",LOG10(B542))</f>
        <v/>
      </c>
      <c r="AE542" s="195">
        <f>IF(AB542="","",LOG10(MAX(AB542,1E-12)))</f>
        <v/>
      </c>
      <c r="AF542" s="195">
        <f>IF(B542="","",SQRT(P542^2+Q542^2))</f>
        <v/>
      </c>
      <c r="AG542" s="195">
        <f>IF(B542="","",SQRT(R542^2+S542^2))</f>
        <v/>
      </c>
    </row>
    <row r="543">
      <c r="A543" t="n">
        <v>540</v>
      </c>
      <c r="B543" s="196">
        <f>IF(A543&lt;='入力・概要'!$B$40,10^(LOG10('入力・概要'!$B$38)+(A543-1)*(LOG10('入力・概要'!$B$39)-LOG10('入力・概要'!$B$38))/('入力・概要'!$B$40-1)),"")</f>
        <v/>
      </c>
      <c r="C543" s="195">
        <f>IF(B543="","",2*PI()*B543)</f>
        <v/>
      </c>
      <c r="D543" s="195">
        <f>IF(B543="","",ATANH(MIN(0.999999,'入力・概要'!$E$20/'入力・概要'!$E$9))+'入力・概要'!$B$20*SQRT(B543/1E6)+E543*'入力・概要'!$B$15/2)</f>
        <v/>
      </c>
      <c r="E543" s="195">
        <f>IF(B543="","",C543*('入力・概要'!$E$11*1E-9))</f>
        <v/>
      </c>
      <c r="F543" s="195">
        <f>IF(B543="","",SINH(2*D543)/(COSH(2*D543)+COS(2*E543)))</f>
        <v/>
      </c>
      <c r="G543" s="195">
        <f>IF(B543="","",SIN(2*E543)/(COSH(2*D543)+COS(2*E543)))</f>
        <v/>
      </c>
      <c r="H543" s="195">
        <f>IF(B543="","",ATANH(MIN(0.999999,'入力・概要'!$E$21/'入力・概要'!$E$15))+'入力・概要'!$B$21*SQRT(B543/1E6)+I543*'入力・概要'!$B$16/2)</f>
        <v/>
      </c>
      <c r="I543" s="195">
        <f>IF(B543="","",C543*('入力・概要'!$E$17*1E-9))</f>
        <v/>
      </c>
      <c r="J543" s="195">
        <f>IF(B543="","",SINH(2*H543)/(COSH(2*H543)+COS(2*I543)))</f>
        <v/>
      </c>
      <c r="K543" s="195">
        <f>IF(B543="","",SIN(2*I543)/(COSH(2*H543)+COS(2*I543)))</f>
        <v/>
      </c>
      <c r="L543" s="195">
        <f>IF(B543="","",'入力・概要'!$B$25)</f>
        <v/>
      </c>
      <c r="M543" s="195">
        <f>IF(B543="","",C543*'入力・概要'!$B$26*1E-9-1/(C543*'入力・概要'!$B$24*1E-6))</f>
        <v/>
      </c>
      <c r="N543" s="195">
        <f>IF(B543="","",'入力・概要'!$B$28)</f>
        <v/>
      </c>
      <c r="O543" s="195">
        <f>IF(B543="","",C543*'入力・概要'!$B$29*1E-9-1/(C543*'入力・概要'!$B$27*1E-6))</f>
        <v/>
      </c>
      <c r="P543" s="195">
        <f>IF(B543="","",((L543*N543-M543*O543)*(L543+N543)+(L543*O543+M543*N543)*(M543+O543))/((L543+N543)^2+(M543+O543)^2))</f>
        <v/>
      </c>
      <c r="Q543" s="195">
        <f>IF(B543="","",((L543*O543+M543*N543)*(L543+N543)-(L543*N543-M543*O543)*(M543+O543))/((L543+N543)^2+(M543+O543)^2))</f>
        <v/>
      </c>
      <c r="R543" s="195">
        <f>IF(B543="","",'入力・概要'!$E$15*J543)</f>
        <v/>
      </c>
      <c r="S543" s="195">
        <f>IF(B543="","",'入力・概要'!$E$15*K543)</f>
        <v/>
      </c>
      <c r="T543" s="195">
        <f>IF(B543="","",P543+R543)</f>
        <v/>
      </c>
      <c r="U543" s="195">
        <f>IF(B543="","",Q543+S543)</f>
        <v/>
      </c>
      <c r="V543" s="195">
        <f>IF(B543="","",T543+'入力・概要'!$E$9*F543)</f>
        <v/>
      </c>
      <c r="W543" s="195">
        <f>IF(B543="","",U543+'入力・概要'!$E$9*G543)</f>
        <v/>
      </c>
      <c r="X543" s="195">
        <f>IF(B543="","",'入力・概要'!$E$9+T543*F543-U543*G543)</f>
        <v/>
      </c>
      <c r="Y543" s="195">
        <f>IF(B543="","",T543*G543+U543*F543)</f>
        <v/>
      </c>
      <c r="Z543" s="195">
        <f>IF(B543="","",'入力・概要'!$E$9*(V543*X543+W543*Y543)/(X543^2+Y543^2)+'入力・概要'!$B$36)</f>
        <v/>
      </c>
      <c r="AA543" s="195">
        <f>IF(B543="","",'入力・概要'!$E$9*(W543*X543-V543*Y543)/(X543^2+Y543^2)+C543*'入力・概要'!$B$37*1E-9)</f>
        <v/>
      </c>
      <c r="AB543" s="195">
        <f>IF(B543="","",SQRT(Z543^2+AA543^2))</f>
        <v/>
      </c>
      <c r="AC543" s="195">
        <f>IF(B543="","",IF(Z543&gt;0,DEGREES(ATAN(AA543/Z543)),IF(Z543&lt;0,IF(AA543&gt;=0,DEGREES(ATAN(AA543/Z543))+180,DEGREES(ATAN(AA543/Z543))-180),IF(AA543&gt;0,90,IF(AA543&lt;0,-90,0)))))</f>
        <v/>
      </c>
      <c r="AD543" s="195">
        <f>IF(B543="","",LOG10(B543))</f>
        <v/>
      </c>
      <c r="AE543" s="195">
        <f>IF(AB543="","",LOG10(MAX(AB543,1E-12)))</f>
        <v/>
      </c>
      <c r="AF543" s="195">
        <f>IF(B543="","",SQRT(P543^2+Q543^2))</f>
        <v/>
      </c>
      <c r="AG543" s="195">
        <f>IF(B543="","",SQRT(R543^2+S543^2))</f>
        <v/>
      </c>
    </row>
    <row r="544">
      <c r="A544" t="n">
        <v>541</v>
      </c>
      <c r="B544" s="196">
        <f>IF(A544&lt;='入力・概要'!$B$40,10^(LOG10('入力・概要'!$B$38)+(A544-1)*(LOG10('入力・概要'!$B$39)-LOG10('入力・概要'!$B$38))/('入力・概要'!$B$40-1)),"")</f>
        <v/>
      </c>
      <c r="C544" s="195">
        <f>IF(B544="","",2*PI()*B544)</f>
        <v/>
      </c>
      <c r="D544" s="195">
        <f>IF(B544="","",ATANH(MIN(0.999999,'入力・概要'!$E$20/'入力・概要'!$E$9))+'入力・概要'!$B$20*SQRT(B544/1E6)+E544*'入力・概要'!$B$15/2)</f>
        <v/>
      </c>
      <c r="E544" s="195">
        <f>IF(B544="","",C544*('入力・概要'!$E$11*1E-9))</f>
        <v/>
      </c>
      <c r="F544" s="195">
        <f>IF(B544="","",SINH(2*D544)/(COSH(2*D544)+COS(2*E544)))</f>
        <v/>
      </c>
      <c r="G544" s="195">
        <f>IF(B544="","",SIN(2*E544)/(COSH(2*D544)+COS(2*E544)))</f>
        <v/>
      </c>
      <c r="H544" s="195">
        <f>IF(B544="","",ATANH(MIN(0.999999,'入力・概要'!$E$21/'入力・概要'!$E$15))+'入力・概要'!$B$21*SQRT(B544/1E6)+I544*'入力・概要'!$B$16/2)</f>
        <v/>
      </c>
      <c r="I544" s="195">
        <f>IF(B544="","",C544*('入力・概要'!$E$17*1E-9))</f>
        <v/>
      </c>
      <c r="J544" s="195">
        <f>IF(B544="","",SINH(2*H544)/(COSH(2*H544)+COS(2*I544)))</f>
        <v/>
      </c>
      <c r="K544" s="195">
        <f>IF(B544="","",SIN(2*I544)/(COSH(2*H544)+COS(2*I544)))</f>
        <v/>
      </c>
      <c r="L544" s="195">
        <f>IF(B544="","",'入力・概要'!$B$25)</f>
        <v/>
      </c>
      <c r="M544" s="195">
        <f>IF(B544="","",C544*'入力・概要'!$B$26*1E-9-1/(C544*'入力・概要'!$B$24*1E-6))</f>
        <v/>
      </c>
      <c r="N544" s="195">
        <f>IF(B544="","",'入力・概要'!$B$28)</f>
        <v/>
      </c>
      <c r="O544" s="195">
        <f>IF(B544="","",C544*'入力・概要'!$B$29*1E-9-1/(C544*'入力・概要'!$B$27*1E-6))</f>
        <v/>
      </c>
      <c r="P544" s="195">
        <f>IF(B544="","",((L544*N544-M544*O544)*(L544+N544)+(L544*O544+M544*N544)*(M544+O544))/((L544+N544)^2+(M544+O544)^2))</f>
        <v/>
      </c>
      <c r="Q544" s="195">
        <f>IF(B544="","",((L544*O544+M544*N544)*(L544+N544)-(L544*N544-M544*O544)*(M544+O544))/((L544+N544)^2+(M544+O544)^2))</f>
        <v/>
      </c>
      <c r="R544" s="195">
        <f>IF(B544="","",'入力・概要'!$E$15*J544)</f>
        <v/>
      </c>
      <c r="S544" s="195">
        <f>IF(B544="","",'入力・概要'!$E$15*K544)</f>
        <v/>
      </c>
      <c r="T544" s="195">
        <f>IF(B544="","",P544+R544)</f>
        <v/>
      </c>
      <c r="U544" s="195">
        <f>IF(B544="","",Q544+S544)</f>
        <v/>
      </c>
      <c r="V544" s="195">
        <f>IF(B544="","",T544+'入力・概要'!$E$9*F544)</f>
        <v/>
      </c>
      <c r="W544" s="195">
        <f>IF(B544="","",U544+'入力・概要'!$E$9*G544)</f>
        <v/>
      </c>
      <c r="X544" s="195">
        <f>IF(B544="","",'入力・概要'!$E$9+T544*F544-U544*G544)</f>
        <v/>
      </c>
      <c r="Y544" s="195">
        <f>IF(B544="","",T544*G544+U544*F544)</f>
        <v/>
      </c>
      <c r="Z544" s="195">
        <f>IF(B544="","",'入力・概要'!$E$9*(V544*X544+W544*Y544)/(X544^2+Y544^2)+'入力・概要'!$B$36)</f>
        <v/>
      </c>
      <c r="AA544" s="195">
        <f>IF(B544="","",'入力・概要'!$E$9*(W544*X544-V544*Y544)/(X544^2+Y544^2)+C544*'入力・概要'!$B$37*1E-9)</f>
        <v/>
      </c>
      <c r="AB544" s="195">
        <f>IF(B544="","",SQRT(Z544^2+AA544^2))</f>
        <v/>
      </c>
      <c r="AC544" s="195">
        <f>IF(B544="","",IF(Z544&gt;0,DEGREES(ATAN(AA544/Z544)),IF(Z544&lt;0,IF(AA544&gt;=0,DEGREES(ATAN(AA544/Z544))+180,DEGREES(ATAN(AA544/Z544))-180),IF(AA544&gt;0,90,IF(AA544&lt;0,-90,0)))))</f>
        <v/>
      </c>
      <c r="AD544" s="195">
        <f>IF(B544="","",LOG10(B544))</f>
        <v/>
      </c>
      <c r="AE544" s="195">
        <f>IF(AB544="","",LOG10(MAX(AB544,1E-12)))</f>
        <v/>
      </c>
      <c r="AF544" s="195">
        <f>IF(B544="","",SQRT(P544^2+Q544^2))</f>
        <v/>
      </c>
      <c r="AG544" s="195">
        <f>IF(B544="","",SQRT(R544^2+S544^2))</f>
        <v/>
      </c>
    </row>
    <row r="545">
      <c r="A545" t="n">
        <v>542</v>
      </c>
      <c r="B545" s="196">
        <f>IF(A545&lt;='入力・概要'!$B$40,10^(LOG10('入力・概要'!$B$38)+(A545-1)*(LOG10('入力・概要'!$B$39)-LOG10('入力・概要'!$B$38))/('入力・概要'!$B$40-1)),"")</f>
        <v/>
      </c>
      <c r="C545" s="195">
        <f>IF(B545="","",2*PI()*B545)</f>
        <v/>
      </c>
      <c r="D545" s="195">
        <f>IF(B545="","",ATANH(MIN(0.999999,'入力・概要'!$E$20/'入力・概要'!$E$9))+'入力・概要'!$B$20*SQRT(B545/1E6)+E545*'入力・概要'!$B$15/2)</f>
        <v/>
      </c>
      <c r="E545" s="195">
        <f>IF(B545="","",C545*('入力・概要'!$E$11*1E-9))</f>
        <v/>
      </c>
      <c r="F545" s="195">
        <f>IF(B545="","",SINH(2*D545)/(COSH(2*D545)+COS(2*E545)))</f>
        <v/>
      </c>
      <c r="G545" s="195">
        <f>IF(B545="","",SIN(2*E545)/(COSH(2*D545)+COS(2*E545)))</f>
        <v/>
      </c>
      <c r="H545" s="195">
        <f>IF(B545="","",ATANH(MIN(0.999999,'入力・概要'!$E$21/'入力・概要'!$E$15))+'入力・概要'!$B$21*SQRT(B545/1E6)+I545*'入力・概要'!$B$16/2)</f>
        <v/>
      </c>
      <c r="I545" s="195">
        <f>IF(B545="","",C545*('入力・概要'!$E$17*1E-9))</f>
        <v/>
      </c>
      <c r="J545" s="195">
        <f>IF(B545="","",SINH(2*H545)/(COSH(2*H545)+COS(2*I545)))</f>
        <v/>
      </c>
      <c r="K545" s="195">
        <f>IF(B545="","",SIN(2*I545)/(COSH(2*H545)+COS(2*I545)))</f>
        <v/>
      </c>
      <c r="L545" s="195">
        <f>IF(B545="","",'入力・概要'!$B$25)</f>
        <v/>
      </c>
      <c r="M545" s="195">
        <f>IF(B545="","",C545*'入力・概要'!$B$26*1E-9-1/(C545*'入力・概要'!$B$24*1E-6))</f>
        <v/>
      </c>
      <c r="N545" s="195">
        <f>IF(B545="","",'入力・概要'!$B$28)</f>
        <v/>
      </c>
      <c r="O545" s="195">
        <f>IF(B545="","",C545*'入力・概要'!$B$29*1E-9-1/(C545*'入力・概要'!$B$27*1E-6))</f>
        <v/>
      </c>
      <c r="P545" s="195">
        <f>IF(B545="","",((L545*N545-M545*O545)*(L545+N545)+(L545*O545+M545*N545)*(M545+O545))/((L545+N545)^2+(M545+O545)^2))</f>
        <v/>
      </c>
      <c r="Q545" s="195">
        <f>IF(B545="","",((L545*O545+M545*N545)*(L545+N545)-(L545*N545-M545*O545)*(M545+O545))/((L545+N545)^2+(M545+O545)^2))</f>
        <v/>
      </c>
      <c r="R545" s="195">
        <f>IF(B545="","",'入力・概要'!$E$15*J545)</f>
        <v/>
      </c>
      <c r="S545" s="195">
        <f>IF(B545="","",'入力・概要'!$E$15*K545)</f>
        <v/>
      </c>
      <c r="T545" s="195">
        <f>IF(B545="","",P545+R545)</f>
        <v/>
      </c>
      <c r="U545" s="195">
        <f>IF(B545="","",Q545+S545)</f>
        <v/>
      </c>
      <c r="V545" s="195">
        <f>IF(B545="","",T545+'入力・概要'!$E$9*F545)</f>
        <v/>
      </c>
      <c r="W545" s="195">
        <f>IF(B545="","",U545+'入力・概要'!$E$9*G545)</f>
        <v/>
      </c>
      <c r="X545" s="195">
        <f>IF(B545="","",'入力・概要'!$E$9+T545*F545-U545*G545)</f>
        <v/>
      </c>
      <c r="Y545" s="195">
        <f>IF(B545="","",T545*G545+U545*F545)</f>
        <v/>
      </c>
      <c r="Z545" s="195">
        <f>IF(B545="","",'入力・概要'!$E$9*(V545*X545+W545*Y545)/(X545^2+Y545^2)+'入力・概要'!$B$36)</f>
        <v/>
      </c>
      <c r="AA545" s="195">
        <f>IF(B545="","",'入力・概要'!$E$9*(W545*X545-V545*Y545)/(X545^2+Y545^2)+C545*'入力・概要'!$B$37*1E-9)</f>
        <v/>
      </c>
      <c r="AB545" s="195">
        <f>IF(B545="","",SQRT(Z545^2+AA545^2))</f>
        <v/>
      </c>
      <c r="AC545" s="195">
        <f>IF(B545="","",IF(Z545&gt;0,DEGREES(ATAN(AA545/Z545)),IF(Z545&lt;0,IF(AA545&gt;=0,DEGREES(ATAN(AA545/Z545))+180,DEGREES(ATAN(AA545/Z545))-180),IF(AA545&gt;0,90,IF(AA545&lt;0,-90,0)))))</f>
        <v/>
      </c>
      <c r="AD545" s="195">
        <f>IF(B545="","",LOG10(B545))</f>
        <v/>
      </c>
      <c r="AE545" s="195">
        <f>IF(AB545="","",LOG10(MAX(AB545,1E-12)))</f>
        <v/>
      </c>
      <c r="AF545" s="195">
        <f>IF(B545="","",SQRT(P545^2+Q545^2))</f>
        <v/>
      </c>
      <c r="AG545" s="195">
        <f>IF(B545="","",SQRT(R545^2+S545^2))</f>
        <v/>
      </c>
    </row>
    <row r="546">
      <c r="A546" t="n">
        <v>543</v>
      </c>
      <c r="B546" s="196">
        <f>IF(A546&lt;='入力・概要'!$B$40,10^(LOG10('入力・概要'!$B$38)+(A546-1)*(LOG10('入力・概要'!$B$39)-LOG10('入力・概要'!$B$38))/('入力・概要'!$B$40-1)),"")</f>
        <v/>
      </c>
      <c r="C546" s="195">
        <f>IF(B546="","",2*PI()*B546)</f>
        <v/>
      </c>
      <c r="D546" s="195">
        <f>IF(B546="","",ATANH(MIN(0.999999,'入力・概要'!$E$20/'入力・概要'!$E$9))+'入力・概要'!$B$20*SQRT(B546/1E6)+E546*'入力・概要'!$B$15/2)</f>
        <v/>
      </c>
      <c r="E546" s="195">
        <f>IF(B546="","",C546*('入力・概要'!$E$11*1E-9))</f>
        <v/>
      </c>
      <c r="F546" s="195">
        <f>IF(B546="","",SINH(2*D546)/(COSH(2*D546)+COS(2*E546)))</f>
        <v/>
      </c>
      <c r="G546" s="195">
        <f>IF(B546="","",SIN(2*E546)/(COSH(2*D546)+COS(2*E546)))</f>
        <v/>
      </c>
      <c r="H546" s="195">
        <f>IF(B546="","",ATANH(MIN(0.999999,'入力・概要'!$E$21/'入力・概要'!$E$15))+'入力・概要'!$B$21*SQRT(B546/1E6)+I546*'入力・概要'!$B$16/2)</f>
        <v/>
      </c>
      <c r="I546" s="195">
        <f>IF(B546="","",C546*('入力・概要'!$E$17*1E-9))</f>
        <v/>
      </c>
      <c r="J546" s="195">
        <f>IF(B546="","",SINH(2*H546)/(COSH(2*H546)+COS(2*I546)))</f>
        <v/>
      </c>
      <c r="K546" s="195">
        <f>IF(B546="","",SIN(2*I546)/(COSH(2*H546)+COS(2*I546)))</f>
        <v/>
      </c>
      <c r="L546" s="195">
        <f>IF(B546="","",'入力・概要'!$B$25)</f>
        <v/>
      </c>
      <c r="M546" s="195">
        <f>IF(B546="","",C546*'入力・概要'!$B$26*1E-9-1/(C546*'入力・概要'!$B$24*1E-6))</f>
        <v/>
      </c>
      <c r="N546" s="195">
        <f>IF(B546="","",'入力・概要'!$B$28)</f>
        <v/>
      </c>
      <c r="O546" s="195">
        <f>IF(B546="","",C546*'入力・概要'!$B$29*1E-9-1/(C546*'入力・概要'!$B$27*1E-6))</f>
        <v/>
      </c>
      <c r="P546" s="195">
        <f>IF(B546="","",((L546*N546-M546*O546)*(L546+N546)+(L546*O546+M546*N546)*(M546+O546))/((L546+N546)^2+(M546+O546)^2))</f>
        <v/>
      </c>
      <c r="Q546" s="195">
        <f>IF(B546="","",((L546*O546+M546*N546)*(L546+N546)-(L546*N546-M546*O546)*(M546+O546))/((L546+N546)^2+(M546+O546)^2))</f>
        <v/>
      </c>
      <c r="R546" s="195">
        <f>IF(B546="","",'入力・概要'!$E$15*J546)</f>
        <v/>
      </c>
      <c r="S546" s="195">
        <f>IF(B546="","",'入力・概要'!$E$15*K546)</f>
        <v/>
      </c>
      <c r="T546" s="195">
        <f>IF(B546="","",P546+R546)</f>
        <v/>
      </c>
      <c r="U546" s="195">
        <f>IF(B546="","",Q546+S546)</f>
        <v/>
      </c>
      <c r="V546" s="195">
        <f>IF(B546="","",T546+'入力・概要'!$E$9*F546)</f>
        <v/>
      </c>
      <c r="W546" s="195">
        <f>IF(B546="","",U546+'入力・概要'!$E$9*G546)</f>
        <v/>
      </c>
      <c r="X546" s="195">
        <f>IF(B546="","",'入力・概要'!$E$9+T546*F546-U546*G546)</f>
        <v/>
      </c>
      <c r="Y546" s="195">
        <f>IF(B546="","",T546*G546+U546*F546)</f>
        <v/>
      </c>
      <c r="Z546" s="195">
        <f>IF(B546="","",'入力・概要'!$E$9*(V546*X546+W546*Y546)/(X546^2+Y546^2)+'入力・概要'!$B$36)</f>
        <v/>
      </c>
      <c r="AA546" s="195">
        <f>IF(B546="","",'入力・概要'!$E$9*(W546*X546-V546*Y546)/(X546^2+Y546^2)+C546*'入力・概要'!$B$37*1E-9)</f>
        <v/>
      </c>
      <c r="AB546" s="195">
        <f>IF(B546="","",SQRT(Z546^2+AA546^2))</f>
        <v/>
      </c>
      <c r="AC546" s="195">
        <f>IF(B546="","",IF(Z546&gt;0,DEGREES(ATAN(AA546/Z546)),IF(Z546&lt;0,IF(AA546&gt;=0,DEGREES(ATAN(AA546/Z546))+180,DEGREES(ATAN(AA546/Z546))-180),IF(AA546&gt;0,90,IF(AA546&lt;0,-90,0)))))</f>
        <v/>
      </c>
      <c r="AD546" s="195">
        <f>IF(B546="","",LOG10(B546))</f>
        <v/>
      </c>
      <c r="AE546" s="195">
        <f>IF(AB546="","",LOG10(MAX(AB546,1E-12)))</f>
        <v/>
      </c>
      <c r="AF546" s="195">
        <f>IF(B546="","",SQRT(P546^2+Q546^2))</f>
        <v/>
      </c>
      <c r="AG546" s="195">
        <f>IF(B546="","",SQRT(R546^2+S546^2))</f>
        <v/>
      </c>
    </row>
    <row r="547">
      <c r="A547" t="n">
        <v>544</v>
      </c>
      <c r="B547" s="196">
        <f>IF(A547&lt;='入力・概要'!$B$40,10^(LOG10('入力・概要'!$B$38)+(A547-1)*(LOG10('入力・概要'!$B$39)-LOG10('入力・概要'!$B$38))/('入力・概要'!$B$40-1)),"")</f>
        <v/>
      </c>
      <c r="C547" s="195">
        <f>IF(B547="","",2*PI()*B547)</f>
        <v/>
      </c>
      <c r="D547" s="195">
        <f>IF(B547="","",ATANH(MIN(0.999999,'入力・概要'!$E$20/'入力・概要'!$E$9))+'入力・概要'!$B$20*SQRT(B547/1E6)+E547*'入力・概要'!$B$15/2)</f>
        <v/>
      </c>
      <c r="E547" s="195">
        <f>IF(B547="","",C547*('入力・概要'!$E$11*1E-9))</f>
        <v/>
      </c>
      <c r="F547" s="195">
        <f>IF(B547="","",SINH(2*D547)/(COSH(2*D547)+COS(2*E547)))</f>
        <v/>
      </c>
      <c r="G547" s="195">
        <f>IF(B547="","",SIN(2*E547)/(COSH(2*D547)+COS(2*E547)))</f>
        <v/>
      </c>
      <c r="H547" s="195">
        <f>IF(B547="","",ATANH(MIN(0.999999,'入力・概要'!$E$21/'入力・概要'!$E$15))+'入力・概要'!$B$21*SQRT(B547/1E6)+I547*'入力・概要'!$B$16/2)</f>
        <v/>
      </c>
      <c r="I547" s="195">
        <f>IF(B547="","",C547*('入力・概要'!$E$17*1E-9))</f>
        <v/>
      </c>
      <c r="J547" s="195">
        <f>IF(B547="","",SINH(2*H547)/(COSH(2*H547)+COS(2*I547)))</f>
        <v/>
      </c>
      <c r="K547" s="195">
        <f>IF(B547="","",SIN(2*I547)/(COSH(2*H547)+COS(2*I547)))</f>
        <v/>
      </c>
      <c r="L547" s="195">
        <f>IF(B547="","",'入力・概要'!$B$25)</f>
        <v/>
      </c>
      <c r="M547" s="195">
        <f>IF(B547="","",C547*'入力・概要'!$B$26*1E-9-1/(C547*'入力・概要'!$B$24*1E-6))</f>
        <v/>
      </c>
      <c r="N547" s="195">
        <f>IF(B547="","",'入力・概要'!$B$28)</f>
        <v/>
      </c>
      <c r="O547" s="195">
        <f>IF(B547="","",C547*'入力・概要'!$B$29*1E-9-1/(C547*'入力・概要'!$B$27*1E-6))</f>
        <v/>
      </c>
      <c r="P547" s="195">
        <f>IF(B547="","",((L547*N547-M547*O547)*(L547+N547)+(L547*O547+M547*N547)*(M547+O547))/((L547+N547)^2+(M547+O547)^2))</f>
        <v/>
      </c>
      <c r="Q547" s="195">
        <f>IF(B547="","",((L547*O547+M547*N547)*(L547+N547)-(L547*N547-M547*O547)*(M547+O547))/((L547+N547)^2+(M547+O547)^2))</f>
        <v/>
      </c>
      <c r="R547" s="195">
        <f>IF(B547="","",'入力・概要'!$E$15*J547)</f>
        <v/>
      </c>
      <c r="S547" s="195">
        <f>IF(B547="","",'入力・概要'!$E$15*K547)</f>
        <v/>
      </c>
      <c r="T547" s="195">
        <f>IF(B547="","",P547+R547)</f>
        <v/>
      </c>
      <c r="U547" s="195">
        <f>IF(B547="","",Q547+S547)</f>
        <v/>
      </c>
      <c r="V547" s="195">
        <f>IF(B547="","",T547+'入力・概要'!$E$9*F547)</f>
        <v/>
      </c>
      <c r="W547" s="195">
        <f>IF(B547="","",U547+'入力・概要'!$E$9*G547)</f>
        <v/>
      </c>
      <c r="X547" s="195">
        <f>IF(B547="","",'入力・概要'!$E$9+T547*F547-U547*G547)</f>
        <v/>
      </c>
      <c r="Y547" s="195">
        <f>IF(B547="","",T547*G547+U547*F547)</f>
        <v/>
      </c>
      <c r="Z547" s="195">
        <f>IF(B547="","",'入力・概要'!$E$9*(V547*X547+W547*Y547)/(X547^2+Y547^2)+'入力・概要'!$B$36)</f>
        <v/>
      </c>
      <c r="AA547" s="195">
        <f>IF(B547="","",'入力・概要'!$E$9*(W547*X547-V547*Y547)/(X547^2+Y547^2)+C547*'入力・概要'!$B$37*1E-9)</f>
        <v/>
      </c>
      <c r="AB547" s="195">
        <f>IF(B547="","",SQRT(Z547^2+AA547^2))</f>
        <v/>
      </c>
      <c r="AC547" s="195">
        <f>IF(B547="","",IF(Z547&gt;0,DEGREES(ATAN(AA547/Z547)),IF(Z547&lt;0,IF(AA547&gt;=0,DEGREES(ATAN(AA547/Z547))+180,DEGREES(ATAN(AA547/Z547))-180),IF(AA547&gt;0,90,IF(AA547&lt;0,-90,0)))))</f>
        <v/>
      </c>
      <c r="AD547" s="195">
        <f>IF(B547="","",LOG10(B547))</f>
        <v/>
      </c>
      <c r="AE547" s="195">
        <f>IF(AB547="","",LOG10(MAX(AB547,1E-12)))</f>
        <v/>
      </c>
      <c r="AF547" s="195">
        <f>IF(B547="","",SQRT(P547^2+Q547^2))</f>
        <v/>
      </c>
      <c r="AG547" s="195">
        <f>IF(B547="","",SQRT(R547^2+S547^2))</f>
        <v/>
      </c>
    </row>
    <row r="548">
      <c r="A548" t="n">
        <v>545</v>
      </c>
      <c r="B548" s="196">
        <f>IF(A548&lt;='入力・概要'!$B$40,10^(LOG10('入力・概要'!$B$38)+(A548-1)*(LOG10('入力・概要'!$B$39)-LOG10('入力・概要'!$B$38))/('入力・概要'!$B$40-1)),"")</f>
        <v/>
      </c>
      <c r="C548" s="195">
        <f>IF(B548="","",2*PI()*B548)</f>
        <v/>
      </c>
      <c r="D548" s="195">
        <f>IF(B548="","",ATANH(MIN(0.999999,'入力・概要'!$E$20/'入力・概要'!$E$9))+'入力・概要'!$B$20*SQRT(B548/1E6)+E548*'入力・概要'!$B$15/2)</f>
        <v/>
      </c>
      <c r="E548" s="195">
        <f>IF(B548="","",C548*('入力・概要'!$E$11*1E-9))</f>
        <v/>
      </c>
      <c r="F548" s="195">
        <f>IF(B548="","",SINH(2*D548)/(COSH(2*D548)+COS(2*E548)))</f>
        <v/>
      </c>
      <c r="G548" s="195">
        <f>IF(B548="","",SIN(2*E548)/(COSH(2*D548)+COS(2*E548)))</f>
        <v/>
      </c>
      <c r="H548" s="195">
        <f>IF(B548="","",ATANH(MIN(0.999999,'入力・概要'!$E$21/'入力・概要'!$E$15))+'入力・概要'!$B$21*SQRT(B548/1E6)+I548*'入力・概要'!$B$16/2)</f>
        <v/>
      </c>
      <c r="I548" s="195">
        <f>IF(B548="","",C548*('入力・概要'!$E$17*1E-9))</f>
        <v/>
      </c>
      <c r="J548" s="195">
        <f>IF(B548="","",SINH(2*H548)/(COSH(2*H548)+COS(2*I548)))</f>
        <v/>
      </c>
      <c r="K548" s="195">
        <f>IF(B548="","",SIN(2*I548)/(COSH(2*H548)+COS(2*I548)))</f>
        <v/>
      </c>
      <c r="L548" s="195">
        <f>IF(B548="","",'入力・概要'!$B$25)</f>
        <v/>
      </c>
      <c r="M548" s="195">
        <f>IF(B548="","",C548*'入力・概要'!$B$26*1E-9-1/(C548*'入力・概要'!$B$24*1E-6))</f>
        <v/>
      </c>
      <c r="N548" s="195">
        <f>IF(B548="","",'入力・概要'!$B$28)</f>
        <v/>
      </c>
      <c r="O548" s="195">
        <f>IF(B548="","",C548*'入力・概要'!$B$29*1E-9-1/(C548*'入力・概要'!$B$27*1E-6))</f>
        <v/>
      </c>
      <c r="P548" s="195">
        <f>IF(B548="","",((L548*N548-M548*O548)*(L548+N548)+(L548*O548+M548*N548)*(M548+O548))/((L548+N548)^2+(M548+O548)^2))</f>
        <v/>
      </c>
      <c r="Q548" s="195">
        <f>IF(B548="","",((L548*O548+M548*N548)*(L548+N548)-(L548*N548-M548*O548)*(M548+O548))/((L548+N548)^2+(M548+O548)^2))</f>
        <v/>
      </c>
      <c r="R548" s="195">
        <f>IF(B548="","",'入力・概要'!$E$15*J548)</f>
        <v/>
      </c>
      <c r="S548" s="195">
        <f>IF(B548="","",'入力・概要'!$E$15*K548)</f>
        <v/>
      </c>
      <c r="T548" s="195">
        <f>IF(B548="","",P548+R548)</f>
        <v/>
      </c>
      <c r="U548" s="195">
        <f>IF(B548="","",Q548+S548)</f>
        <v/>
      </c>
      <c r="V548" s="195">
        <f>IF(B548="","",T548+'入力・概要'!$E$9*F548)</f>
        <v/>
      </c>
      <c r="W548" s="195">
        <f>IF(B548="","",U548+'入力・概要'!$E$9*G548)</f>
        <v/>
      </c>
      <c r="X548" s="195">
        <f>IF(B548="","",'入力・概要'!$E$9+T548*F548-U548*G548)</f>
        <v/>
      </c>
      <c r="Y548" s="195">
        <f>IF(B548="","",T548*G548+U548*F548)</f>
        <v/>
      </c>
      <c r="Z548" s="195">
        <f>IF(B548="","",'入力・概要'!$E$9*(V548*X548+W548*Y548)/(X548^2+Y548^2)+'入力・概要'!$B$36)</f>
        <v/>
      </c>
      <c r="AA548" s="195">
        <f>IF(B548="","",'入力・概要'!$E$9*(W548*X548-V548*Y548)/(X548^2+Y548^2)+C548*'入力・概要'!$B$37*1E-9)</f>
        <v/>
      </c>
      <c r="AB548" s="195">
        <f>IF(B548="","",SQRT(Z548^2+AA548^2))</f>
        <v/>
      </c>
      <c r="AC548" s="195">
        <f>IF(B548="","",IF(Z548&gt;0,DEGREES(ATAN(AA548/Z548)),IF(Z548&lt;0,IF(AA548&gt;=0,DEGREES(ATAN(AA548/Z548))+180,DEGREES(ATAN(AA548/Z548))-180),IF(AA548&gt;0,90,IF(AA548&lt;0,-90,0)))))</f>
        <v/>
      </c>
      <c r="AD548" s="195">
        <f>IF(B548="","",LOG10(B548))</f>
        <v/>
      </c>
      <c r="AE548" s="195">
        <f>IF(AB548="","",LOG10(MAX(AB548,1E-12)))</f>
        <v/>
      </c>
      <c r="AF548" s="195">
        <f>IF(B548="","",SQRT(P548^2+Q548^2))</f>
        <v/>
      </c>
      <c r="AG548" s="195">
        <f>IF(B548="","",SQRT(R548^2+S548^2))</f>
        <v/>
      </c>
    </row>
    <row r="549">
      <c r="A549" t="n">
        <v>546</v>
      </c>
      <c r="B549" s="196">
        <f>IF(A549&lt;='入力・概要'!$B$40,10^(LOG10('入力・概要'!$B$38)+(A549-1)*(LOG10('入力・概要'!$B$39)-LOG10('入力・概要'!$B$38))/('入力・概要'!$B$40-1)),"")</f>
        <v/>
      </c>
      <c r="C549" s="195">
        <f>IF(B549="","",2*PI()*B549)</f>
        <v/>
      </c>
      <c r="D549" s="195">
        <f>IF(B549="","",ATANH(MIN(0.999999,'入力・概要'!$E$20/'入力・概要'!$E$9))+'入力・概要'!$B$20*SQRT(B549/1E6)+E549*'入力・概要'!$B$15/2)</f>
        <v/>
      </c>
      <c r="E549" s="195">
        <f>IF(B549="","",C549*('入力・概要'!$E$11*1E-9))</f>
        <v/>
      </c>
      <c r="F549" s="195">
        <f>IF(B549="","",SINH(2*D549)/(COSH(2*D549)+COS(2*E549)))</f>
        <v/>
      </c>
      <c r="G549" s="195">
        <f>IF(B549="","",SIN(2*E549)/(COSH(2*D549)+COS(2*E549)))</f>
        <v/>
      </c>
      <c r="H549" s="195">
        <f>IF(B549="","",ATANH(MIN(0.999999,'入力・概要'!$E$21/'入力・概要'!$E$15))+'入力・概要'!$B$21*SQRT(B549/1E6)+I549*'入力・概要'!$B$16/2)</f>
        <v/>
      </c>
      <c r="I549" s="195">
        <f>IF(B549="","",C549*('入力・概要'!$E$17*1E-9))</f>
        <v/>
      </c>
      <c r="J549" s="195">
        <f>IF(B549="","",SINH(2*H549)/(COSH(2*H549)+COS(2*I549)))</f>
        <v/>
      </c>
      <c r="K549" s="195">
        <f>IF(B549="","",SIN(2*I549)/(COSH(2*H549)+COS(2*I549)))</f>
        <v/>
      </c>
      <c r="L549" s="195">
        <f>IF(B549="","",'入力・概要'!$B$25)</f>
        <v/>
      </c>
      <c r="M549" s="195">
        <f>IF(B549="","",C549*'入力・概要'!$B$26*1E-9-1/(C549*'入力・概要'!$B$24*1E-6))</f>
        <v/>
      </c>
      <c r="N549" s="195">
        <f>IF(B549="","",'入力・概要'!$B$28)</f>
        <v/>
      </c>
      <c r="O549" s="195">
        <f>IF(B549="","",C549*'入力・概要'!$B$29*1E-9-1/(C549*'入力・概要'!$B$27*1E-6))</f>
        <v/>
      </c>
      <c r="P549" s="195">
        <f>IF(B549="","",((L549*N549-M549*O549)*(L549+N549)+(L549*O549+M549*N549)*(M549+O549))/((L549+N549)^2+(M549+O549)^2))</f>
        <v/>
      </c>
      <c r="Q549" s="195">
        <f>IF(B549="","",((L549*O549+M549*N549)*(L549+N549)-(L549*N549-M549*O549)*(M549+O549))/((L549+N549)^2+(M549+O549)^2))</f>
        <v/>
      </c>
      <c r="R549" s="195">
        <f>IF(B549="","",'入力・概要'!$E$15*J549)</f>
        <v/>
      </c>
      <c r="S549" s="195">
        <f>IF(B549="","",'入力・概要'!$E$15*K549)</f>
        <v/>
      </c>
      <c r="T549" s="195">
        <f>IF(B549="","",P549+R549)</f>
        <v/>
      </c>
      <c r="U549" s="195">
        <f>IF(B549="","",Q549+S549)</f>
        <v/>
      </c>
      <c r="V549" s="195">
        <f>IF(B549="","",T549+'入力・概要'!$E$9*F549)</f>
        <v/>
      </c>
      <c r="W549" s="195">
        <f>IF(B549="","",U549+'入力・概要'!$E$9*G549)</f>
        <v/>
      </c>
      <c r="X549" s="195">
        <f>IF(B549="","",'入力・概要'!$E$9+T549*F549-U549*G549)</f>
        <v/>
      </c>
      <c r="Y549" s="195">
        <f>IF(B549="","",T549*G549+U549*F549)</f>
        <v/>
      </c>
      <c r="Z549" s="195">
        <f>IF(B549="","",'入力・概要'!$E$9*(V549*X549+W549*Y549)/(X549^2+Y549^2)+'入力・概要'!$B$36)</f>
        <v/>
      </c>
      <c r="AA549" s="195">
        <f>IF(B549="","",'入力・概要'!$E$9*(W549*X549-V549*Y549)/(X549^2+Y549^2)+C549*'入力・概要'!$B$37*1E-9)</f>
        <v/>
      </c>
      <c r="AB549" s="195">
        <f>IF(B549="","",SQRT(Z549^2+AA549^2))</f>
        <v/>
      </c>
      <c r="AC549" s="195">
        <f>IF(B549="","",IF(Z549&gt;0,DEGREES(ATAN(AA549/Z549)),IF(Z549&lt;0,IF(AA549&gt;=0,DEGREES(ATAN(AA549/Z549))+180,DEGREES(ATAN(AA549/Z549))-180),IF(AA549&gt;0,90,IF(AA549&lt;0,-90,0)))))</f>
        <v/>
      </c>
      <c r="AD549" s="195">
        <f>IF(B549="","",LOG10(B549))</f>
        <v/>
      </c>
      <c r="AE549" s="195">
        <f>IF(AB549="","",LOG10(MAX(AB549,1E-12)))</f>
        <v/>
      </c>
      <c r="AF549" s="195">
        <f>IF(B549="","",SQRT(P549^2+Q549^2))</f>
        <v/>
      </c>
      <c r="AG549" s="195">
        <f>IF(B549="","",SQRT(R549^2+S549^2))</f>
        <v/>
      </c>
    </row>
    <row r="550">
      <c r="A550" t="n">
        <v>547</v>
      </c>
      <c r="B550" s="196">
        <f>IF(A550&lt;='入力・概要'!$B$40,10^(LOG10('入力・概要'!$B$38)+(A550-1)*(LOG10('入力・概要'!$B$39)-LOG10('入力・概要'!$B$38))/('入力・概要'!$B$40-1)),"")</f>
        <v/>
      </c>
      <c r="C550" s="195">
        <f>IF(B550="","",2*PI()*B550)</f>
        <v/>
      </c>
      <c r="D550" s="195">
        <f>IF(B550="","",ATANH(MIN(0.999999,'入力・概要'!$E$20/'入力・概要'!$E$9))+'入力・概要'!$B$20*SQRT(B550/1E6)+E550*'入力・概要'!$B$15/2)</f>
        <v/>
      </c>
      <c r="E550" s="195">
        <f>IF(B550="","",C550*('入力・概要'!$E$11*1E-9))</f>
        <v/>
      </c>
      <c r="F550" s="195">
        <f>IF(B550="","",SINH(2*D550)/(COSH(2*D550)+COS(2*E550)))</f>
        <v/>
      </c>
      <c r="G550" s="195">
        <f>IF(B550="","",SIN(2*E550)/(COSH(2*D550)+COS(2*E550)))</f>
        <v/>
      </c>
      <c r="H550" s="195">
        <f>IF(B550="","",ATANH(MIN(0.999999,'入力・概要'!$E$21/'入力・概要'!$E$15))+'入力・概要'!$B$21*SQRT(B550/1E6)+I550*'入力・概要'!$B$16/2)</f>
        <v/>
      </c>
      <c r="I550" s="195">
        <f>IF(B550="","",C550*('入力・概要'!$E$17*1E-9))</f>
        <v/>
      </c>
      <c r="J550" s="195">
        <f>IF(B550="","",SINH(2*H550)/(COSH(2*H550)+COS(2*I550)))</f>
        <v/>
      </c>
      <c r="K550" s="195">
        <f>IF(B550="","",SIN(2*I550)/(COSH(2*H550)+COS(2*I550)))</f>
        <v/>
      </c>
      <c r="L550" s="195">
        <f>IF(B550="","",'入力・概要'!$B$25)</f>
        <v/>
      </c>
      <c r="M550" s="195">
        <f>IF(B550="","",C550*'入力・概要'!$B$26*1E-9-1/(C550*'入力・概要'!$B$24*1E-6))</f>
        <v/>
      </c>
      <c r="N550" s="195">
        <f>IF(B550="","",'入力・概要'!$B$28)</f>
        <v/>
      </c>
      <c r="O550" s="195">
        <f>IF(B550="","",C550*'入力・概要'!$B$29*1E-9-1/(C550*'入力・概要'!$B$27*1E-6))</f>
        <v/>
      </c>
      <c r="P550" s="195">
        <f>IF(B550="","",((L550*N550-M550*O550)*(L550+N550)+(L550*O550+M550*N550)*(M550+O550))/((L550+N550)^2+(M550+O550)^2))</f>
        <v/>
      </c>
      <c r="Q550" s="195">
        <f>IF(B550="","",((L550*O550+M550*N550)*(L550+N550)-(L550*N550-M550*O550)*(M550+O550))/((L550+N550)^2+(M550+O550)^2))</f>
        <v/>
      </c>
      <c r="R550" s="195">
        <f>IF(B550="","",'入力・概要'!$E$15*J550)</f>
        <v/>
      </c>
      <c r="S550" s="195">
        <f>IF(B550="","",'入力・概要'!$E$15*K550)</f>
        <v/>
      </c>
      <c r="T550" s="195">
        <f>IF(B550="","",P550+R550)</f>
        <v/>
      </c>
      <c r="U550" s="195">
        <f>IF(B550="","",Q550+S550)</f>
        <v/>
      </c>
      <c r="V550" s="195">
        <f>IF(B550="","",T550+'入力・概要'!$E$9*F550)</f>
        <v/>
      </c>
      <c r="W550" s="195">
        <f>IF(B550="","",U550+'入力・概要'!$E$9*G550)</f>
        <v/>
      </c>
      <c r="X550" s="195">
        <f>IF(B550="","",'入力・概要'!$E$9+T550*F550-U550*G550)</f>
        <v/>
      </c>
      <c r="Y550" s="195">
        <f>IF(B550="","",T550*G550+U550*F550)</f>
        <v/>
      </c>
      <c r="Z550" s="195">
        <f>IF(B550="","",'入力・概要'!$E$9*(V550*X550+W550*Y550)/(X550^2+Y550^2)+'入力・概要'!$B$36)</f>
        <v/>
      </c>
      <c r="AA550" s="195">
        <f>IF(B550="","",'入力・概要'!$E$9*(W550*X550-V550*Y550)/(X550^2+Y550^2)+C550*'入力・概要'!$B$37*1E-9)</f>
        <v/>
      </c>
      <c r="AB550" s="195">
        <f>IF(B550="","",SQRT(Z550^2+AA550^2))</f>
        <v/>
      </c>
      <c r="AC550" s="195">
        <f>IF(B550="","",IF(Z550&gt;0,DEGREES(ATAN(AA550/Z550)),IF(Z550&lt;0,IF(AA550&gt;=0,DEGREES(ATAN(AA550/Z550))+180,DEGREES(ATAN(AA550/Z550))-180),IF(AA550&gt;0,90,IF(AA550&lt;0,-90,0)))))</f>
        <v/>
      </c>
      <c r="AD550" s="195">
        <f>IF(B550="","",LOG10(B550))</f>
        <v/>
      </c>
      <c r="AE550" s="195">
        <f>IF(AB550="","",LOG10(MAX(AB550,1E-12)))</f>
        <v/>
      </c>
      <c r="AF550" s="195">
        <f>IF(B550="","",SQRT(P550^2+Q550^2))</f>
        <v/>
      </c>
      <c r="AG550" s="195">
        <f>IF(B550="","",SQRT(R550^2+S550^2))</f>
        <v/>
      </c>
    </row>
    <row r="551">
      <c r="A551" t="n">
        <v>548</v>
      </c>
      <c r="B551" s="196">
        <f>IF(A551&lt;='入力・概要'!$B$40,10^(LOG10('入力・概要'!$B$38)+(A551-1)*(LOG10('入力・概要'!$B$39)-LOG10('入力・概要'!$B$38))/('入力・概要'!$B$40-1)),"")</f>
        <v/>
      </c>
      <c r="C551" s="195">
        <f>IF(B551="","",2*PI()*B551)</f>
        <v/>
      </c>
      <c r="D551" s="195">
        <f>IF(B551="","",ATANH(MIN(0.999999,'入力・概要'!$E$20/'入力・概要'!$E$9))+'入力・概要'!$B$20*SQRT(B551/1E6)+E551*'入力・概要'!$B$15/2)</f>
        <v/>
      </c>
      <c r="E551" s="195">
        <f>IF(B551="","",C551*('入力・概要'!$E$11*1E-9))</f>
        <v/>
      </c>
      <c r="F551" s="195">
        <f>IF(B551="","",SINH(2*D551)/(COSH(2*D551)+COS(2*E551)))</f>
        <v/>
      </c>
      <c r="G551" s="195">
        <f>IF(B551="","",SIN(2*E551)/(COSH(2*D551)+COS(2*E551)))</f>
        <v/>
      </c>
      <c r="H551" s="195">
        <f>IF(B551="","",ATANH(MIN(0.999999,'入力・概要'!$E$21/'入力・概要'!$E$15))+'入力・概要'!$B$21*SQRT(B551/1E6)+I551*'入力・概要'!$B$16/2)</f>
        <v/>
      </c>
      <c r="I551" s="195">
        <f>IF(B551="","",C551*('入力・概要'!$E$17*1E-9))</f>
        <v/>
      </c>
      <c r="J551" s="195">
        <f>IF(B551="","",SINH(2*H551)/(COSH(2*H551)+COS(2*I551)))</f>
        <v/>
      </c>
      <c r="K551" s="195">
        <f>IF(B551="","",SIN(2*I551)/(COSH(2*H551)+COS(2*I551)))</f>
        <v/>
      </c>
      <c r="L551" s="195">
        <f>IF(B551="","",'入力・概要'!$B$25)</f>
        <v/>
      </c>
      <c r="M551" s="195">
        <f>IF(B551="","",C551*'入力・概要'!$B$26*1E-9-1/(C551*'入力・概要'!$B$24*1E-6))</f>
        <v/>
      </c>
      <c r="N551" s="195">
        <f>IF(B551="","",'入力・概要'!$B$28)</f>
        <v/>
      </c>
      <c r="O551" s="195">
        <f>IF(B551="","",C551*'入力・概要'!$B$29*1E-9-1/(C551*'入力・概要'!$B$27*1E-6))</f>
        <v/>
      </c>
      <c r="P551" s="195">
        <f>IF(B551="","",((L551*N551-M551*O551)*(L551+N551)+(L551*O551+M551*N551)*(M551+O551))/((L551+N551)^2+(M551+O551)^2))</f>
        <v/>
      </c>
      <c r="Q551" s="195">
        <f>IF(B551="","",((L551*O551+M551*N551)*(L551+N551)-(L551*N551-M551*O551)*(M551+O551))/((L551+N551)^2+(M551+O551)^2))</f>
        <v/>
      </c>
      <c r="R551" s="195">
        <f>IF(B551="","",'入力・概要'!$E$15*J551)</f>
        <v/>
      </c>
      <c r="S551" s="195">
        <f>IF(B551="","",'入力・概要'!$E$15*K551)</f>
        <v/>
      </c>
      <c r="T551" s="195">
        <f>IF(B551="","",P551+R551)</f>
        <v/>
      </c>
      <c r="U551" s="195">
        <f>IF(B551="","",Q551+S551)</f>
        <v/>
      </c>
      <c r="V551" s="195">
        <f>IF(B551="","",T551+'入力・概要'!$E$9*F551)</f>
        <v/>
      </c>
      <c r="W551" s="195">
        <f>IF(B551="","",U551+'入力・概要'!$E$9*G551)</f>
        <v/>
      </c>
      <c r="X551" s="195">
        <f>IF(B551="","",'入力・概要'!$E$9+T551*F551-U551*G551)</f>
        <v/>
      </c>
      <c r="Y551" s="195">
        <f>IF(B551="","",T551*G551+U551*F551)</f>
        <v/>
      </c>
      <c r="Z551" s="195">
        <f>IF(B551="","",'入力・概要'!$E$9*(V551*X551+W551*Y551)/(X551^2+Y551^2)+'入力・概要'!$B$36)</f>
        <v/>
      </c>
      <c r="AA551" s="195">
        <f>IF(B551="","",'入力・概要'!$E$9*(W551*X551-V551*Y551)/(X551^2+Y551^2)+C551*'入力・概要'!$B$37*1E-9)</f>
        <v/>
      </c>
      <c r="AB551" s="195">
        <f>IF(B551="","",SQRT(Z551^2+AA551^2))</f>
        <v/>
      </c>
      <c r="AC551" s="195">
        <f>IF(B551="","",IF(Z551&gt;0,DEGREES(ATAN(AA551/Z551)),IF(Z551&lt;0,IF(AA551&gt;=0,DEGREES(ATAN(AA551/Z551))+180,DEGREES(ATAN(AA551/Z551))-180),IF(AA551&gt;0,90,IF(AA551&lt;0,-90,0)))))</f>
        <v/>
      </c>
      <c r="AD551" s="195">
        <f>IF(B551="","",LOG10(B551))</f>
        <v/>
      </c>
      <c r="AE551" s="195">
        <f>IF(AB551="","",LOG10(MAX(AB551,1E-12)))</f>
        <v/>
      </c>
      <c r="AF551" s="195">
        <f>IF(B551="","",SQRT(P551^2+Q551^2))</f>
        <v/>
      </c>
      <c r="AG551" s="195">
        <f>IF(B551="","",SQRT(R551^2+S551^2))</f>
        <v/>
      </c>
    </row>
    <row r="552">
      <c r="A552" t="n">
        <v>549</v>
      </c>
      <c r="B552" s="196">
        <f>IF(A552&lt;='入力・概要'!$B$40,10^(LOG10('入力・概要'!$B$38)+(A552-1)*(LOG10('入力・概要'!$B$39)-LOG10('入力・概要'!$B$38))/('入力・概要'!$B$40-1)),"")</f>
        <v/>
      </c>
      <c r="C552" s="195">
        <f>IF(B552="","",2*PI()*B552)</f>
        <v/>
      </c>
      <c r="D552" s="195">
        <f>IF(B552="","",ATANH(MIN(0.999999,'入力・概要'!$E$20/'入力・概要'!$E$9))+'入力・概要'!$B$20*SQRT(B552/1E6)+E552*'入力・概要'!$B$15/2)</f>
        <v/>
      </c>
      <c r="E552" s="195">
        <f>IF(B552="","",C552*('入力・概要'!$E$11*1E-9))</f>
        <v/>
      </c>
      <c r="F552" s="195">
        <f>IF(B552="","",SINH(2*D552)/(COSH(2*D552)+COS(2*E552)))</f>
        <v/>
      </c>
      <c r="G552" s="195">
        <f>IF(B552="","",SIN(2*E552)/(COSH(2*D552)+COS(2*E552)))</f>
        <v/>
      </c>
      <c r="H552" s="195">
        <f>IF(B552="","",ATANH(MIN(0.999999,'入力・概要'!$E$21/'入力・概要'!$E$15))+'入力・概要'!$B$21*SQRT(B552/1E6)+I552*'入力・概要'!$B$16/2)</f>
        <v/>
      </c>
      <c r="I552" s="195">
        <f>IF(B552="","",C552*('入力・概要'!$E$17*1E-9))</f>
        <v/>
      </c>
      <c r="J552" s="195">
        <f>IF(B552="","",SINH(2*H552)/(COSH(2*H552)+COS(2*I552)))</f>
        <v/>
      </c>
      <c r="K552" s="195">
        <f>IF(B552="","",SIN(2*I552)/(COSH(2*H552)+COS(2*I552)))</f>
        <v/>
      </c>
      <c r="L552" s="195">
        <f>IF(B552="","",'入力・概要'!$B$25)</f>
        <v/>
      </c>
      <c r="M552" s="195">
        <f>IF(B552="","",C552*'入力・概要'!$B$26*1E-9-1/(C552*'入力・概要'!$B$24*1E-6))</f>
        <v/>
      </c>
      <c r="N552" s="195">
        <f>IF(B552="","",'入力・概要'!$B$28)</f>
        <v/>
      </c>
      <c r="O552" s="195">
        <f>IF(B552="","",C552*'入力・概要'!$B$29*1E-9-1/(C552*'入力・概要'!$B$27*1E-6))</f>
        <v/>
      </c>
      <c r="P552" s="195">
        <f>IF(B552="","",((L552*N552-M552*O552)*(L552+N552)+(L552*O552+M552*N552)*(M552+O552))/((L552+N552)^2+(M552+O552)^2))</f>
        <v/>
      </c>
      <c r="Q552" s="195">
        <f>IF(B552="","",((L552*O552+M552*N552)*(L552+N552)-(L552*N552-M552*O552)*(M552+O552))/((L552+N552)^2+(M552+O552)^2))</f>
        <v/>
      </c>
      <c r="R552" s="195">
        <f>IF(B552="","",'入力・概要'!$E$15*J552)</f>
        <v/>
      </c>
      <c r="S552" s="195">
        <f>IF(B552="","",'入力・概要'!$E$15*K552)</f>
        <v/>
      </c>
      <c r="T552" s="195">
        <f>IF(B552="","",P552+R552)</f>
        <v/>
      </c>
      <c r="U552" s="195">
        <f>IF(B552="","",Q552+S552)</f>
        <v/>
      </c>
      <c r="V552" s="195">
        <f>IF(B552="","",T552+'入力・概要'!$E$9*F552)</f>
        <v/>
      </c>
      <c r="W552" s="195">
        <f>IF(B552="","",U552+'入力・概要'!$E$9*G552)</f>
        <v/>
      </c>
      <c r="X552" s="195">
        <f>IF(B552="","",'入力・概要'!$E$9+T552*F552-U552*G552)</f>
        <v/>
      </c>
      <c r="Y552" s="195">
        <f>IF(B552="","",T552*G552+U552*F552)</f>
        <v/>
      </c>
      <c r="Z552" s="195">
        <f>IF(B552="","",'入力・概要'!$E$9*(V552*X552+W552*Y552)/(X552^2+Y552^2)+'入力・概要'!$B$36)</f>
        <v/>
      </c>
      <c r="AA552" s="195">
        <f>IF(B552="","",'入力・概要'!$E$9*(W552*X552-V552*Y552)/(X552^2+Y552^2)+C552*'入力・概要'!$B$37*1E-9)</f>
        <v/>
      </c>
      <c r="AB552" s="195">
        <f>IF(B552="","",SQRT(Z552^2+AA552^2))</f>
        <v/>
      </c>
      <c r="AC552" s="195">
        <f>IF(B552="","",IF(Z552&gt;0,DEGREES(ATAN(AA552/Z552)),IF(Z552&lt;0,IF(AA552&gt;=0,DEGREES(ATAN(AA552/Z552))+180,DEGREES(ATAN(AA552/Z552))-180),IF(AA552&gt;0,90,IF(AA552&lt;0,-90,0)))))</f>
        <v/>
      </c>
      <c r="AD552" s="195">
        <f>IF(B552="","",LOG10(B552))</f>
        <v/>
      </c>
      <c r="AE552" s="195">
        <f>IF(AB552="","",LOG10(MAX(AB552,1E-12)))</f>
        <v/>
      </c>
      <c r="AF552" s="195">
        <f>IF(B552="","",SQRT(P552^2+Q552^2))</f>
        <v/>
      </c>
      <c r="AG552" s="195">
        <f>IF(B552="","",SQRT(R552^2+S552^2))</f>
        <v/>
      </c>
    </row>
    <row r="553">
      <c r="A553" t="n">
        <v>550</v>
      </c>
      <c r="B553" s="196">
        <f>IF(A553&lt;='入力・概要'!$B$40,10^(LOG10('入力・概要'!$B$38)+(A553-1)*(LOG10('入力・概要'!$B$39)-LOG10('入力・概要'!$B$38))/('入力・概要'!$B$40-1)),"")</f>
        <v/>
      </c>
      <c r="C553" s="195">
        <f>IF(B553="","",2*PI()*B553)</f>
        <v/>
      </c>
      <c r="D553" s="195">
        <f>IF(B553="","",ATANH(MIN(0.999999,'入力・概要'!$E$20/'入力・概要'!$E$9))+'入力・概要'!$B$20*SQRT(B553/1E6)+E553*'入力・概要'!$B$15/2)</f>
        <v/>
      </c>
      <c r="E553" s="195">
        <f>IF(B553="","",C553*('入力・概要'!$E$11*1E-9))</f>
        <v/>
      </c>
      <c r="F553" s="195">
        <f>IF(B553="","",SINH(2*D553)/(COSH(2*D553)+COS(2*E553)))</f>
        <v/>
      </c>
      <c r="G553" s="195">
        <f>IF(B553="","",SIN(2*E553)/(COSH(2*D553)+COS(2*E553)))</f>
        <v/>
      </c>
      <c r="H553" s="195">
        <f>IF(B553="","",ATANH(MIN(0.999999,'入力・概要'!$E$21/'入力・概要'!$E$15))+'入力・概要'!$B$21*SQRT(B553/1E6)+I553*'入力・概要'!$B$16/2)</f>
        <v/>
      </c>
      <c r="I553" s="195">
        <f>IF(B553="","",C553*('入力・概要'!$E$17*1E-9))</f>
        <v/>
      </c>
      <c r="J553" s="195">
        <f>IF(B553="","",SINH(2*H553)/(COSH(2*H553)+COS(2*I553)))</f>
        <v/>
      </c>
      <c r="K553" s="195">
        <f>IF(B553="","",SIN(2*I553)/(COSH(2*H553)+COS(2*I553)))</f>
        <v/>
      </c>
      <c r="L553" s="195">
        <f>IF(B553="","",'入力・概要'!$B$25)</f>
        <v/>
      </c>
      <c r="M553" s="195">
        <f>IF(B553="","",C553*'入力・概要'!$B$26*1E-9-1/(C553*'入力・概要'!$B$24*1E-6))</f>
        <v/>
      </c>
      <c r="N553" s="195">
        <f>IF(B553="","",'入力・概要'!$B$28)</f>
        <v/>
      </c>
      <c r="O553" s="195">
        <f>IF(B553="","",C553*'入力・概要'!$B$29*1E-9-1/(C553*'入力・概要'!$B$27*1E-6))</f>
        <v/>
      </c>
      <c r="P553" s="195">
        <f>IF(B553="","",((L553*N553-M553*O553)*(L553+N553)+(L553*O553+M553*N553)*(M553+O553))/((L553+N553)^2+(M553+O553)^2))</f>
        <v/>
      </c>
      <c r="Q553" s="195">
        <f>IF(B553="","",((L553*O553+M553*N553)*(L553+N553)-(L553*N553-M553*O553)*(M553+O553))/((L553+N553)^2+(M553+O553)^2))</f>
        <v/>
      </c>
      <c r="R553" s="195">
        <f>IF(B553="","",'入力・概要'!$E$15*J553)</f>
        <v/>
      </c>
      <c r="S553" s="195">
        <f>IF(B553="","",'入力・概要'!$E$15*K553)</f>
        <v/>
      </c>
      <c r="T553" s="195">
        <f>IF(B553="","",P553+R553)</f>
        <v/>
      </c>
      <c r="U553" s="195">
        <f>IF(B553="","",Q553+S553)</f>
        <v/>
      </c>
      <c r="V553" s="195">
        <f>IF(B553="","",T553+'入力・概要'!$E$9*F553)</f>
        <v/>
      </c>
      <c r="W553" s="195">
        <f>IF(B553="","",U553+'入力・概要'!$E$9*G553)</f>
        <v/>
      </c>
      <c r="X553" s="195">
        <f>IF(B553="","",'入力・概要'!$E$9+T553*F553-U553*G553)</f>
        <v/>
      </c>
      <c r="Y553" s="195">
        <f>IF(B553="","",T553*G553+U553*F553)</f>
        <v/>
      </c>
      <c r="Z553" s="195">
        <f>IF(B553="","",'入力・概要'!$E$9*(V553*X553+W553*Y553)/(X553^2+Y553^2)+'入力・概要'!$B$36)</f>
        <v/>
      </c>
      <c r="AA553" s="195">
        <f>IF(B553="","",'入力・概要'!$E$9*(W553*X553-V553*Y553)/(X553^2+Y553^2)+C553*'入力・概要'!$B$37*1E-9)</f>
        <v/>
      </c>
      <c r="AB553" s="195">
        <f>IF(B553="","",SQRT(Z553^2+AA553^2))</f>
        <v/>
      </c>
      <c r="AC553" s="195">
        <f>IF(B553="","",IF(Z553&gt;0,DEGREES(ATAN(AA553/Z553)),IF(Z553&lt;0,IF(AA553&gt;=0,DEGREES(ATAN(AA553/Z553))+180,DEGREES(ATAN(AA553/Z553))-180),IF(AA553&gt;0,90,IF(AA553&lt;0,-90,0)))))</f>
        <v/>
      </c>
      <c r="AD553" s="195">
        <f>IF(B553="","",LOG10(B553))</f>
        <v/>
      </c>
      <c r="AE553" s="195">
        <f>IF(AB553="","",LOG10(MAX(AB553,1E-12)))</f>
        <v/>
      </c>
      <c r="AF553" s="195">
        <f>IF(B553="","",SQRT(P553^2+Q553^2))</f>
        <v/>
      </c>
      <c r="AG553" s="195">
        <f>IF(B553="","",SQRT(R553^2+S553^2))</f>
        <v/>
      </c>
    </row>
    <row r="554">
      <c r="A554" t="n">
        <v>551</v>
      </c>
      <c r="B554" s="196">
        <f>IF(A554&lt;='入力・概要'!$B$40,10^(LOG10('入力・概要'!$B$38)+(A554-1)*(LOG10('入力・概要'!$B$39)-LOG10('入力・概要'!$B$38))/('入力・概要'!$B$40-1)),"")</f>
        <v/>
      </c>
      <c r="C554" s="195">
        <f>IF(B554="","",2*PI()*B554)</f>
        <v/>
      </c>
      <c r="D554" s="195">
        <f>IF(B554="","",ATANH(MIN(0.999999,'入力・概要'!$E$20/'入力・概要'!$E$9))+'入力・概要'!$B$20*SQRT(B554/1E6)+E554*'入力・概要'!$B$15/2)</f>
        <v/>
      </c>
      <c r="E554" s="195">
        <f>IF(B554="","",C554*('入力・概要'!$E$11*1E-9))</f>
        <v/>
      </c>
      <c r="F554" s="195">
        <f>IF(B554="","",SINH(2*D554)/(COSH(2*D554)+COS(2*E554)))</f>
        <v/>
      </c>
      <c r="G554" s="195">
        <f>IF(B554="","",SIN(2*E554)/(COSH(2*D554)+COS(2*E554)))</f>
        <v/>
      </c>
      <c r="H554" s="195">
        <f>IF(B554="","",ATANH(MIN(0.999999,'入力・概要'!$E$21/'入力・概要'!$E$15))+'入力・概要'!$B$21*SQRT(B554/1E6)+I554*'入力・概要'!$B$16/2)</f>
        <v/>
      </c>
      <c r="I554" s="195">
        <f>IF(B554="","",C554*('入力・概要'!$E$17*1E-9))</f>
        <v/>
      </c>
      <c r="J554" s="195">
        <f>IF(B554="","",SINH(2*H554)/(COSH(2*H554)+COS(2*I554)))</f>
        <v/>
      </c>
      <c r="K554" s="195">
        <f>IF(B554="","",SIN(2*I554)/(COSH(2*H554)+COS(2*I554)))</f>
        <v/>
      </c>
      <c r="L554" s="195">
        <f>IF(B554="","",'入力・概要'!$B$25)</f>
        <v/>
      </c>
      <c r="M554" s="195">
        <f>IF(B554="","",C554*'入力・概要'!$B$26*1E-9-1/(C554*'入力・概要'!$B$24*1E-6))</f>
        <v/>
      </c>
      <c r="N554" s="195">
        <f>IF(B554="","",'入力・概要'!$B$28)</f>
        <v/>
      </c>
      <c r="O554" s="195">
        <f>IF(B554="","",C554*'入力・概要'!$B$29*1E-9-1/(C554*'入力・概要'!$B$27*1E-6))</f>
        <v/>
      </c>
      <c r="P554" s="195">
        <f>IF(B554="","",((L554*N554-M554*O554)*(L554+N554)+(L554*O554+M554*N554)*(M554+O554))/((L554+N554)^2+(M554+O554)^2))</f>
        <v/>
      </c>
      <c r="Q554" s="195">
        <f>IF(B554="","",((L554*O554+M554*N554)*(L554+N554)-(L554*N554-M554*O554)*(M554+O554))/((L554+N554)^2+(M554+O554)^2))</f>
        <v/>
      </c>
      <c r="R554" s="195">
        <f>IF(B554="","",'入力・概要'!$E$15*J554)</f>
        <v/>
      </c>
      <c r="S554" s="195">
        <f>IF(B554="","",'入力・概要'!$E$15*K554)</f>
        <v/>
      </c>
      <c r="T554" s="195">
        <f>IF(B554="","",P554+R554)</f>
        <v/>
      </c>
      <c r="U554" s="195">
        <f>IF(B554="","",Q554+S554)</f>
        <v/>
      </c>
      <c r="V554" s="195">
        <f>IF(B554="","",T554+'入力・概要'!$E$9*F554)</f>
        <v/>
      </c>
      <c r="W554" s="195">
        <f>IF(B554="","",U554+'入力・概要'!$E$9*G554)</f>
        <v/>
      </c>
      <c r="X554" s="195">
        <f>IF(B554="","",'入力・概要'!$E$9+T554*F554-U554*G554)</f>
        <v/>
      </c>
      <c r="Y554" s="195">
        <f>IF(B554="","",T554*G554+U554*F554)</f>
        <v/>
      </c>
      <c r="Z554" s="195">
        <f>IF(B554="","",'入力・概要'!$E$9*(V554*X554+W554*Y554)/(X554^2+Y554^2)+'入力・概要'!$B$36)</f>
        <v/>
      </c>
      <c r="AA554" s="195">
        <f>IF(B554="","",'入力・概要'!$E$9*(W554*X554-V554*Y554)/(X554^2+Y554^2)+C554*'入力・概要'!$B$37*1E-9)</f>
        <v/>
      </c>
      <c r="AB554" s="195">
        <f>IF(B554="","",SQRT(Z554^2+AA554^2))</f>
        <v/>
      </c>
      <c r="AC554" s="195">
        <f>IF(B554="","",IF(Z554&gt;0,DEGREES(ATAN(AA554/Z554)),IF(Z554&lt;0,IF(AA554&gt;=0,DEGREES(ATAN(AA554/Z554))+180,DEGREES(ATAN(AA554/Z554))-180),IF(AA554&gt;0,90,IF(AA554&lt;0,-90,0)))))</f>
        <v/>
      </c>
      <c r="AD554" s="195">
        <f>IF(B554="","",LOG10(B554))</f>
        <v/>
      </c>
      <c r="AE554" s="195">
        <f>IF(AB554="","",LOG10(MAX(AB554,1E-12)))</f>
        <v/>
      </c>
      <c r="AF554" s="195">
        <f>IF(B554="","",SQRT(P554^2+Q554^2))</f>
        <v/>
      </c>
      <c r="AG554" s="195">
        <f>IF(B554="","",SQRT(R554^2+S554^2))</f>
        <v/>
      </c>
    </row>
    <row r="555">
      <c r="A555" t="n">
        <v>552</v>
      </c>
      <c r="B555" s="196">
        <f>IF(A555&lt;='入力・概要'!$B$40,10^(LOG10('入力・概要'!$B$38)+(A555-1)*(LOG10('入力・概要'!$B$39)-LOG10('入力・概要'!$B$38))/('入力・概要'!$B$40-1)),"")</f>
        <v/>
      </c>
      <c r="C555" s="195">
        <f>IF(B555="","",2*PI()*B555)</f>
        <v/>
      </c>
      <c r="D555" s="195">
        <f>IF(B555="","",ATANH(MIN(0.999999,'入力・概要'!$E$20/'入力・概要'!$E$9))+'入力・概要'!$B$20*SQRT(B555/1E6)+E555*'入力・概要'!$B$15/2)</f>
        <v/>
      </c>
      <c r="E555" s="195">
        <f>IF(B555="","",C555*('入力・概要'!$E$11*1E-9))</f>
        <v/>
      </c>
      <c r="F555" s="195">
        <f>IF(B555="","",SINH(2*D555)/(COSH(2*D555)+COS(2*E555)))</f>
        <v/>
      </c>
      <c r="G555" s="195">
        <f>IF(B555="","",SIN(2*E555)/(COSH(2*D555)+COS(2*E555)))</f>
        <v/>
      </c>
      <c r="H555" s="195">
        <f>IF(B555="","",ATANH(MIN(0.999999,'入力・概要'!$E$21/'入力・概要'!$E$15))+'入力・概要'!$B$21*SQRT(B555/1E6)+I555*'入力・概要'!$B$16/2)</f>
        <v/>
      </c>
      <c r="I555" s="195">
        <f>IF(B555="","",C555*('入力・概要'!$E$17*1E-9))</f>
        <v/>
      </c>
      <c r="J555" s="195">
        <f>IF(B555="","",SINH(2*H555)/(COSH(2*H555)+COS(2*I555)))</f>
        <v/>
      </c>
      <c r="K555" s="195">
        <f>IF(B555="","",SIN(2*I555)/(COSH(2*H555)+COS(2*I555)))</f>
        <v/>
      </c>
      <c r="L555" s="195">
        <f>IF(B555="","",'入力・概要'!$B$25)</f>
        <v/>
      </c>
      <c r="M555" s="195">
        <f>IF(B555="","",C555*'入力・概要'!$B$26*1E-9-1/(C555*'入力・概要'!$B$24*1E-6))</f>
        <v/>
      </c>
      <c r="N555" s="195">
        <f>IF(B555="","",'入力・概要'!$B$28)</f>
        <v/>
      </c>
      <c r="O555" s="195">
        <f>IF(B555="","",C555*'入力・概要'!$B$29*1E-9-1/(C555*'入力・概要'!$B$27*1E-6))</f>
        <v/>
      </c>
      <c r="P555" s="195">
        <f>IF(B555="","",((L555*N555-M555*O555)*(L555+N555)+(L555*O555+M555*N555)*(M555+O555))/((L555+N555)^2+(M555+O555)^2))</f>
        <v/>
      </c>
      <c r="Q555" s="195">
        <f>IF(B555="","",((L555*O555+M555*N555)*(L555+N555)-(L555*N555-M555*O555)*(M555+O555))/((L555+N555)^2+(M555+O555)^2))</f>
        <v/>
      </c>
      <c r="R555" s="195">
        <f>IF(B555="","",'入力・概要'!$E$15*J555)</f>
        <v/>
      </c>
      <c r="S555" s="195">
        <f>IF(B555="","",'入力・概要'!$E$15*K555)</f>
        <v/>
      </c>
      <c r="T555" s="195">
        <f>IF(B555="","",P555+R555)</f>
        <v/>
      </c>
      <c r="U555" s="195">
        <f>IF(B555="","",Q555+S555)</f>
        <v/>
      </c>
      <c r="V555" s="195">
        <f>IF(B555="","",T555+'入力・概要'!$E$9*F555)</f>
        <v/>
      </c>
      <c r="W555" s="195">
        <f>IF(B555="","",U555+'入力・概要'!$E$9*G555)</f>
        <v/>
      </c>
      <c r="X555" s="195">
        <f>IF(B555="","",'入力・概要'!$E$9+T555*F555-U555*G555)</f>
        <v/>
      </c>
      <c r="Y555" s="195">
        <f>IF(B555="","",T555*G555+U555*F555)</f>
        <v/>
      </c>
      <c r="Z555" s="195">
        <f>IF(B555="","",'入力・概要'!$E$9*(V555*X555+W555*Y555)/(X555^2+Y555^2)+'入力・概要'!$B$36)</f>
        <v/>
      </c>
      <c r="AA555" s="195">
        <f>IF(B555="","",'入力・概要'!$E$9*(W555*X555-V555*Y555)/(X555^2+Y555^2)+C555*'入力・概要'!$B$37*1E-9)</f>
        <v/>
      </c>
      <c r="AB555" s="195">
        <f>IF(B555="","",SQRT(Z555^2+AA555^2))</f>
        <v/>
      </c>
      <c r="AC555" s="195">
        <f>IF(B555="","",IF(Z555&gt;0,DEGREES(ATAN(AA555/Z555)),IF(Z555&lt;0,IF(AA555&gt;=0,DEGREES(ATAN(AA555/Z555))+180,DEGREES(ATAN(AA555/Z555))-180),IF(AA555&gt;0,90,IF(AA555&lt;0,-90,0)))))</f>
        <v/>
      </c>
      <c r="AD555" s="195">
        <f>IF(B555="","",LOG10(B555))</f>
        <v/>
      </c>
      <c r="AE555" s="195">
        <f>IF(AB555="","",LOG10(MAX(AB555,1E-12)))</f>
        <v/>
      </c>
      <c r="AF555" s="195">
        <f>IF(B555="","",SQRT(P555^2+Q555^2))</f>
        <v/>
      </c>
      <c r="AG555" s="195">
        <f>IF(B555="","",SQRT(R555^2+S555^2))</f>
        <v/>
      </c>
    </row>
    <row r="556">
      <c r="A556" t="n">
        <v>553</v>
      </c>
      <c r="B556" s="196">
        <f>IF(A556&lt;='入力・概要'!$B$40,10^(LOG10('入力・概要'!$B$38)+(A556-1)*(LOG10('入力・概要'!$B$39)-LOG10('入力・概要'!$B$38))/('入力・概要'!$B$40-1)),"")</f>
        <v/>
      </c>
      <c r="C556" s="195">
        <f>IF(B556="","",2*PI()*B556)</f>
        <v/>
      </c>
      <c r="D556" s="195">
        <f>IF(B556="","",ATANH(MIN(0.999999,'入力・概要'!$E$20/'入力・概要'!$E$9))+'入力・概要'!$B$20*SQRT(B556/1E6)+E556*'入力・概要'!$B$15/2)</f>
        <v/>
      </c>
      <c r="E556" s="195">
        <f>IF(B556="","",C556*('入力・概要'!$E$11*1E-9))</f>
        <v/>
      </c>
      <c r="F556" s="195">
        <f>IF(B556="","",SINH(2*D556)/(COSH(2*D556)+COS(2*E556)))</f>
        <v/>
      </c>
      <c r="G556" s="195">
        <f>IF(B556="","",SIN(2*E556)/(COSH(2*D556)+COS(2*E556)))</f>
        <v/>
      </c>
      <c r="H556" s="195">
        <f>IF(B556="","",ATANH(MIN(0.999999,'入力・概要'!$E$21/'入力・概要'!$E$15))+'入力・概要'!$B$21*SQRT(B556/1E6)+I556*'入力・概要'!$B$16/2)</f>
        <v/>
      </c>
      <c r="I556" s="195">
        <f>IF(B556="","",C556*('入力・概要'!$E$17*1E-9))</f>
        <v/>
      </c>
      <c r="J556" s="195">
        <f>IF(B556="","",SINH(2*H556)/(COSH(2*H556)+COS(2*I556)))</f>
        <v/>
      </c>
      <c r="K556" s="195">
        <f>IF(B556="","",SIN(2*I556)/(COSH(2*H556)+COS(2*I556)))</f>
        <v/>
      </c>
      <c r="L556" s="195">
        <f>IF(B556="","",'入力・概要'!$B$25)</f>
        <v/>
      </c>
      <c r="M556" s="195">
        <f>IF(B556="","",C556*'入力・概要'!$B$26*1E-9-1/(C556*'入力・概要'!$B$24*1E-6))</f>
        <v/>
      </c>
      <c r="N556" s="195">
        <f>IF(B556="","",'入力・概要'!$B$28)</f>
        <v/>
      </c>
      <c r="O556" s="195">
        <f>IF(B556="","",C556*'入力・概要'!$B$29*1E-9-1/(C556*'入力・概要'!$B$27*1E-6))</f>
        <v/>
      </c>
      <c r="P556" s="195">
        <f>IF(B556="","",((L556*N556-M556*O556)*(L556+N556)+(L556*O556+M556*N556)*(M556+O556))/((L556+N556)^2+(M556+O556)^2))</f>
        <v/>
      </c>
      <c r="Q556" s="195">
        <f>IF(B556="","",((L556*O556+M556*N556)*(L556+N556)-(L556*N556-M556*O556)*(M556+O556))/((L556+N556)^2+(M556+O556)^2))</f>
        <v/>
      </c>
      <c r="R556" s="195">
        <f>IF(B556="","",'入力・概要'!$E$15*J556)</f>
        <v/>
      </c>
      <c r="S556" s="195">
        <f>IF(B556="","",'入力・概要'!$E$15*K556)</f>
        <v/>
      </c>
      <c r="T556" s="195">
        <f>IF(B556="","",P556+R556)</f>
        <v/>
      </c>
      <c r="U556" s="195">
        <f>IF(B556="","",Q556+S556)</f>
        <v/>
      </c>
      <c r="V556" s="195">
        <f>IF(B556="","",T556+'入力・概要'!$E$9*F556)</f>
        <v/>
      </c>
      <c r="W556" s="195">
        <f>IF(B556="","",U556+'入力・概要'!$E$9*G556)</f>
        <v/>
      </c>
      <c r="X556" s="195">
        <f>IF(B556="","",'入力・概要'!$E$9+T556*F556-U556*G556)</f>
        <v/>
      </c>
      <c r="Y556" s="195">
        <f>IF(B556="","",T556*G556+U556*F556)</f>
        <v/>
      </c>
      <c r="Z556" s="195">
        <f>IF(B556="","",'入力・概要'!$E$9*(V556*X556+W556*Y556)/(X556^2+Y556^2)+'入力・概要'!$B$36)</f>
        <v/>
      </c>
      <c r="AA556" s="195">
        <f>IF(B556="","",'入力・概要'!$E$9*(W556*X556-V556*Y556)/(X556^2+Y556^2)+C556*'入力・概要'!$B$37*1E-9)</f>
        <v/>
      </c>
      <c r="AB556" s="195">
        <f>IF(B556="","",SQRT(Z556^2+AA556^2))</f>
        <v/>
      </c>
      <c r="AC556" s="195">
        <f>IF(B556="","",IF(Z556&gt;0,DEGREES(ATAN(AA556/Z556)),IF(Z556&lt;0,IF(AA556&gt;=0,DEGREES(ATAN(AA556/Z556))+180,DEGREES(ATAN(AA556/Z556))-180),IF(AA556&gt;0,90,IF(AA556&lt;0,-90,0)))))</f>
        <v/>
      </c>
      <c r="AD556" s="195">
        <f>IF(B556="","",LOG10(B556))</f>
        <v/>
      </c>
      <c r="AE556" s="195">
        <f>IF(AB556="","",LOG10(MAX(AB556,1E-12)))</f>
        <v/>
      </c>
      <c r="AF556" s="195">
        <f>IF(B556="","",SQRT(P556^2+Q556^2))</f>
        <v/>
      </c>
      <c r="AG556" s="195">
        <f>IF(B556="","",SQRT(R556^2+S556^2))</f>
        <v/>
      </c>
    </row>
    <row r="557">
      <c r="A557" t="n">
        <v>554</v>
      </c>
      <c r="B557" s="196">
        <f>IF(A557&lt;='入力・概要'!$B$40,10^(LOG10('入力・概要'!$B$38)+(A557-1)*(LOG10('入力・概要'!$B$39)-LOG10('入力・概要'!$B$38))/('入力・概要'!$B$40-1)),"")</f>
        <v/>
      </c>
      <c r="C557" s="195">
        <f>IF(B557="","",2*PI()*B557)</f>
        <v/>
      </c>
      <c r="D557" s="195">
        <f>IF(B557="","",ATANH(MIN(0.999999,'入力・概要'!$E$20/'入力・概要'!$E$9))+'入力・概要'!$B$20*SQRT(B557/1E6)+E557*'入力・概要'!$B$15/2)</f>
        <v/>
      </c>
      <c r="E557" s="195">
        <f>IF(B557="","",C557*('入力・概要'!$E$11*1E-9))</f>
        <v/>
      </c>
      <c r="F557" s="195">
        <f>IF(B557="","",SINH(2*D557)/(COSH(2*D557)+COS(2*E557)))</f>
        <v/>
      </c>
      <c r="G557" s="195">
        <f>IF(B557="","",SIN(2*E557)/(COSH(2*D557)+COS(2*E557)))</f>
        <v/>
      </c>
      <c r="H557" s="195">
        <f>IF(B557="","",ATANH(MIN(0.999999,'入力・概要'!$E$21/'入力・概要'!$E$15))+'入力・概要'!$B$21*SQRT(B557/1E6)+I557*'入力・概要'!$B$16/2)</f>
        <v/>
      </c>
      <c r="I557" s="195">
        <f>IF(B557="","",C557*('入力・概要'!$E$17*1E-9))</f>
        <v/>
      </c>
      <c r="J557" s="195">
        <f>IF(B557="","",SINH(2*H557)/(COSH(2*H557)+COS(2*I557)))</f>
        <v/>
      </c>
      <c r="K557" s="195">
        <f>IF(B557="","",SIN(2*I557)/(COSH(2*H557)+COS(2*I557)))</f>
        <v/>
      </c>
      <c r="L557" s="195">
        <f>IF(B557="","",'入力・概要'!$B$25)</f>
        <v/>
      </c>
      <c r="M557" s="195">
        <f>IF(B557="","",C557*'入力・概要'!$B$26*1E-9-1/(C557*'入力・概要'!$B$24*1E-6))</f>
        <v/>
      </c>
      <c r="N557" s="195">
        <f>IF(B557="","",'入力・概要'!$B$28)</f>
        <v/>
      </c>
      <c r="O557" s="195">
        <f>IF(B557="","",C557*'入力・概要'!$B$29*1E-9-1/(C557*'入力・概要'!$B$27*1E-6))</f>
        <v/>
      </c>
      <c r="P557" s="195">
        <f>IF(B557="","",((L557*N557-M557*O557)*(L557+N557)+(L557*O557+M557*N557)*(M557+O557))/((L557+N557)^2+(M557+O557)^2))</f>
        <v/>
      </c>
      <c r="Q557" s="195">
        <f>IF(B557="","",((L557*O557+M557*N557)*(L557+N557)-(L557*N557-M557*O557)*(M557+O557))/((L557+N557)^2+(M557+O557)^2))</f>
        <v/>
      </c>
      <c r="R557" s="195">
        <f>IF(B557="","",'入力・概要'!$E$15*J557)</f>
        <v/>
      </c>
      <c r="S557" s="195">
        <f>IF(B557="","",'入力・概要'!$E$15*K557)</f>
        <v/>
      </c>
      <c r="T557" s="195">
        <f>IF(B557="","",P557+R557)</f>
        <v/>
      </c>
      <c r="U557" s="195">
        <f>IF(B557="","",Q557+S557)</f>
        <v/>
      </c>
      <c r="V557" s="195">
        <f>IF(B557="","",T557+'入力・概要'!$E$9*F557)</f>
        <v/>
      </c>
      <c r="W557" s="195">
        <f>IF(B557="","",U557+'入力・概要'!$E$9*G557)</f>
        <v/>
      </c>
      <c r="X557" s="195">
        <f>IF(B557="","",'入力・概要'!$E$9+T557*F557-U557*G557)</f>
        <v/>
      </c>
      <c r="Y557" s="195">
        <f>IF(B557="","",T557*G557+U557*F557)</f>
        <v/>
      </c>
      <c r="Z557" s="195">
        <f>IF(B557="","",'入力・概要'!$E$9*(V557*X557+W557*Y557)/(X557^2+Y557^2)+'入力・概要'!$B$36)</f>
        <v/>
      </c>
      <c r="AA557" s="195">
        <f>IF(B557="","",'入力・概要'!$E$9*(W557*X557-V557*Y557)/(X557^2+Y557^2)+C557*'入力・概要'!$B$37*1E-9)</f>
        <v/>
      </c>
      <c r="AB557" s="195">
        <f>IF(B557="","",SQRT(Z557^2+AA557^2))</f>
        <v/>
      </c>
      <c r="AC557" s="195">
        <f>IF(B557="","",IF(Z557&gt;0,DEGREES(ATAN(AA557/Z557)),IF(Z557&lt;0,IF(AA557&gt;=0,DEGREES(ATAN(AA557/Z557))+180,DEGREES(ATAN(AA557/Z557))-180),IF(AA557&gt;0,90,IF(AA557&lt;0,-90,0)))))</f>
        <v/>
      </c>
      <c r="AD557" s="195">
        <f>IF(B557="","",LOG10(B557))</f>
        <v/>
      </c>
      <c r="AE557" s="195">
        <f>IF(AB557="","",LOG10(MAX(AB557,1E-12)))</f>
        <v/>
      </c>
      <c r="AF557" s="195">
        <f>IF(B557="","",SQRT(P557^2+Q557^2))</f>
        <v/>
      </c>
      <c r="AG557" s="195">
        <f>IF(B557="","",SQRT(R557^2+S557^2))</f>
        <v/>
      </c>
    </row>
    <row r="558">
      <c r="A558" t="n">
        <v>555</v>
      </c>
      <c r="B558" s="196">
        <f>IF(A558&lt;='入力・概要'!$B$40,10^(LOG10('入力・概要'!$B$38)+(A558-1)*(LOG10('入力・概要'!$B$39)-LOG10('入力・概要'!$B$38))/('入力・概要'!$B$40-1)),"")</f>
        <v/>
      </c>
      <c r="C558" s="195">
        <f>IF(B558="","",2*PI()*B558)</f>
        <v/>
      </c>
      <c r="D558" s="195">
        <f>IF(B558="","",ATANH(MIN(0.999999,'入力・概要'!$E$20/'入力・概要'!$E$9))+'入力・概要'!$B$20*SQRT(B558/1E6)+E558*'入力・概要'!$B$15/2)</f>
        <v/>
      </c>
      <c r="E558" s="195">
        <f>IF(B558="","",C558*('入力・概要'!$E$11*1E-9))</f>
        <v/>
      </c>
      <c r="F558" s="195">
        <f>IF(B558="","",SINH(2*D558)/(COSH(2*D558)+COS(2*E558)))</f>
        <v/>
      </c>
      <c r="G558" s="195">
        <f>IF(B558="","",SIN(2*E558)/(COSH(2*D558)+COS(2*E558)))</f>
        <v/>
      </c>
      <c r="H558" s="195">
        <f>IF(B558="","",ATANH(MIN(0.999999,'入力・概要'!$E$21/'入力・概要'!$E$15))+'入力・概要'!$B$21*SQRT(B558/1E6)+I558*'入力・概要'!$B$16/2)</f>
        <v/>
      </c>
      <c r="I558" s="195">
        <f>IF(B558="","",C558*('入力・概要'!$E$17*1E-9))</f>
        <v/>
      </c>
      <c r="J558" s="195">
        <f>IF(B558="","",SINH(2*H558)/(COSH(2*H558)+COS(2*I558)))</f>
        <v/>
      </c>
      <c r="K558" s="195">
        <f>IF(B558="","",SIN(2*I558)/(COSH(2*H558)+COS(2*I558)))</f>
        <v/>
      </c>
      <c r="L558" s="195">
        <f>IF(B558="","",'入力・概要'!$B$25)</f>
        <v/>
      </c>
      <c r="M558" s="195">
        <f>IF(B558="","",C558*'入力・概要'!$B$26*1E-9-1/(C558*'入力・概要'!$B$24*1E-6))</f>
        <v/>
      </c>
      <c r="N558" s="195">
        <f>IF(B558="","",'入力・概要'!$B$28)</f>
        <v/>
      </c>
      <c r="O558" s="195">
        <f>IF(B558="","",C558*'入力・概要'!$B$29*1E-9-1/(C558*'入力・概要'!$B$27*1E-6))</f>
        <v/>
      </c>
      <c r="P558" s="195">
        <f>IF(B558="","",((L558*N558-M558*O558)*(L558+N558)+(L558*O558+M558*N558)*(M558+O558))/((L558+N558)^2+(M558+O558)^2))</f>
        <v/>
      </c>
      <c r="Q558" s="195">
        <f>IF(B558="","",((L558*O558+M558*N558)*(L558+N558)-(L558*N558-M558*O558)*(M558+O558))/((L558+N558)^2+(M558+O558)^2))</f>
        <v/>
      </c>
      <c r="R558" s="195">
        <f>IF(B558="","",'入力・概要'!$E$15*J558)</f>
        <v/>
      </c>
      <c r="S558" s="195">
        <f>IF(B558="","",'入力・概要'!$E$15*K558)</f>
        <v/>
      </c>
      <c r="T558" s="195">
        <f>IF(B558="","",P558+R558)</f>
        <v/>
      </c>
      <c r="U558" s="195">
        <f>IF(B558="","",Q558+S558)</f>
        <v/>
      </c>
      <c r="V558" s="195">
        <f>IF(B558="","",T558+'入力・概要'!$E$9*F558)</f>
        <v/>
      </c>
      <c r="W558" s="195">
        <f>IF(B558="","",U558+'入力・概要'!$E$9*G558)</f>
        <v/>
      </c>
      <c r="X558" s="195">
        <f>IF(B558="","",'入力・概要'!$E$9+T558*F558-U558*G558)</f>
        <v/>
      </c>
      <c r="Y558" s="195">
        <f>IF(B558="","",T558*G558+U558*F558)</f>
        <v/>
      </c>
      <c r="Z558" s="195">
        <f>IF(B558="","",'入力・概要'!$E$9*(V558*X558+W558*Y558)/(X558^2+Y558^2)+'入力・概要'!$B$36)</f>
        <v/>
      </c>
      <c r="AA558" s="195">
        <f>IF(B558="","",'入力・概要'!$E$9*(W558*X558-V558*Y558)/(X558^2+Y558^2)+C558*'入力・概要'!$B$37*1E-9)</f>
        <v/>
      </c>
      <c r="AB558" s="195">
        <f>IF(B558="","",SQRT(Z558^2+AA558^2))</f>
        <v/>
      </c>
      <c r="AC558" s="195">
        <f>IF(B558="","",IF(Z558&gt;0,DEGREES(ATAN(AA558/Z558)),IF(Z558&lt;0,IF(AA558&gt;=0,DEGREES(ATAN(AA558/Z558))+180,DEGREES(ATAN(AA558/Z558))-180),IF(AA558&gt;0,90,IF(AA558&lt;0,-90,0)))))</f>
        <v/>
      </c>
      <c r="AD558" s="195">
        <f>IF(B558="","",LOG10(B558))</f>
        <v/>
      </c>
      <c r="AE558" s="195">
        <f>IF(AB558="","",LOG10(MAX(AB558,1E-12)))</f>
        <v/>
      </c>
      <c r="AF558" s="195">
        <f>IF(B558="","",SQRT(P558^2+Q558^2))</f>
        <v/>
      </c>
      <c r="AG558" s="195">
        <f>IF(B558="","",SQRT(R558^2+S558^2))</f>
        <v/>
      </c>
    </row>
    <row r="559">
      <c r="A559" t="n">
        <v>556</v>
      </c>
      <c r="B559" s="196">
        <f>IF(A559&lt;='入力・概要'!$B$40,10^(LOG10('入力・概要'!$B$38)+(A559-1)*(LOG10('入力・概要'!$B$39)-LOG10('入力・概要'!$B$38))/('入力・概要'!$B$40-1)),"")</f>
        <v/>
      </c>
      <c r="C559" s="195">
        <f>IF(B559="","",2*PI()*B559)</f>
        <v/>
      </c>
      <c r="D559" s="195">
        <f>IF(B559="","",ATANH(MIN(0.999999,'入力・概要'!$E$20/'入力・概要'!$E$9))+'入力・概要'!$B$20*SQRT(B559/1E6)+E559*'入力・概要'!$B$15/2)</f>
        <v/>
      </c>
      <c r="E559" s="195">
        <f>IF(B559="","",C559*('入力・概要'!$E$11*1E-9))</f>
        <v/>
      </c>
      <c r="F559" s="195">
        <f>IF(B559="","",SINH(2*D559)/(COSH(2*D559)+COS(2*E559)))</f>
        <v/>
      </c>
      <c r="G559" s="195">
        <f>IF(B559="","",SIN(2*E559)/(COSH(2*D559)+COS(2*E559)))</f>
        <v/>
      </c>
      <c r="H559" s="195">
        <f>IF(B559="","",ATANH(MIN(0.999999,'入力・概要'!$E$21/'入力・概要'!$E$15))+'入力・概要'!$B$21*SQRT(B559/1E6)+I559*'入力・概要'!$B$16/2)</f>
        <v/>
      </c>
      <c r="I559" s="195">
        <f>IF(B559="","",C559*('入力・概要'!$E$17*1E-9))</f>
        <v/>
      </c>
      <c r="J559" s="195">
        <f>IF(B559="","",SINH(2*H559)/(COSH(2*H559)+COS(2*I559)))</f>
        <v/>
      </c>
      <c r="K559" s="195">
        <f>IF(B559="","",SIN(2*I559)/(COSH(2*H559)+COS(2*I559)))</f>
        <v/>
      </c>
      <c r="L559" s="195">
        <f>IF(B559="","",'入力・概要'!$B$25)</f>
        <v/>
      </c>
      <c r="M559" s="195">
        <f>IF(B559="","",C559*'入力・概要'!$B$26*1E-9-1/(C559*'入力・概要'!$B$24*1E-6))</f>
        <v/>
      </c>
      <c r="N559" s="195">
        <f>IF(B559="","",'入力・概要'!$B$28)</f>
        <v/>
      </c>
      <c r="O559" s="195">
        <f>IF(B559="","",C559*'入力・概要'!$B$29*1E-9-1/(C559*'入力・概要'!$B$27*1E-6))</f>
        <v/>
      </c>
      <c r="P559" s="195">
        <f>IF(B559="","",((L559*N559-M559*O559)*(L559+N559)+(L559*O559+M559*N559)*(M559+O559))/((L559+N559)^2+(M559+O559)^2))</f>
        <v/>
      </c>
      <c r="Q559" s="195">
        <f>IF(B559="","",((L559*O559+M559*N559)*(L559+N559)-(L559*N559-M559*O559)*(M559+O559))/((L559+N559)^2+(M559+O559)^2))</f>
        <v/>
      </c>
      <c r="R559" s="195">
        <f>IF(B559="","",'入力・概要'!$E$15*J559)</f>
        <v/>
      </c>
      <c r="S559" s="195">
        <f>IF(B559="","",'入力・概要'!$E$15*K559)</f>
        <v/>
      </c>
      <c r="T559" s="195">
        <f>IF(B559="","",P559+R559)</f>
        <v/>
      </c>
      <c r="U559" s="195">
        <f>IF(B559="","",Q559+S559)</f>
        <v/>
      </c>
      <c r="V559" s="195">
        <f>IF(B559="","",T559+'入力・概要'!$E$9*F559)</f>
        <v/>
      </c>
      <c r="W559" s="195">
        <f>IF(B559="","",U559+'入力・概要'!$E$9*G559)</f>
        <v/>
      </c>
      <c r="X559" s="195">
        <f>IF(B559="","",'入力・概要'!$E$9+T559*F559-U559*G559)</f>
        <v/>
      </c>
      <c r="Y559" s="195">
        <f>IF(B559="","",T559*G559+U559*F559)</f>
        <v/>
      </c>
      <c r="Z559" s="195">
        <f>IF(B559="","",'入力・概要'!$E$9*(V559*X559+W559*Y559)/(X559^2+Y559^2)+'入力・概要'!$B$36)</f>
        <v/>
      </c>
      <c r="AA559" s="195">
        <f>IF(B559="","",'入力・概要'!$E$9*(W559*X559-V559*Y559)/(X559^2+Y559^2)+C559*'入力・概要'!$B$37*1E-9)</f>
        <v/>
      </c>
      <c r="AB559" s="195">
        <f>IF(B559="","",SQRT(Z559^2+AA559^2))</f>
        <v/>
      </c>
      <c r="AC559" s="195">
        <f>IF(B559="","",IF(Z559&gt;0,DEGREES(ATAN(AA559/Z559)),IF(Z559&lt;0,IF(AA559&gt;=0,DEGREES(ATAN(AA559/Z559))+180,DEGREES(ATAN(AA559/Z559))-180),IF(AA559&gt;0,90,IF(AA559&lt;0,-90,0)))))</f>
        <v/>
      </c>
      <c r="AD559" s="195">
        <f>IF(B559="","",LOG10(B559))</f>
        <v/>
      </c>
      <c r="AE559" s="195">
        <f>IF(AB559="","",LOG10(MAX(AB559,1E-12)))</f>
        <v/>
      </c>
      <c r="AF559" s="195">
        <f>IF(B559="","",SQRT(P559^2+Q559^2))</f>
        <v/>
      </c>
      <c r="AG559" s="195">
        <f>IF(B559="","",SQRT(R559^2+S559^2))</f>
        <v/>
      </c>
    </row>
    <row r="560">
      <c r="A560" t="n">
        <v>557</v>
      </c>
      <c r="B560" s="196">
        <f>IF(A560&lt;='入力・概要'!$B$40,10^(LOG10('入力・概要'!$B$38)+(A560-1)*(LOG10('入力・概要'!$B$39)-LOG10('入力・概要'!$B$38))/('入力・概要'!$B$40-1)),"")</f>
        <v/>
      </c>
      <c r="C560" s="195">
        <f>IF(B560="","",2*PI()*B560)</f>
        <v/>
      </c>
      <c r="D560" s="195">
        <f>IF(B560="","",ATANH(MIN(0.999999,'入力・概要'!$E$20/'入力・概要'!$E$9))+'入力・概要'!$B$20*SQRT(B560/1E6)+E560*'入力・概要'!$B$15/2)</f>
        <v/>
      </c>
      <c r="E560" s="195">
        <f>IF(B560="","",C560*('入力・概要'!$E$11*1E-9))</f>
        <v/>
      </c>
      <c r="F560" s="195">
        <f>IF(B560="","",SINH(2*D560)/(COSH(2*D560)+COS(2*E560)))</f>
        <v/>
      </c>
      <c r="G560" s="195">
        <f>IF(B560="","",SIN(2*E560)/(COSH(2*D560)+COS(2*E560)))</f>
        <v/>
      </c>
      <c r="H560" s="195">
        <f>IF(B560="","",ATANH(MIN(0.999999,'入力・概要'!$E$21/'入力・概要'!$E$15))+'入力・概要'!$B$21*SQRT(B560/1E6)+I560*'入力・概要'!$B$16/2)</f>
        <v/>
      </c>
      <c r="I560" s="195">
        <f>IF(B560="","",C560*('入力・概要'!$E$17*1E-9))</f>
        <v/>
      </c>
      <c r="J560" s="195">
        <f>IF(B560="","",SINH(2*H560)/(COSH(2*H560)+COS(2*I560)))</f>
        <v/>
      </c>
      <c r="K560" s="195">
        <f>IF(B560="","",SIN(2*I560)/(COSH(2*H560)+COS(2*I560)))</f>
        <v/>
      </c>
      <c r="L560" s="195">
        <f>IF(B560="","",'入力・概要'!$B$25)</f>
        <v/>
      </c>
      <c r="M560" s="195">
        <f>IF(B560="","",C560*'入力・概要'!$B$26*1E-9-1/(C560*'入力・概要'!$B$24*1E-6))</f>
        <v/>
      </c>
      <c r="N560" s="195">
        <f>IF(B560="","",'入力・概要'!$B$28)</f>
        <v/>
      </c>
      <c r="O560" s="195">
        <f>IF(B560="","",C560*'入力・概要'!$B$29*1E-9-1/(C560*'入力・概要'!$B$27*1E-6))</f>
        <v/>
      </c>
      <c r="P560" s="195">
        <f>IF(B560="","",((L560*N560-M560*O560)*(L560+N560)+(L560*O560+M560*N560)*(M560+O560))/((L560+N560)^2+(M560+O560)^2))</f>
        <v/>
      </c>
      <c r="Q560" s="195">
        <f>IF(B560="","",((L560*O560+M560*N560)*(L560+N560)-(L560*N560-M560*O560)*(M560+O560))/((L560+N560)^2+(M560+O560)^2))</f>
        <v/>
      </c>
      <c r="R560" s="195">
        <f>IF(B560="","",'入力・概要'!$E$15*J560)</f>
        <v/>
      </c>
      <c r="S560" s="195">
        <f>IF(B560="","",'入力・概要'!$E$15*K560)</f>
        <v/>
      </c>
      <c r="T560" s="195">
        <f>IF(B560="","",P560+R560)</f>
        <v/>
      </c>
      <c r="U560" s="195">
        <f>IF(B560="","",Q560+S560)</f>
        <v/>
      </c>
      <c r="V560" s="195">
        <f>IF(B560="","",T560+'入力・概要'!$E$9*F560)</f>
        <v/>
      </c>
      <c r="W560" s="195">
        <f>IF(B560="","",U560+'入力・概要'!$E$9*G560)</f>
        <v/>
      </c>
      <c r="X560" s="195">
        <f>IF(B560="","",'入力・概要'!$E$9+T560*F560-U560*G560)</f>
        <v/>
      </c>
      <c r="Y560" s="195">
        <f>IF(B560="","",T560*G560+U560*F560)</f>
        <v/>
      </c>
      <c r="Z560" s="195">
        <f>IF(B560="","",'入力・概要'!$E$9*(V560*X560+W560*Y560)/(X560^2+Y560^2)+'入力・概要'!$B$36)</f>
        <v/>
      </c>
      <c r="AA560" s="195">
        <f>IF(B560="","",'入力・概要'!$E$9*(W560*X560-V560*Y560)/(X560^2+Y560^2)+C560*'入力・概要'!$B$37*1E-9)</f>
        <v/>
      </c>
      <c r="AB560" s="195">
        <f>IF(B560="","",SQRT(Z560^2+AA560^2))</f>
        <v/>
      </c>
      <c r="AC560" s="195">
        <f>IF(B560="","",IF(Z560&gt;0,DEGREES(ATAN(AA560/Z560)),IF(Z560&lt;0,IF(AA560&gt;=0,DEGREES(ATAN(AA560/Z560))+180,DEGREES(ATAN(AA560/Z560))-180),IF(AA560&gt;0,90,IF(AA560&lt;0,-90,0)))))</f>
        <v/>
      </c>
      <c r="AD560" s="195">
        <f>IF(B560="","",LOG10(B560))</f>
        <v/>
      </c>
      <c r="AE560" s="195">
        <f>IF(AB560="","",LOG10(MAX(AB560,1E-12)))</f>
        <v/>
      </c>
      <c r="AF560" s="195">
        <f>IF(B560="","",SQRT(P560^2+Q560^2))</f>
        <v/>
      </c>
      <c r="AG560" s="195">
        <f>IF(B560="","",SQRT(R560^2+S560^2))</f>
        <v/>
      </c>
    </row>
    <row r="561">
      <c r="A561" t="n">
        <v>558</v>
      </c>
      <c r="B561" s="196">
        <f>IF(A561&lt;='入力・概要'!$B$40,10^(LOG10('入力・概要'!$B$38)+(A561-1)*(LOG10('入力・概要'!$B$39)-LOG10('入力・概要'!$B$38))/('入力・概要'!$B$40-1)),"")</f>
        <v/>
      </c>
      <c r="C561" s="195">
        <f>IF(B561="","",2*PI()*B561)</f>
        <v/>
      </c>
      <c r="D561" s="195">
        <f>IF(B561="","",ATANH(MIN(0.999999,'入力・概要'!$E$20/'入力・概要'!$E$9))+'入力・概要'!$B$20*SQRT(B561/1E6)+E561*'入力・概要'!$B$15/2)</f>
        <v/>
      </c>
      <c r="E561" s="195">
        <f>IF(B561="","",C561*('入力・概要'!$E$11*1E-9))</f>
        <v/>
      </c>
      <c r="F561" s="195">
        <f>IF(B561="","",SINH(2*D561)/(COSH(2*D561)+COS(2*E561)))</f>
        <v/>
      </c>
      <c r="G561" s="195">
        <f>IF(B561="","",SIN(2*E561)/(COSH(2*D561)+COS(2*E561)))</f>
        <v/>
      </c>
      <c r="H561" s="195">
        <f>IF(B561="","",ATANH(MIN(0.999999,'入力・概要'!$E$21/'入力・概要'!$E$15))+'入力・概要'!$B$21*SQRT(B561/1E6)+I561*'入力・概要'!$B$16/2)</f>
        <v/>
      </c>
      <c r="I561" s="195">
        <f>IF(B561="","",C561*('入力・概要'!$E$17*1E-9))</f>
        <v/>
      </c>
      <c r="J561" s="195">
        <f>IF(B561="","",SINH(2*H561)/(COSH(2*H561)+COS(2*I561)))</f>
        <v/>
      </c>
      <c r="K561" s="195">
        <f>IF(B561="","",SIN(2*I561)/(COSH(2*H561)+COS(2*I561)))</f>
        <v/>
      </c>
      <c r="L561" s="195">
        <f>IF(B561="","",'入力・概要'!$B$25)</f>
        <v/>
      </c>
      <c r="M561" s="195">
        <f>IF(B561="","",C561*'入力・概要'!$B$26*1E-9-1/(C561*'入力・概要'!$B$24*1E-6))</f>
        <v/>
      </c>
      <c r="N561" s="195">
        <f>IF(B561="","",'入力・概要'!$B$28)</f>
        <v/>
      </c>
      <c r="O561" s="195">
        <f>IF(B561="","",C561*'入力・概要'!$B$29*1E-9-1/(C561*'入力・概要'!$B$27*1E-6))</f>
        <v/>
      </c>
      <c r="P561" s="195">
        <f>IF(B561="","",((L561*N561-M561*O561)*(L561+N561)+(L561*O561+M561*N561)*(M561+O561))/((L561+N561)^2+(M561+O561)^2))</f>
        <v/>
      </c>
      <c r="Q561" s="195">
        <f>IF(B561="","",((L561*O561+M561*N561)*(L561+N561)-(L561*N561-M561*O561)*(M561+O561))/((L561+N561)^2+(M561+O561)^2))</f>
        <v/>
      </c>
      <c r="R561" s="195">
        <f>IF(B561="","",'入力・概要'!$E$15*J561)</f>
        <v/>
      </c>
      <c r="S561" s="195">
        <f>IF(B561="","",'入力・概要'!$E$15*K561)</f>
        <v/>
      </c>
      <c r="T561" s="195">
        <f>IF(B561="","",P561+R561)</f>
        <v/>
      </c>
      <c r="U561" s="195">
        <f>IF(B561="","",Q561+S561)</f>
        <v/>
      </c>
      <c r="V561" s="195">
        <f>IF(B561="","",T561+'入力・概要'!$E$9*F561)</f>
        <v/>
      </c>
      <c r="W561" s="195">
        <f>IF(B561="","",U561+'入力・概要'!$E$9*G561)</f>
        <v/>
      </c>
      <c r="X561" s="195">
        <f>IF(B561="","",'入力・概要'!$E$9+T561*F561-U561*G561)</f>
        <v/>
      </c>
      <c r="Y561" s="195">
        <f>IF(B561="","",T561*G561+U561*F561)</f>
        <v/>
      </c>
      <c r="Z561" s="195">
        <f>IF(B561="","",'入力・概要'!$E$9*(V561*X561+W561*Y561)/(X561^2+Y561^2)+'入力・概要'!$B$36)</f>
        <v/>
      </c>
      <c r="AA561" s="195">
        <f>IF(B561="","",'入力・概要'!$E$9*(W561*X561-V561*Y561)/(X561^2+Y561^2)+C561*'入力・概要'!$B$37*1E-9)</f>
        <v/>
      </c>
      <c r="AB561" s="195">
        <f>IF(B561="","",SQRT(Z561^2+AA561^2))</f>
        <v/>
      </c>
      <c r="AC561" s="195">
        <f>IF(B561="","",IF(Z561&gt;0,DEGREES(ATAN(AA561/Z561)),IF(Z561&lt;0,IF(AA561&gt;=0,DEGREES(ATAN(AA561/Z561))+180,DEGREES(ATAN(AA561/Z561))-180),IF(AA561&gt;0,90,IF(AA561&lt;0,-90,0)))))</f>
        <v/>
      </c>
      <c r="AD561" s="195">
        <f>IF(B561="","",LOG10(B561))</f>
        <v/>
      </c>
      <c r="AE561" s="195">
        <f>IF(AB561="","",LOG10(MAX(AB561,1E-12)))</f>
        <v/>
      </c>
      <c r="AF561" s="195">
        <f>IF(B561="","",SQRT(P561^2+Q561^2))</f>
        <v/>
      </c>
      <c r="AG561" s="195">
        <f>IF(B561="","",SQRT(R561^2+S561^2))</f>
        <v/>
      </c>
    </row>
    <row r="562">
      <c r="A562" t="n">
        <v>559</v>
      </c>
      <c r="B562" s="196">
        <f>IF(A562&lt;='入力・概要'!$B$40,10^(LOG10('入力・概要'!$B$38)+(A562-1)*(LOG10('入力・概要'!$B$39)-LOG10('入力・概要'!$B$38))/('入力・概要'!$B$40-1)),"")</f>
        <v/>
      </c>
      <c r="C562" s="195">
        <f>IF(B562="","",2*PI()*B562)</f>
        <v/>
      </c>
      <c r="D562" s="195">
        <f>IF(B562="","",ATANH(MIN(0.999999,'入力・概要'!$E$20/'入力・概要'!$E$9))+'入力・概要'!$B$20*SQRT(B562/1E6)+E562*'入力・概要'!$B$15/2)</f>
        <v/>
      </c>
      <c r="E562" s="195">
        <f>IF(B562="","",C562*('入力・概要'!$E$11*1E-9))</f>
        <v/>
      </c>
      <c r="F562" s="195">
        <f>IF(B562="","",SINH(2*D562)/(COSH(2*D562)+COS(2*E562)))</f>
        <v/>
      </c>
      <c r="G562" s="195">
        <f>IF(B562="","",SIN(2*E562)/(COSH(2*D562)+COS(2*E562)))</f>
        <v/>
      </c>
      <c r="H562" s="195">
        <f>IF(B562="","",ATANH(MIN(0.999999,'入力・概要'!$E$21/'入力・概要'!$E$15))+'入力・概要'!$B$21*SQRT(B562/1E6)+I562*'入力・概要'!$B$16/2)</f>
        <v/>
      </c>
      <c r="I562" s="195">
        <f>IF(B562="","",C562*('入力・概要'!$E$17*1E-9))</f>
        <v/>
      </c>
      <c r="J562" s="195">
        <f>IF(B562="","",SINH(2*H562)/(COSH(2*H562)+COS(2*I562)))</f>
        <v/>
      </c>
      <c r="K562" s="195">
        <f>IF(B562="","",SIN(2*I562)/(COSH(2*H562)+COS(2*I562)))</f>
        <v/>
      </c>
      <c r="L562" s="195">
        <f>IF(B562="","",'入力・概要'!$B$25)</f>
        <v/>
      </c>
      <c r="M562" s="195">
        <f>IF(B562="","",C562*'入力・概要'!$B$26*1E-9-1/(C562*'入力・概要'!$B$24*1E-6))</f>
        <v/>
      </c>
      <c r="N562" s="195">
        <f>IF(B562="","",'入力・概要'!$B$28)</f>
        <v/>
      </c>
      <c r="O562" s="195">
        <f>IF(B562="","",C562*'入力・概要'!$B$29*1E-9-1/(C562*'入力・概要'!$B$27*1E-6))</f>
        <v/>
      </c>
      <c r="P562" s="195">
        <f>IF(B562="","",((L562*N562-M562*O562)*(L562+N562)+(L562*O562+M562*N562)*(M562+O562))/((L562+N562)^2+(M562+O562)^2))</f>
        <v/>
      </c>
      <c r="Q562" s="195">
        <f>IF(B562="","",((L562*O562+M562*N562)*(L562+N562)-(L562*N562-M562*O562)*(M562+O562))/((L562+N562)^2+(M562+O562)^2))</f>
        <v/>
      </c>
      <c r="R562" s="195">
        <f>IF(B562="","",'入力・概要'!$E$15*J562)</f>
        <v/>
      </c>
      <c r="S562" s="195">
        <f>IF(B562="","",'入力・概要'!$E$15*K562)</f>
        <v/>
      </c>
      <c r="T562" s="195">
        <f>IF(B562="","",P562+R562)</f>
        <v/>
      </c>
      <c r="U562" s="195">
        <f>IF(B562="","",Q562+S562)</f>
        <v/>
      </c>
      <c r="V562" s="195">
        <f>IF(B562="","",T562+'入力・概要'!$E$9*F562)</f>
        <v/>
      </c>
      <c r="W562" s="195">
        <f>IF(B562="","",U562+'入力・概要'!$E$9*G562)</f>
        <v/>
      </c>
      <c r="X562" s="195">
        <f>IF(B562="","",'入力・概要'!$E$9+T562*F562-U562*G562)</f>
        <v/>
      </c>
      <c r="Y562" s="195">
        <f>IF(B562="","",T562*G562+U562*F562)</f>
        <v/>
      </c>
      <c r="Z562" s="195">
        <f>IF(B562="","",'入力・概要'!$E$9*(V562*X562+W562*Y562)/(X562^2+Y562^2)+'入力・概要'!$B$36)</f>
        <v/>
      </c>
      <c r="AA562" s="195">
        <f>IF(B562="","",'入力・概要'!$E$9*(W562*X562-V562*Y562)/(X562^2+Y562^2)+C562*'入力・概要'!$B$37*1E-9)</f>
        <v/>
      </c>
      <c r="AB562" s="195">
        <f>IF(B562="","",SQRT(Z562^2+AA562^2))</f>
        <v/>
      </c>
      <c r="AC562" s="195">
        <f>IF(B562="","",IF(Z562&gt;0,DEGREES(ATAN(AA562/Z562)),IF(Z562&lt;0,IF(AA562&gt;=0,DEGREES(ATAN(AA562/Z562))+180,DEGREES(ATAN(AA562/Z562))-180),IF(AA562&gt;0,90,IF(AA562&lt;0,-90,0)))))</f>
        <v/>
      </c>
      <c r="AD562" s="195">
        <f>IF(B562="","",LOG10(B562))</f>
        <v/>
      </c>
      <c r="AE562" s="195">
        <f>IF(AB562="","",LOG10(MAX(AB562,1E-12)))</f>
        <v/>
      </c>
      <c r="AF562" s="195">
        <f>IF(B562="","",SQRT(P562^2+Q562^2))</f>
        <v/>
      </c>
      <c r="AG562" s="195">
        <f>IF(B562="","",SQRT(R562^2+S562^2))</f>
        <v/>
      </c>
    </row>
    <row r="563">
      <c r="A563" t="n">
        <v>560</v>
      </c>
      <c r="B563" s="196">
        <f>IF(A563&lt;='入力・概要'!$B$40,10^(LOG10('入力・概要'!$B$38)+(A563-1)*(LOG10('入力・概要'!$B$39)-LOG10('入力・概要'!$B$38))/('入力・概要'!$B$40-1)),"")</f>
        <v/>
      </c>
      <c r="C563" s="195">
        <f>IF(B563="","",2*PI()*B563)</f>
        <v/>
      </c>
      <c r="D563" s="195">
        <f>IF(B563="","",ATANH(MIN(0.999999,'入力・概要'!$E$20/'入力・概要'!$E$9))+'入力・概要'!$B$20*SQRT(B563/1E6)+E563*'入力・概要'!$B$15/2)</f>
        <v/>
      </c>
      <c r="E563" s="195">
        <f>IF(B563="","",C563*('入力・概要'!$E$11*1E-9))</f>
        <v/>
      </c>
      <c r="F563" s="195">
        <f>IF(B563="","",SINH(2*D563)/(COSH(2*D563)+COS(2*E563)))</f>
        <v/>
      </c>
      <c r="G563" s="195">
        <f>IF(B563="","",SIN(2*E563)/(COSH(2*D563)+COS(2*E563)))</f>
        <v/>
      </c>
      <c r="H563" s="195">
        <f>IF(B563="","",ATANH(MIN(0.999999,'入力・概要'!$E$21/'入力・概要'!$E$15))+'入力・概要'!$B$21*SQRT(B563/1E6)+I563*'入力・概要'!$B$16/2)</f>
        <v/>
      </c>
      <c r="I563" s="195">
        <f>IF(B563="","",C563*('入力・概要'!$E$17*1E-9))</f>
        <v/>
      </c>
      <c r="J563" s="195">
        <f>IF(B563="","",SINH(2*H563)/(COSH(2*H563)+COS(2*I563)))</f>
        <v/>
      </c>
      <c r="K563" s="195">
        <f>IF(B563="","",SIN(2*I563)/(COSH(2*H563)+COS(2*I563)))</f>
        <v/>
      </c>
      <c r="L563" s="195">
        <f>IF(B563="","",'入力・概要'!$B$25)</f>
        <v/>
      </c>
      <c r="M563" s="195">
        <f>IF(B563="","",C563*'入力・概要'!$B$26*1E-9-1/(C563*'入力・概要'!$B$24*1E-6))</f>
        <v/>
      </c>
      <c r="N563" s="195">
        <f>IF(B563="","",'入力・概要'!$B$28)</f>
        <v/>
      </c>
      <c r="O563" s="195">
        <f>IF(B563="","",C563*'入力・概要'!$B$29*1E-9-1/(C563*'入力・概要'!$B$27*1E-6))</f>
        <v/>
      </c>
      <c r="P563" s="195">
        <f>IF(B563="","",((L563*N563-M563*O563)*(L563+N563)+(L563*O563+M563*N563)*(M563+O563))/((L563+N563)^2+(M563+O563)^2))</f>
        <v/>
      </c>
      <c r="Q563" s="195">
        <f>IF(B563="","",((L563*O563+M563*N563)*(L563+N563)-(L563*N563-M563*O563)*(M563+O563))/((L563+N563)^2+(M563+O563)^2))</f>
        <v/>
      </c>
      <c r="R563" s="195">
        <f>IF(B563="","",'入力・概要'!$E$15*J563)</f>
        <v/>
      </c>
      <c r="S563" s="195">
        <f>IF(B563="","",'入力・概要'!$E$15*K563)</f>
        <v/>
      </c>
      <c r="T563" s="195">
        <f>IF(B563="","",P563+R563)</f>
        <v/>
      </c>
      <c r="U563" s="195">
        <f>IF(B563="","",Q563+S563)</f>
        <v/>
      </c>
      <c r="V563" s="195">
        <f>IF(B563="","",T563+'入力・概要'!$E$9*F563)</f>
        <v/>
      </c>
      <c r="W563" s="195">
        <f>IF(B563="","",U563+'入力・概要'!$E$9*G563)</f>
        <v/>
      </c>
      <c r="X563" s="195">
        <f>IF(B563="","",'入力・概要'!$E$9+T563*F563-U563*G563)</f>
        <v/>
      </c>
      <c r="Y563" s="195">
        <f>IF(B563="","",T563*G563+U563*F563)</f>
        <v/>
      </c>
      <c r="Z563" s="195">
        <f>IF(B563="","",'入力・概要'!$E$9*(V563*X563+W563*Y563)/(X563^2+Y563^2)+'入力・概要'!$B$36)</f>
        <v/>
      </c>
      <c r="AA563" s="195">
        <f>IF(B563="","",'入力・概要'!$E$9*(W563*X563-V563*Y563)/(X563^2+Y563^2)+C563*'入力・概要'!$B$37*1E-9)</f>
        <v/>
      </c>
      <c r="AB563" s="195">
        <f>IF(B563="","",SQRT(Z563^2+AA563^2))</f>
        <v/>
      </c>
      <c r="AC563" s="195">
        <f>IF(B563="","",IF(Z563&gt;0,DEGREES(ATAN(AA563/Z563)),IF(Z563&lt;0,IF(AA563&gt;=0,DEGREES(ATAN(AA563/Z563))+180,DEGREES(ATAN(AA563/Z563))-180),IF(AA563&gt;0,90,IF(AA563&lt;0,-90,0)))))</f>
        <v/>
      </c>
      <c r="AD563" s="195">
        <f>IF(B563="","",LOG10(B563))</f>
        <v/>
      </c>
      <c r="AE563" s="195">
        <f>IF(AB563="","",LOG10(MAX(AB563,1E-12)))</f>
        <v/>
      </c>
      <c r="AF563" s="195">
        <f>IF(B563="","",SQRT(P563^2+Q563^2))</f>
        <v/>
      </c>
      <c r="AG563" s="195">
        <f>IF(B563="","",SQRT(R563^2+S563^2))</f>
        <v/>
      </c>
    </row>
    <row r="564">
      <c r="A564" t="n">
        <v>561</v>
      </c>
      <c r="B564" s="196">
        <f>IF(A564&lt;='入力・概要'!$B$40,10^(LOG10('入力・概要'!$B$38)+(A564-1)*(LOG10('入力・概要'!$B$39)-LOG10('入力・概要'!$B$38))/('入力・概要'!$B$40-1)),"")</f>
        <v/>
      </c>
      <c r="C564" s="195">
        <f>IF(B564="","",2*PI()*B564)</f>
        <v/>
      </c>
      <c r="D564" s="195">
        <f>IF(B564="","",ATANH(MIN(0.999999,'入力・概要'!$E$20/'入力・概要'!$E$9))+'入力・概要'!$B$20*SQRT(B564/1E6)+E564*'入力・概要'!$B$15/2)</f>
        <v/>
      </c>
      <c r="E564" s="195">
        <f>IF(B564="","",C564*('入力・概要'!$E$11*1E-9))</f>
        <v/>
      </c>
      <c r="F564" s="195">
        <f>IF(B564="","",SINH(2*D564)/(COSH(2*D564)+COS(2*E564)))</f>
        <v/>
      </c>
      <c r="G564" s="195">
        <f>IF(B564="","",SIN(2*E564)/(COSH(2*D564)+COS(2*E564)))</f>
        <v/>
      </c>
      <c r="H564" s="195">
        <f>IF(B564="","",ATANH(MIN(0.999999,'入力・概要'!$E$21/'入力・概要'!$E$15))+'入力・概要'!$B$21*SQRT(B564/1E6)+I564*'入力・概要'!$B$16/2)</f>
        <v/>
      </c>
      <c r="I564" s="195">
        <f>IF(B564="","",C564*('入力・概要'!$E$17*1E-9))</f>
        <v/>
      </c>
      <c r="J564" s="195">
        <f>IF(B564="","",SINH(2*H564)/(COSH(2*H564)+COS(2*I564)))</f>
        <v/>
      </c>
      <c r="K564" s="195">
        <f>IF(B564="","",SIN(2*I564)/(COSH(2*H564)+COS(2*I564)))</f>
        <v/>
      </c>
      <c r="L564" s="195">
        <f>IF(B564="","",'入力・概要'!$B$25)</f>
        <v/>
      </c>
      <c r="M564" s="195">
        <f>IF(B564="","",C564*'入力・概要'!$B$26*1E-9-1/(C564*'入力・概要'!$B$24*1E-6))</f>
        <v/>
      </c>
      <c r="N564" s="195">
        <f>IF(B564="","",'入力・概要'!$B$28)</f>
        <v/>
      </c>
      <c r="O564" s="195">
        <f>IF(B564="","",C564*'入力・概要'!$B$29*1E-9-1/(C564*'入力・概要'!$B$27*1E-6))</f>
        <v/>
      </c>
      <c r="P564" s="195">
        <f>IF(B564="","",((L564*N564-M564*O564)*(L564+N564)+(L564*O564+M564*N564)*(M564+O564))/((L564+N564)^2+(M564+O564)^2))</f>
        <v/>
      </c>
      <c r="Q564" s="195">
        <f>IF(B564="","",((L564*O564+M564*N564)*(L564+N564)-(L564*N564-M564*O564)*(M564+O564))/((L564+N564)^2+(M564+O564)^2))</f>
        <v/>
      </c>
      <c r="R564" s="195">
        <f>IF(B564="","",'入力・概要'!$E$15*J564)</f>
        <v/>
      </c>
      <c r="S564" s="195">
        <f>IF(B564="","",'入力・概要'!$E$15*K564)</f>
        <v/>
      </c>
      <c r="T564" s="195">
        <f>IF(B564="","",P564+R564)</f>
        <v/>
      </c>
      <c r="U564" s="195">
        <f>IF(B564="","",Q564+S564)</f>
        <v/>
      </c>
      <c r="V564" s="195">
        <f>IF(B564="","",T564+'入力・概要'!$E$9*F564)</f>
        <v/>
      </c>
      <c r="W564" s="195">
        <f>IF(B564="","",U564+'入力・概要'!$E$9*G564)</f>
        <v/>
      </c>
      <c r="X564" s="195">
        <f>IF(B564="","",'入力・概要'!$E$9+T564*F564-U564*G564)</f>
        <v/>
      </c>
      <c r="Y564" s="195">
        <f>IF(B564="","",T564*G564+U564*F564)</f>
        <v/>
      </c>
      <c r="Z564" s="195">
        <f>IF(B564="","",'入力・概要'!$E$9*(V564*X564+W564*Y564)/(X564^2+Y564^2)+'入力・概要'!$B$36)</f>
        <v/>
      </c>
      <c r="AA564" s="195">
        <f>IF(B564="","",'入力・概要'!$E$9*(W564*X564-V564*Y564)/(X564^2+Y564^2)+C564*'入力・概要'!$B$37*1E-9)</f>
        <v/>
      </c>
      <c r="AB564" s="195">
        <f>IF(B564="","",SQRT(Z564^2+AA564^2))</f>
        <v/>
      </c>
      <c r="AC564" s="195">
        <f>IF(B564="","",IF(Z564&gt;0,DEGREES(ATAN(AA564/Z564)),IF(Z564&lt;0,IF(AA564&gt;=0,DEGREES(ATAN(AA564/Z564))+180,DEGREES(ATAN(AA564/Z564))-180),IF(AA564&gt;0,90,IF(AA564&lt;0,-90,0)))))</f>
        <v/>
      </c>
      <c r="AD564" s="195">
        <f>IF(B564="","",LOG10(B564))</f>
        <v/>
      </c>
      <c r="AE564" s="195">
        <f>IF(AB564="","",LOG10(MAX(AB564,1E-12)))</f>
        <v/>
      </c>
      <c r="AF564" s="195">
        <f>IF(B564="","",SQRT(P564^2+Q564^2))</f>
        <v/>
      </c>
      <c r="AG564" s="195">
        <f>IF(B564="","",SQRT(R564^2+S564^2))</f>
        <v/>
      </c>
    </row>
    <row r="565">
      <c r="A565" t="n">
        <v>562</v>
      </c>
      <c r="B565" s="196">
        <f>IF(A565&lt;='入力・概要'!$B$40,10^(LOG10('入力・概要'!$B$38)+(A565-1)*(LOG10('入力・概要'!$B$39)-LOG10('入力・概要'!$B$38))/('入力・概要'!$B$40-1)),"")</f>
        <v/>
      </c>
      <c r="C565" s="195">
        <f>IF(B565="","",2*PI()*B565)</f>
        <v/>
      </c>
      <c r="D565" s="195">
        <f>IF(B565="","",ATANH(MIN(0.999999,'入力・概要'!$E$20/'入力・概要'!$E$9))+'入力・概要'!$B$20*SQRT(B565/1E6)+E565*'入力・概要'!$B$15/2)</f>
        <v/>
      </c>
      <c r="E565" s="195">
        <f>IF(B565="","",C565*('入力・概要'!$E$11*1E-9))</f>
        <v/>
      </c>
      <c r="F565" s="195">
        <f>IF(B565="","",SINH(2*D565)/(COSH(2*D565)+COS(2*E565)))</f>
        <v/>
      </c>
      <c r="G565" s="195">
        <f>IF(B565="","",SIN(2*E565)/(COSH(2*D565)+COS(2*E565)))</f>
        <v/>
      </c>
      <c r="H565" s="195">
        <f>IF(B565="","",ATANH(MIN(0.999999,'入力・概要'!$E$21/'入力・概要'!$E$15))+'入力・概要'!$B$21*SQRT(B565/1E6)+I565*'入力・概要'!$B$16/2)</f>
        <v/>
      </c>
      <c r="I565" s="195">
        <f>IF(B565="","",C565*('入力・概要'!$E$17*1E-9))</f>
        <v/>
      </c>
      <c r="J565" s="195">
        <f>IF(B565="","",SINH(2*H565)/(COSH(2*H565)+COS(2*I565)))</f>
        <v/>
      </c>
      <c r="K565" s="195">
        <f>IF(B565="","",SIN(2*I565)/(COSH(2*H565)+COS(2*I565)))</f>
        <v/>
      </c>
      <c r="L565" s="195">
        <f>IF(B565="","",'入力・概要'!$B$25)</f>
        <v/>
      </c>
      <c r="M565" s="195">
        <f>IF(B565="","",C565*'入力・概要'!$B$26*1E-9-1/(C565*'入力・概要'!$B$24*1E-6))</f>
        <v/>
      </c>
      <c r="N565" s="195">
        <f>IF(B565="","",'入力・概要'!$B$28)</f>
        <v/>
      </c>
      <c r="O565" s="195">
        <f>IF(B565="","",C565*'入力・概要'!$B$29*1E-9-1/(C565*'入力・概要'!$B$27*1E-6))</f>
        <v/>
      </c>
      <c r="P565" s="195">
        <f>IF(B565="","",((L565*N565-M565*O565)*(L565+N565)+(L565*O565+M565*N565)*(M565+O565))/((L565+N565)^2+(M565+O565)^2))</f>
        <v/>
      </c>
      <c r="Q565" s="195">
        <f>IF(B565="","",((L565*O565+M565*N565)*(L565+N565)-(L565*N565-M565*O565)*(M565+O565))/((L565+N565)^2+(M565+O565)^2))</f>
        <v/>
      </c>
      <c r="R565" s="195">
        <f>IF(B565="","",'入力・概要'!$E$15*J565)</f>
        <v/>
      </c>
      <c r="S565" s="195">
        <f>IF(B565="","",'入力・概要'!$E$15*K565)</f>
        <v/>
      </c>
      <c r="T565" s="195">
        <f>IF(B565="","",P565+R565)</f>
        <v/>
      </c>
      <c r="U565" s="195">
        <f>IF(B565="","",Q565+S565)</f>
        <v/>
      </c>
      <c r="V565" s="195">
        <f>IF(B565="","",T565+'入力・概要'!$E$9*F565)</f>
        <v/>
      </c>
      <c r="W565" s="195">
        <f>IF(B565="","",U565+'入力・概要'!$E$9*G565)</f>
        <v/>
      </c>
      <c r="X565" s="195">
        <f>IF(B565="","",'入力・概要'!$E$9+T565*F565-U565*G565)</f>
        <v/>
      </c>
      <c r="Y565" s="195">
        <f>IF(B565="","",T565*G565+U565*F565)</f>
        <v/>
      </c>
      <c r="Z565" s="195">
        <f>IF(B565="","",'入力・概要'!$E$9*(V565*X565+W565*Y565)/(X565^2+Y565^2)+'入力・概要'!$B$36)</f>
        <v/>
      </c>
      <c r="AA565" s="195">
        <f>IF(B565="","",'入力・概要'!$E$9*(W565*X565-V565*Y565)/(X565^2+Y565^2)+C565*'入力・概要'!$B$37*1E-9)</f>
        <v/>
      </c>
      <c r="AB565" s="195">
        <f>IF(B565="","",SQRT(Z565^2+AA565^2))</f>
        <v/>
      </c>
      <c r="AC565" s="195">
        <f>IF(B565="","",IF(Z565&gt;0,DEGREES(ATAN(AA565/Z565)),IF(Z565&lt;0,IF(AA565&gt;=0,DEGREES(ATAN(AA565/Z565))+180,DEGREES(ATAN(AA565/Z565))-180),IF(AA565&gt;0,90,IF(AA565&lt;0,-90,0)))))</f>
        <v/>
      </c>
      <c r="AD565" s="195">
        <f>IF(B565="","",LOG10(B565))</f>
        <v/>
      </c>
      <c r="AE565" s="195">
        <f>IF(AB565="","",LOG10(MAX(AB565,1E-12)))</f>
        <v/>
      </c>
      <c r="AF565" s="195">
        <f>IF(B565="","",SQRT(P565^2+Q565^2))</f>
        <v/>
      </c>
      <c r="AG565" s="195">
        <f>IF(B565="","",SQRT(R565^2+S565^2))</f>
        <v/>
      </c>
    </row>
    <row r="566">
      <c r="A566" t="n">
        <v>563</v>
      </c>
      <c r="B566" s="196">
        <f>IF(A566&lt;='入力・概要'!$B$40,10^(LOG10('入力・概要'!$B$38)+(A566-1)*(LOG10('入力・概要'!$B$39)-LOG10('入力・概要'!$B$38))/('入力・概要'!$B$40-1)),"")</f>
        <v/>
      </c>
      <c r="C566" s="195">
        <f>IF(B566="","",2*PI()*B566)</f>
        <v/>
      </c>
      <c r="D566" s="195">
        <f>IF(B566="","",ATANH(MIN(0.999999,'入力・概要'!$E$20/'入力・概要'!$E$9))+'入力・概要'!$B$20*SQRT(B566/1E6)+E566*'入力・概要'!$B$15/2)</f>
        <v/>
      </c>
      <c r="E566" s="195">
        <f>IF(B566="","",C566*('入力・概要'!$E$11*1E-9))</f>
        <v/>
      </c>
      <c r="F566" s="195">
        <f>IF(B566="","",SINH(2*D566)/(COSH(2*D566)+COS(2*E566)))</f>
        <v/>
      </c>
      <c r="G566" s="195">
        <f>IF(B566="","",SIN(2*E566)/(COSH(2*D566)+COS(2*E566)))</f>
        <v/>
      </c>
      <c r="H566" s="195">
        <f>IF(B566="","",ATANH(MIN(0.999999,'入力・概要'!$E$21/'入力・概要'!$E$15))+'入力・概要'!$B$21*SQRT(B566/1E6)+I566*'入力・概要'!$B$16/2)</f>
        <v/>
      </c>
      <c r="I566" s="195">
        <f>IF(B566="","",C566*('入力・概要'!$E$17*1E-9))</f>
        <v/>
      </c>
      <c r="J566" s="195">
        <f>IF(B566="","",SINH(2*H566)/(COSH(2*H566)+COS(2*I566)))</f>
        <v/>
      </c>
      <c r="K566" s="195">
        <f>IF(B566="","",SIN(2*I566)/(COSH(2*H566)+COS(2*I566)))</f>
        <v/>
      </c>
      <c r="L566" s="195">
        <f>IF(B566="","",'入力・概要'!$B$25)</f>
        <v/>
      </c>
      <c r="M566" s="195">
        <f>IF(B566="","",C566*'入力・概要'!$B$26*1E-9-1/(C566*'入力・概要'!$B$24*1E-6))</f>
        <v/>
      </c>
      <c r="N566" s="195">
        <f>IF(B566="","",'入力・概要'!$B$28)</f>
        <v/>
      </c>
      <c r="O566" s="195">
        <f>IF(B566="","",C566*'入力・概要'!$B$29*1E-9-1/(C566*'入力・概要'!$B$27*1E-6))</f>
        <v/>
      </c>
      <c r="P566" s="195">
        <f>IF(B566="","",((L566*N566-M566*O566)*(L566+N566)+(L566*O566+M566*N566)*(M566+O566))/((L566+N566)^2+(M566+O566)^2))</f>
        <v/>
      </c>
      <c r="Q566" s="195">
        <f>IF(B566="","",((L566*O566+M566*N566)*(L566+N566)-(L566*N566-M566*O566)*(M566+O566))/((L566+N566)^2+(M566+O566)^2))</f>
        <v/>
      </c>
      <c r="R566" s="195">
        <f>IF(B566="","",'入力・概要'!$E$15*J566)</f>
        <v/>
      </c>
      <c r="S566" s="195">
        <f>IF(B566="","",'入力・概要'!$E$15*K566)</f>
        <v/>
      </c>
      <c r="T566" s="195">
        <f>IF(B566="","",P566+R566)</f>
        <v/>
      </c>
      <c r="U566" s="195">
        <f>IF(B566="","",Q566+S566)</f>
        <v/>
      </c>
      <c r="V566" s="195">
        <f>IF(B566="","",T566+'入力・概要'!$E$9*F566)</f>
        <v/>
      </c>
      <c r="W566" s="195">
        <f>IF(B566="","",U566+'入力・概要'!$E$9*G566)</f>
        <v/>
      </c>
      <c r="X566" s="195">
        <f>IF(B566="","",'入力・概要'!$E$9+T566*F566-U566*G566)</f>
        <v/>
      </c>
      <c r="Y566" s="195">
        <f>IF(B566="","",T566*G566+U566*F566)</f>
        <v/>
      </c>
      <c r="Z566" s="195">
        <f>IF(B566="","",'入力・概要'!$E$9*(V566*X566+W566*Y566)/(X566^2+Y566^2)+'入力・概要'!$B$36)</f>
        <v/>
      </c>
      <c r="AA566" s="195">
        <f>IF(B566="","",'入力・概要'!$E$9*(W566*X566-V566*Y566)/(X566^2+Y566^2)+C566*'入力・概要'!$B$37*1E-9)</f>
        <v/>
      </c>
      <c r="AB566" s="195">
        <f>IF(B566="","",SQRT(Z566^2+AA566^2))</f>
        <v/>
      </c>
      <c r="AC566" s="195">
        <f>IF(B566="","",IF(Z566&gt;0,DEGREES(ATAN(AA566/Z566)),IF(Z566&lt;0,IF(AA566&gt;=0,DEGREES(ATAN(AA566/Z566))+180,DEGREES(ATAN(AA566/Z566))-180),IF(AA566&gt;0,90,IF(AA566&lt;0,-90,0)))))</f>
        <v/>
      </c>
      <c r="AD566" s="195">
        <f>IF(B566="","",LOG10(B566))</f>
        <v/>
      </c>
      <c r="AE566" s="195">
        <f>IF(AB566="","",LOG10(MAX(AB566,1E-12)))</f>
        <v/>
      </c>
      <c r="AF566" s="195">
        <f>IF(B566="","",SQRT(P566^2+Q566^2))</f>
        <v/>
      </c>
      <c r="AG566" s="195">
        <f>IF(B566="","",SQRT(R566^2+S566^2))</f>
        <v/>
      </c>
    </row>
    <row r="567">
      <c r="A567" t="n">
        <v>564</v>
      </c>
      <c r="B567" s="196">
        <f>IF(A567&lt;='入力・概要'!$B$40,10^(LOG10('入力・概要'!$B$38)+(A567-1)*(LOG10('入力・概要'!$B$39)-LOG10('入力・概要'!$B$38))/('入力・概要'!$B$40-1)),"")</f>
        <v/>
      </c>
      <c r="C567" s="195">
        <f>IF(B567="","",2*PI()*B567)</f>
        <v/>
      </c>
      <c r="D567" s="195">
        <f>IF(B567="","",ATANH(MIN(0.999999,'入力・概要'!$E$20/'入力・概要'!$E$9))+'入力・概要'!$B$20*SQRT(B567/1E6)+E567*'入力・概要'!$B$15/2)</f>
        <v/>
      </c>
      <c r="E567" s="195">
        <f>IF(B567="","",C567*('入力・概要'!$E$11*1E-9))</f>
        <v/>
      </c>
      <c r="F567" s="195">
        <f>IF(B567="","",SINH(2*D567)/(COSH(2*D567)+COS(2*E567)))</f>
        <v/>
      </c>
      <c r="G567" s="195">
        <f>IF(B567="","",SIN(2*E567)/(COSH(2*D567)+COS(2*E567)))</f>
        <v/>
      </c>
      <c r="H567" s="195">
        <f>IF(B567="","",ATANH(MIN(0.999999,'入力・概要'!$E$21/'入力・概要'!$E$15))+'入力・概要'!$B$21*SQRT(B567/1E6)+I567*'入力・概要'!$B$16/2)</f>
        <v/>
      </c>
      <c r="I567" s="195">
        <f>IF(B567="","",C567*('入力・概要'!$E$17*1E-9))</f>
        <v/>
      </c>
      <c r="J567" s="195">
        <f>IF(B567="","",SINH(2*H567)/(COSH(2*H567)+COS(2*I567)))</f>
        <v/>
      </c>
      <c r="K567" s="195">
        <f>IF(B567="","",SIN(2*I567)/(COSH(2*H567)+COS(2*I567)))</f>
        <v/>
      </c>
      <c r="L567" s="195">
        <f>IF(B567="","",'入力・概要'!$B$25)</f>
        <v/>
      </c>
      <c r="M567" s="195">
        <f>IF(B567="","",C567*'入力・概要'!$B$26*1E-9-1/(C567*'入力・概要'!$B$24*1E-6))</f>
        <v/>
      </c>
      <c r="N567" s="195">
        <f>IF(B567="","",'入力・概要'!$B$28)</f>
        <v/>
      </c>
      <c r="O567" s="195">
        <f>IF(B567="","",C567*'入力・概要'!$B$29*1E-9-1/(C567*'入力・概要'!$B$27*1E-6))</f>
        <v/>
      </c>
      <c r="P567" s="195">
        <f>IF(B567="","",((L567*N567-M567*O567)*(L567+N567)+(L567*O567+M567*N567)*(M567+O567))/((L567+N567)^2+(M567+O567)^2))</f>
        <v/>
      </c>
      <c r="Q567" s="195">
        <f>IF(B567="","",((L567*O567+M567*N567)*(L567+N567)-(L567*N567-M567*O567)*(M567+O567))/((L567+N567)^2+(M567+O567)^2))</f>
        <v/>
      </c>
      <c r="R567" s="195">
        <f>IF(B567="","",'入力・概要'!$E$15*J567)</f>
        <v/>
      </c>
      <c r="S567" s="195">
        <f>IF(B567="","",'入力・概要'!$E$15*K567)</f>
        <v/>
      </c>
      <c r="T567" s="195">
        <f>IF(B567="","",P567+R567)</f>
        <v/>
      </c>
      <c r="U567" s="195">
        <f>IF(B567="","",Q567+S567)</f>
        <v/>
      </c>
      <c r="V567" s="195">
        <f>IF(B567="","",T567+'入力・概要'!$E$9*F567)</f>
        <v/>
      </c>
      <c r="W567" s="195">
        <f>IF(B567="","",U567+'入力・概要'!$E$9*G567)</f>
        <v/>
      </c>
      <c r="X567" s="195">
        <f>IF(B567="","",'入力・概要'!$E$9+T567*F567-U567*G567)</f>
        <v/>
      </c>
      <c r="Y567" s="195">
        <f>IF(B567="","",T567*G567+U567*F567)</f>
        <v/>
      </c>
      <c r="Z567" s="195">
        <f>IF(B567="","",'入力・概要'!$E$9*(V567*X567+W567*Y567)/(X567^2+Y567^2)+'入力・概要'!$B$36)</f>
        <v/>
      </c>
      <c r="AA567" s="195">
        <f>IF(B567="","",'入力・概要'!$E$9*(W567*X567-V567*Y567)/(X567^2+Y567^2)+C567*'入力・概要'!$B$37*1E-9)</f>
        <v/>
      </c>
      <c r="AB567" s="195">
        <f>IF(B567="","",SQRT(Z567^2+AA567^2))</f>
        <v/>
      </c>
      <c r="AC567" s="195">
        <f>IF(B567="","",IF(Z567&gt;0,DEGREES(ATAN(AA567/Z567)),IF(Z567&lt;0,IF(AA567&gt;=0,DEGREES(ATAN(AA567/Z567))+180,DEGREES(ATAN(AA567/Z567))-180),IF(AA567&gt;0,90,IF(AA567&lt;0,-90,0)))))</f>
        <v/>
      </c>
      <c r="AD567" s="195">
        <f>IF(B567="","",LOG10(B567))</f>
        <v/>
      </c>
      <c r="AE567" s="195">
        <f>IF(AB567="","",LOG10(MAX(AB567,1E-12)))</f>
        <v/>
      </c>
      <c r="AF567" s="195">
        <f>IF(B567="","",SQRT(P567^2+Q567^2))</f>
        <v/>
      </c>
      <c r="AG567" s="195">
        <f>IF(B567="","",SQRT(R567^2+S567^2))</f>
        <v/>
      </c>
    </row>
    <row r="568">
      <c r="A568" t="n">
        <v>565</v>
      </c>
      <c r="B568" s="196">
        <f>IF(A568&lt;='入力・概要'!$B$40,10^(LOG10('入力・概要'!$B$38)+(A568-1)*(LOG10('入力・概要'!$B$39)-LOG10('入力・概要'!$B$38))/('入力・概要'!$B$40-1)),"")</f>
        <v/>
      </c>
      <c r="C568" s="195">
        <f>IF(B568="","",2*PI()*B568)</f>
        <v/>
      </c>
      <c r="D568" s="195">
        <f>IF(B568="","",ATANH(MIN(0.999999,'入力・概要'!$E$20/'入力・概要'!$E$9))+'入力・概要'!$B$20*SQRT(B568/1E6)+E568*'入力・概要'!$B$15/2)</f>
        <v/>
      </c>
      <c r="E568" s="195">
        <f>IF(B568="","",C568*('入力・概要'!$E$11*1E-9))</f>
        <v/>
      </c>
      <c r="F568" s="195">
        <f>IF(B568="","",SINH(2*D568)/(COSH(2*D568)+COS(2*E568)))</f>
        <v/>
      </c>
      <c r="G568" s="195">
        <f>IF(B568="","",SIN(2*E568)/(COSH(2*D568)+COS(2*E568)))</f>
        <v/>
      </c>
      <c r="H568" s="195">
        <f>IF(B568="","",ATANH(MIN(0.999999,'入力・概要'!$E$21/'入力・概要'!$E$15))+'入力・概要'!$B$21*SQRT(B568/1E6)+I568*'入力・概要'!$B$16/2)</f>
        <v/>
      </c>
      <c r="I568" s="195">
        <f>IF(B568="","",C568*('入力・概要'!$E$17*1E-9))</f>
        <v/>
      </c>
      <c r="J568" s="195">
        <f>IF(B568="","",SINH(2*H568)/(COSH(2*H568)+COS(2*I568)))</f>
        <v/>
      </c>
      <c r="K568" s="195">
        <f>IF(B568="","",SIN(2*I568)/(COSH(2*H568)+COS(2*I568)))</f>
        <v/>
      </c>
      <c r="L568" s="195">
        <f>IF(B568="","",'入力・概要'!$B$25)</f>
        <v/>
      </c>
      <c r="M568" s="195">
        <f>IF(B568="","",C568*'入力・概要'!$B$26*1E-9-1/(C568*'入力・概要'!$B$24*1E-6))</f>
        <v/>
      </c>
      <c r="N568" s="195">
        <f>IF(B568="","",'入力・概要'!$B$28)</f>
        <v/>
      </c>
      <c r="O568" s="195">
        <f>IF(B568="","",C568*'入力・概要'!$B$29*1E-9-1/(C568*'入力・概要'!$B$27*1E-6))</f>
        <v/>
      </c>
      <c r="P568" s="195">
        <f>IF(B568="","",((L568*N568-M568*O568)*(L568+N568)+(L568*O568+M568*N568)*(M568+O568))/((L568+N568)^2+(M568+O568)^2))</f>
        <v/>
      </c>
      <c r="Q568" s="195">
        <f>IF(B568="","",((L568*O568+M568*N568)*(L568+N568)-(L568*N568-M568*O568)*(M568+O568))/((L568+N568)^2+(M568+O568)^2))</f>
        <v/>
      </c>
      <c r="R568" s="195">
        <f>IF(B568="","",'入力・概要'!$E$15*J568)</f>
        <v/>
      </c>
      <c r="S568" s="195">
        <f>IF(B568="","",'入力・概要'!$E$15*K568)</f>
        <v/>
      </c>
      <c r="T568" s="195">
        <f>IF(B568="","",P568+R568)</f>
        <v/>
      </c>
      <c r="U568" s="195">
        <f>IF(B568="","",Q568+S568)</f>
        <v/>
      </c>
      <c r="V568" s="195">
        <f>IF(B568="","",T568+'入力・概要'!$E$9*F568)</f>
        <v/>
      </c>
      <c r="W568" s="195">
        <f>IF(B568="","",U568+'入力・概要'!$E$9*G568)</f>
        <v/>
      </c>
      <c r="X568" s="195">
        <f>IF(B568="","",'入力・概要'!$E$9+T568*F568-U568*G568)</f>
        <v/>
      </c>
      <c r="Y568" s="195">
        <f>IF(B568="","",T568*G568+U568*F568)</f>
        <v/>
      </c>
      <c r="Z568" s="195">
        <f>IF(B568="","",'入力・概要'!$E$9*(V568*X568+W568*Y568)/(X568^2+Y568^2)+'入力・概要'!$B$36)</f>
        <v/>
      </c>
      <c r="AA568" s="195">
        <f>IF(B568="","",'入力・概要'!$E$9*(W568*X568-V568*Y568)/(X568^2+Y568^2)+C568*'入力・概要'!$B$37*1E-9)</f>
        <v/>
      </c>
      <c r="AB568" s="195">
        <f>IF(B568="","",SQRT(Z568^2+AA568^2))</f>
        <v/>
      </c>
      <c r="AC568" s="195">
        <f>IF(B568="","",IF(Z568&gt;0,DEGREES(ATAN(AA568/Z568)),IF(Z568&lt;0,IF(AA568&gt;=0,DEGREES(ATAN(AA568/Z568))+180,DEGREES(ATAN(AA568/Z568))-180),IF(AA568&gt;0,90,IF(AA568&lt;0,-90,0)))))</f>
        <v/>
      </c>
      <c r="AD568" s="195">
        <f>IF(B568="","",LOG10(B568))</f>
        <v/>
      </c>
      <c r="AE568" s="195">
        <f>IF(AB568="","",LOG10(MAX(AB568,1E-12)))</f>
        <v/>
      </c>
      <c r="AF568" s="195">
        <f>IF(B568="","",SQRT(P568^2+Q568^2))</f>
        <v/>
      </c>
      <c r="AG568" s="195">
        <f>IF(B568="","",SQRT(R568^2+S568^2))</f>
        <v/>
      </c>
    </row>
    <row r="569">
      <c r="A569" t="n">
        <v>566</v>
      </c>
      <c r="B569" s="196">
        <f>IF(A569&lt;='入力・概要'!$B$40,10^(LOG10('入力・概要'!$B$38)+(A569-1)*(LOG10('入力・概要'!$B$39)-LOG10('入力・概要'!$B$38))/('入力・概要'!$B$40-1)),"")</f>
        <v/>
      </c>
      <c r="C569" s="195">
        <f>IF(B569="","",2*PI()*B569)</f>
        <v/>
      </c>
      <c r="D569" s="195">
        <f>IF(B569="","",ATANH(MIN(0.999999,'入力・概要'!$E$20/'入力・概要'!$E$9))+'入力・概要'!$B$20*SQRT(B569/1E6)+E569*'入力・概要'!$B$15/2)</f>
        <v/>
      </c>
      <c r="E569" s="195">
        <f>IF(B569="","",C569*('入力・概要'!$E$11*1E-9))</f>
        <v/>
      </c>
      <c r="F569" s="195">
        <f>IF(B569="","",SINH(2*D569)/(COSH(2*D569)+COS(2*E569)))</f>
        <v/>
      </c>
      <c r="G569" s="195">
        <f>IF(B569="","",SIN(2*E569)/(COSH(2*D569)+COS(2*E569)))</f>
        <v/>
      </c>
      <c r="H569" s="195">
        <f>IF(B569="","",ATANH(MIN(0.999999,'入力・概要'!$E$21/'入力・概要'!$E$15))+'入力・概要'!$B$21*SQRT(B569/1E6)+I569*'入力・概要'!$B$16/2)</f>
        <v/>
      </c>
      <c r="I569" s="195">
        <f>IF(B569="","",C569*('入力・概要'!$E$17*1E-9))</f>
        <v/>
      </c>
      <c r="J569" s="195">
        <f>IF(B569="","",SINH(2*H569)/(COSH(2*H569)+COS(2*I569)))</f>
        <v/>
      </c>
      <c r="K569" s="195">
        <f>IF(B569="","",SIN(2*I569)/(COSH(2*H569)+COS(2*I569)))</f>
        <v/>
      </c>
      <c r="L569" s="195">
        <f>IF(B569="","",'入力・概要'!$B$25)</f>
        <v/>
      </c>
      <c r="M569" s="195">
        <f>IF(B569="","",C569*'入力・概要'!$B$26*1E-9-1/(C569*'入力・概要'!$B$24*1E-6))</f>
        <v/>
      </c>
      <c r="N569" s="195">
        <f>IF(B569="","",'入力・概要'!$B$28)</f>
        <v/>
      </c>
      <c r="O569" s="195">
        <f>IF(B569="","",C569*'入力・概要'!$B$29*1E-9-1/(C569*'入力・概要'!$B$27*1E-6))</f>
        <v/>
      </c>
      <c r="P569" s="195">
        <f>IF(B569="","",((L569*N569-M569*O569)*(L569+N569)+(L569*O569+M569*N569)*(M569+O569))/((L569+N569)^2+(M569+O569)^2))</f>
        <v/>
      </c>
      <c r="Q569" s="195">
        <f>IF(B569="","",((L569*O569+M569*N569)*(L569+N569)-(L569*N569-M569*O569)*(M569+O569))/((L569+N569)^2+(M569+O569)^2))</f>
        <v/>
      </c>
      <c r="R569" s="195">
        <f>IF(B569="","",'入力・概要'!$E$15*J569)</f>
        <v/>
      </c>
      <c r="S569" s="195">
        <f>IF(B569="","",'入力・概要'!$E$15*K569)</f>
        <v/>
      </c>
      <c r="T569" s="195">
        <f>IF(B569="","",P569+R569)</f>
        <v/>
      </c>
      <c r="U569" s="195">
        <f>IF(B569="","",Q569+S569)</f>
        <v/>
      </c>
      <c r="V569" s="195">
        <f>IF(B569="","",T569+'入力・概要'!$E$9*F569)</f>
        <v/>
      </c>
      <c r="W569" s="195">
        <f>IF(B569="","",U569+'入力・概要'!$E$9*G569)</f>
        <v/>
      </c>
      <c r="X569" s="195">
        <f>IF(B569="","",'入力・概要'!$E$9+T569*F569-U569*G569)</f>
        <v/>
      </c>
      <c r="Y569" s="195">
        <f>IF(B569="","",T569*G569+U569*F569)</f>
        <v/>
      </c>
      <c r="Z569" s="195">
        <f>IF(B569="","",'入力・概要'!$E$9*(V569*X569+W569*Y569)/(X569^2+Y569^2)+'入力・概要'!$B$36)</f>
        <v/>
      </c>
      <c r="AA569" s="195">
        <f>IF(B569="","",'入力・概要'!$E$9*(W569*X569-V569*Y569)/(X569^2+Y569^2)+C569*'入力・概要'!$B$37*1E-9)</f>
        <v/>
      </c>
      <c r="AB569" s="195">
        <f>IF(B569="","",SQRT(Z569^2+AA569^2))</f>
        <v/>
      </c>
      <c r="AC569" s="195">
        <f>IF(B569="","",IF(Z569&gt;0,DEGREES(ATAN(AA569/Z569)),IF(Z569&lt;0,IF(AA569&gt;=0,DEGREES(ATAN(AA569/Z569))+180,DEGREES(ATAN(AA569/Z569))-180),IF(AA569&gt;0,90,IF(AA569&lt;0,-90,0)))))</f>
        <v/>
      </c>
      <c r="AD569" s="195">
        <f>IF(B569="","",LOG10(B569))</f>
        <v/>
      </c>
      <c r="AE569" s="195">
        <f>IF(AB569="","",LOG10(MAX(AB569,1E-12)))</f>
        <v/>
      </c>
      <c r="AF569" s="195">
        <f>IF(B569="","",SQRT(P569^2+Q569^2))</f>
        <v/>
      </c>
      <c r="AG569" s="195">
        <f>IF(B569="","",SQRT(R569^2+S569^2))</f>
        <v/>
      </c>
    </row>
    <row r="570">
      <c r="A570" t="n">
        <v>567</v>
      </c>
      <c r="B570" s="196">
        <f>IF(A570&lt;='入力・概要'!$B$40,10^(LOG10('入力・概要'!$B$38)+(A570-1)*(LOG10('入力・概要'!$B$39)-LOG10('入力・概要'!$B$38))/('入力・概要'!$B$40-1)),"")</f>
        <v/>
      </c>
      <c r="C570" s="195">
        <f>IF(B570="","",2*PI()*B570)</f>
        <v/>
      </c>
      <c r="D570" s="195">
        <f>IF(B570="","",ATANH(MIN(0.999999,'入力・概要'!$E$20/'入力・概要'!$E$9))+'入力・概要'!$B$20*SQRT(B570/1E6)+E570*'入力・概要'!$B$15/2)</f>
        <v/>
      </c>
      <c r="E570" s="195">
        <f>IF(B570="","",C570*('入力・概要'!$E$11*1E-9))</f>
        <v/>
      </c>
      <c r="F570" s="195">
        <f>IF(B570="","",SINH(2*D570)/(COSH(2*D570)+COS(2*E570)))</f>
        <v/>
      </c>
      <c r="G570" s="195">
        <f>IF(B570="","",SIN(2*E570)/(COSH(2*D570)+COS(2*E570)))</f>
        <v/>
      </c>
      <c r="H570" s="195">
        <f>IF(B570="","",ATANH(MIN(0.999999,'入力・概要'!$E$21/'入力・概要'!$E$15))+'入力・概要'!$B$21*SQRT(B570/1E6)+I570*'入力・概要'!$B$16/2)</f>
        <v/>
      </c>
      <c r="I570" s="195">
        <f>IF(B570="","",C570*('入力・概要'!$E$17*1E-9))</f>
        <v/>
      </c>
      <c r="J570" s="195">
        <f>IF(B570="","",SINH(2*H570)/(COSH(2*H570)+COS(2*I570)))</f>
        <v/>
      </c>
      <c r="K570" s="195">
        <f>IF(B570="","",SIN(2*I570)/(COSH(2*H570)+COS(2*I570)))</f>
        <v/>
      </c>
      <c r="L570" s="195">
        <f>IF(B570="","",'入力・概要'!$B$25)</f>
        <v/>
      </c>
      <c r="M570" s="195">
        <f>IF(B570="","",C570*'入力・概要'!$B$26*1E-9-1/(C570*'入力・概要'!$B$24*1E-6))</f>
        <v/>
      </c>
      <c r="N570" s="195">
        <f>IF(B570="","",'入力・概要'!$B$28)</f>
        <v/>
      </c>
      <c r="O570" s="195">
        <f>IF(B570="","",C570*'入力・概要'!$B$29*1E-9-1/(C570*'入力・概要'!$B$27*1E-6))</f>
        <v/>
      </c>
      <c r="P570" s="195">
        <f>IF(B570="","",((L570*N570-M570*O570)*(L570+N570)+(L570*O570+M570*N570)*(M570+O570))/((L570+N570)^2+(M570+O570)^2))</f>
        <v/>
      </c>
      <c r="Q570" s="195">
        <f>IF(B570="","",((L570*O570+M570*N570)*(L570+N570)-(L570*N570-M570*O570)*(M570+O570))/((L570+N570)^2+(M570+O570)^2))</f>
        <v/>
      </c>
      <c r="R570" s="195">
        <f>IF(B570="","",'入力・概要'!$E$15*J570)</f>
        <v/>
      </c>
      <c r="S570" s="195">
        <f>IF(B570="","",'入力・概要'!$E$15*K570)</f>
        <v/>
      </c>
      <c r="T570" s="195">
        <f>IF(B570="","",P570+R570)</f>
        <v/>
      </c>
      <c r="U570" s="195">
        <f>IF(B570="","",Q570+S570)</f>
        <v/>
      </c>
      <c r="V570" s="195">
        <f>IF(B570="","",T570+'入力・概要'!$E$9*F570)</f>
        <v/>
      </c>
      <c r="W570" s="195">
        <f>IF(B570="","",U570+'入力・概要'!$E$9*G570)</f>
        <v/>
      </c>
      <c r="X570" s="195">
        <f>IF(B570="","",'入力・概要'!$E$9+T570*F570-U570*G570)</f>
        <v/>
      </c>
      <c r="Y570" s="195">
        <f>IF(B570="","",T570*G570+U570*F570)</f>
        <v/>
      </c>
      <c r="Z570" s="195">
        <f>IF(B570="","",'入力・概要'!$E$9*(V570*X570+W570*Y570)/(X570^2+Y570^2)+'入力・概要'!$B$36)</f>
        <v/>
      </c>
      <c r="AA570" s="195">
        <f>IF(B570="","",'入力・概要'!$E$9*(W570*X570-V570*Y570)/(X570^2+Y570^2)+C570*'入力・概要'!$B$37*1E-9)</f>
        <v/>
      </c>
      <c r="AB570" s="195">
        <f>IF(B570="","",SQRT(Z570^2+AA570^2))</f>
        <v/>
      </c>
      <c r="AC570" s="195">
        <f>IF(B570="","",IF(Z570&gt;0,DEGREES(ATAN(AA570/Z570)),IF(Z570&lt;0,IF(AA570&gt;=0,DEGREES(ATAN(AA570/Z570))+180,DEGREES(ATAN(AA570/Z570))-180),IF(AA570&gt;0,90,IF(AA570&lt;0,-90,0)))))</f>
        <v/>
      </c>
      <c r="AD570" s="195">
        <f>IF(B570="","",LOG10(B570))</f>
        <v/>
      </c>
      <c r="AE570" s="195">
        <f>IF(AB570="","",LOG10(MAX(AB570,1E-12)))</f>
        <v/>
      </c>
      <c r="AF570" s="195">
        <f>IF(B570="","",SQRT(P570^2+Q570^2))</f>
        <v/>
      </c>
      <c r="AG570" s="195">
        <f>IF(B570="","",SQRT(R570^2+S570^2))</f>
        <v/>
      </c>
    </row>
    <row r="571">
      <c r="A571" t="n">
        <v>568</v>
      </c>
      <c r="B571" s="196">
        <f>IF(A571&lt;='入力・概要'!$B$40,10^(LOG10('入力・概要'!$B$38)+(A571-1)*(LOG10('入力・概要'!$B$39)-LOG10('入力・概要'!$B$38))/('入力・概要'!$B$40-1)),"")</f>
        <v/>
      </c>
      <c r="C571" s="195">
        <f>IF(B571="","",2*PI()*B571)</f>
        <v/>
      </c>
      <c r="D571" s="195">
        <f>IF(B571="","",ATANH(MIN(0.999999,'入力・概要'!$E$20/'入力・概要'!$E$9))+'入力・概要'!$B$20*SQRT(B571/1E6)+E571*'入力・概要'!$B$15/2)</f>
        <v/>
      </c>
      <c r="E571" s="195">
        <f>IF(B571="","",C571*('入力・概要'!$E$11*1E-9))</f>
        <v/>
      </c>
      <c r="F571" s="195">
        <f>IF(B571="","",SINH(2*D571)/(COSH(2*D571)+COS(2*E571)))</f>
        <v/>
      </c>
      <c r="G571" s="195">
        <f>IF(B571="","",SIN(2*E571)/(COSH(2*D571)+COS(2*E571)))</f>
        <v/>
      </c>
      <c r="H571" s="195">
        <f>IF(B571="","",ATANH(MIN(0.999999,'入力・概要'!$E$21/'入力・概要'!$E$15))+'入力・概要'!$B$21*SQRT(B571/1E6)+I571*'入力・概要'!$B$16/2)</f>
        <v/>
      </c>
      <c r="I571" s="195">
        <f>IF(B571="","",C571*('入力・概要'!$E$17*1E-9))</f>
        <v/>
      </c>
      <c r="J571" s="195">
        <f>IF(B571="","",SINH(2*H571)/(COSH(2*H571)+COS(2*I571)))</f>
        <v/>
      </c>
      <c r="K571" s="195">
        <f>IF(B571="","",SIN(2*I571)/(COSH(2*H571)+COS(2*I571)))</f>
        <v/>
      </c>
      <c r="L571" s="195">
        <f>IF(B571="","",'入力・概要'!$B$25)</f>
        <v/>
      </c>
      <c r="M571" s="195">
        <f>IF(B571="","",C571*'入力・概要'!$B$26*1E-9-1/(C571*'入力・概要'!$B$24*1E-6))</f>
        <v/>
      </c>
      <c r="N571" s="195">
        <f>IF(B571="","",'入力・概要'!$B$28)</f>
        <v/>
      </c>
      <c r="O571" s="195">
        <f>IF(B571="","",C571*'入力・概要'!$B$29*1E-9-1/(C571*'入力・概要'!$B$27*1E-6))</f>
        <v/>
      </c>
      <c r="P571" s="195">
        <f>IF(B571="","",((L571*N571-M571*O571)*(L571+N571)+(L571*O571+M571*N571)*(M571+O571))/((L571+N571)^2+(M571+O571)^2))</f>
        <v/>
      </c>
      <c r="Q571" s="195">
        <f>IF(B571="","",((L571*O571+M571*N571)*(L571+N571)-(L571*N571-M571*O571)*(M571+O571))/((L571+N571)^2+(M571+O571)^2))</f>
        <v/>
      </c>
      <c r="R571" s="195">
        <f>IF(B571="","",'入力・概要'!$E$15*J571)</f>
        <v/>
      </c>
      <c r="S571" s="195">
        <f>IF(B571="","",'入力・概要'!$E$15*K571)</f>
        <v/>
      </c>
      <c r="T571" s="195">
        <f>IF(B571="","",P571+R571)</f>
        <v/>
      </c>
      <c r="U571" s="195">
        <f>IF(B571="","",Q571+S571)</f>
        <v/>
      </c>
      <c r="V571" s="195">
        <f>IF(B571="","",T571+'入力・概要'!$E$9*F571)</f>
        <v/>
      </c>
      <c r="W571" s="195">
        <f>IF(B571="","",U571+'入力・概要'!$E$9*G571)</f>
        <v/>
      </c>
      <c r="X571" s="195">
        <f>IF(B571="","",'入力・概要'!$E$9+T571*F571-U571*G571)</f>
        <v/>
      </c>
      <c r="Y571" s="195">
        <f>IF(B571="","",T571*G571+U571*F571)</f>
        <v/>
      </c>
      <c r="Z571" s="195">
        <f>IF(B571="","",'入力・概要'!$E$9*(V571*X571+W571*Y571)/(X571^2+Y571^2)+'入力・概要'!$B$36)</f>
        <v/>
      </c>
      <c r="AA571" s="195">
        <f>IF(B571="","",'入力・概要'!$E$9*(W571*X571-V571*Y571)/(X571^2+Y571^2)+C571*'入力・概要'!$B$37*1E-9)</f>
        <v/>
      </c>
      <c r="AB571" s="195">
        <f>IF(B571="","",SQRT(Z571^2+AA571^2))</f>
        <v/>
      </c>
      <c r="AC571" s="195">
        <f>IF(B571="","",IF(Z571&gt;0,DEGREES(ATAN(AA571/Z571)),IF(Z571&lt;0,IF(AA571&gt;=0,DEGREES(ATAN(AA571/Z571))+180,DEGREES(ATAN(AA571/Z571))-180),IF(AA571&gt;0,90,IF(AA571&lt;0,-90,0)))))</f>
        <v/>
      </c>
      <c r="AD571" s="195">
        <f>IF(B571="","",LOG10(B571))</f>
        <v/>
      </c>
      <c r="AE571" s="195">
        <f>IF(AB571="","",LOG10(MAX(AB571,1E-12)))</f>
        <v/>
      </c>
      <c r="AF571" s="195">
        <f>IF(B571="","",SQRT(P571^2+Q571^2))</f>
        <v/>
      </c>
      <c r="AG571" s="195">
        <f>IF(B571="","",SQRT(R571^2+S571^2))</f>
        <v/>
      </c>
    </row>
    <row r="572">
      <c r="A572" t="n">
        <v>569</v>
      </c>
      <c r="B572" s="196">
        <f>IF(A572&lt;='入力・概要'!$B$40,10^(LOG10('入力・概要'!$B$38)+(A572-1)*(LOG10('入力・概要'!$B$39)-LOG10('入力・概要'!$B$38))/('入力・概要'!$B$40-1)),"")</f>
        <v/>
      </c>
      <c r="C572" s="195">
        <f>IF(B572="","",2*PI()*B572)</f>
        <v/>
      </c>
      <c r="D572" s="195">
        <f>IF(B572="","",ATANH(MIN(0.999999,'入力・概要'!$E$20/'入力・概要'!$E$9))+'入力・概要'!$B$20*SQRT(B572/1E6)+E572*'入力・概要'!$B$15/2)</f>
        <v/>
      </c>
      <c r="E572" s="195">
        <f>IF(B572="","",C572*('入力・概要'!$E$11*1E-9))</f>
        <v/>
      </c>
      <c r="F572" s="195">
        <f>IF(B572="","",SINH(2*D572)/(COSH(2*D572)+COS(2*E572)))</f>
        <v/>
      </c>
      <c r="G572" s="195">
        <f>IF(B572="","",SIN(2*E572)/(COSH(2*D572)+COS(2*E572)))</f>
        <v/>
      </c>
      <c r="H572" s="195">
        <f>IF(B572="","",ATANH(MIN(0.999999,'入力・概要'!$E$21/'入力・概要'!$E$15))+'入力・概要'!$B$21*SQRT(B572/1E6)+I572*'入力・概要'!$B$16/2)</f>
        <v/>
      </c>
      <c r="I572" s="195">
        <f>IF(B572="","",C572*('入力・概要'!$E$17*1E-9))</f>
        <v/>
      </c>
      <c r="J572" s="195">
        <f>IF(B572="","",SINH(2*H572)/(COSH(2*H572)+COS(2*I572)))</f>
        <v/>
      </c>
      <c r="K572" s="195">
        <f>IF(B572="","",SIN(2*I572)/(COSH(2*H572)+COS(2*I572)))</f>
        <v/>
      </c>
      <c r="L572" s="195">
        <f>IF(B572="","",'入力・概要'!$B$25)</f>
        <v/>
      </c>
      <c r="M572" s="195">
        <f>IF(B572="","",C572*'入力・概要'!$B$26*1E-9-1/(C572*'入力・概要'!$B$24*1E-6))</f>
        <v/>
      </c>
      <c r="N572" s="195">
        <f>IF(B572="","",'入力・概要'!$B$28)</f>
        <v/>
      </c>
      <c r="O572" s="195">
        <f>IF(B572="","",C572*'入力・概要'!$B$29*1E-9-1/(C572*'入力・概要'!$B$27*1E-6))</f>
        <v/>
      </c>
      <c r="P572" s="195">
        <f>IF(B572="","",((L572*N572-M572*O572)*(L572+N572)+(L572*O572+M572*N572)*(M572+O572))/((L572+N572)^2+(M572+O572)^2))</f>
        <v/>
      </c>
      <c r="Q572" s="195">
        <f>IF(B572="","",((L572*O572+M572*N572)*(L572+N572)-(L572*N572-M572*O572)*(M572+O572))/((L572+N572)^2+(M572+O572)^2))</f>
        <v/>
      </c>
      <c r="R572" s="195">
        <f>IF(B572="","",'入力・概要'!$E$15*J572)</f>
        <v/>
      </c>
      <c r="S572" s="195">
        <f>IF(B572="","",'入力・概要'!$E$15*K572)</f>
        <v/>
      </c>
      <c r="T572" s="195">
        <f>IF(B572="","",P572+R572)</f>
        <v/>
      </c>
      <c r="U572" s="195">
        <f>IF(B572="","",Q572+S572)</f>
        <v/>
      </c>
      <c r="V572" s="195">
        <f>IF(B572="","",T572+'入力・概要'!$E$9*F572)</f>
        <v/>
      </c>
      <c r="W572" s="195">
        <f>IF(B572="","",U572+'入力・概要'!$E$9*G572)</f>
        <v/>
      </c>
      <c r="X572" s="195">
        <f>IF(B572="","",'入力・概要'!$E$9+T572*F572-U572*G572)</f>
        <v/>
      </c>
      <c r="Y572" s="195">
        <f>IF(B572="","",T572*G572+U572*F572)</f>
        <v/>
      </c>
      <c r="Z572" s="195">
        <f>IF(B572="","",'入力・概要'!$E$9*(V572*X572+W572*Y572)/(X572^2+Y572^2)+'入力・概要'!$B$36)</f>
        <v/>
      </c>
      <c r="AA572" s="195">
        <f>IF(B572="","",'入力・概要'!$E$9*(W572*X572-V572*Y572)/(X572^2+Y572^2)+C572*'入力・概要'!$B$37*1E-9)</f>
        <v/>
      </c>
      <c r="AB572" s="195">
        <f>IF(B572="","",SQRT(Z572^2+AA572^2))</f>
        <v/>
      </c>
      <c r="AC572" s="195">
        <f>IF(B572="","",IF(Z572&gt;0,DEGREES(ATAN(AA572/Z572)),IF(Z572&lt;0,IF(AA572&gt;=0,DEGREES(ATAN(AA572/Z572))+180,DEGREES(ATAN(AA572/Z572))-180),IF(AA572&gt;0,90,IF(AA572&lt;0,-90,0)))))</f>
        <v/>
      </c>
      <c r="AD572" s="195">
        <f>IF(B572="","",LOG10(B572))</f>
        <v/>
      </c>
      <c r="AE572" s="195">
        <f>IF(AB572="","",LOG10(MAX(AB572,1E-12)))</f>
        <v/>
      </c>
      <c r="AF572" s="195">
        <f>IF(B572="","",SQRT(P572^2+Q572^2))</f>
        <v/>
      </c>
      <c r="AG572" s="195">
        <f>IF(B572="","",SQRT(R572^2+S572^2))</f>
        <v/>
      </c>
    </row>
    <row r="573">
      <c r="A573" t="n">
        <v>570</v>
      </c>
      <c r="B573" s="196">
        <f>IF(A573&lt;='入力・概要'!$B$40,10^(LOG10('入力・概要'!$B$38)+(A573-1)*(LOG10('入力・概要'!$B$39)-LOG10('入力・概要'!$B$38))/('入力・概要'!$B$40-1)),"")</f>
        <v/>
      </c>
      <c r="C573" s="195">
        <f>IF(B573="","",2*PI()*B573)</f>
        <v/>
      </c>
      <c r="D573" s="195">
        <f>IF(B573="","",ATANH(MIN(0.999999,'入力・概要'!$E$20/'入力・概要'!$E$9))+'入力・概要'!$B$20*SQRT(B573/1E6)+E573*'入力・概要'!$B$15/2)</f>
        <v/>
      </c>
      <c r="E573" s="195">
        <f>IF(B573="","",C573*('入力・概要'!$E$11*1E-9))</f>
        <v/>
      </c>
      <c r="F573" s="195">
        <f>IF(B573="","",SINH(2*D573)/(COSH(2*D573)+COS(2*E573)))</f>
        <v/>
      </c>
      <c r="G573" s="195">
        <f>IF(B573="","",SIN(2*E573)/(COSH(2*D573)+COS(2*E573)))</f>
        <v/>
      </c>
      <c r="H573" s="195">
        <f>IF(B573="","",ATANH(MIN(0.999999,'入力・概要'!$E$21/'入力・概要'!$E$15))+'入力・概要'!$B$21*SQRT(B573/1E6)+I573*'入力・概要'!$B$16/2)</f>
        <v/>
      </c>
      <c r="I573" s="195">
        <f>IF(B573="","",C573*('入力・概要'!$E$17*1E-9))</f>
        <v/>
      </c>
      <c r="J573" s="195">
        <f>IF(B573="","",SINH(2*H573)/(COSH(2*H573)+COS(2*I573)))</f>
        <v/>
      </c>
      <c r="K573" s="195">
        <f>IF(B573="","",SIN(2*I573)/(COSH(2*H573)+COS(2*I573)))</f>
        <v/>
      </c>
      <c r="L573" s="195">
        <f>IF(B573="","",'入力・概要'!$B$25)</f>
        <v/>
      </c>
      <c r="M573" s="195">
        <f>IF(B573="","",C573*'入力・概要'!$B$26*1E-9-1/(C573*'入力・概要'!$B$24*1E-6))</f>
        <v/>
      </c>
      <c r="N573" s="195">
        <f>IF(B573="","",'入力・概要'!$B$28)</f>
        <v/>
      </c>
      <c r="O573" s="195">
        <f>IF(B573="","",C573*'入力・概要'!$B$29*1E-9-1/(C573*'入力・概要'!$B$27*1E-6))</f>
        <v/>
      </c>
      <c r="P573" s="195">
        <f>IF(B573="","",((L573*N573-M573*O573)*(L573+N573)+(L573*O573+M573*N573)*(M573+O573))/((L573+N573)^2+(M573+O573)^2))</f>
        <v/>
      </c>
      <c r="Q573" s="195">
        <f>IF(B573="","",((L573*O573+M573*N573)*(L573+N573)-(L573*N573-M573*O573)*(M573+O573))/((L573+N573)^2+(M573+O573)^2))</f>
        <v/>
      </c>
      <c r="R573" s="195">
        <f>IF(B573="","",'入力・概要'!$E$15*J573)</f>
        <v/>
      </c>
      <c r="S573" s="195">
        <f>IF(B573="","",'入力・概要'!$E$15*K573)</f>
        <v/>
      </c>
      <c r="T573" s="195">
        <f>IF(B573="","",P573+R573)</f>
        <v/>
      </c>
      <c r="U573" s="195">
        <f>IF(B573="","",Q573+S573)</f>
        <v/>
      </c>
      <c r="V573" s="195">
        <f>IF(B573="","",T573+'入力・概要'!$E$9*F573)</f>
        <v/>
      </c>
      <c r="W573" s="195">
        <f>IF(B573="","",U573+'入力・概要'!$E$9*G573)</f>
        <v/>
      </c>
      <c r="X573" s="195">
        <f>IF(B573="","",'入力・概要'!$E$9+T573*F573-U573*G573)</f>
        <v/>
      </c>
      <c r="Y573" s="195">
        <f>IF(B573="","",T573*G573+U573*F573)</f>
        <v/>
      </c>
      <c r="Z573" s="195">
        <f>IF(B573="","",'入力・概要'!$E$9*(V573*X573+W573*Y573)/(X573^2+Y573^2)+'入力・概要'!$B$36)</f>
        <v/>
      </c>
      <c r="AA573" s="195">
        <f>IF(B573="","",'入力・概要'!$E$9*(W573*X573-V573*Y573)/(X573^2+Y573^2)+C573*'入力・概要'!$B$37*1E-9)</f>
        <v/>
      </c>
      <c r="AB573" s="195">
        <f>IF(B573="","",SQRT(Z573^2+AA573^2))</f>
        <v/>
      </c>
      <c r="AC573" s="195">
        <f>IF(B573="","",IF(Z573&gt;0,DEGREES(ATAN(AA573/Z573)),IF(Z573&lt;0,IF(AA573&gt;=0,DEGREES(ATAN(AA573/Z573))+180,DEGREES(ATAN(AA573/Z573))-180),IF(AA573&gt;0,90,IF(AA573&lt;0,-90,0)))))</f>
        <v/>
      </c>
      <c r="AD573" s="195">
        <f>IF(B573="","",LOG10(B573))</f>
        <v/>
      </c>
      <c r="AE573" s="195">
        <f>IF(AB573="","",LOG10(MAX(AB573,1E-12)))</f>
        <v/>
      </c>
      <c r="AF573" s="195">
        <f>IF(B573="","",SQRT(P573^2+Q573^2))</f>
        <v/>
      </c>
      <c r="AG573" s="195">
        <f>IF(B573="","",SQRT(R573^2+S573^2))</f>
        <v/>
      </c>
    </row>
    <row r="574">
      <c r="A574" t="n">
        <v>571</v>
      </c>
      <c r="B574" s="196">
        <f>IF(A574&lt;='入力・概要'!$B$40,10^(LOG10('入力・概要'!$B$38)+(A574-1)*(LOG10('入力・概要'!$B$39)-LOG10('入力・概要'!$B$38))/('入力・概要'!$B$40-1)),"")</f>
        <v/>
      </c>
      <c r="C574" s="195">
        <f>IF(B574="","",2*PI()*B574)</f>
        <v/>
      </c>
      <c r="D574" s="195">
        <f>IF(B574="","",ATANH(MIN(0.999999,'入力・概要'!$E$20/'入力・概要'!$E$9))+'入力・概要'!$B$20*SQRT(B574/1E6)+E574*'入力・概要'!$B$15/2)</f>
        <v/>
      </c>
      <c r="E574" s="195">
        <f>IF(B574="","",C574*('入力・概要'!$E$11*1E-9))</f>
        <v/>
      </c>
      <c r="F574" s="195">
        <f>IF(B574="","",SINH(2*D574)/(COSH(2*D574)+COS(2*E574)))</f>
        <v/>
      </c>
      <c r="G574" s="195">
        <f>IF(B574="","",SIN(2*E574)/(COSH(2*D574)+COS(2*E574)))</f>
        <v/>
      </c>
      <c r="H574" s="195">
        <f>IF(B574="","",ATANH(MIN(0.999999,'入力・概要'!$E$21/'入力・概要'!$E$15))+'入力・概要'!$B$21*SQRT(B574/1E6)+I574*'入力・概要'!$B$16/2)</f>
        <v/>
      </c>
      <c r="I574" s="195">
        <f>IF(B574="","",C574*('入力・概要'!$E$17*1E-9))</f>
        <v/>
      </c>
      <c r="J574" s="195">
        <f>IF(B574="","",SINH(2*H574)/(COSH(2*H574)+COS(2*I574)))</f>
        <v/>
      </c>
      <c r="K574" s="195">
        <f>IF(B574="","",SIN(2*I574)/(COSH(2*H574)+COS(2*I574)))</f>
        <v/>
      </c>
      <c r="L574" s="195">
        <f>IF(B574="","",'入力・概要'!$B$25)</f>
        <v/>
      </c>
      <c r="M574" s="195">
        <f>IF(B574="","",C574*'入力・概要'!$B$26*1E-9-1/(C574*'入力・概要'!$B$24*1E-6))</f>
        <v/>
      </c>
      <c r="N574" s="195">
        <f>IF(B574="","",'入力・概要'!$B$28)</f>
        <v/>
      </c>
      <c r="O574" s="195">
        <f>IF(B574="","",C574*'入力・概要'!$B$29*1E-9-1/(C574*'入力・概要'!$B$27*1E-6))</f>
        <v/>
      </c>
      <c r="P574" s="195">
        <f>IF(B574="","",((L574*N574-M574*O574)*(L574+N574)+(L574*O574+M574*N574)*(M574+O574))/((L574+N574)^2+(M574+O574)^2))</f>
        <v/>
      </c>
      <c r="Q574" s="195">
        <f>IF(B574="","",((L574*O574+M574*N574)*(L574+N574)-(L574*N574-M574*O574)*(M574+O574))/((L574+N574)^2+(M574+O574)^2))</f>
        <v/>
      </c>
      <c r="R574" s="195">
        <f>IF(B574="","",'入力・概要'!$E$15*J574)</f>
        <v/>
      </c>
      <c r="S574" s="195">
        <f>IF(B574="","",'入力・概要'!$E$15*K574)</f>
        <v/>
      </c>
      <c r="T574" s="195">
        <f>IF(B574="","",P574+R574)</f>
        <v/>
      </c>
      <c r="U574" s="195">
        <f>IF(B574="","",Q574+S574)</f>
        <v/>
      </c>
      <c r="V574" s="195">
        <f>IF(B574="","",T574+'入力・概要'!$E$9*F574)</f>
        <v/>
      </c>
      <c r="W574" s="195">
        <f>IF(B574="","",U574+'入力・概要'!$E$9*G574)</f>
        <v/>
      </c>
      <c r="X574" s="195">
        <f>IF(B574="","",'入力・概要'!$E$9+T574*F574-U574*G574)</f>
        <v/>
      </c>
      <c r="Y574" s="195">
        <f>IF(B574="","",T574*G574+U574*F574)</f>
        <v/>
      </c>
      <c r="Z574" s="195">
        <f>IF(B574="","",'入力・概要'!$E$9*(V574*X574+W574*Y574)/(X574^2+Y574^2)+'入力・概要'!$B$36)</f>
        <v/>
      </c>
      <c r="AA574" s="195">
        <f>IF(B574="","",'入力・概要'!$E$9*(W574*X574-V574*Y574)/(X574^2+Y574^2)+C574*'入力・概要'!$B$37*1E-9)</f>
        <v/>
      </c>
      <c r="AB574" s="195">
        <f>IF(B574="","",SQRT(Z574^2+AA574^2))</f>
        <v/>
      </c>
      <c r="AC574" s="195">
        <f>IF(B574="","",IF(Z574&gt;0,DEGREES(ATAN(AA574/Z574)),IF(Z574&lt;0,IF(AA574&gt;=0,DEGREES(ATAN(AA574/Z574))+180,DEGREES(ATAN(AA574/Z574))-180),IF(AA574&gt;0,90,IF(AA574&lt;0,-90,0)))))</f>
        <v/>
      </c>
      <c r="AD574" s="195">
        <f>IF(B574="","",LOG10(B574))</f>
        <v/>
      </c>
      <c r="AE574" s="195">
        <f>IF(AB574="","",LOG10(MAX(AB574,1E-12)))</f>
        <v/>
      </c>
      <c r="AF574" s="195">
        <f>IF(B574="","",SQRT(P574^2+Q574^2))</f>
        <v/>
      </c>
      <c r="AG574" s="195">
        <f>IF(B574="","",SQRT(R574^2+S574^2))</f>
        <v/>
      </c>
    </row>
    <row r="575">
      <c r="A575" t="n">
        <v>572</v>
      </c>
      <c r="B575" s="196">
        <f>IF(A575&lt;='入力・概要'!$B$40,10^(LOG10('入力・概要'!$B$38)+(A575-1)*(LOG10('入力・概要'!$B$39)-LOG10('入力・概要'!$B$38))/('入力・概要'!$B$40-1)),"")</f>
        <v/>
      </c>
      <c r="C575" s="195">
        <f>IF(B575="","",2*PI()*B575)</f>
        <v/>
      </c>
      <c r="D575" s="195">
        <f>IF(B575="","",ATANH(MIN(0.999999,'入力・概要'!$E$20/'入力・概要'!$E$9))+'入力・概要'!$B$20*SQRT(B575/1E6)+E575*'入力・概要'!$B$15/2)</f>
        <v/>
      </c>
      <c r="E575" s="195">
        <f>IF(B575="","",C575*('入力・概要'!$E$11*1E-9))</f>
        <v/>
      </c>
      <c r="F575" s="195">
        <f>IF(B575="","",SINH(2*D575)/(COSH(2*D575)+COS(2*E575)))</f>
        <v/>
      </c>
      <c r="G575" s="195">
        <f>IF(B575="","",SIN(2*E575)/(COSH(2*D575)+COS(2*E575)))</f>
        <v/>
      </c>
      <c r="H575" s="195">
        <f>IF(B575="","",ATANH(MIN(0.999999,'入力・概要'!$E$21/'入力・概要'!$E$15))+'入力・概要'!$B$21*SQRT(B575/1E6)+I575*'入力・概要'!$B$16/2)</f>
        <v/>
      </c>
      <c r="I575" s="195">
        <f>IF(B575="","",C575*('入力・概要'!$E$17*1E-9))</f>
        <v/>
      </c>
      <c r="J575" s="195">
        <f>IF(B575="","",SINH(2*H575)/(COSH(2*H575)+COS(2*I575)))</f>
        <v/>
      </c>
      <c r="K575" s="195">
        <f>IF(B575="","",SIN(2*I575)/(COSH(2*H575)+COS(2*I575)))</f>
        <v/>
      </c>
      <c r="L575" s="195">
        <f>IF(B575="","",'入力・概要'!$B$25)</f>
        <v/>
      </c>
      <c r="M575" s="195">
        <f>IF(B575="","",C575*'入力・概要'!$B$26*1E-9-1/(C575*'入力・概要'!$B$24*1E-6))</f>
        <v/>
      </c>
      <c r="N575" s="195">
        <f>IF(B575="","",'入力・概要'!$B$28)</f>
        <v/>
      </c>
      <c r="O575" s="195">
        <f>IF(B575="","",C575*'入力・概要'!$B$29*1E-9-1/(C575*'入力・概要'!$B$27*1E-6))</f>
        <v/>
      </c>
      <c r="P575" s="195">
        <f>IF(B575="","",((L575*N575-M575*O575)*(L575+N575)+(L575*O575+M575*N575)*(M575+O575))/((L575+N575)^2+(M575+O575)^2))</f>
        <v/>
      </c>
      <c r="Q575" s="195">
        <f>IF(B575="","",((L575*O575+M575*N575)*(L575+N575)-(L575*N575-M575*O575)*(M575+O575))/((L575+N575)^2+(M575+O575)^2))</f>
        <v/>
      </c>
      <c r="R575" s="195">
        <f>IF(B575="","",'入力・概要'!$E$15*J575)</f>
        <v/>
      </c>
      <c r="S575" s="195">
        <f>IF(B575="","",'入力・概要'!$E$15*K575)</f>
        <v/>
      </c>
      <c r="T575" s="195">
        <f>IF(B575="","",P575+R575)</f>
        <v/>
      </c>
      <c r="U575" s="195">
        <f>IF(B575="","",Q575+S575)</f>
        <v/>
      </c>
      <c r="V575" s="195">
        <f>IF(B575="","",T575+'入力・概要'!$E$9*F575)</f>
        <v/>
      </c>
      <c r="W575" s="195">
        <f>IF(B575="","",U575+'入力・概要'!$E$9*G575)</f>
        <v/>
      </c>
      <c r="X575" s="195">
        <f>IF(B575="","",'入力・概要'!$E$9+T575*F575-U575*G575)</f>
        <v/>
      </c>
      <c r="Y575" s="195">
        <f>IF(B575="","",T575*G575+U575*F575)</f>
        <v/>
      </c>
      <c r="Z575" s="195">
        <f>IF(B575="","",'入力・概要'!$E$9*(V575*X575+W575*Y575)/(X575^2+Y575^2)+'入力・概要'!$B$36)</f>
        <v/>
      </c>
      <c r="AA575" s="195">
        <f>IF(B575="","",'入力・概要'!$E$9*(W575*X575-V575*Y575)/(X575^2+Y575^2)+C575*'入力・概要'!$B$37*1E-9)</f>
        <v/>
      </c>
      <c r="AB575" s="195">
        <f>IF(B575="","",SQRT(Z575^2+AA575^2))</f>
        <v/>
      </c>
      <c r="AC575" s="195">
        <f>IF(B575="","",IF(Z575&gt;0,DEGREES(ATAN(AA575/Z575)),IF(Z575&lt;0,IF(AA575&gt;=0,DEGREES(ATAN(AA575/Z575))+180,DEGREES(ATAN(AA575/Z575))-180),IF(AA575&gt;0,90,IF(AA575&lt;0,-90,0)))))</f>
        <v/>
      </c>
      <c r="AD575" s="195">
        <f>IF(B575="","",LOG10(B575))</f>
        <v/>
      </c>
      <c r="AE575" s="195">
        <f>IF(AB575="","",LOG10(MAX(AB575,1E-12)))</f>
        <v/>
      </c>
      <c r="AF575" s="195">
        <f>IF(B575="","",SQRT(P575^2+Q575^2))</f>
        <v/>
      </c>
      <c r="AG575" s="195">
        <f>IF(B575="","",SQRT(R575^2+S575^2))</f>
        <v/>
      </c>
    </row>
    <row r="576">
      <c r="A576" t="n">
        <v>573</v>
      </c>
      <c r="B576" s="196">
        <f>IF(A576&lt;='入力・概要'!$B$40,10^(LOG10('入力・概要'!$B$38)+(A576-1)*(LOG10('入力・概要'!$B$39)-LOG10('入力・概要'!$B$38))/('入力・概要'!$B$40-1)),"")</f>
        <v/>
      </c>
      <c r="C576" s="195">
        <f>IF(B576="","",2*PI()*B576)</f>
        <v/>
      </c>
      <c r="D576" s="195">
        <f>IF(B576="","",ATANH(MIN(0.999999,'入力・概要'!$E$20/'入力・概要'!$E$9))+'入力・概要'!$B$20*SQRT(B576/1E6)+E576*'入力・概要'!$B$15/2)</f>
        <v/>
      </c>
      <c r="E576" s="195">
        <f>IF(B576="","",C576*('入力・概要'!$E$11*1E-9))</f>
        <v/>
      </c>
      <c r="F576" s="195">
        <f>IF(B576="","",SINH(2*D576)/(COSH(2*D576)+COS(2*E576)))</f>
        <v/>
      </c>
      <c r="G576" s="195">
        <f>IF(B576="","",SIN(2*E576)/(COSH(2*D576)+COS(2*E576)))</f>
        <v/>
      </c>
      <c r="H576" s="195">
        <f>IF(B576="","",ATANH(MIN(0.999999,'入力・概要'!$E$21/'入力・概要'!$E$15))+'入力・概要'!$B$21*SQRT(B576/1E6)+I576*'入力・概要'!$B$16/2)</f>
        <v/>
      </c>
      <c r="I576" s="195">
        <f>IF(B576="","",C576*('入力・概要'!$E$17*1E-9))</f>
        <v/>
      </c>
      <c r="J576" s="195">
        <f>IF(B576="","",SINH(2*H576)/(COSH(2*H576)+COS(2*I576)))</f>
        <v/>
      </c>
      <c r="K576" s="195">
        <f>IF(B576="","",SIN(2*I576)/(COSH(2*H576)+COS(2*I576)))</f>
        <v/>
      </c>
      <c r="L576" s="195">
        <f>IF(B576="","",'入力・概要'!$B$25)</f>
        <v/>
      </c>
      <c r="M576" s="195">
        <f>IF(B576="","",C576*'入力・概要'!$B$26*1E-9-1/(C576*'入力・概要'!$B$24*1E-6))</f>
        <v/>
      </c>
      <c r="N576" s="195">
        <f>IF(B576="","",'入力・概要'!$B$28)</f>
        <v/>
      </c>
      <c r="O576" s="195">
        <f>IF(B576="","",C576*'入力・概要'!$B$29*1E-9-1/(C576*'入力・概要'!$B$27*1E-6))</f>
        <v/>
      </c>
      <c r="P576" s="195">
        <f>IF(B576="","",((L576*N576-M576*O576)*(L576+N576)+(L576*O576+M576*N576)*(M576+O576))/((L576+N576)^2+(M576+O576)^2))</f>
        <v/>
      </c>
      <c r="Q576" s="195">
        <f>IF(B576="","",((L576*O576+M576*N576)*(L576+N576)-(L576*N576-M576*O576)*(M576+O576))/((L576+N576)^2+(M576+O576)^2))</f>
        <v/>
      </c>
      <c r="R576" s="195">
        <f>IF(B576="","",'入力・概要'!$E$15*J576)</f>
        <v/>
      </c>
      <c r="S576" s="195">
        <f>IF(B576="","",'入力・概要'!$E$15*K576)</f>
        <v/>
      </c>
      <c r="T576" s="195">
        <f>IF(B576="","",P576+R576)</f>
        <v/>
      </c>
      <c r="U576" s="195">
        <f>IF(B576="","",Q576+S576)</f>
        <v/>
      </c>
      <c r="V576" s="195">
        <f>IF(B576="","",T576+'入力・概要'!$E$9*F576)</f>
        <v/>
      </c>
      <c r="W576" s="195">
        <f>IF(B576="","",U576+'入力・概要'!$E$9*G576)</f>
        <v/>
      </c>
      <c r="X576" s="195">
        <f>IF(B576="","",'入力・概要'!$E$9+T576*F576-U576*G576)</f>
        <v/>
      </c>
      <c r="Y576" s="195">
        <f>IF(B576="","",T576*G576+U576*F576)</f>
        <v/>
      </c>
      <c r="Z576" s="195">
        <f>IF(B576="","",'入力・概要'!$E$9*(V576*X576+W576*Y576)/(X576^2+Y576^2)+'入力・概要'!$B$36)</f>
        <v/>
      </c>
      <c r="AA576" s="195">
        <f>IF(B576="","",'入力・概要'!$E$9*(W576*X576-V576*Y576)/(X576^2+Y576^2)+C576*'入力・概要'!$B$37*1E-9)</f>
        <v/>
      </c>
      <c r="AB576" s="195">
        <f>IF(B576="","",SQRT(Z576^2+AA576^2))</f>
        <v/>
      </c>
      <c r="AC576" s="195">
        <f>IF(B576="","",IF(Z576&gt;0,DEGREES(ATAN(AA576/Z576)),IF(Z576&lt;0,IF(AA576&gt;=0,DEGREES(ATAN(AA576/Z576))+180,DEGREES(ATAN(AA576/Z576))-180),IF(AA576&gt;0,90,IF(AA576&lt;0,-90,0)))))</f>
        <v/>
      </c>
      <c r="AD576" s="195">
        <f>IF(B576="","",LOG10(B576))</f>
        <v/>
      </c>
      <c r="AE576" s="195">
        <f>IF(AB576="","",LOG10(MAX(AB576,1E-12)))</f>
        <v/>
      </c>
      <c r="AF576" s="195">
        <f>IF(B576="","",SQRT(P576^2+Q576^2))</f>
        <v/>
      </c>
      <c r="AG576" s="195">
        <f>IF(B576="","",SQRT(R576^2+S576^2))</f>
        <v/>
      </c>
    </row>
    <row r="577">
      <c r="A577" t="n">
        <v>574</v>
      </c>
      <c r="B577" s="196">
        <f>IF(A577&lt;='入力・概要'!$B$40,10^(LOG10('入力・概要'!$B$38)+(A577-1)*(LOG10('入力・概要'!$B$39)-LOG10('入力・概要'!$B$38))/('入力・概要'!$B$40-1)),"")</f>
        <v/>
      </c>
      <c r="C577" s="195">
        <f>IF(B577="","",2*PI()*B577)</f>
        <v/>
      </c>
      <c r="D577" s="195">
        <f>IF(B577="","",ATANH(MIN(0.999999,'入力・概要'!$E$20/'入力・概要'!$E$9))+'入力・概要'!$B$20*SQRT(B577/1E6)+E577*'入力・概要'!$B$15/2)</f>
        <v/>
      </c>
      <c r="E577" s="195">
        <f>IF(B577="","",C577*('入力・概要'!$E$11*1E-9))</f>
        <v/>
      </c>
      <c r="F577" s="195">
        <f>IF(B577="","",SINH(2*D577)/(COSH(2*D577)+COS(2*E577)))</f>
        <v/>
      </c>
      <c r="G577" s="195">
        <f>IF(B577="","",SIN(2*E577)/(COSH(2*D577)+COS(2*E577)))</f>
        <v/>
      </c>
      <c r="H577" s="195">
        <f>IF(B577="","",ATANH(MIN(0.999999,'入力・概要'!$E$21/'入力・概要'!$E$15))+'入力・概要'!$B$21*SQRT(B577/1E6)+I577*'入力・概要'!$B$16/2)</f>
        <v/>
      </c>
      <c r="I577" s="195">
        <f>IF(B577="","",C577*('入力・概要'!$E$17*1E-9))</f>
        <v/>
      </c>
      <c r="J577" s="195">
        <f>IF(B577="","",SINH(2*H577)/(COSH(2*H577)+COS(2*I577)))</f>
        <v/>
      </c>
      <c r="K577" s="195">
        <f>IF(B577="","",SIN(2*I577)/(COSH(2*H577)+COS(2*I577)))</f>
        <v/>
      </c>
      <c r="L577" s="195">
        <f>IF(B577="","",'入力・概要'!$B$25)</f>
        <v/>
      </c>
      <c r="M577" s="195">
        <f>IF(B577="","",C577*'入力・概要'!$B$26*1E-9-1/(C577*'入力・概要'!$B$24*1E-6))</f>
        <v/>
      </c>
      <c r="N577" s="195">
        <f>IF(B577="","",'入力・概要'!$B$28)</f>
        <v/>
      </c>
      <c r="O577" s="195">
        <f>IF(B577="","",C577*'入力・概要'!$B$29*1E-9-1/(C577*'入力・概要'!$B$27*1E-6))</f>
        <v/>
      </c>
      <c r="P577" s="195">
        <f>IF(B577="","",((L577*N577-M577*O577)*(L577+N577)+(L577*O577+M577*N577)*(M577+O577))/((L577+N577)^2+(M577+O577)^2))</f>
        <v/>
      </c>
      <c r="Q577" s="195">
        <f>IF(B577="","",((L577*O577+M577*N577)*(L577+N577)-(L577*N577-M577*O577)*(M577+O577))/((L577+N577)^2+(M577+O577)^2))</f>
        <v/>
      </c>
      <c r="R577" s="195">
        <f>IF(B577="","",'入力・概要'!$E$15*J577)</f>
        <v/>
      </c>
      <c r="S577" s="195">
        <f>IF(B577="","",'入力・概要'!$E$15*K577)</f>
        <v/>
      </c>
      <c r="T577" s="195">
        <f>IF(B577="","",P577+R577)</f>
        <v/>
      </c>
      <c r="U577" s="195">
        <f>IF(B577="","",Q577+S577)</f>
        <v/>
      </c>
      <c r="V577" s="195">
        <f>IF(B577="","",T577+'入力・概要'!$E$9*F577)</f>
        <v/>
      </c>
      <c r="W577" s="195">
        <f>IF(B577="","",U577+'入力・概要'!$E$9*G577)</f>
        <v/>
      </c>
      <c r="X577" s="195">
        <f>IF(B577="","",'入力・概要'!$E$9+T577*F577-U577*G577)</f>
        <v/>
      </c>
      <c r="Y577" s="195">
        <f>IF(B577="","",T577*G577+U577*F577)</f>
        <v/>
      </c>
      <c r="Z577" s="195">
        <f>IF(B577="","",'入力・概要'!$E$9*(V577*X577+W577*Y577)/(X577^2+Y577^2)+'入力・概要'!$B$36)</f>
        <v/>
      </c>
      <c r="AA577" s="195">
        <f>IF(B577="","",'入力・概要'!$E$9*(W577*X577-V577*Y577)/(X577^2+Y577^2)+C577*'入力・概要'!$B$37*1E-9)</f>
        <v/>
      </c>
      <c r="AB577" s="195">
        <f>IF(B577="","",SQRT(Z577^2+AA577^2))</f>
        <v/>
      </c>
      <c r="AC577" s="195">
        <f>IF(B577="","",IF(Z577&gt;0,DEGREES(ATAN(AA577/Z577)),IF(Z577&lt;0,IF(AA577&gt;=0,DEGREES(ATAN(AA577/Z577))+180,DEGREES(ATAN(AA577/Z577))-180),IF(AA577&gt;0,90,IF(AA577&lt;0,-90,0)))))</f>
        <v/>
      </c>
      <c r="AD577" s="195">
        <f>IF(B577="","",LOG10(B577))</f>
        <v/>
      </c>
      <c r="AE577" s="195">
        <f>IF(AB577="","",LOG10(MAX(AB577,1E-12)))</f>
        <v/>
      </c>
      <c r="AF577" s="195">
        <f>IF(B577="","",SQRT(P577^2+Q577^2))</f>
        <v/>
      </c>
      <c r="AG577" s="195">
        <f>IF(B577="","",SQRT(R577^2+S577^2))</f>
        <v/>
      </c>
    </row>
    <row r="578">
      <c r="A578" t="n">
        <v>575</v>
      </c>
      <c r="B578" s="196">
        <f>IF(A578&lt;='入力・概要'!$B$40,10^(LOG10('入力・概要'!$B$38)+(A578-1)*(LOG10('入力・概要'!$B$39)-LOG10('入力・概要'!$B$38))/('入力・概要'!$B$40-1)),"")</f>
        <v/>
      </c>
      <c r="C578" s="195">
        <f>IF(B578="","",2*PI()*B578)</f>
        <v/>
      </c>
      <c r="D578" s="195">
        <f>IF(B578="","",ATANH(MIN(0.999999,'入力・概要'!$E$20/'入力・概要'!$E$9))+'入力・概要'!$B$20*SQRT(B578/1E6)+E578*'入力・概要'!$B$15/2)</f>
        <v/>
      </c>
      <c r="E578" s="195">
        <f>IF(B578="","",C578*('入力・概要'!$E$11*1E-9))</f>
        <v/>
      </c>
      <c r="F578" s="195">
        <f>IF(B578="","",SINH(2*D578)/(COSH(2*D578)+COS(2*E578)))</f>
        <v/>
      </c>
      <c r="G578" s="195">
        <f>IF(B578="","",SIN(2*E578)/(COSH(2*D578)+COS(2*E578)))</f>
        <v/>
      </c>
      <c r="H578" s="195">
        <f>IF(B578="","",ATANH(MIN(0.999999,'入力・概要'!$E$21/'入力・概要'!$E$15))+'入力・概要'!$B$21*SQRT(B578/1E6)+I578*'入力・概要'!$B$16/2)</f>
        <v/>
      </c>
      <c r="I578" s="195">
        <f>IF(B578="","",C578*('入力・概要'!$E$17*1E-9))</f>
        <v/>
      </c>
      <c r="J578" s="195">
        <f>IF(B578="","",SINH(2*H578)/(COSH(2*H578)+COS(2*I578)))</f>
        <v/>
      </c>
      <c r="K578" s="195">
        <f>IF(B578="","",SIN(2*I578)/(COSH(2*H578)+COS(2*I578)))</f>
        <v/>
      </c>
      <c r="L578" s="195">
        <f>IF(B578="","",'入力・概要'!$B$25)</f>
        <v/>
      </c>
      <c r="M578" s="195">
        <f>IF(B578="","",C578*'入力・概要'!$B$26*1E-9-1/(C578*'入力・概要'!$B$24*1E-6))</f>
        <v/>
      </c>
      <c r="N578" s="195">
        <f>IF(B578="","",'入力・概要'!$B$28)</f>
        <v/>
      </c>
      <c r="O578" s="195">
        <f>IF(B578="","",C578*'入力・概要'!$B$29*1E-9-1/(C578*'入力・概要'!$B$27*1E-6))</f>
        <v/>
      </c>
      <c r="P578" s="195">
        <f>IF(B578="","",((L578*N578-M578*O578)*(L578+N578)+(L578*O578+M578*N578)*(M578+O578))/((L578+N578)^2+(M578+O578)^2))</f>
        <v/>
      </c>
      <c r="Q578" s="195">
        <f>IF(B578="","",((L578*O578+M578*N578)*(L578+N578)-(L578*N578-M578*O578)*(M578+O578))/((L578+N578)^2+(M578+O578)^2))</f>
        <v/>
      </c>
      <c r="R578" s="195">
        <f>IF(B578="","",'入力・概要'!$E$15*J578)</f>
        <v/>
      </c>
      <c r="S578" s="195">
        <f>IF(B578="","",'入力・概要'!$E$15*K578)</f>
        <v/>
      </c>
      <c r="T578" s="195">
        <f>IF(B578="","",P578+R578)</f>
        <v/>
      </c>
      <c r="U578" s="195">
        <f>IF(B578="","",Q578+S578)</f>
        <v/>
      </c>
      <c r="V578" s="195">
        <f>IF(B578="","",T578+'入力・概要'!$E$9*F578)</f>
        <v/>
      </c>
      <c r="W578" s="195">
        <f>IF(B578="","",U578+'入力・概要'!$E$9*G578)</f>
        <v/>
      </c>
      <c r="X578" s="195">
        <f>IF(B578="","",'入力・概要'!$E$9+T578*F578-U578*G578)</f>
        <v/>
      </c>
      <c r="Y578" s="195">
        <f>IF(B578="","",T578*G578+U578*F578)</f>
        <v/>
      </c>
      <c r="Z578" s="195">
        <f>IF(B578="","",'入力・概要'!$E$9*(V578*X578+W578*Y578)/(X578^2+Y578^2)+'入力・概要'!$B$36)</f>
        <v/>
      </c>
      <c r="AA578" s="195">
        <f>IF(B578="","",'入力・概要'!$E$9*(W578*X578-V578*Y578)/(X578^2+Y578^2)+C578*'入力・概要'!$B$37*1E-9)</f>
        <v/>
      </c>
      <c r="AB578" s="195">
        <f>IF(B578="","",SQRT(Z578^2+AA578^2))</f>
        <v/>
      </c>
      <c r="AC578" s="195">
        <f>IF(B578="","",IF(Z578&gt;0,DEGREES(ATAN(AA578/Z578)),IF(Z578&lt;0,IF(AA578&gt;=0,DEGREES(ATAN(AA578/Z578))+180,DEGREES(ATAN(AA578/Z578))-180),IF(AA578&gt;0,90,IF(AA578&lt;0,-90,0)))))</f>
        <v/>
      </c>
      <c r="AD578" s="195">
        <f>IF(B578="","",LOG10(B578))</f>
        <v/>
      </c>
      <c r="AE578" s="195">
        <f>IF(AB578="","",LOG10(MAX(AB578,1E-12)))</f>
        <v/>
      </c>
      <c r="AF578" s="195">
        <f>IF(B578="","",SQRT(P578^2+Q578^2))</f>
        <v/>
      </c>
      <c r="AG578" s="195">
        <f>IF(B578="","",SQRT(R578^2+S578^2))</f>
        <v/>
      </c>
    </row>
    <row r="579">
      <c r="A579" t="n">
        <v>576</v>
      </c>
      <c r="B579" s="196">
        <f>IF(A579&lt;='入力・概要'!$B$40,10^(LOG10('入力・概要'!$B$38)+(A579-1)*(LOG10('入力・概要'!$B$39)-LOG10('入力・概要'!$B$38))/('入力・概要'!$B$40-1)),"")</f>
        <v/>
      </c>
      <c r="C579" s="195">
        <f>IF(B579="","",2*PI()*B579)</f>
        <v/>
      </c>
      <c r="D579" s="195">
        <f>IF(B579="","",ATANH(MIN(0.999999,'入力・概要'!$E$20/'入力・概要'!$E$9))+'入力・概要'!$B$20*SQRT(B579/1E6)+E579*'入力・概要'!$B$15/2)</f>
        <v/>
      </c>
      <c r="E579" s="195">
        <f>IF(B579="","",C579*('入力・概要'!$E$11*1E-9))</f>
        <v/>
      </c>
      <c r="F579" s="195">
        <f>IF(B579="","",SINH(2*D579)/(COSH(2*D579)+COS(2*E579)))</f>
        <v/>
      </c>
      <c r="G579" s="195">
        <f>IF(B579="","",SIN(2*E579)/(COSH(2*D579)+COS(2*E579)))</f>
        <v/>
      </c>
      <c r="H579" s="195">
        <f>IF(B579="","",ATANH(MIN(0.999999,'入力・概要'!$E$21/'入力・概要'!$E$15))+'入力・概要'!$B$21*SQRT(B579/1E6)+I579*'入力・概要'!$B$16/2)</f>
        <v/>
      </c>
      <c r="I579" s="195">
        <f>IF(B579="","",C579*('入力・概要'!$E$17*1E-9))</f>
        <v/>
      </c>
      <c r="J579" s="195">
        <f>IF(B579="","",SINH(2*H579)/(COSH(2*H579)+COS(2*I579)))</f>
        <v/>
      </c>
      <c r="K579" s="195">
        <f>IF(B579="","",SIN(2*I579)/(COSH(2*H579)+COS(2*I579)))</f>
        <v/>
      </c>
      <c r="L579" s="195">
        <f>IF(B579="","",'入力・概要'!$B$25)</f>
        <v/>
      </c>
      <c r="M579" s="195">
        <f>IF(B579="","",C579*'入力・概要'!$B$26*1E-9-1/(C579*'入力・概要'!$B$24*1E-6))</f>
        <v/>
      </c>
      <c r="N579" s="195">
        <f>IF(B579="","",'入力・概要'!$B$28)</f>
        <v/>
      </c>
      <c r="O579" s="195">
        <f>IF(B579="","",C579*'入力・概要'!$B$29*1E-9-1/(C579*'入力・概要'!$B$27*1E-6))</f>
        <v/>
      </c>
      <c r="P579" s="195">
        <f>IF(B579="","",((L579*N579-M579*O579)*(L579+N579)+(L579*O579+M579*N579)*(M579+O579))/((L579+N579)^2+(M579+O579)^2))</f>
        <v/>
      </c>
      <c r="Q579" s="195">
        <f>IF(B579="","",((L579*O579+M579*N579)*(L579+N579)-(L579*N579-M579*O579)*(M579+O579))/((L579+N579)^2+(M579+O579)^2))</f>
        <v/>
      </c>
      <c r="R579" s="195">
        <f>IF(B579="","",'入力・概要'!$E$15*J579)</f>
        <v/>
      </c>
      <c r="S579" s="195">
        <f>IF(B579="","",'入力・概要'!$E$15*K579)</f>
        <v/>
      </c>
      <c r="T579" s="195">
        <f>IF(B579="","",P579+R579)</f>
        <v/>
      </c>
      <c r="U579" s="195">
        <f>IF(B579="","",Q579+S579)</f>
        <v/>
      </c>
      <c r="V579" s="195">
        <f>IF(B579="","",T579+'入力・概要'!$E$9*F579)</f>
        <v/>
      </c>
      <c r="W579" s="195">
        <f>IF(B579="","",U579+'入力・概要'!$E$9*G579)</f>
        <v/>
      </c>
      <c r="X579" s="195">
        <f>IF(B579="","",'入力・概要'!$E$9+T579*F579-U579*G579)</f>
        <v/>
      </c>
      <c r="Y579" s="195">
        <f>IF(B579="","",T579*G579+U579*F579)</f>
        <v/>
      </c>
      <c r="Z579" s="195">
        <f>IF(B579="","",'入力・概要'!$E$9*(V579*X579+W579*Y579)/(X579^2+Y579^2)+'入力・概要'!$B$36)</f>
        <v/>
      </c>
      <c r="AA579" s="195">
        <f>IF(B579="","",'入力・概要'!$E$9*(W579*X579-V579*Y579)/(X579^2+Y579^2)+C579*'入力・概要'!$B$37*1E-9)</f>
        <v/>
      </c>
      <c r="AB579" s="195">
        <f>IF(B579="","",SQRT(Z579^2+AA579^2))</f>
        <v/>
      </c>
      <c r="AC579" s="195">
        <f>IF(B579="","",IF(Z579&gt;0,DEGREES(ATAN(AA579/Z579)),IF(Z579&lt;0,IF(AA579&gt;=0,DEGREES(ATAN(AA579/Z579))+180,DEGREES(ATAN(AA579/Z579))-180),IF(AA579&gt;0,90,IF(AA579&lt;0,-90,0)))))</f>
        <v/>
      </c>
      <c r="AD579" s="195">
        <f>IF(B579="","",LOG10(B579))</f>
        <v/>
      </c>
      <c r="AE579" s="195">
        <f>IF(AB579="","",LOG10(MAX(AB579,1E-12)))</f>
        <v/>
      </c>
      <c r="AF579" s="195">
        <f>IF(B579="","",SQRT(P579^2+Q579^2))</f>
        <v/>
      </c>
      <c r="AG579" s="195">
        <f>IF(B579="","",SQRT(R579^2+S579^2))</f>
        <v/>
      </c>
    </row>
    <row r="580">
      <c r="A580" t="n">
        <v>577</v>
      </c>
      <c r="B580" s="196">
        <f>IF(A580&lt;='入力・概要'!$B$40,10^(LOG10('入力・概要'!$B$38)+(A580-1)*(LOG10('入力・概要'!$B$39)-LOG10('入力・概要'!$B$38))/('入力・概要'!$B$40-1)),"")</f>
        <v/>
      </c>
      <c r="C580" s="195">
        <f>IF(B580="","",2*PI()*B580)</f>
        <v/>
      </c>
      <c r="D580" s="195">
        <f>IF(B580="","",ATANH(MIN(0.999999,'入力・概要'!$E$20/'入力・概要'!$E$9))+'入力・概要'!$B$20*SQRT(B580/1E6)+E580*'入力・概要'!$B$15/2)</f>
        <v/>
      </c>
      <c r="E580" s="195">
        <f>IF(B580="","",C580*('入力・概要'!$E$11*1E-9))</f>
        <v/>
      </c>
      <c r="F580" s="195">
        <f>IF(B580="","",SINH(2*D580)/(COSH(2*D580)+COS(2*E580)))</f>
        <v/>
      </c>
      <c r="G580" s="195">
        <f>IF(B580="","",SIN(2*E580)/(COSH(2*D580)+COS(2*E580)))</f>
        <v/>
      </c>
      <c r="H580" s="195">
        <f>IF(B580="","",ATANH(MIN(0.999999,'入力・概要'!$E$21/'入力・概要'!$E$15))+'入力・概要'!$B$21*SQRT(B580/1E6)+I580*'入力・概要'!$B$16/2)</f>
        <v/>
      </c>
      <c r="I580" s="195">
        <f>IF(B580="","",C580*('入力・概要'!$E$17*1E-9))</f>
        <v/>
      </c>
      <c r="J580" s="195">
        <f>IF(B580="","",SINH(2*H580)/(COSH(2*H580)+COS(2*I580)))</f>
        <v/>
      </c>
      <c r="K580" s="195">
        <f>IF(B580="","",SIN(2*I580)/(COSH(2*H580)+COS(2*I580)))</f>
        <v/>
      </c>
      <c r="L580" s="195">
        <f>IF(B580="","",'入力・概要'!$B$25)</f>
        <v/>
      </c>
      <c r="M580" s="195">
        <f>IF(B580="","",C580*'入力・概要'!$B$26*1E-9-1/(C580*'入力・概要'!$B$24*1E-6))</f>
        <v/>
      </c>
      <c r="N580" s="195">
        <f>IF(B580="","",'入力・概要'!$B$28)</f>
        <v/>
      </c>
      <c r="O580" s="195">
        <f>IF(B580="","",C580*'入力・概要'!$B$29*1E-9-1/(C580*'入力・概要'!$B$27*1E-6))</f>
        <v/>
      </c>
      <c r="P580" s="195">
        <f>IF(B580="","",((L580*N580-M580*O580)*(L580+N580)+(L580*O580+M580*N580)*(M580+O580))/((L580+N580)^2+(M580+O580)^2))</f>
        <v/>
      </c>
      <c r="Q580" s="195">
        <f>IF(B580="","",((L580*O580+M580*N580)*(L580+N580)-(L580*N580-M580*O580)*(M580+O580))/((L580+N580)^2+(M580+O580)^2))</f>
        <v/>
      </c>
      <c r="R580" s="195">
        <f>IF(B580="","",'入力・概要'!$E$15*J580)</f>
        <v/>
      </c>
      <c r="S580" s="195">
        <f>IF(B580="","",'入力・概要'!$E$15*K580)</f>
        <v/>
      </c>
      <c r="T580" s="195">
        <f>IF(B580="","",P580+R580)</f>
        <v/>
      </c>
      <c r="U580" s="195">
        <f>IF(B580="","",Q580+S580)</f>
        <v/>
      </c>
      <c r="V580" s="195">
        <f>IF(B580="","",T580+'入力・概要'!$E$9*F580)</f>
        <v/>
      </c>
      <c r="W580" s="195">
        <f>IF(B580="","",U580+'入力・概要'!$E$9*G580)</f>
        <v/>
      </c>
      <c r="X580" s="195">
        <f>IF(B580="","",'入力・概要'!$E$9+T580*F580-U580*G580)</f>
        <v/>
      </c>
      <c r="Y580" s="195">
        <f>IF(B580="","",T580*G580+U580*F580)</f>
        <v/>
      </c>
      <c r="Z580" s="195">
        <f>IF(B580="","",'入力・概要'!$E$9*(V580*X580+W580*Y580)/(X580^2+Y580^2)+'入力・概要'!$B$36)</f>
        <v/>
      </c>
      <c r="AA580" s="195">
        <f>IF(B580="","",'入力・概要'!$E$9*(W580*X580-V580*Y580)/(X580^2+Y580^2)+C580*'入力・概要'!$B$37*1E-9)</f>
        <v/>
      </c>
      <c r="AB580" s="195">
        <f>IF(B580="","",SQRT(Z580^2+AA580^2))</f>
        <v/>
      </c>
      <c r="AC580" s="195">
        <f>IF(B580="","",IF(Z580&gt;0,DEGREES(ATAN(AA580/Z580)),IF(Z580&lt;0,IF(AA580&gt;=0,DEGREES(ATAN(AA580/Z580))+180,DEGREES(ATAN(AA580/Z580))-180),IF(AA580&gt;0,90,IF(AA580&lt;0,-90,0)))))</f>
        <v/>
      </c>
      <c r="AD580" s="195">
        <f>IF(B580="","",LOG10(B580))</f>
        <v/>
      </c>
      <c r="AE580" s="195">
        <f>IF(AB580="","",LOG10(MAX(AB580,1E-12)))</f>
        <v/>
      </c>
      <c r="AF580" s="195">
        <f>IF(B580="","",SQRT(P580^2+Q580^2))</f>
        <v/>
      </c>
      <c r="AG580" s="195">
        <f>IF(B580="","",SQRT(R580^2+S580^2))</f>
        <v/>
      </c>
    </row>
    <row r="581">
      <c r="A581" t="n">
        <v>578</v>
      </c>
      <c r="B581" s="196">
        <f>IF(A581&lt;='入力・概要'!$B$40,10^(LOG10('入力・概要'!$B$38)+(A581-1)*(LOG10('入力・概要'!$B$39)-LOG10('入力・概要'!$B$38))/('入力・概要'!$B$40-1)),"")</f>
        <v/>
      </c>
      <c r="C581" s="195">
        <f>IF(B581="","",2*PI()*B581)</f>
        <v/>
      </c>
      <c r="D581" s="195">
        <f>IF(B581="","",ATANH(MIN(0.999999,'入力・概要'!$E$20/'入力・概要'!$E$9))+'入力・概要'!$B$20*SQRT(B581/1E6)+E581*'入力・概要'!$B$15/2)</f>
        <v/>
      </c>
      <c r="E581" s="195">
        <f>IF(B581="","",C581*('入力・概要'!$E$11*1E-9))</f>
        <v/>
      </c>
      <c r="F581" s="195">
        <f>IF(B581="","",SINH(2*D581)/(COSH(2*D581)+COS(2*E581)))</f>
        <v/>
      </c>
      <c r="G581" s="195">
        <f>IF(B581="","",SIN(2*E581)/(COSH(2*D581)+COS(2*E581)))</f>
        <v/>
      </c>
      <c r="H581" s="195">
        <f>IF(B581="","",ATANH(MIN(0.999999,'入力・概要'!$E$21/'入力・概要'!$E$15))+'入力・概要'!$B$21*SQRT(B581/1E6)+I581*'入力・概要'!$B$16/2)</f>
        <v/>
      </c>
      <c r="I581" s="195">
        <f>IF(B581="","",C581*('入力・概要'!$E$17*1E-9))</f>
        <v/>
      </c>
      <c r="J581" s="195">
        <f>IF(B581="","",SINH(2*H581)/(COSH(2*H581)+COS(2*I581)))</f>
        <v/>
      </c>
      <c r="K581" s="195">
        <f>IF(B581="","",SIN(2*I581)/(COSH(2*H581)+COS(2*I581)))</f>
        <v/>
      </c>
      <c r="L581" s="195">
        <f>IF(B581="","",'入力・概要'!$B$25)</f>
        <v/>
      </c>
      <c r="M581" s="195">
        <f>IF(B581="","",C581*'入力・概要'!$B$26*1E-9-1/(C581*'入力・概要'!$B$24*1E-6))</f>
        <v/>
      </c>
      <c r="N581" s="195">
        <f>IF(B581="","",'入力・概要'!$B$28)</f>
        <v/>
      </c>
      <c r="O581" s="195">
        <f>IF(B581="","",C581*'入力・概要'!$B$29*1E-9-1/(C581*'入力・概要'!$B$27*1E-6))</f>
        <v/>
      </c>
      <c r="P581" s="195">
        <f>IF(B581="","",((L581*N581-M581*O581)*(L581+N581)+(L581*O581+M581*N581)*(M581+O581))/((L581+N581)^2+(M581+O581)^2))</f>
        <v/>
      </c>
      <c r="Q581" s="195">
        <f>IF(B581="","",((L581*O581+M581*N581)*(L581+N581)-(L581*N581-M581*O581)*(M581+O581))/((L581+N581)^2+(M581+O581)^2))</f>
        <v/>
      </c>
      <c r="R581" s="195">
        <f>IF(B581="","",'入力・概要'!$E$15*J581)</f>
        <v/>
      </c>
      <c r="S581" s="195">
        <f>IF(B581="","",'入力・概要'!$E$15*K581)</f>
        <v/>
      </c>
      <c r="T581" s="195">
        <f>IF(B581="","",P581+R581)</f>
        <v/>
      </c>
      <c r="U581" s="195">
        <f>IF(B581="","",Q581+S581)</f>
        <v/>
      </c>
      <c r="V581" s="195">
        <f>IF(B581="","",T581+'入力・概要'!$E$9*F581)</f>
        <v/>
      </c>
      <c r="W581" s="195">
        <f>IF(B581="","",U581+'入力・概要'!$E$9*G581)</f>
        <v/>
      </c>
      <c r="X581" s="195">
        <f>IF(B581="","",'入力・概要'!$E$9+T581*F581-U581*G581)</f>
        <v/>
      </c>
      <c r="Y581" s="195">
        <f>IF(B581="","",T581*G581+U581*F581)</f>
        <v/>
      </c>
      <c r="Z581" s="195">
        <f>IF(B581="","",'入力・概要'!$E$9*(V581*X581+W581*Y581)/(X581^2+Y581^2)+'入力・概要'!$B$36)</f>
        <v/>
      </c>
      <c r="AA581" s="195">
        <f>IF(B581="","",'入力・概要'!$E$9*(W581*X581-V581*Y581)/(X581^2+Y581^2)+C581*'入力・概要'!$B$37*1E-9)</f>
        <v/>
      </c>
      <c r="AB581" s="195">
        <f>IF(B581="","",SQRT(Z581^2+AA581^2))</f>
        <v/>
      </c>
      <c r="AC581" s="195">
        <f>IF(B581="","",IF(Z581&gt;0,DEGREES(ATAN(AA581/Z581)),IF(Z581&lt;0,IF(AA581&gt;=0,DEGREES(ATAN(AA581/Z581))+180,DEGREES(ATAN(AA581/Z581))-180),IF(AA581&gt;0,90,IF(AA581&lt;0,-90,0)))))</f>
        <v/>
      </c>
      <c r="AD581" s="195">
        <f>IF(B581="","",LOG10(B581))</f>
        <v/>
      </c>
      <c r="AE581" s="195">
        <f>IF(AB581="","",LOG10(MAX(AB581,1E-12)))</f>
        <v/>
      </c>
      <c r="AF581" s="195">
        <f>IF(B581="","",SQRT(P581^2+Q581^2))</f>
        <v/>
      </c>
      <c r="AG581" s="195">
        <f>IF(B581="","",SQRT(R581^2+S581^2))</f>
        <v/>
      </c>
    </row>
    <row r="582">
      <c r="A582" t="n">
        <v>579</v>
      </c>
      <c r="B582" s="196">
        <f>IF(A582&lt;='入力・概要'!$B$40,10^(LOG10('入力・概要'!$B$38)+(A582-1)*(LOG10('入力・概要'!$B$39)-LOG10('入力・概要'!$B$38))/('入力・概要'!$B$40-1)),"")</f>
        <v/>
      </c>
      <c r="C582" s="195">
        <f>IF(B582="","",2*PI()*B582)</f>
        <v/>
      </c>
      <c r="D582" s="195">
        <f>IF(B582="","",ATANH(MIN(0.999999,'入力・概要'!$E$20/'入力・概要'!$E$9))+'入力・概要'!$B$20*SQRT(B582/1E6)+E582*'入力・概要'!$B$15/2)</f>
        <v/>
      </c>
      <c r="E582" s="195">
        <f>IF(B582="","",C582*('入力・概要'!$E$11*1E-9))</f>
        <v/>
      </c>
      <c r="F582" s="195">
        <f>IF(B582="","",SINH(2*D582)/(COSH(2*D582)+COS(2*E582)))</f>
        <v/>
      </c>
      <c r="G582" s="195">
        <f>IF(B582="","",SIN(2*E582)/(COSH(2*D582)+COS(2*E582)))</f>
        <v/>
      </c>
      <c r="H582" s="195">
        <f>IF(B582="","",ATANH(MIN(0.999999,'入力・概要'!$E$21/'入力・概要'!$E$15))+'入力・概要'!$B$21*SQRT(B582/1E6)+I582*'入力・概要'!$B$16/2)</f>
        <v/>
      </c>
      <c r="I582" s="195">
        <f>IF(B582="","",C582*('入力・概要'!$E$17*1E-9))</f>
        <v/>
      </c>
      <c r="J582" s="195">
        <f>IF(B582="","",SINH(2*H582)/(COSH(2*H582)+COS(2*I582)))</f>
        <v/>
      </c>
      <c r="K582" s="195">
        <f>IF(B582="","",SIN(2*I582)/(COSH(2*H582)+COS(2*I582)))</f>
        <v/>
      </c>
      <c r="L582" s="195">
        <f>IF(B582="","",'入力・概要'!$B$25)</f>
        <v/>
      </c>
      <c r="M582" s="195">
        <f>IF(B582="","",C582*'入力・概要'!$B$26*1E-9-1/(C582*'入力・概要'!$B$24*1E-6))</f>
        <v/>
      </c>
      <c r="N582" s="195">
        <f>IF(B582="","",'入力・概要'!$B$28)</f>
        <v/>
      </c>
      <c r="O582" s="195">
        <f>IF(B582="","",C582*'入力・概要'!$B$29*1E-9-1/(C582*'入力・概要'!$B$27*1E-6))</f>
        <v/>
      </c>
      <c r="P582" s="195">
        <f>IF(B582="","",((L582*N582-M582*O582)*(L582+N582)+(L582*O582+M582*N582)*(M582+O582))/((L582+N582)^2+(M582+O582)^2))</f>
        <v/>
      </c>
      <c r="Q582" s="195">
        <f>IF(B582="","",((L582*O582+M582*N582)*(L582+N582)-(L582*N582-M582*O582)*(M582+O582))/((L582+N582)^2+(M582+O582)^2))</f>
        <v/>
      </c>
      <c r="R582" s="195">
        <f>IF(B582="","",'入力・概要'!$E$15*J582)</f>
        <v/>
      </c>
      <c r="S582" s="195">
        <f>IF(B582="","",'入力・概要'!$E$15*K582)</f>
        <v/>
      </c>
      <c r="T582" s="195">
        <f>IF(B582="","",P582+R582)</f>
        <v/>
      </c>
      <c r="U582" s="195">
        <f>IF(B582="","",Q582+S582)</f>
        <v/>
      </c>
      <c r="V582" s="195">
        <f>IF(B582="","",T582+'入力・概要'!$E$9*F582)</f>
        <v/>
      </c>
      <c r="W582" s="195">
        <f>IF(B582="","",U582+'入力・概要'!$E$9*G582)</f>
        <v/>
      </c>
      <c r="X582" s="195">
        <f>IF(B582="","",'入力・概要'!$E$9+T582*F582-U582*G582)</f>
        <v/>
      </c>
      <c r="Y582" s="195">
        <f>IF(B582="","",T582*G582+U582*F582)</f>
        <v/>
      </c>
      <c r="Z582" s="195">
        <f>IF(B582="","",'入力・概要'!$E$9*(V582*X582+W582*Y582)/(X582^2+Y582^2)+'入力・概要'!$B$36)</f>
        <v/>
      </c>
      <c r="AA582" s="195">
        <f>IF(B582="","",'入力・概要'!$E$9*(W582*X582-V582*Y582)/(X582^2+Y582^2)+C582*'入力・概要'!$B$37*1E-9)</f>
        <v/>
      </c>
      <c r="AB582" s="195">
        <f>IF(B582="","",SQRT(Z582^2+AA582^2))</f>
        <v/>
      </c>
      <c r="AC582" s="195">
        <f>IF(B582="","",IF(Z582&gt;0,DEGREES(ATAN(AA582/Z582)),IF(Z582&lt;0,IF(AA582&gt;=0,DEGREES(ATAN(AA582/Z582))+180,DEGREES(ATAN(AA582/Z582))-180),IF(AA582&gt;0,90,IF(AA582&lt;0,-90,0)))))</f>
        <v/>
      </c>
      <c r="AD582" s="195">
        <f>IF(B582="","",LOG10(B582))</f>
        <v/>
      </c>
      <c r="AE582" s="195">
        <f>IF(AB582="","",LOG10(MAX(AB582,1E-12)))</f>
        <v/>
      </c>
      <c r="AF582" s="195">
        <f>IF(B582="","",SQRT(P582^2+Q582^2))</f>
        <v/>
      </c>
      <c r="AG582" s="195">
        <f>IF(B582="","",SQRT(R582^2+S582^2))</f>
        <v/>
      </c>
    </row>
    <row r="583">
      <c r="A583" t="n">
        <v>580</v>
      </c>
      <c r="B583" s="196">
        <f>IF(A583&lt;='入力・概要'!$B$40,10^(LOG10('入力・概要'!$B$38)+(A583-1)*(LOG10('入力・概要'!$B$39)-LOG10('入力・概要'!$B$38))/('入力・概要'!$B$40-1)),"")</f>
        <v/>
      </c>
      <c r="C583" s="195">
        <f>IF(B583="","",2*PI()*B583)</f>
        <v/>
      </c>
      <c r="D583" s="195">
        <f>IF(B583="","",ATANH(MIN(0.999999,'入力・概要'!$E$20/'入力・概要'!$E$9))+'入力・概要'!$B$20*SQRT(B583/1E6)+E583*'入力・概要'!$B$15/2)</f>
        <v/>
      </c>
      <c r="E583" s="195">
        <f>IF(B583="","",C583*('入力・概要'!$E$11*1E-9))</f>
        <v/>
      </c>
      <c r="F583" s="195">
        <f>IF(B583="","",SINH(2*D583)/(COSH(2*D583)+COS(2*E583)))</f>
        <v/>
      </c>
      <c r="G583" s="195">
        <f>IF(B583="","",SIN(2*E583)/(COSH(2*D583)+COS(2*E583)))</f>
        <v/>
      </c>
      <c r="H583" s="195">
        <f>IF(B583="","",ATANH(MIN(0.999999,'入力・概要'!$E$21/'入力・概要'!$E$15))+'入力・概要'!$B$21*SQRT(B583/1E6)+I583*'入力・概要'!$B$16/2)</f>
        <v/>
      </c>
      <c r="I583" s="195">
        <f>IF(B583="","",C583*('入力・概要'!$E$17*1E-9))</f>
        <v/>
      </c>
      <c r="J583" s="195">
        <f>IF(B583="","",SINH(2*H583)/(COSH(2*H583)+COS(2*I583)))</f>
        <v/>
      </c>
      <c r="K583" s="195">
        <f>IF(B583="","",SIN(2*I583)/(COSH(2*H583)+COS(2*I583)))</f>
        <v/>
      </c>
      <c r="L583" s="195">
        <f>IF(B583="","",'入力・概要'!$B$25)</f>
        <v/>
      </c>
      <c r="M583" s="195">
        <f>IF(B583="","",C583*'入力・概要'!$B$26*1E-9-1/(C583*'入力・概要'!$B$24*1E-6))</f>
        <v/>
      </c>
      <c r="N583" s="195">
        <f>IF(B583="","",'入力・概要'!$B$28)</f>
        <v/>
      </c>
      <c r="O583" s="195">
        <f>IF(B583="","",C583*'入力・概要'!$B$29*1E-9-1/(C583*'入力・概要'!$B$27*1E-6))</f>
        <v/>
      </c>
      <c r="P583" s="195">
        <f>IF(B583="","",((L583*N583-M583*O583)*(L583+N583)+(L583*O583+M583*N583)*(M583+O583))/((L583+N583)^2+(M583+O583)^2))</f>
        <v/>
      </c>
      <c r="Q583" s="195">
        <f>IF(B583="","",((L583*O583+M583*N583)*(L583+N583)-(L583*N583-M583*O583)*(M583+O583))/((L583+N583)^2+(M583+O583)^2))</f>
        <v/>
      </c>
      <c r="R583" s="195">
        <f>IF(B583="","",'入力・概要'!$E$15*J583)</f>
        <v/>
      </c>
      <c r="S583" s="195">
        <f>IF(B583="","",'入力・概要'!$E$15*K583)</f>
        <v/>
      </c>
      <c r="T583" s="195">
        <f>IF(B583="","",P583+R583)</f>
        <v/>
      </c>
      <c r="U583" s="195">
        <f>IF(B583="","",Q583+S583)</f>
        <v/>
      </c>
      <c r="V583" s="195">
        <f>IF(B583="","",T583+'入力・概要'!$E$9*F583)</f>
        <v/>
      </c>
      <c r="W583" s="195">
        <f>IF(B583="","",U583+'入力・概要'!$E$9*G583)</f>
        <v/>
      </c>
      <c r="X583" s="195">
        <f>IF(B583="","",'入力・概要'!$E$9+T583*F583-U583*G583)</f>
        <v/>
      </c>
      <c r="Y583" s="195">
        <f>IF(B583="","",T583*G583+U583*F583)</f>
        <v/>
      </c>
      <c r="Z583" s="195">
        <f>IF(B583="","",'入力・概要'!$E$9*(V583*X583+W583*Y583)/(X583^2+Y583^2)+'入力・概要'!$B$36)</f>
        <v/>
      </c>
      <c r="AA583" s="195">
        <f>IF(B583="","",'入力・概要'!$E$9*(W583*X583-V583*Y583)/(X583^2+Y583^2)+C583*'入力・概要'!$B$37*1E-9)</f>
        <v/>
      </c>
      <c r="AB583" s="195">
        <f>IF(B583="","",SQRT(Z583^2+AA583^2))</f>
        <v/>
      </c>
      <c r="AC583" s="195">
        <f>IF(B583="","",IF(Z583&gt;0,DEGREES(ATAN(AA583/Z583)),IF(Z583&lt;0,IF(AA583&gt;=0,DEGREES(ATAN(AA583/Z583))+180,DEGREES(ATAN(AA583/Z583))-180),IF(AA583&gt;0,90,IF(AA583&lt;0,-90,0)))))</f>
        <v/>
      </c>
      <c r="AD583" s="195">
        <f>IF(B583="","",LOG10(B583))</f>
        <v/>
      </c>
      <c r="AE583" s="195">
        <f>IF(AB583="","",LOG10(MAX(AB583,1E-12)))</f>
        <v/>
      </c>
      <c r="AF583" s="195">
        <f>IF(B583="","",SQRT(P583^2+Q583^2))</f>
        <v/>
      </c>
      <c r="AG583" s="195">
        <f>IF(B583="","",SQRT(R583^2+S583^2))</f>
        <v/>
      </c>
    </row>
    <row r="584">
      <c r="A584" t="n">
        <v>581</v>
      </c>
      <c r="B584" s="196">
        <f>IF(A584&lt;='入力・概要'!$B$40,10^(LOG10('入力・概要'!$B$38)+(A584-1)*(LOG10('入力・概要'!$B$39)-LOG10('入力・概要'!$B$38))/('入力・概要'!$B$40-1)),"")</f>
        <v/>
      </c>
      <c r="C584" s="195">
        <f>IF(B584="","",2*PI()*B584)</f>
        <v/>
      </c>
      <c r="D584" s="195">
        <f>IF(B584="","",ATANH(MIN(0.999999,'入力・概要'!$E$20/'入力・概要'!$E$9))+'入力・概要'!$B$20*SQRT(B584/1E6)+E584*'入力・概要'!$B$15/2)</f>
        <v/>
      </c>
      <c r="E584" s="195">
        <f>IF(B584="","",C584*('入力・概要'!$E$11*1E-9))</f>
        <v/>
      </c>
      <c r="F584" s="195">
        <f>IF(B584="","",SINH(2*D584)/(COSH(2*D584)+COS(2*E584)))</f>
        <v/>
      </c>
      <c r="G584" s="195">
        <f>IF(B584="","",SIN(2*E584)/(COSH(2*D584)+COS(2*E584)))</f>
        <v/>
      </c>
      <c r="H584" s="195">
        <f>IF(B584="","",ATANH(MIN(0.999999,'入力・概要'!$E$21/'入力・概要'!$E$15))+'入力・概要'!$B$21*SQRT(B584/1E6)+I584*'入力・概要'!$B$16/2)</f>
        <v/>
      </c>
      <c r="I584" s="195">
        <f>IF(B584="","",C584*('入力・概要'!$E$17*1E-9))</f>
        <v/>
      </c>
      <c r="J584" s="195">
        <f>IF(B584="","",SINH(2*H584)/(COSH(2*H584)+COS(2*I584)))</f>
        <v/>
      </c>
      <c r="K584" s="195">
        <f>IF(B584="","",SIN(2*I584)/(COSH(2*H584)+COS(2*I584)))</f>
        <v/>
      </c>
      <c r="L584" s="195">
        <f>IF(B584="","",'入力・概要'!$B$25)</f>
        <v/>
      </c>
      <c r="M584" s="195">
        <f>IF(B584="","",C584*'入力・概要'!$B$26*1E-9-1/(C584*'入力・概要'!$B$24*1E-6))</f>
        <v/>
      </c>
      <c r="N584" s="195">
        <f>IF(B584="","",'入力・概要'!$B$28)</f>
        <v/>
      </c>
      <c r="O584" s="195">
        <f>IF(B584="","",C584*'入力・概要'!$B$29*1E-9-1/(C584*'入力・概要'!$B$27*1E-6))</f>
        <v/>
      </c>
      <c r="P584" s="195">
        <f>IF(B584="","",((L584*N584-M584*O584)*(L584+N584)+(L584*O584+M584*N584)*(M584+O584))/((L584+N584)^2+(M584+O584)^2))</f>
        <v/>
      </c>
      <c r="Q584" s="195">
        <f>IF(B584="","",((L584*O584+M584*N584)*(L584+N584)-(L584*N584-M584*O584)*(M584+O584))/((L584+N584)^2+(M584+O584)^2))</f>
        <v/>
      </c>
      <c r="R584" s="195">
        <f>IF(B584="","",'入力・概要'!$E$15*J584)</f>
        <v/>
      </c>
      <c r="S584" s="195">
        <f>IF(B584="","",'入力・概要'!$E$15*K584)</f>
        <v/>
      </c>
      <c r="T584" s="195">
        <f>IF(B584="","",P584+R584)</f>
        <v/>
      </c>
      <c r="U584" s="195">
        <f>IF(B584="","",Q584+S584)</f>
        <v/>
      </c>
      <c r="V584" s="195">
        <f>IF(B584="","",T584+'入力・概要'!$E$9*F584)</f>
        <v/>
      </c>
      <c r="W584" s="195">
        <f>IF(B584="","",U584+'入力・概要'!$E$9*G584)</f>
        <v/>
      </c>
      <c r="X584" s="195">
        <f>IF(B584="","",'入力・概要'!$E$9+T584*F584-U584*G584)</f>
        <v/>
      </c>
      <c r="Y584" s="195">
        <f>IF(B584="","",T584*G584+U584*F584)</f>
        <v/>
      </c>
      <c r="Z584" s="195">
        <f>IF(B584="","",'入力・概要'!$E$9*(V584*X584+W584*Y584)/(X584^2+Y584^2)+'入力・概要'!$B$36)</f>
        <v/>
      </c>
      <c r="AA584" s="195">
        <f>IF(B584="","",'入力・概要'!$E$9*(W584*X584-V584*Y584)/(X584^2+Y584^2)+C584*'入力・概要'!$B$37*1E-9)</f>
        <v/>
      </c>
      <c r="AB584" s="195">
        <f>IF(B584="","",SQRT(Z584^2+AA584^2))</f>
        <v/>
      </c>
      <c r="AC584" s="195">
        <f>IF(B584="","",IF(Z584&gt;0,DEGREES(ATAN(AA584/Z584)),IF(Z584&lt;0,IF(AA584&gt;=0,DEGREES(ATAN(AA584/Z584))+180,DEGREES(ATAN(AA584/Z584))-180),IF(AA584&gt;0,90,IF(AA584&lt;0,-90,0)))))</f>
        <v/>
      </c>
      <c r="AD584" s="195">
        <f>IF(B584="","",LOG10(B584))</f>
        <v/>
      </c>
      <c r="AE584" s="195">
        <f>IF(AB584="","",LOG10(MAX(AB584,1E-12)))</f>
        <v/>
      </c>
      <c r="AF584" s="195">
        <f>IF(B584="","",SQRT(P584^2+Q584^2))</f>
        <v/>
      </c>
      <c r="AG584" s="195">
        <f>IF(B584="","",SQRT(R584^2+S584^2))</f>
        <v/>
      </c>
    </row>
    <row r="585">
      <c r="A585" t="n">
        <v>582</v>
      </c>
      <c r="B585" s="196">
        <f>IF(A585&lt;='入力・概要'!$B$40,10^(LOG10('入力・概要'!$B$38)+(A585-1)*(LOG10('入力・概要'!$B$39)-LOG10('入力・概要'!$B$38))/('入力・概要'!$B$40-1)),"")</f>
        <v/>
      </c>
      <c r="C585" s="195">
        <f>IF(B585="","",2*PI()*B585)</f>
        <v/>
      </c>
      <c r="D585" s="195">
        <f>IF(B585="","",ATANH(MIN(0.999999,'入力・概要'!$E$20/'入力・概要'!$E$9))+'入力・概要'!$B$20*SQRT(B585/1E6)+E585*'入力・概要'!$B$15/2)</f>
        <v/>
      </c>
      <c r="E585" s="195">
        <f>IF(B585="","",C585*('入力・概要'!$E$11*1E-9))</f>
        <v/>
      </c>
      <c r="F585" s="195">
        <f>IF(B585="","",SINH(2*D585)/(COSH(2*D585)+COS(2*E585)))</f>
        <v/>
      </c>
      <c r="G585" s="195">
        <f>IF(B585="","",SIN(2*E585)/(COSH(2*D585)+COS(2*E585)))</f>
        <v/>
      </c>
      <c r="H585" s="195">
        <f>IF(B585="","",ATANH(MIN(0.999999,'入力・概要'!$E$21/'入力・概要'!$E$15))+'入力・概要'!$B$21*SQRT(B585/1E6)+I585*'入力・概要'!$B$16/2)</f>
        <v/>
      </c>
      <c r="I585" s="195">
        <f>IF(B585="","",C585*('入力・概要'!$E$17*1E-9))</f>
        <v/>
      </c>
      <c r="J585" s="195">
        <f>IF(B585="","",SINH(2*H585)/(COSH(2*H585)+COS(2*I585)))</f>
        <v/>
      </c>
      <c r="K585" s="195">
        <f>IF(B585="","",SIN(2*I585)/(COSH(2*H585)+COS(2*I585)))</f>
        <v/>
      </c>
      <c r="L585" s="195">
        <f>IF(B585="","",'入力・概要'!$B$25)</f>
        <v/>
      </c>
      <c r="M585" s="195">
        <f>IF(B585="","",C585*'入力・概要'!$B$26*1E-9-1/(C585*'入力・概要'!$B$24*1E-6))</f>
        <v/>
      </c>
      <c r="N585" s="195">
        <f>IF(B585="","",'入力・概要'!$B$28)</f>
        <v/>
      </c>
      <c r="O585" s="195">
        <f>IF(B585="","",C585*'入力・概要'!$B$29*1E-9-1/(C585*'入力・概要'!$B$27*1E-6))</f>
        <v/>
      </c>
      <c r="P585" s="195">
        <f>IF(B585="","",((L585*N585-M585*O585)*(L585+N585)+(L585*O585+M585*N585)*(M585+O585))/((L585+N585)^2+(M585+O585)^2))</f>
        <v/>
      </c>
      <c r="Q585" s="195">
        <f>IF(B585="","",((L585*O585+M585*N585)*(L585+N585)-(L585*N585-M585*O585)*(M585+O585))/((L585+N585)^2+(M585+O585)^2))</f>
        <v/>
      </c>
      <c r="R585" s="195">
        <f>IF(B585="","",'入力・概要'!$E$15*J585)</f>
        <v/>
      </c>
      <c r="S585" s="195">
        <f>IF(B585="","",'入力・概要'!$E$15*K585)</f>
        <v/>
      </c>
      <c r="T585" s="195">
        <f>IF(B585="","",P585+R585)</f>
        <v/>
      </c>
      <c r="U585" s="195">
        <f>IF(B585="","",Q585+S585)</f>
        <v/>
      </c>
      <c r="V585" s="195">
        <f>IF(B585="","",T585+'入力・概要'!$E$9*F585)</f>
        <v/>
      </c>
      <c r="W585" s="195">
        <f>IF(B585="","",U585+'入力・概要'!$E$9*G585)</f>
        <v/>
      </c>
      <c r="X585" s="195">
        <f>IF(B585="","",'入力・概要'!$E$9+T585*F585-U585*G585)</f>
        <v/>
      </c>
      <c r="Y585" s="195">
        <f>IF(B585="","",T585*G585+U585*F585)</f>
        <v/>
      </c>
      <c r="Z585" s="195">
        <f>IF(B585="","",'入力・概要'!$E$9*(V585*X585+W585*Y585)/(X585^2+Y585^2)+'入力・概要'!$B$36)</f>
        <v/>
      </c>
      <c r="AA585" s="195">
        <f>IF(B585="","",'入力・概要'!$E$9*(W585*X585-V585*Y585)/(X585^2+Y585^2)+C585*'入力・概要'!$B$37*1E-9)</f>
        <v/>
      </c>
      <c r="AB585" s="195">
        <f>IF(B585="","",SQRT(Z585^2+AA585^2))</f>
        <v/>
      </c>
      <c r="AC585" s="195">
        <f>IF(B585="","",IF(Z585&gt;0,DEGREES(ATAN(AA585/Z585)),IF(Z585&lt;0,IF(AA585&gt;=0,DEGREES(ATAN(AA585/Z585))+180,DEGREES(ATAN(AA585/Z585))-180),IF(AA585&gt;0,90,IF(AA585&lt;0,-90,0)))))</f>
        <v/>
      </c>
      <c r="AD585" s="195">
        <f>IF(B585="","",LOG10(B585))</f>
        <v/>
      </c>
      <c r="AE585" s="195">
        <f>IF(AB585="","",LOG10(MAX(AB585,1E-12)))</f>
        <v/>
      </c>
      <c r="AF585" s="195">
        <f>IF(B585="","",SQRT(P585^2+Q585^2))</f>
        <v/>
      </c>
      <c r="AG585" s="195">
        <f>IF(B585="","",SQRT(R585^2+S585^2))</f>
        <v/>
      </c>
    </row>
    <row r="586">
      <c r="A586" t="n">
        <v>583</v>
      </c>
      <c r="B586" s="196">
        <f>IF(A586&lt;='入力・概要'!$B$40,10^(LOG10('入力・概要'!$B$38)+(A586-1)*(LOG10('入力・概要'!$B$39)-LOG10('入力・概要'!$B$38))/('入力・概要'!$B$40-1)),"")</f>
        <v/>
      </c>
      <c r="C586" s="195">
        <f>IF(B586="","",2*PI()*B586)</f>
        <v/>
      </c>
      <c r="D586" s="195">
        <f>IF(B586="","",ATANH(MIN(0.999999,'入力・概要'!$E$20/'入力・概要'!$E$9))+'入力・概要'!$B$20*SQRT(B586/1E6)+E586*'入力・概要'!$B$15/2)</f>
        <v/>
      </c>
      <c r="E586" s="195">
        <f>IF(B586="","",C586*('入力・概要'!$E$11*1E-9))</f>
        <v/>
      </c>
      <c r="F586" s="195">
        <f>IF(B586="","",SINH(2*D586)/(COSH(2*D586)+COS(2*E586)))</f>
        <v/>
      </c>
      <c r="G586" s="195">
        <f>IF(B586="","",SIN(2*E586)/(COSH(2*D586)+COS(2*E586)))</f>
        <v/>
      </c>
      <c r="H586" s="195">
        <f>IF(B586="","",ATANH(MIN(0.999999,'入力・概要'!$E$21/'入力・概要'!$E$15))+'入力・概要'!$B$21*SQRT(B586/1E6)+I586*'入力・概要'!$B$16/2)</f>
        <v/>
      </c>
      <c r="I586" s="195">
        <f>IF(B586="","",C586*('入力・概要'!$E$17*1E-9))</f>
        <v/>
      </c>
      <c r="J586" s="195">
        <f>IF(B586="","",SINH(2*H586)/(COSH(2*H586)+COS(2*I586)))</f>
        <v/>
      </c>
      <c r="K586" s="195">
        <f>IF(B586="","",SIN(2*I586)/(COSH(2*H586)+COS(2*I586)))</f>
        <v/>
      </c>
      <c r="L586" s="195">
        <f>IF(B586="","",'入力・概要'!$B$25)</f>
        <v/>
      </c>
      <c r="M586" s="195">
        <f>IF(B586="","",C586*'入力・概要'!$B$26*1E-9-1/(C586*'入力・概要'!$B$24*1E-6))</f>
        <v/>
      </c>
      <c r="N586" s="195">
        <f>IF(B586="","",'入力・概要'!$B$28)</f>
        <v/>
      </c>
      <c r="O586" s="195">
        <f>IF(B586="","",C586*'入力・概要'!$B$29*1E-9-1/(C586*'入力・概要'!$B$27*1E-6))</f>
        <v/>
      </c>
      <c r="P586" s="195">
        <f>IF(B586="","",((L586*N586-M586*O586)*(L586+N586)+(L586*O586+M586*N586)*(M586+O586))/((L586+N586)^2+(M586+O586)^2))</f>
        <v/>
      </c>
      <c r="Q586" s="195">
        <f>IF(B586="","",((L586*O586+M586*N586)*(L586+N586)-(L586*N586-M586*O586)*(M586+O586))/((L586+N586)^2+(M586+O586)^2))</f>
        <v/>
      </c>
      <c r="R586" s="195">
        <f>IF(B586="","",'入力・概要'!$E$15*J586)</f>
        <v/>
      </c>
      <c r="S586" s="195">
        <f>IF(B586="","",'入力・概要'!$E$15*K586)</f>
        <v/>
      </c>
      <c r="T586" s="195">
        <f>IF(B586="","",P586+R586)</f>
        <v/>
      </c>
      <c r="U586" s="195">
        <f>IF(B586="","",Q586+S586)</f>
        <v/>
      </c>
      <c r="V586" s="195">
        <f>IF(B586="","",T586+'入力・概要'!$E$9*F586)</f>
        <v/>
      </c>
      <c r="W586" s="195">
        <f>IF(B586="","",U586+'入力・概要'!$E$9*G586)</f>
        <v/>
      </c>
      <c r="X586" s="195">
        <f>IF(B586="","",'入力・概要'!$E$9+T586*F586-U586*G586)</f>
        <v/>
      </c>
      <c r="Y586" s="195">
        <f>IF(B586="","",T586*G586+U586*F586)</f>
        <v/>
      </c>
      <c r="Z586" s="195">
        <f>IF(B586="","",'入力・概要'!$E$9*(V586*X586+W586*Y586)/(X586^2+Y586^2)+'入力・概要'!$B$36)</f>
        <v/>
      </c>
      <c r="AA586" s="195">
        <f>IF(B586="","",'入力・概要'!$E$9*(W586*X586-V586*Y586)/(X586^2+Y586^2)+C586*'入力・概要'!$B$37*1E-9)</f>
        <v/>
      </c>
      <c r="AB586" s="195">
        <f>IF(B586="","",SQRT(Z586^2+AA586^2))</f>
        <v/>
      </c>
      <c r="AC586" s="195">
        <f>IF(B586="","",IF(Z586&gt;0,DEGREES(ATAN(AA586/Z586)),IF(Z586&lt;0,IF(AA586&gt;=0,DEGREES(ATAN(AA586/Z586))+180,DEGREES(ATAN(AA586/Z586))-180),IF(AA586&gt;0,90,IF(AA586&lt;0,-90,0)))))</f>
        <v/>
      </c>
      <c r="AD586" s="195">
        <f>IF(B586="","",LOG10(B586))</f>
        <v/>
      </c>
      <c r="AE586" s="195">
        <f>IF(AB586="","",LOG10(MAX(AB586,1E-12)))</f>
        <v/>
      </c>
      <c r="AF586" s="195">
        <f>IF(B586="","",SQRT(P586^2+Q586^2))</f>
        <v/>
      </c>
      <c r="AG586" s="195">
        <f>IF(B586="","",SQRT(R586^2+S586^2))</f>
        <v/>
      </c>
    </row>
    <row r="587">
      <c r="A587" t="n">
        <v>584</v>
      </c>
      <c r="B587" s="196">
        <f>IF(A587&lt;='入力・概要'!$B$40,10^(LOG10('入力・概要'!$B$38)+(A587-1)*(LOG10('入力・概要'!$B$39)-LOG10('入力・概要'!$B$38))/('入力・概要'!$B$40-1)),"")</f>
        <v/>
      </c>
      <c r="C587" s="195">
        <f>IF(B587="","",2*PI()*B587)</f>
        <v/>
      </c>
      <c r="D587" s="195">
        <f>IF(B587="","",ATANH(MIN(0.999999,'入力・概要'!$E$20/'入力・概要'!$E$9))+'入力・概要'!$B$20*SQRT(B587/1E6)+E587*'入力・概要'!$B$15/2)</f>
        <v/>
      </c>
      <c r="E587" s="195">
        <f>IF(B587="","",C587*('入力・概要'!$E$11*1E-9))</f>
        <v/>
      </c>
      <c r="F587" s="195">
        <f>IF(B587="","",SINH(2*D587)/(COSH(2*D587)+COS(2*E587)))</f>
        <v/>
      </c>
      <c r="G587" s="195">
        <f>IF(B587="","",SIN(2*E587)/(COSH(2*D587)+COS(2*E587)))</f>
        <v/>
      </c>
      <c r="H587" s="195">
        <f>IF(B587="","",ATANH(MIN(0.999999,'入力・概要'!$E$21/'入力・概要'!$E$15))+'入力・概要'!$B$21*SQRT(B587/1E6)+I587*'入力・概要'!$B$16/2)</f>
        <v/>
      </c>
      <c r="I587" s="195">
        <f>IF(B587="","",C587*('入力・概要'!$E$17*1E-9))</f>
        <v/>
      </c>
      <c r="J587" s="195">
        <f>IF(B587="","",SINH(2*H587)/(COSH(2*H587)+COS(2*I587)))</f>
        <v/>
      </c>
      <c r="K587" s="195">
        <f>IF(B587="","",SIN(2*I587)/(COSH(2*H587)+COS(2*I587)))</f>
        <v/>
      </c>
      <c r="L587" s="195">
        <f>IF(B587="","",'入力・概要'!$B$25)</f>
        <v/>
      </c>
      <c r="M587" s="195">
        <f>IF(B587="","",C587*'入力・概要'!$B$26*1E-9-1/(C587*'入力・概要'!$B$24*1E-6))</f>
        <v/>
      </c>
      <c r="N587" s="195">
        <f>IF(B587="","",'入力・概要'!$B$28)</f>
        <v/>
      </c>
      <c r="O587" s="195">
        <f>IF(B587="","",C587*'入力・概要'!$B$29*1E-9-1/(C587*'入力・概要'!$B$27*1E-6))</f>
        <v/>
      </c>
      <c r="P587" s="195">
        <f>IF(B587="","",((L587*N587-M587*O587)*(L587+N587)+(L587*O587+M587*N587)*(M587+O587))/((L587+N587)^2+(M587+O587)^2))</f>
        <v/>
      </c>
      <c r="Q587" s="195">
        <f>IF(B587="","",((L587*O587+M587*N587)*(L587+N587)-(L587*N587-M587*O587)*(M587+O587))/((L587+N587)^2+(M587+O587)^2))</f>
        <v/>
      </c>
      <c r="R587" s="195">
        <f>IF(B587="","",'入力・概要'!$E$15*J587)</f>
        <v/>
      </c>
      <c r="S587" s="195">
        <f>IF(B587="","",'入力・概要'!$E$15*K587)</f>
        <v/>
      </c>
      <c r="T587" s="195">
        <f>IF(B587="","",P587+R587)</f>
        <v/>
      </c>
      <c r="U587" s="195">
        <f>IF(B587="","",Q587+S587)</f>
        <v/>
      </c>
      <c r="V587" s="195">
        <f>IF(B587="","",T587+'入力・概要'!$E$9*F587)</f>
        <v/>
      </c>
      <c r="W587" s="195">
        <f>IF(B587="","",U587+'入力・概要'!$E$9*G587)</f>
        <v/>
      </c>
      <c r="X587" s="195">
        <f>IF(B587="","",'入力・概要'!$E$9+T587*F587-U587*G587)</f>
        <v/>
      </c>
      <c r="Y587" s="195">
        <f>IF(B587="","",T587*G587+U587*F587)</f>
        <v/>
      </c>
      <c r="Z587" s="195">
        <f>IF(B587="","",'入力・概要'!$E$9*(V587*X587+W587*Y587)/(X587^2+Y587^2)+'入力・概要'!$B$36)</f>
        <v/>
      </c>
      <c r="AA587" s="195">
        <f>IF(B587="","",'入力・概要'!$E$9*(W587*X587-V587*Y587)/(X587^2+Y587^2)+C587*'入力・概要'!$B$37*1E-9)</f>
        <v/>
      </c>
      <c r="AB587" s="195">
        <f>IF(B587="","",SQRT(Z587^2+AA587^2))</f>
        <v/>
      </c>
      <c r="AC587" s="195">
        <f>IF(B587="","",IF(Z587&gt;0,DEGREES(ATAN(AA587/Z587)),IF(Z587&lt;0,IF(AA587&gt;=0,DEGREES(ATAN(AA587/Z587))+180,DEGREES(ATAN(AA587/Z587))-180),IF(AA587&gt;0,90,IF(AA587&lt;0,-90,0)))))</f>
        <v/>
      </c>
      <c r="AD587" s="195">
        <f>IF(B587="","",LOG10(B587))</f>
        <v/>
      </c>
      <c r="AE587" s="195">
        <f>IF(AB587="","",LOG10(MAX(AB587,1E-12)))</f>
        <v/>
      </c>
      <c r="AF587" s="195">
        <f>IF(B587="","",SQRT(P587^2+Q587^2))</f>
        <v/>
      </c>
      <c r="AG587" s="195">
        <f>IF(B587="","",SQRT(R587^2+S587^2))</f>
        <v/>
      </c>
    </row>
    <row r="588">
      <c r="A588" t="n">
        <v>585</v>
      </c>
      <c r="B588" s="196">
        <f>IF(A588&lt;='入力・概要'!$B$40,10^(LOG10('入力・概要'!$B$38)+(A588-1)*(LOG10('入力・概要'!$B$39)-LOG10('入力・概要'!$B$38))/('入力・概要'!$B$40-1)),"")</f>
        <v/>
      </c>
      <c r="C588" s="195">
        <f>IF(B588="","",2*PI()*B588)</f>
        <v/>
      </c>
      <c r="D588" s="195">
        <f>IF(B588="","",ATANH(MIN(0.999999,'入力・概要'!$E$20/'入力・概要'!$E$9))+'入力・概要'!$B$20*SQRT(B588/1E6)+E588*'入力・概要'!$B$15/2)</f>
        <v/>
      </c>
      <c r="E588" s="195">
        <f>IF(B588="","",C588*('入力・概要'!$E$11*1E-9))</f>
        <v/>
      </c>
      <c r="F588" s="195">
        <f>IF(B588="","",SINH(2*D588)/(COSH(2*D588)+COS(2*E588)))</f>
        <v/>
      </c>
      <c r="G588" s="195">
        <f>IF(B588="","",SIN(2*E588)/(COSH(2*D588)+COS(2*E588)))</f>
        <v/>
      </c>
      <c r="H588" s="195">
        <f>IF(B588="","",ATANH(MIN(0.999999,'入力・概要'!$E$21/'入力・概要'!$E$15))+'入力・概要'!$B$21*SQRT(B588/1E6)+I588*'入力・概要'!$B$16/2)</f>
        <v/>
      </c>
      <c r="I588" s="195">
        <f>IF(B588="","",C588*('入力・概要'!$E$17*1E-9))</f>
        <v/>
      </c>
      <c r="J588" s="195">
        <f>IF(B588="","",SINH(2*H588)/(COSH(2*H588)+COS(2*I588)))</f>
        <v/>
      </c>
      <c r="K588" s="195">
        <f>IF(B588="","",SIN(2*I588)/(COSH(2*H588)+COS(2*I588)))</f>
        <v/>
      </c>
      <c r="L588" s="195">
        <f>IF(B588="","",'入力・概要'!$B$25)</f>
        <v/>
      </c>
      <c r="M588" s="195">
        <f>IF(B588="","",C588*'入力・概要'!$B$26*1E-9-1/(C588*'入力・概要'!$B$24*1E-6))</f>
        <v/>
      </c>
      <c r="N588" s="195">
        <f>IF(B588="","",'入力・概要'!$B$28)</f>
        <v/>
      </c>
      <c r="O588" s="195">
        <f>IF(B588="","",C588*'入力・概要'!$B$29*1E-9-1/(C588*'入力・概要'!$B$27*1E-6))</f>
        <v/>
      </c>
      <c r="P588" s="195">
        <f>IF(B588="","",((L588*N588-M588*O588)*(L588+N588)+(L588*O588+M588*N588)*(M588+O588))/((L588+N588)^2+(M588+O588)^2))</f>
        <v/>
      </c>
      <c r="Q588" s="195">
        <f>IF(B588="","",((L588*O588+M588*N588)*(L588+N588)-(L588*N588-M588*O588)*(M588+O588))/((L588+N588)^2+(M588+O588)^2))</f>
        <v/>
      </c>
      <c r="R588" s="195">
        <f>IF(B588="","",'入力・概要'!$E$15*J588)</f>
        <v/>
      </c>
      <c r="S588" s="195">
        <f>IF(B588="","",'入力・概要'!$E$15*K588)</f>
        <v/>
      </c>
      <c r="T588" s="195">
        <f>IF(B588="","",P588+R588)</f>
        <v/>
      </c>
      <c r="U588" s="195">
        <f>IF(B588="","",Q588+S588)</f>
        <v/>
      </c>
      <c r="V588" s="195">
        <f>IF(B588="","",T588+'入力・概要'!$E$9*F588)</f>
        <v/>
      </c>
      <c r="W588" s="195">
        <f>IF(B588="","",U588+'入力・概要'!$E$9*G588)</f>
        <v/>
      </c>
      <c r="X588" s="195">
        <f>IF(B588="","",'入力・概要'!$E$9+T588*F588-U588*G588)</f>
        <v/>
      </c>
      <c r="Y588" s="195">
        <f>IF(B588="","",T588*G588+U588*F588)</f>
        <v/>
      </c>
      <c r="Z588" s="195">
        <f>IF(B588="","",'入力・概要'!$E$9*(V588*X588+W588*Y588)/(X588^2+Y588^2)+'入力・概要'!$B$36)</f>
        <v/>
      </c>
      <c r="AA588" s="195">
        <f>IF(B588="","",'入力・概要'!$E$9*(W588*X588-V588*Y588)/(X588^2+Y588^2)+C588*'入力・概要'!$B$37*1E-9)</f>
        <v/>
      </c>
      <c r="AB588" s="195">
        <f>IF(B588="","",SQRT(Z588^2+AA588^2))</f>
        <v/>
      </c>
      <c r="AC588" s="195">
        <f>IF(B588="","",IF(Z588&gt;0,DEGREES(ATAN(AA588/Z588)),IF(Z588&lt;0,IF(AA588&gt;=0,DEGREES(ATAN(AA588/Z588))+180,DEGREES(ATAN(AA588/Z588))-180),IF(AA588&gt;0,90,IF(AA588&lt;0,-90,0)))))</f>
        <v/>
      </c>
      <c r="AD588" s="195">
        <f>IF(B588="","",LOG10(B588))</f>
        <v/>
      </c>
      <c r="AE588" s="195">
        <f>IF(AB588="","",LOG10(MAX(AB588,1E-12)))</f>
        <v/>
      </c>
      <c r="AF588" s="195">
        <f>IF(B588="","",SQRT(P588^2+Q588^2))</f>
        <v/>
      </c>
      <c r="AG588" s="195">
        <f>IF(B588="","",SQRT(R588^2+S588^2))</f>
        <v/>
      </c>
    </row>
    <row r="589">
      <c r="A589" t="n">
        <v>586</v>
      </c>
      <c r="B589" s="196">
        <f>IF(A589&lt;='入力・概要'!$B$40,10^(LOG10('入力・概要'!$B$38)+(A589-1)*(LOG10('入力・概要'!$B$39)-LOG10('入力・概要'!$B$38))/('入力・概要'!$B$40-1)),"")</f>
        <v/>
      </c>
      <c r="C589" s="195">
        <f>IF(B589="","",2*PI()*B589)</f>
        <v/>
      </c>
      <c r="D589" s="195">
        <f>IF(B589="","",ATANH(MIN(0.999999,'入力・概要'!$E$20/'入力・概要'!$E$9))+'入力・概要'!$B$20*SQRT(B589/1E6)+E589*'入力・概要'!$B$15/2)</f>
        <v/>
      </c>
      <c r="E589" s="195">
        <f>IF(B589="","",C589*('入力・概要'!$E$11*1E-9))</f>
        <v/>
      </c>
      <c r="F589" s="195">
        <f>IF(B589="","",SINH(2*D589)/(COSH(2*D589)+COS(2*E589)))</f>
        <v/>
      </c>
      <c r="G589" s="195">
        <f>IF(B589="","",SIN(2*E589)/(COSH(2*D589)+COS(2*E589)))</f>
        <v/>
      </c>
      <c r="H589" s="195">
        <f>IF(B589="","",ATANH(MIN(0.999999,'入力・概要'!$E$21/'入力・概要'!$E$15))+'入力・概要'!$B$21*SQRT(B589/1E6)+I589*'入力・概要'!$B$16/2)</f>
        <v/>
      </c>
      <c r="I589" s="195">
        <f>IF(B589="","",C589*('入力・概要'!$E$17*1E-9))</f>
        <v/>
      </c>
      <c r="J589" s="195">
        <f>IF(B589="","",SINH(2*H589)/(COSH(2*H589)+COS(2*I589)))</f>
        <v/>
      </c>
      <c r="K589" s="195">
        <f>IF(B589="","",SIN(2*I589)/(COSH(2*H589)+COS(2*I589)))</f>
        <v/>
      </c>
      <c r="L589" s="195">
        <f>IF(B589="","",'入力・概要'!$B$25)</f>
        <v/>
      </c>
      <c r="M589" s="195">
        <f>IF(B589="","",C589*'入力・概要'!$B$26*1E-9-1/(C589*'入力・概要'!$B$24*1E-6))</f>
        <v/>
      </c>
      <c r="N589" s="195">
        <f>IF(B589="","",'入力・概要'!$B$28)</f>
        <v/>
      </c>
      <c r="O589" s="195">
        <f>IF(B589="","",C589*'入力・概要'!$B$29*1E-9-1/(C589*'入力・概要'!$B$27*1E-6))</f>
        <v/>
      </c>
      <c r="P589" s="195">
        <f>IF(B589="","",((L589*N589-M589*O589)*(L589+N589)+(L589*O589+M589*N589)*(M589+O589))/((L589+N589)^2+(M589+O589)^2))</f>
        <v/>
      </c>
      <c r="Q589" s="195">
        <f>IF(B589="","",((L589*O589+M589*N589)*(L589+N589)-(L589*N589-M589*O589)*(M589+O589))/((L589+N589)^2+(M589+O589)^2))</f>
        <v/>
      </c>
      <c r="R589" s="195">
        <f>IF(B589="","",'入力・概要'!$E$15*J589)</f>
        <v/>
      </c>
      <c r="S589" s="195">
        <f>IF(B589="","",'入力・概要'!$E$15*K589)</f>
        <v/>
      </c>
      <c r="T589" s="195">
        <f>IF(B589="","",P589+R589)</f>
        <v/>
      </c>
      <c r="U589" s="195">
        <f>IF(B589="","",Q589+S589)</f>
        <v/>
      </c>
      <c r="V589" s="195">
        <f>IF(B589="","",T589+'入力・概要'!$E$9*F589)</f>
        <v/>
      </c>
      <c r="W589" s="195">
        <f>IF(B589="","",U589+'入力・概要'!$E$9*G589)</f>
        <v/>
      </c>
      <c r="X589" s="195">
        <f>IF(B589="","",'入力・概要'!$E$9+T589*F589-U589*G589)</f>
        <v/>
      </c>
      <c r="Y589" s="195">
        <f>IF(B589="","",T589*G589+U589*F589)</f>
        <v/>
      </c>
      <c r="Z589" s="195">
        <f>IF(B589="","",'入力・概要'!$E$9*(V589*X589+W589*Y589)/(X589^2+Y589^2)+'入力・概要'!$B$36)</f>
        <v/>
      </c>
      <c r="AA589" s="195">
        <f>IF(B589="","",'入力・概要'!$E$9*(W589*X589-V589*Y589)/(X589^2+Y589^2)+C589*'入力・概要'!$B$37*1E-9)</f>
        <v/>
      </c>
      <c r="AB589" s="195">
        <f>IF(B589="","",SQRT(Z589^2+AA589^2))</f>
        <v/>
      </c>
      <c r="AC589" s="195">
        <f>IF(B589="","",IF(Z589&gt;0,DEGREES(ATAN(AA589/Z589)),IF(Z589&lt;0,IF(AA589&gt;=0,DEGREES(ATAN(AA589/Z589))+180,DEGREES(ATAN(AA589/Z589))-180),IF(AA589&gt;0,90,IF(AA589&lt;0,-90,0)))))</f>
        <v/>
      </c>
      <c r="AD589" s="195">
        <f>IF(B589="","",LOG10(B589))</f>
        <v/>
      </c>
      <c r="AE589" s="195">
        <f>IF(AB589="","",LOG10(MAX(AB589,1E-12)))</f>
        <v/>
      </c>
      <c r="AF589" s="195">
        <f>IF(B589="","",SQRT(P589^2+Q589^2))</f>
        <v/>
      </c>
      <c r="AG589" s="195">
        <f>IF(B589="","",SQRT(R589^2+S589^2))</f>
        <v/>
      </c>
    </row>
    <row r="590">
      <c r="A590" t="n">
        <v>587</v>
      </c>
      <c r="B590" s="196">
        <f>IF(A590&lt;='入力・概要'!$B$40,10^(LOG10('入力・概要'!$B$38)+(A590-1)*(LOG10('入力・概要'!$B$39)-LOG10('入力・概要'!$B$38))/('入力・概要'!$B$40-1)),"")</f>
        <v/>
      </c>
      <c r="C590" s="195">
        <f>IF(B590="","",2*PI()*B590)</f>
        <v/>
      </c>
      <c r="D590" s="195">
        <f>IF(B590="","",ATANH(MIN(0.999999,'入力・概要'!$E$20/'入力・概要'!$E$9))+'入力・概要'!$B$20*SQRT(B590/1E6)+E590*'入力・概要'!$B$15/2)</f>
        <v/>
      </c>
      <c r="E590" s="195">
        <f>IF(B590="","",C590*('入力・概要'!$E$11*1E-9))</f>
        <v/>
      </c>
      <c r="F590" s="195">
        <f>IF(B590="","",SINH(2*D590)/(COSH(2*D590)+COS(2*E590)))</f>
        <v/>
      </c>
      <c r="G590" s="195">
        <f>IF(B590="","",SIN(2*E590)/(COSH(2*D590)+COS(2*E590)))</f>
        <v/>
      </c>
      <c r="H590" s="195">
        <f>IF(B590="","",ATANH(MIN(0.999999,'入力・概要'!$E$21/'入力・概要'!$E$15))+'入力・概要'!$B$21*SQRT(B590/1E6)+I590*'入力・概要'!$B$16/2)</f>
        <v/>
      </c>
      <c r="I590" s="195">
        <f>IF(B590="","",C590*('入力・概要'!$E$17*1E-9))</f>
        <v/>
      </c>
      <c r="J590" s="195">
        <f>IF(B590="","",SINH(2*H590)/(COSH(2*H590)+COS(2*I590)))</f>
        <v/>
      </c>
      <c r="K590" s="195">
        <f>IF(B590="","",SIN(2*I590)/(COSH(2*H590)+COS(2*I590)))</f>
        <v/>
      </c>
      <c r="L590" s="195">
        <f>IF(B590="","",'入力・概要'!$B$25)</f>
        <v/>
      </c>
      <c r="M590" s="195">
        <f>IF(B590="","",C590*'入力・概要'!$B$26*1E-9-1/(C590*'入力・概要'!$B$24*1E-6))</f>
        <v/>
      </c>
      <c r="N590" s="195">
        <f>IF(B590="","",'入力・概要'!$B$28)</f>
        <v/>
      </c>
      <c r="O590" s="195">
        <f>IF(B590="","",C590*'入力・概要'!$B$29*1E-9-1/(C590*'入力・概要'!$B$27*1E-6))</f>
        <v/>
      </c>
      <c r="P590" s="195">
        <f>IF(B590="","",((L590*N590-M590*O590)*(L590+N590)+(L590*O590+M590*N590)*(M590+O590))/((L590+N590)^2+(M590+O590)^2))</f>
        <v/>
      </c>
      <c r="Q590" s="195">
        <f>IF(B590="","",((L590*O590+M590*N590)*(L590+N590)-(L590*N590-M590*O590)*(M590+O590))/((L590+N590)^2+(M590+O590)^2))</f>
        <v/>
      </c>
      <c r="R590" s="195">
        <f>IF(B590="","",'入力・概要'!$E$15*J590)</f>
        <v/>
      </c>
      <c r="S590" s="195">
        <f>IF(B590="","",'入力・概要'!$E$15*K590)</f>
        <v/>
      </c>
      <c r="T590" s="195">
        <f>IF(B590="","",P590+R590)</f>
        <v/>
      </c>
      <c r="U590" s="195">
        <f>IF(B590="","",Q590+S590)</f>
        <v/>
      </c>
      <c r="V590" s="195">
        <f>IF(B590="","",T590+'入力・概要'!$E$9*F590)</f>
        <v/>
      </c>
      <c r="W590" s="195">
        <f>IF(B590="","",U590+'入力・概要'!$E$9*G590)</f>
        <v/>
      </c>
      <c r="X590" s="195">
        <f>IF(B590="","",'入力・概要'!$E$9+T590*F590-U590*G590)</f>
        <v/>
      </c>
      <c r="Y590" s="195">
        <f>IF(B590="","",T590*G590+U590*F590)</f>
        <v/>
      </c>
      <c r="Z590" s="195">
        <f>IF(B590="","",'入力・概要'!$E$9*(V590*X590+W590*Y590)/(X590^2+Y590^2)+'入力・概要'!$B$36)</f>
        <v/>
      </c>
      <c r="AA590" s="195">
        <f>IF(B590="","",'入力・概要'!$E$9*(W590*X590-V590*Y590)/(X590^2+Y590^2)+C590*'入力・概要'!$B$37*1E-9)</f>
        <v/>
      </c>
      <c r="AB590" s="195">
        <f>IF(B590="","",SQRT(Z590^2+AA590^2))</f>
        <v/>
      </c>
      <c r="AC590" s="195">
        <f>IF(B590="","",IF(Z590&gt;0,DEGREES(ATAN(AA590/Z590)),IF(Z590&lt;0,IF(AA590&gt;=0,DEGREES(ATAN(AA590/Z590))+180,DEGREES(ATAN(AA590/Z590))-180),IF(AA590&gt;0,90,IF(AA590&lt;0,-90,0)))))</f>
        <v/>
      </c>
      <c r="AD590" s="195">
        <f>IF(B590="","",LOG10(B590))</f>
        <v/>
      </c>
      <c r="AE590" s="195">
        <f>IF(AB590="","",LOG10(MAX(AB590,1E-12)))</f>
        <v/>
      </c>
      <c r="AF590" s="195">
        <f>IF(B590="","",SQRT(P590^2+Q590^2))</f>
        <v/>
      </c>
      <c r="AG590" s="195">
        <f>IF(B590="","",SQRT(R590^2+S590^2))</f>
        <v/>
      </c>
    </row>
    <row r="591">
      <c r="A591" t="n">
        <v>588</v>
      </c>
      <c r="B591" s="196">
        <f>IF(A591&lt;='入力・概要'!$B$40,10^(LOG10('入力・概要'!$B$38)+(A591-1)*(LOG10('入力・概要'!$B$39)-LOG10('入力・概要'!$B$38))/('入力・概要'!$B$40-1)),"")</f>
        <v/>
      </c>
      <c r="C591" s="195">
        <f>IF(B591="","",2*PI()*B591)</f>
        <v/>
      </c>
      <c r="D591" s="195">
        <f>IF(B591="","",ATANH(MIN(0.999999,'入力・概要'!$E$20/'入力・概要'!$E$9))+'入力・概要'!$B$20*SQRT(B591/1E6)+E591*'入力・概要'!$B$15/2)</f>
        <v/>
      </c>
      <c r="E591" s="195">
        <f>IF(B591="","",C591*('入力・概要'!$E$11*1E-9))</f>
        <v/>
      </c>
      <c r="F591" s="195">
        <f>IF(B591="","",SINH(2*D591)/(COSH(2*D591)+COS(2*E591)))</f>
        <v/>
      </c>
      <c r="G591" s="195">
        <f>IF(B591="","",SIN(2*E591)/(COSH(2*D591)+COS(2*E591)))</f>
        <v/>
      </c>
      <c r="H591" s="195">
        <f>IF(B591="","",ATANH(MIN(0.999999,'入力・概要'!$E$21/'入力・概要'!$E$15))+'入力・概要'!$B$21*SQRT(B591/1E6)+I591*'入力・概要'!$B$16/2)</f>
        <v/>
      </c>
      <c r="I591" s="195">
        <f>IF(B591="","",C591*('入力・概要'!$E$17*1E-9))</f>
        <v/>
      </c>
      <c r="J591" s="195">
        <f>IF(B591="","",SINH(2*H591)/(COSH(2*H591)+COS(2*I591)))</f>
        <v/>
      </c>
      <c r="K591" s="195">
        <f>IF(B591="","",SIN(2*I591)/(COSH(2*H591)+COS(2*I591)))</f>
        <v/>
      </c>
      <c r="L591" s="195">
        <f>IF(B591="","",'入力・概要'!$B$25)</f>
        <v/>
      </c>
      <c r="M591" s="195">
        <f>IF(B591="","",C591*'入力・概要'!$B$26*1E-9-1/(C591*'入力・概要'!$B$24*1E-6))</f>
        <v/>
      </c>
      <c r="N591" s="195">
        <f>IF(B591="","",'入力・概要'!$B$28)</f>
        <v/>
      </c>
      <c r="O591" s="195">
        <f>IF(B591="","",C591*'入力・概要'!$B$29*1E-9-1/(C591*'入力・概要'!$B$27*1E-6))</f>
        <v/>
      </c>
      <c r="P591" s="195">
        <f>IF(B591="","",((L591*N591-M591*O591)*(L591+N591)+(L591*O591+M591*N591)*(M591+O591))/((L591+N591)^2+(M591+O591)^2))</f>
        <v/>
      </c>
      <c r="Q591" s="195">
        <f>IF(B591="","",((L591*O591+M591*N591)*(L591+N591)-(L591*N591-M591*O591)*(M591+O591))/((L591+N591)^2+(M591+O591)^2))</f>
        <v/>
      </c>
      <c r="R591" s="195">
        <f>IF(B591="","",'入力・概要'!$E$15*J591)</f>
        <v/>
      </c>
      <c r="S591" s="195">
        <f>IF(B591="","",'入力・概要'!$E$15*K591)</f>
        <v/>
      </c>
      <c r="T591" s="195">
        <f>IF(B591="","",P591+R591)</f>
        <v/>
      </c>
      <c r="U591" s="195">
        <f>IF(B591="","",Q591+S591)</f>
        <v/>
      </c>
      <c r="V591" s="195">
        <f>IF(B591="","",T591+'入力・概要'!$E$9*F591)</f>
        <v/>
      </c>
      <c r="W591" s="195">
        <f>IF(B591="","",U591+'入力・概要'!$E$9*G591)</f>
        <v/>
      </c>
      <c r="X591" s="195">
        <f>IF(B591="","",'入力・概要'!$E$9+T591*F591-U591*G591)</f>
        <v/>
      </c>
      <c r="Y591" s="195">
        <f>IF(B591="","",T591*G591+U591*F591)</f>
        <v/>
      </c>
      <c r="Z591" s="195">
        <f>IF(B591="","",'入力・概要'!$E$9*(V591*X591+W591*Y591)/(X591^2+Y591^2)+'入力・概要'!$B$36)</f>
        <v/>
      </c>
      <c r="AA591" s="195">
        <f>IF(B591="","",'入力・概要'!$E$9*(W591*X591-V591*Y591)/(X591^2+Y591^2)+C591*'入力・概要'!$B$37*1E-9)</f>
        <v/>
      </c>
      <c r="AB591" s="195">
        <f>IF(B591="","",SQRT(Z591^2+AA591^2))</f>
        <v/>
      </c>
      <c r="AC591" s="195">
        <f>IF(B591="","",IF(Z591&gt;0,DEGREES(ATAN(AA591/Z591)),IF(Z591&lt;0,IF(AA591&gt;=0,DEGREES(ATAN(AA591/Z591))+180,DEGREES(ATAN(AA591/Z591))-180),IF(AA591&gt;0,90,IF(AA591&lt;0,-90,0)))))</f>
        <v/>
      </c>
      <c r="AD591" s="195">
        <f>IF(B591="","",LOG10(B591))</f>
        <v/>
      </c>
      <c r="AE591" s="195">
        <f>IF(AB591="","",LOG10(MAX(AB591,1E-12)))</f>
        <v/>
      </c>
      <c r="AF591" s="195">
        <f>IF(B591="","",SQRT(P591^2+Q591^2))</f>
        <v/>
      </c>
      <c r="AG591" s="195">
        <f>IF(B591="","",SQRT(R591^2+S591^2))</f>
        <v/>
      </c>
    </row>
    <row r="592">
      <c r="A592" t="n">
        <v>589</v>
      </c>
      <c r="B592" s="196">
        <f>IF(A592&lt;='入力・概要'!$B$40,10^(LOG10('入力・概要'!$B$38)+(A592-1)*(LOG10('入力・概要'!$B$39)-LOG10('入力・概要'!$B$38))/('入力・概要'!$B$40-1)),"")</f>
        <v/>
      </c>
      <c r="C592" s="195">
        <f>IF(B592="","",2*PI()*B592)</f>
        <v/>
      </c>
      <c r="D592" s="195">
        <f>IF(B592="","",ATANH(MIN(0.999999,'入力・概要'!$E$20/'入力・概要'!$E$9))+'入力・概要'!$B$20*SQRT(B592/1E6)+E592*'入力・概要'!$B$15/2)</f>
        <v/>
      </c>
      <c r="E592" s="195">
        <f>IF(B592="","",C592*('入力・概要'!$E$11*1E-9))</f>
        <v/>
      </c>
      <c r="F592" s="195">
        <f>IF(B592="","",SINH(2*D592)/(COSH(2*D592)+COS(2*E592)))</f>
        <v/>
      </c>
      <c r="G592" s="195">
        <f>IF(B592="","",SIN(2*E592)/(COSH(2*D592)+COS(2*E592)))</f>
        <v/>
      </c>
      <c r="H592" s="195">
        <f>IF(B592="","",ATANH(MIN(0.999999,'入力・概要'!$E$21/'入力・概要'!$E$15))+'入力・概要'!$B$21*SQRT(B592/1E6)+I592*'入力・概要'!$B$16/2)</f>
        <v/>
      </c>
      <c r="I592" s="195">
        <f>IF(B592="","",C592*('入力・概要'!$E$17*1E-9))</f>
        <v/>
      </c>
      <c r="J592" s="195">
        <f>IF(B592="","",SINH(2*H592)/(COSH(2*H592)+COS(2*I592)))</f>
        <v/>
      </c>
      <c r="K592" s="195">
        <f>IF(B592="","",SIN(2*I592)/(COSH(2*H592)+COS(2*I592)))</f>
        <v/>
      </c>
      <c r="L592" s="195">
        <f>IF(B592="","",'入力・概要'!$B$25)</f>
        <v/>
      </c>
      <c r="M592" s="195">
        <f>IF(B592="","",C592*'入力・概要'!$B$26*1E-9-1/(C592*'入力・概要'!$B$24*1E-6))</f>
        <v/>
      </c>
      <c r="N592" s="195">
        <f>IF(B592="","",'入力・概要'!$B$28)</f>
        <v/>
      </c>
      <c r="O592" s="195">
        <f>IF(B592="","",C592*'入力・概要'!$B$29*1E-9-1/(C592*'入力・概要'!$B$27*1E-6))</f>
        <v/>
      </c>
      <c r="P592" s="195">
        <f>IF(B592="","",((L592*N592-M592*O592)*(L592+N592)+(L592*O592+M592*N592)*(M592+O592))/((L592+N592)^2+(M592+O592)^2))</f>
        <v/>
      </c>
      <c r="Q592" s="195">
        <f>IF(B592="","",((L592*O592+M592*N592)*(L592+N592)-(L592*N592-M592*O592)*(M592+O592))/((L592+N592)^2+(M592+O592)^2))</f>
        <v/>
      </c>
      <c r="R592" s="195">
        <f>IF(B592="","",'入力・概要'!$E$15*J592)</f>
        <v/>
      </c>
      <c r="S592" s="195">
        <f>IF(B592="","",'入力・概要'!$E$15*K592)</f>
        <v/>
      </c>
      <c r="T592" s="195">
        <f>IF(B592="","",P592+R592)</f>
        <v/>
      </c>
      <c r="U592" s="195">
        <f>IF(B592="","",Q592+S592)</f>
        <v/>
      </c>
      <c r="V592" s="195">
        <f>IF(B592="","",T592+'入力・概要'!$E$9*F592)</f>
        <v/>
      </c>
      <c r="W592" s="195">
        <f>IF(B592="","",U592+'入力・概要'!$E$9*G592)</f>
        <v/>
      </c>
      <c r="X592" s="195">
        <f>IF(B592="","",'入力・概要'!$E$9+T592*F592-U592*G592)</f>
        <v/>
      </c>
      <c r="Y592" s="195">
        <f>IF(B592="","",T592*G592+U592*F592)</f>
        <v/>
      </c>
      <c r="Z592" s="195">
        <f>IF(B592="","",'入力・概要'!$E$9*(V592*X592+W592*Y592)/(X592^2+Y592^2)+'入力・概要'!$B$36)</f>
        <v/>
      </c>
      <c r="AA592" s="195">
        <f>IF(B592="","",'入力・概要'!$E$9*(W592*X592-V592*Y592)/(X592^2+Y592^2)+C592*'入力・概要'!$B$37*1E-9)</f>
        <v/>
      </c>
      <c r="AB592" s="195">
        <f>IF(B592="","",SQRT(Z592^2+AA592^2))</f>
        <v/>
      </c>
      <c r="AC592" s="195">
        <f>IF(B592="","",IF(Z592&gt;0,DEGREES(ATAN(AA592/Z592)),IF(Z592&lt;0,IF(AA592&gt;=0,DEGREES(ATAN(AA592/Z592))+180,DEGREES(ATAN(AA592/Z592))-180),IF(AA592&gt;0,90,IF(AA592&lt;0,-90,0)))))</f>
        <v/>
      </c>
      <c r="AD592" s="195">
        <f>IF(B592="","",LOG10(B592))</f>
        <v/>
      </c>
      <c r="AE592" s="195">
        <f>IF(AB592="","",LOG10(MAX(AB592,1E-12)))</f>
        <v/>
      </c>
      <c r="AF592" s="195">
        <f>IF(B592="","",SQRT(P592^2+Q592^2))</f>
        <v/>
      </c>
      <c r="AG592" s="195">
        <f>IF(B592="","",SQRT(R592^2+S592^2))</f>
        <v/>
      </c>
    </row>
    <row r="593">
      <c r="A593" t="n">
        <v>590</v>
      </c>
      <c r="B593" s="196">
        <f>IF(A593&lt;='入力・概要'!$B$40,10^(LOG10('入力・概要'!$B$38)+(A593-1)*(LOG10('入力・概要'!$B$39)-LOG10('入力・概要'!$B$38))/('入力・概要'!$B$40-1)),"")</f>
        <v/>
      </c>
      <c r="C593" s="195">
        <f>IF(B593="","",2*PI()*B593)</f>
        <v/>
      </c>
      <c r="D593" s="195">
        <f>IF(B593="","",ATANH(MIN(0.999999,'入力・概要'!$E$20/'入力・概要'!$E$9))+'入力・概要'!$B$20*SQRT(B593/1E6)+E593*'入力・概要'!$B$15/2)</f>
        <v/>
      </c>
      <c r="E593" s="195">
        <f>IF(B593="","",C593*('入力・概要'!$E$11*1E-9))</f>
        <v/>
      </c>
      <c r="F593" s="195">
        <f>IF(B593="","",SINH(2*D593)/(COSH(2*D593)+COS(2*E593)))</f>
        <v/>
      </c>
      <c r="G593" s="195">
        <f>IF(B593="","",SIN(2*E593)/(COSH(2*D593)+COS(2*E593)))</f>
        <v/>
      </c>
      <c r="H593" s="195">
        <f>IF(B593="","",ATANH(MIN(0.999999,'入力・概要'!$E$21/'入力・概要'!$E$15))+'入力・概要'!$B$21*SQRT(B593/1E6)+I593*'入力・概要'!$B$16/2)</f>
        <v/>
      </c>
      <c r="I593" s="195">
        <f>IF(B593="","",C593*('入力・概要'!$E$17*1E-9))</f>
        <v/>
      </c>
      <c r="J593" s="195">
        <f>IF(B593="","",SINH(2*H593)/(COSH(2*H593)+COS(2*I593)))</f>
        <v/>
      </c>
      <c r="K593" s="195">
        <f>IF(B593="","",SIN(2*I593)/(COSH(2*H593)+COS(2*I593)))</f>
        <v/>
      </c>
      <c r="L593" s="195">
        <f>IF(B593="","",'入力・概要'!$B$25)</f>
        <v/>
      </c>
      <c r="M593" s="195">
        <f>IF(B593="","",C593*'入力・概要'!$B$26*1E-9-1/(C593*'入力・概要'!$B$24*1E-6))</f>
        <v/>
      </c>
      <c r="N593" s="195">
        <f>IF(B593="","",'入力・概要'!$B$28)</f>
        <v/>
      </c>
      <c r="O593" s="195">
        <f>IF(B593="","",C593*'入力・概要'!$B$29*1E-9-1/(C593*'入力・概要'!$B$27*1E-6))</f>
        <v/>
      </c>
      <c r="P593" s="195">
        <f>IF(B593="","",((L593*N593-M593*O593)*(L593+N593)+(L593*O593+M593*N593)*(M593+O593))/((L593+N593)^2+(M593+O593)^2))</f>
        <v/>
      </c>
      <c r="Q593" s="195">
        <f>IF(B593="","",((L593*O593+M593*N593)*(L593+N593)-(L593*N593-M593*O593)*(M593+O593))/((L593+N593)^2+(M593+O593)^2))</f>
        <v/>
      </c>
      <c r="R593" s="195">
        <f>IF(B593="","",'入力・概要'!$E$15*J593)</f>
        <v/>
      </c>
      <c r="S593" s="195">
        <f>IF(B593="","",'入力・概要'!$E$15*K593)</f>
        <v/>
      </c>
      <c r="T593" s="195">
        <f>IF(B593="","",P593+R593)</f>
        <v/>
      </c>
      <c r="U593" s="195">
        <f>IF(B593="","",Q593+S593)</f>
        <v/>
      </c>
      <c r="V593" s="195">
        <f>IF(B593="","",T593+'入力・概要'!$E$9*F593)</f>
        <v/>
      </c>
      <c r="W593" s="195">
        <f>IF(B593="","",U593+'入力・概要'!$E$9*G593)</f>
        <v/>
      </c>
      <c r="X593" s="195">
        <f>IF(B593="","",'入力・概要'!$E$9+T593*F593-U593*G593)</f>
        <v/>
      </c>
      <c r="Y593" s="195">
        <f>IF(B593="","",T593*G593+U593*F593)</f>
        <v/>
      </c>
      <c r="Z593" s="195">
        <f>IF(B593="","",'入力・概要'!$E$9*(V593*X593+W593*Y593)/(X593^2+Y593^2)+'入力・概要'!$B$36)</f>
        <v/>
      </c>
      <c r="AA593" s="195">
        <f>IF(B593="","",'入力・概要'!$E$9*(W593*X593-V593*Y593)/(X593^2+Y593^2)+C593*'入力・概要'!$B$37*1E-9)</f>
        <v/>
      </c>
      <c r="AB593" s="195">
        <f>IF(B593="","",SQRT(Z593^2+AA593^2))</f>
        <v/>
      </c>
      <c r="AC593" s="195">
        <f>IF(B593="","",IF(Z593&gt;0,DEGREES(ATAN(AA593/Z593)),IF(Z593&lt;0,IF(AA593&gt;=0,DEGREES(ATAN(AA593/Z593))+180,DEGREES(ATAN(AA593/Z593))-180),IF(AA593&gt;0,90,IF(AA593&lt;0,-90,0)))))</f>
        <v/>
      </c>
      <c r="AD593" s="195">
        <f>IF(B593="","",LOG10(B593))</f>
        <v/>
      </c>
      <c r="AE593" s="195">
        <f>IF(AB593="","",LOG10(MAX(AB593,1E-12)))</f>
        <v/>
      </c>
      <c r="AF593" s="195">
        <f>IF(B593="","",SQRT(P593^2+Q593^2))</f>
        <v/>
      </c>
      <c r="AG593" s="195">
        <f>IF(B593="","",SQRT(R593^2+S593^2))</f>
        <v/>
      </c>
    </row>
    <row r="594">
      <c r="A594" t="n">
        <v>591</v>
      </c>
      <c r="B594" s="196">
        <f>IF(A594&lt;='入力・概要'!$B$40,10^(LOG10('入力・概要'!$B$38)+(A594-1)*(LOG10('入力・概要'!$B$39)-LOG10('入力・概要'!$B$38))/('入力・概要'!$B$40-1)),"")</f>
        <v/>
      </c>
      <c r="C594" s="195">
        <f>IF(B594="","",2*PI()*B594)</f>
        <v/>
      </c>
      <c r="D594" s="195">
        <f>IF(B594="","",ATANH(MIN(0.999999,'入力・概要'!$E$20/'入力・概要'!$E$9))+'入力・概要'!$B$20*SQRT(B594/1E6)+E594*'入力・概要'!$B$15/2)</f>
        <v/>
      </c>
      <c r="E594" s="195">
        <f>IF(B594="","",C594*('入力・概要'!$E$11*1E-9))</f>
        <v/>
      </c>
      <c r="F594" s="195">
        <f>IF(B594="","",SINH(2*D594)/(COSH(2*D594)+COS(2*E594)))</f>
        <v/>
      </c>
      <c r="G594" s="195">
        <f>IF(B594="","",SIN(2*E594)/(COSH(2*D594)+COS(2*E594)))</f>
        <v/>
      </c>
      <c r="H594" s="195">
        <f>IF(B594="","",ATANH(MIN(0.999999,'入力・概要'!$E$21/'入力・概要'!$E$15))+'入力・概要'!$B$21*SQRT(B594/1E6)+I594*'入力・概要'!$B$16/2)</f>
        <v/>
      </c>
      <c r="I594" s="195">
        <f>IF(B594="","",C594*('入力・概要'!$E$17*1E-9))</f>
        <v/>
      </c>
      <c r="J594" s="195">
        <f>IF(B594="","",SINH(2*H594)/(COSH(2*H594)+COS(2*I594)))</f>
        <v/>
      </c>
      <c r="K594" s="195">
        <f>IF(B594="","",SIN(2*I594)/(COSH(2*H594)+COS(2*I594)))</f>
        <v/>
      </c>
      <c r="L594" s="195">
        <f>IF(B594="","",'入力・概要'!$B$25)</f>
        <v/>
      </c>
      <c r="M594" s="195">
        <f>IF(B594="","",C594*'入力・概要'!$B$26*1E-9-1/(C594*'入力・概要'!$B$24*1E-6))</f>
        <v/>
      </c>
      <c r="N594" s="195">
        <f>IF(B594="","",'入力・概要'!$B$28)</f>
        <v/>
      </c>
      <c r="O594" s="195">
        <f>IF(B594="","",C594*'入力・概要'!$B$29*1E-9-1/(C594*'入力・概要'!$B$27*1E-6))</f>
        <v/>
      </c>
      <c r="P594" s="195">
        <f>IF(B594="","",((L594*N594-M594*O594)*(L594+N594)+(L594*O594+M594*N594)*(M594+O594))/((L594+N594)^2+(M594+O594)^2))</f>
        <v/>
      </c>
      <c r="Q594" s="195">
        <f>IF(B594="","",((L594*O594+M594*N594)*(L594+N594)-(L594*N594-M594*O594)*(M594+O594))/((L594+N594)^2+(M594+O594)^2))</f>
        <v/>
      </c>
      <c r="R594" s="195">
        <f>IF(B594="","",'入力・概要'!$E$15*J594)</f>
        <v/>
      </c>
      <c r="S594" s="195">
        <f>IF(B594="","",'入力・概要'!$E$15*K594)</f>
        <v/>
      </c>
      <c r="T594" s="195">
        <f>IF(B594="","",P594+R594)</f>
        <v/>
      </c>
      <c r="U594" s="195">
        <f>IF(B594="","",Q594+S594)</f>
        <v/>
      </c>
      <c r="V594" s="195">
        <f>IF(B594="","",T594+'入力・概要'!$E$9*F594)</f>
        <v/>
      </c>
      <c r="W594" s="195">
        <f>IF(B594="","",U594+'入力・概要'!$E$9*G594)</f>
        <v/>
      </c>
      <c r="X594" s="195">
        <f>IF(B594="","",'入力・概要'!$E$9+T594*F594-U594*G594)</f>
        <v/>
      </c>
      <c r="Y594" s="195">
        <f>IF(B594="","",T594*G594+U594*F594)</f>
        <v/>
      </c>
      <c r="Z594" s="195">
        <f>IF(B594="","",'入力・概要'!$E$9*(V594*X594+W594*Y594)/(X594^2+Y594^2)+'入力・概要'!$B$36)</f>
        <v/>
      </c>
      <c r="AA594" s="195">
        <f>IF(B594="","",'入力・概要'!$E$9*(W594*X594-V594*Y594)/(X594^2+Y594^2)+C594*'入力・概要'!$B$37*1E-9)</f>
        <v/>
      </c>
      <c r="AB594" s="195">
        <f>IF(B594="","",SQRT(Z594^2+AA594^2))</f>
        <v/>
      </c>
      <c r="AC594" s="195">
        <f>IF(B594="","",IF(Z594&gt;0,DEGREES(ATAN(AA594/Z594)),IF(Z594&lt;0,IF(AA594&gt;=0,DEGREES(ATAN(AA594/Z594))+180,DEGREES(ATAN(AA594/Z594))-180),IF(AA594&gt;0,90,IF(AA594&lt;0,-90,0)))))</f>
        <v/>
      </c>
      <c r="AD594" s="195">
        <f>IF(B594="","",LOG10(B594))</f>
        <v/>
      </c>
      <c r="AE594" s="195">
        <f>IF(AB594="","",LOG10(MAX(AB594,1E-12)))</f>
        <v/>
      </c>
      <c r="AF594" s="195">
        <f>IF(B594="","",SQRT(P594^2+Q594^2))</f>
        <v/>
      </c>
      <c r="AG594" s="195">
        <f>IF(B594="","",SQRT(R594^2+S594^2))</f>
        <v/>
      </c>
    </row>
    <row r="595">
      <c r="A595" t="n">
        <v>592</v>
      </c>
      <c r="B595" s="196">
        <f>IF(A595&lt;='入力・概要'!$B$40,10^(LOG10('入力・概要'!$B$38)+(A595-1)*(LOG10('入力・概要'!$B$39)-LOG10('入力・概要'!$B$38))/('入力・概要'!$B$40-1)),"")</f>
        <v/>
      </c>
      <c r="C595" s="195">
        <f>IF(B595="","",2*PI()*B595)</f>
        <v/>
      </c>
      <c r="D595" s="195">
        <f>IF(B595="","",ATANH(MIN(0.999999,'入力・概要'!$E$20/'入力・概要'!$E$9))+'入力・概要'!$B$20*SQRT(B595/1E6)+E595*'入力・概要'!$B$15/2)</f>
        <v/>
      </c>
      <c r="E595" s="195">
        <f>IF(B595="","",C595*('入力・概要'!$E$11*1E-9))</f>
        <v/>
      </c>
      <c r="F595" s="195">
        <f>IF(B595="","",SINH(2*D595)/(COSH(2*D595)+COS(2*E595)))</f>
        <v/>
      </c>
      <c r="G595" s="195">
        <f>IF(B595="","",SIN(2*E595)/(COSH(2*D595)+COS(2*E595)))</f>
        <v/>
      </c>
      <c r="H595" s="195">
        <f>IF(B595="","",ATANH(MIN(0.999999,'入力・概要'!$E$21/'入力・概要'!$E$15))+'入力・概要'!$B$21*SQRT(B595/1E6)+I595*'入力・概要'!$B$16/2)</f>
        <v/>
      </c>
      <c r="I595" s="195">
        <f>IF(B595="","",C595*('入力・概要'!$E$17*1E-9))</f>
        <v/>
      </c>
      <c r="J595" s="195">
        <f>IF(B595="","",SINH(2*H595)/(COSH(2*H595)+COS(2*I595)))</f>
        <v/>
      </c>
      <c r="K595" s="195">
        <f>IF(B595="","",SIN(2*I595)/(COSH(2*H595)+COS(2*I595)))</f>
        <v/>
      </c>
      <c r="L595" s="195">
        <f>IF(B595="","",'入力・概要'!$B$25)</f>
        <v/>
      </c>
      <c r="M595" s="195">
        <f>IF(B595="","",C595*'入力・概要'!$B$26*1E-9-1/(C595*'入力・概要'!$B$24*1E-6))</f>
        <v/>
      </c>
      <c r="N595" s="195">
        <f>IF(B595="","",'入力・概要'!$B$28)</f>
        <v/>
      </c>
      <c r="O595" s="195">
        <f>IF(B595="","",C595*'入力・概要'!$B$29*1E-9-1/(C595*'入力・概要'!$B$27*1E-6))</f>
        <v/>
      </c>
      <c r="P595" s="195">
        <f>IF(B595="","",((L595*N595-M595*O595)*(L595+N595)+(L595*O595+M595*N595)*(M595+O595))/((L595+N595)^2+(M595+O595)^2))</f>
        <v/>
      </c>
      <c r="Q595" s="195">
        <f>IF(B595="","",((L595*O595+M595*N595)*(L595+N595)-(L595*N595-M595*O595)*(M595+O595))/((L595+N595)^2+(M595+O595)^2))</f>
        <v/>
      </c>
      <c r="R595" s="195">
        <f>IF(B595="","",'入力・概要'!$E$15*J595)</f>
        <v/>
      </c>
      <c r="S595" s="195">
        <f>IF(B595="","",'入力・概要'!$E$15*K595)</f>
        <v/>
      </c>
      <c r="T595" s="195">
        <f>IF(B595="","",P595+R595)</f>
        <v/>
      </c>
      <c r="U595" s="195">
        <f>IF(B595="","",Q595+S595)</f>
        <v/>
      </c>
      <c r="V595" s="195">
        <f>IF(B595="","",T595+'入力・概要'!$E$9*F595)</f>
        <v/>
      </c>
      <c r="W595" s="195">
        <f>IF(B595="","",U595+'入力・概要'!$E$9*G595)</f>
        <v/>
      </c>
      <c r="X595" s="195">
        <f>IF(B595="","",'入力・概要'!$E$9+T595*F595-U595*G595)</f>
        <v/>
      </c>
      <c r="Y595" s="195">
        <f>IF(B595="","",T595*G595+U595*F595)</f>
        <v/>
      </c>
      <c r="Z595" s="195">
        <f>IF(B595="","",'入力・概要'!$E$9*(V595*X595+W595*Y595)/(X595^2+Y595^2)+'入力・概要'!$B$36)</f>
        <v/>
      </c>
      <c r="AA595" s="195">
        <f>IF(B595="","",'入力・概要'!$E$9*(W595*X595-V595*Y595)/(X595^2+Y595^2)+C595*'入力・概要'!$B$37*1E-9)</f>
        <v/>
      </c>
      <c r="AB595" s="195">
        <f>IF(B595="","",SQRT(Z595^2+AA595^2))</f>
        <v/>
      </c>
      <c r="AC595" s="195">
        <f>IF(B595="","",IF(Z595&gt;0,DEGREES(ATAN(AA595/Z595)),IF(Z595&lt;0,IF(AA595&gt;=0,DEGREES(ATAN(AA595/Z595))+180,DEGREES(ATAN(AA595/Z595))-180),IF(AA595&gt;0,90,IF(AA595&lt;0,-90,0)))))</f>
        <v/>
      </c>
      <c r="AD595" s="195">
        <f>IF(B595="","",LOG10(B595))</f>
        <v/>
      </c>
      <c r="AE595" s="195">
        <f>IF(AB595="","",LOG10(MAX(AB595,1E-12)))</f>
        <v/>
      </c>
      <c r="AF595" s="195">
        <f>IF(B595="","",SQRT(P595^2+Q595^2))</f>
        <v/>
      </c>
      <c r="AG595" s="195">
        <f>IF(B595="","",SQRT(R595^2+S595^2))</f>
        <v/>
      </c>
    </row>
    <row r="596">
      <c r="A596" t="n">
        <v>593</v>
      </c>
      <c r="B596" s="196">
        <f>IF(A596&lt;='入力・概要'!$B$40,10^(LOG10('入力・概要'!$B$38)+(A596-1)*(LOG10('入力・概要'!$B$39)-LOG10('入力・概要'!$B$38))/('入力・概要'!$B$40-1)),"")</f>
        <v/>
      </c>
      <c r="C596" s="195">
        <f>IF(B596="","",2*PI()*B596)</f>
        <v/>
      </c>
      <c r="D596" s="195">
        <f>IF(B596="","",ATANH(MIN(0.999999,'入力・概要'!$E$20/'入力・概要'!$E$9))+'入力・概要'!$B$20*SQRT(B596/1E6)+E596*'入力・概要'!$B$15/2)</f>
        <v/>
      </c>
      <c r="E596" s="195">
        <f>IF(B596="","",C596*('入力・概要'!$E$11*1E-9))</f>
        <v/>
      </c>
      <c r="F596" s="195">
        <f>IF(B596="","",SINH(2*D596)/(COSH(2*D596)+COS(2*E596)))</f>
        <v/>
      </c>
      <c r="G596" s="195">
        <f>IF(B596="","",SIN(2*E596)/(COSH(2*D596)+COS(2*E596)))</f>
        <v/>
      </c>
      <c r="H596" s="195">
        <f>IF(B596="","",ATANH(MIN(0.999999,'入力・概要'!$E$21/'入力・概要'!$E$15))+'入力・概要'!$B$21*SQRT(B596/1E6)+I596*'入力・概要'!$B$16/2)</f>
        <v/>
      </c>
      <c r="I596" s="195">
        <f>IF(B596="","",C596*('入力・概要'!$E$17*1E-9))</f>
        <v/>
      </c>
      <c r="J596" s="195">
        <f>IF(B596="","",SINH(2*H596)/(COSH(2*H596)+COS(2*I596)))</f>
        <v/>
      </c>
      <c r="K596" s="195">
        <f>IF(B596="","",SIN(2*I596)/(COSH(2*H596)+COS(2*I596)))</f>
        <v/>
      </c>
      <c r="L596" s="195">
        <f>IF(B596="","",'入力・概要'!$B$25)</f>
        <v/>
      </c>
      <c r="M596" s="195">
        <f>IF(B596="","",C596*'入力・概要'!$B$26*1E-9-1/(C596*'入力・概要'!$B$24*1E-6))</f>
        <v/>
      </c>
      <c r="N596" s="195">
        <f>IF(B596="","",'入力・概要'!$B$28)</f>
        <v/>
      </c>
      <c r="O596" s="195">
        <f>IF(B596="","",C596*'入力・概要'!$B$29*1E-9-1/(C596*'入力・概要'!$B$27*1E-6))</f>
        <v/>
      </c>
      <c r="P596" s="195">
        <f>IF(B596="","",((L596*N596-M596*O596)*(L596+N596)+(L596*O596+M596*N596)*(M596+O596))/((L596+N596)^2+(M596+O596)^2))</f>
        <v/>
      </c>
      <c r="Q596" s="195">
        <f>IF(B596="","",((L596*O596+M596*N596)*(L596+N596)-(L596*N596-M596*O596)*(M596+O596))/((L596+N596)^2+(M596+O596)^2))</f>
        <v/>
      </c>
      <c r="R596" s="195">
        <f>IF(B596="","",'入力・概要'!$E$15*J596)</f>
        <v/>
      </c>
      <c r="S596" s="195">
        <f>IF(B596="","",'入力・概要'!$E$15*K596)</f>
        <v/>
      </c>
      <c r="T596" s="195">
        <f>IF(B596="","",P596+R596)</f>
        <v/>
      </c>
      <c r="U596" s="195">
        <f>IF(B596="","",Q596+S596)</f>
        <v/>
      </c>
      <c r="V596" s="195">
        <f>IF(B596="","",T596+'入力・概要'!$E$9*F596)</f>
        <v/>
      </c>
      <c r="W596" s="195">
        <f>IF(B596="","",U596+'入力・概要'!$E$9*G596)</f>
        <v/>
      </c>
      <c r="X596" s="195">
        <f>IF(B596="","",'入力・概要'!$E$9+T596*F596-U596*G596)</f>
        <v/>
      </c>
      <c r="Y596" s="195">
        <f>IF(B596="","",T596*G596+U596*F596)</f>
        <v/>
      </c>
      <c r="Z596" s="195">
        <f>IF(B596="","",'入力・概要'!$E$9*(V596*X596+W596*Y596)/(X596^2+Y596^2)+'入力・概要'!$B$36)</f>
        <v/>
      </c>
      <c r="AA596" s="195">
        <f>IF(B596="","",'入力・概要'!$E$9*(W596*X596-V596*Y596)/(X596^2+Y596^2)+C596*'入力・概要'!$B$37*1E-9)</f>
        <v/>
      </c>
      <c r="AB596" s="195">
        <f>IF(B596="","",SQRT(Z596^2+AA596^2))</f>
        <v/>
      </c>
      <c r="AC596" s="195">
        <f>IF(B596="","",IF(Z596&gt;0,DEGREES(ATAN(AA596/Z596)),IF(Z596&lt;0,IF(AA596&gt;=0,DEGREES(ATAN(AA596/Z596))+180,DEGREES(ATAN(AA596/Z596))-180),IF(AA596&gt;0,90,IF(AA596&lt;0,-90,0)))))</f>
        <v/>
      </c>
      <c r="AD596" s="195">
        <f>IF(B596="","",LOG10(B596))</f>
        <v/>
      </c>
      <c r="AE596" s="195">
        <f>IF(AB596="","",LOG10(MAX(AB596,1E-12)))</f>
        <v/>
      </c>
      <c r="AF596" s="195">
        <f>IF(B596="","",SQRT(P596^2+Q596^2))</f>
        <v/>
      </c>
      <c r="AG596" s="195">
        <f>IF(B596="","",SQRT(R596^2+S596^2))</f>
        <v/>
      </c>
    </row>
    <row r="597">
      <c r="A597" t="n">
        <v>594</v>
      </c>
      <c r="B597" s="196">
        <f>IF(A597&lt;='入力・概要'!$B$40,10^(LOG10('入力・概要'!$B$38)+(A597-1)*(LOG10('入力・概要'!$B$39)-LOG10('入力・概要'!$B$38))/('入力・概要'!$B$40-1)),"")</f>
        <v/>
      </c>
      <c r="C597" s="195">
        <f>IF(B597="","",2*PI()*B597)</f>
        <v/>
      </c>
      <c r="D597" s="195">
        <f>IF(B597="","",ATANH(MIN(0.999999,'入力・概要'!$E$20/'入力・概要'!$E$9))+'入力・概要'!$B$20*SQRT(B597/1E6)+E597*'入力・概要'!$B$15/2)</f>
        <v/>
      </c>
      <c r="E597" s="195">
        <f>IF(B597="","",C597*('入力・概要'!$E$11*1E-9))</f>
        <v/>
      </c>
      <c r="F597" s="195">
        <f>IF(B597="","",SINH(2*D597)/(COSH(2*D597)+COS(2*E597)))</f>
        <v/>
      </c>
      <c r="G597" s="195">
        <f>IF(B597="","",SIN(2*E597)/(COSH(2*D597)+COS(2*E597)))</f>
        <v/>
      </c>
      <c r="H597" s="195">
        <f>IF(B597="","",ATANH(MIN(0.999999,'入力・概要'!$E$21/'入力・概要'!$E$15))+'入力・概要'!$B$21*SQRT(B597/1E6)+I597*'入力・概要'!$B$16/2)</f>
        <v/>
      </c>
      <c r="I597" s="195">
        <f>IF(B597="","",C597*('入力・概要'!$E$17*1E-9))</f>
        <v/>
      </c>
      <c r="J597" s="195">
        <f>IF(B597="","",SINH(2*H597)/(COSH(2*H597)+COS(2*I597)))</f>
        <v/>
      </c>
      <c r="K597" s="195">
        <f>IF(B597="","",SIN(2*I597)/(COSH(2*H597)+COS(2*I597)))</f>
        <v/>
      </c>
      <c r="L597" s="195">
        <f>IF(B597="","",'入力・概要'!$B$25)</f>
        <v/>
      </c>
      <c r="M597" s="195">
        <f>IF(B597="","",C597*'入力・概要'!$B$26*1E-9-1/(C597*'入力・概要'!$B$24*1E-6))</f>
        <v/>
      </c>
      <c r="N597" s="195">
        <f>IF(B597="","",'入力・概要'!$B$28)</f>
        <v/>
      </c>
      <c r="O597" s="195">
        <f>IF(B597="","",C597*'入力・概要'!$B$29*1E-9-1/(C597*'入力・概要'!$B$27*1E-6))</f>
        <v/>
      </c>
      <c r="P597" s="195">
        <f>IF(B597="","",((L597*N597-M597*O597)*(L597+N597)+(L597*O597+M597*N597)*(M597+O597))/((L597+N597)^2+(M597+O597)^2))</f>
        <v/>
      </c>
      <c r="Q597" s="195">
        <f>IF(B597="","",((L597*O597+M597*N597)*(L597+N597)-(L597*N597-M597*O597)*(M597+O597))/((L597+N597)^2+(M597+O597)^2))</f>
        <v/>
      </c>
      <c r="R597" s="195">
        <f>IF(B597="","",'入力・概要'!$E$15*J597)</f>
        <v/>
      </c>
      <c r="S597" s="195">
        <f>IF(B597="","",'入力・概要'!$E$15*K597)</f>
        <v/>
      </c>
      <c r="T597" s="195">
        <f>IF(B597="","",P597+R597)</f>
        <v/>
      </c>
      <c r="U597" s="195">
        <f>IF(B597="","",Q597+S597)</f>
        <v/>
      </c>
      <c r="V597" s="195">
        <f>IF(B597="","",T597+'入力・概要'!$E$9*F597)</f>
        <v/>
      </c>
      <c r="W597" s="195">
        <f>IF(B597="","",U597+'入力・概要'!$E$9*G597)</f>
        <v/>
      </c>
      <c r="X597" s="195">
        <f>IF(B597="","",'入力・概要'!$E$9+T597*F597-U597*G597)</f>
        <v/>
      </c>
      <c r="Y597" s="195">
        <f>IF(B597="","",T597*G597+U597*F597)</f>
        <v/>
      </c>
      <c r="Z597" s="195">
        <f>IF(B597="","",'入力・概要'!$E$9*(V597*X597+W597*Y597)/(X597^2+Y597^2)+'入力・概要'!$B$36)</f>
        <v/>
      </c>
      <c r="AA597" s="195">
        <f>IF(B597="","",'入力・概要'!$E$9*(W597*X597-V597*Y597)/(X597^2+Y597^2)+C597*'入力・概要'!$B$37*1E-9)</f>
        <v/>
      </c>
      <c r="AB597" s="195">
        <f>IF(B597="","",SQRT(Z597^2+AA597^2))</f>
        <v/>
      </c>
      <c r="AC597" s="195">
        <f>IF(B597="","",IF(Z597&gt;0,DEGREES(ATAN(AA597/Z597)),IF(Z597&lt;0,IF(AA597&gt;=0,DEGREES(ATAN(AA597/Z597))+180,DEGREES(ATAN(AA597/Z597))-180),IF(AA597&gt;0,90,IF(AA597&lt;0,-90,0)))))</f>
        <v/>
      </c>
      <c r="AD597" s="195">
        <f>IF(B597="","",LOG10(B597))</f>
        <v/>
      </c>
      <c r="AE597" s="195">
        <f>IF(AB597="","",LOG10(MAX(AB597,1E-12)))</f>
        <v/>
      </c>
      <c r="AF597" s="195">
        <f>IF(B597="","",SQRT(P597^2+Q597^2))</f>
        <v/>
      </c>
      <c r="AG597" s="195">
        <f>IF(B597="","",SQRT(R597^2+S597^2))</f>
        <v/>
      </c>
    </row>
    <row r="598">
      <c r="A598" t="n">
        <v>595</v>
      </c>
      <c r="B598" s="196">
        <f>IF(A598&lt;='入力・概要'!$B$40,10^(LOG10('入力・概要'!$B$38)+(A598-1)*(LOG10('入力・概要'!$B$39)-LOG10('入力・概要'!$B$38))/('入力・概要'!$B$40-1)),"")</f>
        <v/>
      </c>
      <c r="C598" s="195">
        <f>IF(B598="","",2*PI()*B598)</f>
        <v/>
      </c>
      <c r="D598" s="195">
        <f>IF(B598="","",ATANH(MIN(0.999999,'入力・概要'!$E$20/'入力・概要'!$E$9))+'入力・概要'!$B$20*SQRT(B598/1E6)+E598*'入力・概要'!$B$15/2)</f>
        <v/>
      </c>
      <c r="E598" s="195">
        <f>IF(B598="","",C598*('入力・概要'!$E$11*1E-9))</f>
        <v/>
      </c>
      <c r="F598" s="195">
        <f>IF(B598="","",SINH(2*D598)/(COSH(2*D598)+COS(2*E598)))</f>
        <v/>
      </c>
      <c r="G598" s="195">
        <f>IF(B598="","",SIN(2*E598)/(COSH(2*D598)+COS(2*E598)))</f>
        <v/>
      </c>
      <c r="H598" s="195">
        <f>IF(B598="","",ATANH(MIN(0.999999,'入力・概要'!$E$21/'入力・概要'!$E$15))+'入力・概要'!$B$21*SQRT(B598/1E6)+I598*'入力・概要'!$B$16/2)</f>
        <v/>
      </c>
      <c r="I598" s="195">
        <f>IF(B598="","",C598*('入力・概要'!$E$17*1E-9))</f>
        <v/>
      </c>
      <c r="J598" s="195">
        <f>IF(B598="","",SINH(2*H598)/(COSH(2*H598)+COS(2*I598)))</f>
        <v/>
      </c>
      <c r="K598" s="195">
        <f>IF(B598="","",SIN(2*I598)/(COSH(2*H598)+COS(2*I598)))</f>
        <v/>
      </c>
      <c r="L598" s="195">
        <f>IF(B598="","",'入力・概要'!$B$25)</f>
        <v/>
      </c>
      <c r="M598" s="195">
        <f>IF(B598="","",C598*'入力・概要'!$B$26*1E-9-1/(C598*'入力・概要'!$B$24*1E-6))</f>
        <v/>
      </c>
      <c r="N598" s="195">
        <f>IF(B598="","",'入力・概要'!$B$28)</f>
        <v/>
      </c>
      <c r="O598" s="195">
        <f>IF(B598="","",C598*'入力・概要'!$B$29*1E-9-1/(C598*'入力・概要'!$B$27*1E-6))</f>
        <v/>
      </c>
      <c r="P598" s="195">
        <f>IF(B598="","",((L598*N598-M598*O598)*(L598+N598)+(L598*O598+M598*N598)*(M598+O598))/((L598+N598)^2+(M598+O598)^2))</f>
        <v/>
      </c>
      <c r="Q598" s="195">
        <f>IF(B598="","",((L598*O598+M598*N598)*(L598+N598)-(L598*N598-M598*O598)*(M598+O598))/((L598+N598)^2+(M598+O598)^2))</f>
        <v/>
      </c>
      <c r="R598" s="195">
        <f>IF(B598="","",'入力・概要'!$E$15*J598)</f>
        <v/>
      </c>
      <c r="S598" s="195">
        <f>IF(B598="","",'入力・概要'!$E$15*K598)</f>
        <v/>
      </c>
      <c r="T598" s="195">
        <f>IF(B598="","",P598+R598)</f>
        <v/>
      </c>
      <c r="U598" s="195">
        <f>IF(B598="","",Q598+S598)</f>
        <v/>
      </c>
      <c r="V598" s="195">
        <f>IF(B598="","",T598+'入力・概要'!$E$9*F598)</f>
        <v/>
      </c>
      <c r="W598" s="195">
        <f>IF(B598="","",U598+'入力・概要'!$E$9*G598)</f>
        <v/>
      </c>
      <c r="X598" s="195">
        <f>IF(B598="","",'入力・概要'!$E$9+T598*F598-U598*G598)</f>
        <v/>
      </c>
      <c r="Y598" s="195">
        <f>IF(B598="","",T598*G598+U598*F598)</f>
        <v/>
      </c>
      <c r="Z598" s="195">
        <f>IF(B598="","",'入力・概要'!$E$9*(V598*X598+W598*Y598)/(X598^2+Y598^2)+'入力・概要'!$B$36)</f>
        <v/>
      </c>
      <c r="AA598" s="195">
        <f>IF(B598="","",'入力・概要'!$E$9*(W598*X598-V598*Y598)/(X598^2+Y598^2)+C598*'入力・概要'!$B$37*1E-9)</f>
        <v/>
      </c>
      <c r="AB598" s="195">
        <f>IF(B598="","",SQRT(Z598^2+AA598^2))</f>
        <v/>
      </c>
      <c r="AC598" s="195">
        <f>IF(B598="","",IF(Z598&gt;0,DEGREES(ATAN(AA598/Z598)),IF(Z598&lt;0,IF(AA598&gt;=0,DEGREES(ATAN(AA598/Z598))+180,DEGREES(ATAN(AA598/Z598))-180),IF(AA598&gt;0,90,IF(AA598&lt;0,-90,0)))))</f>
        <v/>
      </c>
      <c r="AD598" s="195">
        <f>IF(B598="","",LOG10(B598))</f>
        <v/>
      </c>
      <c r="AE598" s="195">
        <f>IF(AB598="","",LOG10(MAX(AB598,1E-12)))</f>
        <v/>
      </c>
      <c r="AF598" s="195">
        <f>IF(B598="","",SQRT(P598^2+Q598^2))</f>
        <v/>
      </c>
      <c r="AG598" s="195">
        <f>IF(B598="","",SQRT(R598^2+S598^2))</f>
        <v/>
      </c>
    </row>
    <row r="599">
      <c r="A599" t="n">
        <v>596</v>
      </c>
      <c r="B599" s="196">
        <f>IF(A599&lt;='入力・概要'!$B$40,10^(LOG10('入力・概要'!$B$38)+(A599-1)*(LOG10('入力・概要'!$B$39)-LOG10('入力・概要'!$B$38))/('入力・概要'!$B$40-1)),"")</f>
        <v/>
      </c>
      <c r="C599" s="195">
        <f>IF(B599="","",2*PI()*B599)</f>
        <v/>
      </c>
      <c r="D599" s="195">
        <f>IF(B599="","",ATANH(MIN(0.999999,'入力・概要'!$E$20/'入力・概要'!$E$9))+'入力・概要'!$B$20*SQRT(B599/1E6)+E599*'入力・概要'!$B$15/2)</f>
        <v/>
      </c>
      <c r="E599" s="195">
        <f>IF(B599="","",C599*('入力・概要'!$E$11*1E-9))</f>
        <v/>
      </c>
      <c r="F599" s="195">
        <f>IF(B599="","",SINH(2*D599)/(COSH(2*D599)+COS(2*E599)))</f>
        <v/>
      </c>
      <c r="G599" s="195">
        <f>IF(B599="","",SIN(2*E599)/(COSH(2*D599)+COS(2*E599)))</f>
        <v/>
      </c>
      <c r="H599" s="195">
        <f>IF(B599="","",ATANH(MIN(0.999999,'入力・概要'!$E$21/'入力・概要'!$E$15))+'入力・概要'!$B$21*SQRT(B599/1E6)+I599*'入力・概要'!$B$16/2)</f>
        <v/>
      </c>
      <c r="I599" s="195">
        <f>IF(B599="","",C599*('入力・概要'!$E$17*1E-9))</f>
        <v/>
      </c>
      <c r="J599" s="195">
        <f>IF(B599="","",SINH(2*H599)/(COSH(2*H599)+COS(2*I599)))</f>
        <v/>
      </c>
      <c r="K599" s="195">
        <f>IF(B599="","",SIN(2*I599)/(COSH(2*H599)+COS(2*I599)))</f>
        <v/>
      </c>
      <c r="L599" s="195">
        <f>IF(B599="","",'入力・概要'!$B$25)</f>
        <v/>
      </c>
      <c r="M599" s="195">
        <f>IF(B599="","",C599*'入力・概要'!$B$26*1E-9-1/(C599*'入力・概要'!$B$24*1E-6))</f>
        <v/>
      </c>
      <c r="N599" s="195">
        <f>IF(B599="","",'入力・概要'!$B$28)</f>
        <v/>
      </c>
      <c r="O599" s="195">
        <f>IF(B599="","",C599*'入力・概要'!$B$29*1E-9-1/(C599*'入力・概要'!$B$27*1E-6))</f>
        <v/>
      </c>
      <c r="P599" s="195">
        <f>IF(B599="","",((L599*N599-M599*O599)*(L599+N599)+(L599*O599+M599*N599)*(M599+O599))/((L599+N599)^2+(M599+O599)^2))</f>
        <v/>
      </c>
      <c r="Q599" s="195">
        <f>IF(B599="","",((L599*O599+M599*N599)*(L599+N599)-(L599*N599-M599*O599)*(M599+O599))/((L599+N599)^2+(M599+O599)^2))</f>
        <v/>
      </c>
      <c r="R599" s="195">
        <f>IF(B599="","",'入力・概要'!$E$15*J599)</f>
        <v/>
      </c>
      <c r="S599" s="195">
        <f>IF(B599="","",'入力・概要'!$E$15*K599)</f>
        <v/>
      </c>
      <c r="T599" s="195">
        <f>IF(B599="","",P599+R599)</f>
        <v/>
      </c>
      <c r="U599" s="195">
        <f>IF(B599="","",Q599+S599)</f>
        <v/>
      </c>
      <c r="V599" s="195">
        <f>IF(B599="","",T599+'入力・概要'!$E$9*F599)</f>
        <v/>
      </c>
      <c r="W599" s="195">
        <f>IF(B599="","",U599+'入力・概要'!$E$9*G599)</f>
        <v/>
      </c>
      <c r="X599" s="195">
        <f>IF(B599="","",'入力・概要'!$E$9+T599*F599-U599*G599)</f>
        <v/>
      </c>
      <c r="Y599" s="195">
        <f>IF(B599="","",T599*G599+U599*F599)</f>
        <v/>
      </c>
      <c r="Z599" s="195">
        <f>IF(B599="","",'入力・概要'!$E$9*(V599*X599+W599*Y599)/(X599^2+Y599^2)+'入力・概要'!$B$36)</f>
        <v/>
      </c>
      <c r="AA599" s="195">
        <f>IF(B599="","",'入力・概要'!$E$9*(W599*X599-V599*Y599)/(X599^2+Y599^2)+C599*'入力・概要'!$B$37*1E-9)</f>
        <v/>
      </c>
      <c r="AB599" s="195">
        <f>IF(B599="","",SQRT(Z599^2+AA599^2))</f>
        <v/>
      </c>
      <c r="AC599" s="195">
        <f>IF(B599="","",IF(Z599&gt;0,DEGREES(ATAN(AA599/Z599)),IF(Z599&lt;0,IF(AA599&gt;=0,DEGREES(ATAN(AA599/Z599))+180,DEGREES(ATAN(AA599/Z599))-180),IF(AA599&gt;0,90,IF(AA599&lt;0,-90,0)))))</f>
        <v/>
      </c>
      <c r="AD599" s="195">
        <f>IF(B599="","",LOG10(B599))</f>
        <v/>
      </c>
      <c r="AE599" s="195">
        <f>IF(AB599="","",LOG10(MAX(AB599,1E-12)))</f>
        <v/>
      </c>
      <c r="AF599" s="195">
        <f>IF(B599="","",SQRT(P599^2+Q599^2))</f>
        <v/>
      </c>
      <c r="AG599" s="195">
        <f>IF(B599="","",SQRT(R599^2+S599^2))</f>
        <v/>
      </c>
    </row>
    <row r="600">
      <c r="A600" t="n">
        <v>597</v>
      </c>
      <c r="B600" s="196">
        <f>IF(A600&lt;='入力・概要'!$B$40,10^(LOG10('入力・概要'!$B$38)+(A600-1)*(LOG10('入力・概要'!$B$39)-LOG10('入力・概要'!$B$38))/('入力・概要'!$B$40-1)),"")</f>
        <v/>
      </c>
      <c r="C600" s="195">
        <f>IF(B600="","",2*PI()*B600)</f>
        <v/>
      </c>
      <c r="D600" s="195">
        <f>IF(B600="","",ATANH(MIN(0.999999,'入力・概要'!$E$20/'入力・概要'!$E$9))+'入力・概要'!$B$20*SQRT(B600/1E6)+E600*'入力・概要'!$B$15/2)</f>
        <v/>
      </c>
      <c r="E600" s="195">
        <f>IF(B600="","",C600*('入力・概要'!$E$11*1E-9))</f>
        <v/>
      </c>
      <c r="F600" s="195">
        <f>IF(B600="","",SINH(2*D600)/(COSH(2*D600)+COS(2*E600)))</f>
        <v/>
      </c>
      <c r="G600" s="195">
        <f>IF(B600="","",SIN(2*E600)/(COSH(2*D600)+COS(2*E600)))</f>
        <v/>
      </c>
      <c r="H600" s="195">
        <f>IF(B600="","",ATANH(MIN(0.999999,'入力・概要'!$E$21/'入力・概要'!$E$15))+'入力・概要'!$B$21*SQRT(B600/1E6)+I600*'入力・概要'!$B$16/2)</f>
        <v/>
      </c>
      <c r="I600" s="195">
        <f>IF(B600="","",C600*('入力・概要'!$E$17*1E-9))</f>
        <v/>
      </c>
      <c r="J600" s="195">
        <f>IF(B600="","",SINH(2*H600)/(COSH(2*H600)+COS(2*I600)))</f>
        <v/>
      </c>
      <c r="K600" s="195">
        <f>IF(B600="","",SIN(2*I600)/(COSH(2*H600)+COS(2*I600)))</f>
        <v/>
      </c>
      <c r="L600" s="195">
        <f>IF(B600="","",'入力・概要'!$B$25)</f>
        <v/>
      </c>
      <c r="M600" s="195">
        <f>IF(B600="","",C600*'入力・概要'!$B$26*1E-9-1/(C600*'入力・概要'!$B$24*1E-6))</f>
        <v/>
      </c>
      <c r="N600" s="195">
        <f>IF(B600="","",'入力・概要'!$B$28)</f>
        <v/>
      </c>
      <c r="O600" s="195">
        <f>IF(B600="","",C600*'入力・概要'!$B$29*1E-9-1/(C600*'入力・概要'!$B$27*1E-6))</f>
        <v/>
      </c>
      <c r="P600" s="195">
        <f>IF(B600="","",((L600*N600-M600*O600)*(L600+N600)+(L600*O600+M600*N600)*(M600+O600))/((L600+N600)^2+(M600+O600)^2))</f>
        <v/>
      </c>
      <c r="Q600" s="195">
        <f>IF(B600="","",((L600*O600+M600*N600)*(L600+N600)-(L600*N600-M600*O600)*(M600+O600))/((L600+N600)^2+(M600+O600)^2))</f>
        <v/>
      </c>
      <c r="R600" s="195">
        <f>IF(B600="","",'入力・概要'!$E$15*J600)</f>
        <v/>
      </c>
      <c r="S600" s="195">
        <f>IF(B600="","",'入力・概要'!$E$15*K600)</f>
        <v/>
      </c>
      <c r="T600" s="195">
        <f>IF(B600="","",P600+R600)</f>
        <v/>
      </c>
      <c r="U600" s="195">
        <f>IF(B600="","",Q600+S600)</f>
        <v/>
      </c>
      <c r="V600" s="195">
        <f>IF(B600="","",T600+'入力・概要'!$E$9*F600)</f>
        <v/>
      </c>
      <c r="W600" s="195">
        <f>IF(B600="","",U600+'入力・概要'!$E$9*G600)</f>
        <v/>
      </c>
      <c r="X600" s="195">
        <f>IF(B600="","",'入力・概要'!$E$9+T600*F600-U600*G600)</f>
        <v/>
      </c>
      <c r="Y600" s="195">
        <f>IF(B600="","",T600*G600+U600*F600)</f>
        <v/>
      </c>
      <c r="Z600" s="195">
        <f>IF(B600="","",'入力・概要'!$E$9*(V600*X600+W600*Y600)/(X600^2+Y600^2)+'入力・概要'!$B$36)</f>
        <v/>
      </c>
      <c r="AA600" s="195">
        <f>IF(B600="","",'入力・概要'!$E$9*(W600*X600-V600*Y600)/(X600^2+Y600^2)+C600*'入力・概要'!$B$37*1E-9)</f>
        <v/>
      </c>
      <c r="AB600" s="195">
        <f>IF(B600="","",SQRT(Z600^2+AA600^2))</f>
        <v/>
      </c>
      <c r="AC600" s="195">
        <f>IF(B600="","",IF(Z600&gt;0,DEGREES(ATAN(AA600/Z600)),IF(Z600&lt;0,IF(AA600&gt;=0,DEGREES(ATAN(AA600/Z600))+180,DEGREES(ATAN(AA600/Z600))-180),IF(AA600&gt;0,90,IF(AA600&lt;0,-90,0)))))</f>
        <v/>
      </c>
      <c r="AD600" s="195">
        <f>IF(B600="","",LOG10(B600))</f>
        <v/>
      </c>
      <c r="AE600" s="195">
        <f>IF(AB600="","",LOG10(MAX(AB600,1E-12)))</f>
        <v/>
      </c>
      <c r="AF600" s="195">
        <f>IF(B600="","",SQRT(P600^2+Q600^2))</f>
        <v/>
      </c>
      <c r="AG600" s="195">
        <f>IF(B600="","",SQRT(R600^2+S600^2))</f>
        <v/>
      </c>
    </row>
    <row r="601">
      <c r="A601" t="n">
        <v>598</v>
      </c>
      <c r="B601" s="196">
        <f>IF(A601&lt;='入力・概要'!$B$40,10^(LOG10('入力・概要'!$B$38)+(A601-1)*(LOG10('入力・概要'!$B$39)-LOG10('入力・概要'!$B$38))/('入力・概要'!$B$40-1)),"")</f>
        <v/>
      </c>
      <c r="C601" s="195">
        <f>IF(B601="","",2*PI()*B601)</f>
        <v/>
      </c>
      <c r="D601" s="195">
        <f>IF(B601="","",ATANH(MIN(0.999999,'入力・概要'!$E$20/'入力・概要'!$E$9))+'入力・概要'!$B$20*SQRT(B601/1E6)+E601*'入力・概要'!$B$15/2)</f>
        <v/>
      </c>
      <c r="E601" s="195">
        <f>IF(B601="","",C601*('入力・概要'!$E$11*1E-9))</f>
        <v/>
      </c>
      <c r="F601" s="195">
        <f>IF(B601="","",SINH(2*D601)/(COSH(2*D601)+COS(2*E601)))</f>
        <v/>
      </c>
      <c r="G601" s="195">
        <f>IF(B601="","",SIN(2*E601)/(COSH(2*D601)+COS(2*E601)))</f>
        <v/>
      </c>
      <c r="H601" s="195">
        <f>IF(B601="","",ATANH(MIN(0.999999,'入力・概要'!$E$21/'入力・概要'!$E$15))+'入力・概要'!$B$21*SQRT(B601/1E6)+I601*'入力・概要'!$B$16/2)</f>
        <v/>
      </c>
      <c r="I601" s="195">
        <f>IF(B601="","",C601*('入力・概要'!$E$17*1E-9))</f>
        <v/>
      </c>
      <c r="J601" s="195">
        <f>IF(B601="","",SINH(2*H601)/(COSH(2*H601)+COS(2*I601)))</f>
        <v/>
      </c>
      <c r="K601" s="195">
        <f>IF(B601="","",SIN(2*I601)/(COSH(2*H601)+COS(2*I601)))</f>
        <v/>
      </c>
      <c r="L601" s="195">
        <f>IF(B601="","",'入力・概要'!$B$25)</f>
        <v/>
      </c>
      <c r="M601" s="195">
        <f>IF(B601="","",C601*'入力・概要'!$B$26*1E-9-1/(C601*'入力・概要'!$B$24*1E-6))</f>
        <v/>
      </c>
      <c r="N601" s="195">
        <f>IF(B601="","",'入力・概要'!$B$28)</f>
        <v/>
      </c>
      <c r="O601" s="195">
        <f>IF(B601="","",C601*'入力・概要'!$B$29*1E-9-1/(C601*'入力・概要'!$B$27*1E-6))</f>
        <v/>
      </c>
      <c r="P601" s="195">
        <f>IF(B601="","",((L601*N601-M601*O601)*(L601+N601)+(L601*O601+M601*N601)*(M601+O601))/((L601+N601)^2+(M601+O601)^2))</f>
        <v/>
      </c>
      <c r="Q601" s="195">
        <f>IF(B601="","",((L601*O601+M601*N601)*(L601+N601)-(L601*N601-M601*O601)*(M601+O601))/((L601+N601)^2+(M601+O601)^2))</f>
        <v/>
      </c>
      <c r="R601" s="195">
        <f>IF(B601="","",'入力・概要'!$E$15*J601)</f>
        <v/>
      </c>
      <c r="S601" s="195">
        <f>IF(B601="","",'入力・概要'!$E$15*K601)</f>
        <v/>
      </c>
      <c r="T601" s="195">
        <f>IF(B601="","",P601+R601)</f>
        <v/>
      </c>
      <c r="U601" s="195">
        <f>IF(B601="","",Q601+S601)</f>
        <v/>
      </c>
      <c r="V601" s="195">
        <f>IF(B601="","",T601+'入力・概要'!$E$9*F601)</f>
        <v/>
      </c>
      <c r="W601" s="195">
        <f>IF(B601="","",U601+'入力・概要'!$E$9*G601)</f>
        <v/>
      </c>
      <c r="X601" s="195">
        <f>IF(B601="","",'入力・概要'!$E$9+T601*F601-U601*G601)</f>
        <v/>
      </c>
      <c r="Y601" s="195">
        <f>IF(B601="","",T601*G601+U601*F601)</f>
        <v/>
      </c>
      <c r="Z601" s="195">
        <f>IF(B601="","",'入力・概要'!$E$9*(V601*X601+W601*Y601)/(X601^2+Y601^2)+'入力・概要'!$B$36)</f>
        <v/>
      </c>
      <c r="AA601" s="195">
        <f>IF(B601="","",'入力・概要'!$E$9*(W601*X601-V601*Y601)/(X601^2+Y601^2)+C601*'入力・概要'!$B$37*1E-9)</f>
        <v/>
      </c>
      <c r="AB601" s="195">
        <f>IF(B601="","",SQRT(Z601^2+AA601^2))</f>
        <v/>
      </c>
      <c r="AC601" s="195">
        <f>IF(B601="","",IF(Z601&gt;0,DEGREES(ATAN(AA601/Z601)),IF(Z601&lt;0,IF(AA601&gt;=0,DEGREES(ATAN(AA601/Z601))+180,DEGREES(ATAN(AA601/Z601))-180),IF(AA601&gt;0,90,IF(AA601&lt;0,-90,0)))))</f>
        <v/>
      </c>
      <c r="AD601" s="195">
        <f>IF(B601="","",LOG10(B601))</f>
        <v/>
      </c>
      <c r="AE601" s="195">
        <f>IF(AB601="","",LOG10(MAX(AB601,1E-12)))</f>
        <v/>
      </c>
      <c r="AF601" s="195">
        <f>IF(B601="","",SQRT(P601^2+Q601^2))</f>
        <v/>
      </c>
      <c r="AG601" s="195">
        <f>IF(B601="","",SQRT(R601^2+S601^2))</f>
        <v/>
      </c>
    </row>
    <row r="602">
      <c r="A602" t="n">
        <v>599</v>
      </c>
      <c r="B602" s="196">
        <f>IF(A602&lt;='入力・概要'!$B$40,10^(LOG10('入力・概要'!$B$38)+(A602-1)*(LOG10('入力・概要'!$B$39)-LOG10('入力・概要'!$B$38))/('入力・概要'!$B$40-1)),"")</f>
        <v/>
      </c>
      <c r="C602" s="195">
        <f>IF(B602="","",2*PI()*B602)</f>
        <v/>
      </c>
      <c r="D602" s="195">
        <f>IF(B602="","",ATANH(MIN(0.999999,'入力・概要'!$E$20/'入力・概要'!$E$9))+'入力・概要'!$B$20*SQRT(B602/1E6)+E602*'入力・概要'!$B$15/2)</f>
        <v/>
      </c>
      <c r="E602" s="195">
        <f>IF(B602="","",C602*('入力・概要'!$E$11*1E-9))</f>
        <v/>
      </c>
      <c r="F602" s="195">
        <f>IF(B602="","",SINH(2*D602)/(COSH(2*D602)+COS(2*E602)))</f>
        <v/>
      </c>
      <c r="G602" s="195">
        <f>IF(B602="","",SIN(2*E602)/(COSH(2*D602)+COS(2*E602)))</f>
        <v/>
      </c>
      <c r="H602" s="195">
        <f>IF(B602="","",ATANH(MIN(0.999999,'入力・概要'!$E$21/'入力・概要'!$E$15))+'入力・概要'!$B$21*SQRT(B602/1E6)+I602*'入力・概要'!$B$16/2)</f>
        <v/>
      </c>
      <c r="I602" s="195">
        <f>IF(B602="","",C602*('入力・概要'!$E$17*1E-9))</f>
        <v/>
      </c>
      <c r="J602" s="195">
        <f>IF(B602="","",SINH(2*H602)/(COSH(2*H602)+COS(2*I602)))</f>
        <v/>
      </c>
      <c r="K602" s="195">
        <f>IF(B602="","",SIN(2*I602)/(COSH(2*H602)+COS(2*I602)))</f>
        <v/>
      </c>
      <c r="L602" s="195">
        <f>IF(B602="","",'入力・概要'!$B$25)</f>
        <v/>
      </c>
      <c r="M602" s="195">
        <f>IF(B602="","",C602*'入力・概要'!$B$26*1E-9-1/(C602*'入力・概要'!$B$24*1E-6))</f>
        <v/>
      </c>
      <c r="N602" s="195">
        <f>IF(B602="","",'入力・概要'!$B$28)</f>
        <v/>
      </c>
      <c r="O602" s="195">
        <f>IF(B602="","",C602*'入力・概要'!$B$29*1E-9-1/(C602*'入力・概要'!$B$27*1E-6))</f>
        <v/>
      </c>
      <c r="P602" s="195">
        <f>IF(B602="","",((L602*N602-M602*O602)*(L602+N602)+(L602*O602+M602*N602)*(M602+O602))/((L602+N602)^2+(M602+O602)^2))</f>
        <v/>
      </c>
      <c r="Q602" s="195">
        <f>IF(B602="","",((L602*O602+M602*N602)*(L602+N602)-(L602*N602-M602*O602)*(M602+O602))/((L602+N602)^2+(M602+O602)^2))</f>
        <v/>
      </c>
      <c r="R602" s="195">
        <f>IF(B602="","",'入力・概要'!$E$15*J602)</f>
        <v/>
      </c>
      <c r="S602" s="195">
        <f>IF(B602="","",'入力・概要'!$E$15*K602)</f>
        <v/>
      </c>
      <c r="T602" s="195">
        <f>IF(B602="","",P602+R602)</f>
        <v/>
      </c>
      <c r="U602" s="195">
        <f>IF(B602="","",Q602+S602)</f>
        <v/>
      </c>
      <c r="V602" s="195">
        <f>IF(B602="","",T602+'入力・概要'!$E$9*F602)</f>
        <v/>
      </c>
      <c r="W602" s="195">
        <f>IF(B602="","",U602+'入力・概要'!$E$9*G602)</f>
        <v/>
      </c>
      <c r="X602" s="195">
        <f>IF(B602="","",'入力・概要'!$E$9+T602*F602-U602*G602)</f>
        <v/>
      </c>
      <c r="Y602" s="195">
        <f>IF(B602="","",T602*G602+U602*F602)</f>
        <v/>
      </c>
      <c r="Z602" s="195">
        <f>IF(B602="","",'入力・概要'!$E$9*(V602*X602+W602*Y602)/(X602^2+Y602^2)+'入力・概要'!$B$36)</f>
        <v/>
      </c>
      <c r="AA602" s="195">
        <f>IF(B602="","",'入力・概要'!$E$9*(W602*X602-V602*Y602)/(X602^2+Y602^2)+C602*'入力・概要'!$B$37*1E-9)</f>
        <v/>
      </c>
      <c r="AB602" s="195">
        <f>IF(B602="","",SQRT(Z602^2+AA602^2))</f>
        <v/>
      </c>
      <c r="AC602" s="195">
        <f>IF(B602="","",IF(Z602&gt;0,DEGREES(ATAN(AA602/Z602)),IF(Z602&lt;0,IF(AA602&gt;=0,DEGREES(ATAN(AA602/Z602))+180,DEGREES(ATAN(AA602/Z602))-180),IF(AA602&gt;0,90,IF(AA602&lt;0,-90,0)))))</f>
        <v/>
      </c>
      <c r="AD602" s="195">
        <f>IF(B602="","",LOG10(B602))</f>
        <v/>
      </c>
      <c r="AE602" s="195">
        <f>IF(AB602="","",LOG10(MAX(AB602,1E-12)))</f>
        <v/>
      </c>
      <c r="AF602" s="195">
        <f>IF(B602="","",SQRT(P602^2+Q602^2))</f>
        <v/>
      </c>
      <c r="AG602" s="195">
        <f>IF(B602="","",SQRT(R602^2+S602^2))</f>
        <v/>
      </c>
    </row>
    <row r="603">
      <c r="A603" t="n">
        <v>600</v>
      </c>
      <c r="B603" s="196">
        <f>IF(A603&lt;='入力・概要'!$B$40,10^(LOG10('入力・概要'!$B$38)+(A603-1)*(LOG10('入力・概要'!$B$39)-LOG10('入力・概要'!$B$38))/('入力・概要'!$B$40-1)),"")</f>
        <v/>
      </c>
      <c r="C603" s="195">
        <f>IF(B603="","",2*PI()*B603)</f>
        <v/>
      </c>
      <c r="D603" s="195">
        <f>IF(B603="","",ATANH(MIN(0.999999,'入力・概要'!$E$20/'入力・概要'!$E$9))+'入力・概要'!$B$20*SQRT(B603/1E6)+E603*'入力・概要'!$B$15/2)</f>
        <v/>
      </c>
      <c r="E603" s="195">
        <f>IF(B603="","",C603*('入力・概要'!$E$11*1E-9))</f>
        <v/>
      </c>
      <c r="F603" s="195">
        <f>IF(B603="","",SINH(2*D603)/(COSH(2*D603)+COS(2*E603)))</f>
        <v/>
      </c>
      <c r="G603" s="195">
        <f>IF(B603="","",SIN(2*E603)/(COSH(2*D603)+COS(2*E603)))</f>
        <v/>
      </c>
      <c r="H603" s="195">
        <f>IF(B603="","",ATANH(MIN(0.999999,'入力・概要'!$E$21/'入力・概要'!$E$15))+'入力・概要'!$B$21*SQRT(B603/1E6)+I603*'入力・概要'!$B$16/2)</f>
        <v/>
      </c>
      <c r="I603" s="195">
        <f>IF(B603="","",C603*('入力・概要'!$E$17*1E-9))</f>
        <v/>
      </c>
      <c r="J603" s="195">
        <f>IF(B603="","",SINH(2*H603)/(COSH(2*H603)+COS(2*I603)))</f>
        <v/>
      </c>
      <c r="K603" s="195">
        <f>IF(B603="","",SIN(2*I603)/(COSH(2*H603)+COS(2*I603)))</f>
        <v/>
      </c>
      <c r="L603" s="195">
        <f>IF(B603="","",'入力・概要'!$B$25)</f>
        <v/>
      </c>
      <c r="M603" s="195">
        <f>IF(B603="","",C603*'入力・概要'!$B$26*1E-9-1/(C603*'入力・概要'!$B$24*1E-6))</f>
        <v/>
      </c>
      <c r="N603" s="195">
        <f>IF(B603="","",'入力・概要'!$B$28)</f>
        <v/>
      </c>
      <c r="O603" s="195">
        <f>IF(B603="","",C603*'入力・概要'!$B$29*1E-9-1/(C603*'入力・概要'!$B$27*1E-6))</f>
        <v/>
      </c>
      <c r="P603" s="195">
        <f>IF(B603="","",((L603*N603-M603*O603)*(L603+N603)+(L603*O603+M603*N603)*(M603+O603))/((L603+N603)^2+(M603+O603)^2))</f>
        <v/>
      </c>
      <c r="Q603" s="195">
        <f>IF(B603="","",((L603*O603+M603*N603)*(L603+N603)-(L603*N603-M603*O603)*(M603+O603))/((L603+N603)^2+(M603+O603)^2))</f>
        <v/>
      </c>
      <c r="R603" s="195">
        <f>IF(B603="","",'入力・概要'!$E$15*J603)</f>
        <v/>
      </c>
      <c r="S603" s="195">
        <f>IF(B603="","",'入力・概要'!$E$15*K603)</f>
        <v/>
      </c>
      <c r="T603" s="195">
        <f>IF(B603="","",P603+R603)</f>
        <v/>
      </c>
      <c r="U603" s="195">
        <f>IF(B603="","",Q603+S603)</f>
        <v/>
      </c>
      <c r="V603" s="195">
        <f>IF(B603="","",T603+'入力・概要'!$E$9*F603)</f>
        <v/>
      </c>
      <c r="W603" s="195">
        <f>IF(B603="","",U603+'入力・概要'!$E$9*G603)</f>
        <v/>
      </c>
      <c r="X603" s="195">
        <f>IF(B603="","",'入力・概要'!$E$9+T603*F603-U603*G603)</f>
        <v/>
      </c>
      <c r="Y603" s="195">
        <f>IF(B603="","",T603*G603+U603*F603)</f>
        <v/>
      </c>
      <c r="Z603" s="195">
        <f>IF(B603="","",'入力・概要'!$E$9*(V603*X603+W603*Y603)/(X603^2+Y603^2)+'入力・概要'!$B$36)</f>
        <v/>
      </c>
      <c r="AA603" s="195">
        <f>IF(B603="","",'入力・概要'!$E$9*(W603*X603-V603*Y603)/(X603^2+Y603^2)+C603*'入力・概要'!$B$37*1E-9)</f>
        <v/>
      </c>
      <c r="AB603" s="195">
        <f>IF(B603="","",SQRT(Z603^2+AA603^2))</f>
        <v/>
      </c>
      <c r="AC603" s="195">
        <f>IF(B603="","",IF(Z603&gt;0,DEGREES(ATAN(AA603/Z603)),IF(Z603&lt;0,IF(AA603&gt;=0,DEGREES(ATAN(AA603/Z603))+180,DEGREES(ATAN(AA603/Z603))-180),IF(AA603&gt;0,90,IF(AA603&lt;0,-90,0)))))</f>
        <v/>
      </c>
      <c r="AD603" s="195">
        <f>IF(B603="","",LOG10(B603))</f>
        <v/>
      </c>
      <c r="AE603" s="195">
        <f>IF(AB603="","",LOG10(MAX(AB603,1E-12)))</f>
        <v/>
      </c>
      <c r="AF603" s="195">
        <f>IF(B603="","",SQRT(P603^2+Q603^2))</f>
        <v/>
      </c>
      <c r="AG603" s="195">
        <f>IF(B603="","",SQRT(R603^2+S603^2))</f>
        <v/>
      </c>
    </row>
    <row r="604">
      <c r="A604" t="n">
        <v>601</v>
      </c>
      <c r="B604" s="196">
        <f>IF(A604&lt;='入力・概要'!$B$40,10^(LOG10('入力・概要'!$B$38)+(A604-1)*(LOG10('入力・概要'!$B$39)-LOG10('入力・概要'!$B$38))/('入力・概要'!$B$40-1)),"")</f>
        <v/>
      </c>
      <c r="C604" s="195">
        <f>IF(B604="","",2*PI()*B604)</f>
        <v/>
      </c>
      <c r="D604" s="195">
        <f>IF(B604="","",ATANH(MIN(0.999999,'入力・概要'!$E$20/'入力・概要'!$E$9))+'入力・概要'!$B$20*SQRT(B604/1E6)+E604*'入力・概要'!$B$15/2)</f>
        <v/>
      </c>
      <c r="E604" s="195">
        <f>IF(B604="","",C604*('入力・概要'!$E$11*1E-9))</f>
        <v/>
      </c>
      <c r="F604" s="195">
        <f>IF(B604="","",SINH(2*D604)/(COSH(2*D604)+COS(2*E604)))</f>
        <v/>
      </c>
      <c r="G604" s="195">
        <f>IF(B604="","",SIN(2*E604)/(COSH(2*D604)+COS(2*E604)))</f>
        <v/>
      </c>
      <c r="H604" s="195">
        <f>IF(B604="","",ATANH(MIN(0.999999,'入力・概要'!$E$21/'入力・概要'!$E$15))+'入力・概要'!$B$21*SQRT(B604/1E6)+I604*'入力・概要'!$B$16/2)</f>
        <v/>
      </c>
      <c r="I604" s="195">
        <f>IF(B604="","",C604*('入力・概要'!$E$17*1E-9))</f>
        <v/>
      </c>
      <c r="J604" s="195">
        <f>IF(B604="","",SINH(2*H604)/(COSH(2*H604)+COS(2*I604)))</f>
        <v/>
      </c>
      <c r="K604" s="195">
        <f>IF(B604="","",SIN(2*I604)/(COSH(2*H604)+COS(2*I604)))</f>
        <v/>
      </c>
      <c r="L604" s="195">
        <f>IF(B604="","",'入力・概要'!$B$25)</f>
        <v/>
      </c>
      <c r="M604" s="195">
        <f>IF(B604="","",C604*'入力・概要'!$B$26*1E-9-1/(C604*'入力・概要'!$B$24*1E-6))</f>
        <v/>
      </c>
      <c r="N604" s="195">
        <f>IF(B604="","",'入力・概要'!$B$28)</f>
        <v/>
      </c>
      <c r="O604" s="195">
        <f>IF(B604="","",C604*'入力・概要'!$B$29*1E-9-1/(C604*'入力・概要'!$B$27*1E-6))</f>
        <v/>
      </c>
      <c r="P604" s="195">
        <f>IF(B604="","",((L604*N604-M604*O604)*(L604+N604)+(L604*O604+M604*N604)*(M604+O604))/((L604+N604)^2+(M604+O604)^2))</f>
        <v/>
      </c>
      <c r="Q604" s="195">
        <f>IF(B604="","",((L604*O604+M604*N604)*(L604+N604)-(L604*N604-M604*O604)*(M604+O604))/((L604+N604)^2+(M604+O604)^2))</f>
        <v/>
      </c>
      <c r="R604" s="195">
        <f>IF(B604="","",'入力・概要'!$E$15*J604)</f>
        <v/>
      </c>
      <c r="S604" s="195">
        <f>IF(B604="","",'入力・概要'!$E$15*K604)</f>
        <v/>
      </c>
      <c r="T604" s="195">
        <f>IF(B604="","",P604+R604)</f>
        <v/>
      </c>
      <c r="U604" s="195">
        <f>IF(B604="","",Q604+S604)</f>
        <v/>
      </c>
      <c r="V604" s="195">
        <f>IF(B604="","",T604+'入力・概要'!$E$9*F604)</f>
        <v/>
      </c>
      <c r="W604" s="195">
        <f>IF(B604="","",U604+'入力・概要'!$E$9*G604)</f>
        <v/>
      </c>
      <c r="X604" s="195">
        <f>IF(B604="","",'入力・概要'!$E$9+T604*F604-U604*G604)</f>
        <v/>
      </c>
      <c r="Y604" s="195">
        <f>IF(B604="","",T604*G604+U604*F604)</f>
        <v/>
      </c>
      <c r="Z604" s="195">
        <f>IF(B604="","",'入力・概要'!$E$9*(V604*X604+W604*Y604)/(X604^2+Y604^2)+'入力・概要'!$B$36)</f>
        <v/>
      </c>
      <c r="AA604" s="195">
        <f>IF(B604="","",'入力・概要'!$E$9*(W604*X604-V604*Y604)/(X604^2+Y604^2)+C604*'入力・概要'!$B$37*1E-9)</f>
        <v/>
      </c>
      <c r="AB604" s="195">
        <f>IF(B604="","",SQRT(Z604^2+AA604^2))</f>
        <v/>
      </c>
      <c r="AC604" s="195">
        <f>IF(B604="","",IF(Z604&gt;0,DEGREES(ATAN(AA604/Z604)),IF(Z604&lt;0,IF(AA604&gt;=0,DEGREES(ATAN(AA604/Z604))+180,DEGREES(ATAN(AA604/Z604))-180),IF(AA604&gt;0,90,IF(AA604&lt;0,-90,0)))))</f>
        <v/>
      </c>
      <c r="AD604" s="195">
        <f>IF(B604="","",LOG10(B604))</f>
        <v/>
      </c>
      <c r="AE604" s="195">
        <f>IF(AB604="","",LOG10(MAX(AB604,1E-12)))</f>
        <v/>
      </c>
      <c r="AF604" s="195">
        <f>IF(B604="","",SQRT(P604^2+Q604^2))</f>
        <v/>
      </c>
      <c r="AG604" s="195">
        <f>IF(B604="","",SQRT(R604^2+S604^2))</f>
        <v/>
      </c>
    </row>
    <row r="605">
      <c r="A605" t="n">
        <v>602</v>
      </c>
      <c r="B605" s="196">
        <f>IF(A605&lt;='入力・概要'!$B$40,10^(LOG10('入力・概要'!$B$38)+(A605-1)*(LOG10('入力・概要'!$B$39)-LOG10('入力・概要'!$B$38))/('入力・概要'!$B$40-1)),"")</f>
        <v/>
      </c>
      <c r="C605" s="195">
        <f>IF(B605="","",2*PI()*B605)</f>
        <v/>
      </c>
      <c r="D605" s="195">
        <f>IF(B605="","",ATANH(MIN(0.999999,'入力・概要'!$E$20/'入力・概要'!$E$9))+'入力・概要'!$B$20*SQRT(B605/1E6)+E605*'入力・概要'!$B$15/2)</f>
        <v/>
      </c>
      <c r="E605" s="195">
        <f>IF(B605="","",C605*('入力・概要'!$E$11*1E-9))</f>
        <v/>
      </c>
      <c r="F605" s="195">
        <f>IF(B605="","",SINH(2*D605)/(COSH(2*D605)+COS(2*E605)))</f>
        <v/>
      </c>
      <c r="G605" s="195">
        <f>IF(B605="","",SIN(2*E605)/(COSH(2*D605)+COS(2*E605)))</f>
        <v/>
      </c>
      <c r="H605" s="195">
        <f>IF(B605="","",ATANH(MIN(0.999999,'入力・概要'!$E$21/'入力・概要'!$E$15))+'入力・概要'!$B$21*SQRT(B605/1E6)+I605*'入力・概要'!$B$16/2)</f>
        <v/>
      </c>
      <c r="I605" s="195">
        <f>IF(B605="","",C605*('入力・概要'!$E$17*1E-9))</f>
        <v/>
      </c>
      <c r="J605" s="195">
        <f>IF(B605="","",SINH(2*H605)/(COSH(2*H605)+COS(2*I605)))</f>
        <v/>
      </c>
      <c r="K605" s="195">
        <f>IF(B605="","",SIN(2*I605)/(COSH(2*H605)+COS(2*I605)))</f>
        <v/>
      </c>
      <c r="L605" s="195">
        <f>IF(B605="","",'入力・概要'!$B$25)</f>
        <v/>
      </c>
      <c r="M605" s="195">
        <f>IF(B605="","",C605*'入力・概要'!$B$26*1E-9-1/(C605*'入力・概要'!$B$24*1E-6))</f>
        <v/>
      </c>
      <c r="N605" s="195">
        <f>IF(B605="","",'入力・概要'!$B$28)</f>
        <v/>
      </c>
      <c r="O605" s="195">
        <f>IF(B605="","",C605*'入力・概要'!$B$29*1E-9-1/(C605*'入力・概要'!$B$27*1E-6))</f>
        <v/>
      </c>
      <c r="P605" s="195">
        <f>IF(B605="","",((L605*N605-M605*O605)*(L605+N605)+(L605*O605+M605*N605)*(M605+O605))/((L605+N605)^2+(M605+O605)^2))</f>
        <v/>
      </c>
      <c r="Q605" s="195">
        <f>IF(B605="","",((L605*O605+M605*N605)*(L605+N605)-(L605*N605-M605*O605)*(M605+O605))/((L605+N605)^2+(M605+O605)^2))</f>
        <v/>
      </c>
      <c r="R605" s="195">
        <f>IF(B605="","",'入力・概要'!$E$15*J605)</f>
        <v/>
      </c>
      <c r="S605" s="195">
        <f>IF(B605="","",'入力・概要'!$E$15*K605)</f>
        <v/>
      </c>
      <c r="T605" s="195">
        <f>IF(B605="","",P605+R605)</f>
        <v/>
      </c>
      <c r="U605" s="195">
        <f>IF(B605="","",Q605+S605)</f>
        <v/>
      </c>
      <c r="V605" s="195">
        <f>IF(B605="","",T605+'入力・概要'!$E$9*F605)</f>
        <v/>
      </c>
      <c r="W605" s="195">
        <f>IF(B605="","",U605+'入力・概要'!$E$9*G605)</f>
        <v/>
      </c>
      <c r="X605" s="195">
        <f>IF(B605="","",'入力・概要'!$E$9+T605*F605-U605*G605)</f>
        <v/>
      </c>
      <c r="Y605" s="195">
        <f>IF(B605="","",T605*G605+U605*F605)</f>
        <v/>
      </c>
      <c r="Z605" s="195">
        <f>IF(B605="","",'入力・概要'!$E$9*(V605*X605+W605*Y605)/(X605^2+Y605^2)+'入力・概要'!$B$36)</f>
        <v/>
      </c>
      <c r="AA605" s="195">
        <f>IF(B605="","",'入力・概要'!$E$9*(W605*X605-V605*Y605)/(X605^2+Y605^2)+C605*'入力・概要'!$B$37*1E-9)</f>
        <v/>
      </c>
      <c r="AB605" s="195">
        <f>IF(B605="","",SQRT(Z605^2+AA605^2))</f>
        <v/>
      </c>
      <c r="AC605" s="195">
        <f>IF(B605="","",IF(Z605&gt;0,DEGREES(ATAN(AA605/Z605)),IF(Z605&lt;0,IF(AA605&gt;=0,DEGREES(ATAN(AA605/Z605))+180,DEGREES(ATAN(AA605/Z605))-180),IF(AA605&gt;0,90,IF(AA605&lt;0,-90,0)))))</f>
        <v/>
      </c>
      <c r="AD605" s="195">
        <f>IF(B605="","",LOG10(B605))</f>
        <v/>
      </c>
      <c r="AE605" s="195">
        <f>IF(AB605="","",LOG10(MAX(AB605,1E-12)))</f>
        <v/>
      </c>
      <c r="AF605" s="195">
        <f>IF(B605="","",SQRT(P605^2+Q605^2))</f>
        <v/>
      </c>
      <c r="AG605" s="195">
        <f>IF(B605="","",SQRT(R605^2+S605^2))</f>
        <v/>
      </c>
    </row>
    <row r="606">
      <c r="A606" t="n">
        <v>603</v>
      </c>
      <c r="B606" s="196">
        <f>IF(A606&lt;='入力・概要'!$B$40,10^(LOG10('入力・概要'!$B$38)+(A606-1)*(LOG10('入力・概要'!$B$39)-LOG10('入力・概要'!$B$38))/('入力・概要'!$B$40-1)),"")</f>
        <v/>
      </c>
      <c r="C606" s="195">
        <f>IF(B606="","",2*PI()*B606)</f>
        <v/>
      </c>
      <c r="D606" s="195">
        <f>IF(B606="","",ATANH(MIN(0.999999,'入力・概要'!$E$20/'入力・概要'!$E$9))+'入力・概要'!$B$20*SQRT(B606/1E6)+E606*'入力・概要'!$B$15/2)</f>
        <v/>
      </c>
      <c r="E606" s="195">
        <f>IF(B606="","",C606*('入力・概要'!$E$11*1E-9))</f>
        <v/>
      </c>
      <c r="F606" s="195">
        <f>IF(B606="","",SINH(2*D606)/(COSH(2*D606)+COS(2*E606)))</f>
        <v/>
      </c>
      <c r="G606" s="195">
        <f>IF(B606="","",SIN(2*E606)/(COSH(2*D606)+COS(2*E606)))</f>
        <v/>
      </c>
      <c r="H606" s="195">
        <f>IF(B606="","",ATANH(MIN(0.999999,'入力・概要'!$E$21/'入力・概要'!$E$15))+'入力・概要'!$B$21*SQRT(B606/1E6)+I606*'入力・概要'!$B$16/2)</f>
        <v/>
      </c>
      <c r="I606" s="195">
        <f>IF(B606="","",C606*('入力・概要'!$E$17*1E-9))</f>
        <v/>
      </c>
      <c r="J606" s="195">
        <f>IF(B606="","",SINH(2*H606)/(COSH(2*H606)+COS(2*I606)))</f>
        <v/>
      </c>
      <c r="K606" s="195">
        <f>IF(B606="","",SIN(2*I606)/(COSH(2*H606)+COS(2*I606)))</f>
        <v/>
      </c>
      <c r="L606" s="195">
        <f>IF(B606="","",'入力・概要'!$B$25)</f>
        <v/>
      </c>
      <c r="M606" s="195">
        <f>IF(B606="","",C606*'入力・概要'!$B$26*1E-9-1/(C606*'入力・概要'!$B$24*1E-6))</f>
        <v/>
      </c>
      <c r="N606" s="195">
        <f>IF(B606="","",'入力・概要'!$B$28)</f>
        <v/>
      </c>
      <c r="O606" s="195">
        <f>IF(B606="","",C606*'入力・概要'!$B$29*1E-9-1/(C606*'入力・概要'!$B$27*1E-6))</f>
        <v/>
      </c>
      <c r="P606" s="195">
        <f>IF(B606="","",((L606*N606-M606*O606)*(L606+N606)+(L606*O606+M606*N606)*(M606+O606))/((L606+N606)^2+(M606+O606)^2))</f>
        <v/>
      </c>
      <c r="Q606" s="195">
        <f>IF(B606="","",((L606*O606+M606*N606)*(L606+N606)-(L606*N606-M606*O606)*(M606+O606))/((L606+N606)^2+(M606+O606)^2))</f>
        <v/>
      </c>
      <c r="R606" s="195">
        <f>IF(B606="","",'入力・概要'!$E$15*J606)</f>
        <v/>
      </c>
      <c r="S606" s="195">
        <f>IF(B606="","",'入力・概要'!$E$15*K606)</f>
        <v/>
      </c>
      <c r="T606" s="195">
        <f>IF(B606="","",P606+R606)</f>
        <v/>
      </c>
      <c r="U606" s="195">
        <f>IF(B606="","",Q606+S606)</f>
        <v/>
      </c>
      <c r="V606" s="195">
        <f>IF(B606="","",T606+'入力・概要'!$E$9*F606)</f>
        <v/>
      </c>
      <c r="W606" s="195">
        <f>IF(B606="","",U606+'入力・概要'!$E$9*G606)</f>
        <v/>
      </c>
      <c r="X606" s="195">
        <f>IF(B606="","",'入力・概要'!$E$9+T606*F606-U606*G606)</f>
        <v/>
      </c>
      <c r="Y606" s="195">
        <f>IF(B606="","",T606*G606+U606*F606)</f>
        <v/>
      </c>
      <c r="Z606" s="195">
        <f>IF(B606="","",'入力・概要'!$E$9*(V606*X606+W606*Y606)/(X606^2+Y606^2)+'入力・概要'!$B$36)</f>
        <v/>
      </c>
      <c r="AA606" s="195">
        <f>IF(B606="","",'入力・概要'!$E$9*(W606*X606-V606*Y606)/(X606^2+Y606^2)+C606*'入力・概要'!$B$37*1E-9)</f>
        <v/>
      </c>
      <c r="AB606" s="195">
        <f>IF(B606="","",SQRT(Z606^2+AA606^2))</f>
        <v/>
      </c>
      <c r="AC606" s="195">
        <f>IF(B606="","",IF(Z606&gt;0,DEGREES(ATAN(AA606/Z606)),IF(Z606&lt;0,IF(AA606&gt;=0,DEGREES(ATAN(AA606/Z606))+180,DEGREES(ATAN(AA606/Z606))-180),IF(AA606&gt;0,90,IF(AA606&lt;0,-90,0)))))</f>
        <v/>
      </c>
      <c r="AD606" s="195">
        <f>IF(B606="","",LOG10(B606))</f>
        <v/>
      </c>
      <c r="AE606" s="195">
        <f>IF(AB606="","",LOG10(MAX(AB606,1E-12)))</f>
        <v/>
      </c>
      <c r="AF606" s="195">
        <f>IF(B606="","",SQRT(P606^2+Q606^2))</f>
        <v/>
      </c>
      <c r="AG606" s="195">
        <f>IF(B606="","",SQRT(R606^2+S606^2))</f>
        <v/>
      </c>
    </row>
    <row r="607">
      <c r="A607" t="n">
        <v>604</v>
      </c>
      <c r="B607" s="196">
        <f>IF(A607&lt;='入力・概要'!$B$40,10^(LOG10('入力・概要'!$B$38)+(A607-1)*(LOG10('入力・概要'!$B$39)-LOG10('入力・概要'!$B$38))/('入力・概要'!$B$40-1)),"")</f>
        <v/>
      </c>
      <c r="C607" s="195">
        <f>IF(B607="","",2*PI()*B607)</f>
        <v/>
      </c>
      <c r="D607" s="195">
        <f>IF(B607="","",ATANH(MIN(0.999999,'入力・概要'!$E$20/'入力・概要'!$E$9))+'入力・概要'!$B$20*SQRT(B607/1E6)+E607*'入力・概要'!$B$15/2)</f>
        <v/>
      </c>
      <c r="E607" s="195">
        <f>IF(B607="","",C607*('入力・概要'!$E$11*1E-9))</f>
        <v/>
      </c>
      <c r="F607" s="195">
        <f>IF(B607="","",SINH(2*D607)/(COSH(2*D607)+COS(2*E607)))</f>
        <v/>
      </c>
      <c r="G607" s="195">
        <f>IF(B607="","",SIN(2*E607)/(COSH(2*D607)+COS(2*E607)))</f>
        <v/>
      </c>
      <c r="H607" s="195">
        <f>IF(B607="","",ATANH(MIN(0.999999,'入力・概要'!$E$21/'入力・概要'!$E$15))+'入力・概要'!$B$21*SQRT(B607/1E6)+I607*'入力・概要'!$B$16/2)</f>
        <v/>
      </c>
      <c r="I607" s="195">
        <f>IF(B607="","",C607*('入力・概要'!$E$17*1E-9))</f>
        <v/>
      </c>
      <c r="J607" s="195">
        <f>IF(B607="","",SINH(2*H607)/(COSH(2*H607)+COS(2*I607)))</f>
        <v/>
      </c>
      <c r="K607" s="195">
        <f>IF(B607="","",SIN(2*I607)/(COSH(2*H607)+COS(2*I607)))</f>
        <v/>
      </c>
      <c r="L607" s="195">
        <f>IF(B607="","",'入力・概要'!$B$25)</f>
        <v/>
      </c>
      <c r="M607" s="195">
        <f>IF(B607="","",C607*'入力・概要'!$B$26*1E-9-1/(C607*'入力・概要'!$B$24*1E-6))</f>
        <v/>
      </c>
      <c r="N607" s="195">
        <f>IF(B607="","",'入力・概要'!$B$28)</f>
        <v/>
      </c>
      <c r="O607" s="195">
        <f>IF(B607="","",C607*'入力・概要'!$B$29*1E-9-1/(C607*'入力・概要'!$B$27*1E-6))</f>
        <v/>
      </c>
      <c r="P607" s="195">
        <f>IF(B607="","",((L607*N607-M607*O607)*(L607+N607)+(L607*O607+M607*N607)*(M607+O607))/((L607+N607)^2+(M607+O607)^2))</f>
        <v/>
      </c>
      <c r="Q607" s="195">
        <f>IF(B607="","",((L607*O607+M607*N607)*(L607+N607)-(L607*N607-M607*O607)*(M607+O607))/((L607+N607)^2+(M607+O607)^2))</f>
        <v/>
      </c>
      <c r="R607" s="195">
        <f>IF(B607="","",'入力・概要'!$E$15*J607)</f>
        <v/>
      </c>
      <c r="S607" s="195">
        <f>IF(B607="","",'入力・概要'!$E$15*K607)</f>
        <v/>
      </c>
      <c r="T607" s="195">
        <f>IF(B607="","",P607+R607)</f>
        <v/>
      </c>
      <c r="U607" s="195">
        <f>IF(B607="","",Q607+S607)</f>
        <v/>
      </c>
      <c r="V607" s="195">
        <f>IF(B607="","",T607+'入力・概要'!$E$9*F607)</f>
        <v/>
      </c>
      <c r="W607" s="195">
        <f>IF(B607="","",U607+'入力・概要'!$E$9*G607)</f>
        <v/>
      </c>
      <c r="X607" s="195">
        <f>IF(B607="","",'入力・概要'!$E$9+T607*F607-U607*G607)</f>
        <v/>
      </c>
      <c r="Y607" s="195">
        <f>IF(B607="","",T607*G607+U607*F607)</f>
        <v/>
      </c>
      <c r="Z607" s="195">
        <f>IF(B607="","",'入力・概要'!$E$9*(V607*X607+W607*Y607)/(X607^2+Y607^2)+'入力・概要'!$B$36)</f>
        <v/>
      </c>
      <c r="AA607" s="195">
        <f>IF(B607="","",'入力・概要'!$E$9*(W607*X607-V607*Y607)/(X607^2+Y607^2)+C607*'入力・概要'!$B$37*1E-9)</f>
        <v/>
      </c>
      <c r="AB607" s="195">
        <f>IF(B607="","",SQRT(Z607^2+AA607^2))</f>
        <v/>
      </c>
      <c r="AC607" s="195">
        <f>IF(B607="","",IF(Z607&gt;0,DEGREES(ATAN(AA607/Z607)),IF(Z607&lt;0,IF(AA607&gt;=0,DEGREES(ATAN(AA607/Z607))+180,DEGREES(ATAN(AA607/Z607))-180),IF(AA607&gt;0,90,IF(AA607&lt;0,-90,0)))))</f>
        <v/>
      </c>
      <c r="AD607" s="195">
        <f>IF(B607="","",LOG10(B607))</f>
        <v/>
      </c>
      <c r="AE607" s="195">
        <f>IF(AB607="","",LOG10(MAX(AB607,1E-12)))</f>
        <v/>
      </c>
      <c r="AF607" s="195">
        <f>IF(B607="","",SQRT(P607^2+Q607^2))</f>
        <v/>
      </c>
      <c r="AG607" s="195">
        <f>IF(B607="","",SQRT(R607^2+S607^2))</f>
        <v/>
      </c>
    </row>
    <row r="608">
      <c r="A608" t="n">
        <v>605</v>
      </c>
      <c r="B608" s="196">
        <f>IF(A608&lt;='入力・概要'!$B$40,10^(LOG10('入力・概要'!$B$38)+(A608-1)*(LOG10('入力・概要'!$B$39)-LOG10('入力・概要'!$B$38))/('入力・概要'!$B$40-1)),"")</f>
        <v/>
      </c>
      <c r="C608" s="195">
        <f>IF(B608="","",2*PI()*B608)</f>
        <v/>
      </c>
      <c r="D608" s="195">
        <f>IF(B608="","",ATANH(MIN(0.999999,'入力・概要'!$E$20/'入力・概要'!$E$9))+'入力・概要'!$B$20*SQRT(B608/1E6)+E608*'入力・概要'!$B$15/2)</f>
        <v/>
      </c>
      <c r="E608" s="195">
        <f>IF(B608="","",C608*('入力・概要'!$E$11*1E-9))</f>
        <v/>
      </c>
      <c r="F608" s="195">
        <f>IF(B608="","",SINH(2*D608)/(COSH(2*D608)+COS(2*E608)))</f>
        <v/>
      </c>
      <c r="G608" s="195">
        <f>IF(B608="","",SIN(2*E608)/(COSH(2*D608)+COS(2*E608)))</f>
        <v/>
      </c>
      <c r="H608" s="195">
        <f>IF(B608="","",ATANH(MIN(0.999999,'入力・概要'!$E$21/'入力・概要'!$E$15))+'入力・概要'!$B$21*SQRT(B608/1E6)+I608*'入力・概要'!$B$16/2)</f>
        <v/>
      </c>
      <c r="I608" s="195">
        <f>IF(B608="","",C608*('入力・概要'!$E$17*1E-9))</f>
        <v/>
      </c>
      <c r="J608" s="195">
        <f>IF(B608="","",SINH(2*H608)/(COSH(2*H608)+COS(2*I608)))</f>
        <v/>
      </c>
      <c r="K608" s="195">
        <f>IF(B608="","",SIN(2*I608)/(COSH(2*H608)+COS(2*I608)))</f>
        <v/>
      </c>
      <c r="L608" s="195">
        <f>IF(B608="","",'入力・概要'!$B$25)</f>
        <v/>
      </c>
      <c r="M608" s="195">
        <f>IF(B608="","",C608*'入力・概要'!$B$26*1E-9-1/(C608*'入力・概要'!$B$24*1E-6))</f>
        <v/>
      </c>
      <c r="N608" s="195">
        <f>IF(B608="","",'入力・概要'!$B$28)</f>
        <v/>
      </c>
      <c r="O608" s="195">
        <f>IF(B608="","",C608*'入力・概要'!$B$29*1E-9-1/(C608*'入力・概要'!$B$27*1E-6))</f>
        <v/>
      </c>
      <c r="P608" s="195">
        <f>IF(B608="","",((L608*N608-M608*O608)*(L608+N608)+(L608*O608+M608*N608)*(M608+O608))/((L608+N608)^2+(M608+O608)^2))</f>
        <v/>
      </c>
      <c r="Q608" s="195">
        <f>IF(B608="","",((L608*O608+M608*N608)*(L608+N608)-(L608*N608-M608*O608)*(M608+O608))/((L608+N608)^2+(M608+O608)^2))</f>
        <v/>
      </c>
      <c r="R608" s="195">
        <f>IF(B608="","",'入力・概要'!$E$15*J608)</f>
        <v/>
      </c>
      <c r="S608" s="195">
        <f>IF(B608="","",'入力・概要'!$E$15*K608)</f>
        <v/>
      </c>
      <c r="T608" s="195">
        <f>IF(B608="","",P608+R608)</f>
        <v/>
      </c>
      <c r="U608" s="195">
        <f>IF(B608="","",Q608+S608)</f>
        <v/>
      </c>
      <c r="V608" s="195">
        <f>IF(B608="","",T608+'入力・概要'!$E$9*F608)</f>
        <v/>
      </c>
      <c r="W608" s="195">
        <f>IF(B608="","",U608+'入力・概要'!$E$9*G608)</f>
        <v/>
      </c>
      <c r="X608" s="195">
        <f>IF(B608="","",'入力・概要'!$E$9+T608*F608-U608*G608)</f>
        <v/>
      </c>
      <c r="Y608" s="195">
        <f>IF(B608="","",T608*G608+U608*F608)</f>
        <v/>
      </c>
      <c r="Z608" s="195">
        <f>IF(B608="","",'入力・概要'!$E$9*(V608*X608+W608*Y608)/(X608^2+Y608^2)+'入力・概要'!$B$36)</f>
        <v/>
      </c>
      <c r="AA608" s="195">
        <f>IF(B608="","",'入力・概要'!$E$9*(W608*X608-V608*Y608)/(X608^2+Y608^2)+C608*'入力・概要'!$B$37*1E-9)</f>
        <v/>
      </c>
      <c r="AB608" s="195">
        <f>IF(B608="","",SQRT(Z608^2+AA608^2))</f>
        <v/>
      </c>
      <c r="AC608" s="195">
        <f>IF(B608="","",IF(Z608&gt;0,DEGREES(ATAN(AA608/Z608)),IF(Z608&lt;0,IF(AA608&gt;=0,DEGREES(ATAN(AA608/Z608))+180,DEGREES(ATAN(AA608/Z608))-180),IF(AA608&gt;0,90,IF(AA608&lt;0,-90,0)))))</f>
        <v/>
      </c>
      <c r="AD608" s="195">
        <f>IF(B608="","",LOG10(B608))</f>
        <v/>
      </c>
      <c r="AE608" s="195">
        <f>IF(AB608="","",LOG10(MAX(AB608,1E-12)))</f>
        <v/>
      </c>
      <c r="AF608" s="195">
        <f>IF(B608="","",SQRT(P608^2+Q608^2))</f>
        <v/>
      </c>
      <c r="AG608" s="195">
        <f>IF(B608="","",SQRT(R608^2+S608^2))</f>
        <v/>
      </c>
    </row>
    <row r="609">
      <c r="A609" t="n">
        <v>606</v>
      </c>
      <c r="B609" s="196">
        <f>IF(A609&lt;='入力・概要'!$B$40,10^(LOG10('入力・概要'!$B$38)+(A609-1)*(LOG10('入力・概要'!$B$39)-LOG10('入力・概要'!$B$38))/('入力・概要'!$B$40-1)),"")</f>
        <v/>
      </c>
      <c r="C609" s="195">
        <f>IF(B609="","",2*PI()*B609)</f>
        <v/>
      </c>
      <c r="D609" s="195">
        <f>IF(B609="","",ATANH(MIN(0.999999,'入力・概要'!$E$20/'入力・概要'!$E$9))+'入力・概要'!$B$20*SQRT(B609/1E6)+E609*'入力・概要'!$B$15/2)</f>
        <v/>
      </c>
      <c r="E609" s="195">
        <f>IF(B609="","",C609*('入力・概要'!$E$11*1E-9))</f>
        <v/>
      </c>
      <c r="F609" s="195">
        <f>IF(B609="","",SINH(2*D609)/(COSH(2*D609)+COS(2*E609)))</f>
        <v/>
      </c>
      <c r="G609" s="195">
        <f>IF(B609="","",SIN(2*E609)/(COSH(2*D609)+COS(2*E609)))</f>
        <v/>
      </c>
      <c r="H609" s="195">
        <f>IF(B609="","",ATANH(MIN(0.999999,'入力・概要'!$E$21/'入力・概要'!$E$15))+'入力・概要'!$B$21*SQRT(B609/1E6)+I609*'入力・概要'!$B$16/2)</f>
        <v/>
      </c>
      <c r="I609" s="195">
        <f>IF(B609="","",C609*('入力・概要'!$E$17*1E-9))</f>
        <v/>
      </c>
      <c r="J609" s="195">
        <f>IF(B609="","",SINH(2*H609)/(COSH(2*H609)+COS(2*I609)))</f>
        <v/>
      </c>
      <c r="K609" s="195">
        <f>IF(B609="","",SIN(2*I609)/(COSH(2*H609)+COS(2*I609)))</f>
        <v/>
      </c>
      <c r="L609" s="195">
        <f>IF(B609="","",'入力・概要'!$B$25)</f>
        <v/>
      </c>
      <c r="M609" s="195">
        <f>IF(B609="","",C609*'入力・概要'!$B$26*1E-9-1/(C609*'入力・概要'!$B$24*1E-6))</f>
        <v/>
      </c>
      <c r="N609" s="195">
        <f>IF(B609="","",'入力・概要'!$B$28)</f>
        <v/>
      </c>
      <c r="O609" s="195">
        <f>IF(B609="","",C609*'入力・概要'!$B$29*1E-9-1/(C609*'入力・概要'!$B$27*1E-6))</f>
        <v/>
      </c>
      <c r="P609" s="195">
        <f>IF(B609="","",((L609*N609-M609*O609)*(L609+N609)+(L609*O609+M609*N609)*(M609+O609))/((L609+N609)^2+(M609+O609)^2))</f>
        <v/>
      </c>
      <c r="Q609" s="195">
        <f>IF(B609="","",((L609*O609+M609*N609)*(L609+N609)-(L609*N609-M609*O609)*(M609+O609))/((L609+N609)^2+(M609+O609)^2))</f>
        <v/>
      </c>
      <c r="R609" s="195">
        <f>IF(B609="","",'入力・概要'!$E$15*J609)</f>
        <v/>
      </c>
      <c r="S609" s="195">
        <f>IF(B609="","",'入力・概要'!$E$15*K609)</f>
        <v/>
      </c>
      <c r="T609" s="195">
        <f>IF(B609="","",P609+R609)</f>
        <v/>
      </c>
      <c r="U609" s="195">
        <f>IF(B609="","",Q609+S609)</f>
        <v/>
      </c>
      <c r="V609" s="195">
        <f>IF(B609="","",T609+'入力・概要'!$E$9*F609)</f>
        <v/>
      </c>
      <c r="W609" s="195">
        <f>IF(B609="","",U609+'入力・概要'!$E$9*G609)</f>
        <v/>
      </c>
      <c r="X609" s="195">
        <f>IF(B609="","",'入力・概要'!$E$9+T609*F609-U609*G609)</f>
        <v/>
      </c>
      <c r="Y609" s="195">
        <f>IF(B609="","",T609*G609+U609*F609)</f>
        <v/>
      </c>
      <c r="Z609" s="195">
        <f>IF(B609="","",'入力・概要'!$E$9*(V609*X609+W609*Y609)/(X609^2+Y609^2)+'入力・概要'!$B$36)</f>
        <v/>
      </c>
      <c r="AA609" s="195">
        <f>IF(B609="","",'入力・概要'!$E$9*(W609*X609-V609*Y609)/(X609^2+Y609^2)+C609*'入力・概要'!$B$37*1E-9)</f>
        <v/>
      </c>
      <c r="AB609" s="195">
        <f>IF(B609="","",SQRT(Z609^2+AA609^2))</f>
        <v/>
      </c>
      <c r="AC609" s="195">
        <f>IF(B609="","",IF(Z609&gt;0,DEGREES(ATAN(AA609/Z609)),IF(Z609&lt;0,IF(AA609&gt;=0,DEGREES(ATAN(AA609/Z609))+180,DEGREES(ATAN(AA609/Z609))-180),IF(AA609&gt;0,90,IF(AA609&lt;0,-90,0)))))</f>
        <v/>
      </c>
      <c r="AD609" s="195">
        <f>IF(B609="","",LOG10(B609))</f>
        <v/>
      </c>
      <c r="AE609" s="195">
        <f>IF(AB609="","",LOG10(MAX(AB609,1E-12)))</f>
        <v/>
      </c>
      <c r="AF609" s="195">
        <f>IF(B609="","",SQRT(P609^2+Q609^2))</f>
        <v/>
      </c>
      <c r="AG609" s="195">
        <f>IF(B609="","",SQRT(R609^2+S609^2))</f>
        <v/>
      </c>
    </row>
    <row r="610">
      <c r="A610" t="n">
        <v>607</v>
      </c>
      <c r="B610" s="196">
        <f>IF(A610&lt;='入力・概要'!$B$40,10^(LOG10('入力・概要'!$B$38)+(A610-1)*(LOG10('入力・概要'!$B$39)-LOG10('入力・概要'!$B$38))/('入力・概要'!$B$40-1)),"")</f>
        <v/>
      </c>
      <c r="C610" s="195">
        <f>IF(B610="","",2*PI()*B610)</f>
        <v/>
      </c>
      <c r="D610" s="195">
        <f>IF(B610="","",ATANH(MIN(0.999999,'入力・概要'!$E$20/'入力・概要'!$E$9))+'入力・概要'!$B$20*SQRT(B610/1E6)+E610*'入力・概要'!$B$15/2)</f>
        <v/>
      </c>
      <c r="E610" s="195">
        <f>IF(B610="","",C610*('入力・概要'!$E$11*1E-9))</f>
        <v/>
      </c>
      <c r="F610" s="195">
        <f>IF(B610="","",SINH(2*D610)/(COSH(2*D610)+COS(2*E610)))</f>
        <v/>
      </c>
      <c r="G610" s="195">
        <f>IF(B610="","",SIN(2*E610)/(COSH(2*D610)+COS(2*E610)))</f>
        <v/>
      </c>
      <c r="H610" s="195">
        <f>IF(B610="","",ATANH(MIN(0.999999,'入力・概要'!$E$21/'入力・概要'!$E$15))+'入力・概要'!$B$21*SQRT(B610/1E6)+I610*'入力・概要'!$B$16/2)</f>
        <v/>
      </c>
      <c r="I610" s="195">
        <f>IF(B610="","",C610*('入力・概要'!$E$17*1E-9))</f>
        <v/>
      </c>
      <c r="J610" s="195">
        <f>IF(B610="","",SINH(2*H610)/(COSH(2*H610)+COS(2*I610)))</f>
        <v/>
      </c>
      <c r="K610" s="195">
        <f>IF(B610="","",SIN(2*I610)/(COSH(2*H610)+COS(2*I610)))</f>
        <v/>
      </c>
      <c r="L610" s="195">
        <f>IF(B610="","",'入力・概要'!$B$25)</f>
        <v/>
      </c>
      <c r="M610" s="195">
        <f>IF(B610="","",C610*'入力・概要'!$B$26*1E-9-1/(C610*'入力・概要'!$B$24*1E-6))</f>
        <v/>
      </c>
      <c r="N610" s="195">
        <f>IF(B610="","",'入力・概要'!$B$28)</f>
        <v/>
      </c>
      <c r="O610" s="195">
        <f>IF(B610="","",C610*'入力・概要'!$B$29*1E-9-1/(C610*'入力・概要'!$B$27*1E-6))</f>
        <v/>
      </c>
      <c r="P610" s="195">
        <f>IF(B610="","",((L610*N610-M610*O610)*(L610+N610)+(L610*O610+M610*N610)*(M610+O610))/((L610+N610)^2+(M610+O610)^2))</f>
        <v/>
      </c>
      <c r="Q610" s="195">
        <f>IF(B610="","",((L610*O610+M610*N610)*(L610+N610)-(L610*N610-M610*O610)*(M610+O610))/((L610+N610)^2+(M610+O610)^2))</f>
        <v/>
      </c>
      <c r="R610" s="195">
        <f>IF(B610="","",'入力・概要'!$E$15*J610)</f>
        <v/>
      </c>
      <c r="S610" s="195">
        <f>IF(B610="","",'入力・概要'!$E$15*K610)</f>
        <v/>
      </c>
      <c r="T610" s="195">
        <f>IF(B610="","",P610+R610)</f>
        <v/>
      </c>
      <c r="U610" s="195">
        <f>IF(B610="","",Q610+S610)</f>
        <v/>
      </c>
      <c r="V610" s="195">
        <f>IF(B610="","",T610+'入力・概要'!$E$9*F610)</f>
        <v/>
      </c>
      <c r="W610" s="195">
        <f>IF(B610="","",U610+'入力・概要'!$E$9*G610)</f>
        <v/>
      </c>
      <c r="X610" s="195">
        <f>IF(B610="","",'入力・概要'!$E$9+T610*F610-U610*G610)</f>
        <v/>
      </c>
      <c r="Y610" s="195">
        <f>IF(B610="","",T610*G610+U610*F610)</f>
        <v/>
      </c>
      <c r="Z610" s="195">
        <f>IF(B610="","",'入力・概要'!$E$9*(V610*X610+W610*Y610)/(X610^2+Y610^2)+'入力・概要'!$B$36)</f>
        <v/>
      </c>
      <c r="AA610" s="195">
        <f>IF(B610="","",'入力・概要'!$E$9*(W610*X610-V610*Y610)/(X610^2+Y610^2)+C610*'入力・概要'!$B$37*1E-9)</f>
        <v/>
      </c>
      <c r="AB610" s="195">
        <f>IF(B610="","",SQRT(Z610^2+AA610^2))</f>
        <v/>
      </c>
      <c r="AC610" s="195">
        <f>IF(B610="","",IF(Z610&gt;0,DEGREES(ATAN(AA610/Z610)),IF(Z610&lt;0,IF(AA610&gt;=0,DEGREES(ATAN(AA610/Z610))+180,DEGREES(ATAN(AA610/Z610))-180),IF(AA610&gt;0,90,IF(AA610&lt;0,-90,0)))))</f>
        <v/>
      </c>
      <c r="AD610" s="195">
        <f>IF(B610="","",LOG10(B610))</f>
        <v/>
      </c>
      <c r="AE610" s="195">
        <f>IF(AB610="","",LOG10(MAX(AB610,1E-12)))</f>
        <v/>
      </c>
      <c r="AF610" s="195">
        <f>IF(B610="","",SQRT(P610^2+Q610^2))</f>
        <v/>
      </c>
      <c r="AG610" s="195">
        <f>IF(B610="","",SQRT(R610^2+S610^2))</f>
        <v/>
      </c>
    </row>
    <row r="611">
      <c r="A611" t="n">
        <v>608</v>
      </c>
      <c r="B611" s="196">
        <f>IF(A611&lt;='入力・概要'!$B$40,10^(LOG10('入力・概要'!$B$38)+(A611-1)*(LOG10('入力・概要'!$B$39)-LOG10('入力・概要'!$B$38))/('入力・概要'!$B$40-1)),"")</f>
        <v/>
      </c>
      <c r="C611" s="195">
        <f>IF(B611="","",2*PI()*B611)</f>
        <v/>
      </c>
      <c r="D611" s="195">
        <f>IF(B611="","",ATANH(MIN(0.999999,'入力・概要'!$E$20/'入力・概要'!$E$9))+'入力・概要'!$B$20*SQRT(B611/1E6)+E611*'入力・概要'!$B$15/2)</f>
        <v/>
      </c>
      <c r="E611" s="195">
        <f>IF(B611="","",C611*('入力・概要'!$E$11*1E-9))</f>
        <v/>
      </c>
      <c r="F611" s="195">
        <f>IF(B611="","",SINH(2*D611)/(COSH(2*D611)+COS(2*E611)))</f>
        <v/>
      </c>
      <c r="G611" s="195">
        <f>IF(B611="","",SIN(2*E611)/(COSH(2*D611)+COS(2*E611)))</f>
        <v/>
      </c>
      <c r="H611" s="195">
        <f>IF(B611="","",ATANH(MIN(0.999999,'入力・概要'!$E$21/'入力・概要'!$E$15))+'入力・概要'!$B$21*SQRT(B611/1E6)+I611*'入力・概要'!$B$16/2)</f>
        <v/>
      </c>
      <c r="I611" s="195">
        <f>IF(B611="","",C611*('入力・概要'!$E$17*1E-9))</f>
        <v/>
      </c>
      <c r="J611" s="195">
        <f>IF(B611="","",SINH(2*H611)/(COSH(2*H611)+COS(2*I611)))</f>
        <v/>
      </c>
      <c r="K611" s="195">
        <f>IF(B611="","",SIN(2*I611)/(COSH(2*H611)+COS(2*I611)))</f>
        <v/>
      </c>
      <c r="L611" s="195">
        <f>IF(B611="","",'入力・概要'!$B$25)</f>
        <v/>
      </c>
      <c r="M611" s="195">
        <f>IF(B611="","",C611*'入力・概要'!$B$26*1E-9-1/(C611*'入力・概要'!$B$24*1E-6))</f>
        <v/>
      </c>
      <c r="N611" s="195">
        <f>IF(B611="","",'入力・概要'!$B$28)</f>
        <v/>
      </c>
      <c r="O611" s="195">
        <f>IF(B611="","",C611*'入力・概要'!$B$29*1E-9-1/(C611*'入力・概要'!$B$27*1E-6))</f>
        <v/>
      </c>
      <c r="P611" s="195">
        <f>IF(B611="","",((L611*N611-M611*O611)*(L611+N611)+(L611*O611+M611*N611)*(M611+O611))/((L611+N611)^2+(M611+O611)^2))</f>
        <v/>
      </c>
      <c r="Q611" s="195">
        <f>IF(B611="","",((L611*O611+M611*N611)*(L611+N611)-(L611*N611-M611*O611)*(M611+O611))/((L611+N611)^2+(M611+O611)^2))</f>
        <v/>
      </c>
      <c r="R611" s="195">
        <f>IF(B611="","",'入力・概要'!$E$15*J611)</f>
        <v/>
      </c>
      <c r="S611" s="195">
        <f>IF(B611="","",'入力・概要'!$E$15*K611)</f>
        <v/>
      </c>
      <c r="T611" s="195">
        <f>IF(B611="","",P611+R611)</f>
        <v/>
      </c>
      <c r="U611" s="195">
        <f>IF(B611="","",Q611+S611)</f>
        <v/>
      </c>
      <c r="V611" s="195">
        <f>IF(B611="","",T611+'入力・概要'!$E$9*F611)</f>
        <v/>
      </c>
      <c r="W611" s="195">
        <f>IF(B611="","",U611+'入力・概要'!$E$9*G611)</f>
        <v/>
      </c>
      <c r="X611" s="195">
        <f>IF(B611="","",'入力・概要'!$E$9+T611*F611-U611*G611)</f>
        <v/>
      </c>
      <c r="Y611" s="195">
        <f>IF(B611="","",T611*G611+U611*F611)</f>
        <v/>
      </c>
      <c r="Z611" s="195">
        <f>IF(B611="","",'入力・概要'!$E$9*(V611*X611+W611*Y611)/(X611^2+Y611^2)+'入力・概要'!$B$36)</f>
        <v/>
      </c>
      <c r="AA611" s="195">
        <f>IF(B611="","",'入力・概要'!$E$9*(W611*X611-V611*Y611)/(X611^2+Y611^2)+C611*'入力・概要'!$B$37*1E-9)</f>
        <v/>
      </c>
      <c r="AB611" s="195">
        <f>IF(B611="","",SQRT(Z611^2+AA611^2))</f>
        <v/>
      </c>
      <c r="AC611" s="195">
        <f>IF(B611="","",IF(Z611&gt;0,DEGREES(ATAN(AA611/Z611)),IF(Z611&lt;0,IF(AA611&gt;=0,DEGREES(ATAN(AA611/Z611))+180,DEGREES(ATAN(AA611/Z611))-180),IF(AA611&gt;0,90,IF(AA611&lt;0,-90,0)))))</f>
        <v/>
      </c>
      <c r="AD611" s="195">
        <f>IF(B611="","",LOG10(B611))</f>
        <v/>
      </c>
      <c r="AE611" s="195">
        <f>IF(AB611="","",LOG10(MAX(AB611,1E-12)))</f>
        <v/>
      </c>
      <c r="AF611" s="195">
        <f>IF(B611="","",SQRT(P611^2+Q611^2))</f>
        <v/>
      </c>
      <c r="AG611" s="195">
        <f>IF(B611="","",SQRT(R611^2+S611^2))</f>
        <v/>
      </c>
    </row>
    <row r="612">
      <c r="A612" t="n">
        <v>609</v>
      </c>
      <c r="B612" s="196">
        <f>IF(A612&lt;='入力・概要'!$B$40,10^(LOG10('入力・概要'!$B$38)+(A612-1)*(LOG10('入力・概要'!$B$39)-LOG10('入力・概要'!$B$38))/('入力・概要'!$B$40-1)),"")</f>
        <v/>
      </c>
      <c r="C612" s="195">
        <f>IF(B612="","",2*PI()*B612)</f>
        <v/>
      </c>
      <c r="D612" s="195">
        <f>IF(B612="","",ATANH(MIN(0.999999,'入力・概要'!$E$20/'入力・概要'!$E$9))+'入力・概要'!$B$20*SQRT(B612/1E6)+E612*'入力・概要'!$B$15/2)</f>
        <v/>
      </c>
      <c r="E612" s="195">
        <f>IF(B612="","",C612*('入力・概要'!$E$11*1E-9))</f>
        <v/>
      </c>
      <c r="F612" s="195">
        <f>IF(B612="","",SINH(2*D612)/(COSH(2*D612)+COS(2*E612)))</f>
        <v/>
      </c>
      <c r="G612" s="195">
        <f>IF(B612="","",SIN(2*E612)/(COSH(2*D612)+COS(2*E612)))</f>
        <v/>
      </c>
      <c r="H612" s="195">
        <f>IF(B612="","",ATANH(MIN(0.999999,'入力・概要'!$E$21/'入力・概要'!$E$15))+'入力・概要'!$B$21*SQRT(B612/1E6)+I612*'入力・概要'!$B$16/2)</f>
        <v/>
      </c>
      <c r="I612" s="195">
        <f>IF(B612="","",C612*('入力・概要'!$E$17*1E-9))</f>
        <v/>
      </c>
      <c r="J612" s="195">
        <f>IF(B612="","",SINH(2*H612)/(COSH(2*H612)+COS(2*I612)))</f>
        <v/>
      </c>
      <c r="K612" s="195">
        <f>IF(B612="","",SIN(2*I612)/(COSH(2*H612)+COS(2*I612)))</f>
        <v/>
      </c>
      <c r="L612" s="195">
        <f>IF(B612="","",'入力・概要'!$B$25)</f>
        <v/>
      </c>
      <c r="M612" s="195">
        <f>IF(B612="","",C612*'入力・概要'!$B$26*1E-9-1/(C612*'入力・概要'!$B$24*1E-6))</f>
        <v/>
      </c>
      <c r="N612" s="195">
        <f>IF(B612="","",'入力・概要'!$B$28)</f>
        <v/>
      </c>
      <c r="O612" s="195">
        <f>IF(B612="","",C612*'入力・概要'!$B$29*1E-9-1/(C612*'入力・概要'!$B$27*1E-6))</f>
        <v/>
      </c>
      <c r="P612" s="195">
        <f>IF(B612="","",((L612*N612-M612*O612)*(L612+N612)+(L612*O612+M612*N612)*(M612+O612))/((L612+N612)^2+(M612+O612)^2))</f>
        <v/>
      </c>
      <c r="Q612" s="195">
        <f>IF(B612="","",((L612*O612+M612*N612)*(L612+N612)-(L612*N612-M612*O612)*(M612+O612))/((L612+N612)^2+(M612+O612)^2))</f>
        <v/>
      </c>
      <c r="R612" s="195">
        <f>IF(B612="","",'入力・概要'!$E$15*J612)</f>
        <v/>
      </c>
      <c r="S612" s="195">
        <f>IF(B612="","",'入力・概要'!$E$15*K612)</f>
        <v/>
      </c>
      <c r="T612" s="195">
        <f>IF(B612="","",P612+R612)</f>
        <v/>
      </c>
      <c r="U612" s="195">
        <f>IF(B612="","",Q612+S612)</f>
        <v/>
      </c>
      <c r="V612" s="195">
        <f>IF(B612="","",T612+'入力・概要'!$E$9*F612)</f>
        <v/>
      </c>
      <c r="W612" s="195">
        <f>IF(B612="","",U612+'入力・概要'!$E$9*G612)</f>
        <v/>
      </c>
      <c r="X612" s="195">
        <f>IF(B612="","",'入力・概要'!$E$9+T612*F612-U612*G612)</f>
        <v/>
      </c>
      <c r="Y612" s="195">
        <f>IF(B612="","",T612*G612+U612*F612)</f>
        <v/>
      </c>
      <c r="Z612" s="195">
        <f>IF(B612="","",'入力・概要'!$E$9*(V612*X612+W612*Y612)/(X612^2+Y612^2)+'入力・概要'!$B$36)</f>
        <v/>
      </c>
      <c r="AA612" s="195">
        <f>IF(B612="","",'入力・概要'!$E$9*(W612*X612-V612*Y612)/(X612^2+Y612^2)+C612*'入力・概要'!$B$37*1E-9)</f>
        <v/>
      </c>
      <c r="AB612" s="195">
        <f>IF(B612="","",SQRT(Z612^2+AA612^2))</f>
        <v/>
      </c>
      <c r="AC612" s="195">
        <f>IF(B612="","",IF(Z612&gt;0,DEGREES(ATAN(AA612/Z612)),IF(Z612&lt;0,IF(AA612&gt;=0,DEGREES(ATAN(AA612/Z612))+180,DEGREES(ATAN(AA612/Z612))-180),IF(AA612&gt;0,90,IF(AA612&lt;0,-90,0)))))</f>
        <v/>
      </c>
      <c r="AD612" s="195">
        <f>IF(B612="","",LOG10(B612))</f>
        <v/>
      </c>
      <c r="AE612" s="195">
        <f>IF(AB612="","",LOG10(MAX(AB612,1E-12)))</f>
        <v/>
      </c>
      <c r="AF612" s="195">
        <f>IF(B612="","",SQRT(P612^2+Q612^2))</f>
        <v/>
      </c>
      <c r="AG612" s="195">
        <f>IF(B612="","",SQRT(R612^2+S612^2))</f>
        <v/>
      </c>
    </row>
    <row r="613">
      <c r="A613" t="n">
        <v>610</v>
      </c>
      <c r="B613" s="196">
        <f>IF(A613&lt;='入力・概要'!$B$40,10^(LOG10('入力・概要'!$B$38)+(A613-1)*(LOG10('入力・概要'!$B$39)-LOG10('入力・概要'!$B$38))/('入力・概要'!$B$40-1)),"")</f>
        <v/>
      </c>
      <c r="C613" s="195">
        <f>IF(B613="","",2*PI()*B613)</f>
        <v/>
      </c>
      <c r="D613" s="195">
        <f>IF(B613="","",ATANH(MIN(0.999999,'入力・概要'!$E$20/'入力・概要'!$E$9))+'入力・概要'!$B$20*SQRT(B613/1E6)+E613*'入力・概要'!$B$15/2)</f>
        <v/>
      </c>
      <c r="E613" s="195">
        <f>IF(B613="","",C613*('入力・概要'!$E$11*1E-9))</f>
        <v/>
      </c>
      <c r="F613" s="195">
        <f>IF(B613="","",SINH(2*D613)/(COSH(2*D613)+COS(2*E613)))</f>
        <v/>
      </c>
      <c r="G613" s="195">
        <f>IF(B613="","",SIN(2*E613)/(COSH(2*D613)+COS(2*E613)))</f>
        <v/>
      </c>
      <c r="H613" s="195">
        <f>IF(B613="","",ATANH(MIN(0.999999,'入力・概要'!$E$21/'入力・概要'!$E$15))+'入力・概要'!$B$21*SQRT(B613/1E6)+I613*'入力・概要'!$B$16/2)</f>
        <v/>
      </c>
      <c r="I613" s="195">
        <f>IF(B613="","",C613*('入力・概要'!$E$17*1E-9))</f>
        <v/>
      </c>
      <c r="J613" s="195">
        <f>IF(B613="","",SINH(2*H613)/(COSH(2*H613)+COS(2*I613)))</f>
        <v/>
      </c>
      <c r="K613" s="195">
        <f>IF(B613="","",SIN(2*I613)/(COSH(2*H613)+COS(2*I613)))</f>
        <v/>
      </c>
      <c r="L613" s="195">
        <f>IF(B613="","",'入力・概要'!$B$25)</f>
        <v/>
      </c>
      <c r="M613" s="195">
        <f>IF(B613="","",C613*'入力・概要'!$B$26*1E-9-1/(C613*'入力・概要'!$B$24*1E-6))</f>
        <v/>
      </c>
      <c r="N613" s="195">
        <f>IF(B613="","",'入力・概要'!$B$28)</f>
        <v/>
      </c>
      <c r="O613" s="195">
        <f>IF(B613="","",C613*'入力・概要'!$B$29*1E-9-1/(C613*'入力・概要'!$B$27*1E-6))</f>
        <v/>
      </c>
      <c r="P613" s="195">
        <f>IF(B613="","",((L613*N613-M613*O613)*(L613+N613)+(L613*O613+M613*N613)*(M613+O613))/((L613+N613)^2+(M613+O613)^2))</f>
        <v/>
      </c>
      <c r="Q613" s="195">
        <f>IF(B613="","",((L613*O613+M613*N613)*(L613+N613)-(L613*N613-M613*O613)*(M613+O613))/((L613+N613)^2+(M613+O613)^2))</f>
        <v/>
      </c>
      <c r="R613" s="195">
        <f>IF(B613="","",'入力・概要'!$E$15*J613)</f>
        <v/>
      </c>
      <c r="S613" s="195">
        <f>IF(B613="","",'入力・概要'!$E$15*K613)</f>
        <v/>
      </c>
      <c r="T613" s="195">
        <f>IF(B613="","",P613+R613)</f>
        <v/>
      </c>
      <c r="U613" s="195">
        <f>IF(B613="","",Q613+S613)</f>
        <v/>
      </c>
      <c r="V613" s="195">
        <f>IF(B613="","",T613+'入力・概要'!$E$9*F613)</f>
        <v/>
      </c>
      <c r="W613" s="195">
        <f>IF(B613="","",U613+'入力・概要'!$E$9*G613)</f>
        <v/>
      </c>
      <c r="X613" s="195">
        <f>IF(B613="","",'入力・概要'!$E$9+T613*F613-U613*G613)</f>
        <v/>
      </c>
      <c r="Y613" s="195">
        <f>IF(B613="","",T613*G613+U613*F613)</f>
        <v/>
      </c>
      <c r="Z613" s="195">
        <f>IF(B613="","",'入力・概要'!$E$9*(V613*X613+W613*Y613)/(X613^2+Y613^2)+'入力・概要'!$B$36)</f>
        <v/>
      </c>
      <c r="AA613" s="195">
        <f>IF(B613="","",'入力・概要'!$E$9*(W613*X613-V613*Y613)/(X613^2+Y613^2)+C613*'入力・概要'!$B$37*1E-9)</f>
        <v/>
      </c>
      <c r="AB613" s="195">
        <f>IF(B613="","",SQRT(Z613^2+AA613^2))</f>
        <v/>
      </c>
      <c r="AC613" s="195">
        <f>IF(B613="","",IF(Z613&gt;0,DEGREES(ATAN(AA613/Z613)),IF(Z613&lt;0,IF(AA613&gt;=0,DEGREES(ATAN(AA613/Z613))+180,DEGREES(ATAN(AA613/Z613))-180),IF(AA613&gt;0,90,IF(AA613&lt;0,-90,0)))))</f>
        <v/>
      </c>
      <c r="AD613" s="195">
        <f>IF(B613="","",LOG10(B613))</f>
        <v/>
      </c>
      <c r="AE613" s="195">
        <f>IF(AB613="","",LOG10(MAX(AB613,1E-12)))</f>
        <v/>
      </c>
      <c r="AF613" s="195">
        <f>IF(B613="","",SQRT(P613^2+Q613^2))</f>
        <v/>
      </c>
      <c r="AG613" s="195">
        <f>IF(B613="","",SQRT(R613^2+S613^2))</f>
        <v/>
      </c>
    </row>
    <row r="614">
      <c r="A614" t="n">
        <v>611</v>
      </c>
      <c r="B614" s="196">
        <f>IF(A614&lt;='入力・概要'!$B$40,10^(LOG10('入力・概要'!$B$38)+(A614-1)*(LOG10('入力・概要'!$B$39)-LOG10('入力・概要'!$B$38))/('入力・概要'!$B$40-1)),"")</f>
        <v/>
      </c>
      <c r="C614" s="195">
        <f>IF(B614="","",2*PI()*B614)</f>
        <v/>
      </c>
      <c r="D614" s="195">
        <f>IF(B614="","",ATANH(MIN(0.999999,'入力・概要'!$E$20/'入力・概要'!$E$9))+'入力・概要'!$B$20*SQRT(B614/1E6)+E614*'入力・概要'!$B$15/2)</f>
        <v/>
      </c>
      <c r="E614" s="195">
        <f>IF(B614="","",C614*('入力・概要'!$E$11*1E-9))</f>
        <v/>
      </c>
      <c r="F614" s="195">
        <f>IF(B614="","",SINH(2*D614)/(COSH(2*D614)+COS(2*E614)))</f>
        <v/>
      </c>
      <c r="G614" s="195">
        <f>IF(B614="","",SIN(2*E614)/(COSH(2*D614)+COS(2*E614)))</f>
        <v/>
      </c>
      <c r="H614" s="195">
        <f>IF(B614="","",ATANH(MIN(0.999999,'入力・概要'!$E$21/'入力・概要'!$E$15))+'入力・概要'!$B$21*SQRT(B614/1E6)+I614*'入力・概要'!$B$16/2)</f>
        <v/>
      </c>
      <c r="I614" s="195">
        <f>IF(B614="","",C614*('入力・概要'!$E$17*1E-9))</f>
        <v/>
      </c>
      <c r="J614" s="195">
        <f>IF(B614="","",SINH(2*H614)/(COSH(2*H614)+COS(2*I614)))</f>
        <v/>
      </c>
      <c r="K614" s="195">
        <f>IF(B614="","",SIN(2*I614)/(COSH(2*H614)+COS(2*I614)))</f>
        <v/>
      </c>
      <c r="L614" s="195">
        <f>IF(B614="","",'入力・概要'!$B$25)</f>
        <v/>
      </c>
      <c r="M614" s="195">
        <f>IF(B614="","",C614*'入力・概要'!$B$26*1E-9-1/(C614*'入力・概要'!$B$24*1E-6))</f>
        <v/>
      </c>
      <c r="N614" s="195">
        <f>IF(B614="","",'入力・概要'!$B$28)</f>
        <v/>
      </c>
      <c r="O614" s="195">
        <f>IF(B614="","",C614*'入力・概要'!$B$29*1E-9-1/(C614*'入力・概要'!$B$27*1E-6))</f>
        <v/>
      </c>
      <c r="P614" s="195">
        <f>IF(B614="","",((L614*N614-M614*O614)*(L614+N614)+(L614*O614+M614*N614)*(M614+O614))/((L614+N614)^2+(M614+O614)^2))</f>
        <v/>
      </c>
      <c r="Q614" s="195">
        <f>IF(B614="","",((L614*O614+M614*N614)*(L614+N614)-(L614*N614-M614*O614)*(M614+O614))/((L614+N614)^2+(M614+O614)^2))</f>
        <v/>
      </c>
      <c r="R614" s="195">
        <f>IF(B614="","",'入力・概要'!$E$15*J614)</f>
        <v/>
      </c>
      <c r="S614" s="195">
        <f>IF(B614="","",'入力・概要'!$E$15*K614)</f>
        <v/>
      </c>
      <c r="T614" s="195">
        <f>IF(B614="","",P614+R614)</f>
        <v/>
      </c>
      <c r="U614" s="195">
        <f>IF(B614="","",Q614+S614)</f>
        <v/>
      </c>
      <c r="V614" s="195">
        <f>IF(B614="","",T614+'入力・概要'!$E$9*F614)</f>
        <v/>
      </c>
      <c r="W614" s="195">
        <f>IF(B614="","",U614+'入力・概要'!$E$9*G614)</f>
        <v/>
      </c>
      <c r="X614" s="195">
        <f>IF(B614="","",'入力・概要'!$E$9+T614*F614-U614*G614)</f>
        <v/>
      </c>
      <c r="Y614" s="195">
        <f>IF(B614="","",T614*G614+U614*F614)</f>
        <v/>
      </c>
      <c r="Z614" s="195">
        <f>IF(B614="","",'入力・概要'!$E$9*(V614*X614+W614*Y614)/(X614^2+Y614^2)+'入力・概要'!$B$36)</f>
        <v/>
      </c>
      <c r="AA614" s="195">
        <f>IF(B614="","",'入力・概要'!$E$9*(W614*X614-V614*Y614)/(X614^2+Y614^2)+C614*'入力・概要'!$B$37*1E-9)</f>
        <v/>
      </c>
      <c r="AB614" s="195">
        <f>IF(B614="","",SQRT(Z614^2+AA614^2))</f>
        <v/>
      </c>
      <c r="AC614" s="195">
        <f>IF(B614="","",IF(Z614&gt;0,DEGREES(ATAN(AA614/Z614)),IF(Z614&lt;0,IF(AA614&gt;=0,DEGREES(ATAN(AA614/Z614))+180,DEGREES(ATAN(AA614/Z614))-180),IF(AA614&gt;0,90,IF(AA614&lt;0,-90,0)))))</f>
        <v/>
      </c>
      <c r="AD614" s="195">
        <f>IF(B614="","",LOG10(B614))</f>
        <v/>
      </c>
      <c r="AE614" s="195">
        <f>IF(AB614="","",LOG10(MAX(AB614,1E-12)))</f>
        <v/>
      </c>
      <c r="AF614" s="195">
        <f>IF(B614="","",SQRT(P614^2+Q614^2))</f>
        <v/>
      </c>
      <c r="AG614" s="195">
        <f>IF(B614="","",SQRT(R614^2+S614^2))</f>
        <v/>
      </c>
    </row>
    <row r="615">
      <c r="A615" t="n">
        <v>612</v>
      </c>
      <c r="B615" s="196">
        <f>IF(A615&lt;='入力・概要'!$B$40,10^(LOG10('入力・概要'!$B$38)+(A615-1)*(LOG10('入力・概要'!$B$39)-LOG10('入力・概要'!$B$38))/('入力・概要'!$B$40-1)),"")</f>
        <v/>
      </c>
      <c r="C615" s="195">
        <f>IF(B615="","",2*PI()*B615)</f>
        <v/>
      </c>
      <c r="D615" s="195">
        <f>IF(B615="","",ATANH(MIN(0.999999,'入力・概要'!$E$20/'入力・概要'!$E$9))+'入力・概要'!$B$20*SQRT(B615/1E6)+E615*'入力・概要'!$B$15/2)</f>
        <v/>
      </c>
      <c r="E615" s="195">
        <f>IF(B615="","",C615*('入力・概要'!$E$11*1E-9))</f>
        <v/>
      </c>
      <c r="F615" s="195">
        <f>IF(B615="","",SINH(2*D615)/(COSH(2*D615)+COS(2*E615)))</f>
        <v/>
      </c>
      <c r="G615" s="195">
        <f>IF(B615="","",SIN(2*E615)/(COSH(2*D615)+COS(2*E615)))</f>
        <v/>
      </c>
      <c r="H615" s="195">
        <f>IF(B615="","",ATANH(MIN(0.999999,'入力・概要'!$E$21/'入力・概要'!$E$15))+'入力・概要'!$B$21*SQRT(B615/1E6)+I615*'入力・概要'!$B$16/2)</f>
        <v/>
      </c>
      <c r="I615" s="195">
        <f>IF(B615="","",C615*('入力・概要'!$E$17*1E-9))</f>
        <v/>
      </c>
      <c r="J615" s="195">
        <f>IF(B615="","",SINH(2*H615)/(COSH(2*H615)+COS(2*I615)))</f>
        <v/>
      </c>
      <c r="K615" s="195">
        <f>IF(B615="","",SIN(2*I615)/(COSH(2*H615)+COS(2*I615)))</f>
        <v/>
      </c>
      <c r="L615" s="195">
        <f>IF(B615="","",'入力・概要'!$B$25)</f>
        <v/>
      </c>
      <c r="M615" s="195">
        <f>IF(B615="","",C615*'入力・概要'!$B$26*1E-9-1/(C615*'入力・概要'!$B$24*1E-6))</f>
        <v/>
      </c>
      <c r="N615" s="195">
        <f>IF(B615="","",'入力・概要'!$B$28)</f>
        <v/>
      </c>
      <c r="O615" s="195">
        <f>IF(B615="","",C615*'入力・概要'!$B$29*1E-9-1/(C615*'入力・概要'!$B$27*1E-6))</f>
        <v/>
      </c>
      <c r="P615" s="195">
        <f>IF(B615="","",((L615*N615-M615*O615)*(L615+N615)+(L615*O615+M615*N615)*(M615+O615))/((L615+N615)^2+(M615+O615)^2))</f>
        <v/>
      </c>
      <c r="Q615" s="195">
        <f>IF(B615="","",((L615*O615+M615*N615)*(L615+N615)-(L615*N615-M615*O615)*(M615+O615))/((L615+N615)^2+(M615+O615)^2))</f>
        <v/>
      </c>
      <c r="R615" s="195">
        <f>IF(B615="","",'入力・概要'!$E$15*J615)</f>
        <v/>
      </c>
      <c r="S615" s="195">
        <f>IF(B615="","",'入力・概要'!$E$15*K615)</f>
        <v/>
      </c>
      <c r="T615" s="195">
        <f>IF(B615="","",P615+R615)</f>
        <v/>
      </c>
      <c r="U615" s="195">
        <f>IF(B615="","",Q615+S615)</f>
        <v/>
      </c>
      <c r="V615" s="195">
        <f>IF(B615="","",T615+'入力・概要'!$E$9*F615)</f>
        <v/>
      </c>
      <c r="W615" s="195">
        <f>IF(B615="","",U615+'入力・概要'!$E$9*G615)</f>
        <v/>
      </c>
      <c r="X615" s="195">
        <f>IF(B615="","",'入力・概要'!$E$9+T615*F615-U615*G615)</f>
        <v/>
      </c>
      <c r="Y615" s="195">
        <f>IF(B615="","",T615*G615+U615*F615)</f>
        <v/>
      </c>
      <c r="Z615" s="195">
        <f>IF(B615="","",'入力・概要'!$E$9*(V615*X615+W615*Y615)/(X615^2+Y615^2)+'入力・概要'!$B$36)</f>
        <v/>
      </c>
      <c r="AA615" s="195">
        <f>IF(B615="","",'入力・概要'!$E$9*(W615*X615-V615*Y615)/(X615^2+Y615^2)+C615*'入力・概要'!$B$37*1E-9)</f>
        <v/>
      </c>
      <c r="AB615" s="195">
        <f>IF(B615="","",SQRT(Z615^2+AA615^2))</f>
        <v/>
      </c>
      <c r="AC615" s="195">
        <f>IF(B615="","",IF(Z615&gt;0,DEGREES(ATAN(AA615/Z615)),IF(Z615&lt;0,IF(AA615&gt;=0,DEGREES(ATAN(AA615/Z615))+180,DEGREES(ATAN(AA615/Z615))-180),IF(AA615&gt;0,90,IF(AA615&lt;0,-90,0)))))</f>
        <v/>
      </c>
      <c r="AD615" s="195">
        <f>IF(B615="","",LOG10(B615))</f>
        <v/>
      </c>
      <c r="AE615" s="195">
        <f>IF(AB615="","",LOG10(MAX(AB615,1E-12)))</f>
        <v/>
      </c>
      <c r="AF615" s="195">
        <f>IF(B615="","",SQRT(P615^2+Q615^2))</f>
        <v/>
      </c>
      <c r="AG615" s="195">
        <f>IF(B615="","",SQRT(R615^2+S615^2))</f>
        <v/>
      </c>
    </row>
    <row r="616">
      <c r="A616" t="n">
        <v>613</v>
      </c>
      <c r="B616" s="196">
        <f>IF(A616&lt;='入力・概要'!$B$40,10^(LOG10('入力・概要'!$B$38)+(A616-1)*(LOG10('入力・概要'!$B$39)-LOG10('入力・概要'!$B$38))/('入力・概要'!$B$40-1)),"")</f>
        <v/>
      </c>
      <c r="C616" s="195">
        <f>IF(B616="","",2*PI()*B616)</f>
        <v/>
      </c>
      <c r="D616" s="195">
        <f>IF(B616="","",ATANH(MIN(0.999999,'入力・概要'!$E$20/'入力・概要'!$E$9))+'入力・概要'!$B$20*SQRT(B616/1E6)+E616*'入力・概要'!$B$15/2)</f>
        <v/>
      </c>
      <c r="E616" s="195">
        <f>IF(B616="","",C616*('入力・概要'!$E$11*1E-9))</f>
        <v/>
      </c>
      <c r="F616" s="195">
        <f>IF(B616="","",SINH(2*D616)/(COSH(2*D616)+COS(2*E616)))</f>
        <v/>
      </c>
      <c r="G616" s="195">
        <f>IF(B616="","",SIN(2*E616)/(COSH(2*D616)+COS(2*E616)))</f>
        <v/>
      </c>
      <c r="H616" s="195">
        <f>IF(B616="","",ATANH(MIN(0.999999,'入力・概要'!$E$21/'入力・概要'!$E$15))+'入力・概要'!$B$21*SQRT(B616/1E6)+I616*'入力・概要'!$B$16/2)</f>
        <v/>
      </c>
      <c r="I616" s="195">
        <f>IF(B616="","",C616*('入力・概要'!$E$17*1E-9))</f>
        <v/>
      </c>
      <c r="J616" s="195">
        <f>IF(B616="","",SINH(2*H616)/(COSH(2*H616)+COS(2*I616)))</f>
        <v/>
      </c>
      <c r="K616" s="195">
        <f>IF(B616="","",SIN(2*I616)/(COSH(2*H616)+COS(2*I616)))</f>
        <v/>
      </c>
      <c r="L616" s="195">
        <f>IF(B616="","",'入力・概要'!$B$25)</f>
        <v/>
      </c>
      <c r="M616" s="195">
        <f>IF(B616="","",C616*'入力・概要'!$B$26*1E-9-1/(C616*'入力・概要'!$B$24*1E-6))</f>
        <v/>
      </c>
      <c r="N616" s="195">
        <f>IF(B616="","",'入力・概要'!$B$28)</f>
        <v/>
      </c>
      <c r="O616" s="195">
        <f>IF(B616="","",C616*'入力・概要'!$B$29*1E-9-1/(C616*'入力・概要'!$B$27*1E-6))</f>
        <v/>
      </c>
      <c r="P616" s="195">
        <f>IF(B616="","",((L616*N616-M616*O616)*(L616+N616)+(L616*O616+M616*N616)*(M616+O616))/((L616+N616)^2+(M616+O616)^2))</f>
        <v/>
      </c>
      <c r="Q616" s="195">
        <f>IF(B616="","",((L616*O616+M616*N616)*(L616+N616)-(L616*N616-M616*O616)*(M616+O616))/((L616+N616)^2+(M616+O616)^2))</f>
        <v/>
      </c>
      <c r="R616" s="195">
        <f>IF(B616="","",'入力・概要'!$E$15*J616)</f>
        <v/>
      </c>
      <c r="S616" s="195">
        <f>IF(B616="","",'入力・概要'!$E$15*K616)</f>
        <v/>
      </c>
      <c r="T616" s="195">
        <f>IF(B616="","",P616+R616)</f>
        <v/>
      </c>
      <c r="U616" s="195">
        <f>IF(B616="","",Q616+S616)</f>
        <v/>
      </c>
      <c r="V616" s="195">
        <f>IF(B616="","",T616+'入力・概要'!$E$9*F616)</f>
        <v/>
      </c>
      <c r="W616" s="195">
        <f>IF(B616="","",U616+'入力・概要'!$E$9*G616)</f>
        <v/>
      </c>
      <c r="X616" s="195">
        <f>IF(B616="","",'入力・概要'!$E$9+T616*F616-U616*G616)</f>
        <v/>
      </c>
      <c r="Y616" s="195">
        <f>IF(B616="","",T616*G616+U616*F616)</f>
        <v/>
      </c>
      <c r="Z616" s="195">
        <f>IF(B616="","",'入力・概要'!$E$9*(V616*X616+W616*Y616)/(X616^2+Y616^2)+'入力・概要'!$B$36)</f>
        <v/>
      </c>
      <c r="AA616" s="195">
        <f>IF(B616="","",'入力・概要'!$E$9*(W616*X616-V616*Y616)/(X616^2+Y616^2)+C616*'入力・概要'!$B$37*1E-9)</f>
        <v/>
      </c>
      <c r="AB616" s="195">
        <f>IF(B616="","",SQRT(Z616^2+AA616^2))</f>
        <v/>
      </c>
      <c r="AC616" s="195">
        <f>IF(B616="","",IF(Z616&gt;0,DEGREES(ATAN(AA616/Z616)),IF(Z616&lt;0,IF(AA616&gt;=0,DEGREES(ATAN(AA616/Z616))+180,DEGREES(ATAN(AA616/Z616))-180),IF(AA616&gt;0,90,IF(AA616&lt;0,-90,0)))))</f>
        <v/>
      </c>
      <c r="AD616" s="195">
        <f>IF(B616="","",LOG10(B616))</f>
        <v/>
      </c>
      <c r="AE616" s="195">
        <f>IF(AB616="","",LOG10(MAX(AB616,1E-12)))</f>
        <v/>
      </c>
      <c r="AF616" s="195">
        <f>IF(B616="","",SQRT(P616^2+Q616^2))</f>
        <v/>
      </c>
      <c r="AG616" s="195">
        <f>IF(B616="","",SQRT(R616^2+S616^2))</f>
        <v/>
      </c>
    </row>
    <row r="617">
      <c r="A617" t="n">
        <v>614</v>
      </c>
      <c r="B617" s="196">
        <f>IF(A617&lt;='入力・概要'!$B$40,10^(LOG10('入力・概要'!$B$38)+(A617-1)*(LOG10('入力・概要'!$B$39)-LOG10('入力・概要'!$B$38))/('入力・概要'!$B$40-1)),"")</f>
        <v/>
      </c>
      <c r="C617" s="195">
        <f>IF(B617="","",2*PI()*B617)</f>
        <v/>
      </c>
      <c r="D617" s="195">
        <f>IF(B617="","",ATANH(MIN(0.999999,'入力・概要'!$E$20/'入力・概要'!$E$9))+'入力・概要'!$B$20*SQRT(B617/1E6)+E617*'入力・概要'!$B$15/2)</f>
        <v/>
      </c>
      <c r="E617" s="195">
        <f>IF(B617="","",C617*('入力・概要'!$E$11*1E-9))</f>
        <v/>
      </c>
      <c r="F617" s="195">
        <f>IF(B617="","",SINH(2*D617)/(COSH(2*D617)+COS(2*E617)))</f>
        <v/>
      </c>
      <c r="G617" s="195">
        <f>IF(B617="","",SIN(2*E617)/(COSH(2*D617)+COS(2*E617)))</f>
        <v/>
      </c>
      <c r="H617" s="195">
        <f>IF(B617="","",ATANH(MIN(0.999999,'入力・概要'!$E$21/'入力・概要'!$E$15))+'入力・概要'!$B$21*SQRT(B617/1E6)+I617*'入力・概要'!$B$16/2)</f>
        <v/>
      </c>
      <c r="I617" s="195">
        <f>IF(B617="","",C617*('入力・概要'!$E$17*1E-9))</f>
        <v/>
      </c>
      <c r="J617" s="195">
        <f>IF(B617="","",SINH(2*H617)/(COSH(2*H617)+COS(2*I617)))</f>
        <v/>
      </c>
      <c r="K617" s="195">
        <f>IF(B617="","",SIN(2*I617)/(COSH(2*H617)+COS(2*I617)))</f>
        <v/>
      </c>
      <c r="L617" s="195">
        <f>IF(B617="","",'入力・概要'!$B$25)</f>
        <v/>
      </c>
      <c r="M617" s="195">
        <f>IF(B617="","",C617*'入力・概要'!$B$26*1E-9-1/(C617*'入力・概要'!$B$24*1E-6))</f>
        <v/>
      </c>
      <c r="N617" s="195">
        <f>IF(B617="","",'入力・概要'!$B$28)</f>
        <v/>
      </c>
      <c r="O617" s="195">
        <f>IF(B617="","",C617*'入力・概要'!$B$29*1E-9-1/(C617*'入力・概要'!$B$27*1E-6))</f>
        <v/>
      </c>
      <c r="P617" s="195">
        <f>IF(B617="","",((L617*N617-M617*O617)*(L617+N617)+(L617*O617+M617*N617)*(M617+O617))/((L617+N617)^2+(M617+O617)^2))</f>
        <v/>
      </c>
      <c r="Q617" s="195">
        <f>IF(B617="","",((L617*O617+M617*N617)*(L617+N617)-(L617*N617-M617*O617)*(M617+O617))/((L617+N617)^2+(M617+O617)^2))</f>
        <v/>
      </c>
      <c r="R617" s="195">
        <f>IF(B617="","",'入力・概要'!$E$15*J617)</f>
        <v/>
      </c>
      <c r="S617" s="195">
        <f>IF(B617="","",'入力・概要'!$E$15*K617)</f>
        <v/>
      </c>
      <c r="T617" s="195">
        <f>IF(B617="","",P617+R617)</f>
        <v/>
      </c>
      <c r="U617" s="195">
        <f>IF(B617="","",Q617+S617)</f>
        <v/>
      </c>
      <c r="V617" s="195">
        <f>IF(B617="","",T617+'入力・概要'!$E$9*F617)</f>
        <v/>
      </c>
      <c r="W617" s="195">
        <f>IF(B617="","",U617+'入力・概要'!$E$9*G617)</f>
        <v/>
      </c>
      <c r="X617" s="195">
        <f>IF(B617="","",'入力・概要'!$E$9+T617*F617-U617*G617)</f>
        <v/>
      </c>
      <c r="Y617" s="195">
        <f>IF(B617="","",T617*G617+U617*F617)</f>
        <v/>
      </c>
      <c r="Z617" s="195">
        <f>IF(B617="","",'入力・概要'!$E$9*(V617*X617+W617*Y617)/(X617^2+Y617^2)+'入力・概要'!$B$36)</f>
        <v/>
      </c>
      <c r="AA617" s="195">
        <f>IF(B617="","",'入力・概要'!$E$9*(W617*X617-V617*Y617)/(X617^2+Y617^2)+C617*'入力・概要'!$B$37*1E-9)</f>
        <v/>
      </c>
      <c r="AB617" s="195">
        <f>IF(B617="","",SQRT(Z617^2+AA617^2))</f>
        <v/>
      </c>
      <c r="AC617" s="195">
        <f>IF(B617="","",IF(Z617&gt;0,DEGREES(ATAN(AA617/Z617)),IF(Z617&lt;0,IF(AA617&gt;=0,DEGREES(ATAN(AA617/Z617))+180,DEGREES(ATAN(AA617/Z617))-180),IF(AA617&gt;0,90,IF(AA617&lt;0,-90,0)))))</f>
        <v/>
      </c>
      <c r="AD617" s="195">
        <f>IF(B617="","",LOG10(B617))</f>
        <v/>
      </c>
      <c r="AE617" s="195">
        <f>IF(AB617="","",LOG10(MAX(AB617,1E-12)))</f>
        <v/>
      </c>
      <c r="AF617" s="195">
        <f>IF(B617="","",SQRT(P617^2+Q617^2))</f>
        <v/>
      </c>
      <c r="AG617" s="195">
        <f>IF(B617="","",SQRT(R617^2+S617^2))</f>
        <v/>
      </c>
    </row>
    <row r="618">
      <c r="A618" t="n">
        <v>615</v>
      </c>
      <c r="B618" s="196">
        <f>IF(A618&lt;='入力・概要'!$B$40,10^(LOG10('入力・概要'!$B$38)+(A618-1)*(LOG10('入力・概要'!$B$39)-LOG10('入力・概要'!$B$38))/('入力・概要'!$B$40-1)),"")</f>
        <v/>
      </c>
      <c r="C618" s="195">
        <f>IF(B618="","",2*PI()*B618)</f>
        <v/>
      </c>
      <c r="D618" s="195">
        <f>IF(B618="","",ATANH(MIN(0.999999,'入力・概要'!$E$20/'入力・概要'!$E$9))+'入力・概要'!$B$20*SQRT(B618/1E6)+E618*'入力・概要'!$B$15/2)</f>
        <v/>
      </c>
      <c r="E618" s="195">
        <f>IF(B618="","",C618*('入力・概要'!$E$11*1E-9))</f>
        <v/>
      </c>
      <c r="F618" s="195">
        <f>IF(B618="","",SINH(2*D618)/(COSH(2*D618)+COS(2*E618)))</f>
        <v/>
      </c>
      <c r="G618" s="195">
        <f>IF(B618="","",SIN(2*E618)/(COSH(2*D618)+COS(2*E618)))</f>
        <v/>
      </c>
      <c r="H618" s="195">
        <f>IF(B618="","",ATANH(MIN(0.999999,'入力・概要'!$E$21/'入力・概要'!$E$15))+'入力・概要'!$B$21*SQRT(B618/1E6)+I618*'入力・概要'!$B$16/2)</f>
        <v/>
      </c>
      <c r="I618" s="195">
        <f>IF(B618="","",C618*('入力・概要'!$E$17*1E-9))</f>
        <v/>
      </c>
      <c r="J618" s="195">
        <f>IF(B618="","",SINH(2*H618)/(COSH(2*H618)+COS(2*I618)))</f>
        <v/>
      </c>
      <c r="K618" s="195">
        <f>IF(B618="","",SIN(2*I618)/(COSH(2*H618)+COS(2*I618)))</f>
        <v/>
      </c>
      <c r="L618" s="195">
        <f>IF(B618="","",'入力・概要'!$B$25)</f>
        <v/>
      </c>
      <c r="M618" s="195">
        <f>IF(B618="","",C618*'入力・概要'!$B$26*1E-9-1/(C618*'入力・概要'!$B$24*1E-6))</f>
        <v/>
      </c>
      <c r="N618" s="195">
        <f>IF(B618="","",'入力・概要'!$B$28)</f>
        <v/>
      </c>
      <c r="O618" s="195">
        <f>IF(B618="","",C618*'入力・概要'!$B$29*1E-9-1/(C618*'入力・概要'!$B$27*1E-6))</f>
        <v/>
      </c>
      <c r="P618" s="195">
        <f>IF(B618="","",((L618*N618-M618*O618)*(L618+N618)+(L618*O618+M618*N618)*(M618+O618))/((L618+N618)^2+(M618+O618)^2))</f>
        <v/>
      </c>
      <c r="Q618" s="195">
        <f>IF(B618="","",((L618*O618+M618*N618)*(L618+N618)-(L618*N618-M618*O618)*(M618+O618))/((L618+N618)^2+(M618+O618)^2))</f>
        <v/>
      </c>
      <c r="R618" s="195">
        <f>IF(B618="","",'入力・概要'!$E$15*J618)</f>
        <v/>
      </c>
      <c r="S618" s="195">
        <f>IF(B618="","",'入力・概要'!$E$15*K618)</f>
        <v/>
      </c>
      <c r="T618" s="195">
        <f>IF(B618="","",P618+R618)</f>
        <v/>
      </c>
      <c r="U618" s="195">
        <f>IF(B618="","",Q618+S618)</f>
        <v/>
      </c>
      <c r="V618" s="195">
        <f>IF(B618="","",T618+'入力・概要'!$E$9*F618)</f>
        <v/>
      </c>
      <c r="W618" s="195">
        <f>IF(B618="","",U618+'入力・概要'!$E$9*G618)</f>
        <v/>
      </c>
      <c r="X618" s="195">
        <f>IF(B618="","",'入力・概要'!$E$9+T618*F618-U618*G618)</f>
        <v/>
      </c>
      <c r="Y618" s="195">
        <f>IF(B618="","",T618*G618+U618*F618)</f>
        <v/>
      </c>
      <c r="Z618" s="195">
        <f>IF(B618="","",'入力・概要'!$E$9*(V618*X618+W618*Y618)/(X618^2+Y618^2)+'入力・概要'!$B$36)</f>
        <v/>
      </c>
      <c r="AA618" s="195">
        <f>IF(B618="","",'入力・概要'!$E$9*(W618*X618-V618*Y618)/(X618^2+Y618^2)+C618*'入力・概要'!$B$37*1E-9)</f>
        <v/>
      </c>
      <c r="AB618" s="195">
        <f>IF(B618="","",SQRT(Z618^2+AA618^2))</f>
        <v/>
      </c>
      <c r="AC618" s="195">
        <f>IF(B618="","",IF(Z618&gt;0,DEGREES(ATAN(AA618/Z618)),IF(Z618&lt;0,IF(AA618&gt;=0,DEGREES(ATAN(AA618/Z618))+180,DEGREES(ATAN(AA618/Z618))-180),IF(AA618&gt;0,90,IF(AA618&lt;0,-90,0)))))</f>
        <v/>
      </c>
      <c r="AD618" s="195">
        <f>IF(B618="","",LOG10(B618))</f>
        <v/>
      </c>
      <c r="AE618" s="195">
        <f>IF(AB618="","",LOG10(MAX(AB618,1E-12)))</f>
        <v/>
      </c>
      <c r="AF618" s="195">
        <f>IF(B618="","",SQRT(P618^2+Q618^2))</f>
        <v/>
      </c>
      <c r="AG618" s="195">
        <f>IF(B618="","",SQRT(R618^2+S618^2))</f>
        <v/>
      </c>
    </row>
    <row r="619">
      <c r="A619" t="n">
        <v>616</v>
      </c>
      <c r="B619" s="196">
        <f>IF(A619&lt;='入力・概要'!$B$40,10^(LOG10('入力・概要'!$B$38)+(A619-1)*(LOG10('入力・概要'!$B$39)-LOG10('入力・概要'!$B$38))/('入力・概要'!$B$40-1)),"")</f>
        <v/>
      </c>
      <c r="C619" s="195">
        <f>IF(B619="","",2*PI()*B619)</f>
        <v/>
      </c>
      <c r="D619" s="195">
        <f>IF(B619="","",ATANH(MIN(0.999999,'入力・概要'!$E$20/'入力・概要'!$E$9))+'入力・概要'!$B$20*SQRT(B619/1E6)+E619*'入力・概要'!$B$15/2)</f>
        <v/>
      </c>
      <c r="E619" s="195">
        <f>IF(B619="","",C619*('入力・概要'!$E$11*1E-9))</f>
        <v/>
      </c>
      <c r="F619" s="195">
        <f>IF(B619="","",SINH(2*D619)/(COSH(2*D619)+COS(2*E619)))</f>
        <v/>
      </c>
      <c r="G619" s="195">
        <f>IF(B619="","",SIN(2*E619)/(COSH(2*D619)+COS(2*E619)))</f>
        <v/>
      </c>
      <c r="H619" s="195">
        <f>IF(B619="","",ATANH(MIN(0.999999,'入力・概要'!$E$21/'入力・概要'!$E$15))+'入力・概要'!$B$21*SQRT(B619/1E6)+I619*'入力・概要'!$B$16/2)</f>
        <v/>
      </c>
      <c r="I619" s="195">
        <f>IF(B619="","",C619*('入力・概要'!$E$17*1E-9))</f>
        <v/>
      </c>
      <c r="J619" s="195">
        <f>IF(B619="","",SINH(2*H619)/(COSH(2*H619)+COS(2*I619)))</f>
        <v/>
      </c>
      <c r="K619" s="195">
        <f>IF(B619="","",SIN(2*I619)/(COSH(2*H619)+COS(2*I619)))</f>
        <v/>
      </c>
      <c r="L619" s="195">
        <f>IF(B619="","",'入力・概要'!$B$25)</f>
        <v/>
      </c>
      <c r="M619" s="195">
        <f>IF(B619="","",C619*'入力・概要'!$B$26*1E-9-1/(C619*'入力・概要'!$B$24*1E-6))</f>
        <v/>
      </c>
      <c r="N619" s="195">
        <f>IF(B619="","",'入力・概要'!$B$28)</f>
        <v/>
      </c>
      <c r="O619" s="195">
        <f>IF(B619="","",C619*'入力・概要'!$B$29*1E-9-1/(C619*'入力・概要'!$B$27*1E-6))</f>
        <v/>
      </c>
      <c r="P619" s="195">
        <f>IF(B619="","",((L619*N619-M619*O619)*(L619+N619)+(L619*O619+M619*N619)*(M619+O619))/((L619+N619)^2+(M619+O619)^2))</f>
        <v/>
      </c>
      <c r="Q619" s="195">
        <f>IF(B619="","",((L619*O619+M619*N619)*(L619+N619)-(L619*N619-M619*O619)*(M619+O619))/((L619+N619)^2+(M619+O619)^2))</f>
        <v/>
      </c>
      <c r="R619" s="195">
        <f>IF(B619="","",'入力・概要'!$E$15*J619)</f>
        <v/>
      </c>
      <c r="S619" s="195">
        <f>IF(B619="","",'入力・概要'!$E$15*K619)</f>
        <v/>
      </c>
      <c r="T619" s="195">
        <f>IF(B619="","",P619+R619)</f>
        <v/>
      </c>
      <c r="U619" s="195">
        <f>IF(B619="","",Q619+S619)</f>
        <v/>
      </c>
      <c r="V619" s="195">
        <f>IF(B619="","",T619+'入力・概要'!$E$9*F619)</f>
        <v/>
      </c>
      <c r="W619" s="195">
        <f>IF(B619="","",U619+'入力・概要'!$E$9*G619)</f>
        <v/>
      </c>
      <c r="X619" s="195">
        <f>IF(B619="","",'入力・概要'!$E$9+T619*F619-U619*G619)</f>
        <v/>
      </c>
      <c r="Y619" s="195">
        <f>IF(B619="","",T619*G619+U619*F619)</f>
        <v/>
      </c>
      <c r="Z619" s="195">
        <f>IF(B619="","",'入力・概要'!$E$9*(V619*X619+W619*Y619)/(X619^2+Y619^2)+'入力・概要'!$B$36)</f>
        <v/>
      </c>
      <c r="AA619" s="195">
        <f>IF(B619="","",'入力・概要'!$E$9*(W619*X619-V619*Y619)/(X619^2+Y619^2)+C619*'入力・概要'!$B$37*1E-9)</f>
        <v/>
      </c>
      <c r="AB619" s="195">
        <f>IF(B619="","",SQRT(Z619^2+AA619^2))</f>
        <v/>
      </c>
      <c r="AC619" s="195">
        <f>IF(B619="","",IF(Z619&gt;0,DEGREES(ATAN(AA619/Z619)),IF(Z619&lt;0,IF(AA619&gt;=0,DEGREES(ATAN(AA619/Z619))+180,DEGREES(ATAN(AA619/Z619))-180),IF(AA619&gt;0,90,IF(AA619&lt;0,-90,0)))))</f>
        <v/>
      </c>
      <c r="AD619" s="195">
        <f>IF(B619="","",LOG10(B619))</f>
        <v/>
      </c>
      <c r="AE619" s="195">
        <f>IF(AB619="","",LOG10(MAX(AB619,1E-12)))</f>
        <v/>
      </c>
      <c r="AF619" s="195">
        <f>IF(B619="","",SQRT(P619^2+Q619^2))</f>
        <v/>
      </c>
      <c r="AG619" s="195">
        <f>IF(B619="","",SQRT(R619^2+S619^2))</f>
        <v/>
      </c>
    </row>
    <row r="620">
      <c r="A620" t="n">
        <v>617</v>
      </c>
      <c r="B620" s="196">
        <f>IF(A620&lt;='入力・概要'!$B$40,10^(LOG10('入力・概要'!$B$38)+(A620-1)*(LOG10('入力・概要'!$B$39)-LOG10('入力・概要'!$B$38))/('入力・概要'!$B$40-1)),"")</f>
        <v/>
      </c>
      <c r="C620" s="195">
        <f>IF(B620="","",2*PI()*B620)</f>
        <v/>
      </c>
      <c r="D620" s="195">
        <f>IF(B620="","",ATANH(MIN(0.999999,'入力・概要'!$E$20/'入力・概要'!$E$9))+'入力・概要'!$B$20*SQRT(B620/1E6)+E620*'入力・概要'!$B$15/2)</f>
        <v/>
      </c>
      <c r="E620" s="195">
        <f>IF(B620="","",C620*('入力・概要'!$E$11*1E-9))</f>
        <v/>
      </c>
      <c r="F620" s="195">
        <f>IF(B620="","",SINH(2*D620)/(COSH(2*D620)+COS(2*E620)))</f>
        <v/>
      </c>
      <c r="G620" s="195">
        <f>IF(B620="","",SIN(2*E620)/(COSH(2*D620)+COS(2*E620)))</f>
        <v/>
      </c>
      <c r="H620" s="195">
        <f>IF(B620="","",ATANH(MIN(0.999999,'入力・概要'!$E$21/'入力・概要'!$E$15))+'入力・概要'!$B$21*SQRT(B620/1E6)+I620*'入力・概要'!$B$16/2)</f>
        <v/>
      </c>
      <c r="I620" s="195">
        <f>IF(B620="","",C620*('入力・概要'!$E$17*1E-9))</f>
        <v/>
      </c>
      <c r="J620" s="195">
        <f>IF(B620="","",SINH(2*H620)/(COSH(2*H620)+COS(2*I620)))</f>
        <v/>
      </c>
      <c r="K620" s="195">
        <f>IF(B620="","",SIN(2*I620)/(COSH(2*H620)+COS(2*I620)))</f>
        <v/>
      </c>
      <c r="L620" s="195">
        <f>IF(B620="","",'入力・概要'!$B$25)</f>
        <v/>
      </c>
      <c r="M620" s="195">
        <f>IF(B620="","",C620*'入力・概要'!$B$26*1E-9-1/(C620*'入力・概要'!$B$24*1E-6))</f>
        <v/>
      </c>
      <c r="N620" s="195">
        <f>IF(B620="","",'入力・概要'!$B$28)</f>
        <v/>
      </c>
      <c r="O620" s="195">
        <f>IF(B620="","",C620*'入力・概要'!$B$29*1E-9-1/(C620*'入力・概要'!$B$27*1E-6))</f>
        <v/>
      </c>
      <c r="P620" s="195">
        <f>IF(B620="","",((L620*N620-M620*O620)*(L620+N620)+(L620*O620+M620*N620)*(M620+O620))/((L620+N620)^2+(M620+O620)^2))</f>
        <v/>
      </c>
      <c r="Q620" s="195">
        <f>IF(B620="","",((L620*O620+M620*N620)*(L620+N620)-(L620*N620-M620*O620)*(M620+O620))/((L620+N620)^2+(M620+O620)^2))</f>
        <v/>
      </c>
      <c r="R620" s="195">
        <f>IF(B620="","",'入力・概要'!$E$15*J620)</f>
        <v/>
      </c>
      <c r="S620" s="195">
        <f>IF(B620="","",'入力・概要'!$E$15*K620)</f>
        <v/>
      </c>
      <c r="T620" s="195">
        <f>IF(B620="","",P620+R620)</f>
        <v/>
      </c>
      <c r="U620" s="195">
        <f>IF(B620="","",Q620+S620)</f>
        <v/>
      </c>
      <c r="V620" s="195">
        <f>IF(B620="","",T620+'入力・概要'!$E$9*F620)</f>
        <v/>
      </c>
      <c r="W620" s="195">
        <f>IF(B620="","",U620+'入力・概要'!$E$9*G620)</f>
        <v/>
      </c>
      <c r="X620" s="195">
        <f>IF(B620="","",'入力・概要'!$E$9+T620*F620-U620*G620)</f>
        <v/>
      </c>
      <c r="Y620" s="195">
        <f>IF(B620="","",T620*G620+U620*F620)</f>
        <v/>
      </c>
      <c r="Z620" s="195">
        <f>IF(B620="","",'入力・概要'!$E$9*(V620*X620+W620*Y620)/(X620^2+Y620^2)+'入力・概要'!$B$36)</f>
        <v/>
      </c>
      <c r="AA620" s="195">
        <f>IF(B620="","",'入力・概要'!$E$9*(W620*X620-V620*Y620)/(X620^2+Y620^2)+C620*'入力・概要'!$B$37*1E-9)</f>
        <v/>
      </c>
      <c r="AB620" s="195">
        <f>IF(B620="","",SQRT(Z620^2+AA620^2))</f>
        <v/>
      </c>
      <c r="AC620" s="195">
        <f>IF(B620="","",IF(Z620&gt;0,DEGREES(ATAN(AA620/Z620)),IF(Z620&lt;0,IF(AA620&gt;=0,DEGREES(ATAN(AA620/Z620))+180,DEGREES(ATAN(AA620/Z620))-180),IF(AA620&gt;0,90,IF(AA620&lt;0,-90,0)))))</f>
        <v/>
      </c>
      <c r="AD620" s="195">
        <f>IF(B620="","",LOG10(B620))</f>
        <v/>
      </c>
      <c r="AE620" s="195">
        <f>IF(AB620="","",LOG10(MAX(AB620,1E-12)))</f>
        <v/>
      </c>
      <c r="AF620" s="195">
        <f>IF(B620="","",SQRT(P620^2+Q620^2))</f>
        <v/>
      </c>
      <c r="AG620" s="195">
        <f>IF(B620="","",SQRT(R620^2+S620^2))</f>
        <v/>
      </c>
    </row>
    <row r="621">
      <c r="A621" t="n">
        <v>618</v>
      </c>
      <c r="B621" s="196">
        <f>IF(A621&lt;='入力・概要'!$B$40,10^(LOG10('入力・概要'!$B$38)+(A621-1)*(LOG10('入力・概要'!$B$39)-LOG10('入力・概要'!$B$38))/('入力・概要'!$B$40-1)),"")</f>
        <v/>
      </c>
      <c r="C621" s="195">
        <f>IF(B621="","",2*PI()*B621)</f>
        <v/>
      </c>
      <c r="D621" s="195">
        <f>IF(B621="","",ATANH(MIN(0.999999,'入力・概要'!$E$20/'入力・概要'!$E$9))+'入力・概要'!$B$20*SQRT(B621/1E6)+E621*'入力・概要'!$B$15/2)</f>
        <v/>
      </c>
      <c r="E621" s="195">
        <f>IF(B621="","",C621*('入力・概要'!$E$11*1E-9))</f>
        <v/>
      </c>
      <c r="F621" s="195">
        <f>IF(B621="","",SINH(2*D621)/(COSH(2*D621)+COS(2*E621)))</f>
        <v/>
      </c>
      <c r="G621" s="195">
        <f>IF(B621="","",SIN(2*E621)/(COSH(2*D621)+COS(2*E621)))</f>
        <v/>
      </c>
      <c r="H621" s="195">
        <f>IF(B621="","",ATANH(MIN(0.999999,'入力・概要'!$E$21/'入力・概要'!$E$15))+'入力・概要'!$B$21*SQRT(B621/1E6)+I621*'入力・概要'!$B$16/2)</f>
        <v/>
      </c>
      <c r="I621" s="195">
        <f>IF(B621="","",C621*('入力・概要'!$E$17*1E-9))</f>
        <v/>
      </c>
      <c r="J621" s="195">
        <f>IF(B621="","",SINH(2*H621)/(COSH(2*H621)+COS(2*I621)))</f>
        <v/>
      </c>
      <c r="K621" s="195">
        <f>IF(B621="","",SIN(2*I621)/(COSH(2*H621)+COS(2*I621)))</f>
        <v/>
      </c>
      <c r="L621" s="195">
        <f>IF(B621="","",'入力・概要'!$B$25)</f>
        <v/>
      </c>
      <c r="M621" s="195">
        <f>IF(B621="","",C621*'入力・概要'!$B$26*1E-9-1/(C621*'入力・概要'!$B$24*1E-6))</f>
        <v/>
      </c>
      <c r="N621" s="195">
        <f>IF(B621="","",'入力・概要'!$B$28)</f>
        <v/>
      </c>
      <c r="O621" s="195">
        <f>IF(B621="","",C621*'入力・概要'!$B$29*1E-9-1/(C621*'入力・概要'!$B$27*1E-6))</f>
        <v/>
      </c>
      <c r="P621" s="195">
        <f>IF(B621="","",((L621*N621-M621*O621)*(L621+N621)+(L621*O621+M621*N621)*(M621+O621))/((L621+N621)^2+(M621+O621)^2))</f>
        <v/>
      </c>
      <c r="Q621" s="195">
        <f>IF(B621="","",((L621*O621+M621*N621)*(L621+N621)-(L621*N621-M621*O621)*(M621+O621))/((L621+N621)^2+(M621+O621)^2))</f>
        <v/>
      </c>
      <c r="R621" s="195">
        <f>IF(B621="","",'入力・概要'!$E$15*J621)</f>
        <v/>
      </c>
      <c r="S621" s="195">
        <f>IF(B621="","",'入力・概要'!$E$15*K621)</f>
        <v/>
      </c>
      <c r="T621" s="195">
        <f>IF(B621="","",P621+R621)</f>
        <v/>
      </c>
      <c r="U621" s="195">
        <f>IF(B621="","",Q621+S621)</f>
        <v/>
      </c>
      <c r="V621" s="195">
        <f>IF(B621="","",T621+'入力・概要'!$E$9*F621)</f>
        <v/>
      </c>
      <c r="W621" s="195">
        <f>IF(B621="","",U621+'入力・概要'!$E$9*G621)</f>
        <v/>
      </c>
      <c r="X621" s="195">
        <f>IF(B621="","",'入力・概要'!$E$9+T621*F621-U621*G621)</f>
        <v/>
      </c>
      <c r="Y621" s="195">
        <f>IF(B621="","",T621*G621+U621*F621)</f>
        <v/>
      </c>
      <c r="Z621" s="195">
        <f>IF(B621="","",'入力・概要'!$E$9*(V621*X621+W621*Y621)/(X621^2+Y621^2)+'入力・概要'!$B$36)</f>
        <v/>
      </c>
      <c r="AA621" s="195">
        <f>IF(B621="","",'入力・概要'!$E$9*(W621*X621-V621*Y621)/(X621^2+Y621^2)+C621*'入力・概要'!$B$37*1E-9)</f>
        <v/>
      </c>
      <c r="AB621" s="195">
        <f>IF(B621="","",SQRT(Z621^2+AA621^2))</f>
        <v/>
      </c>
      <c r="AC621" s="195">
        <f>IF(B621="","",IF(Z621&gt;0,DEGREES(ATAN(AA621/Z621)),IF(Z621&lt;0,IF(AA621&gt;=0,DEGREES(ATAN(AA621/Z621))+180,DEGREES(ATAN(AA621/Z621))-180),IF(AA621&gt;0,90,IF(AA621&lt;0,-90,0)))))</f>
        <v/>
      </c>
      <c r="AD621" s="195">
        <f>IF(B621="","",LOG10(B621))</f>
        <v/>
      </c>
      <c r="AE621" s="195">
        <f>IF(AB621="","",LOG10(MAX(AB621,1E-12)))</f>
        <v/>
      </c>
      <c r="AF621" s="195">
        <f>IF(B621="","",SQRT(P621^2+Q621^2))</f>
        <v/>
      </c>
      <c r="AG621" s="195">
        <f>IF(B621="","",SQRT(R621^2+S621^2))</f>
        <v/>
      </c>
    </row>
    <row r="622">
      <c r="A622" t="n">
        <v>619</v>
      </c>
      <c r="B622" s="196">
        <f>IF(A622&lt;='入力・概要'!$B$40,10^(LOG10('入力・概要'!$B$38)+(A622-1)*(LOG10('入力・概要'!$B$39)-LOG10('入力・概要'!$B$38))/('入力・概要'!$B$40-1)),"")</f>
        <v/>
      </c>
      <c r="C622" s="195">
        <f>IF(B622="","",2*PI()*B622)</f>
        <v/>
      </c>
      <c r="D622" s="195">
        <f>IF(B622="","",ATANH(MIN(0.999999,'入力・概要'!$E$20/'入力・概要'!$E$9))+'入力・概要'!$B$20*SQRT(B622/1E6)+E622*'入力・概要'!$B$15/2)</f>
        <v/>
      </c>
      <c r="E622" s="195">
        <f>IF(B622="","",C622*('入力・概要'!$E$11*1E-9))</f>
        <v/>
      </c>
      <c r="F622" s="195">
        <f>IF(B622="","",SINH(2*D622)/(COSH(2*D622)+COS(2*E622)))</f>
        <v/>
      </c>
      <c r="G622" s="195">
        <f>IF(B622="","",SIN(2*E622)/(COSH(2*D622)+COS(2*E622)))</f>
        <v/>
      </c>
      <c r="H622" s="195">
        <f>IF(B622="","",ATANH(MIN(0.999999,'入力・概要'!$E$21/'入力・概要'!$E$15))+'入力・概要'!$B$21*SQRT(B622/1E6)+I622*'入力・概要'!$B$16/2)</f>
        <v/>
      </c>
      <c r="I622" s="195">
        <f>IF(B622="","",C622*('入力・概要'!$E$17*1E-9))</f>
        <v/>
      </c>
      <c r="J622" s="195">
        <f>IF(B622="","",SINH(2*H622)/(COSH(2*H622)+COS(2*I622)))</f>
        <v/>
      </c>
      <c r="K622" s="195">
        <f>IF(B622="","",SIN(2*I622)/(COSH(2*H622)+COS(2*I622)))</f>
        <v/>
      </c>
      <c r="L622" s="195">
        <f>IF(B622="","",'入力・概要'!$B$25)</f>
        <v/>
      </c>
      <c r="M622" s="195">
        <f>IF(B622="","",C622*'入力・概要'!$B$26*1E-9-1/(C622*'入力・概要'!$B$24*1E-6))</f>
        <v/>
      </c>
      <c r="N622" s="195">
        <f>IF(B622="","",'入力・概要'!$B$28)</f>
        <v/>
      </c>
      <c r="O622" s="195">
        <f>IF(B622="","",C622*'入力・概要'!$B$29*1E-9-1/(C622*'入力・概要'!$B$27*1E-6))</f>
        <v/>
      </c>
      <c r="P622" s="195">
        <f>IF(B622="","",((L622*N622-M622*O622)*(L622+N622)+(L622*O622+M622*N622)*(M622+O622))/((L622+N622)^2+(M622+O622)^2))</f>
        <v/>
      </c>
      <c r="Q622" s="195">
        <f>IF(B622="","",((L622*O622+M622*N622)*(L622+N622)-(L622*N622-M622*O622)*(M622+O622))/((L622+N622)^2+(M622+O622)^2))</f>
        <v/>
      </c>
      <c r="R622" s="195">
        <f>IF(B622="","",'入力・概要'!$E$15*J622)</f>
        <v/>
      </c>
      <c r="S622" s="195">
        <f>IF(B622="","",'入力・概要'!$E$15*K622)</f>
        <v/>
      </c>
      <c r="T622" s="195">
        <f>IF(B622="","",P622+R622)</f>
        <v/>
      </c>
      <c r="U622" s="195">
        <f>IF(B622="","",Q622+S622)</f>
        <v/>
      </c>
      <c r="V622" s="195">
        <f>IF(B622="","",T622+'入力・概要'!$E$9*F622)</f>
        <v/>
      </c>
      <c r="W622" s="195">
        <f>IF(B622="","",U622+'入力・概要'!$E$9*G622)</f>
        <v/>
      </c>
      <c r="X622" s="195">
        <f>IF(B622="","",'入力・概要'!$E$9+T622*F622-U622*G622)</f>
        <v/>
      </c>
      <c r="Y622" s="195">
        <f>IF(B622="","",T622*G622+U622*F622)</f>
        <v/>
      </c>
      <c r="Z622" s="195">
        <f>IF(B622="","",'入力・概要'!$E$9*(V622*X622+W622*Y622)/(X622^2+Y622^2)+'入力・概要'!$B$36)</f>
        <v/>
      </c>
      <c r="AA622" s="195">
        <f>IF(B622="","",'入力・概要'!$E$9*(W622*X622-V622*Y622)/(X622^2+Y622^2)+C622*'入力・概要'!$B$37*1E-9)</f>
        <v/>
      </c>
      <c r="AB622" s="195">
        <f>IF(B622="","",SQRT(Z622^2+AA622^2))</f>
        <v/>
      </c>
      <c r="AC622" s="195">
        <f>IF(B622="","",IF(Z622&gt;0,DEGREES(ATAN(AA622/Z622)),IF(Z622&lt;0,IF(AA622&gt;=0,DEGREES(ATAN(AA622/Z622))+180,DEGREES(ATAN(AA622/Z622))-180),IF(AA622&gt;0,90,IF(AA622&lt;0,-90,0)))))</f>
        <v/>
      </c>
      <c r="AD622" s="195">
        <f>IF(B622="","",LOG10(B622))</f>
        <v/>
      </c>
      <c r="AE622" s="195">
        <f>IF(AB622="","",LOG10(MAX(AB622,1E-12)))</f>
        <v/>
      </c>
      <c r="AF622" s="195">
        <f>IF(B622="","",SQRT(P622^2+Q622^2))</f>
        <v/>
      </c>
      <c r="AG622" s="195">
        <f>IF(B622="","",SQRT(R622^2+S622^2))</f>
        <v/>
      </c>
    </row>
    <row r="623">
      <c r="A623" t="n">
        <v>620</v>
      </c>
      <c r="B623" s="196">
        <f>IF(A623&lt;='入力・概要'!$B$40,10^(LOG10('入力・概要'!$B$38)+(A623-1)*(LOG10('入力・概要'!$B$39)-LOG10('入力・概要'!$B$38))/('入力・概要'!$B$40-1)),"")</f>
        <v/>
      </c>
      <c r="C623" s="195">
        <f>IF(B623="","",2*PI()*B623)</f>
        <v/>
      </c>
      <c r="D623" s="195">
        <f>IF(B623="","",ATANH(MIN(0.999999,'入力・概要'!$E$20/'入力・概要'!$E$9))+'入力・概要'!$B$20*SQRT(B623/1E6)+E623*'入力・概要'!$B$15/2)</f>
        <v/>
      </c>
      <c r="E623" s="195">
        <f>IF(B623="","",C623*('入力・概要'!$E$11*1E-9))</f>
        <v/>
      </c>
      <c r="F623" s="195">
        <f>IF(B623="","",SINH(2*D623)/(COSH(2*D623)+COS(2*E623)))</f>
        <v/>
      </c>
      <c r="G623" s="195">
        <f>IF(B623="","",SIN(2*E623)/(COSH(2*D623)+COS(2*E623)))</f>
        <v/>
      </c>
      <c r="H623" s="195">
        <f>IF(B623="","",ATANH(MIN(0.999999,'入力・概要'!$E$21/'入力・概要'!$E$15))+'入力・概要'!$B$21*SQRT(B623/1E6)+I623*'入力・概要'!$B$16/2)</f>
        <v/>
      </c>
      <c r="I623" s="195">
        <f>IF(B623="","",C623*('入力・概要'!$E$17*1E-9))</f>
        <v/>
      </c>
      <c r="J623" s="195">
        <f>IF(B623="","",SINH(2*H623)/(COSH(2*H623)+COS(2*I623)))</f>
        <v/>
      </c>
      <c r="K623" s="195">
        <f>IF(B623="","",SIN(2*I623)/(COSH(2*H623)+COS(2*I623)))</f>
        <v/>
      </c>
      <c r="L623" s="195">
        <f>IF(B623="","",'入力・概要'!$B$25)</f>
        <v/>
      </c>
      <c r="M623" s="195">
        <f>IF(B623="","",C623*'入力・概要'!$B$26*1E-9-1/(C623*'入力・概要'!$B$24*1E-6))</f>
        <v/>
      </c>
      <c r="N623" s="195">
        <f>IF(B623="","",'入力・概要'!$B$28)</f>
        <v/>
      </c>
      <c r="O623" s="195">
        <f>IF(B623="","",C623*'入力・概要'!$B$29*1E-9-1/(C623*'入力・概要'!$B$27*1E-6))</f>
        <v/>
      </c>
      <c r="P623" s="195">
        <f>IF(B623="","",((L623*N623-M623*O623)*(L623+N623)+(L623*O623+M623*N623)*(M623+O623))/((L623+N623)^2+(M623+O623)^2))</f>
        <v/>
      </c>
      <c r="Q623" s="195">
        <f>IF(B623="","",((L623*O623+M623*N623)*(L623+N623)-(L623*N623-M623*O623)*(M623+O623))/((L623+N623)^2+(M623+O623)^2))</f>
        <v/>
      </c>
      <c r="R623" s="195">
        <f>IF(B623="","",'入力・概要'!$E$15*J623)</f>
        <v/>
      </c>
      <c r="S623" s="195">
        <f>IF(B623="","",'入力・概要'!$E$15*K623)</f>
        <v/>
      </c>
      <c r="T623" s="195">
        <f>IF(B623="","",P623+R623)</f>
        <v/>
      </c>
      <c r="U623" s="195">
        <f>IF(B623="","",Q623+S623)</f>
        <v/>
      </c>
      <c r="V623" s="195">
        <f>IF(B623="","",T623+'入力・概要'!$E$9*F623)</f>
        <v/>
      </c>
      <c r="W623" s="195">
        <f>IF(B623="","",U623+'入力・概要'!$E$9*G623)</f>
        <v/>
      </c>
      <c r="X623" s="195">
        <f>IF(B623="","",'入力・概要'!$E$9+T623*F623-U623*G623)</f>
        <v/>
      </c>
      <c r="Y623" s="195">
        <f>IF(B623="","",T623*G623+U623*F623)</f>
        <v/>
      </c>
      <c r="Z623" s="195">
        <f>IF(B623="","",'入力・概要'!$E$9*(V623*X623+W623*Y623)/(X623^2+Y623^2)+'入力・概要'!$B$36)</f>
        <v/>
      </c>
      <c r="AA623" s="195">
        <f>IF(B623="","",'入力・概要'!$E$9*(W623*X623-V623*Y623)/(X623^2+Y623^2)+C623*'入力・概要'!$B$37*1E-9)</f>
        <v/>
      </c>
      <c r="AB623" s="195">
        <f>IF(B623="","",SQRT(Z623^2+AA623^2))</f>
        <v/>
      </c>
      <c r="AC623" s="195">
        <f>IF(B623="","",IF(Z623&gt;0,DEGREES(ATAN(AA623/Z623)),IF(Z623&lt;0,IF(AA623&gt;=0,DEGREES(ATAN(AA623/Z623))+180,DEGREES(ATAN(AA623/Z623))-180),IF(AA623&gt;0,90,IF(AA623&lt;0,-90,0)))))</f>
        <v/>
      </c>
      <c r="AD623" s="195">
        <f>IF(B623="","",LOG10(B623))</f>
        <v/>
      </c>
      <c r="AE623" s="195">
        <f>IF(AB623="","",LOG10(MAX(AB623,1E-12)))</f>
        <v/>
      </c>
      <c r="AF623" s="195">
        <f>IF(B623="","",SQRT(P623^2+Q623^2))</f>
        <v/>
      </c>
      <c r="AG623" s="195">
        <f>IF(B623="","",SQRT(R623^2+S623^2))</f>
        <v/>
      </c>
    </row>
    <row r="624">
      <c r="A624" t="n">
        <v>621</v>
      </c>
      <c r="B624" s="196">
        <f>IF(A624&lt;='入力・概要'!$B$40,10^(LOG10('入力・概要'!$B$38)+(A624-1)*(LOG10('入力・概要'!$B$39)-LOG10('入力・概要'!$B$38))/('入力・概要'!$B$40-1)),"")</f>
        <v/>
      </c>
      <c r="C624" s="195">
        <f>IF(B624="","",2*PI()*B624)</f>
        <v/>
      </c>
      <c r="D624" s="195">
        <f>IF(B624="","",ATANH(MIN(0.999999,'入力・概要'!$E$20/'入力・概要'!$E$9))+'入力・概要'!$B$20*SQRT(B624/1E6)+E624*'入力・概要'!$B$15/2)</f>
        <v/>
      </c>
      <c r="E624" s="195">
        <f>IF(B624="","",C624*('入力・概要'!$E$11*1E-9))</f>
        <v/>
      </c>
      <c r="F624" s="195">
        <f>IF(B624="","",SINH(2*D624)/(COSH(2*D624)+COS(2*E624)))</f>
        <v/>
      </c>
      <c r="G624" s="195">
        <f>IF(B624="","",SIN(2*E624)/(COSH(2*D624)+COS(2*E624)))</f>
        <v/>
      </c>
      <c r="H624" s="195">
        <f>IF(B624="","",ATANH(MIN(0.999999,'入力・概要'!$E$21/'入力・概要'!$E$15))+'入力・概要'!$B$21*SQRT(B624/1E6)+I624*'入力・概要'!$B$16/2)</f>
        <v/>
      </c>
      <c r="I624" s="195">
        <f>IF(B624="","",C624*('入力・概要'!$E$17*1E-9))</f>
        <v/>
      </c>
      <c r="J624" s="195">
        <f>IF(B624="","",SINH(2*H624)/(COSH(2*H624)+COS(2*I624)))</f>
        <v/>
      </c>
      <c r="K624" s="195">
        <f>IF(B624="","",SIN(2*I624)/(COSH(2*H624)+COS(2*I624)))</f>
        <v/>
      </c>
      <c r="L624" s="195">
        <f>IF(B624="","",'入力・概要'!$B$25)</f>
        <v/>
      </c>
      <c r="M624" s="195">
        <f>IF(B624="","",C624*'入力・概要'!$B$26*1E-9-1/(C624*'入力・概要'!$B$24*1E-6))</f>
        <v/>
      </c>
      <c r="N624" s="195">
        <f>IF(B624="","",'入力・概要'!$B$28)</f>
        <v/>
      </c>
      <c r="O624" s="195">
        <f>IF(B624="","",C624*'入力・概要'!$B$29*1E-9-1/(C624*'入力・概要'!$B$27*1E-6))</f>
        <v/>
      </c>
      <c r="P624" s="195">
        <f>IF(B624="","",((L624*N624-M624*O624)*(L624+N624)+(L624*O624+M624*N624)*(M624+O624))/((L624+N624)^2+(M624+O624)^2))</f>
        <v/>
      </c>
      <c r="Q624" s="195">
        <f>IF(B624="","",((L624*O624+M624*N624)*(L624+N624)-(L624*N624-M624*O624)*(M624+O624))/((L624+N624)^2+(M624+O624)^2))</f>
        <v/>
      </c>
      <c r="R624" s="195">
        <f>IF(B624="","",'入力・概要'!$E$15*J624)</f>
        <v/>
      </c>
      <c r="S624" s="195">
        <f>IF(B624="","",'入力・概要'!$E$15*K624)</f>
        <v/>
      </c>
      <c r="T624" s="195">
        <f>IF(B624="","",P624+R624)</f>
        <v/>
      </c>
      <c r="U624" s="195">
        <f>IF(B624="","",Q624+S624)</f>
        <v/>
      </c>
      <c r="V624" s="195">
        <f>IF(B624="","",T624+'入力・概要'!$E$9*F624)</f>
        <v/>
      </c>
      <c r="W624" s="195">
        <f>IF(B624="","",U624+'入力・概要'!$E$9*G624)</f>
        <v/>
      </c>
      <c r="X624" s="195">
        <f>IF(B624="","",'入力・概要'!$E$9+T624*F624-U624*G624)</f>
        <v/>
      </c>
      <c r="Y624" s="195">
        <f>IF(B624="","",T624*G624+U624*F624)</f>
        <v/>
      </c>
      <c r="Z624" s="195">
        <f>IF(B624="","",'入力・概要'!$E$9*(V624*X624+W624*Y624)/(X624^2+Y624^2)+'入力・概要'!$B$36)</f>
        <v/>
      </c>
      <c r="AA624" s="195">
        <f>IF(B624="","",'入力・概要'!$E$9*(W624*X624-V624*Y624)/(X624^2+Y624^2)+C624*'入力・概要'!$B$37*1E-9)</f>
        <v/>
      </c>
      <c r="AB624" s="195">
        <f>IF(B624="","",SQRT(Z624^2+AA624^2))</f>
        <v/>
      </c>
      <c r="AC624" s="195">
        <f>IF(B624="","",IF(Z624&gt;0,DEGREES(ATAN(AA624/Z624)),IF(Z624&lt;0,IF(AA624&gt;=0,DEGREES(ATAN(AA624/Z624))+180,DEGREES(ATAN(AA624/Z624))-180),IF(AA624&gt;0,90,IF(AA624&lt;0,-90,0)))))</f>
        <v/>
      </c>
      <c r="AD624" s="195">
        <f>IF(B624="","",LOG10(B624))</f>
        <v/>
      </c>
      <c r="AE624" s="195">
        <f>IF(AB624="","",LOG10(MAX(AB624,1E-12)))</f>
        <v/>
      </c>
      <c r="AF624" s="195">
        <f>IF(B624="","",SQRT(P624^2+Q624^2))</f>
        <v/>
      </c>
      <c r="AG624" s="195">
        <f>IF(B624="","",SQRT(R624^2+S624^2))</f>
        <v/>
      </c>
    </row>
    <row r="625">
      <c r="A625" t="n">
        <v>622</v>
      </c>
      <c r="B625" s="196">
        <f>IF(A625&lt;='入力・概要'!$B$40,10^(LOG10('入力・概要'!$B$38)+(A625-1)*(LOG10('入力・概要'!$B$39)-LOG10('入力・概要'!$B$38))/('入力・概要'!$B$40-1)),"")</f>
        <v/>
      </c>
      <c r="C625" s="195">
        <f>IF(B625="","",2*PI()*B625)</f>
        <v/>
      </c>
      <c r="D625" s="195">
        <f>IF(B625="","",ATANH(MIN(0.999999,'入力・概要'!$E$20/'入力・概要'!$E$9))+'入力・概要'!$B$20*SQRT(B625/1E6)+E625*'入力・概要'!$B$15/2)</f>
        <v/>
      </c>
      <c r="E625" s="195">
        <f>IF(B625="","",C625*('入力・概要'!$E$11*1E-9))</f>
        <v/>
      </c>
      <c r="F625" s="195">
        <f>IF(B625="","",SINH(2*D625)/(COSH(2*D625)+COS(2*E625)))</f>
        <v/>
      </c>
      <c r="G625" s="195">
        <f>IF(B625="","",SIN(2*E625)/(COSH(2*D625)+COS(2*E625)))</f>
        <v/>
      </c>
      <c r="H625" s="195">
        <f>IF(B625="","",ATANH(MIN(0.999999,'入力・概要'!$E$21/'入力・概要'!$E$15))+'入力・概要'!$B$21*SQRT(B625/1E6)+I625*'入力・概要'!$B$16/2)</f>
        <v/>
      </c>
      <c r="I625" s="195">
        <f>IF(B625="","",C625*('入力・概要'!$E$17*1E-9))</f>
        <v/>
      </c>
      <c r="J625" s="195">
        <f>IF(B625="","",SINH(2*H625)/(COSH(2*H625)+COS(2*I625)))</f>
        <v/>
      </c>
      <c r="K625" s="195">
        <f>IF(B625="","",SIN(2*I625)/(COSH(2*H625)+COS(2*I625)))</f>
        <v/>
      </c>
      <c r="L625" s="195">
        <f>IF(B625="","",'入力・概要'!$B$25)</f>
        <v/>
      </c>
      <c r="M625" s="195">
        <f>IF(B625="","",C625*'入力・概要'!$B$26*1E-9-1/(C625*'入力・概要'!$B$24*1E-6))</f>
        <v/>
      </c>
      <c r="N625" s="195">
        <f>IF(B625="","",'入力・概要'!$B$28)</f>
        <v/>
      </c>
      <c r="O625" s="195">
        <f>IF(B625="","",C625*'入力・概要'!$B$29*1E-9-1/(C625*'入力・概要'!$B$27*1E-6))</f>
        <v/>
      </c>
      <c r="P625" s="195">
        <f>IF(B625="","",((L625*N625-M625*O625)*(L625+N625)+(L625*O625+M625*N625)*(M625+O625))/((L625+N625)^2+(M625+O625)^2))</f>
        <v/>
      </c>
      <c r="Q625" s="195">
        <f>IF(B625="","",((L625*O625+M625*N625)*(L625+N625)-(L625*N625-M625*O625)*(M625+O625))/((L625+N625)^2+(M625+O625)^2))</f>
        <v/>
      </c>
      <c r="R625" s="195">
        <f>IF(B625="","",'入力・概要'!$E$15*J625)</f>
        <v/>
      </c>
      <c r="S625" s="195">
        <f>IF(B625="","",'入力・概要'!$E$15*K625)</f>
        <v/>
      </c>
      <c r="T625" s="195">
        <f>IF(B625="","",P625+R625)</f>
        <v/>
      </c>
      <c r="U625" s="195">
        <f>IF(B625="","",Q625+S625)</f>
        <v/>
      </c>
      <c r="V625" s="195">
        <f>IF(B625="","",T625+'入力・概要'!$E$9*F625)</f>
        <v/>
      </c>
      <c r="W625" s="195">
        <f>IF(B625="","",U625+'入力・概要'!$E$9*G625)</f>
        <v/>
      </c>
      <c r="X625" s="195">
        <f>IF(B625="","",'入力・概要'!$E$9+T625*F625-U625*G625)</f>
        <v/>
      </c>
      <c r="Y625" s="195">
        <f>IF(B625="","",T625*G625+U625*F625)</f>
        <v/>
      </c>
      <c r="Z625" s="195">
        <f>IF(B625="","",'入力・概要'!$E$9*(V625*X625+W625*Y625)/(X625^2+Y625^2)+'入力・概要'!$B$36)</f>
        <v/>
      </c>
      <c r="AA625" s="195">
        <f>IF(B625="","",'入力・概要'!$E$9*(W625*X625-V625*Y625)/(X625^2+Y625^2)+C625*'入力・概要'!$B$37*1E-9)</f>
        <v/>
      </c>
      <c r="AB625" s="195">
        <f>IF(B625="","",SQRT(Z625^2+AA625^2))</f>
        <v/>
      </c>
      <c r="AC625" s="195">
        <f>IF(B625="","",IF(Z625&gt;0,DEGREES(ATAN(AA625/Z625)),IF(Z625&lt;0,IF(AA625&gt;=0,DEGREES(ATAN(AA625/Z625))+180,DEGREES(ATAN(AA625/Z625))-180),IF(AA625&gt;0,90,IF(AA625&lt;0,-90,0)))))</f>
        <v/>
      </c>
      <c r="AD625" s="195">
        <f>IF(B625="","",LOG10(B625))</f>
        <v/>
      </c>
      <c r="AE625" s="195">
        <f>IF(AB625="","",LOG10(MAX(AB625,1E-12)))</f>
        <v/>
      </c>
      <c r="AF625" s="195">
        <f>IF(B625="","",SQRT(P625^2+Q625^2))</f>
        <v/>
      </c>
      <c r="AG625" s="195">
        <f>IF(B625="","",SQRT(R625^2+S625^2))</f>
        <v/>
      </c>
    </row>
    <row r="626">
      <c r="A626" t="n">
        <v>623</v>
      </c>
      <c r="B626" s="196">
        <f>IF(A626&lt;='入力・概要'!$B$40,10^(LOG10('入力・概要'!$B$38)+(A626-1)*(LOG10('入力・概要'!$B$39)-LOG10('入力・概要'!$B$38))/('入力・概要'!$B$40-1)),"")</f>
        <v/>
      </c>
      <c r="C626" s="195">
        <f>IF(B626="","",2*PI()*B626)</f>
        <v/>
      </c>
      <c r="D626" s="195">
        <f>IF(B626="","",ATANH(MIN(0.999999,'入力・概要'!$E$20/'入力・概要'!$E$9))+'入力・概要'!$B$20*SQRT(B626/1E6)+E626*'入力・概要'!$B$15/2)</f>
        <v/>
      </c>
      <c r="E626" s="195">
        <f>IF(B626="","",C626*('入力・概要'!$E$11*1E-9))</f>
        <v/>
      </c>
      <c r="F626" s="195">
        <f>IF(B626="","",SINH(2*D626)/(COSH(2*D626)+COS(2*E626)))</f>
        <v/>
      </c>
      <c r="G626" s="195">
        <f>IF(B626="","",SIN(2*E626)/(COSH(2*D626)+COS(2*E626)))</f>
        <v/>
      </c>
      <c r="H626" s="195">
        <f>IF(B626="","",ATANH(MIN(0.999999,'入力・概要'!$E$21/'入力・概要'!$E$15))+'入力・概要'!$B$21*SQRT(B626/1E6)+I626*'入力・概要'!$B$16/2)</f>
        <v/>
      </c>
      <c r="I626" s="195">
        <f>IF(B626="","",C626*('入力・概要'!$E$17*1E-9))</f>
        <v/>
      </c>
      <c r="J626" s="195">
        <f>IF(B626="","",SINH(2*H626)/(COSH(2*H626)+COS(2*I626)))</f>
        <v/>
      </c>
      <c r="K626" s="195">
        <f>IF(B626="","",SIN(2*I626)/(COSH(2*H626)+COS(2*I626)))</f>
        <v/>
      </c>
      <c r="L626" s="195">
        <f>IF(B626="","",'入力・概要'!$B$25)</f>
        <v/>
      </c>
      <c r="M626" s="195">
        <f>IF(B626="","",C626*'入力・概要'!$B$26*1E-9-1/(C626*'入力・概要'!$B$24*1E-6))</f>
        <v/>
      </c>
      <c r="N626" s="195">
        <f>IF(B626="","",'入力・概要'!$B$28)</f>
        <v/>
      </c>
      <c r="O626" s="195">
        <f>IF(B626="","",C626*'入力・概要'!$B$29*1E-9-1/(C626*'入力・概要'!$B$27*1E-6))</f>
        <v/>
      </c>
      <c r="P626" s="195">
        <f>IF(B626="","",((L626*N626-M626*O626)*(L626+N626)+(L626*O626+M626*N626)*(M626+O626))/((L626+N626)^2+(M626+O626)^2))</f>
        <v/>
      </c>
      <c r="Q626" s="195">
        <f>IF(B626="","",((L626*O626+M626*N626)*(L626+N626)-(L626*N626-M626*O626)*(M626+O626))/((L626+N626)^2+(M626+O626)^2))</f>
        <v/>
      </c>
      <c r="R626" s="195">
        <f>IF(B626="","",'入力・概要'!$E$15*J626)</f>
        <v/>
      </c>
      <c r="S626" s="195">
        <f>IF(B626="","",'入力・概要'!$E$15*K626)</f>
        <v/>
      </c>
      <c r="T626" s="195">
        <f>IF(B626="","",P626+R626)</f>
        <v/>
      </c>
      <c r="U626" s="195">
        <f>IF(B626="","",Q626+S626)</f>
        <v/>
      </c>
      <c r="V626" s="195">
        <f>IF(B626="","",T626+'入力・概要'!$E$9*F626)</f>
        <v/>
      </c>
      <c r="W626" s="195">
        <f>IF(B626="","",U626+'入力・概要'!$E$9*G626)</f>
        <v/>
      </c>
      <c r="X626" s="195">
        <f>IF(B626="","",'入力・概要'!$E$9+T626*F626-U626*G626)</f>
        <v/>
      </c>
      <c r="Y626" s="195">
        <f>IF(B626="","",T626*G626+U626*F626)</f>
        <v/>
      </c>
      <c r="Z626" s="195">
        <f>IF(B626="","",'入力・概要'!$E$9*(V626*X626+W626*Y626)/(X626^2+Y626^2)+'入力・概要'!$B$36)</f>
        <v/>
      </c>
      <c r="AA626" s="195">
        <f>IF(B626="","",'入力・概要'!$E$9*(W626*X626-V626*Y626)/(X626^2+Y626^2)+C626*'入力・概要'!$B$37*1E-9)</f>
        <v/>
      </c>
      <c r="AB626" s="195">
        <f>IF(B626="","",SQRT(Z626^2+AA626^2))</f>
        <v/>
      </c>
      <c r="AC626" s="195">
        <f>IF(B626="","",IF(Z626&gt;0,DEGREES(ATAN(AA626/Z626)),IF(Z626&lt;0,IF(AA626&gt;=0,DEGREES(ATAN(AA626/Z626))+180,DEGREES(ATAN(AA626/Z626))-180),IF(AA626&gt;0,90,IF(AA626&lt;0,-90,0)))))</f>
        <v/>
      </c>
      <c r="AD626" s="195">
        <f>IF(B626="","",LOG10(B626))</f>
        <v/>
      </c>
      <c r="AE626" s="195">
        <f>IF(AB626="","",LOG10(MAX(AB626,1E-12)))</f>
        <v/>
      </c>
      <c r="AF626" s="195">
        <f>IF(B626="","",SQRT(P626^2+Q626^2))</f>
        <v/>
      </c>
      <c r="AG626" s="195">
        <f>IF(B626="","",SQRT(R626^2+S626^2))</f>
        <v/>
      </c>
    </row>
    <row r="627">
      <c r="A627" t="n">
        <v>624</v>
      </c>
      <c r="B627" s="196">
        <f>IF(A627&lt;='入力・概要'!$B$40,10^(LOG10('入力・概要'!$B$38)+(A627-1)*(LOG10('入力・概要'!$B$39)-LOG10('入力・概要'!$B$38))/('入力・概要'!$B$40-1)),"")</f>
        <v/>
      </c>
      <c r="C627" s="195">
        <f>IF(B627="","",2*PI()*B627)</f>
        <v/>
      </c>
      <c r="D627" s="195">
        <f>IF(B627="","",ATANH(MIN(0.999999,'入力・概要'!$E$20/'入力・概要'!$E$9))+'入力・概要'!$B$20*SQRT(B627/1E6)+E627*'入力・概要'!$B$15/2)</f>
        <v/>
      </c>
      <c r="E627" s="195">
        <f>IF(B627="","",C627*('入力・概要'!$E$11*1E-9))</f>
        <v/>
      </c>
      <c r="F627" s="195">
        <f>IF(B627="","",SINH(2*D627)/(COSH(2*D627)+COS(2*E627)))</f>
        <v/>
      </c>
      <c r="G627" s="195">
        <f>IF(B627="","",SIN(2*E627)/(COSH(2*D627)+COS(2*E627)))</f>
        <v/>
      </c>
      <c r="H627" s="195">
        <f>IF(B627="","",ATANH(MIN(0.999999,'入力・概要'!$E$21/'入力・概要'!$E$15))+'入力・概要'!$B$21*SQRT(B627/1E6)+I627*'入力・概要'!$B$16/2)</f>
        <v/>
      </c>
      <c r="I627" s="195">
        <f>IF(B627="","",C627*('入力・概要'!$E$17*1E-9))</f>
        <v/>
      </c>
      <c r="J627" s="195">
        <f>IF(B627="","",SINH(2*H627)/(COSH(2*H627)+COS(2*I627)))</f>
        <v/>
      </c>
      <c r="K627" s="195">
        <f>IF(B627="","",SIN(2*I627)/(COSH(2*H627)+COS(2*I627)))</f>
        <v/>
      </c>
      <c r="L627" s="195">
        <f>IF(B627="","",'入力・概要'!$B$25)</f>
        <v/>
      </c>
      <c r="M627" s="195">
        <f>IF(B627="","",C627*'入力・概要'!$B$26*1E-9-1/(C627*'入力・概要'!$B$24*1E-6))</f>
        <v/>
      </c>
      <c r="N627" s="195">
        <f>IF(B627="","",'入力・概要'!$B$28)</f>
        <v/>
      </c>
      <c r="O627" s="195">
        <f>IF(B627="","",C627*'入力・概要'!$B$29*1E-9-1/(C627*'入力・概要'!$B$27*1E-6))</f>
        <v/>
      </c>
      <c r="P627" s="195">
        <f>IF(B627="","",((L627*N627-M627*O627)*(L627+N627)+(L627*O627+M627*N627)*(M627+O627))/((L627+N627)^2+(M627+O627)^2))</f>
        <v/>
      </c>
      <c r="Q627" s="195">
        <f>IF(B627="","",((L627*O627+M627*N627)*(L627+N627)-(L627*N627-M627*O627)*(M627+O627))/((L627+N627)^2+(M627+O627)^2))</f>
        <v/>
      </c>
      <c r="R627" s="195">
        <f>IF(B627="","",'入力・概要'!$E$15*J627)</f>
        <v/>
      </c>
      <c r="S627" s="195">
        <f>IF(B627="","",'入力・概要'!$E$15*K627)</f>
        <v/>
      </c>
      <c r="T627" s="195">
        <f>IF(B627="","",P627+R627)</f>
        <v/>
      </c>
      <c r="U627" s="195">
        <f>IF(B627="","",Q627+S627)</f>
        <v/>
      </c>
      <c r="V627" s="195">
        <f>IF(B627="","",T627+'入力・概要'!$E$9*F627)</f>
        <v/>
      </c>
      <c r="W627" s="195">
        <f>IF(B627="","",U627+'入力・概要'!$E$9*G627)</f>
        <v/>
      </c>
      <c r="X627" s="195">
        <f>IF(B627="","",'入力・概要'!$E$9+T627*F627-U627*G627)</f>
        <v/>
      </c>
      <c r="Y627" s="195">
        <f>IF(B627="","",T627*G627+U627*F627)</f>
        <v/>
      </c>
      <c r="Z627" s="195">
        <f>IF(B627="","",'入力・概要'!$E$9*(V627*X627+W627*Y627)/(X627^2+Y627^2)+'入力・概要'!$B$36)</f>
        <v/>
      </c>
      <c r="AA627" s="195">
        <f>IF(B627="","",'入力・概要'!$E$9*(W627*X627-V627*Y627)/(X627^2+Y627^2)+C627*'入力・概要'!$B$37*1E-9)</f>
        <v/>
      </c>
      <c r="AB627" s="195">
        <f>IF(B627="","",SQRT(Z627^2+AA627^2))</f>
        <v/>
      </c>
      <c r="AC627" s="195">
        <f>IF(B627="","",IF(Z627&gt;0,DEGREES(ATAN(AA627/Z627)),IF(Z627&lt;0,IF(AA627&gt;=0,DEGREES(ATAN(AA627/Z627))+180,DEGREES(ATAN(AA627/Z627))-180),IF(AA627&gt;0,90,IF(AA627&lt;0,-90,0)))))</f>
        <v/>
      </c>
      <c r="AD627" s="195">
        <f>IF(B627="","",LOG10(B627))</f>
        <v/>
      </c>
      <c r="AE627" s="195">
        <f>IF(AB627="","",LOG10(MAX(AB627,1E-12)))</f>
        <v/>
      </c>
      <c r="AF627" s="195">
        <f>IF(B627="","",SQRT(P627^2+Q627^2))</f>
        <v/>
      </c>
      <c r="AG627" s="195">
        <f>IF(B627="","",SQRT(R627^2+S627^2))</f>
        <v/>
      </c>
    </row>
    <row r="628">
      <c r="A628" t="n">
        <v>625</v>
      </c>
      <c r="B628" s="196">
        <f>IF(A628&lt;='入力・概要'!$B$40,10^(LOG10('入力・概要'!$B$38)+(A628-1)*(LOG10('入力・概要'!$B$39)-LOG10('入力・概要'!$B$38))/('入力・概要'!$B$40-1)),"")</f>
        <v/>
      </c>
      <c r="C628" s="195">
        <f>IF(B628="","",2*PI()*B628)</f>
        <v/>
      </c>
      <c r="D628" s="195">
        <f>IF(B628="","",ATANH(MIN(0.999999,'入力・概要'!$E$20/'入力・概要'!$E$9))+'入力・概要'!$B$20*SQRT(B628/1E6)+E628*'入力・概要'!$B$15/2)</f>
        <v/>
      </c>
      <c r="E628" s="195">
        <f>IF(B628="","",C628*('入力・概要'!$E$11*1E-9))</f>
        <v/>
      </c>
      <c r="F628" s="195">
        <f>IF(B628="","",SINH(2*D628)/(COSH(2*D628)+COS(2*E628)))</f>
        <v/>
      </c>
      <c r="G628" s="195">
        <f>IF(B628="","",SIN(2*E628)/(COSH(2*D628)+COS(2*E628)))</f>
        <v/>
      </c>
      <c r="H628" s="195">
        <f>IF(B628="","",ATANH(MIN(0.999999,'入力・概要'!$E$21/'入力・概要'!$E$15))+'入力・概要'!$B$21*SQRT(B628/1E6)+I628*'入力・概要'!$B$16/2)</f>
        <v/>
      </c>
      <c r="I628" s="195">
        <f>IF(B628="","",C628*('入力・概要'!$E$17*1E-9))</f>
        <v/>
      </c>
      <c r="J628" s="195">
        <f>IF(B628="","",SINH(2*H628)/(COSH(2*H628)+COS(2*I628)))</f>
        <v/>
      </c>
      <c r="K628" s="195">
        <f>IF(B628="","",SIN(2*I628)/(COSH(2*H628)+COS(2*I628)))</f>
        <v/>
      </c>
      <c r="L628" s="195">
        <f>IF(B628="","",'入力・概要'!$B$25)</f>
        <v/>
      </c>
      <c r="M628" s="195">
        <f>IF(B628="","",C628*'入力・概要'!$B$26*1E-9-1/(C628*'入力・概要'!$B$24*1E-6))</f>
        <v/>
      </c>
      <c r="N628" s="195">
        <f>IF(B628="","",'入力・概要'!$B$28)</f>
        <v/>
      </c>
      <c r="O628" s="195">
        <f>IF(B628="","",C628*'入力・概要'!$B$29*1E-9-1/(C628*'入力・概要'!$B$27*1E-6))</f>
        <v/>
      </c>
      <c r="P628" s="195">
        <f>IF(B628="","",((L628*N628-M628*O628)*(L628+N628)+(L628*O628+M628*N628)*(M628+O628))/((L628+N628)^2+(M628+O628)^2))</f>
        <v/>
      </c>
      <c r="Q628" s="195">
        <f>IF(B628="","",((L628*O628+M628*N628)*(L628+N628)-(L628*N628-M628*O628)*(M628+O628))/((L628+N628)^2+(M628+O628)^2))</f>
        <v/>
      </c>
      <c r="R628" s="195">
        <f>IF(B628="","",'入力・概要'!$E$15*J628)</f>
        <v/>
      </c>
      <c r="S628" s="195">
        <f>IF(B628="","",'入力・概要'!$E$15*K628)</f>
        <v/>
      </c>
      <c r="T628" s="195">
        <f>IF(B628="","",P628+R628)</f>
        <v/>
      </c>
      <c r="U628" s="195">
        <f>IF(B628="","",Q628+S628)</f>
        <v/>
      </c>
      <c r="V628" s="195">
        <f>IF(B628="","",T628+'入力・概要'!$E$9*F628)</f>
        <v/>
      </c>
      <c r="W628" s="195">
        <f>IF(B628="","",U628+'入力・概要'!$E$9*G628)</f>
        <v/>
      </c>
      <c r="X628" s="195">
        <f>IF(B628="","",'入力・概要'!$E$9+T628*F628-U628*G628)</f>
        <v/>
      </c>
      <c r="Y628" s="195">
        <f>IF(B628="","",T628*G628+U628*F628)</f>
        <v/>
      </c>
      <c r="Z628" s="195">
        <f>IF(B628="","",'入力・概要'!$E$9*(V628*X628+W628*Y628)/(X628^2+Y628^2)+'入力・概要'!$B$36)</f>
        <v/>
      </c>
      <c r="AA628" s="195">
        <f>IF(B628="","",'入力・概要'!$E$9*(W628*X628-V628*Y628)/(X628^2+Y628^2)+C628*'入力・概要'!$B$37*1E-9)</f>
        <v/>
      </c>
      <c r="AB628" s="195">
        <f>IF(B628="","",SQRT(Z628^2+AA628^2))</f>
        <v/>
      </c>
      <c r="AC628" s="195">
        <f>IF(B628="","",IF(Z628&gt;0,DEGREES(ATAN(AA628/Z628)),IF(Z628&lt;0,IF(AA628&gt;=0,DEGREES(ATAN(AA628/Z628))+180,DEGREES(ATAN(AA628/Z628))-180),IF(AA628&gt;0,90,IF(AA628&lt;0,-90,0)))))</f>
        <v/>
      </c>
      <c r="AD628" s="195">
        <f>IF(B628="","",LOG10(B628))</f>
        <v/>
      </c>
      <c r="AE628" s="195">
        <f>IF(AB628="","",LOG10(MAX(AB628,1E-12)))</f>
        <v/>
      </c>
      <c r="AF628" s="195">
        <f>IF(B628="","",SQRT(P628^2+Q628^2))</f>
        <v/>
      </c>
      <c r="AG628" s="195">
        <f>IF(B628="","",SQRT(R628^2+S628^2))</f>
        <v/>
      </c>
    </row>
    <row r="629">
      <c r="A629" t="n">
        <v>626</v>
      </c>
      <c r="B629" s="196">
        <f>IF(A629&lt;='入力・概要'!$B$40,10^(LOG10('入力・概要'!$B$38)+(A629-1)*(LOG10('入力・概要'!$B$39)-LOG10('入力・概要'!$B$38))/('入力・概要'!$B$40-1)),"")</f>
        <v/>
      </c>
      <c r="C629" s="195">
        <f>IF(B629="","",2*PI()*B629)</f>
        <v/>
      </c>
      <c r="D629" s="195">
        <f>IF(B629="","",ATANH(MIN(0.999999,'入力・概要'!$E$20/'入力・概要'!$E$9))+'入力・概要'!$B$20*SQRT(B629/1E6)+E629*'入力・概要'!$B$15/2)</f>
        <v/>
      </c>
      <c r="E629" s="195">
        <f>IF(B629="","",C629*('入力・概要'!$E$11*1E-9))</f>
        <v/>
      </c>
      <c r="F629" s="195">
        <f>IF(B629="","",SINH(2*D629)/(COSH(2*D629)+COS(2*E629)))</f>
        <v/>
      </c>
      <c r="G629" s="195">
        <f>IF(B629="","",SIN(2*E629)/(COSH(2*D629)+COS(2*E629)))</f>
        <v/>
      </c>
      <c r="H629" s="195">
        <f>IF(B629="","",ATANH(MIN(0.999999,'入力・概要'!$E$21/'入力・概要'!$E$15))+'入力・概要'!$B$21*SQRT(B629/1E6)+I629*'入力・概要'!$B$16/2)</f>
        <v/>
      </c>
      <c r="I629" s="195">
        <f>IF(B629="","",C629*('入力・概要'!$E$17*1E-9))</f>
        <v/>
      </c>
      <c r="J629" s="195">
        <f>IF(B629="","",SINH(2*H629)/(COSH(2*H629)+COS(2*I629)))</f>
        <v/>
      </c>
      <c r="K629" s="195">
        <f>IF(B629="","",SIN(2*I629)/(COSH(2*H629)+COS(2*I629)))</f>
        <v/>
      </c>
      <c r="L629" s="195">
        <f>IF(B629="","",'入力・概要'!$B$25)</f>
        <v/>
      </c>
      <c r="M629" s="195">
        <f>IF(B629="","",C629*'入力・概要'!$B$26*1E-9-1/(C629*'入力・概要'!$B$24*1E-6))</f>
        <v/>
      </c>
      <c r="N629" s="195">
        <f>IF(B629="","",'入力・概要'!$B$28)</f>
        <v/>
      </c>
      <c r="O629" s="195">
        <f>IF(B629="","",C629*'入力・概要'!$B$29*1E-9-1/(C629*'入力・概要'!$B$27*1E-6))</f>
        <v/>
      </c>
      <c r="P629" s="195">
        <f>IF(B629="","",((L629*N629-M629*O629)*(L629+N629)+(L629*O629+M629*N629)*(M629+O629))/((L629+N629)^2+(M629+O629)^2))</f>
        <v/>
      </c>
      <c r="Q629" s="195">
        <f>IF(B629="","",((L629*O629+M629*N629)*(L629+N629)-(L629*N629-M629*O629)*(M629+O629))/((L629+N629)^2+(M629+O629)^2))</f>
        <v/>
      </c>
      <c r="R629" s="195">
        <f>IF(B629="","",'入力・概要'!$E$15*J629)</f>
        <v/>
      </c>
      <c r="S629" s="195">
        <f>IF(B629="","",'入力・概要'!$E$15*K629)</f>
        <v/>
      </c>
      <c r="T629" s="195">
        <f>IF(B629="","",P629+R629)</f>
        <v/>
      </c>
      <c r="U629" s="195">
        <f>IF(B629="","",Q629+S629)</f>
        <v/>
      </c>
      <c r="V629" s="195">
        <f>IF(B629="","",T629+'入力・概要'!$E$9*F629)</f>
        <v/>
      </c>
      <c r="W629" s="195">
        <f>IF(B629="","",U629+'入力・概要'!$E$9*G629)</f>
        <v/>
      </c>
      <c r="X629" s="195">
        <f>IF(B629="","",'入力・概要'!$E$9+T629*F629-U629*G629)</f>
        <v/>
      </c>
      <c r="Y629" s="195">
        <f>IF(B629="","",T629*G629+U629*F629)</f>
        <v/>
      </c>
      <c r="Z629" s="195">
        <f>IF(B629="","",'入力・概要'!$E$9*(V629*X629+W629*Y629)/(X629^2+Y629^2)+'入力・概要'!$B$36)</f>
        <v/>
      </c>
      <c r="AA629" s="195">
        <f>IF(B629="","",'入力・概要'!$E$9*(W629*X629-V629*Y629)/(X629^2+Y629^2)+C629*'入力・概要'!$B$37*1E-9)</f>
        <v/>
      </c>
      <c r="AB629" s="195">
        <f>IF(B629="","",SQRT(Z629^2+AA629^2))</f>
        <v/>
      </c>
      <c r="AC629" s="195">
        <f>IF(B629="","",IF(Z629&gt;0,DEGREES(ATAN(AA629/Z629)),IF(Z629&lt;0,IF(AA629&gt;=0,DEGREES(ATAN(AA629/Z629))+180,DEGREES(ATAN(AA629/Z629))-180),IF(AA629&gt;0,90,IF(AA629&lt;0,-90,0)))))</f>
        <v/>
      </c>
      <c r="AD629" s="195">
        <f>IF(B629="","",LOG10(B629))</f>
        <v/>
      </c>
      <c r="AE629" s="195">
        <f>IF(AB629="","",LOG10(MAX(AB629,1E-12)))</f>
        <v/>
      </c>
      <c r="AF629" s="195">
        <f>IF(B629="","",SQRT(P629^2+Q629^2))</f>
        <v/>
      </c>
      <c r="AG629" s="195">
        <f>IF(B629="","",SQRT(R629^2+S629^2))</f>
        <v/>
      </c>
    </row>
    <row r="630">
      <c r="A630" t="n">
        <v>627</v>
      </c>
      <c r="B630" s="196">
        <f>IF(A630&lt;='入力・概要'!$B$40,10^(LOG10('入力・概要'!$B$38)+(A630-1)*(LOG10('入力・概要'!$B$39)-LOG10('入力・概要'!$B$38))/('入力・概要'!$B$40-1)),"")</f>
        <v/>
      </c>
      <c r="C630" s="195">
        <f>IF(B630="","",2*PI()*B630)</f>
        <v/>
      </c>
      <c r="D630" s="195">
        <f>IF(B630="","",ATANH(MIN(0.999999,'入力・概要'!$E$20/'入力・概要'!$E$9))+'入力・概要'!$B$20*SQRT(B630/1E6)+E630*'入力・概要'!$B$15/2)</f>
        <v/>
      </c>
      <c r="E630" s="195">
        <f>IF(B630="","",C630*('入力・概要'!$E$11*1E-9))</f>
        <v/>
      </c>
      <c r="F630" s="195">
        <f>IF(B630="","",SINH(2*D630)/(COSH(2*D630)+COS(2*E630)))</f>
        <v/>
      </c>
      <c r="G630" s="195">
        <f>IF(B630="","",SIN(2*E630)/(COSH(2*D630)+COS(2*E630)))</f>
        <v/>
      </c>
      <c r="H630" s="195">
        <f>IF(B630="","",ATANH(MIN(0.999999,'入力・概要'!$E$21/'入力・概要'!$E$15))+'入力・概要'!$B$21*SQRT(B630/1E6)+I630*'入力・概要'!$B$16/2)</f>
        <v/>
      </c>
      <c r="I630" s="195">
        <f>IF(B630="","",C630*('入力・概要'!$E$17*1E-9))</f>
        <v/>
      </c>
      <c r="J630" s="195">
        <f>IF(B630="","",SINH(2*H630)/(COSH(2*H630)+COS(2*I630)))</f>
        <v/>
      </c>
      <c r="K630" s="195">
        <f>IF(B630="","",SIN(2*I630)/(COSH(2*H630)+COS(2*I630)))</f>
        <v/>
      </c>
      <c r="L630" s="195">
        <f>IF(B630="","",'入力・概要'!$B$25)</f>
        <v/>
      </c>
      <c r="M630" s="195">
        <f>IF(B630="","",C630*'入力・概要'!$B$26*1E-9-1/(C630*'入力・概要'!$B$24*1E-6))</f>
        <v/>
      </c>
      <c r="N630" s="195">
        <f>IF(B630="","",'入力・概要'!$B$28)</f>
        <v/>
      </c>
      <c r="O630" s="195">
        <f>IF(B630="","",C630*'入力・概要'!$B$29*1E-9-1/(C630*'入力・概要'!$B$27*1E-6))</f>
        <v/>
      </c>
      <c r="P630" s="195">
        <f>IF(B630="","",((L630*N630-M630*O630)*(L630+N630)+(L630*O630+M630*N630)*(M630+O630))/((L630+N630)^2+(M630+O630)^2))</f>
        <v/>
      </c>
      <c r="Q630" s="195">
        <f>IF(B630="","",((L630*O630+M630*N630)*(L630+N630)-(L630*N630-M630*O630)*(M630+O630))/((L630+N630)^2+(M630+O630)^2))</f>
        <v/>
      </c>
      <c r="R630" s="195">
        <f>IF(B630="","",'入力・概要'!$E$15*J630)</f>
        <v/>
      </c>
      <c r="S630" s="195">
        <f>IF(B630="","",'入力・概要'!$E$15*K630)</f>
        <v/>
      </c>
      <c r="T630" s="195">
        <f>IF(B630="","",P630+R630)</f>
        <v/>
      </c>
      <c r="U630" s="195">
        <f>IF(B630="","",Q630+S630)</f>
        <v/>
      </c>
      <c r="V630" s="195">
        <f>IF(B630="","",T630+'入力・概要'!$E$9*F630)</f>
        <v/>
      </c>
      <c r="W630" s="195">
        <f>IF(B630="","",U630+'入力・概要'!$E$9*G630)</f>
        <v/>
      </c>
      <c r="X630" s="195">
        <f>IF(B630="","",'入力・概要'!$E$9+T630*F630-U630*G630)</f>
        <v/>
      </c>
      <c r="Y630" s="195">
        <f>IF(B630="","",T630*G630+U630*F630)</f>
        <v/>
      </c>
      <c r="Z630" s="195">
        <f>IF(B630="","",'入力・概要'!$E$9*(V630*X630+W630*Y630)/(X630^2+Y630^2)+'入力・概要'!$B$36)</f>
        <v/>
      </c>
      <c r="AA630" s="195">
        <f>IF(B630="","",'入力・概要'!$E$9*(W630*X630-V630*Y630)/(X630^2+Y630^2)+C630*'入力・概要'!$B$37*1E-9)</f>
        <v/>
      </c>
      <c r="AB630" s="195">
        <f>IF(B630="","",SQRT(Z630^2+AA630^2))</f>
        <v/>
      </c>
      <c r="AC630" s="195">
        <f>IF(B630="","",IF(Z630&gt;0,DEGREES(ATAN(AA630/Z630)),IF(Z630&lt;0,IF(AA630&gt;=0,DEGREES(ATAN(AA630/Z630))+180,DEGREES(ATAN(AA630/Z630))-180),IF(AA630&gt;0,90,IF(AA630&lt;0,-90,0)))))</f>
        <v/>
      </c>
      <c r="AD630" s="195">
        <f>IF(B630="","",LOG10(B630))</f>
        <v/>
      </c>
      <c r="AE630" s="195">
        <f>IF(AB630="","",LOG10(MAX(AB630,1E-12)))</f>
        <v/>
      </c>
      <c r="AF630" s="195">
        <f>IF(B630="","",SQRT(P630^2+Q630^2))</f>
        <v/>
      </c>
      <c r="AG630" s="195">
        <f>IF(B630="","",SQRT(R630^2+S630^2))</f>
        <v/>
      </c>
    </row>
    <row r="631">
      <c r="A631" t="n">
        <v>628</v>
      </c>
      <c r="B631" s="196">
        <f>IF(A631&lt;='入力・概要'!$B$40,10^(LOG10('入力・概要'!$B$38)+(A631-1)*(LOG10('入力・概要'!$B$39)-LOG10('入力・概要'!$B$38))/('入力・概要'!$B$40-1)),"")</f>
        <v/>
      </c>
      <c r="C631" s="195">
        <f>IF(B631="","",2*PI()*B631)</f>
        <v/>
      </c>
      <c r="D631" s="195">
        <f>IF(B631="","",ATANH(MIN(0.999999,'入力・概要'!$E$20/'入力・概要'!$E$9))+'入力・概要'!$B$20*SQRT(B631/1E6)+E631*'入力・概要'!$B$15/2)</f>
        <v/>
      </c>
      <c r="E631" s="195">
        <f>IF(B631="","",C631*('入力・概要'!$E$11*1E-9))</f>
        <v/>
      </c>
      <c r="F631" s="195">
        <f>IF(B631="","",SINH(2*D631)/(COSH(2*D631)+COS(2*E631)))</f>
        <v/>
      </c>
      <c r="G631" s="195">
        <f>IF(B631="","",SIN(2*E631)/(COSH(2*D631)+COS(2*E631)))</f>
        <v/>
      </c>
      <c r="H631" s="195">
        <f>IF(B631="","",ATANH(MIN(0.999999,'入力・概要'!$E$21/'入力・概要'!$E$15))+'入力・概要'!$B$21*SQRT(B631/1E6)+I631*'入力・概要'!$B$16/2)</f>
        <v/>
      </c>
      <c r="I631" s="195">
        <f>IF(B631="","",C631*('入力・概要'!$E$17*1E-9))</f>
        <v/>
      </c>
      <c r="J631" s="195">
        <f>IF(B631="","",SINH(2*H631)/(COSH(2*H631)+COS(2*I631)))</f>
        <v/>
      </c>
      <c r="K631" s="195">
        <f>IF(B631="","",SIN(2*I631)/(COSH(2*H631)+COS(2*I631)))</f>
        <v/>
      </c>
      <c r="L631" s="195">
        <f>IF(B631="","",'入力・概要'!$B$25)</f>
        <v/>
      </c>
      <c r="M631" s="195">
        <f>IF(B631="","",C631*'入力・概要'!$B$26*1E-9-1/(C631*'入力・概要'!$B$24*1E-6))</f>
        <v/>
      </c>
      <c r="N631" s="195">
        <f>IF(B631="","",'入力・概要'!$B$28)</f>
        <v/>
      </c>
      <c r="O631" s="195">
        <f>IF(B631="","",C631*'入力・概要'!$B$29*1E-9-1/(C631*'入力・概要'!$B$27*1E-6))</f>
        <v/>
      </c>
      <c r="P631" s="195">
        <f>IF(B631="","",((L631*N631-M631*O631)*(L631+N631)+(L631*O631+M631*N631)*(M631+O631))/((L631+N631)^2+(M631+O631)^2))</f>
        <v/>
      </c>
      <c r="Q631" s="195">
        <f>IF(B631="","",((L631*O631+M631*N631)*(L631+N631)-(L631*N631-M631*O631)*(M631+O631))/((L631+N631)^2+(M631+O631)^2))</f>
        <v/>
      </c>
      <c r="R631" s="195">
        <f>IF(B631="","",'入力・概要'!$E$15*J631)</f>
        <v/>
      </c>
      <c r="S631" s="195">
        <f>IF(B631="","",'入力・概要'!$E$15*K631)</f>
        <v/>
      </c>
      <c r="T631" s="195">
        <f>IF(B631="","",P631+R631)</f>
        <v/>
      </c>
      <c r="U631" s="195">
        <f>IF(B631="","",Q631+S631)</f>
        <v/>
      </c>
      <c r="V631" s="195">
        <f>IF(B631="","",T631+'入力・概要'!$E$9*F631)</f>
        <v/>
      </c>
      <c r="W631" s="195">
        <f>IF(B631="","",U631+'入力・概要'!$E$9*G631)</f>
        <v/>
      </c>
      <c r="X631" s="195">
        <f>IF(B631="","",'入力・概要'!$E$9+T631*F631-U631*G631)</f>
        <v/>
      </c>
      <c r="Y631" s="195">
        <f>IF(B631="","",T631*G631+U631*F631)</f>
        <v/>
      </c>
      <c r="Z631" s="195">
        <f>IF(B631="","",'入力・概要'!$E$9*(V631*X631+W631*Y631)/(X631^2+Y631^2)+'入力・概要'!$B$36)</f>
        <v/>
      </c>
      <c r="AA631" s="195">
        <f>IF(B631="","",'入力・概要'!$E$9*(W631*X631-V631*Y631)/(X631^2+Y631^2)+C631*'入力・概要'!$B$37*1E-9)</f>
        <v/>
      </c>
      <c r="AB631" s="195">
        <f>IF(B631="","",SQRT(Z631^2+AA631^2))</f>
        <v/>
      </c>
      <c r="AC631" s="195">
        <f>IF(B631="","",IF(Z631&gt;0,DEGREES(ATAN(AA631/Z631)),IF(Z631&lt;0,IF(AA631&gt;=0,DEGREES(ATAN(AA631/Z631))+180,DEGREES(ATAN(AA631/Z631))-180),IF(AA631&gt;0,90,IF(AA631&lt;0,-90,0)))))</f>
        <v/>
      </c>
      <c r="AD631" s="195">
        <f>IF(B631="","",LOG10(B631))</f>
        <v/>
      </c>
      <c r="AE631" s="195">
        <f>IF(AB631="","",LOG10(MAX(AB631,1E-12)))</f>
        <v/>
      </c>
      <c r="AF631" s="195">
        <f>IF(B631="","",SQRT(P631^2+Q631^2))</f>
        <v/>
      </c>
      <c r="AG631" s="195">
        <f>IF(B631="","",SQRT(R631^2+S631^2))</f>
        <v/>
      </c>
    </row>
    <row r="632">
      <c r="A632" t="n">
        <v>629</v>
      </c>
      <c r="B632" s="196">
        <f>IF(A632&lt;='入力・概要'!$B$40,10^(LOG10('入力・概要'!$B$38)+(A632-1)*(LOG10('入力・概要'!$B$39)-LOG10('入力・概要'!$B$38))/('入力・概要'!$B$40-1)),"")</f>
        <v/>
      </c>
      <c r="C632" s="195">
        <f>IF(B632="","",2*PI()*B632)</f>
        <v/>
      </c>
      <c r="D632" s="195">
        <f>IF(B632="","",ATANH(MIN(0.999999,'入力・概要'!$E$20/'入力・概要'!$E$9))+'入力・概要'!$B$20*SQRT(B632/1E6)+E632*'入力・概要'!$B$15/2)</f>
        <v/>
      </c>
      <c r="E632" s="195">
        <f>IF(B632="","",C632*('入力・概要'!$E$11*1E-9))</f>
        <v/>
      </c>
      <c r="F632" s="195">
        <f>IF(B632="","",SINH(2*D632)/(COSH(2*D632)+COS(2*E632)))</f>
        <v/>
      </c>
      <c r="G632" s="195">
        <f>IF(B632="","",SIN(2*E632)/(COSH(2*D632)+COS(2*E632)))</f>
        <v/>
      </c>
      <c r="H632" s="195">
        <f>IF(B632="","",ATANH(MIN(0.999999,'入力・概要'!$E$21/'入力・概要'!$E$15))+'入力・概要'!$B$21*SQRT(B632/1E6)+I632*'入力・概要'!$B$16/2)</f>
        <v/>
      </c>
      <c r="I632" s="195">
        <f>IF(B632="","",C632*('入力・概要'!$E$17*1E-9))</f>
        <v/>
      </c>
      <c r="J632" s="195">
        <f>IF(B632="","",SINH(2*H632)/(COSH(2*H632)+COS(2*I632)))</f>
        <v/>
      </c>
      <c r="K632" s="195">
        <f>IF(B632="","",SIN(2*I632)/(COSH(2*H632)+COS(2*I632)))</f>
        <v/>
      </c>
      <c r="L632" s="195">
        <f>IF(B632="","",'入力・概要'!$B$25)</f>
        <v/>
      </c>
      <c r="M632" s="195">
        <f>IF(B632="","",C632*'入力・概要'!$B$26*1E-9-1/(C632*'入力・概要'!$B$24*1E-6))</f>
        <v/>
      </c>
      <c r="N632" s="195">
        <f>IF(B632="","",'入力・概要'!$B$28)</f>
        <v/>
      </c>
      <c r="O632" s="195">
        <f>IF(B632="","",C632*'入力・概要'!$B$29*1E-9-1/(C632*'入力・概要'!$B$27*1E-6))</f>
        <v/>
      </c>
      <c r="P632" s="195">
        <f>IF(B632="","",((L632*N632-M632*O632)*(L632+N632)+(L632*O632+M632*N632)*(M632+O632))/((L632+N632)^2+(M632+O632)^2))</f>
        <v/>
      </c>
      <c r="Q632" s="195">
        <f>IF(B632="","",((L632*O632+M632*N632)*(L632+N632)-(L632*N632-M632*O632)*(M632+O632))/((L632+N632)^2+(M632+O632)^2))</f>
        <v/>
      </c>
      <c r="R632" s="195">
        <f>IF(B632="","",'入力・概要'!$E$15*J632)</f>
        <v/>
      </c>
      <c r="S632" s="195">
        <f>IF(B632="","",'入力・概要'!$E$15*K632)</f>
        <v/>
      </c>
      <c r="T632" s="195">
        <f>IF(B632="","",P632+R632)</f>
        <v/>
      </c>
      <c r="U632" s="195">
        <f>IF(B632="","",Q632+S632)</f>
        <v/>
      </c>
      <c r="V632" s="195">
        <f>IF(B632="","",T632+'入力・概要'!$E$9*F632)</f>
        <v/>
      </c>
      <c r="W632" s="195">
        <f>IF(B632="","",U632+'入力・概要'!$E$9*G632)</f>
        <v/>
      </c>
      <c r="X632" s="195">
        <f>IF(B632="","",'入力・概要'!$E$9+T632*F632-U632*G632)</f>
        <v/>
      </c>
      <c r="Y632" s="195">
        <f>IF(B632="","",T632*G632+U632*F632)</f>
        <v/>
      </c>
      <c r="Z632" s="195">
        <f>IF(B632="","",'入力・概要'!$E$9*(V632*X632+W632*Y632)/(X632^2+Y632^2)+'入力・概要'!$B$36)</f>
        <v/>
      </c>
      <c r="AA632" s="195">
        <f>IF(B632="","",'入力・概要'!$E$9*(W632*X632-V632*Y632)/(X632^2+Y632^2)+C632*'入力・概要'!$B$37*1E-9)</f>
        <v/>
      </c>
      <c r="AB632" s="195">
        <f>IF(B632="","",SQRT(Z632^2+AA632^2))</f>
        <v/>
      </c>
      <c r="AC632" s="195">
        <f>IF(B632="","",IF(Z632&gt;0,DEGREES(ATAN(AA632/Z632)),IF(Z632&lt;0,IF(AA632&gt;=0,DEGREES(ATAN(AA632/Z632))+180,DEGREES(ATAN(AA632/Z632))-180),IF(AA632&gt;0,90,IF(AA632&lt;0,-90,0)))))</f>
        <v/>
      </c>
      <c r="AD632" s="195">
        <f>IF(B632="","",LOG10(B632))</f>
        <v/>
      </c>
      <c r="AE632" s="195">
        <f>IF(AB632="","",LOG10(MAX(AB632,1E-12)))</f>
        <v/>
      </c>
      <c r="AF632" s="195">
        <f>IF(B632="","",SQRT(P632^2+Q632^2))</f>
        <v/>
      </c>
      <c r="AG632" s="195">
        <f>IF(B632="","",SQRT(R632^2+S632^2))</f>
        <v/>
      </c>
    </row>
    <row r="633">
      <c r="A633" t="n">
        <v>630</v>
      </c>
      <c r="B633" s="196">
        <f>IF(A633&lt;='入力・概要'!$B$40,10^(LOG10('入力・概要'!$B$38)+(A633-1)*(LOG10('入力・概要'!$B$39)-LOG10('入力・概要'!$B$38))/('入力・概要'!$B$40-1)),"")</f>
        <v/>
      </c>
      <c r="C633" s="195">
        <f>IF(B633="","",2*PI()*B633)</f>
        <v/>
      </c>
      <c r="D633" s="195">
        <f>IF(B633="","",ATANH(MIN(0.999999,'入力・概要'!$E$20/'入力・概要'!$E$9))+'入力・概要'!$B$20*SQRT(B633/1E6)+E633*'入力・概要'!$B$15/2)</f>
        <v/>
      </c>
      <c r="E633" s="195">
        <f>IF(B633="","",C633*('入力・概要'!$E$11*1E-9))</f>
        <v/>
      </c>
      <c r="F633" s="195">
        <f>IF(B633="","",SINH(2*D633)/(COSH(2*D633)+COS(2*E633)))</f>
        <v/>
      </c>
      <c r="G633" s="195">
        <f>IF(B633="","",SIN(2*E633)/(COSH(2*D633)+COS(2*E633)))</f>
        <v/>
      </c>
      <c r="H633" s="195">
        <f>IF(B633="","",ATANH(MIN(0.999999,'入力・概要'!$E$21/'入力・概要'!$E$15))+'入力・概要'!$B$21*SQRT(B633/1E6)+I633*'入力・概要'!$B$16/2)</f>
        <v/>
      </c>
      <c r="I633" s="195">
        <f>IF(B633="","",C633*('入力・概要'!$E$17*1E-9))</f>
        <v/>
      </c>
      <c r="J633" s="195">
        <f>IF(B633="","",SINH(2*H633)/(COSH(2*H633)+COS(2*I633)))</f>
        <v/>
      </c>
      <c r="K633" s="195">
        <f>IF(B633="","",SIN(2*I633)/(COSH(2*H633)+COS(2*I633)))</f>
        <v/>
      </c>
      <c r="L633" s="195">
        <f>IF(B633="","",'入力・概要'!$B$25)</f>
        <v/>
      </c>
      <c r="M633" s="195">
        <f>IF(B633="","",C633*'入力・概要'!$B$26*1E-9-1/(C633*'入力・概要'!$B$24*1E-6))</f>
        <v/>
      </c>
      <c r="N633" s="195">
        <f>IF(B633="","",'入力・概要'!$B$28)</f>
        <v/>
      </c>
      <c r="O633" s="195">
        <f>IF(B633="","",C633*'入力・概要'!$B$29*1E-9-1/(C633*'入力・概要'!$B$27*1E-6))</f>
        <v/>
      </c>
      <c r="P633" s="195">
        <f>IF(B633="","",((L633*N633-M633*O633)*(L633+N633)+(L633*O633+M633*N633)*(M633+O633))/((L633+N633)^2+(M633+O633)^2))</f>
        <v/>
      </c>
      <c r="Q633" s="195">
        <f>IF(B633="","",((L633*O633+M633*N633)*(L633+N633)-(L633*N633-M633*O633)*(M633+O633))/((L633+N633)^2+(M633+O633)^2))</f>
        <v/>
      </c>
      <c r="R633" s="195">
        <f>IF(B633="","",'入力・概要'!$E$15*J633)</f>
        <v/>
      </c>
      <c r="S633" s="195">
        <f>IF(B633="","",'入力・概要'!$E$15*K633)</f>
        <v/>
      </c>
      <c r="T633" s="195">
        <f>IF(B633="","",P633+R633)</f>
        <v/>
      </c>
      <c r="U633" s="195">
        <f>IF(B633="","",Q633+S633)</f>
        <v/>
      </c>
      <c r="V633" s="195">
        <f>IF(B633="","",T633+'入力・概要'!$E$9*F633)</f>
        <v/>
      </c>
      <c r="W633" s="195">
        <f>IF(B633="","",U633+'入力・概要'!$E$9*G633)</f>
        <v/>
      </c>
      <c r="X633" s="195">
        <f>IF(B633="","",'入力・概要'!$E$9+T633*F633-U633*G633)</f>
        <v/>
      </c>
      <c r="Y633" s="195">
        <f>IF(B633="","",T633*G633+U633*F633)</f>
        <v/>
      </c>
      <c r="Z633" s="195">
        <f>IF(B633="","",'入力・概要'!$E$9*(V633*X633+W633*Y633)/(X633^2+Y633^2)+'入力・概要'!$B$36)</f>
        <v/>
      </c>
      <c r="AA633" s="195">
        <f>IF(B633="","",'入力・概要'!$E$9*(W633*X633-V633*Y633)/(X633^2+Y633^2)+C633*'入力・概要'!$B$37*1E-9)</f>
        <v/>
      </c>
      <c r="AB633" s="195">
        <f>IF(B633="","",SQRT(Z633^2+AA633^2))</f>
        <v/>
      </c>
      <c r="AC633" s="195">
        <f>IF(B633="","",IF(Z633&gt;0,DEGREES(ATAN(AA633/Z633)),IF(Z633&lt;0,IF(AA633&gt;=0,DEGREES(ATAN(AA633/Z633))+180,DEGREES(ATAN(AA633/Z633))-180),IF(AA633&gt;0,90,IF(AA633&lt;0,-90,0)))))</f>
        <v/>
      </c>
      <c r="AD633" s="195">
        <f>IF(B633="","",LOG10(B633))</f>
        <v/>
      </c>
      <c r="AE633" s="195">
        <f>IF(AB633="","",LOG10(MAX(AB633,1E-12)))</f>
        <v/>
      </c>
      <c r="AF633" s="195">
        <f>IF(B633="","",SQRT(P633^2+Q633^2))</f>
        <v/>
      </c>
      <c r="AG633" s="195">
        <f>IF(B633="","",SQRT(R633^2+S633^2))</f>
        <v/>
      </c>
    </row>
    <row r="634">
      <c r="A634" t="n">
        <v>631</v>
      </c>
      <c r="B634" s="196">
        <f>IF(A634&lt;='入力・概要'!$B$40,10^(LOG10('入力・概要'!$B$38)+(A634-1)*(LOG10('入力・概要'!$B$39)-LOG10('入力・概要'!$B$38))/('入力・概要'!$B$40-1)),"")</f>
        <v/>
      </c>
      <c r="C634" s="195">
        <f>IF(B634="","",2*PI()*B634)</f>
        <v/>
      </c>
      <c r="D634" s="195">
        <f>IF(B634="","",ATANH(MIN(0.999999,'入力・概要'!$E$20/'入力・概要'!$E$9))+'入力・概要'!$B$20*SQRT(B634/1E6)+E634*'入力・概要'!$B$15/2)</f>
        <v/>
      </c>
      <c r="E634" s="195">
        <f>IF(B634="","",C634*('入力・概要'!$E$11*1E-9))</f>
        <v/>
      </c>
      <c r="F634" s="195">
        <f>IF(B634="","",SINH(2*D634)/(COSH(2*D634)+COS(2*E634)))</f>
        <v/>
      </c>
      <c r="G634" s="195">
        <f>IF(B634="","",SIN(2*E634)/(COSH(2*D634)+COS(2*E634)))</f>
        <v/>
      </c>
      <c r="H634" s="195">
        <f>IF(B634="","",ATANH(MIN(0.999999,'入力・概要'!$E$21/'入力・概要'!$E$15))+'入力・概要'!$B$21*SQRT(B634/1E6)+I634*'入力・概要'!$B$16/2)</f>
        <v/>
      </c>
      <c r="I634" s="195">
        <f>IF(B634="","",C634*('入力・概要'!$E$17*1E-9))</f>
        <v/>
      </c>
      <c r="J634" s="195">
        <f>IF(B634="","",SINH(2*H634)/(COSH(2*H634)+COS(2*I634)))</f>
        <v/>
      </c>
      <c r="K634" s="195">
        <f>IF(B634="","",SIN(2*I634)/(COSH(2*H634)+COS(2*I634)))</f>
        <v/>
      </c>
      <c r="L634" s="195">
        <f>IF(B634="","",'入力・概要'!$B$25)</f>
        <v/>
      </c>
      <c r="M634" s="195">
        <f>IF(B634="","",C634*'入力・概要'!$B$26*1E-9-1/(C634*'入力・概要'!$B$24*1E-6))</f>
        <v/>
      </c>
      <c r="N634" s="195">
        <f>IF(B634="","",'入力・概要'!$B$28)</f>
        <v/>
      </c>
      <c r="O634" s="195">
        <f>IF(B634="","",C634*'入力・概要'!$B$29*1E-9-1/(C634*'入力・概要'!$B$27*1E-6))</f>
        <v/>
      </c>
      <c r="P634" s="195">
        <f>IF(B634="","",((L634*N634-M634*O634)*(L634+N634)+(L634*O634+M634*N634)*(M634+O634))/((L634+N634)^2+(M634+O634)^2))</f>
        <v/>
      </c>
      <c r="Q634" s="195">
        <f>IF(B634="","",((L634*O634+M634*N634)*(L634+N634)-(L634*N634-M634*O634)*(M634+O634))/((L634+N634)^2+(M634+O634)^2))</f>
        <v/>
      </c>
      <c r="R634" s="195">
        <f>IF(B634="","",'入力・概要'!$E$15*J634)</f>
        <v/>
      </c>
      <c r="S634" s="195">
        <f>IF(B634="","",'入力・概要'!$E$15*K634)</f>
        <v/>
      </c>
      <c r="T634" s="195">
        <f>IF(B634="","",P634+R634)</f>
        <v/>
      </c>
      <c r="U634" s="195">
        <f>IF(B634="","",Q634+S634)</f>
        <v/>
      </c>
      <c r="V634" s="195">
        <f>IF(B634="","",T634+'入力・概要'!$E$9*F634)</f>
        <v/>
      </c>
      <c r="W634" s="195">
        <f>IF(B634="","",U634+'入力・概要'!$E$9*G634)</f>
        <v/>
      </c>
      <c r="X634" s="195">
        <f>IF(B634="","",'入力・概要'!$E$9+T634*F634-U634*G634)</f>
        <v/>
      </c>
      <c r="Y634" s="195">
        <f>IF(B634="","",T634*G634+U634*F634)</f>
        <v/>
      </c>
      <c r="Z634" s="195">
        <f>IF(B634="","",'入力・概要'!$E$9*(V634*X634+W634*Y634)/(X634^2+Y634^2)+'入力・概要'!$B$36)</f>
        <v/>
      </c>
      <c r="AA634" s="195">
        <f>IF(B634="","",'入力・概要'!$E$9*(W634*X634-V634*Y634)/(X634^2+Y634^2)+C634*'入力・概要'!$B$37*1E-9)</f>
        <v/>
      </c>
      <c r="AB634" s="195">
        <f>IF(B634="","",SQRT(Z634^2+AA634^2))</f>
        <v/>
      </c>
      <c r="AC634" s="195">
        <f>IF(B634="","",IF(Z634&gt;0,DEGREES(ATAN(AA634/Z634)),IF(Z634&lt;0,IF(AA634&gt;=0,DEGREES(ATAN(AA634/Z634))+180,DEGREES(ATAN(AA634/Z634))-180),IF(AA634&gt;0,90,IF(AA634&lt;0,-90,0)))))</f>
        <v/>
      </c>
      <c r="AD634" s="195">
        <f>IF(B634="","",LOG10(B634))</f>
        <v/>
      </c>
      <c r="AE634" s="195">
        <f>IF(AB634="","",LOG10(MAX(AB634,1E-12)))</f>
        <v/>
      </c>
      <c r="AF634" s="195">
        <f>IF(B634="","",SQRT(P634^2+Q634^2))</f>
        <v/>
      </c>
      <c r="AG634" s="195">
        <f>IF(B634="","",SQRT(R634^2+S634^2))</f>
        <v/>
      </c>
    </row>
    <row r="635">
      <c r="A635" t="n">
        <v>632</v>
      </c>
      <c r="B635" s="196">
        <f>IF(A635&lt;='入力・概要'!$B$40,10^(LOG10('入力・概要'!$B$38)+(A635-1)*(LOG10('入力・概要'!$B$39)-LOG10('入力・概要'!$B$38))/('入力・概要'!$B$40-1)),"")</f>
        <v/>
      </c>
      <c r="C635" s="195">
        <f>IF(B635="","",2*PI()*B635)</f>
        <v/>
      </c>
      <c r="D635" s="195">
        <f>IF(B635="","",ATANH(MIN(0.999999,'入力・概要'!$E$20/'入力・概要'!$E$9))+'入力・概要'!$B$20*SQRT(B635/1E6)+E635*'入力・概要'!$B$15/2)</f>
        <v/>
      </c>
      <c r="E635" s="195">
        <f>IF(B635="","",C635*('入力・概要'!$E$11*1E-9))</f>
        <v/>
      </c>
      <c r="F635" s="195">
        <f>IF(B635="","",SINH(2*D635)/(COSH(2*D635)+COS(2*E635)))</f>
        <v/>
      </c>
      <c r="G635" s="195">
        <f>IF(B635="","",SIN(2*E635)/(COSH(2*D635)+COS(2*E635)))</f>
        <v/>
      </c>
      <c r="H635" s="195">
        <f>IF(B635="","",ATANH(MIN(0.999999,'入力・概要'!$E$21/'入力・概要'!$E$15))+'入力・概要'!$B$21*SQRT(B635/1E6)+I635*'入力・概要'!$B$16/2)</f>
        <v/>
      </c>
      <c r="I635" s="195">
        <f>IF(B635="","",C635*('入力・概要'!$E$17*1E-9))</f>
        <v/>
      </c>
      <c r="J635" s="195">
        <f>IF(B635="","",SINH(2*H635)/(COSH(2*H635)+COS(2*I635)))</f>
        <v/>
      </c>
      <c r="K635" s="195">
        <f>IF(B635="","",SIN(2*I635)/(COSH(2*H635)+COS(2*I635)))</f>
        <v/>
      </c>
      <c r="L635" s="195">
        <f>IF(B635="","",'入力・概要'!$B$25)</f>
        <v/>
      </c>
      <c r="M635" s="195">
        <f>IF(B635="","",C635*'入力・概要'!$B$26*1E-9-1/(C635*'入力・概要'!$B$24*1E-6))</f>
        <v/>
      </c>
      <c r="N635" s="195">
        <f>IF(B635="","",'入力・概要'!$B$28)</f>
        <v/>
      </c>
      <c r="O635" s="195">
        <f>IF(B635="","",C635*'入力・概要'!$B$29*1E-9-1/(C635*'入力・概要'!$B$27*1E-6))</f>
        <v/>
      </c>
      <c r="P635" s="195">
        <f>IF(B635="","",((L635*N635-M635*O635)*(L635+N635)+(L635*O635+M635*N635)*(M635+O635))/((L635+N635)^2+(M635+O635)^2))</f>
        <v/>
      </c>
      <c r="Q635" s="195">
        <f>IF(B635="","",((L635*O635+M635*N635)*(L635+N635)-(L635*N635-M635*O635)*(M635+O635))/((L635+N635)^2+(M635+O635)^2))</f>
        <v/>
      </c>
      <c r="R635" s="195">
        <f>IF(B635="","",'入力・概要'!$E$15*J635)</f>
        <v/>
      </c>
      <c r="S635" s="195">
        <f>IF(B635="","",'入力・概要'!$E$15*K635)</f>
        <v/>
      </c>
      <c r="T635" s="195">
        <f>IF(B635="","",P635+R635)</f>
        <v/>
      </c>
      <c r="U635" s="195">
        <f>IF(B635="","",Q635+S635)</f>
        <v/>
      </c>
      <c r="V635" s="195">
        <f>IF(B635="","",T635+'入力・概要'!$E$9*F635)</f>
        <v/>
      </c>
      <c r="W635" s="195">
        <f>IF(B635="","",U635+'入力・概要'!$E$9*G635)</f>
        <v/>
      </c>
      <c r="X635" s="195">
        <f>IF(B635="","",'入力・概要'!$E$9+T635*F635-U635*G635)</f>
        <v/>
      </c>
      <c r="Y635" s="195">
        <f>IF(B635="","",T635*G635+U635*F635)</f>
        <v/>
      </c>
      <c r="Z635" s="195">
        <f>IF(B635="","",'入力・概要'!$E$9*(V635*X635+W635*Y635)/(X635^2+Y635^2)+'入力・概要'!$B$36)</f>
        <v/>
      </c>
      <c r="AA635" s="195">
        <f>IF(B635="","",'入力・概要'!$E$9*(W635*X635-V635*Y635)/(X635^2+Y635^2)+C635*'入力・概要'!$B$37*1E-9)</f>
        <v/>
      </c>
      <c r="AB635" s="195">
        <f>IF(B635="","",SQRT(Z635^2+AA635^2))</f>
        <v/>
      </c>
      <c r="AC635" s="195">
        <f>IF(B635="","",IF(Z635&gt;0,DEGREES(ATAN(AA635/Z635)),IF(Z635&lt;0,IF(AA635&gt;=0,DEGREES(ATAN(AA635/Z635))+180,DEGREES(ATAN(AA635/Z635))-180),IF(AA635&gt;0,90,IF(AA635&lt;0,-90,0)))))</f>
        <v/>
      </c>
      <c r="AD635" s="195">
        <f>IF(B635="","",LOG10(B635))</f>
        <v/>
      </c>
      <c r="AE635" s="195">
        <f>IF(AB635="","",LOG10(MAX(AB635,1E-12)))</f>
        <v/>
      </c>
      <c r="AF635" s="195">
        <f>IF(B635="","",SQRT(P635^2+Q635^2))</f>
        <v/>
      </c>
      <c r="AG635" s="195">
        <f>IF(B635="","",SQRT(R635^2+S635^2))</f>
        <v/>
      </c>
    </row>
    <row r="636">
      <c r="A636" t="n">
        <v>633</v>
      </c>
      <c r="B636" s="196">
        <f>IF(A636&lt;='入力・概要'!$B$40,10^(LOG10('入力・概要'!$B$38)+(A636-1)*(LOG10('入力・概要'!$B$39)-LOG10('入力・概要'!$B$38))/('入力・概要'!$B$40-1)),"")</f>
        <v/>
      </c>
      <c r="C636" s="195">
        <f>IF(B636="","",2*PI()*B636)</f>
        <v/>
      </c>
      <c r="D636" s="195">
        <f>IF(B636="","",ATANH(MIN(0.999999,'入力・概要'!$E$20/'入力・概要'!$E$9))+'入力・概要'!$B$20*SQRT(B636/1E6)+E636*'入力・概要'!$B$15/2)</f>
        <v/>
      </c>
      <c r="E636" s="195">
        <f>IF(B636="","",C636*('入力・概要'!$E$11*1E-9))</f>
        <v/>
      </c>
      <c r="F636" s="195">
        <f>IF(B636="","",SINH(2*D636)/(COSH(2*D636)+COS(2*E636)))</f>
        <v/>
      </c>
      <c r="G636" s="195">
        <f>IF(B636="","",SIN(2*E636)/(COSH(2*D636)+COS(2*E636)))</f>
        <v/>
      </c>
      <c r="H636" s="195">
        <f>IF(B636="","",ATANH(MIN(0.999999,'入力・概要'!$E$21/'入力・概要'!$E$15))+'入力・概要'!$B$21*SQRT(B636/1E6)+I636*'入力・概要'!$B$16/2)</f>
        <v/>
      </c>
      <c r="I636" s="195">
        <f>IF(B636="","",C636*('入力・概要'!$E$17*1E-9))</f>
        <v/>
      </c>
      <c r="J636" s="195">
        <f>IF(B636="","",SINH(2*H636)/(COSH(2*H636)+COS(2*I636)))</f>
        <v/>
      </c>
      <c r="K636" s="195">
        <f>IF(B636="","",SIN(2*I636)/(COSH(2*H636)+COS(2*I636)))</f>
        <v/>
      </c>
      <c r="L636" s="195">
        <f>IF(B636="","",'入力・概要'!$B$25)</f>
        <v/>
      </c>
      <c r="M636" s="195">
        <f>IF(B636="","",C636*'入力・概要'!$B$26*1E-9-1/(C636*'入力・概要'!$B$24*1E-6))</f>
        <v/>
      </c>
      <c r="N636" s="195">
        <f>IF(B636="","",'入力・概要'!$B$28)</f>
        <v/>
      </c>
      <c r="O636" s="195">
        <f>IF(B636="","",C636*'入力・概要'!$B$29*1E-9-1/(C636*'入力・概要'!$B$27*1E-6))</f>
        <v/>
      </c>
      <c r="P636" s="195">
        <f>IF(B636="","",((L636*N636-M636*O636)*(L636+N636)+(L636*O636+M636*N636)*(M636+O636))/((L636+N636)^2+(M636+O636)^2))</f>
        <v/>
      </c>
      <c r="Q636" s="195">
        <f>IF(B636="","",((L636*O636+M636*N636)*(L636+N636)-(L636*N636-M636*O636)*(M636+O636))/((L636+N636)^2+(M636+O636)^2))</f>
        <v/>
      </c>
      <c r="R636" s="195">
        <f>IF(B636="","",'入力・概要'!$E$15*J636)</f>
        <v/>
      </c>
      <c r="S636" s="195">
        <f>IF(B636="","",'入力・概要'!$E$15*K636)</f>
        <v/>
      </c>
      <c r="T636" s="195">
        <f>IF(B636="","",P636+R636)</f>
        <v/>
      </c>
      <c r="U636" s="195">
        <f>IF(B636="","",Q636+S636)</f>
        <v/>
      </c>
      <c r="V636" s="195">
        <f>IF(B636="","",T636+'入力・概要'!$E$9*F636)</f>
        <v/>
      </c>
      <c r="W636" s="195">
        <f>IF(B636="","",U636+'入力・概要'!$E$9*G636)</f>
        <v/>
      </c>
      <c r="X636" s="195">
        <f>IF(B636="","",'入力・概要'!$E$9+T636*F636-U636*G636)</f>
        <v/>
      </c>
      <c r="Y636" s="195">
        <f>IF(B636="","",T636*G636+U636*F636)</f>
        <v/>
      </c>
      <c r="Z636" s="195">
        <f>IF(B636="","",'入力・概要'!$E$9*(V636*X636+W636*Y636)/(X636^2+Y636^2)+'入力・概要'!$B$36)</f>
        <v/>
      </c>
      <c r="AA636" s="195">
        <f>IF(B636="","",'入力・概要'!$E$9*(W636*X636-V636*Y636)/(X636^2+Y636^2)+C636*'入力・概要'!$B$37*1E-9)</f>
        <v/>
      </c>
      <c r="AB636" s="195">
        <f>IF(B636="","",SQRT(Z636^2+AA636^2))</f>
        <v/>
      </c>
      <c r="AC636" s="195">
        <f>IF(B636="","",IF(Z636&gt;0,DEGREES(ATAN(AA636/Z636)),IF(Z636&lt;0,IF(AA636&gt;=0,DEGREES(ATAN(AA636/Z636))+180,DEGREES(ATAN(AA636/Z636))-180),IF(AA636&gt;0,90,IF(AA636&lt;0,-90,0)))))</f>
        <v/>
      </c>
      <c r="AD636" s="195">
        <f>IF(B636="","",LOG10(B636))</f>
        <v/>
      </c>
      <c r="AE636" s="195">
        <f>IF(AB636="","",LOG10(MAX(AB636,1E-12)))</f>
        <v/>
      </c>
      <c r="AF636" s="195">
        <f>IF(B636="","",SQRT(P636^2+Q636^2))</f>
        <v/>
      </c>
      <c r="AG636" s="195">
        <f>IF(B636="","",SQRT(R636^2+S636^2))</f>
        <v/>
      </c>
    </row>
    <row r="637">
      <c r="A637" t="n">
        <v>634</v>
      </c>
      <c r="B637" s="196">
        <f>IF(A637&lt;='入力・概要'!$B$40,10^(LOG10('入力・概要'!$B$38)+(A637-1)*(LOG10('入力・概要'!$B$39)-LOG10('入力・概要'!$B$38))/('入力・概要'!$B$40-1)),"")</f>
        <v/>
      </c>
      <c r="C637" s="195">
        <f>IF(B637="","",2*PI()*B637)</f>
        <v/>
      </c>
      <c r="D637" s="195">
        <f>IF(B637="","",ATANH(MIN(0.999999,'入力・概要'!$E$20/'入力・概要'!$E$9))+'入力・概要'!$B$20*SQRT(B637/1E6)+E637*'入力・概要'!$B$15/2)</f>
        <v/>
      </c>
      <c r="E637" s="195">
        <f>IF(B637="","",C637*('入力・概要'!$E$11*1E-9))</f>
        <v/>
      </c>
      <c r="F637" s="195">
        <f>IF(B637="","",SINH(2*D637)/(COSH(2*D637)+COS(2*E637)))</f>
        <v/>
      </c>
      <c r="G637" s="195">
        <f>IF(B637="","",SIN(2*E637)/(COSH(2*D637)+COS(2*E637)))</f>
        <v/>
      </c>
      <c r="H637" s="195">
        <f>IF(B637="","",ATANH(MIN(0.999999,'入力・概要'!$E$21/'入力・概要'!$E$15))+'入力・概要'!$B$21*SQRT(B637/1E6)+I637*'入力・概要'!$B$16/2)</f>
        <v/>
      </c>
      <c r="I637" s="195">
        <f>IF(B637="","",C637*('入力・概要'!$E$17*1E-9))</f>
        <v/>
      </c>
      <c r="J637" s="195">
        <f>IF(B637="","",SINH(2*H637)/(COSH(2*H637)+COS(2*I637)))</f>
        <v/>
      </c>
      <c r="K637" s="195">
        <f>IF(B637="","",SIN(2*I637)/(COSH(2*H637)+COS(2*I637)))</f>
        <v/>
      </c>
      <c r="L637" s="195">
        <f>IF(B637="","",'入力・概要'!$B$25)</f>
        <v/>
      </c>
      <c r="M637" s="195">
        <f>IF(B637="","",C637*'入力・概要'!$B$26*1E-9-1/(C637*'入力・概要'!$B$24*1E-6))</f>
        <v/>
      </c>
      <c r="N637" s="195">
        <f>IF(B637="","",'入力・概要'!$B$28)</f>
        <v/>
      </c>
      <c r="O637" s="195">
        <f>IF(B637="","",C637*'入力・概要'!$B$29*1E-9-1/(C637*'入力・概要'!$B$27*1E-6))</f>
        <v/>
      </c>
      <c r="P637" s="195">
        <f>IF(B637="","",((L637*N637-M637*O637)*(L637+N637)+(L637*O637+M637*N637)*(M637+O637))/((L637+N637)^2+(M637+O637)^2))</f>
        <v/>
      </c>
      <c r="Q637" s="195">
        <f>IF(B637="","",((L637*O637+M637*N637)*(L637+N637)-(L637*N637-M637*O637)*(M637+O637))/((L637+N637)^2+(M637+O637)^2))</f>
        <v/>
      </c>
      <c r="R637" s="195">
        <f>IF(B637="","",'入力・概要'!$E$15*J637)</f>
        <v/>
      </c>
      <c r="S637" s="195">
        <f>IF(B637="","",'入力・概要'!$E$15*K637)</f>
        <v/>
      </c>
      <c r="T637" s="195">
        <f>IF(B637="","",P637+R637)</f>
        <v/>
      </c>
      <c r="U637" s="195">
        <f>IF(B637="","",Q637+S637)</f>
        <v/>
      </c>
      <c r="V637" s="195">
        <f>IF(B637="","",T637+'入力・概要'!$E$9*F637)</f>
        <v/>
      </c>
      <c r="W637" s="195">
        <f>IF(B637="","",U637+'入力・概要'!$E$9*G637)</f>
        <v/>
      </c>
      <c r="X637" s="195">
        <f>IF(B637="","",'入力・概要'!$E$9+T637*F637-U637*G637)</f>
        <v/>
      </c>
      <c r="Y637" s="195">
        <f>IF(B637="","",T637*G637+U637*F637)</f>
        <v/>
      </c>
      <c r="Z637" s="195">
        <f>IF(B637="","",'入力・概要'!$E$9*(V637*X637+W637*Y637)/(X637^2+Y637^2)+'入力・概要'!$B$36)</f>
        <v/>
      </c>
      <c r="AA637" s="195">
        <f>IF(B637="","",'入力・概要'!$E$9*(W637*X637-V637*Y637)/(X637^2+Y637^2)+C637*'入力・概要'!$B$37*1E-9)</f>
        <v/>
      </c>
      <c r="AB637" s="195">
        <f>IF(B637="","",SQRT(Z637^2+AA637^2))</f>
        <v/>
      </c>
      <c r="AC637" s="195">
        <f>IF(B637="","",IF(Z637&gt;0,DEGREES(ATAN(AA637/Z637)),IF(Z637&lt;0,IF(AA637&gt;=0,DEGREES(ATAN(AA637/Z637))+180,DEGREES(ATAN(AA637/Z637))-180),IF(AA637&gt;0,90,IF(AA637&lt;0,-90,0)))))</f>
        <v/>
      </c>
      <c r="AD637" s="195">
        <f>IF(B637="","",LOG10(B637))</f>
        <v/>
      </c>
      <c r="AE637" s="195">
        <f>IF(AB637="","",LOG10(MAX(AB637,1E-12)))</f>
        <v/>
      </c>
      <c r="AF637" s="195">
        <f>IF(B637="","",SQRT(P637^2+Q637^2))</f>
        <v/>
      </c>
      <c r="AG637" s="195">
        <f>IF(B637="","",SQRT(R637^2+S637^2))</f>
        <v/>
      </c>
    </row>
    <row r="638">
      <c r="A638" t="n">
        <v>635</v>
      </c>
      <c r="B638" s="196">
        <f>IF(A638&lt;='入力・概要'!$B$40,10^(LOG10('入力・概要'!$B$38)+(A638-1)*(LOG10('入力・概要'!$B$39)-LOG10('入力・概要'!$B$38))/('入力・概要'!$B$40-1)),"")</f>
        <v/>
      </c>
      <c r="C638" s="195">
        <f>IF(B638="","",2*PI()*B638)</f>
        <v/>
      </c>
      <c r="D638" s="195">
        <f>IF(B638="","",ATANH(MIN(0.999999,'入力・概要'!$E$20/'入力・概要'!$E$9))+'入力・概要'!$B$20*SQRT(B638/1E6)+E638*'入力・概要'!$B$15/2)</f>
        <v/>
      </c>
      <c r="E638" s="195">
        <f>IF(B638="","",C638*('入力・概要'!$E$11*1E-9))</f>
        <v/>
      </c>
      <c r="F638" s="195">
        <f>IF(B638="","",SINH(2*D638)/(COSH(2*D638)+COS(2*E638)))</f>
        <v/>
      </c>
      <c r="G638" s="195">
        <f>IF(B638="","",SIN(2*E638)/(COSH(2*D638)+COS(2*E638)))</f>
        <v/>
      </c>
      <c r="H638" s="195">
        <f>IF(B638="","",ATANH(MIN(0.999999,'入力・概要'!$E$21/'入力・概要'!$E$15))+'入力・概要'!$B$21*SQRT(B638/1E6)+I638*'入力・概要'!$B$16/2)</f>
        <v/>
      </c>
      <c r="I638" s="195">
        <f>IF(B638="","",C638*('入力・概要'!$E$17*1E-9))</f>
        <v/>
      </c>
      <c r="J638" s="195">
        <f>IF(B638="","",SINH(2*H638)/(COSH(2*H638)+COS(2*I638)))</f>
        <v/>
      </c>
      <c r="K638" s="195">
        <f>IF(B638="","",SIN(2*I638)/(COSH(2*H638)+COS(2*I638)))</f>
        <v/>
      </c>
      <c r="L638" s="195">
        <f>IF(B638="","",'入力・概要'!$B$25)</f>
        <v/>
      </c>
      <c r="M638" s="195">
        <f>IF(B638="","",C638*'入力・概要'!$B$26*1E-9-1/(C638*'入力・概要'!$B$24*1E-6))</f>
        <v/>
      </c>
      <c r="N638" s="195">
        <f>IF(B638="","",'入力・概要'!$B$28)</f>
        <v/>
      </c>
      <c r="O638" s="195">
        <f>IF(B638="","",C638*'入力・概要'!$B$29*1E-9-1/(C638*'入力・概要'!$B$27*1E-6))</f>
        <v/>
      </c>
      <c r="P638" s="195">
        <f>IF(B638="","",((L638*N638-M638*O638)*(L638+N638)+(L638*O638+M638*N638)*(M638+O638))/((L638+N638)^2+(M638+O638)^2))</f>
        <v/>
      </c>
      <c r="Q638" s="195">
        <f>IF(B638="","",((L638*O638+M638*N638)*(L638+N638)-(L638*N638-M638*O638)*(M638+O638))/((L638+N638)^2+(M638+O638)^2))</f>
        <v/>
      </c>
      <c r="R638" s="195">
        <f>IF(B638="","",'入力・概要'!$E$15*J638)</f>
        <v/>
      </c>
      <c r="S638" s="195">
        <f>IF(B638="","",'入力・概要'!$E$15*K638)</f>
        <v/>
      </c>
      <c r="T638" s="195">
        <f>IF(B638="","",P638+R638)</f>
        <v/>
      </c>
      <c r="U638" s="195">
        <f>IF(B638="","",Q638+S638)</f>
        <v/>
      </c>
      <c r="V638" s="195">
        <f>IF(B638="","",T638+'入力・概要'!$E$9*F638)</f>
        <v/>
      </c>
      <c r="W638" s="195">
        <f>IF(B638="","",U638+'入力・概要'!$E$9*G638)</f>
        <v/>
      </c>
      <c r="X638" s="195">
        <f>IF(B638="","",'入力・概要'!$E$9+T638*F638-U638*G638)</f>
        <v/>
      </c>
      <c r="Y638" s="195">
        <f>IF(B638="","",T638*G638+U638*F638)</f>
        <v/>
      </c>
      <c r="Z638" s="195">
        <f>IF(B638="","",'入力・概要'!$E$9*(V638*X638+W638*Y638)/(X638^2+Y638^2)+'入力・概要'!$B$36)</f>
        <v/>
      </c>
      <c r="AA638" s="195">
        <f>IF(B638="","",'入力・概要'!$E$9*(W638*X638-V638*Y638)/(X638^2+Y638^2)+C638*'入力・概要'!$B$37*1E-9)</f>
        <v/>
      </c>
      <c r="AB638" s="195">
        <f>IF(B638="","",SQRT(Z638^2+AA638^2))</f>
        <v/>
      </c>
      <c r="AC638" s="195">
        <f>IF(B638="","",IF(Z638&gt;0,DEGREES(ATAN(AA638/Z638)),IF(Z638&lt;0,IF(AA638&gt;=0,DEGREES(ATAN(AA638/Z638))+180,DEGREES(ATAN(AA638/Z638))-180),IF(AA638&gt;0,90,IF(AA638&lt;0,-90,0)))))</f>
        <v/>
      </c>
      <c r="AD638" s="195">
        <f>IF(B638="","",LOG10(B638))</f>
        <v/>
      </c>
      <c r="AE638" s="195">
        <f>IF(AB638="","",LOG10(MAX(AB638,1E-12)))</f>
        <v/>
      </c>
      <c r="AF638" s="195">
        <f>IF(B638="","",SQRT(P638^2+Q638^2))</f>
        <v/>
      </c>
      <c r="AG638" s="195">
        <f>IF(B638="","",SQRT(R638^2+S638^2))</f>
        <v/>
      </c>
    </row>
    <row r="639">
      <c r="A639" t="n">
        <v>636</v>
      </c>
      <c r="B639" s="196">
        <f>IF(A639&lt;='入力・概要'!$B$40,10^(LOG10('入力・概要'!$B$38)+(A639-1)*(LOG10('入力・概要'!$B$39)-LOG10('入力・概要'!$B$38))/('入力・概要'!$B$40-1)),"")</f>
        <v/>
      </c>
      <c r="C639" s="195">
        <f>IF(B639="","",2*PI()*B639)</f>
        <v/>
      </c>
      <c r="D639" s="195">
        <f>IF(B639="","",ATANH(MIN(0.999999,'入力・概要'!$E$20/'入力・概要'!$E$9))+'入力・概要'!$B$20*SQRT(B639/1E6)+E639*'入力・概要'!$B$15/2)</f>
        <v/>
      </c>
      <c r="E639" s="195">
        <f>IF(B639="","",C639*('入力・概要'!$E$11*1E-9))</f>
        <v/>
      </c>
      <c r="F639" s="195">
        <f>IF(B639="","",SINH(2*D639)/(COSH(2*D639)+COS(2*E639)))</f>
        <v/>
      </c>
      <c r="G639" s="195">
        <f>IF(B639="","",SIN(2*E639)/(COSH(2*D639)+COS(2*E639)))</f>
        <v/>
      </c>
      <c r="H639" s="195">
        <f>IF(B639="","",ATANH(MIN(0.999999,'入力・概要'!$E$21/'入力・概要'!$E$15))+'入力・概要'!$B$21*SQRT(B639/1E6)+I639*'入力・概要'!$B$16/2)</f>
        <v/>
      </c>
      <c r="I639" s="195">
        <f>IF(B639="","",C639*('入力・概要'!$E$17*1E-9))</f>
        <v/>
      </c>
      <c r="J639" s="195">
        <f>IF(B639="","",SINH(2*H639)/(COSH(2*H639)+COS(2*I639)))</f>
        <v/>
      </c>
      <c r="K639" s="195">
        <f>IF(B639="","",SIN(2*I639)/(COSH(2*H639)+COS(2*I639)))</f>
        <v/>
      </c>
      <c r="L639" s="195">
        <f>IF(B639="","",'入力・概要'!$B$25)</f>
        <v/>
      </c>
      <c r="M639" s="195">
        <f>IF(B639="","",C639*'入力・概要'!$B$26*1E-9-1/(C639*'入力・概要'!$B$24*1E-6))</f>
        <v/>
      </c>
      <c r="N639" s="195">
        <f>IF(B639="","",'入力・概要'!$B$28)</f>
        <v/>
      </c>
      <c r="O639" s="195">
        <f>IF(B639="","",C639*'入力・概要'!$B$29*1E-9-1/(C639*'入力・概要'!$B$27*1E-6))</f>
        <v/>
      </c>
      <c r="P639" s="195">
        <f>IF(B639="","",((L639*N639-M639*O639)*(L639+N639)+(L639*O639+M639*N639)*(M639+O639))/((L639+N639)^2+(M639+O639)^2))</f>
        <v/>
      </c>
      <c r="Q639" s="195">
        <f>IF(B639="","",((L639*O639+M639*N639)*(L639+N639)-(L639*N639-M639*O639)*(M639+O639))/((L639+N639)^2+(M639+O639)^2))</f>
        <v/>
      </c>
      <c r="R639" s="195">
        <f>IF(B639="","",'入力・概要'!$E$15*J639)</f>
        <v/>
      </c>
      <c r="S639" s="195">
        <f>IF(B639="","",'入力・概要'!$E$15*K639)</f>
        <v/>
      </c>
      <c r="T639" s="195">
        <f>IF(B639="","",P639+R639)</f>
        <v/>
      </c>
      <c r="U639" s="195">
        <f>IF(B639="","",Q639+S639)</f>
        <v/>
      </c>
      <c r="V639" s="195">
        <f>IF(B639="","",T639+'入力・概要'!$E$9*F639)</f>
        <v/>
      </c>
      <c r="W639" s="195">
        <f>IF(B639="","",U639+'入力・概要'!$E$9*G639)</f>
        <v/>
      </c>
      <c r="X639" s="195">
        <f>IF(B639="","",'入力・概要'!$E$9+T639*F639-U639*G639)</f>
        <v/>
      </c>
      <c r="Y639" s="195">
        <f>IF(B639="","",T639*G639+U639*F639)</f>
        <v/>
      </c>
      <c r="Z639" s="195">
        <f>IF(B639="","",'入力・概要'!$E$9*(V639*X639+W639*Y639)/(X639^2+Y639^2)+'入力・概要'!$B$36)</f>
        <v/>
      </c>
      <c r="AA639" s="195">
        <f>IF(B639="","",'入力・概要'!$E$9*(W639*X639-V639*Y639)/(X639^2+Y639^2)+C639*'入力・概要'!$B$37*1E-9)</f>
        <v/>
      </c>
      <c r="AB639" s="195">
        <f>IF(B639="","",SQRT(Z639^2+AA639^2))</f>
        <v/>
      </c>
      <c r="AC639" s="195">
        <f>IF(B639="","",IF(Z639&gt;0,DEGREES(ATAN(AA639/Z639)),IF(Z639&lt;0,IF(AA639&gt;=0,DEGREES(ATAN(AA639/Z639))+180,DEGREES(ATAN(AA639/Z639))-180),IF(AA639&gt;0,90,IF(AA639&lt;0,-90,0)))))</f>
        <v/>
      </c>
      <c r="AD639" s="195">
        <f>IF(B639="","",LOG10(B639))</f>
        <v/>
      </c>
      <c r="AE639" s="195">
        <f>IF(AB639="","",LOG10(MAX(AB639,1E-12)))</f>
        <v/>
      </c>
      <c r="AF639" s="195">
        <f>IF(B639="","",SQRT(P639^2+Q639^2))</f>
        <v/>
      </c>
      <c r="AG639" s="195">
        <f>IF(B639="","",SQRT(R639^2+S639^2))</f>
        <v/>
      </c>
    </row>
    <row r="640">
      <c r="A640" t="n">
        <v>637</v>
      </c>
      <c r="B640" s="196">
        <f>IF(A640&lt;='入力・概要'!$B$40,10^(LOG10('入力・概要'!$B$38)+(A640-1)*(LOG10('入力・概要'!$B$39)-LOG10('入力・概要'!$B$38))/('入力・概要'!$B$40-1)),"")</f>
        <v/>
      </c>
      <c r="C640" s="195">
        <f>IF(B640="","",2*PI()*B640)</f>
        <v/>
      </c>
      <c r="D640" s="195">
        <f>IF(B640="","",ATANH(MIN(0.999999,'入力・概要'!$E$20/'入力・概要'!$E$9))+'入力・概要'!$B$20*SQRT(B640/1E6)+E640*'入力・概要'!$B$15/2)</f>
        <v/>
      </c>
      <c r="E640" s="195">
        <f>IF(B640="","",C640*('入力・概要'!$E$11*1E-9))</f>
        <v/>
      </c>
      <c r="F640" s="195">
        <f>IF(B640="","",SINH(2*D640)/(COSH(2*D640)+COS(2*E640)))</f>
        <v/>
      </c>
      <c r="G640" s="195">
        <f>IF(B640="","",SIN(2*E640)/(COSH(2*D640)+COS(2*E640)))</f>
        <v/>
      </c>
      <c r="H640" s="195">
        <f>IF(B640="","",ATANH(MIN(0.999999,'入力・概要'!$E$21/'入力・概要'!$E$15))+'入力・概要'!$B$21*SQRT(B640/1E6)+I640*'入力・概要'!$B$16/2)</f>
        <v/>
      </c>
      <c r="I640" s="195">
        <f>IF(B640="","",C640*('入力・概要'!$E$17*1E-9))</f>
        <v/>
      </c>
      <c r="J640" s="195">
        <f>IF(B640="","",SINH(2*H640)/(COSH(2*H640)+COS(2*I640)))</f>
        <v/>
      </c>
      <c r="K640" s="195">
        <f>IF(B640="","",SIN(2*I640)/(COSH(2*H640)+COS(2*I640)))</f>
        <v/>
      </c>
      <c r="L640" s="195">
        <f>IF(B640="","",'入力・概要'!$B$25)</f>
        <v/>
      </c>
      <c r="M640" s="195">
        <f>IF(B640="","",C640*'入力・概要'!$B$26*1E-9-1/(C640*'入力・概要'!$B$24*1E-6))</f>
        <v/>
      </c>
      <c r="N640" s="195">
        <f>IF(B640="","",'入力・概要'!$B$28)</f>
        <v/>
      </c>
      <c r="O640" s="195">
        <f>IF(B640="","",C640*'入力・概要'!$B$29*1E-9-1/(C640*'入力・概要'!$B$27*1E-6))</f>
        <v/>
      </c>
      <c r="P640" s="195">
        <f>IF(B640="","",((L640*N640-M640*O640)*(L640+N640)+(L640*O640+M640*N640)*(M640+O640))/((L640+N640)^2+(M640+O640)^2))</f>
        <v/>
      </c>
      <c r="Q640" s="195">
        <f>IF(B640="","",((L640*O640+M640*N640)*(L640+N640)-(L640*N640-M640*O640)*(M640+O640))/((L640+N640)^2+(M640+O640)^2))</f>
        <v/>
      </c>
      <c r="R640" s="195">
        <f>IF(B640="","",'入力・概要'!$E$15*J640)</f>
        <v/>
      </c>
      <c r="S640" s="195">
        <f>IF(B640="","",'入力・概要'!$E$15*K640)</f>
        <v/>
      </c>
      <c r="T640" s="195">
        <f>IF(B640="","",P640+R640)</f>
        <v/>
      </c>
      <c r="U640" s="195">
        <f>IF(B640="","",Q640+S640)</f>
        <v/>
      </c>
      <c r="V640" s="195">
        <f>IF(B640="","",T640+'入力・概要'!$E$9*F640)</f>
        <v/>
      </c>
      <c r="W640" s="195">
        <f>IF(B640="","",U640+'入力・概要'!$E$9*G640)</f>
        <v/>
      </c>
      <c r="X640" s="195">
        <f>IF(B640="","",'入力・概要'!$E$9+T640*F640-U640*G640)</f>
        <v/>
      </c>
      <c r="Y640" s="195">
        <f>IF(B640="","",T640*G640+U640*F640)</f>
        <v/>
      </c>
      <c r="Z640" s="195">
        <f>IF(B640="","",'入力・概要'!$E$9*(V640*X640+W640*Y640)/(X640^2+Y640^2)+'入力・概要'!$B$36)</f>
        <v/>
      </c>
      <c r="AA640" s="195">
        <f>IF(B640="","",'入力・概要'!$E$9*(W640*X640-V640*Y640)/(X640^2+Y640^2)+C640*'入力・概要'!$B$37*1E-9)</f>
        <v/>
      </c>
      <c r="AB640" s="195">
        <f>IF(B640="","",SQRT(Z640^2+AA640^2))</f>
        <v/>
      </c>
      <c r="AC640" s="195">
        <f>IF(B640="","",IF(Z640&gt;0,DEGREES(ATAN(AA640/Z640)),IF(Z640&lt;0,IF(AA640&gt;=0,DEGREES(ATAN(AA640/Z640))+180,DEGREES(ATAN(AA640/Z640))-180),IF(AA640&gt;0,90,IF(AA640&lt;0,-90,0)))))</f>
        <v/>
      </c>
      <c r="AD640" s="195">
        <f>IF(B640="","",LOG10(B640))</f>
        <v/>
      </c>
      <c r="AE640" s="195">
        <f>IF(AB640="","",LOG10(MAX(AB640,1E-12)))</f>
        <v/>
      </c>
      <c r="AF640" s="195">
        <f>IF(B640="","",SQRT(P640^2+Q640^2))</f>
        <v/>
      </c>
      <c r="AG640" s="195">
        <f>IF(B640="","",SQRT(R640^2+S640^2))</f>
        <v/>
      </c>
    </row>
    <row r="641">
      <c r="A641" t="n">
        <v>638</v>
      </c>
      <c r="B641" s="196">
        <f>IF(A641&lt;='入力・概要'!$B$40,10^(LOG10('入力・概要'!$B$38)+(A641-1)*(LOG10('入力・概要'!$B$39)-LOG10('入力・概要'!$B$38))/('入力・概要'!$B$40-1)),"")</f>
        <v/>
      </c>
      <c r="C641" s="195">
        <f>IF(B641="","",2*PI()*B641)</f>
        <v/>
      </c>
      <c r="D641" s="195">
        <f>IF(B641="","",ATANH(MIN(0.999999,'入力・概要'!$E$20/'入力・概要'!$E$9))+'入力・概要'!$B$20*SQRT(B641/1E6)+E641*'入力・概要'!$B$15/2)</f>
        <v/>
      </c>
      <c r="E641" s="195">
        <f>IF(B641="","",C641*('入力・概要'!$E$11*1E-9))</f>
        <v/>
      </c>
      <c r="F641" s="195">
        <f>IF(B641="","",SINH(2*D641)/(COSH(2*D641)+COS(2*E641)))</f>
        <v/>
      </c>
      <c r="G641" s="195">
        <f>IF(B641="","",SIN(2*E641)/(COSH(2*D641)+COS(2*E641)))</f>
        <v/>
      </c>
      <c r="H641" s="195">
        <f>IF(B641="","",ATANH(MIN(0.999999,'入力・概要'!$E$21/'入力・概要'!$E$15))+'入力・概要'!$B$21*SQRT(B641/1E6)+I641*'入力・概要'!$B$16/2)</f>
        <v/>
      </c>
      <c r="I641" s="195">
        <f>IF(B641="","",C641*('入力・概要'!$E$17*1E-9))</f>
        <v/>
      </c>
      <c r="J641" s="195">
        <f>IF(B641="","",SINH(2*H641)/(COSH(2*H641)+COS(2*I641)))</f>
        <v/>
      </c>
      <c r="K641" s="195">
        <f>IF(B641="","",SIN(2*I641)/(COSH(2*H641)+COS(2*I641)))</f>
        <v/>
      </c>
      <c r="L641" s="195">
        <f>IF(B641="","",'入力・概要'!$B$25)</f>
        <v/>
      </c>
      <c r="M641" s="195">
        <f>IF(B641="","",C641*'入力・概要'!$B$26*1E-9-1/(C641*'入力・概要'!$B$24*1E-6))</f>
        <v/>
      </c>
      <c r="N641" s="195">
        <f>IF(B641="","",'入力・概要'!$B$28)</f>
        <v/>
      </c>
      <c r="O641" s="195">
        <f>IF(B641="","",C641*'入力・概要'!$B$29*1E-9-1/(C641*'入力・概要'!$B$27*1E-6))</f>
        <v/>
      </c>
      <c r="P641" s="195">
        <f>IF(B641="","",((L641*N641-M641*O641)*(L641+N641)+(L641*O641+M641*N641)*(M641+O641))/((L641+N641)^2+(M641+O641)^2))</f>
        <v/>
      </c>
      <c r="Q641" s="195">
        <f>IF(B641="","",((L641*O641+M641*N641)*(L641+N641)-(L641*N641-M641*O641)*(M641+O641))/((L641+N641)^2+(M641+O641)^2))</f>
        <v/>
      </c>
      <c r="R641" s="195">
        <f>IF(B641="","",'入力・概要'!$E$15*J641)</f>
        <v/>
      </c>
      <c r="S641" s="195">
        <f>IF(B641="","",'入力・概要'!$E$15*K641)</f>
        <v/>
      </c>
      <c r="T641" s="195">
        <f>IF(B641="","",P641+R641)</f>
        <v/>
      </c>
      <c r="U641" s="195">
        <f>IF(B641="","",Q641+S641)</f>
        <v/>
      </c>
      <c r="V641" s="195">
        <f>IF(B641="","",T641+'入力・概要'!$E$9*F641)</f>
        <v/>
      </c>
      <c r="W641" s="195">
        <f>IF(B641="","",U641+'入力・概要'!$E$9*G641)</f>
        <v/>
      </c>
      <c r="X641" s="195">
        <f>IF(B641="","",'入力・概要'!$E$9+T641*F641-U641*G641)</f>
        <v/>
      </c>
      <c r="Y641" s="195">
        <f>IF(B641="","",T641*G641+U641*F641)</f>
        <v/>
      </c>
      <c r="Z641" s="195">
        <f>IF(B641="","",'入力・概要'!$E$9*(V641*X641+W641*Y641)/(X641^2+Y641^2)+'入力・概要'!$B$36)</f>
        <v/>
      </c>
      <c r="AA641" s="195">
        <f>IF(B641="","",'入力・概要'!$E$9*(W641*X641-V641*Y641)/(X641^2+Y641^2)+C641*'入力・概要'!$B$37*1E-9)</f>
        <v/>
      </c>
      <c r="AB641" s="195">
        <f>IF(B641="","",SQRT(Z641^2+AA641^2))</f>
        <v/>
      </c>
      <c r="AC641" s="195">
        <f>IF(B641="","",IF(Z641&gt;0,DEGREES(ATAN(AA641/Z641)),IF(Z641&lt;0,IF(AA641&gt;=0,DEGREES(ATAN(AA641/Z641))+180,DEGREES(ATAN(AA641/Z641))-180),IF(AA641&gt;0,90,IF(AA641&lt;0,-90,0)))))</f>
        <v/>
      </c>
      <c r="AD641" s="195">
        <f>IF(B641="","",LOG10(B641))</f>
        <v/>
      </c>
      <c r="AE641" s="195">
        <f>IF(AB641="","",LOG10(MAX(AB641,1E-12)))</f>
        <v/>
      </c>
      <c r="AF641" s="195">
        <f>IF(B641="","",SQRT(P641^2+Q641^2))</f>
        <v/>
      </c>
      <c r="AG641" s="195">
        <f>IF(B641="","",SQRT(R641^2+S641^2))</f>
        <v/>
      </c>
    </row>
    <row r="642">
      <c r="A642" t="n">
        <v>639</v>
      </c>
      <c r="B642" s="196">
        <f>IF(A642&lt;='入力・概要'!$B$40,10^(LOG10('入力・概要'!$B$38)+(A642-1)*(LOG10('入力・概要'!$B$39)-LOG10('入力・概要'!$B$38))/('入力・概要'!$B$40-1)),"")</f>
        <v/>
      </c>
      <c r="C642" s="195">
        <f>IF(B642="","",2*PI()*B642)</f>
        <v/>
      </c>
      <c r="D642" s="195">
        <f>IF(B642="","",ATANH(MIN(0.999999,'入力・概要'!$E$20/'入力・概要'!$E$9))+'入力・概要'!$B$20*SQRT(B642/1E6)+E642*'入力・概要'!$B$15/2)</f>
        <v/>
      </c>
      <c r="E642" s="195">
        <f>IF(B642="","",C642*('入力・概要'!$E$11*1E-9))</f>
        <v/>
      </c>
      <c r="F642" s="195">
        <f>IF(B642="","",SINH(2*D642)/(COSH(2*D642)+COS(2*E642)))</f>
        <v/>
      </c>
      <c r="G642" s="195">
        <f>IF(B642="","",SIN(2*E642)/(COSH(2*D642)+COS(2*E642)))</f>
        <v/>
      </c>
      <c r="H642" s="195">
        <f>IF(B642="","",ATANH(MIN(0.999999,'入力・概要'!$E$21/'入力・概要'!$E$15))+'入力・概要'!$B$21*SQRT(B642/1E6)+I642*'入力・概要'!$B$16/2)</f>
        <v/>
      </c>
      <c r="I642" s="195">
        <f>IF(B642="","",C642*('入力・概要'!$E$17*1E-9))</f>
        <v/>
      </c>
      <c r="J642" s="195">
        <f>IF(B642="","",SINH(2*H642)/(COSH(2*H642)+COS(2*I642)))</f>
        <v/>
      </c>
      <c r="K642" s="195">
        <f>IF(B642="","",SIN(2*I642)/(COSH(2*H642)+COS(2*I642)))</f>
        <v/>
      </c>
      <c r="L642" s="195">
        <f>IF(B642="","",'入力・概要'!$B$25)</f>
        <v/>
      </c>
      <c r="M642" s="195">
        <f>IF(B642="","",C642*'入力・概要'!$B$26*1E-9-1/(C642*'入力・概要'!$B$24*1E-6))</f>
        <v/>
      </c>
      <c r="N642" s="195">
        <f>IF(B642="","",'入力・概要'!$B$28)</f>
        <v/>
      </c>
      <c r="O642" s="195">
        <f>IF(B642="","",C642*'入力・概要'!$B$29*1E-9-1/(C642*'入力・概要'!$B$27*1E-6))</f>
        <v/>
      </c>
      <c r="P642" s="195">
        <f>IF(B642="","",((L642*N642-M642*O642)*(L642+N642)+(L642*O642+M642*N642)*(M642+O642))/((L642+N642)^2+(M642+O642)^2))</f>
        <v/>
      </c>
      <c r="Q642" s="195">
        <f>IF(B642="","",((L642*O642+M642*N642)*(L642+N642)-(L642*N642-M642*O642)*(M642+O642))/((L642+N642)^2+(M642+O642)^2))</f>
        <v/>
      </c>
      <c r="R642" s="195">
        <f>IF(B642="","",'入力・概要'!$E$15*J642)</f>
        <v/>
      </c>
      <c r="S642" s="195">
        <f>IF(B642="","",'入力・概要'!$E$15*K642)</f>
        <v/>
      </c>
      <c r="T642" s="195">
        <f>IF(B642="","",P642+R642)</f>
        <v/>
      </c>
      <c r="U642" s="195">
        <f>IF(B642="","",Q642+S642)</f>
        <v/>
      </c>
      <c r="V642" s="195">
        <f>IF(B642="","",T642+'入力・概要'!$E$9*F642)</f>
        <v/>
      </c>
      <c r="W642" s="195">
        <f>IF(B642="","",U642+'入力・概要'!$E$9*G642)</f>
        <v/>
      </c>
      <c r="X642" s="195">
        <f>IF(B642="","",'入力・概要'!$E$9+T642*F642-U642*G642)</f>
        <v/>
      </c>
      <c r="Y642" s="195">
        <f>IF(B642="","",T642*G642+U642*F642)</f>
        <v/>
      </c>
      <c r="Z642" s="195">
        <f>IF(B642="","",'入力・概要'!$E$9*(V642*X642+W642*Y642)/(X642^2+Y642^2)+'入力・概要'!$B$36)</f>
        <v/>
      </c>
      <c r="AA642" s="195">
        <f>IF(B642="","",'入力・概要'!$E$9*(W642*X642-V642*Y642)/(X642^2+Y642^2)+C642*'入力・概要'!$B$37*1E-9)</f>
        <v/>
      </c>
      <c r="AB642" s="195">
        <f>IF(B642="","",SQRT(Z642^2+AA642^2))</f>
        <v/>
      </c>
      <c r="AC642" s="195">
        <f>IF(B642="","",IF(Z642&gt;0,DEGREES(ATAN(AA642/Z642)),IF(Z642&lt;0,IF(AA642&gt;=0,DEGREES(ATAN(AA642/Z642))+180,DEGREES(ATAN(AA642/Z642))-180),IF(AA642&gt;0,90,IF(AA642&lt;0,-90,0)))))</f>
        <v/>
      </c>
      <c r="AD642" s="195">
        <f>IF(B642="","",LOG10(B642))</f>
        <v/>
      </c>
      <c r="AE642" s="195">
        <f>IF(AB642="","",LOG10(MAX(AB642,1E-12)))</f>
        <v/>
      </c>
      <c r="AF642" s="195">
        <f>IF(B642="","",SQRT(P642^2+Q642^2))</f>
        <v/>
      </c>
      <c r="AG642" s="195">
        <f>IF(B642="","",SQRT(R642^2+S642^2))</f>
        <v/>
      </c>
    </row>
    <row r="643">
      <c r="A643" t="n">
        <v>640</v>
      </c>
      <c r="B643" s="196">
        <f>IF(A643&lt;='入力・概要'!$B$40,10^(LOG10('入力・概要'!$B$38)+(A643-1)*(LOG10('入力・概要'!$B$39)-LOG10('入力・概要'!$B$38))/('入力・概要'!$B$40-1)),"")</f>
        <v/>
      </c>
      <c r="C643" s="195">
        <f>IF(B643="","",2*PI()*B643)</f>
        <v/>
      </c>
      <c r="D643" s="195">
        <f>IF(B643="","",ATANH(MIN(0.999999,'入力・概要'!$E$20/'入力・概要'!$E$9))+'入力・概要'!$B$20*SQRT(B643/1E6)+E643*'入力・概要'!$B$15/2)</f>
        <v/>
      </c>
      <c r="E643" s="195">
        <f>IF(B643="","",C643*('入力・概要'!$E$11*1E-9))</f>
        <v/>
      </c>
      <c r="F643" s="195">
        <f>IF(B643="","",SINH(2*D643)/(COSH(2*D643)+COS(2*E643)))</f>
        <v/>
      </c>
      <c r="G643" s="195">
        <f>IF(B643="","",SIN(2*E643)/(COSH(2*D643)+COS(2*E643)))</f>
        <v/>
      </c>
      <c r="H643" s="195">
        <f>IF(B643="","",ATANH(MIN(0.999999,'入力・概要'!$E$21/'入力・概要'!$E$15))+'入力・概要'!$B$21*SQRT(B643/1E6)+I643*'入力・概要'!$B$16/2)</f>
        <v/>
      </c>
      <c r="I643" s="195">
        <f>IF(B643="","",C643*('入力・概要'!$E$17*1E-9))</f>
        <v/>
      </c>
      <c r="J643" s="195">
        <f>IF(B643="","",SINH(2*H643)/(COSH(2*H643)+COS(2*I643)))</f>
        <v/>
      </c>
      <c r="K643" s="195">
        <f>IF(B643="","",SIN(2*I643)/(COSH(2*H643)+COS(2*I643)))</f>
        <v/>
      </c>
      <c r="L643" s="195">
        <f>IF(B643="","",'入力・概要'!$B$25)</f>
        <v/>
      </c>
      <c r="M643" s="195">
        <f>IF(B643="","",C643*'入力・概要'!$B$26*1E-9-1/(C643*'入力・概要'!$B$24*1E-6))</f>
        <v/>
      </c>
      <c r="N643" s="195">
        <f>IF(B643="","",'入力・概要'!$B$28)</f>
        <v/>
      </c>
      <c r="O643" s="195">
        <f>IF(B643="","",C643*'入力・概要'!$B$29*1E-9-1/(C643*'入力・概要'!$B$27*1E-6))</f>
        <v/>
      </c>
      <c r="P643" s="195">
        <f>IF(B643="","",((L643*N643-M643*O643)*(L643+N643)+(L643*O643+M643*N643)*(M643+O643))/((L643+N643)^2+(M643+O643)^2))</f>
        <v/>
      </c>
      <c r="Q643" s="195">
        <f>IF(B643="","",((L643*O643+M643*N643)*(L643+N643)-(L643*N643-M643*O643)*(M643+O643))/((L643+N643)^2+(M643+O643)^2))</f>
        <v/>
      </c>
      <c r="R643" s="195">
        <f>IF(B643="","",'入力・概要'!$E$15*J643)</f>
        <v/>
      </c>
      <c r="S643" s="195">
        <f>IF(B643="","",'入力・概要'!$E$15*K643)</f>
        <v/>
      </c>
      <c r="T643" s="195">
        <f>IF(B643="","",P643+R643)</f>
        <v/>
      </c>
      <c r="U643" s="195">
        <f>IF(B643="","",Q643+S643)</f>
        <v/>
      </c>
      <c r="V643" s="195">
        <f>IF(B643="","",T643+'入力・概要'!$E$9*F643)</f>
        <v/>
      </c>
      <c r="W643" s="195">
        <f>IF(B643="","",U643+'入力・概要'!$E$9*G643)</f>
        <v/>
      </c>
      <c r="X643" s="195">
        <f>IF(B643="","",'入力・概要'!$E$9+T643*F643-U643*G643)</f>
        <v/>
      </c>
      <c r="Y643" s="195">
        <f>IF(B643="","",T643*G643+U643*F643)</f>
        <v/>
      </c>
      <c r="Z643" s="195">
        <f>IF(B643="","",'入力・概要'!$E$9*(V643*X643+W643*Y643)/(X643^2+Y643^2)+'入力・概要'!$B$36)</f>
        <v/>
      </c>
      <c r="AA643" s="195">
        <f>IF(B643="","",'入力・概要'!$E$9*(W643*X643-V643*Y643)/(X643^2+Y643^2)+C643*'入力・概要'!$B$37*1E-9)</f>
        <v/>
      </c>
      <c r="AB643" s="195">
        <f>IF(B643="","",SQRT(Z643^2+AA643^2))</f>
        <v/>
      </c>
      <c r="AC643" s="195">
        <f>IF(B643="","",IF(Z643&gt;0,DEGREES(ATAN(AA643/Z643)),IF(Z643&lt;0,IF(AA643&gt;=0,DEGREES(ATAN(AA643/Z643))+180,DEGREES(ATAN(AA643/Z643))-180),IF(AA643&gt;0,90,IF(AA643&lt;0,-90,0)))))</f>
        <v/>
      </c>
      <c r="AD643" s="195">
        <f>IF(B643="","",LOG10(B643))</f>
        <v/>
      </c>
      <c r="AE643" s="195">
        <f>IF(AB643="","",LOG10(MAX(AB643,1E-12)))</f>
        <v/>
      </c>
      <c r="AF643" s="195">
        <f>IF(B643="","",SQRT(P643^2+Q643^2))</f>
        <v/>
      </c>
      <c r="AG643" s="195">
        <f>IF(B643="","",SQRT(R643^2+S643^2))</f>
        <v/>
      </c>
    </row>
    <row r="644">
      <c r="A644" t="n">
        <v>641</v>
      </c>
      <c r="B644" s="196">
        <f>IF(A644&lt;='入力・概要'!$B$40,10^(LOG10('入力・概要'!$B$38)+(A644-1)*(LOG10('入力・概要'!$B$39)-LOG10('入力・概要'!$B$38))/('入力・概要'!$B$40-1)),"")</f>
        <v/>
      </c>
      <c r="C644" s="195">
        <f>IF(B644="","",2*PI()*B644)</f>
        <v/>
      </c>
      <c r="D644" s="195">
        <f>IF(B644="","",ATANH(MIN(0.999999,'入力・概要'!$E$20/'入力・概要'!$E$9))+'入力・概要'!$B$20*SQRT(B644/1E6)+E644*'入力・概要'!$B$15/2)</f>
        <v/>
      </c>
      <c r="E644" s="195">
        <f>IF(B644="","",C644*('入力・概要'!$E$11*1E-9))</f>
        <v/>
      </c>
      <c r="F644" s="195">
        <f>IF(B644="","",SINH(2*D644)/(COSH(2*D644)+COS(2*E644)))</f>
        <v/>
      </c>
      <c r="G644" s="195">
        <f>IF(B644="","",SIN(2*E644)/(COSH(2*D644)+COS(2*E644)))</f>
        <v/>
      </c>
      <c r="H644" s="195">
        <f>IF(B644="","",ATANH(MIN(0.999999,'入力・概要'!$E$21/'入力・概要'!$E$15))+'入力・概要'!$B$21*SQRT(B644/1E6)+I644*'入力・概要'!$B$16/2)</f>
        <v/>
      </c>
      <c r="I644" s="195">
        <f>IF(B644="","",C644*('入力・概要'!$E$17*1E-9))</f>
        <v/>
      </c>
      <c r="J644" s="195">
        <f>IF(B644="","",SINH(2*H644)/(COSH(2*H644)+COS(2*I644)))</f>
        <v/>
      </c>
      <c r="K644" s="195">
        <f>IF(B644="","",SIN(2*I644)/(COSH(2*H644)+COS(2*I644)))</f>
        <v/>
      </c>
      <c r="L644" s="195">
        <f>IF(B644="","",'入力・概要'!$B$25)</f>
        <v/>
      </c>
      <c r="M644" s="195">
        <f>IF(B644="","",C644*'入力・概要'!$B$26*1E-9-1/(C644*'入力・概要'!$B$24*1E-6))</f>
        <v/>
      </c>
      <c r="N644" s="195">
        <f>IF(B644="","",'入力・概要'!$B$28)</f>
        <v/>
      </c>
      <c r="O644" s="195">
        <f>IF(B644="","",C644*'入力・概要'!$B$29*1E-9-1/(C644*'入力・概要'!$B$27*1E-6))</f>
        <v/>
      </c>
      <c r="P644" s="195">
        <f>IF(B644="","",((L644*N644-M644*O644)*(L644+N644)+(L644*O644+M644*N644)*(M644+O644))/((L644+N644)^2+(M644+O644)^2))</f>
        <v/>
      </c>
      <c r="Q644" s="195">
        <f>IF(B644="","",((L644*O644+M644*N644)*(L644+N644)-(L644*N644-M644*O644)*(M644+O644))/((L644+N644)^2+(M644+O644)^2))</f>
        <v/>
      </c>
      <c r="R644" s="195">
        <f>IF(B644="","",'入力・概要'!$E$15*J644)</f>
        <v/>
      </c>
      <c r="S644" s="195">
        <f>IF(B644="","",'入力・概要'!$E$15*K644)</f>
        <v/>
      </c>
      <c r="T644" s="195">
        <f>IF(B644="","",P644+R644)</f>
        <v/>
      </c>
      <c r="U644" s="195">
        <f>IF(B644="","",Q644+S644)</f>
        <v/>
      </c>
      <c r="V644" s="195">
        <f>IF(B644="","",T644+'入力・概要'!$E$9*F644)</f>
        <v/>
      </c>
      <c r="W644" s="195">
        <f>IF(B644="","",U644+'入力・概要'!$E$9*G644)</f>
        <v/>
      </c>
      <c r="X644" s="195">
        <f>IF(B644="","",'入力・概要'!$E$9+T644*F644-U644*G644)</f>
        <v/>
      </c>
      <c r="Y644" s="195">
        <f>IF(B644="","",T644*G644+U644*F644)</f>
        <v/>
      </c>
      <c r="Z644" s="195">
        <f>IF(B644="","",'入力・概要'!$E$9*(V644*X644+W644*Y644)/(X644^2+Y644^2)+'入力・概要'!$B$36)</f>
        <v/>
      </c>
      <c r="AA644" s="195">
        <f>IF(B644="","",'入力・概要'!$E$9*(W644*X644-V644*Y644)/(X644^2+Y644^2)+C644*'入力・概要'!$B$37*1E-9)</f>
        <v/>
      </c>
      <c r="AB644" s="195">
        <f>IF(B644="","",SQRT(Z644^2+AA644^2))</f>
        <v/>
      </c>
      <c r="AC644" s="195">
        <f>IF(B644="","",IF(Z644&gt;0,DEGREES(ATAN(AA644/Z644)),IF(Z644&lt;0,IF(AA644&gt;=0,DEGREES(ATAN(AA644/Z644))+180,DEGREES(ATAN(AA644/Z644))-180),IF(AA644&gt;0,90,IF(AA644&lt;0,-90,0)))))</f>
        <v/>
      </c>
      <c r="AD644" s="195">
        <f>IF(B644="","",LOG10(B644))</f>
        <v/>
      </c>
      <c r="AE644" s="195">
        <f>IF(AB644="","",LOG10(MAX(AB644,1E-12)))</f>
        <v/>
      </c>
      <c r="AF644" s="195">
        <f>IF(B644="","",SQRT(P644^2+Q644^2))</f>
        <v/>
      </c>
      <c r="AG644" s="195">
        <f>IF(B644="","",SQRT(R644^2+S644^2))</f>
        <v/>
      </c>
    </row>
    <row r="645">
      <c r="A645" t="n">
        <v>642</v>
      </c>
      <c r="B645" s="196">
        <f>IF(A645&lt;='入力・概要'!$B$40,10^(LOG10('入力・概要'!$B$38)+(A645-1)*(LOG10('入力・概要'!$B$39)-LOG10('入力・概要'!$B$38))/('入力・概要'!$B$40-1)),"")</f>
        <v/>
      </c>
      <c r="C645" s="195">
        <f>IF(B645="","",2*PI()*B645)</f>
        <v/>
      </c>
      <c r="D645" s="195">
        <f>IF(B645="","",ATANH(MIN(0.999999,'入力・概要'!$E$20/'入力・概要'!$E$9))+'入力・概要'!$B$20*SQRT(B645/1E6)+E645*'入力・概要'!$B$15/2)</f>
        <v/>
      </c>
      <c r="E645" s="195">
        <f>IF(B645="","",C645*('入力・概要'!$E$11*1E-9))</f>
        <v/>
      </c>
      <c r="F645" s="195">
        <f>IF(B645="","",SINH(2*D645)/(COSH(2*D645)+COS(2*E645)))</f>
        <v/>
      </c>
      <c r="G645" s="195">
        <f>IF(B645="","",SIN(2*E645)/(COSH(2*D645)+COS(2*E645)))</f>
        <v/>
      </c>
      <c r="H645" s="195">
        <f>IF(B645="","",ATANH(MIN(0.999999,'入力・概要'!$E$21/'入力・概要'!$E$15))+'入力・概要'!$B$21*SQRT(B645/1E6)+I645*'入力・概要'!$B$16/2)</f>
        <v/>
      </c>
      <c r="I645" s="195">
        <f>IF(B645="","",C645*('入力・概要'!$E$17*1E-9))</f>
        <v/>
      </c>
      <c r="J645" s="195">
        <f>IF(B645="","",SINH(2*H645)/(COSH(2*H645)+COS(2*I645)))</f>
        <v/>
      </c>
      <c r="K645" s="195">
        <f>IF(B645="","",SIN(2*I645)/(COSH(2*H645)+COS(2*I645)))</f>
        <v/>
      </c>
      <c r="L645" s="195">
        <f>IF(B645="","",'入力・概要'!$B$25)</f>
        <v/>
      </c>
      <c r="M645" s="195">
        <f>IF(B645="","",C645*'入力・概要'!$B$26*1E-9-1/(C645*'入力・概要'!$B$24*1E-6))</f>
        <v/>
      </c>
      <c r="N645" s="195">
        <f>IF(B645="","",'入力・概要'!$B$28)</f>
        <v/>
      </c>
      <c r="O645" s="195">
        <f>IF(B645="","",C645*'入力・概要'!$B$29*1E-9-1/(C645*'入力・概要'!$B$27*1E-6))</f>
        <v/>
      </c>
      <c r="P645" s="195">
        <f>IF(B645="","",((L645*N645-M645*O645)*(L645+N645)+(L645*O645+M645*N645)*(M645+O645))/((L645+N645)^2+(M645+O645)^2))</f>
        <v/>
      </c>
      <c r="Q645" s="195">
        <f>IF(B645="","",((L645*O645+M645*N645)*(L645+N645)-(L645*N645-M645*O645)*(M645+O645))/((L645+N645)^2+(M645+O645)^2))</f>
        <v/>
      </c>
      <c r="R645" s="195">
        <f>IF(B645="","",'入力・概要'!$E$15*J645)</f>
        <v/>
      </c>
      <c r="S645" s="195">
        <f>IF(B645="","",'入力・概要'!$E$15*K645)</f>
        <v/>
      </c>
      <c r="T645" s="195">
        <f>IF(B645="","",P645+R645)</f>
        <v/>
      </c>
      <c r="U645" s="195">
        <f>IF(B645="","",Q645+S645)</f>
        <v/>
      </c>
      <c r="V645" s="195">
        <f>IF(B645="","",T645+'入力・概要'!$E$9*F645)</f>
        <v/>
      </c>
      <c r="W645" s="195">
        <f>IF(B645="","",U645+'入力・概要'!$E$9*G645)</f>
        <v/>
      </c>
      <c r="X645" s="195">
        <f>IF(B645="","",'入力・概要'!$E$9+T645*F645-U645*G645)</f>
        <v/>
      </c>
      <c r="Y645" s="195">
        <f>IF(B645="","",T645*G645+U645*F645)</f>
        <v/>
      </c>
      <c r="Z645" s="195">
        <f>IF(B645="","",'入力・概要'!$E$9*(V645*X645+W645*Y645)/(X645^2+Y645^2)+'入力・概要'!$B$36)</f>
        <v/>
      </c>
      <c r="AA645" s="195">
        <f>IF(B645="","",'入力・概要'!$E$9*(W645*X645-V645*Y645)/(X645^2+Y645^2)+C645*'入力・概要'!$B$37*1E-9)</f>
        <v/>
      </c>
      <c r="AB645" s="195">
        <f>IF(B645="","",SQRT(Z645^2+AA645^2))</f>
        <v/>
      </c>
      <c r="AC645" s="195">
        <f>IF(B645="","",IF(Z645&gt;0,DEGREES(ATAN(AA645/Z645)),IF(Z645&lt;0,IF(AA645&gt;=0,DEGREES(ATAN(AA645/Z645))+180,DEGREES(ATAN(AA645/Z645))-180),IF(AA645&gt;0,90,IF(AA645&lt;0,-90,0)))))</f>
        <v/>
      </c>
      <c r="AD645" s="195">
        <f>IF(B645="","",LOG10(B645))</f>
        <v/>
      </c>
      <c r="AE645" s="195">
        <f>IF(AB645="","",LOG10(MAX(AB645,1E-12)))</f>
        <v/>
      </c>
      <c r="AF645" s="195">
        <f>IF(B645="","",SQRT(P645^2+Q645^2))</f>
        <v/>
      </c>
      <c r="AG645" s="195">
        <f>IF(B645="","",SQRT(R645^2+S645^2))</f>
        <v/>
      </c>
    </row>
    <row r="646">
      <c r="A646" t="n">
        <v>643</v>
      </c>
      <c r="B646" s="196">
        <f>IF(A646&lt;='入力・概要'!$B$40,10^(LOG10('入力・概要'!$B$38)+(A646-1)*(LOG10('入力・概要'!$B$39)-LOG10('入力・概要'!$B$38))/('入力・概要'!$B$40-1)),"")</f>
        <v/>
      </c>
      <c r="C646" s="195">
        <f>IF(B646="","",2*PI()*B646)</f>
        <v/>
      </c>
      <c r="D646" s="195">
        <f>IF(B646="","",ATANH(MIN(0.999999,'入力・概要'!$E$20/'入力・概要'!$E$9))+'入力・概要'!$B$20*SQRT(B646/1E6)+E646*'入力・概要'!$B$15/2)</f>
        <v/>
      </c>
      <c r="E646" s="195">
        <f>IF(B646="","",C646*('入力・概要'!$E$11*1E-9))</f>
        <v/>
      </c>
      <c r="F646" s="195">
        <f>IF(B646="","",SINH(2*D646)/(COSH(2*D646)+COS(2*E646)))</f>
        <v/>
      </c>
      <c r="G646" s="195">
        <f>IF(B646="","",SIN(2*E646)/(COSH(2*D646)+COS(2*E646)))</f>
        <v/>
      </c>
      <c r="H646" s="195">
        <f>IF(B646="","",ATANH(MIN(0.999999,'入力・概要'!$E$21/'入力・概要'!$E$15))+'入力・概要'!$B$21*SQRT(B646/1E6)+I646*'入力・概要'!$B$16/2)</f>
        <v/>
      </c>
      <c r="I646" s="195">
        <f>IF(B646="","",C646*('入力・概要'!$E$17*1E-9))</f>
        <v/>
      </c>
      <c r="J646" s="195">
        <f>IF(B646="","",SINH(2*H646)/(COSH(2*H646)+COS(2*I646)))</f>
        <v/>
      </c>
      <c r="K646" s="195">
        <f>IF(B646="","",SIN(2*I646)/(COSH(2*H646)+COS(2*I646)))</f>
        <v/>
      </c>
      <c r="L646" s="195">
        <f>IF(B646="","",'入力・概要'!$B$25)</f>
        <v/>
      </c>
      <c r="M646" s="195">
        <f>IF(B646="","",C646*'入力・概要'!$B$26*1E-9-1/(C646*'入力・概要'!$B$24*1E-6))</f>
        <v/>
      </c>
      <c r="N646" s="195">
        <f>IF(B646="","",'入力・概要'!$B$28)</f>
        <v/>
      </c>
      <c r="O646" s="195">
        <f>IF(B646="","",C646*'入力・概要'!$B$29*1E-9-1/(C646*'入力・概要'!$B$27*1E-6))</f>
        <v/>
      </c>
      <c r="P646" s="195">
        <f>IF(B646="","",((L646*N646-M646*O646)*(L646+N646)+(L646*O646+M646*N646)*(M646+O646))/((L646+N646)^2+(M646+O646)^2))</f>
        <v/>
      </c>
      <c r="Q646" s="195">
        <f>IF(B646="","",((L646*O646+M646*N646)*(L646+N646)-(L646*N646-M646*O646)*(M646+O646))/((L646+N646)^2+(M646+O646)^2))</f>
        <v/>
      </c>
      <c r="R646" s="195">
        <f>IF(B646="","",'入力・概要'!$E$15*J646)</f>
        <v/>
      </c>
      <c r="S646" s="195">
        <f>IF(B646="","",'入力・概要'!$E$15*K646)</f>
        <v/>
      </c>
      <c r="T646" s="195">
        <f>IF(B646="","",P646+R646)</f>
        <v/>
      </c>
      <c r="U646" s="195">
        <f>IF(B646="","",Q646+S646)</f>
        <v/>
      </c>
      <c r="V646" s="195">
        <f>IF(B646="","",T646+'入力・概要'!$E$9*F646)</f>
        <v/>
      </c>
      <c r="W646" s="195">
        <f>IF(B646="","",U646+'入力・概要'!$E$9*G646)</f>
        <v/>
      </c>
      <c r="X646" s="195">
        <f>IF(B646="","",'入力・概要'!$E$9+T646*F646-U646*G646)</f>
        <v/>
      </c>
      <c r="Y646" s="195">
        <f>IF(B646="","",T646*G646+U646*F646)</f>
        <v/>
      </c>
      <c r="Z646" s="195">
        <f>IF(B646="","",'入力・概要'!$E$9*(V646*X646+W646*Y646)/(X646^2+Y646^2)+'入力・概要'!$B$36)</f>
        <v/>
      </c>
      <c r="AA646" s="195">
        <f>IF(B646="","",'入力・概要'!$E$9*(W646*X646-V646*Y646)/(X646^2+Y646^2)+C646*'入力・概要'!$B$37*1E-9)</f>
        <v/>
      </c>
      <c r="AB646" s="195">
        <f>IF(B646="","",SQRT(Z646^2+AA646^2))</f>
        <v/>
      </c>
      <c r="AC646" s="195">
        <f>IF(B646="","",IF(Z646&gt;0,DEGREES(ATAN(AA646/Z646)),IF(Z646&lt;0,IF(AA646&gt;=0,DEGREES(ATAN(AA646/Z646))+180,DEGREES(ATAN(AA646/Z646))-180),IF(AA646&gt;0,90,IF(AA646&lt;0,-90,0)))))</f>
        <v/>
      </c>
      <c r="AD646" s="195">
        <f>IF(B646="","",LOG10(B646))</f>
        <v/>
      </c>
      <c r="AE646" s="195">
        <f>IF(AB646="","",LOG10(MAX(AB646,1E-12)))</f>
        <v/>
      </c>
      <c r="AF646" s="195">
        <f>IF(B646="","",SQRT(P646^2+Q646^2))</f>
        <v/>
      </c>
      <c r="AG646" s="195">
        <f>IF(B646="","",SQRT(R646^2+S646^2))</f>
        <v/>
      </c>
    </row>
    <row r="647">
      <c r="A647" t="n">
        <v>644</v>
      </c>
      <c r="B647" s="196">
        <f>IF(A647&lt;='入力・概要'!$B$40,10^(LOG10('入力・概要'!$B$38)+(A647-1)*(LOG10('入力・概要'!$B$39)-LOG10('入力・概要'!$B$38))/('入力・概要'!$B$40-1)),"")</f>
        <v/>
      </c>
      <c r="C647" s="195">
        <f>IF(B647="","",2*PI()*B647)</f>
        <v/>
      </c>
      <c r="D647" s="195">
        <f>IF(B647="","",ATANH(MIN(0.999999,'入力・概要'!$E$20/'入力・概要'!$E$9))+'入力・概要'!$B$20*SQRT(B647/1E6)+E647*'入力・概要'!$B$15/2)</f>
        <v/>
      </c>
      <c r="E647" s="195">
        <f>IF(B647="","",C647*('入力・概要'!$E$11*1E-9))</f>
        <v/>
      </c>
      <c r="F647" s="195">
        <f>IF(B647="","",SINH(2*D647)/(COSH(2*D647)+COS(2*E647)))</f>
        <v/>
      </c>
      <c r="G647" s="195">
        <f>IF(B647="","",SIN(2*E647)/(COSH(2*D647)+COS(2*E647)))</f>
        <v/>
      </c>
      <c r="H647" s="195">
        <f>IF(B647="","",ATANH(MIN(0.999999,'入力・概要'!$E$21/'入力・概要'!$E$15))+'入力・概要'!$B$21*SQRT(B647/1E6)+I647*'入力・概要'!$B$16/2)</f>
        <v/>
      </c>
      <c r="I647" s="195">
        <f>IF(B647="","",C647*('入力・概要'!$E$17*1E-9))</f>
        <v/>
      </c>
      <c r="J647" s="195">
        <f>IF(B647="","",SINH(2*H647)/(COSH(2*H647)+COS(2*I647)))</f>
        <v/>
      </c>
      <c r="K647" s="195">
        <f>IF(B647="","",SIN(2*I647)/(COSH(2*H647)+COS(2*I647)))</f>
        <v/>
      </c>
      <c r="L647" s="195">
        <f>IF(B647="","",'入力・概要'!$B$25)</f>
        <v/>
      </c>
      <c r="M647" s="195">
        <f>IF(B647="","",C647*'入力・概要'!$B$26*1E-9-1/(C647*'入力・概要'!$B$24*1E-6))</f>
        <v/>
      </c>
      <c r="N647" s="195">
        <f>IF(B647="","",'入力・概要'!$B$28)</f>
        <v/>
      </c>
      <c r="O647" s="195">
        <f>IF(B647="","",C647*'入力・概要'!$B$29*1E-9-1/(C647*'入力・概要'!$B$27*1E-6))</f>
        <v/>
      </c>
      <c r="P647" s="195">
        <f>IF(B647="","",((L647*N647-M647*O647)*(L647+N647)+(L647*O647+M647*N647)*(M647+O647))/((L647+N647)^2+(M647+O647)^2))</f>
        <v/>
      </c>
      <c r="Q647" s="195">
        <f>IF(B647="","",((L647*O647+M647*N647)*(L647+N647)-(L647*N647-M647*O647)*(M647+O647))/((L647+N647)^2+(M647+O647)^2))</f>
        <v/>
      </c>
      <c r="R647" s="195">
        <f>IF(B647="","",'入力・概要'!$E$15*J647)</f>
        <v/>
      </c>
      <c r="S647" s="195">
        <f>IF(B647="","",'入力・概要'!$E$15*K647)</f>
        <v/>
      </c>
      <c r="T647" s="195">
        <f>IF(B647="","",P647+R647)</f>
        <v/>
      </c>
      <c r="U647" s="195">
        <f>IF(B647="","",Q647+S647)</f>
        <v/>
      </c>
      <c r="V647" s="195">
        <f>IF(B647="","",T647+'入力・概要'!$E$9*F647)</f>
        <v/>
      </c>
      <c r="W647" s="195">
        <f>IF(B647="","",U647+'入力・概要'!$E$9*G647)</f>
        <v/>
      </c>
      <c r="X647" s="195">
        <f>IF(B647="","",'入力・概要'!$E$9+T647*F647-U647*G647)</f>
        <v/>
      </c>
      <c r="Y647" s="195">
        <f>IF(B647="","",T647*G647+U647*F647)</f>
        <v/>
      </c>
      <c r="Z647" s="195">
        <f>IF(B647="","",'入力・概要'!$E$9*(V647*X647+W647*Y647)/(X647^2+Y647^2)+'入力・概要'!$B$36)</f>
        <v/>
      </c>
      <c r="AA647" s="195">
        <f>IF(B647="","",'入力・概要'!$E$9*(W647*X647-V647*Y647)/(X647^2+Y647^2)+C647*'入力・概要'!$B$37*1E-9)</f>
        <v/>
      </c>
      <c r="AB647" s="195">
        <f>IF(B647="","",SQRT(Z647^2+AA647^2))</f>
        <v/>
      </c>
      <c r="AC647" s="195">
        <f>IF(B647="","",IF(Z647&gt;0,DEGREES(ATAN(AA647/Z647)),IF(Z647&lt;0,IF(AA647&gt;=0,DEGREES(ATAN(AA647/Z647))+180,DEGREES(ATAN(AA647/Z647))-180),IF(AA647&gt;0,90,IF(AA647&lt;0,-90,0)))))</f>
        <v/>
      </c>
      <c r="AD647" s="195">
        <f>IF(B647="","",LOG10(B647))</f>
        <v/>
      </c>
      <c r="AE647" s="195">
        <f>IF(AB647="","",LOG10(MAX(AB647,1E-12)))</f>
        <v/>
      </c>
      <c r="AF647" s="195">
        <f>IF(B647="","",SQRT(P647^2+Q647^2))</f>
        <v/>
      </c>
      <c r="AG647" s="195">
        <f>IF(B647="","",SQRT(R647^2+S647^2))</f>
        <v/>
      </c>
    </row>
    <row r="648">
      <c r="A648" t="n">
        <v>645</v>
      </c>
      <c r="B648" s="196">
        <f>IF(A648&lt;='入力・概要'!$B$40,10^(LOG10('入力・概要'!$B$38)+(A648-1)*(LOG10('入力・概要'!$B$39)-LOG10('入力・概要'!$B$38))/('入力・概要'!$B$40-1)),"")</f>
        <v/>
      </c>
      <c r="C648" s="195">
        <f>IF(B648="","",2*PI()*B648)</f>
        <v/>
      </c>
      <c r="D648" s="195">
        <f>IF(B648="","",ATANH(MIN(0.999999,'入力・概要'!$E$20/'入力・概要'!$E$9))+'入力・概要'!$B$20*SQRT(B648/1E6)+E648*'入力・概要'!$B$15/2)</f>
        <v/>
      </c>
      <c r="E648" s="195">
        <f>IF(B648="","",C648*('入力・概要'!$E$11*1E-9))</f>
        <v/>
      </c>
      <c r="F648" s="195">
        <f>IF(B648="","",SINH(2*D648)/(COSH(2*D648)+COS(2*E648)))</f>
        <v/>
      </c>
      <c r="G648" s="195">
        <f>IF(B648="","",SIN(2*E648)/(COSH(2*D648)+COS(2*E648)))</f>
        <v/>
      </c>
      <c r="H648" s="195">
        <f>IF(B648="","",ATANH(MIN(0.999999,'入力・概要'!$E$21/'入力・概要'!$E$15))+'入力・概要'!$B$21*SQRT(B648/1E6)+I648*'入力・概要'!$B$16/2)</f>
        <v/>
      </c>
      <c r="I648" s="195">
        <f>IF(B648="","",C648*('入力・概要'!$E$17*1E-9))</f>
        <v/>
      </c>
      <c r="J648" s="195">
        <f>IF(B648="","",SINH(2*H648)/(COSH(2*H648)+COS(2*I648)))</f>
        <v/>
      </c>
      <c r="K648" s="195">
        <f>IF(B648="","",SIN(2*I648)/(COSH(2*H648)+COS(2*I648)))</f>
        <v/>
      </c>
      <c r="L648" s="195">
        <f>IF(B648="","",'入力・概要'!$B$25)</f>
        <v/>
      </c>
      <c r="M648" s="195">
        <f>IF(B648="","",C648*'入力・概要'!$B$26*1E-9-1/(C648*'入力・概要'!$B$24*1E-6))</f>
        <v/>
      </c>
      <c r="N648" s="195">
        <f>IF(B648="","",'入力・概要'!$B$28)</f>
        <v/>
      </c>
      <c r="O648" s="195">
        <f>IF(B648="","",C648*'入力・概要'!$B$29*1E-9-1/(C648*'入力・概要'!$B$27*1E-6))</f>
        <v/>
      </c>
      <c r="P648" s="195">
        <f>IF(B648="","",((L648*N648-M648*O648)*(L648+N648)+(L648*O648+M648*N648)*(M648+O648))/((L648+N648)^2+(M648+O648)^2))</f>
        <v/>
      </c>
      <c r="Q648" s="195">
        <f>IF(B648="","",((L648*O648+M648*N648)*(L648+N648)-(L648*N648-M648*O648)*(M648+O648))/((L648+N648)^2+(M648+O648)^2))</f>
        <v/>
      </c>
      <c r="R648" s="195">
        <f>IF(B648="","",'入力・概要'!$E$15*J648)</f>
        <v/>
      </c>
      <c r="S648" s="195">
        <f>IF(B648="","",'入力・概要'!$E$15*K648)</f>
        <v/>
      </c>
      <c r="T648" s="195">
        <f>IF(B648="","",P648+R648)</f>
        <v/>
      </c>
      <c r="U648" s="195">
        <f>IF(B648="","",Q648+S648)</f>
        <v/>
      </c>
      <c r="V648" s="195">
        <f>IF(B648="","",T648+'入力・概要'!$E$9*F648)</f>
        <v/>
      </c>
      <c r="W648" s="195">
        <f>IF(B648="","",U648+'入力・概要'!$E$9*G648)</f>
        <v/>
      </c>
      <c r="X648" s="195">
        <f>IF(B648="","",'入力・概要'!$E$9+T648*F648-U648*G648)</f>
        <v/>
      </c>
      <c r="Y648" s="195">
        <f>IF(B648="","",T648*G648+U648*F648)</f>
        <v/>
      </c>
      <c r="Z648" s="195">
        <f>IF(B648="","",'入力・概要'!$E$9*(V648*X648+W648*Y648)/(X648^2+Y648^2)+'入力・概要'!$B$36)</f>
        <v/>
      </c>
      <c r="AA648" s="195">
        <f>IF(B648="","",'入力・概要'!$E$9*(W648*X648-V648*Y648)/(X648^2+Y648^2)+C648*'入力・概要'!$B$37*1E-9)</f>
        <v/>
      </c>
      <c r="AB648" s="195">
        <f>IF(B648="","",SQRT(Z648^2+AA648^2))</f>
        <v/>
      </c>
      <c r="AC648" s="195">
        <f>IF(B648="","",IF(Z648&gt;0,DEGREES(ATAN(AA648/Z648)),IF(Z648&lt;0,IF(AA648&gt;=0,DEGREES(ATAN(AA648/Z648))+180,DEGREES(ATAN(AA648/Z648))-180),IF(AA648&gt;0,90,IF(AA648&lt;0,-90,0)))))</f>
        <v/>
      </c>
      <c r="AD648" s="195">
        <f>IF(B648="","",LOG10(B648))</f>
        <v/>
      </c>
      <c r="AE648" s="195">
        <f>IF(AB648="","",LOG10(MAX(AB648,1E-12)))</f>
        <v/>
      </c>
      <c r="AF648" s="195">
        <f>IF(B648="","",SQRT(P648^2+Q648^2))</f>
        <v/>
      </c>
      <c r="AG648" s="195">
        <f>IF(B648="","",SQRT(R648^2+S648^2))</f>
        <v/>
      </c>
    </row>
    <row r="649">
      <c r="A649" t="n">
        <v>646</v>
      </c>
      <c r="B649" s="196">
        <f>IF(A649&lt;='入力・概要'!$B$40,10^(LOG10('入力・概要'!$B$38)+(A649-1)*(LOG10('入力・概要'!$B$39)-LOG10('入力・概要'!$B$38))/('入力・概要'!$B$40-1)),"")</f>
        <v/>
      </c>
      <c r="C649" s="195">
        <f>IF(B649="","",2*PI()*B649)</f>
        <v/>
      </c>
      <c r="D649" s="195">
        <f>IF(B649="","",ATANH(MIN(0.999999,'入力・概要'!$E$20/'入力・概要'!$E$9))+'入力・概要'!$B$20*SQRT(B649/1E6)+E649*'入力・概要'!$B$15/2)</f>
        <v/>
      </c>
      <c r="E649" s="195">
        <f>IF(B649="","",C649*('入力・概要'!$E$11*1E-9))</f>
        <v/>
      </c>
      <c r="F649" s="195">
        <f>IF(B649="","",SINH(2*D649)/(COSH(2*D649)+COS(2*E649)))</f>
        <v/>
      </c>
      <c r="G649" s="195">
        <f>IF(B649="","",SIN(2*E649)/(COSH(2*D649)+COS(2*E649)))</f>
        <v/>
      </c>
      <c r="H649" s="195">
        <f>IF(B649="","",ATANH(MIN(0.999999,'入力・概要'!$E$21/'入力・概要'!$E$15))+'入力・概要'!$B$21*SQRT(B649/1E6)+I649*'入力・概要'!$B$16/2)</f>
        <v/>
      </c>
      <c r="I649" s="195">
        <f>IF(B649="","",C649*('入力・概要'!$E$17*1E-9))</f>
        <v/>
      </c>
      <c r="J649" s="195">
        <f>IF(B649="","",SINH(2*H649)/(COSH(2*H649)+COS(2*I649)))</f>
        <v/>
      </c>
      <c r="K649" s="195">
        <f>IF(B649="","",SIN(2*I649)/(COSH(2*H649)+COS(2*I649)))</f>
        <v/>
      </c>
      <c r="L649" s="195">
        <f>IF(B649="","",'入力・概要'!$B$25)</f>
        <v/>
      </c>
      <c r="M649" s="195">
        <f>IF(B649="","",C649*'入力・概要'!$B$26*1E-9-1/(C649*'入力・概要'!$B$24*1E-6))</f>
        <v/>
      </c>
      <c r="N649" s="195">
        <f>IF(B649="","",'入力・概要'!$B$28)</f>
        <v/>
      </c>
      <c r="O649" s="195">
        <f>IF(B649="","",C649*'入力・概要'!$B$29*1E-9-1/(C649*'入力・概要'!$B$27*1E-6))</f>
        <v/>
      </c>
      <c r="P649" s="195">
        <f>IF(B649="","",((L649*N649-M649*O649)*(L649+N649)+(L649*O649+M649*N649)*(M649+O649))/((L649+N649)^2+(M649+O649)^2))</f>
        <v/>
      </c>
      <c r="Q649" s="195">
        <f>IF(B649="","",((L649*O649+M649*N649)*(L649+N649)-(L649*N649-M649*O649)*(M649+O649))/((L649+N649)^2+(M649+O649)^2))</f>
        <v/>
      </c>
      <c r="R649" s="195">
        <f>IF(B649="","",'入力・概要'!$E$15*J649)</f>
        <v/>
      </c>
      <c r="S649" s="195">
        <f>IF(B649="","",'入力・概要'!$E$15*K649)</f>
        <v/>
      </c>
      <c r="T649" s="195">
        <f>IF(B649="","",P649+R649)</f>
        <v/>
      </c>
      <c r="U649" s="195">
        <f>IF(B649="","",Q649+S649)</f>
        <v/>
      </c>
      <c r="V649" s="195">
        <f>IF(B649="","",T649+'入力・概要'!$E$9*F649)</f>
        <v/>
      </c>
      <c r="W649" s="195">
        <f>IF(B649="","",U649+'入力・概要'!$E$9*G649)</f>
        <v/>
      </c>
      <c r="X649" s="195">
        <f>IF(B649="","",'入力・概要'!$E$9+T649*F649-U649*G649)</f>
        <v/>
      </c>
      <c r="Y649" s="195">
        <f>IF(B649="","",T649*G649+U649*F649)</f>
        <v/>
      </c>
      <c r="Z649" s="195">
        <f>IF(B649="","",'入力・概要'!$E$9*(V649*X649+W649*Y649)/(X649^2+Y649^2)+'入力・概要'!$B$36)</f>
        <v/>
      </c>
      <c r="AA649" s="195">
        <f>IF(B649="","",'入力・概要'!$E$9*(W649*X649-V649*Y649)/(X649^2+Y649^2)+C649*'入力・概要'!$B$37*1E-9)</f>
        <v/>
      </c>
      <c r="AB649" s="195">
        <f>IF(B649="","",SQRT(Z649^2+AA649^2))</f>
        <v/>
      </c>
      <c r="AC649" s="195">
        <f>IF(B649="","",IF(Z649&gt;0,DEGREES(ATAN(AA649/Z649)),IF(Z649&lt;0,IF(AA649&gt;=0,DEGREES(ATAN(AA649/Z649))+180,DEGREES(ATAN(AA649/Z649))-180),IF(AA649&gt;0,90,IF(AA649&lt;0,-90,0)))))</f>
        <v/>
      </c>
      <c r="AD649" s="195">
        <f>IF(B649="","",LOG10(B649))</f>
        <v/>
      </c>
      <c r="AE649" s="195">
        <f>IF(AB649="","",LOG10(MAX(AB649,1E-12)))</f>
        <v/>
      </c>
      <c r="AF649" s="195">
        <f>IF(B649="","",SQRT(P649^2+Q649^2))</f>
        <v/>
      </c>
      <c r="AG649" s="195">
        <f>IF(B649="","",SQRT(R649^2+S649^2))</f>
        <v/>
      </c>
    </row>
    <row r="650">
      <c r="A650" t="n">
        <v>647</v>
      </c>
      <c r="B650" s="196">
        <f>IF(A650&lt;='入力・概要'!$B$40,10^(LOG10('入力・概要'!$B$38)+(A650-1)*(LOG10('入力・概要'!$B$39)-LOG10('入力・概要'!$B$38))/('入力・概要'!$B$40-1)),"")</f>
        <v/>
      </c>
      <c r="C650" s="195">
        <f>IF(B650="","",2*PI()*B650)</f>
        <v/>
      </c>
      <c r="D650" s="195">
        <f>IF(B650="","",ATANH(MIN(0.999999,'入力・概要'!$E$20/'入力・概要'!$E$9))+'入力・概要'!$B$20*SQRT(B650/1E6)+E650*'入力・概要'!$B$15/2)</f>
        <v/>
      </c>
      <c r="E650" s="195">
        <f>IF(B650="","",C650*('入力・概要'!$E$11*1E-9))</f>
        <v/>
      </c>
      <c r="F650" s="195">
        <f>IF(B650="","",SINH(2*D650)/(COSH(2*D650)+COS(2*E650)))</f>
        <v/>
      </c>
      <c r="G650" s="195">
        <f>IF(B650="","",SIN(2*E650)/(COSH(2*D650)+COS(2*E650)))</f>
        <v/>
      </c>
      <c r="H650" s="195">
        <f>IF(B650="","",ATANH(MIN(0.999999,'入力・概要'!$E$21/'入力・概要'!$E$15))+'入力・概要'!$B$21*SQRT(B650/1E6)+I650*'入力・概要'!$B$16/2)</f>
        <v/>
      </c>
      <c r="I650" s="195">
        <f>IF(B650="","",C650*('入力・概要'!$E$17*1E-9))</f>
        <v/>
      </c>
      <c r="J650" s="195">
        <f>IF(B650="","",SINH(2*H650)/(COSH(2*H650)+COS(2*I650)))</f>
        <v/>
      </c>
      <c r="K650" s="195">
        <f>IF(B650="","",SIN(2*I650)/(COSH(2*H650)+COS(2*I650)))</f>
        <v/>
      </c>
      <c r="L650" s="195">
        <f>IF(B650="","",'入力・概要'!$B$25)</f>
        <v/>
      </c>
      <c r="M650" s="195">
        <f>IF(B650="","",C650*'入力・概要'!$B$26*1E-9-1/(C650*'入力・概要'!$B$24*1E-6))</f>
        <v/>
      </c>
      <c r="N650" s="195">
        <f>IF(B650="","",'入力・概要'!$B$28)</f>
        <v/>
      </c>
      <c r="O650" s="195">
        <f>IF(B650="","",C650*'入力・概要'!$B$29*1E-9-1/(C650*'入力・概要'!$B$27*1E-6))</f>
        <v/>
      </c>
      <c r="P650" s="195">
        <f>IF(B650="","",((L650*N650-M650*O650)*(L650+N650)+(L650*O650+M650*N650)*(M650+O650))/((L650+N650)^2+(M650+O650)^2))</f>
        <v/>
      </c>
      <c r="Q650" s="195">
        <f>IF(B650="","",((L650*O650+M650*N650)*(L650+N650)-(L650*N650-M650*O650)*(M650+O650))/((L650+N650)^2+(M650+O650)^2))</f>
        <v/>
      </c>
      <c r="R650" s="195">
        <f>IF(B650="","",'入力・概要'!$E$15*J650)</f>
        <v/>
      </c>
      <c r="S650" s="195">
        <f>IF(B650="","",'入力・概要'!$E$15*K650)</f>
        <v/>
      </c>
      <c r="T650" s="195">
        <f>IF(B650="","",P650+R650)</f>
        <v/>
      </c>
      <c r="U650" s="195">
        <f>IF(B650="","",Q650+S650)</f>
        <v/>
      </c>
      <c r="V650" s="195">
        <f>IF(B650="","",T650+'入力・概要'!$E$9*F650)</f>
        <v/>
      </c>
      <c r="W650" s="195">
        <f>IF(B650="","",U650+'入力・概要'!$E$9*G650)</f>
        <v/>
      </c>
      <c r="X650" s="195">
        <f>IF(B650="","",'入力・概要'!$E$9+T650*F650-U650*G650)</f>
        <v/>
      </c>
      <c r="Y650" s="195">
        <f>IF(B650="","",T650*G650+U650*F650)</f>
        <v/>
      </c>
      <c r="Z650" s="195">
        <f>IF(B650="","",'入力・概要'!$E$9*(V650*X650+W650*Y650)/(X650^2+Y650^2)+'入力・概要'!$B$36)</f>
        <v/>
      </c>
      <c r="AA650" s="195">
        <f>IF(B650="","",'入力・概要'!$E$9*(W650*X650-V650*Y650)/(X650^2+Y650^2)+C650*'入力・概要'!$B$37*1E-9)</f>
        <v/>
      </c>
      <c r="AB650" s="195">
        <f>IF(B650="","",SQRT(Z650^2+AA650^2))</f>
        <v/>
      </c>
      <c r="AC650" s="195">
        <f>IF(B650="","",IF(Z650&gt;0,DEGREES(ATAN(AA650/Z650)),IF(Z650&lt;0,IF(AA650&gt;=0,DEGREES(ATAN(AA650/Z650))+180,DEGREES(ATAN(AA650/Z650))-180),IF(AA650&gt;0,90,IF(AA650&lt;0,-90,0)))))</f>
        <v/>
      </c>
      <c r="AD650" s="195">
        <f>IF(B650="","",LOG10(B650))</f>
        <v/>
      </c>
      <c r="AE650" s="195">
        <f>IF(AB650="","",LOG10(MAX(AB650,1E-12)))</f>
        <v/>
      </c>
      <c r="AF650" s="195">
        <f>IF(B650="","",SQRT(P650^2+Q650^2))</f>
        <v/>
      </c>
      <c r="AG650" s="195">
        <f>IF(B650="","",SQRT(R650^2+S650^2))</f>
        <v/>
      </c>
    </row>
    <row r="651">
      <c r="A651" t="n">
        <v>648</v>
      </c>
      <c r="B651" s="196">
        <f>IF(A651&lt;='入力・概要'!$B$40,10^(LOG10('入力・概要'!$B$38)+(A651-1)*(LOG10('入力・概要'!$B$39)-LOG10('入力・概要'!$B$38))/('入力・概要'!$B$40-1)),"")</f>
        <v/>
      </c>
      <c r="C651" s="195">
        <f>IF(B651="","",2*PI()*B651)</f>
        <v/>
      </c>
      <c r="D651" s="195">
        <f>IF(B651="","",ATANH(MIN(0.999999,'入力・概要'!$E$20/'入力・概要'!$E$9))+'入力・概要'!$B$20*SQRT(B651/1E6)+E651*'入力・概要'!$B$15/2)</f>
        <v/>
      </c>
      <c r="E651" s="195">
        <f>IF(B651="","",C651*('入力・概要'!$E$11*1E-9))</f>
        <v/>
      </c>
      <c r="F651" s="195">
        <f>IF(B651="","",SINH(2*D651)/(COSH(2*D651)+COS(2*E651)))</f>
        <v/>
      </c>
      <c r="G651" s="195">
        <f>IF(B651="","",SIN(2*E651)/(COSH(2*D651)+COS(2*E651)))</f>
        <v/>
      </c>
      <c r="H651" s="195">
        <f>IF(B651="","",ATANH(MIN(0.999999,'入力・概要'!$E$21/'入力・概要'!$E$15))+'入力・概要'!$B$21*SQRT(B651/1E6)+I651*'入力・概要'!$B$16/2)</f>
        <v/>
      </c>
      <c r="I651" s="195">
        <f>IF(B651="","",C651*('入力・概要'!$E$17*1E-9))</f>
        <v/>
      </c>
      <c r="J651" s="195">
        <f>IF(B651="","",SINH(2*H651)/(COSH(2*H651)+COS(2*I651)))</f>
        <v/>
      </c>
      <c r="K651" s="195">
        <f>IF(B651="","",SIN(2*I651)/(COSH(2*H651)+COS(2*I651)))</f>
        <v/>
      </c>
      <c r="L651" s="195">
        <f>IF(B651="","",'入力・概要'!$B$25)</f>
        <v/>
      </c>
      <c r="M651" s="195">
        <f>IF(B651="","",C651*'入力・概要'!$B$26*1E-9-1/(C651*'入力・概要'!$B$24*1E-6))</f>
        <v/>
      </c>
      <c r="N651" s="195">
        <f>IF(B651="","",'入力・概要'!$B$28)</f>
        <v/>
      </c>
      <c r="O651" s="195">
        <f>IF(B651="","",C651*'入力・概要'!$B$29*1E-9-1/(C651*'入力・概要'!$B$27*1E-6))</f>
        <v/>
      </c>
      <c r="P651" s="195">
        <f>IF(B651="","",((L651*N651-M651*O651)*(L651+N651)+(L651*O651+M651*N651)*(M651+O651))/((L651+N651)^2+(M651+O651)^2))</f>
        <v/>
      </c>
      <c r="Q651" s="195">
        <f>IF(B651="","",((L651*O651+M651*N651)*(L651+N651)-(L651*N651-M651*O651)*(M651+O651))/((L651+N651)^2+(M651+O651)^2))</f>
        <v/>
      </c>
      <c r="R651" s="195">
        <f>IF(B651="","",'入力・概要'!$E$15*J651)</f>
        <v/>
      </c>
      <c r="S651" s="195">
        <f>IF(B651="","",'入力・概要'!$E$15*K651)</f>
        <v/>
      </c>
      <c r="T651" s="195">
        <f>IF(B651="","",P651+R651)</f>
        <v/>
      </c>
      <c r="U651" s="195">
        <f>IF(B651="","",Q651+S651)</f>
        <v/>
      </c>
      <c r="V651" s="195">
        <f>IF(B651="","",T651+'入力・概要'!$E$9*F651)</f>
        <v/>
      </c>
      <c r="W651" s="195">
        <f>IF(B651="","",U651+'入力・概要'!$E$9*G651)</f>
        <v/>
      </c>
      <c r="X651" s="195">
        <f>IF(B651="","",'入力・概要'!$E$9+T651*F651-U651*G651)</f>
        <v/>
      </c>
      <c r="Y651" s="195">
        <f>IF(B651="","",T651*G651+U651*F651)</f>
        <v/>
      </c>
      <c r="Z651" s="195">
        <f>IF(B651="","",'入力・概要'!$E$9*(V651*X651+W651*Y651)/(X651^2+Y651^2)+'入力・概要'!$B$36)</f>
        <v/>
      </c>
      <c r="AA651" s="195">
        <f>IF(B651="","",'入力・概要'!$E$9*(W651*X651-V651*Y651)/(X651^2+Y651^2)+C651*'入力・概要'!$B$37*1E-9)</f>
        <v/>
      </c>
      <c r="AB651" s="195">
        <f>IF(B651="","",SQRT(Z651^2+AA651^2))</f>
        <v/>
      </c>
      <c r="AC651" s="195">
        <f>IF(B651="","",IF(Z651&gt;0,DEGREES(ATAN(AA651/Z651)),IF(Z651&lt;0,IF(AA651&gt;=0,DEGREES(ATAN(AA651/Z651))+180,DEGREES(ATAN(AA651/Z651))-180),IF(AA651&gt;0,90,IF(AA651&lt;0,-90,0)))))</f>
        <v/>
      </c>
      <c r="AD651" s="195">
        <f>IF(B651="","",LOG10(B651))</f>
        <v/>
      </c>
      <c r="AE651" s="195">
        <f>IF(AB651="","",LOG10(MAX(AB651,1E-12)))</f>
        <v/>
      </c>
      <c r="AF651" s="195">
        <f>IF(B651="","",SQRT(P651^2+Q651^2))</f>
        <v/>
      </c>
      <c r="AG651" s="195">
        <f>IF(B651="","",SQRT(R651^2+S651^2))</f>
        <v/>
      </c>
    </row>
    <row r="652">
      <c r="A652" t="n">
        <v>649</v>
      </c>
      <c r="B652" s="196">
        <f>IF(A652&lt;='入力・概要'!$B$40,10^(LOG10('入力・概要'!$B$38)+(A652-1)*(LOG10('入力・概要'!$B$39)-LOG10('入力・概要'!$B$38))/('入力・概要'!$B$40-1)),"")</f>
        <v/>
      </c>
      <c r="C652" s="195">
        <f>IF(B652="","",2*PI()*B652)</f>
        <v/>
      </c>
      <c r="D652" s="195">
        <f>IF(B652="","",ATANH(MIN(0.999999,'入力・概要'!$E$20/'入力・概要'!$E$9))+'入力・概要'!$B$20*SQRT(B652/1E6)+E652*'入力・概要'!$B$15/2)</f>
        <v/>
      </c>
      <c r="E652" s="195">
        <f>IF(B652="","",C652*('入力・概要'!$E$11*1E-9))</f>
        <v/>
      </c>
      <c r="F652" s="195">
        <f>IF(B652="","",SINH(2*D652)/(COSH(2*D652)+COS(2*E652)))</f>
        <v/>
      </c>
      <c r="G652" s="195">
        <f>IF(B652="","",SIN(2*E652)/(COSH(2*D652)+COS(2*E652)))</f>
        <v/>
      </c>
      <c r="H652" s="195">
        <f>IF(B652="","",ATANH(MIN(0.999999,'入力・概要'!$E$21/'入力・概要'!$E$15))+'入力・概要'!$B$21*SQRT(B652/1E6)+I652*'入力・概要'!$B$16/2)</f>
        <v/>
      </c>
      <c r="I652" s="195">
        <f>IF(B652="","",C652*('入力・概要'!$E$17*1E-9))</f>
        <v/>
      </c>
      <c r="J652" s="195">
        <f>IF(B652="","",SINH(2*H652)/(COSH(2*H652)+COS(2*I652)))</f>
        <v/>
      </c>
      <c r="K652" s="195">
        <f>IF(B652="","",SIN(2*I652)/(COSH(2*H652)+COS(2*I652)))</f>
        <v/>
      </c>
      <c r="L652" s="195">
        <f>IF(B652="","",'入力・概要'!$B$25)</f>
        <v/>
      </c>
      <c r="M652" s="195">
        <f>IF(B652="","",C652*'入力・概要'!$B$26*1E-9-1/(C652*'入力・概要'!$B$24*1E-6))</f>
        <v/>
      </c>
      <c r="N652" s="195">
        <f>IF(B652="","",'入力・概要'!$B$28)</f>
        <v/>
      </c>
      <c r="O652" s="195">
        <f>IF(B652="","",C652*'入力・概要'!$B$29*1E-9-1/(C652*'入力・概要'!$B$27*1E-6))</f>
        <v/>
      </c>
      <c r="P652" s="195">
        <f>IF(B652="","",((L652*N652-M652*O652)*(L652+N652)+(L652*O652+M652*N652)*(M652+O652))/((L652+N652)^2+(M652+O652)^2))</f>
        <v/>
      </c>
      <c r="Q652" s="195">
        <f>IF(B652="","",((L652*O652+M652*N652)*(L652+N652)-(L652*N652-M652*O652)*(M652+O652))/((L652+N652)^2+(M652+O652)^2))</f>
        <v/>
      </c>
      <c r="R652" s="195">
        <f>IF(B652="","",'入力・概要'!$E$15*J652)</f>
        <v/>
      </c>
      <c r="S652" s="195">
        <f>IF(B652="","",'入力・概要'!$E$15*K652)</f>
        <v/>
      </c>
      <c r="T652" s="195">
        <f>IF(B652="","",P652+R652)</f>
        <v/>
      </c>
      <c r="U652" s="195">
        <f>IF(B652="","",Q652+S652)</f>
        <v/>
      </c>
      <c r="V652" s="195">
        <f>IF(B652="","",T652+'入力・概要'!$E$9*F652)</f>
        <v/>
      </c>
      <c r="W652" s="195">
        <f>IF(B652="","",U652+'入力・概要'!$E$9*G652)</f>
        <v/>
      </c>
      <c r="X652" s="195">
        <f>IF(B652="","",'入力・概要'!$E$9+T652*F652-U652*G652)</f>
        <v/>
      </c>
      <c r="Y652" s="195">
        <f>IF(B652="","",T652*G652+U652*F652)</f>
        <v/>
      </c>
      <c r="Z652" s="195">
        <f>IF(B652="","",'入力・概要'!$E$9*(V652*X652+W652*Y652)/(X652^2+Y652^2)+'入力・概要'!$B$36)</f>
        <v/>
      </c>
      <c r="AA652" s="195">
        <f>IF(B652="","",'入力・概要'!$E$9*(W652*X652-V652*Y652)/(X652^2+Y652^2)+C652*'入力・概要'!$B$37*1E-9)</f>
        <v/>
      </c>
      <c r="AB652" s="195">
        <f>IF(B652="","",SQRT(Z652^2+AA652^2))</f>
        <v/>
      </c>
      <c r="AC652" s="195">
        <f>IF(B652="","",IF(Z652&gt;0,DEGREES(ATAN(AA652/Z652)),IF(Z652&lt;0,IF(AA652&gt;=0,DEGREES(ATAN(AA652/Z652))+180,DEGREES(ATAN(AA652/Z652))-180),IF(AA652&gt;0,90,IF(AA652&lt;0,-90,0)))))</f>
        <v/>
      </c>
      <c r="AD652" s="195">
        <f>IF(B652="","",LOG10(B652))</f>
        <v/>
      </c>
      <c r="AE652" s="195">
        <f>IF(AB652="","",LOG10(MAX(AB652,1E-12)))</f>
        <v/>
      </c>
      <c r="AF652" s="195">
        <f>IF(B652="","",SQRT(P652^2+Q652^2))</f>
        <v/>
      </c>
      <c r="AG652" s="195">
        <f>IF(B652="","",SQRT(R652^2+S652^2))</f>
        <v/>
      </c>
    </row>
    <row r="653">
      <c r="A653" t="n">
        <v>650</v>
      </c>
      <c r="B653" s="196">
        <f>IF(A653&lt;='入力・概要'!$B$40,10^(LOG10('入力・概要'!$B$38)+(A653-1)*(LOG10('入力・概要'!$B$39)-LOG10('入力・概要'!$B$38))/('入力・概要'!$B$40-1)),"")</f>
        <v/>
      </c>
      <c r="C653" s="195">
        <f>IF(B653="","",2*PI()*B653)</f>
        <v/>
      </c>
      <c r="D653" s="195">
        <f>IF(B653="","",ATANH(MIN(0.999999,'入力・概要'!$E$20/'入力・概要'!$E$9))+'入力・概要'!$B$20*SQRT(B653/1E6)+E653*'入力・概要'!$B$15/2)</f>
        <v/>
      </c>
      <c r="E653" s="195">
        <f>IF(B653="","",C653*('入力・概要'!$E$11*1E-9))</f>
        <v/>
      </c>
      <c r="F653" s="195">
        <f>IF(B653="","",SINH(2*D653)/(COSH(2*D653)+COS(2*E653)))</f>
        <v/>
      </c>
      <c r="G653" s="195">
        <f>IF(B653="","",SIN(2*E653)/(COSH(2*D653)+COS(2*E653)))</f>
        <v/>
      </c>
      <c r="H653" s="195">
        <f>IF(B653="","",ATANH(MIN(0.999999,'入力・概要'!$E$21/'入力・概要'!$E$15))+'入力・概要'!$B$21*SQRT(B653/1E6)+I653*'入力・概要'!$B$16/2)</f>
        <v/>
      </c>
      <c r="I653" s="195">
        <f>IF(B653="","",C653*('入力・概要'!$E$17*1E-9))</f>
        <v/>
      </c>
      <c r="J653" s="195">
        <f>IF(B653="","",SINH(2*H653)/(COSH(2*H653)+COS(2*I653)))</f>
        <v/>
      </c>
      <c r="K653" s="195">
        <f>IF(B653="","",SIN(2*I653)/(COSH(2*H653)+COS(2*I653)))</f>
        <v/>
      </c>
      <c r="L653" s="195">
        <f>IF(B653="","",'入力・概要'!$B$25)</f>
        <v/>
      </c>
      <c r="M653" s="195">
        <f>IF(B653="","",C653*'入力・概要'!$B$26*1E-9-1/(C653*'入力・概要'!$B$24*1E-6))</f>
        <v/>
      </c>
      <c r="N653" s="195">
        <f>IF(B653="","",'入力・概要'!$B$28)</f>
        <v/>
      </c>
      <c r="O653" s="195">
        <f>IF(B653="","",C653*'入力・概要'!$B$29*1E-9-1/(C653*'入力・概要'!$B$27*1E-6))</f>
        <v/>
      </c>
      <c r="P653" s="195">
        <f>IF(B653="","",((L653*N653-M653*O653)*(L653+N653)+(L653*O653+M653*N653)*(M653+O653))/((L653+N653)^2+(M653+O653)^2))</f>
        <v/>
      </c>
      <c r="Q653" s="195">
        <f>IF(B653="","",((L653*O653+M653*N653)*(L653+N653)-(L653*N653-M653*O653)*(M653+O653))/((L653+N653)^2+(M653+O653)^2))</f>
        <v/>
      </c>
      <c r="R653" s="195">
        <f>IF(B653="","",'入力・概要'!$E$15*J653)</f>
        <v/>
      </c>
      <c r="S653" s="195">
        <f>IF(B653="","",'入力・概要'!$E$15*K653)</f>
        <v/>
      </c>
      <c r="T653" s="195">
        <f>IF(B653="","",P653+R653)</f>
        <v/>
      </c>
      <c r="U653" s="195">
        <f>IF(B653="","",Q653+S653)</f>
        <v/>
      </c>
      <c r="V653" s="195">
        <f>IF(B653="","",T653+'入力・概要'!$E$9*F653)</f>
        <v/>
      </c>
      <c r="W653" s="195">
        <f>IF(B653="","",U653+'入力・概要'!$E$9*G653)</f>
        <v/>
      </c>
      <c r="X653" s="195">
        <f>IF(B653="","",'入力・概要'!$E$9+T653*F653-U653*G653)</f>
        <v/>
      </c>
      <c r="Y653" s="195">
        <f>IF(B653="","",T653*G653+U653*F653)</f>
        <v/>
      </c>
      <c r="Z653" s="195">
        <f>IF(B653="","",'入力・概要'!$E$9*(V653*X653+W653*Y653)/(X653^2+Y653^2)+'入力・概要'!$B$36)</f>
        <v/>
      </c>
      <c r="AA653" s="195">
        <f>IF(B653="","",'入力・概要'!$E$9*(W653*X653-V653*Y653)/(X653^2+Y653^2)+C653*'入力・概要'!$B$37*1E-9)</f>
        <v/>
      </c>
      <c r="AB653" s="195">
        <f>IF(B653="","",SQRT(Z653^2+AA653^2))</f>
        <v/>
      </c>
      <c r="AC653" s="195">
        <f>IF(B653="","",IF(Z653&gt;0,DEGREES(ATAN(AA653/Z653)),IF(Z653&lt;0,IF(AA653&gt;=0,DEGREES(ATAN(AA653/Z653))+180,DEGREES(ATAN(AA653/Z653))-180),IF(AA653&gt;0,90,IF(AA653&lt;0,-90,0)))))</f>
        <v/>
      </c>
      <c r="AD653" s="195">
        <f>IF(B653="","",LOG10(B653))</f>
        <v/>
      </c>
      <c r="AE653" s="195">
        <f>IF(AB653="","",LOG10(MAX(AB653,1E-12)))</f>
        <v/>
      </c>
      <c r="AF653" s="195">
        <f>IF(B653="","",SQRT(P653^2+Q653^2))</f>
        <v/>
      </c>
      <c r="AG653" s="195">
        <f>IF(B653="","",SQRT(R653^2+S653^2))</f>
        <v/>
      </c>
    </row>
    <row r="654">
      <c r="A654" t="n">
        <v>651</v>
      </c>
      <c r="B654" s="196">
        <f>IF(A654&lt;='入力・概要'!$B$40,10^(LOG10('入力・概要'!$B$38)+(A654-1)*(LOG10('入力・概要'!$B$39)-LOG10('入力・概要'!$B$38))/('入力・概要'!$B$40-1)),"")</f>
        <v/>
      </c>
      <c r="C654" s="195">
        <f>IF(B654="","",2*PI()*B654)</f>
        <v/>
      </c>
      <c r="D654" s="195">
        <f>IF(B654="","",ATANH(MIN(0.999999,'入力・概要'!$E$20/'入力・概要'!$E$9))+'入力・概要'!$B$20*SQRT(B654/1E6)+E654*'入力・概要'!$B$15/2)</f>
        <v/>
      </c>
      <c r="E654" s="195">
        <f>IF(B654="","",C654*('入力・概要'!$E$11*1E-9))</f>
        <v/>
      </c>
      <c r="F654" s="195">
        <f>IF(B654="","",SINH(2*D654)/(COSH(2*D654)+COS(2*E654)))</f>
        <v/>
      </c>
      <c r="G654" s="195">
        <f>IF(B654="","",SIN(2*E654)/(COSH(2*D654)+COS(2*E654)))</f>
        <v/>
      </c>
      <c r="H654" s="195">
        <f>IF(B654="","",ATANH(MIN(0.999999,'入力・概要'!$E$21/'入力・概要'!$E$15))+'入力・概要'!$B$21*SQRT(B654/1E6)+I654*'入力・概要'!$B$16/2)</f>
        <v/>
      </c>
      <c r="I654" s="195">
        <f>IF(B654="","",C654*('入力・概要'!$E$17*1E-9))</f>
        <v/>
      </c>
      <c r="J654" s="195">
        <f>IF(B654="","",SINH(2*H654)/(COSH(2*H654)+COS(2*I654)))</f>
        <v/>
      </c>
      <c r="K654" s="195">
        <f>IF(B654="","",SIN(2*I654)/(COSH(2*H654)+COS(2*I654)))</f>
        <v/>
      </c>
      <c r="L654" s="195">
        <f>IF(B654="","",'入力・概要'!$B$25)</f>
        <v/>
      </c>
      <c r="M654" s="195">
        <f>IF(B654="","",C654*'入力・概要'!$B$26*1E-9-1/(C654*'入力・概要'!$B$24*1E-6))</f>
        <v/>
      </c>
      <c r="N654" s="195">
        <f>IF(B654="","",'入力・概要'!$B$28)</f>
        <v/>
      </c>
      <c r="O654" s="195">
        <f>IF(B654="","",C654*'入力・概要'!$B$29*1E-9-1/(C654*'入力・概要'!$B$27*1E-6))</f>
        <v/>
      </c>
      <c r="P654" s="195">
        <f>IF(B654="","",((L654*N654-M654*O654)*(L654+N654)+(L654*O654+M654*N654)*(M654+O654))/((L654+N654)^2+(M654+O654)^2))</f>
        <v/>
      </c>
      <c r="Q654" s="195">
        <f>IF(B654="","",((L654*O654+M654*N654)*(L654+N654)-(L654*N654-M654*O654)*(M654+O654))/((L654+N654)^2+(M654+O654)^2))</f>
        <v/>
      </c>
      <c r="R654" s="195">
        <f>IF(B654="","",'入力・概要'!$E$15*J654)</f>
        <v/>
      </c>
      <c r="S654" s="195">
        <f>IF(B654="","",'入力・概要'!$E$15*K654)</f>
        <v/>
      </c>
      <c r="T654" s="195">
        <f>IF(B654="","",P654+R654)</f>
        <v/>
      </c>
      <c r="U654" s="195">
        <f>IF(B654="","",Q654+S654)</f>
        <v/>
      </c>
      <c r="V654" s="195">
        <f>IF(B654="","",T654+'入力・概要'!$E$9*F654)</f>
        <v/>
      </c>
      <c r="W654" s="195">
        <f>IF(B654="","",U654+'入力・概要'!$E$9*G654)</f>
        <v/>
      </c>
      <c r="X654" s="195">
        <f>IF(B654="","",'入力・概要'!$E$9+T654*F654-U654*G654)</f>
        <v/>
      </c>
      <c r="Y654" s="195">
        <f>IF(B654="","",T654*G654+U654*F654)</f>
        <v/>
      </c>
      <c r="Z654" s="195">
        <f>IF(B654="","",'入力・概要'!$E$9*(V654*X654+W654*Y654)/(X654^2+Y654^2)+'入力・概要'!$B$36)</f>
        <v/>
      </c>
      <c r="AA654" s="195">
        <f>IF(B654="","",'入力・概要'!$E$9*(W654*X654-V654*Y654)/(X654^2+Y654^2)+C654*'入力・概要'!$B$37*1E-9)</f>
        <v/>
      </c>
      <c r="AB654" s="195">
        <f>IF(B654="","",SQRT(Z654^2+AA654^2))</f>
        <v/>
      </c>
      <c r="AC654" s="195">
        <f>IF(B654="","",IF(Z654&gt;0,DEGREES(ATAN(AA654/Z654)),IF(Z654&lt;0,IF(AA654&gt;=0,DEGREES(ATAN(AA654/Z654))+180,DEGREES(ATAN(AA654/Z654))-180),IF(AA654&gt;0,90,IF(AA654&lt;0,-90,0)))))</f>
        <v/>
      </c>
      <c r="AD654" s="195">
        <f>IF(B654="","",LOG10(B654))</f>
        <v/>
      </c>
      <c r="AE654" s="195">
        <f>IF(AB654="","",LOG10(MAX(AB654,1E-12)))</f>
        <v/>
      </c>
      <c r="AF654" s="195">
        <f>IF(B654="","",SQRT(P654^2+Q654^2))</f>
        <v/>
      </c>
      <c r="AG654" s="195">
        <f>IF(B654="","",SQRT(R654^2+S654^2))</f>
        <v/>
      </c>
    </row>
    <row r="655">
      <c r="A655" t="n">
        <v>652</v>
      </c>
      <c r="B655" s="196">
        <f>IF(A655&lt;='入力・概要'!$B$40,10^(LOG10('入力・概要'!$B$38)+(A655-1)*(LOG10('入力・概要'!$B$39)-LOG10('入力・概要'!$B$38))/('入力・概要'!$B$40-1)),"")</f>
        <v/>
      </c>
      <c r="C655" s="195">
        <f>IF(B655="","",2*PI()*B655)</f>
        <v/>
      </c>
      <c r="D655" s="195">
        <f>IF(B655="","",ATANH(MIN(0.999999,'入力・概要'!$E$20/'入力・概要'!$E$9))+'入力・概要'!$B$20*SQRT(B655/1E6)+E655*'入力・概要'!$B$15/2)</f>
        <v/>
      </c>
      <c r="E655" s="195">
        <f>IF(B655="","",C655*('入力・概要'!$E$11*1E-9))</f>
        <v/>
      </c>
      <c r="F655" s="195">
        <f>IF(B655="","",SINH(2*D655)/(COSH(2*D655)+COS(2*E655)))</f>
        <v/>
      </c>
      <c r="G655" s="195">
        <f>IF(B655="","",SIN(2*E655)/(COSH(2*D655)+COS(2*E655)))</f>
        <v/>
      </c>
      <c r="H655" s="195">
        <f>IF(B655="","",ATANH(MIN(0.999999,'入力・概要'!$E$21/'入力・概要'!$E$15))+'入力・概要'!$B$21*SQRT(B655/1E6)+I655*'入力・概要'!$B$16/2)</f>
        <v/>
      </c>
      <c r="I655" s="195">
        <f>IF(B655="","",C655*('入力・概要'!$E$17*1E-9))</f>
        <v/>
      </c>
      <c r="J655" s="195">
        <f>IF(B655="","",SINH(2*H655)/(COSH(2*H655)+COS(2*I655)))</f>
        <v/>
      </c>
      <c r="K655" s="195">
        <f>IF(B655="","",SIN(2*I655)/(COSH(2*H655)+COS(2*I655)))</f>
        <v/>
      </c>
      <c r="L655" s="195">
        <f>IF(B655="","",'入力・概要'!$B$25)</f>
        <v/>
      </c>
      <c r="M655" s="195">
        <f>IF(B655="","",C655*'入力・概要'!$B$26*1E-9-1/(C655*'入力・概要'!$B$24*1E-6))</f>
        <v/>
      </c>
      <c r="N655" s="195">
        <f>IF(B655="","",'入力・概要'!$B$28)</f>
        <v/>
      </c>
      <c r="O655" s="195">
        <f>IF(B655="","",C655*'入力・概要'!$B$29*1E-9-1/(C655*'入力・概要'!$B$27*1E-6))</f>
        <v/>
      </c>
      <c r="P655" s="195">
        <f>IF(B655="","",((L655*N655-M655*O655)*(L655+N655)+(L655*O655+M655*N655)*(M655+O655))/((L655+N655)^2+(M655+O655)^2))</f>
        <v/>
      </c>
      <c r="Q655" s="195">
        <f>IF(B655="","",((L655*O655+M655*N655)*(L655+N655)-(L655*N655-M655*O655)*(M655+O655))/((L655+N655)^2+(M655+O655)^2))</f>
        <v/>
      </c>
      <c r="R655" s="195">
        <f>IF(B655="","",'入力・概要'!$E$15*J655)</f>
        <v/>
      </c>
      <c r="S655" s="195">
        <f>IF(B655="","",'入力・概要'!$E$15*K655)</f>
        <v/>
      </c>
      <c r="T655" s="195">
        <f>IF(B655="","",P655+R655)</f>
        <v/>
      </c>
      <c r="U655" s="195">
        <f>IF(B655="","",Q655+S655)</f>
        <v/>
      </c>
      <c r="V655" s="195">
        <f>IF(B655="","",T655+'入力・概要'!$E$9*F655)</f>
        <v/>
      </c>
      <c r="W655" s="195">
        <f>IF(B655="","",U655+'入力・概要'!$E$9*G655)</f>
        <v/>
      </c>
      <c r="X655" s="195">
        <f>IF(B655="","",'入力・概要'!$E$9+T655*F655-U655*G655)</f>
        <v/>
      </c>
      <c r="Y655" s="195">
        <f>IF(B655="","",T655*G655+U655*F655)</f>
        <v/>
      </c>
      <c r="Z655" s="195">
        <f>IF(B655="","",'入力・概要'!$E$9*(V655*X655+W655*Y655)/(X655^2+Y655^2)+'入力・概要'!$B$36)</f>
        <v/>
      </c>
      <c r="AA655" s="195">
        <f>IF(B655="","",'入力・概要'!$E$9*(W655*X655-V655*Y655)/(X655^2+Y655^2)+C655*'入力・概要'!$B$37*1E-9)</f>
        <v/>
      </c>
      <c r="AB655" s="195">
        <f>IF(B655="","",SQRT(Z655^2+AA655^2))</f>
        <v/>
      </c>
      <c r="AC655" s="195">
        <f>IF(B655="","",IF(Z655&gt;0,DEGREES(ATAN(AA655/Z655)),IF(Z655&lt;0,IF(AA655&gt;=0,DEGREES(ATAN(AA655/Z655))+180,DEGREES(ATAN(AA655/Z655))-180),IF(AA655&gt;0,90,IF(AA655&lt;0,-90,0)))))</f>
        <v/>
      </c>
      <c r="AD655" s="195">
        <f>IF(B655="","",LOG10(B655))</f>
        <v/>
      </c>
      <c r="AE655" s="195">
        <f>IF(AB655="","",LOG10(MAX(AB655,1E-12)))</f>
        <v/>
      </c>
      <c r="AF655" s="195">
        <f>IF(B655="","",SQRT(P655^2+Q655^2))</f>
        <v/>
      </c>
      <c r="AG655" s="195">
        <f>IF(B655="","",SQRT(R655^2+S655^2))</f>
        <v/>
      </c>
    </row>
    <row r="656">
      <c r="A656" t="n">
        <v>653</v>
      </c>
      <c r="B656" s="196">
        <f>IF(A656&lt;='入力・概要'!$B$40,10^(LOG10('入力・概要'!$B$38)+(A656-1)*(LOG10('入力・概要'!$B$39)-LOG10('入力・概要'!$B$38))/('入力・概要'!$B$40-1)),"")</f>
        <v/>
      </c>
      <c r="C656" s="195">
        <f>IF(B656="","",2*PI()*B656)</f>
        <v/>
      </c>
      <c r="D656" s="195">
        <f>IF(B656="","",ATANH(MIN(0.999999,'入力・概要'!$E$20/'入力・概要'!$E$9))+'入力・概要'!$B$20*SQRT(B656/1E6)+E656*'入力・概要'!$B$15/2)</f>
        <v/>
      </c>
      <c r="E656" s="195">
        <f>IF(B656="","",C656*('入力・概要'!$E$11*1E-9))</f>
        <v/>
      </c>
      <c r="F656" s="195">
        <f>IF(B656="","",SINH(2*D656)/(COSH(2*D656)+COS(2*E656)))</f>
        <v/>
      </c>
      <c r="G656" s="195">
        <f>IF(B656="","",SIN(2*E656)/(COSH(2*D656)+COS(2*E656)))</f>
        <v/>
      </c>
      <c r="H656" s="195">
        <f>IF(B656="","",ATANH(MIN(0.999999,'入力・概要'!$E$21/'入力・概要'!$E$15))+'入力・概要'!$B$21*SQRT(B656/1E6)+I656*'入力・概要'!$B$16/2)</f>
        <v/>
      </c>
      <c r="I656" s="195">
        <f>IF(B656="","",C656*('入力・概要'!$E$17*1E-9))</f>
        <v/>
      </c>
      <c r="J656" s="195">
        <f>IF(B656="","",SINH(2*H656)/(COSH(2*H656)+COS(2*I656)))</f>
        <v/>
      </c>
      <c r="K656" s="195">
        <f>IF(B656="","",SIN(2*I656)/(COSH(2*H656)+COS(2*I656)))</f>
        <v/>
      </c>
      <c r="L656" s="195">
        <f>IF(B656="","",'入力・概要'!$B$25)</f>
        <v/>
      </c>
      <c r="M656" s="195">
        <f>IF(B656="","",C656*'入力・概要'!$B$26*1E-9-1/(C656*'入力・概要'!$B$24*1E-6))</f>
        <v/>
      </c>
      <c r="N656" s="195">
        <f>IF(B656="","",'入力・概要'!$B$28)</f>
        <v/>
      </c>
      <c r="O656" s="195">
        <f>IF(B656="","",C656*'入力・概要'!$B$29*1E-9-1/(C656*'入力・概要'!$B$27*1E-6))</f>
        <v/>
      </c>
      <c r="P656" s="195">
        <f>IF(B656="","",((L656*N656-M656*O656)*(L656+N656)+(L656*O656+M656*N656)*(M656+O656))/((L656+N656)^2+(M656+O656)^2))</f>
        <v/>
      </c>
      <c r="Q656" s="195">
        <f>IF(B656="","",((L656*O656+M656*N656)*(L656+N656)-(L656*N656-M656*O656)*(M656+O656))/((L656+N656)^2+(M656+O656)^2))</f>
        <v/>
      </c>
      <c r="R656" s="195">
        <f>IF(B656="","",'入力・概要'!$E$15*J656)</f>
        <v/>
      </c>
      <c r="S656" s="195">
        <f>IF(B656="","",'入力・概要'!$E$15*K656)</f>
        <v/>
      </c>
      <c r="T656" s="195">
        <f>IF(B656="","",P656+R656)</f>
        <v/>
      </c>
      <c r="U656" s="195">
        <f>IF(B656="","",Q656+S656)</f>
        <v/>
      </c>
      <c r="V656" s="195">
        <f>IF(B656="","",T656+'入力・概要'!$E$9*F656)</f>
        <v/>
      </c>
      <c r="W656" s="195">
        <f>IF(B656="","",U656+'入力・概要'!$E$9*G656)</f>
        <v/>
      </c>
      <c r="X656" s="195">
        <f>IF(B656="","",'入力・概要'!$E$9+T656*F656-U656*G656)</f>
        <v/>
      </c>
      <c r="Y656" s="195">
        <f>IF(B656="","",T656*G656+U656*F656)</f>
        <v/>
      </c>
      <c r="Z656" s="195">
        <f>IF(B656="","",'入力・概要'!$E$9*(V656*X656+W656*Y656)/(X656^2+Y656^2)+'入力・概要'!$B$36)</f>
        <v/>
      </c>
      <c r="AA656" s="195">
        <f>IF(B656="","",'入力・概要'!$E$9*(W656*X656-V656*Y656)/(X656^2+Y656^2)+C656*'入力・概要'!$B$37*1E-9)</f>
        <v/>
      </c>
      <c r="AB656" s="195">
        <f>IF(B656="","",SQRT(Z656^2+AA656^2))</f>
        <v/>
      </c>
      <c r="AC656" s="195">
        <f>IF(B656="","",IF(Z656&gt;0,DEGREES(ATAN(AA656/Z656)),IF(Z656&lt;0,IF(AA656&gt;=0,DEGREES(ATAN(AA656/Z656))+180,DEGREES(ATAN(AA656/Z656))-180),IF(AA656&gt;0,90,IF(AA656&lt;0,-90,0)))))</f>
        <v/>
      </c>
      <c r="AD656" s="195">
        <f>IF(B656="","",LOG10(B656))</f>
        <v/>
      </c>
      <c r="AE656" s="195">
        <f>IF(AB656="","",LOG10(MAX(AB656,1E-12)))</f>
        <v/>
      </c>
      <c r="AF656" s="195">
        <f>IF(B656="","",SQRT(P656^2+Q656^2))</f>
        <v/>
      </c>
      <c r="AG656" s="195">
        <f>IF(B656="","",SQRT(R656^2+S656^2))</f>
        <v/>
      </c>
    </row>
    <row r="657">
      <c r="A657" t="n">
        <v>654</v>
      </c>
      <c r="B657" s="196">
        <f>IF(A657&lt;='入力・概要'!$B$40,10^(LOG10('入力・概要'!$B$38)+(A657-1)*(LOG10('入力・概要'!$B$39)-LOG10('入力・概要'!$B$38))/('入力・概要'!$B$40-1)),"")</f>
        <v/>
      </c>
      <c r="C657" s="195">
        <f>IF(B657="","",2*PI()*B657)</f>
        <v/>
      </c>
      <c r="D657" s="195">
        <f>IF(B657="","",ATANH(MIN(0.999999,'入力・概要'!$E$20/'入力・概要'!$E$9))+'入力・概要'!$B$20*SQRT(B657/1E6)+E657*'入力・概要'!$B$15/2)</f>
        <v/>
      </c>
      <c r="E657" s="195">
        <f>IF(B657="","",C657*('入力・概要'!$E$11*1E-9))</f>
        <v/>
      </c>
      <c r="F657" s="195">
        <f>IF(B657="","",SINH(2*D657)/(COSH(2*D657)+COS(2*E657)))</f>
        <v/>
      </c>
      <c r="G657" s="195">
        <f>IF(B657="","",SIN(2*E657)/(COSH(2*D657)+COS(2*E657)))</f>
        <v/>
      </c>
      <c r="H657" s="195">
        <f>IF(B657="","",ATANH(MIN(0.999999,'入力・概要'!$E$21/'入力・概要'!$E$15))+'入力・概要'!$B$21*SQRT(B657/1E6)+I657*'入力・概要'!$B$16/2)</f>
        <v/>
      </c>
      <c r="I657" s="195">
        <f>IF(B657="","",C657*('入力・概要'!$E$17*1E-9))</f>
        <v/>
      </c>
      <c r="J657" s="195">
        <f>IF(B657="","",SINH(2*H657)/(COSH(2*H657)+COS(2*I657)))</f>
        <v/>
      </c>
      <c r="K657" s="195">
        <f>IF(B657="","",SIN(2*I657)/(COSH(2*H657)+COS(2*I657)))</f>
        <v/>
      </c>
      <c r="L657" s="195">
        <f>IF(B657="","",'入力・概要'!$B$25)</f>
        <v/>
      </c>
      <c r="M657" s="195">
        <f>IF(B657="","",C657*'入力・概要'!$B$26*1E-9-1/(C657*'入力・概要'!$B$24*1E-6))</f>
        <v/>
      </c>
      <c r="N657" s="195">
        <f>IF(B657="","",'入力・概要'!$B$28)</f>
        <v/>
      </c>
      <c r="O657" s="195">
        <f>IF(B657="","",C657*'入力・概要'!$B$29*1E-9-1/(C657*'入力・概要'!$B$27*1E-6))</f>
        <v/>
      </c>
      <c r="P657" s="195">
        <f>IF(B657="","",((L657*N657-M657*O657)*(L657+N657)+(L657*O657+M657*N657)*(M657+O657))/((L657+N657)^2+(M657+O657)^2))</f>
        <v/>
      </c>
      <c r="Q657" s="195">
        <f>IF(B657="","",((L657*O657+M657*N657)*(L657+N657)-(L657*N657-M657*O657)*(M657+O657))/((L657+N657)^2+(M657+O657)^2))</f>
        <v/>
      </c>
      <c r="R657" s="195">
        <f>IF(B657="","",'入力・概要'!$E$15*J657)</f>
        <v/>
      </c>
      <c r="S657" s="195">
        <f>IF(B657="","",'入力・概要'!$E$15*K657)</f>
        <v/>
      </c>
      <c r="T657" s="195">
        <f>IF(B657="","",P657+R657)</f>
        <v/>
      </c>
      <c r="U657" s="195">
        <f>IF(B657="","",Q657+S657)</f>
        <v/>
      </c>
      <c r="V657" s="195">
        <f>IF(B657="","",T657+'入力・概要'!$E$9*F657)</f>
        <v/>
      </c>
      <c r="W657" s="195">
        <f>IF(B657="","",U657+'入力・概要'!$E$9*G657)</f>
        <v/>
      </c>
      <c r="X657" s="195">
        <f>IF(B657="","",'入力・概要'!$E$9+T657*F657-U657*G657)</f>
        <v/>
      </c>
      <c r="Y657" s="195">
        <f>IF(B657="","",T657*G657+U657*F657)</f>
        <v/>
      </c>
      <c r="Z657" s="195">
        <f>IF(B657="","",'入力・概要'!$E$9*(V657*X657+W657*Y657)/(X657^2+Y657^2)+'入力・概要'!$B$36)</f>
        <v/>
      </c>
      <c r="AA657" s="195">
        <f>IF(B657="","",'入力・概要'!$E$9*(W657*X657-V657*Y657)/(X657^2+Y657^2)+C657*'入力・概要'!$B$37*1E-9)</f>
        <v/>
      </c>
      <c r="AB657" s="195">
        <f>IF(B657="","",SQRT(Z657^2+AA657^2))</f>
        <v/>
      </c>
      <c r="AC657" s="195">
        <f>IF(B657="","",IF(Z657&gt;0,DEGREES(ATAN(AA657/Z657)),IF(Z657&lt;0,IF(AA657&gt;=0,DEGREES(ATAN(AA657/Z657))+180,DEGREES(ATAN(AA657/Z657))-180),IF(AA657&gt;0,90,IF(AA657&lt;0,-90,0)))))</f>
        <v/>
      </c>
      <c r="AD657" s="195">
        <f>IF(B657="","",LOG10(B657))</f>
        <v/>
      </c>
      <c r="AE657" s="195">
        <f>IF(AB657="","",LOG10(MAX(AB657,1E-12)))</f>
        <v/>
      </c>
      <c r="AF657" s="195">
        <f>IF(B657="","",SQRT(P657^2+Q657^2))</f>
        <v/>
      </c>
      <c r="AG657" s="195">
        <f>IF(B657="","",SQRT(R657^2+S657^2))</f>
        <v/>
      </c>
    </row>
    <row r="658">
      <c r="A658" t="n">
        <v>655</v>
      </c>
      <c r="B658" s="196">
        <f>IF(A658&lt;='入力・概要'!$B$40,10^(LOG10('入力・概要'!$B$38)+(A658-1)*(LOG10('入力・概要'!$B$39)-LOG10('入力・概要'!$B$38))/('入力・概要'!$B$40-1)),"")</f>
        <v/>
      </c>
      <c r="C658" s="195">
        <f>IF(B658="","",2*PI()*B658)</f>
        <v/>
      </c>
      <c r="D658" s="195">
        <f>IF(B658="","",ATANH(MIN(0.999999,'入力・概要'!$E$20/'入力・概要'!$E$9))+'入力・概要'!$B$20*SQRT(B658/1E6)+E658*'入力・概要'!$B$15/2)</f>
        <v/>
      </c>
      <c r="E658" s="195">
        <f>IF(B658="","",C658*('入力・概要'!$E$11*1E-9))</f>
        <v/>
      </c>
      <c r="F658" s="195">
        <f>IF(B658="","",SINH(2*D658)/(COSH(2*D658)+COS(2*E658)))</f>
        <v/>
      </c>
      <c r="G658" s="195">
        <f>IF(B658="","",SIN(2*E658)/(COSH(2*D658)+COS(2*E658)))</f>
        <v/>
      </c>
      <c r="H658" s="195">
        <f>IF(B658="","",ATANH(MIN(0.999999,'入力・概要'!$E$21/'入力・概要'!$E$15))+'入力・概要'!$B$21*SQRT(B658/1E6)+I658*'入力・概要'!$B$16/2)</f>
        <v/>
      </c>
      <c r="I658" s="195">
        <f>IF(B658="","",C658*('入力・概要'!$E$17*1E-9))</f>
        <v/>
      </c>
      <c r="J658" s="195">
        <f>IF(B658="","",SINH(2*H658)/(COSH(2*H658)+COS(2*I658)))</f>
        <v/>
      </c>
      <c r="K658" s="195">
        <f>IF(B658="","",SIN(2*I658)/(COSH(2*H658)+COS(2*I658)))</f>
        <v/>
      </c>
      <c r="L658" s="195">
        <f>IF(B658="","",'入力・概要'!$B$25)</f>
        <v/>
      </c>
      <c r="M658" s="195">
        <f>IF(B658="","",C658*'入力・概要'!$B$26*1E-9-1/(C658*'入力・概要'!$B$24*1E-6))</f>
        <v/>
      </c>
      <c r="N658" s="195">
        <f>IF(B658="","",'入力・概要'!$B$28)</f>
        <v/>
      </c>
      <c r="O658" s="195">
        <f>IF(B658="","",C658*'入力・概要'!$B$29*1E-9-1/(C658*'入力・概要'!$B$27*1E-6))</f>
        <v/>
      </c>
      <c r="P658" s="195">
        <f>IF(B658="","",((L658*N658-M658*O658)*(L658+N658)+(L658*O658+M658*N658)*(M658+O658))/((L658+N658)^2+(M658+O658)^2))</f>
        <v/>
      </c>
      <c r="Q658" s="195">
        <f>IF(B658="","",((L658*O658+M658*N658)*(L658+N658)-(L658*N658-M658*O658)*(M658+O658))/((L658+N658)^2+(M658+O658)^2))</f>
        <v/>
      </c>
      <c r="R658" s="195">
        <f>IF(B658="","",'入力・概要'!$E$15*J658)</f>
        <v/>
      </c>
      <c r="S658" s="195">
        <f>IF(B658="","",'入力・概要'!$E$15*K658)</f>
        <v/>
      </c>
      <c r="T658" s="195">
        <f>IF(B658="","",P658+R658)</f>
        <v/>
      </c>
      <c r="U658" s="195">
        <f>IF(B658="","",Q658+S658)</f>
        <v/>
      </c>
      <c r="V658" s="195">
        <f>IF(B658="","",T658+'入力・概要'!$E$9*F658)</f>
        <v/>
      </c>
      <c r="W658" s="195">
        <f>IF(B658="","",U658+'入力・概要'!$E$9*G658)</f>
        <v/>
      </c>
      <c r="X658" s="195">
        <f>IF(B658="","",'入力・概要'!$E$9+T658*F658-U658*G658)</f>
        <v/>
      </c>
      <c r="Y658" s="195">
        <f>IF(B658="","",T658*G658+U658*F658)</f>
        <v/>
      </c>
      <c r="Z658" s="195">
        <f>IF(B658="","",'入力・概要'!$E$9*(V658*X658+W658*Y658)/(X658^2+Y658^2)+'入力・概要'!$B$36)</f>
        <v/>
      </c>
      <c r="AA658" s="195">
        <f>IF(B658="","",'入力・概要'!$E$9*(W658*X658-V658*Y658)/(X658^2+Y658^2)+C658*'入力・概要'!$B$37*1E-9)</f>
        <v/>
      </c>
      <c r="AB658" s="195">
        <f>IF(B658="","",SQRT(Z658^2+AA658^2))</f>
        <v/>
      </c>
      <c r="AC658" s="195">
        <f>IF(B658="","",IF(Z658&gt;0,DEGREES(ATAN(AA658/Z658)),IF(Z658&lt;0,IF(AA658&gt;=0,DEGREES(ATAN(AA658/Z658))+180,DEGREES(ATAN(AA658/Z658))-180),IF(AA658&gt;0,90,IF(AA658&lt;0,-90,0)))))</f>
        <v/>
      </c>
      <c r="AD658" s="195">
        <f>IF(B658="","",LOG10(B658))</f>
        <v/>
      </c>
      <c r="AE658" s="195">
        <f>IF(AB658="","",LOG10(MAX(AB658,1E-12)))</f>
        <v/>
      </c>
      <c r="AF658" s="195">
        <f>IF(B658="","",SQRT(P658^2+Q658^2))</f>
        <v/>
      </c>
      <c r="AG658" s="195">
        <f>IF(B658="","",SQRT(R658^2+S658^2))</f>
        <v/>
      </c>
    </row>
    <row r="659">
      <c r="A659" t="n">
        <v>656</v>
      </c>
      <c r="B659" s="196">
        <f>IF(A659&lt;='入力・概要'!$B$40,10^(LOG10('入力・概要'!$B$38)+(A659-1)*(LOG10('入力・概要'!$B$39)-LOG10('入力・概要'!$B$38))/('入力・概要'!$B$40-1)),"")</f>
        <v/>
      </c>
      <c r="C659" s="195">
        <f>IF(B659="","",2*PI()*B659)</f>
        <v/>
      </c>
      <c r="D659" s="195">
        <f>IF(B659="","",ATANH(MIN(0.999999,'入力・概要'!$E$20/'入力・概要'!$E$9))+'入力・概要'!$B$20*SQRT(B659/1E6)+E659*'入力・概要'!$B$15/2)</f>
        <v/>
      </c>
      <c r="E659" s="195">
        <f>IF(B659="","",C659*('入力・概要'!$E$11*1E-9))</f>
        <v/>
      </c>
      <c r="F659" s="195">
        <f>IF(B659="","",SINH(2*D659)/(COSH(2*D659)+COS(2*E659)))</f>
        <v/>
      </c>
      <c r="G659" s="195">
        <f>IF(B659="","",SIN(2*E659)/(COSH(2*D659)+COS(2*E659)))</f>
        <v/>
      </c>
      <c r="H659" s="195">
        <f>IF(B659="","",ATANH(MIN(0.999999,'入力・概要'!$E$21/'入力・概要'!$E$15))+'入力・概要'!$B$21*SQRT(B659/1E6)+I659*'入力・概要'!$B$16/2)</f>
        <v/>
      </c>
      <c r="I659" s="195">
        <f>IF(B659="","",C659*('入力・概要'!$E$17*1E-9))</f>
        <v/>
      </c>
      <c r="J659" s="195">
        <f>IF(B659="","",SINH(2*H659)/(COSH(2*H659)+COS(2*I659)))</f>
        <v/>
      </c>
      <c r="K659" s="195">
        <f>IF(B659="","",SIN(2*I659)/(COSH(2*H659)+COS(2*I659)))</f>
        <v/>
      </c>
      <c r="L659" s="195">
        <f>IF(B659="","",'入力・概要'!$B$25)</f>
        <v/>
      </c>
      <c r="M659" s="195">
        <f>IF(B659="","",C659*'入力・概要'!$B$26*1E-9-1/(C659*'入力・概要'!$B$24*1E-6))</f>
        <v/>
      </c>
      <c r="N659" s="195">
        <f>IF(B659="","",'入力・概要'!$B$28)</f>
        <v/>
      </c>
      <c r="O659" s="195">
        <f>IF(B659="","",C659*'入力・概要'!$B$29*1E-9-1/(C659*'入力・概要'!$B$27*1E-6))</f>
        <v/>
      </c>
      <c r="P659" s="195">
        <f>IF(B659="","",((L659*N659-M659*O659)*(L659+N659)+(L659*O659+M659*N659)*(M659+O659))/((L659+N659)^2+(M659+O659)^2))</f>
        <v/>
      </c>
      <c r="Q659" s="195">
        <f>IF(B659="","",((L659*O659+M659*N659)*(L659+N659)-(L659*N659-M659*O659)*(M659+O659))/((L659+N659)^2+(M659+O659)^2))</f>
        <v/>
      </c>
      <c r="R659" s="195">
        <f>IF(B659="","",'入力・概要'!$E$15*J659)</f>
        <v/>
      </c>
      <c r="S659" s="195">
        <f>IF(B659="","",'入力・概要'!$E$15*K659)</f>
        <v/>
      </c>
      <c r="T659" s="195">
        <f>IF(B659="","",P659+R659)</f>
        <v/>
      </c>
      <c r="U659" s="195">
        <f>IF(B659="","",Q659+S659)</f>
        <v/>
      </c>
      <c r="V659" s="195">
        <f>IF(B659="","",T659+'入力・概要'!$E$9*F659)</f>
        <v/>
      </c>
      <c r="W659" s="195">
        <f>IF(B659="","",U659+'入力・概要'!$E$9*G659)</f>
        <v/>
      </c>
      <c r="X659" s="195">
        <f>IF(B659="","",'入力・概要'!$E$9+T659*F659-U659*G659)</f>
        <v/>
      </c>
      <c r="Y659" s="195">
        <f>IF(B659="","",T659*G659+U659*F659)</f>
        <v/>
      </c>
      <c r="Z659" s="195">
        <f>IF(B659="","",'入力・概要'!$E$9*(V659*X659+W659*Y659)/(X659^2+Y659^2)+'入力・概要'!$B$36)</f>
        <v/>
      </c>
      <c r="AA659" s="195">
        <f>IF(B659="","",'入力・概要'!$E$9*(W659*X659-V659*Y659)/(X659^2+Y659^2)+C659*'入力・概要'!$B$37*1E-9)</f>
        <v/>
      </c>
      <c r="AB659" s="195">
        <f>IF(B659="","",SQRT(Z659^2+AA659^2))</f>
        <v/>
      </c>
      <c r="AC659" s="195">
        <f>IF(B659="","",IF(Z659&gt;0,DEGREES(ATAN(AA659/Z659)),IF(Z659&lt;0,IF(AA659&gt;=0,DEGREES(ATAN(AA659/Z659))+180,DEGREES(ATAN(AA659/Z659))-180),IF(AA659&gt;0,90,IF(AA659&lt;0,-90,0)))))</f>
        <v/>
      </c>
      <c r="AD659" s="195">
        <f>IF(B659="","",LOG10(B659))</f>
        <v/>
      </c>
      <c r="AE659" s="195">
        <f>IF(AB659="","",LOG10(MAX(AB659,1E-12)))</f>
        <v/>
      </c>
      <c r="AF659" s="195">
        <f>IF(B659="","",SQRT(P659^2+Q659^2))</f>
        <v/>
      </c>
      <c r="AG659" s="195">
        <f>IF(B659="","",SQRT(R659^2+S659^2))</f>
        <v/>
      </c>
    </row>
    <row r="660">
      <c r="A660" t="n">
        <v>657</v>
      </c>
      <c r="B660" s="196">
        <f>IF(A660&lt;='入力・概要'!$B$40,10^(LOG10('入力・概要'!$B$38)+(A660-1)*(LOG10('入力・概要'!$B$39)-LOG10('入力・概要'!$B$38))/('入力・概要'!$B$40-1)),"")</f>
        <v/>
      </c>
      <c r="C660" s="195">
        <f>IF(B660="","",2*PI()*B660)</f>
        <v/>
      </c>
      <c r="D660" s="195">
        <f>IF(B660="","",ATANH(MIN(0.999999,'入力・概要'!$E$20/'入力・概要'!$E$9))+'入力・概要'!$B$20*SQRT(B660/1E6)+E660*'入力・概要'!$B$15/2)</f>
        <v/>
      </c>
      <c r="E660" s="195">
        <f>IF(B660="","",C660*('入力・概要'!$E$11*1E-9))</f>
        <v/>
      </c>
      <c r="F660" s="195">
        <f>IF(B660="","",SINH(2*D660)/(COSH(2*D660)+COS(2*E660)))</f>
        <v/>
      </c>
      <c r="G660" s="195">
        <f>IF(B660="","",SIN(2*E660)/(COSH(2*D660)+COS(2*E660)))</f>
        <v/>
      </c>
      <c r="H660" s="195">
        <f>IF(B660="","",ATANH(MIN(0.999999,'入力・概要'!$E$21/'入力・概要'!$E$15))+'入力・概要'!$B$21*SQRT(B660/1E6)+I660*'入力・概要'!$B$16/2)</f>
        <v/>
      </c>
      <c r="I660" s="195">
        <f>IF(B660="","",C660*('入力・概要'!$E$17*1E-9))</f>
        <v/>
      </c>
      <c r="J660" s="195">
        <f>IF(B660="","",SINH(2*H660)/(COSH(2*H660)+COS(2*I660)))</f>
        <v/>
      </c>
      <c r="K660" s="195">
        <f>IF(B660="","",SIN(2*I660)/(COSH(2*H660)+COS(2*I660)))</f>
        <v/>
      </c>
      <c r="L660" s="195">
        <f>IF(B660="","",'入力・概要'!$B$25)</f>
        <v/>
      </c>
      <c r="M660" s="195">
        <f>IF(B660="","",C660*'入力・概要'!$B$26*1E-9-1/(C660*'入力・概要'!$B$24*1E-6))</f>
        <v/>
      </c>
      <c r="N660" s="195">
        <f>IF(B660="","",'入力・概要'!$B$28)</f>
        <v/>
      </c>
      <c r="O660" s="195">
        <f>IF(B660="","",C660*'入力・概要'!$B$29*1E-9-1/(C660*'入力・概要'!$B$27*1E-6))</f>
        <v/>
      </c>
      <c r="P660" s="195">
        <f>IF(B660="","",((L660*N660-M660*O660)*(L660+N660)+(L660*O660+M660*N660)*(M660+O660))/((L660+N660)^2+(M660+O660)^2))</f>
        <v/>
      </c>
      <c r="Q660" s="195">
        <f>IF(B660="","",((L660*O660+M660*N660)*(L660+N660)-(L660*N660-M660*O660)*(M660+O660))/((L660+N660)^2+(M660+O660)^2))</f>
        <v/>
      </c>
      <c r="R660" s="195">
        <f>IF(B660="","",'入力・概要'!$E$15*J660)</f>
        <v/>
      </c>
      <c r="S660" s="195">
        <f>IF(B660="","",'入力・概要'!$E$15*K660)</f>
        <v/>
      </c>
      <c r="T660" s="195">
        <f>IF(B660="","",P660+R660)</f>
        <v/>
      </c>
      <c r="U660" s="195">
        <f>IF(B660="","",Q660+S660)</f>
        <v/>
      </c>
      <c r="V660" s="195">
        <f>IF(B660="","",T660+'入力・概要'!$E$9*F660)</f>
        <v/>
      </c>
      <c r="W660" s="195">
        <f>IF(B660="","",U660+'入力・概要'!$E$9*G660)</f>
        <v/>
      </c>
      <c r="X660" s="195">
        <f>IF(B660="","",'入力・概要'!$E$9+T660*F660-U660*G660)</f>
        <v/>
      </c>
      <c r="Y660" s="195">
        <f>IF(B660="","",T660*G660+U660*F660)</f>
        <v/>
      </c>
      <c r="Z660" s="195">
        <f>IF(B660="","",'入力・概要'!$E$9*(V660*X660+W660*Y660)/(X660^2+Y660^2)+'入力・概要'!$B$36)</f>
        <v/>
      </c>
      <c r="AA660" s="195">
        <f>IF(B660="","",'入力・概要'!$E$9*(W660*X660-V660*Y660)/(X660^2+Y660^2)+C660*'入力・概要'!$B$37*1E-9)</f>
        <v/>
      </c>
      <c r="AB660" s="195">
        <f>IF(B660="","",SQRT(Z660^2+AA660^2))</f>
        <v/>
      </c>
      <c r="AC660" s="195">
        <f>IF(B660="","",IF(Z660&gt;0,DEGREES(ATAN(AA660/Z660)),IF(Z660&lt;0,IF(AA660&gt;=0,DEGREES(ATAN(AA660/Z660))+180,DEGREES(ATAN(AA660/Z660))-180),IF(AA660&gt;0,90,IF(AA660&lt;0,-90,0)))))</f>
        <v/>
      </c>
      <c r="AD660" s="195">
        <f>IF(B660="","",LOG10(B660))</f>
        <v/>
      </c>
      <c r="AE660" s="195">
        <f>IF(AB660="","",LOG10(MAX(AB660,1E-12)))</f>
        <v/>
      </c>
      <c r="AF660" s="195">
        <f>IF(B660="","",SQRT(P660^2+Q660^2))</f>
        <v/>
      </c>
      <c r="AG660" s="195">
        <f>IF(B660="","",SQRT(R660^2+S660^2))</f>
        <v/>
      </c>
    </row>
    <row r="661">
      <c r="A661" t="n">
        <v>658</v>
      </c>
      <c r="B661" s="196">
        <f>IF(A661&lt;='入力・概要'!$B$40,10^(LOG10('入力・概要'!$B$38)+(A661-1)*(LOG10('入力・概要'!$B$39)-LOG10('入力・概要'!$B$38))/('入力・概要'!$B$40-1)),"")</f>
        <v/>
      </c>
      <c r="C661" s="195">
        <f>IF(B661="","",2*PI()*B661)</f>
        <v/>
      </c>
      <c r="D661" s="195">
        <f>IF(B661="","",ATANH(MIN(0.999999,'入力・概要'!$E$20/'入力・概要'!$E$9))+'入力・概要'!$B$20*SQRT(B661/1E6)+E661*'入力・概要'!$B$15/2)</f>
        <v/>
      </c>
      <c r="E661" s="195">
        <f>IF(B661="","",C661*('入力・概要'!$E$11*1E-9))</f>
        <v/>
      </c>
      <c r="F661" s="195">
        <f>IF(B661="","",SINH(2*D661)/(COSH(2*D661)+COS(2*E661)))</f>
        <v/>
      </c>
      <c r="G661" s="195">
        <f>IF(B661="","",SIN(2*E661)/(COSH(2*D661)+COS(2*E661)))</f>
        <v/>
      </c>
      <c r="H661" s="195">
        <f>IF(B661="","",ATANH(MIN(0.999999,'入力・概要'!$E$21/'入力・概要'!$E$15))+'入力・概要'!$B$21*SQRT(B661/1E6)+I661*'入力・概要'!$B$16/2)</f>
        <v/>
      </c>
      <c r="I661" s="195">
        <f>IF(B661="","",C661*('入力・概要'!$E$17*1E-9))</f>
        <v/>
      </c>
      <c r="J661" s="195">
        <f>IF(B661="","",SINH(2*H661)/(COSH(2*H661)+COS(2*I661)))</f>
        <v/>
      </c>
      <c r="K661" s="195">
        <f>IF(B661="","",SIN(2*I661)/(COSH(2*H661)+COS(2*I661)))</f>
        <v/>
      </c>
      <c r="L661" s="195">
        <f>IF(B661="","",'入力・概要'!$B$25)</f>
        <v/>
      </c>
      <c r="M661" s="195">
        <f>IF(B661="","",C661*'入力・概要'!$B$26*1E-9-1/(C661*'入力・概要'!$B$24*1E-6))</f>
        <v/>
      </c>
      <c r="N661" s="195">
        <f>IF(B661="","",'入力・概要'!$B$28)</f>
        <v/>
      </c>
      <c r="O661" s="195">
        <f>IF(B661="","",C661*'入力・概要'!$B$29*1E-9-1/(C661*'入力・概要'!$B$27*1E-6))</f>
        <v/>
      </c>
      <c r="P661" s="195">
        <f>IF(B661="","",((L661*N661-M661*O661)*(L661+N661)+(L661*O661+M661*N661)*(M661+O661))/((L661+N661)^2+(M661+O661)^2))</f>
        <v/>
      </c>
      <c r="Q661" s="195">
        <f>IF(B661="","",((L661*O661+M661*N661)*(L661+N661)-(L661*N661-M661*O661)*(M661+O661))/((L661+N661)^2+(M661+O661)^2))</f>
        <v/>
      </c>
      <c r="R661" s="195">
        <f>IF(B661="","",'入力・概要'!$E$15*J661)</f>
        <v/>
      </c>
      <c r="S661" s="195">
        <f>IF(B661="","",'入力・概要'!$E$15*K661)</f>
        <v/>
      </c>
      <c r="T661" s="195">
        <f>IF(B661="","",P661+R661)</f>
        <v/>
      </c>
      <c r="U661" s="195">
        <f>IF(B661="","",Q661+S661)</f>
        <v/>
      </c>
      <c r="V661" s="195">
        <f>IF(B661="","",T661+'入力・概要'!$E$9*F661)</f>
        <v/>
      </c>
      <c r="W661" s="195">
        <f>IF(B661="","",U661+'入力・概要'!$E$9*G661)</f>
        <v/>
      </c>
      <c r="X661" s="195">
        <f>IF(B661="","",'入力・概要'!$E$9+T661*F661-U661*G661)</f>
        <v/>
      </c>
      <c r="Y661" s="195">
        <f>IF(B661="","",T661*G661+U661*F661)</f>
        <v/>
      </c>
      <c r="Z661" s="195">
        <f>IF(B661="","",'入力・概要'!$E$9*(V661*X661+W661*Y661)/(X661^2+Y661^2)+'入力・概要'!$B$36)</f>
        <v/>
      </c>
      <c r="AA661" s="195">
        <f>IF(B661="","",'入力・概要'!$E$9*(W661*X661-V661*Y661)/(X661^2+Y661^2)+C661*'入力・概要'!$B$37*1E-9)</f>
        <v/>
      </c>
      <c r="AB661" s="195">
        <f>IF(B661="","",SQRT(Z661^2+AA661^2))</f>
        <v/>
      </c>
      <c r="AC661" s="195">
        <f>IF(B661="","",IF(Z661&gt;0,DEGREES(ATAN(AA661/Z661)),IF(Z661&lt;0,IF(AA661&gt;=0,DEGREES(ATAN(AA661/Z661))+180,DEGREES(ATAN(AA661/Z661))-180),IF(AA661&gt;0,90,IF(AA661&lt;0,-90,0)))))</f>
        <v/>
      </c>
      <c r="AD661" s="195">
        <f>IF(B661="","",LOG10(B661))</f>
        <v/>
      </c>
      <c r="AE661" s="195">
        <f>IF(AB661="","",LOG10(MAX(AB661,1E-12)))</f>
        <v/>
      </c>
      <c r="AF661" s="195">
        <f>IF(B661="","",SQRT(P661^2+Q661^2))</f>
        <v/>
      </c>
      <c r="AG661" s="195">
        <f>IF(B661="","",SQRT(R661^2+S661^2))</f>
        <v/>
      </c>
    </row>
    <row r="662">
      <c r="A662" t="n">
        <v>659</v>
      </c>
      <c r="B662" s="196">
        <f>IF(A662&lt;='入力・概要'!$B$40,10^(LOG10('入力・概要'!$B$38)+(A662-1)*(LOG10('入力・概要'!$B$39)-LOG10('入力・概要'!$B$38))/('入力・概要'!$B$40-1)),"")</f>
        <v/>
      </c>
      <c r="C662" s="195">
        <f>IF(B662="","",2*PI()*B662)</f>
        <v/>
      </c>
      <c r="D662" s="195">
        <f>IF(B662="","",ATANH(MIN(0.999999,'入力・概要'!$E$20/'入力・概要'!$E$9))+'入力・概要'!$B$20*SQRT(B662/1E6)+E662*'入力・概要'!$B$15/2)</f>
        <v/>
      </c>
      <c r="E662" s="195">
        <f>IF(B662="","",C662*('入力・概要'!$E$11*1E-9))</f>
        <v/>
      </c>
      <c r="F662" s="195">
        <f>IF(B662="","",SINH(2*D662)/(COSH(2*D662)+COS(2*E662)))</f>
        <v/>
      </c>
      <c r="G662" s="195">
        <f>IF(B662="","",SIN(2*E662)/(COSH(2*D662)+COS(2*E662)))</f>
        <v/>
      </c>
      <c r="H662" s="195">
        <f>IF(B662="","",ATANH(MIN(0.999999,'入力・概要'!$E$21/'入力・概要'!$E$15))+'入力・概要'!$B$21*SQRT(B662/1E6)+I662*'入力・概要'!$B$16/2)</f>
        <v/>
      </c>
      <c r="I662" s="195">
        <f>IF(B662="","",C662*('入力・概要'!$E$17*1E-9))</f>
        <v/>
      </c>
      <c r="J662" s="195">
        <f>IF(B662="","",SINH(2*H662)/(COSH(2*H662)+COS(2*I662)))</f>
        <v/>
      </c>
      <c r="K662" s="195">
        <f>IF(B662="","",SIN(2*I662)/(COSH(2*H662)+COS(2*I662)))</f>
        <v/>
      </c>
      <c r="L662" s="195">
        <f>IF(B662="","",'入力・概要'!$B$25)</f>
        <v/>
      </c>
      <c r="M662" s="195">
        <f>IF(B662="","",C662*'入力・概要'!$B$26*1E-9-1/(C662*'入力・概要'!$B$24*1E-6))</f>
        <v/>
      </c>
      <c r="N662" s="195">
        <f>IF(B662="","",'入力・概要'!$B$28)</f>
        <v/>
      </c>
      <c r="O662" s="195">
        <f>IF(B662="","",C662*'入力・概要'!$B$29*1E-9-1/(C662*'入力・概要'!$B$27*1E-6))</f>
        <v/>
      </c>
      <c r="P662" s="195">
        <f>IF(B662="","",((L662*N662-M662*O662)*(L662+N662)+(L662*O662+M662*N662)*(M662+O662))/((L662+N662)^2+(M662+O662)^2))</f>
        <v/>
      </c>
      <c r="Q662" s="195">
        <f>IF(B662="","",((L662*O662+M662*N662)*(L662+N662)-(L662*N662-M662*O662)*(M662+O662))/((L662+N662)^2+(M662+O662)^2))</f>
        <v/>
      </c>
      <c r="R662" s="195">
        <f>IF(B662="","",'入力・概要'!$E$15*J662)</f>
        <v/>
      </c>
      <c r="S662" s="195">
        <f>IF(B662="","",'入力・概要'!$E$15*K662)</f>
        <v/>
      </c>
      <c r="T662" s="195">
        <f>IF(B662="","",P662+R662)</f>
        <v/>
      </c>
      <c r="U662" s="195">
        <f>IF(B662="","",Q662+S662)</f>
        <v/>
      </c>
      <c r="V662" s="195">
        <f>IF(B662="","",T662+'入力・概要'!$E$9*F662)</f>
        <v/>
      </c>
      <c r="W662" s="195">
        <f>IF(B662="","",U662+'入力・概要'!$E$9*G662)</f>
        <v/>
      </c>
      <c r="X662" s="195">
        <f>IF(B662="","",'入力・概要'!$E$9+T662*F662-U662*G662)</f>
        <v/>
      </c>
      <c r="Y662" s="195">
        <f>IF(B662="","",T662*G662+U662*F662)</f>
        <v/>
      </c>
      <c r="Z662" s="195">
        <f>IF(B662="","",'入力・概要'!$E$9*(V662*X662+W662*Y662)/(X662^2+Y662^2)+'入力・概要'!$B$36)</f>
        <v/>
      </c>
      <c r="AA662" s="195">
        <f>IF(B662="","",'入力・概要'!$E$9*(W662*X662-V662*Y662)/(X662^2+Y662^2)+C662*'入力・概要'!$B$37*1E-9)</f>
        <v/>
      </c>
      <c r="AB662" s="195">
        <f>IF(B662="","",SQRT(Z662^2+AA662^2))</f>
        <v/>
      </c>
      <c r="AC662" s="195">
        <f>IF(B662="","",IF(Z662&gt;0,DEGREES(ATAN(AA662/Z662)),IF(Z662&lt;0,IF(AA662&gt;=0,DEGREES(ATAN(AA662/Z662))+180,DEGREES(ATAN(AA662/Z662))-180),IF(AA662&gt;0,90,IF(AA662&lt;0,-90,0)))))</f>
        <v/>
      </c>
      <c r="AD662" s="195">
        <f>IF(B662="","",LOG10(B662))</f>
        <v/>
      </c>
      <c r="AE662" s="195">
        <f>IF(AB662="","",LOG10(MAX(AB662,1E-12)))</f>
        <v/>
      </c>
      <c r="AF662" s="195">
        <f>IF(B662="","",SQRT(P662^2+Q662^2))</f>
        <v/>
      </c>
      <c r="AG662" s="195">
        <f>IF(B662="","",SQRT(R662^2+S662^2))</f>
        <v/>
      </c>
    </row>
    <row r="663">
      <c r="A663" t="n">
        <v>660</v>
      </c>
      <c r="B663" s="196">
        <f>IF(A663&lt;='入力・概要'!$B$40,10^(LOG10('入力・概要'!$B$38)+(A663-1)*(LOG10('入力・概要'!$B$39)-LOG10('入力・概要'!$B$38))/('入力・概要'!$B$40-1)),"")</f>
        <v/>
      </c>
      <c r="C663" s="195">
        <f>IF(B663="","",2*PI()*B663)</f>
        <v/>
      </c>
      <c r="D663" s="195">
        <f>IF(B663="","",ATANH(MIN(0.999999,'入力・概要'!$E$20/'入力・概要'!$E$9))+'入力・概要'!$B$20*SQRT(B663/1E6)+E663*'入力・概要'!$B$15/2)</f>
        <v/>
      </c>
      <c r="E663" s="195">
        <f>IF(B663="","",C663*('入力・概要'!$E$11*1E-9))</f>
        <v/>
      </c>
      <c r="F663" s="195">
        <f>IF(B663="","",SINH(2*D663)/(COSH(2*D663)+COS(2*E663)))</f>
        <v/>
      </c>
      <c r="G663" s="195">
        <f>IF(B663="","",SIN(2*E663)/(COSH(2*D663)+COS(2*E663)))</f>
        <v/>
      </c>
      <c r="H663" s="195">
        <f>IF(B663="","",ATANH(MIN(0.999999,'入力・概要'!$E$21/'入力・概要'!$E$15))+'入力・概要'!$B$21*SQRT(B663/1E6)+I663*'入力・概要'!$B$16/2)</f>
        <v/>
      </c>
      <c r="I663" s="195">
        <f>IF(B663="","",C663*('入力・概要'!$E$17*1E-9))</f>
        <v/>
      </c>
      <c r="J663" s="195">
        <f>IF(B663="","",SINH(2*H663)/(COSH(2*H663)+COS(2*I663)))</f>
        <v/>
      </c>
      <c r="K663" s="195">
        <f>IF(B663="","",SIN(2*I663)/(COSH(2*H663)+COS(2*I663)))</f>
        <v/>
      </c>
      <c r="L663" s="195">
        <f>IF(B663="","",'入力・概要'!$B$25)</f>
        <v/>
      </c>
      <c r="M663" s="195">
        <f>IF(B663="","",C663*'入力・概要'!$B$26*1E-9-1/(C663*'入力・概要'!$B$24*1E-6))</f>
        <v/>
      </c>
      <c r="N663" s="195">
        <f>IF(B663="","",'入力・概要'!$B$28)</f>
        <v/>
      </c>
      <c r="O663" s="195">
        <f>IF(B663="","",C663*'入力・概要'!$B$29*1E-9-1/(C663*'入力・概要'!$B$27*1E-6))</f>
        <v/>
      </c>
      <c r="P663" s="195">
        <f>IF(B663="","",((L663*N663-M663*O663)*(L663+N663)+(L663*O663+M663*N663)*(M663+O663))/((L663+N663)^2+(M663+O663)^2))</f>
        <v/>
      </c>
      <c r="Q663" s="195">
        <f>IF(B663="","",((L663*O663+M663*N663)*(L663+N663)-(L663*N663-M663*O663)*(M663+O663))/((L663+N663)^2+(M663+O663)^2))</f>
        <v/>
      </c>
      <c r="R663" s="195">
        <f>IF(B663="","",'入力・概要'!$E$15*J663)</f>
        <v/>
      </c>
      <c r="S663" s="195">
        <f>IF(B663="","",'入力・概要'!$E$15*K663)</f>
        <v/>
      </c>
      <c r="T663" s="195">
        <f>IF(B663="","",P663+R663)</f>
        <v/>
      </c>
      <c r="U663" s="195">
        <f>IF(B663="","",Q663+S663)</f>
        <v/>
      </c>
      <c r="V663" s="195">
        <f>IF(B663="","",T663+'入力・概要'!$E$9*F663)</f>
        <v/>
      </c>
      <c r="W663" s="195">
        <f>IF(B663="","",U663+'入力・概要'!$E$9*G663)</f>
        <v/>
      </c>
      <c r="X663" s="195">
        <f>IF(B663="","",'入力・概要'!$E$9+T663*F663-U663*G663)</f>
        <v/>
      </c>
      <c r="Y663" s="195">
        <f>IF(B663="","",T663*G663+U663*F663)</f>
        <v/>
      </c>
      <c r="Z663" s="195">
        <f>IF(B663="","",'入力・概要'!$E$9*(V663*X663+W663*Y663)/(X663^2+Y663^2)+'入力・概要'!$B$36)</f>
        <v/>
      </c>
      <c r="AA663" s="195">
        <f>IF(B663="","",'入力・概要'!$E$9*(W663*X663-V663*Y663)/(X663^2+Y663^2)+C663*'入力・概要'!$B$37*1E-9)</f>
        <v/>
      </c>
      <c r="AB663" s="195">
        <f>IF(B663="","",SQRT(Z663^2+AA663^2))</f>
        <v/>
      </c>
      <c r="AC663" s="195">
        <f>IF(B663="","",IF(Z663&gt;0,DEGREES(ATAN(AA663/Z663)),IF(Z663&lt;0,IF(AA663&gt;=0,DEGREES(ATAN(AA663/Z663))+180,DEGREES(ATAN(AA663/Z663))-180),IF(AA663&gt;0,90,IF(AA663&lt;0,-90,0)))))</f>
        <v/>
      </c>
      <c r="AD663" s="195">
        <f>IF(B663="","",LOG10(B663))</f>
        <v/>
      </c>
      <c r="AE663" s="195">
        <f>IF(AB663="","",LOG10(MAX(AB663,1E-12)))</f>
        <v/>
      </c>
      <c r="AF663" s="195">
        <f>IF(B663="","",SQRT(P663^2+Q663^2))</f>
        <v/>
      </c>
      <c r="AG663" s="195">
        <f>IF(B663="","",SQRT(R663^2+S663^2))</f>
        <v/>
      </c>
    </row>
    <row r="664">
      <c r="A664" t="n">
        <v>661</v>
      </c>
      <c r="B664" s="196">
        <f>IF(A664&lt;='入力・概要'!$B$40,10^(LOG10('入力・概要'!$B$38)+(A664-1)*(LOG10('入力・概要'!$B$39)-LOG10('入力・概要'!$B$38))/('入力・概要'!$B$40-1)),"")</f>
        <v/>
      </c>
      <c r="C664" s="195">
        <f>IF(B664="","",2*PI()*B664)</f>
        <v/>
      </c>
      <c r="D664" s="195">
        <f>IF(B664="","",ATANH(MIN(0.999999,'入力・概要'!$E$20/'入力・概要'!$E$9))+'入力・概要'!$B$20*SQRT(B664/1E6)+E664*'入力・概要'!$B$15/2)</f>
        <v/>
      </c>
      <c r="E664" s="195">
        <f>IF(B664="","",C664*('入力・概要'!$E$11*1E-9))</f>
        <v/>
      </c>
      <c r="F664" s="195">
        <f>IF(B664="","",SINH(2*D664)/(COSH(2*D664)+COS(2*E664)))</f>
        <v/>
      </c>
      <c r="G664" s="195">
        <f>IF(B664="","",SIN(2*E664)/(COSH(2*D664)+COS(2*E664)))</f>
        <v/>
      </c>
      <c r="H664" s="195">
        <f>IF(B664="","",ATANH(MIN(0.999999,'入力・概要'!$E$21/'入力・概要'!$E$15))+'入力・概要'!$B$21*SQRT(B664/1E6)+I664*'入力・概要'!$B$16/2)</f>
        <v/>
      </c>
      <c r="I664" s="195">
        <f>IF(B664="","",C664*('入力・概要'!$E$17*1E-9))</f>
        <v/>
      </c>
      <c r="J664" s="195">
        <f>IF(B664="","",SINH(2*H664)/(COSH(2*H664)+COS(2*I664)))</f>
        <v/>
      </c>
      <c r="K664" s="195">
        <f>IF(B664="","",SIN(2*I664)/(COSH(2*H664)+COS(2*I664)))</f>
        <v/>
      </c>
      <c r="L664" s="195">
        <f>IF(B664="","",'入力・概要'!$B$25)</f>
        <v/>
      </c>
      <c r="M664" s="195">
        <f>IF(B664="","",C664*'入力・概要'!$B$26*1E-9-1/(C664*'入力・概要'!$B$24*1E-6))</f>
        <v/>
      </c>
      <c r="N664" s="195">
        <f>IF(B664="","",'入力・概要'!$B$28)</f>
        <v/>
      </c>
      <c r="O664" s="195">
        <f>IF(B664="","",C664*'入力・概要'!$B$29*1E-9-1/(C664*'入力・概要'!$B$27*1E-6))</f>
        <v/>
      </c>
      <c r="P664" s="195">
        <f>IF(B664="","",((L664*N664-M664*O664)*(L664+N664)+(L664*O664+M664*N664)*(M664+O664))/((L664+N664)^2+(M664+O664)^2))</f>
        <v/>
      </c>
      <c r="Q664" s="195">
        <f>IF(B664="","",((L664*O664+M664*N664)*(L664+N664)-(L664*N664-M664*O664)*(M664+O664))/((L664+N664)^2+(M664+O664)^2))</f>
        <v/>
      </c>
      <c r="R664" s="195">
        <f>IF(B664="","",'入力・概要'!$E$15*J664)</f>
        <v/>
      </c>
      <c r="S664" s="195">
        <f>IF(B664="","",'入力・概要'!$E$15*K664)</f>
        <v/>
      </c>
      <c r="T664" s="195">
        <f>IF(B664="","",P664+R664)</f>
        <v/>
      </c>
      <c r="U664" s="195">
        <f>IF(B664="","",Q664+S664)</f>
        <v/>
      </c>
      <c r="V664" s="195">
        <f>IF(B664="","",T664+'入力・概要'!$E$9*F664)</f>
        <v/>
      </c>
      <c r="W664" s="195">
        <f>IF(B664="","",U664+'入力・概要'!$E$9*G664)</f>
        <v/>
      </c>
      <c r="X664" s="195">
        <f>IF(B664="","",'入力・概要'!$E$9+T664*F664-U664*G664)</f>
        <v/>
      </c>
      <c r="Y664" s="195">
        <f>IF(B664="","",T664*G664+U664*F664)</f>
        <v/>
      </c>
      <c r="Z664" s="195">
        <f>IF(B664="","",'入力・概要'!$E$9*(V664*X664+W664*Y664)/(X664^2+Y664^2)+'入力・概要'!$B$36)</f>
        <v/>
      </c>
      <c r="AA664" s="195">
        <f>IF(B664="","",'入力・概要'!$E$9*(W664*X664-V664*Y664)/(X664^2+Y664^2)+C664*'入力・概要'!$B$37*1E-9)</f>
        <v/>
      </c>
      <c r="AB664" s="195">
        <f>IF(B664="","",SQRT(Z664^2+AA664^2))</f>
        <v/>
      </c>
      <c r="AC664" s="195">
        <f>IF(B664="","",IF(Z664&gt;0,DEGREES(ATAN(AA664/Z664)),IF(Z664&lt;0,IF(AA664&gt;=0,DEGREES(ATAN(AA664/Z664))+180,DEGREES(ATAN(AA664/Z664))-180),IF(AA664&gt;0,90,IF(AA664&lt;0,-90,0)))))</f>
        <v/>
      </c>
      <c r="AD664" s="195">
        <f>IF(B664="","",LOG10(B664))</f>
        <v/>
      </c>
      <c r="AE664" s="195">
        <f>IF(AB664="","",LOG10(MAX(AB664,1E-12)))</f>
        <v/>
      </c>
      <c r="AF664" s="195">
        <f>IF(B664="","",SQRT(P664^2+Q664^2))</f>
        <v/>
      </c>
      <c r="AG664" s="195">
        <f>IF(B664="","",SQRT(R664^2+S664^2))</f>
        <v/>
      </c>
    </row>
    <row r="665">
      <c r="A665" t="n">
        <v>662</v>
      </c>
      <c r="B665" s="196">
        <f>IF(A665&lt;='入力・概要'!$B$40,10^(LOG10('入力・概要'!$B$38)+(A665-1)*(LOG10('入力・概要'!$B$39)-LOG10('入力・概要'!$B$38))/('入力・概要'!$B$40-1)),"")</f>
        <v/>
      </c>
      <c r="C665" s="195">
        <f>IF(B665="","",2*PI()*B665)</f>
        <v/>
      </c>
      <c r="D665" s="195">
        <f>IF(B665="","",ATANH(MIN(0.999999,'入力・概要'!$E$20/'入力・概要'!$E$9))+'入力・概要'!$B$20*SQRT(B665/1E6)+E665*'入力・概要'!$B$15/2)</f>
        <v/>
      </c>
      <c r="E665" s="195">
        <f>IF(B665="","",C665*('入力・概要'!$E$11*1E-9))</f>
        <v/>
      </c>
      <c r="F665" s="195">
        <f>IF(B665="","",SINH(2*D665)/(COSH(2*D665)+COS(2*E665)))</f>
        <v/>
      </c>
      <c r="G665" s="195">
        <f>IF(B665="","",SIN(2*E665)/(COSH(2*D665)+COS(2*E665)))</f>
        <v/>
      </c>
      <c r="H665" s="195">
        <f>IF(B665="","",ATANH(MIN(0.999999,'入力・概要'!$E$21/'入力・概要'!$E$15))+'入力・概要'!$B$21*SQRT(B665/1E6)+I665*'入力・概要'!$B$16/2)</f>
        <v/>
      </c>
      <c r="I665" s="195">
        <f>IF(B665="","",C665*('入力・概要'!$E$17*1E-9))</f>
        <v/>
      </c>
      <c r="J665" s="195">
        <f>IF(B665="","",SINH(2*H665)/(COSH(2*H665)+COS(2*I665)))</f>
        <v/>
      </c>
      <c r="K665" s="195">
        <f>IF(B665="","",SIN(2*I665)/(COSH(2*H665)+COS(2*I665)))</f>
        <v/>
      </c>
      <c r="L665" s="195">
        <f>IF(B665="","",'入力・概要'!$B$25)</f>
        <v/>
      </c>
      <c r="M665" s="195">
        <f>IF(B665="","",C665*'入力・概要'!$B$26*1E-9-1/(C665*'入力・概要'!$B$24*1E-6))</f>
        <v/>
      </c>
      <c r="N665" s="195">
        <f>IF(B665="","",'入力・概要'!$B$28)</f>
        <v/>
      </c>
      <c r="O665" s="195">
        <f>IF(B665="","",C665*'入力・概要'!$B$29*1E-9-1/(C665*'入力・概要'!$B$27*1E-6))</f>
        <v/>
      </c>
      <c r="P665" s="195">
        <f>IF(B665="","",((L665*N665-M665*O665)*(L665+N665)+(L665*O665+M665*N665)*(M665+O665))/((L665+N665)^2+(M665+O665)^2))</f>
        <v/>
      </c>
      <c r="Q665" s="195">
        <f>IF(B665="","",((L665*O665+M665*N665)*(L665+N665)-(L665*N665-M665*O665)*(M665+O665))/((L665+N665)^2+(M665+O665)^2))</f>
        <v/>
      </c>
      <c r="R665" s="195">
        <f>IF(B665="","",'入力・概要'!$E$15*J665)</f>
        <v/>
      </c>
      <c r="S665" s="195">
        <f>IF(B665="","",'入力・概要'!$E$15*K665)</f>
        <v/>
      </c>
      <c r="T665" s="195">
        <f>IF(B665="","",P665+R665)</f>
        <v/>
      </c>
      <c r="U665" s="195">
        <f>IF(B665="","",Q665+S665)</f>
        <v/>
      </c>
      <c r="V665" s="195">
        <f>IF(B665="","",T665+'入力・概要'!$E$9*F665)</f>
        <v/>
      </c>
      <c r="W665" s="195">
        <f>IF(B665="","",U665+'入力・概要'!$E$9*G665)</f>
        <v/>
      </c>
      <c r="X665" s="195">
        <f>IF(B665="","",'入力・概要'!$E$9+T665*F665-U665*G665)</f>
        <v/>
      </c>
      <c r="Y665" s="195">
        <f>IF(B665="","",T665*G665+U665*F665)</f>
        <v/>
      </c>
      <c r="Z665" s="195">
        <f>IF(B665="","",'入力・概要'!$E$9*(V665*X665+W665*Y665)/(X665^2+Y665^2)+'入力・概要'!$B$36)</f>
        <v/>
      </c>
      <c r="AA665" s="195">
        <f>IF(B665="","",'入力・概要'!$E$9*(W665*X665-V665*Y665)/(X665^2+Y665^2)+C665*'入力・概要'!$B$37*1E-9)</f>
        <v/>
      </c>
      <c r="AB665" s="195">
        <f>IF(B665="","",SQRT(Z665^2+AA665^2))</f>
        <v/>
      </c>
      <c r="AC665" s="195">
        <f>IF(B665="","",IF(Z665&gt;0,DEGREES(ATAN(AA665/Z665)),IF(Z665&lt;0,IF(AA665&gt;=0,DEGREES(ATAN(AA665/Z665))+180,DEGREES(ATAN(AA665/Z665))-180),IF(AA665&gt;0,90,IF(AA665&lt;0,-90,0)))))</f>
        <v/>
      </c>
      <c r="AD665" s="195">
        <f>IF(B665="","",LOG10(B665))</f>
        <v/>
      </c>
      <c r="AE665" s="195">
        <f>IF(AB665="","",LOG10(MAX(AB665,1E-12)))</f>
        <v/>
      </c>
      <c r="AF665" s="195">
        <f>IF(B665="","",SQRT(P665^2+Q665^2))</f>
        <v/>
      </c>
      <c r="AG665" s="195">
        <f>IF(B665="","",SQRT(R665^2+S665^2))</f>
        <v/>
      </c>
    </row>
    <row r="666">
      <c r="A666" t="n">
        <v>663</v>
      </c>
      <c r="B666" s="196">
        <f>IF(A666&lt;='入力・概要'!$B$40,10^(LOG10('入力・概要'!$B$38)+(A666-1)*(LOG10('入力・概要'!$B$39)-LOG10('入力・概要'!$B$38))/('入力・概要'!$B$40-1)),"")</f>
        <v/>
      </c>
      <c r="C666" s="195">
        <f>IF(B666="","",2*PI()*B666)</f>
        <v/>
      </c>
      <c r="D666" s="195">
        <f>IF(B666="","",ATANH(MIN(0.999999,'入力・概要'!$E$20/'入力・概要'!$E$9))+'入力・概要'!$B$20*SQRT(B666/1E6)+E666*'入力・概要'!$B$15/2)</f>
        <v/>
      </c>
      <c r="E666" s="195">
        <f>IF(B666="","",C666*('入力・概要'!$E$11*1E-9))</f>
        <v/>
      </c>
      <c r="F666" s="195">
        <f>IF(B666="","",SINH(2*D666)/(COSH(2*D666)+COS(2*E666)))</f>
        <v/>
      </c>
      <c r="G666" s="195">
        <f>IF(B666="","",SIN(2*E666)/(COSH(2*D666)+COS(2*E666)))</f>
        <v/>
      </c>
      <c r="H666" s="195">
        <f>IF(B666="","",ATANH(MIN(0.999999,'入力・概要'!$E$21/'入力・概要'!$E$15))+'入力・概要'!$B$21*SQRT(B666/1E6)+I666*'入力・概要'!$B$16/2)</f>
        <v/>
      </c>
      <c r="I666" s="195">
        <f>IF(B666="","",C666*('入力・概要'!$E$17*1E-9))</f>
        <v/>
      </c>
      <c r="J666" s="195">
        <f>IF(B666="","",SINH(2*H666)/(COSH(2*H666)+COS(2*I666)))</f>
        <v/>
      </c>
      <c r="K666" s="195">
        <f>IF(B666="","",SIN(2*I666)/(COSH(2*H666)+COS(2*I666)))</f>
        <v/>
      </c>
      <c r="L666" s="195">
        <f>IF(B666="","",'入力・概要'!$B$25)</f>
        <v/>
      </c>
      <c r="M666" s="195">
        <f>IF(B666="","",C666*'入力・概要'!$B$26*1E-9-1/(C666*'入力・概要'!$B$24*1E-6))</f>
        <v/>
      </c>
      <c r="N666" s="195">
        <f>IF(B666="","",'入力・概要'!$B$28)</f>
        <v/>
      </c>
      <c r="O666" s="195">
        <f>IF(B666="","",C666*'入力・概要'!$B$29*1E-9-1/(C666*'入力・概要'!$B$27*1E-6))</f>
        <v/>
      </c>
      <c r="P666" s="195">
        <f>IF(B666="","",((L666*N666-M666*O666)*(L666+N666)+(L666*O666+M666*N666)*(M666+O666))/((L666+N666)^2+(M666+O666)^2))</f>
        <v/>
      </c>
      <c r="Q666" s="195">
        <f>IF(B666="","",((L666*O666+M666*N666)*(L666+N666)-(L666*N666-M666*O666)*(M666+O666))/((L666+N666)^2+(M666+O666)^2))</f>
        <v/>
      </c>
      <c r="R666" s="195">
        <f>IF(B666="","",'入力・概要'!$E$15*J666)</f>
        <v/>
      </c>
      <c r="S666" s="195">
        <f>IF(B666="","",'入力・概要'!$E$15*K666)</f>
        <v/>
      </c>
      <c r="T666" s="195">
        <f>IF(B666="","",P666+R666)</f>
        <v/>
      </c>
      <c r="U666" s="195">
        <f>IF(B666="","",Q666+S666)</f>
        <v/>
      </c>
      <c r="V666" s="195">
        <f>IF(B666="","",T666+'入力・概要'!$E$9*F666)</f>
        <v/>
      </c>
      <c r="W666" s="195">
        <f>IF(B666="","",U666+'入力・概要'!$E$9*G666)</f>
        <v/>
      </c>
      <c r="X666" s="195">
        <f>IF(B666="","",'入力・概要'!$E$9+T666*F666-U666*G666)</f>
        <v/>
      </c>
      <c r="Y666" s="195">
        <f>IF(B666="","",T666*G666+U666*F666)</f>
        <v/>
      </c>
      <c r="Z666" s="195">
        <f>IF(B666="","",'入力・概要'!$E$9*(V666*X666+W666*Y666)/(X666^2+Y666^2)+'入力・概要'!$B$36)</f>
        <v/>
      </c>
      <c r="AA666" s="195">
        <f>IF(B666="","",'入力・概要'!$E$9*(W666*X666-V666*Y666)/(X666^2+Y666^2)+C666*'入力・概要'!$B$37*1E-9)</f>
        <v/>
      </c>
      <c r="AB666" s="195">
        <f>IF(B666="","",SQRT(Z666^2+AA666^2))</f>
        <v/>
      </c>
      <c r="AC666" s="195">
        <f>IF(B666="","",IF(Z666&gt;0,DEGREES(ATAN(AA666/Z666)),IF(Z666&lt;0,IF(AA666&gt;=0,DEGREES(ATAN(AA666/Z666))+180,DEGREES(ATAN(AA666/Z666))-180),IF(AA666&gt;0,90,IF(AA666&lt;0,-90,0)))))</f>
        <v/>
      </c>
      <c r="AD666" s="195">
        <f>IF(B666="","",LOG10(B666))</f>
        <v/>
      </c>
      <c r="AE666" s="195">
        <f>IF(AB666="","",LOG10(MAX(AB666,1E-12)))</f>
        <v/>
      </c>
      <c r="AF666" s="195">
        <f>IF(B666="","",SQRT(P666^2+Q666^2))</f>
        <v/>
      </c>
      <c r="AG666" s="195">
        <f>IF(B666="","",SQRT(R666^2+S666^2))</f>
        <v/>
      </c>
    </row>
    <row r="667">
      <c r="A667" t="n">
        <v>664</v>
      </c>
      <c r="B667" s="196">
        <f>IF(A667&lt;='入力・概要'!$B$40,10^(LOG10('入力・概要'!$B$38)+(A667-1)*(LOG10('入力・概要'!$B$39)-LOG10('入力・概要'!$B$38))/('入力・概要'!$B$40-1)),"")</f>
        <v/>
      </c>
      <c r="C667" s="195">
        <f>IF(B667="","",2*PI()*B667)</f>
        <v/>
      </c>
      <c r="D667" s="195">
        <f>IF(B667="","",ATANH(MIN(0.999999,'入力・概要'!$E$20/'入力・概要'!$E$9))+'入力・概要'!$B$20*SQRT(B667/1E6)+E667*'入力・概要'!$B$15/2)</f>
        <v/>
      </c>
      <c r="E667" s="195">
        <f>IF(B667="","",C667*('入力・概要'!$E$11*1E-9))</f>
        <v/>
      </c>
      <c r="F667" s="195">
        <f>IF(B667="","",SINH(2*D667)/(COSH(2*D667)+COS(2*E667)))</f>
        <v/>
      </c>
      <c r="G667" s="195">
        <f>IF(B667="","",SIN(2*E667)/(COSH(2*D667)+COS(2*E667)))</f>
        <v/>
      </c>
      <c r="H667" s="195">
        <f>IF(B667="","",ATANH(MIN(0.999999,'入力・概要'!$E$21/'入力・概要'!$E$15))+'入力・概要'!$B$21*SQRT(B667/1E6)+I667*'入力・概要'!$B$16/2)</f>
        <v/>
      </c>
      <c r="I667" s="195">
        <f>IF(B667="","",C667*('入力・概要'!$E$17*1E-9))</f>
        <v/>
      </c>
      <c r="J667" s="195">
        <f>IF(B667="","",SINH(2*H667)/(COSH(2*H667)+COS(2*I667)))</f>
        <v/>
      </c>
      <c r="K667" s="195">
        <f>IF(B667="","",SIN(2*I667)/(COSH(2*H667)+COS(2*I667)))</f>
        <v/>
      </c>
      <c r="L667" s="195">
        <f>IF(B667="","",'入力・概要'!$B$25)</f>
        <v/>
      </c>
      <c r="M667" s="195">
        <f>IF(B667="","",C667*'入力・概要'!$B$26*1E-9-1/(C667*'入力・概要'!$B$24*1E-6))</f>
        <v/>
      </c>
      <c r="N667" s="195">
        <f>IF(B667="","",'入力・概要'!$B$28)</f>
        <v/>
      </c>
      <c r="O667" s="195">
        <f>IF(B667="","",C667*'入力・概要'!$B$29*1E-9-1/(C667*'入力・概要'!$B$27*1E-6))</f>
        <v/>
      </c>
      <c r="P667" s="195">
        <f>IF(B667="","",((L667*N667-M667*O667)*(L667+N667)+(L667*O667+M667*N667)*(M667+O667))/((L667+N667)^2+(M667+O667)^2))</f>
        <v/>
      </c>
      <c r="Q667" s="195">
        <f>IF(B667="","",((L667*O667+M667*N667)*(L667+N667)-(L667*N667-M667*O667)*(M667+O667))/((L667+N667)^2+(M667+O667)^2))</f>
        <v/>
      </c>
      <c r="R667" s="195">
        <f>IF(B667="","",'入力・概要'!$E$15*J667)</f>
        <v/>
      </c>
      <c r="S667" s="195">
        <f>IF(B667="","",'入力・概要'!$E$15*K667)</f>
        <v/>
      </c>
      <c r="T667" s="195">
        <f>IF(B667="","",P667+R667)</f>
        <v/>
      </c>
      <c r="U667" s="195">
        <f>IF(B667="","",Q667+S667)</f>
        <v/>
      </c>
      <c r="V667" s="195">
        <f>IF(B667="","",T667+'入力・概要'!$E$9*F667)</f>
        <v/>
      </c>
      <c r="W667" s="195">
        <f>IF(B667="","",U667+'入力・概要'!$E$9*G667)</f>
        <v/>
      </c>
      <c r="X667" s="195">
        <f>IF(B667="","",'入力・概要'!$E$9+T667*F667-U667*G667)</f>
        <v/>
      </c>
      <c r="Y667" s="195">
        <f>IF(B667="","",T667*G667+U667*F667)</f>
        <v/>
      </c>
      <c r="Z667" s="195">
        <f>IF(B667="","",'入力・概要'!$E$9*(V667*X667+W667*Y667)/(X667^2+Y667^2)+'入力・概要'!$B$36)</f>
        <v/>
      </c>
      <c r="AA667" s="195">
        <f>IF(B667="","",'入力・概要'!$E$9*(W667*X667-V667*Y667)/(X667^2+Y667^2)+C667*'入力・概要'!$B$37*1E-9)</f>
        <v/>
      </c>
      <c r="AB667" s="195">
        <f>IF(B667="","",SQRT(Z667^2+AA667^2))</f>
        <v/>
      </c>
      <c r="AC667" s="195">
        <f>IF(B667="","",IF(Z667&gt;0,DEGREES(ATAN(AA667/Z667)),IF(Z667&lt;0,IF(AA667&gt;=0,DEGREES(ATAN(AA667/Z667))+180,DEGREES(ATAN(AA667/Z667))-180),IF(AA667&gt;0,90,IF(AA667&lt;0,-90,0)))))</f>
        <v/>
      </c>
      <c r="AD667" s="195">
        <f>IF(B667="","",LOG10(B667))</f>
        <v/>
      </c>
      <c r="AE667" s="195">
        <f>IF(AB667="","",LOG10(MAX(AB667,1E-12)))</f>
        <v/>
      </c>
      <c r="AF667" s="195">
        <f>IF(B667="","",SQRT(P667^2+Q667^2))</f>
        <v/>
      </c>
      <c r="AG667" s="195">
        <f>IF(B667="","",SQRT(R667^2+S667^2))</f>
        <v/>
      </c>
    </row>
    <row r="668">
      <c r="A668" t="n">
        <v>665</v>
      </c>
      <c r="B668" s="196">
        <f>IF(A668&lt;='入力・概要'!$B$40,10^(LOG10('入力・概要'!$B$38)+(A668-1)*(LOG10('入力・概要'!$B$39)-LOG10('入力・概要'!$B$38))/('入力・概要'!$B$40-1)),"")</f>
        <v/>
      </c>
      <c r="C668" s="195">
        <f>IF(B668="","",2*PI()*B668)</f>
        <v/>
      </c>
      <c r="D668" s="195">
        <f>IF(B668="","",ATANH(MIN(0.999999,'入力・概要'!$E$20/'入力・概要'!$E$9))+'入力・概要'!$B$20*SQRT(B668/1E6)+E668*'入力・概要'!$B$15/2)</f>
        <v/>
      </c>
      <c r="E668" s="195">
        <f>IF(B668="","",C668*('入力・概要'!$E$11*1E-9))</f>
        <v/>
      </c>
      <c r="F668" s="195">
        <f>IF(B668="","",SINH(2*D668)/(COSH(2*D668)+COS(2*E668)))</f>
        <v/>
      </c>
      <c r="G668" s="195">
        <f>IF(B668="","",SIN(2*E668)/(COSH(2*D668)+COS(2*E668)))</f>
        <v/>
      </c>
      <c r="H668" s="195">
        <f>IF(B668="","",ATANH(MIN(0.999999,'入力・概要'!$E$21/'入力・概要'!$E$15))+'入力・概要'!$B$21*SQRT(B668/1E6)+I668*'入力・概要'!$B$16/2)</f>
        <v/>
      </c>
      <c r="I668" s="195">
        <f>IF(B668="","",C668*('入力・概要'!$E$17*1E-9))</f>
        <v/>
      </c>
      <c r="J668" s="195">
        <f>IF(B668="","",SINH(2*H668)/(COSH(2*H668)+COS(2*I668)))</f>
        <v/>
      </c>
      <c r="K668" s="195">
        <f>IF(B668="","",SIN(2*I668)/(COSH(2*H668)+COS(2*I668)))</f>
        <v/>
      </c>
      <c r="L668" s="195">
        <f>IF(B668="","",'入力・概要'!$B$25)</f>
        <v/>
      </c>
      <c r="M668" s="195">
        <f>IF(B668="","",C668*'入力・概要'!$B$26*1E-9-1/(C668*'入力・概要'!$B$24*1E-6))</f>
        <v/>
      </c>
      <c r="N668" s="195">
        <f>IF(B668="","",'入力・概要'!$B$28)</f>
        <v/>
      </c>
      <c r="O668" s="195">
        <f>IF(B668="","",C668*'入力・概要'!$B$29*1E-9-1/(C668*'入力・概要'!$B$27*1E-6))</f>
        <v/>
      </c>
      <c r="P668" s="195">
        <f>IF(B668="","",((L668*N668-M668*O668)*(L668+N668)+(L668*O668+M668*N668)*(M668+O668))/((L668+N668)^2+(M668+O668)^2))</f>
        <v/>
      </c>
      <c r="Q668" s="195">
        <f>IF(B668="","",((L668*O668+M668*N668)*(L668+N668)-(L668*N668-M668*O668)*(M668+O668))/((L668+N668)^2+(M668+O668)^2))</f>
        <v/>
      </c>
      <c r="R668" s="195">
        <f>IF(B668="","",'入力・概要'!$E$15*J668)</f>
        <v/>
      </c>
      <c r="S668" s="195">
        <f>IF(B668="","",'入力・概要'!$E$15*K668)</f>
        <v/>
      </c>
      <c r="T668" s="195">
        <f>IF(B668="","",P668+R668)</f>
        <v/>
      </c>
      <c r="U668" s="195">
        <f>IF(B668="","",Q668+S668)</f>
        <v/>
      </c>
      <c r="V668" s="195">
        <f>IF(B668="","",T668+'入力・概要'!$E$9*F668)</f>
        <v/>
      </c>
      <c r="W668" s="195">
        <f>IF(B668="","",U668+'入力・概要'!$E$9*G668)</f>
        <v/>
      </c>
      <c r="X668" s="195">
        <f>IF(B668="","",'入力・概要'!$E$9+T668*F668-U668*G668)</f>
        <v/>
      </c>
      <c r="Y668" s="195">
        <f>IF(B668="","",T668*G668+U668*F668)</f>
        <v/>
      </c>
      <c r="Z668" s="195">
        <f>IF(B668="","",'入力・概要'!$E$9*(V668*X668+W668*Y668)/(X668^2+Y668^2)+'入力・概要'!$B$36)</f>
        <v/>
      </c>
      <c r="AA668" s="195">
        <f>IF(B668="","",'入力・概要'!$E$9*(W668*X668-V668*Y668)/(X668^2+Y668^2)+C668*'入力・概要'!$B$37*1E-9)</f>
        <v/>
      </c>
      <c r="AB668" s="195">
        <f>IF(B668="","",SQRT(Z668^2+AA668^2))</f>
        <v/>
      </c>
      <c r="AC668" s="195">
        <f>IF(B668="","",IF(Z668&gt;0,DEGREES(ATAN(AA668/Z668)),IF(Z668&lt;0,IF(AA668&gt;=0,DEGREES(ATAN(AA668/Z668))+180,DEGREES(ATAN(AA668/Z668))-180),IF(AA668&gt;0,90,IF(AA668&lt;0,-90,0)))))</f>
        <v/>
      </c>
      <c r="AD668" s="195">
        <f>IF(B668="","",LOG10(B668))</f>
        <v/>
      </c>
      <c r="AE668" s="195">
        <f>IF(AB668="","",LOG10(MAX(AB668,1E-12)))</f>
        <v/>
      </c>
      <c r="AF668" s="195">
        <f>IF(B668="","",SQRT(P668^2+Q668^2))</f>
        <v/>
      </c>
      <c r="AG668" s="195">
        <f>IF(B668="","",SQRT(R668^2+S668^2))</f>
        <v/>
      </c>
    </row>
    <row r="669">
      <c r="A669" t="n">
        <v>666</v>
      </c>
      <c r="B669" s="196">
        <f>IF(A669&lt;='入力・概要'!$B$40,10^(LOG10('入力・概要'!$B$38)+(A669-1)*(LOG10('入力・概要'!$B$39)-LOG10('入力・概要'!$B$38))/('入力・概要'!$B$40-1)),"")</f>
        <v/>
      </c>
      <c r="C669" s="195">
        <f>IF(B669="","",2*PI()*B669)</f>
        <v/>
      </c>
      <c r="D669" s="195">
        <f>IF(B669="","",ATANH(MIN(0.999999,'入力・概要'!$E$20/'入力・概要'!$E$9))+'入力・概要'!$B$20*SQRT(B669/1E6)+E669*'入力・概要'!$B$15/2)</f>
        <v/>
      </c>
      <c r="E669" s="195">
        <f>IF(B669="","",C669*('入力・概要'!$E$11*1E-9))</f>
        <v/>
      </c>
      <c r="F669" s="195">
        <f>IF(B669="","",SINH(2*D669)/(COSH(2*D669)+COS(2*E669)))</f>
        <v/>
      </c>
      <c r="G669" s="195">
        <f>IF(B669="","",SIN(2*E669)/(COSH(2*D669)+COS(2*E669)))</f>
        <v/>
      </c>
      <c r="H669" s="195">
        <f>IF(B669="","",ATANH(MIN(0.999999,'入力・概要'!$E$21/'入力・概要'!$E$15))+'入力・概要'!$B$21*SQRT(B669/1E6)+I669*'入力・概要'!$B$16/2)</f>
        <v/>
      </c>
      <c r="I669" s="195">
        <f>IF(B669="","",C669*('入力・概要'!$E$17*1E-9))</f>
        <v/>
      </c>
      <c r="J669" s="195">
        <f>IF(B669="","",SINH(2*H669)/(COSH(2*H669)+COS(2*I669)))</f>
        <v/>
      </c>
      <c r="K669" s="195">
        <f>IF(B669="","",SIN(2*I669)/(COSH(2*H669)+COS(2*I669)))</f>
        <v/>
      </c>
      <c r="L669" s="195">
        <f>IF(B669="","",'入力・概要'!$B$25)</f>
        <v/>
      </c>
      <c r="M669" s="195">
        <f>IF(B669="","",C669*'入力・概要'!$B$26*1E-9-1/(C669*'入力・概要'!$B$24*1E-6))</f>
        <v/>
      </c>
      <c r="N669" s="195">
        <f>IF(B669="","",'入力・概要'!$B$28)</f>
        <v/>
      </c>
      <c r="O669" s="195">
        <f>IF(B669="","",C669*'入力・概要'!$B$29*1E-9-1/(C669*'入力・概要'!$B$27*1E-6))</f>
        <v/>
      </c>
      <c r="P669" s="195">
        <f>IF(B669="","",((L669*N669-M669*O669)*(L669+N669)+(L669*O669+M669*N669)*(M669+O669))/((L669+N669)^2+(M669+O669)^2))</f>
        <v/>
      </c>
      <c r="Q669" s="195">
        <f>IF(B669="","",((L669*O669+M669*N669)*(L669+N669)-(L669*N669-M669*O669)*(M669+O669))/((L669+N669)^2+(M669+O669)^2))</f>
        <v/>
      </c>
      <c r="R669" s="195">
        <f>IF(B669="","",'入力・概要'!$E$15*J669)</f>
        <v/>
      </c>
      <c r="S669" s="195">
        <f>IF(B669="","",'入力・概要'!$E$15*K669)</f>
        <v/>
      </c>
      <c r="T669" s="195">
        <f>IF(B669="","",P669+R669)</f>
        <v/>
      </c>
      <c r="U669" s="195">
        <f>IF(B669="","",Q669+S669)</f>
        <v/>
      </c>
      <c r="V669" s="195">
        <f>IF(B669="","",T669+'入力・概要'!$E$9*F669)</f>
        <v/>
      </c>
      <c r="W669" s="195">
        <f>IF(B669="","",U669+'入力・概要'!$E$9*G669)</f>
        <v/>
      </c>
      <c r="X669" s="195">
        <f>IF(B669="","",'入力・概要'!$E$9+T669*F669-U669*G669)</f>
        <v/>
      </c>
      <c r="Y669" s="195">
        <f>IF(B669="","",T669*G669+U669*F669)</f>
        <v/>
      </c>
      <c r="Z669" s="195">
        <f>IF(B669="","",'入力・概要'!$E$9*(V669*X669+W669*Y669)/(X669^2+Y669^2)+'入力・概要'!$B$36)</f>
        <v/>
      </c>
      <c r="AA669" s="195">
        <f>IF(B669="","",'入力・概要'!$E$9*(W669*X669-V669*Y669)/(X669^2+Y669^2)+C669*'入力・概要'!$B$37*1E-9)</f>
        <v/>
      </c>
      <c r="AB669" s="195">
        <f>IF(B669="","",SQRT(Z669^2+AA669^2))</f>
        <v/>
      </c>
      <c r="AC669" s="195">
        <f>IF(B669="","",IF(Z669&gt;0,DEGREES(ATAN(AA669/Z669)),IF(Z669&lt;0,IF(AA669&gt;=0,DEGREES(ATAN(AA669/Z669))+180,DEGREES(ATAN(AA669/Z669))-180),IF(AA669&gt;0,90,IF(AA669&lt;0,-90,0)))))</f>
        <v/>
      </c>
      <c r="AD669" s="195">
        <f>IF(B669="","",LOG10(B669))</f>
        <v/>
      </c>
      <c r="AE669" s="195">
        <f>IF(AB669="","",LOG10(MAX(AB669,1E-12)))</f>
        <v/>
      </c>
      <c r="AF669" s="195">
        <f>IF(B669="","",SQRT(P669^2+Q669^2))</f>
        <v/>
      </c>
      <c r="AG669" s="195">
        <f>IF(B669="","",SQRT(R669^2+S669^2))</f>
        <v/>
      </c>
    </row>
    <row r="670">
      <c r="A670" t="n">
        <v>667</v>
      </c>
      <c r="B670" s="196">
        <f>IF(A670&lt;='入力・概要'!$B$40,10^(LOG10('入力・概要'!$B$38)+(A670-1)*(LOG10('入力・概要'!$B$39)-LOG10('入力・概要'!$B$38))/('入力・概要'!$B$40-1)),"")</f>
        <v/>
      </c>
      <c r="C670" s="195">
        <f>IF(B670="","",2*PI()*B670)</f>
        <v/>
      </c>
      <c r="D670" s="195">
        <f>IF(B670="","",ATANH(MIN(0.999999,'入力・概要'!$E$20/'入力・概要'!$E$9))+'入力・概要'!$B$20*SQRT(B670/1E6)+E670*'入力・概要'!$B$15/2)</f>
        <v/>
      </c>
      <c r="E670" s="195">
        <f>IF(B670="","",C670*('入力・概要'!$E$11*1E-9))</f>
        <v/>
      </c>
      <c r="F670" s="195">
        <f>IF(B670="","",SINH(2*D670)/(COSH(2*D670)+COS(2*E670)))</f>
        <v/>
      </c>
      <c r="G670" s="195">
        <f>IF(B670="","",SIN(2*E670)/(COSH(2*D670)+COS(2*E670)))</f>
        <v/>
      </c>
      <c r="H670" s="195">
        <f>IF(B670="","",ATANH(MIN(0.999999,'入力・概要'!$E$21/'入力・概要'!$E$15))+'入力・概要'!$B$21*SQRT(B670/1E6)+I670*'入力・概要'!$B$16/2)</f>
        <v/>
      </c>
      <c r="I670" s="195">
        <f>IF(B670="","",C670*('入力・概要'!$E$17*1E-9))</f>
        <v/>
      </c>
      <c r="J670" s="195">
        <f>IF(B670="","",SINH(2*H670)/(COSH(2*H670)+COS(2*I670)))</f>
        <v/>
      </c>
      <c r="K670" s="195">
        <f>IF(B670="","",SIN(2*I670)/(COSH(2*H670)+COS(2*I670)))</f>
        <v/>
      </c>
      <c r="L670" s="195">
        <f>IF(B670="","",'入力・概要'!$B$25)</f>
        <v/>
      </c>
      <c r="M670" s="195">
        <f>IF(B670="","",C670*'入力・概要'!$B$26*1E-9-1/(C670*'入力・概要'!$B$24*1E-6))</f>
        <v/>
      </c>
      <c r="N670" s="195">
        <f>IF(B670="","",'入力・概要'!$B$28)</f>
        <v/>
      </c>
      <c r="O670" s="195">
        <f>IF(B670="","",C670*'入力・概要'!$B$29*1E-9-1/(C670*'入力・概要'!$B$27*1E-6))</f>
        <v/>
      </c>
      <c r="P670" s="195">
        <f>IF(B670="","",((L670*N670-M670*O670)*(L670+N670)+(L670*O670+M670*N670)*(M670+O670))/((L670+N670)^2+(M670+O670)^2))</f>
        <v/>
      </c>
      <c r="Q670" s="195">
        <f>IF(B670="","",((L670*O670+M670*N670)*(L670+N670)-(L670*N670-M670*O670)*(M670+O670))/((L670+N670)^2+(M670+O670)^2))</f>
        <v/>
      </c>
      <c r="R670" s="195">
        <f>IF(B670="","",'入力・概要'!$E$15*J670)</f>
        <v/>
      </c>
      <c r="S670" s="195">
        <f>IF(B670="","",'入力・概要'!$E$15*K670)</f>
        <v/>
      </c>
      <c r="T670" s="195">
        <f>IF(B670="","",P670+R670)</f>
        <v/>
      </c>
      <c r="U670" s="195">
        <f>IF(B670="","",Q670+S670)</f>
        <v/>
      </c>
      <c r="V670" s="195">
        <f>IF(B670="","",T670+'入力・概要'!$E$9*F670)</f>
        <v/>
      </c>
      <c r="W670" s="195">
        <f>IF(B670="","",U670+'入力・概要'!$E$9*G670)</f>
        <v/>
      </c>
      <c r="X670" s="195">
        <f>IF(B670="","",'入力・概要'!$E$9+T670*F670-U670*G670)</f>
        <v/>
      </c>
      <c r="Y670" s="195">
        <f>IF(B670="","",T670*G670+U670*F670)</f>
        <v/>
      </c>
      <c r="Z670" s="195">
        <f>IF(B670="","",'入力・概要'!$E$9*(V670*X670+W670*Y670)/(X670^2+Y670^2)+'入力・概要'!$B$36)</f>
        <v/>
      </c>
      <c r="AA670" s="195">
        <f>IF(B670="","",'入力・概要'!$E$9*(W670*X670-V670*Y670)/(X670^2+Y670^2)+C670*'入力・概要'!$B$37*1E-9)</f>
        <v/>
      </c>
      <c r="AB670" s="195">
        <f>IF(B670="","",SQRT(Z670^2+AA670^2))</f>
        <v/>
      </c>
      <c r="AC670" s="195">
        <f>IF(B670="","",IF(Z670&gt;0,DEGREES(ATAN(AA670/Z670)),IF(Z670&lt;0,IF(AA670&gt;=0,DEGREES(ATAN(AA670/Z670))+180,DEGREES(ATAN(AA670/Z670))-180),IF(AA670&gt;0,90,IF(AA670&lt;0,-90,0)))))</f>
        <v/>
      </c>
      <c r="AD670" s="195">
        <f>IF(B670="","",LOG10(B670))</f>
        <v/>
      </c>
      <c r="AE670" s="195">
        <f>IF(AB670="","",LOG10(MAX(AB670,1E-12)))</f>
        <v/>
      </c>
      <c r="AF670" s="195">
        <f>IF(B670="","",SQRT(P670^2+Q670^2))</f>
        <v/>
      </c>
      <c r="AG670" s="195">
        <f>IF(B670="","",SQRT(R670^2+S670^2))</f>
        <v/>
      </c>
    </row>
    <row r="671">
      <c r="A671" t="n">
        <v>668</v>
      </c>
      <c r="B671" s="196">
        <f>IF(A671&lt;='入力・概要'!$B$40,10^(LOG10('入力・概要'!$B$38)+(A671-1)*(LOG10('入力・概要'!$B$39)-LOG10('入力・概要'!$B$38))/('入力・概要'!$B$40-1)),"")</f>
        <v/>
      </c>
      <c r="C671" s="195">
        <f>IF(B671="","",2*PI()*B671)</f>
        <v/>
      </c>
      <c r="D671" s="195">
        <f>IF(B671="","",ATANH(MIN(0.999999,'入力・概要'!$E$20/'入力・概要'!$E$9))+'入力・概要'!$B$20*SQRT(B671/1E6)+E671*'入力・概要'!$B$15/2)</f>
        <v/>
      </c>
      <c r="E671" s="195">
        <f>IF(B671="","",C671*('入力・概要'!$E$11*1E-9))</f>
        <v/>
      </c>
      <c r="F671" s="195">
        <f>IF(B671="","",SINH(2*D671)/(COSH(2*D671)+COS(2*E671)))</f>
        <v/>
      </c>
      <c r="G671" s="195">
        <f>IF(B671="","",SIN(2*E671)/(COSH(2*D671)+COS(2*E671)))</f>
        <v/>
      </c>
      <c r="H671" s="195">
        <f>IF(B671="","",ATANH(MIN(0.999999,'入力・概要'!$E$21/'入力・概要'!$E$15))+'入力・概要'!$B$21*SQRT(B671/1E6)+I671*'入力・概要'!$B$16/2)</f>
        <v/>
      </c>
      <c r="I671" s="195">
        <f>IF(B671="","",C671*('入力・概要'!$E$17*1E-9))</f>
        <v/>
      </c>
      <c r="J671" s="195">
        <f>IF(B671="","",SINH(2*H671)/(COSH(2*H671)+COS(2*I671)))</f>
        <v/>
      </c>
      <c r="K671" s="195">
        <f>IF(B671="","",SIN(2*I671)/(COSH(2*H671)+COS(2*I671)))</f>
        <v/>
      </c>
      <c r="L671" s="195">
        <f>IF(B671="","",'入力・概要'!$B$25)</f>
        <v/>
      </c>
      <c r="M671" s="195">
        <f>IF(B671="","",C671*'入力・概要'!$B$26*1E-9-1/(C671*'入力・概要'!$B$24*1E-6))</f>
        <v/>
      </c>
      <c r="N671" s="195">
        <f>IF(B671="","",'入力・概要'!$B$28)</f>
        <v/>
      </c>
      <c r="O671" s="195">
        <f>IF(B671="","",C671*'入力・概要'!$B$29*1E-9-1/(C671*'入力・概要'!$B$27*1E-6))</f>
        <v/>
      </c>
      <c r="P671" s="195">
        <f>IF(B671="","",((L671*N671-M671*O671)*(L671+N671)+(L671*O671+M671*N671)*(M671+O671))/((L671+N671)^2+(M671+O671)^2))</f>
        <v/>
      </c>
      <c r="Q671" s="195">
        <f>IF(B671="","",((L671*O671+M671*N671)*(L671+N671)-(L671*N671-M671*O671)*(M671+O671))/((L671+N671)^2+(M671+O671)^2))</f>
        <v/>
      </c>
      <c r="R671" s="195">
        <f>IF(B671="","",'入力・概要'!$E$15*J671)</f>
        <v/>
      </c>
      <c r="S671" s="195">
        <f>IF(B671="","",'入力・概要'!$E$15*K671)</f>
        <v/>
      </c>
      <c r="T671" s="195">
        <f>IF(B671="","",P671+R671)</f>
        <v/>
      </c>
      <c r="U671" s="195">
        <f>IF(B671="","",Q671+S671)</f>
        <v/>
      </c>
      <c r="V671" s="195">
        <f>IF(B671="","",T671+'入力・概要'!$E$9*F671)</f>
        <v/>
      </c>
      <c r="W671" s="195">
        <f>IF(B671="","",U671+'入力・概要'!$E$9*G671)</f>
        <v/>
      </c>
      <c r="X671" s="195">
        <f>IF(B671="","",'入力・概要'!$E$9+T671*F671-U671*G671)</f>
        <v/>
      </c>
      <c r="Y671" s="195">
        <f>IF(B671="","",T671*G671+U671*F671)</f>
        <v/>
      </c>
      <c r="Z671" s="195">
        <f>IF(B671="","",'入力・概要'!$E$9*(V671*X671+W671*Y671)/(X671^2+Y671^2)+'入力・概要'!$B$36)</f>
        <v/>
      </c>
      <c r="AA671" s="195">
        <f>IF(B671="","",'入力・概要'!$E$9*(W671*X671-V671*Y671)/(X671^2+Y671^2)+C671*'入力・概要'!$B$37*1E-9)</f>
        <v/>
      </c>
      <c r="AB671" s="195">
        <f>IF(B671="","",SQRT(Z671^2+AA671^2))</f>
        <v/>
      </c>
      <c r="AC671" s="195">
        <f>IF(B671="","",IF(Z671&gt;0,DEGREES(ATAN(AA671/Z671)),IF(Z671&lt;0,IF(AA671&gt;=0,DEGREES(ATAN(AA671/Z671))+180,DEGREES(ATAN(AA671/Z671))-180),IF(AA671&gt;0,90,IF(AA671&lt;0,-90,0)))))</f>
        <v/>
      </c>
      <c r="AD671" s="195">
        <f>IF(B671="","",LOG10(B671))</f>
        <v/>
      </c>
      <c r="AE671" s="195">
        <f>IF(AB671="","",LOG10(MAX(AB671,1E-12)))</f>
        <v/>
      </c>
      <c r="AF671" s="195">
        <f>IF(B671="","",SQRT(P671^2+Q671^2))</f>
        <v/>
      </c>
      <c r="AG671" s="195">
        <f>IF(B671="","",SQRT(R671^2+S671^2))</f>
        <v/>
      </c>
    </row>
    <row r="672">
      <c r="A672" t="n">
        <v>669</v>
      </c>
      <c r="B672" s="196">
        <f>IF(A672&lt;='入力・概要'!$B$40,10^(LOG10('入力・概要'!$B$38)+(A672-1)*(LOG10('入力・概要'!$B$39)-LOG10('入力・概要'!$B$38))/('入力・概要'!$B$40-1)),"")</f>
        <v/>
      </c>
      <c r="C672" s="195">
        <f>IF(B672="","",2*PI()*B672)</f>
        <v/>
      </c>
      <c r="D672" s="195">
        <f>IF(B672="","",ATANH(MIN(0.999999,'入力・概要'!$E$20/'入力・概要'!$E$9))+'入力・概要'!$B$20*SQRT(B672/1E6)+E672*'入力・概要'!$B$15/2)</f>
        <v/>
      </c>
      <c r="E672" s="195">
        <f>IF(B672="","",C672*('入力・概要'!$E$11*1E-9))</f>
        <v/>
      </c>
      <c r="F672" s="195">
        <f>IF(B672="","",SINH(2*D672)/(COSH(2*D672)+COS(2*E672)))</f>
        <v/>
      </c>
      <c r="G672" s="195">
        <f>IF(B672="","",SIN(2*E672)/(COSH(2*D672)+COS(2*E672)))</f>
        <v/>
      </c>
      <c r="H672" s="195">
        <f>IF(B672="","",ATANH(MIN(0.999999,'入力・概要'!$E$21/'入力・概要'!$E$15))+'入力・概要'!$B$21*SQRT(B672/1E6)+I672*'入力・概要'!$B$16/2)</f>
        <v/>
      </c>
      <c r="I672" s="195">
        <f>IF(B672="","",C672*('入力・概要'!$E$17*1E-9))</f>
        <v/>
      </c>
      <c r="J672" s="195">
        <f>IF(B672="","",SINH(2*H672)/(COSH(2*H672)+COS(2*I672)))</f>
        <v/>
      </c>
      <c r="K672" s="195">
        <f>IF(B672="","",SIN(2*I672)/(COSH(2*H672)+COS(2*I672)))</f>
        <v/>
      </c>
      <c r="L672" s="195">
        <f>IF(B672="","",'入力・概要'!$B$25)</f>
        <v/>
      </c>
      <c r="M672" s="195">
        <f>IF(B672="","",C672*'入力・概要'!$B$26*1E-9-1/(C672*'入力・概要'!$B$24*1E-6))</f>
        <v/>
      </c>
      <c r="N672" s="195">
        <f>IF(B672="","",'入力・概要'!$B$28)</f>
        <v/>
      </c>
      <c r="O672" s="195">
        <f>IF(B672="","",C672*'入力・概要'!$B$29*1E-9-1/(C672*'入力・概要'!$B$27*1E-6))</f>
        <v/>
      </c>
      <c r="P672" s="195">
        <f>IF(B672="","",((L672*N672-M672*O672)*(L672+N672)+(L672*O672+M672*N672)*(M672+O672))/((L672+N672)^2+(M672+O672)^2))</f>
        <v/>
      </c>
      <c r="Q672" s="195">
        <f>IF(B672="","",((L672*O672+M672*N672)*(L672+N672)-(L672*N672-M672*O672)*(M672+O672))/((L672+N672)^2+(M672+O672)^2))</f>
        <v/>
      </c>
      <c r="R672" s="195">
        <f>IF(B672="","",'入力・概要'!$E$15*J672)</f>
        <v/>
      </c>
      <c r="S672" s="195">
        <f>IF(B672="","",'入力・概要'!$E$15*K672)</f>
        <v/>
      </c>
      <c r="T672" s="195">
        <f>IF(B672="","",P672+R672)</f>
        <v/>
      </c>
      <c r="U672" s="195">
        <f>IF(B672="","",Q672+S672)</f>
        <v/>
      </c>
      <c r="V672" s="195">
        <f>IF(B672="","",T672+'入力・概要'!$E$9*F672)</f>
        <v/>
      </c>
      <c r="W672" s="195">
        <f>IF(B672="","",U672+'入力・概要'!$E$9*G672)</f>
        <v/>
      </c>
      <c r="X672" s="195">
        <f>IF(B672="","",'入力・概要'!$E$9+T672*F672-U672*G672)</f>
        <v/>
      </c>
      <c r="Y672" s="195">
        <f>IF(B672="","",T672*G672+U672*F672)</f>
        <v/>
      </c>
      <c r="Z672" s="195">
        <f>IF(B672="","",'入力・概要'!$E$9*(V672*X672+W672*Y672)/(X672^2+Y672^2)+'入力・概要'!$B$36)</f>
        <v/>
      </c>
      <c r="AA672" s="195">
        <f>IF(B672="","",'入力・概要'!$E$9*(W672*X672-V672*Y672)/(X672^2+Y672^2)+C672*'入力・概要'!$B$37*1E-9)</f>
        <v/>
      </c>
      <c r="AB672" s="195">
        <f>IF(B672="","",SQRT(Z672^2+AA672^2))</f>
        <v/>
      </c>
      <c r="AC672" s="195">
        <f>IF(B672="","",IF(Z672&gt;0,DEGREES(ATAN(AA672/Z672)),IF(Z672&lt;0,IF(AA672&gt;=0,DEGREES(ATAN(AA672/Z672))+180,DEGREES(ATAN(AA672/Z672))-180),IF(AA672&gt;0,90,IF(AA672&lt;0,-90,0)))))</f>
        <v/>
      </c>
      <c r="AD672" s="195">
        <f>IF(B672="","",LOG10(B672))</f>
        <v/>
      </c>
      <c r="AE672" s="195">
        <f>IF(AB672="","",LOG10(MAX(AB672,1E-12)))</f>
        <v/>
      </c>
      <c r="AF672" s="195">
        <f>IF(B672="","",SQRT(P672^2+Q672^2))</f>
        <v/>
      </c>
      <c r="AG672" s="195">
        <f>IF(B672="","",SQRT(R672^2+S672^2))</f>
        <v/>
      </c>
    </row>
    <row r="673">
      <c r="A673" t="n">
        <v>670</v>
      </c>
      <c r="B673" s="196">
        <f>IF(A673&lt;='入力・概要'!$B$40,10^(LOG10('入力・概要'!$B$38)+(A673-1)*(LOG10('入力・概要'!$B$39)-LOG10('入力・概要'!$B$38))/('入力・概要'!$B$40-1)),"")</f>
        <v/>
      </c>
      <c r="C673" s="195">
        <f>IF(B673="","",2*PI()*B673)</f>
        <v/>
      </c>
      <c r="D673" s="195">
        <f>IF(B673="","",ATANH(MIN(0.999999,'入力・概要'!$E$20/'入力・概要'!$E$9))+'入力・概要'!$B$20*SQRT(B673/1E6)+E673*'入力・概要'!$B$15/2)</f>
        <v/>
      </c>
      <c r="E673" s="195">
        <f>IF(B673="","",C673*('入力・概要'!$E$11*1E-9))</f>
        <v/>
      </c>
      <c r="F673" s="195">
        <f>IF(B673="","",SINH(2*D673)/(COSH(2*D673)+COS(2*E673)))</f>
        <v/>
      </c>
      <c r="G673" s="195">
        <f>IF(B673="","",SIN(2*E673)/(COSH(2*D673)+COS(2*E673)))</f>
        <v/>
      </c>
      <c r="H673" s="195">
        <f>IF(B673="","",ATANH(MIN(0.999999,'入力・概要'!$E$21/'入力・概要'!$E$15))+'入力・概要'!$B$21*SQRT(B673/1E6)+I673*'入力・概要'!$B$16/2)</f>
        <v/>
      </c>
      <c r="I673" s="195">
        <f>IF(B673="","",C673*('入力・概要'!$E$17*1E-9))</f>
        <v/>
      </c>
      <c r="J673" s="195">
        <f>IF(B673="","",SINH(2*H673)/(COSH(2*H673)+COS(2*I673)))</f>
        <v/>
      </c>
      <c r="K673" s="195">
        <f>IF(B673="","",SIN(2*I673)/(COSH(2*H673)+COS(2*I673)))</f>
        <v/>
      </c>
      <c r="L673" s="195">
        <f>IF(B673="","",'入力・概要'!$B$25)</f>
        <v/>
      </c>
      <c r="M673" s="195">
        <f>IF(B673="","",C673*'入力・概要'!$B$26*1E-9-1/(C673*'入力・概要'!$B$24*1E-6))</f>
        <v/>
      </c>
      <c r="N673" s="195">
        <f>IF(B673="","",'入力・概要'!$B$28)</f>
        <v/>
      </c>
      <c r="O673" s="195">
        <f>IF(B673="","",C673*'入力・概要'!$B$29*1E-9-1/(C673*'入力・概要'!$B$27*1E-6))</f>
        <v/>
      </c>
      <c r="P673" s="195">
        <f>IF(B673="","",((L673*N673-M673*O673)*(L673+N673)+(L673*O673+M673*N673)*(M673+O673))/((L673+N673)^2+(M673+O673)^2))</f>
        <v/>
      </c>
      <c r="Q673" s="195">
        <f>IF(B673="","",((L673*O673+M673*N673)*(L673+N673)-(L673*N673-M673*O673)*(M673+O673))/((L673+N673)^2+(M673+O673)^2))</f>
        <v/>
      </c>
      <c r="R673" s="195">
        <f>IF(B673="","",'入力・概要'!$E$15*J673)</f>
        <v/>
      </c>
      <c r="S673" s="195">
        <f>IF(B673="","",'入力・概要'!$E$15*K673)</f>
        <v/>
      </c>
      <c r="T673" s="195">
        <f>IF(B673="","",P673+R673)</f>
        <v/>
      </c>
      <c r="U673" s="195">
        <f>IF(B673="","",Q673+S673)</f>
        <v/>
      </c>
      <c r="V673" s="195">
        <f>IF(B673="","",T673+'入力・概要'!$E$9*F673)</f>
        <v/>
      </c>
      <c r="W673" s="195">
        <f>IF(B673="","",U673+'入力・概要'!$E$9*G673)</f>
        <v/>
      </c>
      <c r="X673" s="195">
        <f>IF(B673="","",'入力・概要'!$E$9+T673*F673-U673*G673)</f>
        <v/>
      </c>
      <c r="Y673" s="195">
        <f>IF(B673="","",T673*G673+U673*F673)</f>
        <v/>
      </c>
      <c r="Z673" s="195">
        <f>IF(B673="","",'入力・概要'!$E$9*(V673*X673+W673*Y673)/(X673^2+Y673^2)+'入力・概要'!$B$36)</f>
        <v/>
      </c>
      <c r="AA673" s="195">
        <f>IF(B673="","",'入力・概要'!$E$9*(W673*X673-V673*Y673)/(X673^2+Y673^2)+C673*'入力・概要'!$B$37*1E-9)</f>
        <v/>
      </c>
      <c r="AB673" s="195">
        <f>IF(B673="","",SQRT(Z673^2+AA673^2))</f>
        <v/>
      </c>
      <c r="AC673" s="195">
        <f>IF(B673="","",IF(Z673&gt;0,DEGREES(ATAN(AA673/Z673)),IF(Z673&lt;0,IF(AA673&gt;=0,DEGREES(ATAN(AA673/Z673))+180,DEGREES(ATAN(AA673/Z673))-180),IF(AA673&gt;0,90,IF(AA673&lt;0,-90,0)))))</f>
        <v/>
      </c>
      <c r="AD673" s="195">
        <f>IF(B673="","",LOG10(B673))</f>
        <v/>
      </c>
      <c r="AE673" s="195">
        <f>IF(AB673="","",LOG10(MAX(AB673,1E-12)))</f>
        <v/>
      </c>
      <c r="AF673" s="195">
        <f>IF(B673="","",SQRT(P673^2+Q673^2))</f>
        <v/>
      </c>
      <c r="AG673" s="195">
        <f>IF(B673="","",SQRT(R673^2+S673^2))</f>
        <v/>
      </c>
    </row>
    <row r="674">
      <c r="A674" t="n">
        <v>671</v>
      </c>
      <c r="B674" s="196">
        <f>IF(A674&lt;='入力・概要'!$B$40,10^(LOG10('入力・概要'!$B$38)+(A674-1)*(LOG10('入力・概要'!$B$39)-LOG10('入力・概要'!$B$38))/('入力・概要'!$B$40-1)),"")</f>
        <v/>
      </c>
      <c r="C674" s="195">
        <f>IF(B674="","",2*PI()*B674)</f>
        <v/>
      </c>
      <c r="D674" s="195">
        <f>IF(B674="","",ATANH(MIN(0.999999,'入力・概要'!$E$20/'入力・概要'!$E$9))+'入力・概要'!$B$20*SQRT(B674/1E6)+E674*'入力・概要'!$B$15/2)</f>
        <v/>
      </c>
      <c r="E674" s="195">
        <f>IF(B674="","",C674*('入力・概要'!$E$11*1E-9))</f>
        <v/>
      </c>
      <c r="F674" s="195">
        <f>IF(B674="","",SINH(2*D674)/(COSH(2*D674)+COS(2*E674)))</f>
        <v/>
      </c>
      <c r="G674" s="195">
        <f>IF(B674="","",SIN(2*E674)/(COSH(2*D674)+COS(2*E674)))</f>
        <v/>
      </c>
      <c r="H674" s="195">
        <f>IF(B674="","",ATANH(MIN(0.999999,'入力・概要'!$E$21/'入力・概要'!$E$15))+'入力・概要'!$B$21*SQRT(B674/1E6)+I674*'入力・概要'!$B$16/2)</f>
        <v/>
      </c>
      <c r="I674" s="195">
        <f>IF(B674="","",C674*('入力・概要'!$E$17*1E-9))</f>
        <v/>
      </c>
      <c r="J674" s="195">
        <f>IF(B674="","",SINH(2*H674)/(COSH(2*H674)+COS(2*I674)))</f>
        <v/>
      </c>
      <c r="K674" s="195">
        <f>IF(B674="","",SIN(2*I674)/(COSH(2*H674)+COS(2*I674)))</f>
        <v/>
      </c>
      <c r="L674" s="195">
        <f>IF(B674="","",'入力・概要'!$B$25)</f>
        <v/>
      </c>
      <c r="M674" s="195">
        <f>IF(B674="","",C674*'入力・概要'!$B$26*1E-9-1/(C674*'入力・概要'!$B$24*1E-6))</f>
        <v/>
      </c>
      <c r="N674" s="195">
        <f>IF(B674="","",'入力・概要'!$B$28)</f>
        <v/>
      </c>
      <c r="O674" s="195">
        <f>IF(B674="","",C674*'入力・概要'!$B$29*1E-9-1/(C674*'入力・概要'!$B$27*1E-6))</f>
        <v/>
      </c>
      <c r="P674" s="195">
        <f>IF(B674="","",((L674*N674-M674*O674)*(L674+N674)+(L674*O674+M674*N674)*(M674+O674))/((L674+N674)^2+(M674+O674)^2))</f>
        <v/>
      </c>
      <c r="Q674" s="195">
        <f>IF(B674="","",((L674*O674+M674*N674)*(L674+N674)-(L674*N674-M674*O674)*(M674+O674))/((L674+N674)^2+(M674+O674)^2))</f>
        <v/>
      </c>
      <c r="R674" s="195">
        <f>IF(B674="","",'入力・概要'!$E$15*J674)</f>
        <v/>
      </c>
      <c r="S674" s="195">
        <f>IF(B674="","",'入力・概要'!$E$15*K674)</f>
        <v/>
      </c>
      <c r="T674" s="195">
        <f>IF(B674="","",P674+R674)</f>
        <v/>
      </c>
      <c r="U674" s="195">
        <f>IF(B674="","",Q674+S674)</f>
        <v/>
      </c>
      <c r="V674" s="195">
        <f>IF(B674="","",T674+'入力・概要'!$E$9*F674)</f>
        <v/>
      </c>
      <c r="W674" s="195">
        <f>IF(B674="","",U674+'入力・概要'!$E$9*G674)</f>
        <v/>
      </c>
      <c r="X674" s="195">
        <f>IF(B674="","",'入力・概要'!$E$9+T674*F674-U674*G674)</f>
        <v/>
      </c>
      <c r="Y674" s="195">
        <f>IF(B674="","",T674*G674+U674*F674)</f>
        <v/>
      </c>
      <c r="Z674" s="195">
        <f>IF(B674="","",'入力・概要'!$E$9*(V674*X674+W674*Y674)/(X674^2+Y674^2)+'入力・概要'!$B$36)</f>
        <v/>
      </c>
      <c r="AA674" s="195">
        <f>IF(B674="","",'入力・概要'!$E$9*(W674*X674-V674*Y674)/(X674^2+Y674^2)+C674*'入力・概要'!$B$37*1E-9)</f>
        <v/>
      </c>
      <c r="AB674" s="195">
        <f>IF(B674="","",SQRT(Z674^2+AA674^2))</f>
        <v/>
      </c>
      <c r="AC674" s="195">
        <f>IF(B674="","",IF(Z674&gt;0,DEGREES(ATAN(AA674/Z674)),IF(Z674&lt;0,IF(AA674&gt;=0,DEGREES(ATAN(AA674/Z674))+180,DEGREES(ATAN(AA674/Z674))-180),IF(AA674&gt;0,90,IF(AA674&lt;0,-90,0)))))</f>
        <v/>
      </c>
      <c r="AD674" s="195">
        <f>IF(B674="","",LOG10(B674))</f>
        <v/>
      </c>
      <c r="AE674" s="195">
        <f>IF(AB674="","",LOG10(MAX(AB674,1E-12)))</f>
        <v/>
      </c>
      <c r="AF674" s="195">
        <f>IF(B674="","",SQRT(P674^2+Q674^2))</f>
        <v/>
      </c>
      <c r="AG674" s="195">
        <f>IF(B674="","",SQRT(R674^2+S674^2))</f>
        <v/>
      </c>
    </row>
    <row r="675">
      <c r="A675" t="n">
        <v>672</v>
      </c>
      <c r="B675" s="196">
        <f>IF(A675&lt;='入力・概要'!$B$40,10^(LOG10('入力・概要'!$B$38)+(A675-1)*(LOG10('入力・概要'!$B$39)-LOG10('入力・概要'!$B$38))/('入力・概要'!$B$40-1)),"")</f>
        <v/>
      </c>
      <c r="C675" s="195">
        <f>IF(B675="","",2*PI()*B675)</f>
        <v/>
      </c>
      <c r="D675" s="195">
        <f>IF(B675="","",ATANH(MIN(0.999999,'入力・概要'!$E$20/'入力・概要'!$E$9))+'入力・概要'!$B$20*SQRT(B675/1E6)+E675*'入力・概要'!$B$15/2)</f>
        <v/>
      </c>
      <c r="E675" s="195">
        <f>IF(B675="","",C675*('入力・概要'!$E$11*1E-9))</f>
        <v/>
      </c>
      <c r="F675" s="195">
        <f>IF(B675="","",SINH(2*D675)/(COSH(2*D675)+COS(2*E675)))</f>
        <v/>
      </c>
      <c r="G675" s="195">
        <f>IF(B675="","",SIN(2*E675)/(COSH(2*D675)+COS(2*E675)))</f>
        <v/>
      </c>
      <c r="H675" s="195">
        <f>IF(B675="","",ATANH(MIN(0.999999,'入力・概要'!$E$21/'入力・概要'!$E$15))+'入力・概要'!$B$21*SQRT(B675/1E6)+I675*'入力・概要'!$B$16/2)</f>
        <v/>
      </c>
      <c r="I675" s="195">
        <f>IF(B675="","",C675*('入力・概要'!$E$17*1E-9))</f>
        <v/>
      </c>
      <c r="J675" s="195">
        <f>IF(B675="","",SINH(2*H675)/(COSH(2*H675)+COS(2*I675)))</f>
        <v/>
      </c>
      <c r="K675" s="195">
        <f>IF(B675="","",SIN(2*I675)/(COSH(2*H675)+COS(2*I675)))</f>
        <v/>
      </c>
      <c r="L675" s="195">
        <f>IF(B675="","",'入力・概要'!$B$25)</f>
        <v/>
      </c>
      <c r="M675" s="195">
        <f>IF(B675="","",C675*'入力・概要'!$B$26*1E-9-1/(C675*'入力・概要'!$B$24*1E-6))</f>
        <v/>
      </c>
      <c r="N675" s="195">
        <f>IF(B675="","",'入力・概要'!$B$28)</f>
        <v/>
      </c>
      <c r="O675" s="195">
        <f>IF(B675="","",C675*'入力・概要'!$B$29*1E-9-1/(C675*'入力・概要'!$B$27*1E-6))</f>
        <v/>
      </c>
      <c r="P675" s="195">
        <f>IF(B675="","",((L675*N675-M675*O675)*(L675+N675)+(L675*O675+M675*N675)*(M675+O675))/((L675+N675)^2+(M675+O675)^2))</f>
        <v/>
      </c>
      <c r="Q675" s="195">
        <f>IF(B675="","",((L675*O675+M675*N675)*(L675+N675)-(L675*N675-M675*O675)*(M675+O675))/((L675+N675)^2+(M675+O675)^2))</f>
        <v/>
      </c>
      <c r="R675" s="195">
        <f>IF(B675="","",'入力・概要'!$E$15*J675)</f>
        <v/>
      </c>
      <c r="S675" s="195">
        <f>IF(B675="","",'入力・概要'!$E$15*K675)</f>
        <v/>
      </c>
      <c r="T675" s="195">
        <f>IF(B675="","",P675+R675)</f>
        <v/>
      </c>
      <c r="U675" s="195">
        <f>IF(B675="","",Q675+S675)</f>
        <v/>
      </c>
      <c r="V675" s="195">
        <f>IF(B675="","",T675+'入力・概要'!$E$9*F675)</f>
        <v/>
      </c>
      <c r="W675" s="195">
        <f>IF(B675="","",U675+'入力・概要'!$E$9*G675)</f>
        <v/>
      </c>
      <c r="X675" s="195">
        <f>IF(B675="","",'入力・概要'!$E$9+T675*F675-U675*G675)</f>
        <v/>
      </c>
      <c r="Y675" s="195">
        <f>IF(B675="","",T675*G675+U675*F675)</f>
        <v/>
      </c>
      <c r="Z675" s="195">
        <f>IF(B675="","",'入力・概要'!$E$9*(V675*X675+W675*Y675)/(X675^2+Y675^2)+'入力・概要'!$B$36)</f>
        <v/>
      </c>
      <c r="AA675" s="195">
        <f>IF(B675="","",'入力・概要'!$E$9*(W675*X675-V675*Y675)/(X675^2+Y675^2)+C675*'入力・概要'!$B$37*1E-9)</f>
        <v/>
      </c>
      <c r="AB675" s="195">
        <f>IF(B675="","",SQRT(Z675^2+AA675^2))</f>
        <v/>
      </c>
      <c r="AC675" s="195">
        <f>IF(B675="","",IF(Z675&gt;0,DEGREES(ATAN(AA675/Z675)),IF(Z675&lt;0,IF(AA675&gt;=0,DEGREES(ATAN(AA675/Z675))+180,DEGREES(ATAN(AA675/Z675))-180),IF(AA675&gt;0,90,IF(AA675&lt;0,-90,0)))))</f>
        <v/>
      </c>
      <c r="AD675" s="195">
        <f>IF(B675="","",LOG10(B675))</f>
        <v/>
      </c>
      <c r="AE675" s="195">
        <f>IF(AB675="","",LOG10(MAX(AB675,1E-12)))</f>
        <v/>
      </c>
      <c r="AF675" s="195">
        <f>IF(B675="","",SQRT(P675^2+Q675^2))</f>
        <v/>
      </c>
      <c r="AG675" s="195">
        <f>IF(B675="","",SQRT(R675^2+S675^2))</f>
        <v/>
      </c>
    </row>
    <row r="676">
      <c r="A676" t="n">
        <v>673</v>
      </c>
      <c r="B676" s="196">
        <f>IF(A676&lt;='入力・概要'!$B$40,10^(LOG10('入力・概要'!$B$38)+(A676-1)*(LOG10('入力・概要'!$B$39)-LOG10('入力・概要'!$B$38))/('入力・概要'!$B$40-1)),"")</f>
        <v/>
      </c>
      <c r="C676" s="195">
        <f>IF(B676="","",2*PI()*B676)</f>
        <v/>
      </c>
      <c r="D676" s="195">
        <f>IF(B676="","",ATANH(MIN(0.999999,'入力・概要'!$E$20/'入力・概要'!$E$9))+'入力・概要'!$B$20*SQRT(B676/1E6)+E676*'入力・概要'!$B$15/2)</f>
        <v/>
      </c>
      <c r="E676" s="195">
        <f>IF(B676="","",C676*('入力・概要'!$E$11*1E-9))</f>
        <v/>
      </c>
      <c r="F676" s="195">
        <f>IF(B676="","",SINH(2*D676)/(COSH(2*D676)+COS(2*E676)))</f>
        <v/>
      </c>
      <c r="G676" s="195">
        <f>IF(B676="","",SIN(2*E676)/(COSH(2*D676)+COS(2*E676)))</f>
        <v/>
      </c>
      <c r="H676" s="195">
        <f>IF(B676="","",ATANH(MIN(0.999999,'入力・概要'!$E$21/'入力・概要'!$E$15))+'入力・概要'!$B$21*SQRT(B676/1E6)+I676*'入力・概要'!$B$16/2)</f>
        <v/>
      </c>
      <c r="I676" s="195">
        <f>IF(B676="","",C676*('入力・概要'!$E$17*1E-9))</f>
        <v/>
      </c>
      <c r="J676" s="195">
        <f>IF(B676="","",SINH(2*H676)/(COSH(2*H676)+COS(2*I676)))</f>
        <v/>
      </c>
      <c r="K676" s="195">
        <f>IF(B676="","",SIN(2*I676)/(COSH(2*H676)+COS(2*I676)))</f>
        <v/>
      </c>
      <c r="L676" s="195">
        <f>IF(B676="","",'入力・概要'!$B$25)</f>
        <v/>
      </c>
      <c r="M676" s="195">
        <f>IF(B676="","",C676*'入力・概要'!$B$26*1E-9-1/(C676*'入力・概要'!$B$24*1E-6))</f>
        <v/>
      </c>
      <c r="N676" s="195">
        <f>IF(B676="","",'入力・概要'!$B$28)</f>
        <v/>
      </c>
      <c r="O676" s="195">
        <f>IF(B676="","",C676*'入力・概要'!$B$29*1E-9-1/(C676*'入力・概要'!$B$27*1E-6))</f>
        <v/>
      </c>
      <c r="P676" s="195">
        <f>IF(B676="","",((L676*N676-M676*O676)*(L676+N676)+(L676*O676+M676*N676)*(M676+O676))/((L676+N676)^2+(M676+O676)^2))</f>
        <v/>
      </c>
      <c r="Q676" s="195">
        <f>IF(B676="","",((L676*O676+M676*N676)*(L676+N676)-(L676*N676-M676*O676)*(M676+O676))/((L676+N676)^2+(M676+O676)^2))</f>
        <v/>
      </c>
      <c r="R676" s="195">
        <f>IF(B676="","",'入力・概要'!$E$15*J676)</f>
        <v/>
      </c>
      <c r="S676" s="195">
        <f>IF(B676="","",'入力・概要'!$E$15*K676)</f>
        <v/>
      </c>
      <c r="T676" s="195">
        <f>IF(B676="","",P676+R676)</f>
        <v/>
      </c>
      <c r="U676" s="195">
        <f>IF(B676="","",Q676+S676)</f>
        <v/>
      </c>
      <c r="V676" s="195">
        <f>IF(B676="","",T676+'入力・概要'!$E$9*F676)</f>
        <v/>
      </c>
      <c r="W676" s="195">
        <f>IF(B676="","",U676+'入力・概要'!$E$9*G676)</f>
        <v/>
      </c>
      <c r="X676" s="195">
        <f>IF(B676="","",'入力・概要'!$E$9+T676*F676-U676*G676)</f>
        <v/>
      </c>
      <c r="Y676" s="195">
        <f>IF(B676="","",T676*G676+U676*F676)</f>
        <v/>
      </c>
      <c r="Z676" s="195">
        <f>IF(B676="","",'入力・概要'!$E$9*(V676*X676+W676*Y676)/(X676^2+Y676^2)+'入力・概要'!$B$36)</f>
        <v/>
      </c>
      <c r="AA676" s="195">
        <f>IF(B676="","",'入力・概要'!$E$9*(W676*X676-V676*Y676)/(X676^2+Y676^2)+C676*'入力・概要'!$B$37*1E-9)</f>
        <v/>
      </c>
      <c r="AB676" s="195">
        <f>IF(B676="","",SQRT(Z676^2+AA676^2))</f>
        <v/>
      </c>
      <c r="AC676" s="195">
        <f>IF(B676="","",IF(Z676&gt;0,DEGREES(ATAN(AA676/Z676)),IF(Z676&lt;0,IF(AA676&gt;=0,DEGREES(ATAN(AA676/Z676))+180,DEGREES(ATAN(AA676/Z676))-180),IF(AA676&gt;0,90,IF(AA676&lt;0,-90,0)))))</f>
        <v/>
      </c>
      <c r="AD676" s="195">
        <f>IF(B676="","",LOG10(B676))</f>
        <v/>
      </c>
      <c r="AE676" s="195">
        <f>IF(AB676="","",LOG10(MAX(AB676,1E-12)))</f>
        <v/>
      </c>
      <c r="AF676" s="195">
        <f>IF(B676="","",SQRT(P676^2+Q676^2))</f>
        <v/>
      </c>
      <c r="AG676" s="195">
        <f>IF(B676="","",SQRT(R676^2+S676^2))</f>
        <v/>
      </c>
    </row>
    <row r="677">
      <c r="A677" t="n">
        <v>674</v>
      </c>
      <c r="B677" s="196">
        <f>IF(A677&lt;='入力・概要'!$B$40,10^(LOG10('入力・概要'!$B$38)+(A677-1)*(LOG10('入力・概要'!$B$39)-LOG10('入力・概要'!$B$38))/('入力・概要'!$B$40-1)),"")</f>
        <v/>
      </c>
      <c r="C677" s="195">
        <f>IF(B677="","",2*PI()*B677)</f>
        <v/>
      </c>
      <c r="D677" s="195">
        <f>IF(B677="","",ATANH(MIN(0.999999,'入力・概要'!$E$20/'入力・概要'!$E$9))+'入力・概要'!$B$20*SQRT(B677/1E6)+E677*'入力・概要'!$B$15/2)</f>
        <v/>
      </c>
      <c r="E677" s="195">
        <f>IF(B677="","",C677*('入力・概要'!$E$11*1E-9))</f>
        <v/>
      </c>
      <c r="F677" s="195">
        <f>IF(B677="","",SINH(2*D677)/(COSH(2*D677)+COS(2*E677)))</f>
        <v/>
      </c>
      <c r="G677" s="195">
        <f>IF(B677="","",SIN(2*E677)/(COSH(2*D677)+COS(2*E677)))</f>
        <v/>
      </c>
      <c r="H677" s="195">
        <f>IF(B677="","",ATANH(MIN(0.999999,'入力・概要'!$E$21/'入力・概要'!$E$15))+'入力・概要'!$B$21*SQRT(B677/1E6)+I677*'入力・概要'!$B$16/2)</f>
        <v/>
      </c>
      <c r="I677" s="195">
        <f>IF(B677="","",C677*('入力・概要'!$E$17*1E-9))</f>
        <v/>
      </c>
      <c r="J677" s="195">
        <f>IF(B677="","",SINH(2*H677)/(COSH(2*H677)+COS(2*I677)))</f>
        <v/>
      </c>
      <c r="K677" s="195">
        <f>IF(B677="","",SIN(2*I677)/(COSH(2*H677)+COS(2*I677)))</f>
        <v/>
      </c>
      <c r="L677" s="195">
        <f>IF(B677="","",'入力・概要'!$B$25)</f>
        <v/>
      </c>
      <c r="M677" s="195">
        <f>IF(B677="","",C677*'入力・概要'!$B$26*1E-9-1/(C677*'入力・概要'!$B$24*1E-6))</f>
        <v/>
      </c>
      <c r="N677" s="195">
        <f>IF(B677="","",'入力・概要'!$B$28)</f>
        <v/>
      </c>
      <c r="O677" s="195">
        <f>IF(B677="","",C677*'入力・概要'!$B$29*1E-9-1/(C677*'入力・概要'!$B$27*1E-6))</f>
        <v/>
      </c>
      <c r="P677" s="195">
        <f>IF(B677="","",((L677*N677-M677*O677)*(L677+N677)+(L677*O677+M677*N677)*(M677+O677))/((L677+N677)^2+(M677+O677)^2))</f>
        <v/>
      </c>
      <c r="Q677" s="195">
        <f>IF(B677="","",((L677*O677+M677*N677)*(L677+N677)-(L677*N677-M677*O677)*(M677+O677))/((L677+N677)^2+(M677+O677)^2))</f>
        <v/>
      </c>
      <c r="R677" s="195">
        <f>IF(B677="","",'入力・概要'!$E$15*J677)</f>
        <v/>
      </c>
      <c r="S677" s="195">
        <f>IF(B677="","",'入力・概要'!$E$15*K677)</f>
        <v/>
      </c>
      <c r="T677" s="195">
        <f>IF(B677="","",P677+R677)</f>
        <v/>
      </c>
      <c r="U677" s="195">
        <f>IF(B677="","",Q677+S677)</f>
        <v/>
      </c>
      <c r="V677" s="195">
        <f>IF(B677="","",T677+'入力・概要'!$E$9*F677)</f>
        <v/>
      </c>
      <c r="W677" s="195">
        <f>IF(B677="","",U677+'入力・概要'!$E$9*G677)</f>
        <v/>
      </c>
      <c r="X677" s="195">
        <f>IF(B677="","",'入力・概要'!$E$9+T677*F677-U677*G677)</f>
        <v/>
      </c>
      <c r="Y677" s="195">
        <f>IF(B677="","",T677*G677+U677*F677)</f>
        <v/>
      </c>
      <c r="Z677" s="195">
        <f>IF(B677="","",'入力・概要'!$E$9*(V677*X677+W677*Y677)/(X677^2+Y677^2)+'入力・概要'!$B$36)</f>
        <v/>
      </c>
      <c r="AA677" s="195">
        <f>IF(B677="","",'入力・概要'!$E$9*(W677*X677-V677*Y677)/(X677^2+Y677^2)+C677*'入力・概要'!$B$37*1E-9)</f>
        <v/>
      </c>
      <c r="AB677" s="195">
        <f>IF(B677="","",SQRT(Z677^2+AA677^2))</f>
        <v/>
      </c>
      <c r="AC677" s="195">
        <f>IF(B677="","",IF(Z677&gt;0,DEGREES(ATAN(AA677/Z677)),IF(Z677&lt;0,IF(AA677&gt;=0,DEGREES(ATAN(AA677/Z677))+180,DEGREES(ATAN(AA677/Z677))-180),IF(AA677&gt;0,90,IF(AA677&lt;0,-90,0)))))</f>
        <v/>
      </c>
      <c r="AD677" s="195">
        <f>IF(B677="","",LOG10(B677))</f>
        <v/>
      </c>
      <c r="AE677" s="195">
        <f>IF(AB677="","",LOG10(MAX(AB677,1E-12)))</f>
        <v/>
      </c>
      <c r="AF677" s="195">
        <f>IF(B677="","",SQRT(P677^2+Q677^2))</f>
        <v/>
      </c>
      <c r="AG677" s="195">
        <f>IF(B677="","",SQRT(R677^2+S677^2))</f>
        <v/>
      </c>
    </row>
    <row r="678">
      <c r="A678" t="n">
        <v>675</v>
      </c>
      <c r="B678" s="196">
        <f>IF(A678&lt;='入力・概要'!$B$40,10^(LOG10('入力・概要'!$B$38)+(A678-1)*(LOG10('入力・概要'!$B$39)-LOG10('入力・概要'!$B$38))/('入力・概要'!$B$40-1)),"")</f>
        <v/>
      </c>
      <c r="C678" s="195">
        <f>IF(B678="","",2*PI()*B678)</f>
        <v/>
      </c>
      <c r="D678" s="195">
        <f>IF(B678="","",ATANH(MIN(0.999999,'入力・概要'!$E$20/'入力・概要'!$E$9))+'入力・概要'!$B$20*SQRT(B678/1E6)+E678*'入力・概要'!$B$15/2)</f>
        <v/>
      </c>
      <c r="E678" s="195">
        <f>IF(B678="","",C678*('入力・概要'!$E$11*1E-9))</f>
        <v/>
      </c>
      <c r="F678" s="195">
        <f>IF(B678="","",SINH(2*D678)/(COSH(2*D678)+COS(2*E678)))</f>
        <v/>
      </c>
      <c r="G678" s="195">
        <f>IF(B678="","",SIN(2*E678)/(COSH(2*D678)+COS(2*E678)))</f>
        <v/>
      </c>
      <c r="H678" s="195">
        <f>IF(B678="","",ATANH(MIN(0.999999,'入力・概要'!$E$21/'入力・概要'!$E$15))+'入力・概要'!$B$21*SQRT(B678/1E6)+I678*'入力・概要'!$B$16/2)</f>
        <v/>
      </c>
      <c r="I678" s="195">
        <f>IF(B678="","",C678*('入力・概要'!$E$17*1E-9))</f>
        <v/>
      </c>
      <c r="J678" s="195">
        <f>IF(B678="","",SINH(2*H678)/(COSH(2*H678)+COS(2*I678)))</f>
        <v/>
      </c>
      <c r="K678" s="195">
        <f>IF(B678="","",SIN(2*I678)/(COSH(2*H678)+COS(2*I678)))</f>
        <v/>
      </c>
      <c r="L678" s="195">
        <f>IF(B678="","",'入力・概要'!$B$25)</f>
        <v/>
      </c>
      <c r="M678" s="195">
        <f>IF(B678="","",C678*'入力・概要'!$B$26*1E-9-1/(C678*'入力・概要'!$B$24*1E-6))</f>
        <v/>
      </c>
      <c r="N678" s="195">
        <f>IF(B678="","",'入力・概要'!$B$28)</f>
        <v/>
      </c>
      <c r="O678" s="195">
        <f>IF(B678="","",C678*'入力・概要'!$B$29*1E-9-1/(C678*'入力・概要'!$B$27*1E-6))</f>
        <v/>
      </c>
      <c r="P678" s="195">
        <f>IF(B678="","",((L678*N678-M678*O678)*(L678+N678)+(L678*O678+M678*N678)*(M678+O678))/((L678+N678)^2+(M678+O678)^2))</f>
        <v/>
      </c>
      <c r="Q678" s="195">
        <f>IF(B678="","",((L678*O678+M678*N678)*(L678+N678)-(L678*N678-M678*O678)*(M678+O678))/((L678+N678)^2+(M678+O678)^2))</f>
        <v/>
      </c>
      <c r="R678" s="195">
        <f>IF(B678="","",'入力・概要'!$E$15*J678)</f>
        <v/>
      </c>
      <c r="S678" s="195">
        <f>IF(B678="","",'入力・概要'!$E$15*K678)</f>
        <v/>
      </c>
      <c r="T678" s="195">
        <f>IF(B678="","",P678+R678)</f>
        <v/>
      </c>
      <c r="U678" s="195">
        <f>IF(B678="","",Q678+S678)</f>
        <v/>
      </c>
      <c r="V678" s="195">
        <f>IF(B678="","",T678+'入力・概要'!$E$9*F678)</f>
        <v/>
      </c>
      <c r="W678" s="195">
        <f>IF(B678="","",U678+'入力・概要'!$E$9*G678)</f>
        <v/>
      </c>
      <c r="X678" s="195">
        <f>IF(B678="","",'入力・概要'!$E$9+T678*F678-U678*G678)</f>
        <v/>
      </c>
      <c r="Y678" s="195">
        <f>IF(B678="","",T678*G678+U678*F678)</f>
        <v/>
      </c>
      <c r="Z678" s="195">
        <f>IF(B678="","",'入力・概要'!$E$9*(V678*X678+W678*Y678)/(X678^2+Y678^2)+'入力・概要'!$B$36)</f>
        <v/>
      </c>
      <c r="AA678" s="195">
        <f>IF(B678="","",'入力・概要'!$E$9*(W678*X678-V678*Y678)/(X678^2+Y678^2)+C678*'入力・概要'!$B$37*1E-9)</f>
        <v/>
      </c>
      <c r="AB678" s="195">
        <f>IF(B678="","",SQRT(Z678^2+AA678^2))</f>
        <v/>
      </c>
      <c r="AC678" s="195">
        <f>IF(B678="","",IF(Z678&gt;0,DEGREES(ATAN(AA678/Z678)),IF(Z678&lt;0,IF(AA678&gt;=0,DEGREES(ATAN(AA678/Z678))+180,DEGREES(ATAN(AA678/Z678))-180),IF(AA678&gt;0,90,IF(AA678&lt;0,-90,0)))))</f>
        <v/>
      </c>
      <c r="AD678" s="195">
        <f>IF(B678="","",LOG10(B678))</f>
        <v/>
      </c>
      <c r="AE678" s="195">
        <f>IF(AB678="","",LOG10(MAX(AB678,1E-12)))</f>
        <v/>
      </c>
      <c r="AF678" s="195">
        <f>IF(B678="","",SQRT(P678^2+Q678^2))</f>
        <v/>
      </c>
      <c r="AG678" s="195">
        <f>IF(B678="","",SQRT(R678^2+S678^2))</f>
        <v/>
      </c>
    </row>
    <row r="679">
      <c r="A679" t="n">
        <v>676</v>
      </c>
      <c r="B679" s="196">
        <f>IF(A679&lt;='入力・概要'!$B$40,10^(LOG10('入力・概要'!$B$38)+(A679-1)*(LOG10('入力・概要'!$B$39)-LOG10('入力・概要'!$B$38))/('入力・概要'!$B$40-1)),"")</f>
        <v/>
      </c>
      <c r="C679" s="195">
        <f>IF(B679="","",2*PI()*B679)</f>
        <v/>
      </c>
      <c r="D679" s="195">
        <f>IF(B679="","",ATANH(MIN(0.999999,'入力・概要'!$E$20/'入力・概要'!$E$9))+'入力・概要'!$B$20*SQRT(B679/1E6)+E679*'入力・概要'!$B$15/2)</f>
        <v/>
      </c>
      <c r="E679" s="195">
        <f>IF(B679="","",C679*('入力・概要'!$E$11*1E-9))</f>
        <v/>
      </c>
      <c r="F679" s="195">
        <f>IF(B679="","",SINH(2*D679)/(COSH(2*D679)+COS(2*E679)))</f>
        <v/>
      </c>
      <c r="G679" s="195">
        <f>IF(B679="","",SIN(2*E679)/(COSH(2*D679)+COS(2*E679)))</f>
        <v/>
      </c>
      <c r="H679" s="195">
        <f>IF(B679="","",ATANH(MIN(0.999999,'入力・概要'!$E$21/'入力・概要'!$E$15))+'入力・概要'!$B$21*SQRT(B679/1E6)+I679*'入力・概要'!$B$16/2)</f>
        <v/>
      </c>
      <c r="I679" s="195">
        <f>IF(B679="","",C679*('入力・概要'!$E$17*1E-9))</f>
        <v/>
      </c>
      <c r="J679" s="195">
        <f>IF(B679="","",SINH(2*H679)/(COSH(2*H679)+COS(2*I679)))</f>
        <v/>
      </c>
      <c r="K679" s="195">
        <f>IF(B679="","",SIN(2*I679)/(COSH(2*H679)+COS(2*I679)))</f>
        <v/>
      </c>
      <c r="L679" s="195">
        <f>IF(B679="","",'入力・概要'!$B$25)</f>
        <v/>
      </c>
      <c r="M679" s="195">
        <f>IF(B679="","",C679*'入力・概要'!$B$26*1E-9-1/(C679*'入力・概要'!$B$24*1E-6))</f>
        <v/>
      </c>
      <c r="N679" s="195">
        <f>IF(B679="","",'入力・概要'!$B$28)</f>
        <v/>
      </c>
      <c r="O679" s="195">
        <f>IF(B679="","",C679*'入力・概要'!$B$29*1E-9-1/(C679*'入力・概要'!$B$27*1E-6))</f>
        <v/>
      </c>
      <c r="P679" s="195">
        <f>IF(B679="","",((L679*N679-M679*O679)*(L679+N679)+(L679*O679+M679*N679)*(M679+O679))/((L679+N679)^2+(M679+O679)^2))</f>
        <v/>
      </c>
      <c r="Q679" s="195">
        <f>IF(B679="","",((L679*O679+M679*N679)*(L679+N679)-(L679*N679-M679*O679)*(M679+O679))/((L679+N679)^2+(M679+O679)^2))</f>
        <v/>
      </c>
      <c r="R679" s="195">
        <f>IF(B679="","",'入力・概要'!$E$15*J679)</f>
        <v/>
      </c>
      <c r="S679" s="195">
        <f>IF(B679="","",'入力・概要'!$E$15*K679)</f>
        <v/>
      </c>
      <c r="T679" s="195">
        <f>IF(B679="","",P679+R679)</f>
        <v/>
      </c>
      <c r="U679" s="195">
        <f>IF(B679="","",Q679+S679)</f>
        <v/>
      </c>
      <c r="V679" s="195">
        <f>IF(B679="","",T679+'入力・概要'!$E$9*F679)</f>
        <v/>
      </c>
      <c r="W679" s="195">
        <f>IF(B679="","",U679+'入力・概要'!$E$9*G679)</f>
        <v/>
      </c>
      <c r="X679" s="195">
        <f>IF(B679="","",'入力・概要'!$E$9+T679*F679-U679*G679)</f>
        <v/>
      </c>
      <c r="Y679" s="195">
        <f>IF(B679="","",T679*G679+U679*F679)</f>
        <v/>
      </c>
      <c r="Z679" s="195">
        <f>IF(B679="","",'入力・概要'!$E$9*(V679*X679+W679*Y679)/(X679^2+Y679^2)+'入力・概要'!$B$36)</f>
        <v/>
      </c>
      <c r="AA679" s="195">
        <f>IF(B679="","",'入力・概要'!$E$9*(W679*X679-V679*Y679)/(X679^2+Y679^2)+C679*'入力・概要'!$B$37*1E-9)</f>
        <v/>
      </c>
      <c r="AB679" s="195">
        <f>IF(B679="","",SQRT(Z679^2+AA679^2))</f>
        <v/>
      </c>
      <c r="AC679" s="195">
        <f>IF(B679="","",IF(Z679&gt;0,DEGREES(ATAN(AA679/Z679)),IF(Z679&lt;0,IF(AA679&gt;=0,DEGREES(ATAN(AA679/Z679))+180,DEGREES(ATAN(AA679/Z679))-180),IF(AA679&gt;0,90,IF(AA679&lt;0,-90,0)))))</f>
        <v/>
      </c>
      <c r="AD679" s="195">
        <f>IF(B679="","",LOG10(B679))</f>
        <v/>
      </c>
      <c r="AE679" s="195">
        <f>IF(AB679="","",LOG10(MAX(AB679,1E-12)))</f>
        <v/>
      </c>
      <c r="AF679" s="195">
        <f>IF(B679="","",SQRT(P679^2+Q679^2))</f>
        <v/>
      </c>
      <c r="AG679" s="195">
        <f>IF(B679="","",SQRT(R679^2+S679^2))</f>
        <v/>
      </c>
    </row>
    <row r="680">
      <c r="A680" t="n">
        <v>677</v>
      </c>
      <c r="B680" s="196">
        <f>IF(A680&lt;='入力・概要'!$B$40,10^(LOG10('入力・概要'!$B$38)+(A680-1)*(LOG10('入力・概要'!$B$39)-LOG10('入力・概要'!$B$38))/('入力・概要'!$B$40-1)),"")</f>
        <v/>
      </c>
      <c r="C680" s="195">
        <f>IF(B680="","",2*PI()*B680)</f>
        <v/>
      </c>
      <c r="D680" s="195">
        <f>IF(B680="","",ATANH(MIN(0.999999,'入力・概要'!$E$20/'入力・概要'!$E$9))+'入力・概要'!$B$20*SQRT(B680/1E6)+E680*'入力・概要'!$B$15/2)</f>
        <v/>
      </c>
      <c r="E680" s="195">
        <f>IF(B680="","",C680*('入力・概要'!$E$11*1E-9))</f>
        <v/>
      </c>
      <c r="F680" s="195">
        <f>IF(B680="","",SINH(2*D680)/(COSH(2*D680)+COS(2*E680)))</f>
        <v/>
      </c>
      <c r="G680" s="195">
        <f>IF(B680="","",SIN(2*E680)/(COSH(2*D680)+COS(2*E680)))</f>
        <v/>
      </c>
      <c r="H680" s="195">
        <f>IF(B680="","",ATANH(MIN(0.999999,'入力・概要'!$E$21/'入力・概要'!$E$15))+'入力・概要'!$B$21*SQRT(B680/1E6)+I680*'入力・概要'!$B$16/2)</f>
        <v/>
      </c>
      <c r="I680" s="195">
        <f>IF(B680="","",C680*('入力・概要'!$E$17*1E-9))</f>
        <v/>
      </c>
      <c r="J680" s="195">
        <f>IF(B680="","",SINH(2*H680)/(COSH(2*H680)+COS(2*I680)))</f>
        <v/>
      </c>
      <c r="K680" s="195">
        <f>IF(B680="","",SIN(2*I680)/(COSH(2*H680)+COS(2*I680)))</f>
        <v/>
      </c>
      <c r="L680" s="195">
        <f>IF(B680="","",'入力・概要'!$B$25)</f>
        <v/>
      </c>
      <c r="M680" s="195">
        <f>IF(B680="","",C680*'入力・概要'!$B$26*1E-9-1/(C680*'入力・概要'!$B$24*1E-6))</f>
        <v/>
      </c>
      <c r="N680" s="195">
        <f>IF(B680="","",'入力・概要'!$B$28)</f>
        <v/>
      </c>
      <c r="O680" s="195">
        <f>IF(B680="","",C680*'入力・概要'!$B$29*1E-9-1/(C680*'入力・概要'!$B$27*1E-6))</f>
        <v/>
      </c>
      <c r="P680" s="195">
        <f>IF(B680="","",((L680*N680-M680*O680)*(L680+N680)+(L680*O680+M680*N680)*(M680+O680))/((L680+N680)^2+(M680+O680)^2))</f>
        <v/>
      </c>
      <c r="Q680" s="195">
        <f>IF(B680="","",((L680*O680+M680*N680)*(L680+N680)-(L680*N680-M680*O680)*(M680+O680))/((L680+N680)^2+(M680+O680)^2))</f>
        <v/>
      </c>
      <c r="R680" s="195">
        <f>IF(B680="","",'入力・概要'!$E$15*J680)</f>
        <v/>
      </c>
      <c r="S680" s="195">
        <f>IF(B680="","",'入力・概要'!$E$15*K680)</f>
        <v/>
      </c>
      <c r="T680" s="195">
        <f>IF(B680="","",P680+R680)</f>
        <v/>
      </c>
      <c r="U680" s="195">
        <f>IF(B680="","",Q680+S680)</f>
        <v/>
      </c>
      <c r="V680" s="195">
        <f>IF(B680="","",T680+'入力・概要'!$E$9*F680)</f>
        <v/>
      </c>
      <c r="W680" s="195">
        <f>IF(B680="","",U680+'入力・概要'!$E$9*G680)</f>
        <v/>
      </c>
      <c r="X680" s="195">
        <f>IF(B680="","",'入力・概要'!$E$9+T680*F680-U680*G680)</f>
        <v/>
      </c>
      <c r="Y680" s="195">
        <f>IF(B680="","",T680*G680+U680*F680)</f>
        <v/>
      </c>
      <c r="Z680" s="195">
        <f>IF(B680="","",'入力・概要'!$E$9*(V680*X680+W680*Y680)/(X680^2+Y680^2)+'入力・概要'!$B$36)</f>
        <v/>
      </c>
      <c r="AA680" s="195">
        <f>IF(B680="","",'入力・概要'!$E$9*(W680*X680-V680*Y680)/(X680^2+Y680^2)+C680*'入力・概要'!$B$37*1E-9)</f>
        <v/>
      </c>
      <c r="AB680" s="195">
        <f>IF(B680="","",SQRT(Z680^2+AA680^2))</f>
        <v/>
      </c>
      <c r="AC680" s="195">
        <f>IF(B680="","",IF(Z680&gt;0,DEGREES(ATAN(AA680/Z680)),IF(Z680&lt;0,IF(AA680&gt;=0,DEGREES(ATAN(AA680/Z680))+180,DEGREES(ATAN(AA680/Z680))-180),IF(AA680&gt;0,90,IF(AA680&lt;0,-90,0)))))</f>
        <v/>
      </c>
      <c r="AD680" s="195">
        <f>IF(B680="","",LOG10(B680))</f>
        <v/>
      </c>
      <c r="AE680" s="195">
        <f>IF(AB680="","",LOG10(MAX(AB680,1E-12)))</f>
        <v/>
      </c>
      <c r="AF680" s="195">
        <f>IF(B680="","",SQRT(P680^2+Q680^2))</f>
        <v/>
      </c>
      <c r="AG680" s="195">
        <f>IF(B680="","",SQRT(R680^2+S680^2))</f>
        <v/>
      </c>
    </row>
    <row r="681">
      <c r="A681" t="n">
        <v>678</v>
      </c>
      <c r="B681" s="196">
        <f>IF(A681&lt;='入力・概要'!$B$40,10^(LOG10('入力・概要'!$B$38)+(A681-1)*(LOG10('入力・概要'!$B$39)-LOG10('入力・概要'!$B$38))/('入力・概要'!$B$40-1)),"")</f>
        <v/>
      </c>
      <c r="C681" s="195">
        <f>IF(B681="","",2*PI()*B681)</f>
        <v/>
      </c>
      <c r="D681" s="195">
        <f>IF(B681="","",ATANH(MIN(0.999999,'入力・概要'!$E$20/'入力・概要'!$E$9))+'入力・概要'!$B$20*SQRT(B681/1E6)+E681*'入力・概要'!$B$15/2)</f>
        <v/>
      </c>
      <c r="E681" s="195">
        <f>IF(B681="","",C681*('入力・概要'!$E$11*1E-9))</f>
        <v/>
      </c>
      <c r="F681" s="195">
        <f>IF(B681="","",SINH(2*D681)/(COSH(2*D681)+COS(2*E681)))</f>
        <v/>
      </c>
      <c r="G681" s="195">
        <f>IF(B681="","",SIN(2*E681)/(COSH(2*D681)+COS(2*E681)))</f>
        <v/>
      </c>
      <c r="H681" s="195">
        <f>IF(B681="","",ATANH(MIN(0.999999,'入力・概要'!$E$21/'入力・概要'!$E$15))+'入力・概要'!$B$21*SQRT(B681/1E6)+I681*'入力・概要'!$B$16/2)</f>
        <v/>
      </c>
      <c r="I681" s="195">
        <f>IF(B681="","",C681*('入力・概要'!$E$17*1E-9))</f>
        <v/>
      </c>
      <c r="J681" s="195">
        <f>IF(B681="","",SINH(2*H681)/(COSH(2*H681)+COS(2*I681)))</f>
        <v/>
      </c>
      <c r="K681" s="195">
        <f>IF(B681="","",SIN(2*I681)/(COSH(2*H681)+COS(2*I681)))</f>
        <v/>
      </c>
      <c r="L681" s="195">
        <f>IF(B681="","",'入力・概要'!$B$25)</f>
        <v/>
      </c>
      <c r="M681" s="195">
        <f>IF(B681="","",C681*'入力・概要'!$B$26*1E-9-1/(C681*'入力・概要'!$B$24*1E-6))</f>
        <v/>
      </c>
      <c r="N681" s="195">
        <f>IF(B681="","",'入力・概要'!$B$28)</f>
        <v/>
      </c>
      <c r="O681" s="195">
        <f>IF(B681="","",C681*'入力・概要'!$B$29*1E-9-1/(C681*'入力・概要'!$B$27*1E-6))</f>
        <v/>
      </c>
      <c r="P681" s="195">
        <f>IF(B681="","",((L681*N681-M681*O681)*(L681+N681)+(L681*O681+M681*N681)*(M681+O681))/((L681+N681)^2+(M681+O681)^2))</f>
        <v/>
      </c>
      <c r="Q681" s="195">
        <f>IF(B681="","",((L681*O681+M681*N681)*(L681+N681)-(L681*N681-M681*O681)*(M681+O681))/((L681+N681)^2+(M681+O681)^2))</f>
        <v/>
      </c>
      <c r="R681" s="195">
        <f>IF(B681="","",'入力・概要'!$E$15*J681)</f>
        <v/>
      </c>
      <c r="S681" s="195">
        <f>IF(B681="","",'入力・概要'!$E$15*K681)</f>
        <v/>
      </c>
      <c r="T681" s="195">
        <f>IF(B681="","",P681+R681)</f>
        <v/>
      </c>
      <c r="U681" s="195">
        <f>IF(B681="","",Q681+S681)</f>
        <v/>
      </c>
      <c r="V681" s="195">
        <f>IF(B681="","",T681+'入力・概要'!$E$9*F681)</f>
        <v/>
      </c>
      <c r="W681" s="195">
        <f>IF(B681="","",U681+'入力・概要'!$E$9*G681)</f>
        <v/>
      </c>
      <c r="X681" s="195">
        <f>IF(B681="","",'入力・概要'!$E$9+T681*F681-U681*G681)</f>
        <v/>
      </c>
      <c r="Y681" s="195">
        <f>IF(B681="","",T681*G681+U681*F681)</f>
        <v/>
      </c>
      <c r="Z681" s="195">
        <f>IF(B681="","",'入力・概要'!$E$9*(V681*X681+W681*Y681)/(X681^2+Y681^2)+'入力・概要'!$B$36)</f>
        <v/>
      </c>
      <c r="AA681" s="195">
        <f>IF(B681="","",'入力・概要'!$E$9*(W681*X681-V681*Y681)/(X681^2+Y681^2)+C681*'入力・概要'!$B$37*1E-9)</f>
        <v/>
      </c>
      <c r="AB681" s="195">
        <f>IF(B681="","",SQRT(Z681^2+AA681^2))</f>
        <v/>
      </c>
      <c r="AC681" s="195">
        <f>IF(B681="","",IF(Z681&gt;0,DEGREES(ATAN(AA681/Z681)),IF(Z681&lt;0,IF(AA681&gt;=0,DEGREES(ATAN(AA681/Z681))+180,DEGREES(ATAN(AA681/Z681))-180),IF(AA681&gt;0,90,IF(AA681&lt;0,-90,0)))))</f>
        <v/>
      </c>
      <c r="AD681" s="195">
        <f>IF(B681="","",LOG10(B681))</f>
        <v/>
      </c>
      <c r="AE681" s="195">
        <f>IF(AB681="","",LOG10(MAX(AB681,1E-12)))</f>
        <v/>
      </c>
      <c r="AF681" s="195">
        <f>IF(B681="","",SQRT(P681^2+Q681^2))</f>
        <v/>
      </c>
      <c r="AG681" s="195">
        <f>IF(B681="","",SQRT(R681^2+S681^2))</f>
        <v/>
      </c>
    </row>
    <row r="682">
      <c r="A682" t="n">
        <v>679</v>
      </c>
      <c r="B682" s="196">
        <f>IF(A682&lt;='入力・概要'!$B$40,10^(LOG10('入力・概要'!$B$38)+(A682-1)*(LOG10('入力・概要'!$B$39)-LOG10('入力・概要'!$B$38))/('入力・概要'!$B$40-1)),"")</f>
        <v/>
      </c>
      <c r="C682" s="195">
        <f>IF(B682="","",2*PI()*B682)</f>
        <v/>
      </c>
      <c r="D682" s="195">
        <f>IF(B682="","",ATANH(MIN(0.999999,'入力・概要'!$E$20/'入力・概要'!$E$9))+'入力・概要'!$B$20*SQRT(B682/1E6)+E682*'入力・概要'!$B$15/2)</f>
        <v/>
      </c>
      <c r="E682" s="195">
        <f>IF(B682="","",C682*('入力・概要'!$E$11*1E-9))</f>
        <v/>
      </c>
      <c r="F682" s="195">
        <f>IF(B682="","",SINH(2*D682)/(COSH(2*D682)+COS(2*E682)))</f>
        <v/>
      </c>
      <c r="G682" s="195">
        <f>IF(B682="","",SIN(2*E682)/(COSH(2*D682)+COS(2*E682)))</f>
        <v/>
      </c>
      <c r="H682" s="195">
        <f>IF(B682="","",ATANH(MIN(0.999999,'入力・概要'!$E$21/'入力・概要'!$E$15))+'入力・概要'!$B$21*SQRT(B682/1E6)+I682*'入力・概要'!$B$16/2)</f>
        <v/>
      </c>
      <c r="I682" s="195">
        <f>IF(B682="","",C682*('入力・概要'!$E$17*1E-9))</f>
        <v/>
      </c>
      <c r="J682" s="195">
        <f>IF(B682="","",SINH(2*H682)/(COSH(2*H682)+COS(2*I682)))</f>
        <v/>
      </c>
      <c r="K682" s="195">
        <f>IF(B682="","",SIN(2*I682)/(COSH(2*H682)+COS(2*I682)))</f>
        <v/>
      </c>
      <c r="L682" s="195">
        <f>IF(B682="","",'入力・概要'!$B$25)</f>
        <v/>
      </c>
      <c r="M682" s="195">
        <f>IF(B682="","",C682*'入力・概要'!$B$26*1E-9-1/(C682*'入力・概要'!$B$24*1E-6))</f>
        <v/>
      </c>
      <c r="N682" s="195">
        <f>IF(B682="","",'入力・概要'!$B$28)</f>
        <v/>
      </c>
      <c r="O682" s="195">
        <f>IF(B682="","",C682*'入力・概要'!$B$29*1E-9-1/(C682*'入力・概要'!$B$27*1E-6))</f>
        <v/>
      </c>
      <c r="P682" s="195">
        <f>IF(B682="","",((L682*N682-M682*O682)*(L682+N682)+(L682*O682+M682*N682)*(M682+O682))/((L682+N682)^2+(M682+O682)^2))</f>
        <v/>
      </c>
      <c r="Q682" s="195">
        <f>IF(B682="","",((L682*O682+M682*N682)*(L682+N682)-(L682*N682-M682*O682)*(M682+O682))/((L682+N682)^2+(M682+O682)^2))</f>
        <v/>
      </c>
      <c r="R682" s="195">
        <f>IF(B682="","",'入力・概要'!$E$15*J682)</f>
        <v/>
      </c>
      <c r="S682" s="195">
        <f>IF(B682="","",'入力・概要'!$E$15*K682)</f>
        <v/>
      </c>
      <c r="T682" s="195">
        <f>IF(B682="","",P682+R682)</f>
        <v/>
      </c>
      <c r="U682" s="195">
        <f>IF(B682="","",Q682+S682)</f>
        <v/>
      </c>
      <c r="V682" s="195">
        <f>IF(B682="","",T682+'入力・概要'!$E$9*F682)</f>
        <v/>
      </c>
      <c r="W682" s="195">
        <f>IF(B682="","",U682+'入力・概要'!$E$9*G682)</f>
        <v/>
      </c>
      <c r="X682" s="195">
        <f>IF(B682="","",'入力・概要'!$E$9+T682*F682-U682*G682)</f>
        <v/>
      </c>
      <c r="Y682" s="195">
        <f>IF(B682="","",T682*G682+U682*F682)</f>
        <v/>
      </c>
      <c r="Z682" s="195">
        <f>IF(B682="","",'入力・概要'!$E$9*(V682*X682+W682*Y682)/(X682^2+Y682^2)+'入力・概要'!$B$36)</f>
        <v/>
      </c>
      <c r="AA682" s="195">
        <f>IF(B682="","",'入力・概要'!$E$9*(W682*X682-V682*Y682)/(X682^2+Y682^2)+C682*'入力・概要'!$B$37*1E-9)</f>
        <v/>
      </c>
      <c r="AB682" s="195">
        <f>IF(B682="","",SQRT(Z682^2+AA682^2))</f>
        <v/>
      </c>
      <c r="AC682" s="195">
        <f>IF(B682="","",IF(Z682&gt;0,DEGREES(ATAN(AA682/Z682)),IF(Z682&lt;0,IF(AA682&gt;=0,DEGREES(ATAN(AA682/Z682))+180,DEGREES(ATAN(AA682/Z682))-180),IF(AA682&gt;0,90,IF(AA682&lt;0,-90,0)))))</f>
        <v/>
      </c>
      <c r="AD682" s="195">
        <f>IF(B682="","",LOG10(B682))</f>
        <v/>
      </c>
      <c r="AE682" s="195">
        <f>IF(AB682="","",LOG10(MAX(AB682,1E-12)))</f>
        <v/>
      </c>
      <c r="AF682" s="195">
        <f>IF(B682="","",SQRT(P682^2+Q682^2))</f>
        <v/>
      </c>
      <c r="AG682" s="195">
        <f>IF(B682="","",SQRT(R682^2+S682^2))</f>
        <v/>
      </c>
    </row>
    <row r="683">
      <c r="A683" t="n">
        <v>680</v>
      </c>
      <c r="B683" s="196">
        <f>IF(A683&lt;='入力・概要'!$B$40,10^(LOG10('入力・概要'!$B$38)+(A683-1)*(LOG10('入力・概要'!$B$39)-LOG10('入力・概要'!$B$38))/('入力・概要'!$B$40-1)),"")</f>
        <v/>
      </c>
      <c r="C683" s="195">
        <f>IF(B683="","",2*PI()*B683)</f>
        <v/>
      </c>
      <c r="D683" s="195">
        <f>IF(B683="","",ATANH(MIN(0.999999,'入力・概要'!$E$20/'入力・概要'!$E$9))+'入力・概要'!$B$20*SQRT(B683/1E6)+E683*'入力・概要'!$B$15/2)</f>
        <v/>
      </c>
      <c r="E683" s="195">
        <f>IF(B683="","",C683*('入力・概要'!$E$11*1E-9))</f>
        <v/>
      </c>
      <c r="F683" s="195">
        <f>IF(B683="","",SINH(2*D683)/(COSH(2*D683)+COS(2*E683)))</f>
        <v/>
      </c>
      <c r="G683" s="195">
        <f>IF(B683="","",SIN(2*E683)/(COSH(2*D683)+COS(2*E683)))</f>
        <v/>
      </c>
      <c r="H683" s="195">
        <f>IF(B683="","",ATANH(MIN(0.999999,'入力・概要'!$E$21/'入力・概要'!$E$15))+'入力・概要'!$B$21*SQRT(B683/1E6)+I683*'入力・概要'!$B$16/2)</f>
        <v/>
      </c>
      <c r="I683" s="195">
        <f>IF(B683="","",C683*('入力・概要'!$E$17*1E-9))</f>
        <v/>
      </c>
      <c r="J683" s="195">
        <f>IF(B683="","",SINH(2*H683)/(COSH(2*H683)+COS(2*I683)))</f>
        <v/>
      </c>
      <c r="K683" s="195">
        <f>IF(B683="","",SIN(2*I683)/(COSH(2*H683)+COS(2*I683)))</f>
        <v/>
      </c>
      <c r="L683" s="195">
        <f>IF(B683="","",'入力・概要'!$B$25)</f>
        <v/>
      </c>
      <c r="M683" s="195">
        <f>IF(B683="","",C683*'入力・概要'!$B$26*1E-9-1/(C683*'入力・概要'!$B$24*1E-6))</f>
        <v/>
      </c>
      <c r="N683" s="195">
        <f>IF(B683="","",'入力・概要'!$B$28)</f>
        <v/>
      </c>
      <c r="O683" s="195">
        <f>IF(B683="","",C683*'入力・概要'!$B$29*1E-9-1/(C683*'入力・概要'!$B$27*1E-6))</f>
        <v/>
      </c>
      <c r="P683" s="195">
        <f>IF(B683="","",((L683*N683-M683*O683)*(L683+N683)+(L683*O683+M683*N683)*(M683+O683))/((L683+N683)^2+(M683+O683)^2))</f>
        <v/>
      </c>
      <c r="Q683" s="195">
        <f>IF(B683="","",((L683*O683+M683*N683)*(L683+N683)-(L683*N683-M683*O683)*(M683+O683))/((L683+N683)^2+(M683+O683)^2))</f>
        <v/>
      </c>
      <c r="R683" s="195">
        <f>IF(B683="","",'入力・概要'!$E$15*J683)</f>
        <v/>
      </c>
      <c r="S683" s="195">
        <f>IF(B683="","",'入力・概要'!$E$15*K683)</f>
        <v/>
      </c>
      <c r="T683" s="195">
        <f>IF(B683="","",P683+R683)</f>
        <v/>
      </c>
      <c r="U683" s="195">
        <f>IF(B683="","",Q683+S683)</f>
        <v/>
      </c>
      <c r="V683" s="195">
        <f>IF(B683="","",T683+'入力・概要'!$E$9*F683)</f>
        <v/>
      </c>
      <c r="W683" s="195">
        <f>IF(B683="","",U683+'入力・概要'!$E$9*G683)</f>
        <v/>
      </c>
      <c r="X683" s="195">
        <f>IF(B683="","",'入力・概要'!$E$9+T683*F683-U683*G683)</f>
        <v/>
      </c>
      <c r="Y683" s="195">
        <f>IF(B683="","",T683*G683+U683*F683)</f>
        <v/>
      </c>
      <c r="Z683" s="195">
        <f>IF(B683="","",'入力・概要'!$E$9*(V683*X683+W683*Y683)/(X683^2+Y683^2)+'入力・概要'!$B$36)</f>
        <v/>
      </c>
      <c r="AA683" s="195">
        <f>IF(B683="","",'入力・概要'!$E$9*(W683*X683-V683*Y683)/(X683^2+Y683^2)+C683*'入力・概要'!$B$37*1E-9)</f>
        <v/>
      </c>
      <c r="AB683" s="195">
        <f>IF(B683="","",SQRT(Z683^2+AA683^2))</f>
        <v/>
      </c>
      <c r="AC683" s="195">
        <f>IF(B683="","",IF(Z683&gt;0,DEGREES(ATAN(AA683/Z683)),IF(Z683&lt;0,IF(AA683&gt;=0,DEGREES(ATAN(AA683/Z683))+180,DEGREES(ATAN(AA683/Z683))-180),IF(AA683&gt;0,90,IF(AA683&lt;0,-90,0)))))</f>
        <v/>
      </c>
      <c r="AD683" s="195">
        <f>IF(B683="","",LOG10(B683))</f>
        <v/>
      </c>
      <c r="AE683" s="195">
        <f>IF(AB683="","",LOG10(MAX(AB683,1E-12)))</f>
        <v/>
      </c>
      <c r="AF683" s="195">
        <f>IF(B683="","",SQRT(P683^2+Q683^2))</f>
        <v/>
      </c>
      <c r="AG683" s="195">
        <f>IF(B683="","",SQRT(R683^2+S683^2))</f>
        <v/>
      </c>
    </row>
    <row r="684">
      <c r="A684" t="n">
        <v>681</v>
      </c>
      <c r="B684" s="196">
        <f>IF(A684&lt;='入力・概要'!$B$40,10^(LOG10('入力・概要'!$B$38)+(A684-1)*(LOG10('入力・概要'!$B$39)-LOG10('入力・概要'!$B$38))/('入力・概要'!$B$40-1)),"")</f>
        <v/>
      </c>
      <c r="C684" s="195">
        <f>IF(B684="","",2*PI()*B684)</f>
        <v/>
      </c>
      <c r="D684" s="195">
        <f>IF(B684="","",ATANH(MIN(0.999999,'入力・概要'!$E$20/'入力・概要'!$E$9))+'入力・概要'!$B$20*SQRT(B684/1E6)+E684*'入力・概要'!$B$15/2)</f>
        <v/>
      </c>
      <c r="E684" s="195">
        <f>IF(B684="","",C684*('入力・概要'!$E$11*1E-9))</f>
        <v/>
      </c>
      <c r="F684" s="195">
        <f>IF(B684="","",SINH(2*D684)/(COSH(2*D684)+COS(2*E684)))</f>
        <v/>
      </c>
      <c r="G684" s="195">
        <f>IF(B684="","",SIN(2*E684)/(COSH(2*D684)+COS(2*E684)))</f>
        <v/>
      </c>
      <c r="H684" s="195">
        <f>IF(B684="","",ATANH(MIN(0.999999,'入力・概要'!$E$21/'入力・概要'!$E$15))+'入力・概要'!$B$21*SQRT(B684/1E6)+I684*'入力・概要'!$B$16/2)</f>
        <v/>
      </c>
      <c r="I684" s="195">
        <f>IF(B684="","",C684*('入力・概要'!$E$17*1E-9))</f>
        <v/>
      </c>
      <c r="J684" s="195">
        <f>IF(B684="","",SINH(2*H684)/(COSH(2*H684)+COS(2*I684)))</f>
        <v/>
      </c>
      <c r="K684" s="195">
        <f>IF(B684="","",SIN(2*I684)/(COSH(2*H684)+COS(2*I684)))</f>
        <v/>
      </c>
      <c r="L684" s="195">
        <f>IF(B684="","",'入力・概要'!$B$25)</f>
        <v/>
      </c>
      <c r="M684" s="195">
        <f>IF(B684="","",C684*'入力・概要'!$B$26*1E-9-1/(C684*'入力・概要'!$B$24*1E-6))</f>
        <v/>
      </c>
      <c r="N684" s="195">
        <f>IF(B684="","",'入力・概要'!$B$28)</f>
        <v/>
      </c>
      <c r="O684" s="195">
        <f>IF(B684="","",C684*'入力・概要'!$B$29*1E-9-1/(C684*'入力・概要'!$B$27*1E-6))</f>
        <v/>
      </c>
      <c r="P684" s="195">
        <f>IF(B684="","",((L684*N684-M684*O684)*(L684+N684)+(L684*O684+M684*N684)*(M684+O684))/((L684+N684)^2+(M684+O684)^2))</f>
        <v/>
      </c>
      <c r="Q684" s="195">
        <f>IF(B684="","",((L684*O684+M684*N684)*(L684+N684)-(L684*N684-M684*O684)*(M684+O684))/((L684+N684)^2+(M684+O684)^2))</f>
        <v/>
      </c>
      <c r="R684" s="195">
        <f>IF(B684="","",'入力・概要'!$E$15*J684)</f>
        <v/>
      </c>
      <c r="S684" s="195">
        <f>IF(B684="","",'入力・概要'!$E$15*K684)</f>
        <v/>
      </c>
      <c r="T684" s="195">
        <f>IF(B684="","",P684+R684)</f>
        <v/>
      </c>
      <c r="U684" s="195">
        <f>IF(B684="","",Q684+S684)</f>
        <v/>
      </c>
      <c r="V684" s="195">
        <f>IF(B684="","",T684+'入力・概要'!$E$9*F684)</f>
        <v/>
      </c>
      <c r="W684" s="195">
        <f>IF(B684="","",U684+'入力・概要'!$E$9*G684)</f>
        <v/>
      </c>
      <c r="X684" s="195">
        <f>IF(B684="","",'入力・概要'!$E$9+T684*F684-U684*G684)</f>
        <v/>
      </c>
      <c r="Y684" s="195">
        <f>IF(B684="","",T684*G684+U684*F684)</f>
        <v/>
      </c>
      <c r="Z684" s="195">
        <f>IF(B684="","",'入力・概要'!$E$9*(V684*X684+W684*Y684)/(X684^2+Y684^2)+'入力・概要'!$B$36)</f>
        <v/>
      </c>
      <c r="AA684" s="195">
        <f>IF(B684="","",'入力・概要'!$E$9*(W684*X684-V684*Y684)/(X684^2+Y684^2)+C684*'入力・概要'!$B$37*1E-9)</f>
        <v/>
      </c>
      <c r="AB684" s="195">
        <f>IF(B684="","",SQRT(Z684^2+AA684^2))</f>
        <v/>
      </c>
      <c r="AC684" s="195">
        <f>IF(B684="","",IF(Z684&gt;0,DEGREES(ATAN(AA684/Z684)),IF(Z684&lt;0,IF(AA684&gt;=0,DEGREES(ATAN(AA684/Z684))+180,DEGREES(ATAN(AA684/Z684))-180),IF(AA684&gt;0,90,IF(AA684&lt;0,-90,0)))))</f>
        <v/>
      </c>
      <c r="AD684" s="195">
        <f>IF(B684="","",LOG10(B684))</f>
        <v/>
      </c>
      <c r="AE684" s="195">
        <f>IF(AB684="","",LOG10(MAX(AB684,1E-12)))</f>
        <v/>
      </c>
      <c r="AF684" s="195">
        <f>IF(B684="","",SQRT(P684^2+Q684^2))</f>
        <v/>
      </c>
      <c r="AG684" s="195">
        <f>IF(B684="","",SQRT(R684^2+S684^2))</f>
        <v/>
      </c>
    </row>
    <row r="685">
      <c r="A685" t="n">
        <v>682</v>
      </c>
      <c r="B685" s="196">
        <f>IF(A685&lt;='入力・概要'!$B$40,10^(LOG10('入力・概要'!$B$38)+(A685-1)*(LOG10('入力・概要'!$B$39)-LOG10('入力・概要'!$B$38))/('入力・概要'!$B$40-1)),"")</f>
        <v/>
      </c>
      <c r="C685" s="195">
        <f>IF(B685="","",2*PI()*B685)</f>
        <v/>
      </c>
      <c r="D685" s="195">
        <f>IF(B685="","",ATANH(MIN(0.999999,'入力・概要'!$E$20/'入力・概要'!$E$9))+'入力・概要'!$B$20*SQRT(B685/1E6)+E685*'入力・概要'!$B$15/2)</f>
        <v/>
      </c>
      <c r="E685" s="195">
        <f>IF(B685="","",C685*('入力・概要'!$E$11*1E-9))</f>
        <v/>
      </c>
      <c r="F685" s="195">
        <f>IF(B685="","",SINH(2*D685)/(COSH(2*D685)+COS(2*E685)))</f>
        <v/>
      </c>
      <c r="G685" s="195">
        <f>IF(B685="","",SIN(2*E685)/(COSH(2*D685)+COS(2*E685)))</f>
        <v/>
      </c>
      <c r="H685" s="195">
        <f>IF(B685="","",ATANH(MIN(0.999999,'入力・概要'!$E$21/'入力・概要'!$E$15))+'入力・概要'!$B$21*SQRT(B685/1E6)+I685*'入力・概要'!$B$16/2)</f>
        <v/>
      </c>
      <c r="I685" s="195">
        <f>IF(B685="","",C685*('入力・概要'!$E$17*1E-9))</f>
        <v/>
      </c>
      <c r="J685" s="195">
        <f>IF(B685="","",SINH(2*H685)/(COSH(2*H685)+COS(2*I685)))</f>
        <v/>
      </c>
      <c r="K685" s="195">
        <f>IF(B685="","",SIN(2*I685)/(COSH(2*H685)+COS(2*I685)))</f>
        <v/>
      </c>
      <c r="L685" s="195">
        <f>IF(B685="","",'入力・概要'!$B$25)</f>
        <v/>
      </c>
      <c r="M685" s="195">
        <f>IF(B685="","",C685*'入力・概要'!$B$26*1E-9-1/(C685*'入力・概要'!$B$24*1E-6))</f>
        <v/>
      </c>
      <c r="N685" s="195">
        <f>IF(B685="","",'入力・概要'!$B$28)</f>
        <v/>
      </c>
      <c r="O685" s="195">
        <f>IF(B685="","",C685*'入力・概要'!$B$29*1E-9-1/(C685*'入力・概要'!$B$27*1E-6))</f>
        <v/>
      </c>
      <c r="P685" s="195">
        <f>IF(B685="","",((L685*N685-M685*O685)*(L685+N685)+(L685*O685+M685*N685)*(M685+O685))/((L685+N685)^2+(M685+O685)^2))</f>
        <v/>
      </c>
      <c r="Q685" s="195">
        <f>IF(B685="","",((L685*O685+M685*N685)*(L685+N685)-(L685*N685-M685*O685)*(M685+O685))/((L685+N685)^2+(M685+O685)^2))</f>
        <v/>
      </c>
      <c r="R685" s="195">
        <f>IF(B685="","",'入力・概要'!$E$15*J685)</f>
        <v/>
      </c>
      <c r="S685" s="195">
        <f>IF(B685="","",'入力・概要'!$E$15*K685)</f>
        <v/>
      </c>
      <c r="T685" s="195">
        <f>IF(B685="","",P685+R685)</f>
        <v/>
      </c>
      <c r="U685" s="195">
        <f>IF(B685="","",Q685+S685)</f>
        <v/>
      </c>
      <c r="V685" s="195">
        <f>IF(B685="","",T685+'入力・概要'!$E$9*F685)</f>
        <v/>
      </c>
      <c r="W685" s="195">
        <f>IF(B685="","",U685+'入力・概要'!$E$9*G685)</f>
        <v/>
      </c>
      <c r="X685" s="195">
        <f>IF(B685="","",'入力・概要'!$E$9+T685*F685-U685*G685)</f>
        <v/>
      </c>
      <c r="Y685" s="195">
        <f>IF(B685="","",T685*G685+U685*F685)</f>
        <v/>
      </c>
      <c r="Z685" s="195">
        <f>IF(B685="","",'入力・概要'!$E$9*(V685*X685+W685*Y685)/(X685^2+Y685^2)+'入力・概要'!$B$36)</f>
        <v/>
      </c>
      <c r="AA685" s="195">
        <f>IF(B685="","",'入力・概要'!$E$9*(W685*X685-V685*Y685)/(X685^2+Y685^2)+C685*'入力・概要'!$B$37*1E-9)</f>
        <v/>
      </c>
      <c r="AB685" s="195">
        <f>IF(B685="","",SQRT(Z685^2+AA685^2))</f>
        <v/>
      </c>
      <c r="AC685" s="195">
        <f>IF(B685="","",IF(Z685&gt;0,DEGREES(ATAN(AA685/Z685)),IF(Z685&lt;0,IF(AA685&gt;=0,DEGREES(ATAN(AA685/Z685))+180,DEGREES(ATAN(AA685/Z685))-180),IF(AA685&gt;0,90,IF(AA685&lt;0,-90,0)))))</f>
        <v/>
      </c>
      <c r="AD685" s="195">
        <f>IF(B685="","",LOG10(B685))</f>
        <v/>
      </c>
      <c r="AE685" s="195">
        <f>IF(AB685="","",LOG10(MAX(AB685,1E-12)))</f>
        <v/>
      </c>
      <c r="AF685" s="195">
        <f>IF(B685="","",SQRT(P685^2+Q685^2))</f>
        <v/>
      </c>
      <c r="AG685" s="195">
        <f>IF(B685="","",SQRT(R685^2+S685^2))</f>
        <v/>
      </c>
    </row>
    <row r="686">
      <c r="A686" t="n">
        <v>683</v>
      </c>
      <c r="B686" s="196">
        <f>IF(A686&lt;='入力・概要'!$B$40,10^(LOG10('入力・概要'!$B$38)+(A686-1)*(LOG10('入力・概要'!$B$39)-LOG10('入力・概要'!$B$38))/('入力・概要'!$B$40-1)),"")</f>
        <v/>
      </c>
      <c r="C686" s="195">
        <f>IF(B686="","",2*PI()*B686)</f>
        <v/>
      </c>
      <c r="D686" s="195">
        <f>IF(B686="","",ATANH(MIN(0.999999,'入力・概要'!$E$20/'入力・概要'!$E$9))+'入力・概要'!$B$20*SQRT(B686/1E6)+E686*'入力・概要'!$B$15/2)</f>
        <v/>
      </c>
      <c r="E686" s="195">
        <f>IF(B686="","",C686*('入力・概要'!$E$11*1E-9))</f>
        <v/>
      </c>
      <c r="F686" s="195">
        <f>IF(B686="","",SINH(2*D686)/(COSH(2*D686)+COS(2*E686)))</f>
        <v/>
      </c>
      <c r="G686" s="195">
        <f>IF(B686="","",SIN(2*E686)/(COSH(2*D686)+COS(2*E686)))</f>
        <v/>
      </c>
      <c r="H686" s="195">
        <f>IF(B686="","",ATANH(MIN(0.999999,'入力・概要'!$E$21/'入力・概要'!$E$15))+'入力・概要'!$B$21*SQRT(B686/1E6)+I686*'入力・概要'!$B$16/2)</f>
        <v/>
      </c>
      <c r="I686" s="195">
        <f>IF(B686="","",C686*('入力・概要'!$E$17*1E-9))</f>
        <v/>
      </c>
      <c r="J686" s="195">
        <f>IF(B686="","",SINH(2*H686)/(COSH(2*H686)+COS(2*I686)))</f>
        <v/>
      </c>
      <c r="K686" s="195">
        <f>IF(B686="","",SIN(2*I686)/(COSH(2*H686)+COS(2*I686)))</f>
        <v/>
      </c>
      <c r="L686" s="195">
        <f>IF(B686="","",'入力・概要'!$B$25)</f>
        <v/>
      </c>
      <c r="M686" s="195">
        <f>IF(B686="","",C686*'入力・概要'!$B$26*1E-9-1/(C686*'入力・概要'!$B$24*1E-6))</f>
        <v/>
      </c>
      <c r="N686" s="195">
        <f>IF(B686="","",'入力・概要'!$B$28)</f>
        <v/>
      </c>
      <c r="O686" s="195">
        <f>IF(B686="","",C686*'入力・概要'!$B$29*1E-9-1/(C686*'入力・概要'!$B$27*1E-6))</f>
        <v/>
      </c>
      <c r="P686" s="195">
        <f>IF(B686="","",((L686*N686-M686*O686)*(L686+N686)+(L686*O686+M686*N686)*(M686+O686))/((L686+N686)^2+(M686+O686)^2))</f>
        <v/>
      </c>
      <c r="Q686" s="195">
        <f>IF(B686="","",((L686*O686+M686*N686)*(L686+N686)-(L686*N686-M686*O686)*(M686+O686))/((L686+N686)^2+(M686+O686)^2))</f>
        <v/>
      </c>
      <c r="R686" s="195">
        <f>IF(B686="","",'入力・概要'!$E$15*J686)</f>
        <v/>
      </c>
      <c r="S686" s="195">
        <f>IF(B686="","",'入力・概要'!$E$15*K686)</f>
        <v/>
      </c>
      <c r="T686" s="195">
        <f>IF(B686="","",P686+R686)</f>
        <v/>
      </c>
      <c r="U686" s="195">
        <f>IF(B686="","",Q686+S686)</f>
        <v/>
      </c>
      <c r="V686" s="195">
        <f>IF(B686="","",T686+'入力・概要'!$E$9*F686)</f>
        <v/>
      </c>
      <c r="W686" s="195">
        <f>IF(B686="","",U686+'入力・概要'!$E$9*G686)</f>
        <v/>
      </c>
      <c r="X686" s="195">
        <f>IF(B686="","",'入力・概要'!$E$9+T686*F686-U686*G686)</f>
        <v/>
      </c>
      <c r="Y686" s="195">
        <f>IF(B686="","",T686*G686+U686*F686)</f>
        <v/>
      </c>
      <c r="Z686" s="195">
        <f>IF(B686="","",'入力・概要'!$E$9*(V686*X686+W686*Y686)/(X686^2+Y686^2)+'入力・概要'!$B$36)</f>
        <v/>
      </c>
      <c r="AA686" s="195">
        <f>IF(B686="","",'入力・概要'!$E$9*(W686*X686-V686*Y686)/(X686^2+Y686^2)+C686*'入力・概要'!$B$37*1E-9)</f>
        <v/>
      </c>
      <c r="AB686" s="195">
        <f>IF(B686="","",SQRT(Z686^2+AA686^2))</f>
        <v/>
      </c>
      <c r="AC686" s="195">
        <f>IF(B686="","",IF(Z686&gt;0,DEGREES(ATAN(AA686/Z686)),IF(Z686&lt;0,IF(AA686&gt;=0,DEGREES(ATAN(AA686/Z686))+180,DEGREES(ATAN(AA686/Z686))-180),IF(AA686&gt;0,90,IF(AA686&lt;0,-90,0)))))</f>
        <v/>
      </c>
      <c r="AD686" s="195">
        <f>IF(B686="","",LOG10(B686))</f>
        <v/>
      </c>
      <c r="AE686" s="195">
        <f>IF(AB686="","",LOG10(MAX(AB686,1E-12)))</f>
        <v/>
      </c>
      <c r="AF686" s="195">
        <f>IF(B686="","",SQRT(P686^2+Q686^2))</f>
        <v/>
      </c>
      <c r="AG686" s="195">
        <f>IF(B686="","",SQRT(R686^2+S686^2))</f>
        <v/>
      </c>
    </row>
    <row r="687">
      <c r="A687" t="n">
        <v>684</v>
      </c>
      <c r="B687" s="196">
        <f>IF(A687&lt;='入力・概要'!$B$40,10^(LOG10('入力・概要'!$B$38)+(A687-1)*(LOG10('入力・概要'!$B$39)-LOG10('入力・概要'!$B$38))/('入力・概要'!$B$40-1)),"")</f>
        <v/>
      </c>
      <c r="C687" s="195">
        <f>IF(B687="","",2*PI()*B687)</f>
        <v/>
      </c>
      <c r="D687" s="195">
        <f>IF(B687="","",ATANH(MIN(0.999999,'入力・概要'!$E$20/'入力・概要'!$E$9))+'入力・概要'!$B$20*SQRT(B687/1E6)+E687*'入力・概要'!$B$15/2)</f>
        <v/>
      </c>
      <c r="E687" s="195">
        <f>IF(B687="","",C687*('入力・概要'!$E$11*1E-9))</f>
        <v/>
      </c>
      <c r="F687" s="195">
        <f>IF(B687="","",SINH(2*D687)/(COSH(2*D687)+COS(2*E687)))</f>
        <v/>
      </c>
      <c r="G687" s="195">
        <f>IF(B687="","",SIN(2*E687)/(COSH(2*D687)+COS(2*E687)))</f>
        <v/>
      </c>
      <c r="H687" s="195">
        <f>IF(B687="","",ATANH(MIN(0.999999,'入力・概要'!$E$21/'入力・概要'!$E$15))+'入力・概要'!$B$21*SQRT(B687/1E6)+I687*'入力・概要'!$B$16/2)</f>
        <v/>
      </c>
      <c r="I687" s="195">
        <f>IF(B687="","",C687*('入力・概要'!$E$17*1E-9))</f>
        <v/>
      </c>
      <c r="J687" s="195">
        <f>IF(B687="","",SINH(2*H687)/(COSH(2*H687)+COS(2*I687)))</f>
        <v/>
      </c>
      <c r="K687" s="195">
        <f>IF(B687="","",SIN(2*I687)/(COSH(2*H687)+COS(2*I687)))</f>
        <v/>
      </c>
      <c r="L687" s="195">
        <f>IF(B687="","",'入力・概要'!$B$25)</f>
        <v/>
      </c>
      <c r="M687" s="195">
        <f>IF(B687="","",C687*'入力・概要'!$B$26*1E-9-1/(C687*'入力・概要'!$B$24*1E-6))</f>
        <v/>
      </c>
      <c r="N687" s="195">
        <f>IF(B687="","",'入力・概要'!$B$28)</f>
        <v/>
      </c>
      <c r="O687" s="195">
        <f>IF(B687="","",C687*'入力・概要'!$B$29*1E-9-1/(C687*'入力・概要'!$B$27*1E-6))</f>
        <v/>
      </c>
      <c r="P687" s="195">
        <f>IF(B687="","",((L687*N687-M687*O687)*(L687+N687)+(L687*O687+M687*N687)*(M687+O687))/((L687+N687)^2+(M687+O687)^2))</f>
        <v/>
      </c>
      <c r="Q687" s="195">
        <f>IF(B687="","",((L687*O687+M687*N687)*(L687+N687)-(L687*N687-M687*O687)*(M687+O687))/((L687+N687)^2+(M687+O687)^2))</f>
        <v/>
      </c>
      <c r="R687" s="195">
        <f>IF(B687="","",'入力・概要'!$E$15*J687)</f>
        <v/>
      </c>
      <c r="S687" s="195">
        <f>IF(B687="","",'入力・概要'!$E$15*K687)</f>
        <v/>
      </c>
      <c r="T687" s="195">
        <f>IF(B687="","",P687+R687)</f>
        <v/>
      </c>
      <c r="U687" s="195">
        <f>IF(B687="","",Q687+S687)</f>
        <v/>
      </c>
      <c r="V687" s="195">
        <f>IF(B687="","",T687+'入力・概要'!$E$9*F687)</f>
        <v/>
      </c>
      <c r="W687" s="195">
        <f>IF(B687="","",U687+'入力・概要'!$E$9*G687)</f>
        <v/>
      </c>
      <c r="X687" s="195">
        <f>IF(B687="","",'入力・概要'!$E$9+T687*F687-U687*G687)</f>
        <v/>
      </c>
      <c r="Y687" s="195">
        <f>IF(B687="","",T687*G687+U687*F687)</f>
        <v/>
      </c>
      <c r="Z687" s="195">
        <f>IF(B687="","",'入力・概要'!$E$9*(V687*X687+W687*Y687)/(X687^2+Y687^2)+'入力・概要'!$B$36)</f>
        <v/>
      </c>
      <c r="AA687" s="195">
        <f>IF(B687="","",'入力・概要'!$E$9*(W687*X687-V687*Y687)/(X687^2+Y687^2)+C687*'入力・概要'!$B$37*1E-9)</f>
        <v/>
      </c>
      <c r="AB687" s="195">
        <f>IF(B687="","",SQRT(Z687^2+AA687^2))</f>
        <v/>
      </c>
      <c r="AC687" s="195">
        <f>IF(B687="","",IF(Z687&gt;0,DEGREES(ATAN(AA687/Z687)),IF(Z687&lt;0,IF(AA687&gt;=0,DEGREES(ATAN(AA687/Z687))+180,DEGREES(ATAN(AA687/Z687))-180),IF(AA687&gt;0,90,IF(AA687&lt;0,-90,0)))))</f>
        <v/>
      </c>
      <c r="AD687" s="195">
        <f>IF(B687="","",LOG10(B687))</f>
        <v/>
      </c>
      <c r="AE687" s="195">
        <f>IF(AB687="","",LOG10(MAX(AB687,1E-12)))</f>
        <v/>
      </c>
      <c r="AF687" s="195">
        <f>IF(B687="","",SQRT(P687^2+Q687^2))</f>
        <v/>
      </c>
      <c r="AG687" s="195">
        <f>IF(B687="","",SQRT(R687^2+S687^2))</f>
        <v/>
      </c>
    </row>
    <row r="688">
      <c r="A688" t="n">
        <v>685</v>
      </c>
      <c r="B688" s="196">
        <f>IF(A688&lt;='入力・概要'!$B$40,10^(LOG10('入力・概要'!$B$38)+(A688-1)*(LOG10('入力・概要'!$B$39)-LOG10('入力・概要'!$B$38))/('入力・概要'!$B$40-1)),"")</f>
        <v/>
      </c>
      <c r="C688" s="195">
        <f>IF(B688="","",2*PI()*B688)</f>
        <v/>
      </c>
      <c r="D688" s="195">
        <f>IF(B688="","",ATANH(MIN(0.999999,'入力・概要'!$E$20/'入力・概要'!$E$9))+'入力・概要'!$B$20*SQRT(B688/1E6)+E688*'入力・概要'!$B$15/2)</f>
        <v/>
      </c>
      <c r="E688" s="195">
        <f>IF(B688="","",C688*('入力・概要'!$E$11*1E-9))</f>
        <v/>
      </c>
      <c r="F688" s="195">
        <f>IF(B688="","",SINH(2*D688)/(COSH(2*D688)+COS(2*E688)))</f>
        <v/>
      </c>
      <c r="G688" s="195">
        <f>IF(B688="","",SIN(2*E688)/(COSH(2*D688)+COS(2*E688)))</f>
        <v/>
      </c>
      <c r="H688" s="195">
        <f>IF(B688="","",ATANH(MIN(0.999999,'入力・概要'!$E$21/'入力・概要'!$E$15))+'入力・概要'!$B$21*SQRT(B688/1E6)+I688*'入力・概要'!$B$16/2)</f>
        <v/>
      </c>
      <c r="I688" s="195">
        <f>IF(B688="","",C688*('入力・概要'!$E$17*1E-9))</f>
        <v/>
      </c>
      <c r="J688" s="195">
        <f>IF(B688="","",SINH(2*H688)/(COSH(2*H688)+COS(2*I688)))</f>
        <v/>
      </c>
      <c r="K688" s="195">
        <f>IF(B688="","",SIN(2*I688)/(COSH(2*H688)+COS(2*I688)))</f>
        <v/>
      </c>
      <c r="L688" s="195">
        <f>IF(B688="","",'入力・概要'!$B$25)</f>
        <v/>
      </c>
      <c r="M688" s="195">
        <f>IF(B688="","",C688*'入力・概要'!$B$26*1E-9-1/(C688*'入力・概要'!$B$24*1E-6))</f>
        <v/>
      </c>
      <c r="N688" s="195">
        <f>IF(B688="","",'入力・概要'!$B$28)</f>
        <v/>
      </c>
      <c r="O688" s="195">
        <f>IF(B688="","",C688*'入力・概要'!$B$29*1E-9-1/(C688*'入力・概要'!$B$27*1E-6))</f>
        <v/>
      </c>
      <c r="P688" s="195">
        <f>IF(B688="","",((L688*N688-M688*O688)*(L688+N688)+(L688*O688+M688*N688)*(M688+O688))/((L688+N688)^2+(M688+O688)^2))</f>
        <v/>
      </c>
      <c r="Q688" s="195">
        <f>IF(B688="","",((L688*O688+M688*N688)*(L688+N688)-(L688*N688-M688*O688)*(M688+O688))/((L688+N688)^2+(M688+O688)^2))</f>
        <v/>
      </c>
      <c r="R688" s="195">
        <f>IF(B688="","",'入力・概要'!$E$15*J688)</f>
        <v/>
      </c>
      <c r="S688" s="195">
        <f>IF(B688="","",'入力・概要'!$E$15*K688)</f>
        <v/>
      </c>
      <c r="T688" s="195">
        <f>IF(B688="","",P688+R688)</f>
        <v/>
      </c>
      <c r="U688" s="195">
        <f>IF(B688="","",Q688+S688)</f>
        <v/>
      </c>
      <c r="V688" s="195">
        <f>IF(B688="","",T688+'入力・概要'!$E$9*F688)</f>
        <v/>
      </c>
      <c r="W688" s="195">
        <f>IF(B688="","",U688+'入力・概要'!$E$9*G688)</f>
        <v/>
      </c>
      <c r="X688" s="195">
        <f>IF(B688="","",'入力・概要'!$E$9+T688*F688-U688*G688)</f>
        <v/>
      </c>
      <c r="Y688" s="195">
        <f>IF(B688="","",T688*G688+U688*F688)</f>
        <v/>
      </c>
      <c r="Z688" s="195">
        <f>IF(B688="","",'入力・概要'!$E$9*(V688*X688+W688*Y688)/(X688^2+Y688^2)+'入力・概要'!$B$36)</f>
        <v/>
      </c>
      <c r="AA688" s="195">
        <f>IF(B688="","",'入力・概要'!$E$9*(W688*X688-V688*Y688)/(X688^2+Y688^2)+C688*'入力・概要'!$B$37*1E-9)</f>
        <v/>
      </c>
      <c r="AB688" s="195">
        <f>IF(B688="","",SQRT(Z688^2+AA688^2))</f>
        <v/>
      </c>
      <c r="AC688" s="195">
        <f>IF(B688="","",IF(Z688&gt;0,DEGREES(ATAN(AA688/Z688)),IF(Z688&lt;0,IF(AA688&gt;=0,DEGREES(ATAN(AA688/Z688))+180,DEGREES(ATAN(AA688/Z688))-180),IF(AA688&gt;0,90,IF(AA688&lt;0,-90,0)))))</f>
        <v/>
      </c>
      <c r="AD688" s="195">
        <f>IF(B688="","",LOG10(B688))</f>
        <v/>
      </c>
      <c r="AE688" s="195">
        <f>IF(AB688="","",LOG10(MAX(AB688,1E-12)))</f>
        <v/>
      </c>
      <c r="AF688" s="195">
        <f>IF(B688="","",SQRT(P688^2+Q688^2))</f>
        <v/>
      </c>
      <c r="AG688" s="195">
        <f>IF(B688="","",SQRT(R688^2+S688^2))</f>
        <v/>
      </c>
    </row>
    <row r="689">
      <c r="A689" t="n">
        <v>686</v>
      </c>
      <c r="B689" s="196">
        <f>IF(A689&lt;='入力・概要'!$B$40,10^(LOG10('入力・概要'!$B$38)+(A689-1)*(LOG10('入力・概要'!$B$39)-LOG10('入力・概要'!$B$38))/('入力・概要'!$B$40-1)),"")</f>
        <v/>
      </c>
      <c r="C689" s="195">
        <f>IF(B689="","",2*PI()*B689)</f>
        <v/>
      </c>
      <c r="D689" s="195">
        <f>IF(B689="","",ATANH(MIN(0.999999,'入力・概要'!$E$20/'入力・概要'!$E$9))+'入力・概要'!$B$20*SQRT(B689/1E6)+E689*'入力・概要'!$B$15/2)</f>
        <v/>
      </c>
      <c r="E689" s="195">
        <f>IF(B689="","",C689*('入力・概要'!$E$11*1E-9))</f>
        <v/>
      </c>
      <c r="F689" s="195">
        <f>IF(B689="","",SINH(2*D689)/(COSH(2*D689)+COS(2*E689)))</f>
        <v/>
      </c>
      <c r="G689" s="195">
        <f>IF(B689="","",SIN(2*E689)/(COSH(2*D689)+COS(2*E689)))</f>
        <v/>
      </c>
      <c r="H689" s="195">
        <f>IF(B689="","",ATANH(MIN(0.999999,'入力・概要'!$E$21/'入力・概要'!$E$15))+'入力・概要'!$B$21*SQRT(B689/1E6)+I689*'入力・概要'!$B$16/2)</f>
        <v/>
      </c>
      <c r="I689" s="195">
        <f>IF(B689="","",C689*('入力・概要'!$E$17*1E-9))</f>
        <v/>
      </c>
      <c r="J689" s="195">
        <f>IF(B689="","",SINH(2*H689)/(COSH(2*H689)+COS(2*I689)))</f>
        <v/>
      </c>
      <c r="K689" s="195">
        <f>IF(B689="","",SIN(2*I689)/(COSH(2*H689)+COS(2*I689)))</f>
        <v/>
      </c>
      <c r="L689" s="195">
        <f>IF(B689="","",'入力・概要'!$B$25)</f>
        <v/>
      </c>
      <c r="M689" s="195">
        <f>IF(B689="","",C689*'入力・概要'!$B$26*1E-9-1/(C689*'入力・概要'!$B$24*1E-6))</f>
        <v/>
      </c>
      <c r="N689" s="195">
        <f>IF(B689="","",'入力・概要'!$B$28)</f>
        <v/>
      </c>
      <c r="O689" s="195">
        <f>IF(B689="","",C689*'入力・概要'!$B$29*1E-9-1/(C689*'入力・概要'!$B$27*1E-6))</f>
        <v/>
      </c>
      <c r="P689" s="195">
        <f>IF(B689="","",((L689*N689-M689*O689)*(L689+N689)+(L689*O689+M689*N689)*(M689+O689))/((L689+N689)^2+(M689+O689)^2))</f>
        <v/>
      </c>
      <c r="Q689" s="195">
        <f>IF(B689="","",((L689*O689+M689*N689)*(L689+N689)-(L689*N689-M689*O689)*(M689+O689))/((L689+N689)^2+(M689+O689)^2))</f>
        <v/>
      </c>
      <c r="R689" s="195">
        <f>IF(B689="","",'入力・概要'!$E$15*J689)</f>
        <v/>
      </c>
      <c r="S689" s="195">
        <f>IF(B689="","",'入力・概要'!$E$15*K689)</f>
        <v/>
      </c>
      <c r="T689" s="195">
        <f>IF(B689="","",P689+R689)</f>
        <v/>
      </c>
      <c r="U689" s="195">
        <f>IF(B689="","",Q689+S689)</f>
        <v/>
      </c>
      <c r="V689" s="195">
        <f>IF(B689="","",T689+'入力・概要'!$E$9*F689)</f>
        <v/>
      </c>
      <c r="W689" s="195">
        <f>IF(B689="","",U689+'入力・概要'!$E$9*G689)</f>
        <v/>
      </c>
      <c r="X689" s="195">
        <f>IF(B689="","",'入力・概要'!$E$9+T689*F689-U689*G689)</f>
        <v/>
      </c>
      <c r="Y689" s="195">
        <f>IF(B689="","",T689*G689+U689*F689)</f>
        <v/>
      </c>
      <c r="Z689" s="195">
        <f>IF(B689="","",'入力・概要'!$E$9*(V689*X689+W689*Y689)/(X689^2+Y689^2)+'入力・概要'!$B$36)</f>
        <v/>
      </c>
      <c r="AA689" s="195">
        <f>IF(B689="","",'入力・概要'!$E$9*(W689*X689-V689*Y689)/(X689^2+Y689^2)+C689*'入力・概要'!$B$37*1E-9)</f>
        <v/>
      </c>
      <c r="AB689" s="195">
        <f>IF(B689="","",SQRT(Z689^2+AA689^2))</f>
        <v/>
      </c>
      <c r="AC689" s="195">
        <f>IF(B689="","",IF(Z689&gt;0,DEGREES(ATAN(AA689/Z689)),IF(Z689&lt;0,IF(AA689&gt;=0,DEGREES(ATAN(AA689/Z689))+180,DEGREES(ATAN(AA689/Z689))-180),IF(AA689&gt;0,90,IF(AA689&lt;0,-90,0)))))</f>
        <v/>
      </c>
      <c r="AD689" s="195">
        <f>IF(B689="","",LOG10(B689))</f>
        <v/>
      </c>
      <c r="AE689" s="195">
        <f>IF(AB689="","",LOG10(MAX(AB689,1E-12)))</f>
        <v/>
      </c>
      <c r="AF689" s="195">
        <f>IF(B689="","",SQRT(P689^2+Q689^2))</f>
        <v/>
      </c>
      <c r="AG689" s="195">
        <f>IF(B689="","",SQRT(R689^2+S689^2))</f>
        <v/>
      </c>
    </row>
    <row r="690">
      <c r="A690" t="n">
        <v>687</v>
      </c>
      <c r="B690" s="196">
        <f>IF(A690&lt;='入力・概要'!$B$40,10^(LOG10('入力・概要'!$B$38)+(A690-1)*(LOG10('入力・概要'!$B$39)-LOG10('入力・概要'!$B$38))/('入力・概要'!$B$40-1)),"")</f>
        <v/>
      </c>
      <c r="C690" s="195">
        <f>IF(B690="","",2*PI()*B690)</f>
        <v/>
      </c>
      <c r="D690" s="195">
        <f>IF(B690="","",ATANH(MIN(0.999999,'入力・概要'!$E$20/'入力・概要'!$E$9))+'入力・概要'!$B$20*SQRT(B690/1E6)+E690*'入力・概要'!$B$15/2)</f>
        <v/>
      </c>
      <c r="E690" s="195">
        <f>IF(B690="","",C690*('入力・概要'!$E$11*1E-9))</f>
        <v/>
      </c>
      <c r="F690" s="195">
        <f>IF(B690="","",SINH(2*D690)/(COSH(2*D690)+COS(2*E690)))</f>
        <v/>
      </c>
      <c r="G690" s="195">
        <f>IF(B690="","",SIN(2*E690)/(COSH(2*D690)+COS(2*E690)))</f>
        <v/>
      </c>
      <c r="H690" s="195">
        <f>IF(B690="","",ATANH(MIN(0.999999,'入力・概要'!$E$21/'入力・概要'!$E$15))+'入力・概要'!$B$21*SQRT(B690/1E6)+I690*'入力・概要'!$B$16/2)</f>
        <v/>
      </c>
      <c r="I690" s="195">
        <f>IF(B690="","",C690*('入力・概要'!$E$17*1E-9))</f>
        <v/>
      </c>
      <c r="J690" s="195">
        <f>IF(B690="","",SINH(2*H690)/(COSH(2*H690)+COS(2*I690)))</f>
        <v/>
      </c>
      <c r="K690" s="195">
        <f>IF(B690="","",SIN(2*I690)/(COSH(2*H690)+COS(2*I690)))</f>
        <v/>
      </c>
      <c r="L690" s="195">
        <f>IF(B690="","",'入力・概要'!$B$25)</f>
        <v/>
      </c>
      <c r="M690" s="195">
        <f>IF(B690="","",C690*'入力・概要'!$B$26*1E-9-1/(C690*'入力・概要'!$B$24*1E-6))</f>
        <v/>
      </c>
      <c r="N690" s="195">
        <f>IF(B690="","",'入力・概要'!$B$28)</f>
        <v/>
      </c>
      <c r="O690" s="195">
        <f>IF(B690="","",C690*'入力・概要'!$B$29*1E-9-1/(C690*'入力・概要'!$B$27*1E-6))</f>
        <v/>
      </c>
      <c r="P690" s="195">
        <f>IF(B690="","",((L690*N690-M690*O690)*(L690+N690)+(L690*O690+M690*N690)*(M690+O690))/((L690+N690)^2+(M690+O690)^2))</f>
        <v/>
      </c>
      <c r="Q690" s="195">
        <f>IF(B690="","",((L690*O690+M690*N690)*(L690+N690)-(L690*N690-M690*O690)*(M690+O690))/((L690+N690)^2+(M690+O690)^2))</f>
        <v/>
      </c>
      <c r="R690" s="195">
        <f>IF(B690="","",'入力・概要'!$E$15*J690)</f>
        <v/>
      </c>
      <c r="S690" s="195">
        <f>IF(B690="","",'入力・概要'!$E$15*K690)</f>
        <v/>
      </c>
      <c r="T690" s="195">
        <f>IF(B690="","",P690+R690)</f>
        <v/>
      </c>
      <c r="U690" s="195">
        <f>IF(B690="","",Q690+S690)</f>
        <v/>
      </c>
      <c r="V690" s="195">
        <f>IF(B690="","",T690+'入力・概要'!$E$9*F690)</f>
        <v/>
      </c>
      <c r="W690" s="195">
        <f>IF(B690="","",U690+'入力・概要'!$E$9*G690)</f>
        <v/>
      </c>
      <c r="X690" s="195">
        <f>IF(B690="","",'入力・概要'!$E$9+T690*F690-U690*G690)</f>
        <v/>
      </c>
      <c r="Y690" s="195">
        <f>IF(B690="","",T690*G690+U690*F690)</f>
        <v/>
      </c>
      <c r="Z690" s="195">
        <f>IF(B690="","",'入力・概要'!$E$9*(V690*X690+W690*Y690)/(X690^2+Y690^2)+'入力・概要'!$B$36)</f>
        <v/>
      </c>
      <c r="AA690" s="195">
        <f>IF(B690="","",'入力・概要'!$E$9*(W690*X690-V690*Y690)/(X690^2+Y690^2)+C690*'入力・概要'!$B$37*1E-9)</f>
        <v/>
      </c>
      <c r="AB690" s="195">
        <f>IF(B690="","",SQRT(Z690^2+AA690^2))</f>
        <v/>
      </c>
      <c r="AC690" s="195">
        <f>IF(B690="","",IF(Z690&gt;0,DEGREES(ATAN(AA690/Z690)),IF(Z690&lt;0,IF(AA690&gt;=0,DEGREES(ATAN(AA690/Z690))+180,DEGREES(ATAN(AA690/Z690))-180),IF(AA690&gt;0,90,IF(AA690&lt;0,-90,0)))))</f>
        <v/>
      </c>
      <c r="AD690" s="195">
        <f>IF(B690="","",LOG10(B690))</f>
        <v/>
      </c>
      <c r="AE690" s="195">
        <f>IF(AB690="","",LOG10(MAX(AB690,1E-12)))</f>
        <v/>
      </c>
      <c r="AF690" s="195">
        <f>IF(B690="","",SQRT(P690^2+Q690^2))</f>
        <v/>
      </c>
      <c r="AG690" s="195">
        <f>IF(B690="","",SQRT(R690^2+S690^2))</f>
        <v/>
      </c>
    </row>
    <row r="691">
      <c r="A691" t="n">
        <v>688</v>
      </c>
      <c r="B691" s="196">
        <f>IF(A691&lt;='入力・概要'!$B$40,10^(LOG10('入力・概要'!$B$38)+(A691-1)*(LOG10('入力・概要'!$B$39)-LOG10('入力・概要'!$B$38))/('入力・概要'!$B$40-1)),"")</f>
        <v/>
      </c>
      <c r="C691" s="195">
        <f>IF(B691="","",2*PI()*B691)</f>
        <v/>
      </c>
      <c r="D691" s="195">
        <f>IF(B691="","",ATANH(MIN(0.999999,'入力・概要'!$E$20/'入力・概要'!$E$9))+'入力・概要'!$B$20*SQRT(B691/1E6)+E691*'入力・概要'!$B$15/2)</f>
        <v/>
      </c>
      <c r="E691" s="195">
        <f>IF(B691="","",C691*('入力・概要'!$E$11*1E-9))</f>
        <v/>
      </c>
      <c r="F691" s="195">
        <f>IF(B691="","",SINH(2*D691)/(COSH(2*D691)+COS(2*E691)))</f>
        <v/>
      </c>
      <c r="G691" s="195">
        <f>IF(B691="","",SIN(2*E691)/(COSH(2*D691)+COS(2*E691)))</f>
        <v/>
      </c>
      <c r="H691" s="195">
        <f>IF(B691="","",ATANH(MIN(0.999999,'入力・概要'!$E$21/'入力・概要'!$E$15))+'入力・概要'!$B$21*SQRT(B691/1E6)+I691*'入力・概要'!$B$16/2)</f>
        <v/>
      </c>
      <c r="I691" s="195">
        <f>IF(B691="","",C691*('入力・概要'!$E$17*1E-9))</f>
        <v/>
      </c>
      <c r="J691" s="195">
        <f>IF(B691="","",SINH(2*H691)/(COSH(2*H691)+COS(2*I691)))</f>
        <v/>
      </c>
      <c r="K691" s="195">
        <f>IF(B691="","",SIN(2*I691)/(COSH(2*H691)+COS(2*I691)))</f>
        <v/>
      </c>
      <c r="L691" s="195">
        <f>IF(B691="","",'入力・概要'!$B$25)</f>
        <v/>
      </c>
      <c r="M691" s="195">
        <f>IF(B691="","",C691*'入力・概要'!$B$26*1E-9-1/(C691*'入力・概要'!$B$24*1E-6))</f>
        <v/>
      </c>
      <c r="N691" s="195">
        <f>IF(B691="","",'入力・概要'!$B$28)</f>
        <v/>
      </c>
      <c r="O691" s="195">
        <f>IF(B691="","",C691*'入力・概要'!$B$29*1E-9-1/(C691*'入力・概要'!$B$27*1E-6))</f>
        <v/>
      </c>
      <c r="P691" s="195">
        <f>IF(B691="","",((L691*N691-M691*O691)*(L691+N691)+(L691*O691+M691*N691)*(M691+O691))/((L691+N691)^2+(M691+O691)^2))</f>
        <v/>
      </c>
      <c r="Q691" s="195">
        <f>IF(B691="","",((L691*O691+M691*N691)*(L691+N691)-(L691*N691-M691*O691)*(M691+O691))/((L691+N691)^2+(M691+O691)^2))</f>
        <v/>
      </c>
      <c r="R691" s="195">
        <f>IF(B691="","",'入力・概要'!$E$15*J691)</f>
        <v/>
      </c>
      <c r="S691" s="195">
        <f>IF(B691="","",'入力・概要'!$E$15*K691)</f>
        <v/>
      </c>
      <c r="T691" s="195">
        <f>IF(B691="","",P691+R691)</f>
        <v/>
      </c>
      <c r="U691" s="195">
        <f>IF(B691="","",Q691+S691)</f>
        <v/>
      </c>
      <c r="V691" s="195">
        <f>IF(B691="","",T691+'入力・概要'!$E$9*F691)</f>
        <v/>
      </c>
      <c r="W691" s="195">
        <f>IF(B691="","",U691+'入力・概要'!$E$9*G691)</f>
        <v/>
      </c>
      <c r="X691" s="195">
        <f>IF(B691="","",'入力・概要'!$E$9+T691*F691-U691*G691)</f>
        <v/>
      </c>
      <c r="Y691" s="195">
        <f>IF(B691="","",T691*G691+U691*F691)</f>
        <v/>
      </c>
      <c r="Z691" s="195">
        <f>IF(B691="","",'入力・概要'!$E$9*(V691*X691+W691*Y691)/(X691^2+Y691^2)+'入力・概要'!$B$36)</f>
        <v/>
      </c>
      <c r="AA691" s="195">
        <f>IF(B691="","",'入力・概要'!$E$9*(W691*X691-V691*Y691)/(X691^2+Y691^2)+C691*'入力・概要'!$B$37*1E-9)</f>
        <v/>
      </c>
      <c r="AB691" s="195">
        <f>IF(B691="","",SQRT(Z691^2+AA691^2))</f>
        <v/>
      </c>
      <c r="AC691" s="195">
        <f>IF(B691="","",IF(Z691&gt;0,DEGREES(ATAN(AA691/Z691)),IF(Z691&lt;0,IF(AA691&gt;=0,DEGREES(ATAN(AA691/Z691))+180,DEGREES(ATAN(AA691/Z691))-180),IF(AA691&gt;0,90,IF(AA691&lt;0,-90,0)))))</f>
        <v/>
      </c>
      <c r="AD691" s="195">
        <f>IF(B691="","",LOG10(B691))</f>
        <v/>
      </c>
      <c r="AE691" s="195">
        <f>IF(AB691="","",LOG10(MAX(AB691,1E-12)))</f>
        <v/>
      </c>
      <c r="AF691" s="195">
        <f>IF(B691="","",SQRT(P691^2+Q691^2))</f>
        <v/>
      </c>
      <c r="AG691" s="195">
        <f>IF(B691="","",SQRT(R691^2+S691^2))</f>
        <v/>
      </c>
    </row>
    <row r="692">
      <c r="A692" t="n">
        <v>689</v>
      </c>
      <c r="B692" s="196">
        <f>IF(A692&lt;='入力・概要'!$B$40,10^(LOG10('入力・概要'!$B$38)+(A692-1)*(LOG10('入力・概要'!$B$39)-LOG10('入力・概要'!$B$38))/('入力・概要'!$B$40-1)),"")</f>
        <v/>
      </c>
      <c r="C692" s="195">
        <f>IF(B692="","",2*PI()*B692)</f>
        <v/>
      </c>
      <c r="D692" s="195">
        <f>IF(B692="","",ATANH(MIN(0.999999,'入力・概要'!$E$20/'入力・概要'!$E$9))+'入力・概要'!$B$20*SQRT(B692/1E6)+E692*'入力・概要'!$B$15/2)</f>
        <v/>
      </c>
      <c r="E692" s="195">
        <f>IF(B692="","",C692*('入力・概要'!$E$11*1E-9))</f>
        <v/>
      </c>
      <c r="F692" s="195">
        <f>IF(B692="","",SINH(2*D692)/(COSH(2*D692)+COS(2*E692)))</f>
        <v/>
      </c>
      <c r="G692" s="195">
        <f>IF(B692="","",SIN(2*E692)/(COSH(2*D692)+COS(2*E692)))</f>
        <v/>
      </c>
      <c r="H692" s="195">
        <f>IF(B692="","",ATANH(MIN(0.999999,'入力・概要'!$E$21/'入力・概要'!$E$15))+'入力・概要'!$B$21*SQRT(B692/1E6)+I692*'入力・概要'!$B$16/2)</f>
        <v/>
      </c>
      <c r="I692" s="195">
        <f>IF(B692="","",C692*('入力・概要'!$E$17*1E-9))</f>
        <v/>
      </c>
      <c r="J692" s="195">
        <f>IF(B692="","",SINH(2*H692)/(COSH(2*H692)+COS(2*I692)))</f>
        <v/>
      </c>
      <c r="K692" s="195">
        <f>IF(B692="","",SIN(2*I692)/(COSH(2*H692)+COS(2*I692)))</f>
        <v/>
      </c>
      <c r="L692" s="195">
        <f>IF(B692="","",'入力・概要'!$B$25)</f>
        <v/>
      </c>
      <c r="M692" s="195">
        <f>IF(B692="","",C692*'入力・概要'!$B$26*1E-9-1/(C692*'入力・概要'!$B$24*1E-6))</f>
        <v/>
      </c>
      <c r="N692" s="195">
        <f>IF(B692="","",'入力・概要'!$B$28)</f>
        <v/>
      </c>
      <c r="O692" s="195">
        <f>IF(B692="","",C692*'入力・概要'!$B$29*1E-9-1/(C692*'入力・概要'!$B$27*1E-6))</f>
        <v/>
      </c>
      <c r="P692" s="195">
        <f>IF(B692="","",((L692*N692-M692*O692)*(L692+N692)+(L692*O692+M692*N692)*(M692+O692))/((L692+N692)^2+(M692+O692)^2))</f>
        <v/>
      </c>
      <c r="Q692" s="195">
        <f>IF(B692="","",((L692*O692+M692*N692)*(L692+N692)-(L692*N692-M692*O692)*(M692+O692))/((L692+N692)^2+(M692+O692)^2))</f>
        <v/>
      </c>
      <c r="R692" s="195">
        <f>IF(B692="","",'入力・概要'!$E$15*J692)</f>
        <v/>
      </c>
      <c r="S692" s="195">
        <f>IF(B692="","",'入力・概要'!$E$15*K692)</f>
        <v/>
      </c>
      <c r="T692" s="195">
        <f>IF(B692="","",P692+R692)</f>
        <v/>
      </c>
      <c r="U692" s="195">
        <f>IF(B692="","",Q692+S692)</f>
        <v/>
      </c>
      <c r="V692" s="195">
        <f>IF(B692="","",T692+'入力・概要'!$E$9*F692)</f>
        <v/>
      </c>
      <c r="W692" s="195">
        <f>IF(B692="","",U692+'入力・概要'!$E$9*G692)</f>
        <v/>
      </c>
      <c r="X692" s="195">
        <f>IF(B692="","",'入力・概要'!$E$9+T692*F692-U692*G692)</f>
        <v/>
      </c>
      <c r="Y692" s="195">
        <f>IF(B692="","",T692*G692+U692*F692)</f>
        <v/>
      </c>
      <c r="Z692" s="195">
        <f>IF(B692="","",'入力・概要'!$E$9*(V692*X692+W692*Y692)/(X692^2+Y692^2)+'入力・概要'!$B$36)</f>
        <v/>
      </c>
      <c r="AA692" s="195">
        <f>IF(B692="","",'入力・概要'!$E$9*(W692*X692-V692*Y692)/(X692^2+Y692^2)+C692*'入力・概要'!$B$37*1E-9)</f>
        <v/>
      </c>
      <c r="AB692" s="195">
        <f>IF(B692="","",SQRT(Z692^2+AA692^2))</f>
        <v/>
      </c>
      <c r="AC692" s="195">
        <f>IF(B692="","",IF(Z692&gt;0,DEGREES(ATAN(AA692/Z692)),IF(Z692&lt;0,IF(AA692&gt;=0,DEGREES(ATAN(AA692/Z692))+180,DEGREES(ATAN(AA692/Z692))-180),IF(AA692&gt;0,90,IF(AA692&lt;0,-90,0)))))</f>
        <v/>
      </c>
      <c r="AD692" s="195">
        <f>IF(B692="","",LOG10(B692))</f>
        <v/>
      </c>
      <c r="AE692" s="195">
        <f>IF(AB692="","",LOG10(MAX(AB692,1E-12)))</f>
        <v/>
      </c>
      <c r="AF692" s="195">
        <f>IF(B692="","",SQRT(P692^2+Q692^2))</f>
        <v/>
      </c>
      <c r="AG692" s="195">
        <f>IF(B692="","",SQRT(R692^2+S692^2))</f>
        <v/>
      </c>
    </row>
    <row r="693">
      <c r="A693" t="n">
        <v>690</v>
      </c>
      <c r="B693" s="196">
        <f>IF(A693&lt;='入力・概要'!$B$40,10^(LOG10('入力・概要'!$B$38)+(A693-1)*(LOG10('入力・概要'!$B$39)-LOG10('入力・概要'!$B$38))/('入力・概要'!$B$40-1)),"")</f>
        <v/>
      </c>
      <c r="C693" s="195">
        <f>IF(B693="","",2*PI()*B693)</f>
        <v/>
      </c>
      <c r="D693" s="195">
        <f>IF(B693="","",ATANH(MIN(0.999999,'入力・概要'!$E$20/'入力・概要'!$E$9))+'入力・概要'!$B$20*SQRT(B693/1E6)+E693*'入力・概要'!$B$15/2)</f>
        <v/>
      </c>
      <c r="E693" s="195">
        <f>IF(B693="","",C693*('入力・概要'!$E$11*1E-9))</f>
        <v/>
      </c>
      <c r="F693" s="195">
        <f>IF(B693="","",SINH(2*D693)/(COSH(2*D693)+COS(2*E693)))</f>
        <v/>
      </c>
      <c r="G693" s="195">
        <f>IF(B693="","",SIN(2*E693)/(COSH(2*D693)+COS(2*E693)))</f>
        <v/>
      </c>
      <c r="H693" s="195">
        <f>IF(B693="","",ATANH(MIN(0.999999,'入力・概要'!$E$21/'入力・概要'!$E$15))+'入力・概要'!$B$21*SQRT(B693/1E6)+I693*'入力・概要'!$B$16/2)</f>
        <v/>
      </c>
      <c r="I693" s="195">
        <f>IF(B693="","",C693*('入力・概要'!$E$17*1E-9))</f>
        <v/>
      </c>
      <c r="J693" s="195">
        <f>IF(B693="","",SINH(2*H693)/(COSH(2*H693)+COS(2*I693)))</f>
        <v/>
      </c>
      <c r="K693" s="195">
        <f>IF(B693="","",SIN(2*I693)/(COSH(2*H693)+COS(2*I693)))</f>
        <v/>
      </c>
      <c r="L693" s="195">
        <f>IF(B693="","",'入力・概要'!$B$25)</f>
        <v/>
      </c>
      <c r="M693" s="195">
        <f>IF(B693="","",C693*'入力・概要'!$B$26*1E-9-1/(C693*'入力・概要'!$B$24*1E-6))</f>
        <v/>
      </c>
      <c r="N693" s="195">
        <f>IF(B693="","",'入力・概要'!$B$28)</f>
        <v/>
      </c>
      <c r="O693" s="195">
        <f>IF(B693="","",C693*'入力・概要'!$B$29*1E-9-1/(C693*'入力・概要'!$B$27*1E-6))</f>
        <v/>
      </c>
      <c r="P693" s="195">
        <f>IF(B693="","",((L693*N693-M693*O693)*(L693+N693)+(L693*O693+M693*N693)*(M693+O693))/((L693+N693)^2+(M693+O693)^2))</f>
        <v/>
      </c>
      <c r="Q693" s="195">
        <f>IF(B693="","",((L693*O693+M693*N693)*(L693+N693)-(L693*N693-M693*O693)*(M693+O693))/((L693+N693)^2+(M693+O693)^2))</f>
        <v/>
      </c>
      <c r="R693" s="195">
        <f>IF(B693="","",'入力・概要'!$E$15*J693)</f>
        <v/>
      </c>
      <c r="S693" s="195">
        <f>IF(B693="","",'入力・概要'!$E$15*K693)</f>
        <v/>
      </c>
      <c r="T693" s="195">
        <f>IF(B693="","",P693+R693)</f>
        <v/>
      </c>
      <c r="U693" s="195">
        <f>IF(B693="","",Q693+S693)</f>
        <v/>
      </c>
      <c r="V693" s="195">
        <f>IF(B693="","",T693+'入力・概要'!$E$9*F693)</f>
        <v/>
      </c>
      <c r="W693" s="195">
        <f>IF(B693="","",U693+'入力・概要'!$E$9*G693)</f>
        <v/>
      </c>
      <c r="X693" s="195">
        <f>IF(B693="","",'入力・概要'!$E$9+T693*F693-U693*G693)</f>
        <v/>
      </c>
      <c r="Y693" s="195">
        <f>IF(B693="","",T693*G693+U693*F693)</f>
        <v/>
      </c>
      <c r="Z693" s="195">
        <f>IF(B693="","",'入力・概要'!$E$9*(V693*X693+W693*Y693)/(X693^2+Y693^2)+'入力・概要'!$B$36)</f>
        <v/>
      </c>
      <c r="AA693" s="195">
        <f>IF(B693="","",'入力・概要'!$E$9*(W693*X693-V693*Y693)/(X693^2+Y693^2)+C693*'入力・概要'!$B$37*1E-9)</f>
        <v/>
      </c>
      <c r="AB693" s="195">
        <f>IF(B693="","",SQRT(Z693^2+AA693^2))</f>
        <v/>
      </c>
      <c r="AC693" s="195">
        <f>IF(B693="","",IF(Z693&gt;0,DEGREES(ATAN(AA693/Z693)),IF(Z693&lt;0,IF(AA693&gt;=0,DEGREES(ATAN(AA693/Z693))+180,DEGREES(ATAN(AA693/Z693))-180),IF(AA693&gt;0,90,IF(AA693&lt;0,-90,0)))))</f>
        <v/>
      </c>
      <c r="AD693" s="195">
        <f>IF(B693="","",LOG10(B693))</f>
        <v/>
      </c>
      <c r="AE693" s="195">
        <f>IF(AB693="","",LOG10(MAX(AB693,1E-12)))</f>
        <v/>
      </c>
      <c r="AF693" s="195">
        <f>IF(B693="","",SQRT(P693^2+Q693^2))</f>
        <v/>
      </c>
      <c r="AG693" s="195">
        <f>IF(B693="","",SQRT(R693^2+S693^2))</f>
        <v/>
      </c>
    </row>
    <row r="694">
      <c r="A694" t="n">
        <v>691</v>
      </c>
      <c r="B694" s="196">
        <f>IF(A694&lt;='入力・概要'!$B$40,10^(LOG10('入力・概要'!$B$38)+(A694-1)*(LOG10('入力・概要'!$B$39)-LOG10('入力・概要'!$B$38))/('入力・概要'!$B$40-1)),"")</f>
        <v/>
      </c>
      <c r="C694" s="195">
        <f>IF(B694="","",2*PI()*B694)</f>
        <v/>
      </c>
      <c r="D694" s="195">
        <f>IF(B694="","",ATANH(MIN(0.999999,'入力・概要'!$E$20/'入力・概要'!$E$9))+'入力・概要'!$B$20*SQRT(B694/1E6)+E694*'入力・概要'!$B$15/2)</f>
        <v/>
      </c>
      <c r="E694" s="195">
        <f>IF(B694="","",C694*('入力・概要'!$E$11*1E-9))</f>
        <v/>
      </c>
      <c r="F694" s="195">
        <f>IF(B694="","",SINH(2*D694)/(COSH(2*D694)+COS(2*E694)))</f>
        <v/>
      </c>
      <c r="G694" s="195">
        <f>IF(B694="","",SIN(2*E694)/(COSH(2*D694)+COS(2*E694)))</f>
        <v/>
      </c>
      <c r="H694" s="195">
        <f>IF(B694="","",ATANH(MIN(0.999999,'入力・概要'!$E$21/'入力・概要'!$E$15))+'入力・概要'!$B$21*SQRT(B694/1E6)+I694*'入力・概要'!$B$16/2)</f>
        <v/>
      </c>
      <c r="I694" s="195">
        <f>IF(B694="","",C694*('入力・概要'!$E$17*1E-9))</f>
        <v/>
      </c>
      <c r="J694" s="195">
        <f>IF(B694="","",SINH(2*H694)/(COSH(2*H694)+COS(2*I694)))</f>
        <v/>
      </c>
      <c r="K694" s="195">
        <f>IF(B694="","",SIN(2*I694)/(COSH(2*H694)+COS(2*I694)))</f>
        <v/>
      </c>
      <c r="L694" s="195">
        <f>IF(B694="","",'入力・概要'!$B$25)</f>
        <v/>
      </c>
      <c r="M694" s="195">
        <f>IF(B694="","",C694*'入力・概要'!$B$26*1E-9-1/(C694*'入力・概要'!$B$24*1E-6))</f>
        <v/>
      </c>
      <c r="N694" s="195">
        <f>IF(B694="","",'入力・概要'!$B$28)</f>
        <v/>
      </c>
      <c r="O694" s="195">
        <f>IF(B694="","",C694*'入力・概要'!$B$29*1E-9-1/(C694*'入力・概要'!$B$27*1E-6))</f>
        <v/>
      </c>
      <c r="P694" s="195">
        <f>IF(B694="","",((L694*N694-M694*O694)*(L694+N694)+(L694*O694+M694*N694)*(M694+O694))/((L694+N694)^2+(M694+O694)^2))</f>
        <v/>
      </c>
      <c r="Q694" s="195">
        <f>IF(B694="","",((L694*O694+M694*N694)*(L694+N694)-(L694*N694-M694*O694)*(M694+O694))/((L694+N694)^2+(M694+O694)^2))</f>
        <v/>
      </c>
      <c r="R694" s="195">
        <f>IF(B694="","",'入力・概要'!$E$15*J694)</f>
        <v/>
      </c>
      <c r="S694" s="195">
        <f>IF(B694="","",'入力・概要'!$E$15*K694)</f>
        <v/>
      </c>
      <c r="T694" s="195">
        <f>IF(B694="","",P694+R694)</f>
        <v/>
      </c>
      <c r="U694" s="195">
        <f>IF(B694="","",Q694+S694)</f>
        <v/>
      </c>
      <c r="V694" s="195">
        <f>IF(B694="","",T694+'入力・概要'!$E$9*F694)</f>
        <v/>
      </c>
      <c r="W694" s="195">
        <f>IF(B694="","",U694+'入力・概要'!$E$9*G694)</f>
        <v/>
      </c>
      <c r="X694" s="195">
        <f>IF(B694="","",'入力・概要'!$E$9+T694*F694-U694*G694)</f>
        <v/>
      </c>
      <c r="Y694" s="195">
        <f>IF(B694="","",T694*G694+U694*F694)</f>
        <v/>
      </c>
      <c r="Z694" s="195">
        <f>IF(B694="","",'入力・概要'!$E$9*(V694*X694+W694*Y694)/(X694^2+Y694^2)+'入力・概要'!$B$36)</f>
        <v/>
      </c>
      <c r="AA694" s="195">
        <f>IF(B694="","",'入力・概要'!$E$9*(W694*X694-V694*Y694)/(X694^2+Y694^2)+C694*'入力・概要'!$B$37*1E-9)</f>
        <v/>
      </c>
      <c r="AB694" s="195">
        <f>IF(B694="","",SQRT(Z694^2+AA694^2))</f>
        <v/>
      </c>
      <c r="AC694" s="195">
        <f>IF(B694="","",IF(Z694&gt;0,DEGREES(ATAN(AA694/Z694)),IF(Z694&lt;0,IF(AA694&gt;=0,DEGREES(ATAN(AA694/Z694))+180,DEGREES(ATAN(AA694/Z694))-180),IF(AA694&gt;0,90,IF(AA694&lt;0,-90,0)))))</f>
        <v/>
      </c>
      <c r="AD694" s="195">
        <f>IF(B694="","",LOG10(B694))</f>
        <v/>
      </c>
      <c r="AE694" s="195">
        <f>IF(AB694="","",LOG10(MAX(AB694,1E-12)))</f>
        <v/>
      </c>
      <c r="AF694" s="195">
        <f>IF(B694="","",SQRT(P694^2+Q694^2))</f>
        <v/>
      </c>
      <c r="AG694" s="195">
        <f>IF(B694="","",SQRT(R694^2+S694^2))</f>
        <v/>
      </c>
    </row>
    <row r="695">
      <c r="A695" t="n">
        <v>692</v>
      </c>
      <c r="B695" s="196">
        <f>IF(A695&lt;='入力・概要'!$B$40,10^(LOG10('入力・概要'!$B$38)+(A695-1)*(LOG10('入力・概要'!$B$39)-LOG10('入力・概要'!$B$38))/('入力・概要'!$B$40-1)),"")</f>
        <v/>
      </c>
      <c r="C695" s="195">
        <f>IF(B695="","",2*PI()*B695)</f>
        <v/>
      </c>
      <c r="D695" s="195">
        <f>IF(B695="","",ATANH(MIN(0.999999,'入力・概要'!$E$20/'入力・概要'!$E$9))+'入力・概要'!$B$20*SQRT(B695/1E6)+E695*'入力・概要'!$B$15/2)</f>
        <v/>
      </c>
      <c r="E695" s="195">
        <f>IF(B695="","",C695*('入力・概要'!$E$11*1E-9))</f>
        <v/>
      </c>
      <c r="F695" s="195">
        <f>IF(B695="","",SINH(2*D695)/(COSH(2*D695)+COS(2*E695)))</f>
        <v/>
      </c>
      <c r="G695" s="195">
        <f>IF(B695="","",SIN(2*E695)/(COSH(2*D695)+COS(2*E695)))</f>
        <v/>
      </c>
      <c r="H695" s="195">
        <f>IF(B695="","",ATANH(MIN(0.999999,'入力・概要'!$E$21/'入力・概要'!$E$15))+'入力・概要'!$B$21*SQRT(B695/1E6)+I695*'入力・概要'!$B$16/2)</f>
        <v/>
      </c>
      <c r="I695" s="195">
        <f>IF(B695="","",C695*('入力・概要'!$E$17*1E-9))</f>
        <v/>
      </c>
      <c r="J695" s="195">
        <f>IF(B695="","",SINH(2*H695)/(COSH(2*H695)+COS(2*I695)))</f>
        <v/>
      </c>
      <c r="K695" s="195">
        <f>IF(B695="","",SIN(2*I695)/(COSH(2*H695)+COS(2*I695)))</f>
        <v/>
      </c>
      <c r="L695" s="195">
        <f>IF(B695="","",'入力・概要'!$B$25)</f>
        <v/>
      </c>
      <c r="M695" s="195">
        <f>IF(B695="","",C695*'入力・概要'!$B$26*1E-9-1/(C695*'入力・概要'!$B$24*1E-6))</f>
        <v/>
      </c>
      <c r="N695" s="195">
        <f>IF(B695="","",'入力・概要'!$B$28)</f>
        <v/>
      </c>
      <c r="O695" s="195">
        <f>IF(B695="","",C695*'入力・概要'!$B$29*1E-9-1/(C695*'入力・概要'!$B$27*1E-6))</f>
        <v/>
      </c>
      <c r="P695" s="195">
        <f>IF(B695="","",((L695*N695-M695*O695)*(L695+N695)+(L695*O695+M695*N695)*(M695+O695))/((L695+N695)^2+(M695+O695)^2))</f>
        <v/>
      </c>
      <c r="Q695" s="195">
        <f>IF(B695="","",((L695*O695+M695*N695)*(L695+N695)-(L695*N695-M695*O695)*(M695+O695))/((L695+N695)^2+(M695+O695)^2))</f>
        <v/>
      </c>
      <c r="R695" s="195">
        <f>IF(B695="","",'入力・概要'!$E$15*J695)</f>
        <v/>
      </c>
      <c r="S695" s="195">
        <f>IF(B695="","",'入力・概要'!$E$15*K695)</f>
        <v/>
      </c>
      <c r="T695" s="195">
        <f>IF(B695="","",P695+R695)</f>
        <v/>
      </c>
      <c r="U695" s="195">
        <f>IF(B695="","",Q695+S695)</f>
        <v/>
      </c>
      <c r="V695" s="195">
        <f>IF(B695="","",T695+'入力・概要'!$E$9*F695)</f>
        <v/>
      </c>
      <c r="W695" s="195">
        <f>IF(B695="","",U695+'入力・概要'!$E$9*G695)</f>
        <v/>
      </c>
      <c r="X695" s="195">
        <f>IF(B695="","",'入力・概要'!$E$9+T695*F695-U695*G695)</f>
        <v/>
      </c>
      <c r="Y695" s="195">
        <f>IF(B695="","",T695*G695+U695*F695)</f>
        <v/>
      </c>
      <c r="Z695" s="195">
        <f>IF(B695="","",'入力・概要'!$E$9*(V695*X695+W695*Y695)/(X695^2+Y695^2)+'入力・概要'!$B$36)</f>
        <v/>
      </c>
      <c r="AA695" s="195">
        <f>IF(B695="","",'入力・概要'!$E$9*(W695*X695-V695*Y695)/(X695^2+Y695^2)+C695*'入力・概要'!$B$37*1E-9)</f>
        <v/>
      </c>
      <c r="AB695" s="195">
        <f>IF(B695="","",SQRT(Z695^2+AA695^2))</f>
        <v/>
      </c>
      <c r="AC695" s="195">
        <f>IF(B695="","",IF(Z695&gt;0,DEGREES(ATAN(AA695/Z695)),IF(Z695&lt;0,IF(AA695&gt;=0,DEGREES(ATAN(AA695/Z695))+180,DEGREES(ATAN(AA695/Z695))-180),IF(AA695&gt;0,90,IF(AA695&lt;0,-90,0)))))</f>
        <v/>
      </c>
      <c r="AD695" s="195">
        <f>IF(B695="","",LOG10(B695))</f>
        <v/>
      </c>
      <c r="AE695" s="195">
        <f>IF(AB695="","",LOG10(MAX(AB695,1E-12)))</f>
        <v/>
      </c>
      <c r="AF695" s="195">
        <f>IF(B695="","",SQRT(P695^2+Q695^2))</f>
        <v/>
      </c>
      <c r="AG695" s="195">
        <f>IF(B695="","",SQRT(R695^2+S695^2))</f>
        <v/>
      </c>
    </row>
    <row r="696">
      <c r="A696" t="n">
        <v>693</v>
      </c>
      <c r="B696" s="196">
        <f>IF(A696&lt;='入力・概要'!$B$40,10^(LOG10('入力・概要'!$B$38)+(A696-1)*(LOG10('入力・概要'!$B$39)-LOG10('入力・概要'!$B$38))/('入力・概要'!$B$40-1)),"")</f>
        <v/>
      </c>
      <c r="C696" s="195">
        <f>IF(B696="","",2*PI()*B696)</f>
        <v/>
      </c>
      <c r="D696" s="195">
        <f>IF(B696="","",ATANH(MIN(0.999999,'入力・概要'!$E$20/'入力・概要'!$E$9))+'入力・概要'!$B$20*SQRT(B696/1E6)+E696*'入力・概要'!$B$15/2)</f>
        <v/>
      </c>
      <c r="E696" s="195">
        <f>IF(B696="","",C696*('入力・概要'!$E$11*1E-9))</f>
        <v/>
      </c>
      <c r="F696" s="195">
        <f>IF(B696="","",SINH(2*D696)/(COSH(2*D696)+COS(2*E696)))</f>
        <v/>
      </c>
      <c r="G696" s="195">
        <f>IF(B696="","",SIN(2*E696)/(COSH(2*D696)+COS(2*E696)))</f>
        <v/>
      </c>
      <c r="H696" s="195">
        <f>IF(B696="","",ATANH(MIN(0.999999,'入力・概要'!$E$21/'入力・概要'!$E$15))+'入力・概要'!$B$21*SQRT(B696/1E6)+I696*'入力・概要'!$B$16/2)</f>
        <v/>
      </c>
      <c r="I696" s="195">
        <f>IF(B696="","",C696*('入力・概要'!$E$17*1E-9))</f>
        <v/>
      </c>
      <c r="J696" s="195">
        <f>IF(B696="","",SINH(2*H696)/(COSH(2*H696)+COS(2*I696)))</f>
        <v/>
      </c>
      <c r="K696" s="195">
        <f>IF(B696="","",SIN(2*I696)/(COSH(2*H696)+COS(2*I696)))</f>
        <v/>
      </c>
      <c r="L696" s="195">
        <f>IF(B696="","",'入力・概要'!$B$25)</f>
        <v/>
      </c>
      <c r="M696" s="195">
        <f>IF(B696="","",C696*'入力・概要'!$B$26*1E-9-1/(C696*'入力・概要'!$B$24*1E-6))</f>
        <v/>
      </c>
      <c r="N696" s="195">
        <f>IF(B696="","",'入力・概要'!$B$28)</f>
        <v/>
      </c>
      <c r="O696" s="195">
        <f>IF(B696="","",C696*'入力・概要'!$B$29*1E-9-1/(C696*'入力・概要'!$B$27*1E-6))</f>
        <v/>
      </c>
      <c r="P696" s="195">
        <f>IF(B696="","",((L696*N696-M696*O696)*(L696+N696)+(L696*O696+M696*N696)*(M696+O696))/((L696+N696)^2+(M696+O696)^2))</f>
        <v/>
      </c>
      <c r="Q696" s="195">
        <f>IF(B696="","",((L696*O696+M696*N696)*(L696+N696)-(L696*N696-M696*O696)*(M696+O696))/((L696+N696)^2+(M696+O696)^2))</f>
        <v/>
      </c>
      <c r="R696" s="195">
        <f>IF(B696="","",'入力・概要'!$E$15*J696)</f>
        <v/>
      </c>
      <c r="S696" s="195">
        <f>IF(B696="","",'入力・概要'!$E$15*K696)</f>
        <v/>
      </c>
      <c r="T696" s="195">
        <f>IF(B696="","",P696+R696)</f>
        <v/>
      </c>
      <c r="U696" s="195">
        <f>IF(B696="","",Q696+S696)</f>
        <v/>
      </c>
      <c r="V696" s="195">
        <f>IF(B696="","",T696+'入力・概要'!$E$9*F696)</f>
        <v/>
      </c>
      <c r="W696" s="195">
        <f>IF(B696="","",U696+'入力・概要'!$E$9*G696)</f>
        <v/>
      </c>
      <c r="X696" s="195">
        <f>IF(B696="","",'入力・概要'!$E$9+T696*F696-U696*G696)</f>
        <v/>
      </c>
      <c r="Y696" s="195">
        <f>IF(B696="","",T696*G696+U696*F696)</f>
        <v/>
      </c>
      <c r="Z696" s="195">
        <f>IF(B696="","",'入力・概要'!$E$9*(V696*X696+W696*Y696)/(X696^2+Y696^2)+'入力・概要'!$B$36)</f>
        <v/>
      </c>
      <c r="AA696" s="195">
        <f>IF(B696="","",'入力・概要'!$E$9*(W696*X696-V696*Y696)/(X696^2+Y696^2)+C696*'入力・概要'!$B$37*1E-9)</f>
        <v/>
      </c>
      <c r="AB696" s="195">
        <f>IF(B696="","",SQRT(Z696^2+AA696^2))</f>
        <v/>
      </c>
      <c r="AC696" s="195">
        <f>IF(B696="","",IF(Z696&gt;0,DEGREES(ATAN(AA696/Z696)),IF(Z696&lt;0,IF(AA696&gt;=0,DEGREES(ATAN(AA696/Z696))+180,DEGREES(ATAN(AA696/Z696))-180),IF(AA696&gt;0,90,IF(AA696&lt;0,-90,0)))))</f>
        <v/>
      </c>
      <c r="AD696" s="195">
        <f>IF(B696="","",LOG10(B696))</f>
        <v/>
      </c>
      <c r="AE696" s="195">
        <f>IF(AB696="","",LOG10(MAX(AB696,1E-12)))</f>
        <v/>
      </c>
      <c r="AF696" s="195">
        <f>IF(B696="","",SQRT(P696^2+Q696^2))</f>
        <v/>
      </c>
      <c r="AG696" s="195">
        <f>IF(B696="","",SQRT(R696^2+S696^2))</f>
        <v/>
      </c>
    </row>
    <row r="697">
      <c r="A697" t="n">
        <v>694</v>
      </c>
      <c r="B697" s="196">
        <f>IF(A697&lt;='入力・概要'!$B$40,10^(LOG10('入力・概要'!$B$38)+(A697-1)*(LOG10('入力・概要'!$B$39)-LOG10('入力・概要'!$B$38))/('入力・概要'!$B$40-1)),"")</f>
        <v/>
      </c>
      <c r="C697" s="195">
        <f>IF(B697="","",2*PI()*B697)</f>
        <v/>
      </c>
      <c r="D697" s="195">
        <f>IF(B697="","",ATANH(MIN(0.999999,'入力・概要'!$E$20/'入力・概要'!$E$9))+'入力・概要'!$B$20*SQRT(B697/1E6)+E697*'入力・概要'!$B$15/2)</f>
        <v/>
      </c>
      <c r="E697" s="195">
        <f>IF(B697="","",C697*('入力・概要'!$E$11*1E-9))</f>
        <v/>
      </c>
      <c r="F697" s="195">
        <f>IF(B697="","",SINH(2*D697)/(COSH(2*D697)+COS(2*E697)))</f>
        <v/>
      </c>
      <c r="G697" s="195">
        <f>IF(B697="","",SIN(2*E697)/(COSH(2*D697)+COS(2*E697)))</f>
        <v/>
      </c>
      <c r="H697" s="195">
        <f>IF(B697="","",ATANH(MIN(0.999999,'入力・概要'!$E$21/'入力・概要'!$E$15))+'入力・概要'!$B$21*SQRT(B697/1E6)+I697*'入力・概要'!$B$16/2)</f>
        <v/>
      </c>
      <c r="I697" s="195">
        <f>IF(B697="","",C697*('入力・概要'!$E$17*1E-9))</f>
        <v/>
      </c>
      <c r="J697" s="195">
        <f>IF(B697="","",SINH(2*H697)/(COSH(2*H697)+COS(2*I697)))</f>
        <v/>
      </c>
      <c r="K697" s="195">
        <f>IF(B697="","",SIN(2*I697)/(COSH(2*H697)+COS(2*I697)))</f>
        <v/>
      </c>
      <c r="L697" s="195">
        <f>IF(B697="","",'入力・概要'!$B$25)</f>
        <v/>
      </c>
      <c r="M697" s="195">
        <f>IF(B697="","",C697*'入力・概要'!$B$26*1E-9-1/(C697*'入力・概要'!$B$24*1E-6))</f>
        <v/>
      </c>
      <c r="N697" s="195">
        <f>IF(B697="","",'入力・概要'!$B$28)</f>
        <v/>
      </c>
      <c r="O697" s="195">
        <f>IF(B697="","",C697*'入力・概要'!$B$29*1E-9-1/(C697*'入力・概要'!$B$27*1E-6))</f>
        <v/>
      </c>
      <c r="P697" s="195">
        <f>IF(B697="","",((L697*N697-M697*O697)*(L697+N697)+(L697*O697+M697*N697)*(M697+O697))/((L697+N697)^2+(M697+O697)^2))</f>
        <v/>
      </c>
      <c r="Q697" s="195">
        <f>IF(B697="","",((L697*O697+M697*N697)*(L697+N697)-(L697*N697-M697*O697)*(M697+O697))/((L697+N697)^2+(M697+O697)^2))</f>
        <v/>
      </c>
      <c r="R697" s="195">
        <f>IF(B697="","",'入力・概要'!$E$15*J697)</f>
        <v/>
      </c>
      <c r="S697" s="195">
        <f>IF(B697="","",'入力・概要'!$E$15*K697)</f>
        <v/>
      </c>
      <c r="T697" s="195">
        <f>IF(B697="","",P697+R697)</f>
        <v/>
      </c>
      <c r="U697" s="195">
        <f>IF(B697="","",Q697+S697)</f>
        <v/>
      </c>
      <c r="V697" s="195">
        <f>IF(B697="","",T697+'入力・概要'!$E$9*F697)</f>
        <v/>
      </c>
      <c r="W697" s="195">
        <f>IF(B697="","",U697+'入力・概要'!$E$9*G697)</f>
        <v/>
      </c>
      <c r="X697" s="195">
        <f>IF(B697="","",'入力・概要'!$E$9+T697*F697-U697*G697)</f>
        <v/>
      </c>
      <c r="Y697" s="195">
        <f>IF(B697="","",T697*G697+U697*F697)</f>
        <v/>
      </c>
      <c r="Z697" s="195">
        <f>IF(B697="","",'入力・概要'!$E$9*(V697*X697+W697*Y697)/(X697^2+Y697^2)+'入力・概要'!$B$36)</f>
        <v/>
      </c>
      <c r="AA697" s="195">
        <f>IF(B697="","",'入力・概要'!$E$9*(W697*X697-V697*Y697)/(X697^2+Y697^2)+C697*'入力・概要'!$B$37*1E-9)</f>
        <v/>
      </c>
      <c r="AB697" s="195">
        <f>IF(B697="","",SQRT(Z697^2+AA697^2))</f>
        <v/>
      </c>
      <c r="AC697" s="195">
        <f>IF(B697="","",IF(Z697&gt;0,DEGREES(ATAN(AA697/Z697)),IF(Z697&lt;0,IF(AA697&gt;=0,DEGREES(ATAN(AA697/Z697))+180,DEGREES(ATAN(AA697/Z697))-180),IF(AA697&gt;0,90,IF(AA697&lt;0,-90,0)))))</f>
        <v/>
      </c>
      <c r="AD697" s="195">
        <f>IF(B697="","",LOG10(B697))</f>
        <v/>
      </c>
      <c r="AE697" s="195">
        <f>IF(AB697="","",LOG10(MAX(AB697,1E-12)))</f>
        <v/>
      </c>
      <c r="AF697" s="195">
        <f>IF(B697="","",SQRT(P697^2+Q697^2))</f>
        <v/>
      </c>
      <c r="AG697" s="195">
        <f>IF(B697="","",SQRT(R697^2+S697^2))</f>
        <v/>
      </c>
    </row>
    <row r="698">
      <c r="A698" t="n">
        <v>695</v>
      </c>
      <c r="B698" s="196">
        <f>IF(A698&lt;='入力・概要'!$B$40,10^(LOG10('入力・概要'!$B$38)+(A698-1)*(LOG10('入力・概要'!$B$39)-LOG10('入力・概要'!$B$38))/('入力・概要'!$B$40-1)),"")</f>
        <v/>
      </c>
      <c r="C698" s="195">
        <f>IF(B698="","",2*PI()*B698)</f>
        <v/>
      </c>
      <c r="D698" s="195">
        <f>IF(B698="","",ATANH(MIN(0.999999,'入力・概要'!$E$20/'入力・概要'!$E$9))+'入力・概要'!$B$20*SQRT(B698/1E6)+E698*'入力・概要'!$B$15/2)</f>
        <v/>
      </c>
      <c r="E698" s="195">
        <f>IF(B698="","",C698*('入力・概要'!$E$11*1E-9))</f>
        <v/>
      </c>
      <c r="F698" s="195">
        <f>IF(B698="","",SINH(2*D698)/(COSH(2*D698)+COS(2*E698)))</f>
        <v/>
      </c>
      <c r="G698" s="195">
        <f>IF(B698="","",SIN(2*E698)/(COSH(2*D698)+COS(2*E698)))</f>
        <v/>
      </c>
      <c r="H698" s="195">
        <f>IF(B698="","",ATANH(MIN(0.999999,'入力・概要'!$E$21/'入力・概要'!$E$15))+'入力・概要'!$B$21*SQRT(B698/1E6)+I698*'入力・概要'!$B$16/2)</f>
        <v/>
      </c>
      <c r="I698" s="195">
        <f>IF(B698="","",C698*('入力・概要'!$E$17*1E-9))</f>
        <v/>
      </c>
      <c r="J698" s="195">
        <f>IF(B698="","",SINH(2*H698)/(COSH(2*H698)+COS(2*I698)))</f>
        <v/>
      </c>
      <c r="K698" s="195">
        <f>IF(B698="","",SIN(2*I698)/(COSH(2*H698)+COS(2*I698)))</f>
        <v/>
      </c>
      <c r="L698" s="195">
        <f>IF(B698="","",'入力・概要'!$B$25)</f>
        <v/>
      </c>
      <c r="M698" s="195">
        <f>IF(B698="","",C698*'入力・概要'!$B$26*1E-9-1/(C698*'入力・概要'!$B$24*1E-6))</f>
        <v/>
      </c>
      <c r="N698" s="195">
        <f>IF(B698="","",'入力・概要'!$B$28)</f>
        <v/>
      </c>
      <c r="O698" s="195">
        <f>IF(B698="","",C698*'入力・概要'!$B$29*1E-9-1/(C698*'入力・概要'!$B$27*1E-6))</f>
        <v/>
      </c>
      <c r="P698" s="195">
        <f>IF(B698="","",((L698*N698-M698*O698)*(L698+N698)+(L698*O698+M698*N698)*(M698+O698))/((L698+N698)^2+(M698+O698)^2))</f>
        <v/>
      </c>
      <c r="Q698" s="195">
        <f>IF(B698="","",((L698*O698+M698*N698)*(L698+N698)-(L698*N698-M698*O698)*(M698+O698))/((L698+N698)^2+(M698+O698)^2))</f>
        <v/>
      </c>
      <c r="R698" s="195">
        <f>IF(B698="","",'入力・概要'!$E$15*J698)</f>
        <v/>
      </c>
      <c r="S698" s="195">
        <f>IF(B698="","",'入力・概要'!$E$15*K698)</f>
        <v/>
      </c>
      <c r="T698" s="195">
        <f>IF(B698="","",P698+R698)</f>
        <v/>
      </c>
      <c r="U698" s="195">
        <f>IF(B698="","",Q698+S698)</f>
        <v/>
      </c>
      <c r="V698" s="195">
        <f>IF(B698="","",T698+'入力・概要'!$E$9*F698)</f>
        <v/>
      </c>
      <c r="W698" s="195">
        <f>IF(B698="","",U698+'入力・概要'!$E$9*G698)</f>
        <v/>
      </c>
      <c r="X698" s="195">
        <f>IF(B698="","",'入力・概要'!$E$9+T698*F698-U698*G698)</f>
        <v/>
      </c>
      <c r="Y698" s="195">
        <f>IF(B698="","",T698*G698+U698*F698)</f>
        <v/>
      </c>
      <c r="Z698" s="195">
        <f>IF(B698="","",'入力・概要'!$E$9*(V698*X698+W698*Y698)/(X698^2+Y698^2)+'入力・概要'!$B$36)</f>
        <v/>
      </c>
      <c r="AA698" s="195">
        <f>IF(B698="","",'入力・概要'!$E$9*(W698*X698-V698*Y698)/(X698^2+Y698^2)+C698*'入力・概要'!$B$37*1E-9)</f>
        <v/>
      </c>
      <c r="AB698" s="195">
        <f>IF(B698="","",SQRT(Z698^2+AA698^2))</f>
        <v/>
      </c>
      <c r="AC698" s="195">
        <f>IF(B698="","",IF(Z698&gt;0,DEGREES(ATAN(AA698/Z698)),IF(Z698&lt;0,IF(AA698&gt;=0,DEGREES(ATAN(AA698/Z698))+180,DEGREES(ATAN(AA698/Z698))-180),IF(AA698&gt;0,90,IF(AA698&lt;0,-90,0)))))</f>
        <v/>
      </c>
      <c r="AD698" s="195">
        <f>IF(B698="","",LOG10(B698))</f>
        <v/>
      </c>
      <c r="AE698" s="195">
        <f>IF(AB698="","",LOG10(MAX(AB698,1E-12)))</f>
        <v/>
      </c>
      <c r="AF698" s="195">
        <f>IF(B698="","",SQRT(P698^2+Q698^2))</f>
        <v/>
      </c>
      <c r="AG698" s="195">
        <f>IF(B698="","",SQRT(R698^2+S698^2))</f>
        <v/>
      </c>
    </row>
    <row r="699">
      <c r="A699" t="n">
        <v>696</v>
      </c>
      <c r="B699" s="196">
        <f>IF(A699&lt;='入力・概要'!$B$40,10^(LOG10('入力・概要'!$B$38)+(A699-1)*(LOG10('入力・概要'!$B$39)-LOG10('入力・概要'!$B$38))/('入力・概要'!$B$40-1)),"")</f>
        <v/>
      </c>
      <c r="C699" s="195">
        <f>IF(B699="","",2*PI()*B699)</f>
        <v/>
      </c>
      <c r="D699" s="195">
        <f>IF(B699="","",ATANH(MIN(0.999999,'入力・概要'!$E$20/'入力・概要'!$E$9))+'入力・概要'!$B$20*SQRT(B699/1E6)+E699*'入力・概要'!$B$15/2)</f>
        <v/>
      </c>
      <c r="E699" s="195">
        <f>IF(B699="","",C699*('入力・概要'!$E$11*1E-9))</f>
        <v/>
      </c>
      <c r="F699" s="195">
        <f>IF(B699="","",SINH(2*D699)/(COSH(2*D699)+COS(2*E699)))</f>
        <v/>
      </c>
      <c r="G699" s="195">
        <f>IF(B699="","",SIN(2*E699)/(COSH(2*D699)+COS(2*E699)))</f>
        <v/>
      </c>
      <c r="H699" s="195">
        <f>IF(B699="","",ATANH(MIN(0.999999,'入力・概要'!$E$21/'入力・概要'!$E$15))+'入力・概要'!$B$21*SQRT(B699/1E6)+I699*'入力・概要'!$B$16/2)</f>
        <v/>
      </c>
      <c r="I699" s="195">
        <f>IF(B699="","",C699*('入力・概要'!$E$17*1E-9))</f>
        <v/>
      </c>
      <c r="J699" s="195">
        <f>IF(B699="","",SINH(2*H699)/(COSH(2*H699)+COS(2*I699)))</f>
        <v/>
      </c>
      <c r="K699" s="195">
        <f>IF(B699="","",SIN(2*I699)/(COSH(2*H699)+COS(2*I699)))</f>
        <v/>
      </c>
      <c r="L699" s="195">
        <f>IF(B699="","",'入力・概要'!$B$25)</f>
        <v/>
      </c>
      <c r="M699" s="195">
        <f>IF(B699="","",C699*'入力・概要'!$B$26*1E-9-1/(C699*'入力・概要'!$B$24*1E-6))</f>
        <v/>
      </c>
      <c r="N699" s="195">
        <f>IF(B699="","",'入力・概要'!$B$28)</f>
        <v/>
      </c>
      <c r="O699" s="195">
        <f>IF(B699="","",C699*'入力・概要'!$B$29*1E-9-1/(C699*'入力・概要'!$B$27*1E-6))</f>
        <v/>
      </c>
      <c r="P699" s="195">
        <f>IF(B699="","",((L699*N699-M699*O699)*(L699+N699)+(L699*O699+M699*N699)*(M699+O699))/((L699+N699)^2+(M699+O699)^2))</f>
        <v/>
      </c>
      <c r="Q699" s="195">
        <f>IF(B699="","",((L699*O699+M699*N699)*(L699+N699)-(L699*N699-M699*O699)*(M699+O699))/((L699+N699)^2+(M699+O699)^2))</f>
        <v/>
      </c>
      <c r="R699" s="195">
        <f>IF(B699="","",'入力・概要'!$E$15*J699)</f>
        <v/>
      </c>
      <c r="S699" s="195">
        <f>IF(B699="","",'入力・概要'!$E$15*K699)</f>
        <v/>
      </c>
      <c r="T699" s="195">
        <f>IF(B699="","",P699+R699)</f>
        <v/>
      </c>
      <c r="U699" s="195">
        <f>IF(B699="","",Q699+S699)</f>
        <v/>
      </c>
      <c r="V699" s="195">
        <f>IF(B699="","",T699+'入力・概要'!$E$9*F699)</f>
        <v/>
      </c>
      <c r="W699" s="195">
        <f>IF(B699="","",U699+'入力・概要'!$E$9*G699)</f>
        <v/>
      </c>
      <c r="X699" s="195">
        <f>IF(B699="","",'入力・概要'!$E$9+T699*F699-U699*G699)</f>
        <v/>
      </c>
      <c r="Y699" s="195">
        <f>IF(B699="","",T699*G699+U699*F699)</f>
        <v/>
      </c>
      <c r="Z699" s="195">
        <f>IF(B699="","",'入力・概要'!$E$9*(V699*X699+W699*Y699)/(X699^2+Y699^2)+'入力・概要'!$B$36)</f>
        <v/>
      </c>
      <c r="AA699" s="195">
        <f>IF(B699="","",'入力・概要'!$E$9*(W699*X699-V699*Y699)/(X699^2+Y699^2)+C699*'入力・概要'!$B$37*1E-9)</f>
        <v/>
      </c>
      <c r="AB699" s="195">
        <f>IF(B699="","",SQRT(Z699^2+AA699^2))</f>
        <v/>
      </c>
      <c r="AC699" s="195">
        <f>IF(B699="","",IF(Z699&gt;0,DEGREES(ATAN(AA699/Z699)),IF(Z699&lt;0,IF(AA699&gt;=0,DEGREES(ATAN(AA699/Z699))+180,DEGREES(ATAN(AA699/Z699))-180),IF(AA699&gt;0,90,IF(AA699&lt;0,-90,0)))))</f>
        <v/>
      </c>
      <c r="AD699" s="195">
        <f>IF(B699="","",LOG10(B699))</f>
        <v/>
      </c>
      <c r="AE699" s="195">
        <f>IF(AB699="","",LOG10(MAX(AB699,1E-12)))</f>
        <v/>
      </c>
      <c r="AF699" s="195">
        <f>IF(B699="","",SQRT(P699^2+Q699^2))</f>
        <v/>
      </c>
      <c r="AG699" s="195">
        <f>IF(B699="","",SQRT(R699^2+S699^2))</f>
        <v/>
      </c>
    </row>
    <row r="700">
      <c r="A700" t="n">
        <v>697</v>
      </c>
      <c r="B700" s="196">
        <f>IF(A700&lt;='入力・概要'!$B$40,10^(LOG10('入力・概要'!$B$38)+(A700-1)*(LOG10('入力・概要'!$B$39)-LOG10('入力・概要'!$B$38))/('入力・概要'!$B$40-1)),"")</f>
        <v/>
      </c>
      <c r="C700" s="195">
        <f>IF(B700="","",2*PI()*B700)</f>
        <v/>
      </c>
      <c r="D700" s="195">
        <f>IF(B700="","",ATANH(MIN(0.999999,'入力・概要'!$E$20/'入力・概要'!$E$9))+'入力・概要'!$B$20*SQRT(B700/1E6)+E700*'入力・概要'!$B$15/2)</f>
        <v/>
      </c>
      <c r="E700" s="195">
        <f>IF(B700="","",C700*('入力・概要'!$E$11*1E-9))</f>
        <v/>
      </c>
      <c r="F700" s="195">
        <f>IF(B700="","",SINH(2*D700)/(COSH(2*D700)+COS(2*E700)))</f>
        <v/>
      </c>
      <c r="G700" s="195">
        <f>IF(B700="","",SIN(2*E700)/(COSH(2*D700)+COS(2*E700)))</f>
        <v/>
      </c>
      <c r="H700" s="195">
        <f>IF(B700="","",ATANH(MIN(0.999999,'入力・概要'!$E$21/'入力・概要'!$E$15))+'入力・概要'!$B$21*SQRT(B700/1E6)+I700*'入力・概要'!$B$16/2)</f>
        <v/>
      </c>
      <c r="I700" s="195">
        <f>IF(B700="","",C700*('入力・概要'!$E$17*1E-9))</f>
        <v/>
      </c>
      <c r="J700" s="195">
        <f>IF(B700="","",SINH(2*H700)/(COSH(2*H700)+COS(2*I700)))</f>
        <v/>
      </c>
      <c r="K700" s="195">
        <f>IF(B700="","",SIN(2*I700)/(COSH(2*H700)+COS(2*I700)))</f>
        <v/>
      </c>
      <c r="L700" s="195">
        <f>IF(B700="","",'入力・概要'!$B$25)</f>
        <v/>
      </c>
      <c r="M700" s="195">
        <f>IF(B700="","",C700*'入力・概要'!$B$26*1E-9-1/(C700*'入力・概要'!$B$24*1E-6))</f>
        <v/>
      </c>
      <c r="N700" s="195">
        <f>IF(B700="","",'入力・概要'!$B$28)</f>
        <v/>
      </c>
      <c r="O700" s="195">
        <f>IF(B700="","",C700*'入力・概要'!$B$29*1E-9-1/(C700*'入力・概要'!$B$27*1E-6))</f>
        <v/>
      </c>
      <c r="P700" s="195">
        <f>IF(B700="","",((L700*N700-M700*O700)*(L700+N700)+(L700*O700+M700*N700)*(M700+O700))/((L700+N700)^2+(M700+O700)^2))</f>
        <v/>
      </c>
      <c r="Q700" s="195">
        <f>IF(B700="","",((L700*O700+M700*N700)*(L700+N700)-(L700*N700-M700*O700)*(M700+O700))/((L700+N700)^2+(M700+O700)^2))</f>
        <v/>
      </c>
      <c r="R700" s="195">
        <f>IF(B700="","",'入力・概要'!$E$15*J700)</f>
        <v/>
      </c>
      <c r="S700" s="195">
        <f>IF(B700="","",'入力・概要'!$E$15*K700)</f>
        <v/>
      </c>
      <c r="T700" s="195">
        <f>IF(B700="","",P700+R700)</f>
        <v/>
      </c>
      <c r="U700" s="195">
        <f>IF(B700="","",Q700+S700)</f>
        <v/>
      </c>
      <c r="V700" s="195">
        <f>IF(B700="","",T700+'入力・概要'!$E$9*F700)</f>
        <v/>
      </c>
      <c r="W700" s="195">
        <f>IF(B700="","",U700+'入力・概要'!$E$9*G700)</f>
        <v/>
      </c>
      <c r="X700" s="195">
        <f>IF(B700="","",'入力・概要'!$E$9+T700*F700-U700*G700)</f>
        <v/>
      </c>
      <c r="Y700" s="195">
        <f>IF(B700="","",T700*G700+U700*F700)</f>
        <v/>
      </c>
      <c r="Z700" s="195">
        <f>IF(B700="","",'入力・概要'!$E$9*(V700*X700+W700*Y700)/(X700^2+Y700^2)+'入力・概要'!$B$36)</f>
        <v/>
      </c>
      <c r="AA700" s="195">
        <f>IF(B700="","",'入力・概要'!$E$9*(W700*X700-V700*Y700)/(X700^2+Y700^2)+C700*'入力・概要'!$B$37*1E-9)</f>
        <v/>
      </c>
      <c r="AB700" s="195">
        <f>IF(B700="","",SQRT(Z700^2+AA700^2))</f>
        <v/>
      </c>
      <c r="AC700" s="195">
        <f>IF(B700="","",IF(Z700&gt;0,DEGREES(ATAN(AA700/Z700)),IF(Z700&lt;0,IF(AA700&gt;=0,DEGREES(ATAN(AA700/Z700))+180,DEGREES(ATAN(AA700/Z700))-180),IF(AA700&gt;0,90,IF(AA700&lt;0,-90,0)))))</f>
        <v/>
      </c>
      <c r="AD700" s="195">
        <f>IF(B700="","",LOG10(B700))</f>
        <v/>
      </c>
      <c r="AE700" s="195">
        <f>IF(AB700="","",LOG10(MAX(AB700,1E-12)))</f>
        <v/>
      </c>
      <c r="AF700" s="195">
        <f>IF(B700="","",SQRT(P700^2+Q700^2))</f>
        <v/>
      </c>
      <c r="AG700" s="195">
        <f>IF(B700="","",SQRT(R700^2+S700^2))</f>
        <v/>
      </c>
    </row>
    <row r="701">
      <c r="A701" t="n">
        <v>698</v>
      </c>
      <c r="B701" s="196">
        <f>IF(A701&lt;='入力・概要'!$B$40,10^(LOG10('入力・概要'!$B$38)+(A701-1)*(LOG10('入力・概要'!$B$39)-LOG10('入力・概要'!$B$38))/('入力・概要'!$B$40-1)),"")</f>
        <v/>
      </c>
      <c r="C701" s="195">
        <f>IF(B701="","",2*PI()*B701)</f>
        <v/>
      </c>
      <c r="D701" s="195">
        <f>IF(B701="","",ATANH(MIN(0.999999,'入力・概要'!$E$20/'入力・概要'!$E$9))+'入力・概要'!$B$20*SQRT(B701/1E6)+E701*'入力・概要'!$B$15/2)</f>
        <v/>
      </c>
      <c r="E701" s="195">
        <f>IF(B701="","",C701*('入力・概要'!$E$11*1E-9))</f>
        <v/>
      </c>
      <c r="F701" s="195">
        <f>IF(B701="","",SINH(2*D701)/(COSH(2*D701)+COS(2*E701)))</f>
        <v/>
      </c>
      <c r="G701" s="195">
        <f>IF(B701="","",SIN(2*E701)/(COSH(2*D701)+COS(2*E701)))</f>
        <v/>
      </c>
      <c r="H701" s="195">
        <f>IF(B701="","",ATANH(MIN(0.999999,'入力・概要'!$E$21/'入力・概要'!$E$15))+'入力・概要'!$B$21*SQRT(B701/1E6)+I701*'入力・概要'!$B$16/2)</f>
        <v/>
      </c>
      <c r="I701" s="195">
        <f>IF(B701="","",C701*('入力・概要'!$E$17*1E-9))</f>
        <v/>
      </c>
      <c r="J701" s="195">
        <f>IF(B701="","",SINH(2*H701)/(COSH(2*H701)+COS(2*I701)))</f>
        <v/>
      </c>
      <c r="K701" s="195">
        <f>IF(B701="","",SIN(2*I701)/(COSH(2*H701)+COS(2*I701)))</f>
        <v/>
      </c>
      <c r="L701" s="195">
        <f>IF(B701="","",'入力・概要'!$B$25)</f>
        <v/>
      </c>
      <c r="M701" s="195">
        <f>IF(B701="","",C701*'入力・概要'!$B$26*1E-9-1/(C701*'入力・概要'!$B$24*1E-6))</f>
        <v/>
      </c>
      <c r="N701" s="195">
        <f>IF(B701="","",'入力・概要'!$B$28)</f>
        <v/>
      </c>
      <c r="O701" s="195">
        <f>IF(B701="","",C701*'入力・概要'!$B$29*1E-9-1/(C701*'入力・概要'!$B$27*1E-6))</f>
        <v/>
      </c>
      <c r="P701" s="195">
        <f>IF(B701="","",((L701*N701-M701*O701)*(L701+N701)+(L701*O701+M701*N701)*(M701+O701))/((L701+N701)^2+(M701+O701)^2))</f>
        <v/>
      </c>
      <c r="Q701" s="195">
        <f>IF(B701="","",((L701*O701+M701*N701)*(L701+N701)-(L701*N701-M701*O701)*(M701+O701))/((L701+N701)^2+(M701+O701)^2))</f>
        <v/>
      </c>
      <c r="R701" s="195">
        <f>IF(B701="","",'入力・概要'!$E$15*J701)</f>
        <v/>
      </c>
      <c r="S701" s="195">
        <f>IF(B701="","",'入力・概要'!$E$15*K701)</f>
        <v/>
      </c>
      <c r="T701" s="195">
        <f>IF(B701="","",P701+R701)</f>
        <v/>
      </c>
      <c r="U701" s="195">
        <f>IF(B701="","",Q701+S701)</f>
        <v/>
      </c>
      <c r="V701" s="195">
        <f>IF(B701="","",T701+'入力・概要'!$E$9*F701)</f>
        <v/>
      </c>
      <c r="W701" s="195">
        <f>IF(B701="","",U701+'入力・概要'!$E$9*G701)</f>
        <v/>
      </c>
      <c r="X701" s="195">
        <f>IF(B701="","",'入力・概要'!$E$9+T701*F701-U701*G701)</f>
        <v/>
      </c>
      <c r="Y701" s="195">
        <f>IF(B701="","",T701*G701+U701*F701)</f>
        <v/>
      </c>
      <c r="Z701" s="195">
        <f>IF(B701="","",'入力・概要'!$E$9*(V701*X701+W701*Y701)/(X701^2+Y701^2)+'入力・概要'!$B$36)</f>
        <v/>
      </c>
      <c r="AA701" s="195">
        <f>IF(B701="","",'入力・概要'!$E$9*(W701*X701-V701*Y701)/(X701^2+Y701^2)+C701*'入力・概要'!$B$37*1E-9)</f>
        <v/>
      </c>
      <c r="AB701" s="195">
        <f>IF(B701="","",SQRT(Z701^2+AA701^2))</f>
        <v/>
      </c>
      <c r="AC701" s="195">
        <f>IF(B701="","",IF(Z701&gt;0,DEGREES(ATAN(AA701/Z701)),IF(Z701&lt;0,IF(AA701&gt;=0,DEGREES(ATAN(AA701/Z701))+180,DEGREES(ATAN(AA701/Z701))-180),IF(AA701&gt;0,90,IF(AA701&lt;0,-90,0)))))</f>
        <v/>
      </c>
      <c r="AD701" s="195">
        <f>IF(B701="","",LOG10(B701))</f>
        <v/>
      </c>
      <c r="AE701" s="195">
        <f>IF(AB701="","",LOG10(MAX(AB701,1E-12)))</f>
        <v/>
      </c>
      <c r="AF701" s="195">
        <f>IF(B701="","",SQRT(P701^2+Q701^2))</f>
        <v/>
      </c>
      <c r="AG701" s="195">
        <f>IF(B701="","",SQRT(R701^2+S701^2))</f>
        <v/>
      </c>
    </row>
    <row r="702">
      <c r="A702" t="n">
        <v>699</v>
      </c>
      <c r="B702" s="196">
        <f>IF(A702&lt;='入力・概要'!$B$40,10^(LOG10('入力・概要'!$B$38)+(A702-1)*(LOG10('入力・概要'!$B$39)-LOG10('入力・概要'!$B$38))/('入力・概要'!$B$40-1)),"")</f>
        <v/>
      </c>
      <c r="C702" s="195">
        <f>IF(B702="","",2*PI()*B702)</f>
        <v/>
      </c>
      <c r="D702" s="195">
        <f>IF(B702="","",ATANH(MIN(0.999999,'入力・概要'!$E$20/'入力・概要'!$E$9))+'入力・概要'!$B$20*SQRT(B702/1E6)+E702*'入力・概要'!$B$15/2)</f>
        <v/>
      </c>
      <c r="E702" s="195">
        <f>IF(B702="","",C702*('入力・概要'!$E$11*1E-9))</f>
        <v/>
      </c>
      <c r="F702" s="195">
        <f>IF(B702="","",SINH(2*D702)/(COSH(2*D702)+COS(2*E702)))</f>
        <v/>
      </c>
      <c r="G702" s="195">
        <f>IF(B702="","",SIN(2*E702)/(COSH(2*D702)+COS(2*E702)))</f>
        <v/>
      </c>
      <c r="H702" s="195">
        <f>IF(B702="","",ATANH(MIN(0.999999,'入力・概要'!$E$21/'入力・概要'!$E$15))+'入力・概要'!$B$21*SQRT(B702/1E6)+I702*'入力・概要'!$B$16/2)</f>
        <v/>
      </c>
      <c r="I702" s="195">
        <f>IF(B702="","",C702*('入力・概要'!$E$17*1E-9))</f>
        <v/>
      </c>
      <c r="J702" s="195">
        <f>IF(B702="","",SINH(2*H702)/(COSH(2*H702)+COS(2*I702)))</f>
        <v/>
      </c>
      <c r="K702" s="195">
        <f>IF(B702="","",SIN(2*I702)/(COSH(2*H702)+COS(2*I702)))</f>
        <v/>
      </c>
      <c r="L702" s="195">
        <f>IF(B702="","",'入力・概要'!$B$25)</f>
        <v/>
      </c>
      <c r="M702" s="195">
        <f>IF(B702="","",C702*'入力・概要'!$B$26*1E-9-1/(C702*'入力・概要'!$B$24*1E-6))</f>
        <v/>
      </c>
      <c r="N702" s="195">
        <f>IF(B702="","",'入力・概要'!$B$28)</f>
        <v/>
      </c>
      <c r="O702" s="195">
        <f>IF(B702="","",C702*'入力・概要'!$B$29*1E-9-1/(C702*'入力・概要'!$B$27*1E-6))</f>
        <v/>
      </c>
      <c r="P702" s="195">
        <f>IF(B702="","",((L702*N702-M702*O702)*(L702+N702)+(L702*O702+M702*N702)*(M702+O702))/((L702+N702)^2+(M702+O702)^2))</f>
        <v/>
      </c>
      <c r="Q702" s="195">
        <f>IF(B702="","",((L702*O702+M702*N702)*(L702+N702)-(L702*N702-M702*O702)*(M702+O702))/((L702+N702)^2+(M702+O702)^2))</f>
        <v/>
      </c>
      <c r="R702" s="195">
        <f>IF(B702="","",'入力・概要'!$E$15*J702)</f>
        <v/>
      </c>
      <c r="S702" s="195">
        <f>IF(B702="","",'入力・概要'!$E$15*K702)</f>
        <v/>
      </c>
      <c r="T702" s="195">
        <f>IF(B702="","",P702+R702)</f>
        <v/>
      </c>
      <c r="U702" s="195">
        <f>IF(B702="","",Q702+S702)</f>
        <v/>
      </c>
      <c r="V702" s="195">
        <f>IF(B702="","",T702+'入力・概要'!$E$9*F702)</f>
        <v/>
      </c>
      <c r="W702" s="195">
        <f>IF(B702="","",U702+'入力・概要'!$E$9*G702)</f>
        <v/>
      </c>
      <c r="X702" s="195">
        <f>IF(B702="","",'入力・概要'!$E$9+T702*F702-U702*G702)</f>
        <v/>
      </c>
      <c r="Y702" s="195">
        <f>IF(B702="","",T702*G702+U702*F702)</f>
        <v/>
      </c>
      <c r="Z702" s="195">
        <f>IF(B702="","",'入力・概要'!$E$9*(V702*X702+W702*Y702)/(X702^2+Y702^2)+'入力・概要'!$B$36)</f>
        <v/>
      </c>
      <c r="AA702" s="195">
        <f>IF(B702="","",'入力・概要'!$E$9*(W702*X702-V702*Y702)/(X702^2+Y702^2)+C702*'入力・概要'!$B$37*1E-9)</f>
        <v/>
      </c>
      <c r="AB702" s="195">
        <f>IF(B702="","",SQRT(Z702^2+AA702^2))</f>
        <v/>
      </c>
      <c r="AC702" s="195">
        <f>IF(B702="","",IF(Z702&gt;0,DEGREES(ATAN(AA702/Z702)),IF(Z702&lt;0,IF(AA702&gt;=0,DEGREES(ATAN(AA702/Z702))+180,DEGREES(ATAN(AA702/Z702))-180),IF(AA702&gt;0,90,IF(AA702&lt;0,-90,0)))))</f>
        <v/>
      </c>
      <c r="AD702" s="195">
        <f>IF(B702="","",LOG10(B702))</f>
        <v/>
      </c>
      <c r="AE702" s="195">
        <f>IF(AB702="","",LOG10(MAX(AB702,1E-12)))</f>
        <v/>
      </c>
      <c r="AF702" s="195">
        <f>IF(B702="","",SQRT(P702^2+Q702^2))</f>
        <v/>
      </c>
      <c r="AG702" s="195">
        <f>IF(B702="","",SQRT(R702^2+S702^2))</f>
        <v/>
      </c>
    </row>
    <row r="703">
      <c r="A703" t="n">
        <v>700</v>
      </c>
      <c r="B703" s="196">
        <f>IF(A703&lt;='入力・概要'!$B$40,10^(LOG10('入力・概要'!$B$38)+(A703-1)*(LOG10('入力・概要'!$B$39)-LOG10('入力・概要'!$B$38))/('入力・概要'!$B$40-1)),"")</f>
        <v/>
      </c>
      <c r="C703" s="195">
        <f>IF(B703="","",2*PI()*B703)</f>
        <v/>
      </c>
      <c r="D703" s="195">
        <f>IF(B703="","",ATANH(MIN(0.999999,'入力・概要'!$E$20/'入力・概要'!$E$9))+'入力・概要'!$B$20*SQRT(B703/1E6)+E703*'入力・概要'!$B$15/2)</f>
        <v/>
      </c>
      <c r="E703" s="195">
        <f>IF(B703="","",C703*('入力・概要'!$E$11*1E-9))</f>
        <v/>
      </c>
      <c r="F703" s="195">
        <f>IF(B703="","",SINH(2*D703)/(COSH(2*D703)+COS(2*E703)))</f>
        <v/>
      </c>
      <c r="G703" s="195">
        <f>IF(B703="","",SIN(2*E703)/(COSH(2*D703)+COS(2*E703)))</f>
        <v/>
      </c>
      <c r="H703" s="195">
        <f>IF(B703="","",ATANH(MIN(0.999999,'入力・概要'!$E$21/'入力・概要'!$E$15))+'入力・概要'!$B$21*SQRT(B703/1E6)+I703*'入力・概要'!$B$16/2)</f>
        <v/>
      </c>
      <c r="I703" s="195">
        <f>IF(B703="","",C703*('入力・概要'!$E$17*1E-9))</f>
        <v/>
      </c>
      <c r="J703" s="195">
        <f>IF(B703="","",SINH(2*H703)/(COSH(2*H703)+COS(2*I703)))</f>
        <v/>
      </c>
      <c r="K703" s="195">
        <f>IF(B703="","",SIN(2*I703)/(COSH(2*H703)+COS(2*I703)))</f>
        <v/>
      </c>
      <c r="L703" s="195">
        <f>IF(B703="","",'入力・概要'!$B$25)</f>
        <v/>
      </c>
      <c r="M703" s="195">
        <f>IF(B703="","",C703*'入力・概要'!$B$26*1E-9-1/(C703*'入力・概要'!$B$24*1E-6))</f>
        <v/>
      </c>
      <c r="N703" s="195">
        <f>IF(B703="","",'入力・概要'!$B$28)</f>
        <v/>
      </c>
      <c r="O703" s="195">
        <f>IF(B703="","",C703*'入力・概要'!$B$29*1E-9-1/(C703*'入力・概要'!$B$27*1E-6))</f>
        <v/>
      </c>
      <c r="P703" s="195">
        <f>IF(B703="","",((L703*N703-M703*O703)*(L703+N703)+(L703*O703+M703*N703)*(M703+O703))/((L703+N703)^2+(M703+O703)^2))</f>
        <v/>
      </c>
      <c r="Q703" s="195">
        <f>IF(B703="","",((L703*O703+M703*N703)*(L703+N703)-(L703*N703-M703*O703)*(M703+O703))/((L703+N703)^2+(M703+O703)^2))</f>
        <v/>
      </c>
      <c r="R703" s="195">
        <f>IF(B703="","",'入力・概要'!$E$15*J703)</f>
        <v/>
      </c>
      <c r="S703" s="195">
        <f>IF(B703="","",'入力・概要'!$E$15*K703)</f>
        <v/>
      </c>
      <c r="T703" s="195">
        <f>IF(B703="","",P703+R703)</f>
        <v/>
      </c>
      <c r="U703" s="195">
        <f>IF(B703="","",Q703+S703)</f>
        <v/>
      </c>
      <c r="V703" s="195">
        <f>IF(B703="","",T703+'入力・概要'!$E$9*F703)</f>
        <v/>
      </c>
      <c r="W703" s="195">
        <f>IF(B703="","",U703+'入力・概要'!$E$9*G703)</f>
        <v/>
      </c>
      <c r="X703" s="195">
        <f>IF(B703="","",'入力・概要'!$E$9+T703*F703-U703*G703)</f>
        <v/>
      </c>
      <c r="Y703" s="195">
        <f>IF(B703="","",T703*G703+U703*F703)</f>
        <v/>
      </c>
      <c r="Z703" s="195">
        <f>IF(B703="","",'入力・概要'!$E$9*(V703*X703+W703*Y703)/(X703^2+Y703^2)+'入力・概要'!$B$36)</f>
        <v/>
      </c>
      <c r="AA703" s="195">
        <f>IF(B703="","",'入力・概要'!$E$9*(W703*X703-V703*Y703)/(X703^2+Y703^2)+C703*'入力・概要'!$B$37*1E-9)</f>
        <v/>
      </c>
      <c r="AB703" s="195">
        <f>IF(B703="","",SQRT(Z703^2+AA703^2))</f>
        <v/>
      </c>
      <c r="AC703" s="195">
        <f>IF(B703="","",IF(Z703&gt;0,DEGREES(ATAN(AA703/Z703)),IF(Z703&lt;0,IF(AA703&gt;=0,DEGREES(ATAN(AA703/Z703))+180,DEGREES(ATAN(AA703/Z703))-180),IF(AA703&gt;0,90,IF(AA703&lt;0,-90,0)))))</f>
        <v/>
      </c>
      <c r="AD703" s="195">
        <f>IF(B703="","",LOG10(B703))</f>
        <v/>
      </c>
      <c r="AE703" s="195">
        <f>IF(AB703="","",LOG10(MAX(AB703,1E-12)))</f>
        <v/>
      </c>
      <c r="AF703" s="195">
        <f>IF(B703="","",SQRT(P703^2+Q703^2))</f>
        <v/>
      </c>
      <c r="AG703" s="195">
        <f>IF(B703="","",SQRT(R703^2+S703^2))</f>
        <v/>
      </c>
    </row>
    <row r="704">
      <c r="A704" t="n">
        <v>701</v>
      </c>
      <c r="B704" s="196">
        <f>IF(A704&lt;='入力・概要'!$B$40,10^(LOG10('入力・概要'!$B$38)+(A704-1)*(LOG10('入力・概要'!$B$39)-LOG10('入力・概要'!$B$38))/('入力・概要'!$B$40-1)),"")</f>
        <v/>
      </c>
      <c r="C704" s="195">
        <f>IF(B704="","",2*PI()*B704)</f>
        <v/>
      </c>
      <c r="D704" s="195">
        <f>IF(B704="","",ATANH(MIN(0.999999,'入力・概要'!$E$20/'入力・概要'!$E$9))+'入力・概要'!$B$20*SQRT(B704/1E6)+E704*'入力・概要'!$B$15/2)</f>
        <v/>
      </c>
      <c r="E704" s="195">
        <f>IF(B704="","",C704*('入力・概要'!$E$11*1E-9))</f>
        <v/>
      </c>
      <c r="F704" s="195">
        <f>IF(B704="","",SINH(2*D704)/(COSH(2*D704)+COS(2*E704)))</f>
        <v/>
      </c>
      <c r="G704" s="195">
        <f>IF(B704="","",SIN(2*E704)/(COSH(2*D704)+COS(2*E704)))</f>
        <v/>
      </c>
      <c r="H704" s="195">
        <f>IF(B704="","",ATANH(MIN(0.999999,'入力・概要'!$E$21/'入力・概要'!$E$15))+'入力・概要'!$B$21*SQRT(B704/1E6)+I704*'入力・概要'!$B$16/2)</f>
        <v/>
      </c>
      <c r="I704" s="195">
        <f>IF(B704="","",C704*('入力・概要'!$E$17*1E-9))</f>
        <v/>
      </c>
      <c r="J704" s="195">
        <f>IF(B704="","",SINH(2*H704)/(COSH(2*H704)+COS(2*I704)))</f>
        <v/>
      </c>
      <c r="K704" s="195">
        <f>IF(B704="","",SIN(2*I704)/(COSH(2*H704)+COS(2*I704)))</f>
        <v/>
      </c>
      <c r="L704" s="195">
        <f>IF(B704="","",'入力・概要'!$B$25)</f>
        <v/>
      </c>
      <c r="M704" s="195">
        <f>IF(B704="","",C704*'入力・概要'!$B$26*1E-9-1/(C704*'入力・概要'!$B$24*1E-6))</f>
        <v/>
      </c>
      <c r="N704" s="195">
        <f>IF(B704="","",'入力・概要'!$B$28)</f>
        <v/>
      </c>
      <c r="O704" s="195">
        <f>IF(B704="","",C704*'入力・概要'!$B$29*1E-9-1/(C704*'入力・概要'!$B$27*1E-6))</f>
        <v/>
      </c>
      <c r="P704" s="195">
        <f>IF(B704="","",((L704*N704-M704*O704)*(L704+N704)+(L704*O704+M704*N704)*(M704+O704))/((L704+N704)^2+(M704+O704)^2))</f>
        <v/>
      </c>
      <c r="Q704" s="195">
        <f>IF(B704="","",((L704*O704+M704*N704)*(L704+N704)-(L704*N704-M704*O704)*(M704+O704))/((L704+N704)^2+(M704+O704)^2))</f>
        <v/>
      </c>
      <c r="R704" s="195">
        <f>IF(B704="","",'入力・概要'!$E$15*J704)</f>
        <v/>
      </c>
      <c r="S704" s="195">
        <f>IF(B704="","",'入力・概要'!$E$15*K704)</f>
        <v/>
      </c>
      <c r="T704" s="195">
        <f>IF(B704="","",P704+R704)</f>
        <v/>
      </c>
      <c r="U704" s="195">
        <f>IF(B704="","",Q704+S704)</f>
        <v/>
      </c>
      <c r="V704" s="195">
        <f>IF(B704="","",T704+'入力・概要'!$E$9*F704)</f>
        <v/>
      </c>
      <c r="W704" s="195">
        <f>IF(B704="","",U704+'入力・概要'!$E$9*G704)</f>
        <v/>
      </c>
      <c r="X704" s="195">
        <f>IF(B704="","",'入力・概要'!$E$9+T704*F704-U704*G704)</f>
        <v/>
      </c>
      <c r="Y704" s="195">
        <f>IF(B704="","",T704*G704+U704*F704)</f>
        <v/>
      </c>
      <c r="Z704" s="195">
        <f>IF(B704="","",'入力・概要'!$E$9*(V704*X704+W704*Y704)/(X704^2+Y704^2)+'入力・概要'!$B$36)</f>
        <v/>
      </c>
      <c r="AA704" s="195">
        <f>IF(B704="","",'入力・概要'!$E$9*(W704*X704-V704*Y704)/(X704^2+Y704^2)+C704*'入力・概要'!$B$37*1E-9)</f>
        <v/>
      </c>
      <c r="AB704" s="195">
        <f>IF(B704="","",SQRT(Z704^2+AA704^2))</f>
        <v/>
      </c>
      <c r="AC704" s="195">
        <f>IF(B704="","",IF(Z704&gt;0,DEGREES(ATAN(AA704/Z704)),IF(Z704&lt;0,IF(AA704&gt;=0,DEGREES(ATAN(AA704/Z704))+180,DEGREES(ATAN(AA704/Z704))-180),IF(AA704&gt;0,90,IF(AA704&lt;0,-90,0)))))</f>
        <v/>
      </c>
      <c r="AD704" s="195">
        <f>IF(B704="","",LOG10(B704))</f>
        <v/>
      </c>
      <c r="AE704" s="195">
        <f>IF(AB704="","",LOG10(MAX(AB704,1E-12)))</f>
        <v/>
      </c>
      <c r="AF704" s="195">
        <f>IF(B704="","",SQRT(P704^2+Q704^2))</f>
        <v/>
      </c>
      <c r="AG704" s="195">
        <f>IF(B704="","",SQRT(R704^2+S704^2))</f>
        <v/>
      </c>
    </row>
    <row r="705">
      <c r="A705" t="n">
        <v>702</v>
      </c>
      <c r="B705" s="196">
        <f>IF(A705&lt;='入力・概要'!$B$40,10^(LOG10('入力・概要'!$B$38)+(A705-1)*(LOG10('入力・概要'!$B$39)-LOG10('入力・概要'!$B$38))/('入力・概要'!$B$40-1)),"")</f>
        <v/>
      </c>
      <c r="C705" s="195">
        <f>IF(B705="","",2*PI()*B705)</f>
        <v/>
      </c>
      <c r="D705" s="195">
        <f>IF(B705="","",ATANH(MIN(0.999999,'入力・概要'!$E$20/'入力・概要'!$E$9))+'入力・概要'!$B$20*SQRT(B705/1E6)+E705*'入力・概要'!$B$15/2)</f>
        <v/>
      </c>
      <c r="E705" s="195">
        <f>IF(B705="","",C705*('入力・概要'!$E$11*1E-9))</f>
        <v/>
      </c>
      <c r="F705" s="195">
        <f>IF(B705="","",SINH(2*D705)/(COSH(2*D705)+COS(2*E705)))</f>
        <v/>
      </c>
      <c r="G705" s="195">
        <f>IF(B705="","",SIN(2*E705)/(COSH(2*D705)+COS(2*E705)))</f>
        <v/>
      </c>
      <c r="H705" s="195">
        <f>IF(B705="","",ATANH(MIN(0.999999,'入力・概要'!$E$21/'入力・概要'!$E$15))+'入力・概要'!$B$21*SQRT(B705/1E6)+I705*'入力・概要'!$B$16/2)</f>
        <v/>
      </c>
      <c r="I705" s="195">
        <f>IF(B705="","",C705*('入力・概要'!$E$17*1E-9))</f>
        <v/>
      </c>
      <c r="J705" s="195">
        <f>IF(B705="","",SINH(2*H705)/(COSH(2*H705)+COS(2*I705)))</f>
        <v/>
      </c>
      <c r="K705" s="195">
        <f>IF(B705="","",SIN(2*I705)/(COSH(2*H705)+COS(2*I705)))</f>
        <v/>
      </c>
      <c r="L705" s="195">
        <f>IF(B705="","",'入力・概要'!$B$25)</f>
        <v/>
      </c>
      <c r="M705" s="195">
        <f>IF(B705="","",C705*'入力・概要'!$B$26*1E-9-1/(C705*'入力・概要'!$B$24*1E-6))</f>
        <v/>
      </c>
      <c r="N705" s="195">
        <f>IF(B705="","",'入力・概要'!$B$28)</f>
        <v/>
      </c>
      <c r="O705" s="195">
        <f>IF(B705="","",C705*'入力・概要'!$B$29*1E-9-1/(C705*'入力・概要'!$B$27*1E-6))</f>
        <v/>
      </c>
      <c r="P705" s="195">
        <f>IF(B705="","",((L705*N705-M705*O705)*(L705+N705)+(L705*O705+M705*N705)*(M705+O705))/((L705+N705)^2+(M705+O705)^2))</f>
        <v/>
      </c>
      <c r="Q705" s="195">
        <f>IF(B705="","",((L705*O705+M705*N705)*(L705+N705)-(L705*N705-M705*O705)*(M705+O705))/((L705+N705)^2+(M705+O705)^2))</f>
        <v/>
      </c>
      <c r="R705" s="195">
        <f>IF(B705="","",'入力・概要'!$E$15*J705)</f>
        <v/>
      </c>
      <c r="S705" s="195">
        <f>IF(B705="","",'入力・概要'!$E$15*K705)</f>
        <v/>
      </c>
      <c r="T705" s="195">
        <f>IF(B705="","",P705+R705)</f>
        <v/>
      </c>
      <c r="U705" s="195">
        <f>IF(B705="","",Q705+S705)</f>
        <v/>
      </c>
      <c r="V705" s="195">
        <f>IF(B705="","",T705+'入力・概要'!$E$9*F705)</f>
        <v/>
      </c>
      <c r="W705" s="195">
        <f>IF(B705="","",U705+'入力・概要'!$E$9*G705)</f>
        <v/>
      </c>
      <c r="X705" s="195">
        <f>IF(B705="","",'入力・概要'!$E$9+T705*F705-U705*G705)</f>
        <v/>
      </c>
      <c r="Y705" s="195">
        <f>IF(B705="","",T705*G705+U705*F705)</f>
        <v/>
      </c>
      <c r="Z705" s="195">
        <f>IF(B705="","",'入力・概要'!$E$9*(V705*X705+W705*Y705)/(X705^2+Y705^2)+'入力・概要'!$B$36)</f>
        <v/>
      </c>
      <c r="AA705" s="195">
        <f>IF(B705="","",'入力・概要'!$E$9*(W705*X705-V705*Y705)/(X705^2+Y705^2)+C705*'入力・概要'!$B$37*1E-9)</f>
        <v/>
      </c>
      <c r="AB705" s="195">
        <f>IF(B705="","",SQRT(Z705^2+AA705^2))</f>
        <v/>
      </c>
      <c r="AC705" s="195">
        <f>IF(B705="","",IF(Z705&gt;0,DEGREES(ATAN(AA705/Z705)),IF(Z705&lt;0,IF(AA705&gt;=0,DEGREES(ATAN(AA705/Z705))+180,DEGREES(ATAN(AA705/Z705))-180),IF(AA705&gt;0,90,IF(AA705&lt;0,-90,0)))))</f>
        <v/>
      </c>
      <c r="AD705" s="195">
        <f>IF(B705="","",LOG10(B705))</f>
        <v/>
      </c>
      <c r="AE705" s="195">
        <f>IF(AB705="","",LOG10(MAX(AB705,1E-12)))</f>
        <v/>
      </c>
      <c r="AF705" s="195">
        <f>IF(B705="","",SQRT(P705^2+Q705^2))</f>
        <v/>
      </c>
      <c r="AG705" s="195">
        <f>IF(B705="","",SQRT(R705^2+S705^2))</f>
        <v/>
      </c>
    </row>
    <row r="706">
      <c r="A706" t="n">
        <v>703</v>
      </c>
      <c r="B706" s="196">
        <f>IF(A706&lt;='入力・概要'!$B$40,10^(LOG10('入力・概要'!$B$38)+(A706-1)*(LOG10('入力・概要'!$B$39)-LOG10('入力・概要'!$B$38))/('入力・概要'!$B$40-1)),"")</f>
        <v/>
      </c>
      <c r="C706" s="195">
        <f>IF(B706="","",2*PI()*B706)</f>
        <v/>
      </c>
      <c r="D706" s="195">
        <f>IF(B706="","",ATANH(MIN(0.999999,'入力・概要'!$E$20/'入力・概要'!$E$9))+'入力・概要'!$B$20*SQRT(B706/1E6)+E706*'入力・概要'!$B$15/2)</f>
        <v/>
      </c>
      <c r="E706" s="195">
        <f>IF(B706="","",C706*('入力・概要'!$E$11*1E-9))</f>
        <v/>
      </c>
      <c r="F706" s="195">
        <f>IF(B706="","",SINH(2*D706)/(COSH(2*D706)+COS(2*E706)))</f>
        <v/>
      </c>
      <c r="G706" s="195">
        <f>IF(B706="","",SIN(2*E706)/(COSH(2*D706)+COS(2*E706)))</f>
        <v/>
      </c>
      <c r="H706" s="195">
        <f>IF(B706="","",ATANH(MIN(0.999999,'入力・概要'!$E$21/'入力・概要'!$E$15))+'入力・概要'!$B$21*SQRT(B706/1E6)+I706*'入力・概要'!$B$16/2)</f>
        <v/>
      </c>
      <c r="I706" s="195">
        <f>IF(B706="","",C706*('入力・概要'!$E$17*1E-9))</f>
        <v/>
      </c>
      <c r="J706" s="195">
        <f>IF(B706="","",SINH(2*H706)/(COSH(2*H706)+COS(2*I706)))</f>
        <v/>
      </c>
      <c r="K706" s="195">
        <f>IF(B706="","",SIN(2*I706)/(COSH(2*H706)+COS(2*I706)))</f>
        <v/>
      </c>
      <c r="L706" s="195">
        <f>IF(B706="","",'入力・概要'!$B$25)</f>
        <v/>
      </c>
      <c r="M706" s="195">
        <f>IF(B706="","",C706*'入力・概要'!$B$26*1E-9-1/(C706*'入力・概要'!$B$24*1E-6))</f>
        <v/>
      </c>
      <c r="N706" s="195">
        <f>IF(B706="","",'入力・概要'!$B$28)</f>
        <v/>
      </c>
      <c r="O706" s="195">
        <f>IF(B706="","",C706*'入力・概要'!$B$29*1E-9-1/(C706*'入力・概要'!$B$27*1E-6))</f>
        <v/>
      </c>
      <c r="P706" s="195">
        <f>IF(B706="","",((L706*N706-M706*O706)*(L706+N706)+(L706*O706+M706*N706)*(M706+O706))/((L706+N706)^2+(M706+O706)^2))</f>
        <v/>
      </c>
      <c r="Q706" s="195">
        <f>IF(B706="","",((L706*O706+M706*N706)*(L706+N706)-(L706*N706-M706*O706)*(M706+O706))/((L706+N706)^2+(M706+O706)^2))</f>
        <v/>
      </c>
      <c r="R706" s="195">
        <f>IF(B706="","",'入力・概要'!$E$15*J706)</f>
        <v/>
      </c>
      <c r="S706" s="195">
        <f>IF(B706="","",'入力・概要'!$E$15*K706)</f>
        <v/>
      </c>
      <c r="T706" s="195">
        <f>IF(B706="","",P706+R706)</f>
        <v/>
      </c>
      <c r="U706" s="195">
        <f>IF(B706="","",Q706+S706)</f>
        <v/>
      </c>
      <c r="V706" s="195">
        <f>IF(B706="","",T706+'入力・概要'!$E$9*F706)</f>
        <v/>
      </c>
      <c r="W706" s="195">
        <f>IF(B706="","",U706+'入力・概要'!$E$9*G706)</f>
        <v/>
      </c>
      <c r="X706" s="195">
        <f>IF(B706="","",'入力・概要'!$E$9+T706*F706-U706*G706)</f>
        <v/>
      </c>
      <c r="Y706" s="195">
        <f>IF(B706="","",T706*G706+U706*F706)</f>
        <v/>
      </c>
      <c r="Z706" s="195">
        <f>IF(B706="","",'入力・概要'!$E$9*(V706*X706+W706*Y706)/(X706^2+Y706^2)+'入力・概要'!$B$36)</f>
        <v/>
      </c>
      <c r="AA706" s="195">
        <f>IF(B706="","",'入力・概要'!$E$9*(W706*X706-V706*Y706)/(X706^2+Y706^2)+C706*'入力・概要'!$B$37*1E-9)</f>
        <v/>
      </c>
      <c r="AB706" s="195">
        <f>IF(B706="","",SQRT(Z706^2+AA706^2))</f>
        <v/>
      </c>
      <c r="AC706" s="195">
        <f>IF(B706="","",IF(Z706&gt;0,DEGREES(ATAN(AA706/Z706)),IF(Z706&lt;0,IF(AA706&gt;=0,DEGREES(ATAN(AA706/Z706))+180,DEGREES(ATAN(AA706/Z706))-180),IF(AA706&gt;0,90,IF(AA706&lt;0,-90,0)))))</f>
        <v/>
      </c>
      <c r="AD706" s="195">
        <f>IF(B706="","",LOG10(B706))</f>
        <v/>
      </c>
      <c r="AE706" s="195">
        <f>IF(AB706="","",LOG10(MAX(AB706,1E-12)))</f>
        <v/>
      </c>
      <c r="AF706" s="195">
        <f>IF(B706="","",SQRT(P706^2+Q706^2))</f>
        <v/>
      </c>
      <c r="AG706" s="195">
        <f>IF(B706="","",SQRT(R706^2+S706^2))</f>
        <v/>
      </c>
    </row>
    <row r="707">
      <c r="A707" t="n">
        <v>704</v>
      </c>
      <c r="B707" s="196">
        <f>IF(A707&lt;='入力・概要'!$B$40,10^(LOG10('入力・概要'!$B$38)+(A707-1)*(LOG10('入力・概要'!$B$39)-LOG10('入力・概要'!$B$38))/('入力・概要'!$B$40-1)),"")</f>
        <v/>
      </c>
      <c r="C707" s="195">
        <f>IF(B707="","",2*PI()*B707)</f>
        <v/>
      </c>
      <c r="D707" s="195">
        <f>IF(B707="","",ATANH(MIN(0.999999,'入力・概要'!$E$20/'入力・概要'!$E$9))+'入力・概要'!$B$20*SQRT(B707/1E6)+E707*'入力・概要'!$B$15/2)</f>
        <v/>
      </c>
      <c r="E707" s="195">
        <f>IF(B707="","",C707*('入力・概要'!$E$11*1E-9))</f>
        <v/>
      </c>
      <c r="F707" s="195">
        <f>IF(B707="","",SINH(2*D707)/(COSH(2*D707)+COS(2*E707)))</f>
        <v/>
      </c>
      <c r="G707" s="195">
        <f>IF(B707="","",SIN(2*E707)/(COSH(2*D707)+COS(2*E707)))</f>
        <v/>
      </c>
      <c r="H707" s="195">
        <f>IF(B707="","",ATANH(MIN(0.999999,'入力・概要'!$E$21/'入力・概要'!$E$15))+'入力・概要'!$B$21*SQRT(B707/1E6)+I707*'入力・概要'!$B$16/2)</f>
        <v/>
      </c>
      <c r="I707" s="195">
        <f>IF(B707="","",C707*('入力・概要'!$E$17*1E-9))</f>
        <v/>
      </c>
      <c r="J707" s="195">
        <f>IF(B707="","",SINH(2*H707)/(COSH(2*H707)+COS(2*I707)))</f>
        <v/>
      </c>
      <c r="K707" s="195">
        <f>IF(B707="","",SIN(2*I707)/(COSH(2*H707)+COS(2*I707)))</f>
        <v/>
      </c>
      <c r="L707" s="195">
        <f>IF(B707="","",'入力・概要'!$B$25)</f>
        <v/>
      </c>
      <c r="M707" s="195">
        <f>IF(B707="","",C707*'入力・概要'!$B$26*1E-9-1/(C707*'入力・概要'!$B$24*1E-6))</f>
        <v/>
      </c>
      <c r="N707" s="195">
        <f>IF(B707="","",'入力・概要'!$B$28)</f>
        <v/>
      </c>
      <c r="O707" s="195">
        <f>IF(B707="","",C707*'入力・概要'!$B$29*1E-9-1/(C707*'入力・概要'!$B$27*1E-6))</f>
        <v/>
      </c>
      <c r="P707" s="195">
        <f>IF(B707="","",((L707*N707-M707*O707)*(L707+N707)+(L707*O707+M707*N707)*(M707+O707))/((L707+N707)^2+(M707+O707)^2))</f>
        <v/>
      </c>
      <c r="Q707" s="195">
        <f>IF(B707="","",((L707*O707+M707*N707)*(L707+N707)-(L707*N707-M707*O707)*(M707+O707))/((L707+N707)^2+(M707+O707)^2))</f>
        <v/>
      </c>
      <c r="R707" s="195">
        <f>IF(B707="","",'入力・概要'!$E$15*J707)</f>
        <v/>
      </c>
      <c r="S707" s="195">
        <f>IF(B707="","",'入力・概要'!$E$15*K707)</f>
        <v/>
      </c>
      <c r="T707" s="195">
        <f>IF(B707="","",P707+R707)</f>
        <v/>
      </c>
      <c r="U707" s="195">
        <f>IF(B707="","",Q707+S707)</f>
        <v/>
      </c>
      <c r="V707" s="195">
        <f>IF(B707="","",T707+'入力・概要'!$E$9*F707)</f>
        <v/>
      </c>
      <c r="W707" s="195">
        <f>IF(B707="","",U707+'入力・概要'!$E$9*G707)</f>
        <v/>
      </c>
      <c r="X707" s="195">
        <f>IF(B707="","",'入力・概要'!$E$9+T707*F707-U707*G707)</f>
        <v/>
      </c>
      <c r="Y707" s="195">
        <f>IF(B707="","",T707*G707+U707*F707)</f>
        <v/>
      </c>
      <c r="Z707" s="195">
        <f>IF(B707="","",'入力・概要'!$E$9*(V707*X707+W707*Y707)/(X707^2+Y707^2)+'入力・概要'!$B$36)</f>
        <v/>
      </c>
      <c r="AA707" s="195">
        <f>IF(B707="","",'入力・概要'!$E$9*(W707*X707-V707*Y707)/(X707^2+Y707^2)+C707*'入力・概要'!$B$37*1E-9)</f>
        <v/>
      </c>
      <c r="AB707" s="195">
        <f>IF(B707="","",SQRT(Z707^2+AA707^2))</f>
        <v/>
      </c>
      <c r="AC707" s="195">
        <f>IF(B707="","",IF(Z707&gt;0,DEGREES(ATAN(AA707/Z707)),IF(Z707&lt;0,IF(AA707&gt;=0,DEGREES(ATAN(AA707/Z707))+180,DEGREES(ATAN(AA707/Z707))-180),IF(AA707&gt;0,90,IF(AA707&lt;0,-90,0)))))</f>
        <v/>
      </c>
      <c r="AD707" s="195">
        <f>IF(B707="","",LOG10(B707))</f>
        <v/>
      </c>
      <c r="AE707" s="195">
        <f>IF(AB707="","",LOG10(MAX(AB707,1E-12)))</f>
        <v/>
      </c>
      <c r="AF707" s="195">
        <f>IF(B707="","",SQRT(P707^2+Q707^2))</f>
        <v/>
      </c>
      <c r="AG707" s="195">
        <f>IF(B707="","",SQRT(R707^2+S707^2))</f>
        <v/>
      </c>
    </row>
    <row r="708">
      <c r="A708" t="n">
        <v>705</v>
      </c>
      <c r="B708" s="196">
        <f>IF(A708&lt;='入力・概要'!$B$40,10^(LOG10('入力・概要'!$B$38)+(A708-1)*(LOG10('入力・概要'!$B$39)-LOG10('入力・概要'!$B$38))/('入力・概要'!$B$40-1)),"")</f>
        <v/>
      </c>
      <c r="C708" s="195">
        <f>IF(B708="","",2*PI()*B708)</f>
        <v/>
      </c>
      <c r="D708" s="195">
        <f>IF(B708="","",ATANH(MIN(0.999999,'入力・概要'!$E$20/'入力・概要'!$E$9))+'入力・概要'!$B$20*SQRT(B708/1E6)+E708*'入力・概要'!$B$15/2)</f>
        <v/>
      </c>
      <c r="E708" s="195">
        <f>IF(B708="","",C708*('入力・概要'!$E$11*1E-9))</f>
        <v/>
      </c>
      <c r="F708" s="195">
        <f>IF(B708="","",SINH(2*D708)/(COSH(2*D708)+COS(2*E708)))</f>
        <v/>
      </c>
      <c r="G708" s="195">
        <f>IF(B708="","",SIN(2*E708)/(COSH(2*D708)+COS(2*E708)))</f>
        <v/>
      </c>
      <c r="H708" s="195">
        <f>IF(B708="","",ATANH(MIN(0.999999,'入力・概要'!$E$21/'入力・概要'!$E$15))+'入力・概要'!$B$21*SQRT(B708/1E6)+I708*'入力・概要'!$B$16/2)</f>
        <v/>
      </c>
      <c r="I708" s="195">
        <f>IF(B708="","",C708*('入力・概要'!$E$17*1E-9))</f>
        <v/>
      </c>
      <c r="J708" s="195">
        <f>IF(B708="","",SINH(2*H708)/(COSH(2*H708)+COS(2*I708)))</f>
        <v/>
      </c>
      <c r="K708" s="195">
        <f>IF(B708="","",SIN(2*I708)/(COSH(2*H708)+COS(2*I708)))</f>
        <v/>
      </c>
      <c r="L708" s="195">
        <f>IF(B708="","",'入力・概要'!$B$25)</f>
        <v/>
      </c>
      <c r="M708" s="195">
        <f>IF(B708="","",C708*'入力・概要'!$B$26*1E-9-1/(C708*'入力・概要'!$B$24*1E-6))</f>
        <v/>
      </c>
      <c r="N708" s="195">
        <f>IF(B708="","",'入力・概要'!$B$28)</f>
        <v/>
      </c>
      <c r="O708" s="195">
        <f>IF(B708="","",C708*'入力・概要'!$B$29*1E-9-1/(C708*'入力・概要'!$B$27*1E-6))</f>
        <v/>
      </c>
      <c r="P708" s="195">
        <f>IF(B708="","",((L708*N708-M708*O708)*(L708+N708)+(L708*O708+M708*N708)*(M708+O708))/((L708+N708)^2+(M708+O708)^2))</f>
        <v/>
      </c>
      <c r="Q708" s="195">
        <f>IF(B708="","",((L708*O708+M708*N708)*(L708+N708)-(L708*N708-M708*O708)*(M708+O708))/((L708+N708)^2+(M708+O708)^2))</f>
        <v/>
      </c>
      <c r="R708" s="195">
        <f>IF(B708="","",'入力・概要'!$E$15*J708)</f>
        <v/>
      </c>
      <c r="S708" s="195">
        <f>IF(B708="","",'入力・概要'!$E$15*K708)</f>
        <v/>
      </c>
      <c r="T708" s="195">
        <f>IF(B708="","",P708+R708)</f>
        <v/>
      </c>
      <c r="U708" s="195">
        <f>IF(B708="","",Q708+S708)</f>
        <v/>
      </c>
      <c r="V708" s="195">
        <f>IF(B708="","",T708+'入力・概要'!$E$9*F708)</f>
        <v/>
      </c>
      <c r="W708" s="195">
        <f>IF(B708="","",U708+'入力・概要'!$E$9*G708)</f>
        <v/>
      </c>
      <c r="X708" s="195">
        <f>IF(B708="","",'入力・概要'!$E$9+T708*F708-U708*G708)</f>
        <v/>
      </c>
      <c r="Y708" s="195">
        <f>IF(B708="","",T708*G708+U708*F708)</f>
        <v/>
      </c>
      <c r="Z708" s="195">
        <f>IF(B708="","",'入力・概要'!$E$9*(V708*X708+W708*Y708)/(X708^2+Y708^2)+'入力・概要'!$B$36)</f>
        <v/>
      </c>
      <c r="AA708" s="195">
        <f>IF(B708="","",'入力・概要'!$E$9*(W708*X708-V708*Y708)/(X708^2+Y708^2)+C708*'入力・概要'!$B$37*1E-9)</f>
        <v/>
      </c>
      <c r="AB708" s="195">
        <f>IF(B708="","",SQRT(Z708^2+AA708^2))</f>
        <v/>
      </c>
      <c r="AC708" s="195">
        <f>IF(B708="","",IF(Z708&gt;0,DEGREES(ATAN(AA708/Z708)),IF(Z708&lt;0,IF(AA708&gt;=0,DEGREES(ATAN(AA708/Z708))+180,DEGREES(ATAN(AA708/Z708))-180),IF(AA708&gt;0,90,IF(AA708&lt;0,-90,0)))))</f>
        <v/>
      </c>
      <c r="AD708" s="195">
        <f>IF(B708="","",LOG10(B708))</f>
        <v/>
      </c>
      <c r="AE708" s="195">
        <f>IF(AB708="","",LOG10(MAX(AB708,1E-12)))</f>
        <v/>
      </c>
      <c r="AF708" s="195">
        <f>IF(B708="","",SQRT(P708^2+Q708^2))</f>
        <v/>
      </c>
      <c r="AG708" s="195">
        <f>IF(B708="","",SQRT(R708^2+S708^2))</f>
        <v/>
      </c>
    </row>
    <row r="709">
      <c r="A709" t="n">
        <v>706</v>
      </c>
      <c r="B709" s="196">
        <f>IF(A709&lt;='入力・概要'!$B$40,10^(LOG10('入力・概要'!$B$38)+(A709-1)*(LOG10('入力・概要'!$B$39)-LOG10('入力・概要'!$B$38))/('入力・概要'!$B$40-1)),"")</f>
        <v/>
      </c>
      <c r="C709" s="195">
        <f>IF(B709="","",2*PI()*B709)</f>
        <v/>
      </c>
      <c r="D709" s="195">
        <f>IF(B709="","",ATANH(MIN(0.999999,'入力・概要'!$E$20/'入力・概要'!$E$9))+'入力・概要'!$B$20*SQRT(B709/1E6)+E709*'入力・概要'!$B$15/2)</f>
        <v/>
      </c>
      <c r="E709" s="195">
        <f>IF(B709="","",C709*('入力・概要'!$E$11*1E-9))</f>
        <v/>
      </c>
      <c r="F709" s="195">
        <f>IF(B709="","",SINH(2*D709)/(COSH(2*D709)+COS(2*E709)))</f>
        <v/>
      </c>
      <c r="G709" s="195">
        <f>IF(B709="","",SIN(2*E709)/(COSH(2*D709)+COS(2*E709)))</f>
        <v/>
      </c>
      <c r="H709" s="195">
        <f>IF(B709="","",ATANH(MIN(0.999999,'入力・概要'!$E$21/'入力・概要'!$E$15))+'入力・概要'!$B$21*SQRT(B709/1E6)+I709*'入力・概要'!$B$16/2)</f>
        <v/>
      </c>
      <c r="I709" s="195">
        <f>IF(B709="","",C709*('入力・概要'!$E$17*1E-9))</f>
        <v/>
      </c>
      <c r="J709" s="195">
        <f>IF(B709="","",SINH(2*H709)/(COSH(2*H709)+COS(2*I709)))</f>
        <v/>
      </c>
      <c r="K709" s="195">
        <f>IF(B709="","",SIN(2*I709)/(COSH(2*H709)+COS(2*I709)))</f>
        <v/>
      </c>
      <c r="L709" s="195">
        <f>IF(B709="","",'入力・概要'!$B$25)</f>
        <v/>
      </c>
      <c r="M709" s="195">
        <f>IF(B709="","",C709*'入力・概要'!$B$26*1E-9-1/(C709*'入力・概要'!$B$24*1E-6))</f>
        <v/>
      </c>
      <c r="N709" s="195">
        <f>IF(B709="","",'入力・概要'!$B$28)</f>
        <v/>
      </c>
      <c r="O709" s="195">
        <f>IF(B709="","",C709*'入力・概要'!$B$29*1E-9-1/(C709*'入力・概要'!$B$27*1E-6))</f>
        <v/>
      </c>
      <c r="P709" s="195">
        <f>IF(B709="","",((L709*N709-M709*O709)*(L709+N709)+(L709*O709+M709*N709)*(M709+O709))/((L709+N709)^2+(M709+O709)^2))</f>
        <v/>
      </c>
      <c r="Q709" s="195">
        <f>IF(B709="","",((L709*O709+M709*N709)*(L709+N709)-(L709*N709-M709*O709)*(M709+O709))/((L709+N709)^2+(M709+O709)^2))</f>
        <v/>
      </c>
      <c r="R709" s="195">
        <f>IF(B709="","",'入力・概要'!$E$15*J709)</f>
        <v/>
      </c>
      <c r="S709" s="195">
        <f>IF(B709="","",'入力・概要'!$E$15*K709)</f>
        <v/>
      </c>
      <c r="T709" s="195">
        <f>IF(B709="","",P709+R709)</f>
        <v/>
      </c>
      <c r="U709" s="195">
        <f>IF(B709="","",Q709+S709)</f>
        <v/>
      </c>
      <c r="V709" s="195">
        <f>IF(B709="","",T709+'入力・概要'!$E$9*F709)</f>
        <v/>
      </c>
      <c r="W709" s="195">
        <f>IF(B709="","",U709+'入力・概要'!$E$9*G709)</f>
        <v/>
      </c>
      <c r="X709" s="195">
        <f>IF(B709="","",'入力・概要'!$E$9+T709*F709-U709*G709)</f>
        <v/>
      </c>
      <c r="Y709" s="195">
        <f>IF(B709="","",T709*G709+U709*F709)</f>
        <v/>
      </c>
      <c r="Z709" s="195">
        <f>IF(B709="","",'入力・概要'!$E$9*(V709*X709+W709*Y709)/(X709^2+Y709^2)+'入力・概要'!$B$36)</f>
        <v/>
      </c>
      <c r="AA709" s="195">
        <f>IF(B709="","",'入力・概要'!$E$9*(W709*X709-V709*Y709)/(X709^2+Y709^2)+C709*'入力・概要'!$B$37*1E-9)</f>
        <v/>
      </c>
      <c r="AB709" s="195">
        <f>IF(B709="","",SQRT(Z709^2+AA709^2))</f>
        <v/>
      </c>
      <c r="AC709" s="195">
        <f>IF(B709="","",IF(Z709&gt;0,DEGREES(ATAN(AA709/Z709)),IF(Z709&lt;0,IF(AA709&gt;=0,DEGREES(ATAN(AA709/Z709))+180,DEGREES(ATAN(AA709/Z709))-180),IF(AA709&gt;0,90,IF(AA709&lt;0,-90,0)))))</f>
        <v/>
      </c>
      <c r="AD709" s="195">
        <f>IF(B709="","",LOG10(B709))</f>
        <v/>
      </c>
      <c r="AE709" s="195">
        <f>IF(AB709="","",LOG10(MAX(AB709,1E-12)))</f>
        <v/>
      </c>
      <c r="AF709" s="195">
        <f>IF(B709="","",SQRT(P709^2+Q709^2))</f>
        <v/>
      </c>
      <c r="AG709" s="195">
        <f>IF(B709="","",SQRT(R709^2+S709^2))</f>
        <v/>
      </c>
    </row>
    <row r="710">
      <c r="A710" t="n">
        <v>707</v>
      </c>
      <c r="B710" s="196">
        <f>IF(A710&lt;='入力・概要'!$B$40,10^(LOG10('入力・概要'!$B$38)+(A710-1)*(LOG10('入力・概要'!$B$39)-LOG10('入力・概要'!$B$38))/('入力・概要'!$B$40-1)),"")</f>
        <v/>
      </c>
      <c r="C710" s="195">
        <f>IF(B710="","",2*PI()*B710)</f>
        <v/>
      </c>
      <c r="D710" s="195">
        <f>IF(B710="","",ATANH(MIN(0.999999,'入力・概要'!$E$20/'入力・概要'!$E$9))+'入力・概要'!$B$20*SQRT(B710/1E6)+E710*'入力・概要'!$B$15/2)</f>
        <v/>
      </c>
      <c r="E710" s="195">
        <f>IF(B710="","",C710*('入力・概要'!$E$11*1E-9))</f>
        <v/>
      </c>
      <c r="F710" s="195">
        <f>IF(B710="","",SINH(2*D710)/(COSH(2*D710)+COS(2*E710)))</f>
        <v/>
      </c>
      <c r="G710" s="195">
        <f>IF(B710="","",SIN(2*E710)/(COSH(2*D710)+COS(2*E710)))</f>
        <v/>
      </c>
      <c r="H710" s="195">
        <f>IF(B710="","",ATANH(MIN(0.999999,'入力・概要'!$E$21/'入力・概要'!$E$15))+'入力・概要'!$B$21*SQRT(B710/1E6)+I710*'入力・概要'!$B$16/2)</f>
        <v/>
      </c>
      <c r="I710" s="195">
        <f>IF(B710="","",C710*('入力・概要'!$E$17*1E-9))</f>
        <v/>
      </c>
      <c r="J710" s="195">
        <f>IF(B710="","",SINH(2*H710)/(COSH(2*H710)+COS(2*I710)))</f>
        <v/>
      </c>
      <c r="K710" s="195">
        <f>IF(B710="","",SIN(2*I710)/(COSH(2*H710)+COS(2*I710)))</f>
        <v/>
      </c>
      <c r="L710" s="195">
        <f>IF(B710="","",'入力・概要'!$B$25)</f>
        <v/>
      </c>
      <c r="M710" s="195">
        <f>IF(B710="","",C710*'入力・概要'!$B$26*1E-9-1/(C710*'入力・概要'!$B$24*1E-6))</f>
        <v/>
      </c>
      <c r="N710" s="195">
        <f>IF(B710="","",'入力・概要'!$B$28)</f>
        <v/>
      </c>
      <c r="O710" s="195">
        <f>IF(B710="","",C710*'入力・概要'!$B$29*1E-9-1/(C710*'入力・概要'!$B$27*1E-6))</f>
        <v/>
      </c>
      <c r="P710" s="195">
        <f>IF(B710="","",((L710*N710-M710*O710)*(L710+N710)+(L710*O710+M710*N710)*(M710+O710))/((L710+N710)^2+(M710+O710)^2))</f>
        <v/>
      </c>
      <c r="Q710" s="195">
        <f>IF(B710="","",((L710*O710+M710*N710)*(L710+N710)-(L710*N710-M710*O710)*(M710+O710))/((L710+N710)^2+(M710+O710)^2))</f>
        <v/>
      </c>
      <c r="R710" s="195">
        <f>IF(B710="","",'入力・概要'!$E$15*J710)</f>
        <v/>
      </c>
      <c r="S710" s="195">
        <f>IF(B710="","",'入力・概要'!$E$15*K710)</f>
        <v/>
      </c>
      <c r="T710" s="195">
        <f>IF(B710="","",P710+R710)</f>
        <v/>
      </c>
      <c r="U710" s="195">
        <f>IF(B710="","",Q710+S710)</f>
        <v/>
      </c>
      <c r="V710" s="195">
        <f>IF(B710="","",T710+'入力・概要'!$E$9*F710)</f>
        <v/>
      </c>
      <c r="W710" s="195">
        <f>IF(B710="","",U710+'入力・概要'!$E$9*G710)</f>
        <v/>
      </c>
      <c r="X710" s="195">
        <f>IF(B710="","",'入力・概要'!$E$9+T710*F710-U710*G710)</f>
        <v/>
      </c>
      <c r="Y710" s="195">
        <f>IF(B710="","",T710*G710+U710*F710)</f>
        <v/>
      </c>
      <c r="Z710" s="195">
        <f>IF(B710="","",'入力・概要'!$E$9*(V710*X710+W710*Y710)/(X710^2+Y710^2)+'入力・概要'!$B$36)</f>
        <v/>
      </c>
      <c r="AA710" s="195">
        <f>IF(B710="","",'入力・概要'!$E$9*(W710*X710-V710*Y710)/(X710^2+Y710^2)+C710*'入力・概要'!$B$37*1E-9)</f>
        <v/>
      </c>
      <c r="AB710" s="195">
        <f>IF(B710="","",SQRT(Z710^2+AA710^2))</f>
        <v/>
      </c>
      <c r="AC710" s="195">
        <f>IF(B710="","",IF(Z710&gt;0,DEGREES(ATAN(AA710/Z710)),IF(Z710&lt;0,IF(AA710&gt;=0,DEGREES(ATAN(AA710/Z710))+180,DEGREES(ATAN(AA710/Z710))-180),IF(AA710&gt;0,90,IF(AA710&lt;0,-90,0)))))</f>
        <v/>
      </c>
      <c r="AD710" s="195">
        <f>IF(B710="","",LOG10(B710))</f>
        <v/>
      </c>
      <c r="AE710" s="195">
        <f>IF(AB710="","",LOG10(MAX(AB710,1E-12)))</f>
        <v/>
      </c>
      <c r="AF710" s="195">
        <f>IF(B710="","",SQRT(P710^2+Q710^2))</f>
        <v/>
      </c>
      <c r="AG710" s="195">
        <f>IF(B710="","",SQRT(R710^2+S710^2))</f>
        <v/>
      </c>
    </row>
    <row r="711">
      <c r="A711" t="n">
        <v>708</v>
      </c>
      <c r="B711" s="196">
        <f>IF(A711&lt;='入力・概要'!$B$40,10^(LOG10('入力・概要'!$B$38)+(A711-1)*(LOG10('入力・概要'!$B$39)-LOG10('入力・概要'!$B$38))/('入力・概要'!$B$40-1)),"")</f>
        <v/>
      </c>
      <c r="C711" s="195">
        <f>IF(B711="","",2*PI()*B711)</f>
        <v/>
      </c>
      <c r="D711" s="195">
        <f>IF(B711="","",ATANH(MIN(0.999999,'入力・概要'!$E$20/'入力・概要'!$E$9))+'入力・概要'!$B$20*SQRT(B711/1E6)+E711*'入力・概要'!$B$15/2)</f>
        <v/>
      </c>
      <c r="E711" s="195">
        <f>IF(B711="","",C711*('入力・概要'!$E$11*1E-9))</f>
        <v/>
      </c>
      <c r="F711" s="195">
        <f>IF(B711="","",SINH(2*D711)/(COSH(2*D711)+COS(2*E711)))</f>
        <v/>
      </c>
      <c r="G711" s="195">
        <f>IF(B711="","",SIN(2*E711)/(COSH(2*D711)+COS(2*E711)))</f>
        <v/>
      </c>
      <c r="H711" s="195">
        <f>IF(B711="","",ATANH(MIN(0.999999,'入力・概要'!$E$21/'入力・概要'!$E$15))+'入力・概要'!$B$21*SQRT(B711/1E6)+I711*'入力・概要'!$B$16/2)</f>
        <v/>
      </c>
      <c r="I711" s="195">
        <f>IF(B711="","",C711*('入力・概要'!$E$17*1E-9))</f>
        <v/>
      </c>
      <c r="J711" s="195">
        <f>IF(B711="","",SINH(2*H711)/(COSH(2*H711)+COS(2*I711)))</f>
        <v/>
      </c>
      <c r="K711" s="195">
        <f>IF(B711="","",SIN(2*I711)/(COSH(2*H711)+COS(2*I711)))</f>
        <v/>
      </c>
      <c r="L711" s="195">
        <f>IF(B711="","",'入力・概要'!$B$25)</f>
        <v/>
      </c>
      <c r="M711" s="195">
        <f>IF(B711="","",C711*'入力・概要'!$B$26*1E-9-1/(C711*'入力・概要'!$B$24*1E-6))</f>
        <v/>
      </c>
      <c r="N711" s="195">
        <f>IF(B711="","",'入力・概要'!$B$28)</f>
        <v/>
      </c>
      <c r="O711" s="195">
        <f>IF(B711="","",C711*'入力・概要'!$B$29*1E-9-1/(C711*'入力・概要'!$B$27*1E-6))</f>
        <v/>
      </c>
      <c r="P711" s="195">
        <f>IF(B711="","",((L711*N711-M711*O711)*(L711+N711)+(L711*O711+M711*N711)*(M711+O711))/((L711+N711)^2+(M711+O711)^2))</f>
        <v/>
      </c>
      <c r="Q711" s="195">
        <f>IF(B711="","",((L711*O711+M711*N711)*(L711+N711)-(L711*N711-M711*O711)*(M711+O711))/((L711+N711)^2+(M711+O711)^2))</f>
        <v/>
      </c>
      <c r="R711" s="195">
        <f>IF(B711="","",'入力・概要'!$E$15*J711)</f>
        <v/>
      </c>
      <c r="S711" s="195">
        <f>IF(B711="","",'入力・概要'!$E$15*K711)</f>
        <v/>
      </c>
      <c r="T711" s="195">
        <f>IF(B711="","",P711+R711)</f>
        <v/>
      </c>
      <c r="U711" s="195">
        <f>IF(B711="","",Q711+S711)</f>
        <v/>
      </c>
      <c r="V711" s="195">
        <f>IF(B711="","",T711+'入力・概要'!$E$9*F711)</f>
        <v/>
      </c>
      <c r="W711" s="195">
        <f>IF(B711="","",U711+'入力・概要'!$E$9*G711)</f>
        <v/>
      </c>
      <c r="X711" s="195">
        <f>IF(B711="","",'入力・概要'!$E$9+T711*F711-U711*G711)</f>
        <v/>
      </c>
      <c r="Y711" s="195">
        <f>IF(B711="","",T711*G711+U711*F711)</f>
        <v/>
      </c>
      <c r="Z711" s="195">
        <f>IF(B711="","",'入力・概要'!$E$9*(V711*X711+W711*Y711)/(X711^2+Y711^2)+'入力・概要'!$B$36)</f>
        <v/>
      </c>
      <c r="AA711" s="195">
        <f>IF(B711="","",'入力・概要'!$E$9*(W711*X711-V711*Y711)/(X711^2+Y711^2)+C711*'入力・概要'!$B$37*1E-9)</f>
        <v/>
      </c>
      <c r="AB711" s="195">
        <f>IF(B711="","",SQRT(Z711^2+AA711^2))</f>
        <v/>
      </c>
      <c r="AC711" s="195">
        <f>IF(B711="","",IF(Z711&gt;0,DEGREES(ATAN(AA711/Z711)),IF(Z711&lt;0,IF(AA711&gt;=0,DEGREES(ATAN(AA711/Z711))+180,DEGREES(ATAN(AA711/Z711))-180),IF(AA711&gt;0,90,IF(AA711&lt;0,-90,0)))))</f>
        <v/>
      </c>
      <c r="AD711" s="195">
        <f>IF(B711="","",LOG10(B711))</f>
        <v/>
      </c>
      <c r="AE711" s="195">
        <f>IF(AB711="","",LOG10(MAX(AB711,1E-12)))</f>
        <v/>
      </c>
      <c r="AF711" s="195">
        <f>IF(B711="","",SQRT(P711^2+Q711^2))</f>
        <v/>
      </c>
      <c r="AG711" s="195">
        <f>IF(B711="","",SQRT(R711^2+S711^2))</f>
        <v/>
      </c>
    </row>
    <row r="712">
      <c r="A712" t="n">
        <v>709</v>
      </c>
      <c r="B712" s="196">
        <f>IF(A712&lt;='入力・概要'!$B$40,10^(LOG10('入力・概要'!$B$38)+(A712-1)*(LOG10('入力・概要'!$B$39)-LOG10('入力・概要'!$B$38))/('入力・概要'!$B$40-1)),"")</f>
        <v/>
      </c>
      <c r="C712" s="195">
        <f>IF(B712="","",2*PI()*B712)</f>
        <v/>
      </c>
      <c r="D712" s="195">
        <f>IF(B712="","",ATANH(MIN(0.999999,'入力・概要'!$E$20/'入力・概要'!$E$9))+'入力・概要'!$B$20*SQRT(B712/1E6)+E712*'入力・概要'!$B$15/2)</f>
        <v/>
      </c>
      <c r="E712" s="195">
        <f>IF(B712="","",C712*('入力・概要'!$E$11*1E-9))</f>
        <v/>
      </c>
      <c r="F712" s="195">
        <f>IF(B712="","",SINH(2*D712)/(COSH(2*D712)+COS(2*E712)))</f>
        <v/>
      </c>
      <c r="G712" s="195">
        <f>IF(B712="","",SIN(2*E712)/(COSH(2*D712)+COS(2*E712)))</f>
        <v/>
      </c>
      <c r="H712" s="195">
        <f>IF(B712="","",ATANH(MIN(0.999999,'入力・概要'!$E$21/'入力・概要'!$E$15))+'入力・概要'!$B$21*SQRT(B712/1E6)+I712*'入力・概要'!$B$16/2)</f>
        <v/>
      </c>
      <c r="I712" s="195">
        <f>IF(B712="","",C712*('入力・概要'!$E$17*1E-9))</f>
        <v/>
      </c>
      <c r="J712" s="195">
        <f>IF(B712="","",SINH(2*H712)/(COSH(2*H712)+COS(2*I712)))</f>
        <v/>
      </c>
      <c r="K712" s="195">
        <f>IF(B712="","",SIN(2*I712)/(COSH(2*H712)+COS(2*I712)))</f>
        <v/>
      </c>
      <c r="L712" s="195">
        <f>IF(B712="","",'入力・概要'!$B$25)</f>
        <v/>
      </c>
      <c r="M712" s="195">
        <f>IF(B712="","",C712*'入力・概要'!$B$26*1E-9-1/(C712*'入力・概要'!$B$24*1E-6))</f>
        <v/>
      </c>
      <c r="N712" s="195">
        <f>IF(B712="","",'入力・概要'!$B$28)</f>
        <v/>
      </c>
      <c r="O712" s="195">
        <f>IF(B712="","",C712*'入力・概要'!$B$29*1E-9-1/(C712*'入力・概要'!$B$27*1E-6))</f>
        <v/>
      </c>
      <c r="P712" s="195">
        <f>IF(B712="","",((L712*N712-M712*O712)*(L712+N712)+(L712*O712+M712*N712)*(M712+O712))/((L712+N712)^2+(M712+O712)^2))</f>
        <v/>
      </c>
      <c r="Q712" s="195">
        <f>IF(B712="","",((L712*O712+M712*N712)*(L712+N712)-(L712*N712-M712*O712)*(M712+O712))/((L712+N712)^2+(M712+O712)^2))</f>
        <v/>
      </c>
      <c r="R712" s="195">
        <f>IF(B712="","",'入力・概要'!$E$15*J712)</f>
        <v/>
      </c>
      <c r="S712" s="195">
        <f>IF(B712="","",'入力・概要'!$E$15*K712)</f>
        <v/>
      </c>
      <c r="T712" s="195">
        <f>IF(B712="","",P712+R712)</f>
        <v/>
      </c>
      <c r="U712" s="195">
        <f>IF(B712="","",Q712+S712)</f>
        <v/>
      </c>
      <c r="V712" s="195">
        <f>IF(B712="","",T712+'入力・概要'!$E$9*F712)</f>
        <v/>
      </c>
      <c r="W712" s="195">
        <f>IF(B712="","",U712+'入力・概要'!$E$9*G712)</f>
        <v/>
      </c>
      <c r="X712" s="195">
        <f>IF(B712="","",'入力・概要'!$E$9+T712*F712-U712*G712)</f>
        <v/>
      </c>
      <c r="Y712" s="195">
        <f>IF(B712="","",T712*G712+U712*F712)</f>
        <v/>
      </c>
      <c r="Z712" s="195">
        <f>IF(B712="","",'入力・概要'!$E$9*(V712*X712+W712*Y712)/(X712^2+Y712^2)+'入力・概要'!$B$36)</f>
        <v/>
      </c>
      <c r="AA712" s="195">
        <f>IF(B712="","",'入力・概要'!$E$9*(W712*X712-V712*Y712)/(X712^2+Y712^2)+C712*'入力・概要'!$B$37*1E-9)</f>
        <v/>
      </c>
      <c r="AB712" s="195">
        <f>IF(B712="","",SQRT(Z712^2+AA712^2))</f>
        <v/>
      </c>
      <c r="AC712" s="195">
        <f>IF(B712="","",IF(Z712&gt;0,DEGREES(ATAN(AA712/Z712)),IF(Z712&lt;0,IF(AA712&gt;=0,DEGREES(ATAN(AA712/Z712))+180,DEGREES(ATAN(AA712/Z712))-180),IF(AA712&gt;0,90,IF(AA712&lt;0,-90,0)))))</f>
        <v/>
      </c>
      <c r="AD712" s="195">
        <f>IF(B712="","",LOG10(B712))</f>
        <v/>
      </c>
      <c r="AE712" s="195">
        <f>IF(AB712="","",LOG10(MAX(AB712,1E-12)))</f>
        <v/>
      </c>
      <c r="AF712" s="195">
        <f>IF(B712="","",SQRT(P712^2+Q712^2))</f>
        <v/>
      </c>
      <c r="AG712" s="195">
        <f>IF(B712="","",SQRT(R712^2+S712^2))</f>
        <v/>
      </c>
    </row>
    <row r="713">
      <c r="A713" t="n">
        <v>710</v>
      </c>
      <c r="B713" s="196">
        <f>IF(A713&lt;='入力・概要'!$B$40,10^(LOG10('入力・概要'!$B$38)+(A713-1)*(LOG10('入力・概要'!$B$39)-LOG10('入力・概要'!$B$38))/('入力・概要'!$B$40-1)),"")</f>
        <v/>
      </c>
      <c r="C713" s="195">
        <f>IF(B713="","",2*PI()*B713)</f>
        <v/>
      </c>
      <c r="D713" s="195">
        <f>IF(B713="","",ATANH(MIN(0.999999,'入力・概要'!$E$20/'入力・概要'!$E$9))+'入力・概要'!$B$20*SQRT(B713/1E6)+E713*'入力・概要'!$B$15/2)</f>
        <v/>
      </c>
      <c r="E713" s="195">
        <f>IF(B713="","",C713*('入力・概要'!$E$11*1E-9))</f>
        <v/>
      </c>
      <c r="F713" s="195">
        <f>IF(B713="","",SINH(2*D713)/(COSH(2*D713)+COS(2*E713)))</f>
        <v/>
      </c>
      <c r="G713" s="195">
        <f>IF(B713="","",SIN(2*E713)/(COSH(2*D713)+COS(2*E713)))</f>
        <v/>
      </c>
      <c r="H713" s="195">
        <f>IF(B713="","",ATANH(MIN(0.999999,'入力・概要'!$E$21/'入力・概要'!$E$15))+'入力・概要'!$B$21*SQRT(B713/1E6)+I713*'入力・概要'!$B$16/2)</f>
        <v/>
      </c>
      <c r="I713" s="195">
        <f>IF(B713="","",C713*('入力・概要'!$E$17*1E-9))</f>
        <v/>
      </c>
      <c r="J713" s="195">
        <f>IF(B713="","",SINH(2*H713)/(COSH(2*H713)+COS(2*I713)))</f>
        <v/>
      </c>
      <c r="K713" s="195">
        <f>IF(B713="","",SIN(2*I713)/(COSH(2*H713)+COS(2*I713)))</f>
        <v/>
      </c>
      <c r="L713" s="195">
        <f>IF(B713="","",'入力・概要'!$B$25)</f>
        <v/>
      </c>
      <c r="M713" s="195">
        <f>IF(B713="","",C713*'入力・概要'!$B$26*1E-9-1/(C713*'入力・概要'!$B$24*1E-6))</f>
        <v/>
      </c>
      <c r="N713" s="195">
        <f>IF(B713="","",'入力・概要'!$B$28)</f>
        <v/>
      </c>
      <c r="O713" s="195">
        <f>IF(B713="","",C713*'入力・概要'!$B$29*1E-9-1/(C713*'入力・概要'!$B$27*1E-6))</f>
        <v/>
      </c>
      <c r="P713" s="195">
        <f>IF(B713="","",((L713*N713-M713*O713)*(L713+N713)+(L713*O713+M713*N713)*(M713+O713))/((L713+N713)^2+(M713+O713)^2))</f>
        <v/>
      </c>
      <c r="Q713" s="195">
        <f>IF(B713="","",((L713*O713+M713*N713)*(L713+N713)-(L713*N713-M713*O713)*(M713+O713))/((L713+N713)^2+(M713+O713)^2))</f>
        <v/>
      </c>
      <c r="R713" s="195">
        <f>IF(B713="","",'入力・概要'!$E$15*J713)</f>
        <v/>
      </c>
      <c r="S713" s="195">
        <f>IF(B713="","",'入力・概要'!$E$15*K713)</f>
        <v/>
      </c>
      <c r="T713" s="195">
        <f>IF(B713="","",P713+R713)</f>
        <v/>
      </c>
      <c r="U713" s="195">
        <f>IF(B713="","",Q713+S713)</f>
        <v/>
      </c>
      <c r="V713" s="195">
        <f>IF(B713="","",T713+'入力・概要'!$E$9*F713)</f>
        <v/>
      </c>
      <c r="W713" s="195">
        <f>IF(B713="","",U713+'入力・概要'!$E$9*G713)</f>
        <v/>
      </c>
      <c r="X713" s="195">
        <f>IF(B713="","",'入力・概要'!$E$9+T713*F713-U713*G713)</f>
        <v/>
      </c>
      <c r="Y713" s="195">
        <f>IF(B713="","",T713*G713+U713*F713)</f>
        <v/>
      </c>
      <c r="Z713" s="195">
        <f>IF(B713="","",'入力・概要'!$E$9*(V713*X713+W713*Y713)/(X713^2+Y713^2)+'入力・概要'!$B$36)</f>
        <v/>
      </c>
      <c r="AA713" s="195">
        <f>IF(B713="","",'入力・概要'!$E$9*(W713*X713-V713*Y713)/(X713^2+Y713^2)+C713*'入力・概要'!$B$37*1E-9)</f>
        <v/>
      </c>
      <c r="AB713" s="195">
        <f>IF(B713="","",SQRT(Z713^2+AA713^2))</f>
        <v/>
      </c>
      <c r="AC713" s="195">
        <f>IF(B713="","",IF(Z713&gt;0,DEGREES(ATAN(AA713/Z713)),IF(Z713&lt;0,IF(AA713&gt;=0,DEGREES(ATAN(AA713/Z713))+180,DEGREES(ATAN(AA713/Z713))-180),IF(AA713&gt;0,90,IF(AA713&lt;0,-90,0)))))</f>
        <v/>
      </c>
      <c r="AD713" s="195">
        <f>IF(B713="","",LOG10(B713))</f>
        <v/>
      </c>
      <c r="AE713" s="195">
        <f>IF(AB713="","",LOG10(MAX(AB713,1E-12)))</f>
        <v/>
      </c>
      <c r="AF713" s="195">
        <f>IF(B713="","",SQRT(P713^2+Q713^2))</f>
        <v/>
      </c>
      <c r="AG713" s="195">
        <f>IF(B713="","",SQRT(R713^2+S713^2))</f>
        <v/>
      </c>
    </row>
    <row r="714">
      <c r="A714" t="n">
        <v>711</v>
      </c>
      <c r="B714" s="196">
        <f>IF(A714&lt;='入力・概要'!$B$40,10^(LOG10('入力・概要'!$B$38)+(A714-1)*(LOG10('入力・概要'!$B$39)-LOG10('入力・概要'!$B$38))/('入力・概要'!$B$40-1)),"")</f>
        <v/>
      </c>
      <c r="C714" s="195">
        <f>IF(B714="","",2*PI()*B714)</f>
        <v/>
      </c>
      <c r="D714" s="195">
        <f>IF(B714="","",ATANH(MIN(0.999999,'入力・概要'!$E$20/'入力・概要'!$E$9))+'入力・概要'!$B$20*SQRT(B714/1E6)+E714*'入力・概要'!$B$15/2)</f>
        <v/>
      </c>
      <c r="E714" s="195">
        <f>IF(B714="","",C714*('入力・概要'!$E$11*1E-9))</f>
        <v/>
      </c>
      <c r="F714" s="195">
        <f>IF(B714="","",SINH(2*D714)/(COSH(2*D714)+COS(2*E714)))</f>
        <v/>
      </c>
      <c r="G714" s="195">
        <f>IF(B714="","",SIN(2*E714)/(COSH(2*D714)+COS(2*E714)))</f>
        <v/>
      </c>
      <c r="H714" s="195">
        <f>IF(B714="","",ATANH(MIN(0.999999,'入力・概要'!$E$21/'入力・概要'!$E$15))+'入力・概要'!$B$21*SQRT(B714/1E6)+I714*'入力・概要'!$B$16/2)</f>
        <v/>
      </c>
      <c r="I714" s="195">
        <f>IF(B714="","",C714*('入力・概要'!$E$17*1E-9))</f>
        <v/>
      </c>
      <c r="J714" s="195">
        <f>IF(B714="","",SINH(2*H714)/(COSH(2*H714)+COS(2*I714)))</f>
        <v/>
      </c>
      <c r="K714" s="195">
        <f>IF(B714="","",SIN(2*I714)/(COSH(2*H714)+COS(2*I714)))</f>
        <v/>
      </c>
      <c r="L714" s="195">
        <f>IF(B714="","",'入力・概要'!$B$25)</f>
        <v/>
      </c>
      <c r="M714" s="195">
        <f>IF(B714="","",C714*'入力・概要'!$B$26*1E-9-1/(C714*'入力・概要'!$B$24*1E-6))</f>
        <v/>
      </c>
      <c r="N714" s="195">
        <f>IF(B714="","",'入力・概要'!$B$28)</f>
        <v/>
      </c>
      <c r="O714" s="195">
        <f>IF(B714="","",C714*'入力・概要'!$B$29*1E-9-1/(C714*'入力・概要'!$B$27*1E-6))</f>
        <v/>
      </c>
      <c r="P714" s="195">
        <f>IF(B714="","",((L714*N714-M714*O714)*(L714+N714)+(L714*O714+M714*N714)*(M714+O714))/((L714+N714)^2+(M714+O714)^2))</f>
        <v/>
      </c>
      <c r="Q714" s="195">
        <f>IF(B714="","",((L714*O714+M714*N714)*(L714+N714)-(L714*N714-M714*O714)*(M714+O714))/((L714+N714)^2+(M714+O714)^2))</f>
        <v/>
      </c>
      <c r="R714" s="195">
        <f>IF(B714="","",'入力・概要'!$E$15*J714)</f>
        <v/>
      </c>
      <c r="S714" s="195">
        <f>IF(B714="","",'入力・概要'!$E$15*K714)</f>
        <v/>
      </c>
      <c r="T714" s="195">
        <f>IF(B714="","",P714+R714)</f>
        <v/>
      </c>
      <c r="U714" s="195">
        <f>IF(B714="","",Q714+S714)</f>
        <v/>
      </c>
      <c r="V714" s="195">
        <f>IF(B714="","",T714+'入力・概要'!$E$9*F714)</f>
        <v/>
      </c>
      <c r="W714" s="195">
        <f>IF(B714="","",U714+'入力・概要'!$E$9*G714)</f>
        <v/>
      </c>
      <c r="X714" s="195">
        <f>IF(B714="","",'入力・概要'!$E$9+T714*F714-U714*G714)</f>
        <v/>
      </c>
      <c r="Y714" s="195">
        <f>IF(B714="","",T714*G714+U714*F714)</f>
        <v/>
      </c>
      <c r="Z714" s="195">
        <f>IF(B714="","",'入力・概要'!$E$9*(V714*X714+W714*Y714)/(X714^2+Y714^2)+'入力・概要'!$B$36)</f>
        <v/>
      </c>
      <c r="AA714" s="195">
        <f>IF(B714="","",'入力・概要'!$E$9*(W714*X714-V714*Y714)/(X714^2+Y714^2)+C714*'入力・概要'!$B$37*1E-9)</f>
        <v/>
      </c>
      <c r="AB714" s="195">
        <f>IF(B714="","",SQRT(Z714^2+AA714^2))</f>
        <v/>
      </c>
      <c r="AC714" s="195">
        <f>IF(B714="","",IF(Z714&gt;0,DEGREES(ATAN(AA714/Z714)),IF(Z714&lt;0,IF(AA714&gt;=0,DEGREES(ATAN(AA714/Z714))+180,DEGREES(ATAN(AA714/Z714))-180),IF(AA714&gt;0,90,IF(AA714&lt;0,-90,0)))))</f>
        <v/>
      </c>
      <c r="AD714" s="195">
        <f>IF(B714="","",LOG10(B714))</f>
        <v/>
      </c>
      <c r="AE714" s="195">
        <f>IF(AB714="","",LOG10(MAX(AB714,1E-12)))</f>
        <v/>
      </c>
      <c r="AF714" s="195">
        <f>IF(B714="","",SQRT(P714^2+Q714^2))</f>
        <v/>
      </c>
      <c r="AG714" s="195">
        <f>IF(B714="","",SQRT(R714^2+S714^2))</f>
        <v/>
      </c>
    </row>
    <row r="715">
      <c r="A715" t="n">
        <v>712</v>
      </c>
      <c r="B715" s="196">
        <f>IF(A715&lt;='入力・概要'!$B$40,10^(LOG10('入力・概要'!$B$38)+(A715-1)*(LOG10('入力・概要'!$B$39)-LOG10('入力・概要'!$B$38))/('入力・概要'!$B$40-1)),"")</f>
        <v/>
      </c>
      <c r="C715" s="195">
        <f>IF(B715="","",2*PI()*B715)</f>
        <v/>
      </c>
      <c r="D715" s="195">
        <f>IF(B715="","",ATANH(MIN(0.999999,'入力・概要'!$E$20/'入力・概要'!$E$9))+'入力・概要'!$B$20*SQRT(B715/1E6)+E715*'入力・概要'!$B$15/2)</f>
        <v/>
      </c>
      <c r="E715" s="195">
        <f>IF(B715="","",C715*('入力・概要'!$E$11*1E-9))</f>
        <v/>
      </c>
      <c r="F715" s="195">
        <f>IF(B715="","",SINH(2*D715)/(COSH(2*D715)+COS(2*E715)))</f>
        <v/>
      </c>
      <c r="G715" s="195">
        <f>IF(B715="","",SIN(2*E715)/(COSH(2*D715)+COS(2*E715)))</f>
        <v/>
      </c>
      <c r="H715" s="195">
        <f>IF(B715="","",ATANH(MIN(0.999999,'入力・概要'!$E$21/'入力・概要'!$E$15))+'入力・概要'!$B$21*SQRT(B715/1E6)+I715*'入力・概要'!$B$16/2)</f>
        <v/>
      </c>
      <c r="I715" s="195">
        <f>IF(B715="","",C715*('入力・概要'!$E$17*1E-9))</f>
        <v/>
      </c>
      <c r="J715" s="195">
        <f>IF(B715="","",SINH(2*H715)/(COSH(2*H715)+COS(2*I715)))</f>
        <v/>
      </c>
      <c r="K715" s="195">
        <f>IF(B715="","",SIN(2*I715)/(COSH(2*H715)+COS(2*I715)))</f>
        <v/>
      </c>
      <c r="L715" s="195">
        <f>IF(B715="","",'入力・概要'!$B$25)</f>
        <v/>
      </c>
      <c r="M715" s="195">
        <f>IF(B715="","",C715*'入力・概要'!$B$26*1E-9-1/(C715*'入力・概要'!$B$24*1E-6))</f>
        <v/>
      </c>
      <c r="N715" s="195">
        <f>IF(B715="","",'入力・概要'!$B$28)</f>
        <v/>
      </c>
      <c r="O715" s="195">
        <f>IF(B715="","",C715*'入力・概要'!$B$29*1E-9-1/(C715*'入力・概要'!$B$27*1E-6))</f>
        <v/>
      </c>
      <c r="P715" s="195">
        <f>IF(B715="","",((L715*N715-M715*O715)*(L715+N715)+(L715*O715+M715*N715)*(M715+O715))/((L715+N715)^2+(M715+O715)^2))</f>
        <v/>
      </c>
      <c r="Q715" s="195">
        <f>IF(B715="","",((L715*O715+M715*N715)*(L715+N715)-(L715*N715-M715*O715)*(M715+O715))/((L715+N715)^2+(M715+O715)^2))</f>
        <v/>
      </c>
      <c r="R715" s="195">
        <f>IF(B715="","",'入力・概要'!$E$15*J715)</f>
        <v/>
      </c>
      <c r="S715" s="195">
        <f>IF(B715="","",'入力・概要'!$E$15*K715)</f>
        <v/>
      </c>
      <c r="T715" s="195">
        <f>IF(B715="","",P715+R715)</f>
        <v/>
      </c>
      <c r="U715" s="195">
        <f>IF(B715="","",Q715+S715)</f>
        <v/>
      </c>
      <c r="V715" s="195">
        <f>IF(B715="","",T715+'入力・概要'!$E$9*F715)</f>
        <v/>
      </c>
      <c r="W715" s="195">
        <f>IF(B715="","",U715+'入力・概要'!$E$9*G715)</f>
        <v/>
      </c>
      <c r="X715" s="195">
        <f>IF(B715="","",'入力・概要'!$E$9+T715*F715-U715*G715)</f>
        <v/>
      </c>
      <c r="Y715" s="195">
        <f>IF(B715="","",T715*G715+U715*F715)</f>
        <v/>
      </c>
      <c r="Z715" s="195">
        <f>IF(B715="","",'入力・概要'!$E$9*(V715*X715+W715*Y715)/(X715^2+Y715^2)+'入力・概要'!$B$36)</f>
        <v/>
      </c>
      <c r="AA715" s="195">
        <f>IF(B715="","",'入力・概要'!$E$9*(W715*X715-V715*Y715)/(X715^2+Y715^2)+C715*'入力・概要'!$B$37*1E-9)</f>
        <v/>
      </c>
      <c r="AB715" s="195">
        <f>IF(B715="","",SQRT(Z715^2+AA715^2))</f>
        <v/>
      </c>
      <c r="AC715" s="195">
        <f>IF(B715="","",IF(Z715&gt;0,DEGREES(ATAN(AA715/Z715)),IF(Z715&lt;0,IF(AA715&gt;=0,DEGREES(ATAN(AA715/Z715))+180,DEGREES(ATAN(AA715/Z715))-180),IF(AA715&gt;0,90,IF(AA715&lt;0,-90,0)))))</f>
        <v/>
      </c>
      <c r="AD715" s="195">
        <f>IF(B715="","",LOG10(B715))</f>
        <v/>
      </c>
      <c r="AE715" s="195">
        <f>IF(AB715="","",LOG10(MAX(AB715,1E-12)))</f>
        <v/>
      </c>
      <c r="AF715" s="195">
        <f>IF(B715="","",SQRT(P715^2+Q715^2))</f>
        <v/>
      </c>
      <c r="AG715" s="195">
        <f>IF(B715="","",SQRT(R715^2+S715^2))</f>
        <v/>
      </c>
    </row>
    <row r="716">
      <c r="A716" t="n">
        <v>713</v>
      </c>
      <c r="B716" s="196">
        <f>IF(A716&lt;='入力・概要'!$B$40,10^(LOG10('入力・概要'!$B$38)+(A716-1)*(LOG10('入力・概要'!$B$39)-LOG10('入力・概要'!$B$38))/('入力・概要'!$B$40-1)),"")</f>
        <v/>
      </c>
      <c r="C716" s="195">
        <f>IF(B716="","",2*PI()*B716)</f>
        <v/>
      </c>
      <c r="D716" s="195">
        <f>IF(B716="","",ATANH(MIN(0.999999,'入力・概要'!$E$20/'入力・概要'!$E$9))+'入力・概要'!$B$20*SQRT(B716/1E6)+E716*'入力・概要'!$B$15/2)</f>
        <v/>
      </c>
      <c r="E716" s="195">
        <f>IF(B716="","",C716*('入力・概要'!$E$11*1E-9))</f>
        <v/>
      </c>
      <c r="F716" s="195">
        <f>IF(B716="","",SINH(2*D716)/(COSH(2*D716)+COS(2*E716)))</f>
        <v/>
      </c>
      <c r="G716" s="195">
        <f>IF(B716="","",SIN(2*E716)/(COSH(2*D716)+COS(2*E716)))</f>
        <v/>
      </c>
      <c r="H716" s="195">
        <f>IF(B716="","",ATANH(MIN(0.999999,'入力・概要'!$E$21/'入力・概要'!$E$15))+'入力・概要'!$B$21*SQRT(B716/1E6)+I716*'入力・概要'!$B$16/2)</f>
        <v/>
      </c>
      <c r="I716" s="195">
        <f>IF(B716="","",C716*('入力・概要'!$E$17*1E-9))</f>
        <v/>
      </c>
      <c r="J716" s="195">
        <f>IF(B716="","",SINH(2*H716)/(COSH(2*H716)+COS(2*I716)))</f>
        <v/>
      </c>
      <c r="K716" s="195">
        <f>IF(B716="","",SIN(2*I716)/(COSH(2*H716)+COS(2*I716)))</f>
        <v/>
      </c>
      <c r="L716" s="195">
        <f>IF(B716="","",'入力・概要'!$B$25)</f>
        <v/>
      </c>
      <c r="M716" s="195">
        <f>IF(B716="","",C716*'入力・概要'!$B$26*1E-9-1/(C716*'入力・概要'!$B$24*1E-6))</f>
        <v/>
      </c>
      <c r="N716" s="195">
        <f>IF(B716="","",'入力・概要'!$B$28)</f>
        <v/>
      </c>
      <c r="O716" s="195">
        <f>IF(B716="","",C716*'入力・概要'!$B$29*1E-9-1/(C716*'入力・概要'!$B$27*1E-6))</f>
        <v/>
      </c>
      <c r="P716" s="195">
        <f>IF(B716="","",((L716*N716-M716*O716)*(L716+N716)+(L716*O716+M716*N716)*(M716+O716))/((L716+N716)^2+(M716+O716)^2))</f>
        <v/>
      </c>
      <c r="Q716" s="195">
        <f>IF(B716="","",((L716*O716+M716*N716)*(L716+N716)-(L716*N716-M716*O716)*(M716+O716))/((L716+N716)^2+(M716+O716)^2))</f>
        <v/>
      </c>
      <c r="R716" s="195">
        <f>IF(B716="","",'入力・概要'!$E$15*J716)</f>
        <v/>
      </c>
      <c r="S716" s="195">
        <f>IF(B716="","",'入力・概要'!$E$15*K716)</f>
        <v/>
      </c>
      <c r="T716" s="195">
        <f>IF(B716="","",P716+R716)</f>
        <v/>
      </c>
      <c r="U716" s="195">
        <f>IF(B716="","",Q716+S716)</f>
        <v/>
      </c>
      <c r="V716" s="195">
        <f>IF(B716="","",T716+'入力・概要'!$E$9*F716)</f>
        <v/>
      </c>
      <c r="W716" s="195">
        <f>IF(B716="","",U716+'入力・概要'!$E$9*G716)</f>
        <v/>
      </c>
      <c r="X716" s="195">
        <f>IF(B716="","",'入力・概要'!$E$9+T716*F716-U716*G716)</f>
        <v/>
      </c>
      <c r="Y716" s="195">
        <f>IF(B716="","",T716*G716+U716*F716)</f>
        <v/>
      </c>
      <c r="Z716" s="195">
        <f>IF(B716="","",'入力・概要'!$E$9*(V716*X716+W716*Y716)/(X716^2+Y716^2)+'入力・概要'!$B$36)</f>
        <v/>
      </c>
      <c r="AA716" s="195">
        <f>IF(B716="","",'入力・概要'!$E$9*(W716*X716-V716*Y716)/(X716^2+Y716^2)+C716*'入力・概要'!$B$37*1E-9)</f>
        <v/>
      </c>
      <c r="AB716" s="195">
        <f>IF(B716="","",SQRT(Z716^2+AA716^2))</f>
        <v/>
      </c>
      <c r="AC716" s="195">
        <f>IF(B716="","",IF(Z716&gt;0,DEGREES(ATAN(AA716/Z716)),IF(Z716&lt;0,IF(AA716&gt;=0,DEGREES(ATAN(AA716/Z716))+180,DEGREES(ATAN(AA716/Z716))-180),IF(AA716&gt;0,90,IF(AA716&lt;0,-90,0)))))</f>
        <v/>
      </c>
      <c r="AD716" s="195">
        <f>IF(B716="","",LOG10(B716))</f>
        <v/>
      </c>
      <c r="AE716" s="195">
        <f>IF(AB716="","",LOG10(MAX(AB716,1E-12)))</f>
        <v/>
      </c>
      <c r="AF716" s="195">
        <f>IF(B716="","",SQRT(P716^2+Q716^2))</f>
        <v/>
      </c>
      <c r="AG716" s="195">
        <f>IF(B716="","",SQRT(R716^2+S716^2))</f>
        <v/>
      </c>
    </row>
    <row r="717">
      <c r="A717" t="n">
        <v>714</v>
      </c>
      <c r="B717" s="196">
        <f>IF(A717&lt;='入力・概要'!$B$40,10^(LOG10('入力・概要'!$B$38)+(A717-1)*(LOG10('入力・概要'!$B$39)-LOG10('入力・概要'!$B$38))/('入力・概要'!$B$40-1)),"")</f>
        <v/>
      </c>
      <c r="C717" s="195">
        <f>IF(B717="","",2*PI()*B717)</f>
        <v/>
      </c>
      <c r="D717" s="195">
        <f>IF(B717="","",ATANH(MIN(0.999999,'入力・概要'!$E$20/'入力・概要'!$E$9))+'入力・概要'!$B$20*SQRT(B717/1E6)+E717*'入力・概要'!$B$15/2)</f>
        <v/>
      </c>
      <c r="E717" s="195">
        <f>IF(B717="","",C717*('入力・概要'!$E$11*1E-9))</f>
        <v/>
      </c>
      <c r="F717" s="195">
        <f>IF(B717="","",SINH(2*D717)/(COSH(2*D717)+COS(2*E717)))</f>
        <v/>
      </c>
      <c r="G717" s="195">
        <f>IF(B717="","",SIN(2*E717)/(COSH(2*D717)+COS(2*E717)))</f>
        <v/>
      </c>
      <c r="H717" s="195">
        <f>IF(B717="","",ATANH(MIN(0.999999,'入力・概要'!$E$21/'入力・概要'!$E$15))+'入力・概要'!$B$21*SQRT(B717/1E6)+I717*'入力・概要'!$B$16/2)</f>
        <v/>
      </c>
      <c r="I717" s="195">
        <f>IF(B717="","",C717*('入力・概要'!$E$17*1E-9))</f>
        <v/>
      </c>
      <c r="J717" s="195">
        <f>IF(B717="","",SINH(2*H717)/(COSH(2*H717)+COS(2*I717)))</f>
        <v/>
      </c>
      <c r="K717" s="195">
        <f>IF(B717="","",SIN(2*I717)/(COSH(2*H717)+COS(2*I717)))</f>
        <v/>
      </c>
      <c r="L717" s="195">
        <f>IF(B717="","",'入力・概要'!$B$25)</f>
        <v/>
      </c>
      <c r="M717" s="195">
        <f>IF(B717="","",C717*'入力・概要'!$B$26*1E-9-1/(C717*'入力・概要'!$B$24*1E-6))</f>
        <v/>
      </c>
      <c r="N717" s="195">
        <f>IF(B717="","",'入力・概要'!$B$28)</f>
        <v/>
      </c>
      <c r="O717" s="195">
        <f>IF(B717="","",C717*'入力・概要'!$B$29*1E-9-1/(C717*'入力・概要'!$B$27*1E-6))</f>
        <v/>
      </c>
      <c r="P717" s="195">
        <f>IF(B717="","",((L717*N717-M717*O717)*(L717+N717)+(L717*O717+M717*N717)*(M717+O717))/((L717+N717)^2+(M717+O717)^2))</f>
        <v/>
      </c>
      <c r="Q717" s="195">
        <f>IF(B717="","",((L717*O717+M717*N717)*(L717+N717)-(L717*N717-M717*O717)*(M717+O717))/((L717+N717)^2+(M717+O717)^2))</f>
        <v/>
      </c>
      <c r="R717" s="195">
        <f>IF(B717="","",'入力・概要'!$E$15*J717)</f>
        <v/>
      </c>
      <c r="S717" s="195">
        <f>IF(B717="","",'入力・概要'!$E$15*K717)</f>
        <v/>
      </c>
      <c r="T717" s="195">
        <f>IF(B717="","",P717+R717)</f>
        <v/>
      </c>
      <c r="U717" s="195">
        <f>IF(B717="","",Q717+S717)</f>
        <v/>
      </c>
      <c r="V717" s="195">
        <f>IF(B717="","",T717+'入力・概要'!$E$9*F717)</f>
        <v/>
      </c>
      <c r="W717" s="195">
        <f>IF(B717="","",U717+'入力・概要'!$E$9*G717)</f>
        <v/>
      </c>
      <c r="X717" s="195">
        <f>IF(B717="","",'入力・概要'!$E$9+T717*F717-U717*G717)</f>
        <v/>
      </c>
      <c r="Y717" s="195">
        <f>IF(B717="","",T717*G717+U717*F717)</f>
        <v/>
      </c>
      <c r="Z717" s="195">
        <f>IF(B717="","",'入力・概要'!$E$9*(V717*X717+W717*Y717)/(X717^2+Y717^2)+'入力・概要'!$B$36)</f>
        <v/>
      </c>
      <c r="AA717" s="195">
        <f>IF(B717="","",'入力・概要'!$E$9*(W717*X717-V717*Y717)/(X717^2+Y717^2)+C717*'入力・概要'!$B$37*1E-9)</f>
        <v/>
      </c>
      <c r="AB717" s="195">
        <f>IF(B717="","",SQRT(Z717^2+AA717^2))</f>
        <v/>
      </c>
      <c r="AC717" s="195">
        <f>IF(B717="","",IF(Z717&gt;0,DEGREES(ATAN(AA717/Z717)),IF(Z717&lt;0,IF(AA717&gt;=0,DEGREES(ATAN(AA717/Z717))+180,DEGREES(ATAN(AA717/Z717))-180),IF(AA717&gt;0,90,IF(AA717&lt;0,-90,0)))))</f>
        <v/>
      </c>
      <c r="AD717" s="195">
        <f>IF(B717="","",LOG10(B717))</f>
        <v/>
      </c>
      <c r="AE717" s="195">
        <f>IF(AB717="","",LOG10(MAX(AB717,1E-12)))</f>
        <v/>
      </c>
      <c r="AF717" s="195">
        <f>IF(B717="","",SQRT(P717^2+Q717^2))</f>
        <v/>
      </c>
      <c r="AG717" s="195">
        <f>IF(B717="","",SQRT(R717^2+S717^2))</f>
        <v/>
      </c>
    </row>
    <row r="718">
      <c r="A718" t="n">
        <v>715</v>
      </c>
      <c r="B718" s="196">
        <f>IF(A718&lt;='入力・概要'!$B$40,10^(LOG10('入力・概要'!$B$38)+(A718-1)*(LOG10('入力・概要'!$B$39)-LOG10('入力・概要'!$B$38))/('入力・概要'!$B$40-1)),"")</f>
        <v/>
      </c>
      <c r="C718" s="195">
        <f>IF(B718="","",2*PI()*B718)</f>
        <v/>
      </c>
      <c r="D718" s="195">
        <f>IF(B718="","",ATANH(MIN(0.999999,'入力・概要'!$E$20/'入力・概要'!$E$9))+'入力・概要'!$B$20*SQRT(B718/1E6)+E718*'入力・概要'!$B$15/2)</f>
        <v/>
      </c>
      <c r="E718" s="195">
        <f>IF(B718="","",C718*('入力・概要'!$E$11*1E-9))</f>
        <v/>
      </c>
      <c r="F718" s="195">
        <f>IF(B718="","",SINH(2*D718)/(COSH(2*D718)+COS(2*E718)))</f>
        <v/>
      </c>
      <c r="G718" s="195">
        <f>IF(B718="","",SIN(2*E718)/(COSH(2*D718)+COS(2*E718)))</f>
        <v/>
      </c>
      <c r="H718" s="195">
        <f>IF(B718="","",ATANH(MIN(0.999999,'入力・概要'!$E$21/'入力・概要'!$E$15))+'入力・概要'!$B$21*SQRT(B718/1E6)+I718*'入力・概要'!$B$16/2)</f>
        <v/>
      </c>
      <c r="I718" s="195">
        <f>IF(B718="","",C718*('入力・概要'!$E$17*1E-9))</f>
        <v/>
      </c>
      <c r="J718" s="195">
        <f>IF(B718="","",SINH(2*H718)/(COSH(2*H718)+COS(2*I718)))</f>
        <v/>
      </c>
      <c r="K718" s="195">
        <f>IF(B718="","",SIN(2*I718)/(COSH(2*H718)+COS(2*I718)))</f>
        <v/>
      </c>
      <c r="L718" s="195">
        <f>IF(B718="","",'入力・概要'!$B$25)</f>
        <v/>
      </c>
      <c r="M718" s="195">
        <f>IF(B718="","",C718*'入力・概要'!$B$26*1E-9-1/(C718*'入力・概要'!$B$24*1E-6))</f>
        <v/>
      </c>
      <c r="N718" s="195">
        <f>IF(B718="","",'入力・概要'!$B$28)</f>
        <v/>
      </c>
      <c r="O718" s="195">
        <f>IF(B718="","",C718*'入力・概要'!$B$29*1E-9-1/(C718*'入力・概要'!$B$27*1E-6))</f>
        <v/>
      </c>
      <c r="P718" s="195">
        <f>IF(B718="","",((L718*N718-M718*O718)*(L718+N718)+(L718*O718+M718*N718)*(M718+O718))/((L718+N718)^2+(M718+O718)^2))</f>
        <v/>
      </c>
      <c r="Q718" s="195">
        <f>IF(B718="","",((L718*O718+M718*N718)*(L718+N718)-(L718*N718-M718*O718)*(M718+O718))/((L718+N718)^2+(M718+O718)^2))</f>
        <v/>
      </c>
      <c r="R718" s="195">
        <f>IF(B718="","",'入力・概要'!$E$15*J718)</f>
        <v/>
      </c>
      <c r="S718" s="195">
        <f>IF(B718="","",'入力・概要'!$E$15*K718)</f>
        <v/>
      </c>
      <c r="T718" s="195">
        <f>IF(B718="","",P718+R718)</f>
        <v/>
      </c>
      <c r="U718" s="195">
        <f>IF(B718="","",Q718+S718)</f>
        <v/>
      </c>
      <c r="V718" s="195">
        <f>IF(B718="","",T718+'入力・概要'!$E$9*F718)</f>
        <v/>
      </c>
      <c r="W718" s="195">
        <f>IF(B718="","",U718+'入力・概要'!$E$9*G718)</f>
        <v/>
      </c>
      <c r="X718" s="195">
        <f>IF(B718="","",'入力・概要'!$E$9+T718*F718-U718*G718)</f>
        <v/>
      </c>
      <c r="Y718" s="195">
        <f>IF(B718="","",T718*G718+U718*F718)</f>
        <v/>
      </c>
      <c r="Z718" s="195">
        <f>IF(B718="","",'入力・概要'!$E$9*(V718*X718+W718*Y718)/(X718^2+Y718^2)+'入力・概要'!$B$36)</f>
        <v/>
      </c>
      <c r="AA718" s="195">
        <f>IF(B718="","",'入力・概要'!$E$9*(W718*X718-V718*Y718)/(X718^2+Y718^2)+C718*'入力・概要'!$B$37*1E-9)</f>
        <v/>
      </c>
      <c r="AB718" s="195">
        <f>IF(B718="","",SQRT(Z718^2+AA718^2))</f>
        <v/>
      </c>
      <c r="AC718" s="195">
        <f>IF(B718="","",IF(Z718&gt;0,DEGREES(ATAN(AA718/Z718)),IF(Z718&lt;0,IF(AA718&gt;=0,DEGREES(ATAN(AA718/Z718))+180,DEGREES(ATAN(AA718/Z718))-180),IF(AA718&gt;0,90,IF(AA718&lt;0,-90,0)))))</f>
        <v/>
      </c>
      <c r="AD718" s="195">
        <f>IF(B718="","",LOG10(B718))</f>
        <v/>
      </c>
      <c r="AE718" s="195">
        <f>IF(AB718="","",LOG10(MAX(AB718,1E-12)))</f>
        <v/>
      </c>
      <c r="AF718" s="195">
        <f>IF(B718="","",SQRT(P718^2+Q718^2))</f>
        <v/>
      </c>
      <c r="AG718" s="195">
        <f>IF(B718="","",SQRT(R718^2+S718^2))</f>
        <v/>
      </c>
    </row>
    <row r="719">
      <c r="A719" t="n">
        <v>716</v>
      </c>
      <c r="B719" s="196">
        <f>IF(A719&lt;='入力・概要'!$B$40,10^(LOG10('入力・概要'!$B$38)+(A719-1)*(LOG10('入力・概要'!$B$39)-LOG10('入力・概要'!$B$38))/('入力・概要'!$B$40-1)),"")</f>
        <v/>
      </c>
      <c r="C719" s="195">
        <f>IF(B719="","",2*PI()*B719)</f>
        <v/>
      </c>
      <c r="D719" s="195">
        <f>IF(B719="","",ATANH(MIN(0.999999,'入力・概要'!$E$20/'入力・概要'!$E$9))+'入力・概要'!$B$20*SQRT(B719/1E6)+E719*'入力・概要'!$B$15/2)</f>
        <v/>
      </c>
      <c r="E719" s="195">
        <f>IF(B719="","",C719*('入力・概要'!$E$11*1E-9))</f>
        <v/>
      </c>
      <c r="F719" s="195">
        <f>IF(B719="","",SINH(2*D719)/(COSH(2*D719)+COS(2*E719)))</f>
        <v/>
      </c>
      <c r="G719" s="195">
        <f>IF(B719="","",SIN(2*E719)/(COSH(2*D719)+COS(2*E719)))</f>
        <v/>
      </c>
      <c r="H719" s="195">
        <f>IF(B719="","",ATANH(MIN(0.999999,'入力・概要'!$E$21/'入力・概要'!$E$15))+'入力・概要'!$B$21*SQRT(B719/1E6)+I719*'入力・概要'!$B$16/2)</f>
        <v/>
      </c>
      <c r="I719" s="195">
        <f>IF(B719="","",C719*('入力・概要'!$E$17*1E-9))</f>
        <v/>
      </c>
      <c r="J719" s="195">
        <f>IF(B719="","",SINH(2*H719)/(COSH(2*H719)+COS(2*I719)))</f>
        <v/>
      </c>
      <c r="K719" s="195">
        <f>IF(B719="","",SIN(2*I719)/(COSH(2*H719)+COS(2*I719)))</f>
        <v/>
      </c>
      <c r="L719" s="195">
        <f>IF(B719="","",'入力・概要'!$B$25)</f>
        <v/>
      </c>
      <c r="M719" s="195">
        <f>IF(B719="","",C719*'入力・概要'!$B$26*1E-9-1/(C719*'入力・概要'!$B$24*1E-6))</f>
        <v/>
      </c>
      <c r="N719" s="195">
        <f>IF(B719="","",'入力・概要'!$B$28)</f>
        <v/>
      </c>
      <c r="O719" s="195">
        <f>IF(B719="","",C719*'入力・概要'!$B$29*1E-9-1/(C719*'入力・概要'!$B$27*1E-6))</f>
        <v/>
      </c>
      <c r="P719" s="195">
        <f>IF(B719="","",((L719*N719-M719*O719)*(L719+N719)+(L719*O719+M719*N719)*(M719+O719))/((L719+N719)^2+(M719+O719)^2))</f>
        <v/>
      </c>
      <c r="Q719" s="195">
        <f>IF(B719="","",((L719*O719+M719*N719)*(L719+N719)-(L719*N719-M719*O719)*(M719+O719))/((L719+N719)^2+(M719+O719)^2))</f>
        <v/>
      </c>
      <c r="R719" s="195">
        <f>IF(B719="","",'入力・概要'!$E$15*J719)</f>
        <v/>
      </c>
      <c r="S719" s="195">
        <f>IF(B719="","",'入力・概要'!$E$15*K719)</f>
        <v/>
      </c>
      <c r="T719" s="195">
        <f>IF(B719="","",P719+R719)</f>
        <v/>
      </c>
      <c r="U719" s="195">
        <f>IF(B719="","",Q719+S719)</f>
        <v/>
      </c>
      <c r="V719" s="195">
        <f>IF(B719="","",T719+'入力・概要'!$E$9*F719)</f>
        <v/>
      </c>
      <c r="W719" s="195">
        <f>IF(B719="","",U719+'入力・概要'!$E$9*G719)</f>
        <v/>
      </c>
      <c r="X719" s="195">
        <f>IF(B719="","",'入力・概要'!$E$9+T719*F719-U719*G719)</f>
        <v/>
      </c>
      <c r="Y719" s="195">
        <f>IF(B719="","",T719*G719+U719*F719)</f>
        <v/>
      </c>
      <c r="Z719" s="195">
        <f>IF(B719="","",'入力・概要'!$E$9*(V719*X719+W719*Y719)/(X719^2+Y719^2)+'入力・概要'!$B$36)</f>
        <v/>
      </c>
      <c r="AA719" s="195">
        <f>IF(B719="","",'入力・概要'!$E$9*(W719*X719-V719*Y719)/(X719^2+Y719^2)+C719*'入力・概要'!$B$37*1E-9)</f>
        <v/>
      </c>
      <c r="AB719" s="195">
        <f>IF(B719="","",SQRT(Z719^2+AA719^2))</f>
        <v/>
      </c>
      <c r="AC719" s="195">
        <f>IF(B719="","",IF(Z719&gt;0,DEGREES(ATAN(AA719/Z719)),IF(Z719&lt;0,IF(AA719&gt;=0,DEGREES(ATAN(AA719/Z719))+180,DEGREES(ATAN(AA719/Z719))-180),IF(AA719&gt;0,90,IF(AA719&lt;0,-90,0)))))</f>
        <v/>
      </c>
      <c r="AD719" s="195">
        <f>IF(B719="","",LOG10(B719))</f>
        <v/>
      </c>
      <c r="AE719" s="195">
        <f>IF(AB719="","",LOG10(MAX(AB719,1E-12)))</f>
        <v/>
      </c>
      <c r="AF719" s="195">
        <f>IF(B719="","",SQRT(P719^2+Q719^2))</f>
        <v/>
      </c>
      <c r="AG719" s="195">
        <f>IF(B719="","",SQRT(R719^2+S719^2))</f>
        <v/>
      </c>
    </row>
    <row r="720">
      <c r="A720" t="n">
        <v>717</v>
      </c>
      <c r="B720" s="196">
        <f>IF(A720&lt;='入力・概要'!$B$40,10^(LOG10('入力・概要'!$B$38)+(A720-1)*(LOG10('入力・概要'!$B$39)-LOG10('入力・概要'!$B$38))/('入力・概要'!$B$40-1)),"")</f>
        <v/>
      </c>
      <c r="C720" s="195">
        <f>IF(B720="","",2*PI()*B720)</f>
        <v/>
      </c>
      <c r="D720" s="195">
        <f>IF(B720="","",ATANH(MIN(0.999999,'入力・概要'!$E$20/'入力・概要'!$E$9))+'入力・概要'!$B$20*SQRT(B720/1E6)+E720*'入力・概要'!$B$15/2)</f>
        <v/>
      </c>
      <c r="E720" s="195">
        <f>IF(B720="","",C720*('入力・概要'!$E$11*1E-9))</f>
        <v/>
      </c>
      <c r="F720" s="195">
        <f>IF(B720="","",SINH(2*D720)/(COSH(2*D720)+COS(2*E720)))</f>
        <v/>
      </c>
      <c r="G720" s="195">
        <f>IF(B720="","",SIN(2*E720)/(COSH(2*D720)+COS(2*E720)))</f>
        <v/>
      </c>
      <c r="H720" s="195">
        <f>IF(B720="","",ATANH(MIN(0.999999,'入力・概要'!$E$21/'入力・概要'!$E$15))+'入力・概要'!$B$21*SQRT(B720/1E6)+I720*'入力・概要'!$B$16/2)</f>
        <v/>
      </c>
      <c r="I720" s="195">
        <f>IF(B720="","",C720*('入力・概要'!$E$17*1E-9))</f>
        <v/>
      </c>
      <c r="J720" s="195">
        <f>IF(B720="","",SINH(2*H720)/(COSH(2*H720)+COS(2*I720)))</f>
        <v/>
      </c>
      <c r="K720" s="195">
        <f>IF(B720="","",SIN(2*I720)/(COSH(2*H720)+COS(2*I720)))</f>
        <v/>
      </c>
      <c r="L720" s="195">
        <f>IF(B720="","",'入力・概要'!$B$25)</f>
        <v/>
      </c>
      <c r="M720" s="195">
        <f>IF(B720="","",C720*'入力・概要'!$B$26*1E-9-1/(C720*'入力・概要'!$B$24*1E-6))</f>
        <v/>
      </c>
      <c r="N720" s="195">
        <f>IF(B720="","",'入力・概要'!$B$28)</f>
        <v/>
      </c>
      <c r="O720" s="195">
        <f>IF(B720="","",C720*'入力・概要'!$B$29*1E-9-1/(C720*'入力・概要'!$B$27*1E-6))</f>
        <v/>
      </c>
      <c r="P720" s="195">
        <f>IF(B720="","",((L720*N720-M720*O720)*(L720+N720)+(L720*O720+M720*N720)*(M720+O720))/((L720+N720)^2+(M720+O720)^2))</f>
        <v/>
      </c>
      <c r="Q720" s="195">
        <f>IF(B720="","",((L720*O720+M720*N720)*(L720+N720)-(L720*N720-M720*O720)*(M720+O720))/((L720+N720)^2+(M720+O720)^2))</f>
        <v/>
      </c>
      <c r="R720" s="195">
        <f>IF(B720="","",'入力・概要'!$E$15*J720)</f>
        <v/>
      </c>
      <c r="S720" s="195">
        <f>IF(B720="","",'入力・概要'!$E$15*K720)</f>
        <v/>
      </c>
      <c r="T720" s="195">
        <f>IF(B720="","",P720+R720)</f>
        <v/>
      </c>
      <c r="U720" s="195">
        <f>IF(B720="","",Q720+S720)</f>
        <v/>
      </c>
      <c r="V720" s="195">
        <f>IF(B720="","",T720+'入力・概要'!$E$9*F720)</f>
        <v/>
      </c>
      <c r="W720" s="195">
        <f>IF(B720="","",U720+'入力・概要'!$E$9*G720)</f>
        <v/>
      </c>
      <c r="X720" s="195">
        <f>IF(B720="","",'入力・概要'!$E$9+T720*F720-U720*G720)</f>
        <v/>
      </c>
      <c r="Y720" s="195">
        <f>IF(B720="","",T720*G720+U720*F720)</f>
        <v/>
      </c>
      <c r="Z720" s="195">
        <f>IF(B720="","",'入力・概要'!$E$9*(V720*X720+W720*Y720)/(X720^2+Y720^2)+'入力・概要'!$B$36)</f>
        <v/>
      </c>
      <c r="AA720" s="195">
        <f>IF(B720="","",'入力・概要'!$E$9*(W720*X720-V720*Y720)/(X720^2+Y720^2)+C720*'入力・概要'!$B$37*1E-9)</f>
        <v/>
      </c>
      <c r="AB720" s="195">
        <f>IF(B720="","",SQRT(Z720^2+AA720^2))</f>
        <v/>
      </c>
      <c r="AC720" s="195">
        <f>IF(B720="","",IF(Z720&gt;0,DEGREES(ATAN(AA720/Z720)),IF(Z720&lt;0,IF(AA720&gt;=0,DEGREES(ATAN(AA720/Z720))+180,DEGREES(ATAN(AA720/Z720))-180),IF(AA720&gt;0,90,IF(AA720&lt;0,-90,0)))))</f>
        <v/>
      </c>
      <c r="AD720" s="195">
        <f>IF(B720="","",LOG10(B720))</f>
        <v/>
      </c>
      <c r="AE720" s="195">
        <f>IF(AB720="","",LOG10(MAX(AB720,1E-12)))</f>
        <v/>
      </c>
      <c r="AF720" s="195">
        <f>IF(B720="","",SQRT(P720^2+Q720^2))</f>
        <v/>
      </c>
      <c r="AG720" s="195">
        <f>IF(B720="","",SQRT(R720^2+S720^2))</f>
        <v/>
      </c>
    </row>
    <row r="721">
      <c r="A721" t="n">
        <v>718</v>
      </c>
      <c r="B721" s="196">
        <f>IF(A721&lt;='入力・概要'!$B$40,10^(LOG10('入力・概要'!$B$38)+(A721-1)*(LOG10('入力・概要'!$B$39)-LOG10('入力・概要'!$B$38))/('入力・概要'!$B$40-1)),"")</f>
        <v/>
      </c>
      <c r="C721" s="195">
        <f>IF(B721="","",2*PI()*B721)</f>
        <v/>
      </c>
      <c r="D721" s="195">
        <f>IF(B721="","",ATANH(MIN(0.999999,'入力・概要'!$E$20/'入力・概要'!$E$9))+'入力・概要'!$B$20*SQRT(B721/1E6)+E721*'入力・概要'!$B$15/2)</f>
        <v/>
      </c>
      <c r="E721" s="195">
        <f>IF(B721="","",C721*('入力・概要'!$E$11*1E-9))</f>
        <v/>
      </c>
      <c r="F721" s="195">
        <f>IF(B721="","",SINH(2*D721)/(COSH(2*D721)+COS(2*E721)))</f>
        <v/>
      </c>
      <c r="G721" s="195">
        <f>IF(B721="","",SIN(2*E721)/(COSH(2*D721)+COS(2*E721)))</f>
        <v/>
      </c>
      <c r="H721" s="195">
        <f>IF(B721="","",ATANH(MIN(0.999999,'入力・概要'!$E$21/'入力・概要'!$E$15))+'入力・概要'!$B$21*SQRT(B721/1E6)+I721*'入力・概要'!$B$16/2)</f>
        <v/>
      </c>
      <c r="I721" s="195">
        <f>IF(B721="","",C721*('入力・概要'!$E$17*1E-9))</f>
        <v/>
      </c>
      <c r="J721" s="195">
        <f>IF(B721="","",SINH(2*H721)/(COSH(2*H721)+COS(2*I721)))</f>
        <v/>
      </c>
      <c r="K721" s="195">
        <f>IF(B721="","",SIN(2*I721)/(COSH(2*H721)+COS(2*I721)))</f>
        <v/>
      </c>
      <c r="L721" s="195">
        <f>IF(B721="","",'入力・概要'!$B$25)</f>
        <v/>
      </c>
      <c r="M721" s="195">
        <f>IF(B721="","",C721*'入力・概要'!$B$26*1E-9-1/(C721*'入力・概要'!$B$24*1E-6))</f>
        <v/>
      </c>
      <c r="N721" s="195">
        <f>IF(B721="","",'入力・概要'!$B$28)</f>
        <v/>
      </c>
      <c r="O721" s="195">
        <f>IF(B721="","",C721*'入力・概要'!$B$29*1E-9-1/(C721*'入力・概要'!$B$27*1E-6))</f>
        <v/>
      </c>
      <c r="P721" s="195">
        <f>IF(B721="","",((L721*N721-M721*O721)*(L721+N721)+(L721*O721+M721*N721)*(M721+O721))/((L721+N721)^2+(M721+O721)^2))</f>
        <v/>
      </c>
      <c r="Q721" s="195">
        <f>IF(B721="","",((L721*O721+M721*N721)*(L721+N721)-(L721*N721-M721*O721)*(M721+O721))/((L721+N721)^2+(M721+O721)^2))</f>
        <v/>
      </c>
      <c r="R721" s="195">
        <f>IF(B721="","",'入力・概要'!$E$15*J721)</f>
        <v/>
      </c>
      <c r="S721" s="195">
        <f>IF(B721="","",'入力・概要'!$E$15*K721)</f>
        <v/>
      </c>
      <c r="T721" s="195">
        <f>IF(B721="","",P721+R721)</f>
        <v/>
      </c>
      <c r="U721" s="195">
        <f>IF(B721="","",Q721+S721)</f>
        <v/>
      </c>
      <c r="V721" s="195">
        <f>IF(B721="","",T721+'入力・概要'!$E$9*F721)</f>
        <v/>
      </c>
      <c r="W721" s="195">
        <f>IF(B721="","",U721+'入力・概要'!$E$9*G721)</f>
        <v/>
      </c>
      <c r="X721" s="195">
        <f>IF(B721="","",'入力・概要'!$E$9+T721*F721-U721*G721)</f>
        <v/>
      </c>
      <c r="Y721" s="195">
        <f>IF(B721="","",T721*G721+U721*F721)</f>
        <v/>
      </c>
      <c r="Z721" s="195">
        <f>IF(B721="","",'入力・概要'!$E$9*(V721*X721+W721*Y721)/(X721^2+Y721^2)+'入力・概要'!$B$36)</f>
        <v/>
      </c>
      <c r="AA721" s="195">
        <f>IF(B721="","",'入力・概要'!$E$9*(W721*X721-V721*Y721)/(X721^2+Y721^2)+C721*'入力・概要'!$B$37*1E-9)</f>
        <v/>
      </c>
      <c r="AB721" s="195">
        <f>IF(B721="","",SQRT(Z721^2+AA721^2))</f>
        <v/>
      </c>
      <c r="AC721" s="195">
        <f>IF(B721="","",IF(Z721&gt;0,DEGREES(ATAN(AA721/Z721)),IF(Z721&lt;0,IF(AA721&gt;=0,DEGREES(ATAN(AA721/Z721))+180,DEGREES(ATAN(AA721/Z721))-180),IF(AA721&gt;0,90,IF(AA721&lt;0,-90,0)))))</f>
        <v/>
      </c>
      <c r="AD721" s="195">
        <f>IF(B721="","",LOG10(B721))</f>
        <v/>
      </c>
      <c r="AE721" s="195">
        <f>IF(AB721="","",LOG10(MAX(AB721,1E-12)))</f>
        <v/>
      </c>
      <c r="AF721" s="195">
        <f>IF(B721="","",SQRT(P721^2+Q721^2))</f>
        <v/>
      </c>
      <c r="AG721" s="195">
        <f>IF(B721="","",SQRT(R721^2+S721^2))</f>
        <v/>
      </c>
    </row>
    <row r="722">
      <c r="A722" t="n">
        <v>719</v>
      </c>
      <c r="B722" s="196">
        <f>IF(A722&lt;='入力・概要'!$B$40,10^(LOG10('入力・概要'!$B$38)+(A722-1)*(LOG10('入力・概要'!$B$39)-LOG10('入力・概要'!$B$38))/('入力・概要'!$B$40-1)),"")</f>
        <v/>
      </c>
      <c r="C722" s="195">
        <f>IF(B722="","",2*PI()*B722)</f>
        <v/>
      </c>
      <c r="D722" s="195">
        <f>IF(B722="","",ATANH(MIN(0.999999,'入力・概要'!$E$20/'入力・概要'!$E$9))+'入力・概要'!$B$20*SQRT(B722/1E6)+E722*'入力・概要'!$B$15/2)</f>
        <v/>
      </c>
      <c r="E722" s="195">
        <f>IF(B722="","",C722*('入力・概要'!$E$11*1E-9))</f>
        <v/>
      </c>
      <c r="F722" s="195">
        <f>IF(B722="","",SINH(2*D722)/(COSH(2*D722)+COS(2*E722)))</f>
        <v/>
      </c>
      <c r="G722" s="195">
        <f>IF(B722="","",SIN(2*E722)/(COSH(2*D722)+COS(2*E722)))</f>
        <v/>
      </c>
      <c r="H722" s="195">
        <f>IF(B722="","",ATANH(MIN(0.999999,'入力・概要'!$E$21/'入力・概要'!$E$15))+'入力・概要'!$B$21*SQRT(B722/1E6)+I722*'入力・概要'!$B$16/2)</f>
        <v/>
      </c>
      <c r="I722" s="195">
        <f>IF(B722="","",C722*('入力・概要'!$E$17*1E-9))</f>
        <v/>
      </c>
      <c r="J722" s="195">
        <f>IF(B722="","",SINH(2*H722)/(COSH(2*H722)+COS(2*I722)))</f>
        <v/>
      </c>
      <c r="K722" s="195">
        <f>IF(B722="","",SIN(2*I722)/(COSH(2*H722)+COS(2*I722)))</f>
        <v/>
      </c>
      <c r="L722" s="195">
        <f>IF(B722="","",'入力・概要'!$B$25)</f>
        <v/>
      </c>
      <c r="M722" s="195">
        <f>IF(B722="","",C722*'入力・概要'!$B$26*1E-9-1/(C722*'入力・概要'!$B$24*1E-6))</f>
        <v/>
      </c>
      <c r="N722" s="195">
        <f>IF(B722="","",'入力・概要'!$B$28)</f>
        <v/>
      </c>
      <c r="O722" s="195">
        <f>IF(B722="","",C722*'入力・概要'!$B$29*1E-9-1/(C722*'入力・概要'!$B$27*1E-6))</f>
        <v/>
      </c>
      <c r="P722" s="195">
        <f>IF(B722="","",((L722*N722-M722*O722)*(L722+N722)+(L722*O722+M722*N722)*(M722+O722))/((L722+N722)^2+(M722+O722)^2))</f>
        <v/>
      </c>
      <c r="Q722" s="195">
        <f>IF(B722="","",((L722*O722+M722*N722)*(L722+N722)-(L722*N722-M722*O722)*(M722+O722))/((L722+N722)^2+(M722+O722)^2))</f>
        <v/>
      </c>
      <c r="R722" s="195">
        <f>IF(B722="","",'入力・概要'!$E$15*J722)</f>
        <v/>
      </c>
      <c r="S722" s="195">
        <f>IF(B722="","",'入力・概要'!$E$15*K722)</f>
        <v/>
      </c>
      <c r="T722" s="195">
        <f>IF(B722="","",P722+R722)</f>
        <v/>
      </c>
      <c r="U722" s="195">
        <f>IF(B722="","",Q722+S722)</f>
        <v/>
      </c>
      <c r="V722" s="195">
        <f>IF(B722="","",T722+'入力・概要'!$E$9*F722)</f>
        <v/>
      </c>
      <c r="W722" s="195">
        <f>IF(B722="","",U722+'入力・概要'!$E$9*G722)</f>
        <v/>
      </c>
      <c r="X722" s="195">
        <f>IF(B722="","",'入力・概要'!$E$9+T722*F722-U722*G722)</f>
        <v/>
      </c>
      <c r="Y722" s="195">
        <f>IF(B722="","",T722*G722+U722*F722)</f>
        <v/>
      </c>
      <c r="Z722" s="195">
        <f>IF(B722="","",'入力・概要'!$E$9*(V722*X722+W722*Y722)/(X722^2+Y722^2)+'入力・概要'!$B$36)</f>
        <v/>
      </c>
      <c r="AA722" s="195">
        <f>IF(B722="","",'入力・概要'!$E$9*(W722*X722-V722*Y722)/(X722^2+Y722^2)+C722*'入力・概要'!$B$37*1E-9)</f>
        <v/>
      </c>
      <c r="AB722" s="195">
        <f>IF(B722="","",SQRT(Z722^2+AA722^2))</f>
        <v/>
      </c>
      <c r="AC722" s="195">
        <f>IF(B722="","",IF(Z722&gt;0,DEGREES(ATAN(AA722/Z722)),IF(Z722&lt;0,IF(AA722&gt;=0,DEGREES(ATAN(AA722/Z722))+180,DEGREES(ATAN(AA722/Z722))-180),IF(AA722&gt;0,90,IF(AA722&lt;0,-90,0)))))</f>
        <v/>
      </c>
      <c r="AD722" s="195">
        <f>IF(B722="","",LOG10(B722))</f>
        <v/>
      </c>
      <c r="AE722" s="195">
        <f>IF(AB722="","",LOG10(MAX(AB722,1E-12)))</f>
        <v/>
      </c>
      <c r="AF722" s="195">
        <f>IF(B722="","",SQRT(P722^2+Q722^2))</f>
        <v/>
      </c>
      <c r="AG722" s="195">
        <f>IF(B722="","",SQRT(R722^2+S722^2))</f>
        <v/>
      </c>
    </row>
    <row r="723">
      <c r="A723" t="n">
        <v>720</v>
      </c>
      <c r="B723" s="196">
        <f>IF(A723&lt;='入力・概要'!$B$40,10^(LOG10('入力・概要'!$B$38)+(A723-1)*(LOG10('入力・概要'!$B$39)-LOG10('入力・概要'!$B$38))/('入力・概要'!$B$40-1)),"")</f>
        <v/>
      </c>
      <c r="C723" s="195">
        <f>IF(B723="","",2*PI()*B723)</f>
        <v/>
      </c>
      <c r="D723" s="195">
        <f>IF(B723="","",ATANH(MIN(0.999999,'入力・概要'!$E$20/'入力・概要'!$E$9))+'入力・概要'!$B$20*SQRT(B723/1E6)+E723*'入力・概要'!$B$15/2)</f>
        <v/>
      </c>
      <c r="E723" s="195">
        <f>IF(B723="","",C723*('入力・概要'!$E$11*1E-9))</f>
        <v/>
      </c>
      <c r="F723" s="195">
        <f>IF(B723="","",SINH(2*D723)/(COSH(2*D723)+COS(2*E723)))</f>
        <v/>
      </c>
      <c r="G723" s="195">
        <f>IF(B723="","",SIN(2*E723)/(COSH(2*D723)+COS(2*E723)))</f>
        <v/>
      </c>
      <c r="H723" s="195">
        <f>IF(B723="","",ATANH(MIN(0.999999,'入力・概要'!$E$21/'入力・概要'!$E$15))+'入力・概要'!$B$21*SQRT(B723/1E6)+I723*'入力・概要'!$B$16/2)</f>
        <v/>
      </c>
      <c r="I723" s="195">
        <f>IF(B723="","",C723*('入力・概要'!$E$17*1E-9))</f>
        <v/>
      </c>
      <c r="J723" s="195">
        <f>IF(B723="","",SINH(2*H723)/(COSH(2*H723)+COS(2*I723)))</f>
        <v/>
      </c>
      <c r="K723" s="195">
        <f>IF(B723="","",SIN(2*I723)/(COSH(2*H723)+COS(2*I723)))</f>
        <v/>
      </c>
      <c r="L723" s="195">
        <f>IF(B723="","",'入力・概要'!$B$25)</f>
        <v/>
      </c>
      <c r="M723" s="195">
        <f>IF(B723="","",C723*'入力・概要'!$B$26*1E-9-1/(C723*'入力・概要'!$B$24*1E-6))</f>
        <v/>
      </c>
      <c r="N723" s="195">
        <f>IF(B723="","",'入力・概要'!$B$28)</f>
        <v/>
      </c>
      <c r="O723" s="195">
        <f>IF(B723="","",C723*'入力・概要'!$B$29*1E-9-1/(C723*'入力・概要'!$B$27*1E-6))</f>
        <v/>
      </c>
      <c r="P723" s="195">
        <f>IF(B723="","",((L723*N723-M723*O723)*(L723+N723)+(L723*O723+M723*N723)*(M723+O723))/((L723+N723)^2+(M723+O723)^2))</f>
        <v/>
      </c>
      <c r="Q723" s="195">
        <f>IF(B723="","",((L723*O723+M723*N723)*(L723+N723)-(L723*N723-M723*O723)*(M723+O723))/((L723+N723)^2+(M723+O723)^2))</f>
        <v/>
      </c>
      <c r="R723" s="195">
        <f>IF(B723="","",'入力・概要'!$E$15*J723)</f>
        <v/>
      </c>
      <c r="S723" s="195">
        <f>IF(B723="","",'入力・概要'!$E$15*K723)</f>
        <v/>
      </c>
      <c r="T723" s="195">
        <f>IF(B723="","",P723+R723)</f>
        <v/>
      </c>
      <c r="U723" s="195">
        <f>IF(B723="","",Q723+S723)</f>
        <v/>
      </c>
      <c r="V723" s="195">
        <f>IF(B723="","",T723+'入力・概要'!$E$9*F723)</f>
        <v/>
      </c>
      <c r="W723" s="195">
        <f>IF(B723="","",U723+'入力・概要'!$E$9*G723)</f>
        <v/>
      </c>
      <c r="X723" s="195">
        <f>IF(B723="","",'入力・概要'!$E$9+T723*F723-U723*G723)</f>
        <v/>
      </c>
      <c r="Y723" s="195">
        <f>IF(B723="","",T723*G723+U723*F723)</f>
        <v/>
      </c>
      <c r="Z723" s="195">
        <f>IF(B723="","",'入力・概要'!$E$9*(V723*X723+W723*Y723)/(X723^2+Y723^2)+'入力・概要'!$B$36)</f>
        <v/>
      </c>
      <c r="AA723" s="195">
        <f>IF(B723="","",'入力・概要'!$E$9*(W723*X723-V723*Y723)/(X723^2+Y723^2)+C723*'入力・概要'!$B$37*1E-9)</f>
        <v/>
      </c>
      <c r="AB723" s="195">
        <f>IF(B723="","",SQRT(Z723^2+AA723^2))</f>
        <v/>
      </c>
      <c r="AC723" s="195">
        <f>IF(B723="","",IF(Z723&gt;0,DEGREES(ATAN(AA723/Z723)),IF(Z723&lt;0,IF(AA723&gt;=0,DEGREES(ATAN(AA723/Z723))+180,DEGREES(ATAN(AA723/Z723))-180),IF(AA723&gt;0,90,IF(AA723&lt;0,-90,0)))))</f>
        <v/>
      </c>
      <c r="AD723" s="195">
        <f>IF(B723="","",LOG10(B723))</f>
        <v/>
      </c>
      <c r="AE723" s="195">
        <f>IF(AB723="","",LOG10(MAX(AB723,1E-12)))</f>
        <v/>
      </c>
      <c r="AF723" s="195">
        <f>IF(B723="","",SQRT(P723^2+Q723^2))</f>
        <v/>
      </c>
      <c r="AG723" s="195">
        <f>IF(B723="","",SQRT(R723^2+S723^2))</f>
        <v/>
      </c>
    </row>
    <row r="724">
      <c r="A724" t="n">
        <v>721</v>
      </c>
      <c r="B724" s="196">
        <f>IF(A724&lt;='入力・概要'!$B$40,10^(LOG10('入力・概要'!$B$38)+(A724-1)*(LOG10('入力・概要'!$B$39)-LOG10('入力・概要'!$B$38))/('入力・概要'!$B$40-1)),"")</f>
        <v/>
      </c>
      <c r="C724" s="195">
        <f>IF(B724="","",2*PI()*B724)</f>
        <v/>
      </c>
      <c r="D724" s="195">
        <f>IF(B724="","",ATANH(MIN(0.999999,'入力・概要'!$E$20/'入力・概要'!$E$9))+'入力・概要'!$B$20*SQRT(B724/1E6)+E724*'入力・概要'!$B$15/2)</f>
        <v/>
      </c>
      <c r="E724" s="195">
        <f>IF(B724="","",C724*('入力・概要'!$E$11*1E-9))</f>
        <v/>
      </c>
      <c r="F724" s="195">
        <f>IF(B724="","",SINH(2*D724)/(COSH(2*D724)+COS(2*E724)))</f>
        <v/>
      </c>
      <c r="G724" s="195">
        <f>IF(B724="","",SIN(2*E724)/(COSH(2*D724)+COS(2*E724)))</f>
        <v/>
      </c>
      <c r="H724" s="195">
        <f>IF(B724="","",ATANH(MIN(0.999999,'入力・概要'!$E$21/'入力・概要'!$E$15))+'入力・概要'!$B$21*SQRT(B724/1E6)+I724*'入力・概要'!$B$16/2)</f>
        <v/>
      </c>
      <c r="I724" s="195">
        <f>IF(B724="","",C724*('入力・概要'!$E$17*1E-9))</f>
        <v/>
      </c>
      <c r="J724" s="195">
        <f>IF(B724="","",SINH(2*H724)/(COSH(2*H724)+COS(2*I724)))</f>
        <v/>
      </c>
      <c r="K724" s="195">
        <f>IF(B724="","",SIN(2*I724)/(COSH(2*H724)+COS(2*I724)))</f>
        <v/>
      </c>
      <c r="L724" s="195">
        <f>IF(B724="","",'入力・概要'!$B$25)</f>
        <v/>
      </c>
      <c r="M724" s="195">
        <f>IF(B724="","",C724*'入力・概要'!$B$26*1E-9-1/(C724*'入力・概要'!$B$24*1E-6))</f>
        <v/>
      </c>
      <c r="N724" s="195">
        <f>IF(B724="","",'入力・概要'!$B$28)</f>
        <v/>
      </c>
      <c r="O724" s="195">
        <f>IF(B724="","",C724*'入力・概要'!$B$29*1E-9-1/(C724*'入力・概要'!$B$27*1E-6))</f>
        <v/>
      </c>
      <c r="P724" s="195">
        <f>IF(B724="","",((L724*N724-M724*O724)*(L724+N724)+(L724*O724+M724*N724)*(M724+O724))/((L724+N724)^2+(M724+O724)^2))</f>
        <v/>
      </c>
      <c r="Q724" s="195">
        <f>IF(B724="","",((L724*O724+M724*N724)*(L724+N724)-(L724*N724-M724*O724)*(M724+O724))/((L724+N724)^2+(M724+O724)^2))</f>
        <v/>
      </c>
      <c r="R724" s="195">
        <f>IF(B724="","",'入力・概要'!$E$15*J724)</f>
        <v/>
      </c>
      <c r="S724" s="195">
        <f>IF(B724="","",'入力・概要'!$E$15*K724)</f>
        <v/>
      </c>
      <c r="T724" s="195">
        <f>IF(B724="","",P724+R724)</f>
        <v/>
      </c>
      <c r="U724" s="195">
        <f>IF(B724="","",Q724+S724)</f>
        <v/>
      </c>
      <c r="V724" s="195">
        <f>IF(B724="","",T724+'入力・概要'!$E$9*F724)</f>
        <v/>
      </c>
      <c r="W724" s="195">
        <f>IF(B724="","",U724+'入力・概要'!$E$9*G724)</f>
        <v/>
      </c>
      <c r="X724" s="195">
        <f>IF(B724="","",'入力・概要'!$E$9+T724*F724-U724*G724)</f>
        <v/>
      </c>
      <c r="Y724" s="195">
        <f>IF(B724="","",T724*G724+U724*F724)</f>
        <v/>
      </c>
      <c r="Z724" s="195">
        <f>IF(B724="","",'入力・概要'!$E$9*(V724*X724+W724*Y724)/(X724^2+Y724^2)+'入力・概要'!$B$36)</f>
        <v/>
      </c>
      <c r="AA724" s="195">
        <f>IF(B724="","",'入力・概要'!$E$9*(W724*X724-V724*Y724)/(X724^2+Y724^2)+C724*'入力・概要'!$B$37*1E-9)</f>
        <v/>
      </c>
      <c r="AB724" s="195">
        <f>IF(B724="","",SQRT(Z724^2+AA724^2))</f>
        <v/>
      </c>
      <c r="AC724" s="195">
        <f>IF(B724="","",IF(Z724&gt;0,DEGREES(ATAN(AA724/Z724)),IF(Z724&lt;0,IF(AA724&gt;=0,DEGREES(ATAN(AA724/Z724))+180,DEGREES(ATAN(AA724/Z724))-180),IF(AA724&gt;0,90,IF(AA724&lt;0,-90,0)))))</f>
        <v/>
      </c>
      <c r="AD724" s="195">
        <f>IF(B724="","",LOG10(B724))</f>
        <v/>
      </c>
      <c r="AE724" s="195">
        <f>IF(AB724="","",LOG10(MAX(AB724,1E-12)))</f>
        <v/>
      </c>
      <c r="AF724" s="195">
        <f>IF(B724="","",SQRT(P724^2+Q724^2))</f>
        <v/>
      </c>
      <c r="AG724" s="195">
        <f>IF(B724="","",SQRT(R724^2+S724^2))</f>
        <v/>
      </c>
    </row>
    <row r="725">
      <c r="A725" t="n">
        <v>722</v>
      </c>
      <c r="B725" s="196">
        <f>IF(A725&lt;='入力・概要'!$B$40,10^(LOG10('入力・概要'!$B$38)+(A725-1)*(LOG10('入力・概要'!$B$39)-LOG10('入力・概要'!$B$38))/('入力・概要'!$B$40-1)),"")</f>
        <v/>
      </c>
      <c r="C725" s="195">
        <f>IF(B725="","",2*PI()*B725)</f>
        <v/>
      </c>
      <c r="D725" s="195">
        <f>IF(B725="","",ATANH(MIN(0.999999,'入力・概要'!$E$20/'入力・概要'!$E$9))+'入力・概要'!$B$20*SQRT(B725/1E6)+E725*'入力・概要'!$B$15/2)</f>
        <v/>
      </c>
      <c r="E725" s="195">
        <f>IF(B725="","",C725*('入力・概要'!$E$11*1E-9))</f>
        <v/>
      </c>
      <c r="F725" s="195">
        <f>IF(B725="","",SINH(2*D725)/(COSH(2*D725)+COS(2*E725)))</f>
        <v/>
      </c>
      <c r="G725" s="195">
        <f>IF(B725="","",SIN(2*E725)/(COSH(2*D725)+COS(2*E725)))</f>
        <v/>
      </c>
      <c r="H725" s="195">
        <f>IF(B725="","",ATANH(MIN(0.999999,'入力・概要'!$E$21/'入力・概要'!$E$15))+'入力・概要'!$B$21*SQRT(B725/1E6)+I725*'入力・概要'!$B$16/2)</f>
        <v/>
      </c>
      <c r="I725" s="195">
        <f>IF(B725="","",C725*('入力・概要'!$E$17*1E-9))</f>
        <v/>
      </c>
      <c r="J725" s="195">
        <f>IF(B725="","",SINH(2*H725)/(COSH(2*H725)+COS(2*I725)))</f>
        <v/>
      </c>
      <c r="K725" s="195">
        <f>IF(B725="","",SIN(2*I725)/(COSH(2*H725)+COS(2*I725)))</f>
        <v/>
      </c>
      <c r="L725" s="195">
        <f>IF(B725="","",'入力・概要'!$B$25)</f>
        <v/>
      </c>
      <c r="M725" s="195">
        <f>IF(B725="","",C725*'入力・概要'!$B$26*1E-9-1/(C725*'入力・概要'!$B$24*1E-6))</f>
        <v/>
      </c>
      <c r="N725" s="195">
        <f>IF(B725="","",'入力・概要'!$B$28)</f>
        <v/>
      </c>
      <c r="O725" s="195">
        <f>IF(B725="","",C725*'入力・概要'!$B$29*1E-9-1/(C725*'入力・概要'!$B$27*1E-6))</f>
        <v/>
      </c>
      <c r="P725" s="195">
        <f>IF(B725="","",((L725*N725-M725*O725)*(L725+N725)+(L725*O725+M725*N725)*(M725+O725))/((L725+N725)^2+(M725+O725)^2))</f>
        <v/>
      </c>
      <c r="Q725" s="195">
        <f>IF(B725="","",((L725*O725+M725*N725)*(L725+N725)-(L725*N725-M725*O725)*(M725+O725))/((L725+N725)^2+(M725+O725)^2))</f>
        <v/>
      </c>
      <c r="R725" s="195">
        <f>IF(B725="","",'入力・概要'!$E$15*J725)</f>
        <v/>
      </c>
      <c r="S725" s="195">
        <f>IF(B725="","",'入力・概要'!$E$15*K725)</f>
        <v/>
      </c>
      <c r="T725" s="195">
        <f>IF(B725="","",P725+R725)</f>
        <v/>
      </c>
      <c r="U725" s="195">
        <f>IF(B725="","",Q725+S725)</f>
        <v/>
      </c>
      <c r="V725" s="195">
        <f>IF(B725="","",T725+'入力・概要'!$E$9*F725)</f>
        <v/>
      </c>
      <c r="W725" s="195">
        <f>IF(B725="","",U725+'入力・概要'!$E$9*G725)</f>
        <v/>
      </c>
      <c r="X725" s="195">
        <f>IF(B725="","",'入力・概要'!$E$9+T725*F725-U725*G725)</f>
        <v/>
      </c>
      <c r="Y725" s="195">
        <f>IF(B725="","",T725*G725+U725*F725)</f>
        <v/>
      </c>
      <c r="Z725" s="195">
        <f>IF(B725="","",'入力・概要'!$E$9*(V725*X725+W725*Y725)/(X725^2+Y725^2)+'入力・概要'!$B$36)</f>
        <v/>
      </c>
      <c r="AA725" s="195">
        <f>IF(B725="","",'入力・概要'!$E$9*(W725*X725-V725*Y725)/(X725^2+Y725^2)+C725*'入力・概要'!$B$37*1E-9)</f>
        <v/>
      </c>
      <c r="AB725" s="195">
        <f>IF(B725="","",SQRT(Z725^2+AA725^2))</f>
        <v/>
      </c>
      <c r="AC725" s="195">
        <f>IF(B725="","",IF(Z725&gt;0,DEGREES(ATAN(AA725/Z725)),IF(Z725&lt;0,IF(AA725&gt;=0,DEGREES(ATAN(AA725/Z725))+180,DEGREES(ATAN(AA725/Z725))-180),IF(AA725&gt;0,90,IF(AA725&lt;0,-90,0)))))</f>
        <v/>
      </c>
      <c r="AD725" s="195">
        <f>IF(B725="","",LOG10(B725))</f>
        <v/>
      </c>
      <c r="AE725" s="195">
        <f>IF(AB725="","",LOG10(MAX(AB725,1E-12)))</f>
        <v/>
      </c>
      <c r="AF725" s="195">
        <f>IF(B725="","",SQRT(P725^2+Q725^2))</f>
        <v/>
      </c>
      <c r="AG725" s="195">
        <f>IF(B725="","",SQRT(R725^2+S725^2))</f>
        <v/>
      </c>
    </row>
    <row r="726">
      <c r="A726" t="n">
        <v>723</v>
      </c>
      <c r="B726" s="196">
        <f>IF(A726&lt;='入力・概要'!$B$40,10^(LOG10('入力・概要'!$B$38)+(A726-1)*(LOG10('入力・概要'!$B$39)-LOG10('入力・概要'!$B$38))/('入力・概要'!$B$40-1)),"")</f>
        <v/>
      </c>
      <c r="C726" s="195">
        <f>IF(B726="","",2*PI()*B726)</f>
        <v/>
      </c>
      <c r="D726" s="195">
        <f>IF(B726="","",ATANH(MIN(0.999999,'入力・概要'!$E$20/'入力・概要'!$E$9))+'入力・概要'!$B$20*SQRT(B726/1E6)+E726*'入力・概要'!$B$15/2)</f>
        <v/>
      </c>
      <c r="E726" s="195">
        <f>IF(B726="","",C726*('入力・概要'!$E$11*1E-9))</f>
        <v/>
      </c>
      <c r="F726" s="195">
        <f>IF(B726="","",SINH(2*D726)/(COSH(2*D726)+COS(2*E726)))</f>
        <v/>
      </c>
      <c r="G726" s="195">
        <f>IF(B726="","",SIN(2*E726)/(COSH(2*D726)+COS(2*E726)))</f>
        <v/>
      </c>
      <c r="H726" s="195">
        <f>IF(B726="","",ATANH(MIN(0.999999,'入力・概要'!$E$21/'入力・概要'!$E$15))+'入力・概要'!$B$21*SQRT(B726/1E6)+I726*'入力・概要'!$B$16/2)</f>
        <v/>
      </c>
      <c r="I726" s="195">
        <f>IF(B726="","",C726*('入力・概要'!$E$17*1E-9))</f>
        <v/>
      </c>
      <c r="J726" s="195">
        <f>IF(B726="","",SINH(2*H726)/(COSH(2*H726)+COS(2*I726)))</f>
        <v/>
      </c>
      <c r="K726" s="195">
        <f>IF(B726="","",SIN(2*I726)/(COSH(2*H726)+COS(2*I726)))</f>
        <v/>
      </c>
      <c r="L726" s="195">
        <f>IF(B726="","",'入力・概要'!$B$25)</f>
        <v/>
      </c>
      <c r="M726" s="195">
        <f>IF(B726="","",C726*'入力・概要'!$B$26*1E-9-1/(C726*'入力・概要'!$B$24*1E-6))</f>
        <v/>
      </c>
      <c r="N726" s="195">
        <f>IF(B726="","",'入力・概要'!$B$28)</f>
        <v/>
      </c>
      <c r="O726" s="195">
        <f>IF(B726="","",C726*'入力・概要'!$B$29*1E-9-1/(C726*'入力・概要'!$B$27*1E-6))</f>
        <v/>
      </c>
      <c r="P726" s="195">
        <f>IF(B726="","",((L726*N726-M726*O726)*(L726+N726)+(L726*O726+M726*N726)*(M726+O726))/((L726+N726)^2+(M726+O726)^2))</f>
        <v/>
      </c>
      <c r="Q726" s="195">
        <f>IF(B726="","",((L726*O726+M726*N726)*(L726+N726)-(L726*N726-M726*O726)*(M726+O726))/((L726+N726)^2+(M726+O726)^2))</f>
        <v/>
      </c>
      <c r="R726" s="195">
        <f>IF(B726="","",'入力・概要'!$E$15*J726)</f>
        <v/>
      </c>
      <c r="S726" s="195">
        <f>IF(B726="","",'入力・概要'!$E$15*K726)</f>
        <v/>
      </c>
      <c r="T726" s="195">
        <f>IF(B726="","",P726+R726)</f>
        <v/>
      </c>
      <c r="U726" s="195">
        <f>IF(B726="","",Q726+S726)</f>
        <v/>
      </c>
      <c r="V726" s="195">
        <f>IF(B726="","",T726+'入力・概要'!$E$9*F726)</f>
        <v/>
      </c>
      <c r="W726" s="195">
        <f>IF(B726="","",U726+'入力・概要'!$E$9*G726)</f>
        <v/>
      </c>
      <c r="X726" s="195">
        <f>IF(B726="","",'入力・概要'!$E$9+T726*F726-U726*G726)</f>
        <v/>
      </c>
      <c r="Y726" s="195">
        <f>IF(B726="","",T726*G726+U726*F726)</f>
        <v/>
      </c>
      <c r="Z726" s="195">
        <f>IF(B726="","",'入力・概要'!$E$9*(V726*X726+W726*Y726)/(X726^2+Y726^2)+'入力・概要'!$B$36)</f>
        <v/>
      </c>
      <c r="AA726" s="195">
        <f>IF(B726="","",'入力・概要'!$E$9*(W726*X726-V726*Y726)/(X726^2+Y726^2)+C726*'入力・概要'!$B$37*1E-9)</f>
        <v/>
      </c>
      <c r="AB726" s="195">
        <f>IF(B726="","",SQRT(Z726^2+AA726^2))</f>
        <v/>
      </c>
      <c r="AC726" s="195">
        <f>IF(B726="","",IF(Z726&gt;0,DEGREES(ATAN(AA726/Z726)),IF(Z726&lt;0,IF(AA726&gt;=0,DEGREES(ATAN(AA726/Z726))+180,DEGREES(ATAN(AA726/Z726))-180),IF(AA726&gt;0,90,IF(AA726&lt;0,-90,0)))))</f>
        <v/>
      </c>
      <c r="AD726" s="195">
        <f>IF(B726="","",LOG10(B726))</f>
        <v/>
      </c>
      <c r="AE726" s="195">
        <f>IF(AB726="","",LOG10(MAX(AB726,1E-12)))</f>
        <v/>
      </c>
      <c r="AF726" s="195">
        <f>IF(B726="","",SQRT(P726^2+Q726^2))</f>
        <v/>
      </c>
      <c r="AG726" s="195">
        <f>IF(B726="","",SQRT(R726^2+S726^2))</f>
        <v/>
      </c>
    </row>
    <row r="727">
      <c r="A727" t="n">
        <v>724</v>
      </c>
      <c r="B727" s="196">
        <f>IF(A727&lt;='入力・概要'!$B$40,10^(LOG10('入力・概要'!$B$38)+(A727-1)*(LOG10('入力・概要'!$B$39)-LOG10('入力・概要'!$B$38))/('入力・概要'!$B$40-1)),"")</f>
        <v/>
      </c>
      <c r="C727" s="195">
        <f>IF(B727="","",2*PI()*B727)</f>
        <v/>
      </c>
      <c r="D727" s="195">
        <f>IF(B727="","",ATANH(MIN(0.999999,'入力・概要'!$E$20/'入力・概要'!$E$9))+'入力・概要'!$B$20*SQRT(B727/1E6)+E727*'入力・概要'!$B$15/2)</f>
        <v/>
      </c>
      <c r="E727" s="195">
        <f>IF(B727="","",C727*('入力・概要'!$E$11*1E-9))</f>
        <v/>
      </c>
      <c r="F727" s="195">
        <f>IF(B727="","",SINH(2*D727)/(COSH(2*D727)+COS(2*E727)))</f>
        <v/>
      </c>
      <c r="G727" s="195">
        <f>IF(B727="","",SIN(2*E727)/(COSH(2*D727)+COS(2*E727)))</f>
        <v/>
      </c>
      <c r="H727" s="195">
        <f>IF(B727="","",ATANH(MIN(0.999999,'入力・概要'!$E$21/'入力・概要'!$E$15))+'入力・概要'!$B$21*SQRT(B727/1E6)+I727*'入力・概要'!$B$16/2)</f>
        <v/>
      </c>
      <c r="I727" s="195">
        <f>IF(B727="","",C727*('入力・概要'!$E$17*1E-9))</f>
        <v/>
      </c>
      <c r="J727" s="195">
        <f>IF(B727="","",SINH(2*H727)/(COSH(2*H727)+COS(2*I727)))</f>
        <v/>
      </c>
      <c r="K727" s="195">
        <f>IF(B727="","",SIN(2*I727)/(COSH(2*H727)+COS(2*I727)))</f>
        <v/>
      </c>
      <c r="L727" s="195">
        <f>IF(B727="","",'入力・概要'!$B$25)</f>
        <v/>
      </c>
      <c r="M727" s="195">
        <f>IF(B727="","",C727*'入力・概要'!$B$26*1E-9-1/(C727*'入力・概要'!$B$24*1E-6))</f>
        <v/>
      </c>
      <c r="N727" s="195">
        <f>IF(B727="","",'入力・概要'!$B$28)</f>
        <v/>
      </c>
      <c r="O727" s="195">
        <f>IF(B727="","",C727*'入力・概要'!$B$29*1E-9-1/(C727*'入力・概要'!$B$27*1E-6))</f>
        <v/>
      </c>
      <c r="P727" s="195">
        <f>IF(B727="","",((L727*N727-M727*O727)*(L727+N727)+(L727*O727+M727*N727)*(M727+O727))/((L727+N727)^2+(M727+O727)^2))</f>
        <v/>
      </c>
      <c r="Q727" s="195">
        <f>IF(B727="","",((L727*O727+M727*N727)*(L727+N727)-(L727*N727-M727*O727)*(M727+O727))/((L727+N727)^2+(M727+O727)^2))</f>
        <v/>
      </c>
      <c r="R727" s="195">
        <f>IF(B727="","",'入力・概要'!$E$15*J727)</f>
        <v/>
      </c>
      <c r="S727" s="195">
        <f>IF(B727="","",'入力・概要'!$E$15*K727)</f>
        <v/>
      </c>
      <c r="T727" s="195">
        <f>IF(B727="","",P727+R727)</f>
        <v/>
      </c>
      <c r="U727" s="195">
        <f>IF(B727="","",Q727+S727)</f>
        <v/>
      </c>
      <c r="V727" s="195">
        <f>IF(B727="","",T727+'入力・概要'!$E$9*F727)</f>
        <v/>
      </c>
      <c r="W727" s="195">
        <f>IF(B727="","",U727+'入力・概要'!$E$9*G727)</f>
        <v/>
      </c>
      <c r="X727" s="195">
        <f>IF(B727="","",'入力・概要'!$E$9+T727*F727-U727*G727)</f>
        <v/>
      </c>
      <c r="Y727" s="195">
        <f>IF(B727="","",T727*G727+U727*F727)</f>
        <v/>
      </c>
      <c r="Z727" s="195">
        <f>IF(B727="","",'入力・概要'!$E$9*(V727*X727+W727*Y727)/(X727^2+Y727^2)+'入力・概要'!$B$36)</f>
        <v/>
      </c>
      <c r="AA727" s="195">
        <f>IF(B727="","",'入力・概要'!$E$9*(W727*X727-V727*Y727)/(X727^2+Y727^2)+C727*'入力・概要'!$B$37*1E-9)</f>
        <v/>
      </c>
      <c r="AB727" s="195">
        <f>IF(B727="","",SQRT(Z727^2+AA727^2))</f>
        <v/>
      </c>
      <c r="AC727" s="195">
        <f>IF(B727="","",IF(Z727&gt;0,DEGREES(ATAN(AA727/Z727)),IF(Z727&lt;0,IF(AA727&gt;=0,DEGREES(ATAN(AA727/Z727))+180,DEGREES(ATAN(AA727/Z727))-180),IF(AA727&gt;0,90,IF(AA727&lt;0,-90,0)))))</f>
        <v/>
      </c>
      <c r="AD727" s="195">
        <f>IF(B727="","",LOG10(B727))</f>
        <v/>
      </c>
      <c r="AE727" s="195">
        <f>IF(AB727="","",LOG10(MAX(AB727,1E-12)))</f>
        <v/>
      </c>
      <c r="AF727" s="195">
        <f>IF(B727="","",SQRT(P727^2+Q727^2))</f>
        <v/>
      </c>
      <c r="AG727" s="195">
        <f>IF(B727="","",SQRT(R727^2+S727^2))</f>
        <v/>
      </c>
    </row>
    <row r="728">
      <c r="A728" t="n">
        <v>725</v>
      </c>
      <c r="B728" s="196">
        <f>IF(A728&lt;='入力・概要'!$B$40,10^(LOG10('入力・概要'!$B$38)+(A728-1)*(LOG10('入力・概要'!$B$39)-LOG10('入力・概要'!$B$38))/('入力・概要'!$B$40-1)),"")</f>
        <v/>
      </c>
      <c r="C728" s="195">
        <f>IF(B728="","",2*PI()*B728)</f>
        <v/>
      </c>
      <c r="D728" s="195">
        <f>IF(B728="","",ATANH(MIN(0.999999,'入力・概要'!$E$20/'入力・概要'!$E$9))+'入力・概要'!$B$20*SQRT(B728/1E6)+E728*'入力・概要'!$B$15/2)</f>
        <v/>
      </c>
      <c r="E728" s="195">
        <f>IF(B728="","",C728*('入力・概要'!$E$11*1E-9))</f>
        <v/>
      </c>
      <c r="F728" s="195">
        <f>IF(B728="","",SINH(2*D728)/(COSH(2*D728)+COS(2*E728)))</f>
        <v/>
      </c>
      <c r="G728" s="195">
        <f>IF(B728="","",SIN(2*E728)/(COSH(2*D728)+COS(2*E728)))</f>
        <v/>
      </c>
      <c r="H728" s="195">
        <f>IF(B728="","",ATANH(MIN(0.999999,'入力・概要'!$E$21/'入力・概要'!$E$15))+'入力・概要'!$B$21*SQRT(B728/1E6)+I728*'入力・概要'!$B$16/2)</f>
        <v/>
      </c>
      <c r="I728" s="195">
        <f>IF(B728="","",C728*('入力・概要'!$E$17*1E-9))</f>
        <v/>
      </c>
      <c r="J728" s="195">
        <f>IF(B728="","",SINH(2*H728)/(COSH(2*H728)+COS(2*I728)))</f>
        <v/>
      </c>
      <c r="K728" s="195">
        <f>IF(B728="","",SIN(2*I728)/(COSH(2*H728)+COS(2*I728)))</f>
        <v/>
      </c>
      <c r="L728" s="195">
        <f>IF(B728="","",'入力・概要'!$B$25)</f>
        <v/>
      </c>
      <c r="M728" s="195">
        <f>IF(B728="","",C728*'入力・概要'!$B$26*1E-9-1/(C728*'入力・概要'!$B$24*1E-6))</f>
        <v/>
      </c>
      <c r="N728" s="195">
        <f>IF(B728="","",'入力・概要'!$B$28)</f>
        <v/>
      </c>
      <c r="O728" s="195">
        <f>IF(B728="","",C728*'入力・概要'!$B$29*1E-9-1/(C728*'入力・概要'!$B$27*1E-6))</f>
        <v/>
      </c>
      <c r="P728" s="195">
        <f>IF(B728="","",((L728*N728-M728*O728)*(L728+N728)+(L728*O728+M728*N728)*(M728+O728))/((L728+N728)^2+(M728+O728)^2))</f>
        <v/>
      </c>
      <c r="Q728" s="195">
        <f>IF(B728="","",((L728*O728+M728*N728)*(L728+N728)-(L728*N728-M728*O728)*(M728+O728))/((L728+N728)^2+(M728+O728)^2))</f>
        <v/>
      </c>
      <c r="R728" s="195">
        <f>IF(B728="","",'入力・概要'!$E$15*J728)</f>
        <v/>
      </c>
      <c r="S728" s="195">
        <f>IF(B728="","",'入力・概要'!$E$15*K728)</f>
        <v/>
      </c>
      <c r="T728" s="195">
        <f>IF(B728="","",P728+R728)</f>
        <v/>
      </c>
      <c r="U728" s="195">
        <f>IF(B728="","",Q728+S728)</f>
        <v/>
      </c>
      <c r="V728" s="195">
        <f>IF(B728="","",T728+'入力・概要'!$E$9*F728)</f>
        <v/>
      </c>
      <c r="W728" s="195">
        <f>IF(B728="","",U728+'入力・概要'!$E$9*G728)</f>
        <v/>
      </c>
      <c r="X728" s="195">
        <f>IF(B728="","",'入力・概要'!$E$9+T728*F728-U728*G728)</f>
        <v/>
      </c>
      <c r="Y728" s="195">
        <f>IF(B728="","",T728*G728+U728*F728)</f>
        <v/>
      </c>
      <c r="Z728" s="195">
        <f>IF(B728="","",'入力・概要'!$E$9*(V728*X728+W728*Y728)/(X728^2+Y728^2)+'入力・概要'!$B$36)</f>
        <v/>
      </c>
      <c r="AA728" s="195">
        <f>IF(B728="","",'入力・概要'!$E$9*(W728*X728-V728*Y728)/(X728^2+Y728^2)+C728*'入力・概要'!$B$37*1E-9)</f>
        <v/>
      </c>
      <c r="AB728" s="195">
        <f>IF(B728="","",SQRT(Z728^2+AA728^2))</f>
        <v/>
      </c>
      <c r="AC728" s="195">
        <f>IF(B728="","",IF(Z728&gt;0,DEGREES(ATAN(AA728/Z728)),IF(Z728&lt;0,IF(AA728&gt;=0,DEGREES(ATAN(AA728/Z728))+180,DEGREES(ATAN(AA728/Z728))-180),IF(AA728&gt;0,90,IF(AA728&lt;0,-90,0)))))</f>
        <v/>
      </c>
      <c r="AD728" s="195">
        <f>IF(B728="","",LOG10(B728))</f>
        <v/>
      </c>
      <c r="AE728" s="195">
        <f>IF(AB728="","",LOG10(MAX(AB728,1E-12)))</f>
        <v/>
      </c>
      <c r="AF728" s="195">
        <f>IF(B728="","",SQRT(P728^2+Q728^2))</f>
        <v/>
      </c>
      <c r="AG728" s="195">
        <f>IF(B728="","",SQRT(R728^2+S728^2))</f>
        <v/>
      </c>
    </row>
    <row r="729">
      <c r="A729" t="n">
        <v>726</v>
      </c>
      <c r="B729" s="196">
        <f>IF(A729&lt;='入力・概要'!$B$40,10^(LOG10('入力・概要'!$B$38)+(A729-1)*(LOG10('入力・概要'!$B$39)-LOG10('入力・概要'!$B$38))/('入力・概要'!$B$40-1)),"")</f>
        <v/>
      </c>
      <c r="C729" s="195">
        <f>IF(B729="","",2*PI()*B729)</f>
        <v/>
      </c>
      <c r="D729" s="195">
        <f>IF(B729="","",ATANH(MIN(0.999999,'入力・概要'!$E$20/'入力・概要'!$E$9))+'入力・概要'!$B$20*SQRT(B729/1E6)+E729*'入力・概要'!$B$15/2)</f>
        <v/>
      </c>
      <c r="E729" s="195">
        <f>IF(B729="","",C729*('入力・概要'!$E$11*1E-9))</f>
        <v/>
      </c>
      <c r="F729" s="195">
        <f>IF(B729="","",SINH(2*D729)/(COSH(2*D729)+COS(2*E729)))</f>
        <v/>
      </c>
      <c r="G729" s="195">
        <f>IF(B729="","",SIN(2*E729)/(COSH(2*D729)+COS(2*E729)))</f>
        <v/>
      </c>
      <c r="H729" s="195">
        <f>IF(B729="","",ATANH(MIN(0.999999,'入力・概要'!$E$21/'入力・概要'!$E$15))+'入力・概要'!$B$21*SQRT(B729/1E6)+I729*'入力・概要'!$B$16/2)</f>
        <v/>
      </c>
      <c r="I729" s="195">
        <f>IF(B729="","",C729*('入力・概要'!$E$17*1E-9))</f>
        <v/>
      </c>
      <c r="J729" s="195">
        <f>IF(B729="","",SINH(2*H729)/(COSH(2*H729)+COS(2*I729)))</f>
        <v/>
      </c>
      <c r="K729" s="195">
        <f>IF(B729="","",SIN(2*I729)/(COSH(2*H729)+COS(2*I729)))</f>
        <v/>
      </c>
      <c r="L729" s="195">
        <f>IF(B729="","",'入力・概要'!$B$25)</f>
        <v/>
      </c>
      <c r="M729" s="195">
        <f>IF(B729="","",C729*'入力・概要'!$B$26*1E-9-1/(C729*'入力・概要'!$B$24*1E-6))</f>
        <v/>
      </c>
      <c r="N729" s="195">
        <f>IF(B729="","",'入力・概要'!$B$28)</f>
        <v/>
      </c>
      <c r="O729" s="195">
        <f>IF(B729="","",C729*'入力・概要'!$B$29*1E-9-1/(C729*'入力・概要'!$B$27*1E-6))</f>
        <v/>
      </c>
      <c r="P729" s="195">
        <f>IF(B729="","",((L729*N729-M729*O729)*(L729+N729)+(L729*O729+M729*N729)*(M729+O729))/((L729+N729)^2+(M729+O729)^2))</f>
        <v/>
      </c>
      <c r="Q729" s="195">
        <f>IF(B729="","",((L729*O729+M729*N729)*(L729+N729)-(L729*N729-M729*O729)*(M729+O729))/((L729+N729)^2+(M729+O729)^2))</f>
        <v/>
      </c>
      <c r="R729" s="195">
        <f>IF(B729="","",'入力・概要'!$E$15*J729)</f>
        <v/>
      </c>
      <c r="S729" s="195">
        <f>IF(B729="","",'入力・概要'!$E$15*K729)</f>
        <v/>
      </c>
      <c r="T729" s="195">
        <f>IF(B729="","",P729+R729)</f>
        <v/>
      </c>
      <c r="U729" s="195">
        <f>IF(B729="","",Q729+S729)</f>
        <v/>
      </c>
      <c r="V729" s="195">
        <f>IF(B729="","",T729+'入力・概要'!$E$9*F729)</f>
        <v/>
      </c>
      <c r="W729" s="195">
        <f>IF(B729="","",U729+'入力・概要'!$E$9*G729)</f>
        <v/>
      </c>
      <c r="X729" s="195">
        <f>IF(B729="","",'入力・概要'!$E$9+T729*F729-U729*G729)</f>
        <v/>
      </c>
      <c r="Y729" s="195">
        <f>IF(B729="","",T729*G729+U729*F729)</f>
        <v/>
      </c>
      <c r="Z729" s="195">
        <f>IF(B729="","",'入力・概要'!$E$9*(V729*X729+W729*Y729)/(X729^2+Y729^2)+'入力・概要'!$B$36)</f>
        <v/>
      </c>
      <c r="AA729" s="195">
        <f>IF(B729="","",'入力・概要'!$E$9*(W729*X729-V729*Y729)/(X729^2+Y729^2)+C729*'入力・概要'!$B$37*1E-9)</f>
        <v/>
      </c>
      <c r="AB729" s="195">
        <f>IF(B729="","",SQRT(Z729^2+AA729^2))</f>
        <v/>
      </c>
      <c r="AC729" s="195">
        <f>IF(B729="","",IF(Z729&gt;0,DEGREES(ATAN(AA729/Z729)),IF(Z729&lt;0,IF(AA729&gt;=0,DEGREES(ATAN(AA729/Z729))+180,DEGREES(ATAN(AA729/Z729))-180),IF(AA729&gt;0,90,IF(AA729&lt;0,-90,0)))))</f>
        <v/>
      </c>
      <c r="AD729" s="195">
        <f>IF(B729="","",LOG10(B729))</f>
        <v/>
      </c>
      <c r="AE729" s="195">
        <f>IF(AB729="","",LOG10(MAX(AB729,1E-12)))</f>
        <v/>
      </c>
      <c r="AF729" s="195">
        <f>IF(B729="","",SQRT(P729^2+Q729^2))</f>
        <v/>
      </c>
      <c r="AG729" s="195">
        <f>IF(B729="","",SQRT(R729^2+S729^2))</f>
        <v/>
      </c>
    </row>
    <row r="730">
      <c r="A730" t="n">
        <v>727</v>
      </c>
      <c r="B730" s="196">
        <f>IF(A730&lt;='入力・概要'!$B$40,10^(LOG10('入力・概要'!$B$38)+(A730-1)*(LOG10('入力・概要'!$B$39)-LOG10('入力・概要'!$B$38))/('入力・概要'!$B$40-1)),"")</f>
        <v/>
      </c>
      <c r="C730" s="195">
        <f>IF(B730="","",2*PI()*B730)</f>
        <v/>
      </c>
      <c r="D730" s="195">
        <f>IF(B730="","",ATANH(MIN(0.999999,'入力・概要'!$E$20/'入力・概要'!$E$9))+'入力・概要'!$B$20*SQRT(B730/1E6)+E730*'入力・概要'!$B$15/2)</f>
        <v/>
      </c>
      <c r="E730" s="195">
        <f>IF(B730="","",C730*('入力・概要'!$E$11*1E-9))</f>
        <v/>
      </c>
      <c r="F730" s="195">
        <f>IF(B730="","",SINH(2*D730)/(COSH(2*D730)+COS(2*E730)))</f>
        <v/>
      </c>
      <c r="G730" s="195">
        <f>IF(B730="","",SIN(2*E730)/(COSH(2*D730)+COS(2*E730)))</f>
        <v/>
      </c>
      <c r="H730" s="195">
        <f>IF(B730="","",ATANH(MIN(0.999999,'入力・概要'!$E$21/'入力・概要'!$E$15))+'入力・概要'!$B$21*SQRT(B730/1E6)+I730*'入力・概要'!$B$16/2)</f>
        <v/>
      </c>
      <c r="I730" s="195">
        <f>IF(B730="","",C730*('入力・概要'!$E$17*1E-9))</f>
        <v/>
      </c>
      <c r="J730" s="195">
        <f>IF(B730="","",SINH(2*H730)/(COSH(2*H730)+COS(2*I730)))</f>
        <v/>
      </c>
      <c r="K730" s="195">
        <f>IF(B730="","",SIN(2*I730)/(COSH(2*H730)+COS(2*I730)))</f>
        <v/>
      </c>
      <c r="L730" s="195">
        <f>IF(B730="","",'入力・概要'!$B$25)</f>
        <v/>
      </c>
      <c r="M730" s="195">
        <f>IF(B730="","",C730*'入力・概要'!$B$26*1E-9-1/(C730*'入力・概要'!$B$24*1E-6))</f>
        <v/>
      </c>
      <c r="N730" s="195">
        <f>IF(B730="","",'入力・概要'!$B$28)</f>
        <v/>
      </c>
      <c r="O730" s="195">
        <f>IF(B730="","",C730*'入力・概要'!$B$29*1E-9-1/(C730*'入力・概要'!$B$27*1E-6))</f>
        <v/>
      </c>
      <c r="P730" s="195">
        <f>IF(B730="","",((L730*N730-M730*O730)*(L730+N730)+(L730*O730+M730*N730)*(M730+O730))/((L730+N730)^2+(M730+O730)^2))</f>
        <v/>
      </c>
      <c r="Q730" s="195">
        <f>IF(B730="","",((L730*O730+M730*N730)*(L730+N730)-(L730*N730-M730*O730)*(M730+O730))/((L730+N730)^2+(M730+O730)^2))</f>
        <v/>
      </c>
      <c r="R730" s="195">
        <f>IF(B730="","",'入力・概要'!$E$15*J730)</f>
        <v/>
      </c>
      <c r="S730" s="195">
        <f>IF(B730="","",'入力・概要'!$E$15*K730)</f>
        <v/>
      </c>
      <c r="T730" s="195">
        <f>IF(B730="","",P730+R730)</f>
        <v/>
      </c>
      <c r="U730" s="195">
        <f>IF(B730="","",Q730+S730)</f>
        <v/>
      </c>
      <c r="V730" s="195">
        <f>IF(B730="","",T730+'入力・概要'!$E$9*F730)</f>
        <v/>
      </c>
      <c r="W730" s="195">
        <f>IF(B730="","",U730+'入力・概要'!$E$9*G730)</f>
        <v/>
      </c>
      <c r="X730" s="195">
        <f>IF(B730="","",'入力・概要'!$E$9+T730*F730-U730*G730)</f>
        <v/>
      </c>
      <c r="Y730" s="195">
        <f>IF(B730="","",T730*G730+U730*F730)</f>
        <v/>
      </c>
      <c r="Z730" s="195">
        <f>IF(B730="","",'入力・概要'!$E$9*(V730*X730+W730*Y730)/(X730^2+Y730^2)+'入力・概要'!$B$36)</f>
        <v/>
      </c>
      <c r="AA730" s="195">
        <f>IF(B730="","",'入力・概要'!$E$9*(W730*X730-V730*Y730)/(X730^2+Y730^2)+C730*'入力・概要'!$B$37*1E-9)</f>
        <v/>
      </c>
      <c r="AB730" s="195">
        <f>IF(B730="","",SQRT(Z730^2+AA730^2))</f>
        <v/>
      </c>
      <c r="AC730" s="195">
        <f>IF(B730="","",IF(Z730&gt;0,DEGREES(ATAN(AA730/Z730)),IF(Z730&lt;0,IF(AA730&gt;=0,DEGREES(ATAN(AA730/Z730))+180,DEGREES(ATAN(AA730/Z730))-180),IF(AA730&gt;0,90,IF(AA730&lt;0,-90,0)))))</f>
        <v/>
      </c>
      <c r="AD730" s="195">
        <f>IF(B730="","",LOG10(B730))</f>
        <v/>
      </c>
      <c r="AE730" s="195">
        <f>IF(AB730="","",LOG10(MAX(AB730,1E-12)))</f>
        <v/>
      </c>
      <c r="AF730" s="195">
        <f>IF(B730="","",SQRT(P730^2+Q730^2))</f>
        <v/>
      </c>
      <c r="AG730" s="195">
        <f>IF(B730="","",SQRT(R730^2+S730^2))</f>
        <v/>
      </c>
    </row>
    <row r="731">
      <c r="A731" t="n">
        <v>728</v>
      </c>
      <c r="B731" s="196">
        <f>IF(A731&lt;='入力・概要'!$B$40,10^(LOG10('入力・概要'!$B$38)+(A731-1)*(LOG10('入力・概要'!$B$39)-LOG10('入力・概要'!$B$38))/('入力・概要'!$B$40-1)),"")</f>
        <v/>
      </c>
      <c r="C731" s="195">
        <f>IF(B731="","",2*PI()*B731)</f>
        <v/>
      </c>
      <c r="D731" s="195">
        <f>IF(B731="","",ATANH(MIN(0.999999,'入力・概要'!$E$20/'入力・概要'!$E$9))+'入力・概要'!$B$20*SQRT(B731/1E6)+E731*'入力・概要'!$B$15/2)</f>
        <v/>
      </c>
      <c r="E731" s="195">
        <f>IF(B731="","",C731*('入力・概要'!$E$11*1E-9))</f>
        <v/>
      </c>
      <c r="F731" s="195">
        <f>IF(B731="","",SINH(2*D731)/(COSH(2*D731)+COS(2*E731)))</f>
        <v/>
      </c>
      <c r="G731" s="195">
        <f>IF(B731="","",SIN(2*E731)/(COSH(2*D731)+COS(2*E731)))</f>
        <v/>
      </c>
      <c r="H731" s="195">
        <f>IF(B731="","",ATANH(MIN(0.999999,'入力・概要'!$E$21/'入力・概要'!$E$15))+'入力・概要'!$B$21*SQRT(B731/1E6)+I731*'入力・概要'!$B$16/2)</f>
        <v/>
      </c>
      <c r="I731" s="195">
        <f>IF(B731="","",C731*('入力・概要'!$E$17*1E-9))</f>
        <v/>
      </c>
      <c r="J731" s="195">
        <f>IF(B731="","",SINH(2*H731)/(COSH(2*H731)+COS(2*I731)))</f>
        <v/>
      </c>
      <c r="K731" s="195">
        <f>IF(B731="","",SIN(2*I731)/(COSH(2*H731)+COS(2*I731)))</f>
        <v/>
      </c>
      <c r="L731" s="195">
        <f>IF(B731="","",'入力・概要'!$B$25)</f>
        <v/>
      </c>
      <c r="M731" s="195">
        <f>IF(B731="","",C731*'入力・概要'!$B$26*1E-9-1/(C731*'入力・概要'!$B$24*1E-6))</f>
        <v/>
      </c>
      <c r="N731" s="195">
        <f>IF(B731="","",'入力・概要'!$B$28)</f>
        <v/>
      </c>
      <c r="O731" s="195">
        <f>IF(B731="","",C731*'入力・概要'!$B$29*1E-9-1/(C731*'入力・概要'!$B$27*1E-6))</f>
        <v/>
      </c>
      <c r="P731" s="195">
        <f>IF(B731="","",((L731*N731-M731*O731)*(L731+N731)+(L731*O731+M731*N731)*(M731+O731))/((L731+N731)^2+(M731+O731)^2))</f>
        <v/>
      </c>
      <c r="Q731" s="195">
        <f>IF(B731="","",((L731*O731+M731*N731)*(L731+N731)-(L731*N731-M731*O731)*(M731+O731))/((L731+N731)^2+(M731+O731)^2))</f>
        <v/>
      </c>
      <c r="R731" s="195">
        <f>IF(B731="","",'入力・概要'!$E$15*J731)</f>
        <v/>
      </c>
      <c r="S731" s="195">
        <f>IF(B731="","",'入力・概要'!$E$15*K731)</f>
        <v/>
      </c>
      <c r="T731" s="195">
        <f>IF(B731="","",P731+R731)</f>
        <v/>
      </c>
      <c r="U731" s="195">
        <f>IF(B731="","",Q731+S731)</f>
        <v/>
      </c>
      <c r="V731" s="195">
        <f>IF(B731="","",T731+'入力・概要'!$E$9*F731)</f>
        <v/>
      </c>
      <c r="W731" s="195">
        <f>IF(B731="","",U731+'入力・概要'!$E$9*G731)</f>
        <v/>
      </c>
      <c r="X731" s="195">
        <f>IF(B731="","",'入力・概要'!$E$9+T731*F731-U731*G731)</f>
        <v/>
      </c>
      <c r="Y731" s="195">
        <f>IF(B731="","",T731*G731+U731*F731)</f>
        <v/>
      </c>
      <c r="Z731" s="195">
        <f>IF(B731="","",'入力・概要'!$E$9*(V731*X731+W731*Y731)/(X731^2+Y731^2)+'入力・概要'!$B$36)</f>
        <v/>
      </c>
      <c r="AA731" s="195">
        <f>IF(B731="","",'入力・概要'!$E$9*(W731*X731-V731*Y731)/(X731^2+Y731^2)+C731*'入力・概要'!$B$37*1E-9)</f>
        <v/>
      </c>
      <c r="AB731" s="195">
        <f>IF(B731="","",SQRT(Z731^2+AA731^2))</f>
        <v/>
      </c>
      <c r="AC731" s="195">
        <f>IF(B731="","",IF(Z731&gt;0,DEGREES(ATAN(AA731/Z731)),IF(Z731&lt;0,IF(AA731&gt;=0,DEGREES(ATAN(AA731/Z731))+180,DEGREES(ATAN(AA731/Z731))-180),IF(AA731&gt;0,90,IF(AA731&lt;0,-90,0)))))</f>
        <v/>
      </c>
      <c r="AD731" s="195">
        <f>IF(B731="","",LOG10(B731))</f>
        <v/>
      </c>
      <c r="AE731" s="195">
        <f>IF(AB731="","",LOG10(MAX(AB731,1E-12)))</f>
        <v/>
      </c>
      <c r="AF731" s="195">
        <f>IF(B731="","",SQRT(P731^2+Q731^2))</f>
        <v/>
      </c>
      <c r="AG731" s="195">
        <f>IF(B731="","",SQRT(R731^2+S731^2))</f>
        <v/>
      </c>
    </row>
    <row r="732">
      <c r="A732" t="n">
        <v>729</v>
      </c>
      <c r="B732" s="196">
        <f>IF(A732&lt;='入力・概要'!$B$40,10^(LOG10('入力・概要'!$B$38)+(A732-1)*(LOG10('入力・概要'!$B$39)-LOG10('入力・概要'!$B$38))/('入力・概要'!$B$40-1)),"")</f>
        <v/>
      </c>
      <c r="C732" s="195">
        <f>IF(B732="","",2*PI()*B732)</f>
        <v/>
      </c>
      <c r="D732" s="195">
        <f>IF(B732="","",ATANH(MIN(0.999999,'入力・概要'!$E$20/'入力・概要'!$E$9))+'入力・概要'!$B$20*SQRT(B732/1E6)+E732*'入力・概要'!$B$15/2)</f>
        <v/>
      </c>
      <c r="E732" s="195">
        <f>IF(B732="","",C732*('入力・概要'!$E$11*1E-9))</f>
        <v/>
      </c>
      <c r="F732" s="195">
        <f>IF(B732="","",SINH(2*D732)/(COSH(2*D732)+COS(2*E732)))</f>
        <v/>
      </c>
      <c r="G732" s="195">
        <f>IF(B732="","",SIN(2*E732)/(COSH(2*D732)+COS(2*E732)))</f>
        <v/>
      </c>
      <c r="H732" s="195">
        <f>IF(B732="","",ATANH(MIN(0.999999,'入力・概要'!$E$21/'入力・概要'!$E$15))+'入力・概要'!$B$21*SQRT(B732/1E6)+I732*'入力・概要'!$B$16/2)</f>
        <v/>
      </c>
      <c r="I732" s="195">
        <f>IF(B732="","",C732*('入力・概要'!$E$17*1E-9))</f>
        <v/>
      </c>
      <c r="J732" s="195">
        <f>IF(B732="","",SINH(2*H732)/(COSH(2*H732)+COS(2*I732)))</f>
        <v/>
      </c>
      <c r="K732" s="195">
        <f>IF(B732="","",SIN(2*I732)/(COSH(2*H732)+COS(2*I732)))</f>
        <v/>
      </c>
      <c r="L732" s="195">
        <f>IF(B732="","",'入力・概要'!$B$25)</f>
        <v/>
      </c>
      <c r="M732" s="195">
        <f>IF(B732="","",C732*'入力・概要'!$B$26*1E-9-1/(C732*'入力・概要'!$B$24*1E-6))</f>
        <v/>
      </c>
      <c r="N732" s="195">
        <f>IF(B732="","",'入力・概要'!$B$28)</f>
        <v/>
      </c>
      <c r="O732" s="195">
        <f>IF(B732="","",C732*'入力・概要'!$B$29*1E-9-1/(C732*'入力・概要'!$B$27*1E-6))</f>
        <v/>
      </c>
      <c r="P732" s="195">
        <f>IF(B732="","",((L732*N732-M732*O732)*(L732+N732)+(L732*O732+M732*N732)*(M732+O732))/((L732+N732)^2+(M732+O732)^2))</f>
        <v/>
      </c>
      <c r="Q732" s="195">
        <f>IF(B732="","",((L732*O732+M732*N732)*(L732+N732)-(L732*N732-M732*O732)*(M732+O732))/((L732+N732)^2+(M732+O732)^2))</f>
        <v/>
      </c>
      <c r="R732" s="195">
        <f>IF(B732="","",'入力・概要'!$E$15*J732)</f>
        <v/>
      </c>
      <c r="S732" s="195">
        <f>IF(B732="","",'入力・概要'!$E$15*K732)</f>
        <v/>
      </c>
      <c r="T732" s="195">
        <f>IF(B732="","",P732+R732)</f>
        <v/>
      </c>
      <c r="U732" s="195">
        <f>IF(B732="","",Q732+S732)</f>
        <v/>
      </c>
      <c r="V732" s="195">
        <f>IF(B732="","",T732+'入力・概要'!$E$9*F732)</f>
        <v/>
      </c>
      <c r="W732" s="195">
        <f>IF(B732="","",U732+'入力・概要'!$E$9*G732)</f>
        <v/>
      </c>
      <c r="X732" s="195">
        <f>IF(B732="","",'入力・概要'!$E$9+T732*F732-U732*G732)</f>
        <v/>
      </c>
      <c r="Y732" s="195">
        <f>IF(B732="","",T732*G732+U732*F732)</f>
        <v/>
      </c>
      <c r="Z732" s="195">
        <f>IF(B732="","",'入力・概要'!$E$9*(V732*X732+W732*Y732)/(X732^2+Y732^2)+'入力・概要'!$B$36)</f>
        <v/>
      </c>
      <c r="AA732" s="195">
        <f>IF(B732="","",'入力・概要'!$E$9*(W732*X732-V732*Y732)/(X732^2+Y732^2)+C732*'入力・概要'!$B$37*1E-9)</f>
        <v/>
      </c>
      <c r="AB732" s="195">
        <f>IF(B732="","",SQRT(Z732^2+AA732^2))</f>
        <v/>
      </c>
      <c r="AC732" s="195">
        <f>IF(B732="","",IF(Z732&gt;0,DEGREES(ATAN(AA732/Z732)),IF(Z732&lt;0,IF(AA732&gt;=0,DEGREES(ATAN(AA732/Z732))+180,DEGREES(ATAN(AA732/Z732))-180),IF(AA732&gt;0,90,IF(AA732&lt;0,-90,0)))))</f>
        <v/>
      </c>
      <c r="AD732" s="195">
        <f>IF(B732="","",LOG10(B732))</f>
        <v/>
      </c>
      <c r="AE732" s="195">
        <f>IF(AB732="","",LOG10(MAX(AB732,1E-12)))</f>
        <v/>
      </c>
      <c r="AF732" s="195">
        <f>IF(B732="","",SQRT(P732^2+Q732^2))</f>
        <v/>
      </c>
      <c r="AG732" s="195">
        <f>IF(B732="","",SQRT(R732^2+S732^2))</f>
        <v/>
      </c>
    </row>
    <row r="733">
      <c r="A733" t="n">
        <v>730</v>
      </c>
      <c r="B733" s="196">
        <f>IF(A733&lt;='入力・概要'!$B$40,10^(LOG10('入力・概要'!$B$38)+(A733-1)*(LOG10('入力・概要'!$B$39)-LOG10('入力・概要'!$B$38))/('入力・概要'!$B$40-1)),"")</f>
        <v/>
      </c>
      <c r="C733" s="195">
        <f>IF(B733="","",2*PI()*B733)</f>
        <v/>
      </c>
      <c r="D733" s="195">
        <f>IF(B733="","",ATANH(MIN(0.999999,'入力・概要'!$E$20/'入力・概要'!$E$9))+'入力・概要'!$B$20*SQRT(B733/1E6)+E733*'入力・概要'!$B$15/2)</f>
        <v/>
      </c>
      <c r="E733" s="195">
        <f>IF(B733="","",C733*('入力・概要'!$E$11*1E-9))</f>
        <v/>
      </c>
      <c r="F733" s="195">
        <f>IF(B733="","",SINH(2*D733)/(COSH(2*D733)+COS(2*E733)))</f>
        <v/>
      </c>
      <c r="G733" s="195">
        <f>IF(B733="","",SIN(2*E733)/(COSH(2*D733)+COS(2*E733)))</f>
        <v/>
      </c>
      <c r="H733" s="195">
        <f>IF(B733="","",ATANH(MIN(0.999999,'入力・概要'!$E$21/'入力・概要'!$E$15))+'入力・概要'!$B$21*SQRT(B733/1E6)+I733*'入力・概要'!$B$16/2)</f>
        <v/>
      </c>
      <c r="I733" s="195">
        <f>IF(B733="","",C733*('入力・概要'!$E$17*1E-9))</f>
        <v/>
      </c>
      <c r="J733" s="195">
        <f>IF(B733="","",SINH(2*H733)/(COSH(2*H733)+COS(2*I733)))</f>
        <v/>
      </c>
      <c r="K733" s="195">
        <f>IF(B733="","",SIN(2*I733)/(COSH(2*H733)+COS(2*I733)))</f>
        <v/>
      </c>
      <c r="L733" s="195">
        <f>IF(B733="","",'入力・概要'!$B$25)</f>
        <v/>
      </c>
      <c r="M733" s="195">
        <f>IF(B733="","",C733*'入力・概要'!$B$26*1E-9-1/(C733*'入力・概要'!$B$24*1E-6))</f>
        <v/>
      </c>
      <c r="N733" s="195">
        <f>IF(B733="","",'入力・概要'!$B$28)</f>
        <v/>
      </c>
      <c r="O733" s="195">
        <f>IF(B733="","",C733*'入力・概要'!$B$29*1E-9-1/(C733*'入力・概要'!$B$27*1E-6))</f>
        <v/>
      </c>
      <c r="P733" s="195">
        <f>IF(B733="","",((L733*N733-M733*O733)*(L733+N733)+(L733*O733+M733*N733)*(M733+O733))/((L733+N733)^2+(M733+O733)^2))</f>
        <v/>
      </c>
      <c r="Q733" s="195">
        <f>IF(B733="","",((L733*O733+M733*N733)*(L733+N733)-(L733*N733-M733*O733)*(M733+O733))/((L733+N733)^2+(M733+O733)^2))</f>
        <v/>
      </c>
      <c r="R733" s="195">
        <f>IF(B733="","",'入力・概要'!$E$15*J733)</f>
        <v/>
      </c>
      <c r="S733" s="195">
        <f>IF(B733="","",'入力・概要'!$E$15*K733)</f>
        <v/>
      </c>
      <c r="T733" s="195">
        <f>IF(B733="","",P733+R733)</f>
        <v/>
      </c>
      <c r="U733" s="195">
        <f>IF(B733="","",Q733+S733)</f>
        <v/>
      </c>
      <c r="V733" s="195">
        <f>IF(B733="","",T733+'入力・概要'!$E$9*F733)</f>
        <v/>
      </c>
      <c r="W733" s="195">
        <f>IF(B733="","",U733+'入力・概要'!$E$9*G733)</f>
        <v/>
      </c>
      <c r="X733" s="195">
        <f>IF(B733="","",'入力・概要'!$E$9+T733*F733-U733*G733)</f>
        <v/>
      </c>
      <c r="Y733" s="195">
        <f>IF(B733="","",T733*G733+U733*F733)</f>
        <v/>
      </c>
      <c r="Z733" s="195">
        <f>IF(B733="","",'入力・概要'!$E$9*(V733*X733+W733*Y733)/(X733^2+Y733^2)+'入力・概要'!$B$36)</f>
        <v/>
      </c>
      <c r="AA733" s="195">
        <f>IF(B733="","",'入力・概要'!$E$9*(W733*X733-V733*Y733)/(X733^2+Y733^2)+C733*'入力・概要'!$B$37*1E-9)</f>
        <v/>
      </c>
      <c r="AB733" s="195">
        <f>IF(B733="","",SQRT(Z733^2+AA733^2))</f>
        <v/>
      </c>
      <c r="AC733" s="195">
        <f>IF(B733="","",IF(Z733&gt;0,DEGREES(ATAN(AA733/Z733)),IF(Z733&lt;0,IF(AA733&gt;=0,DEGREES(ATAN(AA733/Z733))+180,DEGREES(ATAN(AA733/Z733))-180),IF(AA733&gt;0,90,IF(AA733&lt;0,-90,0)))))</f>
        <v/>
      </c>
      <c r="AD733" s="195">
        <f>IF(B733="","",LOG10(B733))</f>
        <v/>
      </c>
      <c r="AE733" s="195">
        <f>IF(AB733="","",LOG10(MAX(AB733,1E-12)))</f>
        <v/>
      </c>
      <c r="AF733" s="195">
        <f>IF(B733="","",SQRT(P733^2+Q733^2))</f>
        <v/>
      </c>
      <c r="AG733" s="195">
        <f>IF(B733="","",SQRT(R733^2+S733^2))</f>
        <v/>
      </c>
    </row>
    <row r="734">
      <c r="A734" t="n">
        <v>731</v>
      </c>
      <c r="B734" s="196">
        <f>IF(A734&lt;='入力・概要'!$B$40,10^(LOG10('入力・概要'!$B$38)+(A734-1)*(LOG10('入力・概要'!$B$39)-LOG10('入力・概要'!$B$38))/('入力・概要'!$B$40-1)),"")</f>
        <v/>
      </c>
      <c r="C734" s="195">
        <f>IF(B734="","",2*PI()*B734)</f>
        <v/>
      </c>
      <c r="D734" s="195">
        <f>IF(B734="","",ATANH(MIN(0.999999,'入力・概要'!$E$20/'入力・概要'!$E$9))+'入力・概要'!$B$20*SQRT(B734/1E6)+E734*'入力・概要'!$B$15/2)</f>
        <v/>
      </c>
      <c r="E734" s="195">
        <f>IF(B734="","",C734*('入力・概要'!$E$11*1E-9))</f>
        <v/>
      </c>
      <c r="F734" s="195">
        <f>IF(B734="","",SINH(2*D734)/(COSH(2*D734)+COS(2*E734)))</f>
        <v/>
      </c>
      <c r="G734" s="195">
        <f>IF(B734="","",SIN(2*E734)/(COSH(2*D734)+COS(2*E734)))</f>
        <v/>
      </c>
      <c r="H734" s="195">
        <f>IF(B734="","",ATANH(MIN(0.999999,'入力・概要'!$E$21/'入力・概要'!$E$15))+'入力・概要'!$B$21*SQRT(B734/1E6)+I734*'入力・概要'!$B$16/2)</f>
        <v/>
      </c>
      <c r="I734" s="195">
        <f>IF(B734="","",C734*('入力・概要'!$E$17*1E-9))</f>
        <v/>
      </c>
      <c r="J734" s="195">
        <f>IF(B734="","",SINH(2*H734)/(COSH(2*H734)+COS(2*I734)))</f>
        <v/>
      </c>
      <c r="K734" s="195">
        <f>IF(B734="","",SIN(2*I734)/(COSH(2*H734)+COS(2*I734)))</f>
        <v/>
      </c>
      <c r="L734" s="195">
        <f>IF(B734="","",'入力・概要'!$B$25)</f>
        <v/>
      </c>
      <c r="M734" s="195">
        <f>IF(B734="","",C734*'入力・概要'!$B$26*1E-9-1/(C734*'入力・概要'!$B$24*1E-6))</f>
        <v/>
      </c>
      <c r="N734" s="195">
        <f>IF(B734="","",'入力・概要'!$B$28)</f>
        <v/>
      </c>
      <c r="O734" s="195">
        <f>IF(B734="","",C734*'入力・概要'!$B$29*1E-9-1/(C734*'入力・概要'!$B$27*1E-6))</f>
        <v/>
      </c>
      <c r="P734" s="195">
        <f>IF(B734="","",((L734*N734-M734*O734)*(L734+N734)+(L734*O734+M734*N734)*(M734+O734))/((L734+N734)^2+(M734+O734)^2))</f>
        <v/>
      </c>
      <c r="Q734" s="195">
        <f>IF(B734="","",((L734*O734+M734*N734)*(L734+N734)-(L734*N734-M734*O734)*(M734+O734))/((L734+N734)^2+(M734+O734)^2))</f>
        <v/>
      </c>
      <c r="R734" s="195">
        <f>IF(B734="","",'入力・概要'!$E$15*J734)</f>
        <v/>
      </c>
      <c r="S734" s="195">
        <f>IF(B734="","",'入力・概要'!$E$15*K734)</f>
        <v/>
      </c>
      <c r="T734" s="195">
        <f>IF(B734="","",P734+R734)</f>
        <v/>
      </c>
      <c r="U734" s="195">
        <f>IF(B734="","",Q734+S734)</f>
        <v/>
      </c>
      <c r="V734" s="195">
        <f>IF(B734="","",T734+'入力・概要'!$E$9*F734)</f>
        <v/>
      </c>
      <c r="W734" s="195">
        <f>IF(B734="","",U734+'入力・概要'!$E$9*G734)</f>
        <v/>
      </c>
      <c r="X734" s="195">
        <f>IF(B734="","",'入力・概要'!$E$9+T734*F734-U734*G734)</f>
        <v/>
      </c>
      <c r="Y734" s="195">
        <f>IF(B734="","",T734*G734+U734*F734)</f>
        <v/>
      </c>
      <c r="Z734" s="195">
        <f>IF(B734="","",'入力・概要'!$E$9*(V734*X734+W734*Y734)/(X734^2+Y734^2)+'入力・概要'!$B$36)</f>
        <v/>
      </c>
      <c r="AA734" s="195">
        <f>IF(B734="","",'入力・概要'!$E$9*(W734*X734-V734*Y734)/(X734^2+Y734^2)+C734*'入力・概要'!$B$37*1E-9)</f>
        <v/>
      </c>
      <c r="AB734" s="195">
        <f>IF(B734="","",SQRT(Z734^2+AA734^2))</f>
        <v/>
      </c>
      <c r="AC734" s="195">
        <f>IF(B734="","",IF(Z734&gt;0,DEGREES(ATAN(AA734/Z734)),IF(Z734&lt;0,IF(AA734&gt;=0,DEGREES(ATAN(AA734/Z734))+180,DEGREES(ATAN(AA734/Z734))-180),IF(AA734&gt;0,90,IF(AA734&lt;0,-90,0)))))</f>
        <v/>
      </c>
      <c r="AD734" s="195">
        <f>IF(B734="","",LOG10(B734))</f>
        <v/>
      </c>
      <c r="AE734" s="195">
        <f>IF(AB734="","",LOG10(MAX(AB734,1E-12)))</f>
        <v/>
      </c>
      <c r="AF734" s="195">
        <f>IF(B734="","",SQRT(P734^2+Q734^2))</f>
        <v/>
      </c>
      <c r="AG734" s="195">
        <f>IF(B734="","",SQRT(R734^2+S734^2))</f>
        <v/>
      </c>
    </row>
    <row r="735">
      <c r="A735" t="n">
        <v>732</v>
      </c>
      <c r="B735" s="196">
        <f>IF(A735&lt;='入力・概要'!$B$40,10^(LOG10('入力・概要'!$B$38)+(A735-1)*(LOG10('入力・概要'!$B$39)-LOG10('入力・概要'!$B$38))/('入力・概要'!$B$40-1)),"")</f>
        <v/>
      </c>
      <c r="C735" s="195">
        <f>IF(B735="","",2*PI()*B735)</f>
        <v/>
      </c>
      <c r="D735" s="195">
        <f>IF(B735="","",ATANH(MIN(0.999999,'入力・概要'!$E$20/'入力・概要'!$E$9))+'入力・概要'!$B$20*SQRT(B735/1E6)+E735*'入力・概要'!$B$15/2)</f>
        <v/>
      </c>
      <c r="E735" s="195">
        <f>IF(B735="","",C735*('入力・概要'!$E$11*1E-9))</f>
        <v/>
      </c>
      <c r="F735" s="195">
        <f>IF(B735="","",SINH(2*D735)/(COSH(2*D735)+COS(2*E735)))</f>
        <v/>
      </c>
      <c r="G735" s="195">
        <f>IF(B735="","",SIN(2*E735)/(COSH(2*D735)+COS(2*E735)))</f>
        <v/>
      </c>
      <c r="H735" s="195">
        <f>IF(B735="","",ATANH(MIN(0.999999,'入力・概要'!$E$21/'入力・概要'!$E$15))+'入力・概要'!$B$21*SQRT(B735/1E6)+I735*'入力・概要'!$B$16/2)</f>
        <v/>
      </c>
      <c r="I735" s="195">
        <f>IF(B735="","",C735*('入力・概要'!$E$17*1E-9))</f>
        <v/>
      </c>
      <c r="J735" s="195">
        <f>IF(B735="","",SINH(2*H735)/(COSH(2*H735)+COS(2*I735)))</f>
        <v/>
      </c>
      <c r="K735" s="195">
        <f>IF(B735="","",SIN(2*I735)/(COSH(2*H735)+COS(2*I735)))</f>
        <v/>
      </c>
      <c r="L735" s="195">
        <f>IF(B735="","",'入力・概要'!$B$25)</f>
        <v/>
      </c>
      <c r="M735" s="195">
        <f>IF(B735="","",C735*'入力・概要'!$B$26*1E-9-1/(C735*'入力・概要'!$B$24*1E-6))</f>
        <v/>
      </c>
      <c r="N735" s="195">
        <f>IF(B735="","",'入力・概要'!$B$28)</f>
        <v/>
      </c>
      <c r="O735" s="195">
        <f>IF(B735="","",C735*'入力・概要'!$B$29*1E-9-1/(C735*'入力・概要'!$B$27*1E-6))</f>
        <v/>
      </c>
      <c r="P735" s="195">
        <f>IF(B735="","",((L735*N735-M735*O735)*(L735+N735)+(L735*O735+M735*N735)*(M735+O735))/((L735+N735)^2+(M735+O735)^2))</f>
        <v/>
      </c>
      <c r="Q735" s="195">
        <f>IF(B735="","",((L735*O735+M735*N735)*(L735+N735)-(L735*N735-M735*O735)*(M735+O735))/((L735+N735)^2+(M735+O735)^2))</f>
        <v/>
      </c>
      <c r="R735" s="195">
        <f>IF(B735="","",'入力・概要'!$E$15*J735)</f>
        <v/>
      </c>
      <c r="S735" s="195">
        <f>IF(B735="","",'入力・概要'!$E$15*K735)</f>
        <v/>
      </c>
      <c r="T735" s="195">
        <f>IF(B735="","",P735+R735)</f>
        <v/>
      </c>
      <c r="U735" s="195">
        <f>IF(B735="","",Q735+S735)</f>
        <v/>
      </c>
      <c r="V735" s="195">
        <f>IF(B735="","",T735+'入力・概要'!$E$9*F735)</f>
        <v/>
      </c>
      <c r="W735" s="195">
        <f>IF(B735="","",U735+'入力・概要'!$E$9*G735)</f>
        <v/>
      </c>
      <c r="X735" s="195">
        <f>IF(B735="","",'入力・概要'!$E$9+T735*F735-U735*G735)</f>
        <v/>
      </c>
      <c r="Y735" s="195">
        <f>IF(B735="","",T735*G735+U735*F735)</f>
        <v/>
      </c>
      <c r="Z735" s="195">
        <f>IF(B735="","",'入力・概要'!$E$9*(V735*X735+W735*Y735)/(X735^2+Y735^2)+'入力・概要'!$B$36)</f>
        <v/>
      </c>
      <c r="AA735" s="195">
        <f>IF(B735="","",'入力・概要'!$E$9*(W735*X735-V735*Y735)/(X735^2+Y735^2)+C735*'入力・概要'!$B$37*1E-9)</f>
        <v/>
      </c>
      <c r="AB735" s="195">
        <f>IF(B735="","",SQRT(Z735^2+AA735^2))</f>
        <v/>
      </c>
      <c r="AC735" s="195">
        <f>IF(B735="","",IF(Z735&gt;0,DEGREES(ATAN(AA735/Z735)),IF(Z735&lt;0,IF(AA735&gt;=0,DEGREES(ATAN(AA735/Z735))+180,DEGREES(ATAN(AA735/Z735))-180),IF(AA735&gt;0,90,IF(AA735&lt;0,-90,0)))))</f>
        <v/>
      </c>
      <c r="AD735" s="195">
        <f>IF(B735="","",LOG10(B735))</f>
        <v/>
      </c>
      <c r="AE735" s="195">
        <f>IF(AB735="","",LOG10(MAX(AB735,1E-12)))</f>
        <v/>
      </c>
      <c r="AF735" s="195">
        <f>IF(B735="","",SQRT(P735^2+Q735^2))</f>
        <v/>
      </c>
      <c r="AG735" s="195">
        <f>IF(B735="","",SQRT(R735^2+S735^2))</f>
        <v/>
      </c>
    </row>
    <row r="736">
      <c r="A736" t="n">
        <v>733</v>
      </c>
      <c r="B736" s="196">
        <f>IF(A736&lt;='入力・概要'!$B$40,10^(LOG10('入力・概要'!$B$38)+(A736-1)*(LOG10('入力・概要'!$B$39)-LOG10('入力・概要'!$B$38))/('入力・概要'!$B$40-1)),"")</f>
        <v/>
      </c>
      <c r="C736" s="195">
        <f>IF(B736="","",2*PI()*B736)</f>
        <v/>
      </c>
      <c r="D736" s="195">
        <f>IF(B736="","",ATANH(MIN(0.999999,'入力・概要'!$E$20/'入力・概要'!$E$9))+'入力・概要'!$B$20*SQRT(B736/1E6)+E736*'入力・概要'!$B$15/2)</f>
        <v/>
      </c>
      <c r="E736" s="195">
        <f>IF(B736="","",C736*('入力・概要'!$E$11*1E-9))</f>
        <v/>
      </c>
      <c r="F736" s="195">
        <f>IF(B736="","",SINH(2*D736)/(COSH(2*D736)+COS(2*E736)))</f>
        <v/>
      </c>
      <c r="G736" s="195">
        <f>IF(B736="","",SIN(2*E736)/(COSH(2*D736)+COS(2*E736)))</f>
        <v/>
      </c>
      <c r="H736" s="195">
        <f>IF(B736="","",ATANH(MIN(0.999999,'入力・概要'!$E$21/'入力・概要'!$E$15))+'入力・概要'!$B$21*SQRT(B736/1E6)+I736*'入力・概要'!$B$16/2)</f>
        <v/>
      </c>
      <c r="I736" s="195">
        <f>IF(B736="","",C736*('入力・概要'!$E$17*1E-9))</f>
        <v/>
      </c>
      <c r="J736" s="195">
        <f>IF(B736="","",SINH(2*H736)/(COSH(2*H736)+COS(2*I736)))</f>
        <v/>
      </c>
      <c r="K736" s="195">
        <f>IF(B736="","",SIN(2*I736)/(COSH(2*H736)+COS(2*I736)))</f>
        <v/>
      </c>
      <c r="L736" s="195">
        <f>IF(B736="","",'入力・概要'!$B$25)</f>
        <v/>
      </c>
      <c r="M736" s="195">
        <f>IF(B736="","",C736*'入力・概要'!$B$26*1E-9-1/(C736*'入力・概要'!$B$24*1E-6))</f>
        <v/>
      </c>
      <c r="N736" s="195">
        <f>IF(B736="","",'入力・概要'!$B$28)</f>
        <v/>
      </c>
      <c r="O736" s="195">
        <f>IF(B736="","",C736*'入力・概要'!$B$29*1E-9-1/(C736*'入力・概要'!$B$27*1E-6))</f>
        <v/>
      </c>
      <c r="P736" s="195">
        <f>IF(B736="","",((L736*N736-M736*O736)*(L736+N736)+(L736*O736+M736*N736)*(M736+O736))/((L736+N736)^2+(M736+O736)^2))</f>
        <v/>
      </c>
      <c r="Q736" s="195">
        <f>IF(B736="","",((L736*O736+M736*N736)*(L736+N736)-(L736*N736-M736*O736)*(M736+O736))/((L736+N736)^2+(M736+O736)^2))</f>
        <v/>
      </c>
      <c r="R736" s="195">
        <f>IF(B736="","",'入力・概要'!$E$15*J736)</f>
        <v/>
      </c>
      <c r="S736" s="195">
        <f>IF(B736="","",'入力・概要'!$E$15*K736)</f>
        <v/>
      </c>
      <c r="T736" s="195">
        <f>IF(B736="","",P736+R736)</f>
        <v/>
      </c>
      <c r="U736" s="195">
        <f>IF(B736="","",Q736+S736)</f>
        <v/>
      </c>
      <c r="V736" s="195">
        <f>IF(B736="","",T736+'入力・概要'!$E$9*F736)</f>
        <v/>
      </c>
      <c r="W736" s="195">
        <f>IF(B736="","",U736+'入力・概要'!$E$9*G736)</f>
        <v/>
      </c>
      <c r="X736" s="195">
        <f>IF(B736="","",'入力・概要'!$E$9+T736*F736-U736*G736)</f>
        <v/>
      </c>
      <c r="Y736" s="195">
        <f>IF(B736="","",T736*G736+U736*F736)</f>
        <v/>
      </c>
      <c r="Z736" s="195">
        <f>IF(B736="","",'入力・概要'!$E$9*(V736*X736+W736*Y736)/(X736^2+Y736^2)+'入力・概要'!$B$36)</f>
        <v/>
      </c>
      <c r="AA736" s="195">
        <f>IF(B736="","",'入力・概要'!$E$9*(W736*X736-V736*Y736)/(X736^2+Y736^2)+C736*'入力・概要'!$B$37*1E-9)</f>
        <v/>
      </c>
      <c r="AB736" s="195">
        <f>IF(B736="","",SQRT(Z736^2+AA736^2))</f>
        <v/>
      </c>
      <c r="AC736" s="195">
        <f>IF(B736="","",IF(Z736&gt;0,DEGREES(ATAN(AA736/Z736)),IF(Z736&lt;0,IF(AA736&gt;=0,DEGREES(ATAN(AA736/Z736))+180,DEGREES(ATAN(AA736/Z736))-180),IF(AA736&gt;0,90,IF(AA736&lt;0,-90,0)))))</f>
        <v/>
      </c>
      <c r="AD736" s="195">
        <f>IF(B736="","",LOG10(B736))</f>
        <v/>
      </c>
      <c r="AE736" s="195">
        <f>IF(AB736="","",LOG10(MAX(AB736,1E-12)))</f>
        <v/>
      </c>
      <c r="AF736" s="195">
        <f>IF(B736="","",SQRT(P736^2+Q736^2))</f>
        <v/>
      </c>
      <c r="AG736" s="195">
        <f>IF(B736="","",SQRT(R736^2+S736^2))</f>
        <v/>
      </c>
    </row>
    <row r="737">
      <c r="A737" t="n">
        <v>734</v>
      </c>
      <c r="B737" s="196">
        <f>IF(A737&lt;='入力・概要'!$B$40,10^(LOG10('入力・概要'!$B$38)+(A737-1)*(LOG10('入力・概要'!$B$39)-LOG10('入力・概要'!$B$38))/('入力・概要'!$B$40-1)),"")</f>
        <v/>
      </c>
      <c r="C737" s="195">
        <f>IF(B737="","",2*PI()*B737)</f>
        <v/>
      </c>
      <c r="D737" s="195">
        <f>IF(B737="","",ATANH(MIN(0.999999,'入力・概要'!$E$20/'入力・概要'!$E$9))+'入力・概要'!$B$20*SQRT(B737/1E6)+E737*'入力・概要'!$B$15/2)</f>
        <v/>
      </c>
      <c r="E737" s="195">
        <f>IF(B737="","",C737*('入力・概要'!$E$11*1E-9))</f>
        <v/>
      </c>
      <c r="F737" s="195">
        <f>IF(B737="","",SINH(2*D737)/(COSH(2*D737)+COS(2*E737)))</f>
        <v/>
      </c>
      <c r="G737" s="195">
        <f>IF(B737="","",SIN(2*E737)/(COSH(2*D737)+COS(2*E737)))</f>
        <v/>
      </c>
      <c r="H737" s="195">
        <f>IF(B737="","",ATANH(MIN(0.999999,'入力・概要'!$E$21/'入力・概要'!$E$15))+'入力・概要'!$B$21*SQRT(B737/1E6)+I737*'入力・概要'!$B$16/2)</f>
        <v/>
      </c>
      <c r="I737" s="195">
        <f>IF(B737="","",C737*('入力・概要'!$E$17*1E-9))</f>
        <v/>
      </c>
      <c r="J737" s="195">
        <f>IF(B737="","",SINH(2*H737)/(COSH(2*H737)+COS(2*I737)))</f>
        <v/>
      </c>
      <c r="K737" s="195">
        <f>IF(B737="","",SIN(2*I737)/(COSH(2*H737)+COS(2*I737)))</f>
        <v/>
      </c>
      <c r="L737" s="195">
        <f>IF(B737="","",'入力・概要'!$B$25)</f>
        <v/>
      </c>
      <c r="M737" s="195">
        <f>IF(B737="","",C737*'入力・概要'!$B$26*1E-9-1/(C737*'入力・概要'!$B$24*1E-6))</f>
        <v/>
      </c>
      <c r="N737" s="195">
        <f>IF(B737="","",'入力・概要'!$B$28)</f>
        <v/>
      </c>
      <c r="O737" s="195">
        <f>IF(B737="","",C737*'入力・概要'!$B$29*1E-9-1/(C737*'入力・概要'!$B$27*1E-6))</f>
        <v/>
      </c>
      <c r="P737" s="195">
        <f>IF(B737="","",((L737*N737-M737*O737)*(L737+N737)+(L737*O737+M737*N737)*(M737+O737))/((L737+N737)^2+(M737+O737)^2))</f>
        <v/>
      </c>
      <c r="Q737" s="195">
        <f>IF(B737="","",((L737*O737+M737*N737)*(L737+N737)-(L737*N737-M737*O737)*(M737+O737))/((L737+N737)^2+(M737+O737)^2))</f>
        <v/>
      </c>
      <c r="R737" s="195">
        <f>IF(B737="","",'入力・概要'!$E$15*J737)</f>
        <v/>
      </c>
      <c r="S737" s="195">
        <f>IF(B737="","",'入力・概要'!$E$15*K737)</f>
        <v/>
      </c>
      <c r="T737" s="195">
        <f>IF(B737="","",P737+R737)</f>
        <v/>
      </c>
      <c r="U737" s="195">
        <f>IF(B737="","",Q737+S737)</f>
        <v/>
      </c>
      <c r="V737" s="195">
        <f>IF(B737="","",T737+'入力・概要'!$E$9*F737)</f>
        <v/>
      </c>
      <c r="W737" s="195">
        <f>IF(B737="","",U737+'入力・概要'!$E$9*G737)</f>
        <v/>
      </c>
      <c r="X737" s="195">
        <f>IF(B737="","",'入力・概要'!$E$9+T737*F737-U737*G737)</f>
        <v/>
      </c>
      <c r="Y737" s="195">
        <f>IF(B737="","",T737*G737+U737*F737)</f>
        <v/>
      </c>
      <c r="Z737" s="195">
        <f>IF(B737="","",'入力・概要'!$E$9*(V737*X737+W737*Y737)/(X737^2+Y737^2)+'入力・概要'!$B$36)</f>
        <v/>
      </c>
      <c r="AA737" s="195">
        <f>IF(B737="","",'入力・概要'!$E$9*(W737*X737-V737*Y737)/(X737^2+Y737^2)+C737*'入力・概要'!$B$37*1E-9)</f>
        <v/>
      </c>
      <c r="AB737" s="195">
        <f>IF(B737="","",SQRT(Z737^2+AA737^2))</f>
        <v/>
      </c>
      <c r="AC737" s="195">
        <f>IF(B737="","",IF(Z737&gt;0,DEGREES(ATAN(AA737/Z737)),IF(Z737&lt;0,IF(AA737&gt;=0,DEGREES(ATAN(AA737/Z737))+180,DEGREES(ATAN(AA737/Z737))-180),IF(AA737&gt;0,90,IF(AA737&lt;0,-90,0)))))</f>
        <v/>
      </c>
      <c r="AD737" s="195">
        <f>IF(B737="","",LOG10(B737))</f>
        <v/>
      </c>
      <c r="AE737" s="195">
        <f>IF(AB737="","",LOG10(MAX(AB737,1E-12)))</f>
        <v/>
      </c>
      <c r="AF737" s="195">
        <f>IF(B737="","",SQRT(P737^2+Q737^2))</f>
        <v/>
      </c>
      <c r="AG737" s="195">
        <f>IF(B737="","",SQRT(R737^2+S737^2))</f>
        <v/>
      </c>
    </row>
    <row r="738">
      <c r="A738" t="n">
        <v>735</v>
      </c>
      <c r="B738" s="196">
        <f>IF(A738&lt;='入力・概要'!$B$40,10^(LOG10('入力・概要'!$B$38)+(A738-1)*(LOG10('入力・概要'!$B$39)-LOG10('入力・概要'!$B$38))/('入力・概要'!$B$40-1)),"")</f>
        <v/>
      </c>
      <c r="C738" s="195">
        <f>IF(B738="","",2*PI()*B738)</f>
        <v/>
      </c>
      <c r="D738" s="195">
        <f>IF(B738="","",ATANH(MIN(0.999999,'入力・概要'!$E$20/'入力・概要'!$E$9))+'入力・概要'!$B$20*SQRT(B738/1E6)+E738*'入力・概要'!$B$15/2)</f>
        <v/>
      </c>
      <c r="E738" s="195">
        <f>IF(B738="","",C738*('入力・概要'!$E$11*1E-9))</f>
        <v/>
      </c>
      <c r="F738" s="195">
        <f>IF(B738="","",SINH(2*D738)/(COSH(2*D738)+COS(2*E738)))</f>
        <v/>
      </c>
      <c r="G738" s="195">
        <f>IF(B738="","",SIN(2*E738)/(COSH(2*D738)+COS(2*E738)))</f>
        <v/>
      </c>
      <c r="H738" s="195">
        <f>IF(B738="","",ATANH(MIN(0.999999,'入力・概要'!$E$21/'入力・概要'!$E$15))+'入力・概要'!$B$21*SQRT(B738/1E6)+I738*'入力・概要'!$B$16/2)</f>
        <v/>
      </c>
      <c r="I738" s="195">
        <f>IF(B738="","",C738*('入力・概要'!$E$17*1E-9))</f>
        <v/>
      </c>
      <c r="J738" s="195">
        <f>IF(B738="","",SINH(2*H738)/(COSH(2*H738)+COS(2*I738)))</f>
        <v/>
      </c>
      <c r="K738" s="195">
        <f>IF(B738="","",SIN(2*I738)/(COSH(2*H738)+COS(2*I738)))</f>
        <v/>
      </c>
      <c r="L738" s="195">
        <f>IF(B738="","",'入力・概要'!$B$25)</f>
        <v/>
      </c>
      <c r="M738" s="195">
        <f>IF(B738="","",C738*'入力・概要'!$B$26*1E-9-1/(C738*'入力・概要'!$B$24*1E-6))</f>
        <v/>
      </c>
      <c r="N738" s="195">
        <f>IF(B738="","",'入力・概要'!$B$28)</f>
        <v/>
      </c>
      <c r="O738" s="195">
        <f>IF(B738="","",C738*'入力・概要'!$B$29*1E-9-1/(C738*'入力・概要'!$B$27*1E-6))</f>
        <v/>
      </c>
      <c r="P738" s="195">
        <f>IF(B738="","",((L738*N738-M738*O738)*(L738+N738)+(L738*O738+M738*N738)*(M738+O738))/((L738+N738)^2+(M738+O738)^2))</f>
        <v/>
      </c>
      <c r="Q738" s="195">
        <f>IF(B738="","",((L738*O738+M738*N738)*(L738+N738)-(L738*N738-M738*O738)*(M738+O738))/((L738+N738)^2+(M738+O738)^2))</f>
        <v/>
      </c>
      <c r="R738" s="195">
        <f>IF(B738="","",'入力・概要'!$E$15*J738)</f>
        <v/>
      </c>
      <c r="S738" s="195">
        <f>IF(B738="","",'入力・概要'!$E$15*K738)</f>
        <v/>
      </c>
      <c r="T738" s="195">
        <f>IF(B738="","",P738+R738)</f>
        <v/>
      </c>
      <c r="U738" s="195">
        <f>IF(B738="","",Q738+S738)</f>
        <v/>
      </c>
      <c r="V738" s="195">
        <f>IF(B738="","",T738+'入力・概要'!$E$9*F738)</f>
        <v/>
      </c>
      <c r="W738" s="195">
        <f>IF(B738="","",U738+'入力・概要'!$E$9*G738)</f>
        <v/>
      </c>
      <c r="X738" s="195">
        <f>IF(B738="","",'入力・概要'!$E$9+T738*F738-U738*G738)</f>
        <v/>
      </c>
      <c r="Y738" s="195">
        <f>IF(B738="","",T738*G738+U738*F738)</f>
        <v/>
      </c>
      <c r="Z738" s="195">
        <f>IF(B738="","",'入力・概要'!$E$9*(V738*X738+W738*Y738)/(X738^2+Y738^2)+'入力・概要'!$B$36)</f>
        <v/>
      </c>
      <c r="AA738" s="195">
        <f>IF(B738="","",'入力・概要'!$E$9*(W738*X738-V738*Y738)/(X738^2+Y738^2)+C738*'入力・概要'!$B$37*1E-9)</f>
        <v/>
      </c>
      <c r="AB738" s="195">
        <f>IF(B738="","",SQRT(Z738^2+AA738^2))</f>
        <v/>
      </c>
      <c r="AC738" s="195">
        <f>IF(B738="","",IF(Z738&gt;0,DEGREES(ATAN(AA738/Z738)),IF(Z738&lt;0,IF(AA738&gt;=0,DEGREES(ATAN(AA738/Z738))+180,DEGREES(ATAN(AA738/Z738))-180),IF(AA738&gt;0,90,IF(AA738&lt;0,-90,0)))))</f>
        <v/>
      </c>
      <c r="AD738" s="195">
        <f>IF(B738="","",LOG10(B738))</f>
        <v/>
      </c>
      <c r="AE738" s="195">
        <f>IF(AB738="","",LOG10(MAX(AB738,1E-12)))</f>
        <v/>
      </c>
      <c r="AF738" s="195">
        <f>IF(B738="","",SQRT(P738^2+Q738^2))</f>
        <v/>
      </c>
      <c r="AG738" s="195">
        <f>IF(B738="","",SQRT(R738^2+S738^2))</f>
        <v/>
      </c>
    </row>
    <row r="739">
      <c r="A739" t="n">
        <v>736</v>
      </c>
      <c r="B739" s="196">
        <f>IF(A739&lt;='入力・概要'!$B$40,10^(LOG10('入力・概要'!$B$38)+(A739-1)*(LOG10('入力・概要'!$B$39)-LOG10('入力・概要'!$B$38))/('入力・概要'!$B$40-1)),"")</f>
        <v/>
      </c>
      <c r="C739" s="195">
        <f>IF(B739="","",2*PI()*B739)</f>
        <v/>
      </c>
      <c r="D739" s="195">
        <f>IF(B739="","",ATANH(MIN(0.999999,'入力・概要'!$E$20/'入力・概要'!$E$9))+'入力・概要'!$B$20*SQRT(B739/1E6)+E739*'入力・概要'!$B$15/2)</f>
        <v/>
      </c>
      <c r="E739" s="195">
        <f>IF(B739="","",C739*('入力・概要'!$E$11*1E-9))</f>
        <v/>
      </c>
      <c r="F739" s="195">
        <f>IF(B739="","",SINH(2*D739)/(COSH(2*D739)+COS(2*E739)))</f>
        <v/>
      </c>
      <c r="G739" s="195">
        <f>IF(B739="","",SIN(2*E739)/(COSH(2*D739)+COS(2*E739)))</f>
        <v/>
      </c>
      <c r="H739" s="195">
        <f>IF(B739="","",ATANH(MIN(0.999999,'入力・概要'!$E$21/'入力・概要'!$E$15))+'入力・概要'!$B$21*SQRT(B739/1E6)+I739*'入力・概要'!$B$16/2)</f>
        <v/>
      </c>
      <c r="I739" s="195">
        <f>IF(B739="","",C739*('入力・概要'!$E$17*1E-9))</f>
        <v/>
      </c>
      <c r="J739" s="195">
        <f>IF(B739="","",SINH(2*H739)/(COSH(2*H739)+COS(2*I739)))</f>
        <v/>
      </c>
      <c r="K739" s="195">
        <f>IF(B739="","",SIN(2*I739)/(COSH(2*H739)+COS(2*I739)))</f>
        <v/>
      </c>
      <c r="L739" s="195">
        <f>IF(B739="","",'入力・概要'!$B$25)</f>
        <v/>
      </c>
      <c r="M739" s="195">
        <f>IF(B739="","",C739*'入力・概要'!$B$26*1E-9-1/(C739*'入力・概要'!$B$24*1E-6))</f>
        <v/>
      </c>
      <c r="N739" s="195">
        <f>IF(B739="","",'入力・概要'!$B$28)</f>
        <v/>
      </c>
      <c r="O739" s="195">
        <f>IF(B739="","",C739*'入力・概要'!$B$29*1E-9-1/(C739*'入力・概要'!$B$27*1E-6))</f>
        <v/>
      </c>
      <c r="P739" s="195">
        <f>IF(B739="","",((L739*N739-M739*O739)*(L739+N739)+(L739*O739+M739*N739)*(M739+O739))/((L739+N739)^2+(M739+O739)^2))</f>
        <v/>
      </c>
      <c r="Q739" s="195">
        <f>IF(B739="","",((L739*O739+M739*N739)*(L739+N739)-(L739*N739-M739*O739)*(M739+O739))/((L739+N739)^2+(M739+O739)^2))</f>
        <v/>
      </c>
      <c r="R739" s="195">
        <f>IF(B739="","",'入力・概要'!$E$15*J739)</f>
        <v/>
      </c>
      <c r="S739" s="195">
        <f>IF(B739="","",'入力・概要'!$E$15*K739)</f>
        <v/>
      </c>
      <c r="T739" s="195">
        <f>IF(B739="","",P739+R739)</f>
        <v/>
      </c>
      <c r="U739" s="195">
        <f>IF(B739="","",Q739+S739)</f>
        <v/>
      </c>
      <c r="V739" s="195">
        <f>IF(B739="","",T739+'入力・概要'!$E$9*F739)</f>
        <v/>
      </c>
      <c r="W739" s="195">
        <f>IF(B739="","",U739+'入力・概要'!$E$9*G739)</f>
        <v/>
      </c>
      <c r="X739" s="195">
        <f>IF(B739="","",'入力・概要'!$E$9+T739*F739-U739*G739)</f>
        <v/>
      </c>
      <c r="Y739" s="195">
        <f>IF(B739="","",T739*G739+U739*F739)</f>
        <v/>
      </c>
      <c r="Z739" s="195">
        <f>IF(B739="","",'入力・概要'!$E$9*(V739*X739+W739*Y739)/(X739^2+Y739^2)+'入力・概要'!$B$36)</f>
        <v/>
      </c>
      <c r="AA739" s="195">
        <f>IF(B739="","",'入力・概要'!$E$9*(W739*X739-V739*Y739)/(X739^2+Y739^2)+C739*'入力・概要'!$B$37*1E-9)</f>
        <v/>
      </c>
      <c r="AB739" s="195">
        <f>IF(B739="","",SQRT(Z739^2+AA739^2))</f>
        <v/>
      </c>
      <c r="AC739" s="195">
        <f>IF(B739="","",IF(Z739&gt;0,DEGREES(ATAN(AA739/Z739)),IF(Z739&lt;0,IF(AA739&gt;=0,DEGREES(ATAN(AA739/Z739))+180,DEGREES(ATAN(AA739/Z739))-180),IF(AA739&gt;0,90,IF(AA739&lt;0,-90,0)))))</f>
        <v/>
      </c>
      <c r="AD739" s="195">
        <f>IF(B739="","",LOG10(B739))</f>
        <v/>
      </c>
      <c r="AE739" s="195">
        <f>IF(AB739="","",LOG10(MAX(AB739,1E-12)))</f>
        <v/>
      </c>
      <c r="AF739" s="195">
        <f>IF(B739="","",SQRT(P739^2+Q739^2))</f>
        <v/>
      </c>
      <c r="AG739" s="195">
        <f>IF(B739="","",SQRT(R739^2+S739^2))</f>
        <v/>
      </c>
    </row>
    <row r="740">
      <c r="A740" t="n">
        <v>737</v>
      </c>
      <c r="B740" s="196">
        <f>IF(A740&lt;='入力・概要'!$B$40,10^(LOG10('入力・概要'!$B$38)+(A740-1)*(LOG10('入力・概要'!$B$39)-LOG10('入力・概要'!$B$38))/('入力・概要'!$B$40-1)),"")</f>
        <v/>
      </c>
      <c r="C740" s="195">
        <f>IF(B740="","",2*PI()*B740)</f>
        <v/>
      </c>
      <c r="D740" s="195">
        <f>IF(B740="","",ATANH(MIN(0.999999,'入力・概要'!$E$20/'入力・概要'!$E$9))+'入力・概要'!$B$20*SQRT(B740/1E6)+E740*'入力・概要'!$B$15/2)</f>
        <v/>
      </c>
      <c r="E740" s="195">
        <f>IF(B740="","",C740*('入力・概要'!$E$11*1E-9))</f>
        <v/>
      </c>
      <c r="F740" s="195">
        <f>IF(B740="","",SINH(2*D740)/(COSH(2*D740)+COS(2*E740)))</f>
        <v/>
      </c>
      <c r="G740" s="195">
        <f>IF(B740="","",SIN(2*E740)/(COSH(2*D740)+COS(2*E740)))</f>
        <v/>
      </c>
      <c r="H740" s="195">
        <f>IF(B740="","",ATANH(MIN(0.999999,'入力・概要'!$E$21/'入力・概要'!$E$15))+'入力・概要'!$B$21*SQRT(B740/1E6)+I740*'入力・概要'!$B$16/2)</f>
        <v/>
      </c>
      <c r="I740" s="195">
        <f>IF(B740="","",C740*('入力・概要'!$E$17*1E-9))</f>
        <v/>
      </c>
      <c r="J740" s="195">
        <f>IF(B740="","",SINH(2*H740)/(COSH(2*H740)+COS(2*I740)))</f>
        <v/>
      </c>
      <c r="K740" s="195">
        <f>IF(B740="","",SIN(2*I740)/(COSH(2*H740)+COS(2*I740)))</f>
        <v/>
      </c>
      <c r="L740" s="195">
        <f>IF(B740="","",'入力・概要'!$B$25)</f>
        <v/>
      </c>
      <c r="M740" s="195">
        <f>IF(B740="","",C740*'入力・概要'!$B$26*1E-9-1/(C740*'入力・概要'!$B$24*1E-6))</f>
        <v/>
      </c>
      <c r="N740" s="195">
        <f>IF(B740="","",'入力・概要'!$B$28)</f>
        <v/>
      </c>
      <c r="O740" s="195">
        <f>IF(B740="","",C740*'入力・概要'!$B$29*1E-9-1/(C740*'入力・概要'!$B$27*1E-6))</f>
        <v/>
      </c>
      <c r="P740" s="195">
        <f>IF(B740="","",((L740*N740-M740*O740)*(L740+N740)+(L740*O740+M740*N740)*(M740+O740))/((L740+N740)^2+(M740+O740)^2))</f>
        <v/>
      </c>
      <c r="Q740" s="195">
        <f>IF(B740="","",((L740*O740+M740*N740)*(L740+N740)-(L740*N740-M740*O740)*(M740+O740))/((L740+N740)^2+(M740+O740)^2))</f>
        <v/>
      </c>
      <c r="R740" s="195">
        <f>IF(B740="","",'入力・概要'!$E$15*J740)</f>
        <v/>
      </c>
      <c r="S740" s="195">
        <f>IF(B740="","",'入力・概要'!$E$15*K740)</f>
        <v/>
      </c>
      <c r="T740" s="195">
        <f>IF(B740="","",P740+R740)</f>
        <v/>
      </c>
      <c r="U740" s="195">
        <f>IF(B740="","",Q740+S740)</f>
        <v/>
      </c>
      <c r="V740" s="195">
        <f>IF(B740="","",T740+'入力・概要'!$E$9*F740)</f>
        <v/>
      </c>
      <c r="W740" s="195">
        <f>IF(B740="","",U740+'入力・概要'!$E$9*G740)</f>
        <v/>
      </c>
      <c r="X740" s="195">
        <f>IF(B740="","",'入力・概要'!$E$9+T740*F740-U740*G740)</f>
        <v/>
      </c>
      <c r="Y740" s="195">
        <f>IF(B740="","",T740*G740+U740*F740)</f>
        <v/>
      </c>
      <c r="Z740" s="195">
        <f>IF(B740="","",'入力・概要'!$E$9*(V740*X740+W740*Y740)/(X740^2+Y740^2)+'入力・概要'!$B$36)</f>
        <v/>
      </c>
      <c r="AA740" s="195">
        <f>IF(B740="","",'入力・概要'!$E$9*(W740*X740-V740*Y740)/(X740^2+Y740^2)+C740*'入力・概要'!$B$37*1E-9)</f>
        <v/>
      </c>
      <c r="AB740" s="195">
        <f>IF(B740="","",SQRT(Z740^2+AA740^2))</f>
        <v/>
      </c>
      <c r="AC740" s="195">
        <f>IF(B740="","",IF(Z740&gt;0,DEGREES(ATAN(AA740/Z740)),IF(Z740&lt;0,IF(AA740&gt;=0,DEGREES(ATAN(AA740/Z740))+180,DEGREES(ATAN(AA740/Z740))-180),IF(AA740&gt;0,90,IF(AA740&lt;0,-90,0)))))</f>
        <v/>
      </c>
      <c r="AD740" s="195">
        <f>IF(B740="","",LOG10(B740))</f>
        <v/>
      </c>
      <c r="AE740" s="195">
        <f>IF(AB740="","",LOG10(MAX(AB740,1E-12)))</f>
        <v/>
      </c>
      <c r="AF740" s="195">
        <f>IF(B740="","",SQRT(P740^2+Q740^2))</f>
        <v/>
      </c>
      <c r="AG740" s="195">
        <f>IF(B740="","",SQRT(R740^2+S740^2))</f>
        <v/>
      </c>
    </row>
    <row r="741">
      <c r="A741" t="n">
        <v>738</v>
      </c>
      <c r="B741" s="196">
        <f>IF(A741&lt;='入力・概要'!$B$40,10^(LOG10('入力・概要'!$B$38)+(A741-1)*(LOG10('入力・概要'!$B$39)-LOG10('入力・概要'!$B$38))/('入力・概要'!$B$40-1)),"")</f>
        <v/>
      </c>
      <c r="C741" s="195">
        <f>IF(B741="","",2*PI()*B741)</f>
        <v/>
      </c>
      <c r="D741" s="195">
        <f>IF(B741="","",ATANH(MIN(0.999999,'入力・概要'!$E$20/'入力・概要'!$E$9))+'入力・概要'!$B$20*SQRT(B741/1E6)+E741*'入力・概要'!$B$15/2)</f>
        <v/>
      </c>
      <c r="E741" s="195">
        <f>IF(B741="","",C741*('入力・概要'!$E$11*1E-9))</f>
        <v/>
      </c>
      <c r="F741" s="195">
        <f>IF(B741="","",SINH(2*D741)/(COSH(2*D741)+COS(2*E741)))</f>
        <v/>
      </c>
      <c r="G741" s="195">
        <f>IF(B741="","",SIN(2*E741)/(COSH(2*D741)+COS(2*E741)))</f>
        <v/>
      </c>
      <c r="H741" s="195">
        <f>IF(B741="","",ATANH(MIN(0.999999,'入力・概要'!$E$21/'入力・概要'!$E$15))+'入力・概要'!$B$21*SQRT(B741/1E6)+I741*'入力・概要'!$B$16/2)</f>
        <v/>
      </c>
      <c r="I741" s="195">
        <f>IF(B741="","",C741*('入力・概要'!$E$17*1E-9))</f>
        <v/>
      </c>
      <c r="J741" s="195">
        <f>IF(B741="","",SINH(2*H741)/(COSH(2*H741)+COS(2*I741)))</f>
        <v/>
      </c>
      <c r="K741" s="195">
        <f>IF(B741="","",SIN(2*I741)/(COSH(2*H741)+COS(2*I741)))</f>
        <v/>
      </c>
      <c r="L741" s="195">
        <f>IF(B741="","",'入力・概要'!$B$25)</f>
        <v/>
      </c>
      <c r="M741" s="195">
        <f>IF(B741="","",C741*'入力・概要'!$B$26*1E-9-1/(C741*'入力・概要'!$B$24*1E-6))</f>
        <v/>
      </c>
      <c r="N741" s="195">
        <f>IF(B741="","",'入力・概要'!$B$28)</f>
        <v/>
      </c>
      <c r="O741" s="195">
        <f>IF(B741="","",C741*'入力・概要'!$B$29*1E-9-1/(C741*'入力・概要'!$B$27*1E-6))</f>
        <v/>
      </c>
      <c r="P741" s="195">
        <f>IF(B741="","",((L741*N741-M741*O741)*(L741+N741)+(L741*O741+M741*N741)*(M741+O741))/((L741+N741)^2+(M741+O741)^2))</f>
        <v/>
      </c>
      <c r="Q741" s="195">
        <f>IF(B741="","",((L741*O741+M741*N741)*(L741+N741)-(L741*N741-M741*O741)*(M741+O741))/((L741+N741)^2+(M741+O741)^2))</f>
        <v/>
      </c>
      <c r="R741" s="195">
        <f>IF(B741="","",'入力・概要'!$E$15*J741)</f>
        <v/>
      </c>
      <c r="S741" s="195">
        <f>IF(B741="","",'入力・概要'!$E$15*K741)</f>
        <v/>
      </c>
      <c r="T741" s="195">
        <f>IF(B741="","",P741+R741)</f>
        <v/>
      </c>
      <c r="U741" s="195">
        <f>IF(B741="","",Q741+S741)</f>
        <v/>
      </c>
      <c r="V741" s="195">
        <f>IF(B741="","",T741+'入力・概要'!$E$9*F741)</f>
        <v/>
      </c>
      <c r="W741" s="195">
        <f>IF(B741="","",U741+'入力・概要'!$E$9*G741)</f>
        <v/>
      </c>
      <c r="X741" s="195">
        <f>IF(B741="","",'入力・概要'!$E$9+T741*F741-U741*G741)</f>
        <v/>
      </c>
      <c r="Y741" s="195">
        <f>IF(B741="","",T741*G741+U741*F741)</f>
        <v/>
      </c>
      <c r="Z741" s="195">
        <f>IF(B741="","",'入力・概要'!$E$9*(V741*X741+W741*Y741)/(X741^2+Y741^2)+'入力・概要'!$B$36)</f>
        <v/>
      </c>
      <c r="AA741" s="195">
        <f>IF(B741="","",'入力・概要'!$E$9*(W741*X741-V741*Y741)/(X741^2+Y741^2)+C741*'入力・概要'!$B$37*1E-9)</f>
        <v/>
      </c>
      <c r="AB741" s="195">
        <f>IF(B741="","",SQRT(Z741^2+AA741^2))</f>
        <v/>
      </c>
      <c r="AC741" s="195">
        <f>IF(B741="","",IF(Z741&gt;0,DEGREES(ATAN(AA741/Z741)),IF(Z741&lt;0,IF(AA741&gt;=0,DEGREES(ATAN(AA741/Z741))+180,DEGREES(ATAN(AA741/Z741))-180),IF(AA741&gt;0,90,IF(AA741&lt;0,-90,0)))))</f>
        <v/>
      </c>
      <c r="AD741" s="195">
        <f>IF(B741="","",LOG10(B741))</f>
        <v/>
      </c>
      <c r="AE741" s="195">
        <f>IF(AB741="","",LOG10(MAX(AB741,1E-12)))</f>
        <v/>
      </c>
      <c r="AF741" s="195">
        <f>IF(B741="","",SQRT(P741^2+Q741^2))</f>
        <v/>
      </c>
      <c r="AG741" s="195">
        <f>IF(B741="","",SQRT(R741^2+S741^2))</f>
        <v/>
      </c>
    </row>
    <row r="742">
      <c r="A742" t="n">
        <v>739</v>
      </c>
      <c r="B742" s="196">
        <f>IF(A742&lt;='入力・概要'!$B$40,10^(LOG10('入力・概要'!$B$38)+(A742-1)*(LOG10('入力・概要'!$B$39)-LOG10('入力・概要'!$B$38))/('入力・概要'!$B$40-1)),"")</f>
        <v/>
      </c>
      <c r="C742" s="195">
        <f>IF(B742="","",2*PI()*B742)</f>
        <v/>
      </c>
      <c r="D742" s="195">
        <f>IF(B742="","",ATANH(MIN(0.999999,'入力・概要'!$E$20/'入力・概要'!$E$9))+'入力・概要'!$B$20*SQRT(B742/1E6)+E742*'入力・概要'!$B$15/2)</f>
        <v/>
      </c>
      <c r="E742" s="195">
        <f>IF(B742="","",C742*('入力・概要'!$E$11*1E-9))</f>
        <v/>
      </c>
      <c r="F742" s="195">
        <f>IF(B742="","",SINH(2*D742)/(COSH(2*D742)+COS(2*E742)))</f>
        <v/>
      </c>
      <c r="G742" s="195">
        <f>IF(B742="","",SIN(2*E742)/(COSH(2*D742)+COS(2*E742)))</f>
        <v/>
      </c>
      <c r="H742" s="195">
        <f>IF(B742="","",ATANH(MIN(0.999999,'入力・概要'!$E$21/'入力・概要'!$E$15))+'入力・概要'!$B$21*SQRT(B742/1E6)+I742*'入力・概要'!$B$16/2)</f>
        <v/>
      </c>
      <c r="I742" s="195">
        <f>IF(B742="","",C742*('入力・概要'!$E$17*1E-9))</f>
        <v/>
      </c>
      <c r="J742" s="195">
        <f>IF(B742="","",SINH(2*H742)/(COSH(2*H742)+COS(2*I742)))</f>
        <v/>
      </c>
      <c r="K742" s="195">
        <f>IF(B742="","",SIN(2*I742)/(COSH(2*H742)+COS(2*I742)))</f>
        <v/>
      </c>
      <c r="L742" s="195">
        <f>IF(B742="","",'入力・概要'!$B$25)</f>
        <v/>
      </c>
      <c r="M742" s="195">
        <f>IF(B742="","",C742*'入力・概要'!$B$26*1E-9-1/(C742*'入力・概要'!$B$24*1E-6))</f>
        <v/>
      </c>
      <c r="N742" s="195">
        <f>IF(B742="","",'入力・概要'!$B$28)</f>
        <v/>
      </c>
      <c r="O742" s="195">
        <f>IF(B742="","",C742*'入力・概要'!$B$29*1E-9-1/(C742*'入力・概要'!$B$27*1E-6))</f>
        <v/>
      </c>
      <c r="P742" s="195">
        <f>IF(B742="","",((L742*N742-M742*O742)*(L742+N742)+(L742*O742+M742*N742)*(M742+O742))/((L742+N742)^2+(M742+O742)^2))</f>
        <v/>
      </c>
      <c r="Q742" s="195">
        <f>IF(B742="","",((L742*O742+M742*N742)*(L742+N742)-(L742*N742-M742*O742)*(M742+O742))/((L742+N742)^2+(M742+O742)^2))</f>
        <v/>
      </c>
      <c r="R742" s="195">
        <f>IF(B742="","",'入力・概要'!$E$15*J742)</f>
        <v/>
      </c>
      <c r="S742" s="195">
        <f>IF(B742="","",'入力・概要'!$E$15*K742)</f>
        <v/>
      </c>
      <c r="T742" s="195">
        <f>IF(B742="","",P742+R742)</f>
        <v/>
      </c>
      <c r="U742" s="195">
        <f>IF(B742="","",Q742+S742)</f>
        <v/>
      </c>
      <c r="V742" s="195">
        <f>IF(B742="","",T742+'入力・概要'!$E$9*F742)</f>
        <v/>
      </c>
      <c r="W742" s="195">
        <f>IF(B742="","",U742+'入力・概要'!$E$9*G742)</f>
        <v/>
      </c>
      <c r="X742" s="195">
        <f>IF(B742="","",'入力・概要'!$E$9+T742*F742-U742*G742)</f>
        <v/>
      </c>
      <c r="Y742" s="195">
        <f>IF(B742="","",T742*G742+U742*F742)</f>
        <v/>
      </c>
      <c r="Z742" s="195">
        <f>IF(B742="","",'入力・概要'!$E$9*(V742*X742+W742*Y742)/(X742^2+Y742^2)+'入力・概要'!$B$36)</f>
        <v/>
      </c>
      <c r="AA742" s="195">
        <f>IF(B742="","",'入力・概要'!$E$9*(W742*X742-V742*Y742)/(X742^2+Y742^2)+C742*'入力・概要'!$B$37*1E-9)</f>
        <v/>
      </c>
      <c r="AB742" s="195">
        <f>IF(B742="","",SQRT(Z742^2+AA742^2))</f>
        <v/>
      </c>
      <c r="AC742" s="195">
        <f>IF(B742="","",IF(Z742&gt;0,DEGREES(ATAN(AA742/Z742)),IF(Z742&lt;0,IF(AA742&gt;=0,DEGREES(ATAN(AA742/Z742))+180,DEGREES(ATAN(AA742/Z742))-180),IF(AA742&gt;0,90,IF(AA742&lt;0,-90,0)))))</f>
        <v/>
      </c>
      <c r="AD742" s="195">
        <f>IF(B742="","",LOG10(B742))</f>
        <v/>
      </c>
      <c r="AE742" s="195">
        <f>IF(AB742="","",LOG10(MAX(AB742,1E-12)))</f>
        <v/>
      </c>
      <c r="AF742" s="195">
        <f>IF(B742="","",SQRT(P742^2+Q742^2))</f>
        <v/>
      </c>
      <c r="AG742" s="195">
        <f>IF(B742="","",SQRT(R742^2+S742^2))</f>
        <v/>
      </c>
    </row>
    <row r="743">
      <c r="A743" t="n">
        <v>740</v>
      </c>
      <c r="B743" s="196">
        <f>IF(A743&lt;='入力・概要'!$B$40,10^(LOG10('入力・概要'!$B$38)+(A743-1)*(LOG10('入力・概要'!$B$39)-LOG10('入力・概要'!$B$38))/('入力・概要'!$B$40-1)),"")</f>
        <v/>
      </c>
      <c r="C743" s="195">
        <f>IF(B743="","",2*PI()*B743)</f>
        <v/>
      </c>
      <c r="D743" s="195">
        <f>IF(B743="","",ATANH(MIN(0.999999,'入力・概要'!$E$20/'入力・概要'!$E$9))+'入力・概要'!$B$20*SQRT(B743/1E6)+E743*'入力・概要'!$B$15/2)</f>
        <v/>
      </c>
      <c r="E743" s="195">
        <f>IF(B743="","",C743*('入力・概要'!$E$11*1E-9))</f>
        <v/>
      </c>
      <c r="F743" s="195">
        <f>IF(B743="","",SINH(2*D743)/(COSH(2*D743)+COS(2*E743)))</f>
        <v/>
      </c>
      <c r="G743" s="195">
        <f>IF(B743="","",SIN(2*E743)/(COSH(2*D743)+COS(2*E743)))</f>
        <v/>
      </c>
      <c r="H743" s="195">
        <f>IF(B743="","",ATANH(MIN(0.999999,'入力・概要'!$E$21/'入力・概要'!$E$15))+'入力・概要'!$B$21*SQRT(B743/1E6)+I743*'入力・概要'!$B$16/2)</f>
        <v/>
      </c>
      <c r="I743" s="195">
        <f>IF(B743="","",C743*('入力・概要'!$E$17*1E-9))</f>
        <v/>
      </c>
      <c r="J743" s="195">
        <f>IF(B743="","",SINH(2*H743)/(COSH(2*H743)+COS(2*I743)))</f>
        <v/>
      </c>
      <c r="K743" s="195">
        <f>IF(B743="","",SIN(2*I743)/(COSH(2*H743)+COS(2*I743)))</f>
        <v/>
      </c>
      <c r="L743" s="195">
        <f>IF(B743="","",'入力・概要'!$B$25)</f>
        <v/>
      </c>
      <c r="M743" s="195">
        <f>IF(B743="","",C743*'入力・概要'!$B$26*1E-9-1/(C743*'入力・概要'!$B$24*1E-6))</f>
        <v/>
      </c>
      <c r="N743" s="195">
        <f>IF(B743="","",'入力・概要'!$B$28)</f>
        <v/>
      </c>
      <c r="O743" s="195">
        <f>IF(B743="","",C743*'入力・概要'!$B$29*1E-9-1/(C743*'入力・概要'!$B$27*1E-6))</f>
        <v/>
      </c>
      <c r="P743" s="195">
        <f>IF(B743="","",((L743*N743-M743*O743)*(L743+N743)+(L743*O743+M743*N743)*(M743+O743))/((L743+N743)^2+(M743+O743)^2))</f>
        <v/>
      </c>
      <c r="Q743" s="195">
        <f>IF(B743="","",((L743*O743+M743*N743)*(L743+N743)-(L743*N743-M743*O743)*(M743+O743))/((L743+N743)^2+(M743+O743)^2))</f>
        <v/>
      </c>
      <c r="R743" s="195">
        <f>IF(B743="","",'入力・概要'!$E$15*J743)</f>
        <v/>
      </c>
      <c r="S743" s="195">
        <f>IF(B743="","",'入力・概要'!$E$15*K743)</f>
        <v/>
      </c>
      <c r="T743" s="195">
        <f>IF(B743="","",P743+R743)</f>
        <v/>
      </c>
      <c r="U743" s="195">
        <f>IF(B743="","",Q743+S743)</f>
        <v/>
      </c>
      <c r="V743" s="195">
        <f>IF(B743="","",T743+'入力・概要'!$E$9*F743)</f>
        <v/>
      </c>
      <c r="W743" s="195">
        <f>IF(B743="","",U743+'入力・概要'!$E$9*G743)</f>
        <v/>
      </c>
      <c r="X743" s="195">
        <f>IF(B743="","",'入力・概要'!$E$9+T743*F743-U743*G743)</f>
        <v/>
      </c>
      <c r="Y743" s="195">
        <f>IF(B743="","",T743*G743+U743*F743)</f>
        <v/>
      </c>
      <c r="Z743" s="195">
        <f>IF(B743="","",'入力・概要'!$E$9*(V743*X743+W743*Y743)/(X743^2+Y743^2)+'入力・概要'!$B$36)</f>
        <v/>
      </c>
      <c r="AA743" s="195">
        <f>IF(B743="","",'入力・概要'!$E$9*(W743*X743-V743*Y743)/(X743^2+Y743^2)+C743*'入力・概要'!$B$37*1E-9)</f>
        <v/>
      </c>
      <c r="AB743" s="195">
        <f>IF(B743="","",SQRT(Z743^2+AA743^2))</f>
        <v/>
      </c>
      <c r="AC743" s="195">
        <f>IF(B743="","",IF(Z743&gt;0,DEGREES(ATAN(AA743/Z743)),IF(Z743&lt;0,IF(AA743&gt;=0,DEGREES(ATAN(AA743/Z743))+180,DEGREES(ATAN(AA743/Z743))-180),IF(AA743&gt;0,90,IF(AA743&lt;0,-90,0)))))</f>
        <v/>
      </c>
      <c r="AD743" s="195">
        <f>IF(B743="","",LOG10(B743))</f>
        <v/>
      </c>
      <c r="AE743" s="195">
        <f>IF(AB743="","",LOG10(MAX(AB743,1E-12)))</f>
        <v/>
      </c>
      <c r="AF743" s="195">
        <f>IF(B743="","",SQRT(P743^2+Q743^2))</f>
        <v/>
      </c>
      <c r="AG743" s="195">
        <f>IF(B743="","",SQRT(R743^2+S743^2))</f>
        <v/>
      </c>
    </row>
    <row r="744">
      <c r="A744" t="n">
        <v>741</v>
      </c>
      <c r="B744" s="196">
        <f>IF(A744&lt;='入力・概要'!$B$40,10^(LOG10('入力・概要'!$B$38)+(A744-1)*(LOG10('入力・概要'!$B$39)-LOG10('入力・概要'!$B$38))/('入力・概要'!$B$40-1)),"")</f>
        <v/>
      </c>
      <c r="C744" s="195">
        <f>IF(B744="","",2*PI()*B744)</f>
        <v/>
      </c>
      <c r="D744" s="195">
        <f>IF(B744="","",ATANH(MIN(0.999999,'入力・概要'!$E$20/'入力・概要'!$E$9))+'入力・概要'!$B$20*SQRT(B744/1E6)+E744*'入力・概要'!$B$15/2)</f>
        <v/>
      </c>
      <c r="E744" s="195">
        <f>IF(B744="","",C744*('入力・概要'!$E$11*1E-9))</f>
        <v/>
      </c>
      <c r="F744" s="195">
        <f>IF(B744="","",SINH(2*D744)/(COSH(2*D744)+COS(2*E744)))</f>
        <v/>
      </c>
      <c r="G744" s="195">
        <f>IF(B744="","",SIN(2*E744)/(COSH(2*D744)+COS(2*E744)))</f>
        <v/>
      </c>
      <c r="H744" s="195">
        <f>IF(B744="","",ATANH(MIN(0.999999,'入力・概要'!$E$21/'入力・概要'!$E$15))+'入力・概要'!$B$21*SQRT(B744/1E6)+I744*'入力・概要'!$B$16/2)</f>
        <v/>
      </c>
      <c r="I744" s="195">
        <f>IF(B744="","",C744*('入力・概要'!$E$17*1E-9))</f>
        <v/>
      </c>
      <c r="J744" s="195">
        <f>IF(B744="","",SINH(2*H744)/(COSH(2*H744)+COS(2*I744)))</f>
        <v/>
      </c>
      <c r="K744" s="195">
        <f>IF(B744="","",SIN(2*I744)/(COSH(2*H744)+COS(2*I744)))</f>
        <v/>
      </c>
      <c r="L744" s="195">
        <f>IF(B744="","",'入力・概要'!$B$25)</f>
        <v/>
      </c>
      <c r="M744" s="195">
        <f>IF(B744="","",C744*'入力・概要'!$B$26*1E-9-1/(C744*'入力・概要'!$B$24*1E-6))</f>
        <v/>
      </c>
      <c r="N744" s="195">
        <f>IF(B744="","",'入力・概要'!$B$28)</f>
        <v/>
      </c>
      <c r="O744" s="195">
        <f>IF(B744="","",C744*'入力・概要'!$B$29*1E-9-1/(C744*'入力・概要'!$B$27*1E-6))</f>
        <v/>
      </c>
      <c r="P744" s="195">
        <f>IF(B744="","",((L744*N744-M744*O744)*(L744+N744)+(L744*O744+M744*N744)*(M744+O744))/((L744+N744)^2+(M744+O744)^2))</f>
        <v/>
      </c>
      <c r="Q744" s="195">
        <f>IF(B744="","",((L744*O744+M744*N744)*(L744+N744)-(L744*N744-M744*O744)*(M744+O744))/((L744+N744)^2+(M744+O744)^2))</f>
        <v/>
      </c>
      <c r="R744" s="195">
        <f>IF(B744="","",'入力・概要'!$E$15*J744)</f>
        <v/>
      </c>
      <c r="S744" s="195">
        <f>IF(B744="","",'入力・概要'!$E$15*K744)</f>
        <v/>
      </c>
      <c r="T744" s="195">
        <f>IF(B744="","",P744+R744)</f>
        <v/>
      </c>
      <c r="U744" s="195">
        <f>IF(B744="","",Q744+S744)</f>
        <v/>
      </c>
      <c r="V744" s="195">
        <f>IF(B744="","",T744+'入力・概要'!$E$9*F744)</f>
        <v/>
      </c>
      <c r="W744" s="195">
        <f>IF(B744="","",U744+'入力・概要'!$E$9*G744)</f>
        <v/>
      </c>
      <c r="X744" s="195">
        <f>IF(B744="","",'入力・概要'!$E$9+T744*F744-U744*G744)</f>
        <v/>
      </c>
      <c r="Y744" s="195">
        <f>IF(B744="","",T744*G744+U744*F744)</f>
        <v/>
      </c>
      <c r="Z744" s="195">
        <f>IF(B744="","",'入力・概要'!$E$9*(V744*X744+W744*Y744)/(X744^2+Y744^2)+'入力・概要'!$B$36)</f>
        <v/>
      </c>
      <c r="AA744" s="195">
        <f>IF(B744="","",'入力・概要'!$E$9*(W744*X744-V744*Y744)/(X744^2+Y744^2)+C744*'入力・概要'!$B$37*1E-9)</f>
        <v/>
      </c>
      <c r="AB744" s="195">
        <f>IF(B744="","",SQRT(Z744^2+AA744^2))</f>
        <v/>
      </c>
      <c r="AC744" s="195">
        <f>IF(B744="","",IF(Z744&gt;0,DEGREES(ATAN(AA744/Z744)),IF(Z744&lt;0,IF(AA744&gt;=0,DEGREES(ATAN(AA744/Z744))+180,DEGREES(ATAN(AA744/Z744))-180),IF(AA744&gt;0,90,IF(AA744&lt;0,-90,0)))))</f>
        <v/>
      </c>
      <c r="AD744" s="195">
        <f>IF(B744="","",LOG10(B744))</f>
        <v/>
      </c>
      <c r="AE744" s="195">
        <f>IF(AB744="","",LOG10(MAX(AB744,1E-12)))</f>
        <v/>
      </c>
      <c r="AF744" s="195">
        <f>IF(B744="","",SQRT(P744^2+Q744^2))</f>
        <v/>
      </c>
      <c r="AG744" s="195">
        <f>IF(B744="","",SQRT(R744^2+S744^2))</f>
        <v/>
      </c>
    </row>
    <row r="745">
      <c r="A745" t="n">
        <v>742</v>
      </c>
      <c r="B745" s="196">
        <f>IF(A745&lt;='入力・概要'!$B$40,10^(LOG10('入力・概要'!$B$38)+(A745-1)*(LOG10('入力・概要'!$B$39)-LOG10('入力・概要'!$B$38))/('入力・概要'!$B$40-1)),"")</f>
        <v/>
      </c>
      <c r="C745" s="195">
        <f>IF(B745="","",2*PI()*B745)</f>
        <v/>
      </c>
      <c r="D745" s="195">
        <f>IF(B745="","",ATANH(MIN(0.999999,'入力・概要'!$E$20/'入力・概要'!$E$9))+'入力・概要'!$B$20*SQRT(B745/1E6)+E745*'入力・概要'!$B$15/2)</f>
        <v/>
      </c>
      <c r="E745" s="195">
        <f>IF(B745="","",C745*('入力・概要'!$E$11*1E-9))</f>
        <v/>
      </c>
      <c r="F745" s="195">
        <f>IF(B745="","",SINH(2*D745)/(COSH(2*D745)+COS(2*E745)))</f>
        <v/>
      </c>
      <c r="G745" s="195">
        <f>IF(B745="","",SIN(2*E745)/(COSH(2*D745)+COS(2*E745)))</f>
        <v/>
      </c>
      <c r="H745" s="195">
        <f>IF(B745="","",ATANH(MIN(0.999999,'入力・概要'!$E$21/'入力・概要'!$E$15))+'入力・概要'!$B$21*SQRT(B745/1E6)+I745*'入力・概要'!$B$16/2)</f>
        <v/>
      </c>
      <c r="I745" s="195">
        <f>IF(B745="","",C745*('入力・概要'!$E$17*1E-9))</f>
        <v/>
      </c>
      <c r="J745" s="195">
        <f>IF(B745="","",SINH(2*H745)/(COSH(2*H745)+COS(2*I745)))</f>
        <v/>
      </c>
      <c r="K745" s="195">
        <f>IF(B745="","",SIN(2*I745)/(COSH(2*H745)+COS(2*I745)))</f>
        <v/>
      </c>
      <c r="L745" s="195">
        <f>IF(B745="","",'入力・概要'!$B$25)</f>
        <v/>
      </c>
      <c r="M745" s="195">
        <f>IF(B745="","",C745*'入力・概要'!$B$26*1E-9-1/(C745*'入力・概要'!$B$24*1E-6))</f>
        <v/>
      </c>
      <c r="N745" s="195">
        <f>IF(B745="","",'入力・概要'!$B$28)</f>
        <v/>
      </c>
      <c r="O745" s="195">
        <f>IF(B745="","",C745*'入力・概要'!$B$29*1E-9-1/(C745*'入力・概要'!$B$27*1E-6))</f>
        <v/>
      </c>
      <c r="P745" s="195">
        <f>IF(B745="","",((L745*N745-M745*O745)*(L745+N745)+(L745*O745+M745*N745)*(M745+O745))/((L745+N745)^2+(M745+O745)^2))</f>
        <v/>
      </c>
      <c r="Q745" s="195">
        <f>IF(B745="","",((L745*O745+M745*N745)*(L745+N745)-(L745*N745-M745*O745)*(M745+O745))/((L745+N745)^2+(M745+O745)^2))</f>
        <v/>
      </c>
      <c r="R745" s="195">
        <f>IF(B745="","",'入力・概要'!$E$15*J745)</f>
        <v/>
      </c>
      <c r="S745" s="195">
        <f>IF(B745="","",'入力・概要'!$E$15*K745)</f>
        <v/>
      </c>
      <c r="T745" s="195">
        <f>IF(B745="","",P745+R745)</f>
        <v/>
      </c>
      <c r="U745" s="195">
        <f>IF(B745="","",Q745+S745)</f>
        <v/>
      </c>
      <c r="V745" s="195">
        <f>IF(B745="","",T745+'入力・概要'!$E$9*F745)</f>
        <v/>
      </c>
      <c r="W745" s="195">
        <f>IF(B745="","",U745+'入力・概要'!$E$9*G745)</f>
        <v/>
      </c>
      <c r="X745" s="195">
        <f>IF(B745="","",'入力・概要'!$E$9+T745*F745-U745*G745)</f>
        <v/>
      </c>
      <c r="Y745" s="195">
        <f>IF(B745="","",T745*G745+U745*F745)</f>
        <v/>
      </c>
      <c r="Z745" s="195">
        <f>IF(B745="","",'入力・概要'!$E$9*(V745*X745+W745*Y745)/(X745^2+Y745^2)+'入力・概要'!$B$36)</f>
        <v/>
      </c>
      <c r="AA745" s="195">
        <f>IF(B745="","",'入力・概要'!$E$9*(W745*X745-V745*Y745)/(X745^2+Y745^2)+C745*'入力・概要'!$B$37*1E-9)</f>
        <v/>
      </c>
      <c r="AB745" s="195">
        <f>IF(B745="","",SQRT(Z745^2+AA745^2))</f>
        <v/>
      </c>
      <c r="AC745" s="195">
        <f>IF(B745="","",IF(Z745&gt;0,DEGREES(ATAN(AA745/Z745)),IF(Z745&lt;0,IF(AA745&gt;=0,DEGREES(ATAN(AA745/Z745))+180,DEGREES(ATAN(AA745/Z745))-180),IF(AA745&gt;0,90,IF(AA745&lt;0,-90,0)))))</f>
        <v/>
      </c>
      <c r="AD745" s="195">
        <f>IF(B745="","",LOG10(B745))</f>
        <v/>
      </c>
      <c r="AE745" s="195">
        <f>IF(AB745="","",LOG10(MAX(AB745,1E-12)))</f>
        <v/>
      </c>
      <c r="AF745" s="195">
        <f>IF(B745="","",SQRT(P745^2+Q745^2))</f>
        <v/>
      </c>
      <c r="AG745" s="195">
        <f>IF(B745="","",SQRT(R745^2+S745^2))</f>
        <v/>
      </c>
    </row>
    <row r="746">
      <c r="A746" t="n">
        <v>743</v>
      </c>
      <c r="B746" s="196">
        <f>IF(A746&lt;='入力・概要'!$B$40,10^(LOG10('入力・概要'!$B$38)+(A746-1)*(LOG10('入力・概要'!$B$39)-LOG10('入力・概要'!$B$38))/('入力・概要'!$B$40-1)),"")</f>
        <v/>
      </c>
      <c r="C746" s="195">
        <f>IF(B746="","",2*PI()*B746)</f>
        <v/>
      </c>
      <c r="D746" s="195">
        <f>IF(B746="","",ATANH(MIN(0.999999,'入力・概要'!$E$20/'入力・概要'!$E$9))+'入力・概要'!$B$20*SQRT(B746/1E6)+E746*'入力・概要'!$B$15/2)</f>
        <v/>
      </c>
      <c r="E746" s="195">
        <f>IF(B746="","",C746*('入力・概要'!$E$11*1E-9))</f>
        <v/>
      </c>
      <c r="F746" s="195">
        <f>IF(B746="","",SINH(2*D746)/(COSH(2*D746)+COS(2*E746)))</f>
        <v/>
      </c>
      <c r="G746" s="195">
        <f>IF(B746="","",SIN(2*E746)/(COSH(2*D746)+COS(2*E746)))</f>
        <v/>
      </c>
      <c r="H746" s="195">
        <f>IF(B746="","",ATANH(MIN(0.999999,'入力・概要'!$E$21/'入力・概要'!$E$15))+'入力・概要'!$B$21*SQRT(B746/1E6)+I746*'入力・概要'!$B$16/2)</f>
        <v/>
      </c>
      <c r="I746" s="195">
        <f>IF(B746="","",C746*('入力・概要'!$E$17*1E-9))</f>
        <v/>
      </c>
      <c r="J746" s="195">
        <f>IF(B746="","",SINH(2*H746)/(COSH(2*H746)+COS(2*I746)))</f>
        <v/>
      </c>
      <c r="K746" s="195">
        <f>IF(B746="","",SIN(2*I746)/(COSH(2*H746)+COS(2*I746)))</f>
        <v/>
      </c>
      <c r="L746" s="195">
        <f>IF(B746="","",'入力・概要'!$B$25)</f>
        <v/>
      </c>
      <c r="M746" s="195">
        <f>IF(B746="","",C746*'入力・概要'!$B$26*1E-9-1/(C746*'入力・概要'!$B$24*1E-6))</f>
        <v/>
      </c>
      <c r="N746" s="195">
        <f>IF(B746="","",'入力・概要'!$B$28)</f>
        <v/>
      </c>
      <c r="O746" s="195">
        <f>IF(B746="","",C746*'入力・概要'!$B$29*1E-9-1/(C746*'入力・概要'!$B$27*1E-6))</f>
        <v/>
      </c>
      <c r="P746" s="195">
        <f>IF(B746="","",((L746*N746-M746*O746)*(L746+N746)+(L746*O746+M746*N746)*(M746+O746))/((L746+N746)^2+(M746+O746)^2))</f>
        <v/>
      </c>
      <c r="Q746" s="195">
        <f>IF(B746="","",((L746*O746+M746*N746)*(L746+N746)-(L746*N746-M746*O746)*(M746+O746))/((L746+N746)^2+(M746+O746)^2))</f>
        <v/>
      </c>
      <c r="R746" s="195">
        <f>IF(B746="","",'入力・概要'!$E$15*J746)</f>
        <v/>
      </c>
      <c r="S746" s="195">
        <f>IF(B746="","",'入力・概要'!$E$15*K746)</f>
        <v/>
      </c>
      <c r="T746" s="195">
        <f>IF(B746="","",P746+R746)</f>
        <v/>
      </c>
      <c r="U746" s="195">
        <f>IF(B746="","",Q746+S746)</f>
        <v/>
      </c>
      <c r="V746" s="195">
        <f>IF(B746="","",T746+'入力・概要'!$E$9*F746)</f>
        <v/>
      </c>
      <c r="W746" s="195">
        <f>IF(B746="","",U746+'入力・概要'!$E$9*G746)</f>
        <v/>
      </c>
      <c r="X746" s="195">
        <f>IF(B746="","",'入力・概要'!$E$9+T746*F746-U746*G746)</f>
        <v/>
      </c>
      <c r="Y746" s="195">
        <f>IF(B746="","",T746*G746+U746*F746)</f>
        <v/>
      </c>
      <c r="Z746" s="195">
        <f>IF(B746="","",'入力・概要'!$E$9*(V746*X746+W746*Y746)/(X746^2+Y746^2)+'入力・概要'!$B$36)</f>
        <v/>
      </c>
      <c r="AA746" s="195">
        <f>IF(B746="","",'入力・概要'!$E$9*(W746*X746-V746*Y746)/(X746^2+Y746^2)+C746*'入力・概要'!$B$37*1E-9)</f>
        <v/>
      </c>
      <c r="AB746" s="195">
        <f>IF(B746="","",SQRT(Z746^2+AA746^2))</f>
        <v/>
      </c>
      <c r="AC746" s="195">
        <f>IF(B746="","",IF(Z746&gt;0,DEGREES(ATAN(AA746/Z746)),IF(Z746&lt;0,IF(AA746&gt;=0,DEGREES(ATAN(AA746/Z746))+180,DEGREES(ATAN(AA746/Z746))-180),IF(AA746&gt;0,90,IF(AA746&lt;0,-90,0)))))</f>
        <v/>
      </c>
      <c r="AD746" s="195">
        <f>IF(B746="","",LOG10(B746))</f>
        <v/>
      </c>
      <c r="AE746" s="195">
        <f>IF(AB746="","",LOG10(MAX(AB746,1E-12)))</f>
        <v/>
      </c>
      <c r="AF746" s="195">
        <f>IF(B746="","",SQRT(P746^2+Q746^2))</f>
        <v/>
      </c>
      <c r="AG746" s="195">
        <f>IF(B746="","",SQRT(R746^2+S746^2))</f>
        <v/>
      </c>
    </row>
    <row r="747">
      <c r="A747" t="n">
        <v>744</v>
      </c>
      <c r="B747" s="196">
        <f>IF(A747&lt;='入力・概要'!$B$40,10^(LOG10('入力・概要'!$B$38)+(A747-1)*(LOG10('入力・概要'!$B$39)-LOG10('入力・概要'!$B$38))/('入力・概要'!$B$40-1)),"")</f>
        <v/>
      </c>
      <c r="C747" s="195">
        <f>IF(B747="","",2*PI()*B747)</f>
        <v/>
      </c>
      <c r="D747" s="195">
        <f>IF(B747="","",ATANH(MIN(0.999999,'入力・概要'!$E$20/'入力・概要'!$E$9))+'入力・概要'!$B$20*SQRT(B747/1E6)+E747*'入力・概要'!$B$15/2)</f>
        <v/>
      </c>
      <c r="E747" s="195">
        <f>IF(B747="","",C747*('入力・概要'!$E$11*1E-9))</f>
        <v/>
      </c>
      <c r="F747" s="195">
        <f>IF(B747="","",SINH(2*D747)/(COSH(2*D747)+COS(2*E747)))</f>
        <v/>
      </c>
      <c r="G747" s="195">
        <f>IF(B747="","",SIN(2*E747)/(COSH(2*D747)+COS(2*E747)))</f>
        <v/>
      </c>
      <c r="H747" s="195">
        <f>IF(B747="","",ATANH(MIN(0.999999,'入力・概要'!$E$21/'入力・概要'!$E$15))+'入力・概要'!$B$21*SQRT(B747/1E6)+I747*'入力・概要'!$B$16/2)</f>
        <v/>
      </c>
      <c r="I747" s="195">
        <f>IF(B747="","",C747*('入力・概要'!$E$17*1E-9))</f>
        <v/>
      </c>
      <c r="J747" s="195">
        <f>IF(B747="","",SINH(2*H747)/(COSH(2*H747)+COS(2*I747)))</f>
        <v/>
      </c>
      <c r="K747" s="195">
        <f>IF(B747="","",SIN(2*I747)/(COSH(2*H747)+COS(2*I747)))</f>
        <v/>
      </c>
      <c r="L747" s="195">
        <f>IF(B747="","",'入力・概要'!$B$25)</f>
        <v/>
      </c>
      <c r="M747" s="195">
        <f>IF(B747="","",C747*'入力・概要'!$B$26*1E-9-1/(C747*'入力・概要'!$B$24*1E-6))</f>
        <v/>
      </c>
      <c r="N747" s="195">
        <f>IF(B747="","",'入力・概要'!$B$28)</f>
        <v/>
      </c>
      <c r="O747" s="195">
        <f>IF(B747="","",C747*'入力・概要'!$B$29*1E-9-1/(C747*'入力・概要'!$B$27*1E-6))</f>
        <v/>
      </c>
      <c r="P747" s="195">
        <f>IF(B747="","",((L747*N747-M747*O747)*(L747+N747)+(L747*O747+M747*N747)*(M747+O747))/((L747+N747)^2+(M747+O747)^2))</f>
        <v/>
      </c>
      <c r="Q747" s="195">
        <f>IF(B747="","",((L747*O747+M747*N747)*(L747+N747)-(L747*N747-M747*O747)*(M747+O747))/((L747+N747)^2+(M747+O747)^2))</f>
        <v/>
      </c>
      <c r="R747" s="195">
        <f>IF(B747="","",'入力・概要'!$E$15*J747)</f>
        <v/>
      </c>
      <c r="S747" s="195">
        <f>IF(B747="","",'入力・概要'!$E$15*K747)</f>
        <v/>
      </c>
      <c r="T747" s="195">
        <f>IF(B747="","",P747+R747)</f>
        <v/>
      </c>
      <c r="U747" s="195">
        <f>IF(B747="","",Q747+S747)</f>
        <v/>
      </c>
      <c r="V747" s="195">
        <f>IF(B747="","",T747+'入力・概要'!$E$9*F747)</f>
        <v/>
      </c>
      <c r="W747" s="195">
        <f>IF(B747="","",U747+'入力・概要'!$E$9*G747)</f>
        <v/>
      </c>
      <c r="X747" s="195">
        <f>IF(B747="","",'入力・概要'!$E$9+T747*F747-U747*G747)</f>
        <v/>
      </c>
      <c r="Y747" s="195">
        <f>IF(B747="","",T747*G747+U747*F747)</f>
        <v/>
      </c>
      <c r="Z747" s="195">
        <f>IF(B747="","",'入力・概要'!$E$9*(V747*X747+W747*Y747)/(X747^2+Y747^2)+'入力・概要'!$B$36)</f>
        <v/>
      </c>
      <c r="AA747" s="195">
        <f>IF(B747="","",'入力・概要'!$E$9*(W747*X747-V747*Y747)/(X747^2+Y747^2)+C747*'入力・概要'!$B$37*1E-9)</f>
        <v/>
      </c>
      <c r="AB747" s="195">
        <f>IF(B747="","",SQRT(Z747^2+AA747^2))</f>
        <v/>
      </c>
      <c r="AC747" s="195">
        <f>IF(B747="","",IF(Z747&gt;0,DEGREES(ATAN(AA747/Z747)),IF(Z747&lt;0,IF(AA747&gt;=0,DEGREES(ATAN(AA747/Z747))+180,DEGREES(ATAN(AA747/Z747))-180),IF(AA747&gt;0,90,IF(AA747&lt;0,-90,0)))))</f>
        <v/>
      </c>
      <c r="AD747" s="195">
        <f>IF(B747="","",LOG10(B747))</f>
        <v/>
      </c>
      <c r="AE747" s="195">
        <f>IF(AB747="","",LOG10(MAX(AB747,1E-12)))</f>
        <v/>
      </c>
      <c r="AF747" s="195">
        <f>IF(B747="","",SQRT(P747^2+Q747^2))</f>
        <v/>
      </c>
      <c r="AG747" s="195">
        <f>IF(B747="","",SQRT(R747^2+S747^2))</f>
        <v/>
      </c>
    </row>
    <row r="748">
      <c r="A748" t="n">
        <v>745</v>
      </c>
      <c r="B748" s="196">
        <f>IF(A748&lt;='入力・概要'!$B$40,10^(LOG10('入力・概要'!$B$38)+(A748-1)*(LOG10('入力・概要'!$B$39)-LOG10('入力・概要'!$B$38))/('入力・概要'!$B$40-1)),"")</f>
        <v/>
      </c>
      <c r="C748" s="195">
        <f>IF(B748="","",2*PI()*B748)</f>
        <v/>
      </c>
      <c r="D748" s="195">
        <f>IF(B748="","",ATANH(MIN(0.999999,'入力・概要'!$E$20/'入力・概要'!$E$9))+'入力・概要'!$B$20*SQRT(B748/1E6)+E748*'入力・概要'!$B$15/2)</f>
        <v/>
      </c>
      <c r="E748" s="195">
        <f>IF(B748="","",C748*('入力・概要'!$E$11*1E-9))</f>
        <v/>
      </c>
      <c r="F748" s="195">
        <f>IF(B748="","",SINH(2*D748)/(COSH(2*D748)+COS(2*E748)))</f>
        <v/>
      </c>
      <c r="G748" s="195">
        <f>IF(B748="","",SIN(2*E748)/(COSH(2*D748)+COS(2*E748)))</f>
        <v/>
      </c>
      <c r="H748" s="195">
        <f>IF(B748="","",ATANH(MIN(0.999999,'入力・概要'!$E$21/'入力・概要'!$E$15))+'入力・概要'!$B$21*SQRT(B748/1E6)+I748*'入力・概要'!$B$16/2)</f>
        <v/>
      </c>
      <c r="I748" s="195">
        <f>IF(B748="","",C748*('入力・概要'!$E$17*1E-9))</f>
        <v/>
      </c>
      <c r="J748" s="195">
        <f>IF(B748="","",SINH(2*H748)/(COSH(2*H748)+COS(2*I748)))</f>
        <v/>
      </c>
      <c r="K748" s="195">
        <f>IF(B748="","",SIN(2*I748)/(COSH(2*H748)+COS(2*I748)))</f>
        <v/>
      </c>
      <c r="L748" s="195">
        <f>IF(B748="","",'入力・概要'!$B$25)</f>
        <v/>
      </c>
      <c r="M748" s="195">
        <f>IF(B748="","",C748*'入力・概要'!$B$26*1E-9-1/(C748*'入力・概要'!$B$24*1E-6))</f>
        <v/>
      </c>
      <c r="N748" s="195">
        <f>IF(B748="","",'入力・概要'!$B$28)</f>
        <v/>
      </c>
      <c r="O748" s="195">
        <f>IF(B748="","",C748*'入力・概要'!$B$29*1E-9-1/(C748*'入力・概要'!$B$27*1E-6))</f>
        <v/>
      </c>
      <c r="P748" s="195">
        <f>IF(B748="","",((L748*N748-M748*O748)*(L748+N748)+(L748*O748+M748*N748)*(M748+O748))/((L748+N748)^2+(M748+O748)^2))</f>
        <v/>
      </c>
      <c r="Q748" s="195">
        <f>IF(B748="","",((L748*O748+M748*N748)*(L748+N748)-(L748*N748-M748*O748)*(M748+O748))/((L748+N748)^2+(M748+O748)^2))</f>
        <v/>
      </c>
      <c r="R748" s="195">
        <f>IF(B748="","",'入力・概要'!$E$15*J748)</f>
        <v/>
      </c>
      <c r="S748" s="195">
        <f>IF(B748="","",'入力・概要'!$E$15*K748)</f>
        <v/>
      </c>
      <c r="T748" s="195">
        <f>IF(B748="","",P748+R748)</f>
        <v/>
      </c>
      <c r="U748" s="195">
        <f>IF(B748="","",Q748+S748)</f>
        <v/>
      </c>
      <c r="V748" s="195">
        <f>IF(B748="","",T748+'入力・概要'!$E$9*F748)</f>
        <v/>
      </c>
      <c r="W748" s="195">
        <f>IF(B748="","",U748+'入力・概要'!$E$9*G748)</f>
        <v/>
      </c>
      <c r="X748" s="195">
        <f>IF(B748="","",'入力・概要'!$E$9+T748*F748-U748*G748)</f>
        <v/>
      </c>
      <c r="Y748" s="195">
        <f>IF(B748="","",T748*G748+U748*F748)</f>
        <v/>
      </c>
      <c r="Z748" s="195">
        <f>IF(B748="","",'入力・概要'!$E$9*(V748*X748+W748*Y748)/(X748^2+Y748^2)+'入力・概要'!$B$36)</f>
        <v/>
      </c>
      <c r="AA748" s="195">
        <f>IF(B748="","",'入力・概要'!$E$9*(W748*X748-V748*Y748)/(X748^2+Y748^2)+C748*'入力・概要'!$B$37*1E-9)</f>
        <v/>
      </c>
      <c r="AB748" s="195">
        <f>IF(B748="","",SQRT(Z748^2+AA748^2))</f>
        <v/>
      </c>
      <c r="AC748" s="195">
        <f>IF(B748="","",IF(Z748&gt;0,DEGREES(ATAN(AA748/Z748)),IF(Z748&lt;0,IF(AA748&gt;=0,DEGREES(ATAN(AA748/Z748))+180,DEGREES(ATAN(AA748/Z748))-180),IF(AA748&gt;0,90,IF(AA748&lt;0,-90,0)))))</f>
        <v/>
      </c>
      <c r="AD748" s="195">
        <f>IF(B748="","",LOG10(B748))</f>
        <v/>
      </c>
      <c r="AE748" s="195">
        <f>IF(AB748="","",LOG10(MAX(AB748,1E-12)))</f>
        <v/>
      </c>
      <c r="AF748" s="195">
        <f>IF(B748="","",SQRT(P748^2+Q748^2))</f>
        <v/>
      </c>
      <c r="AG748" s="195">
        <f>IF(B748="","",SQRT(R748^2+S748^2))</f>
        <v/>
      </c>
    </row>
    <row r="749">
      <c r="A749" t="n">
        <v>746</v>
      </c>
      <c r="B749" s="196">
        <f>IF(A749&lt;='入力・概要'!$B$40,10^(LOG10('入力・概要'!$B$38)+(A749-1)*(LOG10('入力・概要'!$B$39)-LOG10('入力・概要'!$B$38))/('入力・概要'!$B$40-1)),"")</f>
        <v/>
      </c>
      <c r="C749" s="195">
        <f>IF(B749="","",2*PI()*B749)</f>
        <v/>
      </c>
      <c r="D749" s="195">
        <f>IF(B749="","",ATANH(MIN(0.999999,'入力・概要'!$E$20/'入力・概要'!$E$9))+'入力・概要'!$B$20*SQRT(B749/1E6)+E749*'入力・概要'!$B$15/2)</f>
        <v/>
      </c>
      <c r="E749" s="195">
        <f>IF(B749="","",C749*('入力・概要'!$E$11*1E-9))</f>
        <v/>
      </c>
      <c r="F749" s="195">
        <f>IF(B749="","",SINH(2*D749)/(COSH(2*D749)+COS(2*E749)))</f>
        <v/>
      </c>
      <c r="G749" s="195">
        <f>IF(B749="","",SIN(2*E749)/(COSH(2*D749)+COS(2*E749)))</f>
        <v/>
      </c>
      <c r="H749" s="195">
        <f>IF(B749="","",ATANH(MIN(0.999999,'入力・概要'!$E$21/'入力・概要'!$E$15))+'入力・概要'!$B$21*SQRT(B749/1E6)+I749*'入力・概要'!$B$16/2)</f>
        <v/>
      </c>
      <c r="I749" s="195">
        <f>IF(B749="","",C749*('入力・概要'!$E$17*1E-9))</f>
        <v/>
      </c>
      <c r="J749" s="195">
        <f>IF(B749="","",SINH(2*H749)/(COSH(2*H749)+COS(2*I749)))</f>
        <v/>
      </c>
      <c r="K749" s="195">
        <f>IF(B749="","",SIN(2*I749)/(COSH(2*H749)+COS(2*I749)))</f>
        <v/>
      </c>
      <c r="L749" s="195">
        <f>IF(B749="","",'入力・概要'!$B$25)</f>
        <v/>
      </c>
      <c r="M749" s="195">
        <f>IF(B749="","",C749*'入力・概要'!$B$26*1E-9-1/(C749*'入力・概要'!$B$24*1E-6))</f>
        <v/>
      </c>
      <c r="N749" s="195">
        <f>IF(B749="","",'入力・概要'!$B$28)</f>
        <v/>
      </c>
      <c r="O749" s="195">
        <f>IF(B749="","",C749*'入力・概要'!$B$29*1E-9-1/(C749*'入力・概要'!$B$27*1E-6))</f>
        <v/>
      </c>
      <c r="P749" s="195">
        <f>IF(B749="","",((L749*N749-M749*O749)*(L749+N749)+(L749*O749+M749*N749)*(M749+O749))/((L749+N749)^2+(M749+O749)^2))</f>
        <v/>
      </c>
      <c r="Q749" s="195">
        <f>IF(B749="","",((L749*O749+M749*N749)*(L749+N749)-(L749*N749-M749*O749)*(M749+O749))/((L749+N749)^2+(M749+O749)^2))</f>
        <v/>
      </c>
      <c r="R749" s="195">
        <f>IF(B749="","",'入力・概要'!$E$15*J749)</f>
        <v/>
      </c>
      <c r="S749" s="195">
        <f>IF(B749="","",'入力・概要'!$E$15*K749)</f>
        <v/>
      </c>
      <c r="T749" s="195">
        <f>IF(B749="","",P749+R749)</f>
        <v/>
      </c>
      <c r="U749" s="195">
        <f>IF(B749="","",Q749+S749)</f>
        <v/>
      </c>
      <c r="V749" s="195">
        <f>IF(B749="","",T749+'入力・概要'!$E$9*F749)</f>
        <v/>
      </c>
      <c r="W749" s="195">
        <f>IF(B749="","",U749+'入力・概要'!$E$9*G749)</f>
        <v/>
      </c>
      <c r="X749" s="195">
        <f>IF(B749="","",'入力・概要'!$E$9+T749*F749-U749*G749)</f>
        <v/>
      </c>
      <c r="Y749" s="195">
        <f>IF(B749="","",T749*G749+U749*F749)</f>
        <v/>
      </c>
      <c r="Z749" s="195">
        <f>IF(B749="","",'入力・概要'!$E$9*(V749*X749+W749*Y749)/(X749^2+Y749^2)+'入力・概要'!$B$36)</f>
        <v/>
      </c>
      <c r="AA749" s="195">
        <f>IF(B749="","",'入力・概要'!$E$9*(W749*X749-V749*Y749)/(X749^2+Y749^2)+C749*'入力・概要'!$B$37*1E-9)</f>
        <v/>
      </c>
      <c r="AB749" s="195">
        <f>IF(B749="","",SQRT(Z749^2+AA749^2))</f>
        <v/>
      </c>
      <c r="AC749" s="195">
        <f>IF(B749="","",IF(Z749&gt;0,DEGREES(ATAN(AA749/Z749)),IF(Z749&lt;0,IF(AA749&gt;=0,DEGREES(ATAN(AA749/Z749))+180,DEGREES(ATAN(AA749/Z749))-180),IF(AA749&gt;0,90,IF(AA749&lt;0,-90,0)))))</f>
        <v/>
      </c>
      <c r="AD749" s="195">
        <f>IF(B749="","",LOG10(B749))</f>
        <v/>
      </c>
      <c r="AE749" s="195">
        <f>IF(AB749="","",LOG10(MAX(AB749,1E-12)))</f>
        <v/>
      </c>
      <c r="AF749" s="195">
        <f>IF(B749="","",SQRT(P749^2+Q749^2))</f>
        <v/>
      </c>
      <c r="AG749" s="195">
        <f>IF(B749="","",SQRT(R749^2+S749^2))</f>
        <v/>
      </c>
    </row>
    <row r="750">
      <c r="A750" t="n">
        <v>747</v>
      </c>
      <c r="B750" s="196">
        <f>IF(A750&lt;='入力・概要'!$B$40,10^(LOG10('入力・概要'!$B$38)+(A750-1)*(LOG10('入力・概要'!$B$39)-LOG10('入力・概要'!$B$38))/('入力・概要'!$B$40-1)),"")</f>
        <v/>
      </c>
      <c r="C750" s="195">
        <f>IF(B750="","",2*PI()*B750)</f>
        <v/>
      </c>
      <c r="D750" s="195">
        <f>IF(B750="","",ATANH(MIN(0.999999,'入力・概要'!$E$20/'入力・概要'!$E$9))+'入力・概要'!$B$20*SQRT(B750/1E6)+E750*'入力・概要'!$B$15/2)</f>
        <v/>
      </c>
      <c r="E750" s="195">
        <f>IF(B750="","",C750*('入力・概要'!$E$11*1E-9))</f>
        <v/>
      </c>
      <c r="F750" s="195">
        <f>IF(B750="","",SINH(2*D750)/(COSH(2*D750)+COS(2*E750)))</f>
        <v/>
      </c>
      <c r="G750" s="195">
        <f>IF(B750="","",SIN(2*E750)/(COSH(2*D750)+COS(2*E750)))</f>
        <v/>
      </c>
      <c r="H750" s="195">
        <f>IF(B750="","",ATANH(MIN(0.999999,'入力・概要'!$E$21/'入力・概要'!$E$15))+'入力・概要'!$B$21*SQRT(B750/1E6)+I750*'入力・概要'!$B$16/2)</f>
        <v/>
      </c>
      <c r="I750" s="195">
        <f>IF(B750="","",C750*('入力・概要'!$E$17*1E-9))</f>
        <v/>
      </c>
      <c r="J750" s="195">
        <f>IF(B750="","",SINH(2*H750)/(COSH(2*H750)+COS(2*I750)))</f>
        <v/>
      </c>
      <c r="K750" s="195">
        <f>IF(B750="","",SIN(2*I750)/(COSH(2*H750)+COS(2*I750)))</f>
        <v/>
      </c>
      <c r="L750" s="195">
        <f>IF(B750="","",'入力・概要'!$B$25)</f>
        <v/>
      </c>
      <c r="M750" s="195">
        <f>IF(B750="","",C750*'入力・概要'!$B$26*1E-9-1/(C750*'入力・概要'!$B$24*1E-6))</f>
        <v/>
      </c>
      <c r="N750" s="195">
        <f>IF(B750="","",'入力・概要'!$B$28)</f>
        <v/>
      </c>
      <c r="O750" s="195">
        <f>IF(B750="","",C750*'入力・概要'!$B$29*1E-9-1/(C750*'入力・概要'!$B$27*1E-6))</f>
        <v/>
      </c>
      <c r="P750" s="195">
        <f>IF(B750="","",((L750*N750-M750*O750)*(L750+N750)+(L750*O750+M750*N750)*(M750+O750))/((L750+N750)^2+(M750+O750)^2))</f>
        <v/>
      </c>
      <c r="Q750" s="195">
        <f>IF(B750="","",((L750*O750+M750*N750)*(L750+N750)-(L750*N750-M750*O750)*(M750+O750))/((L750+N750)^2+(M750+O750)^2))</f>
        <v/>
      </c>
      <c r="R750" s="195">
        <f>IF(B750="","",'入力・概要'!$E$15*J750)</f>
        <v/>
      </c>
      <c r="S750" s="195">
        <f>IF(B750="","",'入力・概要'!$E$15*K750)</f>
        <v/>
      </c>
      <c r="T750" s="195">
        <f>IF(B750="","",P750+R750)</f>
        <v/>
      </c>
      <c r="U750" s="195">
        <f>IF(B750="","",Q750+S750)</f>
        <v/>
      </c>
      <c r="V750" s="195">
        <f>IF(B750="","",T750+'入力・概要'!$E$9*F750)</f>
        <v/>
      </c>
      <c r="W750" s="195">
        <f>IF(B750="","",U750+'入力・概要'!$E$9*G750)</f>
        <v/>
      </c>
      <c r="X750" s="195">
        <f>IF(B750="","",'入力・概要'!$E$9+T750*F750-U750*G750)</f>
        <v/>
      </c>
      <c r="Y750" s="195">
        <f>IF(B750="","",T750*G750+U750*F750)</f>
        <v/>
      </c>
      <c r="Z750" s="195">
        <f>IF(B750="","",'入力・概要'!$E$9*(V750*X750+W750*Y750)/(X750^2+Y750^2)+'入力・概要'!$B$36)</f>
        <v/>
      </c>
      <c r="AA750" s="195">
        <f>IF(B750="","",'入力・概要'!$E$9*(W750*X750-V750*Y750)/(X750^2+Y750^2)+C750*'入力・概要'!$B$37*1E-9)</f>
        <v/>
      </c>
      <c r="AB750" s="195">
        <f>IF(B750="","",SQRT(Z750^2+AA750^2))</f>
        <v/>
      </c>
      <c r="AC750" s="195">
        <f>IF(B750="","",IF(Z750&gt;0,DEGREES(ATAN(AA750/Z750)),IF(Z750&lt;0,IF(AA750&gt;=0,DEGREES(ATAN(AA750/Z750))+180,DEGREES(ATAN(AA750/Z750))-180),IF(AA750&gt;0,90,IF(AA750&lt;0,-90,0)))))</f>
        <v/>
      </c>
      <c r="AD750" s="195">
        <f>IF(B750="","",LOG10(B750))</f>
        <v/>
      </c>
      <c r="AE750" s="195">
        <f>IF(AB750="","",LOG10(MAX(AB750,1E-12)))</f>
        <v/>
      </c>
      <c r="AF750" s="195">
        <f>IF(B750="","",SQRT(P750^2+Q750^2))</f>
        <v/>
      </c>
      <c r="AG750" s="195">
        <f>IF(B750="","",SQRT(R750^2+S750^2))</f>
        <v/>
      </c>
    </row>
    <row r="751">
      <c r="A751" t="n">
        <v>748</v>
      </c>
      <c r="B751" s="196">
        <f>IF(A751&lt;='入力・概要'!$B$40,10^(LOG10('入力・概要'!$B$38)+(A751-1)*(LOG10('入力・概要'!$B$39)-LOG10('入力・概要'!$B$38))/('入力・概要'!$B$40-1)),"")</f>
        <v/>
      </c>
      <c r="C751" s="195">
        <f>IF(B751="","",2*PI()*B751)</f>
        <v/>
      </c>
      <c r="D751" s="195">
        <f>IF(B751="","",ATANH(MIN(0.999999,'入力・概要'!$E$20/'入力・概要'!$E$9))+'入力・概要'!$B$20*SQRT(B751/1E6)+E751*'入力・概要'!$B$15/2)</f>
        <v/>
      </c>
      <c r="E751" s="195">
        <f>IF(B751="","",C751*('入力・概要'!$E$11*1E-9))</f>
        <v/>
      </c>
      <c r="F751" s="195">
        <f>IF(B751="","",SINH(2*D751)/(COSH(2*D751)+COS(2*E751)))</f>
        <v/>
      </c>
      <c r="G751" s="195">
        <f>IF(B751="","",SIN(2*E751)/(COSH(2*D751)+COS(2*E751)))</f>
        <v/>
      </c>
      <c r="H751" s="195">
        <f>IF(B751="","",ATANH(MIN(0.999999,'入力・概要'!$E$21/'入力・概要'!$E$15))+'入力・概要'!$B$21*SQRT(B751/1E6)+I751*'入力・概要'!$B$16/2)</f>
        <v/>
      </c>
      <c r="I751" s="195">
        <f>IF(B751="","",C751*('入力・概要'!$E$17*1E-9))</f>
        <v/>
      </c>
      <c r="J751" s="195">
        <f>IF(B751="","",SINH(2*H751)/(COSH(2*H751)+COS(2*I751)))</f>
        <v/>
      </c>
      <c r="K751" s="195">
        <f>IF(B751="","",SIN(2*I751)/(COSH(2*H751)+COS(2*I751)))</f>
        <v/>
      </c>
      <c r="L751" s="195">
        <f>IF(B751="","",'入力・概要'!$B$25)</f>
        <v/>
      </c>
      <c r="M751" s="195">
        <f>IF(B751="","",C751*'入力・概要'!$B$26*1E-9-1/(C751*'入力・概要'!$B$24*1E-6))</f>
        <v/>
      </c>
      <c r="N751" s="195">
        <f>IF(B751="","",'入力・概要'!$B$28)</f>
        <v/>
      </c>
      <c r="O751" s="195">
        <f>IF(B751="","",C751*'入力・概要'!$B$29*1E-9-1/(C751*'入力・概要'!$B$27*1E-6))</f>
        <v/>
      </c>
      <c r="P751" s="195">
        <f>IF(B751="","",((L751*N751-M751*O751)*(L751+N751)+(L751*O751+M751*N751)*(M751+O751))/((L751+N751)^2+(M751+O751)^2))</f>
        <v/>
      </c>
      <c r="Q751" s="195">
        <f>IF(B751="","",((L751*O751+M751*N751)*(L751+N751)-(L751*N751-M751*O751)*(M751+O751))/((L751+N751)^2+(M751+O751)^2))</f>
        <v/>
      </c>
      <c r="R751" s="195">
        <f>IF(B751="","",'入力・概要'!$E$15*J751)</f>
        <v/>
      </c>
      <c r="S751" s="195">
        <f>IF(B751="","",'入力・概要'!$E$15*K751)</f>
        <v/>
      </c>
      <c r="T751" s="195">
        <f>IF(B751="","",P751+R751)</f>
        <v/>
      </c>
      <c r="U751" s="195">
        <f>IF(B751="","",Q751+S751)</f>
        <v/>
      </c>
      <c r="V751" s="195">
        <f>IF(B751="","",T751+'入力・概要'!$E$9*F751)</f>
        <v/>
      </c>
      <c r="W751" s="195">
        <f>IF(B751="","",U751+'入力・概要'!$E$9*G751)</f>
        <v/>
      </c>
      <c r="X751" s="195">
        <f>IF(B751="","",'入力・概要'!$E$9+T751*F751-U751*G751)</f>
        <v/>
      </c>
      <c r="Y751" s="195">
        <f>IF(B751="","",T751*G751+U751*F751)</f>
        <v/>
      </c>
      <c r="Z751" s="195">
        <f>IF(B751="","",'入力・概要'!$E$9*(V751*X751+W751*Y751)/(X751^2+Y751^2)+'入力・概要'!$B$36)</f>
        <v/>
      </c>
      <c r="AA751" s="195">
        <f>IF(B751="","",'入力・概要'!$E$9*(W751*X751-V751*Y751)/(X751^2+Y751^2)+C751*'入力・概要'!$B$37*1E-9)</f>
        <v/>
      </c>
      <c r="AB751" s="195">
        <f>IF(B751="","",SQRT(Z751^2+AA751^2))</f>
        <v/>
      </c>
      <c r="AC751" s="195">
        <f>IF(B751="","",IF(Z751&gt;0,DEGREES(ATAN(AA751/Z751)),IF(Z751&lt;0,IF(AA751&gt;=0,DEGREES(ATAN(AA751/Z751))+180,DEGREES(ATAN(AA751/Z751))-180),IF(AA751&gt;0,90,IF(AA751&lt;0,-90,0)))))</f>
        <v/>
      </c>
      <c r="AD751" s="195">
        <f>IF(B751="","",LOG10(B751))</f>
        <v/>
      </c>
      <c r="AE751" s="195">
        <f>IF(AB751="","",LOG10(MAX(AB751,1E-12)))</f>
        <v/>
      </c>
      <c r="AF751" s="195">
        <f>IF(B751="","",SQRT(P751^2+Q751^2))</f>
        <v/>
      </c>
      <c r="AG751" s="195">
        <f>IF(B751="","",SQRT(R751^2+S751^2))</f>
        <v/>
      </c>
    </row>
    <row r="752">
      <c r="A752" t="n">
        <v>749</v>
      </c>
      <c r="B752" s="196">
        <f>IF(A752&lt;='入力・概要'!$B$40,10^(LOG10('入力・概要'!$B$38)+(A752-1)*(LOG10('入力・概要'!$B$39)-LOG10('入力・概要'!$B$38))/('入力・概要'!$B$40-1)),"")</f>
        <v/>
      </c>
      <c r="C752" s="195">
        <f>IF(B752="","",2*PI()*B752)</f>
        <v/>
      </c>
      <c r="D752" s="195">
        <f>IF(B752="","",ATANH(MIN(0.999999,'入力・概要'!$E$20/'入力・概要'!$E$9))+'入力・概要'!$B$20*SQRT(B752/1E6)+E752*'入力・概要'!$B$15/2)</f>
        <v/>
      </c>
      <c r="E752" s="195">
        <f>IF(B752="","",C752*('入力・概要'!$E$11*1E-9))</f>
        <v/>
      </c>
      <c r="F752" s="195">
        <f>IF(B752="","",SINH(2*D752)/(COSH(2*D752)+COS(2*E752)))</f>
        <v/>
      </c>
      <c r="G752" s="195">
        <f>IF(B752="","",SIN(2*E752)/(COSH(2*D752)+COS(2*E752)))</f>
        <v/>
      </c>
      <c r="H752" s="195">
        <f>IF(B752="","",ATANH(MIN(0.999999,'入力・概要'!$E$21/'入力・概要'!$E$15))+'入力・概要'!$B$21*SQRT(B752/1E6)+I752*'入力・概要'!$B$16/2)</f>
        <v/>
      </c>
      <c r="I752" s="195">
        <f>IF(B752="","",C752*('入力・概要'!$E$17*1E-9))</f>
        <v/>
      </c>
      <c r="J752" s="195">
        <f>IF(B752="","",SINH(2*H752)/(COSH(2*H752)+COS(2*I752)))</f>
        <v/>
      </c>
      <c r="K752" s="195">
        <f>IF(B752="","",SIN(2*I752)/(COSH(2*H752)+COS(2*I752)))</f>
        <v/>
      </c>
      <c r="L752" s="195">
        <f>IF(B752="","",'入力・概要'!$B$25)</f>
        <v/>
      </c>
      <c r="M752" s="195">
        <f>IF(B752="","",C752*'入力・概要'!$B$26*1E-9-1/(C752*'入力・概要'!$B$24*1E-6))</f>
        <v/>
      </c>
      <c r="N752" s="195">
        <f>IF(B752="","",'入力・概要'!$B$28)</f>
        <v/>
      </c>
      <c r="O752" s="195">
        <f>IF(B752="","",C752*'入力・概要'!$B$29*1E-9-1/(C752*'入力・概要'!$B$27*1E-6))</f>
        <v/>
      </c>
      <c r="P752" s="195">
        <f>IF(B752="","",((L752*N752-M752*O752)*(L752+N752)+(L752*O752+M752*N752)*(M752+O752))/((L752+N752)^2+(M752+O752)^2))</f>
        <v/>
      </c>
      <c r="Q752" s="195">
        <f>IF(B752="","",((L752*O752+M752*N752)*(L752+N752)-(L752*N752-M752*O752)*(M752+O752))/((L752+N752)^2+(M752+O752)^2))</f>
        <v/>
      </c>
      <c r="R752" s="195">
        <f>IF(B752="","",'入力・概要'!$E$15*J752)</f>
        <v/>
      </c>
      <c r="S752" s="195">
        <f>IF(B752="","",'入力・概要'!$E$15*K752)</f>
        <v/>
      </c>
      <c r="T752" s="195">
        <f>IF(B752="","",P752+R752)</f>
        <v/>
      </c>
      <c r="U752" s="195">
        <f>IF(B752="","",Q752+S752)</f>
        <v/>
      </c>
      <c r="V752" s="195">
        <f>IF(B752="","",T752+'入力・概要'!$E$9*F752)</f>
        <v/>
      </c>
      <c r="W752" s="195">
        <f>IF(B752="","",U752+'入力・概要'!$E$9*G752)</f>
        <v/>
      </c>
      <c r="X752" s="195">
        <f>IF(B752="","",'入力・概要'!$E$9+T752*F752-U752*G752)</f>
        <v/>
      </c>
      <c r="Y752" s="195">
        <f>IF(B752="","",T752*G752+U752*F752)</f>
        <v/>
      </c>
      <c r="Z752" s="195">
        <f>IF(B752="","",'入力・概要'!$E$9*(V752*X752+W752*Y752)/(X752^2+Y752^2)+'入力・概要'!$B$36)</f>
        <v/>
      </c>
      <c r="AA752" s="195">
        <f>IF(B752="","",'入力・概要'!$E$9*(W752*X752-V752*Y752)/(X752^2+Y752^2)+C752*'入力・概要'!$B$37*1E-9)</f>
        <v/>
      </c>
      <c r="AB752" s="195">
        <f>IF(B752="","",SQRT(Z752^2+AA752^2))</f>
        <v/>
      </c>
      <c r="AC752" s="195">
        <f>IF(B752="","",IF(Z752&gt;0,DEGREES(ATAN(AA752/Z752)),IF(Z752&lt;0,IF(AA752&gt;=0,DEGREES(ATAN(AA752/Z752))+180,DEGREES(ATAN(AA752/Z752))-180),IF(AA752&gt;0,90,IF(AA752&lt;0,-90,0)))))</f>
        <v/>
      </c>
      <c r="AD752" s="195">
        <f>IF(B752="","",LOG10(B752))</f>
        <v/>
      </c>
      <c r="AE752" s="195">
        <f>IF(AB752="","",LOG10(MAX(AB752,1E-12)))</f>
        <v/>
      </c>
      <c r="AF752" s="195">
        <f>IF(B752="","",SQRT(P752^2+Q752^2))</f>
        <v/>
      </c>
      <c r="AG752" s="195">
        <f>IF(B752="","",SQRT(R752^2+S752^2))</f>
        <v/>
      </c>
    </row>
    <row r="753">
      <c r="A753" t="n">
        <v>750</v>
      </c>
      <c r="B753" s="196">
        <f>IF(A753&lt;='入力・概要'!$B$40,10^(LOG10('入力・概要'!$B$38)+(A753-1)*(LOG10('入力・概要'!$B$39)-LOG10('入力・概要'!$B$38))/('入力・概要'!$B$40-1)),"")</f>
        <v/>
      </c>
      <c r="C753" s="195">
        <f>IF(B753="","",2*PI()*B753)</f>
        <v/>
      </c>
      <c r="D753" s="195">
        <f>IF(B753="","",ATANH(MIN(0.999999,'入力・概要'!$E$20/'入力・概要'!$E$9))+'入力・概要'!$B$20*SQRT(B753/1E6)+E753*'入力・概要'!$B$15/2)</f>
        <v/>
      </c>
      <c r="E753" s="195">
        <f>IF(B753="","",C753*('入力・概要'!$E$11*1E-9))</f>
        <v/>
      </c>
      <c r="F753" s="195">
        <f>IF(B753="","",SINH(2*D753)/(COSH(2*D753)+COS(2*E753)))</f>
        <v/>
      </c>
      <c r="G753" s="195">
        <f>IF(B753="","",SIN(2*E753)/(COSH(2*D753)+COS(2*E753)))</f>
        <v/>
      </c>
      <c r="H753" s="195">
        <f>IF(B753="","",ATANH(MIN(0.999999,'入力・概要'!$E$21/'入力・概要'!$E$15))+'入力・概要'!$B$21*SQRT(B753/1E6)+I753*'入力・概要'!$B$16/2)</f>
        <v/>
      </c>
      <c r="I753" s="195">
        <f>IF(B753="","",C753*('入力・概要'!$E$17*1E-9))</f>
        <v/>
      </c>
      <c r="J753" s="195">
        <f>IF(B753="","",SINH(2*H753)/(COSH(2*H753)+COS(2*I753)))</f>
        <v/>
      </c>
      <c r="K753" s="195">
        <f>IF(B753="","",SIN(2*I753)/(COSH(2*H753)+COS(2*I753)))</f>
        <v/>
      </c>
      <c r="L753" s="195">
        <f>IF(B753="","",'入力・概要'!$B$25)</f>
        <v/>
      </c>
      <c r="M753" s="195">
        <f>IF(B753="","",C753*'入力・概要'!$B$26*1E-9-1/(C753*'入力・概要'!$B$24*1E-6))</f>
        <v/>
      </c>
      <c r="N753" s="195">
        <f>IF(B753="","",'入力・概要'!$B$28)</f>
        <v/>
      </c>
      <c r="O753" s="195">
        <f>IF(B753="","",C753*'入力・概要'!$B$29*1E-9-1/(C753*'入力・概要'!$B$27*1E-6))</f>
        <v/>
      </c>
      <c r="P753" s="195">
        <f>IF(B753="","",((L753*N753-M753*O753)*(L753+N753)+(L753*O753+M753*N753)*(M753+O753))/((L753+N753)^2+(M753+O753)^2))</f>
        <v/>
      </c>
      <c r="Q753" s="195">
        <f>IF(B753="","",((L753*O753+M753*N753)*(L753+N753)-(L753*N753-M753*O753)*(M753+O753))/((L753+N753)^2+(M753+O753)^2))</f>
        <v/>
      </c>
      <c r="R753" s="195">
        <f>IF(B753="","",'入力・概要'!$E$15*J753)</f>
        <v/>
      </c>
      <c r="S753" s="195">
        <f>IF(B753="","",'入力・概要'!$E$15*K753)</f>
        <v/>
      </c>
      <c r="T753" s="195">
        <f>IF(B753="","",P753+R753)</f>
        <v/>
      </c>
      <c r="U753" s="195">
        <f>IF(B753="","",Q753+S753)</f>
        <v/>
      </c>
      <c r="V753" s="195">
        <f>IF(B753="","",T753+'入力・概要'!$E$9*F753)</f>
        <v/>
      </c>
      <c r="W753" s="195">
        <f>IF(B753="","",U753+'入力・概要'!$E$9*G753)</f>
        <v/>
      </c>
      <c r="X753" s="195">
        <f>IF(B753="","",'入力・概要'!$E$9+T753*F753-U753*G753)</f>
        <v/>
      </c>
      <c r="Y753" s="195">
        <f>IF(B753="","",T753*G753+U753*F753)</f>
        <v/>
      </c>
      <c r="Z753" s="195">
        <f>IF(B753="","",'入力・概要'!$E$9*(V753*X753+W753*Y753)/(X753^2+Y753^2)+'入力・概要'!$B$36)</f>
        <v/>
      </c>
      <c r="AA753" s="195">
        <f>IF(B753="","",'入力・概要'!$E$9*(W753*X753-V753*Y753)/(X753^2+Y753^2)+C753*'入力・概要'!$B$37*1E-9)</f>
        <v/>
      </c>
      <c r="AB753" s="195">
        <f>IF(B753="","",SQRT(Z753^2+AA753^2))</f>
        <v/>
      </c>
      <c r="AC753" s="195">
        <f>IF(B753="","",IF(Z753&gt;0,DEGREES(ATAN(AA753/Z753)),IF(Z753&lt;0,IF(AA753&gt;=0,DEGREES(ATAN(AA753/Z753))+180,DEGREES(ATAN(AA753/Z753))-180),IF(AA753&gt;0,90,IF(AA753&lt;0,-90,0)))))</f>
        <v/>
      </c>
      <c r="AD753" s="195">
        <f>IF(B753="","",LOG10(B753))</f>
        <v/>
      </c>
      <c r="AE753" s="195">
        <f>IF(AB753="","",LOG10(MAX(AB753,1E-12)))</f>
        <v/>
      </c>
      <c r="AF753" s="195">
        <f>IF(B753="","",SQRT(P753^2+Q753^2))</f>
        <v/>
      </c>
      <c r="AG753" s="195">
        <f>IF(B753="","",SQRT(R753^2+S753^2))</f>
        <v/>
      </c>
    </row>
    <row r="754">
      <c r="A754" t="n">
        <v>751</v>
      </c>
      <c r="B754" s="196">
        <f>IF(A754&lt;='入力・概要'!$B$40,10^(LOG10('入力・概要'!$B$38)+(A754-1)*(LOG10('入力・概要'!$B$39)-LOG10('入力・概要'!$B$38))/('入力・概要'!$B$40-1)),"")</f>
        <v/>
      </c>
      <c r="C754" s="195">
        <f>IF(B754="","",2*PI()*B754)</f>
        <v/>
      </c>
      <c r="D754" s="195">
        <f>IF(B754="","",ATANH(MIN(0.999999,'入力・概要'!$E$20/'入力・概要'!$E$9))+'入力・概要'!$B$20*SQRT(B754/1E6)+E754*'入力・概要'!$B$15/2)</f>
        <v/>
      </c>
      <c r="E754" s="195">
        <f>IF(B754="","",C754*('入力・概要'!$E$11*1E-9))</f>
        <v/>
      </c>
      <c r="F754" s="195">
        <f>IF(B754="","",SINH(2*D754)/(COSH(2*D754)+COS(2*E754)))</f>
        <v/>
      </c>
      <c r="G754" s="195">
        <f>IF(B754="","",SIN(2*E754)/(COSH(2*D754)+COS(2*E754)))</f>
        <v/>
      </c>
      <c r="H754" s="195">
        <f>IF(B754="","",ATANH(MIN(0.999999,'入力・概要'!$E$21/'入力・概要'!$E$15))+'入力・概要'!$B$21*SQRT(B754/1E6)+I754*'入力・概要'!$B$16/2)</f>
        <v/>
      </c>
      <c r="I754" s="195">
        <f>IF(B754="","",C754*('入力・概要'!$E$17*1E-9))</f>
        <v/>
      </c>
      <c r="J754" s="195">
        <f>IF(B754="","",SINH(2*H754)/(COSH(2*H754)+COS(2*I754)))</f>
        <v/>
      </c>
      <c r="K754" s="195">
        <f>IF(B754="","",SIN(2*I754)/(COSH(2*H754)+COS(2*I754)))</f>
        <v/>
      </c>
      <c r="L754" s="195">
        <f>IF(B754="","",'入力・概要'!$B$25)</f>
        <v/>
      </c>
      <c r="M754" s="195">
        <f>IF(B754="","",C754*'入力・概要'!$B$26*1E-9-1/(C754*'入力・概要'!$B$24*1E-6))</f>
        <v/>
      </c>
      <c r="N754" s="195">
        <f>IF(B754="","",'入力・概要'!$B$28)</f>
        <v/>
      </c>
      <c r="O754" s="195">
        <f>IF(B754="","",C754*'入力・概要'!$B$29*1E-9-1/(C754*'入力・概要'!$B$27*1E-6))</f>
        <v/>
      </c>
      <c r="P754" s="195">
        <f>IF(B754="","",((L754*N754-M754*O754)*(L754+N754)+(L754*O754+M754*N754)*(M754+O754))/((L754+N754)^2+(M754+O754)^2))</f>
        <v/>
      </c>
      <c r="Q754" s="195">
        <f>IF(B754="","",((L754*O754+M754*N754)*(L754+N754)-(L754*N754-M754*O754)*(M754+O754))/((L754+N754)^2+(M754+O754)^2))</f>
        <v/>
      </c>
      <c r="R754" s="195">
        <f>IF(B754="","",'入力・概要'!$E$15*J754)</f>
        <v/>
      </c>
      <c r="S754" s="195">
        <f>IF(B754="","",'入力・概要'!$E$15*K754)</f>
        <v/>
      </c>
      <c r="T754" s="195">
        <f>IF(B754="","",P754+R754)</f>
        <v/>
      </c>
      <c r="U754" s="195">
        <f>IF(B754="","",Q754+S754)</f>
        <v/>
      </c>
      <c r="V754" s="195">
        <f>IF(B754="","",T754+'入力・概要'!$E$9*F754)</f>
        <v/>
      </c>
      <c r="W754" s="195">
        <f>IF(B754="","",U754+'入力・概要'!$E$9*G754)</f>
        <v/>
      </c>
      <c r="X754" s="195">
        <f>IF(B754="","",'入力・概要'!$E$9+T754*F754-U754*G754)</f>
        <v/>
      </c>
      <c r="Y754" s="195">
        <f>IF(B754="","",T754*G754+U754*F754)</f>
        <v/>
      </c>
      <c r="Z754" s="195">
        <f>IF(B754="","",'入力・概要'!$E$9*(V754*X754+W754*Y754)/(X754^2+Y754^2)+'入力・概要'!$B$36)</f>
        <v/>
      </c>
      <c r="AA754" s="195">
        <f>IF(B754="","",'入力・概要'!$E$9*(W754*X754-V754*Y754)/(X754^2+Y754^2)+C754*'入力・概要'!$B$37*1E-9)</f>
        <v/>
      </c>
      <c r="AB754" s="195">
        <f>IF(B754="","",SQRT(Z754^2+AA754^2))</f>
        <v/>
      </c>
      <c r="AC754" s="195">
        <f>IF(B754="","",IF(Z754&gt;0,DEGREES(ATAN(AA754/Z754)),IF(Z754&lt;0,IF(AA754&gt;=0,DEGREES(ATAN(AA754/Z754))+180,DEGREES(ATAN(AA754/Z754))-180),IF(AA754&gt;0,90,IF(AA754&lt;0,-90,0)))))</f>
        <v/>
      </c>
      <c r="AD754" s="195">
        <f>IF(B754="","",LOG10(B754))</f>
        <v/>
      </c>
      <c r="AE754" s="195">
        <f>IF(AB754="","",LOG10(MAX(AB754,1E-12)))</f>
        <v/>
      </c>
      <c r="AF754" s="195">
        <f>IF(B754="","",SQRT(P754^2+Q754^2))</f>
        <v/>
      </c>
      <c r="AG754" s="195">
        <f>IF(B754="","",SQRT(R754^2+S754^2))</f>
        <v/>
      </c>
    </row>
    <row r="755">
      <c r="A755" t="n">
        <v>752</v>
      </c>
      <c r="B755" s="196">
        <f>IF(A755&lt;='入力・概要'!$B$40,10^(LOG10('入力・概要'!$B$38)+(A755-1)*(LOG10('入力・概要'!$B$39)-LOG10('入力・概要'!$B$38))/('入力・概要'!$B$40-1)),"")</f>
        <v/>
      </c>
      <c r="C755" s="195">
        <f>IF(B755="","",2*PI()*B755)</f>
        <v/>
      </c>
      <c r="D755" s="195">
        <f>IF(B755="","",ATANH(MIN(0.999999,'入力・概要'!$E$20/'入力・概要'!$E$9))+'入力・概要'!$B$20*SQRT(B755/1E6)+E755*'入力・概要'!$B$15/2)</f>
        <v/>
      </c>
      <c r="E755" s="195">
        <f>IF(B755="","",C755*('入力・概要'!$E$11*1E-9))</f>
        <v/>
      </c>
      <c r="F755" s="195">
        <f>IF(B755="","",SINH(2*D755)/(COSH(2*D755)+COS(2*E755)))</f>
        <v/>
      </c>
      <c r="G755" s="195">
        <f>IF(B755="","",SIN(2*E755)/(COSH(2*D755)+COS(2*E755)))</f>
        <v/>
      </c>
      <c r="H755" s="195">
        <f>IF(B755="","",ATANH(MIN(0.999999,'入力・概要'!$E$21/'入力・概要'!$E$15))+'入力・概要'!$B$21*SQRT(B755/1E6)+I755*'入力・概要'!$B$16/2)</f>
        <v/>
      </c>
      <c r="I755" s="195">
        <f>IF(B755="","",C755*('入力・概要'!$E$17*1E-9))</f>
        <v/>
      </c>
      <c r="J755" s="195">
        <f>IF(B755="","",SINH(2*H755)/(COSH(2*H755)+COS(2*I755)))</f>
        <v/>
      </c>
      <c r="K755" s="195">
        <f>IF(B755="","",SIN(2*I755)/(COSH(2*H755)+COS(2*I755)))</f>
        <v/>
      </c>
      <c r="L755" s="195">
        <f>IF(B755="","",'入力・概要'!$B$25)</f>
        <v/>
      </c>
      <c r="M755" s="195">
        <f>IF(B755="","",C755*'入力・概要'!$B$26*1E-9-1/(C755*'入力・概要'!$B$24*1E-6))</f>
        <v/>
      </c>
      <c r="N755" s="195">
        <f>IF(B755="","",'入力・概要'!$B$28)</f>
        <v/>
      </c>
      <c r="O755" s="195">
        <f>IF(B755="","",C755*'入力・概要'!$B$29*1E-9-1/(C755*'入力・概要'!$B$27*1E-6))</f>
        <v/>
      </c>
      <c r="P755" s="195">
        <f>IF(B755="","",((L755*N755-M755*O755)*(L755+N755)+(L755*O755+M755*N755)*(M755+O755))/((L755+N755)^2+(M755+O755)^2))</f>
        <v/>
      </c>
      <c r="Q755" s="195">
        <f>IF(B755="","",((L755*O755+M755*N755)*(L755+N755)-(L755*N755-M755*O755)*(M755+O755))/((L755+N755)^2+(M755+O755)^2))</f>
        <v/>
      </c>
      <c r="R755" s="195">
        <f>IF(B755="","",'入力・概要'!$E$15*J755)</f>
        <v/>
      </c>
      <c r="S755" s="195">
        <f>IF(B755="","",'入力・概要'!$E$15*K755)</f>
        <v/>
      </c>
      <c r="T755" s="195">
        <f>IF(B755="","",P755+R755)</f>
        <v/>
      </c>
      <c r="U755" s="195">
        <f>IF(B755="","",Q755+S755)</f>
        <v/>
      </c>
      <c r="V755" s="195">
        <f>IF(B755="","",T755+'入力・概要'!$E$9*F755)</f>
        <v/>
      </c>
      <c r="W755" s="195">
        <f>IF(B755="","",U755+'入力・概要'!$E$9*G755)</f>
        <v/>
      </c>
      <c r="X755" s="195">
        <f>IF(B755="","",'入力・概要'!$E$9+T755*F755-U755*G755)</f>
        <v/>
      </c>
      <c r="Y755" s="195">
        <f>IF(B755="","",T755*G755+U755*F755)</f>
        <v/>
      </c>
      <c r="Z755" s="195">
        <f>IF(B755="","",'入力・概要'!$E$9*(V755*X755+W755*Y755)/(X755^2+Y755^2)+'入力・概要'!$B$36)</f>
        <v/>
      </c>
      <c r="AA755" s="195">
        <f>IF(B755="","",'入力・概要'!$E$9*(W755*X755-V755*Y755)/(X755^2+Y755^2)+C755*'入力・概要'!$B$37*1E-9)</f>
        <v/>
      </c>
      <c r="AB755" s="195">
        <f>IF(B755="","",SQRT(Z755^2+AA755^2))</f>
        <v/>
      </c>
      <c r="AC755" s="195">
        <f>IF(B755="","",IF(Z755&gt;0,DEGREES(ATAN(AA755/Z755)),IF(Z755&lt;0,IF(AA755&gt;=0,DEGREES(ATAN(AA755/Z755))+180,DEGREES(ATAN(AA755/Z755))-180),IF(AA755&gt;0,90,IF(AA755&lt;0,-90,0)))))</f>
        <v/>
      </c>
      <c r="AD755" s="195">
        <f>IF(B755="","",LOG10(B755))</f>
        <v/>
      </c>
      <c r="AE755" s="195">
        <f>IF(AB755="","",LOG10(MAX(AB755,1E-12)))</f>
        <v/>
      </c>
      <c r="AF755" s="195">
        <f>IF(B755="","",SQRT(P755^2+Q755^2))</f>
        <v/>
      </c>
      <c r="AG755" s="195">
        <f>IF(B755="","",SQRT(R755^2+S755^2))</f>
        <v/>
      </c>
    </row>
    <row r="756">
      <c r="A756" t="n">
        <v>753</v>
      </c>
      <c r="B756" s="196">
        <f>IF(A756&lt;='入力・概要'!$B$40,10^(LOG10('入力・概要'!$B$38)+(A756-1)*(LOG10('入力・概要'!$B$39)-LOG10('入力・概要'!$B$38))/('入力・概要'!$B$40-1)),"")</f>
        <v/>
      </c>
      <c r="C756" s="195">
        <f>IF(B756="","",2*PI()*B756)</f>
        <v/>
      </c>
      <c r="D756" s="195">
        <f>IF(B756="","",ATANH(MIN(0.999999,'入力・概要'!$E$20/'入力・概要'!$E$9))+'入力・概要'!$B$20*SQRT(B756/1E6)+E756*'入力・概要'!$B$15/2)</f>
        <v/>
      </c>
      <c r="E756" s="195">
        <f>IF(B756="","",C756*('入力・概要'!$E$11*1E-9))</f>
        <v/>
      </c>
      <c r="F756" s="195">
        <f>IF(B756="","",SINH(2*D756)/(COSH(2*D756)+COS(2*E756)))</f>
        <v/>
      </c>
      <c r="G756" s="195">
        <f>IF(B756="","",SIN(2*E756)/(COSH(2*D756)+COS(2*E756)))</f>
        <v/>
      </c>
      <c r="H756" s="195">
        <f>IF(B756="","",ATANH(MIN(0.999999,'入力・概要'!$E$21/'入力・概要'!$E$15))+'入力・概要'!$B$21*SQRT(B756/1E6)+I756*'入力・概要'!$B$16/2)</f>
        <v/>
      </c>
      <c r="I756" s="195">
        <f>IF(B756="","",C756*('入力・概要'!$E$17*1E-9))</f>
        <v/>
      </c>
      <c r="J756" s="195">
        <f>IF(B756="","",SINH(2*H756)/(COSH(2*H756)+COS(2*I756)))</f>
        <v/>
      </c>
      <c r="K756" s="195">
        <f>IF(B756="","",SIN(2*I756)/(COSH(2*H756)+COS(2*I756)))</f>
        <v/>
      </c>
      <c r="L756" s="195">
        <f>IF(B756="","",'入力・概要'!$B$25)</f>
        <v/>
      </c>
      <c r="M756" s="195">
        <f>IF(B756="","",C756*'入力・概要'!$B$26*1E-9-1/(C756*'入力・概要'!$B$24*1E-6))</f>
        <v/>
      </c>
      <c r="N756" s="195">
        <f>IF(B756="","",'入力・概要'!$B$28)</f>
        <v/>
      </c>
      <c r="O756" s="195">
        <f>IF(B756="","",C756*'入力・概要'!$B$29*1E-9-1/(C756*'入力・概要'!$B$27*1E-6))</f>
        <v/>
      </c>
      <c r="P756" s="195">
        <f>IF(B756="","",((L756*N756-M756*O756)*(L756+N756)+(L756*O756+M756*N756)*(M756+O756))/((L756+N756)^2+(M756+O756)^2))</f>
        <v/>
      </c>
      <c r="Q756" s="195">
        <f>IF(B756="","",((L756*O756+M756*N756)*(L756+N756)-(L756*N756-M756*O756)*(M756+O756))/((L756+N756)^2+(M756+O756)^2))</f>
        <v/>
      </c>
      <c r="R756" s="195">
        <f>IF(B756="","",'入力・概要'!$E$15*J756)</f>
        <v/>
      </c>
      <c r="S756" s="195">
        <f>IF(B756="","",'入力・概要'!$E$15*K756)</f>
        <v/>
      </c>
      <c r="T756" s="195">
        <f>IF(B756="","",P756+R756)</f>
        <v/>
      </c>
      <c r="U756" s="195">
        <f>IF(B756="","",Q756+S756)</f>
        <v/>
      </c>
      <c r="V756" s="195">
        <f>IF(B756="","",T756+'入力・概要'!$E$9*F756)</f>
        <v/>
      </c>
      <c r="W756" s="195">
        <f>IF(B756="","",U756+'入力・概要'!$E$9*G756)</f>
        <v/>
      </c>
      <c r="X756" s="195">
        <f>IF(B756="","",'入力・概要'!$E$9+T756*F756-U756*G756)</f>
        <v/>
      </c>
      <c r="Y756" s="195">
        <f>IF(B756="","",T756*G756+U756*F756)</f>
        <v/>
      </c>
      <c r="Z756" s="195">
        <f>IF(B756="","",'入力・概要'!$E$9*(V756*X756+W756*Y756)/(X756^2+Y756^2)+'入力・概要'!$B$36)</f>
        <v/>
      </c>
      <c r="AA756" s="195">
        <f>IF(B756="","",'入力・概要'!$E$9*(W756*X756-V756*Y756)/(X756^2+Y756^2)+C756*'入力・概要'!$B$37*1E-9)</f>
        <v/>
      </c>
      <c r="AB756" s="195">
        <f>IF(B756="","",SQRT(Z756^2+AA756^2))</f>
        <v/>
      </c>
      <c r="AC756" s="195">
        <f>IF(B756="","",IF(Z756&gt;0,DEGREES(ATAN(AA756/Z756)),IF(Z756&lt;0,IF(AA756&gt;=0,DEGREES(ATAN(AA756/Z756))+180,DEGREES(ATAN(AA756/Z756))-180),IF(AA756&gt;0,90,IF(AA756&lt;0,-90,0)))))</f>
        <v/>
      </c>
      <c r="AD756" s="195">
        <f>IF(B756="","",LOG10(B756))</f>
        <v/>
      </c>
      <c r="AE756" s="195">
        <f>IF(AB756="","",LOG10(MAX(AB756,1E-12)))</f>
        <v/>
      </c>
      <c r="AF756" s="195">
        <f>IF(B756="","",SQRT(P756^2+Q756^2))</f>
        <v/>
      </c>
      <c r="AG756" s="195">
        <f>IF(B756="","",SQRT(R756^2+S756^2))</f>
        <v/>
      </c>
    </row>
    <row r="757">
      <c r="A757" t="n">
        <v>754</v>
      </c>
      <c r="B757" s="196">
        <f>IF(A757&lt;='入力・概要'!$B$40,10^(LOG10('入力・概要'!$B$38)+(A757-1)*(LOG10('入力・概要'!$B$39)-LOG10('入力・概要'!$B$38))/('入力・概要'!$B$40-1)),"")</f>
        <v/>
      </c>
      <c r="C757" s="195">
        <f>IF(B757="","",2*PI()*B757)</f>
        <v/>
      </c>
      <c r="D757" s="195">
        <f>IF(B757="","",ATANH(MIN(0.999999,'入力・概要'!$E$20/'入力・概要'!$E$9))+'入力・概要'!$B$20*SQRT(B757/1E6)+E757*'入力・概要'!$B$15/2)</f>
        <v/>
      </c>
      <c r="E757" s="195">
        <f>IF(B757="","",C757*('入力・概要'!$E$11*1E-9))</f>
        <v/>
      </c>
      <c r="F757" s="195">
        <f>IF(B757="","",SINH(2*D757)/(COSH(2*D757)+COS(2*E757)))</f>
        <v/>
      </c>
      <c r="G757" s="195">
        <f>IF(B757="","",SIN(2*E757)/(COSH(2*D757)+COS(2*E757)))</f>
        <v/>
      </c>
      <c r="H757" s="195">
        <f>IF(B757="","",ATANH(MIN(0.999999,'入力・概要'!$E$21/'入力・概要'!$E$15))+'入力・概要'!$B$21*SQRT(B757/1E6)+I757*'入力・概要'!$B$16/2)</f>
        <v/>
      </c>
      <c r="I757" s="195">
        <f>IF(B757="","",C757*('入力・概要'!$E$17*1E-9))</f>
        <v/>
      </c>
      <c r="J757" s="195">
        <f>IF(B757="","",SINH(2*H757)/(COSH(2*H757)+COS(2*I757)))</f>
        <v/>
      </c>
      <c r="K757" s="195">
        <f>IF(B757="","",SIN(2*I757)/(COSH(2*H757)+COS(2*I757)))</f>
        <v/>
      </c>
      <c r="L757" s="195">
        <f>IF(B757="","",'入力・概要'!$B$25)</f>
        <v/>
      </c>
      <c r="M757" s="195">
        <f>IF(B757="","",C757*'入力・概要'!$B$26*1E-9-1/(C757*'入力・概要'!$B$24*1E-6))</f>
        <v/>
      </c>
      <c r="N757" s="195">
        <f>IF(B757="","",'入力・概要'!$B$28)</f>
        <v/>
      </c>
      <c r="O757" s="195">
        <f>IF(B757="","",C757*'入力・概要'!$B$29*1E-9-1/(C757*'入力・概要'!$B$27*1E-6))</f>
        <v/>
      </c>
      <c r="P757" s="195">
        <f>IF(B757="","",((L757*N757-M757*O757)*(L757+N757)+(L757*O757+M757*N757)*(M757+O757))/((L757+N757)^2+(M757+O757)^2))</f>
        <v/>
      </c>
      <c r="Q757" s="195">
        <f>IF(B757="","",((L757*O757+M757*N757)*(L757+N757)-(L757*N757-M757*O757)*(M757+O757))/((L757+N757)^2+(M757+O757)^2))</f>
        <v/>
      </c>
      <c r="R757" s="195">
        <f>IF(B757="","",'入力・概要'!$E$15*J757)</f>
        <v/>
      </c>
      <c r="S757" s="195">
        <f>IF(B757="","",'入力・概要'!$E$15*K757)</f>
        <v/>
      </c>
      <c r="T757" s="195">
        <f>IF(B757="","",P757+R757)</f>
        <v/>
      </c>
      <c r="U757" s="195">
        <f>IF(B757="","",Q757+S757)</f>
        <v/>
      </c>
      <c r="V757" s="195">
        <f>IF(B757="","",T757+'入力・概要'!$E$9*F757)</f>
        <v/>
      </c>
      <c r="W757" s="195">
        <f>IF(B757="","",U757+'入力・概要'!$E$9*G757)</f>
        <v/>
      </c>
      <c r="X757" s="195">
        <f>IF(B757="","",'入力・概要'!$E$9+T757*F757-U757*G757)</f>
        <v/>
      </c>
      <c r="Y757" s="195">
        <f>IF(B757="","",T757*G757+U757*F757)</f>
        <v/>
      </c>
      <c r="Z757" s="195">
        <f>IF(B757="","",'入力・概要'!$E$9*(V757*X757+W757*Y757)/(X757^2+Y757^2)+'入力・概要'!$B$36)</f>
        <v/>
      </c>
      <c r="AA757" s="195">
        <f>IF(B757="","",'入力・概要'!$E$9*(W757*X757-V757*Y757)/(X757^2+Y757^2)+C757*'入力・概要'!$B$37*1E-9)</f>
        <v/>
      </c>
      <c r="AB757" s="195">
        <f>IF(B757="","",SQRT(Z757^2+AA757^2))</f>
        <v/>
      </c>
      <c r="AC757" s="195">
        <f>IF(B757="","",IF(Z757&gt;0,DEGREES(ATAN(AA757/Z757)),IF(Z757&lt;0,IF(AA757&gt;=0,DEGREES(ATAN(AA757/Z757))+180,DEGREES(ATAN(AA757/Z757))-180),IF(AA757&gt;0,90,IF(AA757&lt;0,-90,0)))))</f>
        <v/>
      </c>
      <c r="AD757" s="195">
        <f>IF(B757="","",LOG10(B757))</f>
        <v/>
      </c>
      <c r="AE757" s="195">
        <f>IF(AB757="","",LOG10(MAX(AB757,1E-12)))</f>
        <v/>
      </c>
      <c r="AF757" s="195">
        <f>IF(B757="","",SQRT(P757^2+Q757^2))</f>
        <v/>
      </c>
      <c r="AG757" s="195">
        <f>IF(B757="","",SQRT(R757^2+S757^2))</f>
        <v/>
      </c>
    </row>
    <row r="758">
      <c r="A758" t="n">
        <v>755</v>
      </c>
      <c r="B758" s="196">
        <f>IF(A758&lt;='入力・概要'!$B$40,10^(LOG10('入力・概要'!$B$38)+(A758-1)*(LOG10('入力・概要'!$B$39)-LOG10('入力・概要'!$B$38))/('入力・概要'!$B$40-1)),"")</f>
        <v/>
      </c>
      <c r="C758" s="195">
        <f>IF(B758="","",2*PI()*B758)</f>
        <v/>
      </c>
      <c r="D758" s="195">
        <f>IF(B758="","",ATANH(MIN(0.999999,'入力・概要'!$E$20/'入力・概要'!$E$9))+'入力・概要'!$B$20*SQRT(B758/1E6)+E758*'入力・概要'!$B$15/2)</f>
        <v/>
      </c>
      <c r="E758" s="195">
        <f>IF(B758="","",C758*('入力・概要'!$E$11*1E-9))</f>
        <v/>
      </c>
      <c r="F758" s="195">
        <f>IF(B758="","",SINH(2*D758)/(COSH(2*D758)+COS(2*E758)))</f>
        <v/>
      </c>
      <c r="G758" s="195">
        <f>IF(B758="","",SIN(2*E758)/(COSH(2*D758)+COS(2*E758)))</f>
        <v/>
      </c>
      <c r="H758" s="195">
        <f>IF(B758="","",ATANH(MIN(0.999999,'入力・概要'!$E$21/'入力・概要'!$E$15))+'入力・概要'!$B$21*SQRT(B758/1E6)+I758*'入力・概要'!$B$16/2)</f>
        <v/>
      </c>
      <c r="I758" s="195">
        <f>IF(B758="","",C758*('入力・概要'!$E$17*1E-9))</f>
        <v/>
      </c>
      <c r="J758" s="195">
        <f>IF(B758="","",SINH(2*H758)/(COSH(2*H758)+COS(2*I758)))</f>
        <v/>
      </c>
      <c r="K758" s="195">
        <f>IF(B758="","",SIN(2*I758)/(COSH(2*H758)+COS(2*I758)))</f>
        <v/>
      </c>
      <c r="L758" s="195">
        <f>IF(B758="","",'入力・概要'!$B$25)</f>
        <v/>
      </c>
      <c r="M758" s="195">
        <f>IF(B758="","",C758*'入力・概要'!$B$26*1E-9-1/(C758*'入力・概要'!$B$24*1E-6))</f>
        <v/>
      </c>
      <c r="N758" s="195">
        <f>IF(B758="","",'入力・概要'!$B$28)</f>
        <v/>
      </c>
      <c r="O758" s="195">
        <f>IF(B758="","",C758*'入力・概要'!$B$29*1E-9-1/(C758*'入力・概要'!$B$27*1E-6))</f>
        <v/>
      </c>
      <c r="P758" s="195">
        <f>IF(B758="","",((L758*N758-M758*O758)*(L758+N758)+(L758*O758+M758*N758)*(M758+O758))/((L758+N758)^2+(M758+O758)^2))</f>
        <v/>
      </c>
      <c r="Q758" s="195">
        <f>IF(B758="","",((L758*O758+M758*N758)*(L758+N758)-(L758*N758-M758*O758)*(M758+O758))/((L758+N758)^2+(M758+O758)^2))</f>
        <v/>
      </c>
      <c r="R758" s="195">
        <f>IF(B758="","",'入力・概要'!$E$15*J758)</f>
        <v/>
      </c>
      <c r="S758" s="195">
        <f>IF(B758="","",'入力・概要'!$E$15*K758)</f>
        <v/>
      </c>
      <c r="T758" s="195">
        <f>IF(B758="","",P758+R758)</f>
        <v/>
      </c>
      <c r="U758" s="195">
        <f>IF(B758="","",Q758+S758)</f>
        <v/>
      </c>
      <c r="V758" s="195">
        <f>IF(B758="","",T758+'入力・概要'!$E$9*F758)</f>
        <v/>
      </c>
      <c r="W758" s="195">
        <f>IF(B758="","",U758+'入力・概要'!$E$9*G758)</f>
        <v/>
      </c>
      <c r="X758" s="195">
        <f>IF(B758="","",'入力・概要'!$E$9+T758*F758-U758*G758)</f>
        <v/>
      </c>
      <c r="Y758" s="195">
        <f>IF(B758="","",T758*G758+U758*F758)</f>
        <v/>
      </c>
      <c r="Z758" s="195">
        <f>IF(B758="","",'入力・概要'!$E$9*(V758*X758+W758*Y758)/(X758^2+Y758^2)+'入力・概要'!$B$36)</f>
        <v/>
      </c>
      <c r="AA758" s="195">
        <f>IF(B758="","",'入力・概要'!$E$9*(W758*X758-V758*Y758)/(X758^2+Y758^2)+C758*'入力・概要'!$B$37*1E-9)</f>
        <v/>
      </c>
      <c r="AB758" s="195">
        <f>IF(B758="","",SQRT(Z758^2+AA758^2))</f>
        <v/>
      </c>
      <c r="AC758" s="195">
        <f>IF(B758="","",IF(Z758&gt;0,DEGREES(ATAN(AA758/Z758)),IF(Z758&lt;0,IF(AA758&gt;=0,DEGREES(ATAN(AA758/Z758))+180,DEGREES(ATAN(AA758/Z758))-180),IF(AA758&gt;0,90,IF(AA758&lt;0,-90,0)))))</f>
        <v/>
      </c>
      <c r="AD758" s="195">
        <f>IF(B758="","",LOG10(B758))</f>
        <v/>
      </c>
      <c r="AE758" s="195">
        <f>IF(AB758="","",LOG10(MAX(AB758,1E-12)))</f>
        <v/>
      </c>
      <c r="AF758" s="195">
        <f>IF(B758="","",SQRT(P758^2+Q758^2))</f>
        <v/>
      </c>
      <c r="AG758" s="195">
        <f>IF(B758="","",SQRT(R758^2+S758^2))</f>
        <v/>
      </c>
    </row>
    <row r="759">
      <c r="A759" t="n">
        <v>756</v>
      </c>
      <c r="B759" s="196">
        <f>IF(A759&lt;='入力・概要'!$B$40,10^(LOG10('入力・概要'!$B$38)+(A759-1)*(LOG10('入力・概要'!$B$39)-LOG10('入力・概要'!$B$38))/('入力・概要'!$B$40-1)),"")</f>
        <v/>
      </c>
      <c r="C759" s="195">
        <f>IF(B759="","",2*PI()*B759)</f>
        <v/>
      </c>
      <c r="D759" s="195">
        <f>IF(B759="","",ATANH(MIN(0.999999,'入力・概要'!$E$20/'入力・概要'!$E$9))+'入力・概要'!$B$20*SQRT(B759/1E6)+E759*'入力・概要'!$B$15/2)</f>
        <v/>
      </c>
      <c r="E759" s="195">
        <f>IF(B759="","",C759*('入力・概要'!$E$11*1E-9))</f>
        <v/>
      </c>
      <c r="F759" s="195">
        <f>IF(B759="","",SINH(2*D759)/(COSH(2*D759)+COS(2*E759)))</f>
        <v/>
      </c>
      <c r="G759" s="195">
        <f>IF(B759="","",SIN(2*E759)/(COSH(2*D759)+COS(2*E759)))</f>
        <v/>
      </c>
      <c r="H759" s="195">
        <f>IF(B759="","",ATANH(MIN(0.999999,'入力・概要'!$E$21/'入力・概要'!$E$15))+'入力・概要'!$B$21*SQRT(B759/1E6)+I759*'入力・概要'!$B$16/2)</f>
        <v/>
      </c>
      <c r="I759" s="195">
        <f>IF(B759="","",C759*('入力・概要'!$E$17*1E-9))</f>
        <v/>
      </c>
      <c r="J759" s="195">
        <f>IF(B759="","",SINH(2*H759)/(COSH(2*H759)+COS(2*I759)))</f>
        <v/>
      </c>
      <c r="K759" s="195">
        <f>IF(B759="","",SIN(2*I759)/(COSH(2*H759)+COS(2*I759)))</f>
        <v/>
      </c>
      <c r="L759" s="195">
        <f>IF(B759="","",'入力・概要'!$B$25)</f>
        <v/>
      </c>
      <c r="M759" s="195">
        <f>IF(B759="","",C759*'入力・概要'!$B$26*1E-9-1/(C759*'入力・概要'!$B$24*1E-6))</f>
        <v/>
      </c>
      <c r="N759" s="195">
        <f>IF(B759="","",'入力・概要'!$B$28)</f>
        <v/>
      </c>
      <c r="O759" s="195">
        <f>IF(B759="","",C759*'入力・概要'!$B$29*1E-9-1/(C759*'入力・概要'!$B$27*1E-6))</f>
        <v/>
      </c>
      <c r="P759" s="195">
        <f>IF(B759="","",((L759*N759-M759*O759)*(L759+N759)+(L759*O759+M759*N759)*(M759+O759))/((L759+N759)^2+(M759+O759)^2))</f>
        <v/>
      </c>
      <c r="Q759" s="195">
        <f>IF(B759="","",((L759*O759+M759*N759)*(L759+N759)-(L759*N759-M759*O759)*(M759+O759))/((L759+N759)^2+(M759+O759)^2))</f>
        <v/>
      </c>
      <c r="R759" s="195">
        <f>IF(B759="","",'入力・概要'!$E$15*J759)</f>
        <v/>
      </c>
      <c r="S759" s="195">
        <f>IF(B759="","",'入力・概要'!$E$15*K759)</f>
        <v/>
      </c>
      <c r="T759" s="195">
        <f>IF(B759="","",P759+R759)</f>
        <v/>
      </c>
      <c r="U759" s="195">
        <f>IF(B759="","",Q759+S759)</f>
        <v/>
      </c>
      <c r="V759" s="195">
        <f>IF(B759="","",T759+'入力・概要'!$E$9*F759)</f>
        <v/>
      </c>
      <c r="W759" s="195">
        <f>IF(B759="","",U759+'入力・概要'!$E$9*G759)</f>
        <v/>
      </c>
      <c r="X759" s="195">
        <f>IF(B759="","",'入力・概要'!$E$9+T759*F759-U759*G759)</f>
        <v/>
      </c>
      <c r="Y759" s="195">
        <f>IF(B759="","",T759*G759+U759*F759)</f>
        <v/>
      </c>
      <c r="Z759" s="195">
        <f>IF(B759="","",'入力・概要'!$E$9*(V759*X759+W759*Y759)/(X759^2+Y759^2)+'入力・概要'!$B$36)</f>
        <v/>
      </c>
      <c r="AA759" s="195">
        <f>IF(B759="","",'入力・概要'!$E$9*(W759*X759-V759*Y759)/(X759^2+Y759^2)+C759*'入力・概要'!$B$37*1E-9)</f>
        <v/>
      </c>
      <c r="AB759" s="195">
        <f>IF(B759="","",SQRT(Z759^2+AA759^2))</f>
        <v/>
      </c>
      <c r="AC759" s="195">
        <f>IF(B759="","",IF(Z759&gt;0,DEGREES(ATAN(AA759/Z759)),IF(Z759&lt;0,IF(AA759&gt;=0,DEGREES(ATAN(AA759/Z759))+180,DEGREES(ATAN(AA759/Z759))-180),IF(AA759&gt;0,90,IF(AA759&lt;0,-90,0)))))</f>
        <v/>
      </c>
      <c r="AD759" s="195">
        <f>IF(B759="","",LOG10(B759))</f>
        <v/>
      </c>
      <c r="AE759" s="195">
        <f>IF(AB759="","",LOG10(MAX(AB759,1E-12)))</f>
        <v/>
      </c>
      <c r="AF759" s="195">
        <f>IF(B759="","",SQRT(P759^2+Q759^2))</f>
        <v/>
      </c>
      <c r="AG759" s="195">
        <f>IF(B759="","",SQRT(R759^2+S759^2))</f>
        <v/>
      </c>
    </row>
    <row r="760">
      <c r="A760" t="n">
        <v>757</v>
      </c>
      <c r="B760" s="196">
        <f>IF(A760&lt;='入力・概要'!$B$40,10^(LOG10('入力・概要'!$B$38)+(A760-1)*(LOG10('入力・概要'!$B$39)-LOG10('入力・概要'!$B$38))/('入力・概要'!$B$40-1)),"")</f>
        <v/>
      </c>
      <c r="C760" s="195">
        <f>IF(B760="","",2*PI()*B760)</f>
        <v/>
      </c>
      <c r="D760" s="195">
        <f>IF(B760="","",ATANH(MIN(0.999999,'入力・概要'!$E$20/'入力・概要'!$E$9))+'入力・概要'!$B$20*SQRT(B760/1E6)+E760*'入力・概要'!$B$15/2)</f>
        <v/>
      </c>
      <c r="E760" s="195">
        <f>IF(B760="","",C760*('入力・概要'!$E$11*1E-9))</f>
        <v/>
      </c>
      <c r="F760" s="195">
        <f>IF(B760="","",SINH(2*D760)/(COSH(2*D760)+COS(2*E760)))</f>
        <v/>
      </c>
      <c r="G760" s="195">
        <f>IF(B760="","",SIN(2*E760)/(COSH(2*D760)+COS(2*E760)))</f>
        <v/>
      </c>
      <c r="H760" s="195">
        <f>IF(B760="","",ATANH(MIN(0.999999,'入力・概要'!$E$21/'入力・概要'!$E$15))+'入力・概要'!$B$21*SQRT(B760/1E6)+I760*'入力・概要'!$B$16/2)</f>
        <v/>
      </c>
      <c r="I760" s="195">
        <f>IF(B760="","",C760*('入力・概要'!$E$17*1E-9))</f>
        <v/>
      </c>
      <c r="J760" s="195">
        <f>IF(B760="","",SINH(2*H760)/(COSH(2*H760)+COS(2*I760)))</f>
        <v/>
      </c>
      <c r="K760" s="195">
        <f>IF(B760="","",SIN(2*I760)/(COSH(2*H760)+COS(2*I760)))</f>
        <v/>
      </c>
      <c r="L760" s="195">
        <f>IF(B760="","",'入力・概要'!$B$25)</f>
        <v/>
      </c>
      <c r="M760" s="195">
        <f>IF(B760="","",C760*'入力・概要'!$B$26*1E-9-1/(C760*'入力・概要'!$B$24*1E-6))</f>
        <v/>
      </c>
      <c r="N760" s="195">
        <f>IF(B760="","",'入力・概要'!$B$28)</f>
        <v/>
      </c>
      <c r="O760" s="195">
        <f>IF(B760="","",C760*'入力・概要'!$B$29*1E-9-1/(C760*'入力・概要'!$B$27*1E-6))</f>
        <v/>
      </c>
      <c r="P760" s="195">
        <f>IF(B760="","",((L760*N760-M760*O760)*(L760+N760)+(L760*O760+M760*N760)*(M760+O760))/((L760+N760)^2+(M760+O760)^2))</f>
        <v/>
      </c>
      <c r="Q760" s="195">
        <f>IF(B760="","",((L760*O760+M760*N760)*(L760+N760)-(L760*N760-M760*O760)*(M760+O760))/((L760+N760)^2+(M760+O760)^2))</f>
        <v/>
      </c>
      <c r="R760" s="195">
        <f>IF(B760="","",'入力・概要'!$E$15*J760)</f>
        <v/>
      </c>
      <c r="S760" s="195">
        <f>IF(B760="","",'入力・概要'!$E$15*K760)</f>
        <v/>
      </c>
      <c r="T760" s="195">
        <f>IF(B760="","",P760+R760)</f>
        <v/>
      </c>
      <c r="U760" s="195">
        <f>IF(B760="","",Q760+S760)</f>
        <v/>
      </c>
      <c r="V760" s="195">
        <f>IF(B760="","",T760+'入力・概要'!$E$9*F760)</f>
        <v/>
      </c>
      <c r="W760" s="195">
        <f>IF(B760="","",U760+'入力・概要'!$E$9*G760)</f>
        <v/>
      </c>
      <c r="X760" s="195">
        <f>IF(B760="","",'入力・概要'!$E$9+T760*F760-U760*G760)</f>
        <v/>
      </c>
      <c r="Y760" s="195">
        <f>IF(B760="","",T760*G760+U760*F760)</f>
        <v/>
      </c>
      <c r="Z760" s="195">
        <f>IF(B760="","",'入力・概要'!$E$9*(V760*X760+W760*Y760)/(X760^2+Y760^2)+'入力・概要'!$B$36)</f>
        <v/>
      </c>
      <c r="AA760" s="195">
        <f>IF(B760="","",'入力・概要'!$E$9*(W760*X760-V760*Y760)/(X760^2+Y760^2)+C760*'入力・概要'!$B$37*1E-9)</f>
        <v/>
      </c>
      <c r="AB760" s="195">
        <f>IF(B760="","",SQRT(Z760^2+AA760^2))</f>
        <v/>
      </c>
      <c r="AC760" s="195">
        <f>IF(B760="","",IF(Z760&gt;0,DEGREES(ATAN(AA760/Z760)),IF(Z760&lt;0,IF(AA760&gt;=0,DEGREES(ATAN(AA760/Z760))+180,DEGREES(ATAN(AA760/Z760))-180),IF(AA760&gt;0,90,IF(AA760&lt;0,-90,0)))))</f>
        <v/>
      </c>
      <c r="AD760" s="195">
        <f>IF(B760="","",LOG10(B760))</f>
        <v/>
      </c>
      <c r="AE760" s="195">
        <f>IF(AB760="","",LOG10(MAX(AB760,1E-12)))</f>
        <v/>
      </c>
      <c r="AF760" s="195">
        <f>IF(B760="","",SQRT(P760^2+Q760^2))</f>
        <v/>
      </c>
      <c r="AG760" s="195">
        <f>IF(B760="","",SQRT(R760^2+S760^2))</f>
        <v/>
      </c>
    </row>
    <row r="761">
      <c r="A761" t="n">
        <v>758</v>
      </c>
      <c r="B761" s="196">
        <f>IF(A761&lt;='入力・概要'!$B$40,10^(LOG10('入力・概要'!$B$38)+(A761-1)*(LOG10('入力・概要'!$B$39)-LOG10('入力・概要'!$B$38))/('入力・概要'!$B$40-1)),"")</f>
        <v/>
      </c>
      <c r="C761" s="195">
        <f>IF(B761="","",2*PI()*B761)</f>
        <v/>
      </c>
      <c r="D761" s="195">
        <f>IF(B761="","",ATANH(MIN(0.999999,'入力・概要'!$E$20/'入力・概要'!$E$9))+'入力・概要'!$B$20*SQRT(B761/1E6)+E761*'入力・概要'!$B$15/2)</f>
        <v/>
      </c>
      <c r="E761" s="195">
        <f>IF(B761="","",C761*('入力・概要'!$E$11*1E-9))</f>
        <v/>
      </c>
      <c r="F761" s="195">
        <f>IF(B761="","",SINH(2*D761)/(COSH(2*D761)+COS(2*E761)))</f>
        <v/>
      </c>
      <c r="G761" s="195">
        <f>IF(B761="","",SIN(2*E761)/(COSH(2*D761)+COS(2*E761)))</f>
        <v/>
      </c>
      <c r="H761" s="195">
        <f>IF(B761="","",ATANH(MIN(0.999999,'入力・概要'!$E$21/'入力・概要'!$E$15))+'入力・概要'!$B$21*SQRT(B761/1E6)+I761*'入力・概要'!$B$16/2)</f>
        <v/>
      </c>
      <c r="I761" s="195">
        <f>IF(B761="","",C761*('入力・概要'!$E$17*1E-9))</f>
        <v/>
      </c>
      <c r="J761" s="195">
        <f>IF(B761="","",SINH(2*H761)/(COSH(2*H761)+COS(2*I761)))</f>
        <v/>
      </c>
      <c r="K761" s="195">
        <f>IF(B761="","",SIN(2*I761)/(COSH(2*H761)+COS(2*I761)))</f>
        <v/>
      </c>
      <c r="L761" s="195">
        <f>IF(B761="","",'入力・概要'!$B$25)</f>
        <v/>
      </c>
      <c r="M761" s="195">
        <f>IF(B761="","",C761*'入力・概要'!$B$26*1E-9-1/(C761*'入力・概要'!$B$24*1E-6))</f>
        <v/>
      </c>
      <c r="N761" s="195">
        <f>IF(B761="","",'入力・概要'!$B$28)</f>
        <v/>
      </c>
      <c r="O761" s="195">
        <f>IF(B761="","",C761*'入力・概要'!$B$29*1E-9-1/(C761*'入力・概要'!$B$27*1E-6))</f>
        <v/>
      </c>
      <c r="P761" s="195">
        <f>IF(B761="","",((L761*N761-M761*O761)*(L761+N761)+(L761*O761+M761*N761)*(M761+O761))/((L761+N761)^2+(M761+O761)^2))</f>
        <v/>
      </c>
      <c r="Q761" s="195">
        <f>IF(B761="","",((L761*O761+M761*N761)*(L761+N761)-(L761*N761-M761*O761)*(M761+O761))/((L761+N761)^2+(M761+O761)^2))</f>
        <v/>
      </c>
      <c r="R761" s="195">
        <f>IF(B761="","",'入力・概要'!$E$15*J761)</f>
        <v/>
      </c>
      <c r="S761" s="195">
        <f>IF(B761="","",'入力・概要'!$E$15*K761)</f>
        <v/>
      </c>
      <c r="T761" s="195">
        <f>IF(B761="","",P761+R761)</f>
        <v/>
      </c>
      <c r="U761" s="195">
        <f>IF(B761="","",Q761+S761)</f>
        <v/>
      </c>
      <c r="V761" s="195">
        <f>IF(B761="","",T761+'入力・概要'!$E$9*F761)</f>
        <v/>
      </c>
      <c r="W761" s="195">
        <f>IF(B761="","",U761+'入力・概要'!$E$9*G761)</f>
        <v/>
      </c>
      <c r="X761" s="195">
        <f>IF(B761="","",'入力・概要'!$E$9+T761*F761-U761*G761)</f>
        <v/>
      </c>
      <c r="Y761" s="195">
        <f>IF(B761="","",T761*G761+U761*F761)</f>
        <v/>
      </c>
      <c r="Z761" s="195">
        <f>IF(B761="","",'入力・概要'!$E$9*(V761*X761+W761*Y761)/(X761^2+Y761^2)+'入力・概要'!$B$36)</f>
        <v/>
      </c>
      <c r="AA761" s="195">
        <f>IF(B761="","",'入力・概要'!$E$9*(W761*X761-V761*Y761)/(X761^2+Y761^2)+C761*'入力・概要'!$B$37*1E-9)</f>
        <v/>
      </c>
      <c r="AB761" s="195">
        <f>IF(B761="","",SQRT(Z761^2+AA761^2))</f>
        <v/>
      </c>
      <c r="AC761" s="195">
        <f>IF(B761="","",IF(Z761&gt;0,DEGREES(ATAN(AA761/Z761)),IF(Z761&lt;0,IF(AA761&gt;=0,DEGREES(ATAN(AA761/Z761))+180,DEGREES(ATAN(AA761/Z761))-180),IF(AA761&gt;0,90,IF(AA761&lt;0,-90,0)))))</f>
        <v/>
      </c>
      <c r="AD761" s="195">
        <f>IF(B761="","",LOG10(B761))</f>
        <v/>
      </c>
      <c r="AE761" s="195">
        <f>IF(AB761="","",LOG10(MAX(AB761,1E-12)))</f>
        <v/>
      </c>
      <c r="AF761" s="195">
        <f>IF(B761="","",SQRT(P761^2+Q761^2))</f>
        <v/>
      </c>
      <c r="AG761" s="195">
        <f>IF(B761="","",SQRT(R761^2+S761^2))</f>
        <v/>
      </c>
    </row>
    <row r="762">
      <c r="A762" t="n">
        <v>759</v>
      </c>
      <c r="B762" s="196">
        <f>IF(A762&lt;='入力・概要'!$B$40,10^(LOG10('入力・概要'!$B$38)+(A762-1)*(LOG10('入力・概要'!$B$39)-LOG10('入力・概要'!$B$38))/('入力・概要'!$B$40-1)),"")</f>
        <v/>
      </c>
      <c r="C762" s="195">
        <f>IF(B762="","",2*PI()*B762)</f>
        <v/>
      </c>
      <c r="D762" s="195">
        <f>IF(B762="","",ATANH(MIN(0.999999,'入力・概要'!$E$20/'入力・概要'!$E$9))+'入力・概要'!$B$20*SQRT(B762/1E6)+E762*'入力・概要'!$B$15/2)</f>
        <v/>
      </c>
      <c r="E762" s="195">
        <f>IF(B762="","",C762*('入力・概要'!$E$11*1E-9))</f>
        <v/>
      </c>
      <c r="F762" s="195">
        <f>IF(B762="","",SINH(2*D762)/(COSH(2*D762)+COS(2*E762)))</f>
        <v/>
      </c>
      <c r="G762" s="195">
        <f>IF(B762="","",SIN(2*E762)/(COSH(2*D762)+COS(2*E762)))</f>
        <v/>
      </c>
      <c r="H762" s="195">
        <f>IF(B762="","",ATANH(MIN(0.999999,'入力・概要'!$E$21/'入力・概要'!$E$15))+'入力・概要'!$B$21*SQRT(B762/1E6)+I762*'入力・概要'!$B$16/2)</f>
        <v/>
      </c>
      <c r="I762" s="195">
        <f>IF(B762="","",C762*('入力・概要'!$E$17*1E-9))</f>
        <v/>
      </c>
      <c r="J762" s="195">
        <f>IF(B762="","",SINH(2*H762)/(COSH(2*H762)+COS(2*I762)))</f>
        <v/>
      </c>
      <c r="K762" s="195">
        <f>IF(B762="","",SIN(2*I762)/(COSH(2*H762)+COS(2*I762)))</f>
        <v/>
      </c>
      <c r="L762" s="195">
        <f>IF(B762="","",'入力・概要'!$B$25)</f>
        <v/>
      </c>
      <c r="M762" s="195">
        <f>IF(B762="","",C762*'入力・概要'!$B$26*1E-9-1/(C762*'入力・概要'!$B$24*1E-6))</f>
        <v/>
      </c>
      <c r="N762" s="195">
        <f>IF(B762="","",'入力・概要'!$B$28)</f>
        <v/>
      </c>
      <c r="O762" s="195">
        <f>IF(B762="","",C762*'入力・概要'!$B$29*1E-9-1/(C762*'入力・概要'!$B$27*1E-6))</f>
        <v/>
      </c>
      <c r="P762" s="195">
        <f>IF(B762="","",((L762*N762-M762*O762)*(L762+N762)+(L762*O762+M762*N762)*(M762+O762))/((L762+N762)^2+(M762+O762)^2))</f>
        <v/>
      </c>
      <c r="Q762" s="195">
        <f>IF(B762="","",((L762*O762+M762*N762)*(L762+N762)-(L762*N762-M762*O762)*(M762+O762))/((L762+N762)^2+(M762+O762)^2))</f>
        <v/>
      </c>
      <c r="R762" s="195">
        <f>IF(B762="","",'入力・概要'!$E$15*J762)</f>
        <v/>
      </c>
      <c r="S762" s="195">
        <f>IF(B762="","",'入力・概要'!$E$15*K762)</f>
        <v/>
      </c>
      <c r="T762" s="195">
        <f>IF(B762="","",P762+R762)</f>
        <v/>
      </c>
      <c r="U762" s="195">
        <f>IF(B762="","",Q762+S762)</f>
        <v/>
      </c>
      <c r="V762" s="195">
        <f>IF(B762="","",T762+'入力・概要'!$E$9*F762)</f>
        <v/>
      </c>
      <c r="W762" s="195">
        <f>IF(B762="","",U762+'入力・概要'!$E$9*G762)</f>
        <v/>
      </c>
      <c r="X762" s="195">
        <f>IF(B762="","",'入力・概要'!$E$9+T762*F762-U762*G762)</f>
        <v/>
      </c>
      <c r="Y762" s="195">
        <f>IF(B762="","",T762*G762+U762*F762)</f>
        <v/>
      </c>
      <c r="Z762" s="195">
        <f>IF(B762="","",'入力・概要'!$E$9*(V762*X762+W762*Y762)/(X762^2+Y762^2)+'入力・概要'!$B$36)</f>
        <v/>
      </c>
      <c r="AA762" s="195">
        <f>IF(B762="","",'入力・概要'!$E$9*(W762*X762-V762*Y762)/(X762^2+Y762^2)+C762*'入力・概要'!$B$37*1E-9)</f>
        <v/>
      </c>
      <c r="AB762" s="195">
        <f>IF(B762="","",SQRT(Z762^2+AA762^2))</f>
        <v/>
      </c>
      <c r="AC762" s="195">
        <f>IF(B762="","",IF(Z762&gt;0,DEGREES(ATAN(AA762/Z762)),IF(Z762&lt;0,IF(AA762&gt;=0,DEGREES(ATAN(AA762/Z762))+180,DEGREES(ATAN(AA762/Z762))-180),IF(AA762&gt;0,90,IF(AA762&lt;0,-90,0)))))</f>
        <v/>
      </c>
      <c r="AD762" s="195">
        <f>IF(B762="","",LOG10(B762))</f>
        <v/>
      </c>
      <c r="AE762" s="195">
        <f>IF(AB762="","",LOG10(MAX(AB762,1E-12)))</f>
        <v/>
      </c>
      <c r="AF762" s="195">
        <f>IF(B762="","",SQRT(P762^2+Q762^2))</f>
        <v/>
      </c>
      <c r="AG762" s="195">
        <f>IF(B762="","",SQRT(R762^2+S762^2))</f>
        <v/>
      </c>
    </row>
    <row r="763">
      <c r="A763" t="n">
        <v>760</v>
      </c>
      <c r="B763" s="196">
        <f>IF(A763&lt;='入力・概要'!$B$40,10^(LOG10('入力・概要'!$B$38)+(A763-1)*(LOG10('入力・概要'!$B$39)-LOG10('入力・概要'!$B$38))/('入力・概要'!$B$40-1)),"")</f>
        <v/>
      </c>
      <c r="C763" s="195">
        <f>IF(B763="","",2*PI()*B763)</f>
        <v/>
      </c>
      <c r="D763" s="195">
        <f>IF(B763="","",ATANH(MIN(0.999999,'入力・概要'!$E$20/'入力・概要'!$E$9))+'入力・概要'!$B$20*SQRT(B763/1E6)+E763*'入力・概要'!$B$15/2)</f>
        <v/>
      </c>
      <c r="E763" s="195">
        <f>IF(B763="","",C763*('入力・概要'!$E$11*1E-9))</f>
        <v/>
      </c>
      <c r="F763" s="195">
        <f>IF(B763="","",SINH(2*D763)/(COSH(2*D763)+COS(2*E763)))</f>
        <v/>
      </c>
      <c r="G763" s="195">
        <f>IF(B763="","",SIN(2*E763)/(COSH(2*D763)+COS(2*E763)))</f>
        <v/>
      </c>
      <c r="H763" s="195">
        <f>IF(B763="","",ATANH(MIN(0.999999,'入力・概要'!$E$21/'入力・概要'!$E$15))+'入力・概要'!$B$21*SQRT(B763/1E6)+I763*'入力・概要'!$B$16/2)</f>
        <v/>
      </c>
      <c r="I763" s="195">
        <f>IF(B763="","",C763*('入力・概要'!$E$17*1E-9))</f>
        <v/>
      </c>
      <c r="J763" s="195">
        <f>IF(B763="","",SINH(2*H763)/(COSH(2*H763)+COS(2*I763)))</f>
        <v/>
      </c>
      <c r="K763" s="195">
        <f>IF(B763="","",SIN(2*I763)/(COSH(2*H763)+COS(2*I763)))</f>
        <v/>
      </c>
      <c r="L763" s="195">
        <f>IF(B763="","",'入力・概要'!$B$25)</f>
        <v/>
      </c>
      <c r="M763" s="195">
        <f>IF(B763="","",C763*'入力・概要'!$B$26*1E-9-1/(C763*'入力・概要'!$B$24*1E-6))</f>
        <v/>
      </c>
      <c r="N763" s="195">
        <f>IF(B763="","",'入力・概要'!$B$28)</f>
        <v/>
      </c>
      <c r="O763" s="195">
        <f>IF(B763="","",C763*'入力・概要'!$B$29*1E-9-1/(C763*'入力・概要'!$B$27*1E-6))</f>
        <v/>
      </c>
      <c r="P763" s="195">
        <f>IF(B763="","",((L763*N763-M763*O763)*(L763+N763)+(L763*O763+M763*N763)*(M763+O763))/((L763+N763)^2+(M763+O763)^2))</f>
        <v/>
      </c>
      <c r="Q763" s="195">
        <f>IF(B763="","",((L763*O763+M763*N763)*(L763+N763)-(L763*N763-M763*O763)*(M763+O763))/((L763+N763)^2+(M763+O763)^2))</f>
        <v/>
      </c>
      <c r="R763" s="195">
        <f>IF(B763="","",'入力・概要'!$E$15*J763)</f>
        <v/>
      </c>
      <c r="S763" s="195">
        <f>IF(B763="","",'入力・概要'!$E$15*K763)</f>
        <v/>
      </c>
      <c r="T763" s="195">
        <f>IF(B763="","",P763+R763)</f>
        <v/>
      </c>
      <c r="U763" s="195">
        <f>IF(B763="","",Q763+S763)</f>
        <v/>
      </c>
      <c r="V763" s="195">
        <f>IF(B763="","",T763+'入力・概要'!$E$9*F763)</f>
        <v/>
      </c>
      <c r="W763" s="195">
        <f>IF(B763="","",U763+'入力・概要'!$E$9*G763)</f>
        <v/>
      </c>
      <c r="X763" s="195">
        <f>IF(B763="","",'入力・概要'!$E$9+T763*F763-U763*G763)</f>
        <v/>
      </c>
      <c r="Y763" s="195">
        <f>IF(B763="","",T763*G763+U763*F763)</f>
        <v/>
      </c>
      <c r="Z763" s="195">
        <f>IF(B763="","",'入力・概要'!$E$9*(V763*X763+W763*Y763)/(X763^2+Y763^2)+'入力・概要'!$B$36)</f>
        <v/>
      </c>
      <c r="AA763" s="195">
        <f>IF(B763="","",'入力・概要'!$E$9*(W763*X763-V763*Y763)/(X763^2+Y763^2)+C763*'入力・概要'!$B$37*1E-9)</f>
        <v/>
      </c>
      <c r="AB763" s="195">
        <f>IF(B763="","",SQRT(Z763^2+AA763^2))</f>
        <v/>
      </c>
      <c r="AC763" s="195">
        <f>IF(B763="","",IF(Z763&gt;0,DEGREES(ATAN(AA763/Z763)),IF(Z763&lt;0,IF(AA763&gt;=0,DEGREES(ATAN(AA763/Z763))+180,DEGREES(ATAN(AA763/Z763))-180),IF(AA763&gt;0,90,IF(AA763&lt;0,-90,0)))))</f>
        <v/>
      </c>
      <c r="AD763" s="195">
        <f>IF(B763="","",LOG10(B763))</f>
        <v/>
      </c>
      <c r="AE763" s="195">
        <f>IF(AB763="","",LOG10(MAX(AB763,1E-12)))</f>
        <v/>
      </c>
      <c r="AF763" s="195">
        <f>IF(B763="","",SQRT(P763^2+Q763^2))</f>
        <v/>
      </c>
      <c r="AG763" s="195">
        <f>IF(B763="","",SQRT(R763^2+S763^2))</f>
        <v/>
      </c>
    </row>
    <row r="764">
      <c r="A764" t="n">
        <v>761</v>
      </c>
      <c r="B764" s="196">
        <f>IF(A764&lt;='入力・概要'!$B$40,10^(LOG10('入力・概要'!$B$38)+(A764-1)*(LOG10('入力・概要'!$B$39)-LOG10('入力・概要'!$B$38))/('入力・概要'!$B$40-1)),"")</f>
        <v/>
      </c>
      <c r="C764" s="195">
        <f>IF(B764="","",2*PI()*B764)</f>
        <v/>
      </c>
      <c r="D764" s="195">
        <f>IF(B764="","",ATANH(MIN(0.999999,'入力・概要'!$E$20/'入力・概要'!$E$9))+'入力・概要'!$B$20*SQRT(B764/1E6)+E764*'入力・概要'!$B$15/2)</f>
        <v/>
      </c>
      <c r="E764" s="195">
        <f>IF(B764="","",C764*('入力・概要'!$E$11*1E-9))</f>
        <v/>
      </c>
      <c r="F764" s="195">
        <f>IF(B764="","",SINH(2*D764)/(COSH(2*D764)+COS(2*E764)))</f>
        <v/>
      </c>
      <c r="G764" s="195">
        <f>IF(B764="","",SIN(2*E764)/(COSH(2*D764)+COS(2*E764)))</f>
        <v/>
      </c>
      <c r="H764" s="195">
        <f>IF(B764="","",ATANH(MIN(0.999999,'入力・概要'!$E$21/'入力・概要'!$E$15))+'入力・概要'!$B$21*SQRT(B764/1E6)+I764*'入力・概要'!$B$16/2)</f>
        <v/>
      </c>
      <c r="I764" s="195">
        <f>IF(B764="","",C764*('入力・概要'!$E$17*1E-9))</f>
        <v/>
      </c>
      <c r="J764" s="195">
        <f>IF(B764="","",SINH(2*H764)/(COSH(2*H764)+COS(2*I764)))</f>
        <v/>
      </c>
      <c r="K764" s="195">
        <f>IF(B764="","",SIN(2*I764)/(COSH(2*H764)+COS(2*I764)))</f>
        <v/>
      </c>
      <c r="L764" s="195">
        <f>IF(B764="","",'入力・概要'!$B$25)</f>
        <v/>
      </c>
      <c r="M764" s="195">
        <f>IF(B764="","",C764*'入力・概要'!$B$26*1E-9-1/(C764*'入力・概要'!$B$24*1E-6))</f>
        <v/>
      </c>
      <c r="N764" s="195">
        <f>IF(B764="","",'入力・概要'!$B$28)</f>
        <v/>
      </c>
      <c r="O764" s="195">
        <f>IF(B764="","",C764*'入力・概要'!$B$29*1E-9-1/(C764*'入力・概要'!$B$27*1E-6))</f>
        <v/>
      </c>
      <c r="P764" s="195">
        <f>IF(B764="","",((L764*N764-M764*O764)*(L764+N764)+(L764*O764+M764*N764)*(M764+O764))/((L764+N764)^2+(M764+O764)^2))</f>
        <v/>
      </c>
      <c r="Q764" s="195">
        <f>IF(B764="","",((L764*O764+M764*N764)*(L764+N764)-(L764*N764-M764*O764)*(M764+O764))/((L764+N764)^2+(M764+O764)^2))</f>
        <v/>
      </c>
      <c r="R764" s="195">
        <f>IF(B764="","",'入力・概要'!$E$15*J764)</f>
        <v/>
      </c>
      <c r="S764" s="195">
        <f>IF(B764="","",'入力・概要'!$E$15*K764)</f>
        <v/>
      </c>
      <c r="T764" s="195">
        <f>IF(B764="","",P764+R764)</f>
        <v/>
      </c>
      <c r="U764" s="195">
        <f>IF(B764="","",Q764+S764)</f>
        <v/>
      </c>
      <c r="V764" s="195">
        <f>IF(B764="","",T764+'入力・概要'!$E$9*F764)</f>
        <v/>
      </c>
      <c r="W764" s="195">
        <f>IF(B764="","",U764+'入力・概要'!$E$9*G764)</f>
        <v/>
      </c>
      <c r="X764" s="195">
        <f>IF(B764="","",'入力・概要'!$E$9+T764*F764-U764*G764)</f>
        <v/>
      </c>
      <c r="Y764" s="195">
        <f>IF(B764="","",T764*G764+U764*F764)</f>
        <v/>
      </c>
      <c r="Z764" s="195">
        <f>IF(B764="","",'入力・概要'!$E$9*(V764*X764+W764*Y764)/(X764^2+Y764^2)+'入力・概要'!$B$36)</f>
        <v/>
      </c>
      <c r="AA764" s="195">
        <f>IF(B764="","",'入力・概要'!$E$9*(W764*X764-V764*Y764)/(X764^2+Y764^2)+C764*'入力・概要'!$B$37*1E-9)</f>
        <v/>
      </c>
      <c r="AB764" s="195">
        <f>IF(B764="","",SQRT(Z764^2+AA764^2))</f>
        <v/>
      </c>
      <c r="AC764" s="195">
        <f>IF(B764="","",IF(Z764&gt;0,DEGREES(ATAN(AA764/Z764)),IF(Z764&lt;0,IF(AA764&gt;=0,DEGREES(ATAN(AA764/Z764))+180,DEGREES(ATAN(AA764/Z764))-180),IF(AA764&gt;0,90,IF(AA764&lt;0,-90,0)))))</f>
        <v/>
      </c>
      <c r="AD764" s="195">
        <f>IF(B764="","",LOG10(B764))</f>
        <v/>
      </c>
      <c r="AE764" s="195">
        <f>IF(AB764="","",LOG10(MAX(AB764,1E-12)))</f>
        <v/>
      </c>
      <c r="AF764" s="195">
        <f>IF(B764="","",SQRT(P764^2+Q764^2))</f>
        <v/>
      </c>
      <c r="AG764" s="195">
        <f>IF(B764="","",SQRT(R764^2+S764^2))</f>
        <v/>
      </c>
    </row>
    <row r="765">
      <c r="A765" t="n">
        <v>762</v>
      </c>
      <c r="B765" s="196">
        <f>IF(A765&lt;='入力・概要'!$B$40,10^(LOG10('入力・概要'!$B$38)+(A765-1)*(LOG10('入力・概要'!$B$39)-LOG10('入力・概要'!$B$38))/('入力・概要'!$B$40-1)),"")</f>
        <v/>
      </c>
      <c r="C765" s="195">
        <f>IF(B765="","",2*PI()*B765)</f>
        <v/>
      </c>
      <c r="D765" s="195">
        <f>IF(B765="","",ATANH(MIN(0.999999,'入力・概要'!$E$20/'入力・概要'!$E$9))+'入力・概要'!$B$20*SQRT(B765/1E6)+E765*'入力・概要'!$B$15/2)</f>
        <v/>
      </c>
      <c r="E765" s="195">
        <f>IF(B765="","",C765*('入力・概要'!$E$11*1E-9))</f>
        <v/>
      </c>
      <c r="F765" s="195">
        <f>IF(B765="","",SINH(2*D765)/(COSH(2*D765)+COS(2*E765)))</f>
        <v/>
      </c>
      <c r="G765" s="195">
        <f>IF(B765="","",SIN(2*E765)/(COSH(2*D765)+COS(2*E765)))</f>
        <v/>
      </c>
      <c r="H765" s="195">
        <f>IF(B765="","",ATANH(MIN(0.999999,'入力・概要'!$E$21/'入力・概要'!$E$15))+'入力・概要'!$B$21*SQRT(B765/1E6)+I765*'入力・概要'!$B$16/2)</f>
        <v/>
      </c>
      <c r="I765" s="195">
        <f>IF(B765="","",C765*('入力・概要'!$E$17*1E-9))</f>
        <v/>
      </c>
      <c r="J765" s="195">
        <f>IF(B765="","",SINH(2*H765)/(COSH(2*H765)+COS(2*I765)))</f>
        <v/>
      </c>
      <c r="K765" s="195">
        <f>IF(B765="","",SIN(2*I765)/(COSH(2*H765)+COS(2*I765)))</f>
        <v/>
      </c>
      <c r="L765" s="195">
        <f>IF(B765="","",'入力・概要'!$B$25)</f>
        <v/>
      </c>
      <c r="M765" s="195">
        <f>IF(B765="","",C765*'入力・概要'!$B$26*1E-9-1/(C765*'入力・概要'!$B$24*1E-6))</f>
        <v/>
      </c>
      <c r="N765" s="195">
        <f>IF(B765="","",'入力・概要'!$B$28)</f>
        <v/>
      </c>
      <c r="O765" s="195">
        <f>IF(B765="","",C765*'入力・概要'!$B$29*1E-9-1/(C765*'入力・概要'!$B$27*1E-6))</f>
        <v/>
      </c>
      <c r="P765" s="195">
        <f>IF(B765="","",((L765*N765-M765*O765)*(L765+N765)+(L765*O765+M765*N765)*(M765+O765))/((L765+N765)^2+(M765+O765)^2))</f>
        <v/>
      </c>
      <c r="Q765" s="195">
        <f>IF(B765="","",((L765*O765+M765*N765)*(L765+N765)-(L765*N765-M765*O765)*(M765+O765))/((L765+N765)^2+(M765+O765)^2))</f>
        <v/>
      </c>
      <c r="R765" s="195">
        <f>IF(B765="","",'入力・概要'!$E$15*J765)</f>
        <v/>
      </c>
      <c r="S765" s="195">
        <f>IF(B765="","",'入力・概要'!$E$15*K765)</f>
        <v/>
      </c>
      <c r="T765" s="195">
        <f>IF(B765="","",P765+R765)</f>
        <v/>
      </c>
      <c r="U765" s="195">
        <f>IF(B765="","",Q765+S765)</f>
        <v/>
      </c>
      <c r="V765" s="195">
        <f>IF(B765="","",T765+'入力・概要'!$E$9*F765)</f>
        <v/>
      </c>
      <c r="W765" s="195">
        <f>IF(B765="","",U765+'入力・概要'!$E$9*G765)</f>
        <v/>
      </c>
      <c r="X765" s="195">
        <f>IF(B765="","",'入力・概要'!$E$9+T765*F765-U765*G765)</f>
        <v/>
      </c>
      <c r="Y765" s="195">
        <f>IF(B765="","",T765*G765+U765*F765)</f>
        <v/>
      </c>
      <c r="Z765" s="195">
        <f>IF(B765="","",'入力・概要'!$E$9*(V765*X765+W765*Y765)/(X765^2+Y765^2)+'入力・概要'!$B$36)</f>
        <v/>
      </c>
      <c r="AA765" s="195">
        <f>IF(B765="","",'入力・概要'!$E$9*(W765*X765-V765*Y765)/(X765^2+Y765^2)+C765*'入力・概要'!$B$37*1E-9)</f>
        <v/>
      </c>
      <c r="AB765" s="195">
        <f>IF(B765="","",SQRT(Z765^2+AA765^2))</f>
        <v/>
      </c>
      <c r="AC765" s="195">
        <f>IF(B765="","",IF(Z765&gt;0,DEGREES(ATAN(AA765/Z765)),IF(Z765&lt;0,IF(AA765&gt;=0,DEGREES(ATAN(AA765/Z765))+180,DEGREES(ATAN(AA765/Z765))-180),IF(AA765&gt;0,90,IF(AA765&lt;0,-90,0)))))</f>
        <v/>
      </c>
      <c r="AD765" s="195">
        <f>IF(B765="","",LOG10(B765))</f>
        <v/>
      </c>
      <c r="AE765" s="195">
        <f>IF(AB765="","",LOG10(MAX(AB765,1E-12)))</f>
        <v/>
      </c>
      <c r="AF765" s="195">
        <f>IF(B765="","",SQRT(P765^2+Q765^2))</f>
        <v/>
      </c>
      <c r="AG765" s="195">
        <f>IF(B765="","",SQRT(R765^2+S765^2))</f>
        <v/>
      </c>
    </row>
    <row r="766">
      <c r="A766" t="n">
        <v>763</v>
      </c>
      <c r="B766" s="196">
        <f>IF(A766&lt;='入力・概要'!$B$40,10^(LOG10('入力・概要'!$B$38)+(A766-1)*(LOG10('入力・概要'!$B$39)-LOG10('入力・概要'!$B$38))/('入力・概要'!$B$40-1)),"")</f>
        <v/>
      </c>
      <c r="C766" s="195">
        <f>IF(B766="","",2*PI()*B766)</f>
        <v/>
      </c>
      <c r="D766" s="195">
        <f>IF(B766="","",ATANH(MIN(0.999999,'入力・概要'!$E$20/'入力・概要'!$E$9))+'入力・概要'!$B$20*SQRT(B766/1E6)+E766*'入力・概要'!$B$15/2)</f>
        <v/>
      </c>
      <c r="E766" s="195">
        <f>IF(B766="","",C766*('入力・概要'!$E$11*1E-9))</f>
        <v/>
      </c>
      <c r="F766" s="195">
        <f>IF(B766="","",SINH(2*D766)/(COSH(2*D766)+COS(2*E766)))</f>
        <v/>
      </c>
      <c r="G766" s="195">
        <f>IF(B766="","",SIN(2*E766)/(COSH(2*D766)+COS(2*E766)))</f>
        <v/>
      </c>
      <c r="H766" s="195">
        <f>IF(B766="","",ATANH(MIN(0.999999,'入力・概要'!$E$21/'入力・概要'!$E$15))+'入力・概要'!$B$21*SQRT(B766/1E6)+I766*'入力・概要'!$B$16/2)</f>
        <v/>
      </c>
      <c r="I766" s="195">
        <f>IF(B766="","",C766*('入力・概要'!$E$17*1E-9))</f>
        <v/>
      </c>
      <c r="J766" s="195">
        <f>IF(B766="","",SINH(2*H766)/(COSH(2*H766)+COS(2*I766)))</f>
        <v/>
      </c>
      <c r="K766" s="195">
        <f>IF(B766="","",SIN(2*I766)/(COSH(2*H766)+COS(2*I766)))</f>
        <v/>
      </c>
      <c r="L766" s="195">
        <f>IF(B766="","",'入力・概要'!$B$25)</f>
        <v/>
      </c>
      <c r="M766" s="195">
        <f>IF(B766="","",C766*'入力・概要'!$B$26*1E-9-1/(C766*'入力・概要'!$B$24*1E-6))</f>
        <v/>
      </c>
      <c r="N766" s="195">
        <f>IF(B766="","",'入力・概要'!$B$28)</f>
        <v/>
      </c>
      <c r="O766" s="195">
        <f>IF(B766="","",C766*'入力・概要'!$B$29*1E-9-1/(C766*'入力・概要'!$B$27*1E-6))</f>
        <v/>
      </c>
      <c r="P766" s="195">
        <f>IF(B766="","",((L766*N766-M766*O766)*(L766+N766)+(L766*O766+M766*N766)*(M766+O766))/((L766+N766)^2+(M766+O766)^2))</f>
        <v/>
      </c>
      <c r="Q766" s="195">
        <f>IF(B766="","",((L766*O766+M766*N766)*(L766+N766)-(L766*N766-M766*O766)*(M766+O766))/((L766+N766)^2+(M766+O766)^2))</f>
        <v/>
      </c>
      <c r="R766" s="195">
        <f>IF(B766="","",'入力・概要'!$E$15*J766)</f>
        <v/>
      </c>
      <c r="S766" s="195">
        <f>IF(B766="","",'入力・概要'!$E$15*K766)</f>
        <v/>
      </c>
      <c r="T766" s="195">
        <f>IF(B766="","",P766+R766)</f>
        <v/>
      </c>
      <c r="U766" s="195">
        <f>IF(B766="","",Q766+S766)</f>
        <v/>
      </c>
      <c r="V766" s="195">
        <f>IF(B766="","",T766+'入力・概要'!$E$9*F766)</f>
        <v/>
      </c>
      <c r="W766" s="195">
        <f>IF(B766="","",U766+'入力・概要'!$E$9*G766)</f>
        <v/>
      </c>
      <c r="X766" s="195">
        <f>IF(B766="","",'入力・概要'!$E$9+T766*F766-U766*G766)</f>
        <v/>
      </c>
      <c r="Y766" s="195">
        <f>IF(B766="","",T766*G766+U766*F766)</f>
        <v/>
      </c>
      <c r="Z766" s="195">
        <f>IF(B766="","",'入力・概要'!$E$9*(V766*X766+W766*Y766)/(X766^2+Y766^2)+'入力・概要'!$B$36)</f>
        <v/>
      </c>
      <c r="AA766" s="195">
        <f>IF(B766="","",'入力・概要'!$E$9*(W766*X766-V766*Y766)/(X766^2+Y766^2)+C766*'入力・概要'!$B$37*1E-9)</f>
        <v/>
      </c>
      <c r="AB766" s="195">
        <f>IF(B766="","",SQRT(Z766^2+AA766^2))</f>
        <v/>
      </c>
      <c r="AC766" s="195">
        <f>IF(B766="","",IF(Z766&gt;0,DEGREES(ATAN(AA766/Z766)),IF(Z766&lt;0,IF(AA766&gt;=0,DEGREES(ATAN(AA766/Z766))+180,DEGREES(ATAN(AA766/Z766))-180),IF(AA766&gt;0,90,IF(AA766&lt;0,-90,0)))))</f>
        <v/>
      </c>
      <c r="AD766" s="195">
        <f>IF(B766="","",LOG10(B766))</f>
        <v/>
      </c>
      <c r="AE766" s="195">
        <f>IF(AB766="","",LOG10(MAX(AB766,1E-12)))</f>
        <v/>
      </c>
      <c r="AF766" s="195">
        <f>IF(B766="","",SQRT(P766^2+Q766^2))</f>
        <v/>
      </c>
      <c r="AG766" s="195">
        <f>IF(B766="","",SQRT(R766^2+S766^2))</f>
        <v/>
      </c>
    </row>
    <row r="767">
      <c r="A767" t="n">
        <v>764</v>
      </c>
      <c r="B767" s="196">
        <f>IF(A767&lt;='入力・概要'!$B$40,10^(LOG10('入力・概要'!$B$38)+(A767-1)*(LOG10('入力・概要'!$B$39)-LOG10('入力・概要'!$B$38))/('入力・概要'!$B$40-1)),"")</f>
        <v/>
      </c>
      <c r="C767" s="195">
        <f>IF(B767="","",2*PI()*B767)</f>
        <v/>
      </c>
      <c r="D767" s="195">
        <f>IF(B767="","",ATANH(MIN(0.999999,'入力・概要'!$E$20/'入力・概要'!$E$9))+'入力・概要'!$B$20*SQRT(B767/1E6)+E767*'入力・概要'!$B$15/2)</f>
        <v/>
      </c>
      <c r="E767" s="195">
        <f>IF(B767="","",C767*('入力・概要'!$E$11*1E-9))</f>
        <v/>
      </c>
      <c r="F767" s="195">
        <f>IF(B767="","",SINH(2*D767)/(COSH(2*D767)+COS(2*E767)))</f>
        <v/>
      </c>
      <c r="G767" s="195">
        <f>IF(B767="","",SIN(2*E767)/(COSH(2*D767)+COS(2*E767)))</f>
        <v/>
      </c>
      <c r="H767" s="195">
        <f>IF(B767="","",ATANH(MIN(0.999999,'入力・概要'!$E$21/'入力・概要'!$E$15))+'入力・概要'!$B$21*SQRT(B767/1E6)+I767*'入力・概要'!$B$16/2)</f>
        <v/>
      </c>
      <c r="I767" s="195">
        <f>IF(B767="","",C767*('入力・概要'!$E$17*1E-9))</f>
        <v/>
      </c>
      <c r="J767" s="195">
        <f>IF(B767="","",SINH(2*H767)/(COSH(2*H767)+COS(2*I767)))</f>
        <v/>
      </c>
      <c r="K767" s="195">
        <f>IF(B767="","",SIN(2*I767)/(COSH(2*H767)+COS(2*I767)))</f>
        <v/>
      </c>
      <c r="L767" s="195">
        <f>IF(B767="","",'入力・概要'!$B$25)</f>
        <v/>
      </c>
      <c r="M767" s="195">
        <f>IF(B767="","",C767*'入力・概要'!$B$26*1E-9-1/(C767*'入力・概要'!$B$24*1E-6))</f>
        <v/>
      </c>
      <c r="N767" s="195">
        <f>IF(B767="","",'入力・概要'!$B$28)</f>
        <v/>
      </c>
      <c r="O767" s="195">
        <f>IF(B767="","",C767*'入力・概要'!$B$29*1E-9-1/(C767*'入力・概要'!$B$27*1E-6))</f>
        <v/>
      </c>
      <c r="P767" s="195">
        <f>IF(B767="","",((L767*N767-M767*O767)*(L767+N767)+(L767*O767+M767*N767)*(M767+O767))/((L767+N767)^2+(M767+O767)^2))</f>
        <v/>
      </c>
      <c r="Q767" s="195">
        <f>IF(B767="","",((L767*O767+M767*N767)*(L767+N767)-(L767*N767-M767*O767)*(M767+O767))/((L767+N767)^2+(M767+O767)^2))</f>
        <v/>
      </c>
      <c r="R767" s="195">
        <f>IF(B767="","",'入力・概要'!$E$15*J767)</f>
        <v/>
      </c>
      <c r="S767" s="195">
        <f>IF(B767="","",'入力・概要'!$E$15*K767)</f>
        <v/>
      </c>
      <c r="T767" s="195">
        <f>IF(B767="","",P767+R767)</f>
        <v/>
      </c>
      <c r="U767" s="195">
        <f>IF(B767="","",Q767+S767)</f>
        <v/>
      </c>
      <c r="V767" s="195">
        <f>IF(B767="","",T767+'入力・概要'!$E$9*F767)</f>
        <v/>
      </c>
      <c r="W767" s="195">
        <f>IF(B767="","",U767+'入力・概要'!$E$9*G767)</f>
        <v/>
      </c>
      <c r="X767" s="195">
        <f>IF(B767="","",'入力・概要'!$E$9+T767*F767-U767*G767)</f>
        <v/>
      </c>
      <c r="Y767" s="195">
        <f>IF(B767="","",T767*G767+U767*F767)</f>
        <v/>
      </c>
      <c r="Z767" s="195">
        <f>IF(B767="","",'入力・概要'!$E$9*(V767*X767+W767*Y767)/(X767^2+Y767^2)+'入力・概要'!$B$36)</f>
        <v/>
      </c>
      <c r="AA767" s="195">
        <f>IF(B767="","",'入力・概要'!$E$9*(W767*X767-V767*Y767)/(X767^2+Y767^2)+C767*'入力・概要'!$B$37*1E-9)</f>
        <v/>
      </c>
      <c r="AB767" s="195">
        <f>IF(B767="","",SQRT(Z767^2+AA767^2))</f>
        <v/>
      </c>
      <c r="AC767" s="195">
        <f>IF(B767="","",IF(Z767&gt;0,DEGREES(ATAN(AA767/Z767)),IF(Z767&lt;0,IF(AA767&gt;=0,DEGREES(ATAN(AA767/Z767))+180,DEGREES(ATAN(AA767/Z767))-180),IF(AA767&gt;0,90,IF(AA767&lt;0,-90,0)))))</f>
        <v/>
      </c>
      <c r="AD767" s="195">
        <f>IF(B767="","",LOG10(B767))</f>
        <v/>
      </c>
      <c r="AE767" s="195">
        <f>IF(AB767="","",LOG10(MAX(AB767,1E-12)))</f>
        <v/>
      </c>
      <c r="AF767" s="195">
        <f>IF(B767="","",SQRT(P767^2+Q767^2))</f>
        <v/>
      </c>
      <c r="AG767" s="195">
        <f>IF(B767="","",SQRT(R767^2+S767^2))</f>
        <v/>
      </c>
    </row>
    <row r="768">
      <c r="A768" t="n">
        <v>765</v>
      </c>
      <c r="B768" s="196">
        <f>IF(A768&lt;='入力・概要'!$B$40,10^(LOG10('入力・概要'!$B$38)+(A768-1)*(LOG10('入力・概要'!$B$39)-LOG10('入力・概要'!$B$38))/('入力・概要'!$B$40-1)),"")</f>
        <v/>
      </c>
      <c r="C768" s="195">
        <f>IF(B768="","",2*PI()*B768)</f>
        <v/>
      </c>
      <c r="D768" s="195">
        <f>IF(B768="","",ATANH(MIN(0.999999,'入力・概要'!$E$20/'入力・概要'!$E$9))+'入力・概要'!$B$20*SQRT(B768/1E6)+E768*'入力・概要'!$B$15/2)</f>
        <v/>
      </c>
      <c r="E768" s="195">
        <f>IF(B768="","",C768*('入力・概要'!$E$11*1E-9))</f>
        <v/>
      </c>
      <c r="F768" s="195">
        <f>IF(B768="","",SINH(2*D768)/(COSH(2*D768)+COS(2*E768)))</f>
        <v/>
      </c>
      <c r="G768" s="195">
        <f>IF(B768="","",SIN(2*E768)/(COSH(2*D768)+COS(2*E768)))</f>
        <v/>
      </c>
      <c r="H768" s="195">
        <f>IF(B768="","",ATANH(MIN(0.999999,'入力・概要'!$E$21/'入力・概要'!$E$15))+'入力・概要'!$B$21*SQRT(B768/1E6)+I768*'入力・概要'!$B$16/2)</f>
        <v/>
      </c>
      <c r="I768" s="195">
        <f>IF(B768="","",C768*('入力・概要'!$E$17*1E-9))</f>
        <v/>
      </c>
      <c r="J768" s="195">
        <f>IF(B768="","",SINH(2*H768)/(COSH(2*H768)+COS(2*I768)))</f>
        <v/>
      </c>
      <c r="K768" s="195">
        <f>IF(B768="","",SIN(2*I768)/(COSH(2*H768)+COS(2*I768)))</f>
        <v/>
      </c>
      <c r="L768" s="195">
        <f>IF(B768="","",'入力・概要'!$B$25)</f>
        <v/>
      </c>
      <c r="M768" s="195">
        <f>IF(B768="","",C768*'入力・概要'!$B$26*1E-9-1/(C768*'入力・概要'!$B$24*1E-6))</f>
        <v/>
      </c>
      <c r="N768" s="195">
        <f>IF(B768="","",'入力・概要'!$B$28)</f>
        <v/>
      </c>
      <c r="O768" s="195">
        <f>IF(B768="","",C768*'入力・概要'!$B$29*1E-9-1/(C768*'入力・概要'!$B$27*1E-6))</f>
        <v/>
      </c>
      <c r="P768" s="195">
        <f>IF(B768="","",((L768*N768-M768*O768)*(L768+N768)+(L768*O768+M768*N768)*(M768+O768))/((L768+N768)^2+(M768+O768)^2))</f>
        <v/>
      </c>
      <c r="Q768" s="195">
        <f>IF(B768="","",((L768*O768+M768*N768)*(L768+N768)-(L768*N768-M768*O768)*(M768+O768))/((L768+N768)^2+(M768+O768)^2))</f>
        <v/>
      </c>
      <c r="R768" s="195">
        <f>IF(B768="","",'入力・概要'!$E$15*J768)</f>
        <v/>
      </c>
      <c r="S768" s="195">
        <f>IF(B768="","",'入力・概要'!$E$15*K768)</f>
        <v/>
      </c>
      <c r="T768" s="195">
        <f>IF(B768="","",P768+R768)</f>
        <v/>
      </c>
      <c r="U768" s="195">
        <f>IF(B768="","",Q768+S768)</f>
        <v/>
      </c>
      <c r="V768" s="195">
        <f>IF(B768="","",T768+'入力・概要'!$E$9*F768)</f>
        <v/>
      </c>
      <c r="W768" s="195">
        <f>IF(B768="","",U768+'入力・概要'!$E$9*G768)</f>
        <v/>
      </c>
      <c r="X768" s="195">
        <f>IF(B768="","",'入力・概要'!$E$9+T768*F768-U768*G768)</f>
        <v/>
      </c>
      <c r="Y768" s="195">
        <f>IF(B768="","",T768*G768+U768*F768)</f>
        <v/>
      </c>
      <c r="Z768" s="195">
        <f>IF(B768="","",'入力・概要'!$E$9*(V768*X768+W768*Y768)/(X768^2+Y768^2)+'入力・概要'!$B$36)</f>
        <v/>
      </c>
      <c r="AA768" s="195">
        <f>IF(B768="","",'入力・概要'!$E$9*(W768*X768-V768*Y768)/(X768^2+Y768^2)+C768*'入力・概要'!$B$37*1E-9)</f>
        <v/>
      </c>
      <c r="AB768" s="195">
        <f>IF(B768="","",SQRT(Z768^2+AA768^2))</f>
        <v/>
      </c>
      <c r="AC768" s="195">
        <f>IF(B768="","",IF(Z768&gt;0,DEGREES(ATAN(AA768/Z768)),IF(Z768&lt;0,IF(AA768&gt;=0,DEGREES(ATAN(AA768/Z768))+180,DEGREES(ATAN(AA768/Z768))-180),IF(AA768&gt;0,90,IF(AA768&lt;0,-90,0)))))</f>
        <v/>
      </c>
      <c r="AD768" s="195">
        <f>IF(B768="","",LOG10(B768))</f>
        <v/>
      </c>
      <c r="AE768" s="195">
        <f>IF(AB768="","",LOG10(MAX(AB768,1E-12)))</f>
        <v/>
      </c>
      <c r="AF768" s="195">
        <f>IF(B768="","",SQRT(P768^2+Q768^2))</f>
        <v/>
      </c>
      <c r="AG768" s="195">
        <f>IF(B768="","",SQRT(R768^2+S768^2))</f>
        <v/>
      </c>
    </row>
    <row r="769">
      <c r="A769" t="n">
        <v>766</v>
      </c>
      <c r="B769" s="196">
        <f>IF(A769&lt;='入力・概要'!$B$40,10^(LOG10('入力・概要'!$B$38)+(A769-1)*(LOG10('入力・概要'!$B$39)-LOG10('入力・概要'!$B$38))/('入力・概要'!$B$40-1)),"")</f>
        <v/>
      </c>
      <c r="C769" s="195">
        <f>IF(B769="","",2*PI()*B769)</f>
        <v/>
      </c>
      <c r="D769" s="195">
        <f>IF(B769="","",ATANH(MIN(0.999999,'入力・概要'!$E$20/'入力・概要'!$E$9))+'入力・概要'!$B$20*SQRT(B769/1E6)+E769*'入力・概要'!$B$15/2)</f>
        <v/>
      </c>
      <c r="E769" s="195">
        <f>IF(B769="","",C769*('入力・概要'!$E$11*1E-9))</f>
        <v/>
      </c>
      <c r="F769" s="195">
        <f>IF(B769="","",SINH(2*D769)/(COSH(2*D769)+COS(2*E769)))</f>
        <v/>
      </c>
      <c r="G769" s="195">
        <f>IF(B769="","",SIN(2*E769)/(COSH(2*D769)+COS(2*E769)))</f>
        <v/>
      </c>
      <c r="H769" s="195">
        <f>IF(B769="","",ATANH(MIN(0.999999,'入力・概要'!$E$21/'入力・概要'!$E$15))+'入力・概要'!$B$21*SQRT(B769/1E6)+I769*'入力・概要'!$B$16/2)</f>
        <v/>
      </c>
      <c r="I769" s="195">
        <f>IF(B769="","",C769*('入力・概要'!$E$17*1E-9))</f>
        <v/>
      </c>
      <c r="J769" s="195">
        <f>IF(B769="","",SINH(2*H769)/(COSH(2*H769)+COS(2*I769)))</f>
        <v/>
      </c>
      <c r="K769" s="195">
        <f>IF(B769="","",SIN(2*I769)/(COSH(2*H769)+COS(2*I769)))</f>
        <v/>
      </c>
      <c r="L769" s="195">
        <f>IF(B769="","",'入力・概要'!$B$25)</f>
        <v/>
      </c>
      <c r="M769" s="195">
        <f>IF(B769="","",C769*'入力・概要'!$B$26*1E-9-1/(C769*'入力・概要'!$B$24*1E-6))</f>
        <v/>
      </c>
      <c r="N769" s="195">
        <f>IF(B769="","",'入力・概要'!$B$28)</f>
        <v/>
      </c>
      <c r="O769" s="195">
        <f>IF(B769="","",C769*'入力・概要'!$B$29*1E-9-1/(C769*'入力・概要'!$B$27*1E-6))</f>
        <v/>
      </c>
      <c r="P769" s="195">
        <f>IF(B769="","",((L769*N769-M769*O769)*(L769+N769)+(L769*O769+M769*N769)*(M769+O769))/((L769+N769)^2+(M769+O769)^2))</f>
        <v/>
      </c>
      <c r="Q769" s="195">
        <f>IF(B769="","",((L769*O769+M769*N769)*(L769+N769)-(L769*N769-M769*O769)*(M769+O769))/((L769+N769)^2+(M769+O769)^2))</f>
        <v/>
      </c>
      <c r="R769" s="195">
        <f>IF(B769="","",'入力・概要'!$E$15*J769)</f>
        <v/>
      </c>
      <c r="S769" s="195">
        <f>IF(B769="","",'入力・概要'!$E$15*K769)</f>
        <v/>
      </c>
      <c r="T769" s="195">
        <f>IF(B769="","",P769+R769)</f>
        <v/>
      </c>
      <c r="U769" s="195">
        <f>IF(B769="","",Q769+S769)</f>
        <v/>
      </c>
      <c r="V769" s="195">
        <f>IF(B769="","",T769+'入力・概要'!$E$9*F769)</f>
        <v/>
      </c>
      <c r="W769" s="195">
        <f>IF(B769="","",U769+'入力・概要'!$E$9*G769)</f>
        <v/>
      </c>
      <c r="X769" s="195">
        <f>IF(B769="","",'入力・概要'!$E$9+T769*F769-U769*G769)</f>
        <v/>
      </c>
      <c r="Y769" s="195">
        <f>IF(B769="","",T769*G769+U769*F769)</f>
        <v/>
      </c>
      <c r="Z769" s="195">
        <f>IF(B769="","",'入力・概要'!$E$9*(V769*X769+W769*Y769)/(X769^2+Y769^2)+'入力・概要'!$B$36)</f>
        <v/>
      </c>
      <c r="AA769" s="195">
        <f>IF(B769="","",'入力・概要'!$E$9*(W769*X769-V769*Y769)/(X769^2+Y769^2)+C769*'入力・概要'!$B$37*1E-9)</f>
        <v/>
      </c>
      <c r="AB769" s="195">
        <f>IF(B769="","",SQRT(Z769^2+AA769^2))</f>
        <v/>
      </c>
      <c r="AC769" s="195">
        <f>IF(B769="","",IF(Z769&gt;0,DEGREES(ATAN(AA769/Z769)),IF(Z769&lt;0,IF(AA769&gt;=0,DEGREES(ATAN(AA769/Z769))+180,DEGREES(ATAN(AA769/Z769))-180),IF(AA769&gt;0,90,IF(AA769&lt;0,-90,0)))))</f>
        <v/>
      </c>
      <c r="AD769" s="195">
        <f>IF(B769="","",LOG10(B769))</f>
        <v/>
      </c>
      <c r="AE769" s="195">
        <f>IF(AB769="","",LOG10(MAX(AB769,1E-12)))</f>
        <v/>
      </c>
      <c r="AF769" s="195">
        <f>IF(B769="","",SQRT(P769^2+Q769^2))</f>
        <v/>
      </c>
      <c r="AG769" s="195">
        <f>IF(B769="","",SQRT(R769^2+S769^2))</f>
        <v/>
      </c>
    </row>
    <row r="770">
      <c r="A770" t="n">
        <v>767</v>
      </c>
      <c r="B770" s="196">
        <f>IF(A770&lt;='入力・概要'!$B$40,10^(LOG10('入力・概要'!$B$38)+(A770-1)*(LOG10('入力・概要'!$B$39)-LOG10('入力・概要'!$B$38))/('入力・概要'!$B$40-1)),"")</f>
        <v/>
      </c>
      <c r="C770" s="195">
        <f>IF(B770="","",2*PI()*B770)</f>
        <v/>
      </c>
      <c r="D770" s="195">
        <f>IF(B770="","",ATANH(MIN(0.999999,'入力・概要'!$E$20/'入力・概要'!$E$9))+'入力・概要'!$B$20*SQRT(B770/1E6)+E770*'入力・概要'!$B$15/2)</f>
        <v/>
      </c>
      <c r="E770" s="195">
        <f>IF(B770="","",C770*('入力・概要'!$E$11*1E-9))</f>
        <v/>
      </c>
      <c r="F770" s="195">
        <f>IF(B770="","",SINH(2*D770)/(COSH(2*D770)+COS(2*E770)))</f>
        <v/>
      </c>
      <c r="G770" s="195">
        <f>IF(B770="","",SIN(2*E770)/(COSH(2*D770)+COS(2*E770)))</f>
        <v/>
      </c>
      <c r="H770" s="195">
        <f>IF(B770="","",ATANH(MIN(0.999999,'入力・概要'!$E$21/'入力・概要'!$E$15))+'入力・概要'!$B$21*SQRT(B770/1E6)+I770*'入力・概要'!$B$16/2)</f>
        <v/>
      </c>
      <c r="I770" s="195">
        <f>IF(B770="","",C770*('入力・概要'!$E$17*1E-9))</f>
        <v/>
      </c>
      <c r="J770" s="195">
        <f>IF(B770="","",SINH(2*H770)/(COSH(2*H770)+COS(2*I770)))</f>
        <v/>
      </c>
      <c r="K770" s="195">
        <f>IF(B770="","",SIN(2*I770)/(COSH(2*H770)+COS(2*I770)))</f>
        <v/>
      </c>
      <c r="L770" s="195">
        <f>IF(B770="","",'入力・概要'!$B$25)</f>
        <v/>
      </c>
      <c r="M770" s="195">
        <f>IF(B770="","",C770*'入力・概要'!$B$26*1E-9-1/(C770*'入力・概要'!$B$24*1E-6))</f>
        <v/>
      </c>
      <c r="N770" s="195">
        <f>IF(B770="","",'入力・概要'!$B$28)</f>
        <v/>
      </c>
      <c r="O770" s="195">
        <f>IF(B770="","",C770*'入力・概要'!$B$29*1E-9-1/(C770*'入力・概要'!$B$27*1E-6))</f>
        <v/>
      </c>
      <c r="P770" s="195">
        <f>IF(B770="","",((L770*N770-M770*O770)*(L770+N770)+(L770*O770+M770*N770)*(M770+O770))/((L770+N770)^2+(M770+O770)^2))</f>
        <v/>
      </c>
      <c r="Q770" s="195">
        <f>IF(B770="","",((L770*O770+M770*N770)*(L770+N770)-(L770*N770-M770*O770)*(M770+O770))/((L770+N770)^2+(M770+O770)^2))</f>
        <v/>
      </c>
      <c r="R770" s="195">
        <f>IF(B770="","",'入力・概要'!$E$15*J770)</f>
        <v/>
      </c>
      <c r="S770" s="195">
        <f>IF(B770="","",'入力・概要'!$E$15*K770)</f>
        <v/>
      </c>
      <c r="T770" s="195">
        <f>IF(B770="","",P770+R770)</f>
        <v/>
      </c>
      <c r="U770" s="195">
        <f>IF(B770="","",Q770+S770)</f>
        <v/>
      </c>
      <c r="V770" s="195">
        <f>IF(B770="","",T770+'入力・概要'!$E$9*F770)</f>
        <v/>
      </c>
      <c r="W770" s="195">
        <f>IF(B770="","",U770+'入力・概要'!$E$9*G770)</f>
        <v/>
      </c>
      <c r="X770" s="195">
        <f>IF(B770="","",'入力・概要'!$E$9+T770*F770-U770*G770)</f>
        <v/>
      </c>
      <c r="Y770" s="195">
        <f>IF(B770="","",T770*G770+U770*F770)</f>
        <v/>
      </c>
      <c r="Z770" s="195">
        <f>IF(B770="","",'入力・概要'!$E$9*(V770*X770+W770*Y770)/(X770^2+Y770^2)+'入力・概要'!$B$36)</f>
        <v/>
      </c>
      <c r="AA770" s="195">
        <f>IF(B770="","",'入力・概要'!$E$9*(W770*X770-V770*Y770)/(X770^2+Y770^2)+C770*'入力・概要'!$B$37*1E-9)</f>
        <v/>
      </c>
      <c r="AB770" s="195">
        <f>IF(B770="","",SQRT(Z770^2+AA770^2))</f>
        <v/>
      </c>
      <c r="AC770" s="195">
        <f>IF(B770="","",IF(Z770&gt;0,DEGREES(ATAN(AA770/Z770)),IF(Z770&lt;0,IF(AA770&gt;=0,DEGREES(ATAN(AA770/Z770))+180,DEGREES(ATAN(AA770/Z770))-180),IF(AA770&gt;0,90,IF(AA770&lt;0,-90,0)))))</f>
        <v/>
      </c>
      <c r="AD770" s="195">
        <f>IF(B770="","",LOG10(B770))</f>
        <v/>
      </c>
      <c r="AE770" s="195">
        <f>IF(AB770="","",LOG10(MAX(AB770,1E-12)))</f>
        <v/>
      </c>
      <c r="AF770" s="195">
        <f>IF(B770="","",SQRT(P770^2+Q770^2))</f>
        <v/>
      </c>
      <c r="AG770" s="195">
        <f>IF(B770="","",SQRT(R770^2+S770^2))</f>
        <v/>
      </c>
    </row>
    <row r="771">
      <c r="A771" t="n">
        <v>768</v>
      </c>
      <c r="B771" s="196">
        <f>IF(A771&lt;='入力・概要'!$B$40,10^(LOG10('入力・概要'!$B$38)+(A771-1)*(LOG10('入力・概要'!$B$39)-LOG10('入力・概要'!$B$38))/('入力・概要'!$B$40-1)),"")</f>
        <v/>
      </c>
      <c r="C771" s="195">
        <f>IF(B771="","",2*PI()*B771)</f>
        <v/>
      </c>
      <c r="D771" s="195">
        <f>IF(B771="","",ATANH(MIN(0.999999,'入力・概要'!$E$20/'入力・概要'!$E$9))+'入力・概要'!$B$20*SQRT(B771/1E6)+E771*'入力・概要'!$B$15/2)</f>
        <v/>
      </c>
      <c r="E771" s="195">
        <f>IF(B771="","",C771*('入力・概要'!$E$11*1E-9))</f>
        <v/>
      </c>
      <c r="F771" s="195">
        <f>IF(B771="","",SINH(2*D771)/(COSH(2*D771)+COS(2*E771)))</f>
        <v/>
      </c>
      <c r="G771" s="195">
        <f>IF(B771="","",SIN(2*E771)/(COSH(2*D771)+COS(2*E771)))</f>
        <v/>
      </c>
      <c r="H771" s="195">
        <f>IF(B771="","",ATANH(MIN(0.999999,'入力・概要'!$E$21/'入力・概要'!$E$15))+'入力・概要'!$B$21*SQRT(B771/1E6)+I771*'入力・概要'!$B$16/2)</f>
        <v/>
      </c>
      <c r="I771" s="195">
        <f>IF(B771="","",C771*('入力・概要'!$E$17*1E-9))</f>
        <v/>
      </c>
      <c r="J771" s="195">
        <f>IF(B771="","",SINH(2*H771)/(COSH(2*H771)+COS(2*I771)))</f>
        <v/>
      </c>
      <c r="K771" s="195">
        <f>IF(B771="","",SIN(2*I771)/(COSH(2*H771)+COS(2*I771)))</f>
        <v/>
      </c>
      <c r="L771" s="195">
        <f>IF(B771="","",'入力・概要'!$B$25)</f>
        <v/>
      </c>
      <c r="M771" s="195">
        <f>IF(B771="","",C771*'入力・概要'!$B$26*1E-9-1/(C771*'入力・概要'!$B$24*1E-6))</f>
        <v/>
      </c>
      <c r="N771" s="195">
        <f>IF(B771="","",'入力・概要'!$B$28)</f>
        <v/>
      </c>
      <c r="O771" s="195">
        <f>IF(B771="","",C771*'入力・概要'!$B$29*1E-9-1/(C771*'入力・概要'!$B$27*1E-6))</f>
        <v/>
      </c>
      <c r="P771" s="195">
        <f>IF(B771="","",((L771*N771-M771*O771)*(L771+N771)+(L771*O771+M771*N771)*(M771+O771))/((L771+N771)^2+(M771+O771)^2))</f>
        <v/>
      </c>
      <c r="Q771" s="195">
        <f>IF(B771="","",((L771*O771+M771*N771)*(L771+N771)-(L771*N771-M771*O771)*(M771+O771))/((L771+N771)^2+(M771+O771)^2))</f>
        <v/>
      </c>
      <c r="R771" s="195">
        <f>IF(B771="","",'入力・概要'!$E$15*J771)</f>
        <v/>
      </c>
      <c r="S771" s="195">
        <f>IF(B771="","",'入力・概要'!$E$15*K771)</f>
        <v/>
      </c>
      <c r="T771" s="195">
        <f>IF(B771="","",P771+R771)</f>
        <v/>
      </c>
      <c r="U771" s="195">
        <f>IF(B771="","",Q771+S771)</f>
        <v/>
      </c>
      <c r="V771" s="195">
        <f>IF(B771="","",T771+'入力・概要'!$E$9*F771)</f>
        <v/>
      </c>
      <c r="W771" s="195">
        <f>IF(B771="","",U771+'入力・概要'!$E$9*G771)</f>
        <v/>
      </c>
      <c r="X771" s="195">
        <f>IF(B771="","",'入力・概要'!$E$9+T771*F771-U771*G771)</f>
        <v/>
      </c>
      <c r="Y771" s="195">
        <f>IF(B771="","",T771*G771+U771*F771)</f>
        <v/>
      </c>
      <c r="Z771" s="195">
        <f>IF(B771="","",'入力・概要'!$E$9*(V771*X771+W771*Y771)/(X771^2+Y771^2)+'入力・概要'!$B$36)</f>
        <v/>
      </c>
      <c r="AA771" s="195">
        <f>IF(B771="","",'入力・概要'!$E$9*(W771*X771-V771*Y771)/(X771^2+Y771^2)+C771*'入力・概要'!$B$37*1E-9)</f>
        <v/>
      </c>
      <c r="AB771" s="195">
        <f>IF(B771="","",SQRT(Z771^2+AA771^2))</f>
        <v/>
      </c>
      <c r="AC771" s="195">
        <f>IF(B771="","",IF(Z771&gt;0,DEGREES(ATAN(AA771/Z771)),IF(Z771&lt;0,IF(AA771&gt;=0,DEGREES(ATAN(AA771/Z771))+180,DEGREES(ATAN(AA771/Z771))-180),IF(AA771&gt;0,90,IF(AA771&lt;0,-90,0)))))</f>
        <v/>
      </c>
      <c r="AD771" s="195">
        <f>IF(B771="","",LOG10(B771))</f>
        <v/>
      </c>
      <c r="AE771" s="195">
        <f>IF(AB771="","",LOG10(MAX(AB771,1E-12)))</f>
        <v/>
      </c>
      <c r="AF771" s="195">
        <f>IF(B771="","",SQRT(P771^2+Q771^2))</f>
        <v/>
      </c>
      <c r="AG771" s="195">
        <f>IF(B771="","",SQRT(R771^2+S771^2))</f>
        <v/>
      </c>
    </row>
    <row r="772">
      <c r="A772" t="n">
        <v>769</v>
      </c>
      <c r="B772" s="196">
        <f>IF(A772&lt;='入力・概要'!$B$40,10^(LOG10('入力・概要'!$B$38)+(A772-1)*(LOG10('入力・概要'!$B$39)-LOG10('入力・概要'!$B$38))/('入力・概要'!$B$40-1)),"")</f>
        <v/>
      </c>
      <c r="C772" s="195">
        <f>IF(B772="","",2*PI()*B772)</f>
        <v/>
      </c>
      <c r="D772" s="195">
        <f>IF(B772="","",ATANH(MIN(0.999999,'入力・概要'!$E$20/'入力・概要'!$E$9))+'入力・概要'!$B$20*SQRT(B772/1E6)+E772*'入力・概要'!$B$15/2)</f>
        <v/>
      </c>
      <c r="E772" s="195">
        <f>IF(B772="","",C772*('入力・概要'!$E$11*1E-9))</f>
        <v/>
      </c>
      <c r="F772" s="195">
        <f>IF(B772="","",SINH(2*D772)/(COSH(2*D772)+COS(2*E772)))</f>
        <v/>
      </c>
      <c r="G772" s="195">
        <f>IF(B772="","",SIN(2*E772)/(COSH(2*D772)+COS(2*E772)))</f>
        <v/>
      </c>
      <c r="H772" s="195">
        <f>IF(B772="","",ATANH(MIN(0.999999,'入力・概要'!$E$21/'入力・概要'!$E$15))+'入力・概要'!$B$21*SQRT(B772/1E6)+I772*'入力・概要'!$B$16/2)</f>
        <v/>
      </c>
      <c r="I772" s="195">
        <f>IF(B772="","",C772*('入力・概要'!$E$17*1E-9))</f>
        <v/>
      </c>
      <c r="J772" s="195">
        <f>IF(B772="","",SINH(2*H772)/(COSH(2*H772)+COS(2*I772)))</f>
        <v/>
      </c>
      <c r="K772" s="195">
        <f>IF(B772="","",SIN(2*I772)/(COSH(2*H772)+COS(2*I772)))</f>
        <v/>
      </c>
      <c r="L772" s="195">
        <f>IF(B772="","",'入力・概要'!$B$25)</f>
        <v/>
      </c>
      <c r="M772" s="195">
        <f>IF(B772="","",C772*'入力・概要'!$B$26*1E-9-1/(C772*'入力・概要'!$B$24*1E-6))</f>
        <v/>
      </c>
      <c r="N772" s="195">
        <f>IF(B772="","",'入力・概要'!$B$28)</f>
        <v/>
      </c>
      <c r="O772" s="195">
        <f>IF(B772="","",C772*'入力・概要'!$B$29*1E-9-1/(C772*'入力・概要'!$B$27*1E-6))</f>
        <v/>
      </c>
      <c r="P772" s="195">
        <f>IF(B772="","",((L772*N772-M772*O772)*(L772+N772)+(L772*O772+M772*N772)*(M772+O772))/((L772+N772)^2+(M772+O772)^2))</f>
        <v/>
      </c>
      <c r="Q772" s="195">
        <f>IF(B772="","",((L772*O772+M772*N772)*(L772+N772)-(L772*N772-M772*O772)*(M772+O772))/((L772+N772)^2+(M772+O772)^2))</f>
        <v/>
      </c>
      <c r="R772" s="195">
        <f>IF(B772="","",'入力・概要'!$E$15*J772)</f>
        <v/>
      </c>
      <c r="S772" s="195">
        <f>IF(B772="","",'入力・概要'!$E$15*K772)</f>
        <v/>
      </c>
      <c r="T772" s="195">
        <f>IF(B772="","",P772+R772)</f>
        <v/>
      </c>
      <c r="U772" s="195">
        <f>IF(B772="","",Q772+S772)</f>
        <v/>
      </c>
      <c r="V772" s="195">
        <f>IF(B772="","",T772+'入力・概要'!$E$9*F772)</f>
        <v/>
      </c>
      <c r="W772" s="195">
        <f>IF(B772="","",U772+'入力・概要'!$E$9*G772)</f>
        <v/>
      </c>
      <c r="X772" s="195">
        <f>IF(B772="","",'入力・概要'!$E$9+T772*F772-U772*G772)</f>
        <v/>
      </c>
      <c r="Y772" s="195">
        <f>IF(B772="","",T772*G772+U772*F772)</f>
        <v/>
      </c>
      <c r="Z772" s="195">
        <f>IF(B772="","",'入力・概要'!$E$9*(V772*X772+W772*Y772)/(X772^2+Y772^2)+'入力・概要'!$B$36)</f>
        <v/>
      </c>
      <c r="AA772" s="195">
        <f>IF(B772="","",'入力・概要'!$E$9*(W772*X772-V772*Y772)/(X772^2+Y772^2)+C772*'入力・概要'!$B$37*1E-9)</f>
        <v/>
      </c>
      <c r="AB772" s="195">
        <f>IF(B772="","",SQRT(Z772^2+AA772^2))</f>
        <v/>
      </c>
      <c r="AC772" s="195">
        <f>IF(B772="","",IF(Z772&gt;0,DEGREES(ATAN(AA772/Z772)),IF(Z772&lt;0,IF(AA772&gt;=0,DEGREES(ATAN(AA772/Z772))+180,DEGREES(ATAN(AA772/Z772))-180),IF(AA772&gt;0,90,IF(AA772&lt;0,-90,0)))))</f>
        <v/>
      </c>
      <c r="AD772" s="195">
        <f>IF(B772="","",LOG10(B772))</f>
        <v/>
      </c>
      <c r="AE772" s="195">
        <f>IF(AB772="","",LOG10(MAX(AB772,1E-12)))</f>
        <v/>
      </c>
      <c r="AF772" s="195">
        <f>IF(B772="","",SQRT(P772^2+Q772^2))</f>
        <v/>
      </c>
      <c r="AG772" s="195">
        <f>IF(B772="","",SQRT(R772^2+S772^2))</f>
        <v/>
      </c>
    </row>
    <row r="773">
      <c r="A773" t="n">
        <v>770</v>
      </c>
      <c r="B773" s="196">
        <f>IF(A773&lt;='入力・概要'!$B$40,10^(LOG10('入力・概要'!$B$38)+(A773-1)*(LOG10('入力・概要'!$B$39)-LOG10('入力・概要'!$B$38))/('入力・概要'!$B$40-1)),"")</f>
        <v/>
      </c>
      <c r="C773" s="195">
        <f>IF(B773="","",2*PI()*B773)</f>
        <v/>
      </c>
      <c r="D773" s="195">
        <f>IF(B773="","",ATANH(MIN(0.999999,'入力・概要'!$E$20/'入力・概要'!$E$9))+'入力・概要'!$B$20*SQRT(B773/1E6)+E773*'入力・概要'!$B$15/2)</f>
        <v/>
      </c>
      <c r="E773" s="195">
        <f>IF(B773="","",C773*('入力・概要'!$E$11*1E-9))</f>
        <v/>
      </c>
      <c r="F773" s="195">
        <f>IF(B773="","",SINH(2*D773)/(COSH(2*D773)+COS(2*E773)))</f>
        <v/>
      </c>
      <c r="G773" s="195">
        <f>IF(B773="","",SIN(2*E773)/(COSH(2*D773)+COS(2*E773)))</f>
        <v/>
      </c>
      <c r="H773" s="195">
        <f>IF(B773="","",ATANH(MIN(0.999999,'入力・概要'!$E$21/'入力・概要'!$E$15))+'入力・概要'!$B$21*SQRT(B773/1E6)+I773*'入力・概要'!$B$16/2)</f>
        <v/>
      </c>
      <c r="I773" s="195">
        <f>IF(B773="","",C773*('入力・概要'!$E$17*1E-9))</f>
        <v/>
      </c>
      <c r="J773" s="195">
        <f>IF(B773="","",SINH(2*H773)/(COSH(2*H773)+COS(2*I773)))</f>
        <v/>
      </c>
      <c r="K773" s="195">
        <f>IF(B773="","",SIN(2*I773)/(COSH(2*H773)+COS(2*I773)))</f>
        <v/>
      </c>
      <c r="L773" s="195">
        <f>IF(B773="","",'入力・概要'!$B$25)</f>
        <v/>
      </c>
      <c r="M773" s="195">
        <f>IF(B773="","",C773*'入力・概要'!$B$26*1E-9-1/(C773*'入力・概要'!$B$24*1E-6))</f>
        <v/>
      </c>
      <c r="N773" s="195">
        <f>IF(B773="","",'入力・概要'!$B$28)</f>
        <v/>
      </c>
      <c r="O773" s="195">
        <f>IF(B773="","",C773*'入力・概要'!$B$29*1E-9-1/(C773*'入力・概要'!$B$27*1E-6))</f>
        <v/>
      </c>
      <c r="P773" s="195">
        <f>IF(B773="","",((L773*N773-M773*O773)*(L773+N773)+(L773*O773+M773*N773)*(M773+O773))/((L773+N773)^2+(M773+O773)^2))</f>
        <v/>
      </c>
      <c r="Q773" s="195">
        <f>IF(B773="","",((L773*O773+M773*N773)*(L773+N773)-(L773*N773-M773*O773)*(M773+O773))/((L773+N773)^2+(M773+O773)^2))</f>
        <v/>
      </c>
      <c r="R773" s="195">
        <f>IF(B773="","",'入力・概要'!$E$15*J773)</f>
        <v/>
      </c>
      <c r="S773" s="195">
        <f>IF(B773="","",'入力・概要'!$E$15*K773)</f>
        <v/>
      </c>
      <c r="T773" s="195">
        <f>IF(B773="","",P773+R773)</f>
        <v/>
      </c>
      <c r="U773" s="195">
        <f>IF(B773="","",Q773+S773)</f>
        <v/>
      </c>
      <c r="V773" s="195">
        <f>IF(B773="","",T773+'入力・概要'!$E$9*F773)</f>
        <v/>
      </c>
      <c r="W773" s="195">
        <f>IF(B773="","",U773+'入力・概要'!$E$9*G773)</f>
        <v/>
      </c>
      <c r="X773" s="195">
        <f>IF(B773="","",'入力・概要'!$E$9+T773*F773-U773*G773)</f>
        <v/>
      </c>
      <c r="Y773" s="195">
        <f>IF(B773="","",T773*G773+U773*F773)</f>
        <v/>
      </c>
      <c r="Z773" s="195">
        <f>IF(B773="","",'入力・概要'!$E$9*(V773*X773+W773*Y773)/(X773^2+Y773^2)+'入力・概要'!$B$36)</f>
        <v/>
      </c>
      <c r="AA773" s="195">
        <f>IF(B773="","",'入力・概要'!$E$9*(W773*X773-V773*Y773)/(X773^2+Y773^2)+C773*'入力・概要'!$B$37*1E-9)</f>
        <v/>
      </c>
      <c r="AB773" s="195">
        <f>IF(B773="","",SQRT(Z773^2+AA773^2))</f>
        <v/>
      </c>
      <c r="AC773" s="195">
        <f>IF(B773="","",IF(Z773&gt;0,DEGREES(ATAN(AA773/Z773)),IF(Z773&lt;0,IF(AA773&gt;=0,DEGREES(ATAN(AA773/Z773))+180,DEGREES(ATAN(AA773/Z773))-180),IF(AA773&gt;0,90,IF(AA773&lt;0,-90,0)))))</f>
        <v/>
      </c>
      <c r="AD773" s="195">
        <f>IF(B773="","",LOG10(B773))</f>
        <v/>
      </c>
      <c r="AE773" s="195">
        <f>IF(AB773="","",LOG10(MAX(AB773,1E-12)))</f>
        <v/>
      </c>
      <c r="AF773" s="195">
        <f>IF(B773="","",SQRT(P773^2+Q773^2))</f>
        <v/>
      </c>
      <c r="AG773" s="195">
        <f>IF(B773="","",SQRT(R773^2+S773^2))</f>
        <v/>
      </c>
    </row>
    <row r="774">
      <c r="A774" t="n">
        <v>771</v>
      </c>
      <c r="B774" s="196">
        <f>IF(A774&lt;='入力・概要'!$B$40,10^(LOG10('入力・概要'!$B$38)+(A774-1)*(LOG10('入力・概要'!$B$39)-LOG10('入力・概要'!$B$38))/('入力・概要'!$B$40-1)),"")</f>
        <v/>
      </c>
      <c r="C774" s="195">
        <f>IF(B774="","",2*PI()*B774)</f>
        <v/>
      </c>
      <c r="D774" s="195">
        <f>IF(B774="","",ATANH(MIN(0.999999,'入力・概要'!$E$20/'入力・概要'!$E$9))+'入力・概要'!$B$20*SQRT(B774/1E6)+E774*'入力・概要'!$B$15/2)</f>
        <v/>
      </c>
      <c r="E774" s="195">
        <f>IF(B774="","",C774*('入力・概要'!$E$11*1E-9))</f>
        <v/>
      </c>
      <c r="F774" s="195">
        <f>IF(B774="","",SINH(2*D774)/(COSH(2*D774)+COS(2*E774)))</f>
        <v/>
      </c>
      <c r="G774" s="195">
        <f>IF(B774="","",SIN(2*E774)/(COSH(2*D774)+COS(2*E774)))</f>
        <v/>
      </c>
      <c r="H774" s="195">
        <f>IF(B774="","",ATANH(MIN(0.999999,'入力・概要'!$E$21/'入力・概要'!$E$15))+'入力・概要'!$B$21*SQRT(B774/1E6)+I774*'入力・概要'!$B$16/2)</f>
        <v/>
      </c>
      <c r="I774" s="195">
        <f>IF(B774="","",C774*('入力・概要'!$E$17*1E-9))</f>
        <v/>
      </c>
      <c r="J774" s="195">
        <f>IF(B774="","",SINH(2*H774)/(COSH(2*H774)+COS(2*I774)))</f>
        <v/>
      </c>
      <c r="K774" s="195">
        <f>IF(B774="","",SIN(2*I774)/(COSH(2*H774)+COS(2*I774)))</f>
        <v/>
      </c>
      <c r="L774" s="195">
        <f>IF(B774="","",'入力・概要'!$B$25)</f>
        <v/>
      </c>
      <c r="M774" s="195">
        <f>IF(B774="","",C774*'入力・概要'!$B$26*1E-9-1/(C774*'入力・概要'!$B$24*1E-6))</f>
        <v/>
      </c>
      <c r="N774" s="195">
        <f>IF(B774="","",'入力・概要'!$B$28)</f>
        <v/>
      </c>
      <c r="O774" s="195">
        <f>IF(B774="","",C774*'入力・概要'!$B$29*1E-9-1/(C774*'入力・概要'!$B$27*1E-6))</f>
        <v/>
      </c>
      <c r="P774" s="195">
        <f>IF(B774="","",((L774*N774-M774*O774)*(L774+N774)+(L774*O774+M774*N774)*(M774+O774))/((L774+N774)^2+(M774+O774)^2))</f>
        <v/>
      </c>
      <c r="Q774" s="195">
        <f>IF(B774="","",((L774*O774+M774*N774)*(L774+N774)-(L774*N774-M774*O774)*(M774+O774))/((L774+N774)^2+(M774+O774)^2))</f>
        <v/>
      </c>
      <c r="R774" s="195">
        <f>IF(B774="","",'入力・概要'!$E$15*J774)</f>
        <v/>
      </c>
      <c r="S774" s="195">
        <f>IF(B774="","",'入力・概要'!$E$15*K774)</f>
        <v/>
      </c>
      <c r="T774" s="195">
        <f>IF(B774="","",P774+R774)</f>
        <v/>
      </c>
      <c r="U774" s="195">
        <f>IF(B774="","",Q774+S774)</f>
        <v/>
      </c>
      <c r="V774" s="195">
        <f>IF(B774="","",T774+'入力・概要'!$E$9*F774)</f>
        <v/>
      </c>
      <c r="W774" s="195">
        <f>IF(B774="","",U774+'入力・概要'!$E$9*G774)</f>
        <v/>
      </c>
      <c r="X774" s="195">
        <f>IF(B774="","",'入力・概要'!$E$9+T774*F774-U774*G774)</f>
        <v/>
      </c>
      <c r="Y774" s="195">
        <f>IF(B774="","",T774*G774+U774*F774)</f>
        <v/>
      </c>
      <c r="Z774" s="195">
        <f>IF(B774="","",'入力・概要'!$E$9*(V774*X774+W774*Y774)/(X774^2+Y774^2)+'入力・概要'!$B$36)</f>
        <v/>
      </c>
      <c r="AA774" s="195">
        <f>IF(B774="","",'入力・概要'!$E$9*(W774*X774-V774*Y774)/(X774^2+Y774^2)+C774*'入力・概要'!$B$37*1E-9)</f>
        <v/>
      </c>
      <c r="AB774" s="195">
        <f>IF(B774="","",SQRT(Z774^2+AA774^2))</f>
        <v/>
      </c>
      <c r="AC774" s="195">
        <f>IF(B774="","",IF(Z774&gt;0,DEGREES(ATAN(AA774/Z774)),IF(Z774&lt;0,IF(AA774&gt;=0,DEGREES(ATAN(AA774/Z774))+180,DEGREES(ATAN(AA774/Z774))-180),IF(AA774&gt;0,90,IF(AA774&lt;0,-90,0)))))</f>
        <v/>
      </c>
      <c r="AD774" s="195">
        <f>IF(B774="","",LOG10(B774))</f>
        <v/>
      </c>
      <c r="AE774" s="195">
        <f>IF(AB774="","",LOG10(MAX(AB774,1E-12)))</f>
        <v/>
      </c>
      <c r="AF774" s="195">
        <f>IF(B774="","",SQRT(P774^2+Q774^2))</f>
        <v/>
      </c>
      <c r="AG774" s="195">
        <f>IF(B774="","",SQRT(R774^2+S774^2))</f>
        <v/>
      </c>
    </row>
    <row r="775">
      <c r="A775" t="n">
        <v>772</v>
      </c>
      <c r="B775" s="196">
        <f>IF(A775&lt;='入力・概要'!$B$40,10^(LOG10('入力・概要'!$B$38)+(A775-1)*(LOG10('入力・概要'!$B$39)-LOG10('入力・概要'!$B$38))/('入力・概要'!$B$40-1)),"")</f>
        <v/>
      </c>
      <c r="C775" s="195">
        <f>IF(B775="","",2*PI()*B775)</f>
        <v/>
      </c>
      <c r="D775" s="195">
        <f>IF(B775="","",ATANH(MIN(0.999999,'入力・概要'!$E$20/'入力・概要'!$E$9))+'入力・概要'!$B$20*SQRT(B775/1E6)+E775*'入力・概要'!$B$15/2)</f>
        <v/>
      </c>
      <c r="E775" s="195">
        <f>IF(B775="","",C775*('入力・概要'!$E$11*1E-9))</f>
        <v/>
      </c>
      <c r="F775" s="195">
        <f>IF(B775="","",SINH(2*D775)/(COSH(2*D775)+COS(2*E775)))</f>
        <v/>
      </c>
      <c r="G775" s="195">
        <f>IF(B775="","",SIN(2*E775)/(COSH(2*D775)+COS(2*E775)))</f>
        <v/>
      </c>
      <c r="H775" s="195">
        <f>IF(B775="","",ATANH(MIN(0.999999,'入力・概要'!$E$21/'入力・概要'!$E$15))+'入力・概要'!$B$21*SQRT(B775/1E6)+I775*'入力・概要'!$B$16/2)</f>
        <v/>
      </c>
      <c r="I775" s="195">
        <f>IF(B775="","",C775*('入力・概要'!$E$17*1E-9))</f>
        <v/>
      </c>
      <c r="J775" s="195">
        <f>IF(B775="","",SINH(2*H775)/(COSH(2*H775)+COS(2*I775)))</f>
        <v/>
      </c>
      <c r="K775" s="195">
        <f>IF(B775="","",SIN(2*I775)/(COSH(2*H775)+COS(2*I775)))</f>
        <v/>
      </c>
      <c r="L775" s="195">
        <f>IF(B775="","",'入力・概要'!$B$25)</f>
        <v/>
      </c>
      <c r="M775" s="195">
        <f>IF(B775="","",C775*'入力・概要'!$B$26*1E-9-1/(C775*'入力・概要'!$B$24*1E-6))</f>
        <v/>
      </c>
      <c r="N775" s="195">
        <f>IF(B775="","",'入力・概要'!$B$28)</f>
        <v/>
      </c>
      <c r="O775" s="195">
        <f>IF(B775="","",C775*'入力・概要'!$B$29*1E-9-1/(C775*'入力・概要'!$B$27*1E-6))</f>
        <v/>
      </c>
      <c r="P775" s="195">
        <f>IF(B775="","",((L775*N775-M775*O775)*(L775+N775)+(L775*O775+M775*N775)*(M775+O775))/((L775+N775)^2+(M775+O775)^2))</f>
        <v/>
      </c>
      <c r="Q775" s="195">
        <f>IF(B775="","",((L775*O775+M775*N775)*(L775+N775)-(L775*N775-M775*O775)*(M775+O775))/((L775+N775)^2+(M775+O775)^2))</f>
        <v/>
      </c>
      <c r="R775" s="195">
        <f>IF(B775="","",'入力・概要'!$E$15*J775)</f>
        <v/>
      </c>
      <c r="S775" s="195">
        <f>IF(B775="","",'入力・概要'!$E$15*K775)</f>
        <v/>
      </c>
      <c r="T775" s="195">
        <f>IF(B775="","",P775+R775)</f>
        <v/>
      </c>
      <c r="U775" s="195">
        <f>IF(B775="","",Q775+S775)</f>
        <v/>
      </c>
      <c r="V775" s="195">
        <f>IF(B775="","",T775+'入力・概要'!$E$9*F775)</f>
        <v/>
      </c>
      <c r="W775" s="195">
        <f>IF(B775="","",U775+'入力・概要'!$E$9*G775)</f>
        <v/>
      </c>
      <c r="X775" s="195">
        <f>IF(B775="","",'入力・概要'!$E$9+T775*F775-U775*G775)</f>
        <v/>
      </c>
      <c r="Y775" s="195">
        <f>IF(B775="","",T775*G775+U775*F775)</f>
        <v/>
      </c>
      <c r="Z775" s="195">
        <f>IF(B775="","",'入力・概要'!$E$9*(V775*X775+W775*Y775)/(X775^2+Y775^2)+'入力・概要'!$B$36)</f>
        <v/>
      </c>
      <c r="AA775" s="195">
        <f>IF(B775="","",'入力・概要'!$E$9*(W775*X775-V775*Y775)/(X775^2+Y775^2)+C775*'入力・概要'!$B$37*1E-9)</f>
        <v/>
      </c>
      <c r="AB775" s="195">
        <f>IF(B775="","",SQRT(Z775^2+AA775^2))</f>
        <v/>
      </c>
      <c r="AC775" s="195">
        <f>IF(B775="","",IF(Z775&gt;0,DEGREES(ATAN(AA775/Z775)),IF(Z775&lt;0,IF(AA775&gt;=0,DEGREES(ATAN(AA775/Z775))+180,DEGREES(ATAN(AA775/Z775))-180),IF(AA775&gt;0,90,IF(AA775&lt;0,-90,0)))))</f>
        <v/>
      </c>
      <c r="AD775" s="195">
        <f>IF(B775="","",LOG10(B775))</f>
        <v/>
      </c>
      <c r="AE775" s="195">
        <f>IF(AB775="","",LOG10(MAX(AB775,1E-12)))</f>
        <v/>
      </c>
      <c r="AF775" s="195">
        <f>IF(B775="","",SQRT(P775^2+Q775^2))</f>
        <v/>
      </c>
      <c r="AG775" s="195">
        <f>IF(B775="","",SQRT(R775^2+S775^2))</f>
        <v/>
      </c>
    </row>
    <row r="776">
      <c r="A776" t="n">
        <v>773</v>
      </c>
      <c r="B776" s="196">
        <f>IF(A776&lt;='入力・概要'!$B$40,10^(LOG10('入力・概要'!$B$38)+(A776-1)*(LOG10('入力・概要'!$B$39)-LOG10('入力・概要'!$B$38))/('入力・概要'!$B$40-1)),"")</f>
        <v/>
      </c>
      <c r="C776" s="195">
        <f>IF(B776="","",2*PI()*B776)</f>
        <v/>
      </c>
      <c r="D776" s="195">
        <f>IF(B776="","",ATANH(MIN(0.999999,'入力・概要'!$E$20/'入力・概要'!$E$9))+'入力・概要'!$B$20*SQRT(B776/1E6)+E776*'入力・概要'!$B$15/2)</f>
        <v/>
      </c>
      <c r="E776" s="195">
        <f>IF(B776="","",C776*('入力・概要'!$E$11*1E-9))</f>
        <v/>
      </c>
      <c r="F776" s="195">
        <f>IF(B776="","",SINH(2*D776)/(COSH(2*D776)+COS(2*E776)))</f>
        <v/>
      </c>
      <c r="G776" s="195">
        <f>IF(B776="","",SIN(2*E776)/(COSH(2*D776)+COS(2*E776)))</f>
        <v/>
      </c>
      <c r="H776" s="195">
        <f>IF(B776="","",ATANH(MIN(0.999999,'入力・概要'!$E$21/'入力・概要'!$E$15))+'入力・概要'!$B$21*SQRT(B776/1E6)+I776*'入力・概要'!$B$16/2)</f>
        <v/>
      </c>
      <c r="I776" s="195">
        <f>IF(B776="","",C776*('入力・概要'!$E$17*1E-9))</f>
        <v/>
      </c>
      <c r="J776" s="195">
        <f>IF(B776="","",SINH(2*H776)/(COSH(2*H776)+COS(2*I776)))</f>
        <v/>
      </c>
      <c r="K776" s="195">
        <f>IF(B776="","",SIN(2*I776)/(COSH(2*H776)+COS(2*I776)))</f>
        <v/>
      </c>
      <c r="L776" s="195">
        <f>IF(B776="","",'入力・概要'!$B$25)</f>
        <v/>
      </c>
      <c r="M776" s="195">
        <f>IF(B776="","",C776*'入力・概要'!$B$26*1E-9-1/(C776*'入力・概要'!$B$24*1E-6))</f>
        <v/>
      </c>
      <c r="N776" s="195">
        <f>IF(B776="","",'入力・概要'!$B$28)</f>
        <v/>
      </c>
      <c r="O776" s="195">
        <f>IF(B776="","",C776*'入力・概要'!$B$29*1E-9-1/(C776*'入力・概要'!$B$27*1E-6))</f>
        <v/>
      </c>
      <c r="P776" s="195">
        <f>IF(B776="","",((L776*N776-M776*O776)*(L776+N776)+(L776*O776+M776*N776)*(M776+O776))/((L776+N776)^2+(M776+O776)^2))</f>
        <v/>
      </c>
      <c r="Q776" s="195">
        <f>IF(B776="","",((L776*O776+M776*N776)*(L776+N776)-(L776*N776-M776*O776)*(M776+O776))/((L776+N776)^2+(M776+O776)^2))</f>
        <v/>
      </c>
      <c r="R776" s="195">
        <f>IF(B776="","",'入力・概要'!$E$15*J776)</f>
        <v/>
      </c>
      <c r="S776" s="195">
        <f>IF(B776="","",'入力・概要'!$E$15*K776)</f>
        <v/>
      </c>
      <c r="T776" s="195">
        <f>IF(B776="","",P776+R776)</f>
        <v/>
      </c>
      <c r="U776" s="195">
        <f>IF(B776="","",Q776+S776)</f>
        <v/>
      </c>
      <c r="V776" s="195">
        <f>IF(B776="","",T776+'入力・概要'!$E$9*F776)</f>
        <v/>
      </c>
      <c r="W776" s="195">
        <f>IF(B776="","",U776+'入力・概要'!$E$9*G776)</f>
        <v/>
      </c>
      <c r="X776" s="195">
        <f>IF(B776="","",'入力・概要'!$E$9+T776*F776-U776*G776)</f>
        <v/>
      </c>
      <c r="Y776" s="195">
        <f>IF(B776="","",T776*G776+U776*F776)</f>
        <v/>
      </c>
      <c r="Z776" s="195">
        <f>IF(B776="","",'入力・概要'!$E$9*(V776*X776+W776*Y776)/(X776^2+Y776^2)+'入力・概要'!$B$36)</f>
        <v/>
      </c>
      <c r="AA776" s="195">
        <f>IF(B776="","",'入力・概要'!$E$9*(W776*X776-V776*Y776)/(X776^2+Y776^2)+C776*'入力・概要'!$B$37*1E-9)</f>
        <v/>
      </c>
      <c r="AB776" s="195">
        <f>IF(B776="","",SQRT(Z776^2+AA776^2))</f>
        <v/>
      </c>
      <c r="AC776" s="195">
        <f>IF(B776="","",IF(Z776&gt;0,DEGREES(ATAN(AA776/Z776)),IF(Z776&lt;0,IF(AA776&gt;=0,DEGREES(ATAN(AA776/Z776))+180,DEGREES(ATAN(AA776/Z776))-180),IF(AA776&gt;0,90,IF(AA776&lt;0,-90,0)))))</f>
        <v/>
      </c>
      <c r="AD776" s="195">
        <f>IF(B776="","",LOG10(B776))</f>
        <v/>
      </c>
      <c r="AE776" s="195">
        <f>IF(AB776="","",LOG10(MAX(AB776,1E-12)))</f>
        <v/>
      </c>
      <c r="AF776" s="195">
        <f>IF(B776="","",SQRT(P776^2+Q776^2))</f>
        <v/>
      </c>
      <c r="AG776" s="195">
        <f>IF(B776="","",SQRT(R776^2+S776^2))</f>
        <v/>
      </c>
    </row>
    <row r="777">
      <c r="A777" t="n">
        <v>774</v>
      </c>
      <c r="B777" s="196">
        <f>IF(A777&lt;='入力・概要'!$B$40,10^(LOG10('入力・概要'!$B$38)+(A777-1)*(LOG10('入力・概要'!$B$39)-LOG10('入力・概要'!$B$38))/('入力・概要'!$B$40-1)),"")</f>
        <v/>
      </c>
      <c r="C777" s="195">
        <f>IF(B777="","",2*PI()*B777)</f>
        <v/>
      </c>
      <c r="D777" s="195">
        <f>IF(B777="","",ATANH(MIN(0.999999,'入力・概要'!$E$20/'入力・概要'!$E$9))+'入力・概要'!$B$20*SQRT(B777/1E6)+E777*'入力・概要'!$B$15/2)</f>
        <v/>
      </c>
      <c r="E777" s="195">
        <f>IF(B777="","",C777*('入力・概要'!$E$11*1E-9))</f>
        <v/>
      </c>
      <c r="F777" s="195">
        <f>IF(B777="","",SINH(2*D777)/(COSH(2*D777)+COS(2*E777)))</f>
        <v/>
      </c>
      <c r="G777" s="195">
        <f>IF(B777="","",SIN(2*E777)/(COSH(2*D777)+COS(2*E777)))</f>
        <v/>
      </c>
      <c r="H777" s="195">
        <f>IF(B777="","",ATANH(MIN(0.999999,'入力・概要'!$E$21/'入力・概要'!$E$15))+'入力・概要'!$B$21*SQRT(B777/1E6)+I777*'入力・概要'!$B$16/2)</f>
        <v/>
      </c>
      <c r="I777" s="195">
        <f>IF(B777="","",C777*('入力・概要'!$E$17*1E-9))</f>
        <v/>
      </c>
      <c r="J777" s="195">
        <f>IF(B777="","",SINH(2*H777)/(COSH(2*H777)+COS(2*I777)))</f>
        <v/>
      </c>
      <c r="K777" s="195">
        <f>IF(B777="","",SIN(2*I777)/(COSH(2*H777)+COS(2*I777)))</f>
        <v/>
      </c>
      <c r="L777" s="195">
        <f>IF(B777="","",'入力・概要'!$B$25)</f>
        <v/>
      </c>
      <c r="M777" s="195">
        <f>IF(B777="","",C777*'入力・概要'!$B$26*1E-9-1/(C777*'入力・概要'!$B$24*1E-6))</f>
        <v/>
      </c>
      <c r="N777" s="195">
        <f>IF(B777="","",'入力・概要'!$B$28)</f>
        <v/>
      </c>
      <c r="O777" s="195">
        <f>IF(B777="","",C777*'入力・概要'!$B$29*1E-9-1/(C777*'入力・概要'!$B$27*1E-6))</f>
        <v/>
      </c>
      <c r="P777" s="195">
        <f>IF(B777="","",((L777*N777-M777*O777)*(L777+N777)+(L777*O777+M777*N777)*(M777+O777))/((L777+N777)^2+(M777+O777)^2))</f>
        <v/>
      </c>
      <c r="Q777" s="195">
        <f>IF(B777="","",((L777*O777+M777*N777)*(L777+N777)-(L777*N777-M777*O777)*(M777+O777))/((L777+N777)^2+(M777+O777)^2))</f>
        <v/>
      </c>
      <c r="R777" s="195">
        <f>IF(B777="","",'入力・概要'!$E$15*J777)</f>
        <v/>
      </c>
      <c r="S777" s="195">
        <f>IF(B777="","",'入力・概要'!$E$15*K777)</f>
        <v/>
      </c>
      <c r="T777" s="195">
        <f>IF(B777="","",P777+R777)</f>
        <v/>
      </c>
      <c r="U777" s="195">
        <f>IF(B777="","",Q777+S777)</f>
        <v/>
      </c>
      <c r="V777" s="195">
        <f>IF(B777="","",T777+'入力・概要'!$E$9*F777)</f>
        <v/>
      </c>
      <c r="W777" s="195">
        <f>IF(B777="","",U777+'入力・概要'!$E$9*G777)</f>
        <v/>
      </c>
      <c r="X777" s="195">
        <f>IF(B777="","",'入力・概要'!$E$9+T777*F777-U777*G777)</f>
        <v/>
      </c>
      <c r="Y777" s="195">
        <f>IF(B777="","",T777*G777+U777*F777)</f>
        <v/>
      </c>
      <c r="Z777" s="195">
        <f>IF(B777="","",'入力・概要'!$E$9*(V777*X777+W777*Y777)/(X777^2+Y777^2)+'入力・概要'!$B$36)</f>
        <v/>
      </c>
      <c r="AA777" s="195">
        <f>IF(B777="","",'入力・概要'!$E$9*(W777*X777-V777*Y777)/(X777^2+Y777^2)+C777*'入力・概要'!$B$37*1E-9)</f>
        <v/>
      </c>
      <c r="AB777" s="195">
        <f>IF(B777="","",SQRT(Z777^2+AA777^2))</f>
        <v/>
      </c>
      <c r="AC777" s="195">
        <f>IF(B777="","",IF(Z777&gt;0,DEGREES(ATAN(AA777/Z777)),IF(Z777&lt;0,IF(AA777&gt;=0,DEGREES(ATAN(AA777/Z777))+180,DEGREES(ATAN(AA777/Z777))-180),IF(AA777&gt;0,90,IF(AA777&lt;0,-90,0)))))</f>
        <v/>
      </c>
      <c r="AD777" s="195">
        <f>IF(B777="","",LOG10(B777))</f>
        <v/>
      </c>
      <c r="AE777" s="195">
        <f>IF(AB777="","",LOG10(MAX(AB777,1E-12)))</f>
        <v/>
      </c>
      <c r="AF777" s="195">
        <f>IF(B777="","",SQRT(P777^2+Q777^2))</f>
        <v/>
      </c>
      <c r="AG777" s="195">
        <f>IF(B777="","",SQRT(R777^2+S777^2))</f>
        <v/>
      </c>
    </row>
    <row r="778">
      <c r="A778" t="n">
        <v>775</v>
      </c>
      <c r="B778" s="196">
        <f>IF(A778&lt;='入力・概要'!$B$40,10^(LOG10('入力・概要'!$B$38)+(A778-1)*(LOG10('入力・概要'!$B$39)-LOG10('入力・概要'!$B$38))/('入力・概要'!$B$40-1)),"")</f>
        <v/>
      </c>
      <c r="C778" s="195">
        <f>IF(B778="","",2*PI()*B778)</f>
        <v/>
      </c>
      <c r="D778" s="195">
        <f>IF(B778="","",ATANH(MIN(0.999999,'入力・概要'!$E$20/'入力・概要'!$E$9))+'入力・概要'!$B$20*SQRT(B778/1E6)+E778*'入力・概要'!$B$15/2)</f>
        <v/>
      </c>
      <c r="E778" s="195">
        <f>IF(B778="","",C778*('入力・概要'!$E$11*1E-9))</f>
        <v/>
      </c>
      <c r="F778" s="195">
        <f>IF(B778="","",SINH(2*D778)/(COSH(2*D778)+COS(2*E778)))</f>
        <v/>
      </c>
      <c r="G778" s="195">
        <f>IF(B778="","",SIN(2*E778)/(COSH(2*D778)+COS(2*E778)))</f>
        <v/>
      </c>
      <c r="H778" s="195">
        <f>IF(B778="","",ATANH(MIN(0.999999,'入力・概要'!$E$21/'入力・概要'!$E$15))+'入力・概要'!$B$21*SQRT(B778/1E6)+I778*'入力・概要'!$B$16/2)</f>
        <v/>
      </c>
      <c r="I778" s="195">
        <f>IF(B778="","",C778*('入力・概要'!$E$17*1E-9))</f>
        <v/>
      </c>
      <c r="J778" s="195">
        <f>IF(B778="","",SINH(2*H778)/(COSH(2*H778)+COS(2*I778)))</f>
        <v/>
      </c>
      <c r="K778" s="195">
        <f>IF(B778="","",SIN(2*I778)/(COSH(2*H778)+COS(2*I778)))</f>
        <v/>
      </c>
      <c r="L778" s="195">
        <f>IF(B778="","",'入力・概要'!$B$25)</f>
        <v/>
      </c>
      <c r="M778" s="195">
        <f>IF(B778="","",C778*'入力・概要'!$B$26*1E-9-1/(C778*'入力・概要'!$B$24*1E-6))</f>
        <v/>
      </c>
      <c r="N778" s="195">
        <f>IF(B778="","",'入力・概要'!$B$28)</f>
        <v/>
      </c>
      <c r="O778" s="195">
        <f>IF(B778="","",C778*'入力・概要'!$B$29*1E-9-1/(C778*'入力・概要'!$B$27*1E-6))</f>
        <v/>
      </c>
      <c r="P778" s="195">
        <f>IF(B778="","",((L778*N778-M778*O778)*(L778+N778)+(L778*O778+M778*N778)*(M778+O778))/((L778+N778)^2+(M778+O778)^2))</f>
        <v/>
      </c>
      <c r="Q778" s="195">
        <f>IF(B778="","",((L778*O778+M778*N778)*(L778+N778)-(L778*N778-M778*O778)*(M778+O778))/((L778+N778)^2+(M778+O778)^2))</f>
        <v/>
      </c>
      <c r="R778" s="195">
        <f>IF(B778="","",'入力・概要'!$E$15*J778)</f>
        <v/>
      </c>
      <c r="S778" s="195">
        <f>IF(B778="","",'入力・概要'!$E$15*K778)</f>
        <v/>
      </c>
      <c r="T778" s="195">
        <f>IF(B778="","",P778+R778)</f>
        <v/>
      </c>
      <c r="U778" s="195">
        <f>IF(B778="","",Q778+S778)</f>
        <v/>
      </c>
      <c r="V778" s="195">
        <f>IF(B778="","",T778+'入力・概要'!$E$9*F778)</f>
        <v/>
      </c>
      <c r="W778" s="195">
        <f>IF(B778="","",U778+'入力・概要'!$E$9*G778)</f>
        <v/>
      </c>
      <c r="X778" s="195">
        <f>IF(B778="","",'入力・概要'!$E$9+T778*F778-U778*G778)</f>
        <v/>
      </c>
      <c r="Y778" s="195">
        <f>IF(B778="","",T778*G778+U778*F778)</f>
        <v/>
      </c>
      <c r="Z778" s="195">
        <f>IF(B778="","",'入力・概要'!$E$9*(V778*X778+W778*Y778)/(X778^2+Y778^2)+'入力・概要'!$B$36)</f>
        <v/>
      </c>
      <c r="AA778" s="195">
        <f>IF(B778="","",'入力・概要'!$E$9*(W778*X778-V778*Y778)/(X778^2+Y778^2)+C778*'入力・概要'!$B$37*1E-9)</f>
        <v/>
      </c>
      <c r="AB778" s="195">
        <f>IF(B778="","",SQRT(Z778^2+AA778^2))</f>
        <v/>
      </c>
      <c r="AC778" s="195">
        <f>IF(B778="","",IF(Z778&gt;0,DEGREES(ATAN(AA778/Z778)),IF(Z778&lt;0,IF(AA778&gt;=0,DEGREES(ATAN(AA778/Z778))+180,DEGREES(ATAN(AA778/Z778))-180),IF(AA778&gt;0,90,IF(AA778&lt;0,-90,0)))))</f>
        <v/>
      </c>
      <c r="AD778" s="195">
        <f>IF(B778="","",LOG10(B778))</f>
        <v/>
      </c>
      <c r="AE778" s="195">
        <f>IF(AB778="","",LOG10(MAX(AB778,1E-12)))</f>
        <v/>
      </c>
      <c r="AF778" s="195">
        <f>IF(B778="","",SQRT(P778^2+Q778^2))</f>
        <v/>
      </c>
      <c r="AG778" s="195">
        <f>IF(B778="","",SQRT(R778^2+S778^2))</f>
        <v/>
      </c>
    </row>
    <row r="779">
      <c r="A779" t="n">
        <v>776</v>
      </c>
      <c r="B779" s="196">
        <f>IF(A779&lt;='入力・概要'!$B$40,10^(LOG10('入力・概要'!$B$38)+(A779-1)*(LOG10('入力・概要'!$B$39)-LOG10('入力・概要'!$B$38))/('入力・概要'!$B$40-1)),"")</f>
        <v/>
      </c>
      <c r="C779" s="195">
        <f>IF(B779="","",2*PI()*B779)</f>
        <v/>
      </c>
      <c r="D779" s="195">
        <f>IF(B779="","",ATANH(MIN(0.999999,'入力・概要'!$E$20/'入力・概要'!$E$9))+'入力・概要'!$B$20*SQRT(B779/1E6)+E779*'入力・概要'!$B$15/2)</f>
        <v/>
      </c>
      <c r="E779" s="195">
        <f>IF(B779="","",C779*('入力・概要'!$E$11*1E-9))</f>
        <v/>
      </c>
      <c r="F779" s="195">
        <f>IF(B779="","",SINH(2*D779)/(COSH(2*D779)+COS(2*E779)))</f>
        <v/>
      </c>
      <c r="G779" s="195">
        <f>IF(B779="","",SIN(2*E779)/(COSH(2*D779)+COS(2*E779)))</f>
        <v/>
      </c>
      <c r="H779" s="195">
        <f>IF(B779="","",ATANH(MIN(0.999999,'入力・概要'!$E$21/'入力・概要'!$E$15))+'入力・概要'!$B$21*SQRT(B779/1E6)+I779*'入力・概要'!$B$16/2)</f>
        <v/>
      </c>
      <c r="I779" s="195">
        <f>IF(B779="","",C779*('入力・概要'!$E$17*1E-9))</f>
        <v/>
      </c>
      <c r="J779" s="195">
        <f>IF(B779="","",SINH(2*H779)/(COSH(2*H779)+COS(2*I779)))</f>
        <v/>
      </c>
      <c r="K779" s="195">
        <f>IF(B779="","",SIN(2*I779)/(COSH(2*H779)+COS(2*I779)))</f>
        <v/>
      </c>
      <c r="L779" s="195">
        <f>IF(B779="","",'入力・概要'!$B$25)</f>
        <v/>
      </c>
      <c r="M779" s="195">
        <f>IF(B779="","",C779*'入力・概要'!$B$26*1E-9-1/(C779*'入力・概要'!$B$24*1E-6))</f>
        <v/>
      </c>
      <c r="N779" s="195">
        <f>IF(B779="","",'入力・概要'!$B$28)</f>
        <v/>
      </c>
      <c r="O779" s="195">
        <f>IF(B779="","",C779*'入力・概要'!$B$29*1E-9-1/(C779*'入力・概要'!$B$27*1E-6))</f>
        <v/>
      </c>
      <c r="P779" s="195">
        <f>IF(B779="","",((L779*N779-M779*O779)*(L779+N779)+(L779*O779+M779*N779)*(M779+O779))/((L779+N779)^2+(M779+O779)^2))</f>
        <v/>
      </c>
      <c r="Q779" s="195">
        <f>IF(B779="","",((L779*O779+M779*N779)*(L779+N779)-(L779*N779-M779*O779)*(M779+O779))/((L779+N779)^2+(M779+O779)^2))</f>
        <v/>
      </c>
      <c r="R779" s="195">
        <f>IF(B779="","",'入力・概要'!$E$15*J779)</f>
        <v/>
      </c>
      <c r="S779" s="195">
        <f>IF(B779="","",'入力・概要'!$E$15*K779)</f>
        <v/>
      </c>
      <c r="T779" s="195">
        <f>IF(B779="","",P779+R779)</f>
        <v/>
      </c>
      <c r="U779" s="195">
        <f>IF(B779="","",Q779+S779)</f>
        <v/>
      </c>
      <c r="V779" s="195">
        <f>IF(B779="","",T779+'入力・概要'!$E$9*F779)</f>
        <v/>
      </c>
      <c r="W779" s="195">
        <f>IF(B779="","",U779+'入力・概要'!$E$9*G779)</f>
        <v/>
      </c>
      <c r="X779" s="195">
        <f>IF(B779="","",'入力・概要'!$E$9+T779*F779-U779*G779)</f>
        <v/>
      </c>
      <c r="Y779" s="195">
        <f>IF(B779="","",T779*G779+U779*F779)</f>
        <v/>
      </c>
      <c r="Z779" s="195">
        <f>IF(B779="","",'入力・概要'!$E$9*(V779*X779+W779*Y779)/(X779^2+Y779^2)+'入力・概要'!$B$36)</f>
        <v/>
      </c>
      <c r="AA779" s="195">
        <f>IF(B779="","",'入力・概要'!$E$9*(W779*X779-V779*Y779)/(X779^2+Y779^2)+C779*'入力・概要'!$B$37*1E-9)</f>
        <v/>
      </c>
      <c r="AB779" s="195">
        <f>IF(B779="","",SQRT(Z779^2+AA779^2))</f>
        <v/>
      </c>
      <c r="AC779" s="195">
        <f>IF(B779="","",IF(Z779&gt;0,DEGREES(ATAN(AA779/Z779)),IF(Z779&lt;0,IF(AA779&gt;=0,DEGREES(ATAN(AA779/Z779))+180,DEGREES(ATAN(AA779/Z779))-180),IF(AA779&gt;0,90,IF(AA779&lt;0,-90,0)))))</f>
        <v/>
      </c>
      <c r="AD779" s="195">
        <f>IF(B779="","",LOG10(B779))</f>
        <v/>
      </c>
      <c r="AE779" s="195">
        <f>IF(AB779="","",LOG10(MAX(AB779,1E-12)))</f>
        <v/>
      </c>
      <c r="AF779" s="195">
        <f>IF(B779="","",SQRT(P779^2+Q779^2))</f>
        <v/>
      </c>
      <c r="AG779" s="195">
        <f>IF(B779="","",SQRT(R779^2+S779^2))</f>
        <v/>
      </c>
    </row>
    <row r="780">
      <c r="A780" t="n">
        <v>777</v>
      </c>
      <c r="B780" s="196">
        <f>IF(A780&lt;='入力・概要'!$B$40,10^(LOG10('入力・概要'!$B$38)+(A780-1)*(LOG10('入力・概要'!$B$39)-LOG10('入力・概要'!$B$38))/('入力・概要'!$B$40-1)),"")</f>
        <v/>
      </c>
      <c r="C780" s="195">
        <f>IF(B780="","",2*PI()*B780)</f>
        <v/>
      </c>
      <c r="D780" s="195">
        <f>IF(B780="","",ATANH(MIN(0.999999,'入力・概要'!$E$20/'入力・概要'!$E$9))+'入力・概要'!$B$20*SQRT(B780/1E6)+E780*'入力・概要'!$B$15/2)</f>
        <v/>
      </c>
      <c r="E780" s="195">
        <f>IF(B780="","",C780*('入力・概要'!$E$11*1E-9))</f>
        <v/>
      </c>
      <c r="F780" s="195">
        <f>IF(B780="","",SINH(2*D780)/(COSH(2*D780)+COS(2*E780)))</f>
        <v/>
      </c>
      <c r="G780" s="195">
        <f>IF(B780="","",SIN(2*E780)/(COSH(2*D780)+COS(2*E780)))</f>
        <v/>
      </c>
      <c r="H780" s="195">
        <f>IF(B780="","",ATANH(MIN(0.999999,'入力・概要'!$E$21/'入力・概要'!$E$15))+'入力・概要'!$B$21*SQRT(B780/1E6)+I780*'入力・概要'!$B$16/2)</f>
        <v/>
      </c>
      <c r="I780" s="195">
        <f>IF(B780="","",C780*('入力・概要'!$E$17*1E-9))</f>
        <v/>
      </c>
      <c r="J780" s="195">
        <f>IF(B780="","",SINH(2*H780)/(COSH(2*H780)+COS(2*I780)))</f>
        <v/>
      </c>
      <c r="K780" s="195">
        <f>IF(B780="","",SIN(2*I780)/(COSH(2*H780)+COS(2*I780)))</f>
        <v/>
      </c>
      <c r="L780" s="195">
        <f>IF(B780="","",'入力・概要'!$B$25)</f>
        <v/>
      </c>
      <c r="M780" s="195">
        <f>IF(B780="","",C780*'入力・概要'!$B$26*1E-9-1/(C780*'入力・概要'!$B$24*1E-6))</f>
        <v/>
      </c>
      <c r="N780" s="195">
        <f>IF(B780="","",'入力・概要'!$B$28)</f>
        <v/>
      </c>
      <c r="O780" s="195">
        <f>IF(B780="","",C780*'入力・概要'!$B$29*1E-9-1/(C780*'入力・概要'!$B$27*1E-6))</f>
        <v/>
      </c>
      <c r="P780" s="195">
        <f>IF(B780="","",((L780*N780-M780*O780)*(L780+N780)+(L780*O780+M780*N780)*(M780+O780))/((L780+N780)^2+(M780+O780)^2))</f>
        <v/>
      </c>
      <c r="Q780" s="195">
        <f>IF(B780="","",((L780*O780+M780*N780)*(L780+N780)-(L780*N780-M780*O780)*(M780+O780))/((L780+N780)^2+(M780+O780)^2))</f>
        <v/>
      </c>
      <c r="R780" s="195">
        <f>IF(B780="","",'入力・概要'!$E$15*J780)</f>
        <v/>
      </c>
      <c r="S780" s="195">
        <f>IF(B780="","",'入力・概要'!$E$15*K780)</f>
        <v/>
      </c>
      <c r="T780" s="195">
        <f>IF(B780="","",P780+R780)</f>
        <v/>
      </c>
      <c r="U780" s="195">
        <f>IF(B780="","",Q780+S780)</f>
        <v/>
      </c>
      <c r="V780" s="195">
        <f>IF(B780="","",T780+'入力・概要'!$E$9*F780)</f>
        <v/>
      </c>
      <c r="W780" s="195">
        <f>IF(B780="","",U780+'入力・概要'!$E$9*G780)</f>
        <v/>
      </c>
      <c r="X780" s="195">
        <f>IF(B780="","",'入力・概要'!$E$9+T780*F780-U780*G780)</f>
        <v/>
      </c>
      <c r="Y780" s="195">
        <f>IF(B780="","",T780*G780+U780*F780)</f>
        <v/>
      </c>
      <c r="Z780" s="195">
        <f>IF(B780="","",'入力・概要'!$E$9*(V780*X780+W780*Y780)/(X780^2+Y780^2)+'入力・概要'!$B$36)</f>
        <v/>
      </c>
      <c r="AA780" s="195">
        <f>IF(B780="","",'入力・概要'!$E$9*(W780*X780-V780*Y780)/(X780^2+Y780^2)+C780*'入力・概要'!$B$37*1E-9)</f>
        <v/>
      </c>
      <c r="AB780" s="195">
        <f>IF(B780="","",SQRT(Z780^2+AA780^2))</f>
        <v/>
      </c>
      <c r="AC780" s="195">
        <f>IF(B780="","",IF(Z780&gt;0,DEGREES(ATAN(AA780/Z780)),IF(Z780&lt;0,IF(AA780&gt;=0,DEGREES(ATAN(AA780/Z780))+180,DEGREES(ATAN(AA780/Z780))-180),IF(AA780&gt;0,90,IF(AA780&lt;0,-90,0)))))</f>
        <v/>
      </c>
      <c r="AD780" s="195">
        <f>IF(B780="","",LOG10(B780))</f>
        <v/>
      </c>
      <c r="AE780" s="195">
        <f>IF(AB780="","",LOG10(MAX(AB780,1E-12)))</f>
        <v/>
      </c>
      <c r="AF780" s="195">
        <f>IF(B780="","",SQRT(P780^2+Q780^2))</f>
        <v/>
      </c>
      <c r="AG780" s="195">
        <f>IF(B780="","",SQRT(R780^2+S780^2))</f>
        <v/>
      </c>
    </row>
    <row r="781">
      <c r="A781" t="n">
        <v>778</v>
      </c>
      <c r="B781" s="196">
        <f>IF(A781&lt;='入力・概要'!$B$40,10^(LOG10('入力・概要'!$B$38)+(A781-1)*(LOG10('入力・概要'!$B$39)-LOG10('入力・概要'!$B$38))/('入力・概要'!$B$40-1)),"")</f>
        <v/>
      </c>
      <c r="C781" s="195">
        <f>IF(B781="","",2*PI()*B781)</f>
        <v/>
      </c>
      <c r="D781" s="195">
        <f>IF(B781="","",ATANH(MIN(0.999999,'入力・概要'!$E$20/'入力・概要'!$E$9))+'入力・概要'!$B$20*SQRT(B781/1E6)+E781*'入力・概要'!$B$15/2)</f>
        <v/>
      </c>
      <c r="E781" s="195">
        <f>IF(B781="","",C781*('入力・概要'!$E$11*1E-9))</f>
        <v/>
      </c>
      <c r="F781" s="195">
        <f>IF(B781="","",SINH(2*D781)/(COSH(2*D781)+COS(2*E781)))</f>
        <v/>
      </c>
      <c r="G781" s="195">
        <f>IF(B781="","",SIN(2*E781)/(COSH(2*D781)+COS(2*E781)))</f>
        <v/>
      </c>
      <c r="H781" s="195">
        <f>IF(B781="","",ATANH(MIN(0.999999,'入力・概要'!$E$21/'入力・概要'!$E$15))+'入力・概要'!$B$21*SQRT(B781/1E6)+I781*'入力・概要'!$B$16/2)</f>
        <v/>
      </c>
      <c r="I781" s="195">
        <f>IF(B781="","",C781*('入力・概要'!$E$17*1E-9))</f>
        <v/>
      </c>
      <c r="J781" s="195">
        <f>IF(B781="","",SINH(2*H781)/(COSH(2*H781)+COS(2*I781)))</f>
        <v/>
      </c>
      <c r="K781" s="195">
        <f>IF(B781="","",SIN(2*I781)/(COSH(2*H781)+COS(2*I781)))</f>
        <v/>
      </c>
      <c r="L781" s="195">
        <f>IF(B781="","",'入力・概要'!$B$25)</f>
        <v/>
      </c>
      <c r="M781" s="195">
        <f>IF(B781="","",C781*'入力・概要'!$B$26*1E-9-1/(C781*'入力・概要'!$B$24*1E-6))</f>
        <v/>
      </c>
      <c r="N781" s="195">
        <f>IF(B781="","",'入力・概要'!$B$28)</f>
        <v/>
      </c>
      <c r="O781" s="195">
        <f>IF(B781="","",C781*'入力・概要'!$B$29*1E-9-1/(C781*'入力・概要'!$B$27*1E-6))</f>
        <v/>
      </c>
      <c r="P781" s="195">
        <f>IF(B781="","",((L781*N781-M781*O781)*(L781+N781)+(L781*O781+M781*N781)*(M781+O781))/((L781+N781)^2+(M781+O781)^2))</f>
        <v/>
      </c>
      <c r="Q781" s="195">
        <f>IF(B781="","",((L781*O781+M781*N781)*(L781+N781)-(L781*N781-M781*O781)*(M781+O781))/((L781+N781)^2+(M781+O781)^2))</f>
        <v/>
      </c>
      <c r="R781" s="195">
        <f>IF(B781="","",'入力・概要'!$E$15*J781)</f>
        <v/>
      </c>
      <c r="S781" s="195">
        <f>IF(B781="","",'入力・概要'!$E$15*K781)</f>
        <v/>
      </c>
      <c r="T781" s="195">
        <f>IF(B781="","",P781+R781)</f>
        <v/>
      </c>
      <c r="U781" s="195">
        <f>IF(B781="","",Q781+S781)</f>
        <v/>
      </c>
      <c r="V781" s="195">
        <f>IF(B781="","",T781+'入力・概要'!$E$9*F781)</f>
        <v/>
      </c>
      <c r="W781" s="195">
        <f>IF(B781="","",U781+'入力・概要'!$E$9*G781)</f>
        <v/>
      </c>
      <c r="X781" s="195">
        <f>IF(B781="","",'入力・概要'!$E$9+T781*F781-U781*G781)</f>
        <v/>
      </c>
      <c r="Y781" s="195">
        <f>IF(B781="","",T781*G781+U781*F781)</f>
        <v/>
      </c>
      <c r="Z781" s="195">
        <f>IF(B781="","",'入力・概要'!$E$9*(V781*X781+W781*Y781)/(X781^2+Y781^2)+'入力・概要'!$B$36)</f>
        <v/>
      </c>
      <c r="AA781" s="195">
        <f>IF(B781="","",'入力・概要'!$E$9*(W781*X781-V781*Y781)/(X781^2+Y781^2)+C781*'入力・概要'!$B$37*1E-9)</f>
        <v/>
      </c>
      <c r="AB781" s="195">
        <f>IF(B781="","",SQRT(Z781^2+AA781^2))</f>
        <v/>
      </c>
      <c r="AC781" s="195">
        <f>IF(B781="","",IF(Z781&gt;0,DEGREES(ATAN(AA781/Z781)),IF(Z781&lt;0,IF(AA781&gt;=0,DEGREES(ATAN(AA781/Z781))+180,DEGREES(ATAN(AA781/Z781))-180),IF(AA781&gt;0,90,IF(AA781&lt;0,-90,0)))))</f>
        <v/>
      </c>
      <c r="AD781" s="195">
        <f>IF(B781="","",LOG10(B781))</f>
        <v/>
      </c>
      <c r="AE781" s="195">
        <f>IF(AB781="","",LOG10(MAX(AB781,1E-12)))</f>
        <v/>
      </c>
      <c r="AF781" s="195">
        <f>IF(B781="","",SQRT(P781^2+Q781^2))</f>
        <v/>
      </c>
      <c r="AG781" s="195">
        <f>IF(B781="","",SQRT(R781^2+S781^2))</f>
        <v/>
      </c>
    </row>
    <row r="782">
      <c r="A782" t="n">
        <v>779</v>
      </c>
      <c r="B782" s="196">
        <f>IF(A782&lt;='入力・概要'!$B$40,10^(LOG10('入力・概要'!$B$38)+(A782-1)*(LOG10('入力・概要'!$B$39)-LOG10('入力・概要'!$B$38))/('入力・概要'!$B$40-1)),"")</f>
        <v/>
      </c>
      <c r="C782" s="195">
        <f>IF(B782="","",2*PI()*B782)</f>
        <v/>
      </c>
      <c r="D782" s="195">
        <f>IF(B782="","",ATANH(MIN(0.999999,'入力・概要'!$E$20/'入力・概要'!$E$9))+'入力・概要'!$B$20*SQRT(B782/1E6)+E782*'入力・概要'!$B$15/2)</f>
        <v/>
      </c>
      <c r="E782" s="195">
        <f>IF(B782="","",C782*('入力・概要'!$E$11*1E-9))</f>
        <v/>
      </c>
      <c r="F782" s="195">
        <f>IF(B782="","",SINH(2*D782)/(COSH(2*D782)+COS(2*E782)))</f>
        <v/>
      </c>
      <c r="G782" s="195">
        <f>IF(B782="","",SIN(2*E782)/(COSH(2*D782)+COS(2*E782)))</f>
        <v/>
      </c>
      <c r="H782" s="195">
        <f>IF(B782="","",ATANH(MIN(0.999999,'入力・概要'!$E$21/'入力・概要'!$E$15))+'入力・概要'!$B$21*SQRT(B782/1E6)+I782*'入力・概要'!$B$16/2)</f>
        <v/>
      </c>
      <c r="I782" s="195">
        <f>IF(B782="","",C782*('入力・概要'!$E$17*1E-9))</f>
        <v/>
      </c>
      <c r="J782" s="195">
        <f>IF(B782="","",SINH(2*H782)/(COSH(2*H782)+COS(2*I782)))</f>
        <v/>
      </c>
      <c r="K782" s="195">
        <f>IF(B782="","",SIN(2*I782)/(COSH(2*H782)+COS(2*I782)))</f>
        <v/>
      </c>
      <c r="L782" s="195">
        <f>IF(B782="","",'入力・概要'!$B$25)</f>
        <v/>
      </c>
      <c r="M782" s="195">
        <f>IF(B782="","",C782*'入力・概要'!$B$26*1E-9-1/(C782*'入力・概要'!$B$24*1E-6))</f>
        <v/>
      </c>
      <c r="N782" s="195">
        <f>IF(B782="","",'入力・概要'!$B$28)</f>
        <v/>
      </c>
      <c r="O782" s="195">
        <f>IF(B782="","",C782*'入力・概要'!$B$29*1E-9-1/(C782*'入力・概要'!$B$27*1E-6))</f>
        <v/>
      </c>
      <c r="P782" s="195">
        <f>IF(B782="","",((L782*N782-M782*O782)*(L782+N782)+(L782*O782+M782*N782)*(M782+O782))/((L782+N782)^2+(M782+O782)^2))</f>
        <v/>
      </c>
      <c r="Q782" s="195">
        <f>IF(B782="","",((L782*O782+M782*N782)*(L782+N782)-(L782*N782-M782*O782)*(M782+O782))/((L782+N782)^2+(M782+O782)^2))</f>
        <v/>
      </c>
      <c r="R782" s="195">
        <f>IF(B782="","",'入力・概要'!$E$15*J782)</f>
        <v/>
      </c>
      <c r="S782" s="195">
        <f>IF(B782="","",'入力・概要'!$E$15*K782)</f>
        <v/>
      </c>
      <c r="T782" s="195">
        <f>IF(B782="","",P782+R782)</f>
        <v/>
      </c>
      <c r="U782" s="195">
        <f>IF(B782="","",Q782+S782)</f>
        <v/>
      </c>
      <c r="V782" s="195">
        <f>IF(B782="","",T782+'入力・概要'!$E$9*F782)</f>
        <v/>
      </c>
      <c r="W782" s="195">
        <f>IF(B782="","",U782+'入力・概要'!$E$9*G782)</f>
        <v/>
      </c>
      <c r="X782" s="195">
        <f>IF(B782="","",'入力・概要'!$E$9+T782*F782-U782*G782)</f>
        <v/>
      </c>
      <c r="Y782" s="195">
        <f>IF(B782="","",T782*G782+U782*F782)</f>
        <v/>
      </c>
      <c r="Z782" s="195">
        <f>IF(B782="","",'入力・概要'!$E$9*(V782*X782+W782*Y782)/(X782^2+Y782^2)+'入力・概要'!$B$36)</f>
        <v/>
      </c>
      <c r="AA782" s="195">
        <f>IF(B782="","",'入力・概要'!$E$9*(W782*X782-V782*Y782)/(X782^2+Y782^2)+C782*'入力・概要'!$B$37*1E-9)</f>
        <v/>
      </c>
      <c r="AB782" s="195">
        <f>IF(B782="","",SQRT(Z782^2+AA782^2))</f>
        <v/>
      </c>
      <c r="AC782" s="195">
        <f>IF(B782="","",IF(Z782&gt;0,DEGREES(ATAN(AA782/Z782)),IF(Z782&lt;0,IF(AA782&gt;=0,DEGREES(ATAN(AA782/Z782))+180,DEGREES(ATAN(AA782/Z782))-180),IF(AA782&gt;0,90,IF(AA782&lt;0,-90,0)))))</f>
        <v/>
      </c>
      <c r="AD782" s="195">
        <f>IF(B782="","",LOG10(B782))</f>
        <v/>
      </c>
      <c r="AE782" s="195">
        <f>IF(AB782="","",LOG10(MAX(AB782,1E-12)))</f>
        <v/>
      </c>
      <c r="AF782" s="195">
        <f>IF(B782="","",SQRT(P782^2+Q782^2))</f>
        <v/>
      </c>
      <c r="AG782" s="195">
        <f>IF(B782="","",SQRT(R782^2+S782^2))</f>
        <v/>
      </c>
    </row>
    <row r="783">
      <c r="A783" t="n">
        <v>780</v>
      </c>
      <c r="B783" s="196">
        <f>IF(A783&lt;='入力・概要'!$B$40,10^(LOG10('入力・概要'!$B$38)+(A783-1)*(LOG10('入力・概要'!$B$39)-LOG10('入力・概要'!$B$38))/('入力・概要'!$B$40-1)),"")</f>
        <v/>
      </c>
      <c r="C783" s="195">
        <f>IF(B783="","",2*PI()*B783)</f>
        <v/>
      </c>
      <c r="D783" s="195">
        <f>IF(B783="","",ATANH(MIN(0.999999,'入力・概要'!$E$20/'入力・概要'!$E$9))+'入力・概要'!$B$20*SQRT(B783/1E6)+E783*'入力・概要'!$B$15/2)</f>
        <v/>
      </c>
      <c r="E783" s="195">
        <f>IF(B783="","",C783*('入力・概要'!$E$11*1E-9))</f>
        <v/>
      </c>
      <c r="F783" s="195">
        <f>IF(B783="","",SINH(2*D783)/(COSH(2*D783)+COS(2*E783)))</f>
        <v/>
      </c>
      <c r="G783" s="195">
        <f>IF(B783="","",SIN(2*E783)/(COSH(2*D783)+COS(2*E783)))</f>
        <v/>
      </c>
      <c r="H783" s="195">
        <f>IF(B783="","",ATANH(MIN(0.999999,'入力・概要'!$E$21/'入力・概要'!$E$15))+'入力・概要'!$B$21*SQRT(B783/1E6)+I783*'入力・概要'!$B$16/2)</f>
        <v/>
      </c>
      <c r="I783" s="195">
        <f>IF(B783="","",C783*('入力・概要'!$E$17*1E-9))</f>
        <v/>
      </c>
      <c r="J783" s="195">
        <f>IF(B783="","",SINH(2*H783)/(COSH(2*H783)+COS(2*I783)))</f>
        <v/>
      </c>
      <c r="K783" s="195">
        <f>IF(B783="","",SIN(2*I783)/(COSH(2*H783)+COS(2*I783)))</f>
        <v/>
      </c>
      <c r="L783" s="195">
        <f>IF(B783="","",'入力・概要'!$B$25)</f>
        <v/>
      </c>
      <c r="M783" s="195">
        <f>IF(B783="","",C783*'入力・概要'!$B$26*1E-9-1/(C783*'入力・概要'!$B$24*1E-6))</f>
        <v/>
      </c>
      <c r="N783" s="195">
        <f>IF(B783="","",'入力・概要'!$B$28)</f>
        <v/>
      </c>
      <c r="O783" s="195">
        <f>IF(B783="","",C783*'入力・概要'!$B$29*1E-9-1/(C783*'入力・概要'!$B$27*1E-6))</f>
        <v/>
      </c>
      <c r="P783" s="195">
        <f>IF(B783="","",((L783*N783-M783*O783)*(L783+N783)+(L783*O783+M783*N783)*(M783+O783))/((L783+N783)^2+(M783+O783)^2))</f>
        <v/>
      </c>
      <c r="Q783" s="195">
        <f>IF(B783="","",((L783*O783+M783*N783)*(L783+N783)-(L783*N783-M783*O783)*(M783+O783))/((L783+N783)^2+(M783+O783)^2))</f>
        <v/>
      </c>
      <c r="R783" s="195">
        <f>IF(B783="","",'入力・概要'!$E$15*J783)</f>
        <v/>
      </c>
      <c r="S783" s="195">
        <f>IF(B783="","",'入力・概要'!$E$15*K783)</f>
        <v/>
      </c>
      <c r="T783" s="195">
        <f>IF(B783="","",P783+R783)</f>
        <v/>
      </c>
      <c r="U783" s="195">
        <f>IF(B783="","",Q783+S783)</f>
        <v/>
      </c>
      <c r="V783" s="195">
        <f>IF(B783="","",T783+'入力・概要'!$E$9*F783)</f>
        <v/>
      </c>
      <c r="W783" s="195">
        <f>IF(B783="","",U783+'入力・概要'!$E$9*G783)</f>
        <v/>
      </c>
      <c r="X783" s="195">
        <f>IF(B783="","",'入力・概要'!$E$9+T783*F783-U783*G783)</f>
        <v/>
      </c>
      <c r="Y783" s="195">
        <f>IF(B783="","",T783*G783+U783*F783)</f>
        <v/>
      </c>
      <c r="Z783" s="195">
        <f>IF(B783="","",'入力・概要'!$E$9*(V783*X783+W783*Y783)/(X783^2+Y783^2)+'入力・概要'!$B$36)</f>
        <v/>
      </c>
      <c r="AA783" s="195">
        <f>IF(B783="","",'入力・概要'!$E$9*(W783*X783-V783*Y783)/(X783^2+Y783^2)+C783*'入力・概要'!$B$37*1E-9)</f>
        <v/>
      </c>
      <c r="AB783" s="195">
        <f>IF(B783="","",SQRT(Z783^2+AA783^2))</f>
        <v/>
      </c>
      <c r="AC783" s="195">
        <f>IF(B783="","",IF(Z783&gt;0,DEGREES(ATAN(AA783/Z783)),IF(Z783&lt;0,IF(AA783&gt;=0,DEGREES(ATAN(AA783/Z783))+180,DEGREES(ATAN(AA783/Z783))-180),IF(AA783&gt;0,90,IF(AA783&lt;0,-90,0)))))</f>
        <v/>
      </c>
      <c r="AD783" s="195">
        <f>IF(B783="","",LOG10(B783))</f>
        <v/>
      </c>
      <c r="AE783" s="195">
        <f>IF(AB783="","",LOG10(MAX(AB783,1E-12)))</f>
        <v/>
      </c>
      <c r="AF783" s="195">
        <f>IF(B783="","",SQRT(P783^2+Q783^2))</f>
        <v/>
      </c>
      <c r="AG783" s="195">
        <f>IF(B783="","",SQRT(R783^2+S783^2))</f>
        <v/>
      </c>
    </row>
    <row r="784">
      <c r="A784" t="n">
        <v>781</v>
      </c>
      <c r="B784" s="196">
        <f>IF(A784&lt;='入力・概要'!$B$40,10^(LOG10('入力・概要'!$B$38)+(A784-1)*(LOG10('入力・概要'!$B$39)-LOG10('入力・概要'!$B$38))/('入力・概要'!$B$40-1)),"")</f>
        <v/>
      </c>
      <c r="C784" s="195">
        <f>IF(B784="","",2*PI()*B784)</f>
        <v/>
      </c>
      <c r="D784" s="195">
        <f>IF(B784="","",ATANH(MIN(0.999999,'入力・概要'!$E$20/'入力・概要'!$E$9))+'入力・概要'!$B$20*SQRT(B784/1E6)+E784*'入力・概要'!$B$15/2)</f>
        <v/>
      </c>
      <c r="E784" s="195">
        <f>IF(B784="","",C784*('入力・概要'!$E$11*1E-9))</f>
        <v/>
      </c>
      <c r="F784" s="195">
        <f>IF(B784="","",SINH(2*D784)/(COSH(2*D784)+COS(2*E784)))</f>
        <v/>
      </c>
      <c r="G784" s="195">
        <f>IF(B784="","",SIN(2*E784)/(COSH(2*D784)+COS(2*E784)))</f>
        <v/>
      </c>
      <c r="H784" s="195">
        <f>IF(B784="","",ATANH(MIN(0.999999,'入力・概要'!$E$21/'入力・概要'!$E$15))+'入力・概要'!$B$21*SQRT(B784/1E6)+I784*'入力・概要'!$B$16/2)</f>
        <v/>
      </c>
      <c r="I784" s="195">
        <f>IF(B784="","",C784*('入力・概要'!$E$17*1E-9))</f>
        <v/>
      </c>
      <c r="J784" s="195">
        <f>IF(B784="","",SINH(2*H784)/(COSH(2*H784)+COS(2*I784)))</f>
        <v/>
      </c>
      <c r="K784" s="195">
        <f>IF(B784="","",SIN(2*I784)/(COSH(2*H784)+COS(2*I784)))</f>
        <v/>
      </c>
      <c r="L784" s="195">
        <f>IF(B784="","",'入力・概要'!$B$25)</f>
        <v/>
      </c>
      <c r="M784" s="195">
        <f>IF(B784="","",C784*'入力・概要'!$B$26*1E-9-1/(C784*'入力・概要'!$B$24*1E-6))</f>
        <v/>
      </c>
      <c r="N784" s="195">
        <f>IF(B784="","",'入力・概要'!$B$28)</f>
        <v/>
      </c>
      <c r="O784" s="195">
        <f>IF(B784="","",C784*'入力・概要'!$B$29*1E-9-1/(C784*'入力・概要'!$B$27*1E-6))</f>
        <v/>
      </c>
      <c r="P784" s="195">
        <f>IF(B784="","",((L784*N784-M784*O784)*(L784+N784)+(L784*O784+M784*N784)*(M784+O784))/((L784+N784)^2+(M784+O784)^2))</f>
        <v/>
      </c>
      <c r="Q784" s="195">
        <f>IF(B784="","",((L784*O784+M784*N784)*(L784+N784)-(L784*N784-M784*O784)*(M784+O784))/((L784+N784)^2+(M784+O784)^2))</f>
        <v/>
      </c>
      <c r="R784" s="195">
        <f>IF(B784="","",'入力・概要'!$E$15*J784)</f>
        <v/>
      </c>
      <c r="S784" s="195">
        <f>IF(B784="","",'入力・概要'!$E$15*K784)</f>
        <v/>
      </c>
      <c r="T784" s="195">
        <f>IF(B784="","",P784+R784)</f>
        <v/>
      </c>
      <c r="U784" s="195">
        <f>IF(B784="","",Q784+S784)</f>
        <v/>
      </c>
      <c r="V784" s="195">
        <f>IF(B784="","",T784+'入力・概要'!$E$9*F784)</f>
        <v/>
      </c>
      <c r="W784" s="195">
        <f>IF(B784="","",U784+'入力・概要'!$E$9*G784)</f>
        <v/>
      </c>
      <c r="X784" s="195">
        <f>IF(B784="","",'入力・概要'!$E$9+T784*F784-U784*G784)</f>
        <v/>
      </c>
      <c r="Y784" s="195">
        <f>IF(B784="","",T784*G784+U784*F784)</f>
        <v/>
      </c>
      <c r="Z784" s="195">
        <f>IF(B784="","",'入力・概要'!$E$9*(V784*X784+W784*Y784)/(X784^2+Y784^2)+'入力・概要'!$B$36)</f>
        <v/>
      </c>
      <c r="AA784" s="195">
        <f>IF(B784="","",'入力・概要'!$E$9*(W784*X784-V784*Y784)/(X784^2+Y784^2)+C784*'入力・概要'!$B$37*1E-9)</f>
        <v/>
      </c>
      <c r="AB784" s="195">
        <f>IF(B784="","",SQRT(Z784^2+AA784^2))</f>
        <v/>
      </c>
      <c r="AC784" s="195">
        <f>IF(B784="","",IF(Z784&gt;0,DEGREES(ATAN(AA784/Z784)),IF(Z784&lt;0,IF(AA784&gt;=0,DEGREES(ATAN(AA784/Z784))+180,DEGREES(ATAN(AA784/Z784))-180),IF(AA784&gt;0,90,IF(AA784&lt;0,-90,0)))))</f>
        <v/>
      </c>
      <c r="AD784" s="195">
        <f>IF(B784="","",LOG10(B784))</f>
        <v/>
      </c>
      <c r="AE784" s="195">
        <f>IF(AB784="","",LOG10(MAX(AB784,1E-12)))</f>
        <v/>
      </c>
      <c r="AF784" s="195">
        <f>IF(B784="","",SQRT(P784^2+Q784^2))</f>
        <v/>
      </c>
      <c r="AG784" s="195">
        <f>IF(B784="","",SQRT(R784^2+S784^2))</f>
        <v/>
      </c>
    </row>
    <row r="785">
      <c r="A785" t="n">
        <v>782</v>
      </c>
      <c r="B785" s="196">
        <f>IF(A785&lt;='入力・概要'!$B$40,10^(LOG10('入力・概要'!$B$38)+(A785-1)*(LOG10('入力・概要'!$B$39)-LOG10('入力・概要'!$B$38))/('入力・概要'!$B$40-1)),"")</f>
        <v/>
      </c>
      <c r="C785" s="195">
        <f>IF(B785="","",2*PI()*B785)</f>
        <v/>
      </c>
      <c r="D785" s="195">
        <f>IF(B785="","",ATANH(MIN(0.999999,'入力・概要'!$E$20/'入力・概要'!$E$9))+'入力・概要'!$B$20*SQRT(B785/1E6)+E785*'入力・概要'!$B$15/2)</f>
        <v/>
      </c>
      <c r="E785" s="195">
        <f>IF(B785="","",C785*('入力・概要'!$E$11*1E-9))</f>
        <v/>
      </c>
      <c r="F785" s="195">
        <f>IF(B785="","",SINH(2*D785)/(COSH(2*D785)+COS(2*E785)))</f>
        <v/>
      </c>
      <c r="G785" s="195">
        <f>IF(B785="","",SIN(2*E785)/(COSH(2*D785)+COS(2*E785)))</f>
        <v/>
      </c>
      <c r="H785" s="195">
        <f>IF(B785="","",ATANH(MIN(0.999999,'入力・概要'!$E$21/'入力・概要'!$E$15))+'入力・概要'!$B$21*SQRT(B785/1E6)+I785*'入力・概要'!$B$16/2)</f>
        <v/>
      </c>
      <c r="I785" s="195">
        <f>IF(B785="","",C785*('入力・概要'!$E$17*1E-9))</f>
        <v/>
      </c>
      <c r="J785" s="195">
        <f>IF(B785="","",SINH(2*H785)/(COSH(2*H785)+COS(2*I785)))</f>
        <v/>
      </c>
      <c r="K785" s="195">
        <f>IF(B785="","",SIN(2*I785)/(COSH(2*H785)+COS(2*I785)))</f>
        <v/>
      </c>
      <c r="L785" s="195">
        <f>IF(B785="","",'入力・概要'!$B$25)</f>
        <v/>
      </c>
      <c r="M785" s="195">
        <f>IF(B785="","",C785*'入力・概要'!$B$26*1E-9-1/(C785*'入力・概要'!$B$24*1E-6))</f>
        <v/>
      </c>
      <c r="N785" s="195">
        <f>IF(B785="","",'入力・概要'!$B$28)</f>
        <v/>
      </c>
      <c r="O785" s="195">
        <f>IF(B785="","",C785*'入力・概要'!$B$29*1E-9-1/(C785*'入力・概要'!$B$27*1E-6))</f>
        <v/>
      </c>
      <c r="P785" s="195">
        <f>IF(B785="","",((L785*N785-M785*O785)*(L785+N785)+(L785*O785+M785*N785)*(M785+O785))/((L785+N785)^2+(M785+O785)^2))</f>
        <v/>
      </c>
      <c r="Q785" s="195">
        <f>IF(B785="","",((L785*O785+M785*N785)*(L785+N785)-(L785*N785-M785*O785)*(M785+O785))/((L785+N785)^2+(M785+O785)^2))</f>
        <v/>
      </c>
      <c r="R785" s="195">
        <f>IF(B785="","",'入力・概要'!$E$15*J785)</f>
        <v/>
      </c>
      <c r="S785" s="195">
        <f>IF(B785="","",'入力・概要'!$E$15*K785)</f>
        <v/>
      </c>
      <c r="T785" s="195">
        <f>IF(B785="","",P785+R785)</f>
        <v/>
      </c>
      <c r="U785" s="195">
        <f>IF(B785="","",Q785+S785)</f>
        <v/>
      </c>
      <c r="V785" s="195">
        <f>IF(B785="","",T785+'入力・概要'!$E$9*F785)</f>
        <v/>
      </c>
      <c r="W785" s="195">
        <f>IF(B785="","",U785+'入力・概要'!$E$9*G785)</f>
        <v/>
      </c>
      <c r="X785" s="195">
        <f>IF(B785="","",'入力・概要'!$E$9+T785*F785-U785*G785)</f>
        <v/>
      </c>
      <c r="Y785" s="195">
        <f>IF(B785="","",T785*G785+U785*F785)</f>
        <v/>
      </c>
      <c r="Z785" s="195">
        <f>IF(B785="","",'入力・概要'!$E$9*(V785*X785+W785*Y785)/(X785^2+Y785^2)+'入力・概要'!$B$36)</f>
        <v/>
      </c>
      <c r="AA785" s="195">
        <f>IF(B785="","",'入力・概要'!$E$9*(W785*X785-V785*Y785)/(X785^2+Y785^2)+C785*'入力・概要'!$B$37*1E-9)</f>
        <v/>
      </c>
      <c r="AB785" s="195">
        <f>IF(B785="","",SQRT(Z785^2+AA785^2))</f>
        <v/>
      </c>
      <c r="AC785" s="195">
        <f>IF(B785="","",IF(Z785&gt;0,DEGREES(ATAN(AA785/Z785)),IF(Z785&lt;0,IF(AA785&gt;=0,DEGREES(ATAN(AA785/Z785))+180,DEGREES(ATAN(AA785/Z785))-180),IF(AA785&gt;0,90,IF(AA785&lt;0,-90,0)))))</f>
        <v/>
      </c>
      <c r="AD785" s="195">
        <f>IF(B785="","",LOG10(B785))</f>
        <v/>
      </c>
      <c r="AE785" s="195">
        <f>IF(AB785="","",LOG10(MAX(AB785,1E-12)))</f>
        <v/>
      </c>
      <c r="AF785" s="195">
        <f>IF(B785="","",SQRT(P785^2+Q785^2))</f>
        <v/>
      </c>
      <c r="AG785" s="195">
        <f>IF(B785="","",SQRT(R785^2+S785^2))</f>
        <v/>
      </c>
    </row>
    <row r="786">
      <c r="A786" t="n">
        <v>783</v>
      </c>
      <c r="B786" s="196">
        <f>IF(A786&lt;='入力・概要'!$B$40,10^(LOG10('入力・概要'!$B$38)+(A786-1)*(LOG10('入力・概要'!$B$39)-LOG10('入力・概要'!$B$38))/('入力・概要'!$B$40-1)),"")</f>
        <v/>
      </c>
      <c r="C786" s="195">
        <f>IF(B786="","",2*PI()*B786)</f>
        <v/>
      </c>
      <c r="D786" s="195">
        <f>IF(B786="","",ATANH(MIN(0.999999,'入力・概要'!$E$20/'入力・概要'!$E$9))+'入力・概要'!$B$20*SQRT(B786/1E6)+E786*'入力・概要'!$B$15/2)</f>
        <v/>
      </c>
      <c r="E786" s="195">
        <f>IF(B786="","",C786*('入力・概要'!$E$11*1E-9))</f>
        <v/>
      </c>
      <c r="F786" s="195">
        <f>IF(B786="","",SINH(2*D786)/(COSH(2*D786)+COS(2*E786)))</f>
        <v/>
      </c>
      <c r="G786" s="195">
        <f>IF(B786="","",SIN(2*E786)/(COSH(2*D786)+COS(2*E786)))</f>
        <v/>
      </c>
      <c r="H786" s="195">
        <f>IF(B786="","",ATANH(MIN(0.999999,'入力・概要'!$E$21/'入力・概要'!$E$15))+'入力・概要'!$B$21*SQRT(B786/1E6)+I786*'入力・概要'!$B$16/2)</f>
        <v/>
      </c>
      <c r="I786" s="195">
        <f>IF(B786="","",C786*('入力・概要'!$E$17*1E-9))</f>
        <v/>
      </c>
      <c r="J786" s="195">
        <f>IF(B786="","",SINH(2*H786)/(COSH(2*H786)+COS(2*I786)))</f>
        <v/>
      </c>
      <c r="K786" s="195">
        <f>IF(B786="","",SIN(2*I786)/(COSH(2*H786)+COS(2*I786)))</f>
        <v/>
      </c>
      <c r="L786" s="195">
        <f>IF(B786="","",'入力・概要'!$B$25)</f>
        <v/>
      </c>
      <c r="M786" s="195">
        <f>IF(B786="","",C786*'入力・概要'!$B$26*1E-9-1/(C786*'入力・概要'!$B$24*1E-6))</f>
        <v/>
      </c>
      <c r="N786" s="195">
        <f>IF(B786="","",'入力・概要'!$B$28)</f>
        <v/>
      </c>
      <c r="O786" s="195">
        <f>IF(B786="","",C786*'入力・概要'!$B$29*1E-9-1/(C786*'入力・概要'!$B$27*1E-6))</f>
        <v/>
      </c>
      <c r="P786" s="195">
        <f>IF(B786="","",((L786*N786-M786*O786)*(L786+N786)+(L786*O786+M786*N786)*(M786+O786))/((L786+N786)^2+(M786+O786)^2))</f>
        <v/>
      </c>
      <c r="Q786" s="195">
        <f>IF(B786="","",((L786*O786+M786*N786)*(L786+N786)-(L786*N786-M786*O786)*(M786+O786))/((L786+N786)^2+(M786+O786)^2))</f>
        <v/>
      </c>
      <c r="R786" s="195">
        <f>IF(B786="","",'入力・概要'!$E$15*J786)</f>
        <v/>
      </c>
      <c r="S786" s="195">
        <f>IF(B786="","",'入力・概要'!$E$15*K786)</f>
        <v/>
      </c>
      <c r="T786" s="195">
        <f>IF(B786="","",P786+R786)</f>
        <v/>
      </c>
      <c r="U786" s="195">
        <f>IF(B786="","",Q786+S786)</f>
        <v/>
      </c>
      <c r="V786" s="195">
        <f>IF(B786="","",T786+'入力・概要'!$E$9*F786)</f>
        <v/>
      </c>
      <c r="W786" s="195">
        <f>IF(B786="","",U786+'入力・概要'!$E$9*G786)</f>
        <v/>
      </c>
      <c r="X786" s="195">
        <f>IF(B786="","",'入力・概要'!$E$9+T786*F786-U786*G786)</f>
        <v/>
      </c>
      <c r="Y786" s="195">
        <f>IF(B786="","",T786*G786+U786*F786)</f>
        <v/>
      </c>
      <c r="Z786" s="195">
        <f>IF(B786="","",'入力・概要'!$E$9*(V786*X786+W786*Y786)/(X786^2+Y786^2)+'入力・概要'!$B$36)</f>
        <v/>
      </c>
      <c r="AA786" s="195">
        <f>IF(B786="","",'入力・概要'!$E$9*(W786*X786-V786*Y786)/(X786^2+Y786^2)+C786*'入力・概要'!$B$37*1E-9)</f>
        <v/>
      </c>
      <c r="AB786" s="195">
        <f>IF(B786="","",SQRT(Z786^2+AA786^2))</f>
        <v/>
      </c>
      <c r="AC786" s="195">
        <f>IF(B786="","",IF(Z786&gt;0,DEGREES(ATAN(AA786/Z786)),IF(Z786&lt;0,IF(AA786&gt;=0,DEGREES(ATAN(AA786/Z786))+180,DEGREES(ATAN(AA786/Z786))-180),IF(AA786&gt;0,90,IF(AA786&lt;0,-90,0)))))</f>
        <v/>
      </c>
      <c r="AD786" s="195">
        <f>IF(B786="","",LOG10(B786))</f>
        <v/>
      </c>
      <c r="AE786" s="195">
        <f>IF(AB786="","",LOG10(MAX(AB786,1E-12)))</f>
        <v/>
      </c>
      <c r="AF786" s="195">
        <f>IF(B786="","",SQRT(P786^2+Q786^2))</f>
        <v/>
      </c>
      <c r="AG786" s="195">
        <f>IF(B786="","",SQRT(R786^2+S786^2))</f>
        <v/>
      </c>
    </row>
    <row r="787">
      <c r="A787" t="n">
        <v>784</v>
      </c>
      <c r="B787" s="196">
        <f>IF(A787&lt;='入力・概要'!$B$40,10^(LOG10('入力・概要'!$B$38)+(A787-1)*(LOG10('入力・概要'!$B$39)-LOG10('入力・概要'!$B$38))/('入力・概要'!$B$40-1)),"")</f>
        <v/>
      </c>
      <c r="C787" s="195">
        <f>IF(B787="","",2*PI()*B787)</f>
        <v/>
      </c>
      <c r="D787" s="195">
        <f>IF(B787="","",ATANH(MIN(0.999999,'入力・概要'!$E$20/'入力・概要'!$E$9))+'入力・概要'!$B$20*SQRT(B787/1E6)+E787*'入力・概要'!$B$15/2)</f>
        <v/>
      </c>
      <c r="E787" s="195">
        <f>IF(B787="","",C787*('入力・概要'!$E$11*1E-9))</f>
        <v/>
      </c>
      <c r="F787" s="195">
        <f>IF(B787="","",SINH(2*D787)/(COSH(2*D787)+COS(2*E787)))</f>
        <v/>
      </c>
      <c r="G787" s="195">
        <f>IF(B787="","",SIN(2*E787)/(COSH(2*D787)+COS(2*E787)))</f>
        <v/>
      </c>
      <c r="H787" s="195">
        <f>IF(B787="","",ATANH(MIN(0.999999,'入力・概要'!$E$21/'入力・概要'!$E$15))+'入力・概要'!$B$21*SQRT(B787/1E6)+I787*'入力・概要'!$B$16/2)</f>
        <v/>
      </c>
      <c r="I787" s="195">
        <f>IF(B787="","",C787*('入力・概要'!$E$17*1E-9))</f>
        <v/>
      </c>
      <c r="J787" s="195">
        <f>IF(B787="","",SINH(2*H787)/(COSH(2*H787)+COS(2*I787)))</f>
        <v/>
      </c>
      <c r="K787" s="195">
        <f>IF(B787="","",SIN(2*I787)/(COSH(2*H787)+COS(2*I787)))</f>
        <v/>
      </c>
      <c r="L787" s="195">
        <f>IF(B787="","",'入力・概要'!$B$25)</f>
        <v/>
      </c>
      <c r="M787" s="195">
        <f>IF(B787="","",C787*'入力・概要'!$B$26*1E-9-1/(C787*'入力・概要'!$B$24*1E-6))</f>
        <v/>
      </c>
      <c r="N787" s="195">
        <f>IF(B787="","",'入力・概要'!$B$28)</f>
        <v/>
      </c>
      <c r="O787" s="195">
        <f>IF(B787="","",C787*'入力・概要'!$B$29*1E-9-1/(C787*'入力・概要'!$B$27*1E-6))</f>
        <v/>
      </c>
      <c r="P787" s="195">
        <f>IF(B787="","",((L787*N787-M787*O787)*(L787+N787)+(L787*O787+M787*N787)*(M787+O787))/((L787+N787)^2+(M787+O787)^2))</f>
        <v/>
      </c>
      <c r="Q787" s="195">
        <f>IF(B787="","",((L787*O787+M787*N787)*(L787+N787)-(L787*N787-M787*O787)*(M787+O787))/((L787+N787)^2+(M787+O787)^2))</f>
        <v/>
      </c>
      <c r="R787" s="195">
        <f>IF(B787="","",'入力・概要'!$E$15*J787)</f>
        <v/>
      </c>
      <c r="S787" s="195">
        <f>IF(B787="","",'入力・概要'!$E$15*K787)</f>
        <v/>
      </c>
      <c r="T787" s="195">
        <f>IF(B787="","",P787+R787)</f>
        <v/>
      </c>
      <c r="U787" s="195">
        <f>IF(B787="","",Q787+S787)</f>
        <v/>
      </c>
      <c r="V787" s="195">
        <f>IF(B787="","",T787+'入力・概要'!$E$9*F787)</f>
        <v/>
      </c>
      <c r="W787" s="195">
        <f>IF(B787="","",U787+'入力・概要'!$E$9*G787)</f>
        <v/>
      </c>
      <c r="X787" s="195">
        <f>IF(B787="","",'入力・概要'!$E$9+T787*F787-U787*G787)</f>
        <v/>
      </c>
      <c r="Y787" s="195">
        <f>IF(B787="","",T787*G787+U787*F787)</f>
        <v/>
      </c>
      <c r="Z787" s="195">
        <f>IF(B787="","",'入力・概要'!$E$9*(V787*X787+W787*Y787)/(X787^2+Y787^2)+'入力・概要'!$B$36)</f>
        <v/>
      </c>
      <c r="AA787" s="195">
        <f>IF(B787="","",'入力・概要'!$E$9*(W787*X787-V787*Y787)/(X787^2+Y787^2)+C787*'入力・概要'!$B$37*1E-9)</f>
        <v/>
      </c>
      <c r="AB787" s="195">
        <f>IF(B787="","",SQRT(Z787^2+AA787^2))</f>
        <v/>
      </c>
      <c r="AC787" s="195">
        <f>IF(B787="","",IF(Z787&gt;0,DEGREES(ATAN(AA787/Z787)),IF(Z787&lt;0,IF(AA787&gt;=0,DEGREES(ATAN(AA787/Z787))+180,DEGREES(ATAN(AA787/Z787))-180),IF(AA787&gt;0,90,IF(AA787&lt;0,-90,0)))))</f>
        <v/>
      </c>
      <c r="AD787" s="195">
        <f>IF(B787="","",LOG10(B787))</f>
        <v/>
      </c>
      <c r="AE787" s="195">
        <f>IF(AB787="","",LOG10(MAX(AB787,1E-12)))</f>
        <v/>
      </c>
      <c r="AF787" s="195">
        <f>IF(B787="","",SQRT(P787^2+Q787^2))</f>
        <v/>
      </c>
      <c r="AG787" s="195">
        <f>IF(B787="","",SQRT(R787^2+S787^2))</f>
        <v/>
      </c>
    </row>
    <row r="788">
      <c r="A788" t="n">
        <v>785</v>
      </c>
      <c r="B788" s="196">
        <f>IF(A788&lt;='入力・概要'!$B$40,10^(LOG10('入力・概要'!$B$38)+(A788-1)*(LOG10('入力・概要'!$B$39)-LOG10('入力・概要'!$B$38))/('入力・概要'!$B$40-1)),"")</f>
        <v/>
      </c>
      <c r="C788" s="195">
        <f>IF(B788="","",2*PI()*B788)</f>
        <v/>
      </c>
      <c r="D788" s="195">
        <f>IF(B788="","",ATANH(MIN(0.999999,'入力・概要'!$E$20/'入力・概要'!$E$9))+'入力・概要'!$B$20*SQRT(B788/1E6)+E788*'入力・概要'!$B$15/2)</f>
        <v/>
      </c>
      <c r="E788" s="195">
        <f>IF(B788="","",C788*('入力・概要'!$E$11*1E-9))</f>
        <v/>
      </c>
      <c r="F788" s="195">
        <f>IF(B788="","",SINH(2*D788)/(COSH(2*D788)+COS(2*E788)))</f>
        <v/>
      </c>
      <c r="G788" s="195">
        <f>IF(B788="","",SIN(2*E788)/(COSH(2*D788)+COS(2*E788)))</f>
        <v/>
      </c>
      <c r="H788" s="195">
        <f>IF(B788="","",ATANH(MIN(0.999999,'入力・概要'!$E$21/'入力・概要'!$E$15))+'入力・概要'!$B$21*SQRT(B788/1E6)+I788*'入力・概要'!$B$16/2)</f>
        <v/>
      </c>
      <c r="I788" s="195">
        <f>IF(B788="","",C788*('入力・概要'!$E$17*1E-9))</f>
        <v/>
      </c>
      <c r="J788" s="195">
        <f>IF(B788="","",SINH(2*H788)/(COSH(2*H788)+COS(2*I788)))</f>
        <v/>
      </c>
      <c r="K788" s="195">
        <f>IF(B788="","",SIN(2*I788)/(COSH(2*H788)+COS(2*I788)))</f>
        <v/>
      </c>
      <c r="L788" s="195">
        <f>IF(B788="","",'入力・概要'!$B$25)</f>
        <v/>
      </c>
      <c r="M788" s="195">
        <f>IF(B788="","",C788*'入力・概要'!$B$26*1E-9-1/(C788*'入力・概要'!$B$24*1E-6))</f>
        <v/>
      </c>
      <c r="N788" s="195">
        <f>IF(B788="","",'入力・概要'!$B$28)</f>
        <v/>
      </c>
      <c r="O788" s="195">
        <f>IF(B788="","",C788*'入力・概要'!$B$29*1E-9-1/(C788*'入力・概要'!$B$27*1E-6))</f>
        <v/>
      </c>
      <c r="P788" s="195">
        <f>IF(B788="","",((L788*N788-M788*O788)*(L788+N788)+(L788*O788+M788*N788)*(M788+O788))/((L788+N788)^2+(M788+O788)^2))</f>
        <v/>
      </c>
      <c r="Q788" s="195">
        <f>IF(B788="","",((L788*O788+M788*N788)*(L788+N788)-(L788*N788-M788*O788)*(M788+O788))/((L788+N788)^2+(M788+O788)^2))</f>
        <v/>
      </c>
      <c r="R788" s="195">
        <f>IF(B788="","",'入力・概要'!$E$15*J788)</f>
        <v/>
      </c>
      <c r="S788" s="195">
        <f>IF(B788="","",'入力・概要'!$E$15*K788)</f>
        <v/>
      </c>
      <c r="T788" s="195">
        <f>IF(B788="","",P788+R788)</f>
        <v/>
      </c>
      <c r="U788" s="195">
        <f>IF(B788="","",Q788+S788)</f>
        <v/>
      </c>
      <c r="V788" s="195">
        <f>IF(B788="","",T788+'入力・概要'!$E$9*F788)</f>
        <v/>
      </c>
      <c r="W788" s="195">
        <f>IF(B788="","",U788+'入力・概要'!$E$9*G788)</f>
        <v/>
      </c>
      <c r="X788" s="195">
        <f>IF(B788="","",'入力・概要'!$E$9+T788*F788-U788*G788)</f>
        <v/>
      </c>
      <c r="Y788" s="195">
        <f>IF(B788="","",T788*G788+U788*F788)</f>
        <v/>
      </c>
      <c r="Z788" s="195">
        <f>IF(B788="","",'入力・概要'!$E$9*(V788*X788+W788*Y788)/(X788^2+Y788^2)+'入力・概要'!$B$36)</f>
        <v/>
      </c>
      <c r="AA788" s="195">
        <f>IF(B788="","",'入力・概要'!$E$9*(W788*X788-V788*Y788)/(X788^2+Y788^2)+C788*'入力・概要'!$B$37*1E-9)</f>
        <v/>
      </c>
      <c r="AB788" s="195">
        <f>IF(B788="","",SQRT(Z788^2+AA788^2))</f>
        <v/>
      </c>
      <c r="AC788" s="195">
        <f>IF(B788="","",IF(Z788&gt;0,DEGREES(ATAN(AA788/Z788)),IF(Z788&lt;0,IF(AA788&gt;=0,DEGREES(ATAN(AA788/Z788))+180,DEGREES(ATAN(AA788/Z788))-180),IF(AA788&gt;0,90,IF(AA788&lt;0,-90,0)))))</f>
        <v/>
      </c>
      <c r="AD788" s="195">
        <f>IF(B788="","",LOG10(B788))</f>
        <v/>
      </c>
      <c r="AE788" s="195">
        <f>IF(AB788="","",LOG10(MAX(AB788,1E-12)))</f>
        <v/>
      </c>
      <c r="AF788" s="195">
        <f>IF(B788="","",SQRT(P788^2+Q788^2))</f>
        <v/>
      </c>
      <c r="AG788" s="195">
        <f>IF(B788="","",SQRT(R788^2+S788^2))</f>
        <v/>
      </c>
    </row>
    <row r="789">
      <c r="A789" t="n">
        <v>786</v>
      </c>
      <c r="B789" s="196">
        <f>IF(A789&lt;='入力・概要'!$B$40,10^(LOG10('入力・概要'!$B$38)+(A789-1)*(LOG10('入力・概要'!$B$39)-LOG10('入力・概要'!$B$38))/('入力・概要'!$B$40-1)),"")</f>
        <v/>
      </c>
      <c r="C789" s="195">
        <f>IF(B789="","",2*PI()*B789)</f>
        <v/>
      </c>
      <c r="D789" s="195">
        <f>IF(B789="","",ATANH(MIN(0.999999,'入力・概要'!$E$20/'入力・概要'!$E$9))+'入力・概要'!$B$20*SQRT(B789/1E6)+E789*'入力・概要'!$B$15/2)</f>
        <v/>
      </c>
      <c r="E789" s="195">
        <f>IF(B789="","",C789*('入力・概要'!$E$11*1E-9))</f>
        <v/>
      </c>
      <c r="F789" s="195">
        <f>IF(B789="","",SINH(2*D789)/(COSH(2*D789)+COS(2*E789)))</f>
        <v/>
      </c>
      <c r="G789" s="195">
        <f>IF(B789="","",SIN(2*E789)/(COSH(2*D789)+COS(2*E789)))</f>
        <v/>
      </c>
      <c r="H789" s="195">
        <f>IF(B789="","",ATANH(MIN(0.999999,'入力・概要'!$E$21/'入力・概要'!$E$15))+'入力・概要'!$B$21*SQRT(B789/1E6)+I789*'入力・概要'!$B$16/2)</f>
        <v/>
      </c>
      <c r="I789" s="195">
        <f>IF(B789="","",C789*('入力・概要'!$E$17*1E-9))</f>
        <v/>
      </c>
      <c r="J789" s="195">
        <f>IF(B789="","",SINH(2*H789)/(COSH(2*H789)+COS(2*I789)))</f>
        <v/>
      </c>
      <c r="K789" s="195">
        <f>IF(B789="","",SIN(2*I789)/(COSH(2*H789)+COS(2*I789)))</f>
        <v/>
      </c>
      <c r="L789" s="195">
        <f>IF(B789="","",'入力・概要'!$B$25)</f>
        <v/>
      </c>
      <c r="M789" s="195">
        <f>IF(B789="","",C789*'入力・概要'!$B$26*1E-9-1/(C789*'入力・概要'!$B$24*1E-6))</f>
        <v/>
      </c>
      <c r="N789" s="195">
        <f>IF(B789="","",'入力・概要'!$B$28)</f>
        <v/>
      </c>
      <c r="O789" s="195">
        <f>IF(B789="","",C789*'入力・概要'!$B$29*1E-9-1/(C789*'入力・概要'!$B$27*1E-6))</f>
        <v/>
      </c>
      <c r="P789" s="195">
        <f>IF(B789="","",((L789*N789-M789*O789)*(L789+N789)+(L789*O789+M789*N789)*(M789+O789))/((L789+N789)^2+(M789+O789)^2))</f>
        <v/>
      </c>
      <c r="Q789" s="195">
        <f>IF(B789="","",((L789*O789+M789*N789)*(L789+N789)-(L789*N789-M789*O789)*(M789+O789))/((L789+N789)^2+(M789+O789)^2))</f>
        <v/>
      </c>
      <c r="R789" s="195">
        <f>IF(B789="","",'入力・概要'!$E$15*J789)</f>
        <v/>
      </c>
      <c r="S789" s="195">
        <f>IF(B789="","",'入力・概要'!$E$15*K789)</f>
        <v/>
      </c>
      <c r="T789" s="195">
        <f>IF(B789="","",P789+R789)</f>
        <v/>
      </c>
      <c r="U789" s="195">
        <f>IF(B789="","",Q789+S789)</f>
        <v/>
      </c>
      <c r="V789" s="195">
        <f>IF(B789="","",T789+'入力・概要'!$E$9*F789)</f>
        <v/>
      </c>
      <c r="W789" s="195">
        <f>IF(B789="","",U789+'入力・概要'!$E$9*G789)</f>
        <v/>
      </c>
      <c r="X789" s="195">
        <f>IF(B789="","",'入力・概要'!$E$9+T789*F789-U789*G789)</f>
        <v/>
      </c>
      <c r="Y789" s="195">
        <f>IF(B789="","",T789*G789+U789*F789)</f>
        <v/>
      </c>
      <c r="Z789" s="195">
        <f>IF(B789="","",'入力・概要'!$E$9*(V789*X789+W789*Y789)/(X789^2+Y789^2)+'入力・概要'!$B$36)</f>
        <v/>
      </c>
      <c r="AA789" s="195">
        <f>IF(B789="","",'入力・概要'!$E$9*(W789*X789-V789*Y789)/(X789^2+Y789^2)+C789*'入力・概要'!$B$37*1E-9)</f>
        <v/>
      </c>
      <c r="AB789" s="195">
        <f>IF(B789="","",SQRT(Z789^2+AA789^2))</f>
        <v/>
      </c>
      <c r="AC789" s="195">
        <f>IF(B789="","",IF(Z789&gt;0,DEGREES(ATAN(AA789/Z789)),IF(Z789&lt;0,IF(AA789&gt;=0,DEGREES(ATAN(AA789/Z789))+180,DEGREES(ATAN(AA789/Z789))-180),IF(AA789&gt;0,90,IF(AA789&lt;0,-90,0)))))</f>
        <v/>
      </c>
      <c r="AD789" s="195">
        <f>IF(B789="","",LOG10(B789))</f>
        <v/>
      </c>
      <c r="AE789" s="195">
        <f>IF(AB789="","",LOG10(MAX(AB789,1E-12)))</f>
        <v/>
      </c>
      <c r="AF789" s="195">
        <f>IF(B789="","",SQRT(P789^2+Q789^2))</f>
        <v/>
      </c>
      <c r="AG789" s="195">
        <f>IF(B789="","",SQRT(R789^2+S789^2))</f>
        <v/>
      </c>
    </row>
    <row r="790">
      <c r="A790" t="n">
        <v>787</v>
      </c>
      <c r="B790" s="196">
        <f>IF(A790&lt;='入力・概要'!$B$40,10^(LOG10('入力・概要'!$B$38)+(A790-1)*(LOG10('入力・概要'!$B$39)-LOG10('入力・概要'!$B$38))/('入力・概要'!$B$40-1)),"")</f>
        <v/>
      </c>
      <c r="C790" s="195">
        <f>IF(B790="","",2*PI()*B790)</f>
        <v/>
      </c>
      <c r="D790" s="195">
        <f>IF(B790="","",ATANH(MIN(0.999999,'入力・概要'!$E$20/'入力・概要'!$E$9))+'入力・概要'!$B$20*SQRT(B790/1E6)+E790*'入力・概要'!$B$15/2)</f>
        <v/>
      </c>
      <c r="E790" s="195">
        <f>IF(B790="","",C790*('入力・概要'!$E$11*1E-9))</f>
        <v/>
      </c>
      <c r="F790" s="195">
        <f>IF(B790="","",SINH(2*D790)/(COSH(2*D790)+COS(2*E790)))</f>
        <v/>
      </c>
      <c r="G790" s="195">
        <f>IF(B790="","",SIN(2*E790)/(COSH(2*D790)+COS(2*E790)))</f>
        <v/>
      </c>
      <c r="H790" s="195">
        <f>IF(B790="","",ATANH(MIN(0.999999,'入力・概要'!$E$21/'入力・概要'!$E$15))+'入力・概要'!$B$21*SQRT(B790/1E6)+I790*'入力・概要'!$B$16/2)</f>
        <v/>
      </c>
      <c r="I790" s="195">
        <f>IF(B790="","",C790*('入力・概要'!$E$17*1E-9))</f>
        <v/>
      </c>
      <c r="J790" s="195">
        <f>IF(B790="","",SINH(2*H790)/(COSH(2*H790)+COS(2*I790)))</f>
        <v/>
      </c>
      <c r="K790" s="195">
        <f>IF(B790="","",SIN(2*I790)/(COSH(2*H790)+COS(2*I790)))</f>
        <v/>
      </c>
      <c r="L790" s="195">
        <f>IF(B790="","",'入力・概要'!$B$25)</f>
        <v/>
      </c>
      <c r="M790" s="195">
        <f>IF(B790="","",C790*'入力・概要'!$B$26*1E-9-1/(C790*'入力・概要'!$B$24*1E-6))</f>
        <v/>
      </c>
      <c r="N790" s="195">
        <f>IF(B790="","",'入力・概要'!$B$28)</f>
        <v/>
      </c>
      <c r="O790" s="195">
        <f>IF(B790="","",C790*'入力・概要'!$B$29*1E-9-1/(C790*'入力・概要'!$B$27*1E-6))</f>
        <v/>
      </c>
      <c r="P790" s="195">
        <f>IF(B790="","",((L790*N790-M790*O790)*(L790+N790)+(L790*O790+M790*N790)*(M790+O790))/((L790+N790)^2+(M790+O790)^2))</f>
        <v/>
      </c>
      <c r="Q790" s="195">
        <f>IF(B790="","",((L790*O790+M790*N790)*(L790+N790)-(L790*N790-M790*O790)*(M790+O790))/((L790+N790)^2+(M790+O790)^2))</f>
        <v/>
      </c>
      <c r="R790" s="195">
        <f>IF(B790="","",'入力・概要'!$E$15*J790)</f>
        <v/>
      </c>
      <c r="S790" s="195">
        <f>IF(B790="","",'入力・概要'!$E$15*K790)</f>
        <v/>
      </c>
      <c r="T790" s="195">
        <f>IF(B790="","",P790+R790)</f>
        <v/>
      </c>
      <c r="U790" s="195">
        <f>IF(B790="","",Q790+S790)</f>
        <v/>
      </c>
      <c r="V790" s="195">
        <f>IF(B790="","",T790+'入力・概要'!$E$9*F790)</f>
        <v/>
      </c>
      <c r="W790" s="195">
        <f>IF(B790="","",U790+'入力・概要'!$E$9*G790)</f>
        <v/>
      </c>
      <c r="X790" s="195">
        <f>IF(B790="","",'入力・概要'!$E$9+T790*F790-U790*G790)</f>
        <v/>
      </c>
      <c r="Y790" s="195">
        <f>IF(B790="","",T790*G790+U790*F790)</f>
        <v/>
      </c>
      <c r="Z790" s="195">
        <f>IF(B790="","",'入力・概要'!$E$9*(V790*X790+W790*Y790)/(X790^2+Y790^2)+'入力・概要'!$B$36)</f>
        <v/>
      </c>
      <c r="AA790" s="195">
        <f>IF(B790="","",'入力・概要'!$E$9*(W790*X790-V790*Y790)/(X790^2+Y790^2)+C790*'入力・概要'!$B$37*1E-9)</f>
        <v/>
      </c>
      <c r="AB790" s="195">
        <f>IF(B790="","",SQRT(Z790^2+AA790^2))</f>
        <v/>
      </c>
      <c r="AC790" s="195">
        <f>IF(B790="","",IF(Z790&gt;0,DEGREES(ATAN(AA790/Z790)),IF(Z790&lt;0,IF(AA790&gt;=0,DEGREES(ATAN(AA790/Z790))+180,DEGREES(ATAN(AA790/Z790))-180),IF(AA790&gt;0,90,IF(AA790&lt;0,-90,0)))))</f>
        <v/>
      </c>
      <c r="AD790" s="195">
        <f>IF(B790="","",LOG10(B790))</f>
        <v/>
      </c>
      <c r="AE790" s="195">
        <f>IF(AB790="","",LOG10(MAX(AB790,1E-12)))</f>
        <v/>
      </c>
      <c r="AF790" s="195">
        <f>IF(B790="","",SQRT(P790^2+Q790^2))</f>
        <v/>
      </c>
      <c r="AG790" s="195">
        <f>IF(B790="","",SQRT(R790^2+S790^2))</f>
        <v/>
      </c>
    </row>
    <row r="791">
      <c r="A791" t="n">
        <v>788</v>
      </c>
      <c r="B791" s="196">
        <f>IF(A791&lt;='入力・概要'!$B$40,10^(LOG10('入力・概要'!$B$38)+(A791-1)*(LOG10('入力・概要'!$B$39)-LOG10('入力・概要'!$B$38))/('入力・概要'!$B$40-1)),"")</f>
        <v/>
      </c>
      <c r="C791" s="195">
        <f>IF(B791="","",2*PI()*B791)</f>
        <v/>
      </c>
      <c r="D791" s="195">
        <f>IF(B791="","",ATANH(MIN(0.999999,'入力・概要'!$E$20/'入力・概要'!$E$9))+'入力・概要'!$B$20*SQRT(B791/1E6)+E791*'入力・概要'!$B$15/2)</f>
        <v/>
      </c>
      <c r="E791" s="195">
        <f>IF(B791="","",C791*('入力・概要'!$E$11*1E-9))</f>
        <v/>
      </c>
      <c r="F791" s="195">
        <f>IF(B791="","",SINH(2*D791)/(COSH(2*D791)+COS(2*E791)))</f>
        <v/>
      </c>
      <c r="G791" s="195">
        <f>IF(B791="","",SIN(2*E791)/(COSH(2*D791)+COS(2*E791)))</f>
        <v/>
      </c>
      <c r="H791" s="195">
        <f>IF(B791="","",ATANH(MIN(0.999999,'入力・概要'!$E$21/'入力・概要'!$E$15))+'入力・概要'!$B$21*SQRT(B791/1E6)+I791*'入力・概要'!$B$16/2)</f>
        <v/>
      </c>
      <c r="I791" s="195">
        <f>IF(B791="","",C791*('入力・概要'!$E$17*1E-9))</f>
        <v/>
      </c>
      <c r="J791" s="195">
        <f>IF(B791="","",SINH(2*H791)/(COSH(2*H791)+COS(2*I791)))</f>
        <v/>
      </c>
      <c r="K791" s="195">
        <f>IF(B791="","",SIN(2*I791)/(COSH(2*H791)+COS(2*I791)))</f>
        <v/>
      </c>
      <c r="L791" s="195">
        <f>IF(B791="","",'入力・概要'!$B$25)</f>
        <v/>
      </c>
      <c r="M791" s="195">
        <f>IF(B791="","",C791*'入力・概要'!$B$26*1E-9-1/(C791*'入力・概要'!$B$24*1E-6))</f>
        <v/>
      </c>
      <c r="N791" s="195">
        <f>IF(B791="","",'入力・概要'!$B$28)</f>
        <v/>
      </c>
      <c r="O791" s="195">
        <f>IF(B791="","",C791*'入力・概要'!$B$29*1E-9-1/(C791*'入力・概要'!$B$27*1E-6))</f>
        <v/>
      </c>
      <c r="P791" s="195">
        <f>IF(B791="","",((L791*N791-M791*O791)*(L791+N791)+(L791*O791+M791*N791)*(M791+O791))/((L791+N791)^2+(M791+O791)^2))</f>
        <v/>
      </c>
      <c r="Q791" s="195">
        <f>IF(B791="","",((L791*O791+M791*N791)*(L791+N791)-(L791*N791-M791*O791)*(M791+O791))/((L791+N791)^2+(M791+O791)^2))</f>
        <v/>
      </c>
      <c r="R791" s="195">
        <f>IF(B791="","",'入力・概要'!$E$15*J791)</f>
        <v/>
      </c>
      <c r="S791" s="195">
        <f>IF(B791="","",'入力・概要'!$E$15*K791)</f>
        <v/>
      </c>
      <c r="T791" s="195">
        <f>IF(B791="","",P791+R791)</f>
        <v/>
      </c>
      <c r="U791" s="195">
        <f>IF(B791="","",Q791+S791)</f>
        <v/>
      </c>
      <c r="V791" s="195">
        <f>IF(B791="","",T791+'入力・概要'!$E$9*F791)</f>
        <v/>
      </c>
      <c r="W791" s="195">
        <f>IF(B791="","",U791+'入力・概要'!$E$9*G791)</f>
        <v/>
      </c>
      <c r="X791" s="195">
        <f>IF(B791="","",'入力・概要'!$E$9+T791*F791-U791*G791)</f>
        <v/>
      </c>
      <c r="Y791" s="195">
        <f>IF(B791="","",T791*G791+U791*F791)</f>
        <v/>
      </c>
      <c r="Z791" s="195">
        <f>IF(B791="","",'入力・概要'!$E$9*(V791*X791+W791*Y791)/(X791^2+Y791^2)+'入力・概要'!$B$36)</f>
        <v/>
      </c>
      <c r="AA791" s="195">
        <f>IF(B791="","",'入力・概要'!$E$9*(W791*X791-V791*Y791)/(X791^2+Y791^2)+C791*'入力・概要'!$B$37*1E-9)</f>
        <v/>
      </c>
      <c r="AB791" s="195">
        <f>IF(B791="","",SQRT(Z791^2+AA791^2))</f>
        <v/>
      </c>
      <c r="AC791" s="195">
        <f>IF(B791="","",IF(Z791&gt;0,DEGREES(ATAN(AA791/Z791)),IF(Z791&lt;0,IF(AA791&gt;=0,DEGREES(ATAN(AA791/Z791))+180,DEGREES(ATAN(AA791/Z791))-180),IF(AA791&gt;0,90,IF(AA791&lt;0,-90,0)))))</f>
        <v/>
      </c>
      <c r="AD791" s="195">
        <f>IF(B791="","",LOG10(B791))</f>
        <v/>
      </c>
      <c r="AE791" s="195">
        <f>IF(AB791="","",LOG10(MAX(AB791,1E-12)))</f>
        <v/>
      </c>
      <c r="AF791" s="195">
        <f>IF(B791="","",SQRT(P791^2+Q791^2))</f>
        <v/>
      </c>
      <c r="AG791" s="195">
        <f>IF(B791="","",SQRT(R791^2+S791^2))</f>
        <v/>
      </c>
    </row>
    <row r="792">
      <c r="A792" t="n">
        <v>789</v>
      </c>
      <c r="B792" s="196">
        <f>IF(A792&lt;='入力・概要'!$B$40,10^(LOG10('入力・概要'!$B$38)+(A792-1)*(LOG10('入力・概要'!$B$39)-LOG10('入力・概要'!$B$38))/('入力・概要'!$B$40-1)),"")</f>
        <v/>
      </c>
      <c r="C792" s="195">
        <f>IF(B792="","",2*PI()*B792)</f>
        <v/>
      </c>
      <c r="D792" s="195">
        <f>IF(B792="","",ATANH(MIN(0.999999,'入力・概要'!$E$20/'入力・概要'!$E$9))+'入力・概要'!$B$20*SQRT(B792/1E6)+E792*'入力・概要'!$B$15/2)</f>
        <v/>
      </c>
      <c r="E792" s="195">
        <f>IF(B792="","",C792*('入力・概要'!$E$11*1E-9))</f>
        <v/>
      </c>
      <c r="F792" s="195">
        <f>IF(B792="","",SINH(2*D792)/(COSH(2*D792)+COS(2*E792)))</f>
        <v/>
      </c>
      <c r="G792" s="195">
        <f>IF(B792="","",SIN(2*E792)/(COSH(2*D792)+COS(2*E792)))</f>
        <v/>
      </c>
      <c r="H792" s="195">
        <f>IF(B792="","",ATANH(MIN(0.999999,'入力・概要'!$E$21/'入力・概要'!$E$15))+'入力・概要'!$B$21*SQRT(B792/1E6)+I792*'入力・概要'!$B$16/2)</f>
        <v/>
      </c>
      <c r="I792" s="195">
        <f>IF(B792="","",C792*('入力・概要'!$E$17*1E-9))</f>
        <v/>
      </c>
      <c r="J792" s="195">
        <f>IF(B792="","",SINH(2*H792)/(COSH(2*H792)+COS(2*I792)))</f>
        <v/>
      </c>
      <c r="K792" s="195">
        <f>IF(B792="","",SIN(2*I792)/(COSH(2*H792)+COS(2*I792)))</f>
        <v/>
      </c>
      <c r="L792" s="195">
        <f>IF(B792="","",'入力・概要'!$B$25)</f>
        <v/>
      </c>
      <c r="M792" s="195">
        <f>IF(B792="","",C792*'入力・概要'!$B$26*1E-9-1/(C792*'入力・概要'!$B$24*1E-6))</f>
        <v/>
      </c>
      <c r="N792" s="195">
        <f>IF(B792="","",'入力・概要'!$B$28)</f>
        <v/>
      </c>
      <c r="O792" s="195">
        <f>IF(B792="","",C792*'入力・概要'!$B$29*1E-9-1/(C792*'入力・概要'!$B$27*1E-6))</f>
        <v/>
      </c>
      <c r="P792" s="195">
        <f>IF(B792="","",((L792*N792-M792*O792)*(L792+N792)+(L792*O792+M792*N792)*(M792+O792))/((L792+N792)^2+(M792+O792)^2))</f>
        <v/>
      </c>
      <c r="Q792" s="195">
        <f>IF(B792="","",((L792*O792+M792*N792)*(L792+N792)-(L792*N792-M792*O792)*(M792+O792))/((L792+N792)^2+(M792+O792)^2))</f>
        <v/>
      </c>
      <c r="R792" s="195">
        <f>IF(B792="","",'入力・概要'!$E$15*J792)</f>
        <v/>
      </c>
      <c r="S792" s="195">
        <f>IF(B792="","",'入力・概要'!$E$15*K792)</f>
        <v/>
      </c>
      <c r="T792" s="195">
        <f>IF(B792="","",P792+R792)</f>
        <v/>
      </c>
      <c r="U792" s="195">
        <f>IF(B792="","",Q792+S792)</f>
        <v/>
      </c>
      <c r="V792" s="195">
        <f>IF(B792="","",T792+'入力・概要'!$E$9*F792)</f>
        <v/>
      </c>
      <c r="W792" s="195">
        <f>IF(B792="","",U792+'入力・概要'!$E$9*G792)</f>
        <v/>
      </c>
      <c r="X792" s="195">
        <f>IF(B792="","",'入力・概要'!$E$9+T792*F792-U792*G792)</f>
        <v/>
      </c>
      <c r="Y792" s="195">
        <f>IF(B792="","",T792*G792+U792*F792)</f>
        <v/>
      </c>
      <c r="Z792" s="195">
        <f>IF(B792="","",'入力・概要'!$E$9*(V792*X792+W792*Y792)/(X792^2+Y792^2)+'入力・概要'!$B$36)</f>
        <v/>
      </c>
      <c r="AA792" s="195">
        <f>IF(B792="","",'入力・概要'!$E$9*(W792*X792-V792*Y792)/(X792^2+Y792^2)+C792*'入力・概要'!$B$37*1E-9)</f>
        <v/>
      </c>
      <c r="AB792" s="195">
        <f>IF(B792="","",SQRT(Z792^2+AA792^2))</f>
        <v/>
      </c>
      <c r="AC792" s="195">
        <f>IF(B792="","",IF(Z792&gt;0,DEGREES(ATAN(AA792/Z792)),IF(Z792&lt;0,IF(AA792&gt;=0,DEGREES(ATAN(AA792/Z792))+180,DEGREES(ATAN(AA792/Z792))-180),IF(AA792&gt;0,90,IF(AA792&lt;0,-90,0)))))</f>
        <v/>
      </c>
      <c r="AD792" s="195">
        <f>IF(B792="","",LOG10(B792))</f>
        <v/>
      </c>
      <c r="AE792" s="195">
        <f>IF(AB792="","",LOG10(MAX(AB792,1E-12)))</f>
        <v/>
      </c>
      <c r="AF792" s="195">
        <f>IF(B792="","",SQRT(P792^2+Q792^2))</f>
        <v/>
      </c>
      <c r="AG792" s="195">
        <f>IF(B792="","",SQRT(R792^2+S792^2))</f>
        <v/>
      </c>
    </row>
    <row r="793">
      <c r="A793" t="n">
        <v>790</v>
      </c>
      <c r="B793" s="196">
        <f>IF(A793&lt;='入力・概要'!$B$40,10^(LOG10('入力・概要'!$B$38)+(A793-1)*(LOG10('入力・概要'!$B$39)-LOG10('入力・概要'!$B$38))/('入力・概要'!$B$40-1)),"")</f>
        <v/>
      </c>
      <c r="C793" s="195">
        <f>IF(B793="","",2*PI()*B793)</f>
        <v/>
      </c>
      <c r="D793" s="195">
        <f>IF(B793="","",ATANH(MIN(0.999999,'入力・概要'!$E$20/'入力・概要'!$E$9))+'入力・概要'!$B$20*SQRT(B793/1E6)+E793*'入力・概要'!$B$15/2)</f>
        <v/>
      </c>
      <c r="E793" s="195">
        <f>IF(B793="","",C793*('入力・概要'!$E$11*1E-9))</f>
        <v/>
      </c>
      <c r="F793" s="195">
        <f>IF(B793="","",SINH(2*D793)/(COSH(2*D793)+COS(2*E793)))</f>
        <v/>
      </c>
      <c r="G793" s="195">
        <f>IF(B793="","",SIN(2*E793)/(COSH(2*D793)+COS(2*E793)))</f>
        <v/>
      </c>
      <c r="H793" s="195">
        <f>IF(B793="","",ATANH(MIN(0.999999,'入力・概要'!$E$21/'入力・概要'!$E$15))+'入力・概要'!$B$21*SQRT(B793/1E6)+I793*'入力・概要'!$B$16/2)</f>
        <v/>
      </c>
      <c r="I793" s="195">
        <f>IF(B793="","",C793*('入力・概要'!$E$17*1E-9))</f>
        <v/>
      </c>
      <c r="J793" s="195">
        <f>IF(B793="","",SINH(2*H793)/(COSH(2*H793)+COS(2*I793)))</f>
        <v/>
      </c>
      <c r="K793" s="195">
        <f>IF(B793="","",SIN(2*I793)/(COSH(2*H793)+COS(2*I793)))</f>
        <v/>
      </c>
      <c r="L793" s="195">
        <f>IF(B793="","",'入力・概要'!$B$25)</f>
        <v/>
      </c>
      <c r="M793" s="195">
        <f>IF(B793="","",C793*'入力・概要'!$B$26*1E-9-1/(C793*'入力・概要'!$B$24*1E-6))</f>
        <v/>
      </c>
      <c r="N793" s="195">
        <f>IF(B793="","",'入力・概要'!$B$28)</f>
        <v/>
      </c>
      <c r="O793" s="195">
        <f>IF(B793="","",C793*'入力・概要'!$B$29*1E-9-1/(C793*'入力・概要'!$B$27*1E-6))</f>
        <v/>
      </c>
      <c r="P793" s="195">
        <f>IF(B793="","",((L793*N793-M793*O793)*(L793+N793)+(L793*O793+M793*N793)*(M793+O793))/((L793+N793)^2+(M793+O793)^2))</f>
        <v/>
      </c>
      <c r="Q793" s="195">
        <f>IF(B793="","",((L793*O793+M793*N793)*(L793+N793)-(L793*N793-M793*O793)*(M793+O793))/((L793+N793)^2+(M793+O793)^2))</f>
        <v/>
      </c>
      <c r="R793" s="195">
        <f>IF(B793="","",'入力・概要'!$E$15*J793)</f>
        <v/>
      </c>
      <c r="S793" s="195">
        <f>IF(B793="","",'入力・概要'!$E$15*K793)</f>
        <v/>
      </c>
      <c r="T793" s="195">
        <f>IF(B793="","",P793+R793)</f>
        <v/>
      </c>
      <c r="U793" s="195">
        <f>IF(B793="","",Q793+S793)</f>
        <v/>
      </c>
      <c r="V793" s="195">
        <f>IF(B793="","",T793+'入力・概要'!$E$9*F793)</f>
        <v/>
      </c>
      <c r="W793" s="195">
        <f>IF(B793="","",U793+'入力・概要'!$E$9*G793)</f>
        <v/>
      </c>
      <c r="X793" s="195">
        <f>IF(B793="","",'入力・概要'!$E$9+T793*F793-U793*G793)</f>
        <v/>
      </c>
      <c r="Y793" s="195">
        <f>IF(B793="","",T793*G793+U793*F793)</f>
        <v/>
      </c>
      <c r="Z793" s="195">
        <f>IF(B793="","",'入力・概要'!$E$9*(V793*X793+W793*Y793)/(X793^2+Y793^2)+'入力・概要'!$B$36)</f>
        <v/>
      </c>
      <c r="AA793" s="195">
        <f>IF(B793="","",'入力・概要'!$E$9*(W793*X793-V793*Y793)/(X793^2+Y793^2)+C793*'入力・概要'!$B$37*1E-9)</f>
        <v/>
      </c>
      <c r="AB793" s="195">
        <f>IF(B793="","",SQRT(Z793^2+AA793^2))</f>
        <v/>
      </c>
      <c r="AC793" s="195">
        <f>IF(B793="","",IF(Z793&gt;0,DEGREES(ATAN(AA793/Z793)),IF(Z793&lt;0,IF(AA793&gt;=0,DEGREES(ATAN(AA793/Z793))+180,DEGREES(ATAN(AA793/Z793))-180),IF(AA793&gt;0,90,IF(AA793&lt;0,-90,0)))))</f>
        <v/>
      </c>
      <c r="AD793" s="195">
        <f>IF(B793="","",LOG10(B793))</f>
        <v/>
      </c>
      <c r="AE793" s="195">
        <f>IF(AB793="","",LOG10(MAX(AB793,1E-12)))</f>
        <v/>
      </c>
      <c r="AF793" s="195">
        <f>IF(B793="","",SQRT(P793^2+Q793^2))</f>
        <v/>
      </c>
      <c r="AG793" s="195">
        <f>IF(B793="","",SQRT(R793^2+S793^2))</f>
        <v/>
      </c>
    </row>
    <row r="794">
      <c r="A794" t="n">
        <v>791</v>
      </c>
      <c r="B794" s="196">
        <f>IF(A794&lt;='入力・概要'!$B$40,10^(LOG10('入力・概要'!$B$38)+(A794-1)*(LOG10('入力・概要'!$B$39)-LOG10('入力・概要'!$B$38))/('入力・概要'!$B$40-1)),"")</f>
        <v/>
      </c>
      <c r="C794" s="195">
        <f>IF(B794="","",2*PI()*B794)</f>
        <v/>
      </c>
      <c r="D794" s="195">
        <f>IF(B794="","",ATANH(MIN(0.999999,'入力・概要'!$E$20/'入力・概要'!$E$9))+'入力・概要'!$B$20*SQRT(B794/1E6)+E794*'入力・概要'!$B$15/2)</f>
        <v/>
      </c>
      <c r="E794" s="195">
        <f>IF(B794="","",C794*('入力・概要'!$E$11*1E-9))</f>
        <v/>
      </c>
      <c r="F794" s="195">
        <f>IF(B794="","",SINH(2*D794)/(COSH(2*D794)+COS(2*E794)))</f>
        <v/>
      </c>
      <c r="G794" s="195">
        <f>IF(B794="","",SIN(2*E794)/(COSH(2*D794)+COS(2*E794)))</f>
        <v/>
      </c>
      <c r="H794" s="195">
        <f>IF(B794="","",ATANH(MIN(0.999999,'入力・概要'!$E$21/'入力・概要'!$E$15))+'入力・概要'!$B$21*SQRT(B794/1E6)+I794*'入力・概要'!$B$16/2)</f>
        <v/>
      </c>
      <c r="I794" s="195">
        <f>IF(B794="","",C794*('入力・概要'!$E$17*1E-9))</f>
        <v/>
      </c>
      <c r="J794" s="195">
        <f>IF(B794="","",SINH(2*H794)/(COSH(2*H794)+COS(2*I794)))</f>
        <v/>
      </c>
      <c r="K794" s="195">
        <f>IF(B794="","",SIN(2*I794)/(COSH(2*H794)+COS(2*I794)))</f>
        <v/>
      </c>
      <c r="L794" s="195">
        <f>IF(B794="","",'入力・概要'!$B$25)</f>
        <v/>
      </c>
      <c r="M794" s="195">
        <f>IF(B794="","",C794*'入力・概要'!$B$26*1E-9-1/(C794*'入力・概要'!$B$24*1E-6))</f>
        <v/>
      </c>
      <c r="N794" s="195">
        <f>IF(B794="","",'入力・概要'!$B$28)</f>
        <v/>
      </c>
      <c r="O794" s="195">
        <f>IF(B794="","",C794*'入力・概要'!$B$29*1E-9-1/(C794*'入力・概要'!$B$27*1E-6))</f>
        <v/>
      </c>
      <c r="P794" s="195">
        <f>IF(B794="","",((L794*N794-M794*O794)*(L794+N794)+(L794*O794+M794*N794)*(M794+O794))/((L794+N794)^2+(M794+O794)^2))</f>
        <v/>
      </c>
      <c r="Q794" s="195">
        <f>IF(B794="","",((L794*O794+M794*N794)*(L794+N794)-(L794*N794-M794*O794)*(M794+O794))/((L794+N794)^2+(M794+O794)^2))</f>
        <v/>
      </c>
      <c r="R794" s="195">
        <f>IF(B794="","",'入力・概要'!$E$15*J794)</f>
        <v/>
      </c>
      <c r="S794" s="195">
        <f>IF(B794="","",'入力・概要'!$E$15*K794)</f>
        <v/>
      </c>
      <c r="T794" s="195">
        <f>IF(B794="","",P794+R794)</f>
        <v/>
      </c>
      <c r="U794" s="195">
        <f>IF(B794="","",Q794+S794)</f>
        <v/>
      </c>
      <c r="V794" s="195">
        <f>IF(B794="","",T794+'入力・概要'!$E$9*F794)</f>
        <v/>
      </c>
      <c r="W794" s="195">
        <f>IF(B794="","",U794+'入力・概要'!$E$9*G794)</f>
        <v/>
      </c>
      <c r="X794" s="195">
        <f>IF(B794="","",'入力・概要'!$E$9+T794*F794-U794*G794)</f>
        <v/>
      </c>
      <c r="Y794" s="195">
        <f>IF(B794="","",T794*G794+U794*F794)</f>
        <v/>
      </c>
      <c r="Z794" s="195">
        <f>IF(B794="","",'入力・概要'!$E$9*(V794*X794+W794*Y794)/(X794^2+Y794^2)+'入力・概要'!$B$36)</f>
        <v/>
      </c>
      <c r="AA794" s="195">
        <f>IF(B794="","",'入力・概要'!$E$9*(W794*X794-V794*Y794)/(X794^2+Y794^2)+C794*'入力・概要'!$B$37*1E-9)</f>
        <v/>
      </c>
      <c r="AB794" s="195">
        <f>IF(B794="","",SQRT(Z794^2+AA794^2))</f>
        <v/>
      </c>
      <c r="AC794" s="195">
        <f>IF(B794="","",IF(Z794&gt;0,DEGREES(ATAN(AA794/Z794)),IF(Z794&lt;0,IF(AA794&gt;=0,DEGREES(ATAN(AA794/Z794))+180,DEGREES(ATAN(AA794/Z794))-180),IF(AA794&gt;0,90,IF(AA794&lt;0,-90,0)))))</f>
        <v/>
      </c>
      <c r="AD794" s="195">
        <f>IF(B794="","",LOG10(B794))</f>
        <v/>
      </c>
      <c r="AE794" s="195">
        <f>IF(AB794="","",LOG10(MAX(AB794,1E-12)))</f>
        <v/>
      </c>
      <c r="AF794" s="195">
        <f>IF(B794="","",SQRT(P794^2+Q794^2))</f>
        <v/>
      </c>
      <c r="AG794" s="195">
        <f>IF(B794="","",SQRT(R794^2+S794^2))</f>
        <v/>
      </c>
    </row>
    <row r="795">
      <c r="A795" t="n">
        <v>792</v>
      </c>
      <c r="B795" s="196">
        <f>IF(A795&lt;='入力・概要'!$B$40,10^(LOG10('入力・概要'!$B$38)+(A795-1)*(LOG10('入力・概要'!$B$39)-LOG10('入力・概要'!$B$38))/('入力・概要'!$B$40-1)),"")</f>
        <v/>
      </c>
      <c r="C795" s="195">
        <f>IF(B795="","",2*PI()*B795)</f>
        <v/>
      </c>
      <c r="D795" s="195">
        <f>IF(B795="","",ATANH(MIN(0.999999,'入力・概要'!$E$20/'入力・概要'!$E$9))+'入力・概要'!$B$20*SQRT(B795/1E6)+E795*'入力・概要'!$B$15/2)</f>
        <v/>
      </c>
      <c r="E795" s="195">
        <f>IF(B795="","",C795*('入力・概要'!$E$11*1E-9))</f>
        <v/>
      </c>
      <c r="F795" s="195">
        <f>IF(B795="","",SINH(2*D795)/(COSH(2*D795)+COS(2*E795)))</f>
        <v/>
      </c>
      <c r="G795" s="195">
        <f>IF(B795="","",SIN(2*E795)/(COSH(2*D795)+COS(2*E795)))</f>
        <v/>
      </c>
      <c r="H795" s="195">
        <f>IF(B795="","",ATANH(MIN(0.999999,'入力・概要'!$E$21/'入力・概要'!$E$15))+'入力・概要'!$B$21*SQRT(B795/1E6)+I795*'入力・概要'!$B$16/2)</f>
        <v/>
      </c>
      <c r="I795" s="195">
        <f>IF(B795="","",C795*('入力・概要'!$E$17*1E-9))</f>
        <v/>
      </c>
      <c r="J795" s="195">
        <f>IF(B795="","",SINH(2*H795)/(COSH(2*H795)+COS(2*I795)))</f>
        <v/>
      </c>
      <c r="K795" s="195">
        <f>IF(B795="","",SIN(2*I795)/(COSH(2*H795)+COS(2*I795)))</f>
        <v/>
      </c>
      <c r="L795" s="195">
        <f>IF(B795="","",'入力・概要'!$B$25)</f>
        <v/>
      </c>
      <c r="M795" s="195">
        <f>IF(B795="","",C795*'入力・概要'!$B$26*1E-9-1/(C795*'入力・概要'!$B$24*1E-6))</f>
        <v/>
      </c>
      <c r="N795" s="195">
        <f>IF(B795="","",'入力・概要'!$B$28)</f>
        <v/>
      </c>
      <c r="O795" s="195">
        <f>IF(B795="","",C795*'入力・概要'!$B$29*1E-9-1/(C795*'入力・概要'!$B$27*1E-6))</f>
        <v/>
      </c>
      <c r="P795" s="195">
        <f>IF(B795="","",((L795*N795-M795*O795)*(L795+N795)+(L795*O795+M795*N795)*(M795+O795))/((L795+N795)^2+(M795+O795)^2))</f>
        <v/>
      </c>
      <c r="Q795" s="195">
        <f>IF(B795="","",((L795*O795+M795*N795)*(L795+N795)-(L795*N795-M795*O795)*(M795+O795))/((L795+N795)^2+(M795+O795)^2))</f>
        <v/>
      </c>
      <c r="R795" s="195">
        <f>IF(B795="","",'入力・概要'!$E$15*J795)</f>
        <v/>
      </c>
      <c r="S795" s="195">
        <f>IF(B795="","",'入力・概要'!$E$15*K795)</f>
        <v/>
      </c>
      <c r="T795" s="195">
        <f>IF(B795="","",P795+R795)</f>
        <v/>
      </c>
      <c r="U795" s="195">
        <f>IF(B795="","",Q795+S795)</f>
        <v/>
      </c>
      <c r="V795" s="195">
        <f>IF(B795="","",T795+'入力・概要'!$E$9*F795)</f>
        <v/>
      </c>
      <c r="W795" s="195">
        <f>IF(B795="","",U795+'入力・概要'!$E$9*G795)</f>
        <v/>
      </c>
      <c r="X795" s="195">
        <f>IF(B795="","",'入力・概要'!$E$9+T795*F795-U795*G795)</f>
        <v/>
      </c>
      <c r="Y795" s="195">
        <f>IF(B795="","",T795*G795+U795*F795)</f>
        <v/>
      </c>
      <c r="Z795" s="195">
        <f>IF(B795="","",'入力・概要'!$E$9*(V795*X795+W795*Y795)/(X795^2+Y795^2)+'入力・概要'!$B$36)</f>
        <v/>
      </c>
      <c r="AA795" s="195">
        <f>IF(B795="","",'入力・概要'!$E$9*(W795*X795-V795*Y795)/(X795^2+Y795^2)+C795*'入力・概要'!$B$37*1E-9)</f>
        <v/>
      </c>
      <c r="AB795" s="195">
        <f>IF(B795="","",SQRT(Z795^2+AA795^2))</f>
        <v/>
      </c>
      <c r="AC795" s="195">
        <f>IF(B795="","",IF(Z795&gt;0,DEGREES(ATAN(AA795/Z795)),IF(Z795&lt;0,IF(AA795&gt;=0,DEGREES(ATAN(AA795/Z795))+180,DEGREES(ATAN(AA795/Z795))-180),IF(AA795&gt;0,90,IF(AA795&lt;0,-90,0)))))</f>
        <v/>
      </c>
      <c r="AD795" s="195">
        <f>IF(B795="","",LOG10(B795))</f>
        <v/>
      </c>
      <c r="AE795" s="195">
        <f>IF(AB795="","",LOG10(MAX(AB795,1E-12)))</f>
        <v/>
      </c>
      <c r="AF795" s="195">
        <f>IF(B795="","",SQRT(P795^2+Q795^2))</f>
        <v/>
      </c>
      <c r="AG795" s="195">
        <f>IF(B795="","",SQRT(R795^2+S795^2))</f>
        <v/>
      </c>
    </row>
    <row r="796">
      <c r="A796" t="n">
        <v>793</v>
      </c>
      <c r="B796" s="196">
        <f>IF(A796&lt;='入力・概要'!$B$40,10^(LOG10('入力・概要'!$B$38)+(A796-1)*(LOG10('入力・概要'!$B$39)-LOG10('入力・概要'!$B$38))/('入力・概要'!$B$40-1)),"")</f>
        <v/>
      </c>
      <c r="C796" s="195">
        <f>IF(B796="","",2*PI()*B796)</f>
        <v/>
      </c>
      <c r="D796" s="195">
        <f>IF(B796="","",ATANH(MIN(0.999999,'入力・概要'!$E$20/'入力・概要'!$E$9))+'入力・概要'!$B$20*SQRT(B796/1E6)+E796*'入力・概要'!$B$15/2)</f>
        <v/>
      </c>
      <c r="E796" s="195">
        <f>IF(B796="","",C796*('入力・概要'!$E$11*1E-9))</f>
        <v/>
      </c>
      <c r="F796" s="195">
        <f>IF(B796="","",SINH(2*D796)/(COSH(2*D796)+COS(2*E796)))</f>
        <v/>
      </c>
      <c r="G796" s="195">
        <f>IF(B796="","",SIN(2*E796)/(COSH(2*D796)+COS(2*E796)))</f>
        <v/>
      </c>
      <c r="H796" s="195">
        <f>IF(B796="","",ATANH(MIN(0.999999,'入力・概要'!$E$21/'入力・概要'!$E$15))+'入力・概要'!$B$21*SQRT(B796/1E6)+I796*'入力・概要'!$B$16/2)</f>
        <v/>
      </c>
      <c r="I796" s="195">
        <f>IF(B796="","",C796*('入力・概要'!$E$17*1E-9))</f>
        <v/>
      </c>
      <c r="J796" s="195">
        <f>IF(B796="","",SINH(2*H796)/(COSH(2*H796)+COS(2*I796)))</f>
        <v/>
      </c>
      <c r="K796" s="195">
        <f>IF(B796="","",SIN(2*I796)/(COSH(2*H796)+COS(2*I796)))</f>
        <v/>
      </c>
      <c r="L796" s="195">
        <f>IF(B796="","",'入力・概要'!$B$25)</f>
        <v/>
      </c>
      <c r="M796" s="195">
        <f>IF(B796="","",C796*'入力・概要'!$B$26*1E-9-1/(C796*'入力・概要'!$B$24*1E-6))</f>
        <v/>
      </c>
      <c r="N796" s="195">
        <f>IF(B796="","",'入力・概要'!$B$28)</f>
        <v/>
      </c>
      <c r="O796" s="195">
        <f>IF(B796="","",C796*'入力・概要'!$B$29*1E-9-1/(C796*'入力・概要'!$B$27*1E-6))</f>
        <v/>
      </c>
      <c r="P796" s="195">
        <f>IF(B796="","",((L796*N796-M796*O796)*(L796+N796)+(L796*O796+M796*N796)*(M796+O796))/((L796+N796)^2+(M796+O796)^2))</f>
        <v/>
      </c>
      <c r="Q796" s="195">
        <f>IF(B796="","",((L796*O796+M796*N796)*(L796+N796)-(L796*N796-M796*O796)*(M796+O796))/((L796+N796)^2+(M796+O796)^2))</f>
        <v/>
      </c>
      <c r="R796" s="195">
        <f>IF(B796="","",'入力・概要'!$E$15*J796)</f>
        <v/>
      </c>
      <c r="S796" s="195">
        <f>IF(B796="","",'入力・概要'!$E$15*K796)</f>
        <v/>
      </c>
      <c r="T796" s="195">
        <f>IF(B796="","",P796+R796)</f>
        <v/>
      </c>
      <c r="U796" s="195">
        <f>IF(B796="","",Q796+S796)</f>
        <v/>
      </c>
      <c r="V796" s="195">
        <f>IF(B796="","",T796+'入力・概要'!$E$9*F796)</f>
        <v/>
      </c>
      <c r="W796" s="195">
        <f>IF(B796="","",U796+'入力・概要'!$E$9*G796)</f>
        <v/>
      </c>
      <c r="X796" s="195">
        <f>IF(B796="","",'入力・概要'!$E$9+T796*F796-U796*G796)</f>
        <v/>
      </c>
      <c r="Y796" s="195">
        <f>IF(B796="","",T796*G796+U796*F796)</f>
        <v/>
      </c>
      <c r="Z796" s="195">
        <f>IF(B796="","",'入力・概要'!$E$9*(V796*X796+W796*Y796)/(X796^2+Y796^2)+'入力・概要'!$B$36)</f>
        <v/>
      </c>
      <c r="AA796" s="195">
        <f>IF(B796="","",'入力・概要'!$E$9*(W796*X796-V796*Y796)/(X796^2+Y796^2)+C796*'入力・概要'!$B$37*1E-9)</f>
        <v/>
      </c>
      <c r="AB796" s="195">
        <f>IF(B796="","",SQRT(Z796^2+AA796^2))</f>
        <v/>
      </c>
      <c r="AC796" s="195">
        <f>IF(B796="","",IF(Z796&gt;0,DEGREES(ATAN(AA796/Z796)),IF(Z796&lt;0,IF(AA796&gt;=0,DEGREES(ATAN(AA796/Z796))+180,DEGREES(ATAN(AA796/Z796))-180),IF(AA796&gt;0,90,IF(AA796&lt;0,-90,0)))))</f>
        <v/>
      </c>
      <c r="AD796" s="195">
        <f>IF(B796="","",LOG10(B796))</f>
        <v/>
      </c>
      <c r="AE796" s="195">
        <f>IF(AB796="","",LOG10(MAX(AB796,1E-12)))</f>
        <v/>
      </c>
      <c r="AF796" s="195">
        <f>IF(B796="","",SQRT(P796^2+Q796^2))</f>
        <v/>
      </c>
      <c r="AG796" s="195">
        <f>IF(B796="","",SQRT(R796^2+S796^2))</f>
        <v/>
      </c>
    </row>
    <row r="797">
      <c r="A797" t="n">
        <v>794</v>
      </c>
      <c r="B797" s="196">
        <f>IF(A797&lt;='入力・概要'!$B$40,10^(LOG10('入力・概要'!$B$38)+(A797-1)*(LOG10('入力・概要'!$B$39)-LOG10('入力・概要'!$B$38))/('入力・概要'!$B$40-1)),"")</f>
        <v/>
      </c>
      <c r="C797" s="195">
        <f>IF(B797="","",2*PI()*B797)</f>
        <v/>
      </c>
      <c r="D797" s="195">
        <f>IF(B797="","",ATANH(MIN(0.999999,'入力・概要'!$E$20/'入力・概要'!$E$9))+'入力・概要'!$B$20*SQRT(B797/1E6)+E797*'入力・概要'!$B$15/2)</f>
        <v/>
      </c>
      <c r="E797" s="195">
        <f>IF(B797="","",C797*('入力・概要'!$E$11*1E-9))</f>
        <v/>
      </c>
      <c r="F797" s="195">
        <f>IF(B797="","",SINH(2*D797)/(COSH(2*D797)+COS(2*E797)))</f>
        <v/>
      </c>
      <c r="G797" s="195">
        <f>IF(B797="","",SIN(2*E797)/(COSH(2*D797)+COS(2*E797)))</f>
        <v/>
      </c>
      <c r="H797" s="195">
        <f>IF(B797="","",ATANH(MIN(0.999999,'入力・概要'!$E$21/'入力・概要'!$E$15))+'入力・概要'!$B$21*SQRT(B797/1E6)+I797*'入力・概要'!$B$16/2)</f>
        <v/>
      </c>
      <c r="I797" s="195">
        <f>IF(B797="","",C797*('入力・概要'!$E$17*1E-9))</f>
        <v/>
      </c>
      <c r="J797" s="195">
        <f>IF(B797="","",SINH(2*H797)/(COSH(2*H797)+COS(2*I797)))</f>
        <v/>
      </c>
      <c r="K797" s="195">
        <f>IF(B797="","",SIN(2*I797)/(COSH(2*H797)+COS(2*I797)))</f>
        <v/>
      </c>
      <c r="L797" s="195">
        <f>IF(B797="","",'入力・概要'!$B$25)</f>
        <v/>
      </c>
      <c r="M797" s="195">
        <f>IF(B797="","",C797*'入力・概要'!$B$26*1E-9-1/(C797*'入力・概要'!$B$24*1E-6))</f>
        <v/>
      </c>
      <c r="N797" s="195">
        <f>IF(B797="","",'入力・概要'!$B$28)</f>
        <v/>
      </c>
      <c r="O797" s="195">
        <f>IF(B797="","",C797*'入力・概要'!$B$29*1E-9-1/(C797*'入力・概要'!$B$27*1E-6))</f>
        <v/>
      </c>
      <c r="P797" s="195">
        <f>IF(B797="","",((L797*N797-M797*O797)*(L797+N797)+(L797*O797+M797*N797)*(M797+O797))/((L797+N797)^2+(M797+O797)^2))</f>
        <v/>
      </c>
      <c r="Q797" s="195">
        <f>IF(B797="","",((L797*O797+M797*N797)*(L797+N797)-(L797*N797-M797*O797)*(M797+O797))/((L797+N797)^2+(M797+O797)^2))</f>
        <v/>
      </c>
      <c r="R797" s="195">
        <f>IF(B797="","",'入力・概要'!$E$15*J797)</f>
        <v/>
      </c>
      <c r="S797" s="195">
        <f>IF(B797="","",'入力・概要'!$E$15*K797)</f>
        <v/>
      </c>
      <c r="T797" s="195">
        <f>IF(B797="","",P797+R797)</f>
        <v/>
      </c>
      <c r="U797" s="195">
        <f>IF(B797="","",Q797+S797)</f>
        <v/>
      </c>
      <c r="V797" s="195">
        <f>IF(B797="","",T797+'入力・概要'!$E$9*F797)</f>
        <v/>
      </c>
      <c r="W797" s="195">
        <f>IF(B797="","",U797+'入力・概要'!$E$9*G797)</f>
        <v/>
      </c>
      <c r="X797" s="195">
        <f>IF(B797="","",'入力・概要'!$E$9+T797*F797-U797*G797)</f>
        <v/>
      </c>
      <c r="Y797" s="195">
        <f>IF(B797="","",T797*G797+U797*F797)</f>
        <v/>
      </c>
      <c r="Z797" s="195">
        <f>IF(B797="","",'入力・概要'!$E$9*(V797*X797+W797*Y797)/(X797^2+Y797^2)+'入力・概要'!$B$36)</f>
        <v/>
      </c>
      <c r="AA797" s="195">
        <f>IF(B797="","",'入力・概要'!$E$9*(W797*X797-V797*Y797)/(X797^2+Y797^2)+C797*'入力・概要'!$B$37*1E-9)</f>
        <v/>
      </c>
      <c r="AB797" s="195">
        <f>IF(B797="","",SQRT(Z797^2+AA797^2))</f>
        <v/>
      </c>
      <c r="AC797" s="195">
        <f>IF(B797="","",IF(Z797&gt;0,DEGREES(ATAN(AA797/Z797)),IF(Z797&lt;0,IF(AA797&gt;=0,DEGREES(ATAN(AA797/Z797))+180,DEGREES(ATAN(AA797/Z797))-180),IF(AA797&gt;0,90,IF(AA797&lt;0,-90,0)))))</f>
        <v/>
      </c>
      <c r="AD797" s="195">
        <f>IF(B797="","",LOG10(B797))</f>
        <v/>
      </c>
      <c r="AE797" s="195">
        <f>IF(AB797="","",LOG10(MAX(AB797,1E-12)))</f>
        <v/>
      </c>
      <c r="AF797" s="195">
        <f>IF(B797="","",SQRT(P797^2+Q797^2))</f>
        <v/>
      </c>
      <c r="AG797" s="195">
        <f>IF(B797="","",SQRT(R797^2+S797^2))</f>
        <v/>
      </c>
    </row>
    <row r="798">
      <c r="A798" t="n">
        <v>795</v>
      </c>
      <c r="B798" s="196">
        <f>IF(A798&lt;='入力・概要'!$B$40,10^(LOG10('入力・概要'!$B$38)+(A798-1)*(LOG10('入力・概要'!$B$39)-LOG10('入力・概要'!$B$38))/('入力・概要'!$B$40-1)),"")</f>
        <v/>
      </c>
      <c r="C798" s="195">
        <f>IF(B798="","",2*PI()*B798)</f>
        <v/>
      </c>
      <c r="D798" s="195">
        <f>IF(B798="","",ATANH(MIN(0.999999,'入力・概要'!$E$20/'入力・概要'!$E$9))+'入力・概要'!$B$20*SQRT(B798/1E6)+E798*'入力・概要'!$B$15/2)</f>
        <v/>
      </c>
      <c r="E798" s="195">
        <f>IF(B798="","",C798*('入力・概要'!$E$11*1E-9))</f>
        <v/>
      </c>
      <c r="F798" s="195">
        <f>IF(B798="","",SINH(2*D798)/(COSH(2*D798)+COS(2*E798)))</f>
        <v/>
      </c>
      <c r="G798" s="195">
        <f>IF(B798="","",SIN(2*E798)/(COSH(2*D798)+COS(2*E798)))</f>
        <v/>
      </c>
      <c r="H798" s="195">
        <f>IF(B798="","",ATANH(MIN(0.999999,'入力・概要'!$E$21/'入力・概要'!$E$15))+'入力・概要'!$B$21*SQRT(B798/1E6)+I798*'入力・概要'!$B$16/2)</f>
        <v/>
      </c>
      <c r="I798" s="195">
        <f>IF(B798="","",C798*('入力・概要'!$E$17*1E-9))</f>
        <v/>
      </c>
      <c r="J798" s="195">
        <f>IF(B798="","",SINH(2*H798)/(COSH(2*H798)+COS(2*I798)))</f>
        <v/>
      </c>
      <c r="K798" s="195">
        <f>IF(B798="","",SIN(2*I798)/(COSH(2*H798)+COS(2*I798)))</f>
        <v/>
      </c>
      <c r="L798" s="195">
        <f>IF(B798="","",'入力・概要'!$B$25)</f>
        <v/>
      </c>
      <c r="M798" s="195">
        <f>IF(B798="","",C798*'入力・概要'!$B$26*1E-9-1/(C798*'入力・概要'!$B$24*1E-6))</f>
        <v/>
      </c>
      <c r="N798" s="195">
        <f>IF(B798="","",'入力・概要'!$B$28)</f>
        <v/>
      </c>
      <c r="O798" s="195">
        <f>IF(B798="","",C798*'入力・概要'!$B$29*1E-9-1/(C798*'入力・概要'!$B$27*1E-6))</f>
        <v/>
      </c>
      <c r="P798" s="195">
        <f>IF(B798="","",((L798*N798-M798*O798)*(L798+N798)+(L798*O798+M798*N798)*(M798+O798))/((L798+N798)^2+(M798+O798)^2))</f>
        <v/>
      </c>
      <c r="Q798" s="195">
        <f>IF(B798="","",((L798*O798+M798*N798)*(L798+N798)-(L798*N798-M798*O798)*(M798+O798))/((L798+N798)^2+(M798+O798)^2))</f>
        <v/>
      </c>
      <c r="R798" s="195">
        <f>IF(B798="","",'入力・概要'!$E$15*J798)</f>
        <v/>
      </c>
      <c r="S798" s="195">
        <f>IF(B798="","",'入力・概要'!$E$15*K798)</f>
        <v/>
      </c>
      <c r="T798" s="195">
        <f>IF(B798="","",P798+R798)</f>
        <v/>
      </c>
      <c r="U798" s="195">
        <f>IF(B798="","",Q798+S798)</f>
        <v/>
      </c>
      <c r="V798" s="195">
        <f>IF(B798="","",T798+'入力・概要'!$E$9*F798)</f>
        <v/>
      </c>
      <c r="W798" s="195">
        <f>IF(B798="","",U798+'入力・概要'!$E$9*G798)</f>
        <v/>
      </c>
      <c r="X798" s="195">
        <f>IF(B798="","",'入力・概要'!$E$9+T798*F798-U798*G798)</f>
        <v/>
      </c>
      <c r="Y798" s="195">
        <f>IF(B798="","",T798*G798+U798*F798)</f>
        <v/>
      </c>
      <c r="Z798" s="195">
        <f>IF(B798="","",'入力・概要'!$E$9*(V798*X798+W798*Y798)/(X798^2+Y798^2)+'入力・概要'!$B$36)</f>
        <v/>
      </c>
      <c r="AA798" s="195">
        <f>IF(B798="","",'入力・概要'!$E$9*(W798*X798-V798*Y798)/(X798^2+Y798^2)+C798*'入力・概要'!$B$37*1E-9)</f>
        <v/>
      </c>
      <c r="AB798" s="195">
        <f>IF(B798="","",SQRT(Z798^2+AA798^2))</f>
        <v/>
      </c>
      <c r="AC798" s="195">
        <f>IF(B798="","",IF(Z798&gt;0,DEGREES(ATAN(AA798/Z798)),IF(Z798&lt;0,IF(AA798&gt;=0,DEGREES(ATAN(AA798/Z798))+180,DEGREES(ATAN(AA798/Z798))-180),IF(AA798&gt;0,90,IF(AA798&lt;0,-90,0)))))</f>
        <v/>
      </c>
      <c r="AD798" s="195">
        <f>IF(B798="","",LOG10(B798))</f>
        <v/>
      </c>
      <c r="AE798" s="195">
        <f>IF(AB798="","",LOG10(MAX(AB798,1E-12)))</f>
        <v/>
      </c>
      <c r="AF798" s="195">
        <f>IF(B798="","",SQRT(P798^2+Q798^2))</f>
        <v/>
      </c>
      <c r="AG798" s="195">
        <f>IF(B798="","",SQRT(R798^2+S798^2))</f>
        <v/>
      </c>
    </row>
    <row r="799">
      <c r="A799" t="n">
        <v>796</v>
      </c>
      <c r="B799" s="196">
        <f>IF(A799&lt;='入力・概要'!$B$40,10^(LOG10('入力・概要'!$B$38)+(A799-1)*(LOG10('入力・概要'!$B$39)-LOG10('入力・概要'!$B$38))/('入力・概要'!$B$40-1)),"")</f>
        <v/>
      </c>
      <c r="C799" s="195">
        <f>IF(B799="","",2*PI()*B799)</f>
        <v/>
      </c>
      <c r="D799" s="195">
        <f>IF(B799="","",ATANH(MIN(0.999999,'入力・概要'!$E$20/'入力・概要'!$E$9))+'入力・概要'!$B$20*SQRT(B799/1E6)+E799*'入力・概要'!$B$15/2)</f>
        <v/>
      </c>
      <c r="E799" s="195">
        <f>IF(B799="","",C799*('入力・概要'!$E$11*1E-9))</f>
        <v/>
      </c>
      <c r="F799" s="195">
        <f>IF(B799="","",SINH(2*D799)/(COSH(2*D799)+COS(2*E799)))</f>
        <v/>
      </c>
      <c r="G799" s="195">
        <f>IF(B799="","",SIN(2*E799)/(COSH(2*D799)+COS(2*E799)))</f>
        <v/>
      </c>
      <c r="H799" s="195">
        <f>IF(B799="","",ATANH(MIN(0.999999,'入力・概要'!$E$21/'入力・概要'!$E$15))+'入力・概要'!$B$21*SQRT(B799/1E6)+I799*'入力・概要'!$B$16/2)</f>
        <v/>
      </c>
      <c r="I799" s="195">
        <f>IF(B799="","",C799*('入力・概要'!$E$17*1E-9))</f>
        <v/>
      </c>
      <c r="J799" s="195">
        <f>IF(B799="","",SINH(2*H799)/(COSH(2*H799)+COS(2*I799)))</f>
        <v/>
      </c>
      <c r="K799" s="195">
        <f>IF(B799="","",SIN(2*I799)/(COSH(2*H799)+COS(2*I799)))</f>
        <v/>
      </c>
      <c r="L799" s="195">
        <f>IF(B799="","",'入力・概要'!$B$25)</f>
        <v/>
      </c>
      <c r="M799" s="195">
        <f>IF(B799="","",C799*'入力・概要'!$B$26*1E-9-1/(C799*'入力・概要'!$B$24*1E-6))</f>
        <v/>
      </c>
      <c r="N799" s="195">
        <f>IF(B799="","",'入力・概要'!$B$28)</f>
        <v/>
      </c>
      <c r="O799" s="195">
        <f>IF(B799="","",C799*'入力・概要'!$B$29*1E-9-1/(C799*'入力・概要'!$B$27*1E-6))</f>
        <v/>
      </c>
      <c r="P799" s="195">
        <f>IF(B799="","",((L799*N799-M799*O799)*(L799+N799)+(L799*O799+M799*N799)*(M799+O799))/((L799+N799)^2+(M799+O799)^2))</f>
        <v/>
      </c>
      <c r="Q799" s="195">
        <f>IF(B799="","",((L799*O799+M799*N799)*(L799+N799)-(L799*N799-M799*O799)*(M799+O799))/((L799+N799)^2+(M799+O799)^2))</f>
        <v/>
      </c>
      <c r="R799" s="195">
        <f>IF(B799="","",'入力・概要'!$E$15*J799)</f>
        <v/>
      </c>
      <c r="S799" s="195">
        <f>IF(B799="","",'入力・概要'!$E$15*K799)</f>
        <v/>
      </c>
      <c r="T799" s="195">
        <f>IF(B799="","",P799+R799)</f>
        <v/>
      </c>
      <c r="U799" s="195">
        <f>IF(B799="","",Q799+S799)</f>
        <v/>
      </c>
      <c r="V799" s="195">
        <f>IF(B799="","",T799+'入力・概要'!$E$9*F799)</f>
        <v/>
      </c>
      <c r="W799" s="195">
        <f>IF(B799="","",U799+'入力・概要'!$E$9*G799)</f>
        <v/>
      </c>
      <c r="X799" s="195">
        <f>IF(B799="","",'入力・概要'!$E$9+T799*F799-U799*G799)</f>
        <v/>
      </c>
      <c r="Y799" s="195">
        <f>IF(B799="","",T799*G799+U799*F799)</f>
        <v/>
      </c>
      <c r="Z799" s="195">
        <f>IF(B799="","",'入力・概要'!$E$9*(V799*X799+W799*Y799)/(X799^2+Y799^2)+'入力・概要'!$B$36)</f>
        <v/>
      </c>
      <c r="AA799" s="195">
        <f>IF(B799="","",'入力・概要'!$E$9*(W799*X799-V799*Y799)/(X799^2+Y799^2)+C799*'入力・概要'!$B$37*1E-9)</f>
        <v/>
      </c>
      <c r="AB799" s="195">
        <f>IF(B799="","",SQRT(Z799^2+AA799^2))</f>
        <v/>
      </c>
      <c r="AC799" s="195">
        <f>IF(B799="","",IF(Z799&gt;0,DEGREES(ATAN(AA799/Z799)),IF(Z799&lt;0,IF(AA799&gt;=0,DEGREES(ATAN(AA799/Z799))+180,DEGREES(ATAN(AA799/Z799))-180),IF(AA799&gt;0,90,IF(AA799&lt;0,-90,0)))))</f>
        <v/>
      </c>
      <c r="AD799" s="195">
        <f>IF(B799="","",LOG10(B799))</f>
        <v/>
      </c>
      <c r="AE799" s="195">
        <f>IF(AB799="","",LOG10(MAX(AB799,1E-12)))</f>
        <v/>
      </c>
      <c r="AF799" s="195">
        <f>IF(B799="","",SQRT(P799^2+Q799^2))</f>
        <v/>
      </c>
      <c r="AG799" s="195">
        <f>IF(B799="","",SQRT(R799^2+S799^2))</f>
        <v/>
      </c>
    </row>
    <row r="800">
      <c r="A800" t="n">
        <v>797</v>
      </c>
      <c r="B800" s="196">
        <f>IF(A800&lt;='入力・概要'!$B$40,10^(LOG10('入力・概要'!$B$38)+(A800-1)*(LOG10('入力・概要'!$B$39)-LOG10('入力・概要'!$B$38))/('入力・概要'!$B$40-1)),"")</f>
        <v/>
      </c>
      <c r="C800" s="195">
        <f>IF(B800="","",2*PI()*B800)</f>
        <v/>
      </c>
      <c r="D800" s="195">
        <f>IF(B800="","",ATANH(MIN(0.999999,'入力・概要'!$E$20/'入力・概要'!$E$9))+'入力・概要'!$B$20*SQRT(B800/1E6)+E800*'入力・概要'!$B$15/2)</f>
        <v/>
      </c>
      <c r="E800" s="195">
        <f>IF(B800="","",C800*('入力・概要'!$E$11*1E-9))</f>
        <v/>
      </c>
      <c r="F800" s="195">
        <f>IF(B800="","",SINH(2*D800)/(COSH(2*D800)+COS(2*E800)))</f>
        <v/>
      </c>
      <c r="G800" s="195">
        <f>IF(B800="","",SIN(2*E800)/(COSH(2*D800)+COS(2*E800)))</f>
        <v/>
      </c>
      <c r="H800" s="195">
        <f>IF(B800="","",ATANH(MIN(0.999999,'入力・概要'!$E$21/'入力・概要'!$E$15))+'入力・概要'!$B$21*SQRT(B800/1E6)+I800*'入力・概要'!$B$16/2)</f>
        <v/>
      </c>
      <c r="I800" s="195">
        <f>IF(B800="","",C800*('入力・概要'!$E$17*1E-9))</f>
        <v/>
      </c>
      <c r="J800" s="195">
        <f>IF(B800="","",SINH(2*H800)/(COSH(2*H800)+COS(2*I800)))</f>
        <v/>
      </c>
      <c r="K800" s="195">
        <f>IF(B800="","",SIN(2*I800)/(COSH(2*H800)+COS(2*I800)))</f>
        <v/>
      </c>
      <c r="L800" s="195">
        <f>IF(B800="","",'入力・概要'!$B$25)</f>
        <v/>
      </c>
      <c r="M800" s="195">
        <f>IF(B800="","",C800*'入力・概要'!$B$26*1E-9-1/(C800*'入力・概要'!$B$24*1E-6))</f>
        <v/>
      </c>
      <c r="N800" s="195">
        <f>IF(B800="","",'入力・概要'!$B$28)</f>
        <v/>
      </c>
      <c r="O800" s="195">
        <f>IF(B800="","",C800*'入力・概要'!$B$29*1E-9-1/(C800*'入力・概要'!$B$27*1E-6))</f>
        <v/>
      </c>
      <c r="P800" s="195">
        <f>IF(B800="","",((L800*N800-M800*O800)*(L800+N800)+(L800*O800+M800*N800)*(M800+O800))/((L800+N800)^2+(M800+O800)^2))</f>
        <v/>
      </c>
      <c r="Q800" s="195">
        <f>IF(B800="","",((L800*O800+M800*N800)*(L800+N800)-(L800*N800-M800*O800)*(M800+O800))/((L800+N800)^2+(M800+O800)^2))</f>
        <v/>
      </c>
      <c r="R800" s="195">
        <f>IF(B800="","",'入力・概要'!$E$15*J800)</f>
        <v/>
      </c>
      <c r="S800" s="195">
        <f>IF(B800="","",'入力・概要'!$E$15*K800)</f>
        <v/>
      </c>
      <c r="T800" s="195">
        <f>IF(B800="","",P800+R800)</f>
        <v/>
      </c>
      <c r="U800" s="195">
        <f>IF(B800="","",Q800+S800)</f>
        <v/>
      </c>
      <c r="V800" s="195">
        <f>IF(B800="","",T800+'入力・概要'!$E$9*F800)</f>
        <v/>
      </c>
      <c r="W800" s="195">
        <f>IF(B800="","",U800+'入力・概要'!$E$9*G800)</f>
        <v/>
      </c>
      <c r="X800" s="195">
        <f>IF(B800="","",'入力・概要'!$E$9+T800*F800-U800*G800)</f>
        <v/>
      </c>
      <c r="Y800" s="195">
        <f>IF(B800="","",T800*G800+U800*F800)</f>
        <v/>
      </c>
      <c r="Z800" s="195">
        <f>IF(B800="","",'入力・概要'!$E$9*(V800*X800+W800*Y800)/(X800^2+Y800^2)+'入力・概要'!$B$36)</f>
        <v/>
      </c>
      <c r="AA800" s="195">
        <f>IF(B800="","",'入力・概要'!$E$9*(W800*X800-V800*Y800)/(X800^2+Y800^2)+C800*'入力・概要'!$B$37*1E-9)</f>
        <v/>
      </c>
      <c r="AB800" s="195">
        <f>IF(B800="","",SQRT(Z800^2+AA800^2))</f>
        <v/>
      </c>
      <c r="AC800" s="195">
        <f>IF(B800="","",IF(Z800&gt;0,DEGREES(ATAN(AA800/Z800)),IF(Z800&lt;0,IF(AA800&gt;=0,DEGREES(ATAN(AA800/Z800))+180,DEGREES(ATAN(AA800/Z800))-180),IF(AA800&gt;0,90,IF(AA800&lt;0,-90,0)))))</f>
        <v/>
      </c>
      <c r="AD800" s="195">
        <f>IF(B800="","",LOG10(B800))</f>
        <v/>
      </c>
      <c r="AE800" s="195">
        <f>IF(AB800="","",LOG10(MAX(AB800,1E-12)))</f>
        <v/>
      </c>
      <c r="AF800" s="195">
        <f>IF(B800="","",SQRT(P800^2+Q800^2))</f>
        <v/>
      </c>
      <c r="AG800" s="195">
        <f>IF(B800="","",SQRT(R800^2+S800^2))</f>
        <v/>
      </c>
    </row>
    <row r="801">
      <c r="A801" t="n">
        <v>798</v>
      </c>
      <c r="B801" s="196">
        <f>IF(A801&lt;='入力・概要'!$B$40,10^(LOG10('入力・概要'!$B$38)+(A801-1)*(LOG10('入力・概要'!$B$39)-LOG10('入力・概要'!$B$38))/('入力・概要'!$B$40-1)),"")</f>
        <v/>
      </c>
      <c r="C801" s="195">
        <f>IF(B801="","",2*PI()*B801)</f>
        <v/>
      </c>
      <c r="D801" s="195">
        <f>IF(B801="","",ATANH(MIN(0.999999,'入力・概要'!$E$20/'入力・概要'!$E$9))+'入力・概要'!$B$20*SQRT(B801/1E6)+E801*'入力・概要'!$B$15/2)</f>
        <v/>
      </c>
      <c r="E801" s="195">
        <f>IF(B801="","",C801*('入力・概要'!$E$11*1E-9))</f>
        <v/>
      </c>
      <c r="F801" s="195">
        <f>IF(B801="","",SINH(2*D801)/(COSH(2*D801)+COS(2*E801)))</f>
        <v/>
      </c>
      <c r="G801" s="195">
        <f>IF(B801="","",SIN(2*E801)/(COSH(2*D801)+COS(2*E801)))</f>
        <v/>
      </c>
      <c r="H801" s="195">
        <f>IF(B801="","",ATANH(MIN(0.999999,'入力・概要'!$E$21/'入力・概要'!$E$15))+'入力・概要'!$B$21*SQRT(B801/1E6)+I801*'入力・概要'!$B$16/2)</f>
        <v/>
      </c>
      <c r="I801" s="195">
        <f>IF(B801="","",C801*('入力・概要'!$E$17*1E-9))</f>
        <v/>
      </c>
      <c r="J801" s="195">
        <f>IF(B801="","",SINH(2*H801)/(COSH(2*H801)+COS(2*I801)))</f>
        <v/>
      </c>
      <c r="K801" s="195">
        <f>IF(B801="","",SIN(2*I801)/(COSH(2*H801)+COS(2*I801)))</f>
        <v/>
      </c>
      <c r="L801" s="195">
        <f>IF(B801="","",'入力・概要'!$B$25)</f>
        <v/>
      </c>
      <c r="M801" s="195">
        <f>IF(B801="","",C801*'入力・概要'!$B$26*1E-9-1/(C801*'入力・概要'!$B$24*1E-6))</f>
        <v/>
      </c>
      <c r="N801" s="195">
        <f>IF(B801="","",'入力・概要'!$B$28)</f>
        <v/>
      </c>
      <c r="O801" s="195">
        <f>IF(B801="","",C801*'入力・概要'!$B$29*1E-9-1/(C801*'入力・概要'!$B$27*1E-6))</f>
        <v/>
      </c>
      <c r="P801" s="195">
        <f>IF(B801="","",((L801*N801-M801*O801)*(L801+N801)+(L801*O801+M801*N801)*(M801+O801))/((L801+N801)^2+(M801+O801)^2))</f>
        <v/>
      </c>
      <c r="Q801" s="195">
        <f>IF(B801="","",((L801*O801+M801*N801)*(L801+N801)-(L801*N801-M801*O801)*(M801+O801))/((L801+N801)^2+(M801+O801)^2))</f>
        <v/>
      </c>
      <c r="R801" s="195">
        <f>IF(B801="","",'入力・概要'!$E$15*J801)</f>
        <v/>
      </c>
      <c r="S801" s="195">
        <f>IF(B801="","",'入力・概要'!$E$15*K801)</f>
        <v/>
      </c>
      <c r="T801" s="195">
        <f>IF(B801="","",P801+R801)</f>
        <v/>
      </c>
      <c r="U801" s="195">
        <f>IF(B801="","",Q801+S801)</f>
        <v/>
      </c>
      <c r="V801" s="195">
        <f>IF(B801="","",T801+'入力・概要'!$E$9*F801)</f>
        <v/>
      </c>
      <c r="W801" s="195">
        <f>IF(B801="","",U801+'入力・概要'!$E$9*G801)</f>
        <v/>
      </c>
      <c r="X801" s="195">
        <f>IF(B801="","",'入力・概要'!$E$9+T801*F801-U801*G801)</f>
        <v/>
      </c>
      <c r="Y801" s="195">
        <f>IF(B801="","",T801*G801+U801*F801)</f>
        <v/>
      </c>
      <c r="Z801" s="195">
        <f>IF(B801="","",'入力・概要'!$E$9*(V801*X801+W801*Y801)/(X801^2+Y801^2)+'入力・概要'!$B$36)</f>
        <v/>
      </c>
      <c r="AA801" s="195">
        <f>IF(B801="","",'入力・概要'!$E$9*(W801*X801-V801*Y801)/(X801^2+Y801^2)+C801*'入力・概要'!$B$37*1E-9)</f>
        <v/>
      </c>
      <c r="AB801" s="195">
        <f>IF(B801="","",SQRT(Z801^2+AA801^2))</f>
        <v/>
      </c>
      <c r="AC801" s="195">
        <f>IF(B801="","",IF(Z801&gt;0,DEGREES(ATAN(AA801/Z801)),IF(Z801&lt;0,IF(AA801&gt;=0,DEGREES(ATAN(AA801/Z801))+180,DEGREES(ATAN(AA801/Z801))-180),IF(AA801&gt;0,90,IF(AA801&lt;0,-90,0)))))</f>
        <v/>
      </c>
      <c r="AD801" s="195">
        <f>IF(B801="","",LOG10(B801))</f>
        <v/>
      </c>
      <c r="AE801" s="195">
        <f>IF(AB801="","",LOG10(MAX(AB801,1E-12)))</f>
        <v/>
      </c>
      <c r="AF801" s="195">
        <f>IF(B801="","",SQRT(P801^2+Q801^2))</f>
        <v/>
      </c>
      <c r="AG801" s="195">
        <f>IF(B801="","",SQRT(R801^2+S801^2))</f>
        <v/>
      </c>
    </row>
    <row r="802">
      <c r="A802" t="n">
        <v>799</v>
      </c>
      <c r="B802" s="196">
        <f>IF(A802&lt;='入力・概要'!$B$40,10^(LOG10('入力・概要'!$B$38)+(A802-1)*(LOG10('入力・概要'!$B$39)-LOG10('入力・概要'!$B$38))/('入力・概要'!$B$40-1)),"")</f>
        <v/>
      </c>
      <c r="C802" s="195">
        <f>IF(B802="","",2*PI()*B802)</f>
        <v/>
      </c>
      <c r="D802" s="195">
        <f>IF(B802="","",ATANH(MIN(0.999999,'入力・概要'!$E$20/'入力・概要'!$E$9))+'入力・概要'!$B$20*SQRT(B802/1E6)+E802*'入力・概要'!$B$15/2)</f>
        <v/>
      </c>
      <c r="E802" s="195">
        <f>IF(B802="","",C802*('入力・概要'!$E$11*1E-9))</f>
        <v/>
      </c>
      <c r="F802" s="195">
        <f>IF(B802="","",SINH(2*D802)/(COSH(2*D802)+COS(2*E802)))</f>
        <v/>
      </c>
      <c r="G802" s="195">
        <f>IF(B802="","",SIN(2*E802)/(COSH(2*D802)+COS(2*E802)))</f>
        <v/>
      </c>
      <c r="H802" s="195">
        <f>IF(B802="","",ATANH(MIN(0.999999,'入力・概要'!$E$21/'入力・概要'!$E$15))+'入力・概要'!$B$21*SQRT(B802/1E6)+I802*'入力・概要'!$B$16/2)</f>
        <v/>
      </c>
      <c r="I802" s="195">
        <f>IF(B802="","",C802*('入力・概要'!$E$17*1E-9))</f>
        <v/>
      </c>
      <c r="J802" s="195">
        <f>IF(B802="","",SINH(2*H802)/(COSH(2*H802)+COS(2*I802)))</f>
        <v/>
      </c>
      <c r="K802" s="195">
        <f>IF(B802="","",SIN(2*I802)/(COSH(2*H802)+COS(2*I802)))</f>
        <v/>
      </c>
      <c r="L802" s="195">
        <f>IF(B802="","",'入力・概要'!$B$25)</f>
        <v/>
      </c>
      <c r="M802" s="195">
        <f>IF(B802="","",C802*'入力・概要'!$B$26*1E-9-1/(C802*'入力・概要'!$B$24*1E-6))</f>
        <v/>
      </c>
      <c r="N802" s="195">
        <f>IF(B802="","",'入力・概要'!$B$28)</f>
        <v/>
      </c>
      <c r="O802" s="195">
        <f>IF(B802="","",C802*'入力・概要'!$B$29*1E-9-1/(C802*'入力・概要'!$B$27*1E-6))</f>
        <v/>
      </c>
      <c r="P802" s="195">
        <f>IF(B802="","",((L802*N802-M802*O802)*(L802+N802)+(L802*O802+M802*N802)*(M802+O802))/((L802+N802)^2+(M802+O802)^2))</f>
        <v/>
      </c>
      <c r="Q802" s="195">
        <f>IF(B802="","",((L802*O802+M802*N802)*(L802+N802)-(L802*N802-M802*O802)*(M802+O802))/((L802+N802)^2+(M802+O802)^2))</f>
        <v/>
      </c>
      <c r="R802" s="195">
        <f>IF(B802="","",'入力・概要'!$E$15*J802)</f>
        <v/>
      </c>
      <c r="S802" s="195">
        <f>IF(B802="","",'入力・概要'!$E$15*K802)</f>
        <v/>
      </c>
      <c r="T802" s="195">
        <f>IF(B802="","",P802+R802)</f>
        <v/>
      </c>
      <c r="U802" s="195">
        <f>IF(B802="","",Q802+S802)</f>
        <v/>
      </c>
      <c r="V802" s="195">
        <f>IF(B802="","",T802+'入力・概要'!$E$9*F802)</f>
        <v/>
      </c>
      <c r="W802" s="195">
        <f>IF(B802="","",U802+'入力・概要'!$E$9*G802)</f>
        <v/>
      </c>
      <c r="X802" s="195">
        <f>IF(B802="","",'入力・概要'!$E$9+T802*F802-U802*G802)</f>
        <v/>
      </c>
      <c r="Y802" s="195">
        <f>IF(B802="","",T802*G802+U802*F802)</f>
        <v/>
      </c>
      <c r="Z802" s="195">
        <f>IF(B802="","",'入力・概要'!$E$9*(V802*X802+W802*Y802)/(X802^2+Y802^2)+'入力・概要'!$B$36)</f>
        <v/>
      </c>
      <c r="AA802" s="195">
        <f>IF(B802="","",'入力・概要'!$E$9*(W802*X802-V802*Y802)/(X802^2+Y802^2)+C802*'入力・概要'!$B$37*1E-9)</f>
        <v/>
      </c>
      <c r="AB802" s="195">
        <f>IF(B802="","",SQRT(Z802^2+AA802^2))</f>
        <v/>
      </c>
      <c r="AC802" s="195">
        <f>IF(B802="","",IF(Z802&gt;0,DEGREES(ATAN(AA802/Z802)),IF(Z802&lt;0,IF(AA802&gt;=0,DEGREES(ATAN(AA802/Z802))+180,DEGREES(ATAN(AA802/Z802))-180),IF(AA802&gt;0,90,IF(AA802&lt;0,-90,0)))))</f>
        <v/>
      </c>
      <c r="AD802" s="195">
        <f>IF(B802="","",LOG10(B802))</f>
        <v/>
      </c>
      <c r="AE802" s="195">
        <f>IF(AB802="","",LOG10(MAX(AB802,1E-12)))</f>
        <v/>
      </c>
      <c r="AF802" s="195">
        <f>IF(B802="","",SQRT(P802^2+Q802^2))</f>
        <v/>
      </c>
      <c r="AG802" s="195">
        <f>IF(B802="","",SQRT(R802^2+S802^2))</f>
        <v/>
      </c>
    </row>
    <row r="803">
      <c r="A803" t="n">
        <v>800</v>
      </c>
      <c r="B803" s="196">
        <f>IF(A803&lt;='入力・概要'!$B$40,10^(LOG10('入力・概要'!$B$38)+(A803-1)*(LOG10('入力・概要'!$B$39)-LOG10('入力・概要'!$B$38))/('入力・概要'!$B$40-1)),"")</f>
        <v/>
      </c>
      <c r="C803" s="195">
        <f>IF(B803="","",2*PI()*B803)</f>
        <v/>
      </c>
      <c r="D803" s="195">
        <f>IF(B803="","",ATANH(MIN(0.999999,'入力・概要'!$E$20/'入力・概要'!$E$9))+'入力・概要'!$B$20*SQRT(B803/1E6)+E803*'入力・概要'!$B$15/2)</f>
        <v/>
      </c>
      <c r="E803" s="195">
        <f>IF(B803="","",C803*('入力・概要'!$E$11*1E-9))</f>
        <v/>
      </c>
      <c r="F803" s="195">
        <f>IF(B803="","",SINH(2*D803)/(COSH(2*D803)+COS(2*E803)))</f>
        <v/>
      </c>
      <c r="G803" s="195">
        <f>IF(B803="","",SIN(2*E803)/(COSH(2*D803)+COS(2*E803)))</f>
        <v/>
      </c>
      <c r="H803" s="195">
        <f>IF(B803="","",ATANH(MIN(0.999999,'入力・概要'!$E$21/'入力・概要'!$E$15))+'入力・概要'!$B$21*SQRT(B803/1E6)+I803*'入力・概要'!$B$16/2)</f>
        <v/>
      </c>
      <c r="I803" s="195">
        <f>IF(B803="","",C803*('入力・概要'!$E$17*1E-9))</f>
        <v/>
      </c>
      <c r="J803" s="195">
        <f>IF(B803="","",SINH(2*H803)/(COSH(2*H803)+COS(2*I803)))</f>
        <v/>
      </c>
      <c r="K803" s="195">
        <f>IF(B803="","",SIN(2*I803)/(COSH(2*H803)+COS(2*I803)))</f>
        <v/>
      </c>
      <c r="L803" s="195">
        <f>IF(B803="","",'入力・概要'!$B$25)</f>
        <v/>
      </c>
      <c r="M803" s="195">
        <f>IF(B803="","",C803*'入力・概要'!$B$26*1E-9-1/(C803*'入力・概要'!$B$24*1E-6))</f>
        <v/>
      </c>
      <c r="N803" s="195">
        <f>IF(B803="","",'入力・概要'!$B$28)</f>
        <v/>
      </c>
      <c r="O803" s="195">
        <f>IF(B803="","",C803*'入力・概要'!$B$29*1E-9-1/(C803*'入力・概要'!$B$27*1E-6))</f>
        <v/>
      </c>
      <c r="P803" s="195">
        <f>IF(B803="","",((L803*N803-M803*O803)*(L803+N803)+(L803*O803+M803*N803)*(M803+O803))/((L803+N803)^2+(M803+O803)^2))</f>
        <v/>
      </c>
      <c r="Q803" s="195">
        <f>IF(B803="","",((L803*O803+M803*N803)*(L803+N803)-(L803*N803-M803*O803)*(M803+O803))/((L803+N803)^2+(M803+O803)^2))</f>
        <v/>
      </c>
      <c r="R803" s="195">
        <f>IF(B803="","",'入力・概要'!$E$15*J803)</f>
        <v/>
      </c>
      <c r="S803" s="195">
        <f>IF(B803="","",'入力・概要'!$E$15*K803)</f>
        <v/>
      </c>
      <c r="T803" s="195">
        <f>IF(B803="","",P803+R803)</f>
        <v/>
      </c>
      <c r="U803" s="195">
        <f>IF(B803="","",Q803+S803)</f>
        <v/>
      </c>
      <c r="V803" s="195">
        <f>IF(B803="","",T803+'入力・概要'!$E$9*F803)</f>
        <v/>
      </c>
      <c r="W803" s="195">
        <f>IF(B803="","",U803+'入力・概要'!$E$9*G803)</f>
        <v/>
      </c>
      <c r="X803" s="195">
        <f>IF(B803="","",'入力・概要'!$E$9+T803*F803-U803*G803)</f>
        <v/>
      </c>
      <c r="Y803" s="195">
        <f>IF(B803="","",T803*G803+U803*F803)</f>
        <v/>
      </c>
      <c r="Z803" s="195">
        <f>IF(B803="","",'入力・概要'!$E$9*(V803*X803+W803*Y803)/(X803^2+Y803^2)+'入力・概要'!$B$36)</f>
        <v/>
      </c>
      <c r="AA803" s="195">
        <f>IF(B803="","",'入力・概要'!$E$9*(W803*X803-V803*Y803)/(X803^2+Y803^2)+C803*'入力・概要'!$B$37*1E-9)</f>
        <v/>
      </c>
      <c r="AB803" s="195">
        <f>IF(B803="","",SQRT(Z803^2+AA803^2))</f>
        <v/>
      </c>
      <c r="AC803" s="195">
        <f>IF(B803="","",IF(Z803&gt;0,DEGREES(ATAN(AA803/Z803)),IF(Z803&lt;0,IF(AA803&gt;=0,DEGREES(ATAN(AA803/Z803))+180,DEGREES(ATAN(AA803/Z803))-180),IF(AA803&gt;0,90,IF(AA803&lt;0,-90,0)))))</f>
        <v/>
      </c>
      <c r="AD803" s="195">
        <f>IF(B803="","",LOG10(B803))</f>
        <v/>
      </c>
      <c r="AE803" s="195">
        <f>IF(AB803="","",LOG10(MAX(AB803,1E-12)))</f>
        <v/>
      </c>
      <c r="AF803" s="195">
        <f>IF(B803="","",SQRT(P803^2+Q803^2))</f>
        <v/>
      </c>
      <c r="AG803" s="195">
        <f>IF(B803="","",SQRT(R803^2+S803^2))</f>
        <v/>
      </c>
    </row>
    <row r="804">
      <c r="A804" t="n">
        <v>801</v>
      </c>
      <c r="B804" s="196">
        <f>IF(A804&lt;='入力・概要'!$B$40,10^(LOG10('入力・概要'!$B$38)+(A804-1)*(LOG10('入力・概要'!$B$39)-LOG10('入力・概要'!$B$38))/('入力・概要'!$B$40-1)),"")</f>
        <v/>
      </c>
      <c r="C804" s="195">
        <f>IF(B804="","",2*PI()*B804)</f>
        <v/>
      </c>
      <c r="D804" s="195">
        <f>IF(B804="","",ATANH(MIN(0.999999,'入力・概要'!$E$20/'入力・概要'!$E$9))+'入力・概要'!$B$20*SQRT(B804/1E6)+E804*'入力・概要'!$B$15/2)</f>
        <v/>
      </c>
      <c r="E804" s="195">
        <f>IF(B804="","",C804*('入力・概要'!$E$11*1E-9))</f>
        <v/>
      </c>
      <c r="F804" s="195">
        <f>IF(B804="","",SINH(2*D804)/(COSH(2*D804)+COS(2*E804)))</f>
        <v/>
      </c>
      <c r="G804" s="195">
        <f>IF(B804="","",SIN(2*E804)/(COSH(2*D804)+COS(2*E804)))</f>
        <v/>
      </c>
      <c r="H804" s="195">
        <f>IF(B804="","",ATANH(MIN(0.999999,'入力・概要'!$E$21/'入力・概要'!$E$15))+'入力・概要'!$B$21*SQRT(B804/1E6)+I804*'入力・概要'!$B$16/2)</f>
        <v/>
      </c>
      <c r="I804" s="195">
        <f>IF(B804="","",C804*('入力・概要'!$E$17*1E-9))</f>
        <v/>
      </c>
      <c r="J804" s="195">
        <f>IF(B804="","",SINH(2*H804)/(COSH(2*H804)+COS(2*I804)))</f>
        <v/>
      </c>
      <c r="K804" s="195">
        <f>IF(B804="","",SIN(2*I804)/(COSH(2*H804)+COS(2*I804)))</f>
        <v/>
      </c>
      <c r="L804" s="195">
        <f>IF(B804="","",'入力・概要'!$B$25)</f>
        <v/>
      </c>
      <c r="M804" s="195">
        <f>IF(B804="","",C804*'入力・概要'!$B$26*1E-9-1/(C804*'入力・概要'!$B$24*1E-6))</f>
        <v/>
      </c>
      <c r="N804" s="195">
        <f>IF(B804="","",'入力・概要'!$B$28)</f>
        <v/>
      </c>
      <c r="O804" s="195">
        <f>IF(B804="","",C804*'入力・概要'!$B$29*1E-9-1/(C804*'入力・概要'!$B$27*1E-6))</f>
        <v/>
      </c>
      <c r="P804" s="195">
        <f>IF(B804="","",((L804*N804-M804*O804)*(L804+N804)+(L804*O804+M804*N804)*(M804+O804))/((L804+N804)^2+(M804+O804)^2))</f>
        <v/>
      </c>
      <c r="Q804" s="195">
        <f>IF(B804="","",((L804*O804+M804*N804)*(L804+N804)-(L804*N804-M804*O804)*(M804+O804))/((L804+N804)^2+(M804+O804)^2))</f>
        <v/>
      </c>
      <c r="R804" s="195">
        <f>IF(B804="","",'入力・概要'!$E$15*J804)</f>
        <v/>
      </c>
      <c r="S804" s="195">
        <f>IF(B804="","",'入力・概要'!$E$15*K804)</f>
        <v/>
      </c>
      <c r="T804" s="195">
        <f>IF(B804="","",P804+R804)</f>
        <v/>
      </c>
      <c r="U804" s="195">
        <f>IF(B804="","",Q804+S804)</f>
        <v/>
      </c>
      <c r="V804" s="195">
        <f>IF(B804="","",T804+'入力・概要'!$E$9*F804)</f>
        <v/>
      </c>
      <c r="W804" s="195">
        <f>IF(B804="","",U804+'入力・概要'!$E$9*G804)</f>
        <v/>
      </c>
      <c r="X804" s="195">
        <f>IF(B804="","",'入力・概要'!$E$9+T804*F804-U804*G804)</f>
        <v/>
      </c>
      <c r="Y804" s="195">
        <f>IF(B804="","",T804*G804+U804*F804)</f>
        <v/>
      </c>
      <c r="Z804" s="195">
        <f>IF(B804="","",'入力・概要'!$E$9*(V804*X804+W804*Y804)/(X804^2+Y804^2)+'入力・概要'!$B$36)</f>
        <v/>
      </c>
      <c r="AA804" s="195">
        <f>IF(B804="","",'入力・概要'!$E$9*(W804*X804-V804*Y804)/(X804^2+Y804^2)+C804*'入力・概要'!$B$37*1E-9)</f>
        <v/>
      </c>
      <c r="AB804" s="195">
        <f>IF(B804="","",SQRT(Z804^2+AA804^2))</f>
        <v/>
      </c>
      <c r="AC804" s="195">
        <f>IF(B804="","",IF(Z804&gt;0,DEGREES(ATAN(AA804/Z804)),IF(Z804&lt;0,IF(AA804&gt;=0,DEGREES(ATAN(AA804/Z804))+180,DEGREES(ATAN(AA804/Z804))-180),IF(AA804&gt;0,90,IF(AA804&lt;0,-90,0)))))</f>
        <v/>
      </c>
      <c r="AD804" s="195">
        <f>IF(B804="","",LOG10(B804))</f>
        <v/>
      </c>
      <c r="AE804" s="195">
        <f>IF(AB804="","",LOG10(MAX(AB804,1E-12)))</f>
        <v/>
      </c>
      <c r="AF804" s="195">
        <f>IF(B804="","",SQRT(P804^2+Q804^2))</f>
        <v/>
      </c>
      <c r="AG804" s="195">
        <f>IF(B804="","",SQRT(R804^2+S804^2))</f>
        <v/>
      </c>
    </row>
  </sheetData>
  <mergeCells count="1">
    <mergeCell ref="A1:A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04"/>
  <sheetViews>
    <sheetView workbookViewId="0">
      <selection activeCell="A1" sqref="A1"/>
    </sheetView>
  </sheetViews>
  <sheetFormatPr baseColWidth="8" defaultRowHeight="15"/>
  <cols>
    <col width="15" customWidth="1" style="165" min="1" max="1"/>
    <col width="15" customWidth="1" style="165" min="2" max="2"/>
    <col width="15" customWidth="1" style="165" min="3" max="3"/>
    <col width="15" customWidth="1" style="165" min="4" max="4"/>
    <col width="15" customWidth="1" style="165" min="5" max="5"/>
    <col width="15" customWidth="1" style="165" min="6" max="6"/>
    <col width="15" customWidth="1" style="165" min="7" max="7"/>
    <col width="15" customWidth="1" style="165" min="8" max="8"/>
    <col width="15" customWidth="1" style="165" min="9" max="9"/>
    <col width="15" customWidth="1" style="165" min="10" max="10"/>
    <col width="15" customWidth="1" style="165" min="11" max="11"/>
    <col width="15" customWidth="1" style="165" min="12" max="12"/>
    <col width="15" customWidth="1" style="165" min="13" max="13"/>
  </cols>
  <sheetData>
    <row r="1">
      <c r="A1" s="227" t="inlineStr">
        <is>
          <t>実測比較：差動モード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</row>
    <row r="2">
      <c r="A2" s="229" t="inlineStr">
        <is>
          <t>A～C列へ周波数[Hz]・実測|Z|[Ω]・実測位相[deg]を貼り付けます。最も近いモデル周波数を参照します。</t>
        </is>
      </c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</row>
    <row r="3">
      <c r="A3" s="202" t="n"/>
      <c r="B3" s="202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  <c r="AA3" s="202" t="n"/>
      <c r="AB3" s="202" t="n"/>
      <c r="AC3" s="202" t="n"/>
      <c r="AD3" s="202" t="n"/>
      <c r="AE3" s="202" t="n"/>
      <c r="AF3" s="202" t="n"/>
      <c r="AG3" s="202" t="n"/>
    </row>
    <row r="4">
      <c r="A4" s="211" t="inlineStr">
        <is>
          <t>周波数 [Hz]</t>
        </is>
      </c>
      <c r="B4" s="211" t="inlineStr">
        <is>
          <t>実測 |Z| [Ω]</t>
        </is>
      </c>
      <c r="C4" s="211" t="inlineStr">
        <is>
          <t>実測位相 [deg]</t>
        </is>
      </c>
      <c r="D4" s="211" t="inlineStr">
        <is>
          <t>モデル |Z| [Ω]</t>
        </is>
      </c>
      <c r="E4" s="211" t="inlineStr">
        <is>
          <t>モデル位相 [deg]</t>
        </is>
      </c>
      <c r="F4" s="211" t="inlineStr">
        <is>
          <t>振幅誤差 [%]</t>
        </is>
      </c>
      <c r="G4" s="211" t="inlineStr">
        <is>
          <t>位相誤差 [deg]</t>
        </is>
      </c>
      <c r="H4" s="211" t="inlineStr">
        <is>
          <t>log10(f)</t>
        </is>
      </c>
      <c r="I4" s="211" t="inlineStr">
        <is>
          <t>log10(実測)</t>
        </is>
      </c>
      <c r="J4" s="211" t="inlineStr">
        <is>
          <t>log10(モデル)</t>
        </is>
      </c>
      <c r="K4" s="211" t="inlineStr">
        <is>
          <t>モデル行</t>
        </is>
      </c>
      <c r="L4" s="211" t="inlineStr">
        <is>
          <t>モデル周波数</t>
        </is>
      </c>
      <c r="M4" s="211" t="inlineStr">
        <is>
          <t>判定</t>
        </is>
      </c>
      <c r="N4" s="202" t="n"/>
      <c r="O4" s="202" t="n"/>
      <c r="P4" s="202" t="n"/>
      <c r="Q4" s="202" t="n"/>
      <c r="R4" s="202" t="n"/>
      <c r="S4" s="202" t="n"/>
      <c r="T4" s="202" t="n"/>
      <c r="U4" s="202" t="n"/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>
      <c r="A5" s="214" t="n"/>
      <c r="B5" s="215" t="n"/>
      <c r="C5" s="215" t="n"/>
      <c r="D5" s="212">
        <f>IF(K5="","",INDEX('差動モデル'!$R:$R,K5))</f>
        <v/>
      </c>
      <c r="E5" s="212">
        <f>IF(K5="","",INDEX('差動モデル'!$S:$S,K5))</f>
        <v/>
      </c>
      <c r="F5" s="212">
        <f>IF(OR(A5="",B5=""),"",100*(D5-B5)/MAX(B5,1E-12))</f>
        <v/>
      </c>
      <c r="G5" s="212">
        <f>IF(OR(A5="",C5=""),"",E5-C5)</f>
        <v/>
      </c>
      <c r="H5" s="212">
        <f>IF(A5="","",LOG10(A5))</f>
        <v/>
      </c>
      <c r="I5" s="212">
        <f>IF(B5="","",LOG10(MAX(B5,1E-12)))</f>
        <v/>
      </c>
      <c r="J5" s="212">
        <f>IF(D5="","",LOG10(MAX(D5,1E-12)))</f>
        <v/>
      </c>
      <c r="K5" s="202">
        <f>IF(A5="","",ROUND(1+(LOG10(A5)-LOG10('入力・概要'!$B$38))*('入力・概要'!$B$40-1)/(LOG10('入力・概要'!$B$39)-LOG10('入力・概要'!$B$38)),0)+3)</f>
        <v/>
      </c>
      <c r="L5" s="202">
        <f>IF(K5="","",INDEX('差動モデル'!$B:$B,K5))</f>
        <v/>
      </c>
      <c r="M5" s="202">
        <f>IF(A5="","",IF(ABS(L5/A5-1)&lt;0.01,"周波数差&lt;1%","周波数差あり"))</f>
        <v/>
      </c>
      <c r="N5" s="202" t="n"/>
      <c r="O5" s="202" t="n"/>
      <c r="P5" s="202" t="n"/>
      <c r="Q5" s="202" t="n"/>
      <c r="R5" s="202" t="n"/>
      <c r="S5" s="202" t="n"/>
      <c r="T5" s="202" t="n"/>
      <c r="U5" s="202" t="n"/>
      <c r="V5" s="202" t="n"/>
      <c r="W5" s="202" t="n"/>
      <c r="X5" s="202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</row>
    <row r="6">
      <c r="A6" s="214" t="n"/>
      <c r="B6" s="215" t="n"/>
      <c r="C6" s="215" t="n"/>
      <c r="D6" s="212">
        <f>IF(K6="","",INDEX('差動モデル'!$R:$R,K6))</f>
        <v/>
      </c>
      <c r="E6" s="212">
        <f>IF(K6="","",INDEX('差動モデル'!$S:$S,K6))</f>
        <v/>
      </c>
      <c r="F6" s="212">
        <f>IF(OR(A6="",B6=""),"",100*(D6-B6)/MAX(B6,1E-12))</f>
        <v/>
      </c>
      <c r="G6" s="212">
        <f>IF(OR(A6="",C6=""),"",E6-C6)</f>
        <v/>
      </c>
      <c r="H6" s="212">
        <f>IF(A6="","",LOG10(A6))</f>
        <v/>
      </c>
      <c r="I6" s="212">
        <f>IF(B6="","",LOG10(MAX(B6,1E-12)))</f>
        <v/>
      </c>
      <c r="J6" s="212">
        <f>IF(D6="","",LOG10(MAX(D6,1E-12)))</f>
        <v/>
      </c>
      <c r="K6" s="202">
        <f>IF(A6="","",ROUND(1+(LOG10(A6)-LOG10('入力・概要'!$B$38))*('入力・概要'!$B$40-1)/(LOG10('入力・概要'!$B$39)-LOG10('入力・概要'!$B$38)),0)+3)</f>
        <v/>
      </c>
      <c r="L6" s="202">
        <f>IF(K6="","",INDEX('差動モデル'!$B:$B,K6))</f>
        <v/>
      </c>
      <c r="M6" s="202">
        <f>IF(A6="","",IF(ABS(L6/A6-1)&lt;0.01,"周波数差&lt;1%","周波数差あり"))</f>
        <v/>
      </c>
      <c r="N6" s="202" t="n"/>
      <c r="O6" s="202" t="n"/>
      <c r="P6" s="202" t="n"/>
      <c r="Q6" s="202" t="n"/>
      <c r="R6" s="202" t="n"/>
      <c r="S6" s="202" t="n"/>
      <c r="T6" s="202" t="n"/>
      <c r="U6" s="202" t="n"/>
      <c r="V6" s="202" t="n"/>
      <c r="W6" s="202" t="n"/>
      <c r="X6" s="202" t="n"/>
      <c r="Y6" s="202" t="n"/>
      <c r="Z6" s="202" t="n"/>
      <c r="AA6" s="202" t="n"/>
      <c r="AB6" s="202" t="n"/>
      <c r="AC6" s="202" t="n"/>
      <c r="AD6" s="202" t="n"/>
      <c r="AE6" s="202" t="n"/>
      <c r="AF6" s="202" t="n"/>
      <c r="AG6" s="202" t="n"/>
    </row>
    <row r="7">
      <c r="A7" s="214" t="n"/>
      <c r="B7" s="215" t="n"/>
      <c r="C7" s="215" t="n"/>
      <c r="D7" s="212">
        <f>IF(K7="","",INDEX('差動モデル'!$R:$R,K7))</f>
        <v/>
      </c>
      <c r="E7" s="212">
        <f>IF(K7="","",INDEX('差動モデル'!$S:$S,K7))</f>
        <v/>
      </c>
      <c r="F7" s="212">
        <f>IF(OR(A7="",B7=""),"",100*(D7-B7)/MAX(B7,1E-12))</f>
        <v/>
      </c>
      <c r="G7" s="212">
        <f>IF(OR(A7="",C7=""),"",E7-C7)</f>
        <v/>
      </c>
      <c r="H7" s="212">
        <f>IF(A7="","",LOG10(A7))</f>
        <v/>
      </c>
      <c r="I7" s="212">
        <f>IF(B7="","",LOG10(MAX(B7,1E-12)))</f>
        <v/>
      </c>
      <c r="J7" s="212">
        <f>IF(D7="","",LOG10(MAX(D7,1E-12)))</f>
        <v/>
      </c>
      <c r="K7" s="202">
        <f>IF(A7="","",ROUND(1+(LOG10(A7)-LOG10('入力・概要'!$B$38))*('入力・概要'!$B$40-1)/(LOG10('入力・概要'!$B$39)-LOG10('入力・概要'!$B$38)),0)+3)</f>
        <v/>
      </c>
      <c r="L7" s="202">
        <f>IF(K7="","",INDEX('差動モデル'!$B:$B,K7))</f>
        <v/>
      </c>
      <c r="M7" s="202">
        <f>IF(A7="","",IF(ABS(L7/A7-1)&lt;0.01,"周波数差&lt;1%","周波数差あり"))</f>
        <v/>
      </c>
      <c r="N7" s="202" t="n"/>
      <c r="O7" s="202" t="n"/>
      <c r="P7" s="202" t="n"/>
      <c r="Q7" s="202" t="n"/>
      <c r="R7" s="202" t="n"/>
      <c r="S7" s="202" t="n"/>
      <c r="T7" s="202" t="n"/>
      <c r="U7" s="202" t="n"/>
      <c r="V7" s="202" t="n"/>
      <c r="W7" s="202" t="n"/>
      <c r="X7" s="202" t="n"/>
      <c r="Y7" s="202" t="n"/>
      <c r="Z7" s="202" t="n"/>
      <c r="AA7" s="202" t="n"/>
      <c r="AB7" s="202" t="n"/>
      <c r="AC7" s="202" t="n"/>
      <c r="AD7" s="202" t="n"/>
      <c r="AE7" s="202" t="n"/>
      <c r="AF7" s="202" t="n"/>
      <c r="AG7" s="202" t="n"/>
    </row>
    <row r="8">
      <c r="A8" s="214" t="n"/>
      <c r="B8" s="215" t="n"/>
      <c r="C8" s="215" t="n"/>
      <c r="D8" s="212">
        <f>IF(K8="","",INDEX('差動モデル'!$R:$R,K8))</f>
        <v/>
      </c>
      <c r="E8" s="212">
        <f>IF(K8="","",INDEX('差動モデル'!$S:$S,K8))</f>
        <v/>
      </c>
      <c r="F8" s="212">
        <f>IF(OR(A8="",B8=""),"",100*(D8-B8)/MAX(B8,1E-12))</f>
        <v/>
      </c>
      <c r="G8" s="212">
        <f>IF(OR(A8="",C8=""),"",E8-C8)</f>
        <v/>
      </c>
      <c r="H8" s="212">
        <f>IF(A8="","",LOG10(A8))</f>
        <v/>
      </c>
      <c r="I8" s="212">
        <f>IF(B8="","",LOG10(MAX(B8,1E-12)))</f>
        <v/>
      </c>
      <c r="J8" s="212">
        <f>IF(D8="","",LOG10(MAX(D8,1E-12)))</f>
        <v/>
      </c>
      <c r="K8" s="202">
        <f>IF(A8="","",ROUND(1+(LOG10(A8)-LOG10('入力・概要'!$B$38))*('入力・概要'!$B$40-1)/(LOG10('入力・概要'!$B$39)-LOG10('入力・概要'!$B$38)),0)+3)</f>
        <v/>
      </c>
      <c r="L8" s="202">
        <f>IF(K8="","",INDEX('差動モデル'!$B:$B,K8))</f>
        <v/>
      </c>
      <c r="M8" s="202">
        <f>IF(A8="","",IF(ABS(L8/A8-1)&lt;0.01,"周波数差&lt;1%","周波数差あり"))</f>
        <v/>
      </c>
      <c r="N8" s="202" t="n"/>
      <c r="O8" s="202" t="n"/>
      <c r="P8" s="202" t="n"/>
      <c r="Q8" s="202" t="n"/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2" t="n"/>
      <c r="AF8" s="202" t="n"/>
      <c r="AG8" s="202" t="n"/>
    </row>
    <row r="9">
      <c r="A9" s="214" t="n"/>
      <c r="B9" s="215" t="n"/>
      <c r="C9" s="215" t="n"/>
      <c r="D9" s="212">
        <f>IF(K9="","",INDEX('差動モデル'!$R:$R,K9))</f>
        <v/>
      </c>
      <c r="E9" s="212">
        <f>IF(K9="","",INDEX('差動モデル'!$S:$S,K9))</f>
        <v/>
      </c>
      <c r="F9" s="212">
        <f>IF(OR(A9="",B9=""),"",100*(D9-B9)/MAX(B9,1E-12))</f>
        <v/>
      </c>
      <c r="G9" s="212">
        <f>IF(OR(A9="",C9=""),"",E9-C9)</f>
        <v/>
      </c>
      <c r="H9" s="212">
        <f>IF(A9="","",LOG10(A9))</f>
        <v/>
      </c>
      <c r="I9" s="212">
        <f>IF(B9="","",LOG10(MAX(B9,1E-12)))</f>
        <v/>
      </c>
      <c r="J9" s="212">
        <f>IF(D9="","",LOG10(MAX(D9,1E-12)))</f>
        <v/>
      </c>
      <c r="K9" s="202">
        <f>IF(A9="","",ROUND(1+(LOG10(A9)-LOG10('入力・概要'!$B$38))*('入力・概要'!$B$40-1)/(LOG10('入力・概要'!$B$39)-LOG10('入力・概要'!$B$38)),0)+3)</f>
        <v/>
      </c>
      <c r="L9" s="202">
        <f>IF(K9="","",INDEX('差動モデル'!$B:$B,K9))</f>
        <v/>
      </c>
      <c r="M9" s="202">
        <f>IF(A9="","",IF(ABS(L9/A9-1)&lt;0.01,"周波数差&lt;1%","周波数差あり"))</f>
        <v/>
      </c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</row>
    <row r="10">
      <c r="A10" s="214" t="n"/>
      <c r="B10" s="215" t="n"/>
      <c r="C10" s="215" t="n"/>
      <c r="D10" s="212">
        <f>IF(K10="","",INDEX('差動モデル'!$R:$R,K10))</f>
        <v/>
      </c>
      <c r="E10" s="212">
        <f>IF(K10="","",INDEX('差動モデル'!$S:$S,K10))</f>
        <v/>
      </c>
      <c r="F10" s="212">
        <f>IF(OR(A10="",B10=""),"",100*(D10-B10)/MAX(B10,1E-12))</f>
        <v/>
      </c>
      <c r="G10" s="212">
        <f>IF(OR(A10="",C10=""),"",E10-C10)</f>
        <v/>
      </c>
      <c r="H10" s="212">
        <f>IF(A10="","",LOG10(A10))</f>
        <v/>
      </c>
      <c r="I10" s="212">
        <f>IF(B10="","",LOG10(MAX(B10,1E-12)))</f>
        <v/>
      </c>
      <c r="J10" s="212">
        <f>IF(D10="","",LOG10(MAX(D10,1E-12)))</f>
        <v/>
      </c>
      <c r="K10" s="202">
        <f>IF(A10="","",ROUND(1+(LOG10(A10)-LOG10('入力・概要'!$B$38))*('入力・概要'!$B$40-1)/(LOG10('入力・概要'!$B$39)-LOG10('入力・概要'!$B$38)),0)+3)</f>
        <v/>
      </c>
      <c r="L10" s="202">
        <f>IF(K10="","",INDEX('差動モデル'!$B:$B,K10))</f>
        <v/>
      </c>
      <c r="M10" s="202">
        <f>IF(A10="","",IF(ABS(L10/A10-1)&lt;0.01,"周波数差&lt;1%","周波数差あり"))</f>
        <v/>
      </c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202" t="n"/>
      <c r="AF10" s="202" t="n"/>
      <c r="AG10" s="202" t="n"/>
    </row>
    <row r="11">
      <c r="A11" s="214" t="n"/>
      <c r="B11" s="215" t="n"/>
      <c r="C11" s="215" t="n"/>
      <c r="D11" s="212">
        <f>IF(K11="","",INDEX('差動モデル'!$R:$R,K11))</f>
        <v/>
      </c>
      <c r="E11" s="212">
        <f>IF(K11="","",INDEX('差動モデル'!$S:$S,K11))</f>
        <v/>
      </c>
      <c r="F11" s="212">
        <f>IF(OR(A11="",B11=""),"",100*(D11-B11)/MAX(B11,1E-12))</f>
        <v/>
      </c>
      <c r="G11" s="212">
        <f>IF(OR(A11="",C11=""),"",E11-C11)</f>
        <v/>
      </c>
      <c r="H11" s="212">
        <f>IF(A11="","",LOG10(A11))</f>
        <v/>
      </c>
      <c r="I11" s="212">
        <f>IF(B11="","",LOG10(MAX(B11,1E-12)))</f>
        <v/>
      </c>
      <c r="J11" s="212">
        <f>IF(D11="","",LOG10(MAX(D11,1E-12)))</f>
        <v/>
      </c>
      <c r="K11" s="202">
        <f>IF(A11="","",ROUND(1+(LOG10(A11)-LOG10('入力・概要'!$B$38))*('入力・概要'!$B$40-1)/(LOG10('入力・概要'!$B$39)-LOG10('入力・概要'!$B$38)),0)+3)</f>
        <v/>
      </c>
      <c r="L11" s="202">
        <f>IF(K11="","",INDEX('差動モデル'!$B:$B,K11))</f>
        <v/>
      </c>
      <c r="M11" s="202">
        <f>IF(A11="","",IF(ABS(L11/A11-1)&lt;0.01,"周波数差&lt;1%","周波数差あり"))</f>
        <v/>
      </c>
      <c r="N11" s="202" t="n"/>
      <c r="O11" s="202" t="n"/>
      <c r="P11" s="202" t="n"/>
      <c r="Q11" s="202" t="n"/>
      <c r="R11" s="202" t="n"/>
      <c r="S11" s="202" t="n"/>
      <c r="T11" s="202" t="n"/>
      <c r="U11" s="202" t="n"/>
      <c r="V11" s="202" t="n"/>
      <c r="W11" s="202" t="n"/>
      <c r="X11" s="202" t="n"/>
      <c r="Y11" s="202" t="n"/>
      <c r="Z11" s="202" t="n"/>
      <c r="AA11" s="202" t="n"/>
      <c r="AB11" s="202" t="n"/>
      <c r="AC11" s="202" t="n"/>
      <c r="AD11" s="202" t="n"/>
      <c r="AE11" s="202" t="n"/>
      <c r="AF11" s="202" t="n"/>
      <c r="AG11" s="202" t="n"/>
    </row>
    <row r="12">
      <c r="A12" s="214" t="n"/>
      <c r="B12" s="215" t="n"/>
      <c r="C12" s="215" t="n"/>
      <c r="D12" s="212">
        <f>IF(K12="","",INDEX('差動モデル'!$R:$R,K12))</f>
        <v/>
      </c>
      <c r="E12" s="212">
        <f>IF(K12="","",INDEX('差動モデル'!$S:$S,K12))</f>
        <v/>
      </c>
      <c r="F12" s="212">
        <f>IF(OR(A12="",B12=""),"",100*(D12-B12)/MAX(B12,1E-12))</f>
        <v/>
      </c>
      <c r="G12" s="212">
        <f>IF(OR(A12="",C12=""),"",E12-C12)</f>
        <v/>
      </c>
      <c r="H12" s="212">
        <f>IF(A12="","",LOG10(A12))</f>
        <v/>
      </c>
      <c r="I12" s="212">
        <f>IF(B12="","",LOG10(MAX(B12,1E-12)))</f>
        <v/>
      </c>
      <c r="J12" s="212">
        <f>IF(D12="","",LOG10(MAX(D12,1E-12)))</f>
        <v/>
      </c>
      <c r="K12" s="202">
        <f>IF(A12="","",ROUND(1+(LOG10(A12)-LOG10('入力・概要'!$B$38))*('入力・概要'!$B$40-1)/(LOG10('入力・概要'!$B$39)-LOG10('入力・概要'!$B$38)),0)+3)</f>
        <v/>
      </c>
      <c r="L12" s="202">
        <f>IF(K12="","",INDEX('差動モデル'!$B:$B,K12))</f>
        <v/>
      </c>
      <c r="M12" s="202">
        <f>IF(A12="","",IF(ABS(L12/A12-1)&lt;0.01,"周波数差&lt;1%","周波数差あり"))</f>
        <v/>
      </c>
      <c r="N12" s="202" t="n"/>
      <c r="O12" s="202" t="n"/>
      <c r="P12" s="202" t="n"/>
      <c r="Q12" s="202" t="n"/>
      <c r="R12" s="202" t="n"/>
      <c r="S12" s="202" t="n"/>
      <c r="T12" s="202" t="n"/>
      <c r="U12" s="202" t="n"/>
      <c r="V12" s="202" t="n"/>
      <c r="W12" s="202" t="n"/>
      <c r="X12" s="202" t="n"/>
      <c r="Y12" s="202" t="n"/>
      <c r="Z12" s="202" t="n"/>
      <c r="AA12" s="202" t="n"/>
      <c r="AB12" s="202" t="n"/>
      <c r="AC12" s="202" t="n"/>
      <c r="AD12" s="202" t="n"/>
      <c r="AE12" s="202" t="n"/>
      <c r="AF12" s="202" t="n"/>
      <c r="AG12" s="202" t="n"/>
    </row>
    <row r="13">
      <c r="A13" s="214" t="n"/>
      <c r="B13" s="215" t="n"/>
      <c r="C13" s="215" t="n"/>
      <c r="D13" s="212">
        <f>IF(K13="","",INDEX('差動モデル'!$R:$R,K13))</f>
        <v/>
      </c>
      <c r="E13" s="212">
        <f>IF(K13="","",INDEX('差動モデル'!$S:$S,K13))</f>
        <v/>
      </c>
      <c r="F13" s="212">
        <f>IF(OR(A13="",B13=""),"",100*(D13-B13)/MAX(B13,1E-12))</f>
        <v/>
      </c>
      <c r="G13" s="212">
        <f>IF(OR(A13="",C13=""),"",E13-C13)</f>
        <v/>
      </c>
      <c r="H13" s="212">
        <f>IF(A13="","",LOG10(A13))</f>
        <v/>
      </c>
      <c r="I13" s="212">
        <f>IF(B13="","",LOG10(MAX(B13,1E-12)))</f>
        <v/>
      </c>
      <c r="J13" s="212">
        <f>IF(D13="","",LOG10(MAX(D13,1E-12)))</f>
        <v/>
      </c>
      <c r="K13" s="202">
        <f>IF(A13="","",ROUND(1+(LOG10(A13)-LOG10('入力・概要'!$B$38))*('入力・概要'!$B$40-1)/(LOG10('入力・概要'!$B$39)-LOG10('入力・概要'!$B$38)),0)+3)</f>
        <v/>
      </c>
      <c r="L13" s="202">
        <f>IF(K13="","",INDEX('差動モデル'!$B:$B,K13))</f>
        <v/>
      </c>
      <c r="M13" s="202">
        <f>IF(A13="","",IF(ABS(L13/A13-1)&lt;0.01,"周波数差&lt;1%","周波数差あり"))</f>
        <v/>
      </c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02" t="n"/>
      <c r="AB13" s="202" t="n"/>
      <c r="AC13" s="202" t="n"/>
      <c r="AD13" s="202" t="n"/>
      <c r="AE13" s="202" t="n"/>
      <c r="AF13" s="202" t="n"/>
      <c r="AG13" s="202" t="n"/>
    </row>
    <row r="14">
      <c r="A14" s="214" t="n"/>
      <c r="B14" s="215" t="n"/>
      <c r="C14" s="215" t="n"/>
      <c r="D14" s="212">
        <f>IF(K14="","",INDEX('差動モデル'!$R:$R,K14))</f>
        <v/>
      </c>
      <c r="E14" s="212">
        <f>IF(K14="","",INDEX('差動モデル'!$S:$S,K14))</f>
        <v/>
      </c>
      <c r="F14" s="212">
        <f>IF(OR(A14="",B14=""),"",100*(D14-B14)/MAX(B14,1E-12))</f>
        <v/>
      </c>
      <c r="G14" s="212">
        <f>IF(OR(A14="",C14=""),"",E14-C14)</f>
        <v/>
      </c>
      <c r="H14" s="212">
        <f>IF(A14="","",LOG10(A14))</f>
        <v/>
      </c>
      <c r="I14" s="212">
        <f>IF(B14="","",LOG10(MAX(B14,1E-12)))</f>
        <v/>
      </c>
      <c r="J14" s="212">
        <f>IF(D14="","",LOG10(MAX(D14,1E-12)))</f>
        <v/>
      </c>
      <c r="K14" s="202">
        <f>IF(A14="","",ROUND(1+(LOG10(A14)-LOG10('入力・概要'!$B$38))*('入力・概要'!$B$40-1)/(LOG10('入力・概要'!$B$39)-LOG10('入力・概要'!$B$38)),0)+3)</f>
        <v/>
      </c>
      <c r="L14" s="202">
        <f>IF(K14="","",INDEX('差動モデル'!$B:$B,K14))</f>
        <v/>
      </c>
      <c r="M14" s="202">
        <f>IF(A14="","",IF(ABS(L14/A14-1)&lt;0.01,"周波数差&lt;1%","周波数差あり"))</f>
        <v/>
      </c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  <c r="AE14" s="202" t="n"/>
      <c r="AF14" s="202" t="n"/>
      <c r="AG14" s="202" t="n"/>
    </row>
    <row r="15">
      <c r="A15" s="214" t="n"/>
      <c r="B15" s="215" t="n"/>
      <c r="C15" s="215" t="n"/>
      <c r="D15" s="212">
        <f>IF(K15="","",INDEX('差動モデル'!$R:$R,K15))</f>
        <v/>
      </c>
      <c r="E15" s="212">
        <f>IF(K15="","",INDEX('差動モデル'!$S:$S,K15))</f>
        <v/>
      </c>
      <c r="F15" s="212">
        <f>IF(OR(A15="",B15=""),"",100*(D15-B15)/MAX(B15,1E-12))</f>
        <v/>
      </c>
      <c r="G15" s="212">
        <f>IF(OR(A15="",C15=""),"",E15-C15)</f>
        <v/>
      </c>
      <c r="H15" s="212">
        <f>IF(A15="","",LOG10(A15))</f>
        <v/>
      </c>
      <c r="I15" s="212">
        <f>IF(B15="","",LOG10(MAX(B15,1E-12)))</f>
        <v/>
      </c>
      <c r="J15" s="212">
        <f>IF(D15="","",LOG10(MAX(D15,1E-12)))</f>
        <v/>
      </c>
      <c r="K15" s="202">
        <f>IF(A15="","",ROUND(1+(LOG10(A15)-LOG10('入力・概要'!$B$38))*('入力・概要'!$B$40-1)/(LOG10('入力・概要'!$B$39)-LOG10('入力・概要'!$B$38)),0)+3)</f>
        <v/>
      </c>
      <c r="L15" s="202">
        <f>IF(K15="","",INDEX('差動モデル'!$B:$B,K15))</f>
        <v/>
      </c>
      <c r="M15" s="202">
        <f>IF(A15="","",IF(ABS(L15/A15-1)&lt;0.01,"周波数差&lt;1%","周波数差あり"))</f>
        <v/>
      </c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</row>
    <row r="16">
      <c r="A16" s="214" t="n"/>
      <c r="B16" s="215" t="n"/>
      <c r="C16" s="215" t="n"/>
      <c r="D16" s="212">
        <f>IF(K16="","",INDEX('差動モデル'!$R:$R,K16))</f>
        <v/>
      </c>
      <c r="E16" s="212">
        <f>IF(K16="","",INDEX('差動モデル'!$S:$S,K16))</f>
        <v/>
      </c>
      <c r="F16" s="212">
        <f>IF(OR(A16="",B16=""),"",100*(D16-B16)/MAX(B16,1E-12))</f>
        <v/>
      </c>
      <c r="G16" s="212">
        <f>IF(OR(A16="",C16=""),"",E16-C16)</f>
        <v/>
      </c>
      <c r="H16" s="212">
        <f>IF(A16="","",LOG10(A16))</f>
        <v/>
      </c>
      <c r="I16" s="212">
        <f>IF(B16="","",LOG10(MAX(B16,1E-12)))</f>
        <v/>
      </c>
      <c r="J16" s="212">
        <f>IF(D16="","",LOG10(MAX(D16,1E-12)))</f>
        <v/>
      </c>
      <c r="K16" s="202">
        <f>IF(A16="","",ROUND(1+(LOG10(A16)-LOG10('入力・概要'!$B$38))*('入力・概要'!$B$40-1)/(LOG10('入力・概要'!$B$39)-LOG10('入力・概要'!$B$38)),0)+3)</f>
        <v/>
      </c>
      <c r="L16" s="202">
        <f>IF(K16="","",INDEX('差動モデル'!$B:$B,K16))</f>
        <v/>
      </c>
      <c r="M16" s="202">
        <f>IF(A16="","",IF(ABS(L16/A16-1)&lt;0.01,"周波数差&lt;1%","周波数差あり"))</f>
        <v/>
      </c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</row>
    <row r="17">
      <c r="A17" s="214" t="n"/>
      <c r="B17" s="215" t="n"/>
      <c r="C17" s="215" t="n"/>
      <c r="D17" s="212">
        <f>IF(K17="","",INDEX('差動モデル'!$R:$R,K17))</f>
        <v/>
      </c>
      <c r="E17" s="212">
        <f>IF(K17="","",INDEX('差動モデル'!$S:$S,K17))</f>
        <v/>
      </c>
      <c r="F17" s="212">
        <f>IF(OR(A17="",B17=""),"",100*(D17-B17)/MAX(B17,1E-12))</f>
        <v/>
      </c>
      <c r="G17" s="212">
        <f>IF(OR(A17="",C17=""),"",E17-C17)</f>
        <v/>
      </c>
      <c r="H17" s="212">
        <f>IF(A17="","",LOG10(A17))</f>
        <v/>
      </c>
      <c r="I17" s="212">
        <f>IF(B17="","",LOG10(MAX(B17,1E-12)))</f>
        <v/>
      </c>
      <c r="J17" s="212">
        <f>IF(D17="","",LOG10(MAX(D17,1E-12)))</f>
        <v/>
      </c>
      <c r="K17" s="202">
        <f>IF(A17="","",ROUND(1+(LOG10(A17)-LOG10('入力・概要'!$B$38))*('入力・概要'!$B$40-1)/(LOG10('入力・概要'!$B$39)-LOG10('入力・概要'!$B$38)),0)+3)</f>
        <v/>
      </c>
      <c r="L17" s="202">
        <f>IF(K17="","",INDEX('差動モデル'!$B:$B,K17))</f>
        <v/>
      </c>
      <c r="M17" s="202">
        <f>IF(A17="","",IF(ABS(L17/A17-1)&lt;0.01,"周波数差&lt;1%","周波数差あり"))</f>
        <v/>
      </c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</row>
    <row r="18">
      <c r="A18" s="214" t="n"/>
      <c r="B18" s="215" t="n"/>
      <c r="C18" s="215" t="n"/>
      <c r="D18" s="212">
        <f>IF(K18="","",INDEX('差動モデル'!$R:$R,K18))</f>
        <v/>
      </c>
      <c r="E18" s="212">
        <f>IF(K18="","",INDEX('差動モデル'!$S:$S,K18))</f>
        <v/>
      </c>
      <c r="F18" s="212">
        <f>IF(OR(A18="",B18=""),"",100*(D18-B18)/MAX(B18,1E-12))</f>
        <v/>
      </c>
      <c r="G18" s="212">
        <f>IF(OR(A18="",C18=""),"",E18-C18)</f>
        <v/>
      </c>
      <c r="H18" s="212">
        <f>IF(A18="","",LOG10(A18))</f>
        <v/>
      </c>
      <c r="I18" s="212">
        <f>IF(B18="","",LOG10(MAX(B18,1E-12)))</f>
        <v/>
      </c>
      <c r="J18" s="212">
        <f>IF(D18="","",LOG10(MAX(D18,1E-12)))</f>
        <v/>
      </c>
      <c r="K18" s="202">
        <f>IF(A18="","",ROUND(1+(LOG10(A18)-LOG10('入力・概要'!$B$38))*('入力・概要'!$B$40-1)/(LOG10('入力・概要'!$B$39)-LOG10('入力・概要'!$B$38)),0)+3)</f>
        <v/>
      </c>
      <c r="L18" s="202">
        <f>IF(K18="","",INDEX('差動モデル'!$B:$B,K18))</f>
        <v/>
      </c>
      <c r="M18" s="202">
        <f>IF(A18="","",IF(ABS(L18/A18-1)&lt;0.01,"周波数差&lt;1%","周波数差あり"))</f>
        <v/>
      </c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</row>
    <row r="19">
      <c r="A19" s="214" t="n"/>
      <c r="B19" s="215" t="n"/>
      <c r="C19" s="215" t="n"/>
      <c r="D19" s="212">
        <f>IF(K19="","",INDEX('差動モデル'!$R:$R,K19))</f>
        <v/>
      </c>
      <c r="E19" s="212">
        <f>IF(K19="","",INDEX('差動モデル'!$S:$S,K19))</f>
        <v/>
      </c>
      <c r="F19" s="212">
        <f>IF(OR(A19="",B19=""),"",100*(D19-B19)/MAX(B19,1E-12))</f>
        <v/>
      </c>
      <c r="G19" s="212">
        <f>IF(OR(A19="",C19=""),"",E19-C19)</f>
        <v/>
      </c>
      <c r="H19" s="212">
        <f>IF(A19="","",LOG10(A19))</f>
        <v/>
      </c>
      <c r="I19" s="212">
        <f>IF(B19="","",LOG10(MAX(B19,1E-12)))</f>
        <v/>
      </c>
      <c r="J19" s="212">
        <f>IF(D19="","",LOG10(MAX(D19,1E-12)))</f>
        <v/>
      </c>
      <c r="K19" s="202">
        <f>IF(A19="","",ROUND(1+(LOG10(A19)-LOG10('入力・概要'!$B$38))*('入力・概要'!$B$40-1)/(LOG10('入力・概要'!$B$39)-LOG10('入力・概要'!$B$38)),0)+3)</f>
        <v/>
      </c>
      <c r="L19" s="202">
        <f>IF(K19="","",INDEX('差動モデル'!$B:$B,K19))</f>
        <v/>
      </c>
      <c r="M19" s="202">
        <f>IF(A19="","",IF(ABS(L19/A19-1)&lt;0.01,"周波数差&lt;1%","周波数差あり"))</f>
        <v/>
      </c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</row>
    <row r="20">
      <c r="A20" s="214" t="n"/>
      <c r="B20" s="215" t="n"/>
      <c r="C20" s="215" t="n"/>
      <c r="D20" s="212">
        <f>IF(K20="","",INDEX('差動モデル'!$R:$R,K20))</f>
        <v/>
      </c>
      <c r="E20" s="212">
        <f>IF(K20="","",INDEX('差動モデル'!$S:$S,K20))</f>
        <v/>
      </c>
      <c r="F20" s="212">
        <f>IF(OR(A20="",B20=""),"",100*(D20-B20)/MAX(B20,1E-12))</f>
        <v/>
      </c>
      <c r="G20" s="212">
        <f>IF(OR(A20="",C20=""),"",E20-C20)</f>
        <v/>
      </c>
      <c r="H20" s="212">
        <f>IF(A20="","",LOG10(A20))</f>
        <v/>
      </c>
      <c r="I20" s="212">
        <f>IF(B20="","",LOG10(MAX(B20,1E-12)))</f>
        <v/>
      </c>
      <c r="J20" s="212">
        <f>IF(D20="","",LOG10(MAX(D20,1E-12)))</f>
        <v/>
      </c>
      <c r="K20" s="202">
        <f>IF(A20="","",ROUND(1+(LOG10(A20)-LOG10('入力・概要'!$B$38))*('入力・概要'!$B$40-1)/(LOG10('入力・概要'!$B$39)-LOG10('入力・概要'!$B$38)),0)+3)</f>
        <v/>
      </c>
      <c r="L20" s="202">
        <f>IF(K20="","",INDEX('差動モデル'!$B:$B,K20))</f>
        <v/>
      </c>
      <c r="M20" s="202">
        <f>IF(A20="","",IF(ABS(L20/A20-1)&lt;0.01,"周波数差&lt;1%","周波数差あり"))</f>
        <v/>
      </c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</row>
    <row r="21">
      <c r="A21" s="214" t="n"/>
      <c r="B21" s="215" t="n"/>
      <c r="C21" s="215" t="n"/>
      <c r="D21" s="212">
        <f>IF(K21="","",INDEX('差動モデル'!$R:$R,K21))</f>
        <v/>
      </c>
      <c r="E21" s="212">
        <f>IF(K21="","",INDEX('差動モデル'!$S:$S,K21))</f>
        <v/>
      </c>
      <c r="F21" s="212">
        <f>IF(OR(A21="",B21=""),"",100*(D21-B21)/MAX(B21,1E-12))</f>
        <v/>
      </c>
      <c r="G21" s="212">
        <f>IF(OR(A21="",C21=""),"",E21-C21)</f>
        <v/>
      </c>
      <c r="H21" s="212">
        <f>IF(A21="","",LOG10(A21))</f>
        <v/>
      </c>
      <c r="I21" s="212">
        <f>IF(B21="","",LOG10(MAX(B21,1E-12)))</f>
        <v/>
      </c>
      <c r="J21" s="212">
        <f>IF(D21="","",LOG10(MAX(D21,1E-12)))</f>
        <v/>
      </c>
      <c r="K21" s="202">
        <f>IF(A21="","",ROUND(1+(LOG10(A21)-LOG10('入力・概要'!$B$38))*('入力・概要'!$B$40-1)/(LOG10('入力・概要'!$B$39)-LOG10('入力・概要'!$B$38)),0)+3)</f>
        <v/>
      </c>
      <c r="L21" s="202">
        <f>IF(K21="","",INDEX('差動モデル'!$B:$B,K21))</f>
        <v/>
      </c>
      <c r="M21" s="202">
        <f>IF(A21="","",IF(ABS(L21/A21-1)&lt;0.01,"周波数差&lt;1%","周波数差あり"))</f>
        <v/>
      </c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</row>
    <row r="22">
      <c r="A22" s="214" t="n"/>
      <c r="B22" s="215" t="n"/>
      <c r="C22" s="215" t="n"/>
      <c r="D22" s="212">
        <f>IF(K22="","",INDEX('差動モデル'!$R:$R,K22))</f>
        <v/>
      </c>
      <c r="E22" s="212">
        <f>IF(K22="","",INDEX('差動モデル'!$S:$S,K22))</f>
        <v/>
      </c>
      <c r="F22" s="212">
        <f>IF(OR(A22="",B22=""),"",100*(D22-B22)/MAX(B22,1E-12))</f>
        <v/>
      </c>
      <c r="G22" s="212">
        <f>IF(OR(A22="",C22=""),"",E22-C22)</f>
        <v/>
      </c>
      <c r="H22" s="212">
        <f>IF(A22="","",LOG10(A22))</f>
        <v/>
      </c>
      <c r="I22" s="212">
        <f>IF(B22="","",LOG10(MAX(B22,1E-12)))</f>
        <v/>
      </c>
      <c r="J22" s="212">
        <f>IF(D22="","",LOG10(MAX(D22,1E-12)))</f>
        <v/>
      </c>
      <c r="K22" s="202">
        <f>IF(A22="","",ROUND(1+(LOG10(A22)-LOG10('入力・概要'!$B$38))*('入力・概要'!$B$40-1)/(LOG10('入力・概要'!$B$39)-LOG10('入力・概要'!$B$38)),0)+3)</f>
        <v/>
      </c>
      <c r="L22" s="202">
        <f>IF(K22="","",INDEX('差動モデル'!$B:$B,K22))</f>
        <v/>
      </c>
      <c r="M22" s="202">
        <f>IF(A22="","",IF(ABS(L22/A22-1)&lt;0.01,"周波数差&lt;1%","周波数差あり"))</f>
        <v/>
      </c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</row>
    <row r="23">
      <c r="A23" s="214" t="n"/>
      <c r="B23" s="215" t="n"/>
      <c r="C23" s="215" t="n"/>
      <c r="D23" s="212">
        <f>IF(K23="","",INDEX('差動モデル'!$R:$R,K23))</f>
        <v/>
      </c>
      <c r="E23" s="212">
        <f>IF(K23="","",INDEX('差動モデル'!$S:$S,K23))</f>
        <v/>
      </c>
      <c r="F23" s="212">
        <f>IF(OR(A23="",B23=""),"",100*(D23-B23)/MAX(B23,1E-12))</f>
        <v/>
      </c>
      <c r="G23" s="212">
        <f>IF(OR(A23="",C23=""),"",E23-C23)</f>
        <v/>
      </c>
      <c r="H23" s="212">
        <f>IF(A23="","",LOG10(A23))</f>
        <v/>
      </c>
      <c r="I23" s="212">
        <f>IF(B23="","",LOG10(MAX(B23,1E-12)))</f>
        <v/>
      </c>
      <c r="J23" s="212">
        <f>IF(D23="","",LOG10(MAX(D23,1E-12)))</f>
        <v/>
      </c>
      <c r="K23" s="202">
        <f>IF(A23="","",ROUND(1+(LOG10(A23)-LOG10('入力・概要'!$B$38))*('入力・概要'!$B$40-1)/(LOG10('入力・概要'!$B$39)-LOG10('入力・概要'!$B$38)),0)+3)</f>
        <v/>
      </c>
      <c r="L23" s="202">
        <f>IF(K23="","",INDEX('差動モデル'!$B:$B,K23))</f>
        <v/>
      </c>
      <c r="M23" s="202">
        <f>IF(A23="","",IF(ABS(L23/A23-1)&lt;0.01,"周波数差&lt;1%","周波数差あり"))</f>
        <v/>
      </c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</row>
    <row r="24">
      <c r="A24" s="214" t="n"/>
      <c r="B24" s="215" t="n"/>
      <c r="C24" s="215" t="n"/>
      <c r="D24" s="212">
        <f>IF(K24="","",INDEX('差動モデル'!$R:$R,K24))</f>
        <v/>
      </c>
      <c r="E24" s="212">
        <f>IF(K24="","",INDEX('差動モデル'!$S:$S,K24))</f>
        <v/>
      </c>
      <c r="F24" s="212">
        <f>IF(OR(A24="",B24=""),"",100*(D24-B24)/MAX(B24,1E-12))</f>
        <v/>
      </c>
      <c r="G24" s="212">
        <f>IF(OR(A24="",C24=""),"",E24-C24)</f>
        <v/>
      </c>
      <c r="H24" s="212">
        <f>IF(A24="","",LOG10(A24))</f>
        <v/>
      </c>
      <c r="I24" s="212">
        <f>IF(B24="","",LOG10(MAX(B24,1E-12)))</f>
        <v/>
      </c>
      <c r="J24" s="212">
        <f>IF(D24="","",LOG10(MAX(D24,1E-12)))</f>
        <v/>
      </c>
      <c r="K24" s="202">
        <f>IF(A24="","",ROUND(1+(LOG10(A24)-LOG10('入力・概要'!$B$38))*('入力・概要'!$B$40-1)/(LOG10('入力・概要'!$B$39)-LOG10('入力・概要'!$B$38)),0)+3)</f>
        <v/>
      </c>
      <c r="L24" s="202">
        <f>IF(K24="","",INDEX('差動モデル'!$B:$B,K24))</f>
        <v/>
      </c>
      <c r="M24" s="202">
        <f>IF(A24="","",IF(ABS(L24/A24-1)&lt;0.01,"周波数差&lt;1%","周波数差あり"))</f>
        <v/>
      </c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</row>
    <row r="25">
      <c r="A25" s="214" t="n"/>
      <c r="B25" s="215" t="n"/>
      <c r="C25" s="215" t="n"/>
      <c r="D25" s="212">
        <f>IF(K25="","",INDEX('差動モデル'!$R:$R,K25))</f>
        <v/>
      </c>
      <c r="E25" s="212">
        <f>IF(K25="","",INDEX('差動モデル'!$S:$S,K25))</f>
        <v/>
      </c>
      <c r="F25" s="212">
        <f>IF(OR(A25="",B25=""),"",100*(D25-B25)/MAX(B25,1E-12))</f>
        <v/>
      </c>
      <c r="G25" s="212">
        <f>IF(OR(A25="",C25=""),"",E25-C25)</f>
        <v/>
      </c>
      <c r="H25" s="212">
        <f>IF(A25="","",LOG10(A25))</f>
        <v/>
      </c>
      <c r="I25" s="212">
        <f>IF(B25="","",LOG10(MAX(B25,1E-12)))</f>
        <v/>
      </c>
      <c r="J25" s="212">
        <f>IF(D25="","",LOG10(MAX(D25,1E-12)))</f>
        <v/>
      </c>
      <c r="K25" s="202">
        <f>IF(A25="","",ROUND(1+(LOG10(A25)-LOG10('入力・概要'!$B$38))*('入力・概要'!$B$40-1)/(LOG10('入力・概要'!$B$39)-LOG10('入力・概要'!$B$38)),0)+3)</f>
        <v/>
      </c>
      <c r="L25" s="202">
        <f>IF(K25="","",INDEX('差動モデル'!$B:$B,K25))</f>
        <v/>
      </c>
      <c r="M25" s="202">
        <f>IF(A25="","",IF(ABS(L25/A25-1)&lt;0.01,"周波数差&lt;1%","周波数差あり"))</f>
        <v/>
      </c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</row>
    <row r="26">
      <c r="A26" s="214" t="n"/>
      <c r="B26" s="215" t="n"/>
      <c r="C26" s="215" t="n"/>
      <c r="D26" s="212">
        <f>IF(K26="","",INDEX('差動モデル'!$R:$R,K26))</f>
        <v/>
      </c>
      <c r="E26" s="212">
        <f>IF(K26="","",INDEX('差動モデル'!$S:$S,K26))</f>
        <v/>
      </c>
      <c r="F26" s="212">
        <f>IF(OR(A26="",B26=""),"",100*(D26-B26)/MAX(B26,1E-12))</f>
        <v/>
      </c>
      <c r="G26" s="212">
        <f>IF(OR(A26="",C26=""),"",E26-C26)</f>
        <v/>
      </c>
      <c r="H26" s="212">
        <f>IF(A26="","",LOG10(A26))</f>
        <v/>
      </c>
      <c r="I26" s="212">
        <f>IF(B26="","",LOG10(MAX(B26,1E-12)))</f>
        <v/>
      </c>
      <c r="J26" s="212">
        <f>IF(D26="","",LOG10(MAX(D26,1E-12)))</f>
        <v/>
      </c>
      <c r="K26" s="202">
        <f>IF(A26="","",ROUND(1+(LOG10(A26)-LOG10('入力・概要'!$B$38))*('入力・概要'!$B$40-1)/(LOG10('入力・概要'!$B$39)-LOG10('入力・概要'!$B$38)),0)+3)</f>
        <v/>
      </c>
      <c r="L26" s="202">
        <f>IF(K26="","",INDEX('差動モデル'!$B:$B,K26))</f>
        <v/>
      </c>
      <c r="M26" s="202">
        <f>IF(A26="","",IF(ABS(L26/A26-1)&lt;0.01,"周波数差&lt;1%","周波数差あり"))</f>
        <v/>
      </c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</row>
    <row r="27">
      <c r="A27" s="214" t="n"/>
      <c r="B27" s="215" t="n"/>
      <c r="C27" s="215" t="n"/>
      <c r="D27" s="212">
        <f>IF(K27="","",INDEX('差動モデル'!$R:$R,K27))</f>
        <v/>
      </c>
      <c r="E27" s="212">
        <f>IF(K27="","",INDEX('差動モデル'!$S:$S,K27))</f>
        <v/>
      </c>
      <c r="F27" s="212">
        <f>IF(OR(A27="",B27=""),"",100*(D27-B27)/MAX(B27,1E-12))</f>
        <v/>
      </c>
      <c r="G27" s="212">
        <f>IF(OR(A27="",C27=""),"",E27-C27)</f>
        <v/>
      </c>
      <c r="H27" s="212">
        <f>IF(A27="","",LOG10(A27))</f>
        <v/>
      </c>
      <c r="I27" s="212">
        <f>IF(B27="","",LOG10(MAX(B27,1E-12)))</f>
        <v/>
      </c>
      <c r="J27" s="212">
        <f>IF(D27="","",LOG10(MAX(D27,1E-12)))</f>
        <v/>
      </c>
      <c r="K27" s="202">
        <f>IF(A27="","",ROUND(1+(LOG10(A27)-LOG10('入力・概要'!$B$38))*('入力・概要'!$B$40-1)/(LOG10('入力・概要'!$B$39)-LOG10('入力・概要'!$B$38)),0)+3)</f>
        <v/>
      </c>
      <c r="L27" s="202">
        <f>IF(K27="","",INDEX('差動モデル'!$B:$B,K27))</f>
        <v/>
      </c>
      <c r="M27" s="202">
        <f>IF(A27="","",IF(ABS(L27/A27-1)&lt;0.01,"周波数差&lt;1%","周波数差あり"))</f>
        <v/>
      </c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</row>
    <row r="28">
      <c r="A28" s="214" t="n"/>
      <c r="B28" s="215" t="n"/>
      <c r="C28" s="215" t="n"/>
      <c r="D28" s="212">
        <f>IF(K28="","",INDEX('差動モデル'!$R:$R,K28))</f>
        <v/>
      </c>
      <c r="E28" s="212">
        <f>IF(K28="","",INDEX('差動モデル'!$S:$S,K28))</f>
        <v/>
      </c>
      <c r="F28" s="212">
        <f>IF(OR(A28="",B28=""),"",100*(D28-B28)/MAX(B28,1E-12))</f>
        <v/>
      </c>
      <c r="G28" s="212">
        <f>IF(OR(A28="",C28=""),"",E28-C28)</f>
        <v/>
      </c>
      <c r="H28" s="212">
        <f>IF(A28="","",LOG10(A28))</f>
        <v/>
      </c>
      <c r="I28" s="212">
        <f>IF(B28="","",LOG10(MAX(B28,1E-12)))</f>
        <v/>
      </c>
      <c r="J28" s="212">
        <f>IF(D28="","",LOG10(MAX(D28,1E-12)))</f>
        <v/>
      </c>
      <c r="K28" s="202">
        <f>IF(A28="","",ROUND(1+(LOG10(A28)-LOG10('入力・概要'!$B$38))*('入力・概要'!$B$40-1)/(LOG10('入力・概要'!$B$39)-LOG10('入力・概要'!$B$38)),0)+3)</f>
        <v/>
      </c>
      <c r="L28" s="202">
        <f>IF(K28="","",INDEX('差動モデル'!$B:$B,K28))</f>
        <v/>
      </c>
      <c r="M28" s="202">
        <f>IF(A28="","",IF(ABS(L28/A28-1)&lt;0.01,"周波数差&lt;1%","周波数差あり"))</f>
        <v/>
      </c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</row>
    <row r="29">
      <c r="A29" s="214" t="n"/>
      <c r="B29" s="215" t="n"/>
      <c r="C29" s="215" t="n"/>
      <c r="D29" s="212">
        <f>IF(K29="","",INDEX('差動モデル'!$R:$R,K29))</f>
        <v/>
      </c>
      <c r="E29" s="212">
        <f>IF(K29="","",INDEX('差動モデル'!$S:$S,K29))</f>
        <v/>
      </c>
      <c r="F29" s="212">
        <f>IF(OR(A29="",B29=""),"",100*(D29-B29)/MAX(B29,1E-12))</f>
        <v/>
      </c>
      <c r="G29" s="212">
        <f>IF(OR(A29="",C29=""),"",E29-C29)</f>
        <v/>
      </c>
      <c r="H29" s="212">
        <f>IF(A29="","",LOG10(A29))</f>
        <v/>
      </c>
      <c r="I29" s="212">
        <f>IF(B29="","",LOG10(MAX(B29,1E-12)))</f>
        <v/>
      </c>
      <c r="J29" s="212">
        <f>IF(D29="","",LOG10(MAX(D29,1E-12)))</f>
        <v/>
      </c>
      <c r="K29" s="202">
        <f>IF(A29="","",ROUND(1+(LOG10(A29)-LOG10('入力・概要'!$B$38))*('入力・概要'!$B$40-1)/(LOG10('入力・概要'!$B$39)-LOG10('入力・概要'!$B$38)),0)+3)</f>
        <v/>
      </c>
      <c r="L29" s="202">
        <f>IF(K29="","",INDEX('差動モデル'!$B:$B,K29))</f>
        <v/>
      </c>
      <c r="M29" s="202">
        <f>IF(A29="","",IF(ABS(L29/A29-1)&lt;0.01,"周波数差&lt;1%","周波数差あり"))</f>
        <v/>
      </c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</row>
    <row r="30">
      <c r="A30" s="214" t="n"/>
      <c r="B30" s="215" t="n"/>
      <c r="C30" s="215" t="n"/>
      <c r="D30" s="212">
        <f>IF(K30="","",INDEX('差動モデル'!$R:$R,K30))</f>
        <v/>
      </c>
      <c r="E30" s="212">
        <f>IF(K30="","",INDEX('差動モデル'!$S:$S,K30))</f>
        <v/>
      </c>
      <c r="F30" s="212">
        <f>IF(OR(A30="",B30=""),"",100*(D30-B30)/MAX(B30,1E-12))</f>
        <v/>
      </c>
      <c r="G30" s="212">
        <f>IF(OR(A30="",C30=""),"",E30-C30)</f>
        <v/>
      </c>
      <c r="H30" s="212">
        <f>IF(A30="","",LOG10(A30))</f>
        <v/>
      </c>
      <c r="I30" s="212">
        <f>IF(B30="","",LOG10(MAX(B30,1E-12)))</f>
        <v/>
      </c>
      <c r="J30" s="212">
        <f>IF(D30="","",LOG10(MAX(D30,1E-12)))</f>
        <v/>
      </c>
      <c r="K30" s="202">
        <f>IF(A30="","",ROUND(1+(LOG10(A30)-LOG10('入力・概要'!$B$38))*('入力・概要'!$B$40-1)/(LOG10('入力・概要'!$B$39)-LOG10('入力・概要'!$B$38)),0)+3)</f>
        <v/>
      </c>
      <c r="L30" s="202">
        <f>IF(K30="","",INDEX('差動モデル'!$B:$B,K30))</f>
        <v/>
      </c>
      <c r="M30" s="202">
        <f>IF(A30="","",IF(ABS(L30/A30-1)&lt;0.01,"周波数差&lt;1%","周波数差あり"))</f>
        <v/>
      </c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</row>
    <row r="31">
      <c r="A31" s="214" t="n"/>
      <c r="B31" s="215" t="n"/>
      <c r="C31" s="215" t="n"/>
      <c r="D31" s="212">
        <f>IF(K31="","",INDEX('差動モデル'!$R:$R,K31))</f>
        <v/>
      </c>
      <c r="E31" s="212">
        <f>IF(K31="","",INDEX('差動モデル'!$S:$S,K31))</f>
        <v/>
      </c>
      <c r="F31" s="212">
        <f>IF(OR(A31="",B31=""),"",100*(D31-B31)/MAX(B31,1E-12))</f>
        <v/>
      </c>
      <c r="G31" s="212">
        <f>IF(OR(A31="",C31=""),"",E31-C31)</f>
        <v/>
      </c>
      <c r="H31" s="212">
        <f>IF(A31="","",LOG10(A31))</f>
        <v/>
      </c>
      <c r="I31" s="212">
        <f>IF(B31="","",LOG10(MAX(B31,1E-12)))</f>
        <v/>
      </c>
      <c r="J31" s="212">
        <f>IF(D31="","",LOG10(MAX(D31,1E-12)))</f>
        <v/>
      </c>
      <c r="K31" s="202">
        <f>IF(A31="","",ROUND(1+(LOG10(A31)-LOG10('入力・概要'!$B$38))*('入力・概要'!$B$40-1)/(LOG10('入力・概要'!$B$39)-LOG10('入力・概要'!$B$38)),0)+3)</f>
        <v/>
      </c>
      <c r="L31" s="202">
        <f>IF(K31="","",INDEX('差動モデル'!$B:$B,K31))</f>
        <v/>
      </c>
      <c r="M31" s="202">
        <f>IF(A31="","",IF(ABS(L31/A31-1)&lt;0.01,"周波数差&lt;1%","周波数差あり"))</f>
        <v/>
      </c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</row>
    <row r="32">
      <c r="A32" s="214" t="n"/>
      <c r="B32" s="215" t="n"/>
      <c r="C32" s="215" t="n"/>
      <c r="D32" s="212">
        <f>IF(K32="","",INDEX('差動モデル'!$R:$R,K32))</f>
        <v/>
      </c>
      <c r="E32" s="212">
        <f>IF(K32="","",INDEX('差動モデル'!$S:$S,K32))</f>
        <v/>
      </c>
      <c r="F32" s="212">
        <f>IF(OR(A32="",B32=""),"",100*(D32-B32)/MAX(B32,1E-12))</f>
        <v/>
      </c>
      <c r="G32" s="212">
        <f>IF(OR(A32="",C32=""),"",E32-C32)</f>
        <v/>
      </c>
      <c r="H32" s="212">
        <f>IF(A32="","",LOG10(A32))</f>
        <v/>
      </c>
      <c r="I32" s="212">
        <f>IF(B32="","",LOG10(MAX(B32,1E-12)))</f>
        <v/>
      </c>
      <c r="J32" s="212">
        <f>IF(D32="","",LOG10(MAX(D32,1E-12)))</f>
        <v/>
      </c>
      <c r="K32" s="202">
        <f>IF(A32="","",ROUND(1+(LOG10(A32)-LOG10('入力・概要'!$B$38))*('入力・概要'!$B$40-1)/(LOG10('入力・概要'!$B$39)-LOG10('入力・概要'!$B$38)),0)+3)</f>
        <v/>
      </c>
      <c r="L32" s="202">
        <f>IF(K32="","",INDEX('差動モデル'!$B:$B,K32))</f>
        <v/>
      </c>
      <c r="M32" s="202">
        <f>IF(A32="","",IF(ABS(L32/A32-1)&lt;0.01,"周波数差&lt;1%","周波数差あり"))</f>
        <v/>
      </c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</row>
    <row r="33">
      <c r="A33" s="214" t="n"/>
      <c r="B33" s="215" t="n"/>
      <c r="C33" s="215" t="n"/>
      <c r="D33" s="212">
        <f>IF(K33="","",INDEX('差動モデル'!$R:$R,K33))</f>
        <v/>
      </c>
      <c r="E33" s="212">
        <f>IF(K33="","",INDEX('差動モデル'!$S:$S,K33))</f>
        <v/>
      </c>
      <c r="F33" s="212">
        <f>IF(OR(A33="",B33=""),"",100*(D33-B33)/MAX(B33,1E-12))</f>
        <v/>
      </c>
      <c r="G33" s="212">
        <f>IF(OR(A33="",C33=""),"",E33-C33)</f>
        <v/>
      </c>
      <c r="H33" s="212">
        <f>IF(A33="","",LOG10(A33))</f>
        <v/>
      </c>
      <c r="I33" s="212">
        <f>IF(B33="","",LOG10(MAX(B33,1E-12)))</f>
        <v/>
      </c>
      <c r="J33" s="212">
        <f>IF(D33="","",LOG10(MAX(D33,1E-12)))</f>
        <v/>
      </c>
      <c r="K33" s="202">
        <f>IF(A33="","",ROUND(1+(LOG10(A33)-LOG10('入力・概要'!$B$38))*('入力・概要'!$B$40-1)/(LOG10('入力・概要'!$B$39)-LOG10('入力・概要'!$B$38)),0)+3)</f>
        <v/>
      </c>
      <c r="L33" s="202">
        <f>IF(K33="","",INDEX('差動モデル'!$B:$B,K33))</f>
        <v/>
      </c>
      <c r="M33" s="202">
        <f>IF(A33="","",IF(ABS(L33/A33-1)&lt;0.01,"周波数差&lt;1%","周波数差あり"))</f>
        <v/>
      </c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</row>
    <row r="34">
      <c r="A34" s="214" t="n"/>
      <c r="B34" s="215" t="n"/>
      <c r="C34" s="215" t="n"/>
      <c r="D34" s="212">
        <f>IF(K34="","",INDEX('差動モデル'!$R:$R,K34))</f>
        <v/>
      </c>
      <c r="E34" s="212">
        <f>IF(K34="","",INDEX('差動モデル'!$S:$S,K34))</f>
        <v/>
      </c>
      <c r="F34" s="212">
        <f>IF(OR(A34="",B34=""),"",100*(D34-B34)/MAX(B34,1E-12))</f>
        <v/>
      </c>
      <c r="G34" s="212">
        <f>IF(OR(A34="",C34=""),"",E34-C34)</f>
        <v/>
      </c>
      <c r="H34" s="212">
        <f>IF(A34="","",LOG10(A34))</f>
        <v/>
      </c>
      <c r="I34" s="212">
        <f>IF(B34="","",LOG10(MAX(B34,1E-12)))</f>
        <v/>
      </c>
      <c r="J34" s="212">
        <f>IF(D34="","",LOG10(MAX(D34,1E-12)))</f>
        <v/>
      </c>
      <c r="K34" s="202">
        <f>IF(A34="","",ROUND(1+(LOG10(A34)-LOG10('入力・概要'!$B$38))*('入力・概要'!$B$40-1)/(LOG10('入力・概要'!$B$39)-LOG10('入力・概要'!$B$38)),0)+3)</f>
        <v/>
      </c>
      <c r="L34" s="202">
        <f>IF(K34="","",INDEX('差動モデル'!$B:$B,K34))</f>
        <v/>
      </c>
      <c r="M34" s="202">
        <f>IF(A34="","",IF(ABS(L34/A34-1)&lt;0.01,"周波数差&lt;1%","周波数差あり"))</f>
        <v/>
      </c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</row>
    <row r="35">
      <c r="A35" s="214" t="n"/>
      <c r="B35" s="215" t="n"/>
      <c r="C35" s="215" t="n"/>
      <c r="D35" s="212">
        <f>IF(K35="","",INDEX('差動モデル'!$R:$R,K35))</f>
        <v/>
      </c>
      <c r="E35" s="212">
        <f>IF(K35="","",INDEX('差動モデル'!$S:$S,K35))</f>
        <v/>
      </c>
      <c r="F35" s="212">
        <f>IF(OR(A35="",B35=""),"",100*(D35-B35)/MAX(B35,1E-12))</f>
        <v/>
      </c>
      <c r="G35" s="212">
        <f>IF(OR(A35="",C35=""),"",E35-C35)</f>
        <v/>
      </c>
      <c r="H35" s="212">
        <f>IF(A35="","",LOG10(A35))</f>
        <v/>
      </c>
      <c r="I35" s="212">
        <f>IF(B35="","",LOG10(MAX(B35,1E-12)))</f>
        <v/>
      </c>
      <c r="J35" s="212">
        <f>IF(D35="","",LOG10(MAX(D35,1E-12)))</f>
        <v/>
      </c>
      <c r="K35" s="202">
        <f>IF(A35="","",ROUND(1+(LOG10(A35)-LOG10('入力・概要'!$B$38))*('入力・概要'!$B$40-1)/(LOG10('入力・概要'!$B$39)-LOG10('入力・概要'!$B$38)),0)+3)</f>
        <v/>
      </c>
      <c r="L35" s="202">
        <f>IF(K35="","",INDEX('差動モデル'!$B:$B,K35))</f>
        <v/>
      </c>
      <c r="M35" s="202">
        <f>IF(A35="","",IF(ABS(L35/A35-1)&lt;0.01,"周波数差&lt;1%","周波数差あり"))</f>
        <v/>
      </c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</row>
    <row r="36">
      <c r="A36" s="214" t="n"/>
      <c r="B36" s="215" t="n"/>
      <c r="C36" s="215" t="n"/>
      <c r="D36" s="212">
        <f>IF(K36="","",INDEX('差動モデル'!$R:$R,K36))</f>
        <v/>
      </c>
      <c r="E36" s="212">
        <f>IF(K36="","",INDEX('差動モデル'!$S:$S,K36))</f>
        <v/>
      </c>
      <c r="F36" s="212">
        <f>IF(OR(A36="",B36=""),"",100*(D36-B36)/MAX(B36,1E-12))</f>
        <v/>
      </c>
      <c r="G36" s="212">
        <f>IF(OR(A36="",C36=""),"",E36-C36)</f>
        <v/>
      </c>
      <c r="H36" s="212">
        <f>IF(A36="","",LOG10(A36))</f>
        <v/>
      </c>
      <c r="I36" s="212">
        <f>IF(B36="","",LOG10(MAX(B36,1E-12)))</f>
        <v/>
      </c>
      <c r="J36" s="212">
        <f>IF(D36="","",LOG10(MAX(D36,1E-12)))</f>
        <v/>
      </c>
      <c r="K36" s="202">
        <f>IF(A36="","",ROUND(1+(LOG10(A36)-LOG10('入力・概要'!$B$38))*('入力・概要'!$B$40-1)/(LOG10('入力・概要'!$B$39)-LOG10('入力・概要'!$B$38)),0)+3)</f>
        <v/>
      </c>
      <c r="L36" s="202">
        <f>IF(K36="","",INDEX('差動モデル'!$B:$B,K36))</f>
        <v/>
      </c>
      <c r="M36" s="202">
        <f>IF(A36="","",IF(ABS(L36/A36-1)&lt;0.01,"周波数差&lt;1%","周波数差あり"))</f>
        <v/>
      </c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</row>
    <row r="37">
      <c r="A37" s="214" t="n"/>
      <c r="B37" s="215" t="n"/>
      <c r="C37" s="215" t="n"/>
      <c r="D37" s="212">
        <f>IF(K37="","",INDEX('差動モデル'!$R:$R,K37))</f>
        <v/>
      </c>
      <c r="E37" s="212">
        <f>IF(K37="","",INDEX('差動モデル'!$S:$S,K37))</f>
        <v/>
      </c>
      <c r="F37" s="212">
        <f>IF(OR(A37="",B37=""),"",100*(D37-B37)/MAX(B37,1E-12))</f>
        <v/>
      </c>
      <c r="G37" s="212">
        <f>IF(OR(A37="",C37=""),"",E37-C37)</f>
        <v/>
      </c>
      <c r="H37" s="212">
        <f>IF(A37="","",LOG10(A37))</f>
        <v/>
      </c>
      <c r="I37" s="212">
        <f>IF(B37="","",LOG10(MAX(B37,1E-12)))</f>
        <v/>
      </c>
      <c r="J37" s="212">
        <f>IF(D37="","",LOG10(MAX(D37,1E-12)))</f>
        <v/>
      </c>
      <c r="K37" s="202">
        <f>IF(A37="","",ROUND(1+(LOG10(A37)-LOG10('入力・概要'!$B$38))*('入力・概要'!$B$40-1)/(LOG10('入力・概要'!$B$39)-LOG10('入力・概要'!$B$38)),0)+3)</f>
        <v/>
      </c>
      <c r="L37" s="202">
        <f>IF(K37="","",INDEX('差動モデル'!$B:$B,K37))</f>
        <v/>
      </c>
      <c r="M37" s="202">
        <f>IF(A37="","",IF(ABS(L37/A37-1)&lt;0.01,"周波数差&lt;1%","周波数差あり"))</f>
        <v/>
      </c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</row>
    <row r="38">
      <c r="A38" s="214" t="n"/>
      <c r="B38" s="215" t="n"/>
      <c r="C38" s="215" t="n"/>
      <c r="D38" s="212">
        <f>IF(K38="","",INDEX('差動モデル'!$R:$R,K38))</f>
        <v/>
      </c>
      <c r="E38" s="212">
        <f>IF(K38="","",INDEX('差動モデル'!$S:$S,K38))</f>
        <v/>
      </c>
      <c r="F38" s="212">
        <f>IF(OR(A38="",B38=""),"",100*(D38-B38)/MAX(B38,1E-12))</f>
        <v/>
      </c>
      <c r="G38" s="212">
        <f>IF(OR(A38="",C38=""),"",E38-C38)</f>
        <v/>
      </c>
      <c r="H38" s="212">
        <f>IF(A38="","",LOG10(A38))</f>
        <v/>
      </c>
      <c r="I38" s="212">
        <f>IF(B38="","",LOG10(MAX(B38,1E-12)))</f>
        <v/>
      </c>
      <c r="J38" s="212">
        <f>IF(D38="","",LOG10(MAX(D38,1E-12)))</f>
        <v/>
      </c>
      <c r="K38" s="202">
        <f>IF(A38="","",ROUND(1+(LOG10(A38)-LOG10('入力・概要'!$B$38))*('入力・概要'!$B$40-1)/(LOG10('入力・概要'!$B$39)-LOG10('入力・概要'!$B$38)),0)+3)</f>
        <v/>
      </c>
      <c r="L38" s="202">
        <f>IF(K38="","",INDEX('差動モデル'!$B:$B,K38))</f>
        <v/>
      </c>
      <c r="M38" s="202">
        <f>IF(A38="","",IF(ABS(L38/A38-1)&lt;0.01,"周波数差&lt;1%","周波数差あり"))</f>
        <v/>
      </c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</row>
    <row r="39">
      <c r="A39" s="214" t="n"/>
      <c r="B39" s="215" t="n"/>
      <c r="C39" s="215" t="n"/>
      <c r="D39" s="212">
        <f>IF(K39="","",INDEX('差動モデル'!$R:$R,K39))</f>
        <v/>
      </c>
      <c r="E39" s="212">
        <f>IF(K39="","",INDEX('差動モデル'!$S:$S,K39))</f>
        <v/>
      </c>
      <c r="F39" s="212">
        <f>IF(OR(A39="",B39=""),"",100*(D39-B39)/MAX(B39,1E-12))</f>
        <v/>
      </c>
      <c r="G39" s="212">
        <f>IF(OR(A39="",C39=""),"",E39-C39)</f>
        <v/>
      </c>
      <c r="H39" s="212">
        <f>IF(A39="","",LOG10(A39))</f>
        <v/>
      </c>
      <c r="I39" s="212">
        <f>IF(B39="","",LOG10(MAX(B39,1E-12)))</f>
        <v/>
      </c>
      <c r="J39" s="212">
        <f>IF(D39="","",LOG10(MAX(D39,1E-12)))</f>
        <v/>
      </c>
      <c r="K39" s="202">
        <f>IF(A39="","",ROUND(1+(LOG10(A39)-LOG10('入力・概要'!$B$38))*('入力・概要'!$B$40-1)/(LOG10('入力・概要'!$B$39)-LOG10('入力・概要'!$B$38)),0)+3)</f>
        <v/>
      </c>
      <c r="L39" s="202">
        <f>IF(K39="","",INDEX('差動モデル'!$B:$B,K39))</f>
        <v/>
      </c>
      <c r="M39" s="202">
        <f>IF(A39="","",IF(ABS(L39/A39-1)&lt;0.01,"周波数差&lt;1%","周波数差あり"))</f>
        <v/>
      </c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</row>
    <row r="40">
      <c r="A40" s="214" t="n"/>
      <c r="B40" s="215" t="n"/>
      <c r="C40" s="215" t="n"/>
      <c r="D40" s="212">
        <f>IF(K40="","",INDEX('差動モデル'!$R:$R,K40))</f>
        <v/>
      </c>
      <c r="E40" s="212">
        <f>IF(K40="","",INDEX('差動モデル'!$S:$S,K40))</f>
        <v/>
      </c>
      <c r="F40" s="212">
        <f>IF(OR(A40="",B40=""),"",100*(D40-B40)/MAX(B40,1E-12))</f>
        <v/>
      </c>
      <c r="G40" s="212">
        <f>IF(OR(A40="",C40=""),"",E40-C40)</f>
        <v/>
      </c>
      <c r="H40" s="212">
        <f>IF(A40="","",LOG10(A40))</f>
        <v/>
      </c>
      <c r="I40" s="212">
        <f>IF(B40="","",LOG10(MAX(B40,1E-12)))</f>
        <v/>
      </c>
      <c r="J40" s="212">
        <f>IF(D40="","",LOG10(MAX(D40,1E-12)))</f>
        <v/>
      </c>
      <c r="K40" s="202">
        <f>IF(A40="","",ROUND(1+(LOG10(A40)-LOG10('入力・概要'!$B$38))*('入力・概要'!$B$40-1)/(LOG10('入力・概要'!$B$39)-LOG10('入力・概要'!$B$38)),0)+3)</f>
        <v/>
      </c>
      <c r="L40" s="202">
        <f>IF(K40="","",INDEX('差動モデル'!$B:$B,K40))</f>
        <v/>
      </c>
      <c r="M40" s="202">
        <f>IF(A40="","",IF(ABS(L40/A40-1)&lt;0.01,"周波数差&lt;1%","周波数差あり"))</f>
        <v/>
      </c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</row>
    <row r="41">
      <c r="A41" s="214" t="n"/>
      <c r="B41" s="215" t="n"/>
      <c r="C41" s="215" t="n"/>
      <c r="D41" s="212">
        <f>IF(K41="","",INDEX('差動モデル'!$R:$R,K41))</f>
        <v/>
      </c>
      <c r="E41" s="212">
        <f>IF(K41="","",INDEX('差動モデル'!$S:$S,K41))</f>
        <v/>
      </c>
      <c r="F41" s="212">
        <f>IF(OR(A41="",B41=""),"",100*(D41-B41)/MAX(B41,1E-12))</f>
        <v/>
      </c>
      <c r="G41" s="212">
        <f>IF(OR(A41="",C41=""),"",E41-C41)</f>
        <v/>
      </c>
      <c r="H41" s="212">
        <f>IF(A41="","",LOG10(A41))</f>
        <v/>
      </c>
      <c r="I41" s="212">
        <f>IF(B41="","",LOG10(MAX(B41,1E-12)))</f>
        <v/>
      </c>
      <c r="J41" s="212">
        <f>IF(D41="","",LOG10(MAX(D41,1E-12)))</f>
        <v/>
      </c>
      <c r="K41" s="202">
        <f>IF(A41="","",ROUND(1+(LOG10(A41)-LOG10('入力・概要'!$B$38))*('入力・概要'!$B$40-1)/(LOG10('入力・概要'!$B$39)-LOG10('入力・概要'!$B$38)),0)+3)</f>
        <v/>
      </c>
      <c r="L41" s="202">
        <f>IF(K41="","",INDEX('差動モデル'!$B:$B,K41))</f>
        <v/>
      </c>
      <c r="M41" s="202">
        <f>IF(A41="","",IF(ABS(L41/A41-1)&lt;0.01,"周波数差&lt;1%","周波数差あり"))</f>
        <v/>
      </c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</row>
    <row r="42">
      <c r="A42" s="214" t="n"/>
      <c r="B42" s="215" t="n"/>
      <c r="C42" s="215" t="n"/>
      <c r="D42" s="212">
        <f>IF(K42="","",INDEX('差動モデル'!$R:$R,K42))</f>
        <v/>
      </c>
      <c r="E42" s="212">
        <f>IF(K42="","",INDEX('差動モデル'!$S:$S,K42))</f>
        <v/>
      </c>
      <c r="F42" s="212">
        <f>IF(OR(A42="",B42=""),"",100*(D42-B42)/MAX(B42,1E-12))</f>
        <v/>
      </c>
      <c r="G42" s="212">
        <f>IF(OR(A42="",C42=""),"",E42-C42)</f>
        <v/>
      </c>
      <c r="H42" s="212">
        <f>IF(A42="","",LOG10(A42))</f>
        <v/>
      </c>
      <c r="I42" s="212">
        <f>IF(B42="","",LOG10(MAX(B42,1E-12)))</f>
        <v/>
      </c>
      <c r="J42" s="212">
        <f>IF(D42="","",LOG10(MAX(D42,1E-12)))</f>
        <v/>
      </c>
      <c r="K42" s="202">
        <f>IF(A42="","",ROUND(1+(LOG10(A42)-LOG10('入力・概要'!$B$38))*('入力・概要'!$B$40-1)/(LOG10('入力・概要'!$B$39)-LOG10('入力・概要'!$B$38)),0)+3)</f>
        <v/>
      </c>
      <c r="L42" s="202">
        <f>IF(K42="","",INDEX('差動モデル'!$B:$B,K42))</f>
        <v/>
      </c>
      <c r="M42" s="202">
        <f>IF(A42="","",IF(ABS(L42/A42-1)&lt;0.01,"周波数差&lt;1%","周波数差あり"))</f>
        <v/>
      </c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</row>
    <row r="43">
      <c r="A43" s="214" t="n"/>
      <c r="B43" s="215" t="n"/>
      <c r="C43" s="215" t="n"/>
      <c r="D43" s="212">
        <f>IF(K43="","",INDEX('差動モデル'!$R:$R,K43))</f>
        <v/>
      </c>
      <c r="E43" s="212">
        <f>IF(K43="","",INDEX('差動モデル'!$S:$S,K43))</f>
        <v/>
      </c>
      <c r="F43" s="212">
        <f>IF(OR(A43="",B43=""),"",100*(D43-B43)/MAX(B43,1E-12))</f>
        <v/>
      </c>
      <c r="G43" s="212">
        <f>IF(OR(A43="",C43=""),"",E43-C43)</f>
        <v/>
      </c>
      <c r="H43" s="212">
        <f>IF(A43="","",LOG10(A43))</f>
        <v/>
      </c>
      <c r="I43" s="212">
        <f>IF(B43="","",LOG10(MAX(B43,1E-12)))</f>
        <v/>
      </c>
      <c r="J43" s="212">
        <f>IF(D43="","",LOG10(MAX(D43,1E-12)))</f>
        <v/>
      </c>
      <c r="K43" s="202">
        <f>IF(A43="","",ROUND(1+(LOG10(A43)-LOG10('入力・概要'!$B$38))*('入力・概要'!$B$40-1)/(LOG10('入力・概要'!$B$39)-LOG10('入力・概要'!$B$38)),0)+3)</f>
        <v/>
      </c>
      <c r="L43" s="202">
        <f>IF(K43="","",INDEX('差動モデル'!$B:$B,K43))</f>
        <v/>
      </c>
      <c r="M43" s="202">
        <f>IF(A43="","",IF(ABS(L43/A43-1)&lt;0.01,"周波数差&lt;1%","周波数差あり"))</f>
        <v/>
      </c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</row>
    <row r="44">
      <c r="A44" s="214" t="n"/>
      <c r="B44" s="215" t="n"/>
      <c r="C44" s="215" t="n"/>
      <c r="D44" s="212">
        <f>IF(K44="","",INDEX('差動モデル'!$R:$R,K44))</f>
        <v/>
      </c>
      <c r="E44" s="212">
        <f>IF(K44="","",INDEX('差動モデル'!$S:$S,K44))</f>
        <v/>
      </c>
      <c r="F44" s="212">
        <f>IF(OR(A44="",B44=""),"",100*(D44-B44)/MAX(B44,1E-12))</f>
        <v/>
      </c>
      <c r="G44" s="212">
        <f>IF(OR(A44="",C44=""),"",E44-C44)</f>
        <v/>
      </c>
      <c r="H44" s="212">
        <f>IF(A44="","",LOG10(A44))</f>
        <v/>
      </c>
      <c r="I44" s="212">
        <f>IF(B44="","",LOG10(MAX(B44,1E-12)))</f>
        <v/>
      </c>
      <c r="J44" s="212">
        <f>IF(D44="","",LOG10(MAX(D44,1E-12)))</f>
        <v/>
      </c>
      <c r="K44" s="202">
        <f>IF(A44="","",ROUND(1+(LOG10(A44)-LOG10('入力・概要'!$B$38))*('入力・概要'!$B$40-1)/(LOG10('入力・概要'!$B$39)-LOG10('入力・概要'!$B$38)),0)+3)</f>
        <v/>
      </c>
      <c r="L44" s="202">
        <f>IF(K44="","",INDEX('差動モデル'!$B:$B,K44))</f>
        <v/>
      </c>
      <c r="M44" s="202">
        <f>IF(A44="","",IF(ABS(L44/A44-1)&lt;0.01,"周波数差&lt;1%","周波数差あり"))</f>
        <v/>
      </c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</row>
    <row r="45">
      <c r="A45" s="214" t="n"/>
      <c r="B45" s="215" t="n"/>
      <c r="C45" s="215" t="n"/>
      <c r="D45" s="212">
        <f>IF(K45="","",INDEX('差動モデル'!$R:$R,K45))</f>
        <v/>
      </c>
      <c r="E45" s="212">
        <f>IF(K45="","",INDEX('差動モデル'!$S:$S,K45))</f>
        <v/>
      </c>
      <c r="F45" s="212">
        <f>IF(OR(A45="",B45=""),"",100*(D45-B45)/MAX(B45,1E-12))</f>
        <v/>
      </c>
      <c r="G45" s="212">
        <f>IF(OR(A45="",C45=""),"",E45-C45)</f>
        <v/>
      </c>
      <c r="H45" s="212">
        <f>IF(A45="","",LOG10(A45))</f>
        <v/>
      </c>
      <c r="I45" s="212">
        <f>IF(B45="","",LOG10(MAX(B45,1E-12)))</f>
        <v/>
      </c>
      <c r="J45" s="212">
        <f>IF(D45="","",LOG10(MAX(D45,1E-12)))</f>
        <v/>
      </c>
      <c r="K45" s="202">
        <f>IF(A45="","",ROUND(1+(LOG10(A45)-LOG10('入力・概要'!$B$38))*('入力・概要'!$B$40-1)/(LOG10('入力・概要'!$B$39)-LOG10('入力・概要'!$B$38)),0)+3)</f>
        <v/>
      </c>
      <c r="L45" s="202">
        <f>IF(K45="","",INDEX('差動モデル'!$B:$B,K45))</f>
        <v/>
      </c>
      <c r="M45" s="202">
        <f>IF(A45="","",IF(ABS(L45/A45-1)&lt;0.01,"周波数差&lt;1%","周波数差あり"))</f>
        <v/>
      </c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</row>
    <row r="46">
      <c r="A46" s="214" t="n"/>
      <c r="B46" s="215" t="n"/>
      <c r="C46" s="215" t="n"/>
      <c r="D46" s="212">
        <f>IF(K46="","",INDEX('差動モデル'!$R:$R,K46))</f>
        <v/>
      </c>
      <c r="E46" s="212">
        <f>IF(K46="","",INDEX('差動モデル'!$S:$S,K46))</f>
        <v/>
      </c>
      <c r="F46" s="212">
        <f>IF(OR(A46="",B46=""),"",100*(D46-B46)/MAX(B46,1E-12))</f>
        <v/>
      </c>
      <c r="G46" s="212">
        <f>IF(OR(A46="",C46=""),"",E46-C46)</f>
        <v/>
      </c>
      <c r="H46" s="212">
        <f>IF(A46="","",LOG10(A46))</f>
        <v/>
      </c>
      <c r="I46" s="212">
        <f>IF(B46="","",LOG10(MAX(B46,1E-12)))</f>
        <v/>
      </c>
      <c r="J46" s="212">
        <f>IF(D46="","",LOG10(MAX(D46,1E-12)))</f>
        <v/>
      </c>
      <c r="K46" s="202">
        <f>IF(A46="","",ROUND(1+(LOG10(A46)-LOG10('入力・概要'!$B$38))*('入力・概要'!$B$40-1)/(LOG10('入力・概要'!$B$39)-LOG10('入力・概要'!$B$38)),0)+3)</f>
        <v/>
      </c>
      <c r="L46" s="202">
        <f>IF(K46="","",INDEX('差動モデル'!$B:$B,K46))</f>
        <v/>
      </c>
      <c r="M46" s="202">
        <f>IF(A46="","",IF(ABS(L46/A46-1)&lt;0.01,"周波数差&lt;1%","周波数差あり"))</f>
        <v/>
      </c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</row>
    <row r="47">
      <c r="A47" s="214" t="n"/>
      <c r="B47" s="215" t="n"/>
      <c r="C47" s="215" t="n"/>
      <c r="D47" s="212">
        <f>IF(K47="","",INDEX('差動モデル'!$R:$R,K47))</f>
        <v/>
      </c>
      <c r="E47" s="212">
        <f>IF(K47="","",INDEX('差動モデル'!$S:$S,K47))</f>
        <v/>
      </c>
      <c r="F47" s="212">
        <f>IF(OR(A47="",B47=""),"",100*(D47-B47)/MAX(B47,1E-12))</f>
        <v/>
      </c>
      <c r="G47" s="212">
        <f>IF(OR(A47="",C47=""),"",E47-C47)</f>
        <v/>
      </c>
      <c r="H47" s="212">
        <f>IF(A47="","",LOG10(A47))</f>
        <v/>
      </c>
      <c r="I47" s="212">
        <f>IF(B47="","",LOG10(MAX(B47,1E-12)))</f>
        <v/>
      </c>
      <c r="J47" s="212">
        <f>IF(D47="","",LOG10(MAX(D47,1E-12)))</f>
        <v/>
      </c>
      <c r="K47" s="202">
        <f>IF(A47="","",ROUND(1+(LOG10(A47)-LOG10('入力・概要'!$B$38))*('入力・概要'!$B$40-1)/(LOG10('入力・概要'!$B$39)-LOG10('入力・概要'!$B$38)),0)+3)</f>
        <v/>
      </c>
      <c r="L47" s="202">
        <f>IF(K47="","",INDEX('差動モデル'!$B:$B,K47))</f>
        <v/>
      </c>
      <c r="M47" s="202">
        <f>IF(A47="","",IF(ABS(L47/A47-1)&lt;0.01,"周波数差&lt;1%","周波数差あり"))</f>
        <v/>
      </c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</row>
    <row r="48">
      <c r="A48" s="214" t="n"/>
      <c r="B48" s="215" t="n"/>
      <c r="C48" s="215" t="n"/>
      <c r="D48" s="212">
        <f>IF(K48="","",INDEX('差動モデル'!$R:$R,K48))</f>
        <v/>
      </c>
      <c r="E48" s="212">
        <f>IF(K48="","",INDEX('差動モデル'!$S:$S,K48))</f>
        <v/>
      </c>
      <c r="F48" s="212">
        <f>IF(OR(A48="",B48=""),"",100*(D48-B48)/MAX(B48,1E-12))</f>
        <v/>
      </c>
      <c r="G48" s="212">
        <f>IF(OR(A48="",C48=""),"",E48-C48)</f>
        <v/>
      </c>
      <c r="H48" s="212">
        <f>IF(A48="","",LOG10(A48))</f>
        <v/>
      </c>
      <c r="I48" s="212">
        <f>IF(B48="","",LOG10(MAX(B48,1E-12)))</f>
        <v/>
      </c>
      <c r="J48" s="212">
        <f>IF(D48="","",LOG10(MAX(D48,1E-12)))</f>
        <v/>
      </c>
      <c r="K48" s="202">
        <f>IF(A48="","",ROUND(1+(LOG10(A48)-LOG10('入力・概要'!$B$38))*('入力・概要'!$B$40-1)/(LOG10('入力・概要'!$B$39)-LOG10('入力・概要'!$B$38)),0)+3)</f>
        <v/>
      </c>
      <c r="L48" s="202">
        <f>IF(K48="","",INDEX('差動モデル'!$B:$B,K48))</f>
        <v/>
      </c>
      <c r="M48" s="202">
        <f>IF(A48="","",IF(ABS(L48/A48-1)&lt;0.01,"周波数差&lt;1%","周波数差あり"))</f>
        <v/>
      </c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</row>
    <row r="49">
      <c r="A49" s="214" t="n"/>
      <c r="B49" s="215" t="n"/>
      <c r="C49" s="215" t="n"/>
      <c r="D49" s="212">
        <f>IF(K49="","",INDEX('差動モデル'!$R:$R,K49))</f>
        <v/>
      </c>
      <c r="E49" s="212">
        <f>IF(K49="","",INDEX('差動モデル'!$S:$S,K49))</f>
        <v/>
      </c>
      <c r="F49" s="212">
        <f>IF(OR(A49="",B49=""),"",100*(D49-B49)/MAX(B49,1E-12))</f>
        <v/>
      </c>
      <c r="G49" s="212">
        <f>IF(OR(A49="",C49=""),"",E49-C49)</f>
        <v/>
      </c>
      <c r="H49" s="212">
        <f>IF(A49="","",LOG10(A49))</f>
        <v/>
      </c>
      <c r="I49" s="212">
        <f>IF(B49="","",LOG10(MAX(B49,1E-12)))</f>
        <v/>
      </c>
      <c r="J49" s="212">
        <f>IF(D49="","",LOG10(MAX(D49,1E-12)))</f>
        <v/>
      </c>
      <c r="K49" s="202">
        <f>IF(A49="","",ROUND(1+(LOG10(A49)-LOG10('入力・概要'!$B$38))*('入力・概要'!$B$40-1)/(LOG10('入力・概要'!$B$39)-LOG10('入力・概要'!$B$38)),0)+3)</f>
        <v/>
      </c>
      <c r="L49" s="202">
        <f>IF(K49="","",INDEX('差動モデル'!$B:$B,K49))</f>
        <v/>
      </c>
      <c r="M49" s="202">
        <f>IF(A49="","",IF(ABS(L49/A49-1)&lt;0.01,"周波数差&lt;1%","周波数差あり"))</f>
        <v/>
      </c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</row>
    <row r="50">
      <c r="A50" s="214" t="n"/>
      <c r="B50" s="215" t="n"/>
      <c r="C50" s="215" t="n"/>
      <c r="D50" s="212">
        <f>IF(K50="","",INDEX('差動モデル'!$R:$R,K50))</f>
        <v/>
      </c>
      <c r="E50" s="212">
        <f>IF(K50="","",INDEX('差動モデル'!$S:$S,K50))</f>
        <v/>
      </c>
      <c r="F50" s="212">
        <f>IF(OR(A50="",B50=""),"",100*(D50-B50)/MAX(B50,1E-12))</f>
        <v/>
      </c>
      <c r="G50" s="212">
        <f>IF(OR(A50="",C50=""),"",E50-C50)</f>
        <v/>
      </c>
      <c r="H50" s="212">
        <f>IF(A50="","",LOG10(A50))</f>
        <v/>
      </c>
      <c r="I50" s="212">
        <f>IF(B50="","",LOG10(MAX(B50,1E-12)))</f>
        <v/>
      </c>
      <c r="J50" s="212">
        <f>IF(D50="","",LOG10(MAX(D50,1E-12)))</f>
        <v/>
      </c>
      <c r="K50" s="202">
        <f>IF(A50="","",ROUND(1+(LOG10(A50)-LOG10('入力・概要'!$B$38))*('入力・概要'!$B$40-1)/(LOG10('入力・概要'!$B$39)-LOG10('入力・概要'!$B$38)),0)+3)</f>
        <v/>
      </c>
      <c r="L50" s="202">
        <f>IF(K50="","",INDEX('差動モデル'!$B:$B,K50))</f>
        <v/>
      </c>
      <c r="M50" s="202">
        <f>IF(A50="","",IF(ABS(L50/A50-1)&lt;0.01,"周波数差&lt;1%","周波数差あり"))</f>
        <v/>
      </c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</row>
    <row r="51">
      <c r="A51" s="214" t="n"/>
      <c r="B51" s="215" t="n"/>
      <c r="C51" s="215" t="n"/>
      <c r="D51" s="212">
        <f>IF(K51="","",INDEX('差動モデル'!$R:$R,K51))</f>
        <v/>
      </c>
      <c r="E51" s="212">
        <f>IF(K51="","",INDEX('差動モデル'!$S:$S,K51))</f>
        <v/>
      </c>
      <c r="F51" s="212">
        <f>IF(OR(A51="",B51=""),"",100*(D51-B51)/MAX(B51,1E-12))</f>
        <v/>
      </c>
      <c r="G51" s="212">
        <f>IF(OR(A51="",C51=""),"",E51-C51)</f>
        <v/>
      </c>
      <c r="H51" s="212">
        <f>IF(A51="","",LOG10(A51))</f>
        <v/>
      </c>
      <c r="I51" s="212">
        <f>IF(B51="","",LOG10(MAX(B51,1E-12)))</f>
        <v/>
      </c>
      <c r="J51" s="212">
        <f>IF(D51="","",LOG10(MAX(D51,1E-12)))</f>
        <v/>
      </c>
      <c r="K51" s="202">
        <f>IF(A51="","",ROUND(1+(LOG10(A51)-LOG10('入力・概要'!$B$38))*('入力・概要'!$B$40-1)/(LOG10('入力・概要'!$B$39)-LOG10('入力・概要'!$B$38)),0)+3)</f>
        <v/>
      </c>
      <c r="L51" s="202">
        <f>IF(K51="","",INDEX('差動モデル'!$B:$B,K51))</f>
        <v/>
      </c>
      <c r="M51" s="202">
        <f>IF(A51="","",IF(ABS(L51/A51-1)&lt;0.01,"周波数差&lt;1%","周波数差あり"))</f>
        <v/>
      </c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</row>
    <row r="52">
      <c r="A52" s="214" t="n"/>
      <c r="B52" s="215" t="n"/>
      <c r="C52" s="215" t="n"/>
      <c r="D52" s="212">
        <f>IF(K52="","",INDEX('差動モデル'!$R:$R,K52))</f>
        <v/>
      </c>
      <c r="E52" s="212">
        <f>IF(K52="","",INDEX('差動モデル'!$S:$S,K52))</f>
        <v/>
      </c>
      <c r="F52" s="212">
        <f>IF(OR(A52="",B52=""),"",100*(D52-B52)/MAX(B52,1E-12))</f>
        <v/>
      </c>
      <c r="G52" s="212">
        <f>IF(OR(A52="",C52=""),"",E52-C52)</f>
        <v/>
      </c>
      <c r="H52" s="212">
        <f>IF(A52="","",LOG10(A52))</f>
        <v/>
      </c>
      <c r="I52" s="212">
        <f>IF(B52="","",LOG10(MAX(B52,1E-12)))</f>
        <v/>
      </c>
      <c r="J52" s="212">
        <f>IF(D52="","",LOG10(MAX(D52,1E-12)))</f>
        <v/>
      </c>
      <c r="K52" s="202">
        <f>IF(A52="","",ROUND(1+(LOG10(A52)-LOG10('入力・概要'!$B$38))*('入力・概要'!$B$40-1)/(LOG10('入力・概要'!$B$39)-LOG10('入力・概要'!$B$38)),0)+3)</f>
        <v/>
      </c>
      <c r="L52" s="202">
        <f>IF(K52="","",INDEX('差動モデル'!$B:$B,K52))</f>
        <v/>
      </c>
      <c r="M52" s="202">
        <f>IF(A52="","",IF(ABS(L52/A52-1)&lt;0.01,"周波数差&lt;1%","周波数差あり"))</f>
        <v/>
      </c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</row>
    <row r="53">
      <c r="A53" s="214" t="n"/>
      <c r="B53" s="215" t="n"/>
      <c r="C53" s="215" t="n"/>
      <c r="D53" s="212">
        <f>IF(K53="","",INDEX('差動モデル'!$R:$R,K53))</f>
        <v/>
      </c>
      <c r="E53" s="212">
        <f>IF(K53="","",INDEX('差動モデル'!$S:$S,K53))</f>
        <v/>
      </c>
      <c r="F53" s="212">
        <f>IF(OR(A53="",B53=""),"",100*(D53-B53)/MAX(B53,1E-12))</f>
        <v/>
      </c>
      <c r="G53" s="212">
        <f>IF(OR(A53="",C53=""),"",E53-C53)</f>
        <v/>
      </c>
      <c r="H53" s="212">
        <f>IF(A53="","",LOG10(A53))</f>
        <v/>
      </c>
      <c r="I53" s="212">
        <f>IF(B53="","",LOG10(MAX(B53,1E-12)))</f>
        <v/>
      </c>
      <c r="J53" s="212">
        <f>IF(D53="","",LOG10(MAX(D53,1E-12)))</f>
        <v/>
      </c>
      <c r="K53" s="202">
        <f>IF(A53="","",ROUND(1+(LOG10(A53)-LOG10('入力・概要'!$B$38))*('入力・概要'!$B$40-1)/(LOG10('入力・概要'!$B$39)-LOG10('入力・概要'!$B$38)),0)+3)</f>
        <v/>
      </c>
      <c r="L53" s="202">
        <f>IF(K53="","",INDEX('差動モデル'!$B:$B,K53))</f>
        <v/>
      </c>
      <c r="M53" s="202">
        <f>IF(A53="","",IF(ABS(L53/A53-1)&lt;0.01,"周波数差&lt;1%","周波数差あり"))</f>
        <v/>
      </c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</row>
    <row r="54">
      <c r="A54" s="214" t="n"/>
      <c r="B54" s="215" t="n"/>
      <c r="C54" s="215" t="n"/>
      <c r="D54" s="212">
        <f>IF(K54="","",INDEX('差動モデル'!$R:$R,K54))</f>
        <v/>
      </c>
      <c r="E54" s="212">
        <f>IF(K54="","",INDEX('差動モデル'!$S:$S,K54))</f>
        <v/>
      </c>
      <c r="F54" s="212">
        <f>IF(OR(A54="",B54=""),"",100*(D54-B54)/MAX(B54,1E-12))</f>
        <v/>
      </c>
      <c r="G54" s="212">
        <f>IF(OR(A54="",C54=""),"",E54-C54)</f>
        <v/>
      </c>
      <c r="H54" s="212">
        <f>IF(A54="","",LOG10(A54))</f>
        <v/>
      </c>
      <c r="I54" s="212">
        <f>IF(B54="","",LOG10(MAX(B54,1E-12)))</f>
        <v/>
      </c>
      <c r="J54" s="212">
        <f>IF(D54="","",LOG10(MAX(D54,1E-12)))</f>
        <v/>
      </c>
      <c r="K54" s="202">
        <f>IF(A54="","",ROUND(1+(LOG10(A54)-LOG10('入力・概要'!$B$38))*('入力・概要'!$B$40-1)/(LOG10('入力・概要'!$B$39)-LOG10('入力・概要'!$B$38)),0)+3)</f>
        <v/>
      </c>
      <c r="L54" s="202">
        <f>IF(K54="","",INDEX('差動モデル'!$B:$B,K54))</f>
        <v/>
      </c>
      <c r="M54" s="202">
        <f>IF(A54="","",IF(ABS(L54/A54-1)&lt;0.01,"周波数差&lt;1%","周波数差あり"))</f>
        <v/>
      </c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</row>
    <row r="55">
      <c r="A55" s="214" t="n"/>
      <c r="B55" s="215" t="n"/>
      <c r="C55" s="215" t="n"/>
      <c r="D55" s="212">
        <f>IF(K55="","",INDEX('差動モデル'!$R:$R,K55))</f>
        <v/>
      </c>
      <c r="E55" s="212">
        <f>IF(K55="","",INDEX('差動モデル'!$S:$S,K55))</f>
        <v/>
      </c>
      <c r="F55" s="212">
        <f>IF(OR(A55="",B55=""),"",100*(D55-B55)/MAX(B55,1E-12))</f>
        <v/>
      </c>
      <c r="G55" s="212">
        <f>IF(OR(A55="",C55=""),"",E55-C55)</f>
        <v/>
      </c>
      <c r="H55" s="212">
        <f>IF(A55="","",LOG10(A55))</f>
        <v/>
      </c>
      <c r="I55" s="212">
        <f>IF(B55="","",LOG10(MAX(B55,1E-12)))</f>
        <v/>
      </c>
      <c r="J55" s="212">
        <f>IF(D55="","",LOG10(MAX(D55,1E-12)))</f>
        <v/>
      </c>
      <c r="K55" s="202">
        <f>IF(A55="","",ROUND(1+(LOG10(A55)-LOG10('入力・概要'!$B$38))*('入力・概要'!$B$40-1)/(LOG10('入力・概要'!$B$39)-LOG10('入力・概要'!$B$38)),0)+3)</f>
        <v/>
      </c>
      <c r="L55" s="202">
        <f>IF(K55="","",INDEX('差動モデル'!$B:$B,K55))</f>
        <v/>
      </c>
      <c r="M55" s="202">
        <f>IF(A55="","",IF(ABS(L55/A55-1)&lt;0.01,"周波数差&lt;1%","周波数差あり"))</f>
        <v/>
      </c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</row>
    <row r="56">
      <c r="A56" s="214" t="n"/>
      <c r="B56" s="215" t="n"/>
      <c r="C56" s="215" t="n"/>
      <c r="D56" s="212">
        <f>IF(K56="","",INDEX('差動モデル'!$R:$R,K56))</f>
        <v/>
      </c>
      <c r="E56" s="212">
        <f>IF(K56="","",INDEX('差動モデル'!$S:$S,K56))</f>
        <v/>
      </c>
      <c r="F56" s="212">
        <f>IF(OR(A56="",B56=""),"",100*(D56-B56)/MAX(B56,1E-12))</f>
        <v/>
      </c>
      <c r="G56" s="212">
        <f>IF(OR(A56="",C56=""),"",E56-C56)</f>
        <v/>
      </c>
      <c r="H56" s="212">
        <f>IF(A56="","",LOG10(A56))</f>
        <v/>
      </c>
      <c r="I56" s="212">
        <f>IF(B56="","",LOG10(MAX(B56,1E-12)))</f>
        <v/>
      </c>
      <c r="J56" s="212">
        <f>IF(D56="","",LOG10(MAX(D56,1E-12)))</f>
        <v/>
      </c>
      <c r="K56" s="202">
        <f>IF(A56="","",ROUND(1+(LOG10(A56)-LOG10('入力・概要'!$B$38))*('入力・概要'!$B$40-1)/(LOG10('入力・概要'!$B$39)-LOG10('入力・概要'!$B$38)),0)+3)</f>
        <v/>
      </c>
      <c r="L56" s="202">
        <f>IF(K56="","",INDEX('差動モデル'!$B:$B,K56))</f>
        <v/>
      </c>
      <c r="M56" s="202">
        <f>IF(A56="","",IF(ABS(L56/A56-1)&lt;0.01,"周波数差&lt;1%","周波数差あり"))</f>
        <v/>
      </c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</row>
    <row r="57">
      <c r="A57" s="214" t="n"/>
      <c r="B57" s="215" t="n"/>
      <c r="C57" s="215" t="n"/>
      <c r="D57" s="212">
        <f>IF(K57="","",INDEX('差動モデル'!$R:$R,K57))</f>
        <v/>
      </c>
      <c r="E57" s="212">
        <f>IF(K57="","",INDEX('差動モデル'!$S:$S,K57))</f>
        <v/>
      </c>
      <c r="F57" s="212">
        <f>IF(OR(A57="",B57=""),"",100*(D57-B57)/MAX(B57,1E-12))</f>
        <v/>
      </c>
      <c r="G57" s="212">
        <f>IF(OR(A57="",C57=""),"",E57-C57)</f>
        <v/>
      </c>
      <c r="H57" s="212">
        <f>IF(A57="","",LOG10(A57))</f>
        <v/>
      </c>
      <c r="I57" s="212">
        <f>IF(B57="","",LOG10(MAX(B57,1E-12)))</f>
        <v/>
      </c>
      <c r="J57" s="212">
        <f>IF(D57="","",LOG10(MAX(D57,1E-12)))</f>
        <v/>
      </c>
      <c r="K57" s="202">
        <f>IF(A57="","",ROUND(1+(LOG10(A57)-LOG10('入力・概要'!$B$38))*('入力・概要'!$B$40-1)/(LOG10('入力・概要'!$B$39)-LOG10('入力・概要'!$B$38)),0)+3)</f>
        <v/>
      </c>
      <c r="L57" s="202">
        <f>IF(K57="","",INDEX('差動モデル'!$B:$B,K57))</f>
        <v/>
      </c>
      <c r="M57" s="202">
        <f>IF(A57="","",IF(ABS(L57/A57-1)&lt;0.01,"周波数差&lt;1%","周波数差あり"))</f>
        <v/>
      </c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</row>
    <row r="58">
      <c r="A58" s="214" t="n"/>
      <c r="B58" s="215" t="n"/>
      <c r="C58" s="215" t="n"/>
      <c r="D58" s="212">
        <f>IF(K58="","",INDEX('差動モデル'!$R:$R,K58))</f>
        <v/>
      </c>
      <c r="E58" s="212">
        <f>IF(K58="","",INDEX('差動モデル'!$S:$S,K58))</f>
        <v/>
      </c>
      <c r="F58" s="212">
        <f>IF(OR(A58="",B58=""),"",100*(D58-B58)/MAX(B58,1E-12))</f>
        <v/>
      </c>
      <c r="G58" s="212">
        <f>IF(OR(A58="",C58=""),"",E58-C58)</f>
        <v/>
      </c>
      <c r="H58" s="212">
        <f>IF(A58="","",LOG10(A58))</f>
        <v/>
      </c>
      <c r="I58" s="212">
        <f>IF(B58="","",LOG10(MAX(B58,1E-12)))</f>
        <v/>
      </c>
      <c r="J58" s="212">
        <f>IF(D58="","",LOG10(MAX(D58,1E-12)))</f>
        <v/>
      </c>
      <c r="K58" s="202">
        <f>IF(A58="","",ROUND(1+(LOG10(A58)-LOG10('入力・概要'!$B$38))*('入力・概要'!$B$40-1)/(LOG10('入力・概要'!$B$39)-LOG10('入力・概要'!$B$38)),0)+3)</f>
        <v/>
      </c>
      <c r="L58" s="202">
        <f>IF(K58="","",INDEX('差動モデル'!$B:$B,K58))</f>
        <v/>
      </c>
      <c r="M58" s="202">
        <f>IF(A58="","",IF(ABS(L58/A58-1)&lt;0.01,"周波数差&lt;1%","周波数差あり"))</f>
        <v/>
      </c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</row>
    <row r="59">
      <c r="A59" s="214" t="n"/>
      <c r="B59" s="215" t="n"/>
      <c r="C59" s="215" t="n"/>
      <c r="D59" s="212">
        <f>IF(K59="","",INDEX('差動モデル'!$R:$R,K59))</f>
        <v/>
      </c>
      <c r="E59" s="212">
        <f>IF(K59="","",INDEX('差動モデル'!$S:$S,K59))</f>
        <v/>
      </c>
      <c r="F59" s="212">
        <f>IF(OR(A59="",B59=""),"",100*(D59-B59)/MAX(B59,1E-12))</f>
        <v/>
      </c>
      <c r="G59" s="212">
        <f>IF(OR(A59="",C59=""),"",E59-C59)</f>
        <v/>
      </c>
      <c r="H59" s="212">
        <f>IF(A59="","",LOG10(A59))</f>
        <v/>
      </c>
      <c r="I59" s="212">
        <f>IF(B59="","",LOG10(MAX(B59,1E-12)))</f>
        <v/>
      </c>
      <c r="J59" s="212">
        <f>IF(D59="","",LOG10(MAX(D59,1E-12)))</f>
        <v/>
      </c>
      <c r="K59" s="202">
        <f>IF(A59="","",ROUND(1+(LOG10(A59)-LOG10('入力・概要'!$B$38))*('入力・概要'!$B$40-1)/(LOG10('入力・概要'!$B$39)-LOG10('入力・概要'!$B$38)),0)+3)</f>
        <v/>
      </c>
      <c r="L59" s="202">
        <f>IF(K59="","",INDEX('差動モデル'!$B:$B,K59))</f>
        <v/>
      </c>
      <c r="M59" s="202">
        <f>IF(A59="","",IF(ABS(L59/A59-1)&lt;0.01,"周波数差&lt;1%","周波数差あり"))</f>
        <v/>
      </c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</row>
    <row r="60">
      <c r="A60" s="214" t="n"/>
      <c r="B60" s="215" t="n"/>
      <c r="C60" s="215" t="n"/>
      <c r="D60" s="212">
        <f>IF(K60="","",INDEX('差動モデル'!$R:$R,K60))</f>
        <v/>
      </c>
      <c r="E60" s="212">
        <f>IF(K60="","",INDEX('差動モデル'!$S:$S,K60))</f>
        <v/>
      </c>
      <c r="F60" s="212">
        <f>IF(OR(A60="",B60=""),"",100*(D60-B60)/MAX(B60,1E-12))</f>
        <v/>
      </c>
      <c r="G60" s="212">
        <f>IF(OR(A60="",C60=""),"",E60-C60)</f>
        <v/>
      </c>
      <c r="H60" s="212">
        <f>IF(A60="","",LOG10(A60))</f>
        <v/>
      </c>
      <c r="I60" s="212">
        <f>IF(B60="","",LOG10(MAX(B60,1E-12)))</f>
        <v/>
      </c>
      <c r="J60" s="212">
        <f>IF(D60="","",LOG10(MAX(D60,1E-12)))</f>
        <v/>
      </c>
      <c r="K60" s="202">
        <f>IF(A60="","",ROUND(1+(LOG10(A60)-LOG10('入力・概要'!$B$38))*('入力・概要'!$B$40-1)/(LOG10('入力・概要'!$B$39)-LOG10('入力・概要'!$B$38)),0)+3)</f>
        <v/>
      </c>
      <c r="L60" s="202">
        <f>IF(K60="","",INDEX('差動モデル'!$B:$B,K60))</f>
        <v/>
      </c>
      <c r="M60" s="202">
        <f>IF(A60="","",IF(ABS(L60/A60-1)&lt;0.01,"周波数差&lt;1%","周波数差あり"))</f>
        <v/>
      </c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</row>
    <row r="61">
      <c r="A61" s="197" t="n"/>
      <c r="B61" s="198" t="n"/>
      <c r="C61" s="198" t="n"/>
      <c r="D61" s="195">
        <f>IF(K61="","",INDEX('差動モデル'!$R:$R,K61))</f>
        <v/>
      </c>
      <c r="E61" s="195">
        <f>IF(K61="","",INDEX('差動モデル'!$S:$S,K61))</f>
        <v/>
      </c>
      <c r="F61" s="195">
        <f>IF(OR(A61="",B61=""),"",100*(D61-B61)/MAX(B61,1E-12))</f>
        <v/>
      </c>
      <c r="G61" s="195">
        <f>IF(OR(A61="",C61=""),"",E61-C61)</f>
        <v/>
      </c>
      <c r="H61" s="195">
        <f>IF(A61="","",LOG10(A61))</f>
        <v/>
      </c>
      <c r="I61" s="195">
        <f>IF(B61="","",LOG10(MAX(B61,1E-12)))</f>
        <v/>
      </c>
      <c r="J61" s="195">
        <f>IF(D61="","",LOG10(MAX(D61,1E-12)))</f>
        <v/>
      </c>
      <c r="K61">
        <f>IF(A61="","",ROUND(1+(LOG10(A61)-LOG10('入力・概要'!$B$38))*('入力・概要'!$B$40-1)/(LOG10('入力・概要'!$B$39)-LOG10('入力・概要'!$B$38)),0)+3)</f>
        <v/>
      </c>
      <c r="L61">
        <f>IF(K61="","",INDEX('差動モデル'!$B:$B,K61))</f>
        <v/>
      </c>
      <c r="M61">
        <f>IF(A61="","",IF(ABS(L61/A61-1)&lt;0.01,"周波数差&lt;1%","周波数差あり"))</f>
        <v/>
      </c>
    </row>
    <row r="62">
      <c r="A62" s="197" t="n"/>
      <c r="B62" s="198" t="n"/>
      <c r="C62" s="198" t="n"/>
      <c r="D62" s="195">
        <f>IF(K62="","",INDEX('差動モデル'!$R:$R,K62))</f>
        <v/>
      </c>
      <c r="E62" s="195">
        <f>IF(K62="","",INDEX('差動モデル'!$S:$S,K62))</f>
        <v/>
      </c>
      <c r="F62" s="195">
        <f>IF(OR(A62="",B62=""),"",100*(D62-B62)/MAX(B62,1E-12))</f>
        <v/>
      </c>
      <c r="G62" s="195">
        <f>IF(OR(A62="",C62=""),"",E62-C62)</f>
        <v/>
      </c>
      <c r="H62" s="195">
        <f>IF(A62="","",LOG10(A62))</f>
        <v/>
      </c>
      <c r="I62" s="195">
        <f>IF(B62="","",LOG10(MAX(B62,1E-12)))</f>
        <v/>
      </c>
      <c r="J62" s="195">
        <f>IF(D62="","",LOG10(MAX(D62,1E-12)))</f>
        <v/>
      </c>
      <c r="K62">
        <f>IF(A62="","",ROUND(1+(LOG10(A62)-LOG10('入力・概要'!$B$38))*('入力・概要'!$B$40-1)/(LOG10('入力・概要'!$B$39)-LOG10('入力・概要'!$B$38)),0)+3)</f>
        <v/>
      </c>
      <c r="L62">
        <f>IF(K62="","",INDEX('差動モデル'!$B:$B,K62))</f>
        <v/>
      </c>
      <c r="M62">
        <f>IF(A62="","",IF(ABS(L62/A62-1)&lt;0.01,"周波数差&lt;1%","周波数差あり"))</f>
        <v/>
      </c>
    </row>
    <row r="63">
      <c r="A63" s="197" t="n"/>
      <c r="B63" s="198" t="n"/>
      <c r="C63" s="198" t="n"/>
      <c r="D63" s="195">
        <f>IF(K63="","",INDEX('差動モデル'!$R:$R,K63))</f>
        <v/>
      </c>
      <c r="E63" s="195">
        <f>IF(K63="","",INDEX('差動モデル'!$S:$S,K63))</f>
        <v/>
      </c>
      <c r="F63" s="195">
        <f>IF(OR(A63="",B63=""),"",100*(D63-B63)/MAX(B63,1E-12))</f>
        <v/>
      </c>
      <c r="G63" s="195">
        <f>IF(OR(A63="",C63=""),"",E63-C63)</f>
        <v/>
      </c>
      <c r="H63" s="195">
        <f>IF(A63="","",LOG10(A63))</f>
        <v/>
      </c>
      <c r="I63" s="195">
        <f>IF(B63="","",LOG10(MAX(B63,1E-12)))</f>
        <v/>
      </c>
      <c r="J63" s="195">
        <f>IF(D63="","",LOG10(MAX(D63,1E-12)))</f>
        <v/>
      </c>
      <c r="K63">
        <f>IF(A63="","",ROUND(1+(LOG10(A63)-LOG10('入力・概要'!$B$38))*('入力・概要'!$B$40-1)/(LOG10('入力・概要'!$B$39)-LOG10('入力・概要'!$B$38)),0)+3)</f>
        <v/>
      </c>
      <c r="L63">
        <f>IF(K63="","",INDEX('差動モデル'!$B:$B,K63))</f>
        <v/>
      </c>
      <c r="M63">
        <f>IF(A63="","",IF(ABS(L63/A63-1)&lt;0.01,"周波数差&lt;1%","周波数差あり"))</f>
        <v/>
      </c>
    </row>
    <row r="64">
      <c r="A64" s="197" t="n"/>
      <c r="B64" s="198" t="n"/>
      <c r="C64" s="198" t="n"/>
      <c r="D64" s="195">
        <f>IF(K64="","",INDEX('差動モデル'!$R:$R,K64))</f>
        <v/>
      </c>
      <c r="E64" s="195">
        <f>IF(K64="","",INDEX('差動モデル'!$S:$S,K64))</f>
        <v/>
      </c>
      <c r="F64" s="195">
        <f>IF(OR(A64="",B64=""),"",100*(D64-B64)/MAX(B64,1E-12))</f>
        <v/>
      </c>
      <c r="G64" s="195">
        <f>IF(OR(A64="",C64=""),"",E64-C64)</f>
        <v/>
      </c>
      <c r="H64" s="195">
        <f>IF(A64="","",LOG10(A64))</f>
        <v/>
      </c>
      <c r="I64" s="195">
        <f>IF(B64="","",LOG10(MAX(B64,1E-12)))</f>
        <v/>
      </c>
      <c r="J64" s="195">
        <f>IF(D64="","",LOG10(MAX(D64,1E-12)))</f>
        <v/>
      </c>
      <c r="K64">
        <f>IF(A64="","",ROUND(1+(LOG10(A64)-LOG10('入力・概要'!$B$38))*('入力・概要'!$B$40-1)/(LOG10('入力・概要'!$B$39)-LOG10('入力・概要'!$B$38)),0)+3)</f>
        <v/>
      </c>
      <c r="L64">
        <f>IF(K64="","",INDEX('差動モデル'!$B:$B,K64))</f>
        <v/>
      </c>
      <c r="M64">
        <f>IF(A64="","",IF(ABS(L64/A64-1)&lt;0.01,"周波数差&lt;1%","周波数差あり"))</f>
        <v/>
      </c>
    </row>
    <row r="65">
      <c r="A65" s="197" t="n"/>
      <c r="B65" s="198" t="n"/>
      <c r="C65" s="198" t="n"/>
      <c r="D65" s="195">
        <f>IF(K65="","",INDEX('差動モデル'!$R:$R,K65))</f>
        <v/>
      </c>
      <c r="E65" s="195">
        <f>IF(K65="","",INDEX('差動モデル'!$S:$S,K65))</f>
        <v/>
      </c>
      <c r="F65" s="195">
        <f>IF(OR(A65="",B65=""),"",100*(D65-B65)/MAX(B65,1E-12))</f>
        <v/>
      </c>
      <c r="G65" s="195">
        <f>IF(OR(A65="",C65=""),"",E65-C65)</f>
        <v/>
      </c>
      <c r="H65" s="195">
        <f>IF(A65="","",LOG10(A65))</f>
        <v/>
      </c>
      <c r="I65" s="195">
        <f>IF(B65="","",LOG10(MAX(B65,1E-12)))</f>
        <v/>
      </c>
      <c r="J65" s="195">
        <f>IF(D65="","",LOG10(MAX(D65,1E-12)))</f>
        <v/>
      </c>
      <c r="K65">
        <f>IF(A65="","",ROUND(1+(LOG10(A65)-LOG10('入力・概要'!$B$38))*('入力・概要'!$B$40-1)/(LOG10('入力・概要'!$B$39)-LOG10('入力・概要'!$B$38)),0)+3)</f>
        <v/>
      </c>
      <c r="L65">
        <f>IF(K65="","",INDEX('差動モデル'!$B:$B,K65))</f>
        <v/>
      </c>
      <c r="M65">
        <f>IF(A65="","",IF(ABS(L65/A65-1)&lt;0.01,"周波数差&lt;1%","周波数差あり"))</f>
        <v/>
      </c>
    </row>
    <row r="66">
      <c r="A66" s="197" t="n"/>
      <c r="B66" s="198" t="n"/>
      <c r="C66" s="198" t="n"/>
      <c r="D66" s="195">
        <f>IF(K66="","",INDEX('差動モデル'!$R:$R,K66))</f>
        <v/>
      </c>
      <c r="E66" s="195">
        <f>IF(K66="","",INDEX('差動モデル'!$S:$S,K66))</f>
        <v/>
      </c>
      <c r="F66" s="195">
        <f>IF(OR(A66="",B66=""),"",100*(D66-B66)/MAX(B66,1E-12))</f>
        <v/>
      </c>
      <c r="G66" s="195">
        <f>IF(OR(A66="",C66=""),"",E66-C66)</f>
        <v/>
      </c>
      <c r="H66" s="195">
        <f>IF(A66="","",LOG10(A66))</f>
        <v/>
      </c>
      <c r="I66" s="195">
        <f>IF(B66="","",LOG10(MAX(B66,1E-12)))</f>
        <v/>
      </c>
      <c r="J66" s="195">
        <f>IF(D66="","",LOG10(MAX(D66,1E-12)))</f>
        <v/>
      </c>
      <c r="K66">
        <f>IF(A66="","",ROUND(1+(LOG10(A66)-LOG10('入力・概要'!$B$38))*('入力・概要'!$B$40-1)/(LOG10('入力・概要'!$B$39)-LOG10('入力・概要'!$B$38)),0)+3)</f>
        <v/>
      </c>
      <c r="L66">
        <f>IF(K66="","",INDEX('差動モデル'!$B:$B,K66))</f>
        <v/>
      </c>
      <c r="M66">
        <f>IF(A66="","",IF(ABS(L66/A66-1)&lt;0.01,"周波数差&lt;1%","周波数差あり"))</f>
        <v/>
      </c>
    </row>
    <row r="67">
      <c r="A67" s="197" t="n"/>
      <c r="B67" s="198" t="n"/>
      <c r="C67" s="198" t="n"/>
      <c r="D67" s="195">
        <f>IF(K67="","",INDEX('差動モデル'!$R:$R,K67))</f>
        <v/>
      </c>
      <c r="E67" s="195">
        <f>IF(K67="","",INDEX('差動モデル'!$S:$S,K67))</f>
        <v/>
      </c>
      <c r="F67" s="195">
        <f>IF(OR(A67="",B67=""),"",100*(D67-B67)/MAX(B67,1E-12))</f>
        <v/>
      </c>
      <c r="G67" s="195">
        <f>IF(OR(A67="",C67=""),"",E67-C67)</f>
        <v/>
      </c>
      <c r="H67" s="195">
        <f>IF(A67="","",LOG10(A67))</f>
        <v/>
      </c>
      <c r="I67" s="195">
        <f>IF(B67="","",LOG10(MAX(B67,1E-12)))</f>
        <v/>
      </c>
      <c r="J67" s="195">
        <f>IF(D67="","",LOG10(MAX(D67,1E-12)))</f>
        <v/>
      </c>
      <c r="K67">
        <f>IF(A67="","",ROUND(1+(LOG10(A67)-LOG10('入力・概要'!$B$38))*('入力・概要'!$B$40-1)/(LOG10('入力・概要'!$B$39)-LOG10('入力・概要'!$B$38)),0)+3)</f>
        <v/>
      </c>
      <c r="L67">
        <f>IF(K67="","",INDEX('差動モデル'!$B:$B,K67))</f>
        <v/>
      </c>
      <c r="M67">
        <f>IF(A67="","",IF(ABS(L67/A67-1)&lt;0.01,"周波数差&lt;1%","周波数差あり"))</f>
        <v/>
      </c>
    </row>
    <row r="68">
      <c r="A68" s="197" t="n"/>
      <c r="B68" s="198" t="n"/>
      <c r="C68" s="198" t="n"/>
      <c r="D68" s="195">
        <f>IF(K68="","",INDEX('差動モデル'!$R:$R,K68))</f>
        <v/>
      </c>
      <c r="E68" s="195">
        <f>IF(K68="","",INDEX('差動モデル'!$S:$S,K68))</f>
        <v/>
      </c>
      <c r="F68" s="195">
        <f>IF(OR(A68="",B68=""),"",100*(D68-B68)/MAX(B68,1E-12))</f>
        <v/>
      </c>
      <c r="G68" s="195">
        <f>IF(OR(A68="",C68=""),"",E68-C68)</f>
        <v/>
      </c>
      <c r="H68" s="195">
        <f>IF(A68="","",LOG10(A68))</f>
        <v/>
      </c>
      <c r="I68" s="195">
        <f>IF(B68="","",LOG10(MAX(B68,1E-12)))</f>
        <v/>
      </c>
      <c r="J68" s="195">
        <f>IF(D68="","",LOG10(MAX(D68,1E-12)))</f>
        <v/>
      </c>
      <c r="K68">
        <f>IF(A68="","",ROUND(1+(LOG10(A68)-LOG10('入力・概要'!$B$38))*('入力・概要'!$B$40-1)/(LOG10('入力・概要'!$B$39)-LOG10('入力・概要'!$B$38)),0)+3)</f>
        <v/>
      </c>
      <c r="L68">
        <f>IF(K68="","",INDEX('差動モデル'!$B:$B,K68))</f>
        <v/>
      </c>
      <c r="M68">
        <f>IF(A68="","",IF(ABS(L68/A68-1)&lt;0.01,"周波数差&lt;1%","周波数差あり"))</f>
        <v/>
      </c>
    </row>
    <row r="69">
      <c r="A69" s="197" t="n"/>
      <c r="B69" s="198" t="n"/>
      <c r="C69" s="198" t="n"/>
      <c r="D69" s="195">
        <f>IF(K69="","",INDEX('差動モデル'!$R:$R,K69))</f>
        <v/>
      </c>
      <c r="E69" s="195">
        <f>IF(K69="","",INDEX('差動モデル'!$S:$S,K69))</f>
        <v/>
      </c>
      <c r="F69" s="195">
        <f>IF(OR(A69="",B69=""),"",100*(D69-B69)/MAX(B69,1E-12))</f>
        <v/>
      </c>
      <c r="G69" s="195">
        <f>IF(OR(A69="",C69=""),"",E69-C69)</f>
        <v/>
      </c>
      <c r="H69" s="195">
        <f>IF(A69="","",LOG10(A69))</f>
        <v/>
      </c>
      <c r="I69" s="195">
        <f>IF(B69="","",LOG10(MAX(B69,1E-12)))</f>
        <v/>
      </c>
      <c r="J69" s="195">
        <f>IF(D69="","",LOG10(MAX(D69,1E-12)))</f>
        <v/>
      </c>
      <c r="K69">
        <f>IF(A69="","",ROUND(1+(LOG10(A69)-LOG10('入力・概要'!$B$38))*('入力・概要'!$B$40-1)/(LOG10('入力・概要'!$B$39)-LOG10('入力・概要'!$B$38)),0)+3)</f>
        <v/>
      </c>
      <c r="L69">
        <f>IF(K69="","",INDEX('差動モデル'!$B:$B,K69))</f>
        <v/>
      </c>
      <c r="M69">
        <f>IF(A69="","",IF(ABS(L69/A69-1)&lt;0.01,"周波数差&lt;1%","周波数差あり"))</f>
        <v/>
      </c>
    </row>
    <row r="70">
      <c r="A70" s="197" t="n"/>
      <c r="B70" s="198" t="n"/>
      <c r="C70" s="198" t="n"/>
      <c r="D70" s="195">
        <f>IF(K70="","",INDEX('差動モデル'!$R:$R,K70))</f>
        <v/>
      </c>
      <c r="E70" s="195">
        <f>IF(K70="","",INDEX('差動モデル'!$S:$S,K70))</f>
        <v/>
      </c>
      <c r="F70" s="195">
        <f>IF(OR(A70="",B70=""),"",100*(D70-B70)/MAX(B70,1E-12))</f>
        <v/>
      </c>
      <c r="G70" s="195">
        <f>IF(OR(A70="",C70=""),"",E70-C70)</f>
        <v/>
      </c>
      <c r="H70" s="195">
        <f>IF(A70="","",LOG10(A70))</f>
        <v/>
      </c>
      <c r="I70" s="195">
        <f>IF(B70="","",LOG10(MAX(B70,1E-12)))</f>
        <v/>
      </c>
      <c r="J70" s="195">
        <f>IF(D70="","",LOG10(MAX(D70,1E-12)))</f>
        <v/>
      </c>
      <c r="K70">
        <f>IF(A70="","",ROUND(1+(LOG10(A70)-LOG10('入力・概要'!$B$38))*('入力・概要'!$B$40-1)/(LOG10('入力・概要'!$B$39)-LOG10('入力・概要'!$B$38)),0)+3)</f>
        <v/>
      </c>
      <c r="L70">
        <f>IF(K70="","",INDEX('差動モデル'!$B:$B,K70))</f>
        <v/>
      </c>
      <c r="M70">
        <f>IF(A70="","",IF(ABS(L70/A70-1)&lt;0.01,"周波数差&lt;1%","周波数差あり"))</f>
        <v/>
      </c>
    </row>
    <row r="71">
      <c r="A71" s="197" t="n"/>
      <c r="B71" s="198" t="n"/>
      <c r="C71" s="198" t="n"/>
      <c r="D71" s="195">
        <f>IF(K71="","",INDEX('差動モデル'!$R:$R,K71))</f>
        <v/>
      </c>
      <c r="E71" s="195">
        <f>IF(K71="","",INDEX('差動モデル'!$S:$S,K71))</f>
        <v/>
      </c>
      <c r="F71" s="195">
        <f>IF(OR(A71="",B71=""),"",100*(D71-B71)/MAX(B71,1E-12))</f>
        <v/>
      </c>
      <c r="G71" s="195">
        <f>IF(OR(A71="",C71=""),"",E71-C71)</f>
        <v/>
      </c>
      <c r="H71" s="195">
        <f>IF(A71="","",LOG10(A71))</f>
        <v/>
      </c>
      <c r="I71" s="195">
        <f>IF(B71="","",LOG10(MAX(B71,1E-12)))</f>
        <v/>
      </c>
      <c r="J71" s="195">
        <f>IF(D71="","",LOG10(MAX(D71,1E-12)))</f>
        <v/>
      </c>
      <c r="K71">
        <f>IF(A71="","",ROUND(1+(LOG10(A71)-LOG10('入力・概要'!$B$38))*('入力・概要'!$B$40-1)/(LOG10('入力・概要'!$B$39)-LOG10('入力・概要'!$B$38)),0)+3)</f>
        <v/>
      </c>
      <c r="L71">
        <f>IF(K71="","",INDEX('差動モデル'!$B:$B,K71))</f>
        <v/>
      </c>
      <c r="M71">
        <f>IF(A71="","",IF(ABS(L71/A71-1)&lt;0.01,"周波数差&lt;1%","周波数差あり"))</f>
        <v/>
      </c>
    </row>
    <row r="72">
      <c r="A72" s="197" t="n"/>
      <c r="B72" s="198" t="n"/>
      <c r="C72" s="198" t="n"/>
      <c r="D72" s="195">
        <f>IF(K72="","",INDEX('差動モデル'!$R:$R,K72))</f>
        <v/>
      </c>
      <c r="E72" s="195">
        <f>IF(K72="","",INDEX('差動モデル'!$S:$S,K72))</f>
        <v/>
      </c>
      <c r="F72" s="195">
        <f>IF(OR(A72="",B72=""),"",100*(D72-B72)/MAX(B72,1E-12))</f>
        <v/>
      </c>
      <c r="G72" s="195">
        <f>IF(OR(A72="",C72=""),"",E72-C72)</f>
        <v/>
      </c>
      <c r="H72" s="195">
        <f>IF(A72="","",LOG10(A72))</f>
        <v/>
      </c>
      <c r="I72" s="195">
        <f>IF(B72="","",LOG10(MAX(B72,1E-12)))</f>
        <v/>
      </c>
      <c r="J72" s="195">
        <f>IF(D72="","",LOG10(MAX(D72,1E-12)))</f>
        <v/>
      </c>
      <c r="K72">
        <f>IF(A72="","",ROUND(1+(LOG10(A72)-LOG10('入力・概要'!$B$38))*('入力・概要'!$B$40-1)/(LOG10('入力・概要'!$B$39)-LOG10('入力・概要'!$B$38)),0)+3)</f>
        <v/>
      </c>
      <c r="L72">
        <f>IF(K72="","",INDEX('差動モデル'!$B:$B,K72))</f>
        <v/>
      </c>
      <c r="M72">
        <f>IF(A72="","",IF(ABS(L72/A72-1)&lt;0.01,"周波数差&lt;1%","周波数差あり"))</f>
        <v/>
      </c>
    </row>
    <row r="73">
      <c r="A73" s="197" t="n"/>
      <c r="B73" s="198" t="n"/>
      <c r="C73" s="198" t="n"/>
      <c r="D73" s="195">
        <f>IF(K73="","",INDEX('差動モデル'!$R:$R,K73))</f>
        <v/>
      </c>
      <c r="E73" s="195">
        <f>IF(K73="","",INDEX('差動モデル'!$S:$S,K73))</f>
        <v/>
      </c>
      <c r="F73" s="195">
        <f>IF(OR(A73="",B73=""),"",100*(D73-B73)/MAX(B73,1E-12))</f>
        <v/>
      </c>
      <c r="G73" s="195">
        <f>IF(OR(A73="",C73=""),"",E73-C73)</f>
        <v/>
      </c>
      <c r="H73" s="195">
        <f>IF(A73="","",LOG10(A73))</f>
        <v/>
      </c>
      <c r="I73" s="195">
        <f>IF(B73="","",LOG10(MAX(B73,1E-12)))</f>
        <v/>
      </c>
      <c r="J73" s="195">
        <f>IF(D73="","",LOG10(MAX(D73,1E-12)))</f>
        <v/>
      </c>
      <c r="K73">
        <f>IF(A73="","",ROUND(1+(LOG10(A73)-LOG10('入力・概要'!$B$38))*('入力・概要'!$B$40-1)/(LOG10('入力・概要'!$B$39)-LOG10('入力・概要'!$B$38)),0)+3)</f>
        <v/>
      </c>
      <c r="L73">
        <f>IF(K73="","",INDEX('差動モデル'!$B:$B,K73))</f>
        <v/>
      </c>
      <c r="M73">
        <f>IF(A73="","",IF(ABS(L73/A73-1)&lt;0.01,"周波数差&lt;1%","周波数差あり"))</f>
        <v/>
      </c>
    </row>
    <row r="74">
      <c r="A74" s="197" t="n"/>
      <c r="B74" s="198" t="n"/>
      <c r="C74" s="198" t="n"/>
      <c r="D74" s="195">
        <f>IF(K74="","",INDEX('差動モデル'!$R:$R,K74))</f>
        <v/>
      </c>
      <c r="E74" s="195">
        <f>IF(K74="","",INDEX('差動モデル'!$S:$S,K74))</f>
        <v/>
      </c>
      <c r="F74" s="195">
        <f>IF(OR(A74="",B74=""),"",100*(D74-B74)/MAX(B74,1E-12))</f>
        <v/>
      </c>
      <c r="G74" s="195">
        <f>IF(OR(A74="",C74=""),"",E74-C74)</f>
        <v/>
      </c>
      <c r="H74" s="195">
        <f>IF(A74="","",LOG10(A74))</f>
        <v/>
      </c>
      <c r="I74" s="195">
        <f>IF(B74="","",LOG10(MAX(B74,1E-12)))</f>
        <v/>
      </c>
      <c r="J74" s="195">
        <f>IF(D74="","",LOG10(MAX(D74,1E-12)))</f>
        <v/>
      </c>
      <c r="K74">
        <f>IF(A74="","",ROUND(1+(LOG10(A74)-LOG10('入力・概要'!$B$38))*('入力・概要'!$B$40-1)/(LOG10('入力・概要'!$B$39)-LOG10('入力・概要'!$B$38)),0)+3)</f>
        <v/>
      </c>
      <c r="L74">
        <f>IF(K74="","",INDEX('差動モデル'!$B:$B,K74))</f>
        <v/>
      </c>
      <c r="M74">
        <f>IF(A74="","",IF(ABS(L74/A74-1)&lt;0.01,"周波数差&lt;1%","周波数差あり"))</f>
        <v/>
      </c>
    </row>
    <row r="75">
      <c r="A75" s="197" t="n"/>
      <c r="B75" s="198" t="n"/>
      <c r="C75" s="198" t="n"/>
      <c r="D75" s="195">
        <f>IF(K75="","",INDEX('差動モデル'!$R:$R,K75))</f>
        <v/>
      </c>
      <c r="E75" s="195">
        <f>IF(K75="","",INDEX('差動モデル'!$S:$S,K75))</f>
        <v/>
      </c>
      <c r="F75" s="195">
        <f>IF(OR(A75="",B75=""),"",100*(D75-B75)/MAX(B75,1E-12))</f>
        <v/>
      </c>
      <c r="G75" s="195">
        <f>IF(OR(A75="",C75=""),"",E75-C75)</f>
        <v/>
      </c>
      <c r="H75" s="195">
        <f>IF(A75="","",LOG10(A75))</f>
        <v/>
      </c>
      <c r="I75" s="195">
        <f>IF(B75="","",LOG10(MAX(B75,1E-12)))</f>
        <v/>
      </c>
      <c r="J75" s="195">
        <f>IF(D75="","",LOG10(MAX(D75,1E-12)))</f>
        <v/>
      </c>
      <c r="K75">
        <f>IF(A75="","",ROUND(1+(LOG10(A75)-LOG10('入力・概要'!$B$38))*('入力・概要'!$B$40-1)/(LOG10('入力・概要'!$B$39)-LOG10('入力・概要'!$B$38)),0)+3)</f>
        <v/>
      </c>
      <c r="L75">
        <f>IF(K75="","",INDEX('差動モデル'!$B:$B,K75))</f>
        <v/>
      </c>
      <c r="M75">
        <f>IF(A75="","",IF(ABS(L75/A75-1)&lt;0.01,"周波数差&lt;1%","周波数差あり"))</f>
        <v/>
      </c>
    </row>
    <row r="76">
      <c r="A76" s="197" t="n"/>
      <c r="B76" s="198" t="n"/>
      <c r="C76" s="198" t="n"/>
      <c r="D76" s="195">
        <f>IF(K76="","",INDEX('差動モデル'!$R:$R,K76))</f>
        <v/>
      </c>
      <c r="E76" s="195">
        <f>IF(K76="","",INDEX('差動モデル'!$S:$S,K76))</f>
        <v/>
      </c>
      <c r="F76" s="195">
        <f>IF(OR(A76="",B76=""),"",100*(D76-B76)/MAX(B76,1E-12))</f>
        <v/>
      </c>
      <c r="G76" s="195">
        <f>IF(OR(A76="",C76=""),"",E76-C76)</f>
        <v/>
      </c>
      <c r="H76" s="195">
        <f>IF(A76="","",LOG10(A76))</f>
        <v/>
      </c>
      <c r="I76" s="195">
        <f>IF(B76="","",LOG10(MAX(B76,1E-12)))</f>
        <v/>
      </c>
      <c r="J76" s="195">
        <f>IF(D76="","",LOG10(MAX(D76,1E-12)))</f>
        <v/>
      </c>
      <c r="K76">
        <f>IF(A76="","",ROUND(1+(LOG10(A76)-LOG10('入力・概要'!$B$38))*('入力・概要'!$B$40-1)/(LOG10('入力・概要'!$B$39)-LOG10('入力・概要'!$B$38)),0)+3)</f>
        <v/>
      </c>
      <c r="L76">
        <f>IF(K76="","",INDEX('差動モデル'!$B:$B,K76))</f>
        <v/>
      </c>
      <c r="M76">
        <f>IF(A76="","",IF(ABS(L76/A76-1)&lt;0.01,"周波数差&lt;1%","周波数差あり"))</f>
        <v/>
      </c>
    </row>
    <row r="77">
      <c r="A77" s="197" t="n"/>
      <c r="B77" s="198" t="n"/>
      <c r="C77" s="198" t="n"/>
      <c r="D77" s="195">
        <f>IF(K77="","",INDEX('差動モデル'!$R:$R,K77))</f>
        <v/>
      </c>
      <c r="E77" s="195">
        <f>IF(K77="","",INDEX('差動モデル'!$S:$S,K77))</f>
        <v/>
      </c>
      <c r="F77" s="195">
        <f>IF(OR(A77="",B77=""),"",100*(D77-B77)/MAX(B77,1E-12))</f>
        <v/>
      </c>
      <c r="G77" s="195">
        <f>IF(OR(A77="",C77=""),"",E77-C77)</f>
        <v/>
      </c>
      <c r="H77" s="195">
        <f>IF(A77="","",LOG10(A77))</f>
        <v/>
      </c>
      <c r="I77" s="195">
        <f>IF(B77="","",LOG10(MAX(B77,1E-12)))</f>
        <v/>
      </c>
      <c r="J77" s="195">
        <f>IF(D77="","",LOG10(MAX(D77,1E-12)))</f>
        <v/>
      </c>
      <c r="K77">
        <f>IF(A77="","",ROUND(1+(LOG10(A77)-LOG10('入力・概要'!$B$38))*('入力・概要'!$B$40-1)/(LOG10('入力・概要'!$B$39)-LOG10('入力・概要'!$B$38)),0)+3)</f>
        <v/>
      </c>
      <c r="L77">
        <f>IF(K77="","",INDEX('差動モデル'!$B:$B,K77))</f>
        <v/>
      </c>
      <c r="M77">
        <f>IF(A77="","",IF(ABS(L77/A77-1)&lt;0.01,"周波数差&lt;1%","周波数差あり"))</f>
        <v/>
      </c>
    </row>
    <row r="78">
      <c r="A78" s="197" t="n"/>
      <c r="B78" s="198" t="n"/>
      <c r="C78" s="198" t="n"/>
      <c r="D78" s="195">
        <f>IF(K78="","",INDEX('差動モデル'!$R:$R,K78))</f>
        <v/>
      </c>
      <c r="E78" s="195">
        <f>IF(K78="","",INDEX('差動モデル'!$S:$S,K78))</f>
        <v/>
      </c>
      <c r="F78" s="195">
        <f>IF(OR(A78="",B78=""),"",100*(D78-B78)/MAX(B78,1E-12))</f>
        <v/>
      </c>
      <c r="G78" s="195">
        <f>IF(OR(A78="",C78=""),"",E78-C78)</f>
        <v/>
      </c>
      <c r="H78" s="195">
        <f>IF(A78="","",LOG10(A78))</f>
        <v/>
      </c>
      <c r="I78" s="195">
        <f>IF(B78="","",LOG10(MAX(B78,1E-12)))</f>
        <v/>
      </c>
      <c r="J78" s="195">
        <f>IF(D78="","",LOG10(MAX(D78,1E-12)))</f>
        <v/>
      </c>
      <c r="K78">
        <f>IF(A78="","",ROUND(1+(LOG10(A78)-LOG10('入力・概要'!$B$38))*('入力・概要'!$B$40-1)/(LOG10('入力・概要'!$B$39)-LOG10('入力・概要'!$B$38)),0)+3)</f>
        <v/>
      </c>
      <c r="L78">
        <f>IF(K78="","",INDEX('差動モデル'!$B:$B,K78))</f>
        <v/>
      </c>
      <c r="M78">
        <f>IF(A78="","",IF(ABS(L78/A78-1)&lt;0.01,"周波数差&lt;1%","周波数差あり"))</f>
        <v/>
      </c>
    </row>
    <row r="79">
      <c r="A79" s="197" t="n"/>
      <c r="B79" s="198" t="n"/>
      <c r="C79" s="198" t="n"/>
      <c r="D79" s="195">
        <f>IF(K79="","",INDEX('差動モデル'!$R:$R,K79))</f>
        <v/>
      </c>
      <c r="E79" s="195">
        <f>IF(K79="","",INDEX('差動モデル'!$S:$S,K79))</f>
        <v/>
      </c>
      <c r="F79" s="195">
        <f>IF(OR(A79="",B79=""),"",100*(D79-B79)/MAX(B79,1E-12))</f>
        <v/>
      </c>
      <c r="G79" s="195">
        <f>IF(OR(A79="",C79=""),"",E79-C79)</f>
        <v/>
      </c>
      <c r="H79" s="195">
        <f>IF(A79="","",LOG10(A79))</f>
        <v/>
      </c>
      <c r="I79" s="195">
        <f>IF(B79="","",LOG10(MAX(B79,1E-12)))</f>
        <v/>
      </c>
      <c r="J79" s="195">
        <f>IF(D79="","",LOG10(MAX(D79,1E-12)))</f>
        <v/>
      </c>
      <c r="K79">
        <f>IF(A79="","",ROUND(1+(LOG10(A79)-LOG10('入力・概要'!$B$38))*('入力・概要'!$B$40-1)/(LOG10('入力・概要'!$B$39)-LOG10('入力・概要'!$B$38)),0)+3)</f>
        <v/>
      </c>
      <c r="L79">
        <f>IF(K79="","",INDEX('差動モデル'!$B:$B,K79))</f>
        <v/>
      </c>
      <c r="M79">
        <f>IF(A79="","",IF(ABS(L79/A79-1)&lt;0.01,"周波数差&lt;1%","周波数差あり"))</f>
        <v/>
      </c>
    </row>
    <row r="80">
      <c r="A80" s="197" t="n"/>
      <c r="B80" s="198" t="n"/>
      <c r="C80" s="198" t="n"/>
      <c r="D80" s="195">
        <f>IF(K80="","",INDEX('差動モデル'!$R:$R,K80))</f>
        <v/>
      </c>
      <c r="E80" s="195">
        <f>IF(K80="","",INDEX('差動モデル'!$S:$S,K80))</f>
        <v/>
      </c>
      <c r="F80" s="195">
        <f>IF(OR(A80="",B80=""),"",100*(D80-B80)/MAX(B80,1E-12))</f>
        <v/>
      </c>
      <c r="G80" s="195">
        <f>IF(OR(A80="",C80=""),"",E80-C80)</f>
        <v/>
      </c>
      <c r="H80" s="195">
        <f>IF(A80="","",LOG10(A80))</f>
        <v/>
      </c>
      <c r="I80" s="195">
        <f>IF(B80="","",LOG10(MAX(B80,1E-12)))</f>
        <v/>
      </c>
      <c r="J80" s="195">
        <f>IF(D80="","",LOG10(MAX(D80,1E-12)))</f>
        <v/>
      </c>
      <c r="K80">
        <f>IF(A80="","",ROUND(1+(LOG10(A80)-LOG10('入力・概要'!$B$38))*('入力・概要'!$B$40-1)/(LOG10('入力・概要'!$B$39)-LOG10('入力・概要'!$B$38)),0)+3)</f>
        <v/>
      </c>
      <c r="L80">
        <f>IF(K80="","",INDEX('差動モデル'!$B:$B,K80))</f>
        <v/>
      </c>
      <c r="M80">
        <f>IF(A80="","",IF(ABS(L80/A80-1)&lt;0.01,"周波数差&lt;1%","周波数差あり"))</f>
        <v/>
      </c>
    </row>
    <row r="81">
      <c r="A81" s="197" t="n"/>
      <c r="B81" s="198" t="n"/>
      <c r="C81" s="198" t="n"/>
      <c r="D81" s="195">
        <f>IF(K81="","",INDEX('差動モデル'!$R:$R,K81))</f>
        <v/>
      </c>
      <c r="E81" s="195">
        <f>IF(K81="","",INDEX('差動モデル'!$S:$S,K81))</f>
        <v/>
      </c>
      <c r="F81" s="195">
        <f>IF(OR(A81="",B81=""),"",100*(D81-B81)/MAX(B81,1E-12))</f>
        <v/>
      </c>
      <c r="G81" s="195">
        <f>IF(OR(A81="",C81=""),"",E81-C81)</f>
        <v/>
      </c>
      <c r="H81" s="195">
        <f>IF(A81="","",LOG10(A81))</f>
        <v/>
      </c>
      <c r="I81" s="195">
        <f>IF(B81="","",LOG10(MAX(B81,1E-12)))</f>
        <v/>
      </c>
      <c r="J81" s="195">
        <f>IF(D81="","",LOG10(MAX(D81,1E-12)))</f>
        <v/>
      </c>
      <c r="K81">
        <f>IF(A81="","",ROUND(1+(LOG10(A81)-LOG10('入力・概要'!$B$38))*('入力・概要'!$B$40-1)/(LOG10('入力・概要'!$B$39)-LOG10('入力・概要'!$B$38)),0)+3)</f>
        <v/>
      </c>
      <c r="L81">
        <f>IF(K81="","",INDEX('差動モデル'!$B:$B,K81))</f>
        <v/>
      </c>
      <c r="M81">
        <f>IF(A81="","",IF(ABS(L81/A81-1)&lt;0.01,"周波数差&lt;1%","周波数差あり"))</f>
        <v/>
      </c>
    </row>
    <row r="82">
      <c r="A82" s="197" t="n"/>
      <c r="B82" s="198" t="n"/>
      <c r="C82" s="198" t="n"/>
      <c r="D82" s="195">
        <f>IF(K82="","",INDEX('差動モデル'!$R:$R,K82))</f>
        <v/>
      </c>
      <c r="E82" s="195">
        <f>IF(K82="","",INDEX('差動モデル'!$S:$S,K82))</f>
        <v/>
      </c>
      <c r="F82" s="195">
        <f>IF(OR(A82="",B82=""),"",100*(D82-B82)/MAX(B82,1E-12))</f>
        <v/>
      </c>
      <c r="G82" s="195">
        <f>IF(OR(A82="",C82=""),"",E82-C82)</f>
        <v/>
      </c>
      <c r="H82" s="195">
        <f>IF(A82="","",LOG10(A82))</f>
        <v/>
      </c>
      <c r="I82" s="195">
        <f>IF(B82="","",LOG10(MAX(B82,1E-12)))</f>
        <v/>
      </c>
      <c r="J82" s="195">
        <f>IF(D82="","",LOG10(MAX(D82,1E-12)))</f>
        <v/>
      </c>
      <c r="K82">
        <f>IF(A82="","",ROUND(1+(LOG10(A82)-LOG10('入力・概要'!$B$38))*('入力・概要'!$B$40-1)/(LOG10('入力・概要'!$B$39)-LOG10('入力・概要'!$B$38)),0)+3)</f>
        <v/>
      </c>
      <c r="L82">
        <f>IF(K82="","",INDEX('差動モデル'!$B:$B,K82))</f>
        <v/>
      </c>
      <c r="M82">
        <f>IF(A82="","",IF(ABS(L82/A82-1)&lt;0.01,"周波数差&lt;1%","周波数差あり"))</f>
        <v/>
      </c>
    </row>
    <row r="83">
      <c r="A83" s="197" t="n"/>
      <c r="B83" s="198" t="n"/>
      <c r="C83" s="198" t="n"/>
      <c r="D83" s="195">
        <f>IF(K83="","",INDEX('差動モデル'!$R:$R,K83))</f>
        <v/>
      </c>
      <c r="E83" s="195">
        <f>IF(K83="","",INDEX('差動モデル'!$S:$S,K83))</f>
        <v/>
      </c>
      <c r="F83" s="195">
        <f>IF(OR(A83="",B83=""),"",100*(D83-B83)/MAX(B83,1E-12))</f>
        <v/>
      </c>
      <c r="G83" s="195">
        <f>IF(OR(A83="",C83=""),"",E83-C83)</f>
        <v/>
      </c>
      <c r="H83" s="195">
        <f>IF(A83="","",LOG10(A83))</f>
        <v/>
      </c>
      <c r="I83" s="195">
        <f>IF(B83="","",LOG10(MAX(B83,1E-12)))</f>
        <v/>
      </c>
      <c r="J83" s="195">
        <f>IF(D83="","",LOG10(MAX(D83,1E-12)))</f>
        <v/>
      </c>
      <c r="K83">
        <f>IF(A83="","",ROUND(1+(LOG10(A83)-LOG10('入力・概要'!$B$38))*('入力・概要'!$B$40-1)/(LOG10('入力・概要'!$B$39)-LOG10('入力・概要'!$B$38)),0)+3)</f>
        <v/>
      </c>
      <c r="L83">
        <f>IF(K83="","",INDEX('差動モデル'!$B:$B,K83))</f>
        <v/>
      </c>
      <c r="M83">
        <f>IF(A83="","",IF(ABS(L83/A83-1)&lt;0.01,"周波数差&lt;1%","周波数差あり"))</f>
        <v/>
      </c>
    </row>
    <row r="84">
      <c r="A84" s="197" t="n"/>
      <c r="B84" s="198" t="n"/>
      <c r="C84" s="198" t="n"/>
      <c r="D84" s="195">
        <f>IF(K84="","",INDEX('差動モデル'!$R:$R,K84))</f>
        <v/>
      </c>
      <c r="E84" s="195">
        <f>IF(K84="","",INDEX('差動モデル'!$S:$S,K84))</f>
        <v/>
      </c>
      <c r="F84" s="195">
        <f>IF(OR(A84="",B84=""),"",100*(D84-B84)/MAX(B84,1E-12))</f>
        <v/>
      </c>
      <c r="G84" s="195">
        <f>IF(OR(A84="",C84=""),"",E84-C84)</f>
        <v/>
      </c>
      <c r="H84" s="195">
        <f>IF(A84="","",LOG10(A84))</f>
        <v/>
      </c>
      <c r="I84" s="195">
        <f>IF(B84="","",LOG10(MAX(B84,1E-12)))</f>
        <v/>
      </c>
      <c r="J84" s="195">
        <f>IF(D84="","",LOG10(MAX(D84,1E-12)))</f>
        <v/>
      </c>
      <c r="K84">
        <f>IF(A84="","",ROUND(1+(LOG10(A84)-LOG10('入力・概要'!$B$38))*('入力・概要'!$B$40-1)/(LOG10('入力・概要'!$B$39)-LOG10('入力・概要'!$B$38)),0)+3)</f>
        <v/>
      </c>
      <c r="L84">
        <f>IF(K84="","",INDEX('差動モデル'!$B:$B,K84))</f>
        <v/>
      </c>
      <c r="M84">
        <f>IF(A84="","",IF(ABS(L84/A84-1)&lt;0.01,"周波数差&lt;1%","周波数差あり"))</f>
        <v/>
      </c>
    </row>
    <row r="85">
      <c r="A85" s="197" t="n"/>
      <c r="B85" s="198" t="n"/>
      <c r="C85" s="198" t="n"/>
      <c r="D85" s="195">
        <f>IF(K85="","",INDEX('差動モデル'!$R:$R,K85))</f>
        <v/>
      </c>
      <c r="E85" s="195">
        <f>IF(K85="","",INDEX('差動モデル'!$S:$S,K85))</f>
        <v/>
      </c>
      <c r="F85" s="195">
        <f>IF(OR(A85="",B85=""),"",100*(D85-B85)/MAX(B85,1E-12))</f>
        <v/>
      </c>
      <c r="G85" s="195">
        <f>IF(OR(A85="",C85=""),"",E85-C85)</f>
        <v/>
      </c>
      <c r="H85" s="195">
        <f>IF(A85="","",LOG10(A85))</f>
        <v/>
      </c>
      <c r="I85" s="195">
        <f>IF(B85="","",LOG10(MAX(B85,1E-12)))</f>
        <v/>
      </c>
      <c r="J85" s="195">
        <f>IF(D85="","",LOG10(MAX(D85,1E-12)))</f>
        <v/>
      </c>
      <c r="K85">
        <f>IF(A85="","",ROUND(1+(LOG10(A85)-LOG10('入力・概要'!$B$38))*('入力・概要'!$B$40-1)/(LOG10('入力・概要'!$B$39)-LOG10('入力・概要'!$B$38)),0)+3)</f>
        <v/>
      </c>
      <c r="L85">
        <f>IF(K85="","",INDEX('差動モデル'!$B:$B,K85))</f>
        <v/>
      </c>
      <c r="M85">
        <f>IF(A85="","",IF(ABS(L85/A85-1)&lt;0.01,"周波数差&lt;1%","周波数差あり"))</f>
        <v/>
      </c>
    </row>
    <row r="86">
      <c r="A86" s="197" t="n"/>
      <c r="B86" s="198" t="n"/>
      <c r="C86" s="198" t="n"/>
      <c r="D86" s="195">
        <f>IF(K86="","",INDEX('差動モデル'!$R:$R,K86))</f>
        <v/>
      </c>
      <c r="E86" s="195">
        <f>IF(K86="","",INDEX('差動モデル'!$S:$S,K86))</f>
        <v/>
      </c>
      <c r="F86" s="195">
        <f>IF(OR(A86="",B86=""),"",100*(D86-B86)/MAX(B86,1E-12))</f>
        <v/>
      </c>
      <c r="G86" s="195">
        <f>IF(OR(A86="",C86=""),"",E86-C86)</f>
        <v/>
      </c>
      <c r="H86" s="195">
        <f>IF(A86="","",LOG10(A86))</f>
        <v/>
      </c>
      <c r="I86" s="195">
        <f>IF(B86="","",LOG10(MAX(B86,1E-12)))</f>
        <v/>
      </c>
      <c r="J86" s="195">
        <f>IF(D86="","",LOG10(MAX(D86,1E-12)))</f>
        <v/>
      </c>
      <c r="K86">
        <f>IF(A86="","",ROUND(1+(LOG10(A86)-LOG10('入力・概要'!$B$38))*('入力・概要'!$B$40-1)/(LOG10('入力・概要'!$B$39)-LOG10('入力・概要'!$B$38)),0)+3)</f>
        <v/>
      </c>
      <c r="L86">
        <f>IF(K86="","",INDEX('差動モデル'!$B:$B,K86))</f>
        <v/>
      </c>
      <c r="M86">
        <f>IF(A86="","",IF(ABS(L86/A86-1)&lt;0.01,"周波数差&lt;1%","周波数差あり"))</f>
        <v/>
      </c>
    </row>
    <row r="87">
      <c r="A87" s="197" t="n"/>
      <c r="B87" s="198" t="n"/>
      <c r="C87" s="198" t="n"/>
      <c r="D87" s="195">
        <f>IF(K87="","",INDEX('差動モデル'!$R:$R,K87))</f>
        <v/>
      </c>
      <c r="E87" s="195">
        <f>IF(K87="","",INDEX('差動モデル'!$S:$S,K87))</f>
        <v/>
      </c>
      <c r="F87" s="195">
        <f>IF(OR(A87="",B87=""),"",100*(D87-B87)/MAX(B87,1E-12))</f>
        <v/>
      </c>
      <c r="G87" s="195">
        <f>IF(OR(A87="",C87=""),"",E87-C87)</f>
        <v/>
      </c>
      <c r="H87" s="195">
        <f>IF(A87="","",LOG10(A87))</f>
        <v/>
      </c>
      <c r="I87" s="195">
        <f>IF(B87="","",LOG10(MAX(B87,1E-12)))</f>
        <v/>
      </c>
      <c r="J87" s="195">
        <f>IF(D87="","",LOG10(MAX(D87,1E-12)))</f>
        <v/>
      </c>
      <c r="K87">
        <f>IF(A87="","",ROUND(1+(LOG10(A87)-LOG10('入力・概要'!$B$38))*('入力・概要'!$B$40-1)/(LOG10('入力・概要'!$B$39)-LOG10('入力・概要'!$B$38)),0)+3)</f>
        <v/>
      </c>
      <c r="L87">
        <f>IF(K87="","",INDEX('差動モデル'!$B:$B,K87))</f>
        <v/>
      </c>
      <c r="M87">
        <f>IF(A87="","",IF(ABS(L87/A87-1)&lt;0.01,"周波数差&lt;1%","周波数差あり"))</f>
        <v/>
      </c>
    </row>
    <row r="88">
      <c r="A88" s="197" t="n"/>
      <c r="B88" s="198" t="n"/>
      <c r="C88" s="198" t="n"/>
      <c r="D88" s="195">
        <f>IF(K88="","",INDEX('差動モデル'!$R:$R,K88))</f>
        <v/>
      </c>
      <c r="E88" s="195">
        <f>IF(K88="","",INDEX('差動モデル'!$S:$S,K88))</f>
        <v/>
      </c>
      <c r="F88" s="195">
        <f>IF(OR(A88="",B88=""),"",100*(D88-B88)/MAX(B88,1E-12))</f>
        <v/>
      </c>
      <c r="G88" s="195">
        <f>IF(OR(A88="",C88=""),"",E88-C88)</f>
        <v/>
      </c>
      <c r="H88" s="195">
        <f>IF(A88="","",LOG10(A88))</f>
        <v/>
      </c>
      <c r="I88" s="195">
        <f>IF(B88="","",LOG10(MAX(B88,1E-12)))</f>
        <v/>
      </c>
      <c r="J88" s="195">
        <f>IF(D88="","",LOG10(MAX(D88,1E-12)))</f>
        <v/>
      </c>
      <c r="K88">
        <f>IF(A88="","",ROUND(1+(LOG10(A88)-LOG10('入力・概要'!$B$38))*('入力・概要'!$B$40-1)/(LOG10('入力・概要'!$B$39)-LOG10('入力・概要'!$B$38)),0)+3)</f>
        <v/>
      </c>
      <c r="L88">
        <f>IF(K88="","",INDEX('差動モデル'!$B:$B,K88))</f>
        <v/>
      </c>
      <c r="M88">
        <f>IF(A88="","",IF(ABS(L88/A88-1)&lt;0.01,"周波数差&lt;1%","周波数差あり"))</f>
        <v/>
      </c>
    </row>
    <row r="89">
      <c r="A89" s="197" t="n"/>
      <c r="B89" s="198" t="n"/>
      <c r="C89" s="198" t="n"/>
      <c r="D89" s="195">
        <f>IF(K89="","",INDEX('差動モデル'!$R:$R,K89))</f>
        <v/>
      </c>
      <c r="E89" s="195">
        <f>IF(K89="","",INDEX('差動モデル'!$S:$S,K89))</f>
        <v/>
      </c>
      <c r="F89" s="195">
        <f>IF(OR(A89="",B89=""),"",100*(D89-B89)/MAX(B89,1E-12))</f>
        <v/>
      </c>
      <c r="G89" s="195">
        <f>IF(OR(A89="",C89=""),"",E89-C89)</f>
        <v/>
      </c>
      <c r="H89" s="195">
        <f>IF(A89="","",LOG10(A89))</f>
        <v/>
      </c>
      <c r="I89" s="195">
        <f>IF(B89="","",LOG10(MAX(B89,1E-12)))</f>
        <v/>
      </c>
      <c r="J89" s="195">
        <f>IF(D89="","",LOG10(MAX(D89,1E-12)))</f>
        <v/>
      </c>
      <c r="K89">
        <f>IF(A89="","",ROUND(1+(LOG10(A89)-LOG10('入力・概要'!$B$38))*('入力・概要'!$B$40-1)/(LOG10('入力・概要'!$B$39)-LOG10('入力・概要'!$B$38)),0)+3)</f>
        <v/>
      </c>
      <c r="L89">
        <f>IF(K89="","",INDEX('差動モデル'!$B:$B,K89))</f>
        <v/>
      </c>
      <c r="M89">
        <f>IF(A89="","",IF(ABS(L89/A89-1)&lt;0.01,"周波数差&lt;1%","周波数差あり"))</f>
        <v/>
      </c>
    </row>
    <row r="90">
      <c r="A90" s="197" t="n"/>
      <c r="B90" s="198" t="n"/>
      <c r="C90" s="198" t="n"/>
      <c r="D90" s="195">
        <f>IF(K90="","",INDEX('差動モデル'!$R:$R,K90))</f>
        <v/>
      </c>
      <c r="E90" s="195">
        <f>IF(K90="","",INDEX('差動モデル'!$S:$S,K90))</f>
        <v/>
      </c>
      <c r="F90" s="195">
        <f>IF(OR(A90="",B90=""),"",100*(D90-B90)/MAX(B90,1E-12))</f>
        <v/>
      </c>
      <c r="G90" s="195">
        <f>IF(OR(A90="",C90=""),"",E90-C90)</f>
        <v/>
      </c>
      <c r="H90" s="195">
        <f>IF(A90="","",LOG10(A90))</f>
        <v/>
      </c>
      <c r="I90" s="195">
        <f>IF(B90="","",LOG10(MAX(B90,1E-12)))</f>
        <v/>
      </c>
      <c r="J90" s="195">
        <f>IF(D90="","",LOG10(MAX(D90,1E-12)))</f>
        <v/>
      </c>
      <c r="K90">
        <f>IF(A90="","",ROUND(1+(LOG10(A90)-LOG10('入力・概要'!$B$38))*('入力・概要'!$B$40-1)/(LOG10('入力・概要'!$B$39)-LOG10('入力・概要'!$B$38)),0)+3)</f>
        <v/>
      </c>
      <c r="L90">
        <f>IF(K90="","",INDEX('差動モデル'!$B:$B,K90))</f>
        <v/>
      </c>
      <c r="M90">
        <f>IF(A90="","",IF(ABS(L90/A90-1)&lt;0.01,"周波数差&lt;1%","周波数差あり"))</f>
        <v/>
      </c>
    </row>
    <row r="91">
      <c r="A91" s="197" t="n"/>
      <c r="B91" s="198" t="n"/>
      <c r="C91" s="198" t="n"/>
      <c r="D91" s="195">
        <f>IF(K91="","",INDEX('差動モデル'!$R:$R,K91))</f>
        <v/>
      </c>
      <c r="E91" s="195">
        <f>IF(K91="","",INDEX('差動モデル'!$S:$S,K91))</f>
        <v/>
      </c>
      <c r="F91" s="195">
        <f>IF(OR(A91="",B91=""),"",100*(D91-B91)/MAX(B91,1E-12))</f>
        <v/>
      </c>
      <c r="G91" s="195">
        <f>IF(OR(A91="",C91=""),"",E91-C91)</f>
        <v/>
      </c>
      <c r="H91" s="195">
        <f>IF(A91="","",LOG10(A91))</f>
        <v/>
      </c>
      <c r="I91" s="195">
        <f>IF(B91="","",LOG10(MAX(B91,1E-12)))</f>
        <v/>
      </c>
      <c r="J91" s="195">
        <f>IF(D91="","",LOG10(MAX(D91,1E-12)))</f>
        <v/>
      </c>
      <c r="K91">
        <f>IF(A91="","",ROUND(1+(LOG10(A91)-LOG10('入力・概要'!$B$38))*('入力・概要'!$B$40-1)/(LOG10('入力・概要'!$B$39)-LOG10('入力・概要'!$B$38)),0)+3)</f>
        <v/>
      </c>
      <c r="L91">
        <f>IF(K91="","",INDEX('差動モデル'!$B:$B,K91))</f>
        <v/>
      </c>
      <c r="M91">
        <f>IF(A91="","",IF(ABS(L91/A91-1)&lt;0.01,"周波数差&lt;1%","周波数差あり"))</f>
        <v/>
      </c>
    </row>
    <row r="92">
      <c r="A92" s="197" t="n"/>
      <c r="B92" s="198" t="n"/>
      <c r="C92" s="198" t="n"/>
      <c r="D92" s="195">
        <f>IF(K92="","",INDEX('差動モデル'!$R:$R,K92))</f>
        <v/>
      </c>
      <c r="E92" s="195">
        <f>IF(K92="","",INDEX('差動モデル'!$S:$S,K92))</f>
        <v/>
      </c>
      <c r="F92" s="195">
        <f>IF(OR(A92="",B92=""),"",100*(D92-B92)/MAX(B92,1E-12))</f>
        <v/>
      </c>
      <c r="G92" s="195">
        <f>IF(OR(A92="",C92=""),"",E92-C92)</f>
        <v/>
      </c>
      <c r="H92" s="195">
        <f>IF(A92="","",LOG10(A92))</f>
        <v/>
      </c>
      <c r="I92" s="195">
        <f>IF(B92="","",LOG10(MAX(B92,1E-12)))</f>
        <v/>
      </c>
      <c r="J92" s="195">
        <f>IF(D92="","",LOG10(MAX(D92,1E-12)))</f>
        <v/>
      </c>
      <c r="K92">
        <f>IF(A92="","",ROUND(1+(LOG10(A92)-LOG10('入力・概要'!$B$38))*('入力・概要'!$B$40-1)/(LOG10('入力・概要'!$B$39)-LOG10('入力・概要'!$B$38)),0)+3)</f>
        <v/>
      </c>
      <c r="L92">
        <f>IF(K92="","",INDEX('差動モデル'!$B:$B,K92))</f>
        <v/>
      </c>
      <c r="M92">
        <f>IF(A92="","",IF(ABS(L92/A92-1)&lt;0.01,"周波数差&lt;1%","周波数差あり"))</f>
        <v/>
      </c>
    </row>
    <row r="93">
      <c r="A93" s="197" t="n"/>
      <c r="B93" s="198" t="n"/>
      <c r="C93" s="198" t="n"/>
      <c r="D93" s="195">
        <f>IF(K93="","",INDEX('差動モデル'!$R:$R,K93))</f>
        <v/>
      </c>
      <c r="E93" s="195">
        <f>IF(K93="","",INDEX('差動モデル'!$S:$S,K93))</f>
        <v/>
      </c>
      <c r="F93" s="195">
        <f>IF(OR(A93="",B93=""),"",100*(D93-B93)/MAX(B93,1E-12))</f>
        <v/>
      </c>
      <c r="G93" s="195">
        <f>IF(OR(A93="",C93=""),"",E93-C93)</f>
        <v/>
      </c>
      <c r="H93" s="195">
        <f>IF(A93="","",LOG10(A93))</f>
        <v/>
      </c>
      <c r="I93" s="195">
        <f>IF(B93="","",LOG10(MAX(B93,1E-12)))</f>
        <v/>
      </c>
      <c r="J93" s="195">
        <f>IF(D93="","",LOG10(MAX(D93,1E-12)))</f>
        <v/>
      </c>
      <c r="K93">
        <f>IF(A93="","",ROUND(1+(LOG10(A93)-LOG10('入力・概要'!$B$38))*('入力・概要'!$B$40-1)/(LOG10('入力・概要'!$B$39)-LOG10('入力・概要'!$B$38)),0)+3)</f>
        <v/>
      </c>
      <c r="L93">
        <f>IF(K93="","",INDEX('差動モデル'!$B:$B,K93))</f>
        <v/>
      </c>
      <c r="M93">
        <f>IF(A93="","",IF(ABS(L93/A93-1)&lt;0.01,"周波数差&lt;1%","周波数差あり"))</f>
        <v/>
      </c>
    </row>
    <row r="94">
      <c r="A94" s="197" t="n"/>
      <c r="B94" s="198" t="n"/>
      <c r="C94" s="198" t="n"/>
      <c r="D94" s="195">
        <f>IF(K94="","",INDEX('差動モデル'!$R:$R,K94))</f>
        <v/>
      </c>
      <c r="E94" s="195">
        <f>IF(K94="","",INDEX('差動モデル'!$S:$S,K94))</f>
        <v/>
      </c>
      <c r="F94" s="195">
        <f>IF(OR(A94="",B94=""),"",100*(D94-B94)/MAX(B94,1E-12))</f>
        <v/>
      </c>
      <c r="G94" s="195">
        <f>IF(OR(A94="",C94=""),"",E94-C94)</f>
        <v/>
      </c>
      <c r="H94" s="195">
        <f>IF(A94="","",LOG10(A94))</f>
        <v/>
      </c>
      <c r="I94" s="195">
        <f>IF(B94="","",LOG10(MAX(B94,1E-12)))</f>
        <v/>
      </c>
      <c r="J94" s="195">
        <f>IF(D94="","",LOG10(MAX(D94,1E-12)))</f>
        <v/>
      </c>
      <c r="K94">
        <f>IF(A94="","",ROUND(1+(LOG10(A94)-LOG10('入力・概要'!$B$38))*('入力・概要'!$B$40-1)/(LOG10('入力・概要'!$B$39)-LOG10('入力・概要'!$B$38)),0)+3)</f>
        <v/>
      </c>
      <c r="L94">
        <f>IF(K94="","",INDEX('差動モデル'!$B:$B,K94))</f>
        <v/>
      </c>
      <c r="M94">
        <f>IF(A94="","",IF(ABS(L94/A94-1)&lt;0.01,"周波数差&lt;1%","周波数差あり"))</f>
        <v/>
      </c>
    </row>
    <row r="95">
      <c r="A95" s="197" t="n"/>
      <c r="B95" s="198" t="n"/>
      <c r="C95" s="198" t="n"/>
      <c r="D95" s="195">
        <f>IF(K95="","",INDEX('差動モデル'!$R:$R,K95))</f>
        <v/>
      </c>
      <c r="E95" s="195">
        <f>IF(K95="","",INDEX('差動モデル'!$S:$S,K95))</f>
        <v/>
      </c>
      <c r="F95" s="195">
        <f>IF(OR(A95="",B95=""),"",100*(D95-B95)/MAX(B95,1E-12))</f>
        <v/>
      </c>
      <c r="G95" s="195">
        <f>IF(OR(A95="",C95=""),"",E95-C95)</f>
        <v/>
      </c>
      <c r="H95" s="195">
        <f>IF(A95="","",LOG10(A95))</f>
        <v/>
      </c>
      <c r="I95" s="195">
        <f>IF(B95="","",LOG10(MAX(B95,1E-12)))</f>
        <v/>
      </c>
      <c r="J95" s="195">
        <f>IF(D95="","",LOG10(MAX(D95,1E-12)))</f>
        <v/>
      </c>
      <c r="K95">
        <f>IF(A95="","",ROUND(1+(LOG10(A95)-LOG10('入力・概要'!$B$38))*('入力・概要'!$B$40-1)/(LOG10('入力・概要'!$B$39)-LOG10('入力・概要'!$B$38)),0)+3)</f>
        <v/>
      </c>
      <c r="L95">
        <f>IF(K95="","",INDEX('差動モデル'!$B:$B,K95))</f>
        <v/>
      </c>
      <c r="M95">
        <f>IF(A95="","",IF(ABS(L95/A95-1)&lt;0.01,"周波数差&lt;1%","周波数差あり"))</f>
        <v/>
      </c>
    </row>
    <row r="96">
      <c r="A96" s="197" t="n"/>
      <c r="B96" s="198" t="n"/>
      <c r="C96" s="198" t="n"/>
      <c r="D96" s="195">
        <f>IF(K96="","",INDEX('差動モデル'!$R:$R,K96))</f>
        <v/>
      </c>
      <c r="E96" s="195">
        <f>IF(K96="","",INDEX('差動モデル'!$S:$S,K96))</f>
        <v/>
      </c>
      <c r="F96" s="195">
        <f>IF(OR(A96="",B96=""),"",100*(D96-B96)/MAX(B96,1E-12))</f>
        <v/>
      </c>
      <c r="G96" s="195">
        <f>IF(OR(A96="",C96=""),"",E96-C96)</f>
        <v/>
      </c>
      <c r="H96" s="195">
        <f>IF(A96="","",LOG10(A96))</f>
        <v/>
      </c>
      <c r="I96" s="195">
        <f>IF(B96="","",LOG10(MAX(B96,1E-12)))</f>
        <v/>
      </c>
      <c r="J96" s="195">
        <f>IF(D96="","",LOG10(MAX(D96,1E-12)))</f>
        <v/>
      </c>
      <c r="K96">
        <f>IF(A96="","",ROUND(1+(LOG10(A96)-LOG10('入力・概要'!$B$38))*('入力・概要'!$B$40-1)/(LOG10('入力・概要'!$B$39)-LOG10('入力・概要'!$B$38)),0)+3)</f>
        <v/>
      </c>
      <c r="L96">
        <f>IF(K96="","",INDEX('差動モデル'!$B:$B,K96))</f>
        <v/>
      </c>
      <c r="M96">
        <f>IF(A96="","",IF(ABS(L96/A96-1)&lt;0.01,"周波数差&lt;1%","周波数差あり"))</f>
        <v/>
      </c>
    </row>
    <row r="97">
      <c r="A97" s="197" t="n"/>
      <c r="B97" s="198" t="n"/>
      <c r="C97" s="198" t="n"/>
      <c r="D97" s="195">
        <f>IF(K97="","",INDEX('差動モデル'!$R:$R,K97))</f>
        <v/>
      </c>
      <c r="E97" s="195">
        <f>IF(K97="","",INDEX('差動モデル'!$S:$S,K97))</f>
        <v/>
      </c>
      <c r="F97" s="195">
        <f>IF(OR(A97="",B97=""),"",100*(D97-B97)/MAX(B97,1E-12))</f>
        <v/>
      </c>
      <c r="G97" s="195">
        <f>IF(OR(A97="",C97=""),"",E97-C97)</f>
        <v/>
      </c>
      <c r="H97" s="195">
        <f>IF(A97="","",LOG10(A97))</f>
        <v/>
      </c>
      <c r="I97" s="195">
        <f>IF(B97="","",LOG10(MAX(B97,1E-12)))</f>
        <v/>
      </c>
      <c r="J97" s="195">
        <f>IF(D97="","",LOG10(MAX(D97,1E-12)))</f>
        <v/>
      </c>
      <c r="K97">
        <f>IF(A97="","",ROUND(1+(LOG10(A97)-LOG10('入力・概要'!$B$38))*('入力・概要'!$B$40-1)/(LOG10('入力・概要'!$B$39)-LOG10('入力・概要'!$B$38)),0)+3)</f>
        <v/>
      </c>
      <c r="L97">
        <f>IF(K97="","",INDEX('差動モデル'!$B:$B,K97))</f>
        <v/>
      </c>
      <c r="M97">
        <f>IF(A97="","",IF(ABS(L97/A97-1)&lt;0.01,"周波数差&lt;1%","周波数差あり"))</f>
        <v/>
      </c>
    </row>
    <row r="98">
      <c r="A98" s="197" t="n"/>
      <c r="B98" s="198" t="n"/>
      <c r="C98" s="198" t="n"/>
      <c r="D98" s="195">
        <f>IF(K98="","",INDEX('差動モデル'!$R:$R,K98))</f>
        <v/>
      </c>
      <c r="E98" s="195">
        <f>IF(K98="","",INDEX('差動モデル'!$S:$S,K98))</f>
        <v/>
      </c>
      <c r="F98" s="195">
        <f>IF(OR(A98="",B98=""),"",100*(D98-B98)/MAX(B98,1E-12))</f>
        <v/>
      </c>
      <c r="G98" s="195">
        <f>IF(OR(A98="",C98=""),"",E98-C98)</f>
        <v/>
      </c>
      <c r="H98" s="195">
        <f>IF(A98="","",LOG10(A98))</f>
        <v/>
      </c>
      <c r="I98" s="195">
        <f>IF(B98="","",LOG10(MAX(B98,1E-12)))</f>
        <v/>
      </c>
      <c r="J98" s="195">
        <f>IF(D98="","",LOG10(MAX(D98,1E-12)))</f>
        <v/>
      </c>
      <c r="K98">
        <f>IF(A98="","",ROUND(1+(LOG10(A98)-LOG10('入力・概要'!$B$38))*('入力・概要'!$B$40-1)/(LOG10('入力・概要'!$B$39)-LOG10('入力・概要'!$B$38)),0)+3)</f>
        <v/>
      </c>
      <c r="L98">
        <f>IF(K98="","",INDEX('差動モデル'!$B:$B,K98))</f>
        <v/>
      </c>
      <c r="M98">
        <f>IF(A98="","",IF(ABS(L98/A98-1)&lt;0.01,"周波数差&lt;1%","周波数差あり"))</f>
        <v/>
      </c>
    </row>
    <row r="99">
      <c r="A99" s="197" t="n"/>
      <c r="B99" s="198" t="n"/>
      <c r="C99" s="198" t="n"/>
      <c r="D99" s="195">
        <f>IF(K99="","",INDEX('差動モデル'!$R:$R,K99))</f>
        <v/>
      </c>
      <c r="E99" s="195">
        <f>IF(K99="","",INDEX('差動モデル'!$S:$S,K99))</f>
        <v/>
      </c>
      <c r="F99" s="195">
        <f>IF(OR(A99="",B99=""),"",100*(D99-B99)/MAX(B99,1E-12))</f>
        <v/>
      </c>
      <c r="G99" s="195">
        <f>IF(OR(A99="",C99=""),"",E99-C99)</f>
        <v/>
      </c>
      <c r="H99" s="195">
        <f>IF(A99="","",LOG10(A99))</f>
        <v/>
      </c>
      <c r="I99" s="195">
        <f>IF(B99="","",LOG10(MAX(B99,1E-12)))</f>
        <v/>
      </c>
      <c r="J99" s="195">
        <f>IF(D99="","",LOG10(MAX(D99,1E-12)))</f>
        <v/>
      </c>
      <c r="K99">
        <f>IF(A99="","",ROUND(1+(LOG10(A99)-LOG10('入力・概要'!$B$38))*('入力・概要'!$B$40-1)/(LOG10('入力・概要'!$B$39)-LOG10('入力・概要'!$B$38)),0)+3)</f>
        <v/>
      </c>
      <c r="L99">
        <f>IF(K99="","",INDEX('差動モデル'!$B:$B,K99))</f>
        <v/>
      </c>
      <c r="M99">
        <f>IF(A99="","",IF(ABS(L99/A99-1)&lt;0.01,"周波数差&lt;1%","周波数差あり"))</f>
        <v/>
      </c>
    </row>
    <row r="100">
      <c r="A100" s="197" t="n"/>
      <c r="B100" s="198" t="n"/>
      <c r="C100" s="198" t="n"/>
      <c r="D100" s="195">
        <f>IF(K100="","",INDEX('差動モデル'!$R:$R,K100))</f>
        <v/>
      </c>
      <c r="E100" s="195">
        <f>IF(K100="","",INDEX('差動モデル'!$S:$S,K100))</f>
        <v/>
      </c>
      <c r="F100" s="195">
        <f>IF(OR(A100="",B100=""),"",100*(D100-B100)/MAX(B100,1E-12))</f>
        <v/>
      </c>
      <c r="G100" s="195">
        <f>IF(OR(A100="",C100=""),"",E100-C100)</f>
        <v/>
      </c>
      <c r="H100" s="195">
        <f>IF(A100="","",LOG10(A100))</f>
        <v/>
      </c>
      <c r="I100" s="195">
        <f>IF(B100="","",LOG10(MAX(B100,1E-12)))</f>
        <v/>
      </c>
      <c r="J100" s="195">
        <f>IF(D100="","",LOG10(MAX(D100,1E-12)))</f>
        <v/>
      </c>
      <c r="K100">
        <f>IF(A100="","",ROUND(1+(LOG10(A100)-LOG10('入力・概要'!$B$38))*('入力・概要'!$B$40-1)/(LOG10('入力・概要'!$B$39)-LOG10('入力・概要'!$B$38)),0)+3)</f>
        <v/>
      </c>
      <c r="L100">
        <f>IF(K100="","",INDEX('差動モデル'!$B:$B,K100))</f>
        <v/>
      </c>
      <c r="M100">
        <f>IF(A100="","",IF(ABS(L100/A100-1)&lt;0.01,"周波数差&lt;1%","周波数差あり"))</f>
        <v/>
      </c>
    </row>
    <row r="101">
      <c r="A101" s="197" t="n"/>
      <c r="B101" s="198" t="n"/>
      <c r="C101" s="198" t="n"/>
      <c r="D101" s="195">
        <f>IF(K101="","",INDEX('差動モデル'!$R:$R,K101))</f>
        <v/>
      </c>
      <c r="E101" s="195">
        <f>IF(K101="","",INDEX('差動モデル'!$S:$S,K101))</f>
        <v/>
      </c>
      <c r="F101" s="195">
        <f>IF(OR(A101="",B101=""),"",100*(D101-B101)/MAX(B101,1E-12))</f>
        <v/>
      </c>
      <c r="G101" s="195">
        <f>IF(OR(A101="",C101=""),"",E101-C101)</f>
        <v/>
      </c>
      <c r="H101" s="195">
        <f>IF(A101="","",LOG10(A101))</f>
        <v/>
      </c>
      <c r="I101" s="195">
        <f>IF(B101="","",LOG10(MAX(B101,1E-12)))</f>
        <v/>
      </c>
      <c r="J101" s="195">
        <f>IF(D101="","",LOG10(MAX(D101,1E-12)))</f>
        <v/>
      </c>
      <c r="K101">
        <f>IF(A101="","",ROUND(1+(LOG10(A101)-LOG10('入力・概要'!$B$38))*('入力・概要'!$B$40-1)/(LOG10('入力・概要'!$B$39)-LOG10('入力・概要'!$B$38)),0)+3)</f>
        <v/>
      </c>
      <c r="L101">
        <f>IF(K101="","",INDEX('差動モデル'!$B:$B,K101))</f>
        <v/>
      </c>
      <c r="M101">
        <f>IF(A101="","",IF(ABS(L101/A101-1)&lt;0.01,"周波数差&lt;1%","周波数差あり"))</f>
        <v/>
      </c>
    </row>
    <row r="102">
      <c r="A102" s="197" t="n"/>
      <c r="B102" s="198" t="n"/>
      <c r="C102" s="198" t="n"/>
      <c r="D102" s="195">
        <f>IF(K102="","",INDEX('差動モデル'!$R:$R,K102))</f>
        <v/>
      </c>
      <c r="E102" s="195">
        <f>IF(K102="","",INDEX('差動モデル'!$S:$S,K102))</f>
        <v/>
      </c>
      <c r="F102" s="195">
        <f>IF(OR(A102="",B102=""),"",100*(D102-B102)/MAX(B102,1E-12))</f>
        <v/>
      </c>
      <c r="G102" s="195">
        <f>IF(OR(A102="",C102=""),"",E102-C102)</f>
        <v/>
      </c>
      <c r="H102" s="195">
        <f>IF(A102="","",LOG10(A102))</f>
        <v/>
      </c>
      <c r="I102" s="195">
        <f>IF(B102="","",LOG10(MAX(B102,1E-12)))</f>
        <v/>
      </c>
      <c r="J102" s="195">
        <f>IF(D102="","",LOG10(MAX(D102,1E-12)))</f>
        <v/>
      </c>
      <c r="K102">
        <f>IF(A102="","",ROUND(1+(LOG10(A102)-LOG10('入力・概要'!$B$38))*('入力・概要'!$B$40-1)/(LOG10('入力・概要'!$B$39)-LOG10('入力・概要'!$B$38)),0)+3)</f>
        <v/>
      </c>
      <c r="L102">
        <f>IF(K102="","",INDEX('差動モデル'!$B:$B,K102))</f>
        <v/>
      </c>
      <c r="M102">
        <f>IF(A102="","",IF(ABS(L102/A102-1)&lt;0.01,"周波数差&lt;1%","周波数差あり"))</f>
        <v/>
      </c>
    </row>
    <row r="103">
      <c r="A103" s="197" t="n"/>
      <c r="B103" s="198" t="n"/>
      <c r="C103" s="198" t="n"/>
      <c r="D103" s="195">
        <f>IF(K103="","",INDEX('差動モデル'!$R:$R,K103))</f>
        <v/>
      </c>
      <c r="E103" s="195">
        <f>IF(K103="","",INDEX('差動モデル'!$S:$S,K103))</f>
        <v/>
      </c>
      <c r="F103" s="195">
        <f>IF(OR(A103="",B103=""),"",100*(D103-B103)/MAX(B103,1E-12))</f>
        <v/>
      </c>
      <c r="G103" s="195">
        <f>IF(OR(A103="",C103=""),"",E103-C103)</f>
        <v/>
      </c>
      <c r="H103" s="195">
        <f>IF(A103="","",LOG10(A103))</f>
        <v/>
      </c>
      <c r="I103" s="195">
        <f>IF(B103="","",LOG10(MAX(B103,1E-12)))</f>
        <v/>
      </c>
      <c r="J103" s="195">
        <f>IF(D103="","",LOG10(MAX(D103,1E-12)))</f>
        <v/>
      </c>
      <c r="K103">
        <f>IF(A103="","",ROUND(1+(LOG10(A103)-LOG10('入力・概要'!$B$38))*('入力・概要'!$B$40-1)/(LOG10('入力・概要'!$B$39)-LOG10('入力・概要'!$B$38)),0)+3)</f>
        <v/>
      </c>
      <c r="L103">
        <f>IF(K103="","",INDEX('差動モデル'!$B:$B,K103))</f>
        <v/>
      </c>
      <c r="M103">
        <f>IF(A103="","",IF(ABS(L103/A103-1)&lt;0.01,"周波数差&lt;1%","周波数差あり"))</f>
        <v/>
      </c>
    </row>
    <row r="104">
      <c r="A104" s="197" t="n"/>
      <c r="B104" s="198" t="n"/>
      <c r="C104" s="198" t="n"/>
      <c r="D104" s="195">
        <f>IF(K104="","",INDEX('差動モデル'!$R:$R,K104))</f>
        <v/>
      </c>
      <c r="E104" s="195">
        <f>IF(K104="","",INDEX('差動モデル'!$S:$S,K104))</f>
        <v/>
      </c>
      <c r="F104" s="195">
        <f>IF(OR(A104="",B104=""),"",100*(D104-B104)/MAX(B104,1E-12))</f>
        <v/>
      </c>
      <c r="G104" s="195">
        <f>IF(OR(A104="",C104=""),"",E104-C104)</f>
        <v/>
      </c>
      <c r="H104" s="195">
        <f>IF(A104="","",LOG10(A104))</f>
        <v/>
      </c>
      <c r="I104" s="195">
        <f>IF(B104="","",LOG10(MAX(B104,1E-12)))</f>
        <v/>
      </c>
      <c r="J104" s="195">
        <f>IF(D104="","",LOG10(MAX(D104,1E-12)))</f>
        <v/>
      </c>
      <c r="K104">
        <f>IF(A104="","",ROUND(1+(LOG10(A104)-LOG10('入力・概要'!$B$38))*('入力・概要'!$B$40-1)/(LOG10('入力・概要'!$B$39)-LOG10('入力・概要'!$B$38)),0)+3)</f>
        <v/>
      </c>
      <c r="L104">
        <f>IF(K104="","",INDEX('差動モデル'!$B:$B,K104))</f>
        <v/>
      </c>
      <c r="M104">
        <f>IF(A104="","",IF(ABS(L104/A104-1)&lt;0.01,"周波数差&lt;1%","周波数差あり"))</f>
        <v/>
      </c>
    </row>
    <row r="105">
      <c r="A105" s="197" t="n"/>
      <c r="B105" s="198" t="n"/>
      <c r="C105" s="198" t="n"/>
      <c r="D105" s="195">
        <f>IF(K105="","",INDEX('差動モデル'!$R:$R,K105))</f>
        <v/>
      </c>
      <c r="E105" s="195">
        <f>IF(K105="","",INDEX('差動モデル'!$S:$S,K105))</f>
        <v/>
      </c>
      <c r="F105" s="195">
        <f>IF(OR(A105="",B105=""),"",100*(D105-B105)/MAX(B105,1E-12))</f>
        <v/>
      </c>
      <c r="G105" s="195">
        <f>IF(OR(A105="",C105=""),"",E105-C105)</f>
        <v/>
      </c>
      <c r="H105" s="195">
        <f>IF(A105="","",LOG10(A105))</f>
        <v/>
      </c>
      <c r="I105" s="195">
        <f>IF(B105="","",LOG10(MAX(B105,1E-12)))</f>
        <v/>
      </c>
      <c r="J105" s="195">
        <f>IF(D105="","",LOG10(MAX(D105,1E-12)))</f>
        <v/>
      </c>
      <c r="K105">
        <f>IF(A105="","",ROUND(1+(LOG10(A105)-LOG10('入力・概要'!$B$38))*('入力・概要'!$B$40-1)/(LOG10('入力・概要'!$B$39)-LOG10('入力・概要'!$B$38)),0)+3)</f>
        <v/>
      </c>
      <c r="L105">
        <f>IF(K105="","",INDEX('差動モデル'!$B:$B,K105))</f>
        <v/>
      </c>
      <c r="M105">
        <f>IF(A105="","",IF(ABS(L105/A105-1)&lt;0.01,"周波数差&lt;1%","周波数差あり"))</f>
        <v/>
      </c>
    </row>
    <row r="106">
      <c r="A106" s="197" t="n"/>
      <c r="B106" s="198" t="n"/>
      <c r="C106" s="198" t="n"/>
      <c r="D106" s="195">
        <f>IF(K106="","",INDEX('差動モデル'!$R:$R,K106))</f>
        <v/>
      </c>
      <c r="E106" s="195">
        <f>IF(K106="","",INDEX('差動モデル'!$S:$S,K106))</f>
        <v/>
      </c>
      <c r="F106" s="195">
        <f>IF(OR(A106="",B106=""),"",100*(D106-B106)/MAX(B106,1E-12))</f>
        <v/>
      </c>
      <c r="G106" s="195">
        <f>IF(OR(A106="",C106=""),"",E106-C106)</f>
        <v/>
      </c>
      <c r="H106" s="195">
        <f>IF(A106="","",LOG10(A106))</f>
        <v/>
      </c>
      <c r="I106" s="195">
        <f>IF(B106="","",LOG10(MAX(B106,1E-12)))</f>
        <v/>
      </c>
      <c r="J106" s="195">
        <f>IF(D106="","",LOG10(MAX(D106,1E-12)))</f>
        <v/>
      </c>
      <c r="K106">
        <f>IF(A106="","",ROUND(1+(LOG10(A106)-LOG10('入力・概要'!$B$38))*('入力・概要'!$B$40-1)/(LOG10('入力・概要'!$B$39)-LOG10('入力・概要'!$B$38)),0)+3)</f>
        <v/>
      </c>
      <c r="L106">
        <f>IF(K106="","",INDEX('差動モデル'!$B:$B,K106))</f>
        <v/>
      </c>
      <c r="M106">
        <f>IF(A106="","",IF(ABS(L106/A106-1)&lt;0.01,"周波数差&lt;1%","周波数差あり"))</f>
        <v/>
      </c>
    </row>
    <row r="107">
      <c r="A107" s="197" t="n"/>
      <c r="B107" s="198" t="n"/>
      <c r="C107" s="198" t="n"/>
      <c r="D107" s="195">
        <f>IF(K107="","",INDEX('差動モデル'!$R:$R,K107))</f>
        <v/>
      </c>
      <c r="E107" s="195">
        <f>IF(K107="","",INDEX('差動モデル'!$S:$S,K107))</f>
        <v/>
      </c>
      <c r="F107" s="195">
        <f>IF(OR(A107="",B107=""),"",100*(D107-B107)/MAX(B107,1E-12))</f>
        <v/>
      </c>
      <c r="G107" s="195">
        <f>IF(OR(A107="",C107=""),"",E107-C107)</f>
        <v/>
      </c>
      <c r="H107" s="195">
        <f>IF(A107="","",LOG10(A107))</f>
        <v/>
      </c>
      <c r="I107" s="195">
        <f>IF(B107="","",LOG10(MAX(B107,1E-12)))</f>
        <v/>
      </c>
      <c r="J107" s="195">
        <f>IF(D107="","",LOG10(MAX(D107,1E-12)))</f>
        <v/>
      </c>
      <c r="K107">
        <f>IF(A107="","",ROUND(1+(LOG10(A107)-LOG10('入力・概要'!$B$38))*('入力・概要'!$B$40-1)/(LOG10('入力・概要'!$B$39)-LOG10('入力・概要'!$B$38)),0)+3)</f>
        <v/>
      </c>
      <c r="L107">
        <f>IF(K107="","",INDEX('差動モデル'!$B:$B,K107))</f>
        <v/>
      </c>
      <c r="M107">
        <f>IF(A107="","",IF(ABS(L107/A107-1)&lt;0.01,"周波数差&lt;1%","周波数差あり"))</f>
        <v/>
      </c>
    </row>
    <row r="108">
      <c r="A108" s="197" t="n"/>
      <c r="B108" s="198" t="n"/>
      <c r="C108" s="198" t="n"/>
      <c r="D108" s="195">
        <f>IF(K108="","",INDEX('差動モデル'!$R:$R,K108))</f>
        <v/>
      </c>
      <c r="E108" s="195">
        <f>IF(K108="","",INDEX('差動モデル'!$S:$S,K108))</f>
        <v/>
      </c>
      <c r="F108" s="195">
        <f>IF(OR(A108="",B108=""),"",100*(D108-B108)/MAX(B108,1E-12))</f>
        <v/>
      </c>
      <c r="G108" s="195">
        <f>IF(OR(A108="",C108=""),"",E108-C108)</f>
        <v/>
      </c>
      <c r="H108" s="195">
        <f>IF(A108="","",LOG10(A108))</f>
        <v/>
      </c>
      <c r="I108" s="195">
        <f>IF(B108="","",LOG10(MAX(B108,1E-12)))</f>
        <v/>
      </c>
      <c r="J108" s="195">
        <f>IF(D108="","",LOG10(MAX(D108,1E-12)))</f>
        <v/>
      </c>
      <c r="K108">
        <f>IF(A108="","",ROUND(1+(LOG10(A108)-LOG10('入力・概要'!$B$38))*('入力・概要'!$B$40-1)/(LOG10('入力・概要'!$B$39)-LOG10('入力・概要'!$B$38)),0)+3)</f>
        <v/>
      </c>
      <c r="L108">
        <f>IF(K108="","",INDEX('差動モデル'!$B:$B,K108))</f>
        <v/>
      </c>
      <c r="M108">
        <f>IF(A108="","",IF(ABS(L108/A108-1)&lt;0.01,"周波数差&lt;1%","周波数差あり"))</f>
        <v/>
      </c>
    </row>
    <row r="109">
      <c r="A109" s="197" t="n"/>
      <c r="B109" s="198" t="n"/>
      <c r="C109" s="198" t="n"/>
      <c r="D109" s="195">
        <f>IF(K109="","",INDEX('差動モデル'!$R:$R,K109))</f>
        <v/>
      </c>
      <c r="E109" s="195">
        <f>IF(K109="","",INDEX('差動モデル'!$S:$S,K109))</f>
        <v/>
      </c>
      <c r="F109" s="195">
        <f>IF(OR(A109="",B109=""),"",100*(D109-B109)/MAX(B109,1E-12))</f>
        <v/>
      </c>
      <c r="G109" s="195">
        <f>IF(OR(A109="",C109=""),"",E109-C109)</f>
        <v/>
      </c>
      <c r="H109" s="195">
        <f>IF(A109="","",LOG10(A109))</f>
        <v/>
      </c>
      <c r="I109" s="195">
        <f>IF(B109="","",LOG10(MAX(B109,1E-12)))</f>
        <v/>
      </c>
      <c r="J109" s="195">
        <f>IF(D109="","",LOG10(MAX(D109,1E-12)))</f>
        <v/>
      </c>
      <c r="K109">
        <f>IF(A109="","",ROUND(1+(LOG10(A109)-LOG10('入力・概要'!$B$38))*('入力・概要'!$B$40-1)/(LOG10('入力・概要'!$B$39)-LOG10('入力・概要'!$B$38)),0)+3)</f>
        <v/>
      </c>
      <c r="L109">
        <f>IF(K109="","",INDEX('差動モデル'!$B:$B,K109))</f>
        <v/>
      </c>
      <c r="M109">
        <f>IF(A109="","",IF(ABS(L109/A109-1)&lt;0.01,"周波数差&lt;1%","周波数差あり"))</f>
        <v/>
      </c>
    </row>
    <row r="110">
      <c r="A110" s="197" t="n"/>
      <c r="B110" s="198" t="n"/>
      <c r="C110" s="198" t="n"/>
      <c r="D110" s="195">
        <f>IF(K110="","",INDEX('差動モデル'!$R:$R,K110))</f>
        <v/>
      </c>
      <c r="E110" s="195">
        <f>IF(K110="","",INDEX('差動モデル'!$S:$S,K110))</f>
        <v/>
      </c>
      <c r="F110" s="195">
        <f>IF(OR(A110="",B110=""),"",100*(D110-B110)/MAX(B110,1E-12))</f>
        <v/>
      </c>
      <c r="G110" s="195">
        <f>IF(OR(A110="",C110=""),"",E110-C110)</f>
        <v/>
      </c>
      <c r="H110" s="195">
        <f>IF(A110="","",LOG10(A110))</f>
        <v/>
      </c>
      <c r="I110" s="195">
        <f>IF(B110="","",LOG10(MAX(B110,1E-12)))</f>
        <v/>
      </c>
      <c r="J110" s="195">
        <f>IF(D110="","",LOG10(MAX(D110,1E-12)))</f>
        <v/>
      </c>
      <c r="K110">
        <f>IF(A110="","",ROUND(1+(LOG10(A110)-LOG10('入力・概要'!$B$38))*('入力・概要'!$B$40-1)/(LOG10('入力・概要'!$B$39)-LOG10('入力・概要'!$B$38)),0)+3)</f>
        <v/>
      </c>
      <c r="L110">
        <f>IF(K110="","",INDEX('差動モデル'!$B:$B,K110))</f>
        <v/>
      </c>
      <c r="M110">
        <f>IF(A110="","",IF(ABS(L110/A110-1)&lt;0.01,"周波数差&lt;1%","周波数差あり"))</f>
        <v/>
      </c>
    </row>
    <row r="111">
      <c r="A111" s="197" t="n"/>
      <c r="B111" s="198" t="n"/>
      <c r="C111" s="198" t="n"/>
      <c r="D111" s="195">
        <f>IF(K111="","",INDEX('差動モデル'!$R:$R,K111))</f>
        <v/>
      </c>
      <c r="E111" s="195">
        <f>IF(K111="","",INDEX('差動モデル'!$S:$S,K111))</f>
        <v/>
      </c>
      <c r="F111" s="195">
        <f>IF(OR(A111="",B111=""),"",100*(D111-B111)/MAX(B111,1E-12))</f>
        <v/>
      </c>
      <c r="G111" s="195">
        <f>IF(OR(A111="",C111=""),"",E111-C111)</f>
        <v/>
      </c>
      <c r="H111" s="195">
        <f>IF(A111="","",LOG10(A111))</f>
        <v/>
      </c>
      <c r="I111" s="195">
        <f>IF(B111="","",LOG10(MAX(B111,1E-12)))</f>
        <v/>
      </c>
      <c r="J111" s="195">
        <f>IF(D111="","",LOG10(MAX(D111,1E-12)))</f>
        <v/>
      </c>
      <c r="K111">
        <f>IF(A111="","",ROUND(1+(LOG10(A111)-LOG10('入力・概要'!$B$38))*('入力・概要'!$B$40-1)/(LOG10('入力・概要'!$B$39)-LOG10('入力・概要'!$B$38)),0)+3)</f>
        <v/>
      </c>
      <c r="L111">
        <f>IF(K111="","",INDEX('差動モデル'!$B:$B,K111))</f>
        <v/>
      </c>
      <c r="M111">
        <f>IF(A111="","",IF(ABS(L111/A111-1)&lt;0.01,"周波数差&lt;1%","周波数差あり"))</f>
        <v/>
      </c>
    </row>
    <row r="112">
      <c r="A112" s="197" t="n"/>
      <c r="B112" s="198" t="n"/>
      <c r="C112" s="198" t="n"/>
      <c r="D112" s="195">
        <f>IF(K112="","",INDEX('差動モデル'!$R:$R,K112))</f>
        <v/>
      </c>
      <c r="E112" s="195">
        <f>IF(K112="","",INDEX('差動モデル'!$S:$S,K112))</f>
        <v/>
      </c>
      <c r="F112" s="195">
        <f>IF(OR(A112="",B112=""),"",100*(D112-B112)/MAX(B112,1E-12))</f>
        <v/>
      </c>
      <c r="G112" s="195">
        <f>IF(OR(A112="",C112=""),"",E112-C112)</f>
        <v/>
      </c>
      <c r="H112" s="195">
        <f>IF(A112="","",LOG10(A112))</f>
        <v/>
      </c>
      <c r="I112" s="195">
        <f>IF(B112="","",LOG10(MAX(B112,1E-12)))</f>
        <v/>
      </c>
      <c r="J112" s="195">
        <f>IF(D112="","",LOG10(MAX(D112,1E-12)))</f>
        <v/>
      </c>
      <c r="K112">
        <f>IF(A112="","",ROUND(1+(LOG10(A112)-LOG10('入力・概要'!$B$38))*('入力・概要'!$B$40-1)/(LOG10('入力・概要'!$B$39)-LOG10('入力・概要'!$B$38)),0)+3)</f>
        <v/>
      </c>
      <c r="L112">
        <f>IF(K112="","",INDEX('差動モデル'!$B:$B,K112))</f>
        <v/>
      </c>
      <c r="M112">
        <f>IF(A112="","",IF(ABS(L112/A112-1)&lt;0.01,"周波数差&lt;1%","周波数差あり"))</f>
        <v/>
      </c>
    </row>
    <row r="113">
      <c r="A113" s="197" t="n"/>
      <c r="B113" s="198" t="n"/>
      <c r="C113" s="198" t="n"/>
      <c r="D113" s="195">
        <f>IF(K113="","",INDEX('差動モデル'!$R:$R,K113))</f>
        <v/>
      </c>
      <c r="E113" s="195">
        <f>IF(K113="","",INDEX('差動モデル'!$S:$S,K113))</f>
        <v/>
      </c>
      <c r="F113" s="195">
        <f>IF(OR(A113="",B113=""),"",100*(D113-B113)/MAX(B113,1E-12))</f>
        <v/>
      </c>
      <c r="G113" s="195">
        <f>IF(OR(A113="",C113=""),"",E113-C113)</f>
        <v/>
      </c>
      <c r="H113" s="195">
        <f>IF(A113="","",LOG10(A113))</f>
        <v/>
      </c>
      <c r="I113" s="195">
        <f>IF(B113="","",LOG10(MAX(B113,1E-12)))</f>
        <v/>
      </c>
      <c r="J113" s="195">
        <f>IF(D113="","",LOG10(MAX(D113,1E-12)))</f>
        <v/>
      </c>
      <c r="K113">
        <f>IF(A113="","",ROUND(1+(LOG10(A113)-LOG10('入力・概要'!$B$38))*('入力・概要'!$B$40-1)/(LOG10('入力・概要'!$B$39)-LOG10('入力・概要'!$B$38)),0)+3)</f>
        <v/>
      </c>
      <c r="L113">
        <f>IF(K113="","",INDEX('差動モデル'!$B:$B,K113))</f>
        <v/>
      </c>
      <c r="M113">
        <f>IF(A113="","",IF(ABS(L113/A113-1)&lt;0.01,"周波数差&lt;1%","周波数差あり"))</f>
        <v/>
      </c>
    </row>
    <row r="114">
      <c r="A114" s="197" t="n"/>
      <c r="B114" s="198" t="n"/>
      <c r="C114" s="198" t="n"/>
      <c r="D114" s="195">
        <f>IF(K114="","",INDEX('差動モデル'!$R:$R,K114))</f>
        <v/>
      </c>
      <c r="E114" s="195">
        <f>IF(K114="","",INDEX('差動モデル'!$S:$S,K114))</f>
        <v/>
      </c>
      <c r="F114" s="195">
        <f>IF(OR(A114="",B114=""),"",100*(D114-B114)/MAX(B114,1E-12))</f>
        <v/>
      </c>
      <c r="G114" s="195">
        <f>IF(OR(A114="",C114=""),"",E114-C114)</f>
        <v/>
      </c>
      <c r="H114" s="195">
        <f>IF(A114="","",LOG10(A114))</f>
        <v/>
      </c>
      <c r="I114" s="195">
        <f>IF(B114="","",LOG10(MAX(B114,1E-12)))</f>
        <v/>
      </c>
      <c r="J114" s="195">
        <f>IF(D114="","",LOG10(MAX(D114,1E-12)))</f>
        <v/>
      </c>
      <c r="K114">
        <f>IF(A114="","",ROUND(1+(LOG10(A114)-LOG10('入力・概要'!$B$38))*('入力・概要'!$B$40-1)/(LOG10('入力・概要'!$B$39)-LOG10('入力・概要'!$B$38)),0)+3)</f>
        <v/>
      </c>
      <c r="L114">
        <f>IF(K114="","",INDEX('差動モデル'!$B:$B,K114))</f>
        <v/>
      </c>
      <c r="M114">
        <f>IF(A114="","",IF(ABS(L114/A114-1)&lt;0.01,"周波数差&lt;1%","周波数差あり"))</f>
        <v/>
      </c>
    </row>
    <row r="115">
      <c r="A115" s="197" t="n"/>
      <c r="B115" s="198" t="n"/>
      <c r="C115" s="198" t="n"/>
      <c r="D115" s="195">
        <f>IF(K115="","",INDEX('差動モデル'!$R:$R,K115))</f>
        <v/>
      </c>
      <c r="E115" s="195">
        <f>IF(K115="","",INDEX('差動モデル'!$S:$S,K115))</f>
        <v/>
      </c>
      <c r="F115" s="195">
        <f>IF(OR(A115="",B115=""),"",100*(D115-B115)/MAX(B115,1E-12))</f>
        <v/>
      </c>
      <c r="G115" s="195">
        <f>IF(OR(A115="",C115=""),"",E115-C115)</f>
        <v/>
      </c>
      <c r="H115" s="195">
        <f>IF(A115="","",LOG10(A115))</f>
        <v/>
      </c>
      <c r="I115" s="195">
        <f>IF(B115="","",LOG10(MAX(B115,1E-12)))</f>
        <v/>
      </c>
      <c r="J115" s="195">
        <f>IF(D115="","",LOG10(MAX(D115,1E-12)))</f>
        <v/>
      </c>
      <c r="K115">
        <f>IF(A115="","",ROUND(1+(LOG10(A115)-LOG10('入力・概要'!$B$38))*('入力・概要'!$B$40-1)/(LOG10('入力・概要'!$B$39)-LOG10('入力・概要'!$B$38)),0)+3)</f>
        <v/>
      </c>
      <c r="L115">
        <f>IF(K115="","",INDEX('差動モデル'!$B:$B,K115))</f>
        <v/>
      </c>
      <c r="M115">
        <f>IF(A115="","",IF(ABS(L115/A115-1)&lt;0.01,"周波数差&lt;1%","周波数差あり"))</f>
        <v/>
      </c>
    </row>
    <row r="116">
      <c r="A116" s="197" t="n"/>
      <c r="B116" s="198" t="n"/>
      <c r="C116" s="198" t="n"/>
      <c r="D116" s="195">
        <f>IF(K116="","",INDEX('差動モデル'!$R:$R,K116))</f>
        <v/>
      </c>
      <c r="E116" s="195">
        <f>IF(K116="","",INDEX('差動モデル'!$S:$S,K116))</f>
        <v/>
      </c>
      <c r="F116" s="195">
        <f>IF(OR(A116="",B116=""),"",100*(D116-B116)/MAX(B116,1E-12))</f>
        <v/>
      </c>
      <c r="G116" s="195">
        <f>IF(OR(A116="",C116=""),"",E116-C116)</f>
        <v/>
      </c>
      <c r="H116" s="195">
        <f>IF(A116="","",LOG10(A116))</f>
        <v/>
      </c>
      <c r="I116" s="195">
        <f>IF(B116="","",LOG10(MAX(B116,1E-12)))</f>
        <v/>
      </c>
      <c r="J116" s="195">
        <f>IF(D116="","",LOG10(MAX(D116,1E-12)))</f>
        <v/>
      </c>
      <c r="K116">
        <f>IF(A116="","",ROUND(1+(LOG10(A116)-LOG10('入力・概要'!$B$38))*('入力・概要'!$B$40-1)/(LOG10('入力・概要'!$B$39)-LOG10('入力・概要'!$B$38)),0)+3)</f>
        <v/>
      </c>
      <c r="L116">
        <f>IF(K116="","",INDEX('差動モデル'!$B:$B,K116))</f>
        <v/>
      </c>
      <c r="M116">
        <f>IF(A116="","",IF(ABS(L116/A116-1)&lt;0.01,"周波数差&lt;1%","周波数差あり"))</f>
        <v/>
      </c>
    </row>
    <row r="117">
      <c r="A117" s="197" t="n"/>
      <c r="B117" s="198" t="n"/>
      <c r="C117" s="198" t="n"/>
      <c r="D117" s="195">
        <f>IF(K117="","",INDEX('差動モデル'!$R:$R,K117))</f>
        <v/>
      </c>
      <c r="E117" s="195">
        <f>IF(K117="","",INDEX('差動モデル'!$S:$S,K117))</f>
        <v/>
      </c>
      <c r="F117" s="195">
        <f>IF(OR(A117="",B117=""),"",100*(D117-B117)/MAX(B117,1E-12))</f>
        <v/>
      </c>
      <c r="G117" s="195">
        <f>IF(OR(A117="",C117=""),"",E117-C117)</f>
        <v/>
      </c>
      <c r="H117" s="195">
        <f>IF(A117="","",LOG10(A117))</f>
        <v/>
      </c>
      <c r="I117" s="195">
        <f>IF(B117="","",LOG10(MAX(B117,1E-12)))</f>
        <v/>
      </c>
      <c r="J117" s="195">
        <f>IF(D117="","",LOG10(MAX(D117,1E-12)))</f>
        <v/>
      </c>
      <c r="K117">
        <f>IF(A117="","",ROUND(1+(LOG10(A117)-LOG10('入力・概要'!$B$38))*('入力・概要'!$B$40-1)/(LOG10('入力・概要'!$B$39)-LOG10('入力・概要'!$B$38)),0)+3)</f>
        <v/>
      </c>
      <c r="L117">
        <f>IF(K117="","",INDEX('差動モデル'!$B:$B,K117))</f>
        <v/>
      </c>
      <c r="M117">
        <f>IF(A117="","",IF(ABS(L117/A117-1)&lt;0.01,"周波数差&lt;1%","周波数差あり"))</f>
        <v/>
      </c>
    </row>
    <row r="118">
      <c r="A118" s="197" t="n"/>
      <c r="B118" s="198" t="n"/>
      <c r="C118" s="198" t="n"/>
      <c r="D118" s="195">
        <f>IF(K118="","",INDEX('差動モデル'!$R:$R,K118))</f>
        <v/>
      </c>
      <c r="E118" s="195">
        <f>IF(K118="","",INDEX('差動モデル'!$S:$S,K118))</f>
        <v/>
      </c>
      <c r="F118" s="195">
        <f>IF(OR(A118="",B118=""),"",100*(D118-B118)/MAX(B118,1E-12))</f>
        <v/>
      </c>
      <c r="G118" s="195">
        <f>IF(OR(A118="",C118=""),"",E118-C118)</f>
        <v/>
      </c>
      <c r="H118" s="195">
        <f>IF(A118="","",LOG10(A118))</f>
        <v/>
      </c>
      <c r="I118" s="195">
        <f>IF(B118="","",LOG10(MAX(B118,1E-12)))</f>
        <v/>
      </c>
      <c r="J118" s="195">
        <f>IF(D118="","",LOG10(MAX(D118,1E-12)))</f>
        <v/>
      </c>
      <c r="K118">
        <f>IF(A118="","",ROUND(1+(LOG10(A118)-LOG10('入力・概要'!$B$38))*('入力・概要'!$B$40-1)/(LOG10('入力・概要'!$B$39)-LOG10('入力・概要'!$B$38)),0)+3)</f>
        <v/>
      </c>
      <c r="L118">
        <f>IF(K118="","",INDEX('差動モデル'!$B:$B,K118))</f>
        <v/>
      </c>
      <c r="M118">
        <f>IF(A118="","",IF(ABS(L118/A118-1)&lt;0.01,"周波数差&lt;1%","周波数差あり"))</f>
        <v/>
      </c>
    </row>
    <row r="119">
      <c r="A119" s="197" t="n"/>
      <c r="B119" s="198" t="n"/>
      <c r="C119" s="198" t="n"/>
      <c r="D119" s="195">
        <f>IF(K119="","",INDEX('差動モデル'!$R:$R,K119))</f>
        <v/>
      </c>
      <c r="E119" s="195">
        <f>IF(K119="","",INDEX('差動モデル'!$S:$S,K119))</f>
        <v/>
      </c>
      <c r="F119" s="195">
        <f>IF(OR(A119="",B119=""),"",100*(D119-B119)/MAX(B119,1E-12))</f>
        <v/>
      </c>
      <c r="G119" s="195">
        <f>IF(OR(A119="",C119=""),"",E119-C119)</f>
        <v/>
      </c>
      <c r="H119" s="195">
        <f>IF(A119="","",LOG10(A119))</f>
        <v/>
      </c>
      <c r="I119" s="195">
        <f>IF(B119="","",LOG10(MAX(B119,1E-12)))</f>
        <v/>
      </c>
      <c r="J119" s="195">
        <f>IF(D119="","",LOG10(MAX(D119,1E-12)))</f>
        <v/>
      </c>
      <c r="K119">
        <f>IF(A119="","",ROUND(1+(LOG10(A119)-LOG10('入力・概要'!$B$38))*('入力・概要'!$B$40-1)/(LOG10('入力・概要'!$B$39)-LOG10('入力・概要'!$B$38)),0)+3)</f>
        <v/>
      </c>
      <c r="L119">
        <f>IF(K119="","",INDEX('差動モデル'!$B:$B,K119))</f>
        <v/>
      </c>
      <c r="M119">
        <f>IF(A119="","",IF(ABS(L119/A119-1)&lt;0.01,"周波数差&lt;1%","周波数差あり"))</f>
        <v/>
      </c>
    </row>
    <row r="120">
      <c r="A120" s="197" t="n"/>
      <c r="B120" s="198" t="n"/>
      <c r="C120" s="198" t="n"/>
      <c r="D120" s="195">
        <f>IF(K120="","",INDEX('差動モデル'!$R:$R,K120))</f>
        <v/>
      </c>
      <c r="E120" s="195">
        <f>IF(K120="","",INDEX('差動モデル'!$S:$S,K120))</f>
        <v/>
      </c>
      <c r="F120" s="195">
        <f>IF(OR(A120="",B120=""),"",100*(D120-B120)/MAX(B120,1E-12))</f>
        <v/>
      </c>
      <c r="G120" s="195">
        <f>IF(OR(A120="",C120=""),"",E120-C120)</f>
        <v/>
      </c>
      <c r="H120" s="195">
        <f>IF(A120="","",LOG10(A120))</f>
        <v/>
      </c>
      <c r="I120" s="195">
        <f>IF(B120="","",LOG10(MAX(B120,1E-12)))</f>
        <v/>
      </c>
      <c r="J120" s="195">
        <f>IF(D120="","",LOG10(MAX(D120,1E-12)))</f>
        <v/>
      </c>
      <c r="K120">
        <f>IF(A120="","",ROUND(1+(LOG10(A120)-LOG10('入力・概要'!$B$38))*('入力・概要'!$B$40-1)/(LOG10('入力・概要'!$B$39)-LOG10('入力・概要'!$B$38)),0)+3)</f>
        <v/>
      </c>
      <c r="L120">
        <f>IF(K120="","",INDEX('差動モデル'!$B:$B,K120))</f>
        <v/>
      </c>
      <c r="M120">
        <f>IF(A120="","",IF(ABS(L120/A120-1)&lt;0.01,"周波数差&lt;1%","周波数差あり"))</f>
        <v/>
      </c>
    </row>
    <row r="121">
      <c r="A121" s="197" t="n"/>
      <c r="B121" s="198" t="n"/>
      <c r="C121" s="198" t="n"/>
      <c r="D121" s="195">
        <f>IF(K121="","",INDEX('差動モデル'!$R:$R,K121))</f>
        <v/>
      </c>
      <c r="E121" s="195">
        <f>IF(K121="","",INDEX('差動モデル'!$S:$S,K121))</f>
        <v/>
      </c>
      <c r="F121" s="195">
        <f>IF(OR(A121="",B121=""),"",100*(D121-B121)/MAX(B121,1E-12))</f>
        <v/>
      </c>
      <c r="G121" s="195">
        <f>IF(OR(A121="",C121=""),"",E121-C121)</f>
        <v/>
      </c>
      <c r="H121" s="195">
        <f>IF(A121="","",LOG10(A121))</f>
        <v/>
      </c>
      <c r="I121" s="195">
        <f>IF(B121="","",LOG10(MAX(B121,1E-12)))</f>
        <v/>
      </c>
      <c r="J121" s="195">
        <f>IF(D121="","",LOG10(MAX(D121,1E-12)))</f>
        <v/>
      </c>
      <c r="K121">
        <f>IF(A121="","",ROUND(1+(LOG10(A121)-LOG10('入力・概要'!$B$38))*('入力・概要'!$B$40-1)/(LOG10('入力・概要'!$B$39)-LOG10('入力・概要'!$B$38)),0)+3)</f>
        <v/>
      </c>
      <c r="L121">
        <f>IF(K121="","",INDEX('差動モデル'!$B:$B,K121))</f>
        <v/>
      </c>
      <c r="M121">
        <f>IF(A121="","",IF(ABS(L121/A121-1)&lt;0.01,"周波数差&lt;1%","周波数差あり"))</f>
        <v/>
      </c>
    </row>
    <row r="122">
      <c r="A122" s="197" t="n"/>
      <c r="B122" s="198" t="n"/>
      <c r="C122" s="198" t="n"/>
      <c r="D122" s="195">
        <f>IF(K122="","",INDEX('差動モデル'!$R:$R,K122))</f>
        <v/>
      </c>
      <c r="E122" s="195">
        <f>IF(K122="","",INDEX('差動モデル'!$S:$S,K122))</f>
        <v/>
      </c>
      <c r="F122" s="195">
        <f>IF(OR(A122="",B122=""),"",100*(D122-B122)/MAX(B122,1E-12))</f>
        <v/>
      </c>
      <c r="G122" s="195">
        <f>IF(OR(A122="",C122=""),"",E122-C122)</f>
        <v/>
      </c>
      <c r="H122" s="195">
        <f>IF(A122="","",LOG10(A122))</f>
        <v/>
      </c>
      <c r="I122" s="195">
        <f>IF(B122="","",LOG10(MAX(B122,1E-12)))</f>
        <v/>
      </c>
      <c r="J122" s="195">
        <f>IF(D122="","",LOG10(MAX(D122,1E-12)))</f>
        <v/>
      </c>
      <c r="K122">
        <f>IF(A122="","",ROUND(1+(LOG10(A122)-LOG10('入力・概要'!$B$38))*('入力・概要'!$B$40-1)/(LOG10('入力・概要'!$B$39)-LOG10('入力・概要'!$B$38)),0)+3)</f>
        <v/>
      </c>
      <c r="L122">
        <f>IF(K122="","",INDEX('差動モデル'!$B:$B,K122))</f>
        <v/>
      </c>
      <c r="M122">
        <f>IF(A122="","",IF(ABS(L122/A122-1)&lt;0.01,"周波数差&lt;1%","周波数差あり"))</f>
        <v/>
      </c>
    </row>
    <row r="123">
      <c r="A123" s="197" t="n"/>
      <c r="B123" s="198" t="n"/>
      <c r="C123" s="198" t="n"/>
      <c r="D123" s="195">
        <f>IF(K123="","",INDEX('差動モデル'!$R:$R,K123))</f>
        <v/>
      </c>
      <c r="E123" s="195">
        <f>IF(K123="","",INDEX('差動モデル'!$S:$S,K123))</f>
        <v/>
      </c>
      <c r="F123" s="195">
        <f>IF(OR(A123="",B123=""),"",100*(D123-B123)/MAX(B123,1E-12))</f>
        <v/>
      </c>
      <c r="G123" s="195">
        <f>IF(OR(A123="",C123=""),"",E123-C123)</f>
        <v/>
      </c>
      <c r="H123" s="195">
        <f>IF(A123="","",LOG10(A123))</f>
        <v/>
      </c>
      <c r="I123" s="195">
        <f>IF(B123="","",LOG10(MAX(B123,1E-12)))</f>
        <v/>
      </c>
      <c r="J123" s="195">
        <f>IF(D123="","",LOG10(MAX(D123,1E-12)))</f>
        <v/>
      </c>
      <c r="K123">
        <f>IF(A123="","",ROUND(1+(LOG10(A123)-LOG10('入力・概要'!$B$38))*('入力・概要'!$B$40-1)/(LOG10('入力・概要'!$B$39)-LOG10('入力・概要'!$B$38)),0)+3)</f>
        <v/>
      </c>
      <c r="L123">
        <f>IF(K123="","",INDEX('差動モデル'!$B:$B,K123))</f>
        <v/>
      </c>
      <c r="M123">
        <f>IF(A123="","",IF(ABS(L123/A123-1)&lt;0.01,"周波数差&lt;1%","周波数差あり"))</f>
        <v/>
      </c>
    </row>
    <row r="124">
      <c r="A124" s="197" t="n"/>
      <c r="B124" s="198" t="n"/>
      <c r="C124" s="198" t="n"/>
      <c r="D124" s="195">
        <f>IF(K124="","",INDEX('差動モデル'!$R:$R,K124))</f>
        <v/>
      </c>
      <c r="E124" s="195">
        <f>IF(K124="","",INDEX('差動モデル'!$S:$S,K124))</f>
        <v/>
      </c>
      <c r="F124" s="195">
        <f>IF(OR(A124="",B124=""),"",100*(D124-B124)/MAX(B124,1E-12))</f>
        <v/>
      </c>
      <c r="G124" s="195">
        <f>IF(OR(A124="",C124=""),"",E124-C124)</f>
        <v/>
      </c>
      <c r="H124" s="195">
        <f>IF(A124="","",LOG10(A124))</f>
        <v/>
      </c>
      <c r="I124" s="195">
        <f>IF(B124="","",LOG10(MAX(B124,1E-12)))</f>
        <v/>
      </c>
      <c r="J124" s="195">
        <f>IF(D124="","",LOG10(MAX(D124,1E-12)))</f>
        <v/>
      </c>
      <c r="K124">
        <f>IF(A124="","",ROUND(1+(LOG10(A124)-LOG10('入力・概要'!$B$38))*('入力・概要'!$B$40-1)/(LOG10('入力・概要'!$B$39)-LOG10('入力・概要'!$B$38)),0)+3)</f>
        <v/>
      </c>
      <c r="L124">
        <f>IF(K124="","",INDEX('差動モデル'!$B:$B,K124))</f>
        <v/>
      </c>
      <c r="M124">
        <f>IF(A124="","",IF(ABS(L124/A124-1)&lt;0.01,"周波数差&lt;1%","周波数差あり"))</f>
        <v/>
      </c>
    </row>
    <row r="125">
      <c r="A125" s="197" t="n"/>
      <c r="B125" s="198" t="n"/>
      <c r="C125" s="198" t="n"/>
      <c r="D125" s="195">
        <f>IF(K125="","",INDEX('差動モデル'!$R:$R,K125))</f>
        <v/>
      </c>
      <c r="E125" s="195">
        <f>IF(K125="","",INDEX('差動モデル'!$S:$S,K125))</f>
        <v/>
      </c>
      <c r="F125" s="195">
        <f>IF(OR(A125="",B125=""),"",100*(D125-B125)/MAX(B125,1E-12))</f>
        <v/>
      </c>
      <c r="G125" s="195">
        <f>IF(OR(A125="",C125=""),"",E125-C125)</f>
        <v/>
      </c>
      <c r="H125" s="195">
        <f>IF(A125="","",LOG10(A125))</f>
        <v/>
      </c>
      <c r="I125" s="195">
        <f>IF(B125="","",LOG10(MAX(B125,1E-12)))</f>
        <v/>
      </c>
      <c r="J125" s="195">
        <f>IF(D125="","",LOG10(MAX(D125,1E-12)))</f>
        <v/>
      </c>
      <c r="K125">
        <f>IF(A125="","",ROUND(1+(LOG10(A125)-LOG10('入力・概要'!$B$38))*('入力・概要'!$B$40-1)/(LOG10('入力・概要'!$B$39)-LOG10('入力・概要'!$B$38)),0)+3)</f>
        <v/>
      </c>
      <c r="L125">
        <f>IF(K125="","",INDEX('差動モデル'!$B:$B,K125))</f>
        <v/>
      </c>
      <c r="M125">
        <f>IF(A125="","",IF(ABS(L125/A125-1)&lt;0.01,"周波数差&lt;1%","周波数差あり"))</f>
        <v/>
      </c>
    </row>
    <row r="126">
      <c r="A126" s="197" t="n"/>
      <c r="B126" s="198" t="n"/>
      <c r="C126" s="198" t="n"/>
      <c r="D126" s="195">
        <f>IF(K126="","",INDEX('差動モデル'!$R:$R,K126))</f>
        <v/>
      </c>
      <c r="E126" s="195">
        <f>IF(K126="","",INDEX('差動モデル'!$S:$S,K126))</f>
        <v/>
      </c>
      <c r="F126" s="195">
        <f>IF(OR(A126="",B126=""),"",100*(D126-B126)/MAX(B126,1E-12))</f>
        <v/>
      </c>
      <c r="G126" s="195">
        <f>IF(OR(A126="",C126=""),"",E126-C126)</f>
        <v/>
      </c>
      <c r="H126" s="195">
        <f>IF(A126="","",LOG10(A126))</f>
        <v/>
      </c>
      <c r="I126" s="195">
        <f>IF(B126="","",LOG10(MAX(B126,1E-12)))</f>
        <v/>
      </c>
      <c r="J126" s="195">
        <f>IF(D126="","",LOG10(MAX(D126,1E-12)))</f>
        <v/>
      </c>
      <c r="K126">
        <f>IF(A126="","",ROUND(1+(LOG10(A126)-LOG10('入力・概要'!$B$38))*('入力・概要'!$B$40-1)/(LOG10('入力・概要'!$B$39)-LOG10('入力・概要'!$B$38)),0)+3)</f>
        <v/>
      </c>
      <c r="L126">
        <f>IF(K126="","",INDEX('差動モデル'!$B:$B,K126))</f>
        <v/>
      </c>
      <c r="M126">
        <f>IF(A126="","",IF(ABS(L126/A126-1)&lt;0.01,"周波数差&lt;1%","周波数差あり"))</f>
        <v/>
      </c>
    </row>
    <row r="127">
      <c r="A127" s="197" t="n"/>
      <c r="B127" s="198" t="n"/>
      <c r="C127" s="198" t="n"/>
      <c r="D127" s="195">
        <f>IF(K127="","",INDEX('差動モデル'!$R:$R,K127))</f>
        <v/>
      </c>
      <c r="E127" s="195">
        <f>IF(K127="","",INDEX('差動モデル'!$S:$S,K127))</f>
        <v/>
      </c>
      <c r="F127" s="195">
        <f>IF(OR(A127="",B127=""),"",100*(D127-B127)/MAX(B127,1E-12))</f>
        <v/>
      </c>
      <c r="G127" s="195">
        <f>IF(OR(A127="",C127=""),"",E127-C127)</f>
        <v/>
      </c>
      <c r="H127" s="195">
        <f>IF(A127="","",LOG10(A127))</f>
        <v/>
      </c>
      <c r="I127" s="195">
        <f>IF(B127="","",LOG10(MAX(B127,1E-12)))</f>
        <v/>
      </c>
      <c r="J127" s="195">
        <f>IF(D127="","",LOG10(MAX(D127,1E-12)))</f>
        <v/>
      </c>
      <c r="K127">
        <f>IF(A127="","",ROUND(1+(LOG10(A127)-LOG10('入力・概要'!$B$38))*('入力・概要'!$B$40-1)/(LOG10('入力・概要'!$B$39)-LOG10('入力・概要'!$B$38)),0)+3)</f>
        <v/>
      </c>
      <c r="L127">
        <f>IF(K127="","",INDEX('差動モデル'!$B:$B,K127))</f>
        <v/>
      </c>
      <c r="M127">
        <f>IF(A127="","",IF(ABS(L127/A127-1)&lt;0.01,"周波数差&lt;1%","周波数差あり"))</f>
        <v/>
      </c>
    </row>
    <row r="128">
      <c r="A128" s="197" t="n"/>
      <c r="B128" s="198" t="n"/>
      <c r="C128" s="198" t="n"/>
      <c r="D128" s="195">
        <f>IF(K128="","",INDEX('差動モデル'!$R:$R,K128))</f>
        <v/>
      </c>
      <c r="E128" s="195">
        <f>IF(K128="","",INDEX('差動モデル'!$S:$S,K128))</f>
        <v/>
      </c>
      <c r="F128" s="195">
        <f>IF(OR(A128="",B128=""),"",100*(D128-B128)/MAX(B128,1E-12))</f>
        <v/>
      </c>
      <c r="G128" s="195">
        <f>IF(OR(A128="",C128=""),"",E128-C128)</f>
        <v/>
      </c>
      <c r="H128" s="195">
        <f>IF(A128="","",LOG10(A128))</f>
        <v/>
      </c>
      <c r="I128" s="195">
        <f>IF(B128="","",LOG10(MAX(B128,1E-12)))</f>
        <v/>
      </c>
      <c r="J128" s="195">
        <f>IF(D128="","",LOG10(MAX(D128,1E-12)))</f>
        <v/>
      </c>
      <c r="K128">
        <f>IF(A128="","",ROUND(1+(LOG10(A128)-LOG10('入力・概要'!$B$38))*('入力・概要'!$B$40-1)/(LOG10('入力・概要'!$B$39)-LOG10('入力・概要'!$B$38)),0)+3)</f>
        <v/>
      </c>
      <c r="L128">
        <f>IF(K128="","",INDEX('差動モデル'!$B:$B,K128))</f>
        <v/>
      </c>
      <c r="M128">
        <f>IF(A128="","",IF(ABS(L128/A128-1)&lt;0.01,"周波数差&lt;1%","周波数差あり"))</f>
        <v/>
      </c>
    </row>
    <row r="129">
      <c r="A129" s="197" t="n"/>
      <c r="B129" s="198" t="n"/>
      <c r="C129" s="198" t="n"/>
      <c r="D129" s="195">
        <f>IF(K129="","",INDEX('差動モデル'!$R:$R,K129))</f>
        <v/>
      </c>
      <c r="E129" s="195">
        <f>IF(K129="","",INDEX('差動モデル'!$S:$S,K129))</f>
        <v/>
      </c>
      <c r="F129" s="195">
        <f>IF(OR(A129="",B129=""),"",100*(D129-B129)/MAX(B129,1E-12))</f>
        <v/>
      </c>
      <c r="G129" s="195">
        <f>IF(OR(A129="",C129=""),"",E129-C129)</f>
        <v/>
      </c>
      <c r="H129" s="195">
        <f>IF(A129="","",LOG10(A129))</f>
        <v/>
      </c>
      <c r="I129" s="195">
        <f>IF(B129="","",LOG10(MAX(B129,1E-12)))</f>
        <v/>
      </c>
      <c r="J129" s="195">
        <f>IF(D129="","",LOG10(MAX(D129,1E-12)))</f>
        <v/>
      </c>
      <c r="K129">
        <f>IF(A129="","",ROUND(1+(LOG10(A129)-LOG10('入力・概要'!$B$38))*('入力・概要'!$B$40-1)/(LOG10('入力・概要'!$B$39)-LOG10('入力・概要'!$B$38)),0)+3)</f>
        <v/>
      </c>
      <c r="L129">
        <f>IF(K129="","",INDEX('差動モデル'!$B:$B,K129))</f>
        <v/>
      </c>
      <c r="M129">
        <f>IF(A129="","",IF(ABS(L129/A129-1)&lt;0.01,"周波数差&lt;1%","周波数差あり"))</f>
        <v/>
      </c>
    </row>
    <row r="130">
      <c r="A130" s="197" t="n"/>
      <c r="B130" s="198" t="n"/>
      <c r="C130" s="198" t="n"/>
      <c r="D130" s="195">
        <f>IF(K130="","",INDEX('差動モデル'!$R:$R,K130))</f>
        <v/>
      </c>
      <c r="E130" s="195">
        <f>IF(K130="","",INDEX('差動モデル'!$S:$S,K130))</f>
        <v/>
      </c>
      <c r="F130" s="195">
        <f>IF(OR(A130="",B130=""),"",100*(D130-B130)/MAX(B130,1E-12))</f>
        <v/>
      </c>
      <c r="G130" s="195">
        <f>IF(OR(A130="",C130=""),"",E130-C130)</f>
        <v/>
      </c>
      <c r="H130" s="195">
        <f>IF(A130="","",LOG10(A130))</f>
        <v/>
      </c>
      <c r="I130" s="195">
        <f>IF(B130="","",LOG10(MAX(B130,1E-12)))</f>
        <v/>
      </c>
      <c r="J130" s="195">
        <f>IF(D130="","",LOG10(MAX(D130,1E-12)))</f>
        <v/>
      </c>
      <c r="K130">
        <f>IF(A130="","",ROUND(1+(LOG10(A130)-LOG10('入力・概要'!$B$38))*('入力・概要'!$B$40-1)/(LOG10('入力・概要'!$B$39)-LOG10('入力・概要'!$B$38)),0)+3)</f>
        <v/>
      </c>
      <c r="L130">
        <f>IF(K130="","",INDEX('差動モデル'!$B:$B,K130))</f>
        <v/>
      </c>
      <c r="M130">
        <f>IF(A130="","",IF(ABS(L130/A130-1)&lt;0.01,"周波数差&lt;1%","周波数差あり"))</f>
        <v/>
      </c>
    </row>
    <row r="131">
      <c r="A131" s="197" t="n"/>
      <c r="B131" s="198" t="n"/>
      <c r="C131" s="198" t="n"/>
      <c r="D131" s="195">
        <f>IF(K131="","",INDEX('差動モデル'!$R:$R,K131))</f>
        <v/>
      </c>
      <c r="E131" s="195">
        <f>IF(K131="","",INDEX('差動モデル'!$S:$S,K131))</f>
        <v/>
      </c>
      <c r="F131" s="195">
        <f>IF(OR(A131="",B131=""),"",100*(D131-B131)/MAX(B131,1E-12))</f>
        <v/>
      </c>
      <c r="G131" s="195">
        <f>IF(OR(A131="",C131=""),"",E131-C131)</f>
        <v/>
      </c>
      <c r="H131" s="195">
        <f>IF(A131="","",LOG10(A131))</f>
        <v/>
      </c>
      <c r="I131" s="195">
        <f>IF(B131="","",LOG10(MAX(B131,1E-12)))</f>
        <v/>
      </c>
      <c r="J131" s="195">
        <f>IF(D131="","",LOG10(MAX(D131,1E-12)))</f>
        <v/>
      </c>
      <c r="K131">
        <f>IF(A131="","",ROUND(1+(LOG10(A131)-LOG10('入力・概要'!$B$38))*('入力・概要'!$B$40-1)/(LOG10('入力・概要'!$B$39)-LOG10('入力・概要'!$B$38)),0)+3)</f>
        <v/>
      </c>
      <c r="L131">
        <f>IF(K131="","",INDEX('差動モデル'!$B:$B,K131))</f>
        <v/>
      </c>
      <c r="M131">
        <f>IF(A131="","",IF(ABS(L131/A131-1)&lt;0.01,"周波数差&lt;1%","周波数差あり"))</f>
        <v/>
      </c>
    </row>
    <row r="132">
      <c r="A132" s="197" t="n"/>
      <c r="B132" s="198" t="n"/>
      <c r="C132" s="198" t="n"/>
      <c r="D132" s="195">
        <f>IF(K132="","",INDEX('差動モデル'!$R:$R,K132))</f>
        <v/>
      </c>
      <c r="E132" s="195">
        <f>IF(K132="","",INDEX('差動モデル'!$S:$S,K132))</f>
        <v/>
      </c>
      <c r="F132" s="195">
        <f>IF(OR(A132="",B132=""),"",100*(D132-B132)/MAX(B132,1E-12))</f>
        <v/>
      </c>
      <c r="G132" s="195">
        <f>IF(OR(A132="",C132=""),"",E132-C132)</f>
        <v/>
      </c>
      <c r="H132" s="195">
        <f>IF(A132="","",LOG10(A132))</f>
        <v/>
      </c>
      <c r="I132" s="195">
        <f>IF(B132="","",LOG10(MAX(B132,1E-12)))</f>
        <v/>
      </c>
      <c r="J132" s="195">
        <f>IF(D132="","",LOG10(MAX(D132,1E-12)))</f>
        <v/>
      </c>
      <c r="K132">
        <f>IF(A132="","",ROUND(1+(LOG10(A132)-LOG10('入力・概要'!$B$38))*('入力・概要'!$B$40-1)/(LOG10('入力・概要'!$B$39)-LOG10('入力・概要'!$B$38)),0)+3)</f>
        <v/>
      </c>
      <c r="L132">
        <f>IF(K132="","",INDEX('差動モデル'!$B:$B,K132))</f>
        <v/>
      </c>
      <c r="M132">
        <f>IF(A132="","",IF(ABS(L132/A132-1)&lt;0.01,"周波数差&lt;1%","周波数差あり"))</f>
        <v/>
      </c>
    </row>
    <row r="133">
      <c r="A133" s="197" t="n"/>
      <c r="B133" s="198" t="n"/>
      <c r="C133" s="198" t="n"/>
      <c r="D133" s="195">
        <f>IF(K133="","",INDEX('差動モデル'!$R:$R,K133))</f>
        <v/>
      </c>
      <c r="E133" s="195">
        <f>IF(K133="","",INDEX('差動モデル'!$S:$S,K133))</f>
        <v/>
      </c>
      <c r="F133" s="195">
        <f>IF(OR(A133="",B133=""),"",100*(D133-B133)/MAX(B133,1E-12))</f>
        <v/>
      </c>
      <c r="G133" s="195">
        <f>IF(OR(A133="",C133=""),"",E133-C133)</f>
        <v/>
      </c>
      <c r="H133" s="195">
        <f>IF(A133="","",LOG10(A133))</f>
        <v/>
      </c>
      <c r="I133" s="195">
        <f>IF(B133="","",LOG10(MAX(B133,1E-12)))</f>
        <v/>
      </c>
      <c r="J133" s="195">
        <f>IF(D133="","",LOG10(MAX(D133,1E-12)))</f>
        <v/>
      </c>
      <c r="K133">
        <f>IF(A133="","",ROUND(1+(LOG10(A133)-LOG10('入力・概要'!$B$38))*('入力・概要'!$B$40-1)/(LOG10('入力・概要'!$B$39)-LOG10('入力・概要'!$B$38)),0)+3)</f>
        <v/>
      </c>
      <c r="L133">
        <f>IF(K133="","",INDEX('差動モデル'!$B:$B,K133))</f>
        <v/>
      </c>
      <c r="M133">
        <f>IF(A133="","",IF(ABS(L133/A133-1)&lt;0.01,"周波数差&lt;1%","周波数差あり"))</f>
        <v/>
      </c>
    </row>
    <row r="134">
      <c r="A134" s="197" t="n"/>
      <c r="B134" s="198" t="n"/>
      <c r="C134" s="198" t="n"/>
      <c r="D134" s="195">
        <f>IF(K134="","",INDEX('差動モデル'!$R:$R,K134))</f>
        <v/>
      </c>
      <c r="E134" s="195">
        <f>IF(K134="","",INDEX('差動モデル'!$S:$S,K134))</f>
        <v/>
      </c>
      <c r="F134" s="195">
        <f>IF(OR(A134="",B134=""),"",100*(D134-B134)/MAX(B134,1E-12))</f>
        <v/>
      </c>
      <c r="G134" s="195">
        <f>IF(OR(A134="",C134=""),"",E134-C134)</f>
        <v/>
      </c>
      <c r="H134" s="195">
        <f>IF(A134="","",LOG10(A134))</f>
        <v/>
      </c>
      <c r="I134" s="195">
        <f>IF(B134="","",LOG10(MAX(B134,1E-12)))</f>
        <v/>
      </c>
      <c r="J134" s="195">
        <f>IF(D134="","",LOG10(MAX(D134,1E-12)))</f>
        <v/>
      </c>
      <c r="K134">
        <f>IF(A134="","",ROUND(1+(LOG10(A134)-LOG10('入力・概要'!$B$38))*('入力・概要'!$B$40-1)/(LOG10('入力・概要'!$B$39)-LOG10('入力・概要'!$B$38)),0)+3)</f>
        <v/>
      </c>
      <c r="L134">
        <f>IF(K134="","",INDEX('差動モデル'!$B:$B,K134))</f>
        <v/>
      </c>
      <c r="M134">
        <f>IF(A134="","",IF(ABS(L134/A134-1)&lt;0.01,"周波数差&lt;1%","周波数差あり"))</f>
        <v/>
      </c>
    </row>
    <row r="135">
      <c r="A135" s="197" t="n"/>
      <c r="B135" s="198" t="n"/>
      <c r="C135" s="198" t="n"/>
      <c r="D135" s="195">
        <f>IF(K135="","",INDEX('差動モデル'!$R:$R,K135))</f>
        <v/>
      </c>
      <c r="E135" s="195">
        <f>IF(K135="","",INDEX('差動モデル'!$S:$S,K135))</f>
        <v/>
      </c>
      <c r="F135" s="195">
        <f>IF(OR(A135="",B135=""),"",100*(D135-B135)/MAX(B135,1E-12))</f>
        <v/>
      </c>
      <c r="G135" s="195">
        <f>IF(OR(A135="",C135=""),"",E135-C135)</f>
        <v/>
      </c>
      <c r="H135" s="195">
        <f>IF(A135="","",LOG10(A135))</f>
        <v/>
      </c>
      <c r="I135" s="195">
        <f>IF(B135="","",LOG10(MAX(B135,1E-12)))</f>
        <v/>
      </c>
      <c r="J135" s="195">
        <f>IF(D135="","",LOG10(MAX(D135,1E-12)))</f>
        <v/>
      </c>
      <c r="K135">
        <f>IF(A135="","",ROUND(1+(LOG10(A135)-LOG10('入力・概要'!$B$38))*('入力・概要'!$B$40-1)/(LOG10('入力・概要'!$B$39)-LOG10('入力・概要'!$B$38)),0)+3)</f>
        <v/>
      </c>
      <c r="L135">
        <f>IF(K135="","",INDEX('差動モデル'!$B:$B,K135))</f>
        <v/>
      </c>
      <c r="M135">
        <f>IF(A135="","",IF(ABS(L135/A135-1)&lt;0.01,"周波数差&lt;1%","周波数差あり"))</f>
        <v/>
      </c>
    </row>
    <row r="136">
      <c r="A136" s="197" t="n"/>
      <c r="B136" s="198" t="n"/>
      <c r="C136" s="198" t="n"/>
      <c r="D136" s="195">
        <f>IF(K136="","",INDEX('差動モデル'!$R:$R,K136))</f>
        <v/>
      </c>
      <c r="E136" s="195">
        <f>IF(K136="","",INDEX('差動モデル'!$S:$S,K136))</f>
        <v/>
      </c>
      <c r="F136" s="195">
        <f>IF(OR(A136="",B136=""),"",100*(D136-B136)/MAX(B136,1E-12))</f>
        <v/>
      </c>
      <c r="G136" s="195">
        <f>IF(OR(A136="",C136=""),"",E136-C136)</f>
        <v/>
      </c>
      <c r="H136" s="195">
        <f>IF(A136="","",LOG10(A136))</f>
        <v/>
      </c>
      <c r="I136" s="195">
        <f>IF(B136="","",LOG10(MAX(B136,1E-12)))</f>
        <v/>
      </c>
      <c r="J136" s="195">
        <f>IF(D136="","",LOG10(MAX(D136,1E-12)))</f>
        <v/>
      </c>
      <c r="K136">
        <f>IF(A136="","",ROUND(1+(LOG10(A136)-LOG10('入力・概要'!$B$38))*('入力・概要'!$B$40-1)/(LOG10('入力・概要'!$B$39)-LOG10('入力・概要'!$B$38)),0)+3)</f>
        <v/>
      </c>
      <c r="L136">
        <f>IF(K136="","",INDEX('差動モデル'!$B:$B,K136))</f>
        <v/>
      </c>
      <c r="M136">
        <f>IF(A136="","",IF(ABS(L136/A136-1)&lt;0.01,"周波数差&lt;1%","周波数差あり"))</f>
        <v/>
      </c>
    </row>
    <row r="137">
      <c r="A137" s="197" t="n"/>
      <c r="B137" s="198" t="n"/>
      <c r="C137" s="198" t="n"/>
      <c r="D137" s="195">
        <f>IF(K137="","",INDEX('差動モデル'!$R:$R,K137))</f>
        <v/>
      </c>
      <c r="E137" s="195">
        <f>IF(K137="","",INDEX('差動モデル'!$S:$S,K137))</f>
        <v/>
      </c>
      <c r="F137" s="195">
        <f>IF(OR(A137="",B137=""),"",100*(D137-B137)/MAX(B137,1E-12))</f>
        <v/>
      </c>
      <c r="G137" s="195">
        <f>IF(OR(A137="",C137=""),"",E137-C137)</f>
        <v/>
      </c>
      <c r="H137" s="195">
        <f>IF(A137="","",LOG10(A137))</f>
        <v/>
      </c>
      <c r="I137" s="195">
        <f>IF(B137="","",LOG10(MAX(B137,1E-12)))</f>
        <v/>
      </c>
      <c r="J137" s="195">
        <f>IF(D137="","",LOG10(MAX(D137,1E-12)))</f>
        <v/>
      </c>
      <c r="K137">
        <f>IF(A137="","",ROUND(1+(LOG10(A137)-LOG10('入力・概要'!$B$38))*('入力・概要'!$B$40-1)/(LOG10('入力・概要'!$B$39)-LOG10('入力・概要'!$B$38)),0)+3)</f>
        <v/>
      </c>
      <c r="L137">
        <f>IF(K137="","",INDEX('差動モデル'!$B:$B,K137))</f>
        <v/>
      </c>
      <c r="M137">
        <f>IF(A137="","",IF(ABS(L137/A137-1)&lt;0.01,"周波数差&lt;1%","周波数差あり"))</f>
        <v/>
      </c>
    </row>
    <row r="138">
      <c r="A138" s="197" t="n"/>
      <c r="B138" s="198" t="n"/>
      <c r="C138" s="198" t="n"/>
      <c r="D138" s="195">
        <f>IF(K138="","",INDEX('差動モデル'!$R:$R,K138))</f>
        <v/>
      </c>
      <c r="E138" s="195">
        <f>IF(K138="","",INDEX('差動モデル'!$S:$S,K138))</f>
        <v/>
      </c>
      <c r="F138" s="195">
        <f>IF(OR(A138="",B138=""),"",100*(D138-B138)/MAX(B138,1E-12))</f>
        <v/>
      </c>
      <c r="G138" s="195">
        <f>IF(OR(A138="",C138=""),"",E138-C138)</f>
        <v/>
      </c>
      <c r="H138" s="195">
        <f>IF(A138="","",LOG10(A138))</f>
        <v/>
      </c>
      <c r="I138" s="195">
        <f>IF(B138="","",LOG10(MAX(B138,1E-12)))</f>
        <v/>
      </c>
      <c r="J138" s="195">
        <f>IF(D138="","",LOG10(MAX(D138,1E-12)))</f>
        <v/>
      </c>
      <c r="K138">
        <f>IF(A138="","",ROUND(1+(LOG10(A138)-LOG10('入力・概要'!$B$38))*('入力・概要'!$B$40-1)/(LOG10('入力・概要'!$B$39)-LOG10('入力・概要'!$B$38)),0)+3)</f>
        <v/>
      </c>
      <c r="L138">
        <f>IF(K138="","",INDEX('差動モデル'!$B:$B,K138))</f>
        <v/>
      </c>
      <c r="M138">
        <f>IF(A138="","",IF(ABS(L138/A138-1)&lt;0.01,"周波数差&lt;1%","周波数差あり"))</f>
        <v/>
      </c>
    </row>
    <row r="139">
      <c r="A139" s="197" t="n"/>
      <c r="B139" s="198" t="n"/>
      <c r="C139" s="198" t="n"/>
      <c r="D139" s="195">
        <f>IF(K139="","",INDEX('差動モデル'!$R:$R,K139))</f>
        <v/>
      </c>
      <c r="E139" s="195">
        <f>IF(K139="","",INDEX('差動モデル'!$S:$S,K139))</f>
        <v/>
      </c>
      <c r="F139" s="195">
        <f>IF(OR(A139="",B139=""),"",100*(D139-B139)/MAX(B139,1E-12))</f>
        <v/>
      </c>
      <c r="G139" s="195">
        <f>IF(OR(A139="",C139=""),"",E139-C139)</f>
        <v/>
      </c>
      <c r="H139" s="195">
        <f>IF(A139="","",LOG10(A139))</f>
        <v/>
      </c>
      <c r="I139" s="195">
        <f>IF(B139="","",LOG10(MAX(B139,1E-12)))</f>
        <v/>
      </c>
      <c r="J139" s="195">
        <f>IF(D139="","",LOG10(MAX(D139,1E-12)))</f>
        <v/>
      </c>
      <c r="K139">
        <f>IF(A139="","",ROUND(1+(LOG10(A139)-LOG10('入力・概要'!$B$38))*('入力・概要'!$B$40-1)/(LOG10('入力・概要'!$B$39)-LOG10('入力・概要'!$B$38)),0)+3)</f>
        <v/>
      </c>
      <c r="L139">
        <f>IF(K139="","",INDEX('差動モデル'!$B:$B,K139))</f>
        <v/>
      </c>
      <c r="M139">
        <f>IF(A139="","",IF(ABS(L139/A139-1)&lt;0.01,"周波数差&lt;1%","周波数差あり"))</f>
        <v/>
      </c>
    </row>
    <row r="140">
      <c r="A140" s="197" t="n"/>
      <c r="B140" s="198" t="n"/>
      <c r="C140" s="198" t="n"/>
      <c r="D140" s="195">
        <f>IF(K140="","",INDEX('差動モデル'!$R:$R,K140))</f>
        <v/>
      </c>
      <c r="E140" s="195">
        <f>IF(K140="","",INDEX('差動モデル'!$S:$S,K140))</f>
        <v/>
      </c>
      <c r="F140" s="195">
        <f>IF(OR(A140="",B140=""),"",100*(D140-B140)/MAX(B140,1E-12))</f>
        <v/>
      </c>
      <c r="G140" s="195">
        <f>IF(OR(A140="",C140=""),"",E140-C140)</f>
        <v/>
      </c>
      <c r="H140" s="195">
        <f>IF(A140="","",LOG10(A140))</f>
        <v/>
      </c>
      <c r="I140" s="195">
        <f>IF(B140="","",LOG10(MAX(B140,1E-12)))</f>
        <v/>
      </c>
      <c r="J140" s="195">
        <f>IF(D140="","",LOG10(MAX(D140,1E-12)))</f>
        <v/>
      </c>
      <c r="K140">
        <f>IF(A140="","",ROUND(1+(LOG10(A140)-LOG10('入力・概要'!$B$38))*('入力・概要'!$B$40-1)/(LOG10('入力・概要'!$B$39)-LOG10('入力・概要'!$B$38)),0)+3)</f>
        <v/>
      </c>
      <c r="L140">
        <f>IF(K140="","",INDEX('差動モデル'!$B:$B,K140))</f>
        <v/>
      </c>
      <c r="M140">
        <f>IF(A140="","",IF(ABS(L140/A140-1)&lt;0.01,"周波数差&lt;1%","周波数差あり"))</f>
        <v/>
      </c>
    </row>
    <row r="141">
      <c r="A141" s="197" t="n"/>
      <c r="B141" s="198" t="n"/>
      <c r="C141" s="198" t="n"/>
      <c r="D141" s="195">
        <f>IF(K141="","",INDEX('差動モデル'!$R:$R,K141))</f>
        <v/>
      </c>
      <c r="E141" s="195">
        <f>IF(K141="","",INDEX('差動モデル'!$S:$S,K141))</f>
        <v/>
      </c>
      <c r="F141" s="195">
        <f>IF(OR(A141="",B141=""),"",100*(D141-B141)/MAX(B141,1E-12))</f>
        <v/>
      </c>
      <c r="G141" s="195">
        <f>IF(OR(A141="",C141=""),"",E141-C141)</f>
        <v/>
      </c>
      <c r="H141" s="195">
        <f>IF(A141="","",LOG10(A141))</f>
        <v/>
      </c>
      <c r="I141" s="195">
        <f>IF(B141="","",LOG10(MAX(B141,1E-12)))</f>
        <v/>
      </c>
      <c r="J141" s="195">
        <f>IF(D141="","",LOG10(MAX(D141,1E-12)))</f>
        <v/>
      </c>
      <c r="K141">
        <f>IF(A141="","",ROUND(1+(LOG10(A141)-LOG10('入力・概要'!$B$38))*('入力・概要'!$B$40-1)/(LOG10('入力・概要'!$B$39)-LOG10('入力・概要'!$B$38)),0)+3)</f>
        <v/>
      </c>
      <c r="L141">
        <f>IF(K141="","",INDEX('差動モデル'!$B:$B,K141))</f>
        <v/>
      </c>
      <c r="M141">
        <f>IF(A141="","",IF(ABS(L141/A141-1)&lt;0.01,"周波数差&lt;1%","周波数差あり"))</f>
        <v/>
      </c>
    </row>
    <row r="142">
      <c r="A142" s="197" t="n"/>
      <c r="B142" s="198" t="n"/>
      <c r="C142" s="198" t="n"/>
      <c r="D142" s="195">
        <f>IF(K142="","",INDEX('差動モデル'!$R:$R,K142))</f>
        <v/>
      </c>
      <c r="E142" s="195">
        <f>IF(K142="","",INDEX('差動モデル'!$S:$S,K142))</f>
        <v/>
      </c>
      <c r="F142" s="195">
        <f>IF(OR(A142="",B142=""),"",100*(D142-B142)/MAX(B142,1E-12))</f>
        <v/>
      </c>
      <c r="G142" s="195">
        <f>IF(OR(A142="",C142=""),"",E142-C142)</f>
        <v/>
      </c>
      <c r="H142" s="195">
        <f>IF(A142="","",LOG10(A142))</f>
        <v/>
      </c>
      <c r="I142" s="195">
        <f>IF(B142="","",LOG10(MAX(B142,1E-12)))</f>
        <v/>
      </c>
      <c r="J142" s="195">
        <f>IF(D142="","",LOG10(MAX(D142,1E-12)))</f>
        <v/>
      </c>
      <c r="K142">
        <f>IF(A142="","",ROUND(1+(LOG10(A142)-LOG10('入力・概要'!$B$38))*('入力・概要'!$B$40-1)/(LOG10('入力・概要'!$B$39)-LOG10('入力・概要'!$B$38)),0)+3)</f>
        <v/>
      </c>
      <c r="L142">
        <f>IF(K142="","",INDEX('差動モデル'!$B:$B,K142))</f>
        <v/>
      </c>
      <c r="M142">
        <f>IF(A142="","",IF(ABS(L142/A142-1)&lt;0.01,"周波数差&lt;1%","周波数差あり"))</f>
        <v/>
      </c>
    </row>
    <row r="143">
      <c r="A143" s="197" t="n"/>
      <c r="B143" s="198" t="n"/>
      <c r="C143" s="198" t="n"/>
      <c r="D143" s="195">
        <f>IF(K143="","",INDEX('差動モデル'!$R:$R,K143))</f>
        <v/>
      </c>
      <c r="E143" s="195">
        <f>IF(K143="","",INDEX('差動モデル'!$S:$S,K143))</f>
        <v/>
      </c>
      <c r="F143" s="195">
        <f>IF(OR(A143="",B143=""),"",100*(D143-B143)/MAX(B143,1E-12))</f>
        <v/>
      </c>
      <c r="G143" s="195">
        <f>IF(OR(A143="",C143=""),"",E143-C143)</f>
        <v/>
      </c>
      <c r="H143" s="195">
        <f>IF(A143="","",LOG10(A143))</f>
        <v/>
      </c>
      <c r="I143" s="195">
        <f>IF(B143="","",LOG10(MAX(B143,1E-12)))</f>
        <v/>
      </c>
      <c r="J143" s="195">
        <f>IF(D143="","",LOG10(MAX(D143,1E-12)))</f>
        <v/>
      </c>
      <c r="K143">
        <f>IF(A143="","",ROUND(1+(LOG10(A143)-LOG10('入力・概要'!$B$38))*('入力・概要'!$B$40-1)/(LOG10('入力・概要'!$B$39)-LOG10('入力・概要'!$B$38)),0)+3)</f>
        <v/>
      </c>
      <c r="L143">
        <f>IF(K143="","",INDEX('差動モデル'!$B:$B,K143))</f>
        <v/>
      </c>
      <c r="M143">
        <f>IF(A143="","",IF(ABS(L143/A143-1)&lt;0.01,"周波数差&lt;1%","周波数差あり"))</f>
        <v/>
      </c>
    </row>
    <row r="144">
      <c r="A144" s="197" t="n"/>
      <c r="B144" s="198" t="n"/>
      <c r="C144" s="198" t="n"/>
      <c r="D144" s="195">
        <f>IF(K144="","",INDEX('差動モデル'!$R:$R,K144))</f>
        <v/>
      </c>
      <c r="E144" s="195">
        <f>IF(K144="","",INDEX('差動モデル'!$S:$S,K144))</f>
        <v/>
      </c>
      <c r="F144" s="195">
        <f>IF(OR(A144="",B144=""),"",100*(D144-B144)/MAX(B144,1E-12))</f>
        <v/>
      </c>
      <c r="G144" s="195">
        <f>IF(OR(A144="",C144=""),"",E144-C144)</f>
        <v/>
      </c>
      <c r="H144" s="195">
        <f>IF(A144="","",LOG10(A144))</f>
        <v/>
      </c>
      <c r="I144" s="195">
        <f>IF(B144="","",LOG10(MAX(B144,1E-12)))</f>
        <v/>
      </c>
      <c r="J144" s="195">
        <f>IF(D144="","",LOG10(MAX(D144,1E-12)))</f>
        <v/>
      </c>
      <c r="K144">
        <f>IF(A144="","",ROUND(1+(LOG10(A144)-LOG10('入力・概要'!$B$38))*('入力・概要'!$B$40-1)/(LOG10('入力・概要'!$B$39)-LOG10('入力・概要'!$B$38)),0)+3)</f>
        <v/>
      </c>
      <c r="L144">
        <f>IF(K144="","",INDEX('差動モデル'!$B:$B,K144))</f>
        <v/>
      </c>
      <c r="M144">
        <f>IF(A144="","",IF(ABS(L144/A144-1)&lt;0.01,"周波数差&lt;1%","周波数差あり"))</f>
        <v/>
      </c>
    </row>
    <row r="145">
      <c r="A145" s="197" t="n"/>
      <c r="B145" s="198" t="n"/>
      <c r="C145" s="198" t="n"/>
      <c r="D145" s="195">
        <f>IF(K145="","",INDEX('差動モデル'!$R:$R,K145))</f>
        <v/>
      </c>
      <c r="E145" s="195">
        <f>IF(K145="","",INDEX('差動モデル'!$S:$S,K145))</f>
        <v/>
      </c>
      <c r="F145" s="195">
        <f>IF(OR(A145="",B145=""),"",100*(D145-B145)/MAX(B145,1E-12))</f>
        <v/>
      </c>
      <c r="G145" s="195">
        <f>IF(OR(A145="",C145=""),"",E145-C145)</f>
        <v/>
      </c>
      <c r="H145" s="195">
        <f>IF(A145="","",LOG10(A145))</f>
        <v/>
      </c>
      <c r="I145" s="195">
        <f>IF(B145="","",LOG10(MAX(B145,1E-12)))</f>
        <v/>
      </c>
      <c r="J145" s="195">
        <f>IF(D145="","",LOG10(MAX(D145,1E-12)))</f>
        <v/>
      </c>
      <c r="K145">
        <f>IF(A145="","",ROUND(1+(LOG10(A145)-LOG10('入力・概要'!$B$38))*('入力・概要'!$B$40-1)/(LOG10('入力・概要'!$B$39)-LOG10('入力・概要'!$B$38)),0)+3)</f>
        <v/>
      </c>
      <c r="L145">
        <f>IF(K145="","",INDEX('差動モデル'!$B:$B,K145))</f>
        <v/>
      </c>
      <c r="M145">
        <f>IF(A145="","",IF(ABS(L145/A145-1)&lt;0.01,"周波数差&lt;1%","周波数差あり"))</f>
        <v/>
      </c>
    </row>
    <row r="146">
      <c r="A146" s="197" t="n"/>
      <c r="B146" s="198" t="n"/>
      <c r="C146" s="198" t="n"/>
      <c r="D146" s="195">
        <f>IF(K146="","",INDEX('差動モデル'!$R:$R,K146))</f>
        <v/>
      </c>
      <c r="E146" s="195">
        <f>IF(K146="","",INDEX('差動モデル'!$S:$S,K146))</f>
        <v/>
      </c>
      <c r="F146" s="195">
        <f>IF(OR(A146="",B146=""),"",100*(D146-B146)/MAX(B146,1E-12))</f>
        <v/>
      </c>
      <c r="G146" s="195">
        <f>IF(OR(A146="",C146=""),"",E146-C146)</f>
        <v/>
      </c>
      <c r="H146" s="195">
        <f>IF(A146="","",LOG10(A146))</f>
        <v/>
      </c>
      <c r="I146" s="195">
        <f>IF(B146="","",LOG10(MAX(B146,1E-12)))</f>
        <v/>
      </c>
      <c r="J146" s="195">
        <f>IF(D146="","",LOG10(MAX(D146,1E-12)))</f>
        <v/>
      </c>
      <c r="K146">
        <f>IF(A146="","",ROUND(1+(LOG10(A146)-LOG10('入力・概要'!$B$38))*('入力・概要'!$B$40-1)/(LOG10('入力・概要'!$B$39)-LOG10('入力・概要'!$B$38)),0)+3)</f>
        <v/>
      </c>
      <c r="L146">
        <f>IF(K146="","",INDEX('差動モデル'!$B:$B,K146))</f>
        <v/>
      </c>
      <c r="M146">
        <f>IF(A146="","",IF(ABS(L146/A146-1)&lt;0.01,"周波数差&lt;1%","周波数差あり"))</f>
        <v/>
      </c>
    </row>
    <row r="147">
      <c r="A147" s="197" t="n"/>
      <c r="B147" s="198" t="n"/>
      <c r="C147" s="198" t="n"/>
      <c r="D147" s="195">
        <f>IF(K147="","",INDEX('差動モデル'!$R:$R,K147))</f>
        <v/>
      </c>
      <c r="E147" s="195">
        <f>IF(K147="","",INDEX('差動モデル'!$S:$S,K147))</f>
        <v/>
      </c>
      <c r="F147" s="195">
        <f>IF(OR(A147="",B147=""),"",100*(D147-B147)/MAX(B147,1E-12))</f>
        <v/>
      </c>
      <c r="G147" s="195">
        <f>IF(OR(A147="",C147=""),"",E147-C147)</f>
        <v/>
      </c>
      <c r="H147" s="195">
        <f>IF(A147="","",LOG10(A147))</f>
        <v/>
      </c>
      <c r="I147" s="195">
        <f>IF(B147="","",LOG10(MAX(B147,1E-12)))</f>
        <v/>
      </c>
      <c r="J147" s="195">
        <f>IF(D147="","",LOG10(MAX(D147,1E-12)))</f>
        <v/>
      </c>
      <c r="K147">
        <f>IF(A147="","",ROUND(1+(LOG10(A147)-LOG10('入力・概要'!$B$38))*('入力・概要'!$B$40-1)/(LOG10('入力・概要'!$B$39)-LOG10('入力・概要'!$B$38)),0)+3)</f>
        <v/>
      </c>
      <c r="L147">
        <f>IF(K147="","",INDEX('差動モデル'!$B:$B,K147))</f>
        <v/>
      </c>
      <c r="M147">
        <f>IF(A147="","",IF(ABS(L147/A147-1)&lt;0.01,"周波数差&lt;1%","周波数差あり"))</f>
        <v/>
      </c>
    </row>
    <row r="148">
      <c r="A148" s="197" t="n"/>
      <c r="B148" s="198" t="n"/>
      <c r="C148" s="198" t="n"/>
      <c r="D148" s="195">
        <f>IF(K148="","",INDEX('差動モデル'!$R:$R,K148))</f>
        <v/>
      </c>
      <c r="E148" s="195">
        <f>IF(K148="","",INDEX('差動モデル'!$S:$S,K148))</f>
        <v/>
      </c>
      <c r="F148" s="195">
        <f>IF(OR(A148="",B148=""),"",100*(D148-B148)/MAX(B148,1E-12))</f>
        <v/>
      </c>
      <c r="G148" s="195">
        <f>IF(OR(A148="",C148=""),"",E148-C148)</f>
        <v/>
      </c>
      <c r="H148" s="195">
        <f>IF(A148="","",LOG10(A148))</f>
        <v/>
      </c>
      <c r="I148" s="195">
        <f>IF(B148="","",LOG10(MAX(B148,1E-12)))</f>
        <v/>
      </c>
      <c r="J148" s="195">
        <f>IF(D148="","",LOG10(MAX(D148,1E-12)))</f>
        <v/>
      </c>
      <c r="K148">
        <f>IF(A148="","",ROUND(1+(LOG10(A148)-LOG10('入力・概要'!$B$38))*('入力・概要'!$B$40-1)/(LOG10('入力・概要'!$B$39)-LOG10('入力・概要'!$B$38)),0)+3)</f>
        <v/>
      </c>
      <c r="L148">
        <f>IF(K148="","",INDEX('差動モデル'!$B:$B,K148))</f>
        <v/>
      </c>
      <c r="M148">
        <f>IF(A148="","",IF(ABS(L148/A148-1)&lt;0.01,"周波数差&lt;1%","周波数差あり"))</f>
        <v/>
      </c>
    </row>
    <row r="149">
      <c r="A149" s="197" t="n"/>
      <c r="B149" s="198" t="n"/>
      <c r="C149" s="198" t="n"/>
      <c r="D149" s="195">
        <f>IF(K149="","",INDEX('差動モデル'!$R:$R,K149))</f>
        <v/>
      </c>
      <c r="E149" s="195">
        <f>IF(K149="","",INDEX('差動モデル'!$S:$S,K149))</f>
        <v/>
      </c>
      <c r="F149" s="195">
        <f>IF(OR(A149="",B149=""),"",100*(D149-B149)/MAX(B149,1E-12))</f>
        <v/>
      </c>
      <c r="G149" s="195">
        <f>IF(OR(A149="",C149=""),"",E149-C149)</f>
        <v/>
      </c>
      <c r="H149" s="195">
        <f>IF(A149="","",LOG10(A149))</f>
        <v/>
      </c>
      <c r="I149" s="195">
        <f>IF(B149="","",LOG10(MAX(B149,1E-12)))</f>
        <v/>
      </c>
      <c r="J149" s="195">
        <f>IF(D149="","",LOG10(MAX(D149,1E-12)))</f>
        <v/>
      </c>
      <c r="K149">
        <f>IF(A149="","",ROUND(1+(LOG10(A149)-LOG10('入力・概要'!$B$38))*('入力・概要'!$B$40-1)/(LOG10('入力・概要'!$B$39)-LOG10('入力・概要'!$B$38)),0)+3)</f>
        <v/>
      </c>
      <c r="L149">
        <f>IF(K149="","",INDEX('差動モデル'!$B:$B,K149))</f>
        <v/>
      </c>
      <c r="M149">
        <f>IF(A149="","",IF(ABS(L149/A149-1)&lt;0.01,"周波数差&lt;1%","周波数差あり"))</f>
        <v/>
      </c>
    </row>
    <row r="150">
      <c r="A150" s="197" t="n"/>
      <c r="B150" s="198" t="n"/>
      <c r="C150" s="198" t="n"/>
      <c r="D150" s="195">
        <f>IF(K150="","",INDEX('差動モデル'!$R:$R,K150))</f>
        <v/>
      </c>
      <c r="E150" s="195">
        <f>IF(K150="","",INDEX('差動モデル'!$S:$S,K150))</f>
        <v/>
      </c>
      <c r="F150" s="195">
        <f>IF(OR(A150="",B150=""),"",100*(D150-B150)/MAX(B150,1E-12))</f>
        <v/>
      </c>
      <c r="G150" s="195">
        <f>IF(OR(A150="",C150=""),"",E150-C150)</f>
        <v/>
      </c>
      <c r="H150" s="195">
        <f>IF(A150="","",LOG10(A150))</f>
        <v/>
      </c>
      <c r="I150" s="195">
        <f>IF(B150="","",LOG10(MAX(B150,1E-12)))</f>
        <v/>
      </c>
      <c r="J150" s="195">
        <f>IF(D150="","",LOG10(MAX(D150,1E-12)))</f>
        <v/>
      </c>
      <c r="K150">
        <f>IF(A150="","",ROUND(1+(LOG10(A150)-LOG10('入力・概要'!$B$38))*('入力・概要'!$B$40-1)/(LOG10('入力・概要'!$B$39)-LOG10('入力・概要'!$B$38)),0)+3)</f>
        <v/>
      </c>
      <c r="L150">
        <f>IF(K150="","",INDEX('差動モデル'!$B:$B,K150))</f>
        <v/>
      </c>
      <c r="M150">
        <f>IF(A150="","",IF(ABS(L150/A150-1)&lt;0.01,"周波数差&lt;1%","周波数差あり"))</f>
        <v/>
      </c>
    </row>
    <row r="151">
      <c r="A151" s="197" t="n"/>
      <c r="B151" s="198" t="n"/>
      <c r="C151" s="198" t="n"/>
      <c r="D151" s="195">
        <f>IF(K151="","",INDEX('差動モデル'!$R:$R,K151))</f>
        <v/>
      </c>
      <c r="E151" s="195">
        <f>IF(K151="","",INDEX('差動モデル'!$S:$S,K151))</f>
        <v/>
      </c>
      <c r="F151" s="195">
        <f>IF(OR(A151="",B151=""),"",100*(D151-B151)/MAX(B151,1E-12))</f>
        <v/>
      </c>
      <c r="G151" s="195">
        <f>IF(OR(A151="",C151=""),"",E151-C151)</f>
        <v/>
      </c>
      <c r="H151" s="195">
        <f>IF(A151="","",LOG10(A151))</f>
        <v/>
      </c>
      <c r="I151" s="195">
        <f>IF(B151="","",LOG10(MAX(B151,1E-12)))</f>
        <v/>
      </c>
      <c r="J151" s="195">
        <f>IF(D151="","",LOG10(MAX(D151,1E-12)))</f>
        <v/>
      </c>
      <c r="K151">
        <f>IF(A151="","",ROUND(1+(LOG10(A151)-LOG10('入力・概要'!$B$38))*('入力・概要'!$B$40-1)/(LOG10('入力・概要'!$B$39)-LOG10('入力・概要'!$B$38)),0)+3)</f>
        <v/>
      </c>
      <c r="L151">
        <f>IF(K151="","",INDEX('差動モデル'!$B:$B,K151))</f>
        <v/>
      </c>
      <c r="M151">
        <f>IF(A151="","",IF(ABS(L151/A151-1)&lt;0.01,"周波数差&lt;1%","周波数差あり"))</f>
        <v/>
      </c>
    </row>
    <row r="152">
      <c r="A152" s="197" t="n"/>
      <c r="B152" s="198" t="n"/>
      <c r="C152" s="198" t="n"/>
      <c r="D152" s="195">
        <f>IF(K152="","",INDEX('差動モデル'!$R:$R,K152))</f>
        <v/>
      </c>
      <c r="E152" s="195">
        <f>IF(K152="","",INDEX('差動モデル'!$S:$S,K152))</f>
        <v/>
      </c>
      <c r="F152" s="195">
        <f>IF(OR(A152="",B152=""),"",100*(D152-B152)/MAX(B152,1E-12))</f>
        <v/>
      </c>
      <c r="G152" s="195">
        <f>IF(OR(A152="",C152=""),"",E152-C152)</f>
        <v/>
      </c>
      <c r="H152" s="195">
        <f>IF(A152="","",LOG10(A152))</f>
        <v/>
      </c>
      <c r="I152" s="195">
        <f>IF(B152="","",LOG10(MAX(B152,1E-12)))</f>
        <v/>
      </c>
      <c r="J152" s="195">
        <f>IF(D152="","",LOG10(MAX(D152,1E-12)))</f>
        <v/>
      </c>
      <c r="K152">
        <f>IF(A152="","",ROUND(1+(LOG10(A152)-LOG10('入力・概要'!$B$38))*('入力・概要'!$B$40-1)/(LOG10('入力・概要'!$B$39)-LOG10('入力・概要'!$B$38)),0)+3)</f>
        <v/>
      </c>
      <c r="L152">
        <f>IF(K152="","",INDEX('差動モデル'!$B:$B,K152))</f>
        <v/>
      </c>
      <c r="M152">
        <f>IF(A152="","",IF(ABS(L152/A152-1)&lt;0.01,"周波数差&lt;1%","周波数差あり"))</f>
        <v/>
      </c>
    </row>
    <row r="153">
      <c r="A153" s="197" t="n"/>
      <c r="B153" s="198" t="n"/>
      <c r="C153" s="198" t="n"/>
      <c r="D153" s="195">
        <f>IF(K153="","",INDEX('差動モデル'!$R:$R,K153))</f>
        <v/>
      </c>
      <c r="E153" s="195">
        <f>IF(K153="","",INDEX('差動モデル'!$S:$S,K153))</f>
        <v/>
      </c>
      <c r="F153" s="195">
        <f>IF(OR(A153="",B153=""),"",100*(D153-B153)/MAX(B153,1E-12))</f>
        <v/>
      </c>
      <c r="G153" s="195">
        <f>IF(OR(A153="",C153=""),"",E153-C153)</f>
        <v/>
      </c>
      <c r="H153" s="195">
        <f>IF(A153="","",LOG10(A153))</f>
        <v/>
      </c>
      <c r="I153" s="195">
        <f>IF(B153="","",LOG10(MAX(B153,1E-12)))</f>
        <v/>
      </c>
      <c r="J153" s="195">
        <f>IF(D153="","",LOG10(MAX(D153,1E-12)))</f>
        <v/>
      </c>
      <c r="K153">
        <f>IF(A153="","",ROUND(1+(LOG10(A153)-LOG10('入力・概要'!$B$38))*('入力・概要'!$B$40-1)/(LOG10('入力・概要'!$B$39)-LOG10('入力・概要'!$B$38)),0)+3)</f>
        <v/>
      </c>
      <c r="L153">
        <f>IF(K153="","",INDEX('差動モデル'!$B:$B,K153))</f>
        <v/>
      </c>
      <c r="M153">
        <f>IF(A153="","",IF(ABS(L153/A153-1)&lt;0.01,"周波数差&lt;1%","周波数差あり"))</f>
        <v/>
      </c>
    </row>
    <row r="154">
      <c r="A154" s="197" t="n"/>
      <c r="B154" s="198" t="n"/>
      <c r="C154" s="198" t="n"/>
      <c r="D154" s="195">
        <f>IF(K154="","",INDEX('差動モデル'!$R:$R,K154))</f>
        <v/>
      </c>
      <c r="E154" s="195">
        <f>IF(K154="","",INDEX('差動モデル'!$S:$S,K154))</f>
        <v/>
      </c>
      <c r="F154" s="195">
        <f>IF(OR(A154="",B154=""),"",100*(D154-B154)/MAX(B154,1E-12))</f>
        <v/>
      </c>
      <c r="G154" s="195">
        <f>IF(OR(A154="",C154=""),"",E154-C154)</f>
        <v/>
      </c>
      <c r="H154" s="195">
        <f>IF(A154="","",LOG10(A154))</f>
        <v/>
      </c>
      <c r="I154" s="195">
        <f>IF(B154="","",LOG10(MAX(B154,1E-12)))</f>
        <v/>
      </c>
      <c r="J154" s="195">
        <f>IF(D154="","",LOG10(MAX(D154,1E-12)))</f>
        <v/>
      </c>
      <c r="K154">
        <f>IF(A154="","",ROUND(1+(LOG10(A154)-LOG10('入力・概要'!$B$38))*('入力・概要'!$B$40-1)/(LOG10('入力・概要'!$B$39)-LOG10('入力・概要'!$B$38)),0)+3)</f>
        <v/>
      </c>
      <c r="L154">
        <f>IF(K154="","",INDEX('差動モデル'!$B:$B,K154))</f>
        <v/>
      </c>
      <c r="M154">
        <f>IF(A154="","",IF(ABS(L154/A154-1)&lt;0.01,"周波数差&lt;1%","周波数差あり"))</f>
        <v/>
      </c>
    </row>
    <row r="155">
      <c r="A155" s="197" t="n"/>
      <c r="B155" s="198" t="n"/>
      <c r="C155" s="198" t="n"/>
      <c r="D155" s="195">
        <f>IF(K155="","",INDEX('差動モデル'!$R:$R,K155))</f>
        <v/>
      </c>
      <c r="E155" s="195">
        <f>IF(K155="","",INDEX('差動モデル'!$S:$S,K155))</f>
        <v/>
      </c>
      <c r="F155" s="195">
        <f>IF(OR(A155="",B155=""),"",100*(D155-B155)/MAX(B155,1E-12))</f>
        <v/>
      </c>
      <c r="G155" s="195">
        <f>IF(OR(A155="",C155=""),"",E155-C155)</f>
        <v/>
      </c>
      <c r="H155" s="195">
        <f>IF(A155="","",LOG10(A155))</f>
        <v/>
      </c>
      <c r="I155" s="195">
        <f>IF(B155="","",LOG10(MAX(B155,1E-12)))</f>
        <v/>
      </c>
      <c r="J155" s="195">
        <f>IF(D155="","",LOG10(MAX(D155,1E-12)))</f>
        <v/>
      </c>
      <c r="K155">
        <f>IF(A155="","",ROUND(1+(LOG10(A155)-LOG10('入力・概要'!$B$38))*('入力・概要'!$B$40-1)/(LOG10('入力・概要'!$B$39)-LOG10('入力・概要'!$B$38)),0)+3)</f>
        <v/>
      </c>
      <c r="L155">
        <f>IF(K155="","",INDEX('差動モデル'!$B:$B,K155))</f>
        <v/>
      </c>
      <c r="M155">
        <f>IF(A155="","",IF(ABS(L155/A155-1)&lt;0.01,"周波数差&lt;1%","周波数差あり"))</f>
        <v/>
      </c>
    </row>
    <row r="156">
      <c r="A156" s="197" t="n"/>
      <c r="B156" s="198" t="n"/>
      <c r="C156" s="198" t="n"/>
      <c r="D156" s="195">
        <f>IF(K156="","",INDEX('差動モデル'!$R:$R,K156))</f>
        <v/>
      </c>
      <c r="E156" s="195">
        <f>IF(K156="","",INDEX('差動モデル'!$S:$S,K156))</f>
        <v/>
      </c>
      <c r="F156" s="195">
        <f>IF(OR(A156="",B156=""),"",100*(D156-B156)/MAX(B156,1E-12))</f>
        <v/>
      </c>
      <c r="G156" s="195">
        <f>IF(OR(A156="",C156=""),"",E156-C156)</f>
        <v/>
      </c>
      <c r="H156" s="195">
        <f>IF(A156="","",LOG10(A156))</f>
        <v/>
      </c>
      <c r="I156" s="195">
        <f>IF(B156="","",LOG10(MAX(B156,1E-12)))</f>
        <v/>
      </c>
      <c r="J156" s="195">
        <f>IF(D156="","",LOG10(MAX(D156,1E-12)))</f>
        <v/>
      </c>
      <c r="K156">
        <f>IF(A156="","",ROUND(1+(LOG10(A156)-LOG10('入力・概要'!$B$38))*('入力・概要'!$B$40-1)/(LOG10('入力・概要'!$B$39)-LOG10('入力・概要'!$B$38)),0)+3)</f>
        <v/>
      </c>
      <c r="L156">
        <f>IF(K156="","",INDEX('差動モデル'!$B:$B,K156))</f>
        <v/>
      </c>
      <c r="M156">
        <f>IF(A156="","",IF(ABS(L156/A156-1)&lt;0.01,"周波数差&lt;1%","周波数差あり"))</f>
        <v/>
      </c>
    </row>
    <row r="157">
      <c r="A157" s="197" t="n"/>
      <c r="B157" s="198" t="n"/>
      <c r="C157" s="198" t="n"/>
      <c r="D157" s="195">
        <f>IF(K157="","",INDEX('差動モデル'!$R:$R,K157))</f>
        <v/>
      </c>
      <c r="E157" s="195">
        <f>IF(K157="","",INDEX('差動モデル'!$S:$S,K157))</f>
        <v/>
      </c>
      <c r="F157" s="195">
        <f>IF(OR(A157="",B157=""),"",100*(D157-B157)/MAX(B157,1E-12))</f>
        <v/>
      </c>
      <c r="G157" s="195">
        <f>IF(OR(A157="",C157=""),"",E157-C157)</f>
        <v/>
      </c>
      <c r="H157" s="195">
        <f>IF(A157="","",LOG10(A157))</f>
        <v/>
      </c>
      <c r="I157" s="195">
        <f>IF(B157="","",LOG10(MAX(B157,1E-12)))</f>
        <v/>
      </c>
      <c r="J157" s="195">
        <f>IF(D157="","",LOG10(MAX(D157,1E-12)))</f>
        <v/>
      </c>
      <c r="K157">
        <f>IF(A157="","",ROUND(1+(LOG10(A157)-LOG10('入力・概要'!$B$38))*('入力・概要'!$B$40-1)/(LOG10('入力・概要'!$B$39)-LOG10('入力・概要'!$B$38)),0)+3)</f>
        <v/>
      </c>
      <c r="L157">
        <f>IF(K157="","",INDEX('差動モデル'!$B:$B,K157))</f>
        <v/>
      </c>
      <c r="M157">
        <f>IF(A157="","",IF(ABS(L157/A157-1)&lt;0.01,"周波数差&lt;1%","周波数差あり"))</f>
        <v/>
      </c>
    </row>
    <row r="158">
      <c r="A158" s="197" t="n"/>
      <c r="B158" s="198" t="n"/>
      <c r="C158" s="198" t="n"/>
      <c r="D158" s="195">
        <f>IF(K158="","",INDEX('差動モデル'!$R:$R,K158))</f>
        <v/>
      </c>
      <c r="E158" s="195">
        <f>IF(K158="","",INDEX('差動モデル'!$S:$S,K158))</f>
        <v/>
      </c>
      <c r="F158" s="195">
        <f>IF(OR(A158="",B158=""),"",100*(D158-B158)/MAX(B158,1E-12))</f>
        <v/>
      </c>
      <c r="G158" s="195">
        <f>IF(OR(A158="",C158=""),"",E158-C158)</f>
        <v/>
      </c>
      <c r="H158" s="195">
        <f>IF(A158="","",LOG10(A158))</f>
        <v/>
      </c>
      <c r="I158" s="195">
        <f>IF(B158="","",LOG10(MAX(B158,1E-12)))</f>
        <v/>
      </c>
      <c r="J158" s="195">
        <f>IF(D158="","",LOG10(MAX(D158,1E-12)))</f>
        <v/>
      </c>
      <c r="K158">
        <f>IF(A158="","",ROUND(1+(LOG10(A158)-LOG10('入力・概要'!$B$38))*('入力・概要'!$B$40-1)/(LOG10('入力・概要'!$B$39)-LOG10('入力・概要'!$B$38)),0)+3)</f>
        <v/>
      </c>
      <c r="L158">
        <f>IF(K158="","",INDEX('差動モデル'!$B:$B,K158))</f>
        <v/>
      </c>
      <c r="M158">
        <f>IF(A158="","",IF(ABS(L158/A158-1)&lt;0.01,"周波数差&lt;1%","周波数差あり"))</f>
        <v/>
      </c>
    </row>
    <row r="159">
      <c r="A159" s="197" t="n"/>
      <c r="B159" s="198" t="n"/>
      <c r="C159" s="198" t="n"/>
      <c r="D159" s="195">
        <f>IF(K159="","",INDEX('差動モデル'!$R:$R,K159))</f>
        <v/>
      </c>
      <c r="E159" s="195">
        <f>IF(K159="","",INDEX('差動モデル'!$S:$S,K159))</f>
        <v/>
      </c>
      <c r="F159" s="195">
        <f>IF(OR(A159="",B159=""),"",100*(D159-B159)/MAX(B159,1E-12))</f>
        <v/>
      </c>
      <c r="G159" s="195">
        <f>IF(OR(A159="",C159=""),"",E159-C159)</f>
        <v/>
      </c>
      <c r="H159" s="195">
        <f>IF(A159="","",LOG10(A159))</f>
        <v/>
      </c>
      <c r="I159" s="195">
        <f>IF(B159="","",LOG10(MAX(B159,1E-12)))</f>
        <v/>
      </c>
      <c r="J159" s="195">
        <f>IF(D159="","",LOG10(MAX(D159,1E-12)))</f>
        <v/>
      </c>
      <c r="K159">
        <f>IF(A159="","",ROUND(1+(LOG10(A159)-LOG10('入力・概要'!$B$38))*('入力・概要'!$B$40-1)/(LOG10('入力・概要'!$B$39)-LOG10('入力・概要'!$B$38)),0)+3)</f>
        <v/>
      </c>
      <c r="L159">
        <f>IF(K159="","",INDEX('差動モデル'!$B:$B,K159))</f>
        <v/>
      </c>
      <c r="M159">
        <f>IF(A159="","",IF(ABS(L159/A159-1)&lt;0.01,"周波数差&lt;1%","周波数差あり"))</f>
        <v/>
      </c>
    </row>
    <row r="160">
      <c r="A160" s="197" t="n"/>
      <c r="B160" s="198" t="n"/>
      <c r="C160" s="198" t="n"/>
      <c r="D160" s="195">
        <f>IF(K160="","",INDEX('差動モデル'!$R:$R,K160))</f>
        <v/>
      </c>
      <c r="E160" s="195">
        <f>IF(K160="","",INDEX('差動モデル'!$S:$S,K160))</f>
        <v/>
      </c>
      <c r="F160" s="195">
        <f>IF(OR(A160="",B160=""),"",100*(D160-B160)/MAX(B160,1E-12))</f>
        <v/>
      </c>
      <c r="G160" s="195">
        <f>IF(OR(A160="",C160=""),"",E160-C160)</f>
        <v/>
      </c>
      <c r="H160" s="195">
        <f>IF(A160="","",LOG10(A160))</f>
        <v/>
      </c>
      <c r="I160" s="195">
        <f>IF(B160="","",LOG10(MAX(B160,1E-12)))</f>
        <v/>
      </c>
      <c r="J160" s="195">
        <f>IF(D160="","",LOG10(MAX(D160,1E-12)))</f>
        <v/>
      </c>
      <c r="K160">
        <f>IF(A160="","",ROUND(1+(LOG10(A160)-LOG10('入力・概要'!$B$38))*('入力・概要'!$B$40-1)/(LOG10('入力・概要'!$B$39)-LOG10('入力・概要'!$B$38)),0)+3)</f>
        <v/>
      </c>
      <c r="L160">
        <f>IF(K160="","",INDEX('差動モデル'!$B:$B,K160))</f>
        <v/>
      </c>
      <c r="M160">
        <f>IF(A160="","",IF(ABS(L160/A160-1)&lt;0.01,"周波数差&lt;1%","周波数差あり"))</f>
        <v/>
      </c>
    </row>
    <row r="161">
      <c r="A161" s="197" t="n"/>
      <c r="B161" s="198" t="n"/>
      <c r="C161" s="198" t="n"/>
      <c r="D161" s="195">
        <f>IF(K161="","",INDEX('差動モデル'!$R:$R,K161))</f>
        <v/>
      </c>
      <c r="E161" s="195">
        <f>IF(K161="","",INDEX('差動モデル'!$S:$S,K161))</f>
        <v/>
      </c>
      <c r="F161" s="195">
        <f>IF(OR(A161="",B161=""),"",100*(D161-B161)/MAX(B161,1E-12))</f>
        <v/>
      </c>
      <c r="G161" s="195">
        <f>IF(OR(A161="",C161=""),"",E161-C161)</f>
        <v/>
      </c>
      <c r="H161" s="195">
        <f>IF(A161="","",LOG10(A161))</f>
        <v/>
      </c>
      <c r="I161" s="195">
        <f>IF(B161="","",LOG10(MAX(B161,1E-12)))</f>
        <v/>
      </c>
      <c r="J161" s="195">
        <f>IF(D161="","",LOG10(MAX(D161,1E-12)))</f>
        <v/>
      </c>
      <c r="K161">
        <f>IF(A161="","",ROUND(1+(LOG10(A161)-LOG10('入力・概要'!$B$38))*('入力・概要'!$B$40-1)/(LOG10('入力・概要'!$B$39)-LOG10('入力・概要'!$B$38)),0)+3)</f>
        <v/>
      </c>
      <c r="L161">
        <f>IF(K161="","",INDEX('差動モデル'!$B:$B,K161))</f>
        <v/>
      </c>
      <c r="M161">
        <f>IF(A161="","",IF(ABS(L161/A161-1)&lt;0.01,"周波数差&lt;1%","周波数差あり"))</f>
        <v/>
      </c>
    </row>
    <row r="162">
      <c r="A162" s="197" t="n"/>
      <c r="B162" s="198" t="n"/>
      <c r="C162" s="198" t="n"/>
      <c r="D162" s="195">
        <f>IF(K162="","",INDEX('差動モデル'!$R:$R,K162))</f>
        <v/>
      </c>
      <c r="E162" s="195">
        <f>IF(K162="","",INDEX('差動モデル'!$S:$S,K162))</f>
        <v/>
      </c>
      <c r="F162" s="195">
        <f>IF(OR(A162="",B162=""),"",100*(D162-B162)/MAX(B162,1E-12))</f>
        <v/>
      </c>
      <c r="G162" s="195">
        <f>IF(OR(A162="",C162=""),"",E162-C162)</f>
        <v/>
      </c>
      <c r="H162" s="195">
        <f>IF(A162="","",LOG10(A162))</f>
        <v/>
      </c>
      <c r="I162" s="195">
        <f>IF(B162="","",LOG10(MAX(B162,1E-12)))</f>
        <v/>
      </c>
      <c r="J162" s="195">
        <f>IF(D162="","",LOG10(MAX(D162,1E-12)))</f>
        <v/>
      </c>
      <c r="K162">
        <f>IF(A162="","",ROUND(1+(LOG10(A162)-LOG10('入力・概要'!$B$38))*('入力・概要'!$B$40-1)/(LOG10('入力・概要'!$B$39)-LOG10('入力・概要'!$B$38)),0)+3)</f>
        <v/>
      </c>
      <c r="L162">
        <f>IF(K162="","",INDEX('差動モデル'!$B:$B,K162))</f>
        <v/>
      </c>
      <c r="M162">
        <f>IF(A162="","",IF(ABS(L162/A162-1)&lt;0.01,"周波数差&lt;1%","周波数差あり"))</f>
        <v/>
      </c>
    </row>
    <row r="163">
      <c r="A163" s="197" t="n"/>
      <c r="B163" s="198" t="n"/>
      <c r="C163" s="198" t="n"/>
      <c r="D163" s="195">
        <f>IF(K163="","",INDEX('差動モデル'!$R:$R,K163))</f>
        <v/>
      </c>
      <c r="E163" s="195">
        <f>IF(K163="","",INDEX('差動モデル'!$S:$S,K163))</f>
        <v/>
      </c>
      <c r="F163" s="195">
        <f>IF(OR(A163="",B163=""),"",100*(D163-B163)/MAX(B163,1E-12))</f>
        <v/>
      </c>
      <c r="G163" s="195">
        <f>IF(OR(A163="",C163=""),"",E163-C163)</f>
        <v/>
      </c>
      <c r="H163" s="195">
        <f>IF(A163="","",LOG10(A163))</f>
        <v/>
      </c>
      <c r="I163" s="195">
        <f>IF(B163="","",LOG10(MAX(B163,1E-12)))</f>
        <v/>
      </c>
      <c r="J163" s="195">
        <f>IF(D163="","",LOG10(MAX(D163,1E-12)))</f>
        <v/>
      </c>
      <c r="K163">
        <f>IF(A163="","",ROUND(1+(LOG10(A163)-LOG10('入力・概要'!$B$38))*('入力・概要'!$B$40-1)/(LOG10('入力・概要'!$B$39)-LOG10('入力・概要'!$B$38)),0)+3)</f>
        <v/>
      </c>
      <c r="L163">
        <f>IF(K163="","",INDEX('差動モデル'!$B:$B,K163))</f>
        <v/>
      </c>
      <c r="M163">
        <f>IF(A163="","",IF(ABS(L163/A163-1)&lt;0.01,"周波数差&lt;1%","周波数差あり"))</f>
        <v/>
      </c>
    </row>
    <row r="164">
      <c r="A164" s="197" t="n"/>
      <c r="B164" s="198" t="n"/>
      <c r="C164" s="198" t="n"/>
      <c r="D164" s="195">
        <f>IF(K164="","",INDEX('差動モデル'!$R:$R,K164))</f>
        <v/>
      </c>
      <c r="E164" s="195">
        <f>IF(K164="","",INDEX('差動モデル'!$S:$S,K164))</f>
        <v/>
      </c>
      <c r="F164" s="195">
        <f>IF(OR(A164="",B164=""),"",100*(D164-B164)/MAX(B164,1E-12))</f>
        <v/>
      </c>
      <c r="G164" s="195">
        <f>IF(OR(A164="",C164=""),"",E164-C164)</f>
        <v/>
      </c>
      <c r="H164" s="195">
        <f>IF(A164="","",LOG10(A164))</f>
        <v/>
      </c>
      <c r="I164" s="195">
        <f>IF(B164="","",LOG10(MAX(B164,1E-12)))</f>
        <v/>
      </c>
      <c r="J164" s="195">
        <f>IF(D164="","",LOG10(MAX(D164,1E-12)))</f>
        <v/>
      </c>
      <c r="K164">
        <f>IF(A164="","",ROUND(1+(LOG10(A164)-LOG10('入力・概要'!$B$38))*('入力・概要'!$B$40-1)/(LOG10('入力・概要'!$B$39)-LOG10('入力・概要'!$B$38)),0)+3)</f>
        <v/>
      </c>
      <c r="L164">
        <f>IF(K164="","",INDEX('差動モデル'!$B:$B,K164))</f>
        <v/>
      </c>
      <c r="M164">
        <f>IF(A164="","",IF(ABS(L164/A164-1)&lt;0.01,"周波数差&lt;1%","周波数差あり"))</f>
        <v/>
      </c>
    </row>
    <row r="165">
      <c r="A165" s="197" t="n"/>
      <c r="B165" s="198" t="n"/>
      <c r="C165" s="198" t="n"/>
      <c r="D165" s="195">
        <f>IF(K165="","",INDEX('差動モデル'!$R:$R,K165))</f>
        <v/>
      </c>
      <c r="E165" s="195">
        <f>IF(K165="","",INDEX('差動モデル'!$S:$S,K165))</f>
        <v/>
      </c>
      <c r="F165" s="195">
        <f>IF(OR(A165="",B165=""),"",100*(D165-B165)/MAX(B165,1E-12))</f>
        <v/>
      </c>
      <c r="G165" s="195">
        <f>IF(OR(A165="",C165=""),"",E165-C165)</f>
        <v/>
      </c>
      <c r="H165" s="195">
        <f>IF(A165="","",LOG10(A165))</f>
        <v/>
      </c>
      <c r="I165" s="195">
        <f>IF(B165="","",LOG10(MAX(B165,1E-12)))</f>
        <v/>
      </c>
      <c r="J165" s="195">
        <f>IF(D165="","",LOG10(MAX(D165,1E-12)))</f>
        <v/>
      </c>
      <c r="K165">
        <f>IF(A165="","",ROUND(1+(LOG10(A165)-LOG10('入力・概要'!$B$38))*('入力・概要'!$B$40-1)/(LOG10('入力・概要'!$B$39)-LOG10('入力・概要'!$B$38)),0)+3)</f>
        <v/>
      </c>
      <c r="L165">
        <f>IF(K165="","",INDEX('差動モデル'!$B:$B,K165))</f>
        <v/>
      </c>
      <c r="M165">
        <f>IF(A165="","",IF(ABS(L165/A165-1)&lt;0.01,"周波数差&lt;1%","周波数差あり"))</f>
        <v/>
      </c>
    </row>
    <row r="166">
      <c r="A166" s="197" t="n"/>
      <c r="B166" s="198" t="n"/>
      <c r="C166" s="198" t="n"/>
      <c r="D166" s="195">
        <f>IF(K166="","",INDEX('差動モデル'!$R:$R,K166))</f>
        <v/>
      </c>
      <c r="E166" s="195">
        <f>IF(K166="","",INDEX('差動モデル'!$S:$S,K166))</f>
        <v/>
      </c>
      <c r="F166" s="195">
        <f>IF(OR(A166="",B166=""),"",100*(D166-B166)/MAX(B166,1E-12))</f>
        <v/>
      </c>
      <c r="G166" s="195">
        <f>IF(OR(A166="",C166=""),"",E166-C166)</f>
        <v/>
      </c>
      <c r="H166" s="195">
        <f>IF(A166="","",LOG10(A166))</f>
        <v/>
      </c>
      <c r="I166" s="195">
        <f>IF(B166="","",LOG10(MAX(B166,1E-12)))</f>
        <v/>
      </c>
      <c r="J166" s="195">
        <f>IF(D166="","",LOG10(MAX(D166,1E-12)))</f>
        <v/>
      </c>
      <c r="K166">
        <f>IF(A166="","",ROUND(1+(LOG10(A166)-LOG10('入力・概要'!$B$38))*('入力・概要'!$B$40-1)/(LOG10('入力・概要'!$B$39)-LOG10('入力・概要'!$B$38)),0)+3)</f>
        <v/>
      </c>
      <c r="L166">
        <f>IF(K166="","",INDEX('差動モデル'!$B:$B,K166))</f>
        <v/>
      </c>
      <c r="M166">
        <f>IF(A166="","",IF(ABS(L166/A166-1)&lt;0.01,"周波数差&lt;1%","周波数差あり"))</f>
        <v/>
      </c>
    </row>
    <row r="167">
      <c r="A167" s="197" t="n"/>
      <c r="B167" s="198" t="n"/>
      <c r="C167" s="198" t="n"/>
      <c r="D167" s="195">
        <f>IF(K167="","",INDEX('差動モデル'!$R:$R,K167))</f>
        <v/>
      </c>
      <c r="E167" s="195">
        <f>IF(K167="","",INDEX('差動モデル'!$S:$S,K167))</f>
        <v/>
      </c>
      <c r="F167" s="195">
        <f>IF(OR(A167="",B167=""),"",100*(D167-B167)/MAX(B167,1E-12))</f>
        <v/>
      </c>
      <c r="G167" s="195">
        <f>IF(OR(A167="",C167=""),"",E167-C167)</f>
        <v/>
      </c>
      <c r="H167" s="195">
        <f>IF(A167="","",LOG10(A167))</f>
        <v/>
      </c>
      <c r="I167" s="195">
        <f>IF(B167="","",LOG10(MAX(B167,1E-12)))</f>
        <v/>
      </c>
      <c r="J167" s="195">
        <f>IF(D167="","",LOG10(MAX(D167,1E-12)))</f>
        <v/>
      </c>
      <c r="K167">
        <f>IF(A167="","",ROUND(1+(LOG10(A167)-LOG10('入力・概要'!$B$38))*('入力・概要'!$B$40-1)/(LOG10('入力・概要'!$B$39)-LOG10('入力・概要'!$B$38)),0)+3)</f>
        <v/>
      </c>
      <c r="L167">
        <f>IF(K167="","",INDEX('差動モデル'!$B:$B,K167))</f>
        <v/>
      </c>
      <c r="M167">
        <f>IF(A167="","",IF(ABS(L167/A167-1)&lt;0.01,"周波数差&lt;1%","周波数差あり"))</f>
        <v/>
      </c>
    </row>
    <row r="168">
      <c r="A168" s="197" t="n"/>
      <c r="B168" s="198" t="n"/>
      <c r="C168" s="198" t="n"/>
      <c r="D168" s="195">
        <f>IF(K168="","",INDEX('差動モデル'!$R:$R,K168))</f>
        <v/>
      </c>
      <c r="E168" s="195">
        <f>IF(K168="","",INDEX('差動モデル'!$S:$S,K168))</f>
        <v/>
      </c>
      <c r="F168" s="195">
        <f>IF(OR(A168="",B168=""),"",100*(D168-B168)/MAX(B168,1E-12))</f>
        <v/>
      </c>
      <c r="G168" s="195">
        <f>IF(OR(A168="",C168=""),"",E168-C168)</f>
        <v/>
      </c>
      <c r="H168" s="195">
        <f>IF(A168="","",LOG10(A168))</f>
        <v/>
      </c>
      <c r="I168" s="195">
        <f>IF(B168="","",LOG10(MAX(B168,1E-12)))</f>
        <v/>
      </c>
      <c r="J168" s="195">
        <f>IF(D168="","",LOG10(MAX(D168,1E-12)))</f>
        <v/>
      </c>
      <c r="K168">
        <f>IF(A168="","",ROUND(1+(LOG10(A168)-LOG10('入力・概要'!$B$38))*('入力・概要'!$B$40-1)/(LOG10('入力・概要'!$B$39)-LOG10('入力・概要'!$B$38)),0)+3)</f>
        <v/>
      </c>
      <c r="L168">
        <f>IF(K168="","",INDEX('差動モデル'!$B:$B,K168))</f>
        <v/>
      </c>
      <c r="M168">
        <f>IF(A168="","",IF(ABS(L168/A168-1)&lt;0.01,"周波数差&lt;1%","周波数差あり"))</f>
        <v/>
      </c>
    </row>
    <row r="169">
      <c r="A169" s="197" t="n"/>
      <c r="B169" s="198" t="n"/>
      <c r="C169" s="198" t="n"/>
      <c r="D169" s="195">
        <f>IF(K169="","",INDEX('差動モデル'!$R:$R,K169))</f>
        <v/>
      </c>
      <c r="E169" s="195">
        <f>IF(K169="","",INDEX('差動モデル'!$S:$S,K169))</f>
        <v/>
      </c>
      <c r="F169" s="195">
        <f>IF(OR(A169="",B169=""),"",100*(D169-B169)/MAX(B169,1E-12))</f>
        <v/>
      </c>
      <c r="G169" s="195">
        <f>IF(OR(A169="",C169=""),"",E169-C169)</f>
        <v/>
      </c>
      <c r="H169" s="195">
        <f>IF(A169="","",LOG10(A169))</f>
        <v/>
      </c>
      <c r="I169" s="195">
        <f>IF(B169="","",LOG10(MAX(B169,1E-12)))</f>
        <v/>
      </c>
      <c r="J169" s="195">
        <f>IF(D169="","",LOG10(MAX(D169,1E-12)))</f>
        <v/>
      </c>
      <c r="K169">
        <f>IF(A169="","",ROUND(1+(LOG10(A169)-LOG10('入力・概要'!$B$38))*('入力・概要'!$B$40-1)/(LOG10('入力・概要'!$B$39)-LOG10('入力・概要'!$B$38)),0)+3)</f>
        <v/>
      </c>
      <c r="L169">
        <f>IF(K169="","",INDEX('差動モデル'!$B:$B,K169))</f>
        <v/>
      </c>
      <c r="M169">
        <f>IF(A169="","",IF(ABS(L169/A169-1)&lt;0.01,"周波数差&lt;1%","周波数差あり"))</f>
        <v/>
      </c>
    </row>
    <row r="170">
      <c r="A170" s="197" t="n"/>
      <c r="B170" s="198" t="n"/>
      <c r="C170" s="198" t="n"/>
      <c r="D170" s="195">
        <f>IF(K170="","",INDEX('差動モデル'!$R:$R,K170))</f>
        <v/>
      </c>
      <c r="E170" s="195">
        <f>IF(K170="","",INDEX('差動モデル'!$S:$S,K170))</f>
        <v/>
      </c>
      <c r="F170" s="195">
        <f>IF(OR(A170="",B170=""),"",100*(D170-B170)/MAX(B170,1E-12))</f>
        <v/>
      </c>
      <c r="G170" s="195">
        <f>IF(OR(A170="",C170=""),"",E170-C170)</f>
        <v/>
      </c>
      <c r="H170" s="195">
        <f>IF(A170="","",LOG10(A170))</f>
        <v/>
      </c>
      <c r="I170" s="195">
        <f>IF(B170="","",LOG10(MAX(B170,1E-12)))</f>
        <v/>
      </c>
      <c r="J170" s="195">
        <f>IF(D170="","",LOG10(MAX(D170,1E-12)))</f>
        <v/>
      </c>
      <c r="K170">
        <f>IF(A170="","",ROUND(1+(LOG10(A170)-LOG10('入力・概要'!$B$38))*('入力・概要'!$B$40-1)/(LOG10('入力・概要'!$B$39)-LOG10('入力・概要'!$B$38)),0)+3)</f>
        <v/>
      </c>
      <c r="L170">
        <f>IF(K170="","",INDEX('差動モデル'!$B:$B,K170))</f>
        <v/>
      </c>
      <c r="M170">
        <f>IF(A170="","",IF(ABS(L170/A170-1)&lt;0.01,"周波数差&lt;1%","周波数差あり"))</f>
        <v/>
      </c>
    </row>
    <row r="171">
      <c r="A171" s="197" t="n"/>
      <c r="B171" s="198" t="n"/>
      <c r="C171" s="198" t="n"/>
      <c r="D171" s="195">
        <f>IF(K171="","",INDEX('差動モデル'!$R:$R,K171))</f>
        <v/>
      </c>
      <c r="E171" s="195">
        <f>IF(K171="","",INDEX('差動モデル'!$S:$S,K171))</f>
        <v/>
      </c>
      <c r="F171" s="195">
        <f>IF(OR(A171="",B171=""),"",100*(D171-B171)/MAX(B171,1E-12))</f>
        <v/>
      </c>
      <c r="G171" s="195">
        <f>IF(OR(A171="",C171=""),"",E171-C171)</f>
        <v/>
      </c>
      <c r="H171" s="195">
        <f>IF(A171="","",LOG10(A171))</f>
        <v/>
      </c>
      <c r="I171" s="195">
        <f>IF(B171="","",LOG10(MAX(B171,1E-12)))</f>
        <v/>
      </c>
      <c r="J171" s="195">
        <f>IF(D171="","",LOG10(MAX(D171,1E-12)))</f>
        <v/>
      </c>
      <c r="K171">
        <f>IF(A171="","",ROUND(1+(LOG10(A171)-LOG10('入力・概要'!$B$38))*('入力・概要'!$B$40-1)/(LOG10('入力・概要'!$B$39)-LOG10('入力・概要'!$B$38)),0)+3)</f>
        <v/>
      </c>
      <c r="L171">
        <f>IF(K171="","",INDEX('差動モデル'!$B:$B,K171))</f>
        <v/>
      </c>
      <c r="M171">
        <f>IF(A171="","",IF(ABS(L171/A171-1)&lt;0.01,"周波数差&lt;1%","周波数差あり"))</f>
        <v/>
      </c>
    </row>
    <row r="172">
      <c r="A172" s="197" t="n"/>
      <c r="B172" s="198" t="n"/>
      <c r="C172" s="198" t="n"/>
      <c r="D172" s="195">
        <f>IF(K172="","",INDEX('差動モデル'!$R:$R,K172))</f>
        <v/>
      </c>
      <c r="E172" s="195">
        <f>IF(K172="","",INDEX('差動モデル'!$S:$S,K172))</f>
        <v/>
      </c>
      <c r="F172" s="195">
        <f>IF(OR(A172="",B172=""),"",100*(D172-B172)/MAX(B172,1E-12))</f>
        <v/>
      </c>
      <c r="G172" s="195">
        <f>IF(OR(A172="",C172=""),"",E172-C172)</f>
        <v/>
      </c>
      <c r="H172" s="195">
        <f>IF(A172="","",LOG10(A172))</f>
        <v/>
      </c>
      <c r="I172" s="195">
        <f>IF(B172="","",LOG10(MAX(B172,1E-12)))</f>
        <v/>
      </c>
      <c r="J172" s="195">
        <f>IF(D172="","",LOG10(MAX(D172,1E-12)))</f>
        <v/>
      </c>
      <c r="K172">
        <f>IF(A172="","",ROUND(1+(LOG10(A172)-LOG10('入力・概要'!$B$38))*('入力・概要'!$B$40-1)/(LOG10('入力・概要'!$B$39)-LOG10('入力・概要'!$B$38)),0)+3)</f>
        <v/>
      </c>
      <c r="L172">
        <f>IF(K172="","",INDEX('差動モデル'!$B:$B,K172))</f>
        <v/>
      </c>
      <c r="M172">
        <f>IF(A172="","",IF(ABS(L172/A172-1)&lt;0.01,"周波数差&lt;1%","周波数差あり"))</f>
        <v/>
      </c>
    </row>
    <row r="173">
      <c r="A173" s="197" t="n"/>
      <c r="B173" s="198" t="n"/>
      <c r="C173" s="198" t="n"/>
      <c r="D173" s="195">
        <f>IF(K173="","",INDEX('差動モデル'!$R:$R,K173))</f>
        <v/>
      </c>
      <c r="E173" s="195">
        <f>IF(K173="","",INDEX('差動モデル'!$S:$S,K173))</f>
        <v/>
      </c>
      <c r="F173" s="195">
        <f>IF(OR(A173="",B173=""),"",100*(D173-B173)/MAX(B173,1E-12))</f>
        <v/>
      </c>
      <c r="G173" s="195">
        <f>IF(OR(A173="",C173=""),"",E173-C173)</f>
        <v/>
      </c>
      <c r="H173" s="195">
        <f>IF(A173="","",LOG10(A173))</f>
        <v/>
      </c>
      <c r="I173" s="195">
        <f>IF(B173="","",LOG10(MAX(B173,1E-12)))</f>
        <v/>
      </c>
      <c r="J173" s="195">
        <f>IF(D173="","",LOG10(MAX(D173,1E-12)))</f>
        <v/>
      </c>
      <c r="K173">
        <f>IF(A173="","",ROUND(1+(LOG10(A173)-LOG10('入力・概要'!$B$38))*('入力・概要'!$B$40-1)/(LOG10('入力・概要'!$B$39)-LOG10('入力・概要'!$B$38)),0)+3)</f>
        <v/>
      </c>
      <c r="L173">
        <f>IF(K173="","",INDEX('差動モデル'!$B:$B,K173))</f>
        <v/>
      </c>
      <c r="M173">
        <f>IF(A173="","",IF(ABS(L173/A173-1)&lt;0.01,"周波数差&lt;1%","周波数差あり"))</f>
        <v/>
      </c>
    </row>
    <row r="174">
      <c r="A174" s="197" t="n"/>
      <c r="B174" s="198" t="n"/>
      <c r="C174" s="198" t="n"/>
      <c r="D174" s="195">
        <f>IF(K174="","",INDEX('差動モデル'!$R:$R,K174))</f>
        <v/>
      </c>
      <c r="E174" s="195">
        <f>IF(K174="","",INDEX('差動モデル'!$S:$S,K174))</f>
        <v/>
      </c>
      <c r="F174" s="195">
        <f>IF(OR(A174="",B174=""),"",100*(D174-B174)/MAX(B174,1E-12))</f>
        <v/>
      </c>
      <c r="G174" s="195">
        <f>IF(OR(A174="",C174=""),"",E174-C174)</f>
        <v/>
      </c>
      <c r="H174" s="195">
        <f>IF(A174="","",LOG10(A174))</f>
        <v/>
      </c>
      <c r="I174" s="195">
        <f>IF(B174="","",LOG10(MAX(B174,1E-12)))</f>
        <v/>
      </c>
      <c r="J174" s="195">
        <f>IF(D174="","",LOG10(MAX(D174,1E-12)))</f>
        <v/>
      </c>
      <c r="K174">
        <f>IF(A174="","",ROUND(1+(LOG10(A174)-LOG10('入力・概要'!$B$38))*('入力・概要'!$B$40-1)/(LOG10('入力・概要'!$B$39)-LOG10('入力・概要'!$B$38)),0)+3)</f>
        <v/>
      </c>
      <c r="L174">
        <f>IF(K174="","",INDEX('差動モデル'!$B:$B,K174))</f>
        <v/>
      </c>
      <c r="M174">
        <f>IF(A174="","",IF(ABS(L174/A174-1)&lt;0.01,"周波数差&lt;1%","周波数差あり"))</f>
        <v/>
      </c>
    </row>
    <row r="175">
      <c r="A175" s="197" t="n"/>
      <c r="B175" s="198" t="n"/>
      <c r="C175" s="198" t="n"/>
      <c r="D175" s="195">
        <f>IF(K175="","",INDEX('差動モデル'!$R:$R,K175))</f>
        <v/>
      </c>
      <c r="E175" s="195">
        <f>IF(K175="","",INDEX('差動モデル'!$S:$S,K175))</f>
        <v/>
      </c>
      <c r="F175" s="195">
        <f>IF(OR(A175="",B175=""),"",100*(D175-B175)/MAX(B175,1E-12))</f>
        <v/>
      </c>
      <c r="G175" s="195">
        <f>IF(OR(A175="",C175=""),"",E175-C175)</f>
        <v/>
      </c>
      <c r="H175" s="195">
        <f>IF(A175="","",LOG10(A175))</f>
        <v/>
      </c>
      <c r="I175" s="195">
        <f>IF(B175="","",LOG10(MAX(B175,1E-12)))</f>
        <v/>
      </c>
      <c r="J175" s="195">
        <f>IF(D175="","",LOG10(MAX(D175,1E-12)))</f>
        <v/>
      </c>
      <c r="K175">
        <f>IF(A175="","",ROUND(1+(LOG10(A175)-LOG10('入力・概要'!$B$38))*('入力・概要'!$B$40-1)/(LOG10('入力・概要'!$B$39)-LOG10('入力・概要'!$B$38)),0)+3)</f>
        <v/>
      </c>
      <c r="L175">
        <f>IF(K175="","",INDEX('差動モデル'!$B:$B,K175))</f>
        <v/>
      </c>
      <c r="M175">
        <f>IF(A175="","",IF(ABS(L175/A175-1)&lt;0.01,"周波数差&lt;1%","周波数差あり"))</f>
        <v/>
      </c>
    </row>
    <row r="176">
      <c r="A176" s="197" t="n"/>
      <c r="B176" s="198" t="n"/>
      <c r="C176" s="198" t="n"/>
      <c r="D176" s="195">
        <f>IF(K176="","",INDEX('差動モデル'!$R:$R,K176))</f>
        <v/>
      </c>
      <c r="E176" s="195">
        <f>IF(K176="","",INDEX('差動モデル'!$S:$S,K176))</f>
        <v/>
      </c>
      <c r="F176" s="195">
        <f>IF(OR(A176="",B176=""),"",100*(D176-B176)/MAX(B176,1E-12))</f>
        <v/>
      </c>
      <c r="G176" s="195">
        <f>IF(OR(A176="",C176=""),"",E176-C176)</f>
        <v/>
      </c>
      <c r="H176" s="195">
        <f>IF(A176="","",LOG10(A176))</f>
        <v/>
      </c>
      <c r="I176" s="195">
        <f>IF(B176="","",LOG10(MAX(B176,1E-12)))</f>
        <v/>
      </c>
      <c r="J176" s="195">
        <f>IF(D176="","",LOG10(MAX(D176,1E-12)))</f>
        <v/>
      </c>
      <c r="K176">
        <f>IF(A176="","",ROUND(1+(LOG10(A176)-LOG10('入力・概要'!$B$38))*('入力・概要'!$B$40-1)/(LOG10('入力・概要'!$B$39)-LOG10('入力・概要'!$B$38)),0)+3)</f>
        <v/>
      </c>
      <c r="L176">
        <f>IF(K176="","",INDEX('差動モデル'!$B:$B,K176))</f>
        <v/>
      </c>
      <c r="M176">
        <f>IF(A176="","",IF(ABS(L176/A176-1)&lt;0.01,"周波数差&lt;1%","周波数差あり"))</f>
        <v/>
      </c>
    </row>
    <row r="177">
      <c r="A177" s="197" t="n"/>
      <c r="B177" s="198" t="n"/>
      <c r="C177" s="198" t="n"/>
      <c r="D177" s="195">
        <f>IF(K177="","",INDEX('差動モデル'!$R:$R,K177))</f>
        <v/>
      </c>
      <c r="E177" s="195">
        <f>IF(K177="","",INDEX('差動モデル'!$S:$S,K177))</f>
        <v/>
      </c>
      <c r="F177" s="195">
        <f>IF(OR(A177="",B177=""),"",100*(D177-B177)/MAX(B177,1E-12))</f>
        <v/>
      </c>
      <c r="G177" s="195">
        <f>IF(OR(A177="",C177=""),"",E177-C177)</f>
        <v/>
      </c>
      <c r="H177" s="195">
        <f>IF(A177="","",LOG10(A177))</f>
        <v/>
      </c>
      <c r="I177" s="195">
        <f>IF(B177="","",LOG10(MAX(B177,1E-12)))</f>
        <v/>
      </c>
      <c r="J177" s="195">
        <f>IF(D177="","",LOG10(MAX(D177,1E-12)))</f>
        <v/>
      </c>
      <c r="K177">
        <f>IF(A177="","",ROUND(1+(LOG10(A177)-LOG10('入力・概要'!$B$38))*('入力・概要'!$B$40-1)/(LOG10('入力・概要'!$B$39)-LOG10('入力・概要'!$B$38)),0)+3)</f>
        <v/>
      </c>
      <c r="L177">
        <f>IF(K177="","",INDEX('差動モデル'!$B:$B,K177))</f>
        <v/>
      </c>
      <c r="M177">
        <f>IF(A177="","",IF(ABS(L177/A177-1)&lt;0.01,"周波数差&lt;1%","周波数差あり"))</f>
        <v/>
      </c>
    </row>
    <row r="178">
      <c r="A178" s="197" t="n"/>
      <c r="B178" s="198" t="n"/>
      <c r="C178" s="198" t="n"/>
      <c r="D178" s="195">
        <f>IF(K178="","",INDEX('差動モデル'!$R:$R,K178))</f>
        <v/>
      </c>
      <c r="E178" s="195">
        <f>IF(K178="","",INDEX('差動モデル'!$S:$S,K178))</f>
        <v/>
      </c>
      <c r="F178" s="195">
        <f>IF(OR(A178="",B178=""),"",100*(D178-B178)/MAX(B178,1E-12))</f>
        <v/>
      </c>
      <c r="G178" s="195">
        <f>IF(OR(A178="",C178=""),"",E178-C178)</f>
        <v/>
      </c>
      <c r="H178" s="195">
        <f>IF(A178="","",LOG10(A178))</f>
        <v/>
      </c>
      <c r="I178" s="195">
        <f>IF(B178="","",LOG10(MAX(B178,1E-12)))</f>
        <v/>
      </c>
      <c r="J178" s="195">
        <f>IF(D178="","",LOG10(MAX(D178,1E-12)))</f>
        <v/>
      </c>
      <c r="K178">
        <f>IF(A178="","",ROUND(1+(LOG10(A178)-LOG10('入力・概要'!$B$38))*('入力・概要'!$B$40-1)/(LOG10('入力・概要'!$B$39)-LOG10('入力・概要'!$B$38)),0)+3)</f>
        <v/>
      </c>
      <c r="L178">
        <f>IF(K178="","",INDEX('差動モデル'!$B:$B,K178))</f>
        <v/>
      </c>
      <c r="M178">
        <f>IF(A178="","",IF(ABS(L178/A178-1)&lt;0.01,"周波数差&lt;1%","周波数差あり"))</f>
        <v/>
      </c>
    </row>
    <row r="179">
      <c r="A179" s="197" t="n"/>
      <c r="B179" s="198" t="n"/>
      <c r="C179" s="198" t="n"/>
      <c r="D179" s="195">
        <f>IF(K179="","",INDEX('差動モデル'!$R:$R,K179))</f>
        <v/>
      </c>
      <c r="E179" s="195">
        <f>IF(K179="","",INDEX('差動モデル'!$S:$S,K179))</f>
        <v/>
      </c>
      <c r="F179" s="195">
        <f>IF(OR(A179="",B179=""),"",100*(D179-B179)/MAX(B179,1E-12))</f>
        <v/>
      </c>
      <c r="G179" s="195">
        <f>IF(OR(A179="",C179=""),"",E179-C179)</f>
        <v/>
      </c>
      <c r="H179" s="195">
        <f>IF(A179="","",LOG10(A179))</f>
        <v/>
      </c>
      <c r="I179" s="195">
        <f>IF(B179="","",LOG10(MAX(B179,1E-12)))</f>
        <v/>
      </c>
      <c r="J179" s="195">
        <f>IF(D179="","",LOG10(MAX(D179,1E-12)))</f>
        <v/>
      </c>
      <c r="K179">
        <f>IF(A179="","",ROUND(1+(LOG10(A179)-LOG10('入力・概要'!$B$38))*('入力・概要'!$B$40-1)/(LOG10('入力・概要'!$B$39)-LOG10('入力・概要'!$B$38)),0)+3)</f>
        <v/>
      </c>
      <c r="L179">
        <f>IF(K179="","",INDEX('差動モデル'!$B:$B,K179))</f>
        <v/>
      </c>
      <c r="M179">
        <f>IF(A179="","",IF(ABS(L179/A179-1)&lt;0.01,"周波数差&lt;1%","周波数差あり"))</f>
        <v/>
      </c>
    </row>
    <row r="180">
      <c r="A180" s="197" t="n"/>
      <c r="B180" s="198" t="n"/>
      <c r="C180" s="198" t="n"/>
      <c r="D180" s="195">
        <f>IF(K180="","",INDEX('差動モデル'!$R:$R,K180))</f>
        <v/>
      </c>
      <c r="E180" s="195">
        <f>IF(K180="","",INDEX('差動モデル'!$S:$S,K180))</f>
        <v/>
      </c>
      <c r="F180" s="195">
        <f>IF(OR(A180="",B180=""),"",100*(D180-B180)/MAX(B180,1E-12))</f>
        <v/>
      </c>
      <c r="G180" s="195">
        <f>IF(OR(A180="",C180=""),"",E180-C180)</f>
        <v/>
      </c>
      <c r="H180" s="195">
        <f>IF(A180="","",LOG10(A180))</f>
        <v/>
      </c>
      <c r="I180" s="195">
        <f>IF(B180="","",LOG10(MAX(B180,1E-12)))</f>
        <v/>
      </c>
      <c r="J180" s="195">
        <f>IF(D180="","",LOG10(MAX(D180,1E-12)))</f>
        <v/>
      </c>
      <c r="K180">
        <f>IF(A180="","",ROUND(1+(LOG10(A180)-LOG10('入力・概要'!$B$38))*('入力・概要'!$B$40-1)/(LOG10('入力・概要'!$B$39)-LOG10('入力・概要'!$B$38)),0)+3)</f>
        <v/>
      </c>
      <c r="L180">
        <f>IF(K180="","",INDEX('差動モデル'!$B:$B,K180))</f>
        <v/>
      </c>
      <c r="M180">
        <f>IF(A180="","",IF(ABS(L180/A180-1)&lt;0.01,"周波数差&lt;1%","周波数差あり"))</f>
        <v/>
      </c>
    </row>
    <row r="181">
      <c r="A181" s="197" t="n"/>
      <c r="B181" s="198" t="n"/>
      <c r="C181" s="198" t="n"/>
      <c r="D181" s="195">
        <f>IF(K181="","",INDEX('差動モデル'!$R:$R,K181))</f>
        <v/>
      </c>
      <c r="E181" s="195">
        <f>IF(K181="","",INDEX('差動モデル'!$S:$S,K181))</f>
        <v/>
      </c>
      <c r="F181" s="195">
        <f>IF(OR(A181="",B181=""),"",100*(D181-B181)/MAX(B181,1E-12))</f>
        <v/>
      </c>
      <c r="G181" s="195">
        <f>IF(OR(A181="",C181=""),"",E181-C181)</f>
        <v/>
      </c>
      <c r="H181" s="195">
        <f>IF(A181="","",LOG10(A181))</f>
        <v/>
      </c>
      <c r="I181" s="195">
        <f>IF(B181="","",LOG10(MAX(B181,1E-12)))</f>
        <v/>
      </c>
      <c r="J181" s="195">
        <f>IF(D181="","",LOG10(MAX(D181,1E-12)))</f>
        <v/>
      </c>
      <c r="K181">
        <f>IF(A181="","",ROUND(1+(LOG10(A181)-LOG10('入力・概要'!$B$38))*('入力・概要'!$B$40-1)/(LOG10('入力・概要'!$B$39)-LOG10('入力・概要'!$B$38)),0)+3)</f>
        <v/>
      </c>
      <c r="L181">
        <f>IF(K181="","",INDEX('差動モデル'!$B:$B,K181))</f>
        <v/>
      </c>
      <c r="M181">
        <f>IF(A181="","",IF(ABS(L181/A181-1)&lt;0.01,"周波数差&lt;1%","周波数差あり"))</f>
        <v/>
      </c>
    </row>
    <row r="182">
      <c r="A182" s="197" t="n"/>
      <c r="B182" s="198" t="n"/>
      <c r="C182" s="198" t="n"/>
      <c r="D182" s="195">
        <f>IF(K182="","",INDEX('差動モデル'!$R:$R,K182))</f>
        <v/>
      </c>
      <c r="E182" s="195">
        <f>IF(K182="","",INDEX('差動モデル'!$S:$S,K182))</f>
        <v/>
      </c>
      <c r="F182" s="195">
        <f>IF(OR(A182="",B182=""),"",100*(D182-B182)/MAX(B182,1E-12))</f>
        <v/>
      </c>
      <c r="G182" s="195">
        <f>IF(OR(A182="",C182=""),"",E182-C182)</f>
        <v/>
      </c>
      <c r="H182" s="195">
        <f>IF(A182="","",LOG10(A182))</f>
        <v/>
      </c>
      <c r="I182" s="195">
        <f>IF(B182="","",LOG10(MAX(B182,1E-12)))</f>
        <v/>
      </c>
      <c r="J182" s="195">
        <f>IF(D182="","",LOG10(MAX(D182,1E-12)))</f>
        <v/>
      </c>
      <c r="K182">
        <f>IF(A182="","",ROUND(1+(LOG10(A182)-LOG10('入力・概要'!$B$38))*('入力・概要'!$B$40-1)/(LOG10('入力・概要'!$B$39)-LOG10('入力・概要'!$B$38)),0)+3)</f>
        <v/>
      </c>
      <c r="L182">
        <f>IF(K182="","",INDEX('差動モデル'!$B:$B,K182))</f>
        <v/>
      </c>
      <c r="M182">
        <f>IF(A182="","",IF(ABS(L182/A182-1)&lt;0.01,"周波数差&lt;1%","周波数差あり"))</f>
        <v/>
      </c>
    </row>
    <row r="183">
      <c r="A183" s="197" t="n"/>
      <c r="B183" s="198" t="n"/>
      <c r="C183" s="198" t="n"/>
      <c r="D183" s="195">
        <f>IF(K183="","",INDEX('差動モデル'!$R:$R,K183))</f>
        <v/>
      </c>
      <c r="E183" s="195">
        <f>IF(K183="","",INDEX('差動モデル'!$S:$S,K183))</f>
        <v/>
      </c>
      <c r="F183" s="195">
        <f>IF(OR(A183="",B183=""),"",100*(D183-B183)/MAX(B183,1E-12))</f>
        <v/>
      </c>
      <c r="G183" s="195">
        <f>IF(OR(A183="",C183=""),"",E183-C183)</f>
        <v/>
      </c>
      <c r="H183" s="195">
        <f>IF(A183="","",LOG10(A183))</f>
        <v/>
      </c>
      <c r="I183" s="195">
        <f>IF(B183="","",LOG10(MAX(B183,1E-12)))</f>
        <v/>
      </c>
      <c r="J183" s="195">
        <f>IF(D183="","",LOG10(MAX(D183,1E-12)))</f>
        <v/>
      </c>
      <c r="K183">
        <f>IF(A183="","",ROUND(1+(LOG10(A183)-LOG10('入力・概要'!$B$38))*('入力・概要'!$B$40-1)/(LOG10('入力・概要'!$B$39)-LOG10('入力・概要'!$B$38)),0)+3)</f>
        <v/>
      </c>
      <c r="L183">
        <f>IF(K183="","",INDEX('差動モデル'!$B:$B,K183))</f>
        <v/>
      </c>
      <c r="M183">
        <f>IF(A183="","",IF(ABS(L183/A183-1)&lt;0.01,"周波数差&lt;1%","周波数差あり"))</f>
        <v/>
      </c>
    </row>
    <row r="184">
      <c r="A184" s="197" t="n"/>
      <c r="B184" s="198" t="n"/>
      <c r="C184" s="198" t="n"/>
      <c r="D184" s="195">
        <f>IF(K184="","",INDEX('差動モデル'!$R:$R,K184))</f>
        <v/>
      </c>
      <c r="E184" s="195">
        <f>IF(K184="","",INDEX('差動モデル'!$S:$S,K184))</f>
        <v/>
      </c>
      <c r="F184" s="195">
        <f>IF(OR(A184="",B184=""),"",100*(D184-B184)/MAX(B184,1E-12))</f>
        <v/>
      </c>
      <c r="G184" s="195">
        <f>IF(OR(A184="",C184=""),"",E184-C184)</f>
        <v/>
      </c>
      <c r="H184" s="195">
        <f>IF(A184="","",LOG10(A184))</f>
        <v/>
      </c>
      <c r="I184" s="195">
        <f>IF(B184="","",LOG10(MAX(B184,1E-12)))</f>
        <v/>
      </c>
      <c r="J184" s="195">
        <f>IF(D184="","",LOG10(MAX(D184,1E-12)))</f>
        <v/>
      </c>
      <c r="K184">
        <f>IF(A184="","",ROUND(1+(LOG10(A184)-LOG10('入力・概要'!$B$38))*('入力・概要'!$B$40-1)/(LOG10('入力・概要'!$B$39)-LOG10('入力・概要'!$B$38)),0)+3)</f>
        <v/>
      </c>
      <c r="L184">
        <f>IF(K184="","",INDEX('差動モデル'!$B:$B,K184))</f>
        <v/>
      </c>
      <c r="M184">
        <f>IF(A184="","",IF(ABS(L184/A184-1)&lt;0.01,"周波数差&lt;1%","周波数差あり"))</f>
        <v/>
      </c>
    </row>
    <row r="185">
      <c r="A185" s="197" t="n"/>
      <c r="B185" s="198" t="n"/>
      <c r="C185" s="198" t="n"/>
      <c r="D185" s="195">
        <f>IF(K185="","",INDEX('差動モデル'!$R:$R,K185))</f>
        <v/>
      </c>
      <c r="E185" s="195">
        <f>IF(K185="","",INDEX('差動モデル'!$S:$S,K185))</f>
        <v/>
      </c>
      <c r="F185" s="195">
        <f>IF(OR(A185="",B185=""),"",100*(D185-B185)/MAX(B185,1E-12))</f>
        <v/>
      </c>
      <c r="G185" s="195">
        <f>IF(OR(A185="",C185=""),"",E185-C185)</f>
        <v/>
      </c>
      <c r="H185" s="195">
        <f>IF(A185="","",LOG10(A185))</f>
        <v/>
      </c>
      <c r="I185" s="195">
        <f>IF(B185="","",LOG10(MAX(B185,1E-12)))</f>
        <v/>
      </c>
      <c r="J185" s="195">
        <f>IF(D185="","",LOG10(MAX(D185,1E-12)))</f>
        <v/>
      </c>
      <c r="K185">
        <f>IF(A185="","",ROUND(1+(LOG10(A185)-LOG10('入力・概要'!$B$38))*('入力・概要'!$B$40-1)/(LOG10('入力・概要'!$B$39)-LOG10('入力・概要'!$B$38)),0)+3)</f>
        <v/>
      </c>
      <c r="L185">
        <f>IF(K185="","",INDEX('差動モデル'!$B:$B,K185))</f>
        <v/>
      </c>
      <c r="M185">
        <f>IF(A185="","",IF(ABS(L185/A185-1)&lt;0.01,"周波数差&lt;1%","周波数差あり"))</f>
        <v/>
      </c>
    </row>
    <row r="186">
      <c r="A186" s="197" t="n"/>
      <c r="B186" s="198" t="n"/>
      <c r="C186" s="198" t="n"/>
      <c r="D186" s="195">
        <f>IF(K186="","",INDEX('差動モデル'!$R:$R,K186))</f>
        <v/>
      </c>
      <c r="E186" s="195">
        <f>IF(K186="","",INDEX('差動モデル'!$S:$S,K186))</f>
        <v/>
      </c>
      <c r="F186" s="195">
        <f>IF(OR(A186="",B186=""),"",100*(D186-B186)/MAX(B186,1E-12))</f>
        <v/>
      </c>
      <c r="G186" s="195">
        <f>IF(OR(A186="",C186=""),"",E186-C186)</f>
        <v/>
      </c>
      <c r="H186" s="195">
        <f>IF(A186="","",LOG10(A186))</f>
        <v/>
      </c>
      <c r="I186" s="195">
        <f>IF(B186="","",LOG10(MAX(B186,1E-12)))</f>
        <v/>
      </c>
      <c r="J186" s="195">
        <f>IF(D186="","",LOG10(MAX(D186,1E-12)))</f>
        <v/>
      </c>
      <c r="K186">
        <f>IF(A186="","",ROUND(1+(LOG10(A186)-LOG10('入力・概要'!$B$38))*('入力・概要'!$B$40-1)/(LOG10('入力・概要'!$B$39)-LOG10('入力・概要'!$B$38)),0)+3)</f>
        <v/>
      </c>
      <c r="L186">
        <f>IF(K186="","",INDEX('差動モデル'!$B:$B,K186))</f>
        <v/>
      </c>
      <c r="M186">
        <f>IF(A186="","",IF(ABS(L186/A186-1)&lt;0.01,"周波数差&lt;1%","周波数差あり"))</f>
        <v/>
      </c>
    </row>
    <row r="187">
      <c r="A187" s="197" t="n"/>
      <c r="B187" s="198" t="n"/>
      <c r="C187" s="198" t="n"/>
      <c r="D187" s="195">
        <f>IF(K187="","",INDEX('差動モデル'!$R:$R,K187))</f>
        <v/>
      </c>
      <c r="E187" s="195">
        <f>IF(K187="","",INDEX('差動モデル'!$S:$S,K187))</f>
        <v/>
      </c>
      <c r="F187" s="195">
        <f>IF(OR(A187="",B187=""),"",100*(D187-B187)/MAX(B187,1E-12))</f>
        <v/>
      </c>
      <c r="G187" s="195">
        <f>IF(OR(A187="",C187=""),"",E187-C187)</f>
        <v/>
      </c>
      <c r="H187" s="195">
        <f>IF(A187="","",LOG10(A187))</f>
        <v/>
      </c>
      <c r="I187" s="195">
        <f>IF(B187="","",LOG10(MAX(B187,1E-12)))</f>
        <v/>
      </c>
      <c r="J187" s="195">
        <f>IF(D187="","",LOG10(MAX(D187,1E-12)))</f>
        <v/>
      </c>
      <c r="K187">
        <f>IF(A187="","",ROUND(1+(LOG10(A187)-LOG10('入力・概要'!$B$38))*('入力・概要'!$B$40-1)/(LOG10('入力・概要'!$B$39)-LOG10('入力・概要'!$B$38)),0)+3)</f>
        <v/>
      </c>
      <c r="L187">
        <f>IF(K187="","",INDEX('差動モデル'!$B:$B,K187))</f>
        <v/>
      </c>
      <c r="M187">
        <f>IF(A187="","",IF(ABS(L187/A187-1)&lt;0.01,"周波数差&lt;1%","周波数差あり"))</f>
        <v/>
      </c>
    </row>
    <row r="188">
      <c r="A188" s="197" t="n"/>
      <c r="B188" s="198" t="n"/>
      <c r="C188" s="198" t="n"/>
      <c r="D188" s="195">
        <f>IF(K188="","",INDEX('差動モデル'!$R:$R,K188))</f>
        <v/>
      </c>
      <c r="E188" s="195">
        <f>IF(K188="","",INDEX('差動モデル'!$S:$S,K188))</f>
        <v/>
      </c>
      <c r="F188" s="195">
        <f>IF(OR(A188="",B188=""),"",100*(D188-B188)/MAX(B188,1E-12))</f>
        <v/>
      </c>
      <c r="G188" s="195">
        <f>IF(OR(A188="",C188=""),"",E188-C188)</f>
        <v/>
      </c>
      <c r="H188" s="195">
        <f>IF(A188="","",LOG10(A188))</f>
        <v/>
      </c>
      <c r="I188" s="195">
        <f>IF(B188="","",LOG10(MAX(B188,1E-12)))</f>
        <v/>
      </c>
      <c r="J188" s="195">
        <f>IF(D188="","",LOG10(MAX(D188,1E-12)))</f>
        <v/>
      </c>
      <c r="K188">
        <f>IF(A188="","",ROUND(1+(LOG10(A188)-LOG10('入力・概要'!$B$38))*('入力・概要'!$B$40-1)/(LOG10('入力・概要'!$B$39)-LOG10('入力・概要'!$B$38)),0)+3)</f>
        <v/>
      </c>
      <c r="L188">
        <f>IF(K188="","",INDEX('差動モデル'!$B:$B,K188))</f>
        <v/>
      </c>
      <c r="M188">
        <f>IF(A188="","",IF(ABS(L188/A188-1)&lt;0.01,"周波数差&lt;1%","周波数差あり"))</f>
        <v/>
      </c>
    </row>
    <row r="189">
      <c r="A189" s="197" t="n"/>
      <c r="B189" s="198" t="n"/>
      <c r="C189" s="198" t="n"/>
      <c r="D189" s="195">
        <f>IF(K189="","",INDEX('差動モデル'!$R:$R,K189))</f>
        <v/>
      </c>
      <c r="E189" s="195">
        <f>IF(K189="","",INDEX('差動モデル'!$S:$S,K189))</f>
        <v/>
      </c>
      <c r="F189" s="195">
        <f>IF(OR(A189="",B189=""),"",100*(D189-B189)/MAX(B189,1E-12))</f>
        <v/>
      </c>
      <c r="G189" s="195">
        <f>IF(OR(A189="",C189=""),"",E189-C189)</f>
        <v/>
      </c>
      <c r="H189" s="195">
        <f>IF(A189="","",LOG10(A189))</f>
        <v/>
      </c>
      <c r="I189" s="195">
        <f>IF(B189="","",LOG10(MAX(B189,1E-12)))</f>
        <v/>
      </c>
      <c r="J189" s="195">
        <f>IF(D189="","",LOG10(MAX(D189,1E-12)))</f>
        <v/>
      </c>
      <c r="K189">
        <f>IF(A189="","",ROUND(1+(LOG10(A189)-LOG10('入力・概要'!$B$38))*('入力・概要'!$B$40-1)/(LOG10('入力・概要'!$B$39)-LOG10('入力・概要'!$B$38)),0)+3)</f>
        <v/>
      </c>
      <c r="L189">
        <f>IF(K189="","",INDEX('差動モデル'!$B:$B,K189))</f>
        <v/>
      </c>
      <c r="M189">
        <f>IF(A189="","",IF(ABS(L189/A189-1)&lt;0.01,"周波数差&lt;1%","周波数差あり"))</f>
        <v/>
      </c>
    </row>
    <row r="190">
      <c r="A190" s="197" t="n"/>
      <c r="B190" s="198" t="n"/>
      <c r="C190" s="198" t="n"/>
      <c r="D190" s="195">
        <f>IF(K190="","",INDEX('差動モデル'!$R:$R,K190))</f>
        <v/>
      </c>
      <c r="E190" s="195">
        <f>IF(K190="","",INDEX('差動モデル'!$S:$S,K190))</f>
        <v/>
      </c>
      <c r="F190" s="195">
        <f>IF(OR(A190="",B190=""),"",100*(D190-B190)/MAX(B190,1E-12))</f>
        <v/>
      </c>
      <c r="G190" s="195">
        <f>IF(OR(A190="",C190=""),"",E190-C190)</f>
        <v/>
      </c>
      <c r="H190" s="195">
        <f>IF(A190="","",LOG10(A190))</f>
        <v/>
      </c>
      <c r="I190" s="195">
        <f>IF(B190="","",LOG10(MAX(B190,1E-12)))</f>
        <v/>
      </c>
      <c r="J190" s="195">
        <f>IF(D190="","",LOG10(MAX(D190,1E-12)))</f>
        <v/>
      </c>
      <c r="K190">
        <f>IF(A190="","",ROUND(1+(LOG10(A190)-LOG10('入力・概要'!$B$38))*('入力・概要'!$B$40-1)/(LOG10('入力・概要'!$B$39)-LOG10('入力・概要'!$B$38)),0)+3)</f>
        <v/>
      </c>
      <c r="L190">
        <f>IF(K190="","",INDEX('差動モデル'!$B:$B,K190))</f>
        <v/>
      </c>
      <c r="M190">
        <f>IF(A190="","",IF(ABS(L190/A190-1)&lt;0.01,"周波数差&lt;1%","周波数差あり"))</f>
        <v/>
      </c>
    </row>
    <row r="191">
      <c r="A191" s="197" t="n"/>
      <c r="B191" s="198" t="n"/>
      <c r="C191" s="198" t="n"/>
      <c r="D191" s="195">
        <f>IF(K191="","",INDEX('差動モデル'!$R:$R,K191))</f>
        <v/>
      </c>
      <c r="E191" s="195">
        <f>IF(K191="","",INDEX('差動モデル'!$S:$S,K191))</f>
        <v/>
      </c>
      <c r="F191" s="195">
        <f>IF(OR(A191="",B191=""),"",100*(D191-B191)/MAX(B191,1E-12))</f>
        <v/>
      </c>
      <c r="G191" s="195">
        <f>IF(OR(A191="",C191=""),"",E191-C191)</f>
        <v/>
      </c>
      <c r="H191" s="195">
        <f>IF(A191="","",LOG10(A191))</f>
        <v/>
      </c>
      <c r="I191" s="195">
        <f>IF(B191="","",LOG10(MAX(B191,1E-12)))</f>
        <v/>
      </c>
      <c r="J191" s="195">
        <f>IF(D191="","",LOG10(MAX(D191,1E-12)))</f>
        <v/>
      </c>
      <c r="K191">
        <f>IF(A191="","",ROUND(1+(LOG10(A191)-LOG10('入力・概要'!$B$38))*('入力・概要'!$B$40-1)/(LOG10('入力・概要'!$B$39)-LOG10('入力・概要'!$B$38)),0)+3)</f>
        <v/>
      </c>
      <c r="L191">
        <f>IF(K191="","",INDEX('差動モデル'!$B:$B,K191))</f>
        <v/>
      </c>
      <c r="M191">
        <f>IF(A191="","",IF(ABS(L191/A191-1)&lt;0.01,"周波数差&lt;1%","周波数差あり"))</f>
        <v/>
      </c>
    </row>
    <row r="192">
      <c r="A192" s="197" t="n"/>
      <c r="B192" s="198" t="n"/>
      <c r="C192" s="198" t="n"/>
      <c r="D192" s="195">
        <f>IF(K192="","",INDEX('差動モデル'!$R:$R,K192))</f>
        <v/>
      </c>
      <c r="E192" s="195">
        <f>IF(K192="","",INDEX('差動モデル'!$S:$S,K192))</f>
        <v/>
      </c>
      <c r="F192" s="195">
        <f>IF(OR(A192="",B192=""),"",100*(D192-B192)/MAX(B192,1E-12))</f>
        <v/>
      </c>
      <c r="G192" s="195">
        <f>IF(OR(A192="",C192=""),"",E192-C192)</f>
        <v/>
      </c>
      <c r="H192" s="195">
        <f>IF(A192="","",LOG10(A192))</f>
        <v/>
      </c>
      <c r="I192" s="195">
        <f>IF(B192="","",LOG10(MAX(B192,1E-12)))</f>
        <v/>
      </c>
      <c r="J192" s="195">
        <f>IF(D192="","",LOG10(MAX(D192,1E-12)))</f>
        <v/>
      </c>
      <c r="K192">
        <f>IF(A192="","",ROUND(1+(LOG10(A192)-LOG10('入力・概要'!$B$38))*('入力・概要'!$B$40-1)/(LOG10('入力・概要'!$B$39)-LOG10('入力・概要'!$B$38)),0)+3)</f>
        <v/>
      </c>
      <c r="L192">
        <f>IF(K192="","",INDEX('差動モデル'!$B:$B,K192))</f>
        <v/>
      </c>
      <c r="M192">
        <f>IF(A192="","",IF(ABS(L192/A192-1)&lt;0.01,"周波数差&lt;1%","周波数差あり"))</f>
        <v/>
      </c>
    </row>
    <row r="193">
      <c r="A193" s="197" t="n"/>
      <c r="B193" s="198" t="n"/>
      <c r="C193" s="198" t="n"/>
      <c r="D193" s="195">
        <f>IF(K193="","",INDEX('差動モデル'!$R:$R,K193))</f>
        <v/>
      </c>
      <c r="E193" s="195">
        <f>IF(K193="","",INDEX('差動モデル'!$S:$S,K193))</f>
        <v/>
      </c>
      <c r="F193" s="195">
        <f>IF(OR(A193="",B193=""),"",100*(D193-B193)/MAX(B193,1E-12))</f>
        <v/>
      </c>
      <c r="G193" s="195">
        <f>IF(OR(A193="",C193=""),"",E193-C193)</f>
        <v/>
      </c>
      <c r="H193" s="195">
        <f>IF(A193="","",LOG10(A193))</f>
        <v/>
      </c>
      <c r="I193" s="195">
        <f>IF(B193="","",LOG10(MAX(B193,1E-12)))</f>
        <v/>
      </c>
      <c r="J193" s="195">
        <f>IF(D193="","",LOG10(MAX(D193,1E-12)))</f>
        <v/>
      </c>
      <c r="K193">
        <f>IF(A193="","",ROUND(1+(LOG10(A193)-LOG10('入力・概要'!$B$38))*('入力・概要'!$B$40-1)/(LOG10('入力・概要'!$B$39)-LOG10('入力・概要'!$B$38)),0)+3)</f>
        <v/>
      </c>
      <c r="L193">
        <f>IF(K193="","",INDEX('差動モデル'!$B:$B,K193))</f>
        <v/>
      </c>
      <c r="M193">
        <f>IF(A193="","",IF(ABS(L193/A193-1)&lt;0.01,"周波数差&lt;1%","周波数差あり"))</f>
        <v/>
      </c>
    </row>
    <row r="194">
      <c r="A194" s="197" t="n"/>
      <c r="B194" s="198" t="n"/>
      <c r="C194" s="198" t="n"/>
      <c r="D194" s="195">
        <f>IF(K194="","",INDEX('差動モデル'!$R:$R,K194))</f>
        <v/>
      </c>
      <c r="E194" s="195">
        <f>IF(K194="","",INDEX('差動モデル'!$S:$S,K194))</f>
        <v/>
      </c>
      <c r="F194" s="195">
        <f>IF(OR(A194="",B194=""),"",100*(D194-B194)/MAX(B194,1E-12))</f>
        <v/>
      </c>
      <c r="G194" s="195">
        <f>IF(OR(A194="",C194=""),"",E194-C194)</f>
        <v/>
      </c>
      <c r="H194" s="195">
        <f>IF(A194="","",LOG10(A194))</f>
        <v/>
      </c>
      <c r="I194" s="195">
        <f>IF(B194="","",LOG10(MAX(B194,1E-12)))</f>
        <v/>
      </c>
      <c r="J194" s="195">
        <f>IF(D194="","",LOG10(MAX(D194,1E-12)))</f>
        <v/>
      </c>
      <c r="K194">
        <f>IF(A194="","",ROUND(1+(LOG10(A194)-LOG10('入力・概要'!$B$38))*('入力・概要'!$B$40-1)/(LOG10('入力・概要'!$B$39)-LOG10('入力・概要'!$B$38)),0)+3)</f>
        <v/>
      </c>
      <c r="L194">
        <f>IF(K194="","",INDEX('差動モデル'!$B:$B,K194))</f>
        <v/>
      </c>
      <c r="M194">
        <f>IF(A194="","",IF(ABS(L194/A194-1)&lt;0.01,"周波数差&lt;1%","周波数差あり"))</f>
        <v/>
      </c>
    </row>
    <row r="195">
      <c r="A195" s="197" t="n"/>
      <c r="B195" s="198" t="n"/>
      <c r="C195" s="198" t="n"/>
      <c r="D195" s="195">
        <f>IF(K195="","",INDEX('差動モデル'!$R:$R,K195))</f>
        <v/>
      </c>
      <c r="E195" s="195">
        <f>IF(K195="","",INDEX('差動モデル'!$S:$S,K195))</f>
        <v/>
      </c>
      <c r="F195" s="195">
        <f>IF(OR(A195="",B195=""),"",100*(D195-B195)/MAX(B195,1E-12))</f>
        <v/>
      </c>
      <c r="G195" s="195">
        <f>IF(OR(A195="",C195=""),"",E195-C195)</f>
        <v/>
      </c>
      <c r="H195" s="195">
        <f>IF(A195="","",LOG10(A195))</f>
        <v/>
      </c>
      <c r="I195" s="195">
        <f>IF(B195="","",LOG10(MAX(B195,1E-12)))</f>
        <v/>
      </c>
      <c r="J195" s="195">
        <f>IF(D195="","",LOG10(MAX(D195,1E-12)))</f>
        <v/>
      </c>
      <c r="K195">
        <f>IF(A195="","",ROUND(1+(LOG10(A195)-LOG10('入力・概要'!$B$38))*('入力・概要'!$B$40-1)/(LOG10('入力・概要'!$B$39)-LOG10('入力・概要'!$B$38)),0)+3)</f>
        <v/>
      </c>
      <c r="L195">
        <f>IF(K195="","",INDEX('差動モデル'!$B:$B,K195))</f>
        <v/>
      </c>
      <c r="M195">
        <f>IF(A195="","",IF(ABS(L195/A195-1)&lt;0.01,"周波数差&lt;1%","周波数差あり"))</f>
        <v/>
      </c>
    </row>
    <row r="196">
      <c r="A196" s="197" t="n"/>
      <c r="B196" s="198" t="n"/>
      <c r="C196" s="198" t="n"/>
      <c r="D196" s="195">
        <f>IF(K196="","",INDEX('差動モデル'!$R:$R,K196))</f>
        <v/>
      </c>
      <c r="E196" s="195">
        <f>IF(K196="","",INDEX('差動モデル'!$S:$S,K196))</f>
        <v/>
      </c>
      <c r="F196" s="195">
        <f>IF(OR(A196="",B196=""),"",100*(D196-B196)/MAX(B196,1E-12))</f>
        <v/>
      </c>
      <c r="G196" s="195">
        <f>IF(OR(A196="",C196=""),"",E196-C196)</f>
        <v/>
      </c>
      <c r="H196" s="195">
        <f>IF(A196="","",LOG10(A196))</f>
        <v/>
      </c>
      <c r="I196" s="195">
        <f>IF(B196="","",LOG10(MAX(B196,1E-12)))</f>
        <v/>
      </c>
      <c r="J196" s="195">
        <f>IF(D196="","",LOG10(MAX(D196,1E-12)))</f>
        <v/>
      </c>
      <c r="K196">
        <f>IF(A196="","",ROUND(1+(LOG10(A196)-LOG10('入力・概要'!$B$38))*('入力・概要'!$B$40-1)/(LOG10('入力・概要'!$B$39)-LOG10('入力・概要'!$B$38)),0)+3)</f>
        <v/>
      </c>
      <c r="L196">
        <f>IF(K196="","",INDEX('差動モデル'!$B:$B,K196))</f>
        <v/>
      </c>
      <c r="M196">
        <f>IF(A196="","",IF(ABS(L196/A196-1)&lt;0.01,"周波数差&lt;1%","周波数差あり"))</f>
        <v/>
      </c>
    </row>
    <row r="197">
      <c r="A197" s="197" t="n"/>
      <c r="B197" s="198" t="n"/>
      <c r="C197" s="198" t="n"/>
      <c r="D197" s="195">
        <f>IF(K197="","",INDEX('差動モデル'!$R:$R,K197))</f>
        <v/>
      </c>
      <c r="E197" s="195">
        <f>IF(K197="","",INDEX('差動モデル'!$S:$S,K197))</f>
        <v/>
      </c>
      <c r="F197" s="195">
        <f>IF(OR(A197="",B197=""),"",100*(D197-B197)/MAX(B197,1E-12))</f>
        <v/>
      </c>
      <c r="G197" s="195">
        <f>IF(OR(A197="",C197=""),"",E197-C197)</f>
        <v/>
      </c>
      <c r="H197" s="195">
        <f>IF(A197="","",LOG10(A197))</f>
        <v/>
      </c>
      <c r="I197" s="195">
        <f>IF(B197="","",LOG10(MAX(B197,1E-12)))</f>
        <v/>
      </c>
      <c r="J197" s="195">
        <f>IF(D197="","",LOG10(MAX(D197,1E-12)))</f>
        <v/>
      </c>
      <c r="K197">
        <f>IF(A197="","",ROUND(1+(LOG10(A197)-LOG10('入力・概要'!$B$38))*('入力・概要'!$B$40-1)/(LOG10('入力・概要'!$B$39)-LOG10('入力・概要'!$B$38)),0)+3)</f>
        <v/>
      </c>
      <c r="L197">
        <f>IF(K197="","",INDEX('差動モデル'!$B:$B,K197))</f>
        <v/>
      </c>
      <c r="M197">
        <f>IF(A197="","",IF(ABS(L197/A197-1)&lt;0.01,"周波数差&lt;1%","周波数差あり"))</f>
        <v/>
      </c>
    </row>
    <row r="198">
      <c r="A198" s="197" t="n"/>
      <c r="B198" s="198" t="n"/>
      <c r="C198" s="198" t="n"/>
      <c r="D198" s="195">
        <f>IF(K198="","",INDEX('差動モデル'!$R:$R,K198))</f>
        <v/>
      </c>
      <c r="E198" s="195">
        <f>IF(K198="","",INDEX('差動モデル'!$S:$S,K198))</f>
        <v/>
      </c>
      <c r="F198" s="195">
        <f>IF(OR(A198="",B198=""),"",100*(D198-B198)/MAX(B198,1E-12))</f>
        <v/>
      </c>
      <c r="G198" s="195">
        <f>IF(OR(A198="",C198=""),"",E198-C198)</f>
        <v/>
      </c>
      <c r="H198" s="195">
        <f>IF(A198="","",LOG10(A198))</f>
        <v/>
      </c>
      <c r="I198" s="195">
        <f>IF(B198="","",LOG10(MAX(B198,1E-12)))</f>
        <v/>
      </c>
      <c r="J198" s="195">
        <f>IF(D198="","",LOG10(MAX(D198,1E-12)))</f>
        <v/>
      </c>
      <c r="K198">
        <f>IF(A198="","",ROUND(1+(LOG10(A198)-LOG10('入力・概要'!$B$38))*('入力・概要'!$B$40-1)/(LOG10('入力・概要'!$B$39)-LOG10('入力・概要'!$B$38)),0)+3)</f>
        <v/>
      </c>
      <c r="L198">
        <f>IF(K198="","",INDEX('差動モデル'!$B:$B,K198))</f>
        <v/>
      </c>
      <c r="M198">
        <f>IF(A198="","",IF(ABS(L198/A198-1)&lt;0.01,"周波数差&lt;1%","周波数差あり"))</f>
        <v/>
      </c>
    </row>
    <row r="199">
      <c r="A199" s="197" t="n"/>
      <c r="B199" s="198" t="n"/>
      <c r="C199" s="198" t="n"/>
      <c r="D199" s="195">
        <f>IF(K199="","",INDEX('差動モデル'!$R:$R,K199))</f>
        <v/>
      </c>
      <c r="E199" s="195">
        <f>IF(K199="","",INDEX('差動モデル'!$S:$S,K199))</f>
        <v/>
      </c>
      <c r="F199" s="195">
        <f>IF(OR(A199="",B199=""),"",100*(D199-B199)/MAX(B199,1E-12))</f>
        <v/>
      </c>
      <c r="G199" s="195">
        <f>IF(OR(A199="",C199=""),"",E199-C199)</f>
        <v/>
      </c>
      <c r="H199" s="195">
        <f>IF(A199="","",LOG10(A199))</f>
        <v/>
      </c>
      <c r="I199" s="195">
        <f>IF(B199="","",LOG10(MAX(B199,1E-12)))</f>
        <v/>
      </c>
      <c r="J199" s="195">
        <f>IF(D199="","",LOG10(MAX(D199,1E-12)))</f>
        <v/>
      </c>
      <c r="K199">
        <f>IF(A199="","",ROUND(1+(LOG10(A199)-LOG10('入力・概要'!$B$38))*('入力・概要'!$B$40-1)/(LOG10('入力・概要'!$B$39)-LOG10('入力・概要'!$B$38)),0)+3)</f>
        <v/>
      </c>
      <c r="L199">
        <f>IF(K199="","",INDEX('差動モデル'!$B:$B,K199))</f>
        <v/>
      </c>
      <c r="M199">
        <f>IF(A199="","",IF(ABS(L199/A199-1)&lt;0.01,"周波数差&lt;1%","周波数差あり"))</f>
        <v/>
      </c>
    </row>
    <row r="200">
      <c r="A200" s="197" t="n"/>
      <c r="B200" s="198" t="n"/>
      <c r="C200" s="198" t="n"/>
      <c r="D200" s="195">
        <f>IF(K200="","",INDEX('差動モデル'!$R:$R,K200))</f>
        <v/>
      </c>
      <c r="E200" s="195">
        <f>IF(K200="","",INDEX('差動モデル'!$S:$S,K200))</f>
        <v/>
      </c>
      <c r="F200" s="195">
        <f>IF(OR(A200="",B200=""),"",100*(D200-B200)/MAX(B200,1E-12))</f>
        <v/>
      </c>
      <c r="G200" s="195">
        <f>IF(OR(A200="",C200=""),"",E200-C200)</f>
        <v/>
      </c>
      <c r="H200" s="195">
        <f>IF(A200="","",LOG10(A200))</f>
        <v/>
      </c>
      <c r="I200" s="195">
        <f>IF(B200="","",LOG10(MAX(B200,1E-12)))</f>
        <v/>
      </c>
      <c r="J200" s="195">
        <f>IF(D200="","",LOG10(MAX(D200,1E-12)))</f>
        <v/>
      </c>
      <c r="K200">
        <f>IF(A200="","",ROUND(1+(LOG10(A200)-LOG10('入力・概要'!$B$38))*('入力・概要'!$B$40-1)/(LOG10('入力・概要'!$B$39)-LOG10('入力・概要'!$B$38)),0)+3)</f>
        <v/>
      </c>
      <c r="L200">
        <f>IF(K200="","",INDEX('差動モデル'!$B:$B,K200))</f>
        <v/>
      </c>
      <c r="M200">
        <f>IF(A200="","",IF(ABS(L200/A200-1)&lt;0.01,"周波数差&lt;1%","周波数差あり"))</f>
        <v/>
      </c>
    </row>
    <row r="201">
      <c r="A201" s="197" t="n"/>
      <c r="B201" s="198" t="n"/>
      <c r="C201" s="198" t="n"/>
      <c r="D201" s="195">
        <f>IF(K201="","",INDEX('差動モデル'!$R:$R,K201))</f>
        <v/>
      </c>
      <c r="E201" s="195">
        <f>IF(K201="","",INDEX('差動モデル'!$S:$S,K201))</f>
        <v/>
      </c>
      <c r="F201" s="195">
        <f>IF(OR(A201="",B201=""),"",100*(D201-B201)/MAX(B201,1E-12))</f>
        <v/>
      </c>
      <c r="G201" s="195">
        <f>IF(OR(A201="",C201=""),"",E201-C201)</f>
        <v/>
      </c>
      <c r="H201" s="195">
        <f>IF(A201="","",LOG10(A201))</f>
        <v/>
      </c>
      <c r="I201" s="195">
        <f>IF(B201="","",LOG10(MAX(B201,1E-12)))</f>
        <v/>
      </c>
      <c r="J201" s="195">
        <f>IF(D201="","",LOG10(MAX(D201,1E-12)))</f>
        <v/>
      </c>
      <c r="K201">
        <f>IF(A201="","",ROUND(1+(LOG10(A201)-LOG10('入力・概要'!$B$38))*('入力・概要'!$B$40-1)/(LOG10('入力・概要'!$B$39)-LOG10('入力・概要'!$B$38)),0)+3)</f>
        <v/>
      </c>
      <c r="L201">
        <f>IF(K201="","",INDEX('差動モデル'!$B:$B,K201))</f>
        <v/>
      </c>
      <c r="M201">
        <f>IF(A201="","",IF(ABS(L201/A201-1)&lt;0.01,"周波数差&lt;1%","周波数差あり"))</f>
        <v/>
      </c>
    </row>
    <row r="202">
      <c r="A202" s="197" t="n"/>
      <c r="B202" s="198" t="n"/>
      <c r="C202" s="198" t="n"/>
      <c r="D202" s="195">
        <f>IF(K202="","",INDEX('差動モデル'!$R:$R,K202))</f>
        <v/>
      </c>
      <c r="E202" s="195">
        <f>IF(K202="","",INDEX('差動モデル'!$S:$S,K202))</f>
        <v/>
      </c>
      <c r="F202" s="195">
        <f>IF(OR(A202="",B202=""),"",100*(D202-B202)/MAX(B202,1E-12))</f>
        <v/>
      </c>
      <c r="G202" s="195">
        <f>IF(OR(A202="",C202=""),"",E202-C202)</f>
        <v/>
      </c>
      <c r="H202" s="195">
        <f>IF(A202="","",LOG10(A202))</f>
        <v/>
      </c>
      <c r="I202" s="195">
        <f>IF(B202="","",LOG10(MAX(B202,1E-12)))</f>
        <v/>
      </c>
      <c r="J202" s="195">
        <f>IF(D202="","",LOG10(MAX(D202,1E-12)))</f>
        <v/>
      </c>
      <c r="K202">
        <f>IF(A202="","",ROUND(1+(LOG10(A202)-LOG10('入力・概要'!$B$38))*('入力・概要'!$B$40-1)/(LOG10('入力・概要'!$B$39)-LOG10('入力・概要'!$B$38)),0)+3)</f>
        <v/>
      </c>
      <c r="L202">
        <f>IF(K202="","",INDEX('差動モデル'!$B:$B,K202))</f>
        <v/>
      </c>
      <c r="M202">
        <f>IF(A202="","",IF(ABS(L202/A202-1)&lt;0.01,"周波数差&lt;1%","周波数差あり"))</f>
        <v/>
      </c>
    </row>
    <row r="203">
      <c r="A203" s="197" t="n"/>
      <c r="B203" s="198" t="n"/>
      <c r="C203" s="198" t="n"/>
      <c r="D203" s="195">
        <f>IF(K203="","",INDEX('差動モデル'!$R:$R,K203))</f>
        <v/>
      </c>
      <c r="E203" s="195">
        <f>IF(K203="","",INDEX('差動モデル'!$S:$S,K203))</f>
        <v/>
      </c>
      <c r="F203" s="195">
        <f>IF(OR(A203="",B203=""),"",100*(D203-B203)/MAX(B203,1E-12))</f>
        <v/>
      </c>
      <c r="G203" s="195">
        <f>IF(OR(A203="",C203=""),"",E203-C203)</f>
        <v/>
      </c>
      <c r="H203" s="195">
        <f>IF(A203="","",LOG10(A203))</f>
        <v/>
      </c>
      <c r="I203" s="195">
        <f>IF(B203="","",LOG10(MAX(B203,1E-12)))</f>
        <v/>
      </c>
      <c r="J203" s="195">
        <f>IF(D203="","",LOG10(MAX(D203,1E-12)))</f>
        <v/>
      </c>
      <c r="K203">
        <f>IF(A203="","",ROUND(1+(LOG10(A203)-LOG10('入力・概要'!$B$38))*('入力・概要'!$B$40-1)/(LOG10('入力・概要'!$B$39)-LOG10('入力・概要'!$B$38)),0)+3)</f>
        <v/>
      </c>
      <c r="L203">
        <f>IF(K203="","",INDEX('差動モデル'!$B:$B,K203))</f>
        <v/>
      </c>
      <c r="M203">
        <f>IF(A203="","",IF(ABS(L203/A203-1)&lt;0.01,"周波数差&lt;1%","周波数差あり"))</f>
        <v/>
      </c>
    </row>
    <row r="204">
      <c r="A204" s="197" t="n"/>
      <c r="B204" s="198" t="n"/>
      <c r="C204" s="198" t="n"/>
      <c r="D204" s="195">
        <f>IF(K204="","",INDEX('差動モデル'!$R:$R,K204))</f>
        <v/>
      </c>
      <c r="E204" s="195">
        <f>IF(K204="","",INDEX('差動モデル'!$S:$S,K204))</f>
        <v/>
      </c>
      <c r="F204" s="195">
        <f>IF(OR(A204="",B204=""),"",100*(D204-B204)/MAX(B204,1E-12))</f>
        <v/>
      </c>
      <c r="G204" s="195">
        <f>IF(OR(A204="",C204=""),"",E204-C204)</f>
        <v/>
      </c>
      <c r="H204" s="195">
        <f>IF(A204="","",LOG10(A204))</f>
        <v/>
      </c>
      <c r="I204" s="195">
        <f>IF(B204="","",LOG10(MAX(B204,1E-12)))</f>
        <v/>
      </c>
      <c r="J204" s="195">
        <f>IF(D204="","",LOG10(MAX(D204,1E-12)))</f>
        <v/>
      </c>
      <c r="K204">
        <f>IF(A204="","",ROUND(1+(LOG10(A204)-LOG10('入力・概要'!$B$38))*('入力・概要'!$B$40-1)/(LOG10('入力・概要'!$B$39)-LOG10('入力・概要'!$B$38)),0)+3)</f>
        <v/>
      </c>
      <c r="L204">
        <f>IF(K204="","",INDEX('差動モデル'!$B:$B,K204))</f>
        <v/>
      </c>
      <c r="M204">
        <f>IF(A204="","",IF(ABS(L204/A204-1)&lt;0.01,"周波数差&lt;1%","周波数差あり"))</f>
        <v/>
      </c>
    </row>
    <row r="205">
      <c r="A205" s="197" t="n"/>
      <c r="B205" s="198" t="n"/>
      <c r="C205" s="198" t="n"/>
      <c r="D205" s="195">
        <f>IF(K205="","",INDEX('差動モデル'!$R:$R,K205))</f>
        <v/>
      </c>
      <c r="E205" s="195">
        <f>IF(K205="","",INDEX('差動モデル'!$S:$S,K205))</f>
        <v/>
      </c>
      <c r="F205" s="195">
        <f>IF(OR(A205="",B205=""),"",100*(D205-B205)/MAX(B205,1E-12))</f>
        <v/>
      </c>
      <c r="G205" s="195">
        <f>IF(OR(A205="",C205=""),"",E205-C205)</f>
        <v/>
      </c>
      <c r="H205" s="195">
        <f>IF(A205="","",LOG10(A205))</f>
        <v/>
      </c>
      <c r="I205" s="195">
        <f>IF(B205="","",LOG10(MAX(B205,1E-12)))</f>
        <v/>
      </c>
      <c r="J205" s="195">
        <f>IF(D205="","",LOG10(MAX(D205,1E-12)))</f>
        <v/>
      </c>
      <c r="K205">
        <f>IF(A205="","",ROUND(1+(LOG10(A205)-LOG10('入力・概要'!$B$38))*('入力・概要'!$B$40-1)/(LOG10('入力・概要'!$B$39)-LOG10('入力・概要'!$B$38)),0)+3)</f>
        <v/>
      </c>
      <c r="L205">
        <f>IF(K205="","",INDEX('差動モデル'!$B:$B,K205))</f>
        <v/>
      </c>
      <c r="M205">
        <f>IF(A205="","",IF(ABS(L205/A205-1)&lt;0.01,"周波数差&lt;1%","周波数差あり"))</f>
        <v/>
      </c>
    </row>
    <row r="206">
      <c r="A206" s="197" t="n"/>
      <c r="B206" s="198" t="n"/>
      <c r="C206" s="198" t="n"/>
      <c r="D206" s="195">
        <f>IF(K206="","",INDEX('差動モデル'!$R:$R,K206))</f>
        <v/>
      </c>
      <c r="E206" s="195">
        <f>IF(K206="","",INDEX('差動モデル'!$S:$S,K206))</f>
        <v/>
      </c>
      <c r="F206" s="195">
        <f>IF(OR(A206="",B206=""),"",100*(D206-B206)/MAX(B206,1E-12))</f>
        <v/>
      </c>
      <c r="G206" s="195">
        <f>IF(OR(A206="",C206=""),"",E206-C206)</f>
        <v/>
      </c>
      <c r="H206" s="195">
        <f>IF(A206="","",LOG10(A206))</f>
        <v/>
      </c>
      <c r="I206" s="195">
        <f>IF(B206="","",LOG10(MAX(B206,1E-12)))</f>
        <v/>
      </c>
      <c r="J206" s="195">
        <f>IF(D206="","",LOG10(MAX(D206,1E-12)))</f>
        <v/>
      </c>
      <c r="K206">
        <f>IF(A206="","",ROUND(1+(LOG10(A206)-LOG10('入力・概要'!$B$38))*('入力・概要'!$B$40-1)/(LOG10('入力・概要'!$B$39)-LOG10('入力・概要'!$B$38)),0)+3)</f>
        <v/>
      </c>
      <c r="L206">
        <f>IF(K206="","",INDEX('差動モデル'!$B:$B,K206))</f>
        <v/>
      </c>
      <c r="M206">
        <f>IF(A206="","",IF(ABS(L206/A206-1)&lt;0.01,"周波数差&lt;1%","周波数差あり"))</f>
        <v/>
      </c>
    </row>
    <row r="207">
      <c r="A207" s="197" t="n"/>
      <c r="B207" s="198" t="n"/>
      <c r="C207" s="198" t="n"/>
      <c r="D207" s="195">
        <f>IF(K207="","",INDEX('差動モデル'!$R:$R,K207))</f>
        <v/>
      </c>
      <c r="E207" s="195">
        <f>IF(K207="","",INDEX('差動モデル'!$S:$S,K207))</f>
        <v/>
      </c>
      <c r="F207" s="195">
        <f>IF(OR(A207="",B207=""),"",100*(D207-B207)/MAX(B207,1E-12))</f>
        <v/>
      </c>
      <c r="G207" s="195">
        <f>IF(OR(A207="",C207=""),"",E207-C207)</f>
        <v/>
      </c>
      <c r="H207" s="195">
        <f>IF(A207="","",LOG10(A207))</f>
        <v/>
      </c>
      <c r="I207" s="195">
        <f>IF(B207="","",LOG10(MAX(B207,1E-12)))</f>
        <v/>
      </c>
      <c r="J207" s="195">
        <f>IF(D207="","",LOG10(MAX(D207,1E-12)))</f>
        <v/>
      </c>
      <c r="K207">
        <f>IF(A207="","",ROUND(1+(LOG10(A207)-LOG10('入力・概要'!$B$38))*('入力・概要'!$B$40-1)/(LOG10('入力・概要'!$B$39)-LOG10('入力・概要'!$B$38)),0)+3)</f>
        <v/>
      </c>
      <c r="L207">
        <f>IF(K207="","",INDEX('差動モデル'!$B:$B,K207))</f>
        <v/>
      </c>
      <c r="M207">
        <f>IF(A207="","",IF(ABS(L207/A207-1)&lt;0.01,"周波数差&lt;1%","周波数差あり"))</f>
        <v/>
      </c>
    </row>
    <row r="208">
      <c r="A208" s="197" t="n"/>
      <c r="B208" s="198" t="n"/>
      <c r="C208" s="198" t="n"/>
      <c r="D208" s="195">
        <f>IF(K208="","",INDEX('差動モデル'!$R:$R,K208))</f>
        <v/>
      </c>
      <c r="E208" s="195">
        <f>IF(K208="","",INDEX('差動モデル'!$S:$S,K208))</f>
        <v/>
      </c>
      <c r="F208" s="195">
        <f>IF(OR(A208="",B208=""),"",100*(D208-B208)/MAX(B208,1E-12))</f>
        <v/>
      </c>
      <c r="G208" s="195">
        <f>IF(OR(A208="",C208=""),"",E208-C208)</f>
        <v/>
      </c>
      <c r="H208" s="195">
        <f>IF(A208="","",LOG10(A208))</f>
        <v/>
      </c>
      <c r="I208" s="195">
        <f>IF(B208="","",LOG10(MAX(B208,1E-12)))</f>
        <v/>
      </c>
      <c r="J208" s="195">
        <f>IF(D208="","",LOG10(MAX(D208,1E-12)))</f>
        <v/>
      </c>
      <c r="K208">
        <f>IF(A208="","",ROUND(1+(LOG10(A208)-LOG10('入力・概要'!$B$38))*('入力・概要'!$B$40-1)/(LOG10('入力・概要'!$B$39)-LOG10('入力・概要'!$B$38)),0)+3)</f>
        <v/>
      </c>
      <c r="L208">
        <f>IF(K208="","",INDEX('差動モデル'!$B:$B,K208))</f>
        <v/>
      </c>
      <c r="M208">
        <f>IF(A208="","",IF(ABS(L208/A208-1)&lt;0.01,"周波数差&lt;1%","周波数差あり"))</f>
        <v/>
      </c>
    </row>
    <row r="209">
      <c r="A209" s="197" t="n"/>
      <c r="B209" s="198" t="n"/>
      <c r="C209" s="198" t="n"/>
      <c r="D209" s="195">
        <f>IF(K209="","",INDEX('差動モデル'!$R:$R,K209))</f>
        <v/>
      </c>
      <c r="E209" s="195">
        <f>IF(K209="","",INDEX('差動モデル'!$S:$S,K209))</f>
        <v/>
      </c>
      <c r="F209" s="195">
        <f>IF(OR(A209="",B209=""),"",100*(D209-B209)/MAX(B209,1E-12))</f>
        <v/>
      </c>
      <c r="G209" s="195">
        <f>IF(OR(A209="",C209=""),"",E209-C209)</f>
        <v/>
      </c>
      <c r="H209" s="195">
        <f>IF(A209="","",LOG10(A209))</f>
        <v/>
      </c>
      <c r="I209" s="195">
        <f>IF(B209="","",LOG10(MAX(B209,1E-12)))</f>
        <v/>
      </c>
      <c r="J209" s="195">
        <f>IF(D209="","",LOG10(MAX(D209,1E-12)))</f>
        <v/>
      </c>
      <c r="K209">
        <f>IF(A209="","",ROUND(1+(LOG10(A209)-LOG10('入力・概要'!$B$38))*('入力・概要'!$B$40-1)/(LOG10('入力・概要'!$B$39)-LOG10('入力・概要'!$B$38)),0)+3)</f>
        <v/>
      </c>
      <c r="L209">
        <f>IF(K209="","",INDEX('差動モデル'!$B:$B,K209))</f>
        <v/>
      </c>
      <c r="M209">
        <f>IF(A209="","",IF(ABS(L209/A209-1)&lt;0.01,"周波数差&lt;1%","周波数差あり"))</f>
        <v/>
      </c>
    </row>
    <row r="210">
      <c r="A210" s="197" t="n"/>
      <c r="B210" s="198" t="n"/>
      <c r="C210" s="198" t="n"/>
      <c r="D210" s="195">
        <f>IF(K210="","",INDEX('差動モデル'!$R:$R,K210))</f>
        <v/>
      </c>
      <c r="E210" s="195">
        <f>IF(K210="","",INDEX('差動モデル'!$S:$S,K210))</f>
        <v/>
      </c>
      <c r="F210" s="195">
        <f>IF(OR(A210="",B210=""),"",100*(D210-B210)/MAX(B210,1E-12))</f>
        <v/>
      </c>
      <c r="G210" s="195">
        <f>IF(OR(A210="",C210=""),"",E210-C210)</f>
        <v/>
      </c>
      <c r="H210" s="195">
        <f>IF(A210="","",LOG10(A210))</f>
        <v/>
      </c>
      <c r="I210" s="195">
        <f>IF(B210="","",LOG10(MAX(B210,1E-12)))</f>
        <v/>
      </c>
      <c r="J210" s="195">
        <f>IF(D210="","",LOG10(MAX(D210,1E-12)))</f>
        <v/>
      </c>
      <c r="K210">
        <f>IF(A210="","",ROUND(1+(LOG10(A210)-LOG10('入力・概要'!$B$38))*('入力・概要'!$B$40-1)/(LOG10('入力・概要'!$B$39)-LOG10('入力・概要'!$B$38)),0)+3)</f>
        <v/>
      </c>
      <c r="L210">
        <f>IF(K210="","",INDEX('差動モデル'!$B:$B,K210))</f>
        <v/>
      </c>
      <c r="M210">
        <f>IF(A210="","",IF(ABS(L210/A210-1)&lt;0.01,"周波数差&lt;1%","周波数差あり"))</f>
        <v/>
      </c>
    </row>
    <row r="211">
      <c r="A211" s="197" t="n"/>
      <c r="B211" s="198" t="n"/>
      <c r="C211" s="198" t="n"/>
      <c r="D211" s="195">
        <f>IF(K211="","",INDEX('差動モデル'!$R:$R,K211))</f>
        <v/>
      </c>
      <c r="E211" s="195">
        <f>IF(K211="","",INDEX('差動モデル'!$S:$S,K211))</f>
        <v/>
      </c>
      <c r="F211" s="195">
        <f>IF(OR(A211="",B211=""),"",100*(D211-B211)/MAX(B211,1E-12))</f>
        <v/>
      </c>
      <c r="G211" s="195">
        <f>IF(OR(A211="",C211=""),"",E211-C211)</f>
        <v/>
      </c>
      <c r="H211" s="195">
        <f>IF(A211="","",LOG10(A211))</f>
        <v/>
      </c>
      <c r="I211" s="195">
        <f>IF(B211="","",LOG10(MAX(B211,1E-12)))</f>
        <v/>
      </c>
      <c r="J211" s="195">
        <f>IF(D211="","",LOG10(MAX(D211,1E-12)))</f>
        <v/>
      </c>
      <c r="K211">
        <f>IF(A211="","",ROUND(1+(LOG10(A211)-LOG10('入力・概要'!$B$38))*('入力・概要'!$B$40-1)/(LOG10('入力・概要'!$B$39)-LOG10('入力・概要'!$B$38)),0)+3)</f>
        <v/>
      </c>
      <c r="L211">
        <f>IF(K211="","",INDEX('差動モデル'!$B:$B,K211))</f>
        <v/>
      </c>
      <c r="M211">
        <f>IF(A211="","",IF(ABS(L211/A211-1)&lt;0.01,"周波数差&lt;1%","周波数差あり"))</f>
        <v/>
      </c>
    </row>
    <row r="212">
      <c r="A212" s="197" t="n"/>
      <c r="B212" s="198" t="n"/>
      <c r="C212" s="198" t="n"/>
      <c r="D212" s="195">
        <f>IF(K212="","",INDEX('差動モデル'!$R:$R,K212))</f>
        <v/>
      </c>
      <c r="E212" s="195">
        <f>IF(K212="","",INDEX('差動モデル'!$S:$S,K212))</f>
        <v/>
      </c>
      <c r="F212" s="195">
        <f>IF(OR(A212="",B212=""),"",100*(D212-B212)/MAX(B212,1E-12))</f>
        <v/>
      </c>
      <c r="G212" s="195">
        <f>IF(OR(A212="",C212=""),"",E212-C212)</f>
        <v/>
      </c>
      <c r="H212" s="195">
        <f>IF(A212="","",LOG10(A212))</f>
        <v/>
      </c>
      <c r="I212" s="195">
        <f>IF(B212="","",LOG10(MAX(B212,1E-12)))</f>
        <v/>
      </c>
      <c r="J212" s="195">
        <f>IF(D212="","",LOG10(MAX(D212,1E-12)))</f>
        <v/>
      </c>
      <c r="K212">
        <f>IF(A212="","",ROUND(1+(LOG10(A212)-LOG10('入力・概要'!$B$38))*('入力・概要'!$B$40-1)/(LOG10('入力・概要'!$B$39)-LOG10('入力・概要'!$B$38)),0)+3)</f>
        <v/>
      </c>
      <c r="L212">
        <f>IF(K212="","",INDEX('差動モデル'!$B:$B,K212))</f>
        <v/>
      </c>
      <c r="M212">
        <f>IF(A212="","",IF(ABS(L212/A212-1)&lt;0.01,"周波数差&lt;1%","周波数差あり"))</f>
        <v/>
      </c>
    </row>
    <row r="213">
      <c r="A213" s="197" t="n"/>
      <c r="B213" s="198" t="n"/>
      <c r="C213" s="198" t="n"/>
      <c r="D213" s="195">
        <f>IF(K213="","",INDEX('差動モデル'!$R:$R,K213))</f>
        <v/>
      </c>
      <c r="E213" s="195">
        <f>IF(K213="","",INDEX('差動モデル'!$S:$S,K213))</f>
        <v/>
      </c>
      <c r="F213" s="195">
        <f>IF(OR(A213="",B213=""),"",100*(D213-B213)/MAX(B213,1E-12))</f>
        <v/>
      </c>
      <c r="G213" s="195">
        <f>IF(OR(A213="",C213=""),"",E213-C213)</f>
        <v/>
      </c>
      <c r="H213" s="195">
        <f>IF(A213="","",LOG10(A213))</f>
        <v/>
      </c>
      <c r="I213" s="195">
        <f>IF(B213="","",LOG10(MAX(B213,1E-12)))</f>
        <v/>
      </c>
      <c r="J213" s="195">
        <f>IF(D213="","",LOG10(MAX(D213,1E-12)))</f>
        <v/>
      </c>
      <c r="K213">
        <f>IF(A213="","",ROUND(1+(LOG10(A213)-LOG10('入力・概要'!$B$38))*('入力・概要'!$B$40-1)/(LOG10('入力・概要'!$B$39)-LOG10('入力・概要'!$B$38)),0)+3)</f>
        <v/>
      </c>
      <c r="L213">
        <f>IF(K213="","",INDEX('差動モデル'!$B:$B,K213))</f>
        <v/>
      </c>
      <c r="M213">
        <f>IF(A213="","",IF(ABS(L213/A213-1)&lt;0.01,"周波数差&lt;1%","周波数差あり"))</f>
        <v/>
      </c>
    </row>
    <row r="214">
      <c r="A214" s="197" t="n"/>
      <c r="B214" s="198" t="n"/>
      <c r="C214" s="198" t="n"/>
      <c r="D214" s="195">
        <f>IF(K214="","",INDEX('差動モデル'!$R:$R,K214))</f>
        <v/>
      </c>
      <c r="E214" s="195">
        <f>IF(K214="","",INDEX('差動モデル'!$S:$S,K214))</f>
        <v/>
      </c>
      <c r="F214" s="195">
        <f>IF(OR(A214="",B214=""),"",100*(D214-B214)/MAX(B214,1E-12))</f>
        <v/>
      </c>
      <c r="G214" s="195">
        <f>IF(OR(A214="",C214=""),"",E214-C214)</f>
        <v/>
      </c>
      <c r="H214" s="195">
        <f>IF(A214="","",LOG10(A214))</f>
        <v/>
      </c>
      <c r="I214" s="195">
        <f>IF(B214="","",LOG10(MAX(B214,1E-12)))</f>
        <v/>
      </c>
      <c r="J214" s="195">
        <f>IF(D214="","",LOG10(MAX(D214,1E-12)))</f>
        <v/>
      </c>
      <c r="K214">
        <f>IF(A214="","",ROUND(1+(LOG10(A214)-LOG10('入力・概要'!$B$38))*('入力・概要'!$B$40-1)/(LOG10('入力・概要'!$B$39)-LOG10('入力・概要'!$B$38)),0)+3)</f>
        <v/>
      </c>
      <c r="L214">
        <f>IF(K214="","",INDEX('差動モデル'!$B:$B,K214))</f>
        <v/>
      </c>
      <c r="M214">
        <f>IF(A214="","",IF(ABS(L214/A214-1)&lt;0.01,"周波数差&lt;1%","周波数差あり"))</f>
        <v/>
      </c>
    </row>
    <row r="215">
      <c r="A215" s="197" t="n"/>
      <c r="B215" s="198" t="n"/>
      <c r="C215" s="198" t="n"/>
      <c r="D215" s="195">
        <f>IF(K215="","",INDEX('差動モデル'!$R:$R,K215))</f>
        <v/>
      </c>
      <c r="E215" s="195">
        <f>IF(K215="","",INDEX('差動モデル'!$S:$S,K215))</f>
        <v/>
      </c>
      <c r="F215" s="195">
        <f>IF(OR(A215="",B215=""),"",100*(D215-B215)/MAX(B215,1E-12))</f>
        <v/>
      </c>
      <c r="G215" s="195">
        <f>IF(OR(A215="",C215=""),"",E215-C215)</f>
        <v/>
      </c>
      <c r="H215" s="195">
        <f>IF(A215="","",LOG10(A215))</f>
        <v/>
      </c>
      <c r="I215" s="195">
        <f>IF(B215="","",LOG10(MAX(B215,1E-12)))</f>
        <v/>
      </c>
      <c r="J215" s="195">
        <f>IF(D215="","",LOG10(MAX(D215,1E-12)))</f>
        <v/>
      </c>
      <c r="K215">
        <f>IF(A215="","",ROUND(1+(LOG10(A215)-LOG10('入力・概要'!$B$38))*('入力・概要'!$B$40-1)/(LOG10('入力・概要'!$B$39)-LOG10('入力・概要'!$B$38)),0)+3)</f>
        <v/>
      </c>
      <c r="L215">
        <f>IF(K215="","",INDEX('差動モデル'!$B:$B,K215))</f>
        <v/>
      </c>
      <c r="M215">
        <f>IF(A215="","",IF(ABS(L215/A215-1)&lt;0.01,"周波数差&lt;1%","周波数差あり"))</f>
        <v/>
      </c>
    </row>
    <row r="216">
      <c r="A216" s="197" t="n"/>
      <c r="B216" s="198" t="n"/>
      <c r="C216" s="198" t="n"/>
      <c r="D216" s="195">
        <f>IF(K216="","",INDEX('差動モデル'!$R:$R,K216))</f>
        <v/>
      </c>
      <c r="E216" s="195">
        <f>IF(K216="","",INDEX('差動モデル'!$S:$S,K216))</f>
        <v/>
      </c>
      <c r="F216" s="195">
        <f>IF(OR(A216="",B216=""),"",100*(D216-B216)/MAX(B216,1E-12))</f>
        <v/>
      </c>
      <c r="G216" s="195">
        <f>IF(OR(A216="",C216=""),"",E216-C216)</f>
        <v/>
      </c>
      <c r="H216" s="195">
        <f>IF(A216="","",LOG10(A216))</f>
        <v/>
      </c>
      <c r="I216" s="195">
        <f>IF(B216="","",LOG10(MAX(B216,1E-12)))</f>
        <v/>
      </c>
      <c r="J216" s="195">
        <f>IF(D216="","",LOG10(MAX(D216,1E-12)))</f>
        <v/>
      </c>
      <c r="K216">
        <f>IF(A216="","",ROUND(1+(LOG10(A216)-LOG10('入力・概要'!$B$38))*('入力・概要'!$B$40-1)/(LOG10('入力・概要'!$B$39)-LOG10('入力・概要'!$B$38)),0)+3)</f>
        <v/>
      </c>
      <c r="L216">
        <f>IF(K216="","",INDEX('差動モデル'!$B:$B,K216))</f>
        <v/>
      </c>
      <c r="M216">
        <f>IF(A216="","",IF(ABS(L216/A216-1)&lt;0.01,"周波数差&lt;1%","周波数差あり"))</f>
        <v/>
      </c>
    </row>
    <row r="217">
      <c r="A217" s="197" t="n"/>
      <c r="B217" s="198" t="n"/>
      <c r="C217" s="198" t="n"/>
      <c r="D217" s="195">
        <f>IF(K217="","",INDEX('差動モデル'!$R:$R,K217))</f>
        <v/>
      </c>
      <c r="E217" s="195">
        <f>IF(K217="","",INDEX('差動モデル'!$S:$S,K217))</f>
        <v/>
      </c>
      <c r="F217" s="195">
        <f>IF(OR(A217="",B217=""),"",100*(D217-B217)/MAX(B217,1E-12))</f>
        <v/>
      </c>
      <c r="G217" s="195">
        <f>IF(OR(A217="",C217=""),"",E217-C217)</f>
        <v/>
      </c>
      <c r="H217" s="195">
        <f>IF(A217="","",LOG10(A217))</f>
        <v/>
      </c>
      <c r="I217" s="195">
        <f>IF(B217="","",LOG10(MAX(B217,1E-12)))</f>
        <v/>
      </c>
      <c r="J217" s="195">
        <f>IF(D217="","",LOG10(MAX(D217,1E-12)))</f>
        <v/>
      </c>
      <c r="K217">
        <f>IF(A217="","",ROUND(1+(LOG10(A217)-LOG10('入力・概要'!$B$38))*('入力・概要'!$B$40-1)/(LOG10('入力・概要'!$B$39)-LOG10('入力・概要'!$B$38)),0)+3)</f>
        <v/>
      </c>
      <c r="L217">
        <f>IF(K217="","",INDEX('差動モデル'!$B:$B,K217))</f>
        <v/>
      </c>
      <c r="M217">
        <f>IF(A217="","",IF(ABS(L217/A217-1)&lt;0.01,"周波数差&lt;1%","周波数差あり"))</f>
        <v/>
      </c>
    </row>
    <row r="218">
      <c r="A218" s="197" t="n"/>
      <c r="B218" s="198" t="n"/>
      <c r="C218" s="198" t="n"/>
      <c r="D218" s="195">
        <f>IF(K218="","",INDEX('差動モデル'!$R:$R,K218))</f>
        <v/>
      </c>
      <c r="E218" s="195">
        <f>IF(K218="","",INDEX('差動モデル'!$S:$S,K218))</f>
        <v/>
      </c>
      <c r="F218" s="195">
        <f>IF(OR(A218="",B218=""),"",100*(D218-B218)/MAX(B218,1E-12))</f>
        <v/>
      </c>
      <c r="G218" s="195">
        <f>IF(OR(A218="",C218=""),"",E218-C218)</f>
        <v/>
      </c>
      <c r="H218" s="195">
        <f>IF(A218="","",LOG10(A218))</f>
        <v/>
      </c>
      <c r="I218" s="195">
        <f>IF(B218="","",LOG10(MAX(B218,1E-12)))</f>
        <v/>
      </c>
      <c r="J218" s="195">
        <f>IF(D218="","",LOG10(MAX(D218,1E-12)))</f>
        <v/>
      </c>
      <c r="K218">
        <f>IF(A218="","",ROUND(1+(LOG10(A218)-LOG10('入力・概要'!$B$38))*('入力・概要'!$B$40-1)/(LOG10('入力・概要'!$B$39)-LOG10('入力・概要'!$B$38)),0)+3)</f>
        <v/>
      </c>
      <c r="L218">
        <f>IF(K218="","",INDEX('差動モデル'!$B:$B,K218))</f>
        <v/>
      </c>
      <c r="M218">
        <f>IF(A218="","",IF(ABS(L218/A218-1)&lt;0.01,"周波数差&lt;1%","周波数差あり"))</f>
        <v/>
      </c>
    </row>
    <row r="219">
      <c r="A219" s="197" t="n"/>
      <c r="B219" s="198" t="n"/>
      <c r="C219" s="198" t="n"/>
      <c r="D219" s="195">
        <f>IF(K219="","",INDEX('差動モデル'!$R:$R,K219))</f>
        <v/>
      </c>
      <c r="E219" s="195">
        <f>IF(K219="","",INDEX('差動モデル'!$S:$S,K219))</f>
        <v/>
      </c>
      <c r="F219" s="195">
        <f>IF(OR(A219="",B219=""),"",100*(D219-B219)/MAX(B219,1E-12))</f>
        <v/>
      </c>
      <c r="G219" s="195">
        <f>IF(OR(A219="",C219=""),"",E219-C219)</f>
        <v/>
      </c>
      <c r="H219" s="195">
        <f>IF(A219="","",LOG10(A219))</f>
        <v/>
      </c>
      <c r="I219" s="195">
        <f>IF(B219="","",LOG10(MAX(B219,1E-12)))</f>
        <v/>
      </c>
      <c r="J219" s="195">
        <f>IF(D219="","",LOG10(MAX(D219,1E-12)))</f>
        <v/>
      </c>
      <c r="K219">
        <f>IF(A219="","",ROUND(1+(LOG10(A219)-LOG10('入力・概要'!$B$38))*('入力・概要'!$B$40-1)/(LOG10('入力・概要'!$B$39)-LOG10('入力・概要'!$B$38)),0)+3)</f>
        <v/>
      </c>
      <c r="L219">
        <f>IF(K219="","",INDEX('差動モデル'!$B:$B,K219))</f>
        <v/>
      </c>
      <c r="M219">
        <f>IF(A219="","",IF(ABS(L219/A219-1)&lt;0.01,"周波数差&lt;1%","周波数差あり"))</f>
        <v/>
      </c>
    </row>
    <row r="220">
      <c r="A220" s="197" t="n"/>
      <c r="B220" s="198" t="n"/>
      <c r="C220" s="198" t="n"/>
      <c r="D220" s="195">
        <f>IF(K220="","",INDEX('差動モデル'!$R:$R,K220))</f>
        <v/>
      </c>
      <c r="E220" s="195">
        <f>IF(K220="","",INDEX('差動モデル'!$S:$S,K220))</f>
        <v/>
      </c>
      <c r="F220" s="195">
        <f>IF(OR(A220="",B220=""),"",100*(D220-B220)/MAX(B220,1E-12))</f>
        <v/>
      </c>
      <c r="G220" s="195">
        <f>IF(OR(A220="",C220=""),"",E220-C220)</f>
        <v/>
      </c>
      <c r="H220" s="195">
        <f>IF(A220="","",LOG10(A220))</f>
        <v/>
      </c>
      <c r="I220" s="195">
        <f>IF(B220="","",LOG10(MAX(B220,1E-12)))</f>
        <v/>
      </c>
      <c r="J220" s="195">
        <f>IF(D220="","",LOG10(MAX(D220,1E-12)))</f>
        <v/>
      </c>
      <c r="K220">
        <f>IF(A220="","",ROUND(1+(LOG10(A220)-LOG10('入力・概要'!$B$38))*('入力・概要'!$B$40-1)/(LOG10('入力・概要'!$B$39)-LOG10('入力・概要'!$B$38)),0)+3)</f>
        <v/>
      </c>
      <c r="L220">
        <f>IF(K220="","",INDEX('差動モデル'!$B:$B,K220))</f>
        <v/>
      </c>
      <c r="M220">
        <f>IF(A220="","",IF(ABS(L220/A220-1)&lt;0.01,"周波数差&lt;1%","周波数差あり"))</f>
        <v/>
      </c>
    </row>
    <row r="221">
      <c r="A221" s="197" t="n"/>
      <c r="B221" s="198" t="n"/>
      <c r="C221" s="198" t="n"/>
      <c r="D221" s="195">
        <f>IF(K221="","",INDEX('差動モデル'!$R:$R,K221))</f>
        <v/>
      </c>
      <c r="E221" s="195">
        <f>IF(K221="","",INDEX('差動モデル'!$S:$S,K221))</f>
        <v/>
      </c>
      <c r="F221" s="195">
        <f>IF(OR(A221="",B221=""),"",100*(D221-B221)/MAX(B221,1E-12))</f>
        <v/>
      </c>
      <c r="G221" s="195">
        <f>IF(OR(A221="",C221=""),"",E221-C221)</f>
        <v/>
      </c>
      <c r="H221" s="195">
        <f>IF(A221="","",LOG10(A221))</f>
        <v/>
      </c>
      <c r="I221" s="195">
        <f>IF(B221="","",LOG10(MAX(B221,1E-12)))</f>
        <v/>
      </c>
      <c r="J221" s="195">
        <f>IF(D221="","",LOG10(MAX(D221,1E-12)))</f>
        <v/>
      </c>
      <c r="K221">
        <f>IF(A221="","",ROUND(1+(LOG10(A221)-LOG10('入力・概要'!$B$38))*('入力・概要'!$B$40-1)/(LOG10('入力・概要'!$B$39)-LOG10('入力・概要'!$B$38)),0)+3)</f>
        <v/>
      </c>
      <c r="L221">
        <f>IF(K221="","",INDEX('差動モデル'!$B:$B,K221))</f>
        <v/>
      </c>
      <c r="M221">
        <f>IF(A221="","",IF(ABS(L221/A221-1)&lt;0.01,"周波数差&lt;1%","周波数差あり"))</f>
        <v/>
      </c>
    </row>
    <row r="222">
      <c r="A222" s="197" t="n"/>
      <c r="B222" s="198" t="n"/>
      <c r="C222" s="198" t="n"/>
      <c r="D222" s="195">
        <f>IF(K222="","",INDEX('差動モデル'!$R:$R,K222))</f>
        <v/>
      </c>
      <c r="E222" s="195">
        <f>IF(K222="","",INDEX('差動モデル'!$S:$S,K222))</f>
        <v/>
      </c>
      <c r="F222" s="195">
        <f>IF(OR(A222="",B222=""),"",100*(D222-B222)/MAX(B222,1E-12))</f>
        <v/>
      </c>
      <c r="G222" s="195">
        <f>IF(OR(A222="",C222=""),"",E222-C222)</f>
        <v/>
      </c>
      <c r="H222" s="195">
        <f>IF(A222="","",LOG10(A222))</f>
        <v/>
      </c>
      <c r="I222" s="195">
        <f>IF(B222="","",LOG10(MAX(B222,1E-12)))</f>
        <v/>
      </c>
      <c r="J222" s="195">
        <f>IF(D222="","",LOG10(MAX(D222,1E-12)))</f>
        <v/>
      </c>
      <c r="K222">
        <f>IF(A222="","",ROUND(1+(LOG10(A222)-LOG10('入力・概要'!$B$38))*('入力・概要'!$B$40-1)/(LOG10('入力・概要'!$B$39)-LOG10('入力・概要'!$B$38)),0)+3)</f>
        <v/>
      </c>
      <c r="L222">
        <f>IF(K222="","",INDEX('差動モデル'!$B:$B,K222))</f>
        <v/>
      </c>
      <c r="M222">
        <f>IF(A222="","",IF(ABS(L222/A222-1)&lt;0.01,"周波数差&lt;1%","周波数差あり"))</f>
        <v/>
      </c>
    </row>
    <row r="223">
      <c r="A223" s="197" t="n"/>
      <c r="B223" s="198" t="n"/>
      <c r="C223" s="198" t="n"/>
      <c r="D223" s="195">
        <f>IF(K223="","",INDEX('差動モデル'!$R:$R,K223))</f>
        <v/>
      </c>
      <c r="E223" s="195">
        <f>IF(K223="","",INDEX('差動モデル'!$S:$S,K223))</f>
        <v/>
      </c>
      <c r="F223" s="195">
        <f>IF(OR(A223="",B223=""),"",100*(D223-B223)/MAX(B223,1E-12))</f>
        <v/>
      </c>
      <c r="G223" s="195">
        <f>IF(OR(A223="",C223=""),"",E223-C223)</f>
        <v/>
      </c>
      <c r="H223" s="195">
        <f>IF(A223="","",LOG10(A223))</f>
        <v/>
      </c>
      <c r="I223" s="195">
        <f>IF(B223="","",LOG10(MAX(B223,1E-12)))</f>
        <v/>
      </c>
      <c r="J223" s="195">
        <f>IF(D223="","",LOG10(MAX(D223,1E-12)))</f>
        <v/>
      </c>
      <c r="K223">
        <f>IF(A223="","",ROUND(1+(LOG10(A223)-LOG10('入力・概要'!$B$38))*('入力・概要'!$B$40-1)/(LOG10('入力・概要'!$B$39)-LOG10('入力・概要'!$B$38)),0)+3)</f>
        <v/>
      </c>
      <c r="L223">
        <f>IF(K223="","",INDEX('差動モデル'!$B:$B,K223))</f>
        <v/>
      </c>
      <c r="M223">
        <f>IF(A223="","",IF(ABS(L223/A223-1)&lt;0.01,"周波数差&lt;1%","周波数差あり"))</f>
        <v/>
      </c>
    </row>
    <row r="224">
      <c r="A224" s="197" t="n"/>
      <c r="B224" s="198" t="n"/>
      <c r="C224" s="198" t="n"/>
      <c r="D224" s="195">
        <f>IF(K224="","",INDEX('差動モデル'!$R:$R,K224))</f>
        <v/>
      </c>
      <c r="E224" s="195">
        <f>IF(K224="","",INDEX('差動モデル'!$S:$S,K224))</f>
        <v/>
      </c>
      <c r="F224" s="195">
        <f>IF(OR(A224="",B224=""),"",100*(D224-B224)/MAX(B224,1E-12))</f>
        <v/>
      </c>
      <c r="G224" s="195">
        <f>IF(OR(A224="",C224=""),"",E224-C224)</f>
        <v/>
      </c>
      <c r="H224" s="195">
        <f>IF(A224="","",LOG10(A224))</f>
        <v/>
      </c>
      <c r="I224" s="195">
        <f>IF(B224="","",LOG10(MAX(B224,1E-12)))</f>
        <v/>
      </c>
      <c r="J224" s="195">
        <f>IF(D224="","",LOG10(MAX(D224,1E-12)))</f>
        <v/>
      </c>
      <c r="K224">
        <f>IF(A224="","",ROUND(1+(LOG10(A224)-LOG10('入力・概要'!$B$38))*('入力・概要'!$B$40-1)/(LOG10('入力・概要'!$B$39)-LOG10('入力・概要'!$B$38)),0)+3)</f>
        <v/>
      </c>
      <c r="L224">
        <f>IF(K224="","",INDEX('差動モデル'!$B:$B,K224))</f>
        <v/>
      </c>
      <c r="M224">
        <f>IF(A224="","",IF(ABS(L224/A224-1)&lt;0.01,"周波数差&lt;1%","周波数差あり"))</f>
        <v/>
      </c>
    </row>
    <row r="225">
      <c r="A225" s="197" t="n"/>
      <c r="B225" s="198" t="n"/>
      <c r="C225" s="198" t="n"/>
      <c r="D225" s="195">
        <f>IF(K225="","",INDEX('差動モデル'!$R:$R,K225))</f>
        <v/>
      </c>
      <c r="E225" s="195">
        <f>IF(K225="","",INDEX('差動モデル'!$S:$S,K225))</f>
        <v/>
      </c>
      <c r="F225" s="195">
        <f>IF(OR(A225="",B225=""),"",100*(D225-B225)/MAX(B225,1E-12))</f>
        <v/>
      </c>
      <c r="G225" s="195">
        <f>IF(OR(A225="",C225=""),"",E225-C225)</f>
        <v/>
      </c>
      <c r="H225" s="195">
        <f>IF(A225="","",LOG10(A225))</f>
        <v/>
      </c>
      <c r="I225" s="195">
        <f>IF(B225="","",LOG10(MAX(B225,1E-12)))</f>
        <v/>
      </c>
      <c r="J225" s="195">
        <f>IF(D225="","",LOG10(MAX(D225,1E-12)))</f>
        <v/>
      </c>
      <c r="K225">
        <f>IF(A225="","",ROUND(1+(LOG10(A225)-LOG10('入力・概要'!$B$38))*('入力・概要'!$B$40-1)/(LOG10('入力・概要'!$B$39)-LOG10('入力・概要'!$B$38)),0)+3)</f>
        <v/>
      </c>
      <c r="L225">
        <f>IF(K225="","",INDEX('差動モデル'!$B:$B,K225))</f>
        <v/>
      </c>
      <c r="M225">
        <f>IF(A225="","",IF(ABS(L225/A225-1)&lt;0.01,"周波数差&lt;1%","周波数差あり"))</f>
        <v/>
      </c>
    </row>
    <row r="226">
      <c r="A226" s="197" t="n"/>
      <c r="B226" s="198" t="n"/>
      <c r="C226" s="198" t="n"/>
      <c r="D226" s="195">
        <f>IF(K226="","",INDEX('差動モデル'!$R:$R,K226))</f>
        <v/>
      </c>
      <c r="E226" s="195">
        <f>IF(K226="","",INDEX('差動モデル'!$S:$S,K226))</f>
        <v/>
      </c>
      <c r="F226" s="195">
        <f>IF(OR(A226="",B226=""),"",100*(D226-B226)/MAX(B226,1E-12))</f>
        <v/>
      </c>
      <c r="G226" s="195">
        <f>IF(OR(A226="",C226=""),"",E226-C226)</f>
        <v/>
      </c>
      <c r="H226" s="195">
        <f>IF(A226="","",LOG10(A226))</f>
        <v/>
      </c>
      <c r="I226" s="195">
        <f>IF(B226="","",LOG10(MAX(B226,1E-12)))</f>
        <v/>
      </c>
      <c r="J226" s="195">
        <f>IF(D226="","",LOG10(MAX(D226,1E-12)))</f>
        <v/>
      </c>
      <c r="K226">
        <f>IF(A226="","",ROUND(1+(LOG10(A226)-LOG10('入力・概要'!$B$38))*('入力・概要'!$B$40-1)/(LOG10('入力・概要'!$B$39)-LOG10('入力・概要'!$B$38)),0)+3)</f>
        <v/>
      </c>
      <c r="L226">
        <f>IF(K226="","",INDEX('差動モデル'!$B:$B,K226))</f>
        <v/>
      </c>
      <c r="M226">
        <f>IF(A226="","",IF(ABS(L226/A226-1)&lt;0.01,"周波数差&lt;1%","周波数差あり"))</f>
        <v/>
      </c>
    </row>
    <row r="227">
      <c r="A227" s="197" t="n"/>
      <c r="B227" s="198" t="n"/>
      <c r="C227" s="198" t="n"/>
      <c r="D227" s="195">
        <f>IF(K227="","",INDEX('差動モデル'!$R:$R,K227))</f>
        <v/>
      </c>
      <c r="E227" s="195">
        <f>IF(K227="","",INDEX('差動モデル'!$S:$S,K227))</f>
        <v/>
      </c>
      <c r="F227" s="195">
        <f>IF(OR(A227="",B227=""),"",100*(D227-B227)/MAX(B227,1E-12))</f>
        <v/>
      </c>
      <c r="G227" s="195">
        <f>IF(OR(A227="",C227=""),"",E227-C227)</f>
        <v/>
      </c>
      <c r="H227" s="195">
        <f>IF(A227="","",LOG10(A227))</f>
        <v/>
      </c>
      <c r="I227" s="195">
        <f>IF(B227="","",LOG10(MAX(B227,1E-12)))</f>
        <v/>
      </c>
      <c r="J227" s="195">
        <f>IF(D227="","",LOG10(MAX(D227,1E-12)))</f>
        <v/>
      </c>
      <c r="K227">
        <f>IF(A227="","",ROUND(1+(LOG10(A227)-LOG10('入力・概要'!$B$38))*('入力・概要'!$B$40-1)/(LOG10('入力・概要'!$B$39)-LOG10('入力・概要'!$B$38)),0)+3)</f>
        <v/>
      </c>
      <c r="L227">
        <f>IF(K227="","",INDEX('差動モデル'!$B:$B,K227))</f>
        <v/>
      </c>
      <c r="M227">
        <f>IF(A227="","",IF(ABS(L227/A227-1)&lt;0.01,"周波数差&lt;1%","周波数差あり"))</f>
        <v/>
      </c>
    </row>
    <row r="228">
      <c r="A228" s="197" t="n"/>
      <c r="B228" s="198" t="n"/>
      <c r="C228" s="198" t="n"/>
      <c r="D228" s="195">
        <f>IF(K228="","",INDEX('差動モデル'!$R:$R,K228))</f>
        <v/>
      </c>
      <c r="E228" s="195">
        <f>IF(K228="","",INDEX('差動モデル'!$S:$S,K228))</f>
        <v/>
      </c>
      <c r="F228" s="195">
        <f>IF(OR(A228="",B228=""),"",100*(D228-B228)/MAX(B228,1E-12))</f>
        <v/>
      </c>
      <c r="G228" s="195">
        <f>IF(OR(A228="",C228=""),"",E228-C228)</f>
        <v/>
      </c>
      <c r="H228" s="195">
        <f>IF(A228="","",LOG10(A228))</f>
        <v/>
      </c>
      <c r="I228" s="195">
        <f>IF(B228="","",LOG10(MAX(B228,1E-12)))</f>
        <v/>
      </c>
      <c r="J228" s="195">
        <f>IF(D228="","",LOG10(MAX(D228,1E-12)))</f>
        <v/>
      </c>
      <c r="K228">
        <f>IF(A228="","",ROUND(1+(LOG10(A228)-LOG10('入力・概要'!$B$38))*('入力・概要'!$B$40-1)/(LOG10('入力・概要'!$B$39)-LOG10('入力・概要'!$B$38)),0)+3)</f>
        <v/>
      </c>
      <c r="L228">
        <f>IF(K228="","",INDEX('差動モデル'!$B:$B,K228))</f>
        <v/>
      </c>
      <c r="M228">
        <f>IF(A228="","",IF(ABS(L228/A228-1)&lt;0.01,"周波数差&lt;1%","周波数差あり"))</f>
        <v/>
      </c>
    </row>
    <row r="229">
      <c r="A229" s="197" t="n"/>
      <c r="B229" s="198" t="n"/>
      <c r="C229" s="198" t="n"/>
      <c r="D229" s="195">
        <f>IF(K229="","",INDEX('差動モデル'!$R:$R,K229))</f>
        <v/>
      </c>
      <c r="E229" s="195">
        <f>IF(K229="","",INDEX('差動モデル'!$S:$S,K229))</f>
        <v/>
      </c>
      <c r="F229" s="195">
        <f>IF(OR(A229="",B229=""),"",100*(D229-B229)/MAX(B229,1E-12))</f>
        <v/>
      </c>
      <c r="G229" s="195">
        <f>IF(OR(A229="",C229=""),"",E229-C229)</f>
        <v/>
      </c>
      <c r="H229" s="195">
        <f>IF(A229="","",LOG10(A229))</f>
        <v/>
      </c>
      <c r="I229" s="195">
        <f>IF(B229="","",LOG10(MAX(B229,1E-12)))</f>
        <v/>
      </c>
      <c r="J229" s="195">
        <f>IF(D229="","",LOG10(MAX(D229,1E-12)))</f>
        <v/>
      </c>
      <c r="K229">
        <f>IF(A229="","",ROUND(1+(LOG10(A229)-LOG10('入力・概要'!$B$38))*('入力・概要'!$B$40-1)/(LOG10('入力・概要'!$B$39)-LOG10('入力・概要'!$B$38)),0)+3)</f>
        <v/>
      </c>
      <c r="L229">
        <f>IF(K229="","",INDEX('差動モデル'!$B:$B,K229))</f>
        <v/>
      </c>
      <c r="M229">
        <f>IF(A229="","",IF(ABS(L229/A229-1)&lt;0.01,"周波数差&lt;1%","周波数差あり"))</f>
        <v/>
      </c>
    </row>
    <row r="230">
      <c r="A230" s="197" t="n"/>
      <c r="B230" s="198" t="n"/>
      <c r="C230" s="198" t="n"/>
      <c r="D230" s="195">
        <f>IF(K230="","",INDEX('差動モデル'!$R:$R,K230))</f>
        <v/>
      </c>
      <c r="E230" s="195">
        <f>IF(K230="","",INDEX('差動モデル'!$S:$S,K230))</f>
        <v/>
      </c>
      <c r="F230" s="195">
        <f>IF(OR(A230="",B230=""),"",100*(D230-B230)/MAX(B230,1E-12))</f>
        <v/>
      </c>
      <c r="G230" s="195">
        <f>IF(OR(A230="",C230=""),"",E230-C230)</f>
        <v/>
      </c>
      <c r="H230" s="195">
        <f>IF(A230="","",LOG10(A230))</f>
        <v/>
      </c>
      <c r="I230" s="195">
        <f>IF(B230="","",LOG10(MAX(B230,1E-12)))</f>
        <v/>
      </c>
      <c r="J230" s="195">
        <f>IF(D230="","",LOG10(MAX(D230,1E-12)))</f>
        <v/>
      </c>
      <c r="K230">
        <f>IF(A230="","",ROUND(1+(LOG10(A230)-LOG10('入力・概要'!$B$38))*('入力・概要'!$B$40-1)/(LOG10('入力・概要'!$B$39)-LOG10('入力・概要'!$B$38)),0)+3)</f>
        <v/>
      </c>
      <c r="L230">
        <f>IF(K230="","",INDEX('差動モデル'!$B:$B,K230))</f>
        <v/>
      </c>
      <c r="M230">
        <f>IF(A230="","",IF(ABS(L230/A230-1)&lt;0.01,"周波数差&lt;1%","周波数差あり"))</f>
        <v/>
      </c>
    </row>
    <row r="231">
      <c r="A231" s="197" t="n"/>
      <c r="B231" s="198" t="n"/>
      <c r="C231" s="198" t="n"/>
      <c r="D231" s="195">
        <f>IF(K231="","",INDEX('差動モデル'!$R:$R,K231))</f>
        <v/>
      </c>
      <c r="E231" s="195">
        <f>IF(K231="","",INDEX('差動モデル'!$S:$S,K231))</f>
        <v/>
      </c>
      <c r="F231" s="195">
        <f>IF(OR(A231="",B231=""),"",100*(D231-B231)/MAX(B231,1E-12))</f>
        <v/>
      </c>
      <c r="G231" s="195">
        <f>IF(OR(A231="",C231=""),"",E231-C231)</f>
        <v/>
      </c>
      <c r="H231" s="195">
        <f>IF(A231="","",LOG10(A231))</f>
        <v/>
      </c>
      <c r="I231" s="195">
        <f>IF(B231="","",LOG10(MAX(B231,1E-12)))</f>
        <v/>
      </c>
      <c r="J231" s="195">
        <f>IF(D231="","",LOG10(MAX(D231,1E-12)))</f>
        <v/>
      </c>
      <c r="K231">
        <f>IF(A231="","",ROUND(1+(LOG10(A231)-LOG10('入力・概要'!$B$38))*('入力・概要'!$B$40-1)/(LOG10('入力・概要'!$B$39)-LOG10('入力・概要'!$B$38)),0)+3)</f>
        <v/>
      </c>
      <c r="L231">
        <f>IF(K231="","",INDEX('差動モデル'!$B:$B,K231))</f>
        <v/>
      </c>
      <c r="M231">
        <f>IF(A231="","",IF(ABS(L231/A231-1)&lt;0.01,"周波数差&lt;1%","周波数差あり"))</f>
        <v/>
      </c>
    </row>
    <row r="232">
      <c r="A232" s="197" t="n"/>
      <c r="B232" s="198" t="n"/>
      <c r="C232" s="198" t="n"/>
      <c r="D232" s="195">
        <f>IF(K232="","",INDEX('差動モデル'!$R:$R,K232))</f>
        <v/>
      </c>
      <c r="E232" s="195">
        <f>IF(K232="","",INDEX('差動モデル'!$S:$S,K232))</f>
        <v/>
      </c>
      <c r="F232" s="195">
        <f>IF(OR(A232="",B232=""),"",100*(D232-B232)/MAX(B232,1E-12))</f>
        <v/>
      </c>
      <c r="G232" s="195">
        <f>IF(OR(A232="",C232=""),"",E232-C232)</f>
        <v/>
      </c>
      <c r="H232" s="195">
        <f>IF(A232="","",LOG10(A232))</f>
        <v/>
      </c>
      <c r="I232" s="195">
        <f>IF(B232="","",LOG10(MAX(B232,1E-12)))</f>
        <v/>
      </c>
      <c r="J232" s="195">
        <f>IF(D232="","",LOG10(MAX(D232,1E-12)))</f>
        <v/>
      </c>
      <c r="K232">
        <f>IF(A232="","",ROUND(1+(LOG10(A232)-LOG10('入力・概要'!$B$38))*('入力・概要'!$B$40-1)/(LOG10('入力・概要'!$B$39)-LOG10('入力・概要'!$B$38)),0)+3)</f>
        <v/>
      </c>
      <c r="L232">
        <f>IF(K232="","",INDEX('差動モデル'!$B:$B,K232))</f>
        <v/>
      </c>
      <c r="M232">
        <f>IF(A232="","",IF(ABS(L232/A232-1)&lt;0.01,"周波数差&lt;1%","周波数差あり"))</f>
        <v/>
      </c>
    </row>
    <row r="233">
      <c r="A233" s="197" t="n"/>
      <c r="B233" s="198" t="n"/>
      <c r="C233" s="198" t="n"/>
      <c r="D233" s="195">
        <f>IF(K233="","",INDEX('差動モデル'!$R:$R,K233))</f>
        <v/>
      </c>
      <c r="E233" s="195">
        <f>IF(K233="","",INDEX('差動モデル'!$S:$S,K233))</f>
        <v/>
      </c>
      <c r="F233" s="195">
        <f>IF(OR(A233="",B233=""),"",100*(D233-B233)/MAX(B233,1E-12))</f>
        <v/>
      </c>
      <c r="G233" s="195">
        <f>IF(OR(A233="",C233=""),"",E233-C233)</f>
        <v/>
      </c>
      <c r="H233" s="195">
        <f>IF(A233="","",LOG10(A233))</f>
        <v/>
      </c>
      <c r="I233" s="195">
        <f>IF(B233="","",LOG10(MAX(B233,1E-12)))</f>
        <v/>
      </c>
      <c r="J233" s="195">
        <f>IF(D233="","",LOG10(MAX(D233,1E-12)))</f>
        <v/>
      </c>
      <c r="K233">
        <f>IF(A233="","",ROUND(1+(LOG10(A233)-LOG10('入力・概要'!$B$38))*('入力・概要'!$B$40-1)/(LOG10('入力・概要'!$B$39)-LOG10('入力・概要'!$B$38)),0)+3)</f>
        <v/>
      </c>
      <c r="L233">
        <f>IF(K233="","",INDEX('差動モデル'!$B:$B,K233))</f>
        <v/>
      </c>
      <c r="M233">
        <f>IF(A233="","",IF(ABS(L233/A233-1)&lt;0.01,"周波数差&lt;1%","周波数差あり"))</f>
        <v/>
      </c>
    </row>
    <row r="234">
      <c r="A234" s="197" t="n"/>
      <c r="B234" s="198" t="n"/>
      <c r="C234" s="198" t="n"/>
      <c r="D234" s="195">
        <f>IF(K234="","",INDEX('差動モデル'!$R:$R,K234))</f>
        <v/>
      </c>
      <c r="E234" s="195">
        <f>IF(K234="","",INDEX('差動モデル'!$S:$S,K234))</f>
        <v/>
      </c>
      <c r="F234" s="195">
        <f>IF(OR(A234="",B234=""),"",100*(D234-B234)/MAX(B234,1E-12))</f>
        <v/>
      </c>
      <c r="G234" s="195">
        <f>IF(OR(A234="",C234=""),"",E234-C234)</f>
        <v/>
      </c>
      <c r="H234" s="195">
        <f>IF(A234="","",LOG10(A234))</f>
        <v/>
      </c>
      <c r="I234" s="195">
        <f>IF(B234="","",LOG10(MAX(B234,1E-12)))</f>
        <v/>
      </c>
      <c r="J234" s="195">
        <f>IF(D234="","",LOG10(MAX(D234,1E-12)))</f>
        <v/>
      </c>
      <c r="K234">
        <f>IF(A234="","",ROUND(1+(LOG10(A234)-LOG10('入力・概要'!$B$38))*('入力・概要'!$B$40-1)/(LOG10('入力・概要'!$B$39)-LOG10('入力・概要'!$B$38)),0)+3)</f>
        <v/>
      </c>
      <c r="L234">
        <f>IF(K234="","",INDEX('差動モデル'!$B:$B,K234))</f>
        <v/>
      </c>
      <c r="M234">
        <f>IF(A234="","",IF(ABS(L234/A234-1)&lt;0.01,"周波数差&lt;1%","周波数差あり"))</f>
        <v/>
      </c>
    </row>
    <row r="235">
      <c r="A235" s="197" t="n"/>
      <c r="B235" s="198" t="n"/>
      <c r="C235" s="198" t="n"/>
      <c r="D235" s="195">
        <f>IF(K235="","",INDEX('差動モデル'!$R:$R,K235))</f>
        <v/>
      </c>
      <c r="E235" s="195">
        <f>IF(K235="","",INDEX('差動モデル'!$S:$S,K235))</f>
        <v/>
      </c>
      <c r="F235" s="195">
        <f>IF(OR(A235="",B235=""),"",100*(D235-B235)/MAX(B235,1E-12))</f>
        <v/>
      </c>
      <c r="G235" s="195">
        <f>IF(OR(A235="",C235=""),"",E235-C235)</f>
        <v/>
      </c>
      <c r="H235" s="195">
        <f>IF(A235="","",LOG10(A235))</f>
        <v/>
      </c>
      <c r="I235" s="195">
        <f>IF(B235="","",LOG10(MAX(B235,1E-12)))</f>
        <v/>
      </c>
      <c r="J235" s="195">
        <f>IF(D235="","",LOG10(MAX(D235,1E-12)))</f>
        <v/>
      </c>
      <c r="K235">
        <f>IF(A235="","",ROUND(1+(LOG10(A235)-LOG10('入力・概要'!$B$38))*('入力・概要'!$B$40-1)/(LOG10('入力・概要'!$B$39)-LOG10('入力・概要'!$B$38)),0)+3)</f>
        <v/>
      </c>
      <c r="L235">
        <f>IF(K235="","",INDEX('差動モデル'!$B:$B,K235))</f>
        <v/>
      </c>
      <c r="M235">
        <f>IF(A235="","",IF(ABS(L235/A235-1)&lt;0.01,"周波数差&lt;1%","周波数差あり"))</f>
        <v/>
      </c>
    </row>
    <row r="236">
      <c r="A236" s="197" t="n"/>
      <c r="B236" s="198" t="n"/>
      <c r="C236" s="198" t="n"/>
      <c r="D236" s="195">
        <f>IF(K236="","",INDEX('差動モデル'!$R:$R,K236))</f>
        <v/>
      </c>
      <c r="E236" s="195">
        <f>IF(K236="","",INDEX('差動モデル'!$S:$S,K236))</f>
        <v/>
      </c>
      <c r="F236" s="195">
        <f>IF(OR(A236="",B236=""),"",100*(D236-B236)/MAX(B236,1E-12))</f>
        <v/>
      </c>
      <c r="G236" s="195">
        <f>IF(OR(A236="",C236=""),"",E236-C236)</f>
        <v/>
      </c>
      <c r="H236" s="195">
        <f>IF(A236="","",LOG10(A236))</f>
        <v/>
      </c>
      <c r="I236" s="195">
        <f>IF(B236="","",LOG10(MAX(B236,1E-12)))</f>
        <v/>
      </c>
      <c r="J236" s="195">
        <f>IF(D236="","",LOG10(MAX(D236,1E-12)))</f>
        <v/>
      </c>
      <c r="K236">
        <f>IF(A236="","",ROUND(1+(LOG10(A236)-LOG10('入力・概要'!$B$38))*('入力・概要'!$B$40-1)/(LOG10('入力・概要'!$B$39)-LOG10('入力・概要'!$B$38)),0)+3)</f>
        <v/>
      </c>
      <c r="L236">
        <f>IF(K236="","",INDEX('差動モデル'!$B:$B,K236))</f>
        <v/>
      </c>
      <c r="M236">
        <f>IF(A236="","",IF(ABS(L236/A236-1)&lt;0.01,"周波数差&lt;1%","周波数差あり"))</f>
        <v/>
      </c>
    </row>
    <row r="237">
      <c r="A237" s="197" t="n"/>
      <c r="B237" s="198" t="n"/>
      <c r="C237" s="198" t="n"/>
      <c r="D237" s="195">
        <f>IF(K237="","",INDEX('差動モデル'!$R:$R,K237))</f>
        <v/>
      </c>
      <c r="E237" s="195">
        <f>IF(K237="","",INDEX('差動モデル'!$S:$S,K237))</f>
        <v/>
      </c>
      <c r="F237" s="195">
        <f>IF(OR(A237="",B237=""),"",100*(D237-B237)/MAX(B237,1E-12))</f>
        <v/>
      </c>
      <c r="G237" s="195">
        <f>IF(OR(A237="",C237=""),"",E237-C237)</f>
        <v/>
      </c>
      <c r="H237" s="195">
        <f>IF(A237="","",LOG10(A237))</f>
        <v/>
      </c>
      <c r="I237" s="195">
        <f>IF(B237="","",LOG10(MAX(B237,1E-12)))</f>
        <v/>
      </c>
      <c r="J237" s="195">
        <f>IF(D237="","",LOG10(MAX(D237,1E-12)))</f>
        <v/>
      </c>
      <c r="K237">
        <f>IF(A237="","",ROUND(1+(LOG10(A237)-LOG10('入力・概要'!$B$38))*('入力・概要'!$B$40-1)/(LOG10('入力・概要'!$B$39)-LOG10('入力・概要'!$B$38)),0)+3)</f>
        <v/>
      </c>
      <c r="L237">
        <f>IF(K237="","",INDEX('差動モデル'!$B:$B,K237))</f>
        <v/>
      </c>
      <c r="M237">
        <f>IF(A237="","",IF(ABS(L237/A237-1)&lt;0.01,"周波数差&lt;1%","周波数差あり"))</f>
        <v/>
      </c>
    </row>
    <row r="238">
      <c r="A238" s="197" t="n"/>
      <c r="B238" s="198" t="n"/>
      <c r="C238" s="198" t="n"/>
      <c r="D238" s="195">
        <f>IF(K238="","",INDEX('差動モデル'!$R:$R,K238))</f>
        <v/>
      </c>
      <c r="E238" s="195">
        <f>IF(K238="","",INDEX('差動モデル'!$S:$S,K238))</f>
        <v/>
      </c>
      <c r="F238" s="195">
        <f>IF(OR(A238="",B238=""),"",100*(D238-B238)/MAX(B238,1E-12))</f>
        <v/>
      </c>
      <c r="G238" s="195">
        <f>IF(OR(A238="",C238=""),"",E238-C238)</f>
        <v/>
      </c>
      <c r="H238" s="195">
        <f>IF(A238="","",LOG10(A238))</f>
        <v/>
      </c>
      <c r="I238" s="195">
        <f>IF(B238="","",LOG10(MAX(B238,1E-12)))</f>
        <v/>
      </c>
      <c r="J238" s="195">
        <f>IF(D238="","",LOG10(MAX(D238,1E-12)))</f>
        <v/>
      </c>
      <c r="K238">
        <f>IF(A238="","",ROUND(1+(LOG10(A238)-LOG10('入力・概要'!$B$38))*('入力・概要'!$B$40-1)/(LOG10('入力・概要'!$B$39)-LOG10('入力・概要'!$B$38)),0)+3)</f>
        <v/>
      </c>
      <c r="L238">
        <f>IF(K238="","",INDEX('差動モデル'!$B:$B,K238))</f>
        <v/>
      </c>
      <c r="M238">
        <f>IF(A238="","",IF(ABS(L238/A238-1)&lt;0.01,"周波数差&lt;1%","周波数差あり"))</f>
        <v/>
      </c>
    </row>
    <row r="239">
      <c r="A239" s="197" t="n"/>
      <c r="B239" s="198" t="n"/>
      <c r="C239" s="198" t="n"/>
      <c r="D239" s="195">
        <f>IF(K239="","",INDEX('差動モデル'!$R:$R,K239))</f>
        <v/>
      </c>
      <c r="E239" s="195">
        <f>IF(K239="","",INDEX('差動モデル'!$S:$S,K239))</f>
        <v/>
      </c>
      <c r="F239" s="195">
        <f>IF(OR(A239="",B239=""),"",100*(D239-B239)/MAX(B239,1E-12))</f>
        <v/>
      </c>
      <c r="G239" s="195">
        <f>IF(OR(A239="",C239=""),"",E239-C239)</f>
        <v/>
      </c>
      <c r="H239" s="195">
        <f>IF(A239="","",LOG10(A239))</f>
        <v/>
      </c>
      <c r="I239" s="195">
        <f>IF(B239="","",LOG10(MAX(B239,1E-12)))</f>
        <v/>
      </c>
      <c r="J239" s="195">
        <f>IF(D239="","",LOG10(MAX(D239,1E-12)))</f>
        <v/>
      </c>
      <c r="K239">
        <f>IF(A239="","",ROUND(1+(LOG10(A239)-LOG10('入力・概要'!$B$38))*('入力・概要'!$B$40-1)/(LOG10('入力・概要'!$B$39)-LOG10('入力・概要'!$B$38)),0)+3)</f>
        <v/>
      </c>
      <c r="L239">
        <f>IF(K239="","",INDEX('差動モデル'!$B:$B,K239))</f>
        <v/>
      </c>
      <c r="M239">
        <f>IF(A239="","",IF(ABS(L239/A239-1)&lt;0.01,"周波数差&lt;1%","周波数差あり"))</f>
        <v/>
      </c>
    </row>
    <row r="240">
      <c r="A240" s="197" t="n"/>
      <c r="B240" s="198" t="n"/>
      <c r="C240" s="198" t="n"/>
      <c r="D240" s="195">
        <f>IF(K240="","",INDEX('差動モデル'!$R:$R,K240))</f>
        <v/>
      </c>
      <c r="E240" s="195">
        <f>IF(K240="","",INDEX('差動モデル'!$S:$S,K240))</f>
        <v/>
      </c>
      <c r="F240" s="195">
        <f>IF(OR(A240="",B240=""),"",100*(D240-B240)/MAX(B240,1E-12))</f>
        <v/>
      </c>
      <c r="G240" s="195">
        <f>IF(OR(A240="",C240=""),"",E240-C240)</f>
        <v/>
      </c>
      <c r="H240" s="195">
        <f>IF(A240="","",LOG10(A240))</f>
        <v/>
      </c>
      <c r="I240" s="195">
        <f>IF(B240="","",LOG10(MAX(B240,1E-12)))</f>
        <v/>
      </c>
      <c r="J240" s="195">
        <f>IF(D240="","",LOG10(MAX(D240,1E-12)))</f>
        <v/>
      </c>
      <c r="K240">
        <f>IF(A240="","",ROUND(1+(LOG10(A240)-LOG10('入力・概要'!$B$38))*('入力・概要'!$B$40-1)/(LOG10('入力・概要'!$B$39)-LOG10('入力・概要'!$B$38)),0)+3)</f>
        <v/>
      </c>
      <c r="L240">
        <f>IF(K240="","",INDEX('差動モデル'!$B:$B,K240))</f>
        <v/>
      </c>
      <c r="M240">
        <f>IF(A240="","",IF(ABS(L240/A240-1)&lt;0.01,"周波数差&lt;1%","周波数差あり"))</f>
        <v/>
      </c>
    </row>
    <row r="241">
      <c r="A241" s="197" t="n"/>
      <c r="B241" s="198" t="n"/>
      <c r="C241" s="198" t="n"/>
      <c r="D241" s="195">
        <f>IF(K241="","",INDEX('差動モデル'!$R:$R,K241))</f>
        <v/>
      </c>
      <c r="E241" s="195">
        <f>IF(K241="","",INDEX('差動モデル'!$S:$S,K241))</f>
        <v/>
      </c>
      <c r="F241" s="195">
        <f>IF(OR(A241="",B241=""),"",100*(D241-B241)/MAX(B241,1E-12))</f>
        <v/>
      </c>
      <c r="G241" s="195">
        <f>IF(OR(A241="",C241=""),"",E241-C241)</f>
        <v/>
      </c>
      <c r="H241" s="195">
        <f>IF(A241="","",LOG10(A241))</f>
        <v/>
      </c>
      <c r="I241" s="195">
        <f>IF(B241="","",LOG10(MAX(B241,1E-12)))</f>
        <v/>
      </c>
      <c r="J241" s="195">
        <f>IF(D241="","",LOG10(MAX(D241,1E-12)))</f>
        <v/>
      </c>
      <c r="K241">
        <f>IF(A241="","",ROUND(1+(LOG10(A241)-LOG10('入力・概要'!$B$38))*('入力・概要'!$B$40-1)/(LOG10('入力・概要'!$B$39)-LOG10('入力・概要'!$B$38)),0)+3)</f>
        <v/>
      </c>
      <c r="L241">
        <f>IF(K241="","",INDEX('差動モデル'!$B:$B,K241))</f>
        <v/>
      </c>
      <c r="M241">
        <f>IF(A241="","",IF(ABS(L241/A241-1)&lt;0.01,"周波数差&lt;1%","周波数差あり"))</f>
        <v/>
      </c>
    </row>
    <row r="242">
      <c r="A242" s="197" t="n"/>
      <c r="B242" s="198" t="n"/>
      <c r="C242" s="198" t="n"/>
      <c r="D242" s="195">
        <f>IF(K242="","",INDEX('差動モデル'!$R:$R,K242))</f>
        <v/>
      </c>
      <c r="E242" s="195">
        <f>IF(K242="","",INDEX('差動モデル'!$S:$S,K242))</f>
        <v/>
      </c>
      <c r="F242" s="195">
        <f>IF(OR(A242="",B242=""),"",100*(D242-B242)/MAX(B242,1E-12))</f>
        <v/>
      </c>
      <c r="G242" s="195">
        <f>IF(OR(A242="",C242=""),"",E242-C242)</f>
        <v/>
      </c>
      <c r="H242" s="195">
        <f>IF(A242="","",LOG10(A242))</f>
        <v/>
      </c>
      <c r="I242" s="195">
        <f>IF(B242="","",LOG10(MAX(B242,1E-12)))</f>
        <v/>
      </c>
      <c r="J242" s="195">
        <f>IF(D242="","",LOG10(MAX(D242,1E-12)))</f>
        <v/>
      </c>
      <c r="K242">
        <f>IF(A242="","",ROUND(1+(LOG10(A242)-LOG10('入力・概要'!$B$38))*('入力・概要'!$B$40-1)/(LOG10('入力・概要'!$B$39)-LOG10('入力・概要'!$B$38)),0)+3)</f>
        <v/>
      </c>
      <c r="L242">
        <f>IF(K242="","",INDEX('差動モデル'!$B:$B,K242))</f>
        <v/>
      </c>
      <c r="M242">
        <f>IF(A242="","",IF(ABS(L242/A242-1)&lt;0.01,"周波数差&lt;1%","周波数差あり"))</f>
        <v/>
      </c>
    </row>
    <row r="243">
      <c r="A243" s="197" t="n"/>
      <c r="B243" s="198" t="n"/>
      <c r="C243" s="198" t="n"/>
      <c r="D243" s="195">
        <f>IF(K243="","",INDEX('差動モデル'!$R:$R,K243))</f>
        <v/>
      </c>
      <c r="E243" s="195">
        <f>IF(K243="","",INDEX('差動モデル'!$S:$S,K243))</f>
        <v/>
      </c>
      <c r="F243" s="195">
        <f>IF(OR(A243="",B243=""),"",100*(D243-B243)/MAX(B243,1E-12))</f>
        <v/>
      </c>
      <c r="G243" s="195">
        <f>IF(OR(A243="",C243=""),"",E243-C243)</f>
        <v/>
      </c>
      <c r="H243" s="195">
        <f>IF(A243="","",LOG10(A243))</f>
        <v/>
      </c>
      <c r="I243" s="195">
        <f>IF(B243="","",LOG10(MAX(B243,1E-12)))</f>
        <v/>
      </c>
      <c r="J243" s="195">
        <f>IF(D243="","",LOG10(MAX(D243,1E-12)))</f>
        <v/>
      </c>
      <c r="K243">
        <f>IF(A243="","",ROUND(1+(LOG10(A243)-LOG10('入力・概要'!$B$38))*('入力・概要'!$B$40-1)/(LOG10('入力・概要'!$B$39)-LOG10('入力・概要'!$B$38)),0)+3)</f>
        <v/>
      </c>
      <c r="L243">
        <f>IF(K243="","",INDEX('差動モデル'!$B:$B,K243))</f>
        <v/>
      </c>
      <c r="M243">
        <f>IF(A243="","",IF(ABS(L243/A243-1)&lt;0.01,"周波数差&lt;1%","周波数差あり"))</f>
        <v/>
      </c>
    </row>
    <row r="244">
      <c r="A244" s="197" t="n"/>
      <c r="B244" s="198" t="n"/>
      <c r="C244" s="198" t="n"/>
      <c r="D244" s="195">
        <f>IF(K244="","",INDEX('差動モデル'!$R:$R,K244))</f>
        <v/>
      </c>
      <c r="E244" s="195">
        <f>IF(K244="","",INDEX('差動モデル'!$S:$S,K244))</f>
        <v/>
      </c>
      <c r="F244" s="195">
        <f>IF(OR(A244="",B244=""),"",100*(D244-B244)/MAX(B244,1E-12))</f>
        <v/>
      </c>
      <c r="G244" s="195">
        <f>IF(OR(A244="",C244=""),"",E244-C244)</f>
        <v/>
      </c>
      <c r="H244" s="195">
        <f>IF(A244="","",LOG10(A244))</f>
        <v/>
      </c>
      <c r="I244" s="195">
        <f>IF(B244="","",LOG10(MAX(B244,1E-12)))</f>
        <v/>
      </c>
      <c r="J244" s="195">
        <f>IF(D244="","",LOG10(MAX(D244,1E-12)))</f>
        <v/>
      </c>
      <c r="K244">
        <f>IF(A244="","",ROUND(1+(LOG10(A244)-LOG10('入力・概要'!$B$38))*('入力・概要'!$B$40-1)/(LOG10('入力・概要'!$B$39)-LOG10('入力・概要'!$B$38)),0)+3)</f>
        <v/>
      </c>
      <c r="L244">
        <f>IF(K244="","",INDEX('差動モデル'!$B:$B,K244))</f>
        <v/>
      </c>
      <c r="M244">
        <f>IF(A244="","",IF(ABS(L244/A244-1)&lt;0.01,"周波数差&lt;1%","周波数差あり"))</f>
        <v/>
      </c>
    </row>
    <row r="245">
      <c r="A245" s="197" t="n"/>
      <c r="B245" s="198" t="n"/>
      <c r="C245" s="198" t="n"/>
      <c r="D245" s="195">
        <f>IF(K245="","",INDEX('差動モデル'!$R:$R,K245))</f>
        <v/>
      </c>
      <c r="E245" s="195">
        <f>IF(K245="","",INDEX('差動モデル'!$S:$S,K245))</f>
        <v/>
      </c>
      <c r="F245" s="195">
        <f>IF(OR(A245="",B245=""),"",100*(D245-B245)/MAX(B245,1E-12))</f>
        <v/>
      </c>
      <c r="G245" s="195">
        <f>IF(OR(A245="",C245=""),"",E245-C245)</f>
        <v/>
      </c>
      <c r="H245" s="195">
        <f>IF(A245="","",LOG10(A245))</f>
        <v/>
      </c>
      <c r="I245" s="195">
        <f>IF(B245="","",LOG10(MAX(B245,1E-12)))</f>
        <v/>
      </c>
      <c r="J245" s="195">
        <f>IF(D245="","",LOG10(MAX(D245,1E-12)))</f>
        <v/>
      </c>
      <c r="K245">
        <f>IF(A245="","",ROUND(1+(LOG10(A245)-LOG10('入力・概要'!$B$38))*('入力・概要'!$B$40-1)/(LOG10('入力・概要'!$B$39)-LOG10('入力・概要'!$B$38)),0)+3)</f>
        <v/>
      </c>
      <c r="L245">
        <f>IF(K245="","",INDEX('差動モデル'!$B:$B,K245))</f>
        <v/>
      </c>
      <c r="M245">
        <f>IF(A245="","",IF(ABS(L245/A245-1)&lt;0.01,"周波数差&lt;1%","周波数差あり"))</f>
        <v/>
      </c>
    </row>
    <row r="246">
      <c r="A246" s="197" t="n"/>
      <c r="B246" s="198" t="n"/>
      <c r="C246" s="198" t="n"/>
      <c r="D246" s="195">
        <f>IF(K246="","",INDEX('差動モデル'!$R:$R,K246))</f>
        <v/>
      </c>
      <c r="E246" s="195">
        <f>IF(K246="","",INDEX('差動モデル'!$S:$S,K246))</f>
        <v/>
      </c>
      <c r="F246" s="195">
        <f>IF(OR(A246="",B246=""),"",100*(D246-B246)/MAX(B246,1E-12))</f>
        <v/>
      </c>
      <c r="G246" s="195">
        <f>IF(OR(A246="",C246=""),"",E246-C246)</f>
        <v/>
      </c>
      <c r="H246" s="195">
        <f>IF(A246="","",LOG10(A246))</f>
        <v/>
      </c>
      <c r="I246" s="195">
        <f>IF(B246="","",LOG10(MAX(B246,1E-12)))</f>
        <v/>
      </c>
      <c r="J246" s="195">
        <f>IF(D246="","",LOG10(MAX(D246,1E-12)))</f>
        <v/>
      </c>
      <c r="K246">
        <f>IF(A246="","",ROUND(1+(LOG10(A246)-LOG10('入力・概要'!$B$38))*('入力・概要'!$B$40-1)/(LOG10('入力・概要'!$B$39)-LOG10('入力・概要'!$B$38)),0)+3)</f>
        <v/>
      </c>
      <c r="L246">
        <f>IF(K246="","",INDEX('差動モデル'!$B:$B,K246))</f>
        <v/>
      </c>
      <c r="M246">
        <f>IF(A246="","",IF(ABS(L246/A246-1)&lt;0.01,"周波数差&lt;1%","周波数差あり"))</f>
        <v/>
      </c>
    </row>
    <row r="247">
      <c r="A247" s="197" t="n"/>
      <c r="B247" s="198" t="n"/>
      <c r="C247" s="198" t="n"/>
      <c r="D247" s="195">
        <f>IF(K247="","",INDEX('差動モデル'!$R:$R,K247))</f>
        <v/>
      </c>
      <c r="E247" s="195">
        <f>IF(K247="","",INDEX('差動モデル'!$S:$S,K247))</f>
        <v/>
      </c>
      <c r="F247" s="195">
        <f>IF(OR(A247="",B247=""),"",100*(D247-B247)/MAX(B247,1E-12))</f>
        <v/>
      </c>
      <c r="G247" s="195">
        <f>IF(OR(A247="",C247=""),"",E247-C247)</f>
        <v/>
      </c>
      <c r="H247" s="195">
        <f>IF(A247="","",LOG10(A247))</f>
        <v/>
      </c>
      <c r="I247" s="195">
        <f>IF(B247="","",LOG10(MAX(B247,1E-12)))</f>
        <v/>
      </c>
      <c r="J247" s="195">
        <f>IF(D247="","",LOG10(MAX(D247,1E-12)))</f>
        <v/>
      </c>
      <c r="K247">
        <f>IF(A247="","",ROUND(1+(LOG10(A247)-LOG10('入力・概要'!$B$38))*('入力・概要'!$B$40-1)/(LOG10('入力・概要'!$B$39)-LOG10('入力・概要'!$B$38)),0)+3)</f>
        <v/>
      </c>
      <c r="L247">
        <f>IF(K247="","",INDEX('差動モデル'!$B:$B,K247))</f>
        <v/>
      </c>
      <c r="M247">
        <f>IF(A247="","",IF(ABS(L247/A247-1)&lt;0.01,"周波数差&lt;1%","周波数差あり"))</f>
        <v/>
      </c>
    </row>
    <row r="248">
      <c r="A248" s="197" t="n"/>
      <c r="B248" s="198" t="n"/>
      <c r="C248" s="198" t="n"/>
      <c r="D248" s="195">
        <f>IF(K248="","",INDEX('差動モデル'!$R:$R,K248))</f>
        <v/>
      </c>
      <c r="E248" s="195">
        <f>IF(K248="","",INDEX('差動モデル'!$S:$S,K248))</f>
        <v/>
      </c>
      <c r="F248" s="195">
        <f>IF(OR(A248="",B248=""),"",100*(D248-B248)/MAX(B248,1E-12))</f>
        <v/>
      </c>
      <c r="G248" s="195">
        <f>IF(OR(A248="",C248=""),"",E248-C248)</f>
        <v/>
      </c>
      <c r="H248" s="195">
        <f>IF(A248="","",LOG10(A248))</f>
        <v/>
      </c>
      <c r="I248" s="195">
        <f>IF(B248="","",LOG10(MAX(B248,1E-12)))</f>
        <v/>
      </c>
      <c r="J248" s="195">
        <f>IF(D248="","",LOG10(MAX(D248,1E-12)))</f>
        <v/>
      </c>
      <c r="K248">
        <f>IF(A248="","",ROUND(1+(LOG10(A248)-LOG10('入力・概要'!$B$38))*('入力・概要'!$B$40-1)/(LOG10('入力・概要'!$B$39)-LOG10('入力・概要'!$B$38)),0)+3)</f>
        <v/>
      </c>
      <c r="L248">
        <f>IF(K248="","",INDEX('差動モデル'!$B:$B,K248))</f>
        <v/>
      </c>
      <c r="M248">
        <f>IF(A248="","",IF(ABS(L248/A248-1)&lt;0.01,"周波数差&lt;1%","周波数差あり"))</f>
        <v/>
      </c>
    </row>
    <row r="249">
      <c r="A249" s="197" t="n"/>
      <c r="B249" s="198" t="n"/>
      <c r="C249" s="198" t="n"/>
      <c r="D249" s="195">
        <f>IF(K249="","",INDEX('差動モデル'!$R:$R,K249))</f>
        <v/>
      </c>
      <c r="E249" s="195">
        <f>IF(K249="","",INDEX('差動モデル'!$S:$S,K249))</f>
        <v/>
      </c>
      <c r="F249" s="195">
        <f>IF(OR(A249="",B249=""),"",100*(D249-B249)/MAX(B249,1E-12))</f>
        <v/>
      </c>
      <c r="G249" s="195">
        <f>IF(OR(A249="",C249=""),"",E249-C249)</f>
        <v/>
      </c>
      <c r="H249" s="195">
        <f>IF(A249="","",LOG10(A249))</f>
        <v/>
      </c>
      <c r="I249" s="195">
        <f>IF(B249="","",LOG10(MAX(B249,1E-12)))</f>
        <v/>
      </c>
      <c r="J249" s="195">
        <f>IF(D249="","",LOG10(MAX(D249,1E-12)))</f>
        <v/>
      </c>
      <c r="K249">
        <f>IF(A249="","",ROUND(1+(LOG10(A249)-LOG10('入力・概要'!$B$38))*('入力・概要'!$B$40-1)/(LOG10('入力・概要'!$B$39)-LOG10('入力・概要'!$B$38)),0)+3)</f>
        <v/>
      </c>
      <c r="L249">
        <f>IF(K249="","",INDEX('差動モデル'!$B:$B,K249))</f>
        <v/>
      </c>
      <c r="M249">
        <f>IF(A249="","",IF(ABS(L249/A249-1)&lt;0.01,"周波数差&lt;1%","周波数差あり"))</f>
        <v/>
      </c>
    </row>
    <row r="250">
      <c r="A250" s="197" t="n"/>
      <c r="B250" s="198" t="n"/>
      <c r="C250" s="198" t="n"/>
      <c r="D250" s="195">
        <f>IF(K250="","",INDEX('差動モデル'!$R:$R,K250))</f>
        <v/>
      </c>
      <c r="E250" s="195">
        <f>IF(K250="","",INDEX('差動モデル'!$S:$S,K250))</f>
        <v/>
      </c>
      <c r="F250" s="195">
        <f>IF(OR(A250="",B250=""),"",100*(D250-B250)/MAX(B250,1E-12))</f>
        <v/>
      </c>
      <c r="G250" s="195">
        <f>IF(OR(A250="",C250=""),"",E250-C250)</f>
        <v/>
      </c>
      <c r="H250" s="195">
        <f>IF(A250="","",LOG10(A250))</f>
        <v/>
      </c>
      <c r="I250" s="195">
        <f>IF(B250="","",LOG10(MAX(B250,1E-12)))</f>
        <v/>
      </c>
      <c r="J250" s="195">
        <f>IF(D250="","",LOG10(MAX(D250,1E-12)))</f>
        <v/>
      </c>
      <c r="K250">
        <f>IF(A250="","",ROUND(1+(LOG10(A250)-LOG10('入力・概要'!$B$38))*('入力・概要'!$B$40-1)/(LOG10('入力・概要'!$B$39)-LOG10('入力・概要'!$B$38)),0)+3)</f>
        <v/>
      </c>
      <c r="L250">
        <f>IF(K250="","",INDEX('差動モデル'!$B:$B,K250))</f>
        <v/>
      </c>
      <c r="M250">
        <f>IF(A250="","",IF(ABS(L250/A250-1)&lt;0.01,"周波数差&lt;1%","周波数差あり"))</f>
        <v/>
      </c>
    </row>
    <row r="251">
      <c r="A251" s="197" t="n"/>
      <c r="B251" s="198" t="n"/>
      <c r="C251" s="198" t="n"/>
      <c r="D251" s="195">
        <f>IF(K251="","",INDEX('差動モデル'!$R:$R,K251))</f>
        <v/>
      </c>
      <c r="E251" s="195">
        <f>IF(K251="","",INDEX('差動モデル'!$S:$S,K251))</f>
        <v/>
      </c>
      <c r="F251" s="195">
        <f>IF(OR(A251="",B251=""),"",100*(D251-B251)/MAX(B251,1E-12))</f>
        <v/>
      </c>
      <c r="G251" s="195">
        <f>IF(OR(A251="",C251=""),"",E251-C251)</f>
        <v/>
      </c>
      <c r="H251" s="195">
        <f>IF(A251="","",LOG10(A251))</f>
        <v/>
      </c>
      <c r="I251" s="195">
        <f>IF(B251="","",LOG10(MAX(B251,1E-12)))</f>
        <v/>
      </c>
      <c r="J251" s="195">
        <f>IF(D251="","",LOG10(MAX(D251,1E-12)))</f>
        <v/>
      </c>
      <c r="K251">
        <f>IF(A251="","",ROUND(1+(LOG10(A251)-LOG10('入力・概要'!$B$38))*('入力・概要'!$B$40-1)/(LOG10('入力・概要'!$B$39)-LOG10('入力・概要'!$B$38)),0)+3)</f>
        <v/>
      </c>
      <c r="L251">
        <f>IF(K251="","",INDEX('差動モデル'!$B:$B,K251))</f>
        <v/>
      </c>
      <c r="M251">
        <f>IF(A251="","",IF(ABS(L251/A251-1)&lt;0.01,"周波数差&lt;1%","周波数差あり"))</f>
        <v/>
      </c>
    </row>
    <row r="252">
      <c r="A252" s="197" t="n"/>
      <c r="B252" s="198" t="n"/>
      <c r="C252" s="198" t="n"/>
      <c r="D252" s="195">
        <f>IF(K252="","",INDEX('差動モデル'!$R:$R,K252))</f>
        <v/>
      </c>
      <c r="E252" s="195">
        <f>IF(K252="","",INDEX('差動モデル'!$S:$S,K252))</f>
        <v/>
      </c>
      <c r="F252" s="195">
        <f>IF(OR(A252="",B252=""),"",100*(D252-B252)/MAX(B252,1E-12))</f>
        <v/>
      </c>
      <c r="G252" s="195">
        <f>IF(OR(A252="",C252=""),"",E252-C252)</f>
        <v/>
      </c>
      <c r="H252" s="195">
        <f>IF(A252="","",LOG10(A252))</f>
        <v/>
      </c>
      <c r="I252" s="195">
        <f>IF(B252="","",LOG10(MAX(B252,1E-12)))</f>
        <v/>
      </c>
      <c r="J252" s="195">
        <f>IF(D252="","",LOG10(MAX(D252,1E-12)))</f>
        <v/>
      </c>
      <c r="K252">
        <f>IF(A252="","",ROUND(1+(LOG10(A252)-LOG10('入力・概要'!$B$38))*('入力・概要'!$B$40-1)/(LOG10('入力・概要'!$B$39)-LOG10('入力・概要'!$B$38)),0)+3)</f>
        <v/>
      </c>
      <c r="L252">
        <f>IF(K252="","",INDEX('差動モデル'!$B:$B,K252))</f>
        <v/>
      </c>
      <c r="M252">
        <f>IF(A252="","",IF(ABS(L252/A252-1)&lt;0.01,"周波数差&lt;1%","周波数差あり"))</f>
        <v/>
      </c>
    </row>
    <row r="253">
      <c r="A253" s="197" t="n"/>
      <c r="B253" s="198" t="n"/>
      <c r="C253" s="198" t="n"/>
      <c r="D253" s="195">
        <f>IF(K253="","",INDEX('差動モデル'!$R:$R,K253))</f>
        <v/>
      </c>
      <c r="E253" s="195">
        <f>IF(K253="","",INDEX('差動モデル'!$S:$S,K253))</f>
        <v/>
      </c>
      <c r="F253" s="195">
        <f>IF(OR(A253="",B253=""),"",100*(D253-B253)/MAX(B253,1E-12))</f>
        <v/>
      </c>
      <c r="G253" s="195">
        <f>IF(OR(A253="",C253=""),"",E253-C253)</f>
        <v/>
      </c>
      <c r="H253" s="195">
        <f>IF(A253="","",LOG10(A253))</f>
        <v/>
      </c>
      <c r="I253" s="195">
        <f>IF(B253="","",LOG10(MAX(B253,1E-12)))</f>
        <v/>
      </c>
      <c r="J253" s="195">
        <f>IF(D253="","",LOG10(MAX(D253,1E-12)))</f>
        <v/>
      </c>
      <c r="K253">
        <f>IF(A253="","",ROUND(1+(LOG10(A253)-LOG10('入力・概要'!$B$38))*('入力・概要'!$B$40-1)/(LOG10('入力・概要'!$B$39)-LOG10('入力・概要'!$B$38)),0)+3)</f>
        <v/>
      </c>
      <c r="L253">
        <f>IF(K253="","",INDEX('差動モデル'!$B:$B,K253))</f>
        <v/>
      </c>
      <c r="M253">
        <f>IF(A253="","",IF(ABS(L253/A253-1)&lt;0.01,"周波数差&lt;1%","周波数差あり"))</f>
        <v/>
      </c>
    </row>
    <row r="254">
      <c r="A254" s="197" t="n"/>
      <c r="B254" s="198" t="n"/>
      <c r="C254" s="198" t="n"/>
      <c r="D254" s="195">
        <f>IF(K254="","",INDEX('差動モデル'!$R:$R,K254))</f>
        <v/>
      </c>
      <c r="E254" s="195">
        <f>IF(K254="","",INDEX('差動モデル'!$S:$S,K254))</f>
        <v/>
      </c>
      <c r="F254" s="195">
        <f>IF(OR(A254="",B254=""),"",100*(D254-B254)/MAX(B254,1E-12))</f>
        <v/>
      </c>
      <c r="G254" s="195">
        <f>IF(OR(A254="",C254=""),"",E254-C254)</f>
        <v/>
      </c>
      <c r="H254" s="195">
        <f>IF(A254="","",LOG10(A254))</f>
        <v/>
      </c>
      <c r="I254" s="195">
        <f>IF(B254="","",LOG10(MAX(B254,1E-12)))</f>
        <v/>
      </c>
      <c r="J254" s="195">
        <f>IF(D254="","",LOG10(MAX(D254,1E-12)))</f>
        <v/>
      </c>
      <c r="K254">
        <f>IF(A254="","",ROUND(1+(LOG10(A254)-LOG10('入力・概要'!$B$38))*('入力・概要'!$B$40-1)/(LOG10('入力・概要'!$B$39)-LOG10('入力・概要'!$B$38)),0)+3)</f>
        <v/>
      </c>
      <c r="L254">
        <f>IF(K254="","",INDEX('差動モデル'!$B:$B,K254))</f>
        <v/>
      </c>
      <c r="M254">
        <f>IF(A254="","",IF(ABS(L254/A254-1)&lt;0.01,"周波数差&lt;1%","周波数差あり"))</f>
        <v/>
      </c>
    </row>
    <row r="255">
      <c r="A255" s="197" t="n"/>
      <c r="B255" s="198" t="n"/>
      <c r="C255" s="198" t="n"/>
      <c r="D255" s="195">
        <f>IF(K255="","",INDEX('差動モデル'!$R:$R,K255))</f>
        <v/>
      </c>
      <c r="E255" s="195">
        <f>IF(K255="","",INDEX('差動モデル'!$S:$S,K255))</f>
        <v/>
      </c>
      <c r="F255" s="195">
        <f>IF(OR(A255="",B255=""),"",100*(D255-B255)/MAX(B255,1E-12))</f>
        <v/>
      </c>
      <c r="G255" s="195">
        <f>IF(OR(A255="",C255=""),"",E255-C255)</f>
        <v/>
      </c>
      <c r="H255" s="195">
        <f>IF(A255="","",LOG10(A255))</f>
        <v/>
      </c>
      <c r="I255" s="195">
        <f>IF(B255="","",LOG10(MAX(B255,1E-12)))</f>
        <v/>
      </c>
      <c r="J255" s="195">
        <f>IF(D255="","",LOG10(MAX(D255,1E-12)))</f>
        <v/>
      </c>
      <c r="K255">
        <f>IF(A255="","",ROUND(1+(LOG10(A255)-LOG10('入力・概要'!$B$38))*('入力・概要'!$B$40-1)/(LOG10('入力・概要'!$B$39)-LOG10('入力・概要'!$B$38)),0)+3)</f>
        <v/>
      </c>
      <c r="L255">
        <f>IF(K255="","",INDEX('差動モデル'!$B:$B,K255))</f>
        <v/>
      </c>
      <c r="M255">
        <f>IF(A255="","",IF(ABS(L255/A255-1)&lt;0.01,"周波数差&lt;1%","周波数差あり"))</f>
        <v/>
      </c>
    </row>
    <row r="256">
      <c r="A256" s="197" t="n"/>
      <c r="B256" s="198" t="n"/>
      <c r="C256" s="198" t="n"/>
      <c r="D256" s="195">
        <f>IF(K256="","",INDEX('差動モデル'!$R:$R,K256))</f>
        <v/>
      </c>
      <c r="E256" s="195">
        <f>IF(K256="","",INDEX('差動モデル'!$S:$S,K256))</f>
        <v/>
      </c>
      <c r="F256" s="195">
        <f>IF(OR(A256="",B256=""),"",100*(D256-B256)/MAX(B256,1E-12))</f>
        <v/>
      </c>
      <c r="G256" s="195">
        <f>IF(OR(A256="",C256=""),"",E256-C256)</f>
        <v/>
      </c>
      <c r="H256" s="195">
        <f>IF(A256="","",LOG10(A256))</f>
        <v/>
      </c>
      <c r="I256" s="195">
        <f>IF(B256="","",LOG10(MAX(B256,1E-12)))</f>
        <v/>
      </c>
      <c r="J256" s="195">
        <f>IF(D256="","",LOG10(MAX(D256,1E-12)))</f>
        <v/>
      </c>
      <c r="K256">
        <f>IF(A256="","",ROUND(1+(LOG10(A256)-LOG10('入力・概要'!$B$38))*('入力・概要'!$B$40-1)/(LOG10('入力・概要'!$B$39)-LOG10('入力・概要'!$B$38)),0)+3)</f>
        <v/>
      </c>
      <c r="L256">
        <f>IF(K256="","",INDEX('差動モデル'!$B:$B,K256))</f>
        <v/>
      </c>
      <c r="M256">
        <f>IF(A256="","",IF(ABS(L256/A256-1)&lt;0.01,"周波数差&lt;1%","周波数差あり"))</f>
        <v/>
      </c>
    </row>
    <row r="257">
      <c r="A257" s="197" t="n"/>
      <c r="B257" s="198" t="n"/>
      <c r="C257" s="198" t="n"/>
      <c r="D257" s="195">
        <f>IF(K257="","",INDEX('差動モデル'!$R:$R,K257))</f>
        <v/>
      </c>
      <c r="E257" s="195">
        <f>IF(K257="","",INDEX('差動モデル'!$S:$S,K257))</f>
        <v/>
      </c>
      <c r="F257" s="195">
        <f>IF(OR(A257="",B257=""),"",100*(D257-B257)/MAX(B257,1E-12))</f>
        <v/>
      </c>
      <c r="G257" s="195">
        <f>IF(OR(A257="",C257=""),"",E257-C257)</f>
        <v/>
      </c>
      <c r="H257" s="195">
        <f>IF(A257="","",LOG10(A257))</f>
        <v/>
      </c>
      <c r="I257" s="195">
        <f>IF(B257="","",LOG10(MAX(B257,1E-12)))</f>
        <v/>
      </c>
      <c r="J257" s="195">
        <f>IF(D257="","",LOG10(MAX(D257,1E-12)))</f>
        <v/>
      </c>
      <c r="K257">
        <f>IF(A257="","",ROUND(1+(LOG10(A257)-LOG10('入力・概要'!$B$38))*('入力・概要'!$B$40-1)/(LOG10('入力・概要'!$B$39)-LOG10('入力・概要'!$B$38)),0)+3)</f>
        <v/>
      </c>
      <c r="L257">
        <f>IF(K257="","",INDEX('差動モデル'!$B:$B,K257))</f>
        <v/>
      </c>
      <c r="M257">
        <f>IF(A257="","",IF(ABS(L257/A257-1)&lt;0.01,"周波数差&lt;1%","周波数差あり"))</f>
        <v/>
      </c>
    </row>
    <row r="258">
      <c r="A258" s="197" t="n"/>
      <c r="B258" s="198" t="n"/>
      <c r="C258" s="198" t="n"/>
      <c r="D258" s="195">
        <f>IF(K258="","",INDEX('差動モデル'!$R:$R,K258))</f>
        <v/>
      </c>
      <c r="E258" s="195">
        <f>IF(K258="","",INDEX('差動モデル'!$S:$S,K258))</f>
        <v/>
      </c>
      <c r="F258" s="195">
        <f>IF(OR(A258="",B258=""),"",100*(D258-B258)/MAX(B258,1E-12))</f>
        <v/>
      </c>
      <c r="G258" s="195">
        <f>IF(OR(A258="",C258=""),"",E258-C258)</f>
        <v/>
      </c>
      <c r="H258" s="195">
        <f>IF(A258="","",LOG10(A258))</f>
        <v/>
      </c>
      <c r="I258" s="195">
        <f>IF(B258="","",LOG10(MAX(B258,1E-12)))</f>
        <v/>
      </c>
      <c r="J258" s="195">
        <f>IF(D258="","",LOG10(MAX(D258,1E-12)))</f>
        <v/>
      </c>
      <c r="K258">
        <f>IF(A258="","",ROUND(1+(LOG10(A258)-LOG10('入力・概要'!$B$38))*('入力・概要'!$B$40-1)/(LOG10('入力・概要'!$B$39)-LOG10('入力・概要'!$B$38)),0)+3)</f>
        <v/>
      </c>
      <c r="L258">
        <f>IF(K258="","",INDEX('差動モデル'!$B:$B,K258))</f>
        <v/>
      </c>
      <c r="M258">
        <f>IF(A258="","",IF(ABS(L258/A258-1)&lt;0.01,"周波数差&lt;1%","周波数差あり"))</f>
        <v/>
      </c>
    </row>
    <row r="259">
      <c r="A259" s="197" t="n"/>
      <c r="B259" s="198" t="n"/>
      <c r="C259" s="198" t="n"/>
      <c r="D259" s="195">
        <f>IF(K259="","",INDEX('差動モデル'!$R:$R,K259))</f>
        <v/>
      </c>
      <c r="E259" s="195">
        <f>IF(K259="","",INDEX('差動モデル'!$S:$S,K259))</f>
        <v/>
      </c>
      <c r="F259" s="195">
        <f>IF(OR(A259="",B259=""),"",100*(D259-B259)/MAX(B259,1E-12))</f>
        <v/>
      </c>
      <c r="G259" s="195">
        <f>IF(OR(A259="",C259=""),"",E259-C259)</f>
        <v/>
      </c>
      <c r="H259" s="195">
        <f>IF(A259="","",LOG10(A259))</f>
        <v/>
      </c>
      <c r="I259" s="195">
        <f>IF(B259="","",LOG10(MAX(B259,1E-12)))</f>
        <v/>
      </c>
      <c r="J259" s="195">
        <f>IF(D259="","",LOG10(MAX(D259,1E-12)))</f>
        <v/>
      </c>
      <c r="K259">
        <f>IF(A259="","",ROUND(1+(LOG10(A259)-LOG10('入力・概要'!$B$38))*('入力・概要'!$B$40-1)/(LOG10('入力・概要'!$B$39)-LOG10('入力・概要'!$B$38)),0)+3)</f>
        <v/>
      </c>
      <c r="L259">
        <f>IF(K259="","",INDEX('差動モデル'!$B:$B,K259))</f>
        <v/>
      </c>
      <c r="M259">
        <f>IF(A259="","",IF(ABS(L259/A259-1)&lt;0.01,"周波数差&lt;1%","周波数差あり"))</f>
        <v/>
      </c>
    </row>
    <row r="260">
      <c r="A260" s="197" t="n"/>
      <c r="B260" s="198" t="n"/>
      <c r="C260" s="198" t="n"/>
      <c r="D260" s="195">
        <f>IF(K260="","",INDEX('差動モデル'!$R:$R,K260))</f>
        <v/>
      </c>
      <c r="E260" s="195">
        <f>IF(K260="","",INDEX('差動モデル'!$S:$S,K260))</f>
        <v/>
      </c>
      <c r="F260" s="195">
        <f>IF(OR(A260="",B260=""),"",100*(D260-B260)/MAX(B260,1E-12))</f>
        <v/>
      </c>
      <c r="G260" s="195">
        <f>IF(OR(A260="",C260=""),"",E260-C260)</f>
        <v/>
      </c>
      <c r="H260" s="195">
        <f>IF(A260="","",LOG10(A260))</f>
        <v/>
      </c>
      <c r="I260" s="195">
        <f>IF(B260="","",LOG10(MAX(B260,1E-12)))</f>
        <v/>
      </c>
      <c r="J260" s="195">
        <f>IF(D260="","",LOG10(MAX(D260,1E-12)))</f>
        <v/>
      </c>
      <c r="K260">
        <f>IF(A260="","",ROUND(1+(LOG10(A260)-LOG10('入力・概要'!$B$38))*('入力・概要'!$B$40-1)/(LOG10('入力・概要'!$B$39)-LOG10('入力・概要'!$B$38)),0)+3)</f>
        <v/>
      </c>
      <c r="L260">
        <f>IF(K260="","",INDEX('差動モデル'!$B:$B,K260))</f>
        <v/>
      </c>
      <c r="M260">
        <f>IF(A260="","",IF(ABS(L260/A260-1)&lt;0.01,"周波数差&lt;1%","周波数差あり"))</f>
        <v/>
      </c>
    </row>
    <row r="261">
      <c r="A261" s="197" t="n"/>
      <c r="B261" s="198" t="n"/>
      <c r="C261" s="198" t="n"/>
      <c r="D261" s="195">
        <f>IF(K261="","",INDEX('差動モデル'!$R:$R,K261))</f>
        <v/>
      </c>
      <c r="E261" s="195">
        <f>IF(K261="","",INDEX('差動モデル'!$S:$S,K261))</f>
        <v/>
      </c>
      <c r="F261" s="195">
        <f>IF(OR(A261="",B261=""),"",100*(D261-B261)/MAX(B261,1E-12))</f>
        <v/>
      </c>
      <c r="G261" s="195">
        <f>IF(OR(A261="",C261=""),"",E261-C261)</f>
        <v/>
      </c>
      <c r="H261" s="195">
        <f>IF(A261="","",LOG10(A261))</f>
        <v/>
      </c>
      <c r="I261" s="195">
        <f>IF(B261="","",LOG10(MAX(B261,1E-12)))</f>
        <v/>
      </c>
      <c r="J261" s="195">
        <f>IF(D261="","",LOG10(MAX(D261,1E-12)))</f>
        <v/>
      </c>
      <c r="K261">
        <f>IF(A261="","",ROUND(1+(LOG10(A261)-LOG10('入力・概要'!$B$38))*('入力・概要'!$B$40-1)/(LOG10('入力・概要'!$B$39)-LOG10('入力・概要'!$B$38)),0)+3)</f>
        <v/>
      </c>
      <c r="L261">
        <f>IF(K261="","",INDEX('差動モデル'!$B:$B,K261))</f>
        <v/>
      </c>
      <c r="M261">
        <f>IF(A261="","",IF(ABS(L261/A261-1)&lt;0.01,"周波数差&lt;1%","周波数差あり"))</f>
        <v/>
      </c>
    </row>
    <row r="262">
      <c r="A262" s="197" t="n"/>
      <c r="B262" s="198" t="n"/>
      <c r="C262" s="198" t="n"/>
      <c r="D262" s="195">
        <f>IF(K262="","",INDEX('差動モデル'!$R:$R,K262))</f>
        <v/>
      </c>
      <c r="E262" s="195">
        <f>IF(K262="","",INDEX('差動モデル'!$S:$S,K262))</f>
        <v/>
      </c>
      <c r="F262" s="195">
        <f>IF(OR(A262="",B262=""),"",100*(D262-B262)/MAX(B262,1E-12))</f>
        <v/>
      </c>
      <c r="G262" s="195">
        <f>IF(OR(A262="",C262=""),"",E262-C262)</f>
        <v/>
      </c>
      <c r="H262" s="195">
        <f>IF(A262="","",LOG10(A262))</f>
        <v/>
      </c>
      <c r="I262" s="195">
        <f>IF(B262="","",LOG10(MAX(B262,1E-12)))</f>
        <v/>
      </c>
      <c r="J262" s="195">
        <f>IF(D262="","",LOG10(MAX(D262,1E-12)))</f>
        <v/>
      </c>
      <c r="K262">
        <f>IF(A262="","",ROUND(1+(LOG10(A262)-LOG10('入力・概要'!$B$38))*('入力・概要'!$B$40-1)/(LOG10('入力・概要'!$B$39)-LOG10('入力・概要'!$B$38)),0)+3)</f>
        <v/>
      </c>
      <c r="L262">
        <f>IF(K262="","",INDEX('差動モデル'!$B:$B,K262))</f>
        <v/>
      </c>
      <c r="M262">
        <f>IF(A262="","",IF(ABS(L262/A262-1)&lt;0.01,"周波数差&lt;1%","周波数差あり"))</f>
        <v/>
      </c>
    </row>
    <row r="263">
      <c r="A263" s="197" t="n"/>
      <c r="B263" s="198" t="n"/>
      <c r="C263" s="198" t="n"/>
      <c r="D263" s="195">
        <f>IF(K263="","",INDEX('差動モデル'!$R:$R,K263))</f>
        <v/>
      </c>
      <c r="E263" s="195">
        <f>IF(K263="","",INDEX('差動モデル'!$S:$S,K263))</f>
        <v/>
      </c>
      <c r="F263" s="195">
        <f>IF(OR(A263="",B263=""),"",100*(D263-B263)/MAX(B263,1E-12))</f>
        <v/>
      </c>
      <c r="G263" s="195">
        <f>IF(OR(A263="",C263=""),"",E263-C263)</f>
        <v/>
      </c>
      <c r="H263" s="195">
        <f>IF(A263="","",LOG10(A263))</f>
        <v/>
      </c>
      <c r="I263" s="195">
        <f>IF(B263="","",LOG10(MAX(B263,1E-12)))</f>
        <v/>
      </c>
      <c r="J263" s="195">
        <f>IF(D263="","",LOG10(MAX(D263,1E-12)))</f>
        <v/>
      </c>
      <c r="K263">
        <f>IF(A263="","",ROUND(1+(LOG10(A263)-LOG10('入力・概要'!$B$38))*('入力・概要'!$B$40-1)/(LOG10('入力・概要'!$B$39)-LOG10('入力・概要'!$B$38)),0)+3)</f>
        <v/>
      </c>
      <c r="L263">
        <f>IF(K263="","",INDEX('差動モデル'!$B:$B,K263))</f>
        <v/>
      </c>
      <c r="M263">
        <f>IF(A263="","",IF(ABS(L263/A263-1)&lt;0.01,"周波数差&lt;1%","周波数差あり"))</f>
        <v/>
      </c>
    </row>
    <row r="264">
      <c r="A264" s="197" t="n"/>
      <c r="B264" s="198" t="n"/>
      <c r="C264" s="198" t="n"/>
      <c r="D264" s="195">
        <f>IF(K264="","",INDEX('差動モデル'!$R:$R,K264))</f>
        <v/>
      </c>
      <c r="E264" s="195">
        <f>IF(K264="","",INDEX('差動モデル'!$S:$S,K264))</f>
        <v/>
      </c>
      <c r="F264" s="195">
        <f>IF(OR(A264="",B264=""),"",100*(D264-B264)/MAX(B264,1E-12))</f>
        <v/>
      </c>
      <c r="G264" s="195">
        <f>IF(OR(A264="",C264=""),"",E264-C264)</f>
        <v/>
      </c>
      <c r="H264" s="195">
        <f>IF(A264="","",LOG10(A264))</f>
        <v/>
      </c>
      <c r="I264" s="195">
        <f>IF(B264="","",LOG10(MAX(B264,1E-12)))</f>
        <v/>
      </c>
      <c r="J264" s="195">
        <f>IF(D264="","",LOG10(MAX(D264,1E-12)))</f>
        <v/>
      </c>
      <c r="K264">
        <f>IF(A264="","",ROUND(1+(LOG10(A264)-LOG10('入力・概要'!$B$38))*('入力・概要'!$B$40-1)/(LOG10('入力・概要'!$B$39)-LOG10('入力・概要'!$B$38)),0)+3)</f>
        <v/>
      </c>
      <c r="L264">
        <f>IF(K264="","",INDEX('差動モデル'!$B:$B,K264))</f>
        <v/>
      </c>
      <c r="M264">
        <f>IF(A264="","",IF(ABS(L264/A264-1)&lt;0.01,"周波数差&lt;1%","周波数差あり"))</f>
        <v/>
      </c>
    </row>
    <row r="265">
      <c r="A265" s="197" t="n"/>
      <c r="B265" s="198" t="n"/>
      <c r="C265" s="198" t="n"/>
      <c r="D265" s="195">
        <f>IF(K265="","",INDEX('差動モデル'!$R:$R,K265))</f>
        <v/>
      </c>
      <c r="E265" s="195">
        <f>IF(K265="","",INDEX('差動モデル'!$S:$S,K265))</f>
        <v/>
      </c>
      <c r="F265" s="195">
        <f>IF(OR(A265="",B265=""),"",100*(D265-B265)/MAX(B265,1E-12))</f>
        <v/>
      </c>
      <c r="G265" s="195">
        <f>IF(OR(A265="",C265=""),"",E265-C265)</f>
        <v/>
      </c>
      <c r="H265" s="195">
        <f>IF(A265="","",LOG10(A265))</f>
        <v/>
      </c>
      <c r="I265" s="195">
        <f>IF(B265="","",LOG10(MAX(B265,1E-12)))</f>
        <v/>
      </c>
      <c r="J265" s="195">
        <f>IF(D265="","",LOG10(MAX(D265,1E-12)))</f>
        <v/>
      </c>
      <c r="K265">
        <f>IF(A265="","",ROUND(1+(LOG10(A265)-LOG10('入力・概要'!$B$38))*('入力・概要'!$B$40-1)/(LOG10('入力・概要'!$B$39)-LOG10('入力・概要'!$B$38)),0)+3)</f>
        <v/>
      </c>
      <c r="L265">
        <f>IF(K265="","",INDEX('差動モデル'!$B:$B,K265))</f>
        <v/>
      </c>
      <c r="M265">
        <f>IF(A265="","",IF(ABS(L265/A265-1)&lt;0.01,"周波数差&lt;1%","周波数差あり"))</f>
        <v/>
      </c>
    </row>
    <row r="266">
      <c r="A266" s="197" t="n"/>
      <c r="B266" s="198" t="n"/>
      <c r="C266" s="198" t="n"/>
      <c r="D266" s="195">
        <f>IF(K266="","",INDEX('差動モデル'!$R:$R,K266))</f>
        <v/>
      </c>
      <c r="E266" s="195">
        <f>IF(K266="","",INDEX('差動モデル'!$S:$S,K266))</f>
        <v/>
      </c>
      <c r="F266" s="195">
        <f>IF(OR(A266="",B266=""),"",100*(D266-B266)/MAX(B266,1E-12))</f>
        <v/>
      </c>
      <c r="G266" s="195">
        <f>IF(OR(A266="",C266=""),"",E266-C266)</f>
        <v/>
      </c>
      <c r="H266" s="195">
        <f>IF(A266="","",LOG10(A266))</f>
        <v/>
      </c>
      <c r="I266" s="195">
        <f>IF(B266="","",LOG10(MAX(B266,1E-12)))</f>
        <v/>
      </c>
      <c r="J266" s="195">
        <f>IF(D266="","",LOG10(MAX(D266,1E-12)))</f>
        <v/>
      </c>
      <c r="K266">
        <f>IF(A266="","",ROUND(1+(LOG10(A266)-LOG10('入力・概要'!$B$38))*('入力・概要'!$B$40-1)/(LOG10('入力・概要'!$B$39)-LOG10('入力・概要'!$B$38)),0)+3)</f>
        <v/>
      </c>
      <c r="L266">
        <f>IF(K266="","",INDEX('差動モデル'!$B:$B,K266))</f>
        <v/>
      </c>
      <c r="M266">
        <f>IF(A266="","",IF(ABS(L266/A266-1)&lt;0.01,"周波数差&lt;1%","周波数差あり"))</f>
        <v/>
      </c>
    </row>
    <row r="267">
      <c r="A267" s="197" t="n"/>
      <c r="B267" s="198" t="n"/>
      <c r="C267" s="198" t="n"/>
      <c r="D267" s="195">
        <f>IF(K267="","",INDEX('差動モデル'!$R:$R,K267))</f>
        <v/>
      </c>
      <c r="E267" s="195">
        <f>IF(K267="","",INDEX('差動モデル'!$S:$S,K267))</f>
        <v/>
      </c>
      <c r="F267" s="195">
        <f>IF(OR(A267="",B267=""),"",100*(D267-B267)/MAX(B267,1E-12))</f>
        <v/>
      </c>
      <c r="G267" s="195">
        <f>IF(OR(A267="",C267=""),"",E267-C267)</f>
        <v/>
      </c>
      <c r="H267" s="195">
        <f>IF(A267="","",LOG10(A267))</f>
        <v/>
      </c>
      <c r="I267" s="195">
        <f>IF(B267="","",LOG10(MAX(B267,1E-12)))</f>
        <v/>
      </c>
      <c r="J267" s="195">
        <f>IF(D267="","",LOG10(MAX(D267,1E-12)))</f>
        <v/>
      </c>
      <c r="K267">
        <f>IF(A267="","",ROUND(1+(LOG10(A267)-LOG10('入力・概要'!$B$38))*('入力・概要'!$B$40-1)/(LOG10('入力・概要'!$B$39)-LOG10('入力・概要'!$B$38)),0)+3)</f>
        <v/>
      </c>
      <c r="L267">
        <f>IF(K267="","",INDEX('差動モデル'!$B:$B,K267))</f>
        <v/>
      </c>
      <c r="M267">
        <f>IF(A267="","",IF(ABS(L267/A267-1)&lt;0.01,"周波数差&lt;1%","周波数差あり"))</f>
        <v/>
      </c>
    </row>
    <row r="268">
      <c r="A268" s="197" t="n"/>
      <c r="B268" s="198" t="n"/>
      <c r="C268" s="198" t="n"/>
      <c r="D268" s="195">
        <f>IF(K268="","",INDEX('差動モデル'!$R:$R,K268))</f>
        <v/>
      </c>
      <c r="E268" s="195">
        <f>IF(K268="","",INDEX('差動モデル'!$S:$S,K268))</f>
        <v/>
      </c>
      <c r="F268" s="195">
        <f>IF(OR(A268="",B268=""),"",100*(D268-B268)/MAX(B268,1E-12))</f>
        <v/>
      </c>
      <c r="G268" s="195">
        <f>IF(OR(A268="",C268=""),"",E268-C268)</f>
        <v/>
      </c>
      <c r="H268" s="195">
        <f>IF(A268="","",LOG10(A268))</f>
        <v/>
      </c>
      <c r="I268" s="195">
        <f>IF(B268="","",LOG10(MAX(B268,1E-12)))</f>
        <v/>
      </c>
      <c r="J268" s="195">
        <f>IF(D268="","",LOG10(MAX(D268,1E-12)))</f>
        <v/>
      </c>
      <c r="K268">
        <f>IF(A268="","",ROUND(1+(LOG10(A268)-LOG10('入力・概要'!$B$38))*('入力・概要'!$B$40-1)/(LOG10('入力・概要'!$B$39)-LOG10('入力・概要'!$B$38)),0)+3)</f>
        <v/>
      </c>
      <c r="L268">
        <f>IF(K268="","",INDEX('差動モデル'!$B:$B,K268))</f>
        <v/>
      </c>
      <c r="M268">
        <f>IF(A268="","",IF(ABS(L268/A268-1)&lt;0.01,"周波数差&lt;1%","周波数差あり"))</f>
        <v/>
      </c>
    </row>
    <row r="269">
      <c r="A269" s="197" t="n"/>
      <c r="B269" s="198" t="n"/>
      <c r="C269" s="198" t="n"/>
      <c r="D269" s="195">
        <f>IF(K269="","",INDEX('差動モデル'!$R:$R,K269))</f>
        <v/>
      </c>
      <c r="E269" s="195">
        <f>IF(K269="","",INDEX('差動モデル'!$S:$S,K269))</f>
        <v/>
      </c>
      <c r="F269" s="195">
        <f>IF(OR(A269="",B269=""),"",100*(D269-B269)/MAX(B269,1E-12))</f>
        <v/>
      </c>
      <c r="G269" s="195">
        <f>IF(OR(A269="",C269=""),"",E269-C269)</f>
        <v/>
      </c>
      <c r="H269" s="195">
        <f>IF(A269="","",LOG10(A269))</f>
        <v/>
      </c>
      <c r="I269" s="195">
        <f>IF(B269="","",LOG10(MAX(B269,1E-12)))</f>
        <v/>
      </c>
      <c r="J269" s="195">
        <f>IF(D269="","",LOG10(MAX(D269,1E-12)))</f>
        <v/>
      </c>
      <c r="K269">
        <f>IF(A269="","",ROUND(1+(LOG10(A269)-LOG10('入力・概要'!$B$38))*('入力・概要'!$B$40-1)/(LOG10('入力・概要'!$B$39)-LOG10('入力・概要'!$B$38)),0)+3)</f>
        <v/>
      </c>
      <c r="L269">
        <f>IF(K269="","",INDEX('差動モデル'!$B:$B,K269))</f>
        <v/>
      </c>
      <c r="M269">
        <f>IF(A269="","",IF(ABS(L269/A269-1)&lt;0.01,"周波数差&lt;1%","周波数差あり"))</f>
        <v/>
      </c>
    </row>
    <row r="270">
      <c r="A270" s="197" t="n"/>
      <c r="B270" s="198" t="n"/>
      <c r="C270" s="198" t="n"/>
      <c r="D270" s="195">
        <f>IF(K270="","",INDEX('差動モデル'!$R:$R,K270))</f>
        <v/>
      </c>
      <c r="E270" s="195">
        <f>IF(K270="","",INDEX('差動モデル'!$S:$S,K270))</f>
        <v/>
      </c>
      <c r="F270" s="195">
        <f>IF(OR(A270="",B270=""),"",100*(D270-B270)/MAX(B270,1E-12))</f>
        <v/>
      </c>
      <c r="G270" s="195">
        <f>IF(OR(A270="",C270=""),"",E270-C270)</f>
        <v/>
      </c>
      <c r="H270" s="195">
        <f>IF(A270="","",LOG10(A270))</f>
        <v/>
      </c>
      <c r="I270" s="195">
        <f>IF(B270="","",LOG10(MAX(B270,1E-12)))</f>
        <v/>
      </c>
      <c r="J270" s="195">
        <f>IF(D270="","",LOG10(MAX(D270,1E-12)))</f>
        <v/>
      </c>
      <c r="K270">
        <f>IF(A270="","",ROUND(1+(LOG10(A270)-LOG10('入力・概要'!$B$38))*('入力・概要'!$B$40-1)/(LOG10('入力・概要'!$B$39)-LOG10('入力・概要'!$B$38)),0)+3)</f>
        <v/>
      </c>
      <c r="L270">
        <f>IF(K270="","",INDEX('差動モデル'!$B:$B,K270))</f>
        <v/>
      </c>
      <c r="M270">
        <f>IF(A270="","",IF(ABS(L270/A270-1)&lt;0.01,"周波数差&lt;1%","周波数差あり"))</f>
        <v/>
      </c>
    </row>
    <row r="271">
      <c r="A271" s="197" t="n"/>
      <c r="B271" s="198" t="n"/>
      <c r="C271" s="198" t="n"/>
      <c r="D271" s="195">
        <f>IF(K271="","",INDEX('差動モデル'!$R:$R,K271))</f>
        <v/>
      </c>
      <c r="E271" s="195">
        <f>IF(K271="","",INDEX('差動モデル'!$S:$S,K271))</f>
        <v/>
      </c>
      <c r="F271" s="195">
        <f>IF(OR(A271="",B271=""),"",100*(D271-B271)/MAX(B271,1E-12))</f>
        <v/>
      </c>
      <c r="G271" s="195">
        <f>IF(OR(A271="",C271=""),"",E271-C271)</f>
        <v/>
      </c>
      <c r="H271" s="195">
        <f>IF(A271="","",LOG10(A271))</f>
        <v/>
      </c>
      <c r="I271" s="195">
        <f>IF(B271="","",LOG10(MAX(B271,1E-12)))</f>
        <v/>
      </c>
      <c r="J271" s="195">
        <f>IF(D271="","",LOG10(MAX(D271,1E-12)))</f>
        <v/>
      </c>
      <c r="K271">
        <f>IF(A271="","",ROUND(1+(LOG10(A271)-LOG10('入力・概要'!$B$38))*('入力・概要'!$B$40-1)/(LOG10('入力・概要'!$B$39)-LOG10('入力・概要'!$B$38)),0)+3)</f>
        <v/>
      </c>
      <c r="L271">
        <f>IF(K271="","",INDEX('差動モデル'!$B:$B,K271))</f>
        <v/>
      </c>
      <c r="M271">
        <f>IF(A271="","",IF(ABS(L271/A271-1)&lt;0.01,"周波数差&lt;1%","周波数差あり"))</f>
        <v/>
      </c>
    </row>
    <row r="272">
      <c r="A272" s="197" t="n"/>
      <c r="B272" s="198" t="n"/>
      <c r="C272" s="198" t="n"/>
      <c r="D272" s="195">
        <f>IF(K272="","",INDEX('差動モデル'!$R:$R,K272))</f>
        <v/>
      </c>
      <c r="E272" s="195">
        <f>IF(K272="","",INDEX('差動モデル'!$S:$S,K272))</f>
        <v/>
      </c>
      <c r="F272" s="195">
        <f>IF(OR(A272="",B272=""),"",100*(D272-B272)/MAX(B272,1E-12))</f>
        <v/>
      </c>
      <c r="G272" s="195">
        <f>IF(OR(A272="",C272=""),"",E272-C272)</f>
        <v/>
      </c>
      <c r="H272" s="195">
        <f>IF(A272="","",LOG10(A272))</f>
        <v/>
      </c>
      <c r="I272" s="195">
        <f>IF(B272="","",LOG10(MAX(B272,1E-12)))</f>
        <v/>
      </c>
      <c r="J272" s="195">
        <f>IF(D272="","",LOG10(MAX(D272,1E-12)))</f>
        <v/>
      </c>
      <c r="K272">
        <f>IF(A272="","",ROUND(1+(LOG10(A272)-LOG10('入力・概要'!$B$38))*('入力・概要'!$B$40-1)/(LOG10('入力・概要'!$B$39)-LOG10('入力・概要'!$B$38)),0)+3)</f>
        <v/>
      </c>
      <c r="L272">
        <f>IF(K272="","",INDEX('差動モデル'!$B:$B,K272))</f>
        <v/>
      </c>
      <c r="M272">
        <f>IF(A272="","",IF(ABS(L272/A272-1)&lt;0.01,"周波数差&lt;1%","周波数差あり"))</f>
        <v/>
      </c>
    </row>
    <row r="273">
      <c r="A273" s="197" t="n"/>
      <c r="B273" s="198" t="n"/>
      <c r="C273" s="198" t="n"/>
      <c r="D273" s="195">
        <f>IF(K273="","",INDEX('差動モデル'!$R:$R,K273))</f>
        <v/>
      </c>
      <c r="E273" s="195">
        <f>IF(K273="","",INDEX('差動モデル'!$S:$S,K273))</f>
        <v/>
      </c>
      <c r="F273" s="195">
        <f>IF(OR(A273="",B273=""),"",100*(D273-B273)/MAX(B273,1E-12))</f>
        <v/>
      </c>
      <c r="G273" s="195">
        <f>IF(OR(A273="",C273=""),"",E273-C273)</f>
        <v/>
      </c>
      <c r="H273" s="195">
        <f>IF(A273="","",LOG10(A273))</f>
        <v/>
      </c>
      <c r="I273" s="195">
        <f>IF(B273="","",LOG10(MAX(B273,1E-12)))</f>
        <v/>
      </c>
      <c r="J273" s="195">
        <f>IF(D273="","",LOG10(MAX(D273,1E-12)))</f>
        <v/>
      </c>
      <c r="K273">
        <f>IF(A273="","",ROUND(1+(LOG10(A273)-LOG10('入力・概要'!$B$38))*('入力・概要'!$B$40-1)/(LOG10('入力・概要'!$B$39)-LOG10('入力・概要'!$B$38)),0)+3)</f>
        <v/>
      </c>
      <c r="L273">
        <f>IF(K273="","",INDEX('差動モデル'!$B:$B,K273))</f>
        <v/>
      </c>
      <c r="M273">
        <f>IF(A273="","",IF(ABS(L273/A273-1)&lt;0.01,"周波数差&lt;1%","周波数差あり"))</f>
        <v/>
      </c>
    </row>
    <row r="274">
      <c r="A274" s="197" t="n"/>
      <c r="B274" s="198" t="n"/>
      <c r="C274" s="198" t="n"/>
      <c r="D274" s="195">
        <f>IF(K274="","",INDEX('差動モデル'!$R:$R,K274))</f>
        <v/>
      </c>
      <c r="E274" s="195">
        <f>IF(K274="","",INDEX('差動モデル'!$S:$S,K274))</f>
        <v/>
      </c>
      <c r="F274" s="195">
        <f>IF(OR(A274="",B274=""),"",100*(D274-B274)/MAX(B274,1E-12))</f>
        <v/>
      </c>
      <c r="G274" s="195">
        <f>IF(OR(A274="",C274=""),"",E274-C274)</f>
        <v/>
      </c>
      <c r="H274" s="195">
        <f>IF(A274="","",LOG10(A274))</f>
        <v/>
      </c>
      <c r="I274" s="195">
        <f>IF(B274="","",LOG10(MAX(B274,1E-12)))</f>
        <v/>
      </c>
      <c r="J274" s="195">
        <f>IF(D274="","",LOG10(MAX(D274,1E-12)))</f>
        <v/>
      </c>
      <c r="K274">
        <f>IF(A274="","",ROUND(1+(LOG10(A274)-LOG10('入力・概要'!$B$38))*('入力・概要'!$B$40-1)/(LOG10('入力・概要'!$B$39)-LOG10('入力・概要'!$B$38)),0)+3)</f>
        <v/>
      </c>
      <c r="L274">
        <f>IF(K274="","",INDEX('差動モデル'!$B:$B,K274))</f>
        <v/>
      </c>
      <c r="M274">
        <f>IF(A274="","",IF(ABS(L274/A274-1)&lt;0.01,"周波数差&lt;1%","周波数差あり"))</f>
        <v/>
      </c>
    </row>
    <row r="275">
      <c r="A275" s="197" t="n"/>
      <c r="B275" s="198" t="n"/>
      <c r="C275" s="198" t="n"/>
      <c r="D275" s="195">
        <f>IF(K275="","",INDEX('差動モデル'!$R:$R,K275))</f>
        <v/>
      </c>
      <c r="E275" s="195">
        <f>IF(K275="","",INDEX('差動モデル'!$S:$S,K275))</f>
        <v/>
      </c>
      <c r="F275" s="195">
        <f>IF(OR(A275="",B275=""),"",100*(D275-B275)/MAX(B275,1E-12))</f>
        <v/>
      </c>
      <c r="G275" s="195">
        <f>IF(OR(A275="",C275=""),"",E275-C275)</f>
        <v/>
      </c>
      <c r="H275" s="195">
        <f>IF(A275="","",LOG10(A275))</f>
        <v/>
      </c>
      <c r="I275" s="195">
        <f>IF(B275="","",LOG10(MAX(B275,1E-12)))</f>
        <v/>
      </c>
      <c r="J275" s="195">
        <f>IF(D275="","",LOG10(MAX(D275,1E-12)))</f>
        <v/>
      </c>
      <c r="K275">
        <f>IF(A275="","",ROUND(1+(LOG10(A275)-LOG10('入力・概要'!$B$38))*('入力・概要'!$B$40-1)/(LOG10('入力・概要'!$B$39)-LOG10('入力・概要'!$B$38)),0)+3)</f>
        <v/>
      </c>
      <c r="L275">
        <f>IF(K275="","",INDEX('差動モデル'!$B:$B,K275))</f>
        <v/>
      </c>
      <c r="M275">
        <f>IF(A275="","",IF(ABS(L275/A275-1)&lt;0.01,"周波数差&lt;1%","周波数差あり"))</f>
        <v/>
      </c>
    </row>
    <row r="276">
      <c r="A276" s="197" t="n"/>
      <c r="B276" s="198" t="n"/>
      <c r="C276" s="198" t="n"/>
      <c r="D276" s="195">
        <f>IF(K276="","",INDEX('差動モデル'!$R:$R,K276))</f>
        <v/>
      </c>
      <c r="E276" s="195">
        <f>IF(K276="","",INDEX('差動モデル'!$S:$S,K276))</f>
        <v/>
      </c>
      <c r="F276" s="195">
        <f>IF(OR(A276="",B276=""),"",100*(D276-B276)/MAX(B276,1E-12))</f>
        <v/>
      </c>
      <c r="G276" s="195">
        <f>IF(OR(A276="",C276=""),"",E276-C276)</f>
        <v/>
      </c>
      <c r="H276" s="195">
        <f>IF(A276="","",LOG10(A276))</f>
        <v/>
      </c>
      <c r="I276" s="195">
        <f>IF(B276="","",LOG10(MAX(B276,1E-12)))</f>
        <v/>
      </c>
      <c r="J276" s="195">
        <f>IF(D276="","",LOG10(MAX(D276,1E-12)))</f>
        <v/>
      </c>
      <c r="K276">
        <f>IF(A276="","",ROUND(1+(LOG10(A276)-LOG10('入力・概要'!$B$38))*('入力・概要'!$B$40-1)/(LOG10('入力・概要'!$B$39)-LOG10('入力・概要'!$B$38)),0)+3)</f>
        <v/>
      </c>
      <c r="L276">
        <f>IF(K276="","",INDEX('差動モデル'!$B:$B,K276))</f>
        <v/>
      </c>
      <c r="M276">
        <f>IF(A276="","",IF(ABS(L276/A276-1)&lt;0.01,"周波数差&lt;1%","周波数差あり"))</f>
        <v/>
      </c>
    </row>
    <row r="277">
      <c r="A277" s="197" t="n"/>
      <c r="B277" s="198" t="n"/>
      <c r="C277" s="198" t="n"/>
      <c r="D277" s="195">
        <f>IF(K277="","",INDEX('差動モデル'!$R:$R,K277))</f>
        <v/>
      </c>
      <c r="E277" s="195">
        <f>IF(K277="","",INDEX('差動モデル'!$S:$S,K277))</f>
        <v/>
      </c>
      <c r="F277" s="195">
        <f>IF(OR(A277="",B277=""),"",100*(D277-B277)/MAX(B277,1E-12))</f>
        <v/>
      </c>
      <c r="G277" s="195">
        <f>IF(OR(A277="",C277=""),"",E277-C277)</f>
        <v/>
      </c>
      <c r="H277" s="195">
        <f>IF(A277="","",LOG10(A277))</f>
        <v/>
      </c>
      <c r="I277" s="195">
        <f>IF(B277="","",LOG10(MAX(B277,1E-12)))</f>
        <v/>
      </c>
      <c r="J277" s="195">
        <f>IF(D277="","",LOG10(MAX(D277,1E-12)))</f>
        <v/>
      </c>
      <c r="K277">
        <f>IF(A277="","",ROUND(1+(LOG10(A277)-LOG10('入力・概要'!$B$38))*('入力・概要'!$B$40-1)/(LOG10('入力・概要'!$B$39)-LOG10('入力・概要'!$B$38)),0)+3)</f>
        <v/>
      </c>
      <c r="L277">
        <f>IF(K277="","",INDEX('差動モデル'!$B:$B,K277))</f>
        <v/>
      </c>
      <c r="M277">
        <f>IF(A277="","",IF(ABS(L277/A277-1)&lt;0.01,"周波数差&lt;1%","周波数差あり"))</f>
        <v/>
      </c>
    </row>
    <row r="278">
      <c r="A278" s="197" t="n"/>
      <c r="B278" s="198" t="n"/>
      <c r="C278" s="198" t="n"/>
      <c r="D278" s="195">
        <f>IF(K278="","",INDEX('差動モデル'!$R:$R,K278))</f>
        <v/>
      </c>
      <c r="E278" s="195">
        <f>IF(K278="","",INDEX('差動モデル'!$S:$S,K278))</f>
        <v/>
      </c>
      <c r="F278" s="195">
        <f>IF(OR(A278="",B278=""),"",100*(D278-B278)/MAX(B278,1E-12))</f>
        <v/>
      </c>
      <c r="G278" s="195">
        <f>IF(OR(A278="",C278=""),"",E278-C278)</f>
        <v/>
      </c>
      <c r="H278" s="195">
        <f>IF(A278="","",LOG10(A278))</f>
        <v/>
      </c>
      <c r="I278" s="195">
        <f>IF(B278="","",LOG10(MAX(B278,1E-12)))</f>
        <v/>
      </c>
      <c r="J278" s="195">
        <f>IF(D278="","",LOG10(MAX(D278,1E-12)))</f>
        <v/>
      </c>
      <c r="K278">
        <f>IF(A278="","",ROUND(1+(LOG10(A278)-LOG10('入力・概要'!$B$38))*('入力・概要'!$B$40-1)/(LOG10('入力・概要'!$B$39)-LOG10('入力・概要'!$B$38)),0)+3)</f>
        <v/>
      </c>
      <c r="L278">
        <f>IF(K278="","",INDEX('差動モデル'!$B:$B,K278))</f>
        <v/>
      </c>
      <c r="M278">
        <f>IF(A278="","",IF(ABS(L278/A278-1)&lt;0.01,"周波数差&lt;1%","周波数差あり"))</f>
        <v/>
      </c>
    </row>
    <row r="279">
      <c r="A279" s="197" t="n"/>
      <c r="B279" s="198" t="n"/>
      <c r="C279" s="198" t="n"/>
      <c r="D279" s="195">
        <f>IF(K279="","",INDEX('差動モデル'!$R:$R,K279))</f>
        <v/>
      </c>
      <c r="E279" s="195">
        <f>IF(K279="","",INDEX('差動モデル'!$S:$S,K279))</f>
        <v/>
      </c>
      <c r="F279" s="195">
        <f>IF(OR(A279="",B279=""),"",100*(D279-B279)/MAX(B279,1E-12))</f>
        <v/>
      </c>
      <c r="G279" s="195">
        <f>IF(OR(A279="",C279=""),"",E279-C279)</f>
        <v/>
      </c>
      <c r="H279" s="195">
        <f>IF(A279="","",LOG10(A279))</f>
        <v/>
      </c>
      <c r="I279" s="195">
        <f>IF(B279="","",LOG10(MAX(B279,1E-12)))</f>
        <v/>
      </c>
      <c r="J279" s="195">
        <f>IF(D279="","",LOG10(MAX(D279,1E-12)))</f>
        <v/>
      </c>
      <c r="K279">
        <f>IF(A279="","",ROUND(1+(LOG10(A279)-LOG10('入力・概要'!$B$38))*('入力・概要'!$B$40-1)/(LOG10('入力・概要'!$B$39)-LOG10('入力・概要'!$B$38)),0)+3)</f>
        <v/>
      </c>
      <c r="L279">
        <f>IF(K279="","",INDEX('差動モデル'!$B:$B,K279))</f>
        <v/>
      </c>
      <c r="M279">
        <f>IF(A279="","",IF(ABS(L279/A279-1)&lt;0.01,"周波数差&lt;1%","周波数差あり"))</f>
        <v/>
      </c>
    </row>
    <row r="280">
      <c r="A280" s="197" t="n"/>
      <c r="B280" s="198" t="n"/>
      <c r="C280" s="198" t="n"/>
      <c r="D280" s="195">
        <f>IF(K280="","",INDEX('差動モデル'!$R:$R,K280))</f>
        <v/>
      </c>
      <c r="E280" s="195">
        <f>IF(K280="","",INDEX('差動モデル'!$S:$S,K280))</f>
        <v/>
      </c>
      <c r="F280" s="195">
        <f>IF(OR(A280="",B280=""),"",100*(D280-B280)/MAX(B280,1E-12))</f>
        <v/>
      </c>
      <c r="G280" s="195">
        <f>IF(OR(A280="",C280=""),"",E280-C280)</f>
        <v/>
      </c>
      <c r="H280" s="195">
        <f>IF(A280="","",LOG10(A280))</f>
        <v/>
      </c>
      <c r="I280" s="195">
        <f>IF(B280="","",LOG10(MAX(B280,1E-12)))</f>
        <v/>
      </c>
      <c r="J280" s="195">
        <f>IF(D280="","",LOG10(MAX(D280,1E-12)))</f>
        <v/>
      </c>
      <c r="K280">
        <f>IF(A280="","",ROUND(1+(LOG10(A280)-LOG10('入力・概要'!$B$38))*('入力・概要'!$B$40-1)/(LOG10('入力・概要'!$B$39)-LOG10('入力・概要'!$B$38)),0)+3)</f>
        <v/>
      </c>
      <c r="L280">
        <f>IF(K280="","",INDEX('差動モデル'!$B:$B,K280))</f>
        <v/>
      </c>
      <c r="M280">
        <f>IF(A280="","",IF(ABS(L280/A280-1)&lt;0.01,"周波数差&lt;1%","周波数差あり"))</f>
        <v/>
      </c>
    </row>
    <row r="281">
      <c r="A281" s="197" t="n"/>
      <c r="B281" s="198" t="n"/>
      <c r="C281" s="198" t="n"/>
      <c r="D281" s="195">
        <f>IF(K281="","",INDEX('差動モデル'!$R:$R,K281))</f>
        <v/>
      </c>
      <c r="E281" s="195">
        <f>IF(K281="","",INDEX('差動モデル'!$S:$S,K281))</f>
        <v/>
      </c>
      <c r="F281" s="195">
        <f>IF(OR(A281="",B281=""),"",100*(D281-B281)/MAX(B281,1E-12))</f>
        <v/>
      </c>
      <c r="G281" s="195">
        <f>IF(OR(A281="",C281=""),"",E281-C281)</f>
        <v/>
      </c>
      <c r="H281" s="195">
        <f>IF(A281="","",LOG10(A281))</f>
        <v/>
      </c>
      <c r="I281" s="195">
        <f>IF(B281="","",LOG10(MAX(B281,1E-12)))</f>
        <v/>
      </c>
      <c r="J281" s="195">
        <f>IF(D281="","",LOG10(MAX(D281,1E-12)))</f>
        <v/>
      </c>
      <c r="K281">
        <f>IF(A281="","",ROUND(1+(LOG10(A281)-LOG10('入力・概要'!$B$38))*('入力・概要'!$B$40-1)/(LOG10('入力・概要'!$B$39)-LOG10('入力・概要'!$B$38)),0)+3)</f>
        <v/>
      </c>
      <c r="L281">
        <f>IF(K281="","",INDEX('差動モデル'!$B:$B,K281))</f>
        <v/>
      </c>
      <c r="M281">
        <f>IF(A281="","",IF(ABS(L281/A281-1)&lt;0.01,"周波数差&lt;1%","周波数差あり"))</f>
        <v/>
      </c>
    </row>
    <row r="282">
      <c r="A282" s="197" t="n"/>
      <c r="B282" s="198" t="n"/>
      <c r="C282" s="198" t="n"/>
      <c r="D282" s="195">
        <f>IF(K282="","",INDEX('差動モデル'!$R:$R,K282))</f>
        <v/>
      </c>
      <c r="E282" s="195">
        <f>IF(K282="","",INDEX('差動モデル'!$S:$S,K282))</f>
        <v/>
      </c>
      <c r="F282" s="195">
        <f>IF(OR(A282="",B282=""),"",100*(D282-B282)/MAX(B282,1E-12))</f>
        <v/>
      </c>
      <c r="G282" s="195">
        <f>IF(OR(A282="",C282=""),"",E282-C282)</f>
        <v/>
      </c>
      <c r="H282" s="195">
        <f>IF(A282="","",LOG10(A282))</f>
        <v/>
      </c>
      <c r="I282" s="195">
        <f>IF(B282="","",LOG10(MAX(B282,1E-12)))</f>
        <v/>
      </c>
      <c r="J282" s="195">
        <f>IF(D282="","",LOG10(MAX(D282,1E-12)))</f>
        <v/>
      </c>
      <c r="K282">
        <f>IF(A282="","",ROUND(1+(LOG10(A282)-LOG10('入力・概要'!$B$38))*('入力・概要'!$B$40-1)/(LOG10('入力・概要'!$B$39)-LOG10('入力・概要'!$B$38)),0)+3)</f>
        <v/>
      </c>
      <c r="L282">
        <f>IF(K282="","",INDEX('差動モデル'!$B:$B,K282))</f>
        <v/>
      </c>
      <c r="M282">
        <f>IF(A282="","",IF(ABS(L282/A282-1)&lt;0.01,"周波数差&lt;1%","周波数差あり"))</f>
        <v/>
      </c>
    </row>
    <row r="283">
      <c r="A283" s="197" t="n"/>
      <c r="B283" s="198" t="n"/>
      <c r="C283" s="198" t="n"/>
      <c r="D283" s="195">
        <f>IF(K283="","",INDEX('差動モデル'!$R:$R,K283))</f>
        <v/>
      </c>
      <c r="E283" s="195">
        <f>IF(K283="","",INDEX('差動モデル'!$S:$S,K283))</f>
        <v/>
      </c>
      <c r="F283" s="195">
        <f>IF(OR(A283="",B283=""),"",100*(D283-B283)/MAX(B283,1E-12))</f>
        <v/>
      </c>
      <c r="G283" s="195">
        <f>IF(OR(A283="",C283=""),"",E283-C283)</f>
        <v/>
      </c>
      <c r="H283" s="195">
        <f>IF(A283="","",LOG10(A283))</f>
        <v/>
      </c>
      <c r="I283" s="195">
        <f>IF(B283="","",LOG10(MAX(B283,1E-12)))</f>
        <v/>
      </c>
      <c r="J283" s="195">
        <f>IF(D283="","",LOG10(MAX(D283,1E-12)))</f>
        <v/>
      </c>
      <c r="K283">
        <f>IF(A283="","",ROUND(1+(LOG10(A283)-LOG10('入力・概要'!$B$38))*('入力・概要'!$B$40-1)/(LOG10('入力・概要'!$B$39)-LOG10('入力・概要'!$B$38)),0)+3)</f>
        <v/>
      </c>
      <c r="L283">
        <f>IF(K283="","",INDEX('差動モデル'!$B:$B,K283))</f>
        <v/>
      </c>
      <c r="M283">
        <f>IF(A283="","",IF(ABS(L283/A283-1)&lt;0.01,"周波数差&lt;1%","周波数差あり"))</f>
        <v/>
      </c>
    </row>
    <row r="284">
      <c r="A284" s="197" t="n"/>
      <c r="B284" s="198" t="n"/>
      <c r="C284" s="198" t="n"/>
      <c r="D284" s="195">
        <f>IF(K284="","",INDEX('差動モデル'!$R:$R,K284))</f>
        <v/>
      </c>
      <c r="E284" s="195">
        <f>IF(K284="","",INDEX('差動モデル'!$S:$S,K284))</f>
        <v/>
      </c>
      <c r="F284" s="195">
        <f>IF(OR(A284="",B284=""),"",100*(D284-B284)/MAX(B284,1E-12))</f>
        <v/>
      </c>
      <c r="G284" s="195">
        <f>IF(OR(A284="",C284=""),"",E284-C284)</f>
        <v/>
      </c>
      <c r="H284" s="195">
        <f>IF(A284="","",LOG10(A284))</f>
        <v/>
      </c>
      <c r="I284" s="195">
        <f>IF(B284="","",LOG10(MAX(B284,1E-12)))</f>
        <v/>
      </c>
      <c r="J284" s="195">
        <f>IF(D284="","",LOG10(MAX(D284,1E-12)))</f>
        <v/>
      </c>
      <c r="K284">
        <f>IF(A284="","",ROUND(1+(LOG10(A284)-LOG10('入力・概要'!$B$38))*('入力・概要'!$B$40-1)/(LOG10('入力・概要'!$B$39)-LOG10('入力・概要'!$B$38)),0)+3)</f>
        <v/>
      </c>
      <c r="L284">
        <f>IF(K284="","",INDEX('差動モデル'!$B:$B,K284))</f>
        <v/>
      </c>
      <c r="M284">
        <f>IF(A284="","",IF(ABS(L284/A284-1)&lt;0.01,"周波数差&lt;1%","周波数差あり"))</f>
        <v/>
      </c>
    </row>
    <row r="285">
      <c r="A285" s="197" t="n"/>
      <c r="B285" s="198" t="n"/>
      <c r="C285" s="198" t="n"/>
      <c r="D285" s="195">
        <f>IF(K285="","",INDEX('差動モデル'!$R:$R,K285))</f>
        <v/>
      </c>
      <c r="E285" s="195">
        <f>IF(K285="","",INDEX('差動モデル'!$S:$S,K285))</f>
        <v/>
      </c>
      <c r="F285" s="195">
        <f>IF(OR(A285="",B285=""),"",100*(D285-B285)/MAX(B285,1E-12))</f>
        <v/>
      </c>
      <c r="G285" s="195">
        <f>IF(OR(A285="",C285=""),"",E285-C285)</f>
        <v/>
      </c>
      <c r="H285" s="195">
        <f>IF(A285="","",LOG10(A285))</f>
        <v/>
      </c>
      <c r="I285" s="195">
        <f>IF(B285="","",LOG10(MAX(B285,1E-12)))</f>
        <v/>
      </c>
      <c r="J285" s="195">
        <f>IF(D285="","",LOG10(MAX(D285,1E-12)))</f>
        <v/>
      </c>
      <c r="K285">
        <f>IF(A285="","",ROUND(1+(LOG10(A285)-LOG10('入力・概要'!$B$38))*('入力・概要'!$B$40-1)/(LOG10('入力・概要'!$B$39)-LOG10('入力・概要'!$B$38)),0)+3)</f>
        <v/>
      </c>
      <c r="L285">
        <f>IF(K285="","",INDEX('差動モデル'!$B:$B,K285))</f>
        <v/>
      </c>
      <c r="M285">
        <f>IF(A285="","",IF(ABS(L285/A285-1)&lt;0.01,"周波数差&lt;1%","周波数差あり"))</f>
        <v/>
      </c>
    </row>
    <row r="286">
      <c r="A286" s="197" t="n"/>
      <c r="B286" s="198" t="n"/>
      <c r="C286" s="198" t="n"/>
      <c r="D286" s="195">
        <f>IF(K286="","",INDEX('差動モデル'!$R:$R,K286))</f>
        <v/>
      </c>
      <c r="E286" s="195">
        <f>IF(K286="","",INDEX('差動モデル'!$S:$S,K286))</f>
        <v/>
      </c>
      <c r="F286" s="195">
        <f>IF(OR(A286="",B286=""),"",100*(D286-B286)/MAX(B286,1E-12))</f>
        <v/>
      </c>
      <c r="G286" s="195">
        <f>IF(OR(A286="",C286=""),"",E286-C286)</f>
        <v/>
      </c>
      <c r="H286" s="195">
        <f>IF(A286="","",LOG10(A286))</f>
        <v/>
      </c>
      <c r="I286" s="195">
        <f>IF(B286="","",LOG10(MAX(B286,1E-12)))</f>
        <v/>
      </c>
      <c r="J286" s="195">
        <f>IF(D286="","",LOG10(MAX(D286,1E-12)))</f>
        <v/>
      </c>
      <c r="K286">
        <f>IF(A286="","",ROUND(1+(LOG10(A286)-LOG10('入力・概要'!$B$38))*('入力・概要'!$B$40-1)/(LOG10('入力・概要'!$B$39)-LOG10('入力・概要'!$B$38)),0)+3)</f>
        <v/>
      </c>
      <c r="L286">
        <f>IF(K286="","",INDEX('差動モデル'!$B:$B,K286))</f>
        <v/>
      </c>
      <c r="M286">
        <f>IF(A286="","",IF(ABS(L286/A286-1)&lt;0.01,"周波数差&lt;1%","周波数差あり"))</f>
        <v/>
      </c>
    </row>
    <row r="287">
      <c r="A287" s="197" t="n"/>
      <c r="B287" s="198" t="n"/>
      <c r="C287" s="198" t="n"/>
      <c r="D287" s="195">
        <f>IF(K287="","",INDEX('差動モデル'!$R:$R,K287))</f>
        <v/>
      </c>
      <c r="E287" s="195">
        <f>IF(K287="","",INDEX('差動モデル'!$S:$S,K287))</f>
        <v/>
      </c>
      <c r="F287" s="195">
        <f>IF(OR(A287="",B287=""),"",100*(D287-B287)/MAX(B287,1E-12))</f>
        <v/>
      </c>
      <c r="G287" s="195">
        <f>IF(OR(A287="",C287=""),"",E287-C287)</f>
        <v/>
      </c>
      <c r="H287" s="195">
        <f>IF(A287="","",LOG10(A287))</f>
        <v/>
      </c>
      <c r="I287" s="195">
        <f>IF(B287="","",LOG10(MAX(B287,1E-12)))</f>
        <v/>
      </c>
      <c r="J287" s="195">
        <f>IF(D287="","",LOG10(MAX(D287,1E-12)))</f>
        <v/>
      </c>
      <c r="K287">
        <f>IF(A287="","",ROUND(1+(LOG10(A287)-LOG10('入力・概要'!$B$38))*('入力・概要'!$B$40-1)/(LOG10('入力・概要'!$B$39)-LOG10('入力・概要'!$B$38)),0)+3)</f>
        <v/>
      </c>
      <c r="L287">
        <f>IF(K287="","",INDEX('差動モデル'!$B:$B,K287))</f>
        <v/>
      </c>
      <c r="M287">
        <f>IF(A287="","",IF(ABS(L287/A287-1)&lt;0.01,"周波数差&lt;1%","周波数差あり"))</f>
        <v/>
      </c>
    </row>
    <row r="288">
      <c r="A288" s="197" t="n"/>
      <c r="B288" s="198" t="n"/>
      <c r="C288" s="198" t="n"/>
      <c r="D288" s="195">
        <f>IF(K288="","",INDEX('差動モデル'!$R:$R,K288))</f>
        <v/>
      </c>
      <c r="E288" s="195">
        <f>IF(K288="","",INDEX('差動モデル'!$S:$S,K288))</f>
        <v/>
      </c>
      <c r="F288" s="195">
        <f>IF(OR(A288="",B288=""),"",100*(D288-B288)/MAX(B288,1E-12))</f>
        <v/>
      </c>
      <c r="G288" s="195">
        <f>IF(OR(A288="",C288=""),"",E288-C288)</f>
        <v/>
      </c>
      <c r="H288" s="195">
        <f>IF(A288="","",LOG10(A288))</f>
        <v/>
      </c>
      <c r="I288" s="195">
        <f>IF(B288="","",LOG10(MAX(B288,1E-12)))</f>
        <v/>
      </c>
      <c r="J288" s="195">
        <f>IF(D288="","",LOG10(MAX(D288,1E-12)))</f>
        <v/>
      </c>
      <c r="K288">
        <f>IF(A288="","",ROUND(1+(LOG10(A288)-LOG10('入力・概要'!$B$38))*('入力・概要'!$B$40-1)/(LOG10('入力・概要'!$B$39)-LOG10('入力・概要'!$B$38)),0)+3)</f>
        <v/>
      </c>
      <c r="L288">
        <f>IF(K288="","",INDEX('差動モデル'!$B:$B,K288))</f>
        <v/>
      </c>
      <c r="M288">
        <f>IF(A288="","",IF(ABS(L288/A288-1)&lt;0.01,"周波数差&lt;1%","周波数差あり"))</f>
        <v/>
      </c>
    </row>
    <row r="289">
      <c r="A289" s="197" t="n"/>
      <c r="B289" s="198" t="n"/>
      <c r="C289" s="198" t="n"/>
      <c r="D289" s="195">
        <f>IF(K289="","",INDEX('差動モデル'!$R:$R,K289))</f>
        <v/>
      </c>
      <c r="E289" s="195">
        <f>IF(K289="","",INDEX('差動モデル'!$S:$S,K289))</f>
        <v/>
      </c>
      <c r="F289" s="195">
        <f>IF(OR(A289="",B289=""),"",100*(D289-B289)/MAX(B289,1E-12))</f>
        <v/>
      </c>
      <c r="G289" s="195">
        <f>IF(OR(A289="",C289=""),"",E289-C289)</f>
        <v/>
      </c>
      <c r="H289" s="195">
        <f>IF(A289="","",LOG10(A289))</f>
        <v/>
      </c>
      <c r="I289" s="195">
        <f>IF(B289="","",LOG10(MAX(B289,1E-12)))</f>
        <v/>
      </c>
      <c r="J289" s="195">
        <f>IF(D289="","",LOG10(MAX(D289,1E-12)))</f>
        <v/>
      </c>
      <c r="K289">
        <f>IF(A289="","",ROUND(1+(LOG10(A289)-LOG10('入力・概要'!$B$38))*('入力・概要'!$B$40-1)/(LOG10('入力・概要'!$B$39)-LOG10('入力・概要'!$B$38)),0)+3)</f>
        <v/>
      </c>
      <c r="L289">
        <f>IF(K289="","",INDEX('差動モデル'!$B:$B,K289))</f>
        <v/>
      </c>
      <c r="M289">
        <f>IF(A289="","",IF(ABS(L289/A289-1)&lt;0.01,"周波数差&lt;1%","周波数差あり"))</f>
        <v/>
      </c>
    </row>
    <row r="290">
      <c r="A290" s="197" t="n"/>
      <c r="B290" s="198" t="n"/>
      <c r="C290" s="198" t="n"/>
      <c r="D290" s="195">
        <f>IF(K290="","",INDEX('差動モデル'!$R:$R,K290))</f>
        <v/>
      </c>
      <c r="E290" s="195">
        <f>IF(K290="","",INDEX('差動モデル'!$S:$S,K290))</f>
        <v/>
      </c>
      <c r="F290" s="195">
        <f>IF(OR(A290="",B290=""),"",100*(D290-B290)/MAX(B290,1E-12))</f>
        <v/>
      </c>
      <c r="G290" s="195">
        <f>IF(OR(A290="",C290=""),"",E290-C290)</f>
        <v/>
      </c>
      <c r="H290" s="195">
        <f>IF(A290="","",LOG10(A290))</f>
        <v/>
      </c>
      <c r="I290" s="195">
        <f>IF(B290="","",LOG10(MAX(B290,1E-12)))</f>
        <v/>
      </c>
      <c r="J290" s="195">
        <f>IF(D290="","",LOG10(MAX(D290,1E-12)))</f>
        <v/>
      </c>
      <c r="K290">
        <f>IF(A290="","",ROUND(1+(LOG10(A290)-LOG10('入力・概要'!$B$38))*('入力・概要'!$B$40-1)/(LOG10('入力・概要'!$B$39)-LOG10('入力・概要'!$B$38)),0)+3)</f>
        <v/>
      </c>
      <c r="L290">
        <f>IF(K290="","",INDEX('差動モデル'!$B:$B,K290))</f>
        <v/>
      </c>
      <c r="M290">
        <f>IF(A290="","",IF(ABS(L290/A290-1)&lt;0.01,"周波数差&lt;1%","周波数差あり"))</f>
        <v/>
      </c>
    </row>
    <row r="291">
      <c r="A291" s="197" t="n"/>
      <c r="B291" s="198" t="n"/>
      <c r="C291" s="198" t="n"/>
      <c r="D291" s="195">
        <f>IF(K291="","",INDEX('差動モデル'!$R:$R,K291))</f>
        <v/>
      </c>
      <c r="E291" s="195">
        <f>IF(K291="","",INDEX('差動モデル'!$S:$S,K291))</f>
        <v/>
      </c>
      <c r="F291" s="195">
        <f>IF(OR(A291="",B291=""),"",100*(D291-B291)/MAX(B291,1E-12))</f>
        <v/>
      </c>
      <c r="G291" s="195">
        <f>IF(OR(A291="",C291=""),"",E291-C291)</f>
        <v/>
      </c>
      <c r="H291" s="195">
        <f>IF(A291="","",LOG10(A291))</f>
        <v/>
      </c>
      <c r="I291" s="195">
        <f>IF(B291="","",LOG10(MAX(B291,1E-12)))</f>
        <v/>
      </c>
      <c r="J291" s="195">
        <f>IF(D291="","",LOG10(MAX(D291,1E-12)))</f>
        <v/>
      </c>
      <c r="K291">
        <f>IF(A291="","",ROUND(1+(LOG10(A291)-LOG10('入力・概要'!$B$38))*('入力・概要'!$B$40-1)/(LOG10('入力・概要'!$B$39)-LOG10('入力・概要'!$B$38)),0)+3)</f>
        <v/>
      </c>
      <c r="L291">
        <f>IF(K291="","",INDEX('差動モデル'!$B:$B,K291))</f>
        <v/>
      </c>
      <c r="M291">
        <f>IF(A291="","",IF(ABS(L291/A291-1)&lt;0.01,"周波数差&lt;1%","周波数差あり"))</f>
        <v/>
      </c>
    </row>
    <row r="292">
      <c r="A292" s="197" t="n"/>
      <c r="B292" s="198" t="n"/>
      <c r="C292" s="198" t="n"/>
      <c r="D292" s="195">
        <f>IF(K292="","",INDEX('差動モデル'!$R:$R,K292))</f>
        <v/>
      </c>
      <c r="E292" s="195">
        <f>IF(K292="","",INDEX('差動モデル'!$S:$S,K292))</f>
        <v/>
      </c>
      <c r="F292" s="195">
        <f>IF(OR(A292="",B292=""),"",100*(D292-B292)/MAX(B292,1E-12))</f>
        <v/>
      </c>
      <c r="G292" s="195">
        <f>IF(OR(A292="",C292=""),"",E292-C292)</f>
        <v/>
      </c>
      <c r="H292" s="195">
        <f>IF(A292="","",LOG10(A292))</f>
        <v/>
      </c>
      <c r="I292" s="195">
        <f>IF(B292="","",LOG10(MAX(B292,1E-12)))</f>
        <v/>
      </c>
      <c r="J292" s="195">
        <f>IF(D292="","",LOG10(MAX(D292,1E-12)))</f>
        <v/>
      </c>
      <c r="K292">
        <f>IF(A292="","",ROUND(1+(LOG10(A292)-LOG10('入力・概要'!$B$38))*('入力・概要'!$B$40-1)/(LOG10('入力・概要'!$B$39)-LOG10('入力・概要'!$B$38)),0)+3)</f>
        <v/>
      </c>
      <c r="L292">
        <f>IF(K292="","",INDEX('差動モデル'!$B:$B,K292))</f>
        <v/>
      </c>
      <c r="M292">
        <f>IF(A292="","",IF(ABS(L292/A292-1)&lt;0.01,"周波数差&lt;1%","周波数差あり"))</f>
        <v/>
      </c>
    </row>
    <row r="293">
      <c r="A293" s="197" t="n"/>
      <c r="B293" s="198" t="n"/>
      <c r="C293" s="198" t="n"/>
      <c r="D293" s="195">
        <f>IF(K293="","",INDEX('差動モデル'!$R:$R,K293))</f>
        <v/>
      </c>
      <c r="E293" s="195">
        <f>IF(K293="","",INDEX('差動モデル'!$S:$S,K293))</f>
        <v/>
      </c>
      <c r="F293" s="195">
        <f>IF(OR(A293="",B293=""),"",100*(D293-B293)/MAX(B293,1E-12))</f>
        <v/>
      </c>
      <c r="G293" s="195">
        <f>IF(OR(A293="",C293=""),"",E293-C293)</f>
        <v/>
      </c>
      <c r="H293" s="195">
        <f>IF(A293="","",LOG10(A293))</f>
        <v/>
      </c>
      <c r="I293" s="195">
        <f>IF(B293="","",LOG10(MAX(B293,1E-12)))</f>
        <v/>
      </c>
      <c r="J293" s="195">
        <f>IF(D293="","",LOG10(MAX(D293,1E-12)))</f>
        <v/>
      </c>
      <c r="K293">
        <f>IF(A293="","",ROUND(1+(LOG10(A293)-LOG10('入力・概要'!$B$38))*('入力・概要'!$B$40-1)/(LOG10('入力・概要'!$B$39)-LOG10('入力・概要'!$B$38)),0)+3)</f>
        <v/>
      </c>
      <c r="L293">
        <f>IF(K293="","",INDEX('差動モデル'!$B:$B,K293))</f>
        <v/>
      </c>
      <c r="M293">
        <f>IF(A293="","",IF(ABS(L293/A293-1)&lt;0.01,"周波数差&lt;1%","周波数差あり"))</f>
        <v/>
      </c>
    </row>
    <row r="294">
      <c r="A294" s="197" t="n"/>
      <c r="B294" s="198" t="n"/>
      <c r="C294" s="198" t="n"/>
      <c r="D294" s="195">
        <f>IF(K294="","",INDEX('差動モデル'!$R:$R,K294))</f>
        <v/>
      </c>
      <c r="E294" s="195">
        <f>IF(K294="","",INDEX('差動モデル'!$S:$S,K294))</f>
        <v/>
      </c>
      <c r="F294" s="195">
        <f>IF(OR(A294="",B294=""),"",100*(D294-B294)/MAX(B294,1E-12))</f>
        <v/>
      </c>
      <c r="G294" s="195">
        <f>IF(OR(A294="",C294=""),"",E294-C294)</f>
        <v/>
      </c>
      <c r="H294" s="195">
        <f>IF(A294="","",LOG10(A294))</f>
        <v/>
      </c>
      <c r="I294" s="195">
        <f>IF(B294="","",LOG10(MAX(B294,1E-12)))</f>
        <v/>
      </c>
      <c r="J294" s="195">
        <f>IF(D294="","",LOG10(MAX(D294,1E-12)))</f>
        <v/>
      </c>
      <c r="K294">
        <f>IF(A294="","",ROUND(1+(LOG10(A294)-LOG10('入力・概要'!$B$38))*('入力・概要'!$B$40-1)/(LOG10('入力・概要'!$B$39)-LOG10('入力・概要'!$B$38)),0)+3)</f>
        <v/>
      </c>
      <c r="L294">
        <f>IF(K294="","",INDEX('差動モデル'!$B:$B,K294))</f>
        <v/>
      </c>
      <c r="M294">
        <f>IF(A294="","",IF(ABS(L294/A294-1)&lt;0.01,"周波数差&lt;1%","周波数差あり"))</f>
        <v/>
      </c>
    </row>
    <row r="295">
      <c r="A295" s="197" t="n"/>
      <c r="B295" s="198" t="n"/>
      <c r="C295" s="198" t="n"/>
      <c r="D295" s="195">
        <f>IF(K295="","",INDEX('差動モデル'!$R:$R,K295))</f>
        <v/>
      </c>
      <c r="E295" s="195">
        <f>IF(K295="","",INDEX('差動モデル'!$S:$S,K295))</f>
        <v/>
      </c>
      <c r="F295" s="195">
        <f>IF(OR(A295="",B295=""),"",100*(D295-B295)/MAX(B295,1E-12))</f>
        <v/>
      </c>
      <c r="G295" s="195">
        <f>IF(OR(A295="",C295=""),"",E295-C295)</f>
        <v/>
      </c>
      <c r="H295" s="195">
        <f>IF(A295="","",LOG10(A295))</f>
        <v/>
      </c>
      <c r="I295" s="195">
        <f>IF(B295="","",LOG10(MAX(B295,1E-12)))</f>
        <v/>
      </c>
      <c r="J295" s="195">
        <f>IF(D295="","",LOG10(MAX(D295,1E-12)))</f>
        <v/>
      </c>
      <c r="K295">
        <f>IF(A295="","",ROUND(1+(LOG10(A295)-LOG10('入力・概要'!$B$38))*('入力・概要'!$B$40-1)/(LOG10('入力・概要'!$B$39)-LOG10('入力・概要'!$B$38)),0)+3)</f>
        <v/>
      </c>
      <c r="L295">
        <f>IF(K295="","",INDEX('差動モデル'!$B:$B,K295))</f>
        <v/>
      </c>
      <c r="M295">
        <f>IF(A295="","",IF(ABS(L295/A295-1)&lt;0.01,"周波数差&lt;1%","周波数差あり"))</f>
        <v/>
      </c>
    </row>
    <row r="296">
      <c r="A296" s="197" t="n"/>
      <c r="B296" s="198" t="n"/>
      <c r="C296" s="198" t="n"/>
      <c r="D296" s="195">
        <f>IF(K296="","",INDEX('差動モデル'!$R:$R,K296))</f>
        <v/>
      </c>
      <c r="E296" s="195">
        <f>IF(K296="","",INDEX('差動モデル'!$S:$S,K296))</f>
        <v/>
      </c>
      <c r="F296" s="195">
        <f>IF(OR(A296="",B296=""),"",100*(D296-B296)/MAX(B296,1E-12))</f>
        <v/>
      </c>
      <c r="G296" s="195">
        <f>IF(OR(A296="",C296=""),"",E296-C296)</f>
        <v/>
      </c>
      <c r="H296" s="195">
        <f>IF(A296="","",LOG10(A296))</f>
        <v/>
      </c>
      <c r="I296" s="195">
        <f>IF(B296="","",LOG10(MAX(B296,1E-12)))</f>
        <v/>
      </c>
      <c r="J296" s="195">
        <f>IF(D296="","",LOG10(MAX(D296,1E-12)))</f>
        <v/>
      </c>
      <c r="K296">
        <f>IF(A296="","",ROUND(1+(LOG10(A296)-LOG10('入力・概要'!$B$38))*('入力・概要'!$B$40-1)/(LOG10('入力・概要'!$B$39)-LOG10('入力・概要'!$B$38)),0)+3)</f>
        <v/>
      </c>
      <c r="L296">
        <f>IF(K296="","",INDEX('差動モデル'!$B:$B,K296))</f>
        <v/>
      </c>
      <c r="M296">
        <f>IF(A296="","",IF(ABS(L296/A296-1)&lt;0.01,"周波数差&lt;1%","周波数差あり"))</f>
        <v/>
      </c>
    </row>
    <row r="297">
      <c r="A297" s="197" t="n"/>
      <c r="B297" s="198" t="n"/>
      <c r="C297" s="198" t="n"/>
      <c r="D297" s="195">
        <f>IF(K297="","",INDEX('差動モデル'!$R:$R,K297))</f>
        <v/>
      </c>
      <c r="E297" s="195">
        <f>IF(K297="","",INDEX('差動モデル'!$S:$S,K297))</f>
        <v/>
      </c>
      <c r="F297" s="195">
        <f>IF(OR(A297="",B297=""),"",100*(D297-B297)/MAX(B297,1E-12))</f>
        <v/>
      </c>
      <c r="G297" s="195">
        <f>IF(OR(A297="",C297=""),"",E297-C297)</f>
        <v/>
      </c>
      <c r="H297" s="195">
        <f>IF(A297="","",LOG10(A297))</f>
        <v/>
      </c>
      <c r="I297" s="195">
        <f>IF(B297="","",LOG10(MAX(B297,1E-12)))</f>
        <v/>
      </c>
      <c r="J297" s="195">
        <f>IF(D297="","",LOG10(MAX(D297,1E-12)))</f>
        <v/>
      </c>
      <c r="K297">
        <f>IF(A297="","",ROUND(1+(LOG10(A297)-LOG10('入力・概要'!$B$38))*('入力・概要'!$B$40-1)/(LOG10('入力・概要'!$B$39)-LOG10('入力・概要'!$B$38)),0)+3)</f>
        <v/>
      </c>
      <c r="L297">
        <f>IF(K297="","",INDEX('差動モデル'!$B:$B,K297))</f>
        <v/>
      </c>
      <c r="M297">
        <f>IF(A297="","",IF(ABS(L297/A297-1)&lt;0.01,"周波数差&lt;1%","周波数差あり"))</f>
        <v/>
      </c>
    </row>
    <row r="298">
      <c r="A298" s="197" t="n"/>
      <c r="B298" s="198" t="n"/>
      <c r="C298" s="198" t="n"/>
      <c r="D298" s="195">
        <f>IF(K298="","",INDEX('差動モデル'!$R:$R,K298))</f>
        <v/>
      </c>
      <c r="E298" s="195">
        <f>IF(K298="","",INDEX('差動モデル'!$S:$S,K298))</f>
        <v/>
      </c>
      <c r="F298" s="195">
        <f>IF(OR(A298="",B298=""),"",100*(D298-B298)/MAX(B298,1E-12))</f>
        <v/>
      </c>
      <c r="G298" s="195">
        <f>IF(OR(A298="",C298=""),"",E298-C298)</f>
        <v/>
      </c>
      <c r="H298" s="195">
        <f>IF(A298="","",LOG10(A298))</f>
        <v/>
      </c>
      <c r="I298" s="195">
        <f>IF(B298="","",LOG10(MAX(B298,1E-12)))</f>
        <v/>
      </c>
      <c r="J298" s="195">
        <f>IF(D298="","",LOG10(MAX(D298,1E-12)))</f>
        <v/>
      </c>
      <c r="K298">
        <f>IF(A298="","",ROUND(1+(LOG10(A298)-LOG10('入力・概要'!$B$38))*('入力・概要'!$B$40-1)/(LOG10('入力・概要'!$B$39)-LOG10('入力・概要'!$B$38)),0)+3)</f>
        <v/>
      </c>
      <c r="L298">
        <f>IF(K298="","",INDEX('差動モデル'!$B:$B,K298))</f>
        <v/>
      </c>
      <c r="M298">
        <f>IF(A298="","",IF(ABS(L298/A298-1)&lt;0.01,"周波数差&lt;1%","周波数差あり"))</f>
        <v/>
      </c>
    </row>
    <row r="299">
      <c r="A299" s="197" t="n"/>
      <c r="B299" s="198" t="n"/>
      <c r="C299" s="198" t="n"/>
      <c r="D299" s="195">
        <f>IF(K299="","",INDEX('差動モデル'!$R:$R,K299))</f>
        <v/>
      </c>
      <c r="E299" s="195">
        <f>IF(K299="","",INDEX('差動モデル'!$S:$S,K299))</f>
        <v/>
      </c>
      <c r="F299" s="195">
        <f>IF(OR(A299="",B299=""),"",100*(D299-B299)/MAX(B299,1E-12))</f>
        <v/>
      </c>
      <c r="G299" s="195">
        <f>IF(OR(A299="",C299=""),"",E299-C299)</f>
        <v/>
      </c>
      <c r="H299" s="195">
        <f>IF(A299="","",LOG10(A299))</f>
        <v/>
      </c>
      <c r="I299" s="195">
        <f>IF(B299="","",LOG10(MAX(B299,1E-12)))</f>
        <v/>
      </c>
      <c r="J299" s="195">
        <f>IF(D299="","",LOG10(MAX(D299,1E-12)))</f>
        <v/>
      </c>
      <c r="K299">
        <f>IF(A299="","",ROUND(1+(LOG10(A299)-LOG10('入力・概要'!$B$38))*('入力・概要'!$B$40-1)/(LOG10('入力・概要'!$B$39)-LOG10('入力・概要'!$B$38)),0)+3)</f>
        <v/>
      </c>
      <c r="L299">
        <f>IF(K299="","",INDEX('差動モデル'!$B:$B,K299))</f>
        <v/>
      </c>
      <c r="M299">
        <f>IF(A299="","",IF(ABS(L299/A299-1)&lt;0.01,"周波数差&lt;1%","周波数差あり"))</f>
        <v/>
      </c>
    </row>
    <row r="300">
      <c r="A300" s="197" t="n"/>
      <c r="B300" s="198" t="n"/>
      <c r="C300" s="198" t="n"/>
      <c r="D300" s="195">
        <f>IF(K300="","",INDEX('差動モデル'!$R:$R,K300))</f>
        <v/>
      </c>
      <c r="E300" s="195">
        <f>IF(K300="","",INDEX('差動モデル'!$S:$S,K300))</f>
        <v/>
      </c>
      <c r="F300" s="195">
        <f>IF(OR(A300="",B300=""),"",100*(D300-B300)/MAX(B300,1E-12))</f>
        <v/>
      </c>
      <c r="G300" s="195">
        <f>IF(OR(A300="",C300=""),"",E300-C300)</f>
        <v/>
      </c>
      <c r="H300" s="195">
        <f>IF(A300="","",LOG10(A300))</f>
        <v/>
      </c>
      <c r="I300" s="195">
        <f>IF(B300="","",LOG10(MAX(B300,1E-12)))</f>
        <v/>
      </c>
      <c r="J300" s="195">
        <f>IF(D300="","",LOG10(MAX(D300,1E-12)))</f>
        <v/>
      </c>
      <c r="K300">
        <f>IF(A300="","",ROUND(1+(LOG10(A300)-LOG10('入力・概要'!$B$38))*('入力・概要'!$B$40-1)/(LOG10('入力・概要'!$B$39)-LOG10('入力・概要'!$B$38)),0)+3)</f>
        <v/>
      </c>
      <c r="L300">
        <f>IF(K300="","",INDEX('差動モデル'!$B:$B,K300))</f>
        <v/>
      </c>
      <c r="M300">
        <f>IF(A300="","",IF(ABS(L300/A300-1)&lt;0.01,"周波数差&lt;1%","周波数差あり"))</f>
        <v/>
      </c>
    </row>
    <row r="301">
      <c r="A301" s="197" t="n"/>
      <c r="B301" s="198" t="n"/>
      <c r="C301" s="198" t="n"/>
      <c r="D301" s="195">
        <f>IF(K301="","",INDEX('差動モデル'!$R:$R,K301))</f>
        <v/>
      </c>
      <c r="E301" s="195">
        <f>IF(K301="","",INDEX('差動モデル'!$S:$S,K301))</f>
        <v/>
      </c>
      <c r="F301" s="195">
        <f>IF(OR(A301="",B301=""),"",100*(D301-B301)/MAX(B301,1E-12))</f>
        <v/>
      </c>
      <c r="G301" s="195">
        <f>IF(OR(A301="",C301=""),"",E301-C301)</f>
        <v/>
      </c>
      <c r="H301" s="195">
        <f>IF(A301="","",LOG10(A301))</f>
        <v/>
      </c>
      <c r="I301" s="195">
        <f>IF(B301="","",LOG10(MAX(B301,1E-12)))</f>
        <v/>
      </c>
      <c r="J301" s="195">
        <f>IF(D301="","",LOG10(MAX(D301,1E-12)))</f>
        <v/>
      </c>
      <c r="K301">
        <f>IF(A301="","",ROUND(1+(LOG10(A301)-LOG10('入力・概要'!$B$38))*('入力・概要'!$B$40-1)/(LOG10('入力・概要'!$B$39)-LOG10('入力・概要'!$B$38)),0)+3)</f>
        <v/>
      </c>
      <c r="L301">
        <f>IF(K301="","",INDEX('差動モデル'!$B:$B,K301))</f>
        <v/>
      </c>
      <c r="M301">
        <f>IF(A301="","",IF(ABS(L301/A301-1)&lt;0.01,"周波数差&lt;1%","周波数差あり"))</f>
        <v/>
      </c>
    </row>
    <row r="302">
      <c r="A302" s="197" t="n"/>
      <c r="B302" s="198" t="n"/>
      <c r="C302" s="198" t="n"/>
      <c r="D302" s="195">
        <f>IF(K302="","",INDEX('差動モデル'!$R:$R,K302))</f>
        <v/>
      </c>
      <c r="E302" s="195">
        <f>IF(K302="","",INDEX('差動モデル'!$S:$S,K302))</f>
        <v/>
      </c>
      <c r="F302" s="195">
        <f>IF(OR(A302="",B302=""),"",100*(D302-B302)/MAX(B302,1E-12))</f>
        <v/>
      </c>
      <c r="G302" s="195">
        <f>IF(OR(A302="",C302=""),"",E302-C302)</f>
        <v/>
      </c>
      <c r="H302" s="195">
        <f>IF(A302="","",LOG10(A302))</f>
        <v/>
      </c>
      <c r="I302" s="195">
        <f>IF(B302="","",LOG10(MAX(B302,1E-12)))</f>
        <v/>
      </c>
      <c r="J302" s="195">
        <f>IF(D302="","",LOG10(MAX(D302,1E-12)))</f>
        <v/>
      </c>
      <c r="K302">
        <f>IF(A302="","",ROUND(1+(LOG10(A302)-LOG10('入力・概要'!$B$38))*('入力・概要'!$B$40-1)/(LOG10('入力・概要'!$B$39)-LOG10('入力・概要'!$B$38)),0)+3)</f>
        <v/>
      </c>
      <c r="L302">
        <f>IF(K302="","",INDEX('差動モデル'!$B:$B,K302))</f>
        <v/>
      </c>
      <c r="M302">
        <f>IF(A302="","",IF(ABS(L302/A302-1)&lt;0.01,"周波数差&lt;1%","周波数差あり"))</f>
        <v/>
      </c>
    </row>
    <row r="303">
      <c r="A303" s="197" t="n"/>
      <c r="B303" s="198" t="n"/>
      <c r="C303" s="198" t="n"/>
      <c r="D303" s="195">
        <f>IF(K303="","",INDEX('差動モデル'!$R:$R,K303))</f>
        <v/>
      </c>
      <c r="E303" s="195">
        <f>IF(K303="","",INDEX('差動モデル'!$S:$S,K303))</f>
        <v/>
      </c>
      <c r="F303" s="195">
        <f>IF(OR(A303="",B303=""),"",100*(D303-B303)/MAX(B303,1E-12))</f>
        <v/>
      </c>
      <c r="G303" s="195">
        <f>IF(OR(A303="",C303=""),"",E303-C303)</f>
        <v/>
      </c>
      <c r="H303" s="195">
        <f>IF(A303="","",LOG10(A303))</f>
        <v/>
      </c>
      <c r="I303" s="195">
        <f>IF(B303="","",LOG10(MAX(B303,1E-12)))</f>
        <v/>
      </c>
      <c r="J303" s="195">
        <f>IF(D303="","",LOG10(MAX(D303,1E-12)))</f>
        <v/>
      </c>
      <c r="K303">
        <f>IF(A303="","",ROUND(1+(LOG10(A303)-LOG10('入力・概要'!$B$38))*('入力・概要'!$B$40-1)/(LOG10('入力・概要'!$B$39)-LOG10('入力・概要'!$B$38)),0)+3)</f>
        <v/>
      </c>
      <c r="L303">
        <f>IF(K303="","",INDEX('差動モデル'!$B:$B,K303))</f>
        <v/>
      </c>
      <c r="M303">
        <f>IF(A303="","",IF(ABS(L303/A303-1)&lt;0.01,"周波数差&lt;1%","周波数差あり"))</f>
        <v/>
      </c>
    </row>
    <row r="304">
      <c r="A304" s="197" t="n"/>
      <c r="B304" s="198" t="n"/>
      <c r="C304" s="198" t="n"/>
      <c r="D304" s="195">
        <f>IF(K304="","",INDEX('差動モデル'!$R:$R,K304))</f>
        <v/>
      </c>
      <c r="E304" s="195">
        <f>IF(K304="","",INDEX('差動モデル'!$S:$S,K304))</f>
        <v/>
      </c>
      <c r="F304" s="195">
        <f>IF(OR(A304="",B304=""),"",100*(D304-B304)/MAX(B304,1E-12))</f>
        <v/>
      </c>
      <c r="G304" s="195">
        <f>IF(OR(A304="",C304=""),"",E304-C304)</f>
        <v/>
      </c>
      <c r="H304" s="195">
        <f>IF(A304="","",LOG10(A304))</f>
        <v/>
      </c>
      <c r="I304" s="195">
        <f>IF(B304="","",LOG10(MAX(B304,1E-12)))</f>
        <v/>
      </c>
      <c r="J304" s="195">
        <f>IF(D304="","",LOG10(MAX(D304,1E-12)))</f>
        <v/>
      </c>
      <c r="K304">
        <f>IF(A304="","",ROUND(1+(LOG10(A304)-LOG10('入力・概要'!$B$38))*('入力・概要'!$B$40-1)/(LOG10('入力・概要'!$B$39)-LOG10('入力・概要'!$B$38)),0)+3)</f>
        <v/>
      </c>
      <c r="L304">
        <f>IF(K304="","",INDEX('差動モデル'!$B:$B,K304))</f>
        <v/>
      </c>
      <c r="M304">
        <f>IF(A304="","",IF(ABS(L304/A304-1)&lt;0.01,"周波数差&lt;1%","周波数差あり"))</f>
        <v/>
      </c>
    </row>
    <row r="305">
      <c r="A305" s="197" t="n"/>
      <c r="B305" s="198" t="n"/>
      <c r="C305" s="198" t="n"/>
      <c r="D305" s="195">
        <f>IF(K305="","",INDEX('差動モデル'!$R:$R,K305))</f>
        <v/>
      </c>
      <c r="E305" s="195">
        <f>IF(K305="","",INDEX('差動モデル'!$S:$S,K305))</f>
        <v/>
      </c>
      <c r="F305" s="195">
        <f>IF(OR(A305="",B305=""),"",100*(D305-B305)/MAX(B305,1E-12))</f>
        <v/>
      </c>
      <c r="G305" s="195">
        <f>IF(OR(A305="",C305=""),"",E305-C305)</f>
        <v/>
      </c>
      <c r="H305" s="195">
        <f>IF(A305="","",LOG10(A305))</f>
        <v/>
      </c>
      <c r="I305" s="195">
        <f>IF(B305="","",LOG10(MAX(B305,1E-12)))</f>
        <v/>
      </c>
      <c r="J305" s="195">
        <f>IF(D305="","",LOG10(MAX(D305,1E-12)))</f>
        <v/>
      </c>
      <c r="K305">
        <f>IF(A305="","",ROUND(1+(LOG10(A305)-LOG10('入力・概要'!$B$38))*('入力・概要'!$B$40-1)/(LOG10('入力・概要'!$B$39)-LOG10('入力・概要'!$B$38)),0)+3)</f>
        <v/>
      </c>
      <c r="L305">
        <f>IF(K305="","",INDEX('差動モデル'!$B:$B,K305))</f>
        <v/>
      </c>
      <c r="M305">
        <f>IF(A305="","",IF(ABS(L305/A305-1)&lt;0.01,"周波数差&lt;1%","周波数差あり"))</f>
        <v/>
      </c>
    </row>
    <row r="306">
      <c r="A306" s="197" t="n"/>
      <c r="B306" s="198" t="n"/>
      <c r="C306" s="198" t="n"/>
      <c r="D306" s="195">
        <f>IF(K306="","",INDEX('差動モデル'!$R:$R,K306))</f>
        <v/>
      </c>
      <c r="E306" s="195">
        <f>IF(K306="","",INDEX('差動モデル'!$S:$S,K306))</f>
        <v/>
      </c>
      <c r="F306" s="195">
        <f>IF(OR(A306="",B306=""),"",100*(D306-B306)/MAX(B306,1E-12))</f>
        <v/>
      </c>
      <c r="G306" s="195">
        <f>IF(OR(A306="",C306=""),"",E306-C306)</f>
        <v/>
      </c>
      <c r="H306" s="195">
        <f>IF(A306="","",LOG10(A306))</f>
        <v/>
      </c>
      <c r="I306" s="195">
        <f>IF(B306="","",LOG10(MAX(B306,1E-12)))</f>
        <v/>
      </c>
      <c r="J306" s="195">
        <f>IF(D306="","",LOG10(MAX(D306,1E-12)))</f>
        <v/>
      </c>
      <c r="K306">
        <f>IF(A306="","",ROUND(1+(LOG10(A306)-LOG10('入力・概要'!$B$38))*('入力・概要'!$B$40-1)/(LOG10('入力・概要'!$B$39)-LOG10('入力・概要'!$B$38)),0)+3)</f>
        <v/>
      </c>
      <c r="L306">
        <f>IF(K306="","",INDEX('差動モデル'!$B:$B,K306))</f>
        <v/>
      </c>
      <c r="M306">
        <f>IF(A306="","",IF(ABS(L306/A306-1)&lt;0.01,"周波数差&lt;1%","周波数差あり"))</f>
        <v/>
      </c>
    </row>
    <row r="307">
      <c r="A307" s="197" t="n"/>
      <c r="B307" s="198" t="n"/>
      <c r="C307" s="198" t="n"/>
      <c r="D307" s="195">
        <f>IF(K307="","",INDEX('差動モデル'!$R:$R,K307))</f>
        <v/>
      </c>
      <c r="E307" s="195">
        <f>IF(K307="","",INDEX('差動モデル'!$S:$S,K307))</f>
        <v/>
      </c>
      <c r="F307" s="195">
        <f>IF(OR(A307="",B307=""),"",100*(D307-B307)/MAX(B307,1E-12))</f>
        <v/>
      </c>
      <c r="G307" s="195">
        <f>IF(OR(A307="",C307=""),"",E307-C307)</f>
        <v/>
      </c>
      <c r="H307" s="195">
        <f>IF(A307="","",LOG10(A307))</f>
        <v/>
      </c>
      <c r="I307" s="195">
        <f>IF(B307="","",LOG10(MAX(B307,1E-12)))</f>
        <v/>
      </c>
      <c r="J307" s="195">
        <f>IF(D307="","",LOG10(MAX(D307,1E-12)))</f>
        <v/>
      </c>
      <c r="K307">
        <f>IF(A307="","",ROUND(1+(LOG10(A307)-LOG10('入力・概要'!$B$38))*('入力・概要'!$B$40-1)/(LOG10('入力・概要'!$B$39)-LOG10('入力・概要'!$B$38)),0)+3)</f>
        <v/>
      </c>
      <c r="L307">
        <f>IF(K307="","",INDEX('差動モデル'!$B:$B,K307))</f>
        <v/>
      </c>
      <c r="M307">
        <f>IF(A307="","",IF(ABS(L307/A307-1)&lt;0.01,"周波数差&lt;1%","周波数差あり"))</f>
        <v/>
      </c>
    </row>
    <row r="308">
      <c r="A308" s="197" t="n"/>
      <c r="B308" s="198" t="n"/>
      <c r="C308" s="198" t="n"/>
      <c r="D308" s="195">
        <f>IF(K308="","",INDEX('差動モデル'!$R:$R,K308))</f>
        <v/>
      </c>
      <c r="E308" s="195">
        <f>IF(K308="","",INDEX('差動モデル'!$S:$S,K308))</f>
        <v/>
      </c>
      <c r="F308" s="195">
        <f>IF(OR(A308="",B308=""),"",100*(D308-B308)/MAX(B308,1E-12))</f>
        <v/>
      </c>
      <c r="G308" s="195">
        <f>IF(OR(A308="",C308=""),"",E308-C308)</f>
        <v/>
      </c>
      <c r="H308" s="195">
        <f>IF(A308="","",LOG10(A308))</f>
        <v/>
      </c>
      <c r="I308" s="195">
        <f>IF(B308="","",LOG10(MAX(B308,1E-12)))</f>
        <v/>
      </c>
      <c r="J308" s="195">
        <f>IF(D308="","",LOG10(MAX(D308,1E-12)))</f>
        <v/>
      </c>
      <c r="K308">
        <f>IF(A308="","",ROUND(1+(LOG10(A308)-LOG10('入力・概要'!$B$38))*('入力・概要'!$B$40-1)/(LOG10('入力・概要'!$B$39)-LOG10('入力・概要'!$B$38)),0)+3)</f>
        <v/>
      </c>
      <c r="L308">
        <f>IF(K308="","",INDEX('差動モデル'!$B:$B,K308))</f>
        <v/>
      </c>
      <c r="M308">
        <f>IF(A308="","",IF(ABS(L308/A308-1)&lt;0.01,"周波数差&lt;1%","周波数差あり"))</f>
        <v/>
      </c>
    </row>
    <row r="309">
      <c r="A309" s="197" t="n"/>
      <c r="B309" s="198" t="n"/>
      <c r="C309" s="198" t="n"/>
      <c r="D309" s="195">
        <f>IF(K309="","",INDEX('差動モデル'!$R:$R,K309))</f>
        <v/>
      </c>
      <c r="E309" s="195">
        <f>IF(K309="","",INDEX('差動モデル'!$S:$S,K309))</f>
        <v/>
      </c>
      <c r="F309" s="195">
        <f>IF(OR(A309="",B309=""),"",100*(D309-B309)/MAX(B309,1E-12))</f>
        <v/>
      </c>
      <c r="G309" s="195">
        <f>IF(OR(A309="",C309=""),"",E309-C309)</f>
        <v/>
      </c>
      <c r="H309" s="195">
        <f>IF(A309="","",LOG10(A309))</f>
        <v/>
      </c>
      <c r="I309" s="195">
        <f>IF(B309="","",LOG10(MAX(B309,1E-12)))</f>
        <v/>
      </c>
      <c r="J309" s="195">
        <f>IF(D309="","",LOG10(MAX(D309,1E-12)))</f>
        <v/>
      </c>
      <c r="K309">
        <f>IF(A309="","",ROUND(1+(LOG10(A309)-LOG10('入力・概要'!$B$38))*('入力・概要'!$B$40-1)/(LOG10('入力・概要'!$B$39)-LOG10('入力・概要'!$B$38)),0)+3)</f>
        <v/>
      </c>
      <c r="L309">
        <f>IF(K309="","",INDEX('差動モデル'!$B:$B,K309))</f>
        <v/>
      </c>
      <c r="M309">
        <f>IF(A309="","",IF(ABS(L309/A309-1)&lt;0.01,"周波数差&lt;1%","周波数差あり"))</f>
        <v/>
      </c>
    </row>
    <row r="310">
      <c r="A310" s="197" t="n"/>
      <c r="B310" s="198" t="n"/>
      <c r="C310" s="198" t="n"/>
      <c r="D310" s="195">
        <f>IF(K310="","",INDEX('差動モデル'!$R:$R,K310))</f>
        <v/>
      </c>
      <c r="E310" s="195">
        <f>IF(K310="","",INDEX('差動モデル'!$S:$S,K310))</f>
        <v/>
      </c>
      <c r="F310" s="195">
        <f>IF(OR(A310="",B310=""),"",100*(D310-B310)/MAX(B310,1E-12))</f>
        <v/>
      </c>
      <c r="G310" s="195">
        <f>IF(OR(A310="",C310=""),"",E310-C310)</f>
        <v/>
      </c>
      <c r="H310" s="195">
        <f>IF(A310="","",LOG10(A310))</f>
        <v/>
      </c>
      <c r="I310" s="195">
        <f>IF(B310="","",LOG10(MAX(B310,1E-12)))</f>
        <v/>
      </c>
      <c r="J310" s="195">
        <f>IF(D310="","",LOG10(MAX(D310,1E-12)))</f>
        <v/>
      </c>
      <c r="K310">
        <f>IF(A310="","",ROUND(1+(LOG10(A310)-LOG10('入力・概要'!$B$38))*('入力・概要'!$B$40-1)/(LOG10('入力・概要'!$B$39)-LOG10('入力・概要'!$B$38)),0)+3)</f>
        <v/>
      </c>
      <c r="L310">
        <f>IF(K310="","",INDEX('差動モデル'!$B:$B,K310))</f>
        <v/>
      </c>
      <c r="M310">
        <f>IF(A310="","",IF(ABS(L310/A310-1)&lt;0.01,"周波数差&lt;1%","周波数差あり"))</f>
        <v/>
      </c>
    </row>
    <row r="311">
      <c r="A311" s="197" t="n"/>
      <c r="B311" s="198" t="n"/>
      <c r="C311" s="198" t="n"/>
      <c r="D311" s="195">
        <f>IF(K311="","",INDEX('差動モデル'!$R:$R,K311))</f>
        <v/>
      </c>
      <c r="E311" s="195">
        <f>IF(K311="","",INDEX('差動モデル'!$S:$S,K311))</f>
        <v/>
      </c>
      <c r="F311" s="195">
        <f>IF(OR(A311="",B311=""),"",100*(D311-B311)/MAX(B311,1E-12))</f>
        <v/>
      </c>
      <c r="G311" s="195">
        <f>IF(OR(A311="",C311=""),"",E311-C311)</f>
        <v/>
      </c>
      <c r="H311" s="195">
        <f>IF(A311="","",LOG10(A311))</f>
        <v/>
      </c>
      <c r="I311" s="195">
        <f>IF(B311="","",LOG10(MAX(B311,1E-12)))</f>
        <v/>
      </c>
      <c r="J311" s="195">
        <f>IF(D311="","",LOG10(MAX(D311,1E-12)))</f>
        <v/>
      </c>
      <c r="K311">
        <f>IF(A311="","",ROUND(1+(LOG10(A311)-LOG10('入力・概要'!$B$38))*('入力・概要'!$B$40-1)/(LOG10('入力・概要'!$B$39)-LOG10('入力・概要'!$B$38)),0)+3)</f>
        <v/>
      </c>
      <c r="L311">
        <f>IF(K311="","",INDEX('差動モデル'!$B:$B,K311))</f>
        <v/>
      </c>
      <c r="M311">
        <f>IF(A311="","",IF(ABS(L311/A311-1)&lt;0.01,"周波数差&lt;1%","周波数差あり"))</f>
        <v/>
      </c>
    </row>
    <row r="312">
      <c r="A312" s="197" t="n"/>
      <c r="B312" s="198" t="n"/>
      <c r="C312" s="198" t="n"/>
      <c r="D312" s="195">
        <f>IF(K312="","",INDEX('差動モデル'!$R:$R,K312))</f>
        <v/>
      </c>
      <c r="E312" s="195">
        <f>IF(K312="","",INDEX('差動モデル'!$S:$S,K312))</f>
        <v/>
      </c>
      <c r="F312" s="195">
        <f>IF(OR(A312="",B312=""),"",100*(D312-B312)/MAX(B312,1E-12))</f>
        <v/>
      </c>
      <c r="G312" s="195">
        <f>IF(OR(A312="",C312=""),"",E312-C312)</f>
        <v/>
      </c>
      <c r="H312" s="195">
        <f>IF(A312="","",LOG10(A312))</f>
        <v/>
      </c>
      <c r="I312" s="195">
        <f>IF(B312="","",LOG10(MAX(B312,1E-12)))</f>
        <v/>
      </c>
      <c r="J312" s="195">
        <f>IF(D312="","",LOG10(MAX(D312,1E-12)))</f>
        <v/>
      </c>
      <c r="K312">
        <f>IF(A312="","",ROUND(1+(LOG10(A312)-LOG10('入力・概要'!$B$38))*('入力・概要'!$B$40-1)/(LOG10('入力・概要'!$B$39)-LOG10('入力・概要'!$B$38)),0)+3)</f>
        <v/>
      </c>
      <c r="L312">
        <f>IF(K312="","",INDEX('差動モデル'!$B:$B,K312))</f>
        <v/>
      </c>
      <c r="M312">
        <f>IF(A312="","",IF(ABS(L312/A312-1)&lt;0.01,"周波数差&lt;1%","周波数差あり"))</f>
        <v/>
      </c>
    </row>
    <row r="313">
      <c r="A313" s="197" t="n"/>
      <c r="B313" s="198" t="n"/>
      <c r="C313" s="198" t="n"/>
      <c r="D313" s="195">
        <f>IF(K313="","",INDEX('差動モデル'!$R:$R,K313))</f>
        <v/>
      </c>
      <c r="E313" s="195">
        <f>IF(K313="","",INDEX('差動モデル'!$S:$S,K313))</f>
        <v/>
      </c>
      <c r="F313" s="195">
        <f>IF(OR(A313="",B313=""),"",100*(D313-B313)/MAX(B313,1E-12))</f>
        <v/>
      </c>
      <c r="G313" s="195">
        <f>IF(OR(A313="",C313=""),"",E313-C313)</f>
        <v/>
      </c>
      <c r="H313" s="195">
        <f>IF(A313="","",LOG10(A313))</f>
        <v/>
      </c>
      <c r="I313" s="195">
        <f>IF(B313="","",LOG10(MAX(B313,1E-12)))</f>
        <v/>
      </c>
      <c r="J313" s="195">
        <f>IF(D313="","",LOG10(MAX(D313,1E-12)))</f>
        <v/>
      </c>
      <c r="K313">
        <f>IF(A313="","",ROUND(1+(LOG10(A313)-LOG10('入力・概要'!$B$38))*('入力・概要'!$B$40-1)/(LOG10('入力・概要'!$B$39)-LOG10('入力・概要'!$B$38)),0)+3)</f>
        <v/>
      </c>
      <c r="L313">
        <f>IF(K313="","",INDEX('差動モデル'!$B:$B,K313))</f>
        <v/>
      </c>
      <c r="M313">
        <f>IF(A313="","",IF(ABS(L313/A313-1)&lt;0.01,"周波数差&lt;1%","周波数差あり"))</f>
        <v/>
      </c>
    </row>
    <row r="314">
      <c r="A314" s="197" t="n"/>
      <c r="B314" s="198" t="n"/>
      <c r="C314" s="198" t="n"/>
      <c r="D314" s="195">
        <f>IF(K314="","",INDEX('差動モデル'!$R:$R,K314))</f>
        <v/>
      </c>
      <c r="E314" s="195">
        <f>IF(K314="","",INDEX('差動モデル'!$S:$S,K314))</f>
        <v/>
      </c>
      <c r="F314" s="195">
        <f>IF(OR(A314="",B314=""),"",100*(D314-B314)/MAX(B314,1E-12))</f>
        <v/>
      </c>
      <c r="G314" s="195">
        <f>IF(OR(A314="",C314=""),"",E314-C314)</f>
        <v/>
      </c>
      <c r="H314" s="195">
        <f>IF(A314="","",LOG10(A314))</f>
        <v/>
      </c>
      <c r="I314" s="195">
        <f>IF(B314="","",LOG10(MAX(B314,1E-12)))</f>
        <v/>
      </c>
      <c r="J314" s="195">
        <f>IF(D314="","",LOG10(MAX(D314,1E-12)))</f>
        <v/>
      </c>
      <c r="K314">
        <f>IF(A314="","",ROUND(1+(LOG10(A314)-LOG10('入力・概要'!$B$38))*('入力・概要'!$B$40-1)/(LOG10('入力・概要'!$B$39)-LOG10('入力・概要'!$B$38)),0)+3)</f>
        <v/>
      </c>
      <c r="L314">
        <f>IF(K314="","",INDEX('差動モデル'!$B:$B,K314))</f>
        <v/>
      </c>
      <c r="M314">
        <f>IF(A314="","",IF(ABS(L314/A314-1)&lt;0.01,"周波数差&lt;1%","周波数差あり"))</f>
        <v/>
      </c>
    </row>
    <row r="315">
      <c r="A315" s="197" t="n"/>
      <c r="B315" s="198" t="n"/>
      <c r="C315" s="198" t="n"/>
      <c r="D315" s="195">
        <f>IF(K315="","",INDEX('差動モデル'!$R:$R,K315))</f>
        <v/>
      </c>
      <c r="E315" s="195">
        <f>IF(K315="","",INDEX('差動モデル'!$S:$S,K315))</f>
        <v/>
      </c>
      <c r="F315" s="195">
        <f>IF(OR(A315="",B315=""),"",100*(D315-B315)/MAX(B315,1E-12))</f>
        <v/>
      </c>
      <c r="G315" s="195">
        <f>IF(OR(A315="",C315=""),"",E315-C315)</f>
        <v/>
      </c>
      <c r="H315" s="195">
        <f>IF(A315="","",LOG10(A315))</f>
        <v/>
      </c>
      <c r="I315" s="195">
        <f>IF(B315="","",LOG10(MAX(B315,1E-12)))</f>
        <v/>
      </c>
      <c r="J315" s="195">
        <f>IF(D315="","",LOG10(MAX(D315,1E-12)))</f>
        <v/>
      </c>
      <c r="K315">
        <f>IF(A315="","",ROUND(1+(LOG10(A315)-LOG10('入力・概要'!$B$38))*('入力・概要'!$B$40-1)/(LOG10('入力・概要'!$B$39)-LOG10('入力・概要'!$B$38)),0)+3)</f>
        <v/>
      </c>
      <c r="L315">
        <f>IF(K315="","",INDEX('差動モデル'!$B:$B,K315))</f>
        <v/>
      </c>
      <c r="M315">
        <f>IF(A315="","",IF(ABS(L315/A315-1)&lt;0.01,"周波数差&lt;1%","周波数差あり"))</f>
        <v/>
      </c>
    </row>
    <row r="316">
      <c r="A316" s="197" t="n"/>
      <c r="B316" s="198" t="n"/>
      <c r="C316" s="198" t="n"/>
      <c r="D316" s="195">
        <f>IF(K316="","",INDEX('差動モデル'!$R:$R,K316))</f>
        <v/>
      </c>
      <c r="E316" s="195">
        <f>IF(K316="","",INDEX('差動モデル'!$S:$S,K316))</f>
        <v/>
      </c>
      <c r="F316" s="195">
        <f>IF(OR(A316="",B316=""),"",100*(D316-B316)/MAX(B316,1E-12))</f>
        <v/>
      </c>
      <c r="G316" s="195">
        <f>IF(OR(A316="",C316=""),"",E316-C316)</f>
        <v/>
      </c>
      <c r="H316" s="195">
        <f>IF(A316="","",LOG10(A316))</f>
        <v/>
      </c>
      <c r="I316" s="195">
        <f>IF(B316="","",LOG10(MAX(B316,1E-12)))</f>
        <v/>
      </c>
      <c r="J316" s="195">
        <f>IF(D316="","",LOG10(MAX(D316,1E-12)))</f>
        <v/>
      </c>
      <c r="K316">
        <f>IF(A316="","",ROUND(1+(LOG10(A316)-LOG10('入力・概要'!$B$38))*('入力・概要'!$B$40-1)/(LOG10('入力・概要'!$B$39)-LOG10('入力・概要'!$B$38)),0)+3)</f>
        <v/>
      </c>
      <c r="L316">
        <f>IF(K316="","",INDEX('差動モデル'!$B:$B,K316))</f>
        <v/>
      </c>
      <c r="M316">
        <f>IF(A316="","",IF(ABS(L316/A316-1)&lt;0.01,"周波数差&lt;1%","周波数差あり"))</f>
        <v/>
      </c>
    </row>
    <row r="317">
      <c r="A317" s="197" t="n"/>
      <c r="B317" s="198" t="n"/>
      <c r="C317" s="198" t="n"/>
      <c r="D317" s="195">
        <f>IF(K317="","",INDEX('差動モデル'!$R:$R,K317))</f>
        <v/>
      </c>
      <c r="E317" s="195">
        <f>IF(K317="","",INDEX('差動モデル'!$S:$S,K317))</f>
        <v/>
      </c>
      <c r="F317" s="195">
        <f>IF(OR(A317="",B317=""),"",100*(D317-B317)/MAX(B317,1E-12))</f>
        <v/>
      </c>
      <c r="G317" s="195">
        <f>IF(OR(A317="",C317=""),"",E317-C317)</f>
        <v/>
      </c>
      <c r="H317" s="195">
        <f>IF(A317="","",LOG10(A317))</f>
        <v/>
      </c>
      <c r="I317" s="195">
        <f>IF(B317="","",LOG10(MAX(B317,1E-12)))</f>
        <v/>
      </c>
      <c r="J317" s="195">
        <f>IF(D317="","",LOG10(MAX(D317,1E-12)))</f>
        <v/>
      </c>
      <c r="K317">
        <f>IF(A317="","",ROUND(1+(LOG10(A317)-LOG10('入力・概要'!$B$38))*('入力・概要'!$B$40-1)/(LOG10('入力・概要'!$B$39)-LOG10('入力・概要'!$B$38)),0)+3)</f>
        <v/>
      </c>
      <c r="L317">
        <f>IF(K317="","",INDEX('差動モデル'!$B:$B,K317))</f>
        <v/>
      </c>
      <c r="M317">
        <f>IF(A317="","",IF(ABS(L317/A317-1)&lt;0.01,"周波数差&lt;1%","周波数差あり"))</f>
        <v/>
      </c>
    </row>
    <row r="318">
      <c r="A318" s="197" t="n"/>
      <c r="B318" s="198" t="n"/>
      <c r="C318" s="198" t="n"/>
      <c r="D318" s="195">
        <f>IF(K318="","",INDEX('差動モデル'!$R:$R,K318))</f>
        <v/>
      </c>
      <c r="E318" s="195">
        <f>IF(K318="","",INDEX('差動モデル'!$S:$S,K318))</f>
        <v/>
      </c>
      <c r="F318" s="195">
        <f>IF(OR(A318="",B318=""),"",100*(D318-B318)/MAX(B318,1E-12))</f>
        <v/>
      </c>
      <c r="G318" s="195">
        <f>IF(OR(A318="",C318=""),"",E318-C318)</f>
        <v/>
      </c>
      <c r="H318" s="195">
        <f>IF(A318="","",LOG10(A318))</f>
        <v/>
      </c>
      <c r="I318" s="195">
        <f>IF(B318="","",LOG10(MAX(B318,1E-12)))</f>
        <v/>
      </c>
      <c r="J318" s="195">
        <f>IF(D318="","",LOG10(MAX(D318,1E-12)))</f>
        <v/>
      </c>
      <c r="K318">
        <f>IF(A318="","",ROUND(1+(LOG10(A318)-LOG10('入力・概要'!$B$38))*('入力・概要'!$B$40-1)/(LOG10('入力・概要'!$B$39)-LOG10('入力・概要'!$B$38)),0)+3)</f>
        <v/>
      </c>
      <c r="L318">
        <f>IF(K318="","",INDEX('差動モデル'!$B:$B,K318))</f>
        <v/>
      </c>
      <c r="M318">
        <f>IF(A318="","",IF(ABS(L318/A318-1)&lt;0.01,"周波数差&lt;1%","周波数差あり"))</f>
        <v/>
      </c>
    </row>
    <row r="319">
      <c r="A319" s="197" t="n"/>
      <c r="B319" s="198" t="n"/>
      <c r="C319" s="198" t="n"/>
      <c r="D319" s="195">
        <f>IF(K319="","",INDEX('差動モデル'!$R:$R,K319))</f>
        <v/>
      </c>
      <c r="E319" s="195">
        <f>IF(K319="","",INDEX('差動モデル'!$S:$S,K319))</f>
        <v/>
      </c>
      <c r="F319" s="195">
        <f>IF(OR(A319="",B319=""),"",100*(D319-B319)/MAX(B319,1E-12))</f>
        <v/>
      </c>
      <c r="G319" s="195">
        <f>IF(OR(A319="",C319=""),"",E319-C319)</f>
        <v/>
      </c>
      <c r="H319" s="195">
        <f>IF(A319="","",LOG10(A319))</f>
        <v/>
      </c>
      <c r="I319" s="195">
        <f>IF(B319="","",LOG10(MAX(B319,1E-12)))</f>
        <v/>
      </c>
      <c r="J319" s="195">
        <f>IF(D319="","",LOG10(MAX(D319,1E-12)))</f>
        <v/>
      </c>
      <c r="K319">
        <f>IF(A319="","",ROUND(1+(LOG10(A319)-LOG10('入力・概要'!$B$38))*('入力・概要'!$B$40-1)/(LOG10('入力・概要'!$B$39)-LOG10('入力・概要'!$B$38)),0)+3)</f>
        <v/>
      </c>
      <c r="L319">
        <f>IF(K319="","",INDEX('差動モデル'!$B:$B,K319))</f>
        <v/>
      </c>
      <c r="M319">
        <f>IF(A319="","",IF(ABS(L319/A319-1)&lt;0.01,"周波数差&lt;1%","周波数差あり"))</f>
        <v/>
      </c>
    </row>
    <row r="320">
      <c r="A320" s="197" t="n"/>
      <c r="B320" s="198" t="n"/>
      <c r="C320" s="198" t="n"/>
      <c r="D320" s="195">
        <f>IF(K320="","",INDEX('差動モデル'!$R:$R,K320))</f>
        <v/>
      </c>
      <c r="E320" s="195">
        <f>IF(K320="","",INDEX('差動モデル'!$S:$S,K320))</f>
        <v/>
      </c>
      <c r="F320" s="195">
        <f>IF(OR(A320="",B320=""),"",100*(D320-B320)/MAX(B320,1E-12))</f>
        <v/>
      </c>
      <c r="G320" s="195">
        <f>IF(OR(A320="",C320=""),"",E320-C320)</f>
        <v/>
      </c>
      <c r="H320" s="195">
        <f>IF(A320="","",LOG10(A320))</f>
        <v/>
      </c>
      <c r="I320" s="195">
        <f>IF(B320="","",LOG10(MAX(B320,1E-12)))</f>
        <v/>
      </c>
      <c r="J320" s="195">
        <f>IF(D320="","",LOG10(MAX(D320,1E-12)))</f>
        <v/>
      </c>
      <c r="K320">
        <f>IF(A320="","",ROUND(1+(LOG10(A320)-LOG10('入力・概要'!$B$38))*('入力・概要'!$B$40-1)/(LOG10('入力・概要'!$B$39)-LOG10('入力・概要'!$B$38)),0)+3)</f>
        <v/>
      </c>
      <c r="L320">
        <f>IF(K320="","",INDEX('差動モデル'!$B:$B,K320))</f>
        <v/>
      </c>
      <c r="M320">
        <f>IF(A320="","",IF(ABS(L320/A320-1)&lt;0.01,"周波数差&lt;1%","周波数差あり"))</f>
        <v/>
      </c>
    </row>
    <row r="321">
      <c r="A321" s="197" t="n"/>
      <c r="B321" s="198" t="n"/>
      <c r="C321" s="198" t="n"/>
      <c r="D321" s="195">
        <f>IF(K321="","",INDEX('差動モデル'!$R:$R,K321))</f>
        <v/>
      </c>
      <c r="E321" s="195">
        <f>IF(K321="","",INDEX('差動モデル'!$S:$S,K321))</f>
        <v/>
      </c>
      <c r="F321" s="195">
        <f>IF(OR(A321="",B321=""),"",100*(D321-B321)/MAX(B321,1E-12))</f>
        <v/>
      </c>
      <c r="G321" s="195">
        <f>IF(OR(A321="",C321=""),"",E321-C321)</f>
        <v/>
      </c>
      <c r="H321" s="195">
        <f>IF(A321="","",LOG10(A321))</f>
        <v/>
      </c>
      <c r="I321" s="195">
        <f>IF(B321="","",LOG10(MAX(B321,1E-12)))</f>
        <v/>
      </c>
      <c r="J321" s="195">
        <f>IF(D321="","",LOG10(MAX(D321,1E-12)))</f>
        <v/>
      </c>
      <c r="K321">
        <f>IF(A321="","",ROUND(1+(LOG10(A321)-LOG10('入力・概要'!$B$38))*('入力・概要'!$B$40-1)/(LOG10('入力・概要'!$B$39)-LOG10('入力・概要'!$B$38)),0)+3)</f>
        <v/>
      </c>
      <c r="L321">
        <f>IF(K321="","",INDEX('差動モデル'!$B:$B,K321))</f>
        <v/>
      </c>
      <c r="M321">
        <f>IF(A321="","",IF(ABS(L321/A321-1)&lt;0.01,"周波数差&lt;1%","周波数差あり"))</f>
        <v/>
      </c>
    </row>
    <row r="322">
      <c r="A322" s="197" t="n"/>
      <c r="B322" s="198" t="n"/>
      <c r="C322" s="198" t="n"/>
      <c r="D322" s="195">
        <f>IF(K322="","",INDEX('差動モデル'!$R:$R,K322))</f>
        <v/>
      </c>
      <c r="E322" s="195">
        <f>IF(K322="","",INDEX('差動モデル'!$S:$S,K322))</f>
        <v/>
      </c>
      <c r="F322" s="195">
        <f>IF(OR(A322="",B322=""),"",100*(D322-B322)/MAX(B322,1E-12))</f>
        <v/>
      </c>
      <c r="G322" s="195">
        <f>IF(OR(A322="",C322=""),"",E322-C322)</f>
        <v/>
      </c>
      <c r="H322" s="195">
        <f>IF(A322="","",LOG10(A322))</f>
        <v/>
      </c>
      <c r="I322" s="195">
        <f>IF(B322="","",LOG10(MAX(B322,1E-12)))</f>
        <v/>
      </c>
      <c r="J322" s="195">
        <f>IF(D322="","",LOG10(MAX(D322,1E-12)))</f>
        <v/>
      </c>
      <c r="K322">
        <f>IF(A322="","",ROUND(1+(LOG10(A322)-LOG10('入力・概要'!$B$38))*('入力・概要'!$B$40-1)/(LOG10('入力・概要'!$B$39)-LOG10('入力・概要'!$B$38)),0)+3)</f>
        <v/>
      </c>
      <c r="L322">
        <f>IF(K322="","",INDEX('差動モデル'!$B:$B,K322))</f>
        <v/>
      </c>
      <c r="M322">
        <f>IF(A322="","",IF(ABS(L322/A322-1)&lt;0.01,"周波数差&lt;1%","周波数差あり"))</f>
        <v/>
      </c>
    </row>
    <row r="323">
      <c r="A323" s="197" t="n"/>
      <c r="B323" s="198" t="n"/>
      <c r="C323" s="198" t="n"/>
      <c r="D323" s="195">
        <f>IF(K323="","",INDEX('差動モデル'!$R:$R,K323))</f>
        <v/>
      </c>
      <c r="E323" s="195">
        <f>IF(K323="","",INDEX('差動モデル'!$S:$S,K323))</f>
        <v/>
      </c>
      <c r="F323" s="195">
        <f>IF(OR(A323="",B323=""),"",100*(D323-B323)/MAX(B323,1E-12))</f>
        <v/>
      </c>
      <c r="G323" s="195">
        <f>IF(OR(A323="",C323=""),"",E323-C323)</f>
        <v/>
      </c>
      <c r="H323" s="195">
        <f>IF(A323="","",LOG10(A323))</f>
        <v/>
      </c>
      <c r="I323" s="195">
        <f>IF(B323="","",LOG10(MAX(B323,1E-12)))</f>
        <v/>
      </c>
      <c r="J323" s="195">
        <f>IF(D323="","",LOG10(MAX(D323,1E-12)))</f>
        <v/>
      </c>
      <c r="K323">
        <f>IF(A323="","",ROUND(1+(LOG10(A323)-LOG10('入力・概要'!$B$38))*('入力・概要'!$B$40-1)/(LOG10('入力・概要'!$B$39)-LOG10('入力・概要'!$B$38)),0)+3)</f>
        <v/>
      </c>
      <c r="L323">
        <f>IF(K323="","",INDEX('差動モデル'!$B:$B,K323))</f>
        <v/>
      </c>
      <c r="M323">
        <f>IF(A323="","",IF(ABS(L323/A323-1)&lt;0.01,"周波数差&lt;1%","周波数差あり"))</f>
        <v/>
      </c>
    </row>
    <row r="324">
      <c r="A324" s="197" t="n"/>
      <c r="B324" s="198" t="n"/>
      <c r="C324" s="198" t="n"/>
      <c r="D324" s="195">
        <f>IF(K324="","",INDEX('差動モデル'!$R:$R,K324))</f>
        <v/>
      </c>
      <c r="E324" s="195">
        <f>IF(K324="","",INDEX('差動モデル'!$S:$S,K324))</f>
        <v/>
      </c>
      <c r="F324" s="195">
        <f>IF(OR(A324="",B324=""),"",100*(D324-B324)/MAX(B324,1E-12))</f>
        <v/>
      </c>
      <c r="G324" s="195">
        <f>IF(OR(A324="",C324=""),"",E324-C324)</f>
        <v/>
      </c>
      <c r="H324" s="195">
        <f>IF(A324="","",LOG10(A324))</f>
        <v/>
      </c>
      <c r="I324" s="195">
        <f>IF(B324="","",LOG10(MAX(B324,1E-12)))</f>
        <v/>
      </c>
      <c r="J324" s="195">
        <f>IF(D324="","",LOG10(MAX(D324,1E-12)))</f>
        <v/>
      </c>
      <c r="K324">
        <f>IF(A324="","",ROUND(1+(LOG10(A324)-LOG10('入力・概要'!$B$38))*('入力・概要'!$B$40-1)/(LOG10('入力・概要'!$B$39)-LOG10('入力・概要'!$B$38)),0)+3)</f>
        <v/>
      </c>
      <c r="L324">
        <f>IF(K324="","",INDEX('差動モデル'!$B:$B,K324))</f>
        <v/>
      </c>
      <c r="M324">
        <f>IF(A324="","",IF(ABS(L324/A324-1)&lt;0.01,"周波数差&lt;1%","周波数差あり"))</f>
        <v/>
      </c>
    </row>
    <row r="325">
      <c r="A325" s="197" t="n"/>
      <c r="B325" s="198" t="n"/>
      <c r="C325" s="198" t="n"/>
      <c r="D325" s="195">
        <f>IF(K325="","",INDEX('差動モデル'!$R:$R,K325))</f>
        <v/>
      </c>
      <c r="E325" s="195">
        <f>IF(K325="","",INDEX('差動モデル'!$S:$S,K325))</f>
        <v/>
      </c>
      <c r="F325" s="195">
        <f>IF(OR(A325="",B325=""),"",100*(D325-B325)/MAX(B325,1E-12))</f>
        <v/>
      </c>
      <c r="G325" s="195">
        <f>IF(OR(A325="",C325=""),"",E325-C325)</f>
        <v/>
      </c>
      <c r="H325" s="195">
        <f>IF(A325="","",LOG10(A325))</f>
        <v/>
      </c>
      <c r="I325" s="195">
        <f>IF(B325="","",LOG10(MAX(B325,1E-12)))</f>
        <v/>
      </c>
      <c r="J325" s="195">
        <f>IF(D325="","",LOG10(MAX(D325,1E-12)))</f>
        <v/>
      </c>
      <c r="K325">
        <f>IF(A325="","",ROUND(1+(LOG10(A325)-LOG10('入力・概要'!$B$38))*('入力・概要'!$B$40-1)/(LOG10('入力・概要'!$B$39)-LOG10('入力・概要'!$B$38)),0)+3)</f>
        <v/>
      </c>
      <c r="L325">
        <f>IF(K325="","",INDEX('差動モデル'!$B:$B,K325))</f>
        <v/>
      </c>
      <c r="M325">
        <f>IF(A325="","",IF(ABS(L325/A325-1)&lt;0.01,"周波数差&lt;1%","周波数差あり"))</f>
        <v/>
      </c>
    </row>
    <row r="326">
      <c r="A326" s="197" t="n"/>
      <c r="B326" s="198" t="n"/>
      <c r="C326" s="198" t="n"/>
      <c r="D326" s="195">
        <f>IF(K326="","",INDEX('差動モデル'!$R:$R,K326))</f>
        <v/>
      </c>
      <c r="E326" s="195">
        <f>IF(K326="","",INDEX('差動モデル'!$S:$S,K326))</f>
        <v/>
      </c>
      <c r="F326" s="195">
        <f>IF(OR(A326="",B326=""),"",100*(D326-B326)/MAX(B326,1E-12))</f>
        <v/>
      </c>
      <c r="G326" s="195">
        <f>IF(OR(A326="",C326=""),"",E326-C326)</f>
        <v/>
      </c>
      <c r="H326" s="195">
        <f>IF(A326="","",LOG10(A326))</f>
        <v/>
      </c>
      <c r="I326" s="195">
        <f>IF(B326="","",LOG10(MAX(B326,1E-12)))</f>
        <v/>
      </c>
      <c r="J326" s="195">
        <f>IF(D326="","",LOG10(MAX(D326,1E-12)))</f>
        <v/>
      </c>
      <c r="K326">
        <f>IF(A326="","",ROUND(1+(LOG10(A326)-LOG10('入力・概要'!$B$38))*('入力・概要'!$B$40-1)/(LOG10('入力・概要'!$B$39)-LOG10('入力・概要'!$B$38)),0)+3)</f>
        <v/>
      </c>
      <c r="L326">
        <f>IF(K326="","",INDEX('差動モデル'!$B:$B,K326))</f>
        <v/>
      </c>
      <c r="M326">
        <f>IF(A326="","",IF(ABS(L326/A326-1)&lt;0.01,"周波数差&lt;1%","周波数差あり"))</f>
        <v/>
      </c>
    </row>
    <row r="327">
      <c r="A327" s="197" t="n"/>
      <c r="B327" s="198" t="n"/>
      <c r="C327" s="198" t="n"/>
      <c r="D327" s="195">
        <f>IF(K327="","",INDEX('差動モデル'!$R:$R,K327))</f>
        <v/>
      </c>
      <c r="E327" s="195">
        <f>IF(K327="","",INDEX('差動モデル'!$S:$S,K327))</f>
        <v/>
      </c>
      <c r="F327" s="195">
        <f>IF(OR(A327="",B327=""),"",100*(D327-B327)/MAX(B327,1E-12))</f>
        <v/>
      </c>
      <c r="G327" s="195">
        <f>IF(OR(A327="",C327=""),"",E327-C327)</f>
        <v/>
      </c>
      <c r="H327" s="195">
        <f>IF(A327="","",LOG10(A327))</f>
        <v/>
      </c>
      <c r="I327" s="195">
        <f>IF(B327="","",LOG10(MAX(B327,1E-12)))</f>
        <v/>
      </c>
      <c r="J327" s="195">
        <f>IF(D327="","",LOG10(MAX(D327,1E-12)))</f>
        <v/>
      </c>
      <c r="K327">
        <f>IF(A327="","",ROUND(1+(LOG10(A327)-LOG10('入力・概要'!$B$38))*('入力・概要'!$B$40-1)/(LOG10('入力・概要'!$B$39)-LOG10('入力・概要'!$B$38)),0)+3)</f>
        <v/>
      </c>
      <c r="L327">
        <f>IF(K327="","",INDEX('差動モデル'!$B:$B,K327))</f>
        <v/>
      </c>
      <c r="M327">
        <f>IF(A327="","",IF(ABS(L327/A327-1)&lt;0.01,"周波数差&lt;1%","周波数差あり"))</f>
        <v/>
      </c>
    </row>
    <row r="328">
      <c r="A328" s="197" t="n"/>
      <c r="B328" s="198" t="n"/>
      <c r="C328" s="198" t="n"/>
      <c r="D328" s="195">
        <f>IF(K328="","",INDEX('差動モデル'!$R:$R,K328))</f>
        <v/>
      </c>
      <c r="E328" s="195">
        <f>IF(K328="","",INDEX('差動モデル'!$S:$S,K328))</f>
        <v/>
      </c>
      <c r="F328" s="195">
        <f>IF(OR(A328="",B328=""),"",100*(D328-B328)/MAX(B328,1E-12))</f>
        <v/>
      </c>
      <c r="G328" s="195">
        <f>IF(OR(A328="",C328=""),"",E328-C328)</f>
        <v/>
      </c>
      <c r="H328" s="195">
        <f>IF(A328="","",LOG10(A328))</f>
        <v/>
      </c>
      <c r="I328" s="195">
        <f>IF(B328="","",LOG10(MAX(B328,1E-12)))</f>
        <v/>
      </c>
      <c r="J328" s="195">
        <f>IF(D328="","",LOG10(MAX(D328,1E-12)))</f>
        <v/>
      </c>
      <c r="K328">
        <f>IF(A328="","",ROUND(1+(LOG10(A328)-LOG10('入力・概要'!$B$38))*('入力・概要'!$B$40-1)/(LOG10('入力・概要'!$B$39)-LOG10('入力・概要'!$B$38)),0)+3)</f>
        <v/>
      </c>
      <c r="L328">
        <f>IF(K328="","",INDEX('差動モデル'!$B:$B,K328))</f>
        <v/>
      </c>
      <c r="M328">
        <f>IF(A328="","",IF(ABS(L328/A328-1)&lt;0.01,"周波数差&lt;1%","周波数差あり"))</f>
        <v/>
      </c>
    </row>
    <row r="329">
      <c r="A329" s="197" t="n"/>
      <c r="B329" s="198" t="n"/>
      <c r="C329" s="198" t="n"/>
      <c r="D329" s="195">
        <f>IF(K329="","",INDEX('差動モデル'!$R:$R,K329))</f>
        <v/>
      </c>
      <c r="E329" s="195">
        <f>IF(K329="","",INDEX('差動モデル'!$S:$S,K329))</f>
        <v/>
      </c>
      <c r="F329" s="195">
        <f>IF(OR(A329="",B329=""),"",100*(D329-B329)/MAX(B329,1E-12))</f>
        <v/>
      </c>
      <c r="G329" s="195">
        <f>IF(OR(A329="",C329=""),"",E329-C329)</f>
        <v/>
      </c>
      <c r="H329" s="195">
        <f>IF(A329="","",LOG10(A329))</f>
        <v/>
      </c>
      <c r="I329" s="195">
        <f>IF(B329="","",LOG10(MAX(B329,1E-12)))</f>
        <v/>
      </c>
      <c r="J329" s="195">
        <f>IF(D329="","",LOG10(MAX(D329,1E-12)))</f>
        <v/>
      </c>
      <c r="K329">
        <f>IF(A329="","",ROUND(1+(LOG10(A329)-LOG10('入力・概要'!$B$38))*('入力・概要'!$B$40-1)/(LOG10('入力・概要'!$B$39)-LOG10('入力・概要'!$B$38)),0)+3)</f>
        <v/>
      </c>
      <c r="L329">
        <f>IF(K329="","",INDEX('差動モデル'!$B:$B,K329))</f>
        <v/>
      </c>
      <c r="M329">
        <f>IF(A329="","",IF(ABS(L329/A329-1)&lt;0.01,"周波数差&lt;1%","周波数差あり"))</f>
        <v/>
      </c>
    </row>
    <row r="330">
      <c r="A330" s="197" t="n"/>
      <c r="B330" s="198" t="n"/>
      <c r="C330" s="198" t="n"/>
      <c r="D330" s="195">
        <f>IF(K330="","",INDEX('差動モデル'!$R:$R,K330))</f>
        <v/>
      </c>
      <c r="E330" s="195">
        <f>IF(K330="","",INDEX('差動モデル'!$S:$S,K330))</f>
        <v/>
      </c>
      <c r="F330" s="195">
        <f>IF(OR(A330="",B330=""),"",100*(D330-B330)/MAX(B330,1E-12))</f>
        <v/>
      </c>
      <c r="G330" s="195">
        <f>IF(OR(A330="",C330=""),"",E330-C330)</f>
        <v/>
      </c>
      <c r="H330" s="195">
        <f>IF(A330="","",LOG10(A330))</f>
        <v/>
      </c>
      <c r="I330" s="195">
        <f>IF(B330="","",LOG10(MAX(B330,1E-12)))</f>
        <v/>
      </c>
      <c r="J330" s="195">
        <f>IF(D330="","",LOG10(MAX(D330,1E-12)))</f>
        <v/>
      </c>
      <c r="K330">
        <f>IF(A330="","",ROUND(1+(LOG10(A330)-LOG10('入力・概要'!$B$38))*('入力・概要'!$B$40-1)/(LOG10('入力・概要'!$B$39)-LOG10('入力・概要'!$B$38)),0)+3)</f>
        <v/>
      </c>
      <c r="L330">
        <f>IF(K330="","",INDEX('差動モデル'!$B:$B,K330))</f>
        <v/>
      </c>
      <c r="M330">
        <f>IF(A330="","",IF(ABS(L330/A330-1)&lt;0.01,"周波数差&lt;1%","周波数差あり"))</f>
        <v/>
      </c>
    </row>
    <row r="331">
      <c r="A331" s="197" t="n"/>
      <c r="B331" s="198" t="n"/>
      <c r="C331" s="198" t="n"/>
      <c r="D331" s="195">
        <f>IF(K331="","",INDEX('差動モデル'!$R:$R,K331))</f>
        <v/>
      </c>
      <c r="E331" s="195">
        <f>IF(K331="","",INDEX('差動モデル'!$S:$S,K331))</f>
        <v/>
      </c>
      <c r="F331" s="195">
        <f>IF(OR(A331="",B331=""),"",100*(D331-B331)/MAX(B331,1E-12))</f>
        <v/>
      </c>
      <c r="G331" s="195">
        <f>IF(OR(A331="",C331=""),"",E331-C331)</f>
        <v/>
      </c>
      <c r="H331" s="195">
        <f>IF(A331="","",LOG10(A331))</f>
        <v/>
      </c>
      <c r="I331" s="195">
        <f>IF(B331="","",LOG10(MAX(B331,1E-12)))</f>
        <v/>
      </c>
      <c r="J331" s="195">
        <f>IF(D331="","",LOG10(MAX(D331,1E-12)))</f>
        <v/>
      </c>
      <c r="K331">
        <f>IF(A331="","",ROUND(1+(LOG10(A331)-LOG10('入力・概要'!$B$38))*('入力・概要'!$B$40-1)/(LOG10('入力・概要'!$B$39)-LOG10('入力・概要'!$B$38)),0)+3)</f>
        <v/>
      </c>
      <c r="L331">
        <f>IF(K331="","",INDEX('差動モデル'!$B:$B,K331))</f>
        <v/>
      </c>
      <c r="M331">
        <f>IF(A331="","",IF(ABS(L331/A331-1)&lt;0.01,"周波数差&lt;1%","周波数差あり"))</f>
        <v/>
      </c>
    </row>
    <row r="332">
      <c r="A332" s="197" t="n"/>
      <c r="B332" s="198" t="n"/>
      <c r="C332" s="198" t="n"/>
      <c r="D332" s="195">
        <f>IF(K332="","",INDEX('差動モデル'!$R:$R,K332))</f>
        <v/>
      </c>
      <c r="E332" s="195">
        <f>IF(K332="","",INDEX('差動モデル'!$S:$S,K332))</f>
        <v/>
      </c>
      <c r="F332" s="195">
        <f>IF(OR(A332="",B332=""),"",100*(D332-B332)/MAX(B332,1E-12))</f>
        <v/>
      </c>
      <c r="G332" s="195">
        <f>IF(OR(A332="",C332=""),"",E332-C332)</f>
        <v/>
      </c>
      <c r="H332" s="195">
        <f>IF(A332="","",LOG10(A332))</f>
        <v/>
      </c>
      <c r="I332" s="195">
        <f>IF(B332="","",LOG10(MAX(B332,1E-12)))</f>
        <v/>
      </c>
      <c r="J332" s="195">
        <f>IF(D332="","",LOG10(MAX(D332,1E-12)))</f>
        <v/>
      </c>
      <c r="K332">
        <f>IF(A332="","",ROUND(1+(LOG10(A332)-LOG10('入力・概要'!$B$38))*('入力・概要'!$B$40-1)/(LOG10('入力・概要'!$B$39)-LOG10('入力・概要'!$B$38)),0)+3)</f>
        <v/>
      </c>
      <c r="L332">
        <f>IF(K332="","",INDEX('差動モデル'!$B:$B,K332))</f>
        <v/>
      </c>
      <c r="M332">
        <f>IF(A332="","",IF(ABS(L332/A332-1)&lt;0.01,"周波数差&lt;1%","周波数差あり"))</f>
        <v/>
      </c>
    </row>
    <row r="333">
      <c r="A333" s="197" t="n"/>
      <c r="B333" s="198" t="n"/>
      <c r="C333" s="198" t="n"/>
      <c r="D333" s="195">
        <f>IF(K333="","",INDEX('差動モデル'!$R:$R,K333))</f>
        <v/>
      </c>
      <c r="E333" s="195">
        <f>IF(K333="","",INDEX('差動モデル'!$S:$S,K333))</f>
        <v/>
      </c>
      <c r="F333" s="195">
        <f>IF(OR(A333="",B333=""),"",100*(D333-B333)/MAX(B333,1E-12))</f>
        <v/>
      </c>
      <c r="G333" s="195">
        <f>IF(OR(A333="",C333=""),"",E333-C333)</f>
        <v/>
      </c>
      <c r="H333" s="195">
        <f>IF(A333="","",LOG10(A333))</f>
        <v/>
      </c>
      <c r="I333" s="195">
        <f>IF(B333="","",LOG10(MAX(B333,1E-12)))</f>
        <v/>
      </c>
      <c r="J333" s="195">
        <f>IF(D333="","",LOG10(MAX(D333,1E-12)))</f>
        <v/>
      </c>
      <c r="K333">
        <f>IF(A333="","",ROUND(1+(LOG10(A333)-LOG10('入力・概要'!$B$38))*('入力・概要'!$B$40-1)/(LOG10('入力・概要'!$B$39)-LOG10('入力・概要'!$B$38)),0)+3)</f>
        <v/>
      </c>
      <c r="L333">
        <f>IF(K333="","",INDEX('差動モデル'!$B:$B,K333))</f>
        <v/>
      </c>
      <c r="M333">
        <f>IF(A333="","",IF(ABS(L333/A333-1)&lt;0.01,"周波数差&lt;1%","周波数差あり"))</f>
        <v/>
      </c>
    </row>
    <row r="334">
      <c r="A334" s="197" t="n"/>
      <c r="B334" s="198" t="n"/>
      <c r="C334" s="198" t="n"/>
      <c r="D334" s="195">
        <f>IF(K334="","",INDEX('差動モデル'!$R:$R,K334))</f>
        <v/>
      </c>
      <c r="E334" s="195">
        <f>IF(K334="","",INDEX('差動モデル'!$S:$S,K334))</f>
        <v/>
      </c>
      <c r="F334" s="195">
        <f>IF(OR(A334="",B334=""),"",100*(D334-B334)/MAX(B334,1E-12))</f>
        <v/>
      </c>
      <c r="G334" s="195">
        <f>IF(OR(A334="",C334=""),"",E334-C334)</f>
        <v/>
      </c>
      <c r="H334" s="195">
        <f>IF(A334="","",LOG10(A334))</f>
        <v/>
      </c>
      <c r="I334" s="195">
        <f>IF(B334="","",LOG10(MAX(B334,1E-12)))</f>
        <v/>
      </c>
      <c r="J334" s="195">
        <f>IF(D334="","",LOG10(MAX(D334,1E-12)))</f>
        <v/>
      </c>
      <c r="K334">
        <f>IF(A334="","",ROUND(1+(LOG10(A334)-LOG10('入力・概要'!$B$38))*('入力・概要'!$B$40-1)/(LOG10('入力・概要'!$B$39)-LOG10('入力・概要'!$B$38)),0)+3)</f>
        <v/>
      </c>
      <c r="L334">
        <f>IF(K334="","",INDEX('差動モデル'!$B:$B,K334))</f>
        <v/>
      </c>
      <c r="M334">
        <f>IF(A334="","",IF(ABS(L334/A334-1)&lt;0.01,"周波数差&lt;1%","周波数差あり"))</f>
        <v/>
      </c>
    </row>
    <row r="335">
      <c r="A335" s="197" t="n"/>
      <c r="B335" s="198" t="n"/>
      <c r="C335" s="198" t="n"/>
      <c r="D335" s="195">
        <f>IF(K335="","",INDEX('差動モデル'!$R:$R,K335))</f>
        <v/>
      </c>
      <c r="E335" s="195">
        <f>IF(K335="","",INDEX('差動モデル'!$S:$S,K335))</f>
        <v/>
      </c>
      <c r="F335" s="195">
        <f>IF(OR(A335="",B335=""),"",100*(D335-B335)/MAX(B335,1E-12))</f>
        <v/>
      </c>
      <c r="G335" s="195">
        <f>IF(OR(A335="",C335=""),"",E335-C335)</f>
        <v/>
      </c>
      <c r="H335" s="195">
        <f>IF(A335="","",LOG10(A335))</f>
        <v/>
      </c>
      <c r="I335" s="195">
        <f>IF(B335="","",LOG10(MAX(B335,1E-12)))</f>
        <v/>
      </c>
      <c r="J335" s="195">
        <f>IF(D335="","",LOG10(MAX(D335,1E-12)))</f>
        <v/>
      </c>
      <c r="K335">
        <f>IF(A335="","",ROUND(1+(LOG10(A335)-LOG10('入力・概要'!$B$38))*('入力・概要'!$B$40-1)/(LOG10('入力・概要'!$B$39)-LOG10('入力・概要'!$B$38)),0)+3)</f>
        <v/>
      </c>
      <c r="L335">
        <f>IF(K335="","",INDEX('差動モデル'!$B:$B,K335))</f>
        <v/>
      </c>
      <c r="M335">
        <f>IF(A335="","",IF(ABS(L335/A335-1)&lt;0.01,"周波数差&lt;1%","周波数差あり"))</f>
        <v/>
      </c>
    </row>
    <row r="336">
      <c r="A336" s="197" t="n"/>
      <c r="B336" s="198" t="n"/>
      <c r="C336" s="198" t="n"/>
      <c r="D336" s="195">
        <f>IF(K336="","",INDEX('差動モデル'!$R:$R,K336))</f>
        <v/>
      </c>
      <c r="E336" s="195">
        <f>IF(K336="","",INDEX('差動モデル'!$S:$S,K336))</f>
        <v/>
      </c>
      <c r="F336" s="195">
        <f>IF(OR(A336="",B336=""),"",100*(D336-B336)/MAX(B336,1E-12))</f>
        <v/>
      </c>
      <c r="G336" s="195">
        <f>IF(OR(A336="",C336=""),"",E336-C336)</f>
        <v/>
      </c>
      <c r="H336" s="195">
        <f>IF(A336="","",LOG10(A336))</f>
        <v/>
      </c>
      <c r="I336" s="195">
        <f>IF(B336="","",LOG10(MAX(B336,1E-12)))</f>
        <v/>
      </c>
      <c r="J336" s="195">
        <f>IF(D336="","",LOG10(MAX(D336,1E-12)))</f>
        <v/>
      </c>
      <c r="K336">
        <f>IF(A336="","",ROUND(1+(LOG10(A336)-LOG10('入力・概要'!$B$38))*('入力・概要'!$B$40-1)/(LOG10('入力・概要'!$B$39)-LOG10('入力・概要'!$B$38)),0)+3)</f>
        <v/>
      </c>
      <c r="L336">
        <f>IF(K336="","",INDEX('差動モデル'!$B:$B,K336))</f>
        <v/>
      </c>
      <c r="M336">
        <f>IF(A336="","",IF(ABS(L336/A336-1)&lt;0.01,"周波数差&lt;1%","周波数差あり"))</f>
        <v/>
      </c>
    </row>
    <row r="337">
      <c r="A337" s="197" t="n"/>
      <c r="B337" s="198" t="n"/>
      <c r="C337" s="198" t="n"/>
      <c r="D337" s="195">
        <f>IF(K337="","",INDEX('差動モデル'!$R:$R,K337))</f>
        <v/>
      </c>
      <c r="E337" s="195">
        <f>IF(K337="","",INDEX('差動モデル'!$S:$S,K337))</f>
        <v/>
      </c>
      <c r="F337" s="195">
        <f>IF(OR(A337="",B337=""),"",100*(D337-B337)/MAX(B337,1E-12))</f>
        <v/>
      </c>
      <c r="G337" s="195">
        <f>IF(OR(A337="",C337=""),"",E337-C337)</f>
        <v/>
      </c>
      <c r="H337" s="195">
        <f>IF(A337="","",LOG10(A337))</f>
        <v/>
      </c>
      <c r="I337" s="195">
        <f>IF(B337="","",LOG10(MAX(B337,1E-12)))</f>
        <v/>
      </c>
      <c r="J337" s="195">
        <f>IF(D337="","",LOG10(MAX(D337,1E-12)))</f>
        <v/>
      </c>
      <c r="K337">
        <f>IF(A337="","",ROUND(1+(LOG10(A337)-LOG10('入力・概要'!$B$38))*('入力・概要'!$B$40-1)/(LOG10('入力・概要'!$B$39)-LOG10('入力・概要'!$B$38)),0)+3)</f>
        <v/>
      </c>
      <c r="L337">
        <f>IF(K337="","",INDEX('差動モデル'!$B:$B,K337))</f>
        <v/>
      </c>
      <c r="M337">
        <f>IF(A337="","",IF(ABS(L337/A337-1)&lt;0.01,"周波数差&lt;1%","周波数差あり"))</f>
        <v/>
      </c>
    </row>
    <row r="338">
      <c r="A338" s="197" t="n"/>
      <c r="B338" s="198" t="n"/>
      <c r="C338" s="198" t="n"/>
      <c r="D338" s="195">
        <f>IF(K338="","",INDEX('差動モデル'!$R:$R,K338))</f>
        <v/>
      </c>
      <c r="E338" s="195">
        <f>IF(K338="","",INDEX('差動モデル'!$S:$S,K338))</f>
        <v/>
      </c>
      <c r="F338" s="195">
        <f>IF(OR(A338="",B338=""),"",100*(D338-B338)/MAX(B338,1E-12))</f>
        <v/>
      </c>
      <c r="G338" s="195">
        <f>IF(OR(A338="",C338=""),"",E338-C338)</f>
        <v/>
      </c>
      <c r="H338" s="195">
        <f>IF(A338="","",LOG10(A338))</f>
        <v/>
      </c>
      <c r="I338" s="195">
        <f>IF(B338="","",LOG10(MAX(B338,1E-12)))</f>
        <v/>
      </c>
      <c r="J338" s="195">
        <f>IF(D338="","",LOG10(MAX(D338,1E-12)))</f>
        <v/>
      </c>
      <c r="K338">
        <f>IF(A338="","",ROUND(1+(LOG10(A338)-LOG10('入力・概要'!$B$38))*('入力・概要'!$B$40-1)/(LOG10('入力・概要'!$B$39)-LOG10('入力・概要'!$B$38)),0)+3)</f>
        <v/>
      </c>
      <c r="L338">
        <f>IF(K338="","",INDEX('差動モデル'!$B:$B,K338))</f>
        <v/>
      </c>
      <c r="M338">
        <f>IF(A338="","",IF(ABS(L338/A338-1)&lt;0.01,"周波数差&lt;1%","周波数差あり"))</f>
        <v/>
      </c>
    </row>
    <row r="339">
      <c r="A339" s="197" t="n"/>
      <c r="B339" s="198" t="n"/>
      <c r="C339" s="198" t="n"/>
      <c r="D339" s="195">
        <f>IF(K339="","",INDEX('差動モデル'!$R:$R,K339))</f>
        <v/>
      </c>
      <c r="E339" s="195">
        <f>IF(K339="","",INDEX('差動モデル'!$S:$S,K339))</f>
        <v/>
      </c>
      <c r="F339" s="195">
        <f>IF(OR(A339="",B339=""),"",100*(D339-B339)/MAX(B339,1E-12))</f>
        <v/>
      </c>
      <c r="G339" s="195">
        <f>IF(OR(A339="",C339=""),"",E339-C339)</f>
        <v/>
      </c>
      <c r="H339" s="195">
        <f>IF(A339="","",LOG10(A339))</f>
        <v/>
      </c>
      <c r="I339" s="195">
        <f>IF(B339="","",LOG10(MAX(B339,1E-12)))</f>
        <v/>
      </c>
      <c r="J339" s="195">
        <f>IF(D339="","",LOG10(MAX(D339,1E-12)))</f>
        <v/>
      </c>
      <c r="K339">
        <f>IF(A339="","",ROUND(1+(LOG10(A339)-LOG10('入力・概要'!$B$38))*('入力・概要'!$B$40-1)/(LOG10('入力・概要'!$B$39)-LOG10('入力・概要'!$B$38)),0)+3)</f>
        <v/>
      </c>
      <c r="L339">
        <f>IF(K339="","",INDEX('差動モデル'!$B:$B,K339))</f>
        <v/>
      </c>
      <c r="M339">
        <f>IF(A339="","",IF(ABS(L339/A339-1)&lt;0.01,"周波数差&lt;1%","周波数差あり"))</f>
        <v/>
      </c>
    </row>
    <row r="340">
      <c r="A340" s="197" t="n"/>
      <c r="B340" s="198" t="n"/>
      <c r="C340" s="198" t="n"/>
      <c r="D340" s="195">
        <f>IF(K340="","",INDEX('差動モデル'!$R:$R,K340))</f>
        <v/>
      </c>
      <c r="E340" s="195">
        <f>IF(K340="","",INDEX('差動モデル'!$S:$S,K340))</f>
        <v/>
      </c>
      <c r="F340" s="195">
        <f>IF(OR(A340="",B340=""),"",100*(D340-B340)/MAX(B340,1E-12))</f>
        <v/>
      </c>
      <c r="G340" s="195">
        <f>IF(OR(A340="",C340=""),"",E340-C340)</f>
        <v/>
      </c>
      <c r="H340" s="195">
        <f>IF(A340="","",LOG10(A340))</f>
        <v/>
      </c>
      <c r="I340" s="195">
        <f>IF(B340="","",LOG10(MAX(B340,1E-12)))</f>
        <v/>
      </c>
      <c r="J340" s="195">
        <f>IF(D340="","",LOG10(MAX(D340,1E-12)))</f>
        <v/>
      </c>
      <c r="K340">
        <f>IF(A340="","",ROUND(1+(LOG10(A340)-LOG10('入力・概要'!$B$38))*('入力・概要'!$B$40-1)/(LOG10('入力・概要'!$B$39)-LOG10('入力・概要'!$B$38)),0)+3)</f>
        <v/>
      </c>
      <c r="L340">
        <f>IF(K340="","",INDEX('差動モデル'!$B:$B,K340))</f>
        <v/>
      </c>
      <c r="M340">
        <f>IF(A340="","",IF(ABS(L340/A340-1)&lt;0.01,"周波数差&lt;1%","周波数差あり"))</f>
        <v/>
      </c>
    </row>
    <row r="341">
      <c r="A341" s="197" t="n"/>
      <c r="B341" s="198" t="n"/>
      <c r="C341" s="198" t="n"/>
      <c r="D341" s="195">
        <f>IF(K341="","",INDEX('差動モデル'!$R:$R,K341))</f>
        <v/>
      </c>
      <c r="E341" s="195">
        <f>IF(K341="","",INDEX('差動モデル'!$S:$S,K341))</f>
        <v/>
      </c>
      <c r="F341" s="195">
        <f>IF(OR(A341="",B341=""),"",100*(D341-B341)/MAX(B341,1E-12))</f>
        <v/>
      </c>
      <c r="G341" s="195">
        <f>IF(OR(A341="",C341=""),"",E341-C341)</f>
        <v/>
      </c>
      <c r="H341" s="195">
        <f>IF(A341="","",LOG10(A341))</f>
        <v/>
      </c>
      <c r="I341" s="195">
        <f>IF(B341="","",LOG10(MAX(B341,1E-12)))</f>
        <v/>
      </c>
      <c r="J341" s="195">
        <f>IF(D341="","",LOG10(MAX(D341,1E-12)))</f>
        <v/>
      </c>
      <c r="K341">
        <f>IF(A341="","",ROUND(1+(LOG10(A341)-LOG10('入力・概要'!$B$38))*('入力・概要'!$B$40-1)/(LOG10('入力・概要'!$B$39)-LOG10('入力・概要'!$B$38)),0)+3)</f>
        <v/>
      </c>
      <c r="L341">
        <f>IF(K341="","",INDEX('差動モデル'!$B:$B,K341))</f>
        <v/>
      </c>
      <c r="M341">
        <f>IF(A341="","",IF(ABS(L341/A341-1)&lt;0.01,"周波数差&lt;1%","周波数差あり"))</f>
        <v/>
      </c>
    </row>
    <row r="342">
      <c r="A342" s="197" t="n"/>
      <c r="B342" s="198" t="n"/>
      <c r="C342" s="198" t="n"/>
      <c r="D342" s="195">
        <f>IF(K342="","",INDEX('差動モデル'!$R:$R,K342))</f>
        <v/>
      </c>
      <c r="E342" s="195">
        <f>IF(K342="","",INDEX('差動モデル'!$S:$S,K342))</f>
        <v/>
      </c>
      <c r="F342" s="195">
        <f>IF(OR(A342="",B342=""),"",100*(D342-B342)/MAX(B342,1E-12))</f>
        <v/>
      </c>
      <c r="G342" s="195">
        <f>IF(OR(A342="",C342=""),"",E342-C342)</f>
        <v/>
      </c>
      <c r="H342" s="195">
        <f>IF(A342="","",LOG10(A342))</f>
        <v/>
      </c>
      <c r="I342" s="195">
        <f>IF(B342="","",LOG10(MAX(B342,1E-12)))</f>
        <v/>
      </c>
      <c r="J342" s="195">
        <f>IF(D342="","",LOG10(MAX(D342,1E-12)))</f>
        <v/>
      </c>
      <c r="K342">
        <f>IF(A342="","",ROUND(1+(LOG10(A342)-LOG10('入力・概要'!$B$38))*('入力・概要'!$B$40-1)/(LOG10('入力・概要'!$B$39)-LOG10('入力・概要'!$B$38)),0)+3)</f>
        <v/>
      </c>
      <c r="L342">
        <f>IF(K342="","",INDEX('差動モデル'!$B:$B,K342))</f>
        <v/>
      </c>
      <c r="M342">
        <f>IF(A342="","",IF(ABS(L342/A342-1)&lt;0.01,"周波数差&lt;1%","周波数差あり"))</f>
        <v/>
      </c>
    </row>
    <row r="343">
      <c r="A343" s="197" t="n"/>
      <c r="B343" s="198" t="n"/>
      <c r="C343" s="198" t="n"/>
      <c r="D343" s="195">
        <f>IF(K343="","",INDEX('差動モデル'!$R:$R,K343))</f>
        <v/>
      </c>
      <c r="E343" s="195">
        <f>IF(K343="","",INDEX('差動モデル'!$S:$S,K343))</f>
        <v/>
      </c>
      <c r="F343" s="195">
        <f>IF(OR(A343="",B343=""),"",100*(D343-B343)/MAX(B343,1E-12))</f>
        <v/>
      </c>
      <c r="G343" s="195">
        <f>IF(OR(A343="",C343=""),"",E343-C343)</f>
        <v/>
      </c>
      <c r="H343" s="195">
        <f>IF(A343="","",LOG10(A343))</f>
        <v/>
      </c>
      <c r="I343" s="195">
        <f>IF(B343="","",LOG10(MAX(B343,1E-12)))</f>
        <v/>
      </c>
      <c r="J343" s="195">
        <f>IF(D343="","",LOG10(MAX(D343,1E-12)))</f>
        <v/>
      </c>
      <c r="K343">
        <f>IF(A343="","",ROUND(1+(LOG10(A343)-LOG10('入力・概要'!$B$38))*('入力・概要'!$B$40-1)/(LOG10('入力・概要'!$B$39)-LOG10('入力・概要'!$B$38)),0)+3)</f>
        <v/>
      </c>
      <c r="L343">
        <f>IF(K343="","",INDEX('差動モデル'!$B:$B,K343))</f>
        <v/>
      </c>
      <c r="M343">
        <f>IF(A343="","",IF(ABS(L343/A343-1)&lt;0.01,"周波数差&lt;1%","周波数差あり"))</f>
        <v/>
      </c>
    </row>
    <row r="344">
      <c r="A344" s="197" t="n"/>
      <c r="B344" s="198" t="n"/>
      <c r="C344" s="198" t="n"/>
      <c r="D344" s="195">
        <f>IF(K344="","",INDEX('差動モデル'!$R:$R,K344))</f>
        <v/>
      </c>
      <c r="E344" s="195">
        <f>IF(K344="","",INDEX('差動モデル'!$S:$S,K344))</f>
        <v/>
      </c>
      <c r="F344" s="195">
        <f>IF(OR(A344="",B344=""),"",100*(D344-B344)/MAX(B344,1E-12))</f>
        <v/>
      </c>
      <c r="G344" s="195">
        <f>IF(OR(A344="",C344=""),"",E344-C344)</f>
        <v/>
      </c>
      <c r="H344" s="195">
        <f>IF(A344="","",LOG10(A344))</f>
        <v/>
      </c>
      <c r="I344" s="195">
        <f>IF(B344="","",LOG10(MAX(B344,1E-12)))</f>
        <v/>
      </c>
      <c r="J344" s="195">
        <f>IF(D344="","",LOG10(MAX(D344,1E-12)))</f>
        <v/>
      </c>
      <c r="K344">
        <f>IF(A344="","",ROUND(1+(LOG10(A344)-LOG10('入力・概要'!$B$38))*('入力・概要'!$B$40-1)/(LOG10('入力・概要'!$B$39)-LOG10('入力・概要'!$B$38)),0)+3)</f>
        <v/>
      </c>
      <c r="L344">
        <f>IF(K344="","",INDEX('差動モデル'!$B:$B,K344))</f>
        <v/>
      </c>
      <c r="M344">
        <f>IF(A344="","",IF(ABS(L344/A344-1)&lt;0.01,"周波数差&lt;1%","周波数差あり"))</f>
        <v/>
      </c>
    </row>
    <row r="345">
      <c r="A345" s="197" t="n"/>
      <c r="B345" s="198" t="n"/>
      <c r="C345" s="198" t="n"/>
      <c r="D345" s="195">
        <f>IF(K345="","",INDEX('差動モデル'!$R:$R,K345))</f>
        <v/>
      </c>
      <c r="E345" s="195">
        <f>IF(K345="","",INDEX('差動モデル'!$S:$S,K345))</f>
        <v/>
      </c>
      <c r="F345" s="195">
        <f>IF(OR(A345="",B345=""),"",100*(D345-B345)/MAX(B345,1E-12))</f>
        <v/>
      </c>
      <c r="G345" s="195">
        <f>IF(OR(A345="",C345=""),"",E345-C345)</f>
        <v/>
      </c>
      <c r="H345" s="195">
        <f>IF(A345="","",LOG10(A345))</f>
        <v/>
      </c>
      <c r="I345" s="195">
        <f>IF(B345="","",LOG10(MAX(B345,1E-12)))</f>
        <v/>
      </c>
      <c r="J345" s="195">
        <f>IF(D345="","",LOG10(MAX(D345,1E-12)))</f>
        <v/>
      </c>
      <c r="K345">
        <f>IF(A345="","",ROUND(1+(LOG10(A345)-LOG10('入力・概要'!$B$38))*('入力・概要'!$B$40-1)/(LOG10('入力・概要'!$B$39)-LOG10('入力・概要'!$B$38)),0)+3)</f>
        <v/>
      </c>
      <c r="L345">
        <f>IF(K345="","",INDEX('差動モデル'!$B:$B,K345))</f>
        <v/>
      </c>
      <c r="M345">
        <f>IF(A345="","",IF(ABS(L345/A345-1)&lt;0.01,"周波数差&lt;1%","周波数差あり"))</f>
        <v/>
      </c>
    </row>
    <row r="346">
      <c r="A346" s="197" t="n"/>
      <c r="B346" s="198" t="n"/>
      <c r="C346" s="198" t="n"/>
      <c r="D346" s="195">
        <f>IF(K346="","",INDEX('差動モデル'!$R:$R,K346))</f>
        <v/>
      </c>
      <c r="E346" s="195">
        <f>IF(K346="","",INDEX('差動モデル'!$S:$S,K346))</f>
        <v/>
      </c>
      <c r="F346" s="195">
        <f>IF(OR(A346="",B346=""),"",100*(D346-B346)/MAX(B346,1E-12))</f>
        <v/>
      </c>
      <c r="G346" s="195">
        <f>IF(OR(A346="",C346=""),"",E346-C346)</f>
        <v/>
      </c>
      <c r="H346" s="195">
        <f>IF(A346="","",LOG10(A346))</f>
        <v/>
      </c>
      <c r="I346" s="195">
        <f>IF(B346="","",LOG10(MAX(B346,1E-12)))</f>
        <v/>
      </c>
      <c r="J346" s="195">
        <f>IF(D346="","",LOG10(MAX(D346,1E-12)))</f>
        <v/>
      </c>
      <c r="K346">
        <f>IF(A346="","",ROUND(1+(LOG10(A346)-LOG10('入力・概要'!$B$38))*('入力・概要'!$B$40-1)/(LOG10('入力・概要'!$B$39)-LOG10('入力・概要'!$B$38)),0)+3)</f>
        <v/>
      </c>
      <c r="L346">
        <f>IF(K346="","",INDEX('差動モデル'!$B:$B,K346))</f>
        <v/>
      </c>
      <c r="M346">
        <f>IF(A346="","",IF(ABS(L346/A346-1)&lt;0.01,"周波数差&lt;1%","周波数差あり"))</f>
        <v/>
      </c>
    </row>
    <row r="347">
      <c r="A347" s="197" t="n"/>
      <c r="B347" s="198" t="n"/>
      <c r="C347" s="198" t="n"/>
      <c r="D347" s="195">
        <f>IF(K347="","",INDEX('差動モデル'!$R:$R,K347))</f>
        <v/>
      </c>
      <c r="E347" s="195">
        <f>IF(K347="","",INDEX('差動モデル'!$S:$S,K347))</f>
        <v/>
      </c>
      <c r="F347" s="195">
        <f>IF(OR(A347="",B347=""),"",100*(D347-B347)/MAX(B347,1E-12))</f>
        <v/>
      </c>
      <c r="G347" s="195">
        <f>IF(OR(A347="",C347=""),"",E347-C347)</f>
        <v/>
      </c>
      <c r="H347" s="195">
        <f>IF(A347="","",LOG10(A347))</f>
        <v/>
      </c>
      <c r="I347" s="195">
        <f>IF(B347="","",LOG10(MAX(B347,1E-12)))</f>
        <v/>
      </c>
      <c r="J347" s="195">
        <f>IF(D347="","",LOG10(MAX(D347,1E-12)))</f>
        <v/>
      </c>
      <c r="K347">
        <f>IF(A347="","",ROUND(1+(LOG10(A347)-LOG10('入力・概要'!$B$38))*('入力・概要'!$B$40-1)/(LOG10('入力・概要'!$B$39)-LOG10('入力・概要'!$B$38)),0)+3)</f>
        <v/>
      </c>
      <c r="L347">
        <f>IF(K347="","",INDEX('差動モデル'!$B:$B,K347))</f>
        <v/>
      </c>
      <c r="M347">
        <f>IF(A347="","",IF(ABS(L347/A347-1)&lt;0.01,"周波数差&lt;1%","周波数差あり"))</f>
        <v/>
      </c>
    </row>
    <row r="348">
      <c r="A348" s="197" t="n"/>
      <c r="B348" s="198" t="n"/>
      <c r="C348" s="198" t="n"/>
      <c r="D348" s="195">
        <f>IF(K348="","",INDEX('差動モデル'!$R:$R,K348))</f>
        <v/>
      </c>
      <c r="E348" s="195">
        <f>IF(K348="","",INDEX('差動モデル'!$S:$S,K348))</f>
        <v/>
      </c>
      <c r="F348" s="195">
        <f>IF(OR(A348="",B348=""),"",100*(D348-B348)/MAX(B348,1E-12))</f>
        <v/>
      </c>
      <c r="G348" s="195">
        <f>IF(OR(A348="",C348=""),"",E348-C348)</f>
        <v/>
      </c>
      <c r="H348" s="195">
        <f>IF(A348="","",LOG10(A348))</f>
        <v/>
      </c>
      <c r="I348" s="195">
        <f>IF(B348="","",LOG10(MAX(B348,1E-12)))</f>
        <v/>
      </c>
      <c r="J348" s="195">
        <f>IF(D348="","",LOG10(MAX(D348,1E-12)))</f>
        <v/>
      </c>
      <c r="K348">
        <f>IF(A348="","",ROUND(1+(LOG10(A348)-LOG10('入力・概要'!$B$38))*('入力・概要'!$B$40-1)/(LOG10('入力・概要'!$B$39)-LOG10('入力・概要'!$B$38)),0)+3)</f>
        <v/>
      </c>
      <c r="L348">
        <f>IF(K348="","",INDEX('差動モデル'!$B:$B,K348))</f>
        <v/>
      </c>
      <c r="M348">
        <f>IF(A348="","",IF(ABS(L348/A348-1)&lt;0.01,"周波数差&lt;1%","周波数差あり"))</f>
        <v/>
      </c>
    </row>
    <row r="349">
      <c r="A349" s="197" t="n"/>
      <c r="B349" s="198" t="n"/>
      <c r="C349" s="198" t="n"/>
      <c r="D349" s="195">
        <f>IF(K349="","",INDEX('差動モデル'!$R:$R,K349))</f>
        <v/>
      </c>
      <c r="E349" s="195">
        <f>IF(K349="","",INDEX('差動モデル'!$S:$S,K349))</f>
        <v/>
      </c>
      <c r="F349" s="195">
        <f>IF(OR(A349="",B349=""),"",100*(D349-B349)/MAX(B349,1E-12))</f>
        <v/>
      </c>
      <c r="G349" s="195">
        <f>IF(OR(A349="",C349=""),"",E349-C349)</f>
        <v/>
      </c>
      <c r="H349" s="195">
        <f>IF(A349="","",LOG10(A349))</f>
        <v/>
      </c>
      <c r="I349" s="195">
        <f>IF(B349="","",LOG10(MAX(B349,1E-12)))</f>
        <v/>
      </c>
      <c r="J349" s="195">
        <f>IF(D349="","",LOG10(MAX(D349,1E-12)))</f>
        <v/>
      </c>
      <c r="K349">
        <f>IF(A349="","",ROUND(1+(LOG10(A349)-LOG10('入力・概要'!$B$38))*('入力・概要'!$B$40-1)/(LOG10('入力・概要'!$B$39)-LOG10('入力・概要'!$B$38)),0)+3)</f>
        <v/>
      </c>
      <c r="L349">
        <f>IF(K349="","",INDEX('差動モデル'!$B:$B,K349))</f>
        <v/>
      </c>
      <c r="M349">
        <f>IF(A349="","",IF(ABS(L349/A349-1)&lt;0.01,"周波数差&lt;1%","周波数差あり"))</f>
        <v/>
      </c>
    </row>
    <row r="350">
      <c r="A350" s="197" t="n"/>
      <c r="B350" s="198" t="n"/>
      <c r="C350" s="198" t="n"/>
      <c r="D350" s="195">
        <f>IF(K350="","",INDEX('差動モデル'!$R:$R,K350))</f>
        <v/>
      </c>
      <c r="E350" s="195">
        <f>IF(K350="","",INDEX('差動モデル'!$S:$S,K350))</f>
        <v/>
      </c>
      <c r="F350" s="195">
        <f>IF(OR(A350="",B350=""),"",100*(D350-B350)/MAX(B350,1E-12))</f>
        <v/>
      </c>
      <c r="G350" s="195">
        <f>IF(OR(A350="",C350=""),"",E350-C350)</f>
        <v/>
      </c>
      <c r="H350" s="195">
        <f>IF(A350="","",LOG10(A350))</f>
        <v/>
      </c>
      <c r="I350" s="195">
        <f>IF(B350="","",LOG10(MAX(B350,1E-12)))</f>
        <v/>
      </c>
      <c r="J350" s="195">
        <f>IF(D350="","",LOG10(MAX(D350,1E-12)))</f>
        <v/>
      </c>
      <c r="K350">
        <f>IF(A350="","",ROUND(1+(LOG10(A350)-LOG10('入力・概要'!$B$38))*('入力・概要'!$B$40-1)/(LOG10('入力・概要'!$B$39)-LOG10('入力・概要'!$B$38)),0)+3)</f>
        <v/>
      </c>
      <c r="L350">
        <f>IF(K350="","",INDEX('差動モデル'!$B:$B,K350))</f>
        <v/>
      </c>
      <c r="M350">
        <f>IF(A350="","",IF(ABS(L350/A350-1)&lt;0.01,"周波数差&lt;1%","周波数差あり"))</f>
        <v/>
      </c>
    </row>
    <row r="351">
      <c r="A351" s="197" t="n"/>
      <c r="B351" s="198" t="n"/>
      <c r="C351" s="198" t="n"/>
      <c r="D351" s="195">
        <f>IF(K351="","",INDEX('差動モデル'!$R:$R,K351))</f>
        <v/>
      </c>
      <c r="E351" s="195">
        <f>IF(K351="","",INDEX('差動モデル'!$S:$S,K351))</f>
        <v/>
      </c>
      <c r="F351" s="195">
        <f>IF(OR(A351="",B351=""),"",100*(D351-B351)/MAX(B351,1E-12))</f>
        <v/>
      </c>
      <c r="G351" s="195">
        <f>IF(OR(A351="",C351=""),"",E351-C351)</f>
        <v/>
      </c>
      <c r="H351" s="195">
        <f>IF(A351="","",LOG10(A351))</f>
        <v/>
      </c>
      <c r="I351" s="195">
        <f>IF(B351="","",LOG10(MAX(B351,1E-12)))</f>
        <v/>
      </c>
      <c r="J351" s="195">
        <f>IF(D351="","",LOG10(MAX(D351,1E-12)))</f>
        <v/>
      </c>
      <c r="K351">
        <f>IF(A351="","",ROUND(1+(LOG10(A351)-LOG10('入力・概要'!$B$38))*('入力・概要'!$B$40-1)/(LOG10('入力・概要'!$B$39)-LOG10('入力・概要'!$B$38)),0)+3)</f>
        <v/>
      </c>
      <c r="L351">
        <f>IF(K351="","",INDEX('差動モデル'!$B:$B,K351))</f>
        <v/>
      </c>
      <c r="M351">
        <f>IF(A351="","",IF(ABS(L351/A351-1)&lt;0.01,"周波数差&lt;1%","周波数差あり"))</f>
        <v/>
      </c>
    </row>
    <row r="352">
      <c r="A352" s="197" t="n"/>
      <c r="B352" s="198" t="n"/>
      <c r="C352" s="198" t="n"/>
      <c r="D352" s="195">
        <f>IF(K352="","",INDEX('差動モデル'!$R:$R,K352))</f>
        <v/>
      </c>
      <c r="E352" s="195">
        <f>IF(K352="","",INDEX('差動モデル'!$S:$S,K352))</f>
        <v/>
      </c>
      <c r="F352" s="195">
        <f>IF(OR(A352="",B352=""),"",100*(D352-B352)/MAX(B352,1E-12))</f>
        <v/>
      </c>
      <c r="G352" s="195">
        <f>IF(OR(A352="",C352=""),"",E352-C352)</f>
        <v/>
      </c>
      <c r="H352" s="195">
        <f>IF(A352="","",LOG10(A352))</f>
        <v/>
      </c>
      <c r="I352" s="195">
        <f>IF(B352="","",LOG10(MAX(B352,1E-12)))</f>
        <v/>
      </c>
      <c r="J352" s="195">
        <f>IF(D352="","",LOG10(MAX(D352,1E-12)))</f>
        <v/>
      </c>
      <c r="K352">
        <f>IF(A352="","",ROUND(1+(LOG10(A352)-LOG10('入力・概要'!$B$38))*('入力・概要'!$B$40-1)/(LOG10('入力・概要'!$B$39)-LOG10('入力・概要'!$B$38)),0)+3)</f>
        <v/>
      </c>
      <c r="L352">
        <f>IF(K352="","",INDEX('差動モデル'!$B:$B,K352))</f>
        <v/>
      </c>
      <c r="M352">
        <f>IF(A352="","",IF(ABS(L352/A352-1)&lt;0.01,"周波数差&lt;1%","周波数差あり"))</f>
        <v/>
      </c>
    </row>
    <row r="353">
      <c r="A353" s="197" t="n"/>
      <c r="B353" s="198" t="n"/>
      <c r="C353" s="198" t="n"/>
      <c r="D353" s="195">
        <f>IF(K353="","",INDEX('差動モデル'!$R:$R,K353))</f>
        <v/>
      </c>
      <c r="E353" s="195">
        <f>IF(K353="","",INDEX('差動モデル'!$S:$S,K353))</f>
        <v/>
      </c>
      <c r="F353" s="195">
        <f>IF(OR(A353="",B353=""),"",100*(D353-B353)/MAX(B353,1E-12))</f>
        <v/>
      </c>
      <c r="G353" s="195">
        <f>IF(OR(A353="",C353=""),"",E353-C353)</f>
        <v/>
      </c>
      <c r="H353" s="195">
        <f>IF(A353="","",LOG10(A353))</f>
        <v/>
      </c>
      <c r="I353" s="195">
        <f>IF(B353="","",LOG10(MAX(B353,1E-12)))</f>
        <v/>
      </c>
      <c r="J353" s="195">
        <f>IF(D353="","",LOG10(MAX(D353,1E-12)))</f>
        <v/>
      </c>
      <c r="K353">
        <f>IF(A353="","",ROUND(1+(LOG10(A353)-LOG10('入力・概要'!$B$38))*('入力・概要'!$B$40-1)/(LOG10('入力・概要'!$B$39)-LOG10('入力・概要'!$B$38)),0)+3)</f>
        <v/>
      </c>
      <c r="L353">
        <f>IF(K353="","",INDEX('差動モデル'!$B:$B,K353))</f>
        <v/>
      </c>
      <c r="M353">
        <f>IF(A353="","",IF(ABS(L353/A353-1)&lt;0.01,"周波数差&lt;1%","周波数差あり"))</f>
        <v/>
      </c>
    </row>
    <row r="354">
      <c r="A354" s="197" t="n"/>
      <c r="B354" s="198" t="n"/>
      <c r="C354" s="198" t="n"/>
      <c r="D354" s="195">
        <f>IF(K354="","",INDEX('差動モデル'!$R:$R,K354))</f>
        <v/>
      </c>
      <c r="E354" s="195">
        <f>IF(K354="","",INDEX('差動モデル'!$S:$S,K354))</f>
        <v/>
      </c>
      <c r="F354" s="195">
        <f>IF(OR(A354="",B354=""),"",100*(D354-B354)/MAX(B354,1E-12))</f>
        <v/>
      </c>
      <c r="G354" s="195">
        <f>IF(OR(A354="",C354=""),"",E354-C354)</f>
        <v/>
      </c>
      <c r="H354" s="195">
        <f>IF(A354="","",LOG10(A354))</f>
        <v/>
      </c>
      <c r="I354" s="195">
        <f>IF(B354="","",LOG10(MAX(B354,1E-12)))</f>
        <v/>
      </c>
      <c r="J354" s="195">
        <f>IF(D354="","",LOG10(MAX(D354,1E-12)))</f>
        <v/>
      </c>
      <c r="K354">
        <f>IF(A354="","",ROUND(1+(LOG10(A354)-LOG10('入力・概要'!$B$38))*('入力・概要'!$B$40-1)/(LOG10('入力・概要'!$B$39)-LOG10('入力・概要'!$B$38)),0)+3)</f>
        <v/>
      </c>
      <c r="L354">
        <f>IF(K354="","",INDEX('差動モデル'!$B:$B,K354))</f>
        <v/>
      </c>
      <c r="M354">
        <f>IF(A354="","",IF(ABS(L354/A354-1)&lt;0.01,"周波数差&lt;1%","周波数差あり"))</f>
        <v/>
      </c>
    </row>
    <row r="355">
      <c r="A355" s="197" t="n"/>
      <c r="B355" s="198" t="n"/>
      <c r="C355" s="198" t="n"/>
      <c r="D355" s="195">
        <f>IF(K355="","",INDEX('差動モデル'!$R:$R,K355))</f>
        <v/>
      </c>
      <c r="E355" s="195">
        <f>IF(K355="","",INDEX('差動モデル'!$S:$S,K355))</f>
        <v/>
      </c>
      <c r="F355" s="195">
        <f>IF(OR(A355="",B355=""),"",100*(D355-B355)/MAX(B355,1E-12))</f>
        <v/>
      </c>
      <c r="G355" s="195">
        <f>IF(OR(A355="",C355=""),"",E355-C355)</f>
        <v/>
      </c>
      <c r="H355" s="195">
        <f>IF(A355="","",LOG10(A355))</f>
        <v/>
      </c>
      <c r="I355" s="195">
        <f>IF(B355="","",LOG10(MAX(B355,1E-12)))</f>
        <v/>
      </c>
      <c r="J355" s="195">
        <f>IF(D355="","",LOG10(MAX(D355,1E-12)))</f>
        <v/>
      </c>
      <c r="K355">
        <f>IF(A355="","",ROUND(1+(LOG10(A355)-LOG10('入力・概要'!$B$38))*('入力・概要'!$B$40-1)/(LOG10('入力・概要'!$B$39)-LOG10('入力・概要'!$B$38)),0)+3)</f>
        <v/>
      </c>
      <c r="L355">
        <f>IF(K355="","",INDEX('差動モデル'!$B:$B,K355))</f>
        <v/>
      </c>
      <c r="M355">
        <f>IF(A355="","",IF(ABS(L355/A355-1)&lt;0.01,"周波数差&lt;1%","周波数差あり"))</f>
        <v/>
      </c>
    </row>
    <row r="356">
      <c r="A356" s="197" t="n"/>
      <c r="B356" s="198" t="n"/>
      <c r="C356" s="198" t="n"/>
      <c r="D356" s="195">
        <f>IF(K356="","",INDEX('差動モデル'!$R:$R,K356))</f>
        <v/>
      </c>
      <c r="E356" s="195">
        <f>IF(K356="","",INDEX('差動モデル'!$S:$S,K356))</f>
        <v/>
      </c>
      <c r="F356" s="195">
        <f>IF(OR(A356="",B356=""),"",100*(D356-B356)/MAX(B356,1E-12))</f>
        <v/>
      </c>
      <c r="G356" s="195">
        <f>IF(OR(A356="",C356=""),"",E356-C356)</f>
        <v/>
      </c>
      <c r="H356" s="195">
        <f>IF(A356="","",LOG10(A356))</f>
        <v/>
      </c>
      <c r="I356" s="195">
        <f>IF(B356="","",LOG10(MAX(B356,1E-12)))</f>
        <v/>
      </c>
      <c r="J356" s="195">
        <f>IF(D356="","",LOG10(MAX(D356,1E-12)))</f>
        <v/>
      </c>
      <c r="K356">
        <f>IF(A356="","",ROUND(1+(LOG10(A356)-LOG10('入力・概要'!$B$38))*('入力・概要'!$B$40-1)/(LOG10('入力・概要'!$B$39)-LOG10('入力・概要'!$B$38)),0)+3)</f>
        <v/>
      </c>
      <c r="L356">
        <f>IF(K356="","",INDEX('差動モデル'!$B:$B,K356))</f>
        <v/>
      </c>
      <c r="M356">
        <f>IF(A356="","",IF(ABS(L356/A356-1)&lt;0.01,"周波数差&lt;1%","周波数差あり"))</f>
        <v/>
      </c>
    </row>
    <row r="357">
      <c r="A357" s="197" t="n"/>
      <c r="B357" s="198" t="n"/>
      <c r="C357" s="198" t="n"/>
      <c r="D357" s="195">
        <f>IF(K357="","",INDEX('差動モデル'!$R:$R,K357))</f>
        <v/>
      </c>
      <c r="E357" s="195">
        <f>IF(K357="","",INDEX('差動モデル'!$S:$S,K357))</f>
        <v/>
      </c>
      <c r="F357" s="195">
        <f>IF(OR(A357="",B357=""),"",100*(D357-B357)/MAX(B357,1E-12))</f>
        <v/>
      </c>
      <c r="G357" s="195">
        <f>IF(OR(A357="",C357=""),"",E357-C357)</f>
        <v/>
      </c>
      <c r="H357" s="195">
        <f>IF(A357="","",LOG10(A357))</f>
        <v/>
      </c>
      <c r="I357" s="195">
        <f>IF(B357="","",LOG10(MAX(B357,1E-12)))</f>
        <v/>
      </c>
      <c r="J357" s="195">
        <f>IF(D357="","",LOG10(MAX(D357,1E-12)))</f>
        <v/>
      </c>
      <c r="K357">
        <f>IF(A357="","",ROUND(1+(LOG10(A357)-LOG10('入力・概要'!$B$38))*('入力・概要'!$B$40-1)/(LOG10('入力・概要'!$B$39)-LOG10('入力・概要'!$B$38)),0)+3)</f>
        <v/>
      </c>
      <c r="L357">
        <f>IF(K357="","",INDEX('差動モデル'!$B:$B,K357))</f>
        <v/>
      </c>
      <c r="M357">
        <f>IF(A357="","",IF(ABS(L357/A357-1)&lt;0.01,"周波数差&lt;1%","周波数差あり"))</f>
        <v/>
      </c>
    </row>
    <row r="358">
      <c r="A358" s="197" t="n"/>
      <c r="B358" s="198" t="n"/>
      <c r="C358" s="198" t="n"/>
      <c r="D358" s="195">
        <f>IF(K358="","",INDEX('差動モデル'!$R:$R,K358))</f>
        <v/>
      </c>
      <c r="E358" s="195">
        <f>IF(K358="","",INDEX('差動モデル'!$S:$S,K358))</f>
        <v/>
      </c>
      <c r="F358" s="195">
        <f>IF(OR(A358="",B358=""),"",100*(D358-B358)/MAX(B358,1E-12))</f>
        <v/>
      </c>
      <c r="G358" s="195">
        <f>IF(OR(A358="",C358=""),"",E358-C358)</f>
        <v/>
      </c>
      <c r="H358" s="195">
        <f>IF(A358="","",LOG10(A358))</f>
        <v/>
      </c>
      <c r="I358" s="195">
        <f>IF(B358="","",LOG10(MAX(B358,1E-12)))</f>
        <v/>
      </c>
      <c r="J358" s="195">
        <f>IF(D358="","",LOG10(MAX(D358,1E-12)))</f>
        <v/>
      </c>
      <c r="K358">
        <f>IF(A358="","",ROUND(1+(LOG10(A358)-LOG10('入力・概要'!$B$38))*('入力・概要'!$B$40-1)/(LOG10('入力・概要'!$B$39)-LOG10('入力・概要'!$B$38)),0)+3)</f>
        <v/>
      </c>
      <c r="L358">
        <f>IF(K358="","",INDEX('差動モデル'!$B:$B,K358))</f>
        <v/>
      </c>
      <c r="M358">
        <f>IF(A358="","",IF(ABS(L358/A358-1)&lt;0.01,"周波数差&lt;1%","周波数差あり"))</f>
        <v/>
      </c>
    </row>
    <row r="359">
      <c r="A359" s="197" t="n"/>
      <c r="B359" s="198" t="n"/>
      <c r="C359" s="198" t="n"/>
      <c r="D359" s="195">
        <f>IF(K359="","",INDEX('差動モデル'!$R:$R,K359))</f>
        <v/>
      </c>
      <c r="E359" s="195">
        <f>IF(K359="","",INDEX('差動モデル'!$S:$S,K359))</f>
        <v/>
      </c>
      <c r="F359" s="195">
        <f>IF(OR(A359="",B359=""),"",100*(D359-B359)/MAX(B359,1E-12))</f>
        <v/>
      </c>
      <c r="G359" s="195">
        <f>IF(OR(A359="",C359=""),"",E359-C359)</f>
        <v/>
      </c>
      <c r="H359" s="195">
        <f>IF(A359="","",LOG10(A359))</f>
        <v/>
      </c>
      <c r="I359" s="195">
        <f>IF(B359="","",LOG10(MAX(B359,1E-12)))</f>
        <v/>
      </c>
      <c r="J359" s="195">
        <f>IF(D359="","",LOG10(MAX(D359,1E-12)))</f>
        <v/>
      </c>
      <c r="K359">
        <f>IF(A359="","",ROUND(1+(LOG10(A359)-LOG10('入力・概要'!$B$38))*('入力・概要'!$B$40-1)/(LOG10('入力・概要'!$B$39)-LOG10('入力・概要'!$B$38)),0)+3)</f>
        <v/>
      </c>
      <c r="L359">
        <f>IF(K359="","",INDEX('差動モデル'!$B:$B,K359))</f>
        <v/>
      </c>
      <c r="M359">
        <f>IF(A359="","",IF(ABS(L359/A359-1)&lt;0.01,"周波数差&lt;1%","周波数差あり"))</f>
        <v/>
      </c>
    </row>
    <row r="360">
      <c r="A360" s="197" t="n"/>
      <c r="B360" s="198" t="n"/>
      <c r="C360" s="198" t="n"/>
      <c r="D360" s="195">
        <f>IF(K360="","",INDEX('差動モデル'!$R:$R,K360))</f>
        <v/>
      </c>
      <c r="E360" s="195">
        <f>IF(K360="","",INDEX('差動モデル'!$S:$S,K360))</f>
        <v/>
      </c>
      <c r="F360" s="195">
        <f>IF(OR(A360="",B360=""),"",100*(D360-B360)/MAX(B360,1E-12))</f>
        <v/>
      </c>
      <c r="G360" s="195">
        <f>IF(OR(A360="",C360=""),"",E360-C360)</f>
        <v/>
      </c>
      <c r="H360" s="195">
        <f>IF(A360="","",LOG10(A360))</f>
        <v/>
      </c>
      <c r="I360" s="195">
        <f>IF(B360="","",LOG10(MAX(B360,1E-12)))</f>
        <v/>
      </c>
      <c r="J360" s="195">
        <f>IF(D360="","",LOG10(MAX(D360,1E-12)))</f>
        <v/>
      </c>
      <c r="K360">
        <f>IF(A360="","",ROUND(1+(LOG10(A360)-LOG10('入力・概要'!$B$38))*('入力・概要'!$B$40-1)/(LOG10('入力・概要'!$B$39)-LOG10('入力・概要'!$B$38)),0)+3)</f>
        <v/>
      </c>
      <c r="L360">
        <f>IF(K360="","",INDEX('差動モデル'!$B:$B,K360))</f>
        <v/>
      </c>
      <c r="M360">
        <f>IF(A360="","",IF(ABS(L360/A360-1)&lt;0.01,"周波数差&lt;1%","周波数差あり"))</f>
        <v/>
      </c>
    </row>
    <row r="361">
      <c r="A361" s="197" t="n"/>
      <c r="B361" s="198" t="n"/>
      <c r="C361" s="198" t="n"/>
      <c r="D361" s="195">
        <f>IF(K361="","",INDEX('差動モデル'!$R:$R,K361))</f>
        <v/>
      </c>
      <c r="E361" s="195">
        <f>IF(K361="","",INDEX('差動モデル'!$S:$S,K361))</f>
        <v/>
      </c>
      <c r="F361" s="195">
        <f>IF(OR(A361="",B361=""),"",100*(D361-B361)/MAX(B361,1E-12))</f>
        <v/>
      </c>
      <c r="G361" s="195">
        <f>IF(OR(A361="",C361=""),"",E361-C361)</f>
        <v/>
      </c>
      <c r="H361" s="195">
        <f>IF(A361="","",LOG10(A361))</f>
        <v/>
      </c>
      <c r="I361" s="195">
        <f>IF(B361="","",LOG10(MAX(B361,1E-12)))</f>
        <v/>
      </c>
      <c r="J361" s="195">
        <f>IF(D361="","",LOG10(MAX(D361,1E-12)))</f>
        <v/>
      </c>
      <c r="K361">
        <f>IF(A361="","",ROUND(1+(LOG10(A361)-LOG10('入力・概要'!$B$38))*('入力・概要'!$B$40-1)/(LOG10('入力・概要'!$B$39)-LOG10('入力・概要'!$B$38)),0)+3)</f>
        <v/>
      </c>
      <c r="L361">
        <f>IF(K361="","",INDEX('差動モデル'!$B:$B,K361))</f>
        <v/>
      </c>
      <c r="M361">
        <f>IF(A361="","",IF(ABS(L361/A361-1)&lt;0.01,"周波数差&lt;1%","周波数差あり"))</f>
        <v/>
      </c>
    </row>
    <row r="362">
      <c r="A362" s="197" t="n"/>
      <c r="B362" s="198" t="n"/>
      <c r="C362" s="198" t="n"/>
      <c r="D362" s="195">
        <f>IF(K362="","",INDEX('差動モデル'!$R:$R,K362))</f>
        <v/>
      </c>
      <c r="E362" s="195">
        <f>IF(K362="","",INDEX('差動モデル'!$S:$S,K362))</f>
        <v/>
      </c>
      <c r="F362" s="195">
        <f>IF(OR(A362="",B362=""),"",100*(D362-B362)/MAX(B362,1E-12))</f>
        <v/>
      </c>
      <c r="G362" s="195">
        <f>IF(OR(A362="",C362=""),"",E362-C362)</f>
        <v/>
      </c>
      <c r="H362" s="195">
        <f>IF(A362="","",LOG10(A362))</f>
        <v/>
      </c>
      <c r="I362" s="195">
        <f>IF(B362="","",LOG10(MAX(B362,1E-12)))</f>
        <v/>
      </c>
      <c r="J362" s="195">
        <f>IF(D362="","",LOG10(MAX(D362,1E-12)))</f>
        <v/>
      </c>
      <c r="K362">
        <f>IF(A362="","",ROUND(1+(LOG10(A362)-LOG10('入力・概要'!$B$38))*('入力・概要'!$B$40-1)/(LOG10('入力・概要'!$B$39)-LOG10('入力・概要'!$B$38)),0)+3)</f>
        <v/>
      </c>
      <c r="L362">
        <f>IF(K362="","",INDEX('差動モデル'!$B:$B,K362))</f>
        <v/>
      </c>
      <c r="M362">
        <f>IF(A362="","",IF(ABS(L362/A362-1)&lt;0.01,"周波数差&lt;1%","周波数差あり"))</f>
        <v/>
      </c>
    </row>
    <row r="363">
      <c r="A363" s="197" t="n"/>
      <c r="B363" s="198" t="n"/>
      <c r="C363" s="198" t="n"/>
      <c r="D363" s="195">
        <f>IF(K363="","",INDEX('差動モデル'!$R:$R,K363))</f>
        <v/>
      </c>
      <c r="E363" s="195">
        <f>IF(K363="","",INDEX('差動モデル'!$S:$S,K363))</f>
        <v/>
      </c>
      <c r="F363" s="195">
        <f>IF(OR(A363="",B363=""),"",100*(D363-B363)/MAX(B363,1E-12))</f>
        <v/>
      </c>
      <c r="G363" s="195">
        <f>IF(OR(A363="",C363=""),"",E363-C363)</f>
        <v/>
      </c>
      <c r="H363" s="195">
        <f>IF(A363="","",LOG10(A363))</f>
        <v/>
      </c>
      <c r="I363" s="195">
        <f>IF(B363="","",LOG10(MAX(B363,1E-12)))</f>
        <v/>
      </c>
      <c r="J363" s="195">
        <f>IF(D363="","",LOG10(MAX(D363,1E-12)))</f>
        <v/>
      </c>
      <c r="K363">
        <f>IF(A363="","",ROUND(1+(LOG10(A363)-LOG10('入力・概要'!$B$38))*('入力・概要'!$B$40-1)/(LOG10('入力・概要'!$B$39)-LOG10('入力・概要'!$B$38)),0)+3)</f>
        <v/>
      </c>
      <c r="L363">
        <f>IF(K363="","",INDEX('差動モデル'!$B:$B,K363))</f>
        <v/>
      </c>
      <c r="M363">
        <f>IF(A363="","",IF(ABS(L363/A363-1)&lt;0.01,"周波数差&lt;1%","周波数差あり"))</f>
        <v/>
      </c>
    </row>
    <row r="364">
      <c r="A364" s="197" t="n"/>
      <c r="B364" s="198" t="n"/>
      <c r="C364" s="198" t="n"/>
      <c r="D364" s="195">
        <f>IF(K364="","",INDEX('差動モデル'!$R:$R,K364))</f>
        <v/>
      </c>
      <c r="E364" s="195">
        <f>IF(K364="","",INDEX('差動モデル'!$S:$S,K364))</f>
        <v/>
      </c>
      <c r="F364" s="195">
        <f>IF(OR(A364="",B364=""),"",100*(D364-B364)/MAX(B364,1E-12))</f>
        <v/>
      </c>
      <c r="G364" s="195">
        <f>IF(OR(A364="",C364=""),"",E364-C364)</f>
        <v/>
      </c>
      <c r="H364" s="195">
        <f>IF(A364="","",LOG10(A364))</f>
        <v/>
      </c>
      <c r="I364" s="195">
        <f>IF(B364="","",LOG10(MAX(B364,1E-12)))</f>
        <v/>
      </c>
      <c r="J364" s="195">
        <f>IF(D364="","",LOG10(MAX(D364,1E-12)))</f>
        <v/>
      </c>
      <c r="K364">
        <f>IF(A364="","",ROUND(1+(LOG10(A364)-LOG10('入力・概要'!$B$38))*('入力・概要'!$B$40-1)/(LOG10('入力・概要'!$B$39)-LOG10('入力・概要'!$B$38)),0)+3)</f>
        <v/>
      </c>
      <c r="L364">
        <f>IF(K364="","",INDEX('差動モデル'!$B:$B,K364))</f>
        <v/>
      </c>
      <c r="M364">
        <f>IF(A364="","",IF(ABS(L364/A364-1)&lt;0.01,"周波数差&lt;1%","周波数差あり"))</f>
        <v/>
      </c>
    </row>
    <row r="365">
      <c r="A365" s="197" t="n"/>
      <c r="B365" s="198" t="n"/>
      <c r="C365" s="198" t="n"/>
      <c r="D365" s="195">
        <f>IF(K365="","",INDEX('差動モデル'!$R:$R,K365))</f>
        <v/>
      </c>
      <c r="E365" s="195">
        <f>IF(K365="","",INDEX('差動モデル'!$S:$S,K365))</f>
        <v/>
      </c>
      <c r="F365" s="195">
        <f>IF(OR(A365="",B365=""),"",100*(D365-B365)/MAX(B365,1E-12))</f>
        <v/>
      </c>
      <c r="G365" s="195">
        <f>IF(OR(A365="",C365=""),"",E365-C365)</f>
        <v/>
      </c>
      <c r="H365" s="195">
        <f>IF(A365="","",LOG10(A365))</f>
        <v/>
      </c>
      <c r="I365" s="195">
        <f>IF(B365="","",LOG10(MAX(B365,1E-12)))</f>
        <v/>
      </c>
      <c r="J365" s="195">
        <f>IF(D365="","",LOG10(MAX(D365,1E-12)))</f>
        <v/>
      </c>
      <c r="K365">
        <f>IF(A365="","",ROUND(1+(LOG10(A365)-LOG10('入力・概要'!$B$38))*('入力・概要'!$B$40-1)/(LOG10('入力・概要'!$B$39)-LOG10('入力・概要'!$B$38)),0)+3)</f>
        <v/>
      </c>
      <c r="L365">
        <f>IF(K365="","",INDEX('差動モデル'!$B:$B,K365))</f>
        <v/>
      </c>
      <c r="M365">
        <f>IF(A365="","",IF(ABS(L365/A365-1)&lt;0.01,"周波数差&lt;1%","周波数差あり"))</f>
        <v/>
      </c>
    </row>
    <row r="366">
      <c r="A366" s="197" t="n"/>
      <c r="B366" s="198" t="n"/>
      <c r="C366" s="198" t="n"/>
      <c r="D366" s="195">
        <f>IF(K366="","",INDEX('差動モデル'!$R:$R,K366))</f>
        <v/>
      </c>
      <c r="E366" s="195">
        <f>IF(K366="","",INDEX('差動モデル'!$S:$S,K366))</f>
        <v/>
      </c>
      <c r="F366" s="195">
        <f>IF(OR(A366="",B366=""),"",100*(D366-B366)/MAX(B366,1E-12))</f>
        <v/>
      </c>
      <c r="G366" s="195">
        <f>IF(OR(A366="",C366=""),"",E366-C366)</f>
        <v/>
      </c>
      <c r="H366" s="195">
        <f>IF(A366="","",LOG10(A366))</f>
        <v/>
      </c>
      <c r="I366" s="195">
        <f>IF(B366="","",LOG10(MAX(B366,1E-12)))</f>
        <v/>
      </c>
      <c r="J366" s="195">
        <f>IF(D366="","",LOG10(MAX(D366,1E-12)))</f>
        <v/>
      </c>
      <c r="K366">
        <f>IF(A366="","",ROUND(1+(LOG10(A366)-LOG10('入力・概要'!$B$38))*('入力・概要'!$B$40-1)/(LOG10('入力・概要'!$B$39)-LOG10('入力・概要'!$B$38)),0)+3)</f>
        <v/>
      </c>
      <c r="L366">
        <f>IF(K366="","",INDEX('差動モデル'!$B:$B,K366))</f>
        <v/>
      </c>
      <c r="M366">
        <f>IF(A366="","",IF(ABS(L366/A366-1)&lt;0.01,"周波数差&lt;1%","周波数差あり"))</f>
        <v/>
      </c>
    </row>
    <row r="367">
      <c r="A367" s="197" t="n"/>
      <c r="B367" s="198" t="n"/>
      <c r="C367" s="198" t="n"/>
      <c r="D367" s="195">
        <f>IF(K367="","",INDEX('差動モデル'!$R:$R,K367))</f>
        <v/>
      </c>
      <c r="E367" s="195">
        <f>IF(K367="","",INDEX('差動モデル'!$S:$S,K367))</f>
        <v/>
      </c>
      <c r="F367" s="195">
        <f>IF(OR(A367="",B367=""),"",100*(D367-B367)/MAX(B367,1E-12))</f>
        <v/>
      </c>
      <c r="G367" s="195">
        <f>IF(OR(A367="",C367=""),"",E367-C367)</f>
        <v/>
      </c>
      <c r="H367" s="195">
        <f>IF(A367="","",LOG10(A367))</f>
        <v/>
      </c>
      <c r="I367" s="195">
        <f>IF(B367="","",LOG10(MAX(B367,1E-12)))</f>
        <v/>
      </c>
      <c r="J367" s="195">
        <f>IF(D367="","",LOG10(MAX(D367,1E-12)))</f>
        <v/>
      </c>
      <c r="K367">
        <f>IF(A367="","",ROUND(1+(LOG10(A367)-LOG10('入力・概要'!$B$38))*('入力・概要'!$B$40-1)/(LOG10('入力・概要'!$B$39)-LOG10('入力・概要'!$B$38)),0)+3)</f>
        <v/>
      </c>
      <c r="L367">
        <f>IF(K367="","",INDEX('差動モデル'!$B:$B,K367))</f>
        <v/>
      </c>
      <c r="M367">
        <f>IF(A367="","",IF(ABS(L367/A367-1)&lt;0.01,"周波数差&lt;1%","周波数差あり"))</f>
        <v/>
      </c>
    </row>
    <row r="368">
      <c r="A368" s="197" t="n"/>
      <c r="B368" s="198" t="n"/>
      <c r="C368" s="198" t="n"/>
      <c r="D368" s="195">
        <f>IF(K368="","",INDEX('差動モデル'!$R:$R,K368))</f>
        <v/>
      </c>
      <c r="E368" s="195">
        <f>IF(K368="","",INDEX('差動モデル'!$S:$S,K368))</f>
        <v/>
      </c>
      <c r="F368" s="195">
        <f>IF(OR(A368="",B368=""),"",100*(D368-B368)/MAX(B368,1E-12))</f>
        <v/>
      </c>
      <c r="G368" s="195">
        <f>IF(OR(A368="",C368=""),"",E368-C368)</f>
        <v/>
      </c>
      <c r="H368" s="195">
        <f>IF(A368="","",LOG10(A368))</f>
        <v/>
      </c>
      <c r="I368" s="195">
        <f>IF(B368="","",LOG10(MAX(B368,1E-12)))</f>
        <v/>
      </c>
      <c r="J368" s="195">
        <f>IF(D368="","",LOG10(MAX(D368,1E-12)))</f>
        <v/>
      </c>
      <c r="K368">
        <f>IF(A368="","",ROUND(1+(LOG10(A368)-LOG10('入力・概要'!$B$38))*('入力・概要'!$B$40-1)/(LOG10('入力・概要'!$B$39)-LOG10('入力・概要'!$B$38)),0)+3)</f>
        <v/>
      </c>
      <c r="L368">
        <f>IF(K368="","",INDEX('差動モデル'!$B:$B,K368))</f>
        <v/>
      </c>
      <c r="M368">
        <f>IF(A368="","",IF(ABS(L368/A368-1)&lt;0.01,"周波数差&lt;1%","周波数差あり"))</f>
        <v/>
      </c>
    </row>
    <row r="369">
      <c r="A369" s="197" t="n"/>
      <c r="B369" s="198" t="n"/>
      <c r="C369" s="198" t="n"/>
      <c r="D369" s="195">
        <f>IF(K369="","",INDEX('差動モデル'!$R:$R,K369))</f>
        <v/>
      </c>
      <c r="E369" s="195">
        <f>IF(K369="","",INDEX('差動モデル'!$S:$S,K369))</f>
        <v/>
      </c>
      <c r="F369" s="195">
        <f>IF(OR(A369="",B369=""),"",100*(D369-B369)/MAX(B369,1E-12))</f>
        <v/>
      </c>
      <c r="G369" s="195">
        <f>IF(OR(A369="",C369=""),"",E369-C369)</f>
        <v/>
      </c>
      <c r="H369" s="195">
        <f>IF(A369="","",LOG10(A369))</f>
        <v/>
      </c>
      <c r="I369" s="195">
        <f>IF(B369="","",LOG10(MAX(B369,1E-12)))</f>
        <v/>
      </c>
      <c r="J369" s="195">
        <f>IF(D369="","",LOG10(MAX(D369,1E-12)))</f>
        <v/>
      </c>
      <c r="K369">
        <f>IF(A369="","",ROUND(1+(LOG10(A369)-LOG10('入力・概要'!$B$38))*('入力・概要'!$B$40-1)/(LOG10('入力・概要'!$B$39)-LOG10('入力・概要'!$B$38)),0)+3)</f>
        <v/>
      </c>
      <c r="L369">
        <f>IF(K369="","",INDEX('差動モデル'!$B:$B,K369))</f>
        <v/>
      </c>
      <c r="M369">
        <f>IF(A369="","",IF(ABS(L369/A369-1)&lt;0.01,"周波数差&lt;1%","周波数差あり"))</f>
        <v/>
      </c>
    </row>
    <row r="370">
      <c r="A370" s="197" t="n"/>
      <c r="B370" s="198" t="n"/>
      <c r="C370" s="198" t="n"/>
      <c r="D370" s="195">
        <f>IF(K370="","",INDEX('差動モデル'!$R:$R,K370))</f>
        <v/>
      </c>
      <c r="E370" s="195">
        <f>IF(K370="","",INDEX('差動モデル'!$S:$S,K370))</f>
        <v/>
      </c>
      <c r="F370" s="195">
        <f>IF(OR(A370="",B370=""),"",100*(D370-B370)/MAX(B370,1E-12))</f>
        <v/>
      </c>
      <c r="G370" s="195">
        <f>IF(OR(A370="",C370=""),"",E370-C370)</f>
        <v/>
      </c>
      <c r="H370" s="195">
        <f>IF(A370="","",LOG10(A370))</f>
        <v/>
      </c>
      <c r="I370" s="195">
        <f>IF(B370="","",LOG10(MAX(B370,1E-12)))</f>
        <v/>
      </c>
      <c r="J370" s="195">
        <f>IF(D370="","",LOG10(MAX(D370,1E-12)))</f>
        <v/>
      </c>
      <c r="K370">
        <f>IF(A370="","",ROUND(1+(LOG10(A370)-LOG10('入力・概要'!$B$38))*('入力・概要'!$B$40-1)/(LOG10('入力・概要'!$B$39)-LOG10('入力・概要'!$B$38)),0)+3)</f>
        <v/>
      </c>
      <c r="L370">
        <f>IF(K370="","",INDEX('差動モデル'!$B:$B,K370))</f>
        <v/>
      </c>
      <c r="M370">
        <f>IF(A370="","",IF(ABS(L370/A370-1)&lt;0.01,"周波数差&lt;1%","周波数差あり"))</f>
        <v/>
      </c>
    </row>
    <row r="371">
      <c r="A371" s="197" t="n"/>
      <c r="B371" s="198" t="n"/>
      <c r="C371" s="198" t="n"/>
      <c r="D371" s="195">
        <f>IF(K371="","",INDEX('差動モデル'!$R:$R,K371))</f>
        <v/>
      </c>
      <c r="E371" s="195">
        <f>IF(K371="","",INDEX('差動モデル'!$S:$S,K371))</f>
        <v/>
      </c>
      <c r="F371" s="195">
        <f>IF(OR(A371="",B371=""),"",100*(D371-B371)/MAX(B371,1E-12))</f>
        <v/>
      </c>
      <c r="G371" s="195">
        <f>IF(OR(A371="",C371=""),"",E371-C371)</f>
        <v/>
      </c>
      <c r="H371" s="195">
        <f>IF(A371="","",LOG10(A371))</f>
        <v/>
      </c>
      <c r="I371" s="195">
        <f>IF(B371="","",LOG10(MAX(B371,1E-12)))</f>
        <v/>
      </c>
      <c r="J371" s="195">
        <f>IF(D371="","",LOG10(MAX(D371,1E-12)))</f>
        <v/>
      </c>
      <c r="K371">
        <f>IF(A371="","",ROUND(1+(LOG10(A371)-LOG10('入力・概要'!$B$38))*('入力・概要'!$B$40-1)/(LOG10('入力・概要'!$B$39)-LOG10('入力・概要'!$B$38)),0)+3)</f>
        <v/>
      </c>
      <c r="L371">
        <f>IF(K371="","",INDEX('差動モデル'!$B:$B,K371))</f>
        <v/>
      </c>
      <c r="M371">
        <f>IF(A371="","",IF(ABS(L371/A371-1)&lt;0.01,"周波数差&lt;1%","周波数差あり"))</f>
        <v/>
      </c>
    </row>
    <row r="372">
      <c r="A372" s="197" t="n"/>
      <c r="B372" s="198" t="n"/>
      <c r="C372" s="198" t="n"/>
      <c r="D372" s="195">
        <f>IF(K372="","",INDEX('差動モデル'!$R:$R,K372))</f>
        <v/>
      </c>
      <c r="E372" s="195">
        <f>IF(K372="","",INDEX('差動モデル'!$S:$S,K372))</f>
        <v/>
      </c>
      <c r="F372" s="195">
        <f>IF(OR(A372="",B372=""),"",100*(D372-B372)/MAX(B372,1E-12))</f>
        <v/>
      </c>
      <c r="G372" s="195">
        <f>IF(OR(A372="",C372=""),"",E372-C372)</f>
        <v/>
      </c>
      <c r="H372" s="195">
        <f>IF(A372="","",LOG10(A372))</f>
        <v/>
      </c>
      <c r="I372" s="195">
        <f>IF(B372="","",LOG10(MAX(B372,1E-12)))</f>
        <v/>
      </c>
      <c r="J372" s="195">
        <f>IF(D372="","",LOG10(MAX(D372,1E-12)))</f>
        <v/>
      </c>
      <c r="K372">
        <f>IF(A372="","",ROUND(1+(LOG10(A372)-LOG10('入力・概要'!$B$38))*('入力・概要'!$B$40-1)/(LOG10('入力・概要'!$B$39)-LOG10('入力・概要'!$B$38)),0)+3)</f>
        <v/>
      </c>
      <c r="L372">
        <f>IF(K372="","",INDEX('差動モデル'!$B:$B,K372))</f>
        <v/>
      </c>
      <c r="M372">
        <f>IF(A372="","",IF(ABS(L372/A372-1)&lt;0.01,"周波数差&lt;1%","周波数差あり"))</f>
        <v/>
      </c>
    </row>
    <row r="373">
      <c r="A373" s="197" t="n"/>
      <c r="B373" s="198" t="n"/>
      <c r="C373" s="198" t="n"/>
      <c r="D373" s="195">
        <f>IF(K373="","",INDEX('差動モデル'!$R:$R,K373))</f>
        <v/>
      </c>
      <c r="E373" s="195">
        <f>IF(K373="","",INDEX('差動モデル'!$S:$S,K373))</f>
        <v/>
      </c>
      <c r="F373" s="195">
        <f>IF(OR(A373="",B373=""),"",100*(D373-B373)/MAX(B373,1E-12))</f>
        <v/>
      </c>
      <c r="G373" s="195">
        <f>IF(OR(A373="",C373=""),"",E373-C373)</f>
        <v/>
      </c>
      <c r="H373" s="195">
        <f>IF(A373="","",LOG10(A373))</f>
        <v/>
      </c>
      <c r="I373" s="195">
        <f>IF(B373="","",LOG10(MAX(B373,1E-12)))</f>
        <v/>
      </c>
      <c r="J373" s="195">
        <f>IF(D373="","",LOG10(MAX(D373,1E-12)))</f>
        <v/>
      </c>
      <c r="K373">
        <f>IF(A373="","",ROUND(1+(LOG10(A373)-LOG10('入力・概要'!$B$38))*('入力・概要'!$B$40-1)/(LOG10('入力・概要'!$B$39)-LOG10('入力・概要'!$B$38)),0)+3)</f>
        <v/>
      </c>
      <c r="L373">
        <f>IF(K373="","",INDEX('差動モデル'!$B:$B,K373))</f>
        <v/>
      </c>
      <c r="M373">
        <f>IF(A373="","",IF(ABS(L373/A373-1)&lt;0.01,"周波数差&lt;1%","周波数差あり"))</f>
        <v/>
      </c>
    </row>
    <row r="374">
      <c r="A374" s="197" t="n"/>
      <c r="B374" s="198" t="n"/>
      <c r="C374" s="198" t="n"/>
      <c r="D374" s="195">
        <f>IF(K374="","",INDEX('差動モデル'!$R:$R,K374))</f>
        <v/>
      </c>
      <c r="E374" s="195">
        <f>IF(K374="","",INDEX('差動モデル'!$S:$S,K374))</f>
        <v/>
      </c>
      <c r="F374" s="195">
        <f>IF(OR(A374="",B374=""),"",100*(D374-B374)/MAX(B374,1E-12))</f>
        <v/>
      </c>
      <c r="G374" s="195">
        <f>IF(OR(A374="",C374=""),"",E374-C374)</f>
        <v/>
      </c>
      <c r="H374" s="195">
        <f>IF(A374="","",LOG10(A374))</f>
        <v/>
      </c>
      <c r="I374" s="195">
        <f>IF(B374="","",LOG10(MAX(B374,1E-12)))</f>
        <v/>
      </c>
      <c r="J374" s="195">
        <f>IF(D374="","",LOG10(MAX(D374,1E-12)))</f>
        <v/>
      </c>
      <c r="K374">
        <f>IF(A374="","",ROUND(1+(LOG10(A374)-LOG10('入力・概要'!$B$38))*('入力・概要'!$B$40-1)/(LOG10('入力・概要'!$B$39)-LOG10('入力・概要'!$B$38)),0)+3)</f>
        <v/>
      </c>
      <c r="L374">
        <f>IF(K374="","",INDEX('差動モデル'!$B:$B,K374))</f>
        <v/>
      </c>
      <c r="M374">
        <f>IF(A374="","",IF(ABS(L374/A374-1)&lt;0.01,"周波数差&lt;1%","周波数差あり"))</f>
        <v/>
      </c>
    </row>
    <row r="375">
      <c r="A375" s="197" t="n"/>
      <c r="B375" s="198" t="n"/>
      <c r="C375" s="198" t="n"/>
      <c r="D375" s="195">
        <f>IF(K375="","",INDEX('差動モデル'!$R:$R,K375))</f>
        <v/>
      </c>
      <c r="E375" s="195">
        <f>IF(K375="","",INDEX('差動モデル'!$S:$S,K375))</f>
        <v/>
      </c>
      <c r="F375" s="195">
        <f>IF(OR(A375="",B375=""),"",100*(D375-B375)/MAX(B375,1E-12))</f>
        <v/>
      </c>
      <c r="G375" s="195">
        <f>IF(OR(A375="",C375=""),"",E375-C375)</f>
        <v/>
      </c>
      <c r="H375" s="195">
        <f>IF(A375="","",LOG10(A375))</f>
        <v/>
      </c>
      <c r="I375" s="195">
        <f>IF(B375="","",LOG10(MAX(B375,1E-12)))</f>
        <v/>
      </c>
      <c r="J375" s="195">
        <f>IF(D375="","",LOG10(MAX(D375,1E-12)))</f>
        <v/>
      </c>
      <c r="K375">
        <f>IF(A375="","",ROUND(1+(LOG10(A375)-LOG10('入力・概要'!$B$38))*('入力・概要'!$B$40-1)/(LOG10('入力・概要'!$B$39)-LOG10('入力・概要'!$B$38)),0)+3)</f>
        <v/>
      </c>
      <c r="L375">
        <f>IF(K375="","",INDEX('差動モデル'!$B:$B,K375))</f>
        <v/>
      </c>
      <c r="M375">
        <f>IF(A375="","",IF(ABS(L375/A375-1)&lt;0.01,"周波数差&lt;1%","周波数差あり"))</f>
        <v/>
      </c>
    </row>
    <row r="376">
      <c r="A376" s="197" t="n"/>
      <c r="B376" s="198" t="n"/>
      <c r="C376" s="198" t="n"/>
      <c r="D376" s="195">
        <f>IF(K376="","",INDEX('差動モデル'!$R:$R,K376))</f>
        <v/>
      </c>
      <c r="E376" s="195">
        <f>IF(K376="","",INDEX('差動モデル'!$S:$S,K376))</f>
        <v/>
      </c>
      <c r="F376" s="195">
        <f>IF(OR(A376="",B376=""),"",100*(D376-B376)/MAX(B376,1E-12))</f>
        <v/>
      </c>
      <c r="G376" s="195">
        <f>IF(OR(A376="",C376=""),"",E376-C376)</f>
        <v/>
      </c>
      <c r="H376" s="195">
        <f>IF(A376="","",LOG10(A376))</f>
        <v/>
      </c>
      <c r="I376" s="195">
        <f>IF(B376="","",LOG10(MAX(B376,1E-12)))</f>
        <v/>
      </c>
      <c r="J376" s="195">
        <f>IF(D376="","",LOG10(MAX(D376,1E-12)))</f>
        <v/>
      </c>
      <c r="K376">
        <f>IF(A376="","",ROUND(1+(LOG10(A376)-LOG10('入力・概要'!$B$38))*('入力・概要'!$B$40-1)/(LOG10('入力・概要'!$B$39)-LOG10('入力・概要'!$B$38)),0)+3)</f>
        <v/>
      </c>
      <c r="L376">
        <f>IF(K376="","",INDEX('差動モデル'!$B:$B,K376))</f>
        <v/>
      </c>
      <c r="M376">
        <f>IF(A376="","",IF(ABS(L376/A376-1)&lt;0.01,"周波数差&lt;1%","周波数差あり"))</f>
        <v/>
      </c>
    </row>
    <row r="377">
      <c r="A377" s="197" t="n"/>
      <c r="B377" s="198" t="n"/>
      <c r="C377" s="198" t="n"/>
      <c r="D377" s="195">
        <f>IF(K377="","",INDEX('差動モデル'!$R:$R,K377))</f>
        <v/>
      </c>
      <c r="E377" s="195">
        <f>IF(K377="","",INDEX('差動モデル'!$S:$S,K377))</f>
        <v/>
      </c>
      <c r="F377" s="195">
        <f>IF(OR(A377="",B377=""),"",100*(D377-B377)/MAX(B377,1E-12))</f>
        <v/>
      </c>
      <c r="G377" s="195">
        <f>IF(OR(A377="",C377=""),"",E377-C377)</f>
        <v/>
      </c>
      <c r="H377" s="195">
        <f>IF(A377="","",LOG10(A377))</f>
        <v/>
      </c>
      <c r="I377" s="195">
        <f>IF(B377="","",LOG10(MAX(B377,1E-12)))</f>
        <v/>
      </c>
      <c r="J377" s="195">
        <f>IF(D377="","",LOG10(MAX(D377,1E-12)))</f>
        <v/>
      </c>
      <c r="K377">
        <f>IF(A377="","",ROUND(1+(LOG10(A377)-LOG10('入力・概要'!$B$38))*('入力・概要'!$B$40-1)/(LOG10('入力・概要'!$B$39)-LOG10('入力・概要'!$B$38)),0)+3)</f>
        <v/>
      </c>
      <c r="L377">
        <f>IF(K377="","",INDEX('差動モデル'!$B:$B,K377))</f>
        <v/>
      </c>
      <c r="M377">
        <f>IF(A377="","",IF(ABS(L377/A377-1)&lt;0.01,"周波数差&lt;1%","周波数差あり"))</f>
        <v/>
      </c>
    </row>
    <row r="378">
      <c r="A378" s="197" t="n"/>
      <c r="B378" s="198" t="n"/>
      <c r="C378" s="198" t="n"/>
      <c r="D378" s="195">
        <f>IF(K378="","",INDEX('差動モデル'!$R:$R,K378))</f>
        <v/>
      </c>
      <c r="E378" s="195">
        <f>IF(K378="","",INDEX('差動モデル'!$S:$S,K378))</f>
        <v/>
      </c>
      <c r="F378" s="195">
        <f>IF(OR(A378="",B378=""),"",100*(D378-B378)/MAX(B378,1E-12))</f>
        <v/>
      </c>
      <c r="G378" s="195">
        <f>IF(OR(A378="",C378=""),"",E378-C378)</f>
        <v/>
      </c>
      <c r="H378" s="195">
        <f>IF(A378="","",LOG10(A378))</f>
        <v/>
      </c>
      <c r="I378" s="195">
        <f>IF(B378="","",LOG10(MAX(B378,1E-12)))</f>
        <v/>
      </c>
      <c r="J378" s="195">
        <f>IF(D378="","",LOG10(MAX(D378,1E-12)))</f>
        <v/>
      </c>
      <c r="K378">
        <f>IF(A378="","",ROUND(1+(LOG10(A378)-LOG10('入力・概要'!$B$38))*('入力・概要'!$B$40-1)/(LOG10('入力・概要'!$B$39)-LOG10('入力・概要'!$B$38)),0)+3)</f>
        <v/>
      </c>
      <c r="L378">
        <f>IF(K378="","",INDEX('差動モデル'!$B:$B,K378))</f>
        <v/>
      </c>
      <c r="M378">
        <f>IF(A378="","",IF(ABS(L378/A378-1)&lt;0.01,"周波数差&lt;1%","周波数差あり"))</f>
        <v/>
      </c>
    </row>
    <row r="379">
      <c r="A379" s="197" t="n"/>
      <c r="B379" s="198" t="n"/>
      <c r="C379" s="198" t="n"/>
      <c r="D379" s="195">
        <f>IF(K379="","",INDEX('差動モデル'!$R:$R,K379))</f>
        <v/>
      </c>
      <c r="E379" s="195">
        <f>IF(K379="","",INDEX('差動モデル'!$S:$S,K379))</f>
        <v/>
      </c>
      <c r="F379" s="195">
        <f>IF(OR(A379="",B379=""),"",100*(D379-B379)/MAX(B379,1E-12))</f>
        <v/>
      </c>
      <c r="G379" s="195">
        <f>IF(OR(A379="",C379=""),"",E379-C379)</f>
        <v/>
      </c>
      <c r="H379" s="195">
        <f>IF(A379="","",LOG10(A379))</f>
        <v/>
      </c>
      <c r="I379" s="195">
        <f>IF(B379="","",LOG10(MAX(B379,1E-12)))</f>
        <v/>
      </c>
      <c r="J379" s="195">
        <f>IF(D379="","",LOG10(MAX(D379,1E-12)))</f>
        <v/>
      </c>
      <c r="K379">
        <f>IF(A379="","",ROUND(1+(LOG10(A379)-LOG10('入力・概要'!$B$38))*('入力・概要'!$B$40-1)/(LOG10('入力・概要'!$B$39)-LOG10('入力・概要'!$B$38)),0)+3)</f>
        <v/>
      </c>
      <c r="L379">
        <f>IF(K379="","",INDEX('差動モデル'!$B:$B,K379))</f>
        <v/>
      </c>
      <c r="M379">
        <f>IF(A379="","",IF(ABS(L379/A379-1)&lt;0.01,"周波数差&lt;1%","周波数差あり"))</f>
        <v/>
      </c>
    </row>
    <row r="380">
      <c r="A380" s="197" t="n"/>
      <c r="B380" s="198" t="n"/>
      <c r="C380" s="198" t="n"/>
      <c r="D380" s="195">
        <f>IF(K380="","",INDEX('差動モデル'!$R:$R,K380))</f>
        <v/>
      </c>
      <c r="E380" s="195">
        <f>IF(K380="","",INDEX('差動モデル'!$S:$S,K380))</f>
        <v/>
      </c>
      <c r="F380" s="195">
        <f>IF(OR(A380="",B380=""),"",100*(D380-B380)/MAX(B380,1E-12))</f>
        <v/>
      </c>
      <c r="G380" s="195">
        <f>IF(OR(A380="",C380=""),"",E380-C380)</f>
        <v/>
      </c>
      <c r="H380" s="195">
        <f>IF(A380="","",LOG10(A380))</f>
        <v/>
      </c>
      <c r="I380" s="195">
        <f>IF(B380="","",LOG10(MAX(B380,1E-12)))</f>
        <v/>
      </c>
      <c r="J380" s="195">
        <f>IF(D380="","",LOG10(MAX(D380,1E-12)))</f>
        <v/>
      </c>
      <c r="K380">
        <f>IF(A380="","",ROUND(1+(LOG10(A380)-LOG10('入力・概要'!$B$38))*('入力・概要'!$B$40-1)/(LOG10('入力・概要'!$B$39)-LOG10('入力・概要'!$B$38)),0)+3)</f>
        <v/>
      </c>
      <c r="L380">
        <f>IF(K380="","",INDEX('差動モデル'!$B:$B,K380))</f>
        <v/>
      </c>
      <c r="M380">
        <f>IF(A380="","",IF(ABS(L380/A380-1)&lt;0.01,"周波数差&lt;1%","周波数差あり"))</f>
        <v/>
      </c>
    </row>
    <row r="381">
      <c r="A381" s="197" t="n"/>
      <c r="B381" s="198" t="n"/>
      <c r="C381" s="198" t="n"/>
      <c r="D381" s="195">
        <f>IF(K381="","",INDEX('差動モデル'!$R:$R,K381))</f>
        <v/>
      </c>
      <c r="E381" s="195">
        <f>IF(K381="","",INDEX('差動モデル'!$S:$S,K381))</f>
        <v/>
      </c>
      <c r="F381" s="195">
        <f>IF(OR(A381="",B381=""),"",100*(D381-B381)/MAX(B381,1E-12))</f>
        <v/>
      </c>
      <c r="G381" s="195">
        <f>IF(OR(A381="",C381=""),"",E381-C381)</f>
        <v/>
      </c>
      <c r="H381" s="195">
        <f>IF(A381="","",LOG10(A381))</f>
        <v/>
      </c>
      <c r="I381" s="195">
        <f>IF(B381="","",LOG10(MAX(B381,1E-12)))</f>
        <v/>
      </c>
      <c r="J381" s="195">
        <f>IF(D381="","",LOG10(MAX(D381,1E-12)))</f>
        <v/>
      </c>
      <c r="K381">
        <f>IF(A381="","",ROUND(1+(LOG10(A381)-LOG10('入力・概要'!$B$38))*('入力・概要'!$B$40-1)/(LOG10('入力・概要'!$B$39)-LOG10('入力・概要'!$B$38)),0)+3)</f>
        <v/>
      </c>
      <c r="L381">
        <f>IF(K381="","",INDEX('差動モデル'!$B:$B,K381))</f>
        <v/>
      </c>
      <c r="M381">
        <f>IF(A381="","",IF(ABS(L381/A381-1)&lt;0.01,"周波数差&lt;1%","周波数差あり"))</f>
        <v/>
      </c>
    </row>
    <row r="382">
      <c r="A382" s="197" t="n"/>
      <c r="B382" s="198" t="n"/>
      <c r="C382" s="198" t="n"/>
      <c r="D382" s="195">
        <f>IF(K382="","",INDEX('差動モデル'!$R:$R,K382))</f>
        <v/>
      </c>
      <c r="E382" s="195">
        <f>IF(K382="","",INDEX('差動モデル'!$S:$S,K382))</f>
        <v/>
      </c>
      <c r="F382" s="195">
        <f>IF(OR(A382="",B382=""),"",100*(D382-B382)/MAX(B382,1E-12))</f>
        <v/>
      </c>
      <c r="G382" s="195">
        <f>IF(OR(A382="",C382=""),"",E382-C382)</f>
        <v/>
      </c>
      <c r="H382" s="195">
        <f>IF(A382="","",LOG10(A382))</f>
        <v/>
      </c>
      <c r="I382" s="195">
        <f>IF(B382="","",LOG10(MAX(B382,1E-12)))</f>
        <v/>
      </c>
      <c r="J382" s="195">
        <f>IF(D382="","",LOG10(MAX(D382,1E-12)))</f>
        <v/>
      </c>
      <c r="K382">
        <f>IF(A382="","",ROUND(1+(LOG10(A382)-LOG10('入力・概要'!$B$38))*('入力・概要'!$B$40-1)/(LOG10('入力・概要'!$B$39)-LOG10('入力・概要'!$B$38)),0)+3)</f>
        <v/>
      </c>
      <c r="L382">
        <f>IF(K382="","",INDEX('差動モデル'!$B:$B,K382))</f>
        <v/>
      </c>
      <c r="M382">
        <f>IF(A382="","",IF(ABS(L382/A382-1)&lt;0.01,"周波数差&lt;1%","周波数差あり"))</f>
        <v/>
      </c>
    </row>
    <row r="383">
      <c r="A383" s="197" t="n"/>
      <c r="B383" s="198" t="n"/>
      <c r="C383" s="198" t="n"/>
      <c r="D383" s="195">
        <f>IF(K383="","",INDEX('差動モデル'!$R:$R,K383))</f>
        <v/>
      </c>
      <c r="E383" s="195">
        <f>IF(K383="","",INDEX('差動モデル'!$S:$S,K383))</f>
        <v/>
      </c>
      <c r="F383" s="195">
        <f>IF(OR(A383="",B383=""),"",100*(D383-B383)/MAX(B383,1E-12))</f>
        <v/>
      </c>
      <c r="G383" s="195">
        <f>IF(OR(A383="",C383=""),"",E383-C383)</f>
        <v/>
      </c>
      <c r="H383" s="195">
        <f>IF(A383="","",LOG10(A383))</f>
        <v/>
      </c>
      <c r="I383" s="195">
        <f>IF(B383="","",LOG10(MAX(B383,1E-12)))</f>
        <v/>
      </c>
      <c r="J383" s="195">
        <f>IF(D383="","",LOG10(MAX(D383,1E-12)))</f>
        <v/>
      </c>
      <c r="K383">
        <f>IF(A383="","",ROUND(1+(LOG10(A383)-LOG10('入力・概要'!$B$38))*('入力・概要'!$B$40-1)/(LOG10('入力・概要'!$B$39)-LOG10('入力・概要'!$B$38)),0)+3)</f>
        <v/>
      </c>
      <c r="L383">
        <f>IF(K383="","",INDEX('差動モデル'!$B:$B,K383))</f>
        <v/>
      </c>
      <c r="M383">
        <f>IF(A383="","",IF(ABS(L383/A383-1)&lt;0.01,"周波数差&lt;1%","周波数差あり"))</f>
        <v/>
      </c>
    </row>
    <row r="384">
      <c r="A384" s="197" t="n"/>
      <c r="B384" s="198" t="n"/>
      <c r="C384" s="198" t="n"/>
      <c r="D384" s="195">
        <f>IF(K384="","",INDEX('差動モデル'!$R:$R,K384))</f>
        <v/>
      </c>
      <c r="E384" s="195">
        <f>IF(K384="","",INDEX('差動モデル'!$S:$S,K384))</f>
        <v/>
      </c>
      <c r="F384" s="195">
        <f>IF(OR(A384="",B384=""),"",100*(D384-B384)/MAX(B384,1E-12))</f>
        <v/>
      </c>
      <c r="G384" s="195">
        <f>IF(OR(A384="",C384=""),"",E384-C384)</f>
        <v/>
      </c>
      <c r="H384" s="195">
        <f>IF(A384="","",LOG10(A384))</f>
        <v/>
      </c>
      <c r="I384" s="195">
        <f>IF(B384="","",LOG10(MAX(B384,1E-12)))</f>
        <v/>
      </c>
      <c r="J384" s="195">
        <f>IF(D384="","",LOG10(MAX(D384,1E-12)))</f>
        <v/>
      </c>
      <c r="K384">
        <f>IF(A384="","",ROUND(1+(LOG10(A384)-LOG10('入力・概要'!$B$38))*('入力・概要'!$B$40-1)/(LOG10('入力・概要'!$B$39)-LOG10('入力・概要'!$B$38)),0)+3)</f>
        <v/>
      </c>
      <c r="L384">
        <f>IF(K384="","",INDEX('差動モデル'!$B:$B,K384))</f>
        <v/>
      </c>
      <c r="M384">
        <f>IF(A384="","",IF(ABS(L384/A384-1)&lt;0.01,"周波数差&lt;1%","周波数差あり"))</f>
        <v/>
      </c>
    </row>
    <row r="385">
      <c r="A385" s="197" t="n"/>
      <c r="B385" s="198" t="n"/>
      <c r="C385" s="198" t="n"/>
      <c r="D385" s="195">
        <f>IF(K385="","",INDEX('差動モデル'!$R:$R,K385))</f>
        <v/>
      </c>
      <c r="E385" s="195">
        <f>IF(K385="","",INDEX('差動モデル'!$S:$S,K385))</f>
        <v/>
      </c>
      <c r="F385" s="195">
        <f>IF(OR(A385="",B385=""),"",100*(D385-B385)/MAX(B385,1E-12))</f>
        <v/>
      </c>
      <c r="G385" s="195">
        <f>IF(OR(A385="",C385=""),"",E385-C385)</f>
        <v/>
      </c>
      <c r="H385" s="195">
        <f>IF(A385="","",LOG10(A385))</f>
        <v/>
      </c>
      <c r="I385" s="195">
        <f>IF(B385="","",LOG10(MAX(B385,1E-12)))</f>
        <v/>
      </c>
      <c r="J385" s="195">
        <f>IF(D385="","",LOG10(MAX(D385,1E-12)))</f>
        <v/>
      </c>
      <c r="K385">
        <f>IF(A385="","",ROUND(1+(LOG10(A385)-LOG10('入力・概要'!$B$38))*('入力・概要'!$B$40-1)/(LOG10('入力・概要'!$B$39)-LOG10('入力・概要'!$B$38)),0)+3)</f>
        <v/>
      </c>
      <c r="L385">
        <f>IF(K385="","",INDEX('差動モデル'!$B:$B,K385))</f>
        <v/>
      </c>
      <c r="M385">
        <f>IF(A385="","",IF(ABS(L385/A385-1)&lt;0.01,"周波数差&lt;1%","周波数差あり"))</f>
        <v/>
      </c>
    </row>
    <row r="386">
      <c r="A386" s="197" t="n"/>
      <c r="B386" s="198" t="n"/>
      <c r="C386" s="198" t="n"/>
      <c r="D386" s="195">
        <f>IF(K386="","",INDEX('差動モデル'!$R:$R,K386))</f>
        <v/>
      </c>
      <c r="E386" s="195">
        <f>IF(K386="","",INDEX('差動モデル'!$S:$S,K386))</f>
        <v/>
      </c>
      <c r="F386" s="195">
        <f>IF(OR(A386="",B386=""),"",100*(D386-B386)/MAX(B386,1E-12))</f>
        <v/>
      </c>
      <c r="G386" s="195">
        <f>IF(OR(A386="",C386=""),"",E386-C386)</f>
        <v/>
      </c>
      <c r="H386" s="195">
        <f>IF(A386="","",LOG10(A386))</f>
        <v/>
      </c>
      <c r="I386" s="195">
        <f>IF(B386="","",LOG10(MAX(B386,1E-12)))</f>
        <v/>
      </c>
      <c r="J386" s="195">
        <f>IF(D386="","",LOG10(MAX(D386,1E-12)))</f>
        <v/>
      </c>
      <c r="K386">
        <f>IF(A386="","",ROUND(1+(LOG10(A386)-LOG10('入力・概要'!$B$38))*('入力・概要'!$B$40-1)/(LOG10('入力・概要'!$B$39)-LOG10('入力・概要'!$B$38)),0)+3)</f>
        <v/>
      </c>
      <c r="L386">
        <f>IF(K386="","",INDEX('差動モデル'!$B:$B,K386))</f>
        <v/>
      </c>
      <c r="M386">
        <f>IF(A386="","",IF(ABS(L386/A386-1)&lt;0.01,"周波数差&lt;1%","周波数差あり"))</f>
        <v/>
      </c>
    </row>
    <row r="387">
      <c r="A387" s="197" t="n"/>
      <c r="B387" s="198" t="n"/>
      <c r="C387" s="198" t="n"/>
      <c r="D387" s="195">
        <f>IF(K387="","",INDEX('差動モデル'!$R:$R,K387))</f>
        <v/>
      </c>
      <c r="E387" s="195">
        <f>IF(K387="","",INDEX('差動モデル'!$S:$S,K387))</f>
        <v/>
      </c>
      <c r="F387" s="195">
        <f>IF(OR(A387="",B387=""),"",100*(D387-B387)/MAX(B387,1E-12))</f>
        <v/>
      </c>
      <c r="G387" s="195">
        <f>IF(OR(A387="",C387=""),"",E387-C387)</f>
        <v/>
      </c>
      <c r="H387" s="195">
        <f>IF(A387="","",LOG10(A387))</f>
        <v/>
      </c>
      <c r="I387" s="195">
        <f>IF(B387="","",LOG10(MAX(B387,1E-12)))</f>
        <v/>
      </c>
      <c r="J387" s="195">
        <f>IF(D387="","",LOG10(MAX(D387,1E-12)))</f>
        <v/>
      </c>
      <c r="K387">
        <f>IF(A387="","",ROUND(1+(LOG10(A387)-LOG10('入力・概要'!$B$38))*('入力・概要'!$B$40-1)/(LOG10('入力・概要'!$B$39)-LOG10('入力・概要'!$B$38)),0)+3)</f>
        <v/>
      </c>
      <c r="L387">
        <f>IF(K387="","",INDEX('差動モデル'!$B:$B,K387))</f>
        <v/>
      </c>
      <c r="M387">
        <f>IF(A387="","",IF(ABS(L387/A387-1)&lt;0.01,"周波数差&lt;1%","周波数差あり"))</f>
        <v/>
      </c>
    </row>
    <row r="388">
      <c r="A388" s="197" t="n"/>
      <c r="B388" s="198" t="n"/>
      <c r="C388" s="198" t="n"/>
      <c r="D388" s="195">
        <f>IF(K388="","",INDEX('差動モデル'!$R:$R,K388))</f>
        <v/>
      </c>
      <c r="E388" s="195">
        <f>IF(K388="","",INDEX('差動モデル'!$S:$S,K388))</f>
        <v/>
      </c>
      <c r="F388" s="195">
        <f>IF(OR(A388="",B388=""),"",100*(D388-B388)/MAX(B388,1E-12))</f>
        <v/>
      </c>
      <c r="G388" s="195">
        <f>IF(OR(A388="",C388=""),"",E388-C388)</f>
        <v/>
      </c>
      <c r="H388" s="195">
        <f>IF(A388="","",LOG10(A388))</f>
        <v/>
      </c>
      <c r="I388" s="195">
        <f>IF(B388="","",LOG10(MAX(B388,1E-12)))</f>
        <v/>
      </c>
      <c r="J388" s="195">
        <f>IF(D388="","",LOG10(MAX(D388,1E-12)))</f>
        <v/>
      </c>
      <c r="K388">
        <f>IF(A388="","",ROUND(1+(LOG10(A388)-LOG10('入力・概要'!$B$38))*('入力・概要'!$B$40-1)/(LOG10('入力・概要'!$B$39)-LOG10('入力・概要'!$B$38)),0)+3)</f>
        <v/>
      </c>
      <c r="L388">
        <f>IF(K388="","",INDEX('差動モデル'!$B:$B,K388))</f>
        <v/>
      </c>
      <c r="M388">
        <f>IF(A388="","",IF(ABS(L388/A388-1)&lt;0.01,"周波数差&lt;1%","周波数差あり"))</f>
        <v/>
      </c>
    </row>
    <row r="389">
      <c r="A389" s="197" t="n"/>
      <c r="B389" s="198" t="n"/>
      <c r="C389" s="198" t="n"/>
      <c r="D389" s="195">
        <f>IF(K389="","",INDEX('差動モデル'!$R:$R,K389))</f>
        <v/>
      </c>
      <c r="E389" s="195">
        <f>IF(K389="","",INDEX('差動モデル'!$S:$S,K389))</f>
        <v/>
      </c>
      <c r="F389" s="195">
        <f>IF(OR(A389="",B389=""),"",100*(D389-B389)/MAX(B389,1E-12))</f>
        <v/>
      </c>
      <c r="G389" s="195">
        <f>IF(OR(A389="",C389=""),"",E389-C389)</f>
        <v/>
      </c>
      <c r="H389" s="195">
        <f>IF(A389="","",LOG10(A389))</f>
        <v/>
      </c>
      <c r="I389" s="195">
        <f>IF(B389="","",LOG10(MAX(B389,1E-12)))</f>
        <v/>
      </c>
      <c r="J389" s="195">
        <f>IF(D389="","",LOG10(MAX(D389,1E-12)))</f>
        <v/>
      </c>
      <c r="K389">
        <f>IF(A389="","",ROUND(1+(LOG10(A389)-LOG10('入力・概要'!$B$38))*('入力・概要'!$B$40-1)/(LOG10('入力・概要'!$B$39)-LOG10('入力・概要'!$B$38)),0)+3)</f>
        <v/>
      </c>
      <c r="L389">
        <f>IF(K389="","",INDEX('差動モデル'!$B:$B,K389))</f>
        <v/>
      </c>
      <c r="M389">
        <f>IF(A389="","",IF(ABS(L389/A389-1)&lt;0.01,"周波数差&lt;1%","周波数差あり"))</f>
        <v/>
      </c>
    </row>
    <row r="390">
      <c r="A390" s="197" t="n"/>
      <c r="B390" s="198" t="n"/>
      <c r="C390" s="198" t="n"/>
      <c r="D390" s="195">
        <f>IF(K390="","",INDEX('差動モデル'!$R:$R,K390))</f>
        <v/>
      </c>
      <c r="E390" s="195">
        <f>IF(K390="","",INDEX('差動モデル'!$S:$S,K390))</f>
        <v/>
      </c>
      <c r="F390" s="195">
        <f>IF(OR(A390="",B390=""),"",100*(D390-B390)/MAX(B390,1E-12))</f>
        <v/>
      </c>
      <c r="G390" s="195">
        <f>IF(OR(A390="",C390=""),"",E390-C390)</f>
        <v/>
      </c>
      <c r="H390" s="195">
        <f>IF(A390="","",LOG10(A390))</f>
        <v/>
      </c>
      <c r="I390" s="195">
        <f>IF(B390="","",LOG10(MAX(B390,1E-12)))</f>
        <v/>
      </c>
      <c r="J390" s="195">
        <f>IF(D390="","",LOG10(MAX(D390,1E-12)))</f>
        <v/>
      </c>
      <c r="K390">
        <f>IF(A390="","",ROUND(1+(LOG10(A390)-LOG10('入力・概要'!$B$38))*('入力・概要'!$B$40-1)/(LOG10('入力・概要'!$B$39)-LOG10('入力・概要'!$B$38)),0)+3)</f>
        <v/>
      </c>
      <c r="L390">
        <f>IF(K390="","",INDEX('差動モデル'!$B:$B,K390))</f>
        <v/>
      </c>
      <c r="M390">
        <f>IF(A390="","",IF(ABS(L390/A390-1)&lt;0.01,"周波数差&lt;1%","周波数差あり"))</f>
        <v/>
      </c>
    </row>
    <row r="391">
      <c r="A391" s="197" t="n"/>
      <c r="B391" s="198" t="n"/>
      <c r="C391" s="198" t="n"/>
      <c r="D391" s="195">
        <f>IF(K391="","",INDEX('差動モデル'!$R:$R,K391))</f>
        <v/>
      </c>
      <c r="E391" s="195">
        <f>IF(K391="","",INDEX('差動モデル'!$S:$S,K391))</f>
        <v/>
      </c>
      <c r="F391" s="195">
        <f>IF(OR(A391="",B391=""),"",100*(D391-B391)/MAX(B391,1E-12))</f>
        <v/>
      </c>
      <c r="G391" s="195">
        <f>IF(OR(A391="",C391=""),"",E391-C391)</f>
        <v/>
      </c>
      <c r="H391" s="195">
        <f>IF(A391="","",LOG10(A391))</f>
        <v/>
      </c>
      <c r="I391" s="195">
        <f>IF(B391="","",LOG10(MAX(B391,1E-12)))</f>
        <v/>
      </c>
      <c r="J391" s="195">
        <f>IF(D391="","",LOG10(MAX(D391,1E-12)))</f>
        <v/>
      </c>
      <c r="K391">
        <f>IF(A391="","",ROUND(1+(LOG10(A391)-LOG10('入力・概要'!$B$38))*('入力・概要'!$B$40-1)/(LOG10('入力・概要'!$B$39)-LOG10('入力・概要'!$B$38)),0)+3)</f>
        <v/>
      </c>
      <c r="L391">
        <f>IF(K391="","",INDEX('差動モデル'!$B:$B,K391))</f>
        <v/>
      </c>
      <c r="M391">
        <f>IF(A391="","",IF(ABS(L391/A391-1)&lt;0.01,"周波数差&lt;1%","周波数差あり"))</f>
        <v/>
      </c>
    </row>
    <row r="392">
      <c r="A392" s="197" t="n"/>
      <c r="B392" s="198" t="n"/>
      <c r="C392" s="198" t="n"/>
      <c r="D392" s="195">
        <f>IF(K392="","",INDEX('差動モデル'!$R:$R,K392))</f>
        <v/>
      </c>
      <c r="E392" s="195">
        <f>IF(K392="","",INDEX('差動モデル'!$S:$S,K392))</f>
        <v/>
      </c>
      <c r="F392" s="195">
        <f>IF(OR(A392="",B392=""),"",100*(D392-B392)/MAX(B392,1E-12))</f>
        <v/>
      </c>
      <c r="G392" s="195">
        <f>IF(OR(A392="",C392=""),"",E392-C392)</f>
        <v/>
      </c>
      <c r="H392" s="195">
        <f>IF(A392="","",LOG10(A392))</f>
        <v/>
      </c>
      <c r="I392" s="195">
        <f>IF(B392="","",LOG10(MAX(B392,1E-12)))</f>
        <v/>
      </c>
      <c r="J392" s="195">
        <f>IF(D392="","",LOG10(MAX(D392,1E-12)))</f>
        <v/>
      </c>
      <c r="K392">
        <f>IF(A392="","",ROUND(1+(LOG10(A392)-LOG10('入力・概要'!$B$38))*('入力・概要'!$B$40-1)/(LOG10('入力・概要'!$B$39)-LOG10('入力・概要'!$B$38)),0)+3)</f>
        <v/>
      </c>
      <c r="L392">
        <f>IF(K392="","",INDEX('差動モデル'!$B:$B,K392))</f>
        <v/>
      </c>
      <c r="M392">
        <f>IF(A392="","",IF(ABS(L392/A392-1)&lt;0.01,"周波数差&lt;1%","周波数差あり"))</f>
        <v/>
      </c>
    </row>
    <row r="393">
      <c r="A393" s="197" t="n"/>
      <c r="B393" s="198" t="n"/>
      <c r="C393" s="198" t="n"/>
      <c r="D393" s="195">
        <f>IF(K393="","",INDEX('差動モデル'!$R:$R,K393))</f>
        <v/>
      </c>
      <c r="E393" s="195">
        <f>IF(K393="","",INDEX('差動モデル'!$S:$S,K393))</f>
        <v/>
      </c>
      <c r="F393" s="195">
        <f>IF(OR(A393="",B393=""),"",100*(D393-B393)/MAX(B393,1E-12))</f>
        <v/>
      </c>
      <c r="G393" s="195">
        <f>IF(OR(A393="",C393=""),"",E393-C393)</f>
        <v/>
      </c>
      <c r="H393" s="195">
        <f>IF(A393="","",LOG10(A393))</f>
        <v/>
      </c>
      <c r="I393" s="195">
        <f>IF(B393="","",LOG10(MAX(B393,1E-12)))</f>
        <v/>
      </c>
      <c r="J393" s="195">
        <f>IF(D393="","",LOG10(MAX(D393,1E-12)))</f>
        <v/>
      </c>
      <c r="K393">
        <f>IF(A393="","",ROUND(1+(LOG10(A393)-LOG10('入力・概要'!$B$38))*('入力・概要'!$B$40-1)/(LOG10('入力・概要'!$B$39)-LOG10('入力・概要'!$B$38)),0)+3)</f>
        <v/>
      </c>
      <c r="L393">
        <f>IF(K393="","",INDEX('差動モデル'!$B:$B,K393))</f>
        <v/>
      </c>
      <c r="M393">
        <f>IF(A393="","",IF(ABS(L393/A393-1)&lt;0.01,"周波数差&lt;1%","周波数差あり"))</f>
        <v/>
      </c>
    </row>
    <row r="394">
      <c r="A394" s="197" t="n"/>
      <c r="B394" s="198" t="n"/>
      <c r="C394" s="198" t="n"/>
      <c r="D394" s="195">
        <f>IF(K394="","",INDEX('差動モデル'!$R:$R,K394))</f>
        <v/>
      </c>
      <c r="E394" s="195">
        <f>IF(K394="","",INDEX('差動モデル'!$S:$S,K394))</f>
        <v/>
      </c>
      <c r="F394" s="195">
        <f>IF(OR(A394="",B394=""),"",100*(D394-B394)/MAX(B394,1E-12))</f>
        <v/>
      </c>
      <c r="G394" s="195">
        <f>IF(OR(A394="",C394=""),"",E394-C394)</f>
        <v/>
      </c>
      <c r="H394" s="195">
        <f>IF(A394="","",LOG10(A394))</f>
        <v/>
      </c>
      <c r="I394" s="195">
        <f>IF(B394="","",LOG10(MAX(B394,1E-12)))</f>
        <v/>
      </c>
      <c r="J394" s="195">
        <f>IF(D394="","",LOG10(MAX(D394,1E-12)))</f>
        <v/>
      </c>
      <c r="K394">
        <f>IF(A394="","",ROUND(1+(LOG10(A394)-LOG10('入力・概要'!$B$38))*('入力・概要'!$B$40-1)/(LOG10('入力・概要'!$B$39)-LOG10('入力・概要'!$B$38)),0)+3)</f>
        <v/>
      </c>
      <c r="L394">
        <f>IF(K394="","",INDEX('差動モデル'!$B:$B,K394))</f>
        <v/>
      </c>
      <c r="M394">
        <f>IF(A394="","",IF(ABS(L394/A394-1)&lt;0.01,"周波数差&lt;1%","周波数差あり"))</f>
        <v/>
      </c>
    </row>
    <row r="395">
      <c r="A395" s="197" t="n"/>
      <c r="B395" s="198" t="n"/>
      <c r="C395" s="198" t="n"/>
      <c r="D395" s="195">
        <f>IF(K395="","",INDEX('差動モデル'!$R:$R,K395))</f>
        <v/>
      </c>
      <c r="E395" s="195">
        <f>IF(K395="","",INDEX('差動モデル'!$S:$S,K395))</f>
        <v/>
      </c>
      <c r="F395" s="195">
        <f>IF(OR(A395="",B395=""),"",100*(D395-B395)/MAX(B395,1E-12))</f>
        <v/>
      </c>
      <c r="G395" s="195">
        <f>IF(OR(A395="",C395=""),"",E395-C395)</f>
        <v/>
      </c>
      <c r="H395" s="195">
        <f>IF(A395="","",LOG10(A395))</f>
        <v/>
      </c>
      <c r="I395" s="195">
        <f>IF(B395="","",LOG10(MAX(B395,1E-12)))</f>
        <v/>
      </c>
      <c r="J395" s="195">
        <f>IF(D395="","",LOG10(MAX(D395,1E-12)))</f>
        <v/>
      </c>
      <c r="K395">
        <f>IF(A395="","",ROUND(1+(LOG10(A395)-LOG10('入力・概要'!$B$38))*('入力・概要'!$B$40-1)/(LOG10('入力・概要'!$B$39)-LOG10('入力・概要'!$B$38)),0)+3)</f>
        <v/>
      </c>
      <c r="L395">
        <f>IF(K395="","",INDEX('差動モデル'!$B:$B,K395))</f>
        <v/>
      </c>
      <c r="M395">
        <f>IF(A395="","",IF(ABS(L395/A395-1)&lt;0.01,"周波数差&lt;1%","周波数差あり"))</f>
        <v/>
      </c>
    </row>
    <row r="396">
      <c r="A396" s="197" t="n"/>
      <c r="B396" s="198" t="n"/>
      <c r="C396" s="198" t="n"/>
      <c r="D396" s="195">
        <f>IF(K396="","",INDEX('差動モデル'!$R:$R,K396))</f>
        <v/>
      </c>
      <c r="E396" s="195">
        <f>IF(K396="","",INDEX('差動モデル'!$S:$S,K396))</f>
        <v/>
      </c>
      <c r="F396" s="195">
        <f>IF(OR(A396="",B396=""),"",100*(D396-B396)/MAX(B396,1E-12))</f>
        <v/>
      </c>
      <c r="G396" s="195">
        <f>IF(OR(A396="",C396=""),"",E396-C396)</f>
        <v/>
      </c>
      <c r="H396" s="195">
        <f>IF(A396="","",LOG10(A396))</f>
        <v/>
      </c>
      <c r="I396" s="195">
        <f>IF(B396="","",LOG10(MAX(B396,1E-12)))</f>
        <v/>
      </c>
      <c r="J396" s="195">
        <f>IF(D396="","",LOG10(MAX(D396,1E-12)))</f>
        <v/>
      </c>
      <c r="K396">
        <f>IF(A396="","",ROUND(1+(LOG10(A396)-LOG10('入力・概要'!$B$38))*('入力・概要'!$B$40-1)/(LOG10('入力・概要'!$B$39)-LOG10('入力・概要'!$B$38)),0)+3)</f>
        <v/>
      </c>
      <c r="L396">
        <f>IF(K396="","",INDEX('差動モデル'!$B:$B,K396))</f>
        <v/>
      </c>
      <c r="M396">
        <f>IF(A396="","",IF(ABS(L396/A396-1)&lt;0.01,"周波数差&lt;1%","周波数差あり"))</f>
        <v/>
      </c>
    </row>
    <row r="397">
      <c r="A397" s="197" t="n"/>
      <c r="B397" s="198" t="n"/>
      <c r="C397" s="198" t="n"/>
      <c r="D397" s="195">
        <f>IF(K397="","",INDEX('差動モデル'!$R:$R,K397))</f>
        <v/>
      </c>
      <c r="E397" s="195">
        <f>IF(K397="","",INDEX('差動モデル'!$S:$S,K397))</f>
        <v/>
      </c>
      <c r="F397" s="195">
        <f>IF(OR(A397="",B397=""),"",100*(D397-B397)/MAX(B397,1E-12))</f>
        <v/>
      </c>
      <c r="G397" s="195">
        <f>IF(OR(A397="",C397=""),"",E397-C397)</f>
        <v/>
      </c>
      <c r="H397" s="195">
        <f>IF(A397="","",LOG10(A397))</f>
        <v/>
      </c>
      <c r="I397" s="195">
        <f>IF(B397="","",LOG10(MAX(B397,1E-12)))</f>
        <v/>
      </c>
      <c r="J397" s="195">
        <f>IF(D397="","",LOG10(MAX(D397,1E-12)))</f>
        <v/>
      </c>
      <c r="K397">
        <f>IF(A397="","",ROUND(1+(LOG10(A397)-LOG10('入力・概要'!$B$38))*('入力・概要'!$B$40-1)/(LOG10('入力・概要'!$B$39)-LOG10('入力・概要'!$B$38)),0)+3)</f>
        <v/>
      </c>
      <c r="L397">
        <f>IF(K397="","",INDEX('差動モデル'!$B:$B,K397))</f>
        <v/>
      </c>
      <c r="M397">
        <f>IF(A397="","",IF(ABS(L397/A397-1)&lt;0.01,"周波数差&lt;1%","周波数差あり"))</f>
        <v/>
      </c>
    </row>
    <row r="398">
      <c r="A398" s="197" t="n"/>
      <c r="B398" s="198" t="n"/>
      <c r="C398" s="198" t="n"/>
      <c r="D398" s="195">
        <f>IF(K398="","",INDEX('差動モデル'!$R:$R,K398))</f>
        <v/>
      </c>
      <c r="E398" s="195">
        <f>IF(K398="","",INDEX('差動モデル'!$S:$S,K398))</f>
        <v/>
      </c>
      <c r="F398" s="195">
        <f>IF(OR(A398="",B398=""),"",100*(D398-B398)/MAX(B398,1E-12))</f>
        <v/>
      </c>
      <c r="G398" s="195">
        <f>IF(OR(A398="",C398=""),"",E398-C398)</f>
        <v/>
      </c>
      <c r="H398" s="195">
        <f>IF(A398="","",LOG10(A398))</f>
        <v/>
      </c>
      <c r="I398" s="195">
        <f>IF(B398="","",LOG10(MAX(B398,1E-12)))</f>
        <v/>
      </c>
      <c r="J398" s="195">
        <f>IF(D398="","",LOG10(MAX(D398,1E-12)))</f>
        <v/>
      </c>
      <c r="K398">
        <f>IF(A398="","",ROUND(1+(LOG10(A398)-LOG10('入力・概要'!$B$38))*('入力・概要'!$B$40-1)/(LOG10('入力・概要'!$B$39)-LOG10('入力・概要'!$B$38)),0)+3)</f>
        <v/>
      </c>
      <c r="L398">
        <f>IF(K398="","",INDEX('差動モデル'!$B:$B,K398))</f>
        <v/>
      </c>
      <c r="M398">
        <f>IF(A398="","",IF(ABS(L398/A398-1)&lt;0.01,"周波数差&lt;1%","周波数差あり"))</f>
        <v/>
      </c>
    </row>
    <row r="399">
      <c r="A399" s="197" t="n"/>
      <c r="B399" s="198" t="n"/>
      <c r="C399" s="198" t="n"/>
      <c r="D399" s="195">
        <f>IF(K399="","",INDEX('差動モデル'!$R:$R,K399))</f>
        <v/>
      </c>
      <c r="E399" s="195">
        <f>IF(K399="","",INDEX('差動モデル'!$S:$S,K399))</f>
        <v/>
      </c>
      <c r="F399" s="195">
        <f>IF(OR(A399="",B399=""),"",100*(D399-B399)/MAX(B399,1E-12))</f>
        <v/>
      </c>
      <c r="G399" s="195">
        <f>IF(OR(A399="",C399=""),"",E399-C399)</f>
        <v/>
      </c>
      <c r="H399" s="195">
        <f>IF(A399="","",LOG10(A399))</f>
        <v/>
      </c>
      <c r="I399" s="195">
        <f>IF(B399="","",LOG10(MAX(B399,1E-12)))</f>
        <v/>
      </c>
      <c r="J399" s="195">
        <f>IF(D399="","",LOG10(MAX(D399,1E-12)))</f>
        <v/>
      </c>
      <c r="K399">
        <f>IF(A399="","",ROUND(1+(LOG10(A399)-LOG10('入力・概要'!$B$38))*('入力・概要'!$B$40-1)/(LOG10('入力・概要'!$B$39)-LOG10('入力・概要'!$B$38)),0)+3)</f>
        <v/>
      </c>
      <c r="L399">
        <f>IF(K399="","",INDEX('差動モデル'!$B:$B,K399))</f>
        <v/>
      </c>
      <c r="M399">
        <f>IF(A399="","",IF(ABS(L399/A399-1)&lt;0.01,"周波数差&lt;1%","周波数差あり"))</f>
        <v/>
      </c>
    </row>
    <row r="400">
      <c r="A400" s="197" t="n"/>
      <c r="B400" s="198" t="n"/>
      <c r="C400" s="198" t="n"/>
      <c r="D400" s="195">
        <f>IF(K400="","",INDEX('差動モデル'!$R:$R,K400))</f>
        <v/>
      </c>
      <c r="E400" s="195">
        <f>IF(K400="","",INDEX('差動モデル'!$S:$S,K400))</f>
        <v/>
      </c>
      <c r="F400" s="195">
        <f>IF(OR(A400="",B400=""),"",100*(D400-B400)/MAX(B400,1E-12))</f>
        <v/>
      </c>
      <c r="G400" s="195">
        <f>IF(OR(A400="",C400=""),"",E400-C400)</f>
        <v/>
      </c>
      <c r="H400" s="195">
        <f>IF(A400="","",LOG10(A400))</f>
        <v/>
      </c>
      <c r="I400" s="195">
        <f>IF(B400="","",LOG10(MAX(B400,1E-12)))</f>
        <v/>
      </c>
      <c r="J400" s="195">
        <f>IF(D400="","",LOG10(MAX(D400,1E-12)))</f>
        <v/>
      </c>
      <c r="K400">
        <f>IF(A400="","",ROUND(1+(LOG10(A400)-LOG10('入力・概要'!$B$38))*('入力・概要'!$B$40-1)/(LOG10('入力・概要'!$B$39)-LOG10('入力・概要'!$B$38)),0)+3)</f>
        <v/>
      </c>
      <c r="L400">
        <f>IF(K400="","",INDEX('差動モデル'!$B:$B,K400))</f>
        <v/>
      </c>
      <c r="M400">
        <f>IF(A400="","",IF(ABS(L400/A400-1)&lt;0.01,"周波数差&lt;1%","周波数差あり"))</f>
        <v/>
      </c>
    </row>
    <row r="401">
      <c r="A401" s="197" t="n"/>
      <c r="B401" s="198" t="n"/>
      <c r="C401" s="198" t="n"/>
      <c r="D401" s="195">
        <f>IF(K401="","",INDEX('差動モデル'!$R:$R,K401))</f>
        <v/>
      </c>
      <c r="E401" s="195">
        <f>IF(K401="","",INDEX('差動モデル'!$S:$S,K401))</f>
        <v/>
      </c>
      <c r="F401" s="195">
        <f>IF(OR(A401="",B401=""),"",100*(D401-B401)/MAX(B401,1E-12))</f>
        <v/>
      </c>
      <c r="G401" s="195">
        <f>IF(OR(A401="",C401=""),"",E401-C401)</f>
        <v/>
      </c>
      <c r="H401" s="195">
        <f>IF(A401="","",LOG10(A401))</f>
        <v/>
      </c>
      <c r="I401" s="195">
        <f>IF(B401="","",LOG10(MAX(B401,1E-12)))</f>
        <v/>
      </c>
      <c r="J401" s="195">
        <f>IF(D401="","",LOG10(MAX(D401,1E-12)))</f>
        <v/>
      </c>
      <c r="K401">
        <f>IF(A401="","",ROUND(1+(LOG10(A401)-LOG10('入力・概要'!$B$38))*('入力・概要'!$B$40-1)/(LOG10('入力・概要'!$B$39)-LOG10('入力・概要'!$B$38)),0)+3)</f>
        <v/>
      </c>
      <c r="L401">
        <f>IF(K401="","",INDEX('差動モデル'!$B:$B,K401))</f>
        <v/>
      </c>
      <c r="M401">
        <f>IF(A401="","",IF(ABS(L401/A401-1)&lt;0.01,"周波数差&lt;1%","周波数差あり"))</f>
        <v/>
      </c>
    </row>
    <row r="402">
      <c r="A402" s="197" t="n"/>
      <c r="B402" s="198" t="n"/>
      <c r="C402" s="198" t="n"/>
      <c r="D402" s="195">
        <f>IF(K402="","",INDEX('差動モデル'!$R:$R,K402))</f>
        <v/>
      </c>
      <c r="E402" s="195">
        <f>IF(K402="","",INDEX('差動モデル'!$S:$S,K402))</f>
        <v/>
      </c>
      <c r="F402" s="195">
        <f>IF(OR(A402="",B402=""),"",100*(D402-B402)/MAX(B402,1E-12))</f>
        <v/>
      </c>
      <c r="G402" s="195">
        <f>IF(OR(A402="",C402=""),"",E402-C402)</f>
        <v/>
      </c>
      <c r="H402" s="195">
        <f>IF(A402="","",LOG10(A402))</f>
        <v/>
      </c>
      <c r="I402" s="195">
        <f>IF(B402="","",LOG10(MAX(B402,1E-12)))</f>
        <v/>
      </c>
      <c r="J402" s="195">
        <f>IF(D402="","",LOG10(MAX(D402,1E-12)))</f>
        <v/>
      </c>
      <c r="K402">
        <f>IF(A402="","",ROUND(1+(LOG10(A402)-LOG10('入力・概要'!$B$38))*('入力・概要'!$B$40-1)/(LOG10('入力・概要'!$B$39)-LOG10('入力・概要'!$B$38)),0)+3)</f>
        <v/>
      </c>
      <c r="L402">
        <f>IF(K402="","",INDEX('差動モデル'!$B:$B,K402))</f>
        <v/>
      </c>
      <c r="M402">
        <f>IF(A402="","",IF(ABS(L402/A402-1)&lt;0.01,"周波数差&lt;1%","周波数差あり"))</f>
        <v/>
      </c>
    </row>
    <row r="403">
      <c r="A403" s="197" t="n"/>
      <c r="B403" s="198" t="n"/>
      <c r="C403" s="198" t="n"/>
      <c r="D403" s="195">
        <f>IF(K403="","",INDEX('差動モデル'!$R:$R,K403))</f>
        <v/>
      </c>
      <c r="E403" s="195">
        <f>IF(K403="","",INDEX('差動モデル'!$S:$S,K403))</f>
        <v/>
      </c>
      <c r="F403" s="195">
        <f>IF(OR(A403="",B403=""),"",100*(D403-B403)/MAX(B403,1E-12))</f>
        <v/>
      </c>
      <c r="G403" s="195">
        <f>IF(OR(A403="",C403=""),"",E403-C403)</f>
        <v/>
      </c>
      <c r="H403" s="195">
        <f>IF(A403="","",LOG10(A403))</f>
        <v/>
      </c>
      <c r="I403" s="195">
        <f>IF(B403="","",LOG10(MAX(B403,1E-12)))</f>
        <v/>
      </c>
      <c r="J403" s="195">
        <f>IF(D403="","",LOG10(MAX(D403,1E-12)))</f>
        <v/>
      </c>
      <c r="K403">
        <f>IF(A403="","",ROUND(1+(LOG10(A403)-LOG10('入力・概要'!$B$38))*('入力・概要'!$B$40-1)/(LOG10('入力・概要'!$B$39)-LOG10('入力・概要'!$B$38)),0)+3)</f>
        <v/>
      </c>
      <c r="L403">
        <f>IF(K403="","",INDEX('差動モデル'!$B:$B,K403))</f>
        <v/>
      </c>
      <c r="M403">
        <f>IF(A403="","",IF(ABS(L403/A403-1)&lt;0.01,"周波数差&lt;1%","周波数差あり"))</f>
        <v/>
      </c>
    </row>
    <row r="404">
      <c r="A404" s="197" t="n"/>
      <c r="B404" s="198" t="n"/>
      <c r="C404" s="198" t="n"/>
      <c r="D404" s="195">
        <f>IF(K404="","",INDEX('差動モデル'!$R:$R,K404))</f>
        <v/>
      </c>
      <c r="E404" s="195">
        <f>IF(K404="","",INDEX('差動モデル'!$S:$S,K404))</f>
        <v/>
      </c>
      <c r="F404" s="195">
        <f>IF(OR(A404="",B404=""),"",100*(D404-B404)/MAX(B404,1E-12))</f>
        <v/>
      </c>
      <c r="G404" s="195">
        <f>IF(OR(A404="",C404=""),"",E404-C404)</f>
        <v/>
      </c>
      <c r="H404" s="195">
        <f>IF(A404="","",LOG10(A404))</f>
        <v/>
      </c>
      <c r="I404" s="195">
        <f>IF(B404="","",LOG10(MAX(B404,1E-12)))</f>
        <v/>
      </c>
      <c r="J404" s="195">
        <f>IF(D404="","",LOG10(MAX(D404,1E-12)))</f>
        <v/>
      </c>
      <c r="K404">
        <f>IF(A404="","",ROUND(1+(LOG10(A404)-LOG10('入力・概要'!$B$38))*('入力・概要'!$B$40-1)/(LOG10('入力・概要'!$B$39)-LOG10('入力・概要'!$B$38)),0)+3)</f>
        <v/>
      </c>
      <c r="L404">
        <f>IF(K404="","",INDEX('差動モデル'!$B:$B,K404))</f>
        <v/>
      </c>
      <c r="M404">
        <f>IF(A404="","",IF(ABS(L404/A404-1)&lt;0.01,"周波数差&lt;1%","周波数差あり"))</f>
        <v/>
      </c>
    </row>
    <row r="405">
      <c r="A405" s="197" t="n"/>
      <c r="B405" s="198" t="n"/>
      <c r="C405" s="198" t="n"/>
      <c r="D405" s="195">
        <f>IF(K405="","",INDEX('差動モデル'!$R:$R,K405))</f>
        <v/>
      </c>
      <c r="E405" s="195">
        <f>IF(K405="","",INDEX('差動モデル'!$S:$S,K405))</f>
        <v/>
      </c>
      <c r="F405" s="195">
        <f>IF(OR(A405="",B405=""),"",100*(D405-B405)/MAX(B405,1E-12))</f>
        <v/>
      </c>
      <c r="G405" s="195">
        <f>IF(OR(A405="",C405=""),"",E405-C405)</f>
        <v/>
      </c>
      <c r="H405" s="195">
        <f>IF(A405="","",LOG10(A405))</f>
        <v/>
      </c>
      <c r="I405" s="195">
        <f>IF(B405="","",LOG10(MAX(B405,1E-12)))</f>
        <v/>
      </c>
      <c r="J405" s="195">
        <f>IF(D405="","",LOG10(MAX(D405,1E-12)))</f>
        <v/>
      </c>
      <c r="K405">
        <f>IF(A405="","",ROUND(1+(LOG10(A405)-LOG10('入力・概要'!$B$38))*('入力・概要'!$B$40-1)/(LOG10('入力・概要'!$B$39)-LOG10('入力・概要'!$B$38)),0)+3)</f>
        <v/>
      </c>
      <c r="L405">
        <f>IF(K405="","",INDEX('差動モデル'!$B:$B,K405))</f>
        <v/>
      </c>
      <c r="M405">
        <f>IF(A405="","",IF(ABS(L405/A405-1)&lt;0.01,"周波数差&lt;1%","周波数差あり"))</f>
        <v/>
      </c>
    </row>
    <row r="406">
      <c r="A406" s="197" t="n"/>
      <c r="B406" s="198" t="n"/>
      <c r="C406" s="198" t="n"/>
      <c r="D406" s="195">
        <f>IF(K406="","",INDEX('差動モデル'!$R:$R,K406))</f>
        <v/>
      </c>
      <c r="E406" s="195">
        <f>IF(K406="","",INDEX('差動モデル'!$S:$S,K406))</f>
        <v/>
      </c>
      <c r="F406" s="195">
        <f>IF(OR(A406="",B406=""),"",100*(D406-B406)/MAX(B406,1E-12))</f>
        <v/>
      </c>
      <c r="G406" s="195">
        <f>IF(OR(A406="",C406=""),"",E406-C406)</f>
        <v/>
      </c>
      <c r="H406" s="195">
        <f>IF(A406="","",LOG10(A406))</f>
        <v/>
      </c>
      <c r="I406" s="195">
        <f>IF(B406="","",LOG10(MAX(B406,1E-12)))</f>
        <v/>
      </c>
      <c r="J406" s="195">
        <f>IF(D406="","",LOG10(MAX(D406,1E-12)))</f>
        <v/>
      </c>
      <c r="K406">
        <f>IF(A406="","",ROUND(1+(LOG10(A406)-LOG10('入力・概要'!$B$38))*('入力・概要'!$B$40-1)/(LOG10('入力・概要'!$B$39)-LOG10('入力・概要'!$B$38)),0)+3)</f>
        <v/>
      </c>
      <c r="L406">
        <f>IF(K406="","",INDEX('差動モデル'!$B:$B,K406))</f>
        <v/>
      </c>
      <c r="M406">
        <f>IF(A406="","",IF(ABS(L406/A406-1)&lt;0.01,"周波数差&lt;1%","周波数差あり"))</f>
        <v/>
      </c>
    </row>
    <row r="407">
      <c r="A407" s="197" t="n"/>
      <c r="B407" s="198" t="n"/>
      <c r="C407" s="198" t="n"/>
      <c r="D407" s="195">
        <f>IF(K407="","",INDEX('差動モデル'!$R:$R,K407))</f>
        <v/>
      </c>
      <c r="E407" s="195">
        <f>IF(K407="","",INDEX('差動モデル'!$S:$S,K407))</f>
        <v/>
      </c>
      <c r="F407" s="195">
        <f>IF(OR(A407="",B407=""),"",100*(D407-B407)/MAX(B407,1E-12))</f>
        <v/>
      </c>
      <c r="G407" s="195">
        <f>IF(OR(A407="",C407=""),"",E407-C407)</f>
        <v/>
      </c>
      <c r="H407" s="195">
        <f>IF(A407="","",LOG10(A407))</f>
        <v/>
      </c>
      <c r="I407" s="195">
        <f>IF(B407="","",LOG10(MAX(B407,1E-12)))</f>
        <v/>
      </c>
      <c r="J407" s="195">
        <f>IF(D407="","",LOG10(MAX(D407,1E-12)))</f>
        <v/>
      </c>
      <c r="K407">
        <f>IF(A407="","",ROUND(1+(LOG10(A407)-LOG10('入力・概要'!$B$38))*('入力・概要'!$B$40-1)/(LOG10('入力・概要'!$B$39)-LOG10('入力・概要'!$B$38)),0)+3)</f>
        <v/>
      </c>
      <c r="L407">
        <f>IF(K407="","",INDEX('差動モデル'!$B:$B,K407))</f>
        <v/>
      </c>
      <c r="M407">
        <f>IF(A407="","",IF(ABS(L407/A407-1)&lt;0.01,"周波数差&lt;1%","周波数差あり"))</f>
        <v/>
      </c>
    </row>
    <row r="408">
      <c r="A408" s="197" t="n"/>
      <c r="B408" s="198" t="n"/>
      <c r="C408" s="198" t="n"/>
      <c r="D408" s="195">
        <f>IF(K408="","",INDEX('差動モデル'!$R:$R,K408))</f>
        <v/>
      </c>
      <c r="E408" s="195">
        <f>IF(K408="","",INDEX('差動モデル'!$S:$S,K408))</f>
        <v/>
      </c>
      <c r="F408" s="195">
        <f>IF(OR(A408="",B408=""),"",100*(D408-B408)/MAX(B408,1E-12))</f>
        <v/>
      </c>
      <c r="G408" s="195">
        <f>IF(OR(A408="",C408=""),"",E408-C408)</f>
        <v/>
      </c>
      <c r="H408" s="195">
        <f>IF(A408="","",LOG10(A408))</f>
        <v/>
      </c>
      <c r="I408" s="195">
        <f>IF(B408="","",LOG10(MAX(B408,1E-12)))</f>
        <v/>
      </c>
      <c r="J408" s="195">
        <f>IF(D408="","",LOG10(MAX(D408,1E-12)))</f>
        <v/>
      </c>
      <c r="K408">
        <f>IF(A408="","",ROUND(1+(LOG10(A408)-LOG10('入力・概要'!$B$38))*('入力・概要'!$B$40-1)/(LOG10('入力・概要'!$B$39)-LOG10('入力・概要'!$B$38)),0)+3)</f>
        <v/>
      </c>
      <c r="L408">
        <f>IF(K408="","",INDEX('差動モデル'!$B:$B,K408))</f>
        <v/>
      </c>
      <c r="M408">
        <f>IF(A408="","",IF(ABS(L408/A408-1)&lt;0.01,"周波数差&lt;1%","周波数差あり"))</f>
        <v/>
      </c>
    </row>
    <row r="409">
      <c r="A409" s="197" t="n"/>
      <c r="B409" s="198" t="n"/>
      <c r="C409" s="198" t="n"/>
      <c r="D409" s="195">
        <f>IF(K409="","",INDEX('差動モデル'!$R:$R,K409))</f>
        <v/>
      </c>
      <c r="E409" s="195">
        <f>IF(K409="","",INDEX('差動モデル'!$S:$S,K409))</f>
        <v/>
      </c>
      <c r="F409" s="195">
        <f>IF(OR(A409="",B409=""),"",100*(D409-B409)/MAX(B409,1E-12))</f>
        <v/>
      </c>
      <c r="G409" s="195">
        <f>IF(OR(A409="",C409=""),"",E409-C409)</f>
        <v/>
      </c>
      <c r="H409" s="195">
        <f>IF(A409="","",LOG10(A409))</f>
        <v/>
      </c>
      <c r="I409" s="195">
        <f>IF(B409="","",LOG10(MAX(B409,1E-12)))</f>
        <v/>
      </c>
      <c r="J409" s="195">
        <f>IF(D409="","",LOG10(MAX(D409,1E-12)))</f>
        <v/>
      </c>
      <c r="K409">
        <f>IF(A409="","",ROUND(1+(LOG10(A409)-LOG10('入力・概要'!$B$38))*('入力・概要'!$B$40-1)/(LOG10('入力・概要'!$B$39)-LOG10('入力・概要'!$B$38)),0)+3)</f>
        <v/>
      </c>
      <c r="L409">
        <f>IF(K409="","",INDEX('差動モデル'!$B:$B,K409))</f>
        <v/>
      </c>
      <c r="M409">
        <f>IF(A409="","",IF(ABS(L409/A409-1)&lt;0.01,"周波数差&lt;1%","周波数差あり"))</f>
        <v/>
      </c>
    </row>
    <row r="410">
      <c r="A410" s="197" t="n"/>
      <c r="B410" s="198" t="n"/>
      <c r="C410" s="198" t="n"/>
      <c r="D410" s="195">
        <f>IF(K410="","",INDEX('差動モデル'!$R:$R,K410))</f>
        <v/>
      </c>
      <c r="E410" s="195">
        <f>IF(K410="","",INDEX('差動モデル'!$S:$S,K410))</f>
        <v/>
      </c>
      <c r="F410" s="195">
        <f>IF(OR(A410="",B410=""),"",100*(D410-B410)/MAX(B410,1E-12))</f>
        <v/>
      </c>
      <c r="G410" s="195">
        <f>IF(OR(A410="",C410=""),"",E410-C410)</f>
        <v/>
      </c>
      <c r="H410" s="195">
        <f>IF(A410="","",LOG10(A410))</f>
        <v/>
      </c>
      <c r="I410" s="195">
        <f>IF(B410="","",LOG10(MAX(B410,1E-12)))</f>
        <v/>
      </c>
      <c r="J410" s="195">
        <f>IF(D410="","",LOG10(MAX(D410,1E-12)))</f>
        <v/>
      </c>
      <c r="K410">
        <f>IF(A410="","",ROUND(1+(LOG10(A410)-LOG10('入力・概要'!$B$38))*('入力・概要'!$B$40-1)/(LOG10('入力・概要'!$B$39)-LOG10('入力・概要'!$B$38)),0)+3)</f>
        <v/>
      </c>
      <c r="L410">
        <f>IF(K410="","",INDEX('差動モデル'!$B:$B,K410))</f>
        <v/>
      </c>
      <c r="M410">
        <f>IF(A410="","",IF(ABS(L410/A410-1)&lt;0.01,"周波数差&lt;1%","周波数差あり"))</f>
        <v/>
      </c>
    </row>
    <row r="411">
      <c r="A411" s="197" t="n"/>
      <c r="B411" s="198" t="n"/>
      <c r="C411" s="198" t="n"/>
      <c r="D411" s="195">
        <f>IF(K411="","",INDEX('差動モデル'!$R:$R,K411))</f>
        <v/>
      </c>
      <c r="E411" s="195">
        <f>IF(K411="","",INDEX('差動モデル'!$S:$S,K411))</f>
        <v/>
      </c>
      <c r="F411" s="195">
        <f>IF(OR(A411="",B411=""),"",100*(D411-B411)/MAX(B411,1E-12))</f>
        <v/>
      </c>
      <c r="G411" s="195">
        <f>IF(OR(A411="",C411=""),"",E411-C411)</f>
        <v/>
      </c>
      <c r="H411" s="195">
        <f>IF(A411="","",LOG10(A411))</f>
        <v/>
      </c>
      <c r="I411" s="195">
        <f>IF(B411="","",LOG10(MAX(B411,1E-12)))</f>
        <v/>
      </c>
      <c r="J411" s="195">
        <f>IF(D411="","",LOG10(MAX(D411,1E-12)))</f>
        <v/>
      </c>
      <c r="K411">
        <f>IF(A411="","",ROUND(1+(LOG10(A411)-LOG10('入力・概要'!$B$38))*('入力・概要'!$B$40-1)/(LOG10('入力・概要'!$B$39)-LOG10('入力・概要'!$B$38)),0)+3)</f>
        <v/>
      </c>
      <c r="L411">
        <f>IF(K411="","",INDEX('差動モデル'!$B:$B,K411))</f>
        <v/>
      </c>
      <c r="M411">
        <f>IF(A411="","",IF(ABS(L411/A411-1)&lt;0.01,"周波数差&lt;1%","周波数差あり"))</f>
        <v/>
      </c>
    </row>
    <row r="412">
      <c r="A412" s="197" t="n"/>
      <c r="B412" s="198" t="n"/>
      <c r="C412" s="198" t="n"/>
      <c r="D412" s="195">
        <f>IF(K412="","",INDEX('差動モデル'!$R:$R,K412))</f>
        <v/>
      </c>
      <c r="E412" s="195">
        <f>IF(K412="","",INDEX('差動モデル'!$S:$S,K412))</f>
        <v/>
      </c>
      <c r="F412" s="195">
        <f>IF(OR(A412="",B412=""),"",100*(D412-B412)/MAX(B412,1E-12))</f>
        <v/>
      </c>
      <c r="G412" s="195">
        <f>IF(OR(A412="",C412=""),"",E412-C412)</f>
        <v/>
      </c>
      <c r="H412" s="195">
        <f>IF(A412="","",LOG10(A412))</f>
        <v/>
      </c>
      <c r="I412" s="195">
        <f>IF(B412="","",LOG10(MAX(B412,1E-12)))</f>
        <v/>
      </c>
      <c r="J412" s="195">
        <f>IF(D412="","",LOG10(MAX(D412,1E-12)))</f>
        <v/>
      </c>
      <c r="K412">
        <f>IF(A412="","",ROUND(1+(LOG10(A412)-LOG10('入力・概要'!$B$38))*('入力・概要'!$B$40-1)/(LOG10('入力・概要'!$B$39)-LOG10('入力・概要'!$B$38)),0)+3)</f>
        <v/>
      </c>
      <c r="L412">
        <f>IF(K412="","",INDEX('差動モデル'!$B:$B,K412))</f>
        <v/>
      </c>
      <c r="M412">
        <f>IF(A412="","",IF(ABS(L412/A412-1)&lt;0.01,"周波数差&lt;1%","周波数差あり"))</f>
        <v/>
      </c>
    </row>
    <row r="413">
      <c r="A413" s="197" t="n"/>
      <c r="B413" s="198" t="n"/>
      <c r="C413" s="198" t="n"/>
      <c r="D413" s="195">
        <f>IF(K413="","",INDEX('差動モデル'!$R:$R,K413))</f>
        <v/>
      </c>
      <c r="E413" s="195">
        <f>IF(K413="","",INDEX('差動モデル'!$S:$S,K413))</f>
        <v/>
      </c>
      <c r="F413" s="195">
        <f>IF(OR(A413="",B413=""),"",100*(D413-B413)/MAX(B413,1E-12))</f>
        <v/>
      </c>
      <c r="G413" s="195">
        <f>IF(OR(A413="",C413=""),"",E413-C413)</f>
        <v/>
      </c>
      <c r="H413" s="195">
        <f>IF(A413="","",LOG10(A413))</f>
        <v/>
      </c>
      <c r="I413" s="195">
        <f>IF(B413="","",LOG10(MAX(B413,1E-12)))</f>
        <v/>
      </c>
      <c r="J413" s="195">
        <f>IF(D413="","",LOG10(MAX(D413,1E-12)))</f>
        <v/>
      </c>
      <c r="K413">
        <f>IF(A413="","",ROUND(1+(LOG10(A413)-LOG10('入力・概要'!$B$38))*('入力・概要'!$B$40-1)/(LOG10('入力・概要'!$B$39)-LOG10('入力・概要'!$B$38)),0)+3)</f>
        <v/>
      </c>
      <c r="L413">
        <f>IF(K413="","",INDEX('差動モデル'!$B:$B,K413))</f>
        <v/>
      </c>
      <c r="M413">
        <f>IF(A413="","",IF(ABS(L413/A413-1)&lt;0.01,"周波数差&lt;1%","周波数差あり"))</f>
        <v/>
      </c>
    </row>
    <row r="414">
      <c r="A414" s="197" t="n"/>
      <c r="B414" s="198" t="n"/>
      <c r="C414" s="198" t="n"/>
      <c r="D414" s="195">
        <f>IF(K414="","",INDEX('差動モデル'!$R:$R,K414))</f>
        <v/>
      </c>
      <c r="E414" s="195">
        <f>IF(K414="","",INDEX('差動モデル'!$S:$S,K414))</f>
        <v/>
      </c>
      <c r="F414" s="195">
        <f>IF(OR(A414="",B414=""),"",100*(D414-B414)/MAX(B414,1E-12))</f>
        <v/>
      </c>
      <c r="G414" s="195">
        <f>IF(OR(A414="",C414=""),"",E414-C414)</f>
        <v/>
      </c>
      <c r="H414" s="195">
        <f>IF(A414="","",LOG10(A414))</f>
        <v/>
      </c>
      <c r="I414" s="195">
        <f>IF(B414="","",LOG10(MAX(B414,1E-12)))</f>
        <v/>
      </c>
      <c r="J414" s="195">
        <f>IF(D414="","",LOG10(MAX(D414,1E-12)))</f>
        <v/>
      </c>
      <c r="K414">
        <f>IF(A414="","",ROUND(1+(LOG10(A414)-LOG10('入力・概要'!$B$38))*('入力・概要'!$B$40-1)/(LOG10('入力・概要'!$B$39)-LOG10('入力・概要'!$B$38)),0)+3)</f>
        <v/>
      </c>
      <c r="L414">
        <f>IF(K414="","",INDEX('差動モデル'!$B:$B,K414))</f>
        <v/>
      </c>
      <c r="M414">
        <f>IF(A414="","",IF(ABS(L414/A414-1)&lt;0.01,"周波数差&lt;1%","周波数差あり"))</f>
        <v/>
      </c>
    </row>
    <row r="415">
      <c r="A415" s="197" t="n"/>
      <c r="B415" s="198" t="n"/>
      <c r="C415" s="198" t="n"/>
      <c r="D415" s="195">
        <f>IF(K415="","",INDEX('差動モデル'!$R:$R,K415))</f>
        <v/>
      </c>
      <c r="E415" s="195">
        <f>IF(K415="","",INDEX('差動モデル'!$S:$S,K415))</f>
        <v/>
      </c>
      <c r="F415" s="195">
        <f>IF(OR(A415="",B415=""),"",100*(D415-B415)/MAX(B415,1E-12))</f>
        <v/>
      </c>
      <c r="G415" s="195">
        <f>IF(OR(A415="",C415=""),"",E415-C415)</f>
        <v/>
      </c>
      <c r="H415" s="195">
        <f>IF(A415="","",LOG10(A415))</f>
        <v/>
      </c>
      <c r="I415" s="195">
        <f>IF(B415="","",LOG10(MAX(B415,1E-12)))</f>
        <v/>
      </c>
      <c r="J415" s="195">
        <f>IF(D415="","",LOG10(MAX(D415,1E-12)))</f>
        <v/>
      </c>
      <c r="K415">
        <f>IF(A415="","",ROUND(1+(LOG10(A415)-LOG10('入力・概要'!$B$38))*('入力・概要'!$B$40-1)/(LOG10('入力・概要'!$B$39)-LOG10('入力・概要'!$B$38)),0)+3)</f>
        <v/>
      </c>
      <c r="L415">
        <f>IF(K415="","",INDEX('差動モデル'!$B:$B,K415))</f>
        <v/>
      </c>
      <c r="M415">
        <f>IF(A415="","",IF(ABS(L415/A415-1)&lt;0.01,"周波数差&lt;1%","周波数差あり"))</f>
        <v/>
      </c>
    </row>
    <row r="416">
      <c r="A416" s="197" t="n"/>
      <c r="B416" s="198" t="n"/>
      <c r="C416" s="198" t="n"/>
      <c r="D416" s="195">
        <f>IF(K416="","",INDEX('差動モデル'!$R:$R,K416))</f>
        <v/>
      </c>
      <c r="E416" s="195">
        <f>IF(K416="","",INDEX('差動モデル'!$S:$S,K416))</f>
        <v/>
      </c>
      <c r="F416" s="195">
        <f>IF(OR(A416="",B416=""),"",100*(D416-B416)/MAX(B416,1E-12))</f>
        <v/>
      </c>
      <c r="G416" s="195">
        <f>IF(OR(A416="",C416=""),"",E416-C416)</f>
        <v/>
      </c>
      <c r="H416" s="195">
        <f>IF(A416="","",LOG10(A416))</f>
        <v/>
      </c>
      <c r="I416" s="195">
        <f>IF(B416="","",LOG10(MAX(B416,1E-12)))</f>
        <v/>
      </c>
      <c r="J416" s="195">
        <f>IF(D416="","",LOG10(MAX(D416,1E-12)))</f>
        <v/>
      </c>
      <c r="K416">
        <f>IF(A416="","",ROUND(1+(LOG10(A416)-LOG10('入力・概要'!$B$38))*('入力・概要'!$B$40-1)/(LOG10('入力・概要'!$B$39)-LOG10('入力・概要'!$B$38)),0)+3)</f>
        <v/>
      </c>
      <c r="L416">
        <f>IF(K416="","",INDEX('差動モデル'!$B:$B,K416))</f>
        <v/>
      </c>
      <c r="M416">
        <f>IF(A416="","",IF(ABS(L416/A416-1)&lt;0.01,"周波数差&lt;1%","周波数差あり"))</f>
        <v/>
      </c>
    </row>
    <row r="417">
      <c r="A417" s="197" t="n"/>
      <c r="B417" s="198" t="n"/>
      <c r="C417" s="198" t="n"/>
      <c r="D417" s="195">
        <f>IF(K417="","",INDEX('差動モデル'!$R:$R,K417))</f>
        <v/>
      </c>
      <c r="E417" s="195">
        <f>IF(K417="","",INDEX('差動モデル'!$S:$S,K417))</f>
        <v/>
      </c>
      <c r="F417" s="195">
        <f>IF(OR(A417="",B417=""),"",100*(D417-B417)/MAX(B417,1E-12))</f>
        <v/>
      </c>
      <c r="G417" s="195">
        <f>IF(OR(A417="",C417=""),"",E417-C417)</f>
        <v/>
      </c>
      <c r="H417" s="195">
        <f>IF(A417="","",LOG10(A417))</f>
        <v/>
      </c>
      <c r="I417" s="195">
        <f>IF(B417="","",LOG10(MAX(B417,1E-12)))</f>
        <v/>
      </c>
      <c r="J417" s="195">
        <f>IF(D417="","",LOG10(MAX(D417,1E-12)))</f>
        <v/>
      </c>
      <c r="K417">
        <f>IF(A417="","",ROUND(1+(LOG10(A417)-LOG10('入力・概要'!$B$38))*('入力・概要'!$B$40-1)/(LOG10('入力・概要'!$B$39)-LOG10('入力・概要'!$B$38)),0)+3)</f>
        <v/>
      </c>
      <c r="L417">
        <f>IF(K417="","",INDEX('差動モデル'!$B:$B,K417))</f>
        <v/>
      </c>
      <c r="M417">
        <f>IF(A417="","",IF(ABS(L417/A417-1)&lt;0.01,"周波数差&lt;1%","周波数差あり"))</f>
        <v/>
      </c>
    </row>
    <row r="418">
      <c r="A418" s="197" t="n"/>
      <c r="B418" s="198" t="n"/>
      <c r="C418" s="198" t="n"/>
      <c r="D418" s="195">
        <f>IF(K418="","",INDEX('差動モデル'!$R:$R,K418))</f>
        <v/>
      </c>
      <c r="E418" s="195">
        <f>IF(K418="","",INDEX('差動モデル'!$S:$S,K418))</f>
        <v/>
      </c>
      <c r="F418" s="195">
        <f>IF(OR(A418="",B418=""),"",100*(D418-B418)/MAX(B418,1E-12))</f>
        <v/>
      </c>
      <c r="G418" s="195">
        <f>IF(OR(A418="",C418=""),"",E418-C418)</f>
        <v/>
      </c>
      <c r="H418" s="195">
        <f>IF(A418="","",LOG10(A418))</f>
        <v/>
      </c>
      <c r="I418" s="195">
        <f>IF(B418="","",LOG10(MAX(B418,1E-12)))</f>
        <v/>
      </c>
      <c r="J418" s="195">
        <f>IF(D418="","",LOG10(MAX(D418,1E-12)))</f>
        <v/>
      </c>
      <c r="K418">
        <f>IF(A418="","",ROUND(1+(LOG10(A418)-LOG10('入力・概要'!$B$38))*('入力・概要'!$B$40-1)/(LOG10('入力・概要'!$B$39)-LOG10('入力・概要'!$B$38)),0)+3)</f>
        <v/>
      </c>
      <c r="L418">
        <f>IF(K418="","",INDEX('差動モデル'!$B:$B,K418))</f>
        <v/>
      </c>
      <c r="M418">
        <f>IF(A418="","",IF(ABS(L418/A418-1)&lt;0.01,"周波数差&lt;1%","周波数差あり"))</f>
        <v/>
      </c>
    </row>
    <row r="419">
      <c r="A419" s="197" t="n"/>
      <c r="B419" s="198" t="n"/>
      <c r="C419" s="198" t="n"/>
      <c r="D419" s="195">
        <f>IF(K419="","",INDEX('差動モデル'!$R:$R,K419))</f>
        <v/>
      </c>
      <c r="E419" s="195">
        <f>IF(K419="","",INDEX('差動モデル'!$S:$S,K419))</f>
        <v/>
      </c>
      <c r="F419" s="195">
        <f>IF(OR(A419="",B419=""),"",100*(D419-B419)/MAX(B419,1E-12))</f>
        <v/>
      </c>
      <c r="G419" s="195">
        <f>IF(OR(A419="",C419=""),"",E419-C419)</f>
        <v/>
      </c>
      <c r="H419" s="195">
        <f>IF(A419="","",LOG10(A419))</f>
        <v/>
      </c>
      <c r="I419" s="195">
        <f>IF(B419="","",LOG10(MAX(B419,1E-12)))</f>
        <v/>
      </c>
      <c r="J419" s="195">
        <f>IF(D419="","",LOG10(MAX(D419,1E-12)))</f>
        <v/>
      </c>
      <c r="K419">
        <f>IF(A419="","",ROUND(1+(LOG10(A419)-LOG10('入力・概要'!$B$38))*('入力・概要'!$B$40-1)/(LOG10('入力・概要'!$B$39)-LOG10('入力・概要'!$B$38)),0)+3)</f>
        <v/>
      </c>
      <c r="L419">
        <f>IF(K419="","",INDEX('差動モデル'!$B:$B,K419))</f>
        <v/>
      </c>
      <c r="M419">
        <f>IF(A419="","",IF(ABS(L419/A419-1)&lt;0.01,"周波数差&lt;1%","周波数差あり"))</f>
        <v/>
      </c>
    </row>
    <row r="420">
      <c r="A420" s="197" t="n"/>
      <c r="B420" s="198" t="n"/>
      <c r="C420" s="198" t="n"/>
      <c r="D420" s="195">
        <f>IF(K420="","",INDEX('差動モデル'!$R:$R,K420))</f>
        <v/>
      </c>
      <c r="E420" s="195">
        <f>IF(K420="","",INDEX('差動モデル'!$S:$S,K420))</f>
        <v/>
      </c>
      <c r="F420" s="195">
        <f>IF(OR(A420="",B420=""),"",100*(D420-B420)/MAX(B420,1E-12))</f>
        <v/>
      </c>
      <c r="G420" s="195">
        <f>IF(OR(A420="",C420=""),"",E420-C420)</f>
        <v/>
      </c>
      <c r="H420" s="195">
        <f>IF(A420="","",LOG10(A420))</f>
        <v/>
      </c>
      <c r="I420" s="195">
        <f>IF(B420="","",LOG10(MAX(B420,1E-12)))</f>
        <v/>
      </c>
      <c r="J420" s="195">
        <f>IF(D420="","",LOG10(MAX(D420,1E-12)))</f>
        <v/>
      </c>
      <c r="K420">
        <f>IF(A420="","",ROUND(1+(LOG10(A420)-LOG10('入力・概要'!$B$38))*('入力・概要'!$B$40-1)/(LOG10('入力・概要'!$B$39)-LOG10('入力・概要'!$B$38)),0)+3)</f>
        <v/>
      </c>
      <c r="L420">
        <f>IF(K420="","",INDEX('差動モデル'!$B:$B,K420))</f>
        <v/>
      </c>
      <c r="M420">
        <f>IF(A420="","",IF(ABS(L420/A420-1)&lt;0.01,"周波数差&lt;1%","周波数差あり"))</f>
        <v/>
      </c>
    </row>
    <row r="421">
      <c r="A421" s="197" t="n"/>
      <c r="B421" s="198" t="n"/>
      <c r="C421" s="198" t="n"/>
      <c r="D421" s="195">
        <f>IF(K421="","",INDEX('差動モデル'!$R:$R,K421))</f>
        <v/>
      </c>
      <c r="E421" s="195">
        <f>IF(K421="","",INDEX('差動モデル'!$S:$S,K421))</f>
        <v/>
      </c>
      <c r="F421" s="195">
        <f>IF(OR(A421="",B421=""),"",100*(D421-B421)/MAX(B421,1E-12))</f>
        <v/>
      </c>
      <c r="G421" s="195">
        <f>IF(OR(A421="",C421=""),"",E421-C421)</f>
        <v/>
      </c>
      <c r="H421" s="195">
        <f>IF(A421="","",LOG10(A421))</f>
        <v/>
      </c>
      <c r="I421" s="195">
        <f>IF(B421="","",LOG10(MAX(B421,1E-12)))</f>
        <v/>
      </c>
      <c r="J421" s="195">
        <f>IF(D421="","",LOG10(MAX(D421,1E-12)))</f>
        <v/>
      </c>
      <c r="K421">
        <f>IF(A421="","",ROUND(1+(LOG10(A421)-LOG10('入力・概要'!$B$38))*('入力・概要'!$B$40-1)/(LOG10('入力・概要'!$B$39)-LOG10('入力・概要'!$B$38)),0)+3)</f>
        <v/>
      </c>
      <c r="L421">
        <f>IF(K421="","",INDEX('差動モデル'!$B:$B,K421))</f>
        <v/>
      </c>
      <c r="M421">
        <f>IF(A421="","",IF(ABS(L421/A421-1)&lt;0.01,"周波数差&lt;1%","周波数差あり"))</f>
        <v/>
      </c>
    </row>
    <row r="422">
      <c r="A422" s="197" t="n"/>
      <c r="B422" s="198" t="n"/>
      <c r="C422" s="198" t="n"/>
      <c r="D422" s="195">
        <f>IF(K422="","",INDEX('差動モデル'!$R:$R,K422))</f>
        <v/>
      </c>
      <c r="E422" s="195">
        <f>IF(K422="","",INDEX('差動モデル'!$S:$S,K422))</f>
        <v/>
      </c>
      <c r="F422" s="195">
        <f>IF(OR(A422="",B422=""),"",100*(D422-B422)/MAX(B422,1E-12))</f>
        <v/>
      </c>
      <c r="G422" s="195">
        <f>IF(OR(A422="",C422=""),"",E422-C422)</f>
        <v/>
      </c>
      <c r="H422" s="195">
        <f>IF(A422="","",LOG10(A422))</f>
        <v/>
      </c>
      <c r="I422" s="195">
        <f>IF(B422="","",LOG10(MAX(B422,1E-12)))</f>
        <v/>
      </c>
      <c r="J422" s="195">
        <f>IF(D422="","",LOG10(MAX(D422,1E-12)))</f>
        <v/>
      </c>
      <c r="K422">
        <f>IF(A422="","",ROUND(1+(LOG10(A422)-LOG10('入力・概要'!$B$38))*('入力・概要'!$B$40-1)/(LOG10('入力・概要'!$B$39)-LOG10('入力・概要'!$B$38)),0)+3)</f>
        <v/>
      </c>
      <c r="L422">
        <f>IF(K422="","",INDEX('差動モデル'!$B:$B,K422))</f>
        <v/>
      </c>
      <c r="M422">
        <f>IF(A422="","",IF(ABS(L422/A422-1)&lt;0.01,"周波数差&lt;1%","周波数差あり"))</f>
        <v/>
      </c>
    </row>
    <row r="423">
      <c r="A423" s="197" t="n"/>
      <c r="B423" s="198" t="n"/>
      <c r="C423" s="198" t="n"/>
      <c r="D423" s="195">
        <f>IF(K423="","",INDEX('差動モデル'!$R:$R,K423))</f>
        <v/>
      </c>
      <c r="E423" s="195">
        <f>IF(K423="","",INDEX('差動モデル'!$S:$S,K423))</f>
        <v/>
      </c>
      <c r="F423" s="195">
        <f>IF(OR(A423="",B423=""),"",100*(D423-B423)/MAX(B423,1E-12))</f>
        <v/>
      </c>
      <c r="G423" s="195">
        <f>IF(OR(A423="",C423=""),"",E423-C423)</f>
        <v/>
      </c>
      <c r="H423" s="195">
        <f>IF(A423="","",LOG10(A423))</f>
        <v/>
      </c>
      <c r="I423" s="195">
        <f>IF(B423="","",LOG10(MAX(B423,1E-12)))</f>
        <v/>
      </c>
      <c r="J423" s="195">
        <f>IF(D423="","",LOG10(MAX(D423,1E-12)))</f>
        <v/>
      </c>
      <c r="K423">
        <f>IF(A423="","",ROUND(1+(LOG10(A423)-LOG10('入力・概要'!$B$38))*('入力・概要'!$B$40-1)/(LOG10('入力・概要'!$B$39)-LOG10('入力・概要'!$B$38)),0)+3)</f>
        <v/>
      </c>
      <c r="L423">
        <f>IF(K423="","",INDEX('差動モデル'!$B:$B,K423))</f>
        <v/>
      </c>
      <c r="M423">
        <f>IF(A423="","",IF(ABS(L423/A423-1)&lt;0.01,"周波数差&lt;1%","周波数差あり"))</f>
        <v/>
      </c>
    </row>
    <row r="424">
      <c r="A424" s="197" t="n"/>
      <c r="B424" s="198" t="n"/>
      <c r="C424" s="198" t="n"/>
      <c r="D424" s="195">
        <f>IF(K424="","",INDEX('差動モデル'!$R:$R,K424))</f>
        <v/>
      </c>
      <c r="E424" s="195">
        <f>IF(K424="","",INDEX('差動モデル'!$S:$S,K424))</f>
        <v/>
      </c>
      <c r="F424" s="195">
        <f>IF(OR(A424="",B424=""),"",100*(D424-B424)/MAX(B424,1E-12))</f>
        <v/>
      </c>
      <c r="G424" s="195">
        <f>IF(OR(A424="",C424=""),"",E424-C424)</f>
        <v/>
      </c>
      <c r="H424" s="195">
        <f>IF(A424="","",LOG10(A424))</f>
        <v/>
      </c>
      <c r="I424" s="195">
        <f>IF(B424="","",LOG10(MAX(B424,1E-12)))</f>
        <v/>
      </c>
      <c r="J424" s="195">
        <f>IF(D424="","",LOG10(MAX(D424,1E-12)))</f>
        <v/>
      </c>
      <c r="K424">
        <f>IF(A424="","",ROUND(1+(LOG10(A424)-LOG10('入力・概要'!$B$38))*('入力・概要'!$B$40-1)/(LOG10('入力・概要'!$B$39)-LOG10('入力・概要'!$B$38)),0)+3)</f>
        <v/>
      </c>
      <c r="L424">
        <f>IF(K424="","",INDEX('差動モデル'!$B:$B,K424))</f>
        <v/>
      </c>
      <c r="M424">
        <f>IF(A424="","",IF(ABS(L424/A424-1)&lt;0.01,"周波数差&lt;1%","周波数差あり"))</f>
        <v/>
      </c>
    </row>
    <row r="425">
      <c r="A425" s="197" t="n"/>
      <c r="B425" s="198" t="n"/>
      <c r="C425" s="198" t="n"/>
      <c r="D425" s="195">
        <f>IF(K425="","",INDEX('差動モデル'!$R:$R,K425))</f>
        <v/>
      </c>
      <c r="E425" s="195">
        <f>IF(K425="","",INDEX('差動モデル'!$S:$S,K425))</f>
        <v/>
      </c>
      <c r="F425" s="195">
        <f>IF(OR(A425="",B425=""),"",100*(D425-B425)/MAX(B425,1E-12))</f>
        <v/>
      </c>
      <c r="G425" s="195">
        <f>IF(OR(A425="",C425=""),"",E425-C425)</f>
        <v/>
      </c>
      <c r="H425" s="195">
        <f>IF(A425="","",LOG10(A425))</f>
        <v/>
      </c>
      <c r="I425" s="195">
        <f>IF(B425="","",LOG10(MAX(B425,1E-12)))</f>
        <v/>
      </c>
      <c r="J425" s="195">
        <f>IF(D425="","",LOG10(MAX(D425,1E-12)))</f>
        <v/>
      </c>
      <c r="K425">
        <f>IF(A425="","",ROUND(1+(LOG10(A425)-LOG10('入力・概要'!$B$38))*('入力・概要'!$B$40-1)/(LOG10('入力・概要'!$B$39)-LOG10('入力・概要'!$B$38)),0)+3)</f>
        <v/>
      </c>
      <c r="L425">
        <f>IF(K425="","",INDEX('差動モデル'!$B:$B,K425))</f>
        <v/>
      </c>
      <c r="M425">
        <f>IF(A425="","",IF(ABS(L425/A425-1)&lt;0.01,"周波数差&lt;1%","周波数差あり"))</f>
        <v/>
      </c>
    </row>
    <row r="426">
      <c r="A426" s="197" t="n"/>
      <c r="B426" s="198" t="n"/>
      <c r="C426" s="198" t="n"/>
      <c r="D426" s="195">
        <f>IF(K426="","",INDEX('差動モデル'!$R:$R,K426))</f>
        <v/>
      </c>
      <c r="E426" s="195">
        <f>IF(K426="","",INDEX('差動モデル'!$S:$S,K426))</f>
        <v/>
      </c>
      <c r="F426" s="195">
        <f>IF(OR(A426="",B426=""),"",100*(D426-B426)/MAX(B426,1E-12))</f>
        <v/>
      </c>
      <c r="G426" s="195">
        <f>IF(OR(A426="",C426=""),"",E426-C426)</f>
        <v/>
      </c>
      <c r="H426" s="195">
        <f>IF(A426="","",LOG10(A426))</f>
        <v/>
      </c>
      <c r="I426" s="195">
        <f>IF(B426="","",LOG10(MAX(B426,1E-12)))</f>
        <v/>
      </c>
      <c r="J426" s="195">
        <f>IF(D426="","",LOG10(MAX(D426,1E-12)))</f>
        <v/>
      </c>
      <c r="K426">
        <f>IF(A426="","",ROUND(1+(LOG10(A426)-LOG10('入力・概要'!$B$38))*('入力・概要'!$B$40-1)/(LOG10('入力・概要'!$B$39)-LOG10('入力・概要'!$B$38)),0)+3)</f>
        <v/>
      </c>
      <c r="L426">
        <f>IF(K426="","",INDEX('差動モデル'!$B:$B,K426))</f>
        <v/>
      </c>
      <c r="M426">
        <f>IF(A426="","",IF(ABS(L426/A426-1)&lt;0.01,"周波数差&lt;1%","周波数差あり"))</f>
        <v/>
      </c>
    </row>
    <row r="427">
      <c r="A427" s="197" t="n"/>
      <c r="B427" s="198" t="n"/>
      <c r="C427" s="198" t="n"/>
      <c r="D427" s="195">
        <f>IF(K427="","",INDEX('差動モデル'!$R:$R,K427))</f>
        <v/>
      </c>
      <c r="E427" s="195">
        <f>IF(K427="","",INDEX('差動モデル'!$S:$S,K427))</f>
        <v/>
      </c>
      <c r="F427" s="195">
        <f>IF(OR(A427="",B427=""),"",100*(D427-B427)/MAX(B427,1E-12))</f>
        <v/>
      </c>
      <c r="G427" s="195">
        <f>IF(OR(A427="",C427=""),"",E427-C427)</f>
        <v/>
      </c>
      <c r="H427" s="195">
        <f>IF(A427="","",LOG10(A427))</f>
        <v/>
      </c>
      <c r="I427" s="195">
        <f>IF(B427="","",LOG10(MAX(B427,1E-12)))</f>
        <v/>
      </c>
      <c r="J427" s="195">
        <f>IF(D427="","",LOG10(MAX(D427,1E-12)))</f>
        <v/>
      </c>
      <c r="K427">
        <f>IF(A427="","",ROUND(1+(LOG10(A427)-LOG10('入力・概要'!$B$38))*('入力・概要'!$B$40-1)/(LOG10('入力・概要'!$B$39)-LOG10('入力・概要'!$B$38)),0)+3)</f>
        <v/>
      </c>
      <c r="L427">
        <f>IF(K427="","",INDEX('差動モデル'!$B:$B,K427))</f>
        <v/>
      </c>
      <c r="M427">
        <f>IF(A427="","",IF(ABS(L427/A427-1)&lt;0.01,"周波数差&lt;1%","周波数差あり"))</f>
        <v/>
      </c>
    </row>
    <row r="428">
      <c r="A428" s="197" t="n"/>
      <c r="B428" s="198" t="n"/>
      <c r="C428" s="198" t="n"/>
      <c r="D428" s="195">
        <f>IF(K428="","",INDEX('差動モデル'!$R:$R,K428))</f>
        <v/>
      </c>
      <c r="E428" s="195">
        <f>IF(K428="","",INDEX('差動モデル'!$S:$S,K428))</f>
        <v/>
      </c>
      <c r="F428" s="195">
        <f>IF(OR(A428="",B428=""),"",100*(D428-B428)/MAX(B428,1E-12))</f>
        <v/>
      </c>
      <c r="G428" s="195">
        <f>IF(OR(A428="",C428=""),"",E428-C428)</f>
        <v/>
      </c>
      <c r="H428" s="195">
        <f>IF(A428="","",LOG10(A428))</f>
        <v/>
      </c>
      <c r="I428" s="195">
        <f>IF(B428="","",LOG10(MAX(B428,1E-12)))</f>
        <v/>
      </c>
      <c r="J428" s="195">
        <f>IF(D428="","",LOG10(MAX(D428,1E-12)))</f>
        <v/>
      </c>
      <c r="K428">
        <f>IF(A428="","",ROUND(1+(LOG10(A428)-LOG10('入力・概要'!$B$38))*('入力・概要'!$B$40-1)/(LOG10('入力・概要'!$B$39)-LOG10('入力・概要'!$B$38)),0)+3)</f>
        <v/>
      </c>
      <c r="L428">
        <f>IF(K428="","",INDEX('差動モデル'!$B:$B,K428))</f>
        <v/>
      </c>
      <c r="M428">
        <f>IF(A428="","",IF(ABS(L428/A428-1)&lt;0.01,"周波数差&lt;1%","周波数差あり"))</f>
        <v/>
      </c>
    </row>
    <row r="429">
      <c r="A429" s="197" t="n"/>
      <c r="B429" s="198" t="n"/>
      <c r="C429" s="198" t="n"/>
      <c r="D429" s="195">
        <f>IF(K429="","",INDEX('差動モデル'!$R:$R,K429))</f>
        <v/>
      </c>
      <c r="E429" s="195">
        <f>IF(K429="","",INDEX('差動モデル'!$S:$S,K429))</f>
        <v/>
      </c>
      <c r="F429" s="195">
        <f>IF(OR(A429="",B429=""),"",100*(D429-B429)/MAX(B429,1E-12))</f>
        <v/>
      </c>
      <c r="G429" s="195">
        <f>IF(OR(A429="",C429=""),"",E429-C429)</f>
        <v/>
      </c>
      <c r="H429" s="195">
        <f>IF(A429="","",LOG10(A429))</f>
        <v/>
      </c>
      <c r="I429" s="195">
        <f>IF(B429="","",LOG10(MAX(B429,1E-12)))</f>
        <v/>
      </c>
      <c r="J429" s="195">
        <f>IF(D429="","",LOG10(MAX(D429,1E-12)))</f>
        <v/>
      </c>
      <c r="K429">
        <f>IF(A429="","",ROUND(1+(LOG10(A429)-LOG10('入力・概要'!$B$38))*('入力・概要'!$B$40-1)/(LOG10('入力・概要'!$B$39)-LOG10('入力・概要'!$B$38)),0)+3)</f>
        <v/>
      </c>
      <c r="L429">
        <f>IF(K429="","",INDEX('差動モデル'!$B:$B,K429))</f>
        <v/>
      </c>
      <c r="M429">
        <f>IF(A429="","",IF(ABS(L429/A429-1)&lt;0.01,"周波数差&lt;1%","周波数差あり"))</f>
        <v/>
      </c>
    </row>
    <row r="430">
      <c r="A430" s="197" t="n"/>
      <c r="B430" s="198" t="n"/>
      <c r="C430" s="198" t="n"/>
      <c r="D430" s="195">
        <f>IF(K430="","",INDEX('差動モデル'!$R:$R,K430))</f>
        <v/>
      </c>
      <c r="E430" s="195">
        <f>IF(K430="","",INDEX('差動モデル'!$S:$S,K430))</f>
        <v/>
      </c>
      <c r="F430" s="195">
        <f>IF(OR(A430="",B430=""),"",100*(D430-B430)/MAX(B430,1E-12))</f>
        <v/>
      </c>
      <c r="G430" s="195">
        <f>IF(OR(A430="",C430=""),"",E430-C430)</f>
        <v/>
      </c>
      <c r="H430" s="195">
        <f>IF(A430="","",LOG10(A430))</f>
        <v/>
      </c>
      <c r="I430" s="195">
        <f>IF(B430="","",LOG10(MAX(B430,1E-12)))</f>
        <v/>
      </c>
      <c r="J430" s="195">
        <f>IF(D430="","",LOG10(MAX(D430,1E-12)))</f>
        <v/>
      </c>
      <c r="K430">
        <f>IF(A430="","",ROUND(1+(LOG10(A430)-LOG10('入力・概要'!$B$38))*('入力・概要'!$B$40-1)/(LOG10('入力・概要'!$B$39)-LOG10('入力・概要'!$B$38)),0)+3)</f>
        <v/>
      </c>
      <c r="L430">
        <f>IF(K430="","",INDEX('差動モデル'!$B:$B,K430))</f>
        <v/>
      </c>
      <c r="M430">
        <f>IF(A430="","",IF(ABS(L430/A430-1)&lt;0.01,"周波数差&lt;1%","周波数差あり"))</f>
        <v/>
      </c>
    </row>
    <row r="431">
      <c r="A431" s="197" t="n"/>
      <c r="B431" s="198" t="n"/>
      <c r="C431" s="198" t="n"/>
      <c r="D431" s="195">
        <f>IF(K431="","",INDEX('差動モデル'!$R:$R,K431))</f>
        <v/>
      </c>
      <c r="E431" s="195">
        <f>IF(K431="","",INDEX('差動モデル'!$S:$S,K431))</f>
        <v/>
      </c>
      <c r="F431" s="195">
        <f>IF(OR(A431="",B431=""),"",100*(D431-B431)/MAX(B431,1E-12))</f>
        <v/>
      </c>
      <c r="G431" s="195">
        <f>IF(OR(A431="",C431=""),"",E431-C431)</f>
        <v/>
      </c>
      <c r="H431" s="195">
        <f>IF(A431="","",LOG10(A431))</f>
        <v/>
      </c>
      <c r="I431" s="195">
        <f>IF(B431="","",LOG10(MAX(B431,1E-12)))</f>
        <v/>
      </c>
      <c r="J431" s="195">
        <f>IF(D431="","",LOG10(MAX(D431,1E-12)))</f>
        <v/>
      </c>
      <c r="K431">
        <f>IF(A431="","",ROUND(1+(LOG10(A431)-LOG10('入力・概要'!$B$38))*('入力・概要'!$B$40-1)/(LOG10('入力・概要'!$B$39)-LOG10('入力・概要'!$B$38)),0)+3)</f>
        <v/>
      </c>
      <c r="L431">
        <f>IF(K431="","",INDEX('差動モデル'!$B:$B,K431))</f>
        <v/>
      </c>
      <c r="M431">
        <f>IF(A431="","",IF(ABS(L431/A431-1)&lt;0.01,"周波数差&lt;1%","周波数差あり"))</f>
        <v/>
      </c>
    </row>
    <row r="432">
      <c r="A432" s="197" t="n"/>
      <c r="B432" s="198" t="n"/>
      <c r="C432" s="198" t="n"/>
      <c r="D432" s="195">
        <f>IF(K432="","",INDEX('差動モデル'!$R:$R,K432))</f>
        <v/>
      </c>
      <c r="E432" s="195">
        <f>IF(K432="","",INDEX('差動モデル'!$S:$S,K432))</f>
        <v/>
      </c>
      <c r="F432" s="195">
        <f>IF(OR(A432="",B432=""),"",100*(D432-B432)/MAX(B432,1E-12))</f>
        <v/>
      </c>
      <c r="G432" s="195">
        <f>IF(OR(A432="",C432=""),"",E432-C432)</f>
        <v/>
      </c>
      <c r="H432" s="195">
        <f>IF(A432="","",LOG10(A432))</f>
        <v/>
      </c>
      <c r="I432" s="195">
        <f>IF(B432="","",LOG10(MAX(B432,1E-12)))</f>
        <v/>
      </c>
      <c r="J432" s="195">
        <f>IF(D432="","",LOG10(MAX(D432,1E-12)))</f>
        <v/>
      </c>
      <c r="K432">
        <f>IF(A432="","",ROUND(1+(LOG10(A432)-LOG10('入力・概要'!$B$38))*('入力・概要'!$B$40-1)/(LOG10('入力・概要'!$B$39)-LOG10('入力・概要'!$B$38)),0)+3)</f>
        <v/>
      </c>
      <c r="L432">
        <f>IF(K432="","",INDEX('差動モデル'!$B:$B,K432))</f>
        <v/>
      </c>
      <c r="M432">
        <f>IF(A432="","",IF(ABS(L432/A432-1)&lt;0.01,"周波数差&lt;1%","周波数差あり"))</f>
        <v/>
      </c>
    </row>
    <row r="433">
      <c r="A433" s="197" t="n"/>
      <c r="B433" s="198" t="n"/>
      <c r="C433" s="198" t="n"/>
      <c r="D433" s="195">
        <f>IF(K433="","",INDEX('差動モデル'!$R:$R,K433))</f>
        <v/>
      </c>
      <c r="E433" s="195">
        <f>IF(K433="","",INDEX('差動モデル'!$S:$S,K433))</f>
        <v/>
      </c>
      <c r="F433" s="195">
        <f>IF(OR(A433="",B433=""),"",100*(D433-B433)/MAX(B433,1E-12))</f>
        <v/>
      </c>
      <c r="G433" s="195">
        <f>IF(OR(A433="",C433=""),"",E433-C433)</f>
        <v/>
      </c>
      <c r="H433" s="195">
        <f>IF(A433="","",LOG10(A433))</f>
        <v/>
      </c>
      <c r="I433" s="195">
        <f>IF(B433="","",LOG10(MAX(B433,1E-12)))</f>
        <v/>
      </c>
      <c r="J433" s="195">
        <f>IF(D433="","",LOG10(MAX(D433,1E-12)))</f>
        <v/>
      </c>
      <c r="K433">
        <f>IF(A433="","",ROUND(1+(LOG10(A433)-LOG10('入力・概要'!$B$38))*('入力・概要'!$B$40-1)/(LOG10('入力・概要'!$B$39)-LOG10('入力・概要'!$B$38)),0)+3)</f>
        <v/>
      </c>
      <c r="L433">
        <f>IF(K433="","",INDEX('差動モデル'!$B:$B,K433))</f>
        <v/>
      </c>
      <c r="M433">
        <f>IF(A433="","",IF(ABS(L433/A433-1)&lt;0.01,"周波数差&lt;1%","周波数差あり"))</f>
        <v/>
      </c>
    </row>
    <row r="434">
      <c r="A434" s="197" t="n"/>
      <c r="B434" s="198" t="n"/>
      <c r="C434" s="198" t="n"/>
      <c r="D434" s="195">
        <f>IF(K434="","",INDEX('差動モデル'!$R:$R,K434))</f>
        <v/>
      </c>
      <c r="E434" s="195">
        <f>IF(K434="","",INDEX('差動モデル'!$S:$S,K434))</f>
        <v/>
      </c>
      <c r="F434" s="195">
        <f>IF(OR(A434="",B434=""),"",100*(D434-B434)/MAX(B434,1E-12))</f>
        <v/>
      </c>
      <c r="G434" s="195">
        <f>IF(OR(A434="",C434=""),"",E434-C434)</f>
        <v/>
      </c>
      <c r="H434" s="195">
        <f>IF(A434="","",LOG10(A434))</f>
        <v/>
      </c>
      <c r="I434" s="195">
        <f>IF(B434="","",LOG10(MAX(B434,1E-12)))</f>
        <v/>
      </c>
      <c r="J434" s="195">
        <f>IF(D434="","",LOG10(MAX(D434,1E-12)))</f>
        <v/>
      </c>
      <c r="K434">
        <f>IF(A434="","",ROUND(1+(LOG10(A434)-LOG10('入力・概要'!$B$38))*('入力・概要'!$B$40-1)/(LOG10('入力・概要'!$B$39)-LOG10('入力・概要'!$B$38)),0)+3)</f>
        <v/>
      </c>
      <c r="L434">
        <f>IF(K434="","",INDEX('差動モデル'!$B:$B,K434))</f>
        <v/>
      </c>
      <c r="M434">
        <f>IF(A434="","",IF(ABS(L434/A434-1)&lt;0.01,"周波数差&lt;1%","周波数差あり"))</f>
        <v/>
      </c>
    </row>
    <row r="435">
      <c r="A435" s="197" t="n"/>
      <c r="B435" s="198" t="n"/>
      <c r="C435" s="198" t="n"/>
      <c r="D435" s="195">
        <f>IF(K435="","",INDEX('差動モデル'!$R:$R,K435))</f>
        <v/>
      </c>
      <c r="E435" s="195">
        <f>IF(K435="","",INDEX('差動モデル'!$S:$S,K435))</f>
        <v/>
      </c>
      <c r="F435" s="195">
        <f>IF(OR(A435="",B435=""),"",100*(D435-B435)/MAX(B435,1E-12))</f>
        <v/>
      </c>
      <c r="G435" s="195">
        <f>IF(OR(A435="",C435=""),"",E435-C435)</f>
        <v/>
      </c>
      <c r="H435" s="195">
        <f>IF(A435="","",LOG10(A435))</f>
        <v/>
      </c>
      <c r="I435" s="195">
        <f>IF(B435="","",LOG10(MAX(B435,1E-12)))</f>
        <v/>
      </c>
      <c r="J435" s="195">
        <f>IF(D435="","",LOG10(MAX(D435,1E-12)))</f>
        <v/>
      </c>
      <c r="K435">
        <f>IF(A435="","",ROUND(1+(LOG10(A435)-LOG10('入力・概要'!$B$38))*('入力・概要'!$B$40-1)/(LOG10('入力・概要'!$B$39)-LOG10('入力・概要'!$B$38)),0)+3)</f>
        <v/>
      </c>
      <c r="L435">
        <f>IF(K435="","",INDEX('差動モデル'!$B:$B,K435))</f>
        <v/>
      </c>
      <c r="M435">
        <f>IF(A435="","",IF(ABS(L435/A435-1)&lt;0.01,"周波数差&lt;1%","周波数差あり"))</f>
        <v/>
      </c>
    </row>
    <row r="436">
      <c r="A436" s="197" t="n"/>
      <c r="B436" s="198" t="n"/>
      <c r="C436" s="198" t="n"/>
      <c r="D436" s="195">
        <f>IF(K436="","",INDEX('差動モデル'!$R:$R,K436))</f>
        <v/>
      </c>
      <c r="E436" s="195">
        <f>IF(K436="","",INDEX('差動モデル'!$S:$S,K436))</f>
        <v/>
      </c>
      <c r="F436" s="195">
        <f>IF(OR(A436="",B436=""),"",100*(D436-B436)/MAX(B436,1E-12))</f>
        <v/>
      </c>
      <c r="G436" s="195">
        <f>IF(OR(A436="",C436=""),"",E436-C436)</f>
        <v/>
      </c>
      <c r="H436" s="195">
        <f>IF(A436="","",LOG10(A436))</f>
        <v/>
      </c>
      <c r="I436" s="195">
        <f>IF(B436="","",LOG10(MAX(B436,1E-12)))</f>
        <v/>
      </c>
      <c r="J436" s="195">
        <f>IF(D436="","",LOG10(MAX(D436,1E-12)))</f>
        <v/>
      </c>
      <c r="K436">
        <f>IF(A436="","",ROUND(1+(LOG10(A436)-LOG10('入力・概要'!$B$38))*('入力・概要'!$B$40-1)/(LOG10('入力・概要'!$B$39)-LOG10('入力・概要'!$B$38)),0)+3)</f>
        <v/>
      </c>
      <c r="L436">
        <f>IF(K436="","",INDEX('差動モデル'!$B:$B,K436))</f>
        <v/>
      </c>
      <c r="M436">
        <f>IF(A436="","",IF(ABS(L436/A436-1)&lt;0.01,"周波数差&lt;1%","周波数差あり"))</f>
        <v/>
      </c>
    </row>
    <row r="437">
      <c r="A437" s="197" t="n"/>
      <c r="B437" s="198" t="n"/>
      <c r="C437" s="198" t="n"/>
      <c r="D437" s="195">
        <f>IF(K437="","",INDEX('差動モデル'!$R:$R,K437))</f>
        <v/>
      </c>
      <c r="E437" s="195">
        <f>IF(K437="","",INDEX('差動モデル'!$S:$S,K437))</f>
        <v/>
      </c>
      <c r="F437" s="195">
        <f>IF(OR(A437="",B437=""),"",100*(D437-B437)/MAX(B437,1E-12))</f>
        <v/>
      </c>
      <c r="G437" s="195">
        <f>IF(OR(A437="",C437=""),"",E437-C437)</f>
        <v/>
      </c>
      <c r="H437" s="195">
        <f>IF(A437="","",LOG10(A437))</f>
        <v/>
      </c>
      <c r="I437" s="195">
        <f>IF(B437="","",LOG10(MAX(B437,1E-12)))</f>
        <v/>
      </c>
      <c r="J437" s="195">
        <f>IF(D437="","",LOG10(MAX(D437,1E-12)))</f>
        <v/>
      </c>
      <c r="K437">
        <f>IF(A437="","",ROUND(1+(LOG10(A437)-LOG10('入力・概要'!$B$38))*('入力・概要'!$B$40-1)/(LOG10('入力・概要'!$B$39)-LOG10('入力・概要'!$B$38)),0)+3)</f>
        <v/>
      </c>
      <c r="L437">
        <f>IF(K437="","",INDEX('差動モデル'!$B:$B,K437))</f>
        <v/>
      </c>
      <c r="M437">
        <f>IF(A437="","",IF(ABS(L437/A437-1)&lt;0.01,"周波数差&lt;1%","周波数差あり"))</f>
        <v/>
      </c>
    </row>
    <row r="438">
      <c r="A438" s="197" t="n"/>
      <c r="B438" s="198" t="n"/>
      <c r="C438" s="198" t="n"/>
      <c r="D438" s="195">
        <f>IF(K438="","",INDEX('差動モデル'!$R:$R,K438))</f>
        <v/>
      </c>
      <c r="E438" s="195">
        <f>IF(K438="","",INDEX('差動モデル'!$S:$S,K438))</f>
        <v/>
      </c>
      <c r="F438" s="195">
        <f>IF(OR(A438="",B438=""),"",100*(D438-B438)/MAX(B438,1E-12))</f>
        <v/>
      </c>
      <c r="G438" s="195">
        <f>IF(OR(A438="",C438=""),"",E438-C438)</f>
        <v/>
      </c>
      <c r="H438" s="195">
        <f>IF(A438="","",LOG10(A438))</f>
        <v/>
      </c>
      <c r="I438" s="195">
        <f>IF(B438="","",LOG10(MAX(B438,1E-12)))</f>
        <v/>
      </c>
      <c r="J438" s="195">
        <f>IF(D438="","",LOG10(MAX(D438,1E-12)))</f>
        <v/>
      </c>
      <c r="K438">
        <f>IF(A438="","",ROUND(1+(LOG10(A438)-LOG10('入力・概要'!$B$38))*('入力・概要'!$B$40-1)/(LOG10('入力・概要'!$B$39)-LOG10('入力・概要'!$B$38)),0)+3)</f>
        <v/>
      </c>
      <c r="L438">
        <f>IF(K438="","",INDEX('差動モデル'!$B:$B,K438))</f>
        <v/>
      </c>
      <c r="M438">
        <f>IF(A438="","",IF(ABS(L438/A438-1)&lt;0.01,"周波数差&lt;1%","周波数差あり"))</f>
        <v/>
      </c>
    </row>
    <row r="439">
      <c r="A439" s="197" t="n"/>
      <c r="B439" s="198" t="n"/>
      <c r="C439" s="198" t="n"/>
      <c r="D439" s="195">
        <f>IF(K439="","",INDEX('差動モデル'!$R:$R,K439))</f>
        <v/>
      </c>
      <c r="E439" s="195">
        <f>IF(K439="","",INDEX('差動モデル'!$S:$S,K439))</f>
        <v/>
      </c>
      <c r="F439" s="195">
        <f>IF(OR(A439="",B439=""),"",100*(D439-B439)/MAX(B439,1E-12))</f>
        <v/>
      </c>
      <c r="G439" s="195">
        <f>IF(OR(A439="",C439=""),"",E439-C439)</f>
        <v/>
      </c>
      <c r="H439" s="195">
        <f>IF(A439="","",LOG10(A439))</f>
        <v/>
      </c>
      <c r="I439" s="195">
        <f>IF(B439="","",LOG10(MAX(B439,1E-12)))</f>
        <v/>
      </c>
      <c r="J439" s="195">
        <f>IF(D439="","",LOG10(MAX(D439,1E-12)))</f>
        <v/>
      </c>
      <c r="K439">
        <f>IF(A439="","",ROUND(1+(LOG10(A439)-LOG10('入力・概要'!$B$38))*('入力・概要'!$B$40-1)/(LOG10('入力・概要'!$B$39)-LOG10('入力・概要'!$B$38)),0)+3)</f>
        <v/>
      </c>
      <c r="L439">
        <f>IF(K439="","",INDEX('差動モデル'!$B:$B,K439))</f>
        <v/>
      </c>
      <c r="M439">
        <f>IF(A439="","",IF(ABS(L439/A439-1)&lt;0.01,"周波数差&lt;1%","周波数差あり"))</f>
        <v/>
      </c>
    </row>
    <row r="440">
      <c r="A440" s="197" t="n"/>
      <c r="B440" s="198" t="n"/>
      <c r="C440" s="198" t="n"/>
      <c r="D440" s="195">
        <f>IF(K440="","",INDEX('差動モデル'!$R:$R,K440))</f>
        <v/>
      </c>
      <c r="E440" s="195">
        <f>IF(K440="","",INDEX('差動モデル'!$S:$S,K440))</f>
        <v/>
      </c>
      <c r="F440" s="195">
        <f>IF(OR(A440="",B440=""),"",100*(D440-B440)/MAX(B440,1E-12))</f>
        <v/>
      </c>
      <c r="G440" s="195">
        <f>IF(OR(A440="",C440=""),"",E440-C440)</f>
        <v/>
      </c>
      <c r="H440" s="195">
        <f>IF(A440="","",LOG10(A440))</f>
        <v/>
      </c>
      <c r="I440" s="195">
        <f>IF(B440="","",LOG10(MAX(B440,1E-12)))</f>
        <v/>
      </c>
      <c r="J440" s="195">
        <f>IF(D440="","",LOG10(MAX(D440,1E-12)))</f>
        <v/>
      </c>
      <c r="K440">
        <f>IF(A440="","",ROUND(1+(LOG10(A440)-LOG10('入力・概要'!$B$38))*('入力・概要'!$B$40-1)/(LOG10('入力・概要'!$B$39)-LOG10('入力・概要'!$B$38)),0)+3)</f>
        <v/>
      </c>
      <c r="L440">
        <f>IF(K440="","",INDEX('差動モデル'!$B:$B,K440))</f>
        <v/>
      </c>
      <c r="M440">
        <f>IF(A440="","",IF(ABS(L440/A440-1)&lt;0.01,"周波数差&lt;1%","周波数差あり"))</f>
        <v/>
      </c>
    </row>
    <row r="441">
      <c r="A441" s="197" t="n"/>
      <c r="B441" s="198" t="n"/>
      <c r="C441" s="198" t="n"/>
      <c r="D441" s="195">
        <f>IF(K441="","",INDEX('差動モデル'!$R:$R,K441))</f>
        <v/>
      </c>
      <c r="E441" s="195">
        <f>IF(K441="","",INDEX('差動モデル'!$S:$S,K441))</f>
        <v/>
      </c>
      <c r="F441" s="195">
        <f>IF(OR(A441="",B441=""),"",100*(D441-B441)/MAX(B441,1E-12))</f>
        <v/>
      </c>
      <c r="G441" s="195">
        <f>IF(OR(A441="",C441=""),"",E441-C441)</f>
        <v/>
      </c>
      <c r="H441" s="195">
        <f>IF(A441="","",LOG10(A441))</f>
        <v/>
      </c>
      <c r="I441" s="195">
        <f>IF(B441="","",LOG10(MAX(B441,1E-12)))</f>
        <v/>
      </c>
      <c r="J441" s="195">
        <f>IF(D441="","",LOG10(MAX(D441,1E-12)))</f>
        <v/>
      </c>
      <c r="K441">
        <f>IF(A441="","",ROUND(1+(LOG10(A441)-LOG10('入力・概要'!$B$38))*('入力・概要'!$B$40-1)/(LOG10('入力・概要'!$B$39)-LOG10('入力・概要'!$B$38)),0)+3)</f>
        <v/>
      </c>
      <c r="L441">
        <f>IF(K441="","",INDEX('差動モデル'!$B:$B,K441))</f>
        <v/>
      </c>
      <c r="M441">
        <f>IF(A441="","",IF(ABS(L441/A441-1)&lt;0.01,"周波数差&lt;1%","周波数差あり"))</f>
        <v/>
      </c>
    </row>
    <row r="442">
      <c r="A442" s="197" t="n"/>
      <c r="B442" s="198" t="n"/>
      <c r="C442" s="198" t="n"/>
      <c r="D442" s="195">
        <f>IF(K442="","",INDEX('差動モデル'!$R:$R,K442))</f>
        <v/>
      </c>
      <c r="E442" s="195">
        <f>IF(K442="","",INDEX('差動モデル'!$S:$S,K442))</f>
        <v/>
      </c>
      <c r="F442" s="195">
        <f>IF(OR(A442="",B442=""),"",100*(D442-B442)/MAX(B442,1E-12))</f>
        <v/>
      </c>
      <c r="G442" s="195">
        <f>IF(OR(A442="",C442=""),"",E442-C442)</f>
        <v/>
      </c>
      <c r="H442" s="195">
        <f>IF(A442="","",LOG10(A442))</f>
        <v/>
      </c>
      <c r="I442" s="195">
        <f>IF(B442="","",LOG10(MAX(B442,1E-12)))</f>
        <v/>
      </c>
      <c r="J442" s="195">
        <f>IF(D442="","",LOG10(MAX(D442,1E-12)))</f>
        <v/>
      </c>
      <c r="K442">
        <f>IF(A442="","",ROUND(1+(LOG10(A442)-LOG10('入力・概要'!$B$38))*('入力・概要'!$B$40-1)/(LOG10('入力・概要'!$B$39)-LOG10('入力・概要'!$B$38)),0)+3)</f>
        <v/>
      </c>
      <c r="L442">
        <f>IF(K442="","",INDEX('差動モデル'!$B:$B,K442))</f>
        <v/>
      </c>
      <c r="M442">
        <f>IF(A442="","",IF(ABS(L442/A442-1)&lt;0.01,"周波数差&lt;1%","周波数差あり"))</f>
        <v/>
      </c>
    </row>
    <row r="443">
      <c r="A443" s="197" t="n"/>
      <c r="B443" s="198" t="n"/>
      <c r="C443" s="198" t="n"/>
      <c r="D443" s="195">
        <f>IF(K443="","",INDEX('差動モデル'!$R:$R,K443))</f>
        <v/>
      </c>
      <c r="E443" s="195">
        <f>IF(K443="","",INDEX('差動モデル'!$S:$S,K443))</f>
        <v/>
      </c>
      <c r="F443" s="195">
        <f>IF(OR(A443="",B443=""),"",100*(D443-B443)/MAX(B443,1E-12))</f>
        <v/>
      </c>
      <c r="G443" s="195">
        <f>IF(OR(A443="",C443=""),"",E443-C443)</f>
        <v/>
      </c>
      <c r="H443" s="195">
        <f>IF(A443="","",LOG10(A443))</f>
        <v/>
      </c>
      <c r="I443" s="195">
        <f>IF(B443="","",LOG10(MAX(B443,1E-12)))</f>
        <v/>
      </c>
      <c r="J443" s="195">
        <f>IF(D443="","",LOG10(MAX(D443,1E-12)))</f>
        <v/>
      </c>
      <c r="K443">
        <f>IF(A443="","",ROUND(1+(LOG10(A443)-LOG10('入力・概要'!$B$38))*('入力・概要'!$B$40-1)/(LOG10('入力・概要'!$B$39)-LOG10('入力・概要'!$B$38)),0)+3)</f>
        <v/>
      </c>
      <c r="L443">
        <f>IF(K443="","",INDEX('差動モデル'!$B:$B,K443))</f>
        <v/>
      </c>
      <c r="M443">
        <f>IF(A443="","",IF(ABS(L443/A443-1)&lt;0.01,"周波数差&lt;1%","周波数差あり"))</f>
        <v/>
      </c>
    </row>
    <row r="444">
      <c r="A444" s="197" t="n"/>
      <c r="B444" s="198" t="n"/>
      <c r="C444" s="198" t="n"/>
      <c r="D444" s="195">
        <f>IF(K444="","",INDEX('差動モデル'!$R:$R,K444))</f>
        <v/>
      </c>
      <c r="E444" s="195">
        <f>IF(K444="","",INDEX('差動モデル'!$S:$S,K444))</f>
        <v/>
      </c>
      <c r="F444" s="195">
        <f>IF(OR(A444="",B444=""),"",100*(D444-B444)/MAX(B444,1E-12))</f>
        <v/>
      </c>
      <c r="G444" s="195">
        <f>IF(OR(A444="",C444=""),"",E444-C444)</f>
        <v/>
      </c>
      <c r="H444" s="195">
        <f>IF(A444="","",LOG10(A444))</f>
        <v/>
      </c>
      <c r="I444" s="195">
        <f>IF(B444="","",LOG10(MAX(B444,1E-12)))</f>
        <v/>
      </c>
      <c r="J444" s="195">
        <f>IF(D444="","",LOG10(MAX(D444,1E-12)))</f>
        <v/>
      </c>
      <c r="K444">
        <f>IF(A444="","",ROUND(1+(LOG10(A444)-LOG10('入力・概要'!$B$38))*('入力・概要'!$B$40-1)/(LOG10('入力・概要'!$B$39)-LOG10('入力・概要'!$B$38)),0)+3)</f>
        <v/>
      </c>
      <c r="L444">
        <f>IF(K444="","",INDEX('差動モデル'!$B:$B,K444))</f>
        <v/>
      </c>
      <c r="M444">
        <f>IF(A444="","",IF(ABS(L444/A444-1)&lt;0.01,"周波数差&lt;1%","周波数差あり"))</f>
        <v/>
      </c>
    </row>
    <row r="445">
      <c r="A445" s="197" t="n"/>
      <c r="B445" s="198" t="n"/>
      <c r="C445" s="198" t="n"/>
      <c r="D445" s="195">
        <f>IF(K445="","",INDEX('差動モデル'!$R:$R,K445))</f>
        <v/>
      </c>
      <c r="E445" s="195">
        <f>IF(K445="","",INDEX('差動モデル'!$S:$S,K445))</f>
        <v/>
      </c>
      <c r="F445" s="195">
        <f>IF(OR(A445="",B445=""),"",100*(D445-B445)/MAX(B445,1E-12))</f>
        <v/>
      </c>
      <c r="G445" s="195">
        <f>IF(OR(A445="",C445=""),"",E445-C445)</f>
        <v/>
      </c>
      <c r="H445" s="195">
        <f>IF(A445="","",LOG10(A445))</f>
        <v/>
      </c>
      <c r="I445" s="195">
        <f>IF(B445="","",LOG10(MAX(B445,1E-12)))</f>
        <v/>
      </c>
      <c r="J445" s="195">
        <f>IF(D445="","",LOG10(MAX(D445,1E-12)))</f>
        <v/>
      </c>
      <c r="K445">
        <f>IF(A445="","",ROUND(1+(LOG10(A445)-LOG10('入力・概要'!$B$38))*('入力・概要'!$B$40-1)/(LOG10('入力・概要'!$B$39)-LOG10('入力・概要'!$B$38)),0)+3)</f>
        <v/>
      </c>
      <c r="L445">
        <f>IF(K445="","",INDEX('差動モデル'!$B:$B,K445))</f>
        <v/>
      </c>
      <c r="M445">
        <f>IF(A445="","",IF(ABS(L445/A445-1)&lt;0.01,"周波数差&lt;1%","周波数差あり"))</f>
        <v/>
      </c>
    </row>
    <row r="446">
      <c r="A446" s="197" t="n"/>
      <c r="B446" s="198" t="n"/>
      <c r="C446" s="198" t="n"/>
      <c r="D446" s="195">
        <f>IF(K446="","",INDEX('差動モデル'!$R:$R,K446))</f>
        <v/>
      </c>
      <c r="E446" s="195">
        <f>IF(K446="","",INDEX('差動モデル'!$S:$S,K446))</f>
        <v/>
      </c>
      <c r="F446" s="195">
        <f>IF(OR(A446="",B446=""),"",100*(D446-B446)/MAX(B446,1E-12))</f>
        <v/>
      </c>
      <c r="G446" s="195">
        <f>IF(OR(A446="",C446=""),"",E446-C446)</f>
        <v/>
      </c>
      <c r="H446" s="195">
        <f>IF(A446="","",LOG10(A446))</f>
        <v/>
      </c>
      <c r="I446" s="195">
        <f>IF(B446="","",LOG10(MAX(B446,1E-12)))</f>
        <v/>
      </c>
      <c r="J446" s="195">
        <f>IF(D446="","",LOG10(MAX(D446,1E-12)))</f>
        <v/>
      </c>
      <c r="K446">
        <f>IF(A446="","",ROUND(1+(LOG10(A446)-LOG10('入力・概要'!$B$38))*('入力・概要'!$B$40-1)/(LOG10('入力・概要'!$B$39)-LOG10('入力・概要'!$B$38)),0)+3)</f>
        <v/>
      </c>
      <c r="L446">
        <f>IF(K446="","",INDEX('差動モデル'!$B:$B,K446))</f>
        <v/>
      </c>
      <c r="M446">
        <f>IF(A446="","",IF(ABS(L446/A446-1)&lt;0.01,"周波数差&lt;1%","周波数差あり"))</f>
        <v/>
      </c>
    </row>
    <row r="447">
      <c r="A447" s="197" t="n"/>
      <c r="B447" s="198" t="n"/>
      <c r="C447" s="198" t="n"/>
      <c r="D447" s="195">
        <f>IF(K447="","",INDEX('差動モデル'!$R:$R,K447))</f>
        <v/>
      </c>
      <c r="E447" s="195">
        <f>IF(K447="","",INDEX('差動モデル'!$S:$S,K447))</f>
        <v/>
      </c>
      <c r="F447" s="195">
        <f>IF(OR(A447="",B447=""),"",100*(D447-B447)/MAX(B447,1E-12))</f>
        <v/>
      </c>
      <c r="G447" s="195">
        <f>IF(OR(A447="",C447=""),"",E447-C447)</f>
        <v/>
      </c>
      <c r="H447" s="195">
        <f>IF(A447="","",LOG10(A447))</f>
        <v/>
      </c>
      <c r="I447" s="195">
        <f>IF(B447="","",LOG10(MAX(B447,1E-12)))</f>
        <v/>
      </c>
      <c r="J447" s="195">
        <f>IF(D447="","",LOG10(MAX(D447,1E-12)))</f>
        <v/>
      </c>
      <c r="K447">
        <f>IF(A447="","",ROUND(1+(LOG10(A447)-LOG10('入力・概要'!$B$38))*('入力・概要'!$B$40-1)/(LOG10('入力・概要'!$B$39)-LOG10('入力・概要'!$B$38)),0)+3)</f>
        <v/>
      </c>
      <c r="L447">
        <f>IF(K447="","",INDEX('差動モデル'!$B:$B,K447))</f>
        <v/>
      </c>
      <c r="M447">
        <f>IF(A447="","",IF(ABS(L447/A447-1)&lt;0.01,"周波数差&lt;1%","周波数差あり"))</f>
        <v/>
      </c>
    </row>
    <row r="448">
      <c r="A448" s="197" t="n"/>
      <c r="B448" s="198" t="n"/>
      <c r="C448" s="198" t="n"/>
      <c r="D448" s="195">
        <f>IF(K448="","",INDEX('差動モデル'!$R:$R,K448))</f>
        <v/>
      </c>
      <c r="E448" s="195">
        <f>IF(K448="","",INDEX('差動モデル'!$S:$S,K448))</f>
        <v/>
      </c>
      <c r="F448" s="195">
        <f>IF(OR(A448="",B448=""),"",100*(D448-B448)/MAX(B448,1E-12))</f>
        <v/>
      </c>
      <c r="G448" s="195">
        <f>IF(OR(A448="",C448=""),"",E448-C448)</f>
        <v/>
      </c>
      <c r="H448" s="195">
        <f>IF(A448="","",LOG10(A448))</f>
        <v/>
      </c>
      <c r="I448" s="195">
        <f>IF(B448="","",LOG10(MAX(B448,1E-12)))</f>
        <v/>
      </c>
      <c r="J448" s="195">
        <f>IF(D448="","",LOG10(MAX(D448,1E-12)))</f>
        <v/>
      </c>
      <c r="K448">
        <f>IF(A448="","",ROUND(1+(LOG10(A448)-LOG10('入力・概要'!$B$38))*('入力・概要'!$B$40-1)/(LOG10('入力・概要'!$B$39)-LOG10('入力・概要'!$B$38)),0)+3)</f>
        <v/>
      </c>
      <c r="L448">
        <f>IF(K448="","",INDEX('差動モデル'!$B:$B,K448))</f>
        <v/>
      </c>
      <c r="M448">
        <f>IF(A448="","",IF(ABS(L448/A448-1)&lt;0.01,"周波数差&lt;1%","周波数差あり"))</f>
        <v/>
      </c>
    </row>
    <row r="449">
      <c r="A449" s="197" t="n"/>
      <c r="B449" s="198" t="n"/>
      <c r="C449" s="198" t="n"/>
      <c r="D449" s="195">
        <f>IF(K449="","",INDEX('差動モデル'!$R:$R,K449))</f>
        <v/>
      </c>
      <c r="E449" s="195">
        <f>IF(K449="","",INDEX('差動モデル'!$S:$S,K449))</f>
        <v/>
      </c>
      <c r="F449" s="195">
        <f>IF(OR(A449="",B449=""),"",100*(D449-B449)/MAX(B449,1E-12))</f>
        <v/>
      </c>
      <c r="G449" s="195">
        <f>IF(OR(A449="",C449=""),"",E449-C449)</f>
        <v/>
      </c>
      <c r="H449" s="195">
        <f>IF(A449="","",LOG10(A449))</f>
        <v/>
      </c>
      <c r="I449" s="195">
        <f>IF(B449="","",LOG10(MAX(B449,1E-12)))</f>
        <v/>
      </c>
      <c r="J449" s="195">
        <f>IF(D449="","",LOG10(MAX(D449,1E-12)))</f>
        <v/>
      </c>
      <c r="K449">
        <f>IF(A449="","",ROUND(1+(LOG10(A449)-LOG10('入力・概要'!$B$38))*('入力・概要'!$B$40-1)/(LOG10('入力・概要'!$B$39)-LOG10('入力・概要'!$B$38)),0)+3)</f>
        <v/>
      </c>
      <c r="L449">
        <f>IF(K449="","",INDEX('差動モデル'!$B:$B,K449))</f>
        <v/>
      </c>
      <c r="M449">
        <f>IF(A449="","",IF(ABS(L449/A449-1)&lt;0.01,"周波数差&lt;1%","周波数差あり"))</f>
        <v/>
      </c>
    </row>
    <row r="450">
      <c r="A450" s="197" t="n"/>
      <c r="B450" s="198" t="n"/>
      <c r="C450" s="198" t="n"/>
      <c r="D450" s="195">
        <f>IF(K450="","",INDEX('差動モデル'!$R:$R,K450))</f>
        <v/>
      </c>
      <c r="E450" s="195">
        <f>IF(K450="","",INDEX('差動モデル'!$S:$S,K450))</f>
        <v/>
      </c>
      <c r="F450" s="195">
        <f>IF(OR(A450="",B450=""),"",100*(D450-B450)/MAX(B450,1E-12))</f>
        <v/>
      </c>
      <c r="G450" s="195">
        <f>IF(OR(A450="",C450=""),"",E450-C450)</f>
        <v/>
      </c>
      <c r="H450" s="195">
        <f>IF(A450="","",LOG10(A450))</f>
        <v/>
      </c>
      <c r="I450" s="195">
        <f>IF(B450="","",LOG10(MAX(B450,1E-12)))</f>
        <v/>
      </c>
      <c r="J450" s="195">
        <f>IF(D450="","",LOG10(MAX(D450,1E-12)))</f>
        <v/>
      </c>
      <c r="K450">
        <f>IF(A450="","",ROUND(1+(LOG10(A450)-LOG10('入力・概要'!$B$38))*('入力・概要'!$B$40-1)/(LOG10('入力・概要'!$B$39)-LOG10('入力・概要'!$B$38)),0)+3)</f>
        <v/>
      </c>
      <c r="L450">
        <f>IF(K450="","",INDEX('差動モデル'!$B:$B,K450))</f>
        <v/>
      </c>
      <c r="M450">
        <f>IF(A450="","",IF(ABS(L450/A450-1)&lt;0.01,"周波数差&lt;1%","周波数差あり"))</f>
        <v/>
      </c>
    </row>
    <row r="451">
      <c r="A451" s="197" t="n"/>
      <c r="B451" s="198" t="n"/>
      <c r="C451" s="198" t="n"/>
      <c r="D451" s="195">
        <f>IF(K451="","",INDEX('差動モデル'!$R:$R,K451))</f>
        <v/>
      </c>
      <c r="E451" s="195">
        <f>IF(K451="","",INDEX('差動モデル'!$S:$S,K451))</f>
        <v/>
      </c>
      <c r="F451" s="195">
        <f>IF(OR(A451="",B451=""),"",100*(D451-B451)/MAX(B451,1E-12))</f>
        <v/>
      </c>
      <c r="G451" s="195">
        <f>IF(OR(A451="",C451=""),"",E451-C451)</f>
        <v/>
      </c>
      <c r="H451" s="195">
        <f>IF(A451="","",LOG10(A451))</f>
        <v/>
      </c>
      <c r="I451" s="195">
        <f>IF(B451="","",LOG10(MAX(B451,1E-12)))</f>
        <v/>
      </c>
      <c r="J451" s="195">
        <f>IF(D451="","",LOG10(MAX(D451,1E-12)))</f>
        <v/>
      </c>
      <c r="K451">
        <f>IF(A451="","",ROUND(1+(LOG10(A451)-LOG10('入力・概要'!$B$38))*('入力・概要'!$B$40-1)/(LOG10('入力・概要'!$B$39)-LOG10('入力・概要'!$B$38)),0)+3)</f>
        <v/>
      </c>
      <c r="L451">
        <f>IF(K451="","",INDEX('差動モデル'!$B:$B,K451))</f>
        <v/>
      </c>
      <c r="M451">
        <f>IF(A451="","",IF(ABS(L451/A451-1)&lt;0.01,"周波数差&lt;1%","周波数差あり"))</f>
        <v/>
      </c>
    </row>
    <row r="452">
      <c r="A452" s="197" t="n"/>
      <c r="B452" s="198" t="n"/>
      <c r="C452" s="198" t="n"/>
      <c r="D452" s="195">
        <f>IF(K452="","",INDEX('差動モデル'!$R:$R,K452))</f>
        <v/>
      </c>
      <c r="E452" s="195">
        <f>IF(K452="","",INDEX('差動モデル'!$S:$S,K452))</f>
        <v/>
      </c>
      <c r="F452" s="195">
        <f>IF(OR(A452="",B452=""),"",100*(D452-B452)/MAX(B452,1E-12))</f>
        <v/>
      </c>
      <c r="G452" s="195">
        <f>IF(OR(A452="",C452=""),"",E452-C452)</f>
        <v/>
      </c>
      <c r="H452" s="195">
        <f>IF(A452="","",LOG10(A452))</f>
        <v/>
      </c>
      <c r="I452" s="195">
        <f>IF(B452="","",LOG10(MAX(B452,1E-12)))</f>
        <v/>
      </c>
      <c r="J452" s="195">
        <f>IF(D452="","",LOG10(MAX(D452,1E-12)))</f>
        <v/>
      </c>
      <c r="K452">
        <f>IF(A452="","",ROUND(1+(LOG10(A452)-LOG10('入力・概要'!$B$38))*('入力・概要'!$B$40-1)/(LOG10('入力・概要'!$B$39)-LOG10('入力・概要'!$B$38)),0)+3)</f>
        <v/>
      </c>
      <c r="L452">
        <f>IF(K452="","",INDEX('差動モデル'!$B:$B,K452))</f>
        <v/>
      </c>
      <c r="M452">
        <f>IF(A452="","",IF(ABS(L452/A452-1)&lt;0.01,"周波数差&lt;1%","周波数差あり"))</f>
        <v/>
      </c>
    </row>
    <row r="453">
      <c r="A453" s="197" t="n"/>
      <c r="B453" s="198" t="n"/>
      <c r="C453" s="198" t="n"/>
      <c r="D453" s="195">
        <f>IF(K453="","",INDEX('差動モデル'!$R:$R,K453))</f>
        <v/>
      </c>
      <c r="E453" s="195">
        <f>IF(K453="","",INDEX('差動モデル'!$S:$S,K453))</f>
        <v/>
      </c>
      <c r="F453" s="195">
        <f>IF(OR(A453="",B453=""),"",100*(D453-B453)/MAX(B453,1E-12))</f>
        <v/>
      </c>
      <c r="G453" s="195">
        <f>IF(OR(A453="",C453=""),"",E453-C453)</f>
        <v/>
      </c>
      <c r="H453" s="195">
        <f>IF(A453="","",LOG10(A453))</f>
        <v/>
      </c>
      <c r="I453" s="195">
        <f>IF(B453="","",LOG10(MAX(B453,1E-12)))</f>
        <v/>
      </c>
      <c r="J453" s="195">
        <f>IF(D453="","",LOG10(MAX(D453,1E-12)))</f>
        <v/>
      </c>
      <c r="K453">
        <f>IF(A453="","",ROUND(1+(LOG10(A453)-LOG10('入力・概要'!$B$38))*('入力・概要'!$B$40-1)/(LOG10('入力・概要'!$B$39)-LOG10('入力・概要'!$B$38)),0)+3)</f>
        <v/>
      </c>
      <c r="L453">
        <f>IF(K453="","",INDEX('差動モデル'!$B:$B,K453))</f>
        <v/>
      </c>
      <c r="M453">
        <f>IF(A453="","",IF(ABS(L453/A453-1)&lt;0.01,"周波数差&lt;1%","周波数差あり"))</f>
        <v/>
      </c>
    </row>
    <row r="454">
      <c r="A454" s="197" t="n"/>
      <c r="B454" s="198" t="n"/>
      <c r="C454" s="198" t="n"/>
      <c r="D454" s="195">
        <f>IF(K454="","",INDEX('差動モデル'!$R:$R,K454))</f>
        <v/>
      </c>
      <c r="E454" s="195">
        <f>IF(K454="","",INDEX('差動モデル'!$S:$S,K454))</f>
        <v/>
      </c>
      <c r="F454" s="195">
        <f>IF(OR(A454="",B454=""),"",100*(D454-B454)/MAX(B454,1E-12))</f>
        <v/>
      </c>
      <c r="G454" s="195">
        <f>IF(OR(A454="",C454=""),"",E454-C454)</f>
        <v/>
      </c>
      <c r="H454" s="195">
        <f>IF(A454="","",LOG10(A454))</f>
        <v/>
      </c>
      <c r="I454" s="195">
        <f>IF(B454="","",LOG10(MAX(B454,1E-12)))</f>
        <v/>
      </c>
      <c r="J454" s="195">
        <f>IF(D454="","",LOG10(MAX(D454,1E-12)))</f>
        <v/>
      </c>
      <c r="K454">
        <f>IF(A454="","",ROUND(1+(LOG10(A454)-LOG10('入力・概要'!$B$38))*('入力・概要'!$B$40-1)/(LOG10('入力・概要'!$B$39)-LOG10('入力・概要'!$B$38)),0)+3)</f>
        <v/>
      </c>
      <c r="L454">
        <f>IF(K454="","",INDEX('差動モデル'!$B:$B,K454))</f>
        <v/>
      </c>
      <c r="M454">
        <f>IF(A454="","",IF(ABS(L454/A454-1)&lt;0.01,"周波数差&lt;1%","周波数差あり"))</f>
        <v/>
      </c>
    </row>
    <row r="455">
      <c r="A455" s="197" t="n"/>
      <c r="B455" s="198" t="n"/>
      <c r="C455" s="198" t="n"/>
      <c r="D455" s="195">
        <f>IF(K455="","",INDEX('差動モデル'!$R:$R,K455))</f>
        <v/>
      </c>
      <c r="E455" s="195">
        <f>IF(K455="","",INDEX('差動モデル'!$S:$S,K455))</f>
        <v/>
      </c>
      <c r="F455" s="195">
        <f>IF(OR(A455="",B455=""),"",100*(D455-B455)/MAX(B455,1E-12))</f>
        <v/>
      </c>
      <c r="G455" s="195">
        <f>IF(OR(A455="",C455=""),"",E455-C455)</f>
        <v/>
      </c>
      <c r="H455" s="195">
        <f>IF(A455="","",LOG10(A455))</f>
        <v/>
      </c>
      <c r="I455" s="195">
        <f>IF(B455="","",LOG10(MAX(B455,1E-12)))</f>
        <v/>
      </c>
      <c r="J455" s="195">
        <f>IF(D455="","",LOG10(MAX(D455,1E-12)))</f>
        <v/>
      </c>
      <c r="K455">
        <f>IF(A455="","",ROUND(1+(LOG10(A455)-LOG10('入力・概要'!$B$38))*('入力・概要'!$B$40-1)/(LOG10('入力・概要'!$B$39)-LOG10('入力・概要'!$B$38)),0)+3)</f>
        <v/>
      </c>
      <c r="L455">
        <f>IF(K455="","",INDEX('差動モデル'!$B:$B,K455))</f>
        <v/>
      </c>
      <c r="M455">
        <f>IF(A455="","",IF(ABS(L455/A455-1)&lt;0.01,"周波数差&lt;1%","周波数差あり"))</f>
        <v/>
      </c>
    </row>
    <row r="456">
      <c r="A456" s="197" t="n"/>
      <c r="B456" s="198" t="n"/>
      <c r="C456" s="198" t="n"/>
      <c r="D456" s="195">
        <f>IF(K456="","",INDEX('差動モデル'!$R:$R,K456))</f>
        <v/>
      </c>
      <c r="E456" s="195">
        <f>IF(K456="","",INDEX('差動モデル'!$S:$S,K456))</f>
        <v/>
      </c>
      <c r="F456" s="195">
        <f>IF(OR(A456="",B456=""),"",100*(D456-B456)/MAX(B456,1E-12))</f>
        <v/>
      </c>
      <c r="G456" s="195">
        <f>IF(OR(A456="",C456=""),"",E456-C456)</f>
        <v/>
      </c>
      <c r="H456" s="195">
        <f>IF(A456="","",LOG10(A456))</f>
        <v/>
      </c>
      <c r="I456" s="195">
        <f>IF(B456="","",LOG10(MAX(B456,1E-12)))</f>
        <v/>
      </c>
      <c r="J456" s="195">
        <f>IF(D456="","",LOG10(MAX(D456,1E-12)))</f>
        <v/>
      </c>
      <c r="K456">
        <f>IF(A456="","",ROUND(1+(LOG10(A456)-LOG10('入力・概要'!$B$38))*('入力・概要'!$B$40-1)/(LOG10('入力・概要'!$B$39)-LOG10('入力・概要'!$B$38)),0)+3)</f>
        <v/>
      </c>
      <c r="L456">
        <f>IF(K456="","",INDEX('差動モデル'!$B:$B,K456))</f>
        <v/>
      </c>
      <c r="M456">
        <f>IF(A456="","",IF(ABS(L456/A456-1)&lt;0.01,"周波数差&lt;1%","周波数差あり"))</f>
        <v/>
      </c>
    </row>
    <row r="457">
      <c r="A457" s="197" t="n"/>
      <c r="B457" s="198" t="n"/>
      <c r="C457" s="198" t="n"/>
      <c r="D457" s="195">
        <f>IF(K457="","",INDEX('差動モデル'!$R:$R,K457))</f>
        <v/>
      </c>
      <c r="E457" s="195">
        <f>IF(K457="","",INDEX('差動モデル'!$S:$S,K457))</f>
        <v/>
      </c>
      <c r="F457" s="195">
        <f>IF(OR(A457="",B457=""),"",100*(D457-B457)/MAX(B457,1E-12))</f>
        <v/>
      </c>
      <c r="G457" s="195">
        <f>IF(OR(A457="",C457=""),"",E457-C457)</f>
        <v/>
      </c>
      <c r="H457" s="195">
        <f>IF(A457="","",LOG10(A457))</f>
        <v/>
      </c>
      <c r="I457" s="195">
        <f>IF(B457="","",LOG10(MAX(B457,1E-12)))</f>
        <v/>
      </c>
      <c r="J457" s="195">
        <f>IF(D457="","",LOG10(MAX(D457,1E-12)))</f>
        <v/>
      </c>
      <c r="K457">
        <f>IF(A457="","",ROUND(1+(LOG10(A457)-LOG10('入力・概要'!$B$38))*('入力・概要'!$B$40-1)/(LOG10('入力・概要'!$B$39)-LOG10('入力・概要'!$B$38)),0)+3)</f>
        <v/>
      </c>
      <c r="L457">
        <f>IF(K457="","",INDEX('差動モデル'!$B:$B,K457))</f>
        <v/>
      </c>
      <c r="M457">
        <f>IF(A457="","",IF(ABS(L457/A457-1)&lt;0.01,"周波数差&lt;1%","周波数差あり"))</f>
        <v/>
      </c>
    </row>
    <row r="458">
      <c r="A458" s="197" t="n"/>
      <c r="B458" s="198" t="n"/>
      <c r="C458" s="198" t="n"/>
      <c r="D458" s="195">
        <f>IF(K458="","",INDEX('差動モデル'!$R:$R,K458))</f>
        <v/>
      </c>
      <c r="E458" s="195">
        <f>IF(K458="","",INDEX('差動モデル'!$S:$S,K458))</f>
        <v/>
      </c>
      <c r="F458" s="195">
        <f>IF(OR(A458="",B458=""),"",100*(D458-B458)/MAX(B458,1E-12))</f>
        <v/>
      </c>
      <c r="G458" s="195">
        <f>IF(OR(A458="",C458=""),"",E458-C458)</f>
        <v/>
      </c>
      <c r="H458" s="195">
        <f>IF(A458="","",LOG10(A458))</f>
        <v/>
      </c>
      <c r="I458" s="195">
        <f>IF(B458="","",LOG10(MAX(B458,1E-12)))</f>
        <v/>
      </c>
      <c r="J458" s="195">
        <f>IF(D458="","",LOG10(MAX(D458,1E-12)))</f>
        <v/>
      </c>
      <c r="K458">
        <f>IF(A458="","",ROUND(1+(LOG10(A458)-LOG10('入力・概要'!$B$38))*('入力・概要'!$B$40-1)/(LOG10('入力・概要'!$B$39)-LOG10('入力・概要'!$B$38)),0)+3)</f>
        <v/>
      </c>
      <c r="L458">
        <f>IF(K458="","",INDEX('差動モデル'!$B:$B,K458))</f>
        <v/>
      </c>
      <c r="M458">
        <f>IF(A458="","",IF(ABS(L458/A458-1)&lt;0.01,"周波数差&lt;1%","周波数差あり"))</f>
        <v/>
      </c>
    </row>
    <row r="459">
      <c r="A459" s="197" t="n"/>
      <c r="B459" s="198" t="n"/>
      <c r="C459" s="198" t="n"/>
      <c r="D459" s="195">
        <f>IF(K459="","",INDEX('差動モデル'!$R:$R,K459))</f>
        <v/>
      </c>
      <c r="E459" s="195">
        <f>IF(K459="","",INDEX('差動モデル'!$S:$S,K459))</f>
        <v/>
      </c>
      <c r="F459" s="195">
        <f>IF(OR(A459="",B459=""),"",100*(D459-B459)/MAX(B459,1E-12))</f>
        <v/>
      </c>
      <c r="G459" s="195">
        <f>IF(OR(A459="",C459=""),"",E459-C459)</f>
        <v/>
      </c>
      <c r="H459" s="195">
        <f>IF(A459="","",LOG10(A459))</f>
        <v/>
      </c>
      <c r="I459" s="195">
        <f>IF(B459="","",LOG10(MAX(B459,1E-12)))</f>
        <v/>
      </c>
      <c r="J459" s="195">
        <f>IF(D459="","",LOG10(MAX(D459,1E-12)))</f>
        <v/>
      </c>
      <c r="K459">
        <f>IF(A459="","",ROUND(1+(LOG10(A459)-LOG10('入力・概要'!$B$38))*('入力・概要'!$B$40-1)/(LOG10('入力・概要'!$B$39)-LOG10('入力・概要'!$B$38)),0)+3)</f>
        <v/>
      </c>
      <c r="L459">
        <f>IF(K459="","",INDEX('差動モデル'!$B:$B,K459))</f>
        <v/>
      </c>
      <c r="M459">
        <f>IF(A459="","",IF(ABS(L459/A459-1)&lt;0.01,"周波数差&lt;1%","周波数差あり"))</f>
        <v/>
      </c>
    </row>
    <row r="460">
      <c r="A460" s="197" t="n"/>
      <c r="B460" s="198" t="n"/>
      <c r="C460" s="198" t="n"/>
      <c r="D460" s="195">
        <f>IF(K460="","",INDEX('差動モデル'!$R:$R,K460))</f>
        <v/>
      </c>
      <c r="E460" s="195">
        <f>IF(K460="","",INDEX('差動モデル'!$S:$S,K460))</f>
        <v/>
      </c>
      <c r="F460" s="195">
        <f>IF(OR(A460="",B460=""),"",100*(D460-B460)/MAX(B460,1E-12))</f>
        <v/>
      </c>
      <c r="G460" s="195">
        <f>IF(OR(A460="",C460=""),"",E460-C460)</f>
        <v/>
      </c>
      <c r="H460" s="195">
        <f>IF(A460="","",LOG10(A460))</f>
        <v/>
      </c>
      <c r="I460" s="195">
        <f>IF(B460="","",LOG10(MAX(B460,1E-12)))</f>
        <v/>
      </c>
      <c r="J460" s="195">
        <f>IF(D460="","",LOG10(MAX(D460,1E-12)))</f>
        <v/>
      </c>
      <c r="K460">
        <f>IF(A460="","",ROUND(1+(LOG10(A460)-LOG10('入力・概要'!$B$38))*('入力・概要'!$B$40-1)/(LOG10('入力・概要'!$B$39)-LOG10('入力・概要'!$B$38)),0)+3)</f>
        <v/>
      </c>
      <c r="L460">
        <f>IF(K460="","",INDEX('差動モデル'!$B:$B,K460))</f>
        <v/>
      </c>
      <c r="M460">
        <f>IF(A460="","",IF(ABS(L460/A460-1)&lt;0.01,"周波数差&lt;1%","周波数差あり"))</f>
        <v/>
      </c>
    </row>
    <row r="461">
      <c r="A461" s="197" t="n"/>
      <c r="B461" s="198" t="n"/>
      <c r="C461" s="198" t="n"/>
      <c r="D461" s="195">
        <f>IF(K461="","",INDEX('差動モデル'!$R:$R,K461))</f>
        <v/>
      </c>
      <c r="E461" s="195">
        <f>IF(K461="","",INDEX('差動モデル'!$S:$S,K461))</f>
        <v/>
      </c>
      <c r="F461" s="195">
        <f>IF(OR(A461="",B461=""),"",100*(D461-B461)/MAX(B461,1E-12))</f>
        <v/>
      </c>
      <c r="G461" s="195">
        <f>IF(OR(A461="",C461=""),"",E461-C461)</f>
        <v/>
      </c>
      <c r="H461" s="195">
        <f>IF(A461="","",LOG10(A461))</f>
        <v/>
      </c>
      <c r="I461" s="195">
        <f>IF(B461="","",LOG10(MAX(B461,1E-12)))</f>
        <v/>
      </c>
      <c r="J461" s="195">
        <f>IF(D461="","",LOG10(MAX(D461,1E-12)))</f>
        <v/>
      </c>
      <c r="K461">
        <f>IF(A461="","",ROUND(1+(LOG10(A461)-LOG10('入力・概要'!$B$38))*('入力・概要'!$B$40-1)/(LOG10('入力・概要'!$B$39)-LOG10('入力・概要'!$B$38)),0)+3)</f>
        <v/>
      </c>
      <c r="L461">
        <f>IF(K461="","",INDEX('差動モデル'!$B:$B,K461))</f>
        <v/>
      </c>
      <c r="M461">
        <f>IF(A461="","",IF(ABS(L461/A461-1)&lt;0.01,"周波数差&lt;1%","周波数差あり"))</f>
        <v/>
      </c>
    </row>
    <row r="462">
      <c r="A462" s="197" t="n"/>
      <c r="B462" s="198" t="n"/>
      <c r="C462" s="198" t="n"/>
      <c r="D462" s="195">
        <f>IF(K462="","",INDEX('差動モデル'!$R:$R,K462))</f>
        <v/>
      </c>
      <c r="E462" s="195">
        <f>IF(K462="","",INDEX('差動モデル'!$S:$S,K462))</f>
        <v/>
      </c>
      <c r="F462" s="195">
        <f>IF(OR(A462="",B462=""),"",100*(D462-B462)/MAX(B462,1E-12))</f>
        <v/>
      </c>
      <c r="G462" s="195">
        <f>IF(OR(A462="",C462=""),"",E462-C462)</f>
        <v/>
      </c>
      <c r="H462" s="195">
        <f>IF(A462="","",LOG10(A462))</f>
        <v/>
      </c>
      <c r="I462" s="195">
        <f>IF(B462="","",LOG10(MAX(B462,1E-12)))</f>
        <v/>
      </c>
      <c r="J462" s="195">
        <f>IF(D462="","",LOG10(MAX(D462,1E-12)))</f>
        <v/>
      </c>
      <c r="K462">
        <f>IF(A462="","",ROUND(1+(LOG10(A462)-LOG10('入力・概要'!$B$38))*('入力・概要'!$B$40-1)/(LOG10('入力・概要'!$B$39)-LOG10('入力・概要'!$B$38)),0)+3)</f>
        <v/>
      </c>
      <c r="L462">
        <f>IF(K462="","",INDEX('差動モデル'!$B:$B,K462))</f>
        <v/>
      </c>
      <c r="M462">
        <f>IF(A462="","",IF(ABS(L462/A462-1)&lt;0.01,"周波数差&lt;1%","周波数差あり"))</f>
        <v/>
      </c>
    </row>
    <row r="463">
      <c r="A463" s="197" t="n"/>
      <c r="B463" s="198" t="n"/>
      <c r="C463" s="198" t="n"/>
      <c r="D463" s="195">
        <f>IF(K463="","",INDEX('差動モデル'!$R:$R,K463))</f>
        <v/>
      </c>
      <c r="E463" s="195">
        <f>IF(K463="","",INDEX('差動モデル'!$S:$S,K463))</f>
        <v/>
      </c>
      <c r="F463" s="195">
        <f>IF(OR(A463="",B463=""),"",100*(D463-B463)/MAX(B463,1E-12))</f>
        <v/>
      </c>
      <c r="G463" s="195">
        <f>IF(OR(A463="",C463=""),"",E463-C463)</f>
        <v/>
      </c>
      <c r="H463" s="195">
        <f>IF(A463="","",LOG10(A463))</f>
        <v/>
      </c>
      <c r="I463" s="195">
        <f>IF(B463="","",LOG10(MAX(B463,1E-12)))</f>
        <v/>
      </c>
      <c r="J463" s="195">
        <f>IF(D463="","",LOG10(MAX(D463,1E-12)))</f>
        <v/>
      </c>
      <c r="K463">
        <f>IF(A463="","",ROUND(1+(LOG10(A463)-LOG10('入力・概要'!$B$38))*('入力・概要'!$B$40-1)/(LOG10('入力・概要'!$B$39)-LOG10('入力・概要'!$B$38)),0)+3)</f>
        <v/>
      </c>
      <c r="L463">
        <f>IF(K463="","",INDEX('差動モデル'!$B:$B,K463))</f>
        <v/>
      </c>
      <c r="M463">
        <f>IF(A463="","",IF(ABS(L463/A463-1)&lt;0.01,"周波数差&lt;1%","周波数差あり"))</f>
        <v/>
      </c>
    </row>
    <row r="464">
      <c r="A464" s="197" t="n"/>
      <c r="B464" s="198" t="n"/>
      <c r="C464" s="198" t="n"/>
      <c r="D464" s="195">
        <f>IF(K464="","",INDEX('差動モデル'!$R:$R,K464))</f>
        <v/>
      </c>
      <c r="E464" s="195">
        <f>IF(K464="","",INDEX('差動モデル'!$S:$S,K464))</f>
        <v/>
      </c>
      <c r="F464" s="195">
        <f>IF(OR(A464="",B464=""),"",100*(D464-B464)/MAX(B464,1E-12))</f>
        <v/>
      </c>
      <c r="G464" s="195">
        <f>IF(OR(A464="",C464=""),"",E464-C464)</f>
        <v/>
      </c>
      <c r="H464" s="195">
        <f>IF(A464="","",LOG10(A464))</f>
        <v/>
      </c>
      <c r="I464" s="195">
        <f>IF(B464="","",LOG10(MAX(B464,1E-12)))</f>
        <v/>
      </c>
      <c r="J464" s="195">
        <f>IF(D464="","",LOG10(MAX(D464,1E-12)))</f>
        <v/>
      </c>
      <c r="K464">
        <f>IF(A464="","",ROUND(1+(LOG10(A464)-LOG10('入力・概要'!$B$38))*('入力・概要'!$B$40-1)/(LOG10('入力・概要'!$B$39)-LOG10('入力・概要'!$B$38)),0)+3)</f>
        <v/>
      </c>
      <c r="L464">
        <f>IF(K464="","",INDEX('差動モデル'!$B:$B,K464))</f>
        <v/>
      </c>
      <c r="M464">
        <f>IF(A464="","",IF(ABS(L464/A464-1)&lt;0.01,"周波数差&lt;1%","周波数差あり"))</f>
        <v/>
      </c>
    </row>
    <row r="465">
      <c r="A465" s="197" t="n"/>
      <c r="B465" s="198" t="n"/>
      <c r="C465" s="198" t="n"/>
      <c r="D465" s="195">
        <f>IF(K465="","",INDEX('差動モデル'!$R:$R,K465))</f>
        <v/>
      </c>
      <c r="E465" s="195">
        <f>IF(K465="","",INDEX('差動モデル'!$S:$S,K465))</f>
        <v/>
      </c>
      <c r="F465" s="195">
        <f>IF(OR(A465="",B465=""),"",100*(D465-B465)/MAX(B465,1E-12))</f>
        <v/>
      </c>
      <c r="G465" s="195">
        <f>IF(OR(A465="",C465=""),"",E465-C465)</f>
        <v/>
      </c>
      <c r="H465" s="195">
        <f>IF(A465="","",LOG10(A465))</f>
        <v/>
      </c>
      <c r="I465" s="195">
        <f>IF(B465="","",LOG10(MAX(B465,1E-12)))</f>
        <v/>
      </c>
      <c r="J465" s="195">
        <f>IF(D465="","",LOG10(MAX(D465,1E-12)))</f>
        <v/>
      </c>
      <c r="K465">
        <f>IF(A465="","",ROUND(1+(LOG10(A465)-LOG10('入力・概要'!$B$38))*('入力・概要'!$B$40-1)/(LOG10('入力・概要'!$B$39)-LOG10('入力・概要'!$B$38)),0)+3)</f>
        <v/>
      </c>
      <c r="L465">
        <f>IF(K465="","",INDEX('差動モデル'!$B:$B,K465))</f>
        <v/>
      </c>
      <c r="M465">
        <f>IF(A465="","",IF(ABS(L465/A465-1)&lt;0.01,"周波数差&lt;1%","周波数差あり"))</f>
        <v/>
      </c>
    </row>
    <row r="466">
      <c r="A466" s="197" t="n"/>
      <c r="B466" s="198" t="n"/>
      <c r="C466" s="198" t="n"/>
      <c r="D466" s="195">
        <f>IF(K466="","",INDEX('差動モデル'!$R:$R,K466))</f>
        <v/>
      </c>
      <c r="E466" s="195">
        <f>IF(K466="","",INDEX('差動モデル'!$S:$S,K466))</f>
        <v/>
      </c>
      <c r="F466" s="195">
        <f>IF(OR(A466="",B466=""),"",100*(D466-B466)/MAX(B466,1E-12))</f>
        <v/>
      </c>
      <c r="G466" s="195">
        <f>IF(OR(A466="",C466=""),"",E466-C466)</f>
        <v/>
      </c>
      <c r="H466" s="195">
        <f>IF(A466="","",LOG10(A466))</f>
        <v/>
      </c>
      <c r="I466" s="195">
        <f>IF(B466="","",LOG10(MAX(B466,1E-12)))</f>
        <v/>
      </c>
      <c r="J466" s="195">
        <f>IF(D466="","",LOG10(MAX(D466,1E-12)))</f>
        <v/>
      </c>
      <c r="K466">
        <f>IF(A466="","",ROUND(1+(LOG10(A466)-LOG10('入力・概要'!$B$38))*('入力・概要'!$B$40-1)/(LOG10('入力・概要'!$B$39)-LOG10('入力・概要'!$B$38)),0)+3)</f>
        <v/>
      </c>
      <c r="L466">
        <f>IF(K466="","",INDEX('差動モデル'!$B:$B,K466))</f>
        <v/>
      </c>
      <c r="M466">
        <f>IF(A466="","",IF(ABS(L466/A466-1)&lt;0.01,"周波数差&lt;1%","周波数差あり"))</f>
        <v/>
      </c>
    </row>
    <row r="467">
      <c r="A467" s="197" t="n"/>
      <c r="B467" s="198" t="n"/>
      <c r="C467" s="198" t="n"/>
      <c r="D467" s="195">
        <f>IF(K467="","",INDEX('差動モデル'!$R:$R,K467))</f>
        <v/>
      </c>
      <c r="E467" s="195">
        <f>IF(K467="","",INDEX('差動モデル'!$S:$S,K467))</f>
        <v/>
      </c>
      <c r="F467" s="195">
        <f>IF(OR(A467="",B467=""),"",100*(D467-B467)/MAX(B467,1E-12))</f>
        <v/>
      </c>
      <c r="G467" s="195">
        <f>IF(OR(A467="",C467=""),"",E467-C467)</f>
        <v/>
      </c>
      <c r="H467" s="195">
        <f>IF(A467="","",LOG10(A467))</f>
        <v/>
      </c>
      <c r="I467" s="195">
        <f>IF(B467="","",LOG10(MAX(B467,1E-12)))</f>
        <v/>
      </c>
      <c r="J467" s="195">
        <f>IF(D467="","",LOG10(MAX(D467,1E-12)))</f>
        <v/>
      </c>
      <c r="K467">
        <f>IF(A467="","",ROUND(1+(LOG10(A467)-LOG10('入力・概要'!$B$38))*('入力・概要'!$B$40-1)/(LOG10('入力・概要'!$B$39)-LOG10('入力・概要'!$B$38)),0)+3)</f>
        <v/>
      </c>
      <c r="L467">
        <f>IF(K467="","",INDEX('差動モデル'!$B:$B,K467))</f>
        <v/>
      </c>
      <c r="M467">
        <f>IF(A467="","",IF(ABS(L467/A467-1)&lt;0.01,"周波数差&lt;1%","周波数差あり"))</f>
        <v/>
      </c>
    </row>
    <row r="468">
      <c r="A468" s="197" t="n"/>
      <c r="B468" s="198" t="n"/>
      <c r="C468" s="198" t="n"/>
      <c r="D468" s="195">
        <f>IF(K468="","",INDEX('差動モデル'!$R:$R,K468))</f>
        <v/>
      </c>
      <c r="E468" s="195">
        <f>IF(K468="","",INDEX('差動モデル'!$S:$S,K468))</f>
        <v/>
      </c>
      <c r="F468" s="195">
        <f>IF(OR(A468="",B468=""),"",100*(D468-B468)/MAX(B468,1E-12))</f>
        <v/>
      </c>
      <c r="G468" s="195">
        <f>IF(OR(A468="",C468=""),"",E468-C468)</f>
        <v/>
      </c>
      <c r="H468" s="195">
        <f>IF(A468="","",LOG10(A468))</f>
        <v/>
      </c>
      <c r="I468" s="195">
        <f>IF(B468="","",LOG10(MAX(B468,1E-12)))</f>
        <v/>
      </c>
      <c r="J468" s="195">
        <f>IF(D468="","",LOG10(MAX(D468,1E-12)))</f>
        <v/>
      </c>
      <c r="K468">
        <f>IF(A468="","",ROUND(1+(LOG10(A468)-LOG10('入力・概要'!$B$38))*('入力・概要'!$B$40-1)/(LOG10('入力・概要'!$B$39)-LOG10('入力・概要'!$B$38)),0)+3)</f>
        <v/>
      </c>
      <c r="L468">
        <f>IF(K468="","",INDEX('差動モデル'!$B:$B,K468))</f>
        <v/>
      </c>
      <c r="M468">
        <f>IF(A468="","",IF(ABS(L468/A468-1)&lt;0.01,"周波数差&lt;1%","周波数差あり"))</f>
        <v/>
      </c>
    </row>
    <row r="469">
      <c r="A469" s="197" t="n"/>
      <c r="B469" s="198" t="n"/>
      <c r="C469" s="198" t="n"/>
      <c r="D469" s="195">
        <f>IF(K469="","",INDEX('差動モデル'!$R:$R,K469))</f>
        <v/>
      </c>
      <c r="E469" s="195">
        <f>IF(K469="","",INDEX('差動モデル'!$S:$S,K469))</f>
        <v/>
      </c>
      <c r="F469" s="195">
        <f>IF(OR(A469="",B469=""),"",100*(D469-B469)/MAX(B469,1E-12))</f>
        <v/>
      </c>
      <c r="G469" s="195">
        <f>IF(OR(A469="",C469=""),"",E469-C469)</f>
        <v/>
      </c>
      <c r="H469" s="195">
        <f>IF(A469="","",LOG10(A469))</f>
        <v/>
      </c>
      <c r="I469" s="195">
        <f>IF(B469="","",LOG10(MAX(B469,1E-12)))</f>
        <v/>
      </c>
      <c r="J469" s="195">
        <f>IF(D469="","",LOG10(MAX(D469,1E-12)))</f>
        <v/>
      </c>
      <c r="K469">
        <f>IF(A469="","",ROUND(1+(LOG10(A469)-LOG10('入力・概要'!$B$38))*('入力・概要'!$B$40-1)/(LOG10('入力・概要'!$B$39)-LOG10('入力・概要'!$B$38)),0)+3)</f>
        <v/>
      </c>
      <c r="L469">
        <f>IF(K469="","",INDEX('差動モデル'!$B:$B,K469))</f>
        <v/>
      </c>
      <c r="M469">
        <f>IF(A469="","",IF(ABS(L469/A469-1)&lt;0.01,"周波数差&lt;1%","周波数差あり"))</f>
        <v/>
      </c>
    </row>
    <row r="470">
      <c r="A470" s="197" t="n"/>
      <c r="B470" s="198" t="n"/>
      <c r="C470" s="198" t="n"/>
      <c r="D470" s="195">
        <f>IF(K470="","",INDEX('差動モデル'!$R:$R,K470))</f>
        <v/>
      </c>
      <c r="E470" s="195">
        <f>IF(K470="","",INDEX('差動モデル'!$S:$S,K470))</f>
        <v/>
      </c>
      <c r="F470" s="195">
        <f>IF(OR(A470="",B470=""),"",100*(D470-B470)/MAX(B470,1E-12))</f>
        <v/>
      </c>
      <c r="G470" s="195">
        <f>IF(OR(A470="",C470=""),"",E470-C470)</f>
        <v/>
      </c>
      <c r="H470" s="195">
        <f>IF(A470="","",LOG10(A470))</f>
        <v/>
      </c>
      <c r="I470" s="195">
        <f>IF(B470="","",LOG10(MAX(B470,1E-12)))</f>
        <v/>
      </c>
      <c r="J470" s="195">
        <f>IF(D470="","",LOG10(MAX(D470,1E-12)))</f>
        <v/>
      </c>
      <c r="K470">
        <f>IF(A470="","",ROUND(1+(LOG10(A470)-LOG10('入力・概要'!$B$38))*('入力・概要'!$B$40-1)/(LOG10('入力・概要'!$B$39)-LOG10('入力・概要'!$B$38)),0)+3)</f>
        <v/>
      </c>
      <c r="L470">
        <f>IF(K470="","",INDEX('差動モデル'!$B:$B,K470))</f>
        <v/>
      </c>
      <c r="M470">
        <f>IF(A470="","",IF(ABS(L470/A470-1)&lt;0.01,"周波数差&lt;1%","周波数差あり"))</f>
        <v/>
      </c>
    </row>
    <row r="471">
      <c r="A471" s="197" t="n"/>
      <c r="B471" s="198" t="n"/>
      <c r="C471" s="198" t="n"/>
      <c r="D471" s="195">
        <f>IF(K471="","",INDEX('差動モデル'!$R:$R,K471))</f>
        <v/>
      </c>
      <c r="E471" s="195">
        <f>IF(K471="","",INDEX('差動モデル'!$S:$S,K471))</f>
        <v/>
      </c>
      <c r="F471" s="195">
        <f>IF(OR(A471="",B471=""),"",100*(D471-B471)/MAX(B471,1E-12))</f>
        <v/>
      </c>
      <c r="G471" s="195">
        <f>IF(OR(A471="",C471=""),"",E471-C471)</f>
        <v/>
      </c>
      <c r="H471" s="195">
        <f>IF(A471="","",LOG10(A471))</f>
        <v/>
      </c>
      <c r="I471" s="195">
        <f>IF(B471="","",LOG10(MAX(B471,1E-12)))</f>
        <v/>
      </c>
      <c r="J471" s="195">
        <f>IF(D471="","",LOG10(MAX(D471,1E-12)))</f>
        <v/>
      </c>
      <c r="K471">
        <f>IF(A471="","",ROUND(1+(LOG10(A471)-LOG10('入力・概要'!$B$38))*('入力・概要'!$B$40-1)/(LOG10('入力・概要'!$B$39)-LOG10('入力・概要'!$B$38)),0)+3)</f>
        <v/>
      </c>
      <c r="L471">
        <f>IF(K471="","",INDEX('差動モデル'!$B:$B,K471))</f>
        <v/>
      </c>
      <c r="M471">
        <f>IF(A471="","",IF(ABS(L471/A471-1)&lt;0.01,"周波数差&lt;1%","周波数差あり"))</f>
        <v/>
      </c>
    </row>
    <row r="472">
      <c r="A472" s="197" t="n"/>
      <c r="B472" s="198" t="n"/>
      <c r="C472" s="198" t="n"/>
      <c r="D472" s="195">
        <f>IF(K472="","",INDEX('差動モデル'!$R:$R,K472))</f>
        <v/>
      </c>
      <c r="E472" s="195">
        <f>IF(K472="","",INDEX('差動モデル'!$S:$S,K472))</f>
        <v/>
      </c>
      <c r="F472" s="195">
        <f>IF(OR(A472="",B472=""),"",100*(D472-B472)/MAX(B472,1E-12))</f>
        <v/>
      </c>
      <c r="G472" s="195">
        <f>IF(OR(A472="",C472=""),"",E472-C472)</f>
        <v/>
      </c>
      <c r="H472" s="195">
        <f>IF(A472="","",LOG10(A472))</f>
        <v/>
      </c>
      <c r="I472" s="195">
        <f>IF(B472="","",LOG10(MAX(B472,1E-12)))</f>
        <v/>
      </c>
      <c r="J472" s="195">
        <f>IF(D472="","",LOG10(MAX(D472,1E-12)))</f>
        <v/>
      </c>
      <c r="K472">
        <f>IF(A472="","",ROUND(1+(LOG10(A472)-LOG10('入力・概要'!$B$38))*('入力・概要'!$B$40-1)/(LOG10('入力・概要'!$B$39)-LOG10('入力・概要'!$B$38)),0)+3)</f>
        <v/>
      </c>
      <c r="L472">
        <f>IF(K472="","",INDEX('差動モデル'!$B:$B,K472))</f>
        <v/>
      </c>
      <c r="M472">
        <f>IF(A472="","",IF(ABS(L472/A472-1)&lt;0.01,"周波数差&lt;1%","周波数差あり"))</f>
        <v/>
      </c>
    </row>
    <row r="473">
      <c r="A473" s="197" t="n"/>
      <c r="B473" s="198" t="n"/>
      <c r="C473" s="198" t="n"/>
      <c r="D473" s="195">
        <f>IF(K473="","",INDEX('差動モデル'!$R:$R,K473))</f>
        <v/>
      </c>
      <c r="E473" s="195">
        <f>IF(K473="","",INDEX('差動モデル'!$S:$S,K473))</f>
        <v/>
      </c>
      <c r="F473" s="195">
        <f>IF(OR(A473="",B473=""),"",100*(D473-B473)/MAX(B473,1E-12))</f>
        <v/>
      </c>
      <c r="G473" s="195">
        <f>IF(OR(A473="",C473=""),"",E473-C473)</f>
        <v/>
      </c>
      <c r="H473" s="195">
        <f>IF(A473="","",LOG10(A473))</f>
        <v/>
      </c>
      <c r="I473" s="195">
        <f>IF(B473="","",LOG10(MAX(B473,1E-12)))</f>
        <v/>
      </c>
      <c r="J473" s="195">
        <f>IF(D473="","",LOG10(MAX(D473,1E-12)))</f>
        <v/>
      </c>
      <c r="K473">
        <f>IF(A473="","",ROUND(1+(LOG10(A473)-LOG10('入力・概要'!$B$38))*('入力・概要'!$B$40-1)/(LOG10('入力・概要'!$B$39)-LOG10('入力・概要'!$B$38)),0)+3)</f>
        <v/>
      </c>
      <c r="L473">
        <f>IF(K473="","",INDEX('差動モデル'!$B:$B,K473))</f>
        <v/>
      </c>
      <c r="M473">
        <f>IF(A473="","",IF(ABS(L473/A473-1)&lt;0.01,"周波数差&lt;1%","周波数差あり"))</f>
        <v/>
      </c>
    </row>
    <row r="474">
      <c r="A474" s="197" t="n"/>
      <c r="B474" s="198" t="n"/>
      <c r="C474" s="198" t="n"/>
      <c r="D474" s="195">
        <f>IF(K474="","",INDEX('差動モデル'!$R:$R,K474))</f>
        <v/>
      </c>
      <c r="E474" s="195">
        <f>IF(K474="","",INDEX('差動モデル'!$S:$S,K474))</f>
        <v/>
      </c>
      <c r="F474" s="195">
        <f>IF(OR(A474="",B474=""),"",100*(D474-B474)/MAX(B474,1E-12))</f>
        <v/>
      </c>
      <c r="G474" s="195">
        <f>IF(OR(A474="",C474=""),"",E474-C474)</f>
        <v/>
      </c>
      <c r="H474" s="195">
        <f>IF(A474="","",LOG10(A474))</f>
        <v/>
      </c>
      <c r="I474" s="195">
        <f>IF(B474="","",LOG10(MAX(B474,1E-12)))</f>
        <v/>
      </c>
      <c r="J474" s="195">
        <f>IF(D474="","",LOG10(MAX(D474,1E-12)))</f>
        <v/>
      </c>
      <c r="K474">
        <f>IF(A474="","",ROUND(1+(LOG10(A474)-LOG10('入力・概要'!$B$38))*('入力・概要'!$B$40-1)/(LOG10('入力・概要'!$B$39)-LOG10('入力・概要'!$B$38)),0)+3)</f>
        <v/>
      </c>
      <c r="L474">
        <f>IF(K474="","",INDEX('差動モデル'!$B:$B,K474))</f>
        <v/>
      </c>
      <c r="M474">
        <f>IF(A474="","",IF(ABS(L474/A474-1)&lt;0.01,"周波数差&lt;1%","周波数差あり"))</f>
        <v/>
      </c>
    </row>
    <row r="475">
      <c r="A475" s="197" t="n"/>
      <c r="B475" s="198" t="n"/>
      <c r="C475" s="198" t="n"/>
      <c r="D475" s="195">
        <f>IF(K475="","",INDEX('差動モデル'!$R:$R,K475))</f>
        <v/>
      </c>
      <c r="E475" s="195">
        <f>IF(K475="","",INDEX('差動モデル'!$S:$S,K475))</f>
        <v/>
      </c>
      <c r="F475" s="195">
        <f>IF(OR(A475="",B475=""),"",100*(D475-B475)/MAX(B475,1E-12))</f>
        <v/>
      </c>
      <c r="G475" s="195">
        <f>IF(OR(A475="",C475=""),"",E475-C475)</f>
        <v/>
      </c>
      <c r="H475" s="195">
        <f>IF(A475="","",LOG10(A475))</f>
        <v/>
      </c>
      <c r="I475" s="195">
        <f>IF(B475="","",LOG10(MAX(B475,1E-12)))</f>
        <v/>
      </c>
      <c r="J475" s="195">
        <f>IF(D475="","",LOG10(MAX(D475,1E-12)))</f>
        <v/>
      </c>
      <c r="K475">
        <f>IF(A475="","",ROUND(1+(LOG10(A475)-LOG10('入力・概要'!$B$38))*('入力・概要'!$B$40-1)/(LOG10('入力・概要'!$B$39)-LOG10('入力・概要'!$B$38)),0)+3)</f>
        <v/>
      </c>
      <c r="L475">
        <f>IF(K475="","",INDEX('差動モデル'!$B:$B,K475))</f>
        <v/>
      </c>
      <c r="M475">
        <f>IF(A475="","",IF(ABS(L475/A475-1)&lt;0.01,"周波数差&lt;1%","周波数差あり"))</f>
        <v/>
      </c>
    </row>
    <row r="476">
      <c r="A476" s="197" t="n"/>
      <c r="B476" s="198" t="n"/>
      <c r="C476" s="198" t="n"/>
      <c r="D476" s="195">
        <f>IF(K476="","",INDEX('差動モデル'!$R:$R,K476))</f>
        <v/>
      </c>
      <c r="E476" s="195">
        <f>IF(K476="","",INDEX('差動モデル'!$S:$S,K476))</f>
        <v/>
      </c>
      <c r="F476" s="195">
        <f>IF(OR(A476="",B476=""),"",100*(D476-B476)/MAX(B476,1E-12))</f>
        <v/>
      </c>
      <c r="G476" s="195">
        <f>IF(OR(A476="",C476=""),"",E476-C476)</f>
        <v/>
      </c>
      <c r="H476" s="195">
        <f>IF(A476="","",LOG10(A476))</f>
        <v/>
      </c>
      <c r="I476" s="195">
        <f>IF(B476="","",LOG10(MAX(B476,1E-12)))</f>
        <v/>
      </c>
      <c r="J476" s="195">
        <f>IF(D476="","",LOG10(MAX(D476,1E-12)))</f>
        <v/>
      </c>
      <c r="K476">
        <f>IF(A476="","",ROUND(1+(LOG10(A476)-LOG10('入力・概要'!$B$38))*('入力・概要'!$B$40-1)/(LOG10('入力・概要'!$B$39)-LOG10('入力・概要'!$B$38)),0)+3)</f>
        <v/>
      </c>
      <c r="L476">
        <f>IF(K476="","",INDEX('差動モデル'!$B:$B,K476))</f>
        <v/>
      </c>
      <c r="M476">
        <f>IF(A476="","",IF(ABS(L476/A476-1)&lt;0.01,"周波数差&lt;1%","周波数差あり"))</f>
        <v/>
      </c>
    </row>
    <row r="477">
      <c r="A477" s="197" t="n"/>
      <c r="B477" s="198" t="n"/>
      <c r="C477" s="198" t="n"/>
      <c r="D477" s="195">
        <f>IF(K477="","",INDEX('差動モデル'!$R:$R,K477))</f>
        <v/>
      </c>
      <c r="E477" s="195">
        <f>IF(K477="","",INDEX('差動モデル'!$S:$S,K477))</f>
        <v/>
      </c>
      <c r="F477" s="195">
        <f>IF(OR(A477="",B477=""),"",100*(D477-B477)/MAX(B477,1E-12))</f>
        <v/>
      </c>
      <c r="G477" s="195">
        <f>IF(OR(A477="",C477=""),"",E477-C477)</f>
        <v/>
      </c>
      <c r="H477" s="195">
        <f>IF(A477="","",LOG10(A477))</f>
        <v/>
      </c>
      <c r="I477" s="195">
        <f>IF(B477="","",LOG10(MAX(B477,1E-12)))</f>
        <v/>
      </c>
      <c r="J477" s="195">
        <f>IF(D477="","",LOG10(MAX(D477,1E-12)))</f>
        <v/>
      </c>
      <c r="K477">
        <f>IF(A477="","",ROUND(1+(LOG10(A477)-LOG10('入力・概要'!$B$38))*('入力・概要'!$B$40-1)/(LOG10('入力・概要'!$B$39)-LOG10('入力・概要'!$B$38)),0)+3)</f>
        <v/>
      </c>
      <c r="L477">
        <f>IF(K477="","",INDEX('差動モデル'!$B:$B,K477))</f>
        <v/>
      </c>
      <c r="M477">
        <f>IF(A477="","",IF(ABS(L477/A477-1)&lt;0.01,"周波数差&lt;1%","周波数差あり"))</f>
        <v/>
      </c>
    </row>
    <row r="478">
      <c r="A478" s="197" t="n"/>
      <c r="B478" s="198" t="n"/>
      <c r="C478" s="198" t="n"/>
      <c r="D478" s="195">
        <f>IF(K478="","",INDEX('差動モデル'!$R:$R,K478))</f>
        <v/>
      </c>
      <c r="E478" s="195">
        <f>IF(K478="","",INDEX('差動モデル'!$S:$S,K478))</f>
        <v/>
      </c>
      <c r="F478" s="195">
        <f>IF(OR(A478="",B478=""),"",100*(D478-B478)/MAX(B478,1E-12))</f>
        <v/>
      </c>
      <c r="G478" s="195">
        <f>IF(OR(A478="",C478=""),"",E478-C478)</f>
        <v/>
      </c>
      <c r="H478" s="195">
        <f>IF(A478="","",LOG10(A478))</f>
        <v/>
      </c>
      <c r="I478" s="195">
        <f>IF(B478="","",LOG10(MAX(B478,1E-12)))</f>
        <v/>
      </c>
      <c r="J478" s="195">
        <f>IF(D478="","",LOG10(MAX(D478,1E-12)))</f>
        <v/>
      </c>
      <c r="K478">
        <f>IF(A478="","",ROUND(1+(LOG10(A478)-LOG10('入力・概要'!$B$38))*('入力・概要'!$B$40-1)/(LOG10('入力・概要'!$B$39)-LOG10('入力・概要'!$B$38)),0)+3)</f>
        <v/>
      </c>
      <c r="L478">
        <f>IF(K478="","",INDEX('差動モデル'!$B:$B,K478))</f>
        <v/>
      </c>
      <c r="M478">
        <f>IF(A478="","",IF(ABS(L478/A478-1)&lt;0.01,"周波数差&lt;1%","周波数差あり"))</f>
        <v/>
      </c>
    </row>
    <row r="479">
      <c r="A479" s="197" t="n"/>
      <c r="B479" s="198" t="n"/>
      <c r="C479" s="198" t="n"/>
      <c r="D479" s="195">
        <f>IF(K479="","",INDEX('差動モデル'!$R:$R,K479))</f>
        <v/>
      </c>
      <c r="E479" s="195">
        <f>IF(K479="","",INDEX('差動モデル'!$S:$S,K479))</f>
        <v/>
      </c>
      <c r="F479" s="195">
        <f>IF(OR(A479="",B479=""),"",100*(D479-B479)/MAX(B479,1E-12))</f>
        <v/>
      </c>
      <c r="G479" s="195">
        <f>IF(OR(A479="",C479=""),"",E479-C479)</f>
        <v/>
      </c>
      <c r="H479" s="195">
        <f>IF(A479="","",LOG10(A479))</f>
        <v/>
      </c>
      <c r="I479" s="195">
        <f>IF(B479="","",LOG10(MAX(B479,1E-12)))</f>
        <v/>
      </c>
      <c r="J479" s="195">
        <f>IF(D479="","",LOG10(MAX(D479,1E-12)))</f>
        <v/>
      </c>
      <c r="K479">
        <f>IF(A479="","",ROUND(1+(LOG10(A479)-LOG10('入力・概要'!$B$38))*('入力・概要'!$B$40-1)/(LOG10('入力・概要'!$B$39)-LOG10('入力・概要'!$B$38)),0)+3)</f>
        <v/>
      </c>
      <c r="L479">
        <f>IF(K479="","",INDEX('差動モデル'!$B:$B,K479))</f>
        <v/>
      </c>
      <c r="M479">
        <f>IF(A479="","",IF(ABS(L479/A479-1)&lt;0.01,"周波数差&lt;1%","周波数差あり"))</f>
        <v/>
      </c>
    </row>
    <row r="480">
      <c r="A480" s="197" t="n"/>
      <c r="B480" s="198" t="n"/>
      <c r="C480" s="198" t="n"/>
      <c r="D480" s="195">
        <f>IF(K480="","",INDEX('差動モデル'!$R:$R,K480))</f>
        <v/>
      </c>
      <c r="E480" s="195">
        <f>IF(K480="","",INDEX('差動モデル'!$S:$S,K480))</f>
        <v/>
      </c>
      <c r="F480" s="195">
        <f>IF(OR(A480="",B480=""),"",100*(D480-B480)/MAX(B480,1E-12))</f>
        <v/>
      </c>
      <c r="G480" s="195">
        <f>IF(OR(A480="",C480=""),"",E480-C480)</f>
        <v/>
      </c>
      <c r="H480" s="195">
        <f>IF(A480="","",LOG10(A480))</f>
        <v/>
      </c>
      <c r="I480" s="195">
        <f>IF(B480="","",LOG10(MAX(B480,1E-12)))</f>
        <v/>
      </c>
      <c r="J480" s="195">
        <f>IF(D480="","",LOG10(MAX(D480,1E-12)))</f>
        <v/>
      </c>
      <c r="K480">
        <f>IF(A480="","",ROUND(1+(LOG10(A480)-LOG10('入力・概要'!$B$38))*('入力・概要'!$B$40-1)/(LOG10('入力・概要'!$B$39)-LOG10('入力・概要'!$B$38)),0)+3)</f>
        <v/>
      </c>
      <c r="L480">
        <f>IF(K480="","",INDEX('差動モデル'!$B:$B,K480))</f>
        <v/>
      </c>
      <c r="M480">
        <f>IF(A480="","",IF(ABS(L480/A480-1)&lt;0.01,"周波数差&lt;1%","周波数差あり"))</f>
        <v/>
      </c>
    </row>
    <row r="481">
      <c r="A481" s="197" t="n"/>
      <c r="B481" s="198" t="n"/>
      <c r="C481" s="198" t="n"/>
      <c r="D481" s="195">
        <f>IF(K481="","",INDEX('差動モデル'!$R:$R,K481))</f>
        <v/>
      </c>
      <c r="E481" s="195">
        <f>IF(K481="","",INDEX('差動モデル'!$S:$S,K481))</f>
        <v/>
      </c>
      <c r="F481" s="195">
        <f>IF(OR(A481="",B481=""),"",100*(D481-B481)/MAX(B481,1E-12))</f>
        <v/>
      </c>
      <c r="G481" s="195">
        <f>IF(OR(A481="",C481=""),"",E481-C481)</f>
        <v/>
      </c>
      <c r="H481" s="195">
        <f>IF(A481="","",LOG10(A481))</f>
        <v/>
      </c>
      <c r="I481" s="195">
        <f>IF(B481="","",LOG10(MAX(B481,1E-12)))</f>
        <v/>
      </c>
      <c r="J481" s="195">
        <f>IF(D481="","",LOG10(MAX(D481,1E-12)))</f>
        <v/>
      </c>
      <c r="K481">
        <f>IF(A481="","",ROUND(1+(LOG10(A481)-LOG10('入力・概要'!$B$38))*('入力・概要'!$B$40-1)/(LOG10('入力・概要'!$B$39)-LOG10('入力・概要'!$B$38)),0)+3)</f>
        <v/>
      </c>
      <c r="L481">
        <f>IF(K481="","",INDEX('差動モデル'!$B:$B,K481))</f>
        <v/>
      </c>
      <c r="M481">
        <f>IF(A481="","",IF(ABS(L481/A481-1)&lt;0.01,"周波数差&lt;1%","周波数差あり"))</f>
        <v/>
      </c>
    </row>
    <row r="482">
      <c r="A482" s="197" t="n"/>
      <c r="B482" s="198" t="n"/>
      <c r="C482" s="198" t="n"/>
      <c r="D482" s="195">
        <f>IF(K482="","",INDEX('差動モデル'!$R:$R,K482))</f>
        <v/>
      </c>
      <c r="E482" s="195">
        <f>IF(K482="","",INDEX('差動モデル'!$S:$S,K482))</f>
        <v/>
      </c>
      <c r="F482" s="195">
        <f>IF(OR(A482="",B482=""),"",100*(D482-B482)/MAX(B482,1E-12))</f>
        <v/>
      </c>
      <c r="G482" s="195">
        <f>IF(OR(A482="",C482=""),"",E482-C482)</f>
        <v/>
      </c>
      <c r="H482" s="195">
        <f>IF(A482="","",LOG10(A482))</f>
        <v/>
      </c>
      <c r="I482" s="195">
        <f>IF(B482="","",LOG10(MAX(B482,1E-12)))</f>
        <v/>
      </c>
      <c r="J482" s="195">
        <f>IF(D482="","",LOG10(MAX(D482,1E-12)))</f>
        <v/>
      </c>
      <c r="K482">
        <f>IF(A482="","",ROUND(1+(LOG10(A482)-LOG10('入力・概要'!$B$38))*('入力・概要'!$B$40-1)/(LOG10('入力・概要'!$B$39)-LOG10('入力・概要'!$B$38)),0)+3)</f>
        <v/>
      </c>
      <c r="L482">
        <f>IF(K482="","",INDEX('差動モデル'!$B:$B,K482))</f>
        <v/>
      </c>
      <c r="M482">
        <f>IF(A482="","",IF(ABS(L482/A482-1)&lt;0.01,"周波数差&lt;1%","周波数差あり"))</f>
        <v/>
      </c>
    </row>
    <row r="483">
      <c r="A483" s="197" t="n"/>
      <c r="B483" s="198" t="n"/>
      <c r="C483" s="198" t="n"/>
      <c r="D483" s="195">
        <f>IF(K483="","",INDEX('差動モデル'!$R:$R,K483))</f>
        <v/>
      </c>
      <c r="E483" s="195">
        <f>IF(K483="","",INDEX('差動モデル'!$S:$S,K483))</f>
        <v/>
      </c>
      <c r="F483" s="195">
        <f>IF(OR(A483="",B483=""),"",100*(D483-B483)/MAX(B483,1E-12))</f>
        <v/>
      </c>
      <c r="G483" s="195">
        <f>IF(OR(A483="",C483=""),"",E483-C483)</f>
        <v/>
      </c>
      <c r="H483" s="195">
        <f>IF(A483="","",LOG10(A483))</f>
        <v/>
      </c>
      <c r="I483" s="195">
        <f>IF(B483="","",LOG10(MAX(B483,1E-12)))</f>
        <v/>
      </c>
      <c r="J483" s="195">
        <f>IF(D483="","",LOG10(MAX(D483,1E-12)))</f>
        <v/>
      </c>
      <c r="K483">
        <f>IF(A483="","",ROUND(1+(LOG10(A483)-LOG10('入力・概要'!$B$38))*('入力・概要'!$B$40-1)/(LOG10('入力・概要'!$B$39)-LOG10('入力・概要'!$B$38)),0)+3)</f>
        <v/>
      </c>
      <c r="L483">
        <f>IF(K483="","",INDEX('差動モデル'!$B:$B,K483))</f>
        <v/>
      </c>
      <c r="M483">
        <f>IF(A483="","",IF(ABS(L483/A483-1)&lt;0.01,"周波数差&lt;1%","周波数差あり"))</f>
        <v/>
      </c>
    </row>
    <row r="484">
      <c r="A484" s="197" t="n"/>
      <c r="B484" s="198" t="n"/>
      <c r="C484" s="198" t="n"/>
      <c r="D484" s="195">
        <f>IF(K484="","",INDEX('差動モデル'!$R:$R,K484))</f>
        <v/>
      </c>
      <c r="E484" s="195">
        <f>IF(K484="","",INDEX('差動モデル'!$S:$S,K484))</f>
        <v/>
      </c>
      <c r="F484" s="195">
        <f>IF(OR(A484="",B484=""),"",100*(D484-B484)/MAX(B484,1E-12))</f>
        <v/>
      </c>
      <c r="G484" s="195">
        <f>IF(OR(A484="",C484=""),"",E484-C484)</f>
        <v/>
      </c>
      <c r="H484" s="195">
        <f>IF(A484="","",LOG10(A484))</f>
        <v/>
      </c>
      <c r="I484" s="195">
        <f>IF(B484="","",LOG10(MAX(B484,1E-12)))</f>
        <v/>
      </c>
      <c r="J484" s="195">
        <f>IF(D484="","",LOG10(MAX(D484,1E-12)))</f>
        <v/>
      </c>
      <c r="K484">
        <f>IF(A484="","",ROUND(1+(LOG10(A484)-LOG10('入力・概要'!$B$38))*('入力・概要'!$B$40-1)/(LOG10('入力・概要'!$B$39)-LOG10('入力・概要'!$B$38)),0)+3)</f>
        <v/>
      </c>
      <c r="L484">
        <f>IF(K484="","",INDEX('差動モデル'!$B:$B,K484))</f>
        <v/>
      </c>
      <c r="M484">
        <f>IF(A484="","",IF(ABS(L484/A484-1)&lt;0.01,"周波数差&lt;1%","周波数差あり"))</f>
        <v/>
      </c>
    </row>
    <row r="485">
      <c r="A485" s="197" t="n"/>
      <c r="B485" s="198" t="n"/>
      <c r="C485" s="198" t="n"/>
      <c r="D485" s="195">
        <f>IF(K485="","",INDEX('差動モデル'!$R:$R,K485))</f>
        <v/>
      </c>
      <c r="E485" s="195">
        <f>IF(K485="","",INDEX('差動モデル'!$S:$S,K485))</f>
        <v/>
      </c>
      <c r="F485" s="195">
        <f>IF(OR(A485="",B485=""),"",100*(D485-B485)/MAX(B485,1E-12))</f>
        <v/>
      </c>
      <c r="G485" s="195">
        <f>IF(OR(A485="",C485=""),"",E485-C485)</f>
        <v/>
      </c>
      <c r="H485" s="195">
        <f>IF(A485="","",LOG10(A485))</f>
        <v/>
      </c>
      <c r="I485" s="195">
        <f>IF(B485="","",LOG10(MAX(B485,1E-12)))</f>
        <v/>
      </c>
      <c r="J485" s="195">
        <f>IF(D485="","",LOG10(MAX(D485,1E-12)))</f>
        <v/>
      </c>
      <c r="K485">
        <f>IF(A485="","",ROUND(1+(LOG10(A485)-LOG10('入力・概要'!$B$38))*('入力・概要'!$B$40-1)/(LOG10('入力・概要'!$B$39)-LOG10('入力・概要'!$B$38)),0)+3)</f>
        <v/>
      </c>
      <c r="L485">
        <f>IF(K485="","",INDEX('差動モデル'!$B:$B,K485))</f>
        <v/>
      </c>
      <c r="M485">
        <f>IF(A485="","",IF(ABS(L485/A485-1)&lt;0.01,"周波数差&lt;1%","周波数差あり"))</f>
        <v/>
      </c>
    </row>
    <row r="486">
      <c r="A486" s="197" t="n"/>
      <c r="B486" s="198" t="n"/>
      <c r="C486" s="198" t="n"/>
      <c r="D486" s="195">
        <f>IF(K486="","",INDEX('差動モデル'!$R:$R,K486))</f>
        <v/>
      </c>
      <c r="E486" s="195">
        <f>IF(K486="","",INDEX('差動モデル'!$S:$S,K486))</f>
        <v/>
      </c>
      <c r="F486" s="195">
        <f>IF(OR(A486="",B486=""),"",100*(D486-B486)/MAX(B486,1E-12))</f>
        <v/>
      </c>
      <c r="G486" s="195">
        <f>IF(OR(A486="",C486=""),"",E486-C486)</f>
        <v/>
      </c>
      <c r="H486" s="195">
        <f>IF(A486="","",LOG10(A486))</f>
        <v/>
      </c>
      <c r="I486" s="195">
        <f>IF(B486="","",LOG10(MAX(B486,1E-12)))</f>
        <v/>
      </c>
      <c r="J486" s="195">
        <f>IF(D486="","",LOG10(MAX(D486,1E-12)))</f>
        <v/>
      </c>
      <c r="K486">
        <f>IF(A486="","",ROUND(1+(LOG10(A486)-LOG10('入力・概要'!$B$38))*('入力・概要'!$B$40-1)/(LOG10('入力・概要'!$B$39)-LOG10('入力・概要'!$B$38)),0)+3)</f>
        <v/>
      </c>
      <c r="L486">
        <f>IF(K486="","",INDEX('差動モデル'!$B:$B,K486))</f>
        <v/>
      </c>
      <c r="M486">
        <f>IF(A486="","",IF(ABS(L486/A486-1)&lt;0.01,"周波数差&lt;1%","周波数差あり"))</f>
        <v/>
      </c>
    </row>
    <row r="487">
      <c r="A487" s="197" t="n"/>
      <c r="B487" s="198" t="n"/>
      <c r="C487" s="198" t="n"/>
      <c r="D487" s="195">
        <f>IF(K487="","",INDEX('差動モデル'!$R:$R,K487))</f>
        <v/>
      </c>
      <c r="E487" s="195">
        <f>IF(K487="","",INDEX('差動モデル'!$S:$S,K487))</f>
        <v/>
      </c>
      <c r="F487" s="195">
        <f>IF(OR(A487="",B487=""),"",100*(D487-B487)/MAX(B487,1E-12))</f>
        <v/>
      </c>
      <c r="G487" s="195">
        <f>IF(OR(A487="",C487=""),"",E487-C487)</f>
        <v/>
      </c>
      <c r="H487" s="195">
        <f>IF(A487="","",LOG10(A487))</f>
        <v/>
      </c>
      <c r="I487" s="195">
        <f>IF(B487="","",LOG10(MAX(B487,1E-12)))</f>
        <v/>
      </c>
      <c r="J487" s="195">
        <f>IF(D487="","",LOG10(MAX(D487,1E-12)))</f>
        <v/>
      </c>
      <c r="K487">
        <f>IF(A487="","",ROUND(1+(LOG10(A487)-LOG10('入力・概要'!$B$38))*('入力・概要'!$B$40-1)/(LOG10('入力・概要'!$B$39)-LOG10('入力・概要'!$B$38)),0)+3)</f>
        <v/>
      </c>
      <c r="L487">
        <f>IF(K487="","",INDEX('差動モデル'!$B:$B,K487))</f>
        <v/>
      </c>
      <c r="M487">
        <f>IF(A487="","",IF(ABS(L487/A487-1)&lt;0.01,"周波数差&lt;1%","周波数差あり"))</f>
        <v/>
      </c>
    </row>
    <row r="488">
      <c r="A488" s="197" t="n"/>
      <c r="B488" s="198" t="n"/>
      <c r="C488" s="198" t="n"/>
      <c r="D488" s="195">
        <f>IF(K488="","",INDEX('差動モデル'!$R:$R,K488))</f>
        <v/>
      </c>
      <c r="E488" s="195">
        <f>IF(K488="","",INDEX('差動モデル'!$S:$S,K488))</f>
        <v/>
      </c>
      <c r="F488" s="195">
        <f>IF(OR(A488="",B488=""),"",100*(D488-B488)/MAX(B488,1E-12))</f>
        <v/>
      </c>
      <c r="G488" s="195">
        <f>IF(OR(A488="",C488=""),"",E488-C488)</f>
        <v/>
      </c>
      <c r="H488" s="195">
        <f>IF(A488="","",LOG10(A488))</f>
        <v/>
      </c>
      <c r="I488" s="195">
        <f>IF(B488="","",LOG10(MAX(B488,1E-12)))</f>
        <v/>
      </c>
      <c r="J488" s="195">
        <f>IF(D488="","",LOG10(MAX(D488,1E-12)))</f>
        <v/>
      </c>
      <c r="K488">
        <f>IF(A488="","",ROUND(1+(LOG10(A488)-LOG10('入力・概要'!$B$38))*('入力・概要'!$B$40-1)/(LOG10('入力・概要'!$B$39)-LOG10('入力・概要'!$B$38)),0)+3)</f>
        <v/>
      </c>
      <c r="L488">
        <f>IF(K488="","",INDEX('差動モデル'!$B:$B,K488))</f>
        <v/>
      </c>
      <c r="M488">
        <f>IF(A488="","",IF(ABS(L488/A488-1)&lt;0.01,"周波数差&lt;1%","周波数差あり"))</f>
        <v/>
      </c>
    </row>
    <row r="489">
      <c r="A489" s="197" t="n"/>
      <c r="B489" s="198" t="n"/>
      <c r="C489" s="198" t="n"/>
      <c r="D489" s="195">
        <f>IF(K489="","",INDEX('差動モデル'!$R:$R,K489))</f>
        <v/>
      </c>
      <c r="E489" s="195">
        <f>IF(K489="","",INDEX('差動モデル'!$S:$S,K489))</f>
        <v/>
      </c>
      <c r="F489" s="195">
        <f>IF(OR(A489="",B489=""),"",100*(D489-B489)/MAX(B489,1E-12))</f>
        <v/>
      </c>
      <c r="G489" s="195">
        <f>IF(OR(A489="",C489=""),"",E489-C489)</f>
        <v/>
      </c>
      <c r="H489" s="195">
        <f>IF(A489="","",LOG10(A489))</f>
        <v/>
      </c>
      <c r="I489" s="195">
        <f>IF(B489="","",LOG10(MAX(B489,1E-12)))</f>
        <v/>
      </c>
      <c r="J489" s="195">
        <f>IF(D489="","",LOG10(MAX(D489,1E-12)))</f>
        <v/>
      </c>
      <c r="K489">
        <f>IF(A489="","",ROUND(1+(LOG10(A489)-LOG10('入力・概要'!$B$38))*('入力・概要'!$B$40-1)/(LOG10('入力・概要'!$B$39)-LOG10('入力・概要'!$B$38)),0)+3)</f>
        <v/>
      </c>
      <c r="L489">
        <f>IF(K489="","",INDEX('差動モデル'!$B:$B,K489))</f>
        <v/>
      </c>
      <c r="M489">
        <f>IF(A489="","",IF(ABS(L489/A489-1)&lt;0.01,"周波数差&lt;1%","周波数差あり"))</f>
        <v/>
      </c>
    </row>
    <row r="490">
      <c r="A490" s="197" t="n"/>
      <c r="B490" s="198" t="n"/>
      <c r="C490" s="198" t="n"/>
      <c r="D490" s="195">
        <f>IF(K490="","",INDEX('差動モデル'!$R:$R,K490))</f>
        <v/>
      </c>
      <c r="E490" s="195">
        <f>IF(K490="","",INDEX('差動モデル'!$S:$S,K490))</f>
        <v/>
      </c>
      <c r="F490" s="195">
        <f>IF(OR(A490="",B490=""),"",100*(D490-B490)/MAX(B490,1E-12))</f>
        <v/>
      </c>
      <c r="G490" s="195">
        <f>IF(OR(A490="",C490=""),"",E490-C490)</f>
        <v/>
      </c>
      <c r="H490" s="195">
        <f>IF(A490="","",LOG10(A490))</f>
        <v/>
      </c>
      <c r="I490" s="195">
        <f>IF(B490="","",LOG10(MAX(B490,1E-12)))</f>
        <v/>
      </c>
      <c r="J490" s="195">
        <f>IF(D490="","",LOG10(MAX(D490,1E-12)))</f>
        <v/>
      </c>
      <c r="K490">
        <f>IF(A490="","",ROUND(1+(LOG10(A490)-LOG10('入力・概要'!$B$38))*('入力・概要'!$B$40-1)/(LOG10('入力・概要'!$B$39)-LOG10('入力・概要'!$B$38)),0)+3)</f>
        <v/>
      </c>
      <c r="L490">
        <f>IF(K490="","",INDEX('差動モデル'!$B:$B,K490))</f>
        <v/>
      </c>
      <c r="M490">
        <f>IF(A490="","",IF(ABS(L490/A490-1)&lt;0.01,"周波数差&lt;1%","周波数差あり"))</f>
        <v/>
      </c>
    </row>
    <row r="491">
      <c r="A491" s="197" t="n"/>
      <c r="B491" s="198" t="n"/>
      <c r="C491" s="198" t="n"/>
      <c r="D491" s="195">
        <f>IF(K491="","",INDEX('差動モデル'!$R:$R,K491))</f>
        <v/>
      </c>
      <c r="E491" s="195">
        <f>IF(K491="","",INDEX('差動モデル'!$S:$S,K491))</f>
        <v/>
      </c>
      <c r="F491" s="195">
        <f>IF(OR(A491="",B491=""),"",100*(D491-B491)/MAX(B491,1E-12))</f>
        <v/>
      </c>
      <c r="G491" s="195">
        <f>IF(OR(A491="",C491=""),"",E491-C491)</f>
        <v/>
      </c>
      <c r="H491" s="195">
        <f>IF(A491="","",LOG10(A491))</f>
        <v/>
      </c>
      <c r="I491" s="195">
        <f>IF(B491="","",LOG10(MAX(B491,1E-12)))</f>
        <v/>
      </c>
      <c r="J491" s="195">
        <f>IF(D491="","",LOG10(MAX(D491,1E-12)))</f>
        <v/>
      </c>
      <c r="K491">
        <f>IF(A491="","",ROUND(1+(LOG10(A491)-LOG10('入力・概要'!$B$38))*('入力・概要'!$B$40-1)/(LOG10('入力・概要'!$B$39)-LOG10('入力・概要'!$B$38)),0)+3)</f>
        <v/>
      </c>
      <c r="L491">
        <f>IF(K491="","",INDEX('差動モデル'!$B:$B,K491))</f>
        <v/>
      </c>
      <c r="M491">
        <f>IF(A491="","",IF(ABS(L491/A491-1)&lt;0.01,"周波数差&lt;1%","周波数差あり"))</f>
        <v/>
      </c>
    </row>
    <row r="492">
      <c r="A492" s="197" t="n"/>
      <c r="B492" s="198" t="n"/>
      <c r="C492" s="198" t="n"/>
      <c r="D492" s="195">
        <f>IF(K492="","",INDEX('差動モデル'!$R:$R,K492))</f>
        <v/>
      </c>
      <c r="E492" s="195">
        <f>IF(K492="","",INDEX('差動モデル'!$S:$S,K492))</f>
        <v/>
      </c>
      <c r="F492" s="195">
        <f>IF(OR(A492="",B492=""),"",100*(D492-B492)/MAX(B492,1E-12))</f>
        <v/>
      </c>
      <c r="G492" s="195">
        <f>IF(OR(A492="",C492=""),"",E492-C492)</f>
        <v/>
      </c>
      <c r="H492" s="195">
        <f>IF(A492="","",LOG10(A492))</f>
        <v/>
      </c>
      <c r="I492" s="195">
        <f>IF(B492="","",LOG10(MAX(B492,1E-12)))</f>
        <v/>
      </c>
      <c r="J492" s="195">
        <f>IF(D492="","",LOG10(MAX(D492,1E-12)))</f>
        <v/>
      </c>
      <c r="K492">
        <f>IF(A492="","",ROUND(1+(LOG10(A492)-LOG10('入力・概要'!$B$38))*('入力・概要'!$B$40-1)/(LOG10('入力・概要'!$B$39)-LOG10('入力・概要'!$B$38)),0)+3)</f>
        <v/>
      </c>
      <c r="L492">
        <f>IF(K492="","",INDEX('差動モデル'!$B:$B,K492))</f>
        <v/>
      </c>
      <c r="M492">
        <f>IF(A492="","",IF(ABS(L492/A492-1)&lt;0.01,"周波数差&lt;1%","周波数差あり"))</f>
        <v/>
      </c>
    </row>
    <row r="493">
      <c r="A493" s="197" t="n"/>
      <c r="B493" s="198" t="n"/>
      <c r="C493" s="198" t="n"/>
      <c r="D493" s="195">
        <f>IF(K493="","",INDEX('差動モデル'!$R:$R,K493))</f>
        <v/>
      </c>
      <c r="E493" s="195">
        <f>IF(K493="","",INDEX('差動モデル'!$S:$S,K493))</f>
        <v/>
      </c>
      <c r="F493" s="195">
        <f>IF(OR(A493="",B493=""),"",100*(D493-B493)/MAX(B493,1E-12))</f>
        <v/>
      </c>
      <c r="G493" s="195">
        <f>IF(OR(A493="",C493=""),"",E493-C493)</f>
        <v/>
      </c>
      <c r="H493" s="195">
        <f>IF(A493="","",LOG10(A493))</f>
        <v/>
      </c>
      <c r="I493" s="195">
        <f>IF(B493="","",LOG10(MAX(B493,1E-12)))</f>
        <v/>
      </c>
      <c r="J493" s="195">
        <f>IF(D493="","",LOG10(MAX(D493,1E-12)))</f>
        <v/>
      </c>
      <c r="K493">
        <f>IF(A493="","",ROUND(1+(LOG10(A493)-LOG10('入力・概要'!$B$38))*('入力・概要'!$B$40-1)/(LOG10('入力・概要'!$B$39)-LOG10('入力・概要'!$B$38)),0)+3)</f>
        <v/>
      </c>
      <c r="L493">
        <f>IF(K493="","",INDEX('差動モデル'!$B:$B,K493))</f>
        <v/>
      </c>
      <c r="M493">
        <f>IF(A493="","",IF(ABS(L493/A493-1)&lt;0.01,"周波数差&lt;1%","周波数差あり"))</f>
        <v/>
      </c>
    </row>
    <row r="494">
      <c r="A494" s="197" t="n"/>
      <c r="B494" s="198" t="n"/>
      <c r="C494" s="198" t="n"/>
      <c r="D494" s="195">
        <f>IF(K494="","",INDEX('差動モデル'!$R:$R,K494))</f>
        <v/>
      </c>
      <c r="E494" s="195">
        <f>IF(K494="","",INDEX('差動モデル'!$S:$S,K494))</f>
        <v/>
      </c>
      <c r="F494" s="195">
        <f>IF(OR(A494="",B494=""),"",100*(D494-B494)/MAX(B494,1E-12))</f>
        <v/>
      </c>
      <c r="G494" s="195">
        <f>IF(OR(A494="",C494=""),"",E494-C494)</f>
        <v/>
      </c>
      <c r="H494" s="195">
        <f>IF(A494="","",LOG10(A494))</f>
        <v/>
      </c>
      <c r="I494" s="195">
        <f>IF(B494="","",LOG10(MAX(B494,1E-12)))</f>
        <v/>
      </c>
      <c r="J494" s="195">
        <f>IF(D494="","",LOG10(MAX(D494,1E-12)))</f>
        <v/>
      </c>
      <c r="K494">
        <f>IF(A494="","",ROUND(1+(LOG10(A494)-LOG10('入力・概要'!$B$38))*('入力・概要'!$B$40-1)/(LOG10('入力・概要'!$B$39)-LOG10('入力・概要'!$B$38)),0)+3)</f>
        <v/>
      </c>
      <c r="L494">
        <f>IF(K494="","",INDEX('差動モデル'!$B:$B,K494))</f>
        <v/>
      </c>
      <c r="M494">
        <f>IF(A494="","",IF(ABS(L494/A494-1)&lt;0.01,"周波数差&lt;1%","周波数差あり"))</f>
        <v/>
      </c>
    </row>
    <row r="495">
      <c r="A495" s="197" t="n"/>
      <c r="B495" s="198" t="n"/>
      <c r="C495" s="198" t="n"/>
      <c r="D495" s="195">
        <f>IF(K495="","",INDEX('差動モデル'!$R:$R,K495))</f>
        <v/>
      </c>
      <c r="E495" s="195">
        <f>IF(K495="","",INDEX('差動モデル'!$S:$S,K495))</f>
        <v/>
      </c>
      <c r="F495" s="195">
        <f>IF(OR(A495="",B495=""),"",100*(D495-B495)/MAX(B495,1E-12))</f>
        <v/>
      </c>
      <c r="G495" s="195">
        <f>IF(OR(A495="",C495=""),"",E495-C495)</f>
        <v/>
      </c>
      <c r="H495" s="195">
        <f>IF(A495="","",LOG10(A495))</f>
        <v/>
      </c>
      <c r="I495" s="195">
        <f>IF(B495="","",LOG10(MAX(B495,1E-12)))</f>
        <v/>
      </c>
      <c r="J495" s="195">
        <f>IF(D495="","",LOG10(MAX(D495,1E-12)))</f>
        <v/>
      </c>
      <c r="K495">
        <f>IF(A495="","",ROUND(1+(LOG10(A495)-LOG10('入力・概要'!$B$38))*('入力・概要'!$B$40-1)/(LOG10('入力・概要'!$B$39)-LOG10('入力・概要'!$B$38)),0)+3)</f>
        <v/>
      </c>
      <c r="L495">
        <f>IF(K495="","",INDEX('差動モデル'!$B:$B,K495))</f>
        <v/>
      </c>
      <c r="M495">
        <f>IF(A495="","",IF(ABS(L495/A495-1)&lt;0.01,"周波数差&lt;1%","周波数差あり"))</f>
        <v/>
      </c>
    </row>
    <row r="496">
      <c r="A496" s="197" t="n"/>
      <c r="B496" s="198" t="n"/>
      <c r="C496" s="198" t="n"/>
      <c r="D496" s="195">
        <f>IF(K496="","",INDEX('差動モデル'!$R:$R,K496))</f>
        <v/>
      </c>
      <c r="E496" s="195">
        <f>IF(K496="","",INDEX('差動モデル'!$S:$S,K496))</f>
        <v/>
      </c>
      <c r="F496" s="195">
        <f>IF(OR(A496="",B496=""),"",100*(D496-B496)/MAX(B496,1E-12))</f>
        <v/>
      </c>
      <c r="G496" s="195">
        <f>IF(OR(A496="",C496=""),"",E496-C496)</f>
        <v/>
      </c>
      <c r="H496" s="195">
        <f>IF(A496="","",LOG10(A496))</f>
        <v/>
      </c>
      <c r="I496" s="195">
        <f>IF(B496="","",LOG10(MAX(B496,1E-12)))</f>
        <v/>
      </c>
      <c r="J496" s="195">
        <f>IF(D496="","",LOG10(MAX(D496,1E-12)))</f>
        <v/>
      </c>
      <c r="K496">
        <f>IF(A496="","",ROUND(1+(LOG10(A496)-LOG10('入力・概要'!$B$38))*('入力・概要'!$B$40-1)/(LOG10('入力・概要'!$B$39)-LOG10('入力・概要'!$B$38)),0)+3)</f>
        <v/>
      </c>
      <c r="L496">
        <f>IF(K496="","",INDEX('差動モデル'!$B:$B,K496))</f>
        <v/>
      </c>
      <c r="M496">
        <f>IF(A496="","",IF(ABS(L496/A496-1)&lt;0.01,"周波数差&lt;1%","周波数差あり"))</f>
        <v/>
      </c>
    </row>
    <row r="497">
      <c r="A497" s="197" t="n"/>
      <c r="B497" s="198" t="n"/>
      <c r="C497" s="198" t="n"/>
      <c r="D497" s="195">
        <f>IF(K497="","",INDEX('差動モデル'!$R:$R,K497))</f>
        <v/>
      </c>
      <c r="E497" s="195">
        <f>IF(K497="","",INDEX('差動モデル'!$S:$S,K497))</f>
        <v/>
      </c>
      <c r="F497" s="195">
        <f>IF(OR(A497="",B497=""),"",100*(D497-B497)/MAX(B497,1E-12))</f>
        <v/>
      </c>
      <c r="G497" s="195">
        <f>IF(OR(A497="",C497=""),"",E497-C497)</f>
        <v/>
      </c>
      <c r="H497" s="195">
        <f>IF(A497="","",LOG10(A497))</f>
        <v/>
      </c>
      <c r="I497" s="195">
        <f>IF(B497="","",LOG10(MAX(B497,1E-12)))</f>
        <v/>
      </c>
      <c r="J497" s="195">
        <f>IF(D497="","",LOG10(MAX(D497,1E-12)))</f>
        <v/>
      </c>
      <c r="K497">
        <f>IF(A497="","",ROUND(1+(LOG10(A497)-LOG10('入力・概要'!$B$38))*('入力・概要'!$B$40-1)/(LOG10('入力・概要'!$B$39)-LOG10('入力・概要'!$B$38)),0)+3)</f>
        <v/>
      </c>
      <c r="L497">
        <f>IF(K497="","",INDEX('差動モデル'!$B:$B,K497))</f>
        <v/>
      </c>
      <c r="M497">
        <f>IF(A497="","",IF(ABS(L497/A497-1)&lt;0.01,"周波数差&lt;1%","周波数差あり"))</f>
        <v/>
      </c>
    </row>
    <row r="498">
      <c r="A498" s="197" t="n"/>
      <c r="B498" s="198" t="n"/>
      <c r="C498" s="198" t="n"/>
      <c r="D498" s="195">
        <f>IF(K498="","",INDEX('差動モデル'!$R:$R,K498))</f>
        <v/>
      </c>
      <c r="E498" s="195">
        <f>IF(K498="","",INDEX('差動モデル'!$S:$S,K498))</f>
        <v/>
      </c>
      <c r="F498" s="195">
        <f>IF(OR(A498="",B498=""),"",100*(D498-B498)/MAX(B498,1E-12))</f>
        <v/>
      </c>
      <c r="G498" s="195">
        <f>IF(OR(A498="",C498=""),"",E498-C498)</f>
        <v/>
      </c>
      <c r="H498" s="195">
        <f>IF(A498="","",LOG10(A498))</f>
        <v/>
      </c>
      <c r="I498" s="195">
        <f>IF(B498="","",LOG10(MAX(B498,1E-12)))</f>
        <v/>
      </c>
      <c r="J498" s="195">
        <f>IF(D498="","",LOG10(MAX(D498,1E-12)))</f>
        <v/>
      </c>
      <c r="K498">
        <f>IF(A498="","",ROUND(1+(LOG10(A498)-LOG10('入力・概要'!$B$38))*('入力・概要'!$B$40-1)/(LOG10('入力・概要'!$B$39)-LOG10('入力・概要'!$B$38)),0)+3)</f>
        <v/>
      </c>
      <c r="L498">
        <f>IF(K498="","",INDEX('差動モデル'!$B:$B,K498))</f>
        <v/>
      </c>
      <c r="M498">
        <f>IF(A498="","",IF(ABS(L498/A498-1)&lt;0.01,"周波数差&lt;1%","周波数差あり"))</f>
        <v/>
      </c>
    </row>
    <row r="499">
      <c r="A499" s="197" t="n"/>
      <c r="B499" s="198" t="n"/>
      <c r="C499" s="198" t="n"/>
      <c r="D499" s="195">
        <f>IF(K499="","",INDEX('差動モデル'!$R:$R,K499))</f>
        <v/>
      </c>
      <c r="E499" s="195">
        <f>IF(K499="","",INDEX('差動モデル'!$S:$S,K499))</f>
        <v/>
      </c>
      <c r="F499" s="195">
        <f>IF(OR(A499="",B499=""),"",100*(D499-B499)/MAX(B499,1E-12))</f>
        <v/>
      </c>
      <c r="G499" s="195">
        <f>IF(OR(A499="",C499=""),"",E499-C499)</f>
        <v/>
      </c>
      <c r="H499" s="195">
        <f>IF(A499="","",LOG10(A499))</f>
        <v/>
      </c>
      <c r="I499" s="195">
        <f>IF(B499="","",LOG10(MAX(B499,1E-12)))</f>
        <v/>
      </c>
      <c r="J499" s="195">
        <f>IF(D499="","",LOG10(MAX(D499,1E-12)))</f>
        <v/>
      </c>
      <c r="K499">
        <f>IF(A499="","",ROUND(1+(LOG10(A499)-LOG10('入力・概要'!$B$38))*('入力・概要'!$B$40-1)/(LOG10('入力・概要'!$B$39)-LOG10('入力・概要'!$B$38)),0)+3)</f>
        <v/>
      </c>
      <c r="L499">
        <f>IF(K499="","",INDEX('差動モデル'!$B:$B,K499))</f>
        <v/>
      </c>
      <c r="M499">
        <f>IF(A499="","",IF(ABS(L499/A499-1)&lt;0.01,"周波数差&lt;1%","周波数差あり"))</f>
        <v/>
      </c>
    </row>
    <row r="500">
      <c r="A500" s="197" t="n"/>
      <c r="B500" s="198" t="n"/>
      <c r="C500" s="198" t="n"/>
      <c r="D500" s="195">
        <f>IF(K500="","",INDEX('差動モデル'!$R:$R,K500))</f>
        <v/>
      </c>
      <c r="E500" s="195">
        <f>IF(K500="","",INDEX('差動モデル'!$S:$S,K500))</f>
        <v/>
      </c>
      <c r="F500" s="195">
        <f>IF(OR(A500="",B500=""),"",100*(D500-B500)/MAX(B500,1E-12))</f>
        <v/>
      </c>
      <c r="G500" s="195">
        <f>IF(OR(A500="",C500=""),"",E500-C500)</f>
        <v/>
      </c>
      <c r="H500" s="195">
        <f>IF(A500="","",LOG10(A500))</f>
        <v/>
      </c>
      <c r="I500" s="195">
        <f>IF(B500="","",LOG10(MAX(B500,1E-12)))</f>
        <v/>
      </c>
      <c r="J500" s="195">
        <f>IF(D500="","",LOG10(MAX(D500,1E-12)))</f>
        <v/>
      </c>
      <c r="K500">
        <f>IF(A500="","",ROUND(1+(LOG10(A500)-LOG10('入力・概要'!$B$38))*('入力・概要'!$B$40-1)/(LOG10('入力・概要'!$B$39)-LOG10('入力・概要'!$B$38)),0)+3)</f>
        <v/>
      </c>
      <c r="L500">
        <f>IF(K500="","",INDEX('差動モデル'!$B:$B,K500))</f>
        <v/>
      </c>
      <c r="M500">
        <f>IF(A500="","",IF(ABS(L500/A500-1)&lt;0.01,"周波数差&lt;1%","周波数差あり"))</f>
        <v/>
      </c>
    </row>
    <row r="501">
      <c r="A501" s="197" t="n"/>
      <c r="B501" s="198" t="n"/>
      <c r="C501" s="198" t="n"/>
      <c r="D501" s="195">
        <f>IF(K501="","",INDEX('差動モデル'!$R:$R,K501))</f>
        <v/>
      </c>
      <c r="E501" s="195">
        <f>IF(K501="","",INDEX('差動モデル'!$S:$S,K501))</f>
        <v/>
      </c>
      <c r="F501" s="195">
        <f>IF(OR(A501="",B501=""),"",100*(D501-B501)/MAX(B501,1E-12))</f>
        <v/>
      </c>
      <c r="G501" s="195">
        <f>IF(OR(A501="",C501=""),"",E501-C501)</f>
        <v/>
      </c>
      <c r="H501" s="195">
        <f>IF(A501="","",LOG10(A501))</f>
        <v/>
      </c>
      <c r="I501" s="195">
        <f>IF(B501="","",LOG10(MAX(B501,1E-12)))</f>
        <v/>
      </c>
      <c r="J501" s="195">
        <f>IF(D501="","",LOG10(MAX(D501,1E-12)))</f>
        <v/>
      </c>
      <c r="K501">
        <f>IF(A501="","",ROUND(1+(LOG10(A501)-LOG10('入力・概要'!$B$38))*('入力・概要'!$B$40-1)/(LOG10('入力・概要'!$B$39)-LOG10('入力・概要'!$B$38)),0)+3)</f>
        <v/>
      </c>
      <c r="L501">
        <f>IF(K501="","",INDEX('差動モデル'!$B:$B,K501))</f>
        <v/>
      </c>
      <c r="M501">
        <f>IF(A501="","",IF(ABS(L501/A501-1)&lt;0.01,"周波数差&lt;1%","周波数差あり"))</f>
        <v/>
      </c>
    </row>
    <row r="502">
      <c r="A502" s="197" t="n"/>
      <c r="B502" s="198" t="n"/>
      <c r="C502" s="198" t="n"/>
      <c r="D502" s="195">
        <f>IF(K502="","",INDEX('差動モデル'!$R:$R,K502))</f>
        <v/>
      </c>
      <c r="E502" s="195">
        <f>IF(K502="","",INDEX('差動モデル'!$S:$S,K502))</f>
        <v/>
      </c>
      <c r="F502" s="195">
        <f>IF(OR(A502="",B502=""),"",100*(D502-B502)/MAX(B502,1E-12))</f>
        <v/>
      </c>
      <c r="G502" s="195">
        <f>IF(OR(A502="",C502=""),"",E502-C502)</f>
        <v/>
      </c>
      <c r="H502" s="195">
        <f>IF(A502="","",LOG10(A502))</f>
        <v/>
      </c>
      <c r="I502" s="195">
        <f>IF(B502="","",LOG10(MAX(B502,1E-12)))</f>
        <v/>
      </c>
      <c r="J502" s="195">
        <f>IF(D502="","",LOG10(MAX(D502,1E-12)))</f>
        <v/>
      </c>
      <c r="K502">
        <f>IF(A502="","",ROUND(1+(LOG10(A502)-LOG10('入力・概要'!$B$38))*('入力・概要'!$B$40-1)/(LOG10('入力・概要'!$B$39)-LOG10('入力・概要'!$B$38)),0)+3)</f>
        <v/>
      </c>
      <c r="L502">
        <f>IF(K502="","",INDEX('差動モデル'!$B:$B,K502))</f>
        <v/>
      </c>
      <c r="M502">
        <f>IF(A502="","",IF(ABS(L502/A502-1)&lt;0.01,"周波数差&lt;1%","周波数差あり"))</f>
        <v/>
      </c>
    </row>
    <row r="503">
      <c r="A503" s="197" t="n"/>
      <c r="B503" s="198" t="n"/>
      <c r="C503" s="198" t="n"/>
      <c r="D503" s="195">
        <f>IF(K503="","",INDEX('差動モデル'!$R:$R,K503))</f>
        <v/>
      </c>
      <c r="E503" s="195">
        <f>IF(K503="","",INDEX('差動モデル'!$S:$S,K503))</f>
        <v/>
      </c>
      <c r="F503" s="195">
        <f>IF(OR(A503="",B503=""),"",100*(D503-B503)/MAX(B503,1E-12))</f>
        <v/>
      </c>
      <c r="G503" s="195">
        <f>IF(OR(A503="",C503=""),"",E503-C503)</f>
        <v/>
      </c>
      <c r="H503" s="195">
        <f>IF(A503="","",LOG10(A503))</f>
        <v/>
      </c>
      <c r="I503" s="195">
        <f>IF(B503="","",LOG10(MAX(B503,1E-12)))</f>
        <v/>
      </c>
      <c r="J503" s="195">
        <f>IF(D503="","",LOG10(MAX(D503,1E-12)))</f>
        <v/>
      </c>
      <c r="K503">
        <f>IF(A503="","",ROUND(1+(LOG10(A503)-LOG10('入力・概要'!$B$38))*('入力・概要'!$B$40-1)/(LOG10('入力・概要'!$B$39)-LOG10('入力・概要'!$B$38)),0)+3)</f>
        <v/>
      </c>
      <c r="L503">
        <f>IF(K503="","",INDEX('差動モデル'!$B:$B,K503))</f>
        <v/>
      </c>
      <c r="M503">
        <f>IF(A503="","",IF(ABS(L503/A503-1)&lt;0.01,"周波数差&lt;1%","周波数差あり"))</f>
        <v/>
      </c>
    </row>
    <row r="504">
      <c r="A504" s="197" t="n"/>
      <c r="B504" s="198" t="n"/>
      <c r="C504" s="198" t="n"/>
      <c r="D504" s="195">
        <f>IF(K504="","",INDEX('差動モデル'!$R:$R,K504))</f>
        <v/>
      </c>
      <c r="E504" s="195">
        <f>IF(K504="","",INDEX('差動モデル'!$S:$S,K504))</f>
        <v/>
      </c>
      <c r="F504" s="195">
        <f>IF(OR(A504="",B504=""),"",100*(D504-B504)/MAX(B504,1E-12))</f>
        <v/>
      </c>
      <c r="G504" s="195">
        <f>IF(OR(A504="",C504=""),"",E504-C504)</f>
        <v/>
      </c>
      <c r="H504" s="195">
        <f>IF(A504="","",LOG10(A504))</f>
        <v/>
      </c>
      <c r="I504" s="195">
        <f>IF(B504="","",LOG10(MAX(B504,1E-12)))</f>
        <v/>
      </c>
      <c r="J504" s="195">
        <f>IF(D504="","",LOG10(MAX(D504,1E-12)))</f>
        <v/>
      </c>
      <c r="K504">
        <f>IF(A504="","",ROUND(1+(LOG10(A504)-LOG10('入力・概要'!$B$38))*('入力・概要'!$B$40-1)/(LOG10('入力・概要'!$B$39)-LOG10('入力・概要'!$B$38)),0)+3)</f>
        <v/>
      </c>
      <c r="L504">
        <f>IF(K504="","",INDEX('差動モデル'!$B:$B,K504))</f>
        <v/>
      </c>
      <c r="M504">
        <f>IF(A504="","",IF(ABS(L504/A504-1)&lt;0.01,"周波数差&lt;1%","周波数差あり"))</f>
        <v/>
      </c>
    </row>
    <row r="505">
      <c r="A505" s="197" t="n"/>
      <c r="B505" s="198" t="n"/>
      <c r="C505" s="198" t="n"/>
      <c r="D505" s="195">
        <f>IF(K505="","",INDEX('差動モデル'!$R:$R,K505))</f>
        <v/>
      </c>
      <c r="E505" s="195">
        <f>IF(K505="","",INDEX('差動モデル'!$S:$S,K505))</f>
        <v/>
      </c>
      <c r="F505" s="195">
        <f>IF(OR(A505="",B505=""),"",100*(D505-B505)/MAX(B505,1E-12))</f>
        <v/>
      </c>
      <c r="G505" s="195">
        <f>IF(OR(A505="",C505=""),"",E505-C505)</f>
        <v/>
      </c>
      <c r="H505" s="195">
        <f>IF(A505="","",LOG10(A505))</f>
        <v/>
      </c>
      <c r="I505" s="195">
        <f>IF(B505="","",LOG10(MAX(B505,1E-12)))</f>
        <v/>
      </c>
      <c r="J505" s="195">
        <f>IF(D505="","",LOG10(MAX(D505,1E-12)))</f>
        <v/>
      </c>
      <c r="K505">
        <f>IF(A505="","",ROUND(1+(LOG10(A505)-LOG10('入力・概要'!$B$38))*('入力・概要'!$B$40-1)/(LOG10('入力・概要'!$B$39)-LOG10('入力・概要'!$B$38)),0)+3)</f>
        <v/>
      </c>
      <c r="L505">
        <f>IF(K505="","",INDEX('差動モデル'!$B:$B,K505))</f>
        <v/>
      </c>
      <c r="M505">
        <f>IF(A505="","",IF(ABS(L505/A505-1)&lt;0.01,"周波数差&lt;1%","周波数差あり"))</f>
        <v/>
      </c>
    </row>
    <row r="506">
      <c r="A506" s="197" t="n"/>
      <c r="B506" s="198" t="n"/>
      <c r="C506" s="198" t="n"/>
      <c r="D506" s="195">
        <f>IF(K506="","",INDEX('差動モデル'!$R:$R,K506))</f>
        <v/>
      </c>
      <c r="E506" s="195">
        <f>IF(K506="","",INDEX('差動モデル'!$S:$S,K506))</f>
        <v/>
      </c>
      <c r="F506" s="195">
        <f>IF(OR(A506="",B506=""),"",100*(D506-B506)/MAX(B506,1E-12))</f>
        <v/>
      </c>
      <c r="G506" s="195">
        <f>IF(OR(A506="",C506=""),"",E506-C506)</f>
        <v/>
      </c>
      <c r="H506" s="195">
        <f>IF(A506="","",LOG10(A506))</f>
        <v/>
      </c>
      <c r="I506" s="195">
        <f>IF(B506="","",LOG10(MAX(B506,1E-12)))</f>
        <v/>
      </c>
      <c r="J506" s="195">
        <f>IF(D506="","",LOG10(MAX(D506,1E-12)))</f>
        <v/>
      </c>
      <c r="K506">
        <f>IF(A506="","",ROUND(1+(LOG10(A506)-LOG10('入力・概要'!$B$38))*('入力・概要'!$B$40-1)/(LOG10('入力・概要'!$B$39)-LOG10('入力・概要'!$B$38)),0)+3)</f>
        <v/>
      </c>
      <c r="L506">
        <f>IF(K506="","",INDEX('差動モデル'!$B:$B,K506))</f>
        <v/>
      </c>
      <c r="M506">
        <f>IF(A506="","",IF(ABS(L506/A506-1)&lt;0.01,"周波数差&lt;1%","周波数差あり"))</f>
        <v/>
      </c>
    </row>
    <row r="507">
      <c r="A507" s="197" t="n"/>
      <c r="B507" s="198" t="n"/>
      <c r="C507" s="198" t="n"/>
      <c r="D507" s="195">
        <f>IF(K507="","",INDEX('差動モデル'!$R:$R,K507))</f>
        <v/>
      </c>
      <c r="E507" s="195">
        <f>IF(K507="","",INDEX('差動モデル'!$S:$S,K507))</f>
        <v/>
      </c>
      <c r="F507" s="195">
        <f>IF(OR(A507="",B507=""),"",100*(D507-B507)/MAX(B507,1E-12))</f>
        <v/>
      </c>
      <c r="G507" s="195">
        <f>IF(OR(A507="",C507=""),"",E507-C507)</f>
        <v/>
      </c>
      <c r="H507" s="195">
        <f>IF(A507="","",LOG10(A507))</f>
        <v/>
      </c>
      <c r="I507" s="195">
        <f>IF(B507="","",LOG10(MAX(B507,1E-12)))</f>
        <v/>
      </c>
      <c r="J507" s="195">
        <f>IF(D507="","",LOG10(MAX(D507,1E-12)))</f>
        <v/>
      </c>
      <c r="K507">
        <f>IF(A507="","",ROUND(1+(LOG10(A507)-LOG10('入力・概要'!$B$38))*('入力・概要'!$B$40-1)/(LOG10('入力・概要'!$B$39)-LOG10('入力・概要'!$B$38)),0)+3)</f>
        <v/>
      </c>
      <c r="L507">
        <f>IF(K507="","",INDEX('差動モデル'!$B:$B,K507))</f>
        <v/>
      </c>
      <c r="M507">
        <f>IF(A507="","",IF(ABS(L507/A507-1)&lt;0.01,"周波数差&lt;1%","周波数差あり"))</f>
        <v/>
      </c>
    </row>
    <row r="508">
      <c r="A508" s="197" t="n"/>
      <c r="B508" s="198" t="n"/>
      <c r="C508" s="198" t="n"/>
      <c r="D508" s="195">
        <f>IF(K508="","",INDEX('差動モデル'!$R:$R,K508))</f>
        <v/>
      </c>
      <c r="E508" s="195">
        <f>IF(K508="","",INDEX('差動モデル'!$S:$S,K508))</f>
        <v/>
      </c>
      <c r="F508" s="195">
        <f>IF(OR(A508="",B508=""),"",100*(D508-B508)/MAX(B508,1E-12))</f>
        <v/>
      </c>
      <c r="G508" s="195">
        <f>IF(OR(A508="",C508=""),"",E508-C508)</f>
        <v/>
      </c>
      <c r="H508" s="195">
        <f>IF(A508="","",LOG10(A508))</f>
        <v/>
      </c>
      <c r="I508" s="195">
        <f>IF(B508="","",LOG10(MAX(B508,1E-12)))</f>
        <v/>
      </c>
      <c r="J508" s="195">
        <f>IF(D508="","",LOG10(MAX(D508,1E-12)))</f>
        <v/>
      </c>
      <c r="K508">
        <f>IF(A508="","",ROUND(1+(LOG10(A508)-LOG10('入力・概要'!$B$38))*('入力・概要'!$B$40-1)/(LOG10('入力・概要'!$B$39)-LOG10('入力・概要'!$B$38)),0)+3)</f>
        <v/>
      </c>
      <c r="L508">
        <f>IF(K508="","",INDEX('差動モデル'!$B:$B,K508))</f>
        <v/>
      </c>
      <c r="M508">
        <f>IF(A508="","",IF(ABS(L508/A508-1)&lt;0.01,"周波数差&lt;1%","周波数差あり"))</f>
        <v/>
      </c>
    </row>
    <row r="509">
      <c r="A509" s="197" t="n"/>
      <c r="B509" s="198" t="n"/>
      <c r="C509" s="198" t="n"/>
      <c r="D509" s="195">
        <f>IF(K509="","",INDEX('差動モデル'!$R:$R,K509))</f>
        <v/>
      </c>
      <c r="E509" s="195">
        <f>IF(K509="","",INDEX('差動モデル'!$S:$S,K509))</f>
        <v/>
      </c>
      <c r="F509" s="195">
        <f>IF(OR(A509="",B509=""),"",100*(D509-B509)/MAX(B509,1E-12))</f>
        <v/>
      </c>
      <c r="G509" s="195">
        <f>IF(OR(A509="",C509=""),"",E509-C509)</f>
        <v/>
      </c>
      <c r="H509" s="195">
        <f>IF(A509="","",LOG10(A509))</f>
        <v/>
      </c>
      <c r="I509" s="195">
        <f>IF(B509="","",LOG10(MAX(B509,1E-12)))</f>
        <v/>
      </c>
      <c r="J509" s="195">
        <f>IF(D509="","",LOG10(MAX(D509,1E-12)))</f>
        <v/>
      </c>
      <c r="K509">
        <f>IF(A509="","",ROUND(1+(LOG10(A509)-LOG10('入力・概要'!$B$38))*('入力・概要'!$B$40-1)/(LOG10('入力・概要'!$B$39)-LOG10('入力・概要'!$B$38)),0)+3)</f>
        <v/>
      </c>
      <c r="L509">
        <f>IF(K509="","",INDEX('差動モデル'!$B:$B,K509))</f>
        <v/>
      </c>
      <c r="M509">
        <f>IF(A509="","",IF(ABS(L509/A509-1)&lt;0.01,"周波数差&lt;1%","周波数差あり"))</f>
        <v/>
      </c>
    </row>
    <row r="510">
      <c r="A510" s="197" t="n"/>
      <c r="B510" s="198" t="n"/>
      <c r="C510" s="198" t="n"/>
      <c r="D510" s="195">
        <f>IF(K510="","",INDEX('差動モデル'!$R:$R,K510))</f>
        <v/>
      </c>
      <c r="E510" s="195">
        <f>IF(K510="","",INDEX('差動モデル'!$S:$S,K510))</f>
        <v/>
      </c>
      <c r="F510" s="195">
        <f>IF(OR(A510="",B510=""),"",100*(D510-B510)/MAX(B510,1E-12))</f>
        <v/>
      </c>
      <c r="G510" s="195">
        <f>IF(OR(A510="",C510=""),"",E510-C510)</f>
        <v/>
      </c>
      <c r="H510" s="195">
        <f>IF(A510="","",LOG10(A510))</f>
        <v/>
      </c>
      <c r="I510" s="195">
        <f>IF(B510="","",LOG10(MAX(B510,1E-12)))</f>
        <v/>
      </c>
      <c r="J510" s="195">
        <f>IF(D510="","",LOG10(MAX(D510,1E-12)))</f>
        <v/>
      </c>
      <c r="K510">
        <f>IF(A510="","",ROUND(1+(LOG10(A510)-LOG10('入力・概要'!$B$38))*('入力・概要'!$B$40-1)/(LOG10('入力・概要'!$B$39)-LOG10('入力・概要'!$B$38)),0)+3)</f>
        <v/>
      </c>
      <c r="L510">
        <f>IF(K510="","",INDEX('差動モデル'!$B:$B,K510))</f>
        <v/>
      </c>
      <c r="M510">
        <f>IF(A510="","",IF(ABS(L510/A510-1)&lt;0.01,"周波数差&lt;1%","周波数差あり"))</f>
        <v/>
      </c>
    </row>
    <row r="511">
      <c r="A511" s="197" t="n"/>
      <c r="B511" s="198" t="n"/>
      <c r="C511" s="198" t="n"/>
      <c r="D511" s="195">
        <f>IF(K511="","",INDEX('差動モデル'!$R:$R,K511))</f>
        <v/>
      </c>
      <c r="E511" s="195">
        <f>IF(K511="","",INDEX('差動モデル'!$S:$S,K511))</f>
        <v/>
      </c>
      <c r="F511" s="195">
        <f>IF(OR(A511="",B511=""),"",100*(D511-B511)/MAX(B511,1E-12))</f>
        <v/>
      </c>
      <c r="G511" s="195">
        <f>IF(OR(A511="",C511=""),"",E511-C511)</f>
        <v/>
      </c>
      <c r="H511" s="195">
        <f>IF(A511="","",LOG10(A511))</f>
        <v/>
      </c>
      <c r="I511" s="195">
        <f>IF(B511="","",LOG10(MAX(B511,1E-12)))</f>
        <v/>
      </c>
      <c r="J511" s="195">
        <f>IF(D511="","",LOG10(MAX(D511,1E-12)))</f>
        <v/>
      </c>
      <c r="K511">
        <f>IF(A511="","",ROUND(1+(LOG10(A511)-LOG10('入力・概要'!$B$38))*('入力・概要'!$B$40-1)/(LOG10('入力・概要'!$B$39)-LOG10('入力・概要'!$B$38)),0)+3)</f>
        <v/>
      </c>
      <c r="L511">
        <f>IF(K511="","",INDEX('差動モデル'!$B:$B,K511))</f>
        <v/>
      </c>
      <c r="M511">
        <f>IF(A511="","",IF(ABS(L511/A511-1)&lt;0.01,"周波数差&lt;1%","周波数差あり"))</f>
        <v/>
      </c>
    </row>
    <row r="512">
      <c r="A512" s="197" t="n"/>
      <c r="B512" s="198" t="n"/>
      <c r="C512" s="198" t="n"/>
      <c r="D512" s="195">
        <f>IF(K512="","",INDEX('差動モデル'!$R:$R,K512))</f>
        <v/>
      </c>
      <c r="E512" s="195">
        <f>IF(K512="","",INDEX('差動モデル'!$S:$S,K512))</f>
        <v/>
      </c>
      <c r="F512" s="195">
        <f>IF(OR(A512="",B512=""),"",100*(D512-B512)/MAX(B512,1E-12))</f>
        <v/>
      </c>
      <c r="G512" s="195">
        <f>IF(OR(A512="",C512=""),"",E512-C512)</f>
        <v/>
      </c>
      <c r="H512" s="195">
        <f>IF(A512="","",LOG10(A512))</f>
        <v/>
      </c>
      <c r="I512" s="195">
        <f>IF(B512="","",LOG10(MAX(B512,1E-12)))</f>
        <v/>
      </c>
      <c r="J512" s="195">
        <f>IF(D512="","",LOG10(MAX(D512,1E-12)))</f>
        <v/>
      </c>
      <c r="K512">
        <f>IF(A512="","",ROUND(1+(LOG10(A512)-LOG10('入力・概要'!$B$38))*('入力・概要'!$B$40-1)/(LOG10('入力・概要'!$B$39)-LOG10('入力・概要'!$B$38)),0)+3)</f>
        <v/>
      </c>
      <c r="L512">
        <f>IF(K512="","",INDEX('差動モデル'!$B:$B,K512))</f>
        <v/>
      </c>
      <c r="M512">
        <f>IF(A512="","",IF(ABS(L512/A512-1)&lt;0.01,"周波数差&lt;1%","周波数差あり"))</f>
        <v/>
      </c>
    </row>
    <row r="513">
      <c r="A513" s="197" t="n"/>
      <c r="B513" s="198" t="n"/>
      <c r="C513" s="198" t="n"/>
      <c r="D513" s="195">
        <f>IF(K513="","",INDEX('差動モデル'!$R:$R,K513))</f>
        <v/>
      </c>
      <c r="E513" s="195">
        <f>IF(K513="","",INDEX('差動モデル'!$S:$S,K513))</f>
        <v/>
      </c>
      <c r="F513" s="195">
        <f>IF(OR(A513="",B513=""),"",100*(D513-B513)/MAX(B513,1E-12))</f>
        <v/>
      </c>
      <c r="G513" s="195">
        <f>IF(OR(A513="",C513=""),"",E513-C513)</f>
        <v/>
      </c>
      <c r="H513" s="195">
        <f>IF(A513="","",LOG10(A513))</f>
        <v/>
      </c>
      <c r="I513" s="195">
        <f>IF(B513="","",LOG10(MAX(B513,1E-12)))</f>
        <v/>
      </c>
      <c r="J513" s="195">
        <f>IF(D513="","",LOG10(MAX(D513,1E-12)))</f>
        <v/>
      </c>
      <c r="K513">
        <f>IF(A513="","",ROUND(1+(LOG10(A513)-LOG10('入力・概要'!$B$38))*('入力・概要'!$B$40-1)/(LOG10('入力・概要'!$B$39)-LOG10('入力・概要'!$B$38)),0)+3)</f>
        <v/>
      </c>
      <c r="L513">
        <f>IF(K513="","",INDEX('差動モデル'!$B:$B,K513))</f>
        <v/>
      </c>
      <c r="M513">
        <f>IF(A513="","",IF(ABS(L513/A513-1)&lt;0.01,"周波数差&lt;1%","周波数差あり"))</f>
        <v/>
      </c>
    </row>
    <row r="514">
      <c r="A514" s="197" t="n"/>
      <c r="B514" s="198" t="n"/>
      <c r="C514" s="198" t="n"/>
      <c r="D514" s="195">
        <f>IF(K514="","",INDEX('差動モデル'!$R:$R,K514))</f>
        <v/>
      </c>
      <c r="E514" s="195">
        <f>IF(K514="","",INDEX('差動モデル'!$S:$S,K514))</f>
        <v/>
      </c>
      <c r="F514" s="195">
        <f>IF(OR(A514="",B514=""),"",100*(D514-B514)/MAX(B514,1E-12))</f>
        <v/>
      </c>
      <c r="G514" s="195">
        <f>IF(OR(A514="",C514=""),"",E514-C514)</f>
        <v/>
      </c>
      <c r="H514" s="195">
        <f>IF(A514="","",LOG10(A514))</f>
        <v/>
      </c>
      <c r="I514" s="195">
        <f>IF(B514="","",LOG10(MAX(B514,1E-12)))</f>
        <v/>
      </c>
      <c r="J514" s="195">
        <f>IF(D514="","",LOG10(MAX(D514,1E-12)))</f>
        <v/>
      </c>
      <c r="K514">
        <f>IF(A514="","",ROUND(1+(LOG10(A514)-LOG10('入力・概要'!$B$38))*('入力・概要'!$B$40-1)/(LOG10('入力・概要'!$B$39)-LOG10('入力・概要'!$B$38)),0)+3)</f>
        <v/>
      </c>
      <c r="L514">
        <f>IF(K514="","",INDEX('差動モデル'!$B:$B,K514))</f>
        <v/>
      </c>
      <c r="M514">
        <f>IF(A514="","",IF(ABS(L514/A514-1)&lt;0.01,"周波数差&lt;1%","周波数差あり"))</f>
        <v/>
      </c>
    </row>
    <row r="515">
      <c r="A515" s="197" t="n"/>
      <c r="B515" s="198" t="n"/>
      <c r="C515" s="198" t="n"/>
      <c r="D515" s="195">
        <f>IF(K515="","",INDEX('差動モデル'!$R:$R,K515))</f>
        <v/>
      </c>
      <c r="E515" s="195">
        <f>IF(K515="","",INDEX('差動モデル'!$S:$S,K515))</f>
        <v/>
      </c>
      <c r="F515" s="195">
        <f>IF(OR(A515="",B515=""),"",100*(D515-B515)/MAX(B515,1E-12))</f>
        <v/>
      </c>
      <c r="G515" s="195">
        <f>IF(OR(A515="",C515=""),"",E515-C515)</f>
        <v/>
      </c>
      <c r="H515" s="195">
        <f>IF(A515="","",LOG10(A515))</f>
        <v/>
      </c>
      <c r="I515" s="195">
        <f>IF(B515="","",LOG10(MAX(B515,1E-12)))</f>
        <v/>
      </c>
      <c r="J515" s="195">
        <f>IF(D515="","",LOG10(MAX(D515,1E-12)))</f>
        <v/>
      </c>
      <c r="K515">
        <f>IF(A515="","",ROUND(1+(LOG10(A515)-LOG10('入力・概要'!$B$38))*('入力・概要'!$B$40-1)/(LOG10('入力・概要'!$B$39)-LOG10('入力・概要'!$B$38)),0)+3)</f>
        <v/>
      </c>
      <c r="L515">
        <f>IF(K515="","",INDEX('差動モデル'!$B:$B,K515))</f>
        <v/>
      </c>
      <c r="M515">
        <f>IF(A515="","",IF(ABS(L515/A515-1)&lt;0.01,"周波数差&lt;1%","周波数差あり"))</f>
        <v/>
      </c>
    </row>
    <row r="516">
      <c r="A516" s="197" t="n"/>
      <c r="B516" s="198" t="n"/>
      <c r="C516" s="198" t="n"/>
      <c r="D516" s="195">
        <f>IF(K516="","",INDEX('差動モデル'!$R:$R,K516))</f>
        <v/>
      </c>
      <c r="E516" s="195">
        <f>IF(K516="","",INDEX('差動モデル'!$S:$S,K516))</f>
        <v/>
      </c>
      <c r="F516" s="195">
        <f>IF(OR(A516="",B516=""),"",100*(D516-B516)/MAX(B516,1E-12))</f>
        <v/>
      </c>
      <c r="G516" s="195">
        <f>IF(OR(A516="",C516=""),"",E516-C516)</f>
        <v/>
      </c>
      <c r="H516" s="195">
        <f>IF(A516="","",LOG10(A516))</f>
        <v/>
      </c>
      <c r="I516" s="195">
        <f>IF(B516="","",LOG10(MAX(B516,1E-12)))</f>
        <v/>
      </c>
      <c r="J516" s="195">
        <f>IF(D516="","",LOG10(MAX(D516,1E-12)))</f>
        <v/>
      </c>
      <c r="K516">
        <f>IF(A516="","",ROUND(1+(LOG10(A516)-LOG10('入力・概要'!$B$38))*('入力・概要'!$B$40-1)/(LOG10('入力・概要'!$B$39)-LOG10('入力・概要'!$B$38)),0)+3)</f>
        <v/>
      </c>
      <c r="L516">
        <f>IF(K516="","",INDEX('差動モデル'!$B:$B,K516))</f>
        <v/>
      </c>
      <c r="M516">
        <f>IF(A516="","",IF(ABS(L516/A516-1)&lt;0.01,"周波数差&lt;1%","周波数差あり"))</f>
        <v/>
      </c>
    </row>
    <row r="517">
      <c r="A517" s="197" t="n"/>
      <c r="B517" s="198" t="n"/>
      <c r="C517" s="198" t="n"/>
      <c r="D517" s="195">
        <f>IF(K517="","",INDEX('差動モデル'!$R:$R,K517))</f>
        <v/>
      </c>
      <c r="E517" s="195">
        <f>IF(K517="","",INDEX('差動モデル'!$S:$S,K517))</f>
        <v/>
      </c>
      <c r="F517" s="195">
        <f>IF(OR(A517="",B517=""),"",100*(D517-B517)/MAX(B517,1E-12))</f>
        <v/>
      </c>
      <c r="G517" s="195">
        <f>IF(OR(A517="",C517=""),"",E517-C517)</f>
        <v/>
      </c>
      <c r="H517" s="195">
        <f>IF(A517="","",LOG10(A517))</f>
        <v/>
      </c>
      <c r="I517" s="195">
        <f>IF(B517="","",LOG10(MAX(B517,1E-12)))</f>
        <v/>
      </c>
      <c r="J517" s="195">
        <f>IF(D517="","",LOG10(MAX(D517,1E-12)))</f>
        <v/>
      </c>
      <c r="K517">
        <f>IF(A517="","",ROUND(1+(LOG10(A517)-LOG10('入力・概要'!$B$38))*('入力・概要'!$B$40-1)/(LOG10('入力・概要'!$B$39)-LOG10('入力・概要'!$B$38)),0)+3)</f>
        <v/>
      </c>
      <c r="L517">
        <f>IF(K517="","",INDEX('差動モデル'!$B:$B,K517))</f>
        <v/>
      </c>
      <c r="M517">
        <f>IF(A517="","",IF(ABS(L517/A517-1)&lt;0.01,"周波数差&lt;1%","周波数差あり"))</f>
        <v/>
      </c>
    </row>
    <row r="518">
      <c r="A518" s="197" t="n"/>
      <c r="B518" s="198" t="n"/>
      <c r="C518" s="198" t="n"/>
      <c r="D518" s="195">
        <f>IF(K518="","",INDEX('差動モデル'!$R:$R,K518))</f>
        <v/>
      </c>
      <c r="E518" s="195">
        <f>IF(K518="","",INDEX('差動モデル'!$S:$S,K518))</f>
        <v/>
      </c>
      <c r="F518" s="195">
        <f>IF(OR(A518="",B518=""),"",100*(D518-B518)/MAX(B518,1E-12))</f>
        <v/>
      </c>
      <c r="G518" s="195">
        <f>IF(OR(A518="",C518=""),"",E518-C518)</f>
        <v/>
      </c>
      <c r="H518" s="195">
        <f>IF(A518="","",LOG10(A518))</f>
        <v/>
      </c>
      <c r="I518" s="195">
        <f>IF(B518="","",LOG10(MAX(B518,1E-12)))</f>
        <v/>
      </c>
      <c r="J518" s="195">
        <f>IF(D518="","",LOG10(MAX(D518,1E-12)))</f>
        <v/>
      </c>
      <c r="K518">
        <f>IF(A518="","",ROUND(1+(LOG10(A518)-LOG10('入力・概要'!$B$38))*('入力・概要'!$B$40-1)/(LOG10('入力・概要'!$B$39)-LOG10('入力・概要'!$B$38)),0)+3)</f>
        <v/>
      </c>
      <c r="L518">
        <f>IF(K518="","",INDEX('差動モデル'!$B:$B,K518))</f>
        <v/>
      </c>
      <c r="M518">
        <f>IF(A518="","",IF(ABS(L518/A518-1)&lt;0.01,"周波数差&lt;1%","周波数差あり"))</f>
        <v/>
      </c>
    </row>
    <row r="519">
      <c r="A519" s="197" t="n"/>
      <c r="B519" s="198" t="n"/>
      <c r="C519" s="198" t="n"/>
      <c r="D519" s="195">
        <f>IF(K519="","",INDEX('差動モデル'!$R:$R,K519))</f>
        <v/>
      </c>
      <c r="E519" s="195">
        <f>IF(K519="","",INDEX('差動モデル'!$S:$S,K519))</f>
        <v/>
      </c>
      <c r="F519" s="195">
        <f>IF(OR(A519="",B519=""),"",100*(D519-B519)/MAX(B519,1E-12))</f>
        <v/>
      </c>
      <c r="G519" s="195">
        <f>IF(OR(A519="",C519=""),"",E519-C519)</f>
        <v/>
      </c>
      <c r="H519" s="195">
        <f>IF(A519="","",LOG10(A519))</f>
        <v/>
      </c>
      <c r="I519" s="195">
        <f>IF(B519="","",LOG10(MAX(B519,1E-12)))</f>
        <v/>
      </c>
      <c r="J519" s="195">
        <f>IF(D519="","",LOG10(MAX(D519,1E-12)))</f>
        <v/>
      </c>
      <c r="K519">
        <f>IF(A519="","",ROUND(1+(LOG10(A519)-LOG10('入力・概要'!$B$38))*('入力・概要'!$B$40-1)/(LOG10('入力・概要'!$B$39)-LOG10('入力・概要'!$B$38)),0)+3)</f>
        <v/>
      </c>
      <c r="L519">
        <f>IF(K519="","",INDEX('差動モデル'!$B:$B,K519))</f>
        <v/>
      </c>
      <c r="M519">
        <f>IF(A519="","",IF(ABS(L519/A519-1)&lt;0.01,"周波数差&lt;1%","周波数差あり"))</f>
        <v/>
      </c>
    </row>
    <row r="520">
      <c r="A520" s="197" t="n"/>
      <c r="B520" s="198" t="n"/>
      <c r="C520" s="198" t="n"/>
      <c r="D520" s="195">
        <f>IF(K520="","",INDEX('差動モデル'!$R:$R,K520))</f>
        <v/>
      </c>
      <c r="E520" s="195">
        <f>IF(K520="","",INDEX('差動モデル'!$S:$S,K520))</f>
        <v/>
      </c>
      <c r="F520" s="195">
        <f>IF(OR(A520="",B520=""),"",100*(D520-B520)/MAX(B520,1E-12))</f>
        <v/>
      </c>
      <c r="G520" s="195">
        <f>IF(OR(A520="",C520=""),"",E520-C520)</f>
        <v/>
      </c>
      <c r="H520" s="195">
        <f>IF(A520="","",LOG10(A520))</f>
        <v/>
      </c>
      <c r="I520" s="195">
        <f>IF(B520="","",LOG10(MAX(B520,1E-12)))</f>
        <v/>
      </c>
      <c r="J520" s="195">
        <f>IF(D520="","",LOG10(MAX(D520,1E-12)))</f>
        <v/>
      </c>
      <c r="K520">
        <f>IF(A520="","",ROUND(1+(LOG10(A520)-LOG10('入力・概要'!$B$38))*('入力・概要'!$B$40-1)/(LOG10('入力・概要'!$B$39)-LOG10('入力・概要'!$B$38)),0)+3)</f>
        <v/>
      </c>
      <c r="L520">
        <f>IF(K520="","",INDEX('差動モデル'!$B:$B,K520))</f>
        <v/>
      </c>
      <c r="M520">
        <f>IF(A520="","",IF(ABS(L520/A520-1)&lt;0.01,"周波数差&lt;1%","周波数差あり"))</f>
        <v/>
      </c>
    </row>
    <row r="521">
      <c r="A521" s="197" t="n"/>
      <c r="B521" s="198" t="n"/>
      <c r="C521" s="198" t="n"/>
      <c r="D521" s="195">
        <f>IF(K521="","",INDEX('差動モデル'!$R:$R,K521))</f>
        <v/>
      </c>
      <c r="E521" s="195">
        <f>IF(K521="","",INDEX('差動モデル'!$S:$S,K521))</f>
        <v/>
      </c>
      <c r="F521" s="195">
        <f>IF(OR(A521="",B521=""),"",100*(D521-B521)/MAX(B521,1E-12))</f>
        <v/>
      </c>
      <c r="G521" s="195">
        <f>IF(OR(A521="",C521=""),"",E521-C521)</f>
        <v/>
      </c>
      <c r="H521" s="195">
        <f>IF(A521="","",LOG10(A521))</f>
        <v/>
      </c>
      <c r="I521" s="195">
        <f>IF(B521="","",LOG10(MAX(B521,1E-12)))</f>
        <v/>
      </c>
      <c r="J521" s="195">
        <f>IF(D521="","",LOG10(MAX(D521,1E-12)))</f>
        <v/>
      </c>
      <c r="K521">
        <f>IF(A521="","",ROUND(1+(LOG10(A521)-LOG10('入力・概要'!$B$38))*('入力・概要'!$B$40-1)/(LOG10('入力・概要'!$B$39)-LOG10('入力・概要'!$B$38)),0)+3)</f>
        <v/>
      </c>
      <c r="L521">
        <f>IF(K521="","",INDEX('差動モデル'!$B:$B,K521))</f>
        <v/>
      </c>
      <c r="M521">
        <f>IF(A521="","",IF(ABS(L521/A521-1)&lt;0.01,"周波数差&lt;1%","周波数差あり"))</f>
        <v/>
      </c>
    </row>
    <row r="522">
      <c r="A522" s="197" t="n"/>
      <c r="B522" s="198" t="n"/>
      <c r="C522" s="198" t="n"/>
      <c r="D522" s="195">
        <f>IF(K522="","",INDEX('差動モデル'!$R:$R,K522))</f>
        <v/>
      </c>
      <c r="E522" s="195">
        <f>IF(K522="","",INDEX('差動モデル'!$S:$S,K522))</f>
        <v/>
      </c>
      <c r="F522" s="195">
        <f>IF(OR(A522="",B522=""),"",100*(D522-B522)/MAX(B522,1E-12))</f>
        <v/>
      </c>
      <c r="G522" s="195">
        <f>IF(OR(A522="",C522=""),"",E522-C522)</f>
        <v/>
      </c>
      <c r="H522" s="195">
        <f>IF(A522="","",LOG10(A522))</f>
        <v/>
      </c>
      <c r="I522" s="195">
        <f>IF(B522="","",LOG10(MAX(B522,1E-12)))</f>
        <v/>
      </c>
      <c r="J522" s="195">
        <f>IF(D522="","",LOG10(MAX(D522,1E-12)))</f>
        <v/>
      </c>
      <c r="K522">
        <f>IF(A522="","",ROUND(1+(LOG10(A522)-LOG10('入力・概要'!$B$38))*('入力・概要'!$B$40-1)/(LOG10('入力・概要'!$B$39)-LOG10('入力・概要'!$B$38)),0)+3)</f>
        <v/>
      </c>
      <c r="L522">
        <f>IF(K522="","",INDEX('差動モデル'!$B:$B,K522))</f>
        <v/>
      </c>
      <c r="M522">
        <f>IF(A522="","",IF(ABS(L522/A522-1)&lt;0.01,"周波数差&lt;1%","周波数差あり"))</f>
        <v/>
      </c>
    </row>
    <row r="523">
      <c r="A523" s="197" t="n"/>
      <c r="B523" s="198" t="n"/>
      <c r="C523" s="198" t="n"/>
      <c r="D523" s="195">
        <f>IF(K523="","",INDEX('差動モデル'!$R:$R,K523))</f>
        <v/>
      </c>
      <c r="E523" s="195">
        <f>IF(K523="","",INDEX('差動モデル'!$S:$S,K523))</f>
        <v/>
      </c>
      <c r="F523" s="195">
        <f>IF(OR(A523="",B523=""),"",100*(D523-B523)/MAX(B523,1E-12))</f>
        <v/>
      </c>
      <c r="G523" s="195">
        <f>IF(OR(A523="",C523=""),"",E523-C523)</f>
        <v/>
      </c>
      <c r="H523" s="195">
        <f>IF(A523="","",LOG10(A523))</f>
        <v/>
      </c>
      <c r="I523" s="195">
        <f>IF(B523="","",LOG10(MAX(B523,1E-12)))</f>
        <v/>
      </c>
      <c r="J523" s="195">
        <f>IF(D523="","",LOG10(MAX(D523,1E-12)))</f>
        <v/>
      </c>
      <c r="K523">
        <f>IF(A523="","",ROUND(1+(LOG10(A523)-LOG10('入力・概要'!$B$38))*('入力・概要'!$B$40-1)/(LOG10('入力・概要'!$B$39)-LOG10('入力・概要'!$B$38)),0)+3)</f>
        <v/>
      </c>
      <c r="L523">
        <f>IF(K523="","",INDEX('差動モデル'!$B:$B,K523))</f>
        <v/>
      </c>
      <c r="M523">
        <f>IF(A523="","",IF(ABS(L523/A523-1)&lt;0.01,"周波数差&lt;1%","周波数差あり"))</f>
        <v/>
      </c>
    </row>
    <row r="524">
      <c r="A524" s="197" t="n"/>
      <c r="B524" s="198" t="n"/>
      <c r="C524" s="198" t="n"/>
      <c r="D524" s="195">
        <f>IF(K524="","",INDEX('差動モデル'!$R:$R,K524))</f>
        <v/>
      </c>
      <c r="E524" s="195">
        <f>IF(K524="","",INDEX('差動モデル'!$S:$S,K524))</f>
        <v/>
      </c>
      <c r="F524" s="195">
        <f>IF(OR(A524="",B524=""),"",100*(D524-B524)/MAX(B524,1E-12))</f>
        <v/>
      </c>
      <c r="G524" s="195">
        <f>IF(OR(A524="",C524=""),"",E524-C524)</f>
        <v/>
      </c>
      <c r="H524" s="195">
        <f>IF(A524="","",LOG10(A524))</f>
        <v/>
      </c>
      <c r="I524" s="195">
        <f>IF(B524="","",LOG10(MAX(B524,1E-12)))</f>
        <v/>
      </c>
      <c r="J524" s="195">
        <f>IF(D524="","",LOG10(MAX(D524,1E-12)))</f>
        <v/>
      </c>
      <c r="K524">
        <f>IF(A524="","",ROUND(1+(LOG10(A524)-LOG10('入力・概要'!$B$38))*('入力・概要'!$B$40-1)/(LOG10('入力・概要'!$B$39)-LOG10('入力・概要'!$B$38)),0)+3)</f>
        <v/>
      </c>
      <c r="L524">
        <f>IF(K524="","",INDEX('差動モデル'!$B:$B,K524))</f>
        <v/>
      </c>
      <c r="M524">
        <f>IF(A524="","",IF(ABS(L524/A524-1)&lt;0.01,"周波数差&lt;1%","周波数差あり"))</f>
        <v/>
      </c>
    </row>
    <row r="525">
      <c r="A525" s="197" t="n"/>
      <c r="B525" s="198" t="n"/>
      <c r="C525" s="198" t="n"/>
      <c r="D525" s="195">
        <f>IF(K525="","",INDEX('差動モデル'!$R:$R,K525))</f>
        <v/>
      </c>
      <c r="E525" s="195">
        <f>IF(K525="","",INDEX('差動モデル'!$S:$S,K525))</f>
        <v/>
      </c>
      <c r="F525" s="195">
        <f>IF(OR(A525="",B525=""),"",100*(D525-B525)/MAX(B525,1E-12))</f>
        <v/>
      </c>
      <c r="G525" s="195">
        <f>IF(OR(A525="",C525=""),"",E525-C525)</f>
        <v/>
      </c>
      <c r="H525" s="195">
        <f>IF(A525="","",LOG10(A525))</f>
        <v/>
      </c>
      <c r="I525" s="195">
        <f>IF(B525="","",LOG10(MAX(B525,1E-12)))</f>
        <v/>
      </c>
      <c r="J525" s="195">
        <f>IF(D525="","",LOG10(MAX(D525,1E-12)))</f>
        <v/>
      </c>
      <c r="K525">
        <f>IF(A525="","",ROUND(1+(LOG10(A525)-LOG10('入力・概要'!$B$38))*('入力・概要'!$B$40-1)/(LOG10('入力・概要'!$B$39)-LOG10('入力・概要'!$B$38)),0)+3)</f>
        <v/>
      </c>
      <c r="L525">
        <f>IF(K525="","",INDEX('差動モデル'!$B:$B,K525))</f>
        <v/>
      </c>
      <c r="M525">
        <f>IF(A525="","",IF(ABS(L525/A525-1)&lt;0.01,"周波数差&lt;1%","周波数差あり"))</f>
        <v/>
      </c>
    </row>
    <row r="526">
      <c r="A526" s="197" t="n"/>
      <c r="B526" s="198" t="n"/>
      <c r="C526" s="198" t="n"/>
      <c r="D526" s="195">
        <f>IF(K526="","",INDEX('差動モデル'!$R:$R,K526))</f>
        <v/>
      </c>
      <c r="E526" s="195">
        <f>IF(K526="","",INDEX('差動モデル'!$S:$S,K526))</f>
        <v/>
      </c>
      <c r="F526" s="195">
        <f>IF(OR(A526="",B526=""),"",100*(D526-B526)/MAX(B526,1E-12))</f>
        <v/>
      </c>
      <c r="G526" s="195">
        <f>IF(OR(A526="",C526=""),"",E526-C526)</f>
        <v/>
      </c>
      <c r="H526" s="195">
        <f>IF(A526="","",LOG10(A526))</f>
        <v/>
      </c>
      <c r="I526" s="195">
        <f>IF(B526="","",LOG10(MAX(B526,1E-12)))</f>
        <v/>
      </c>
      <c r="J526" s="195">
        <f>IF(D526="","",LOG10(MAX(D526,1E-12)))</f>
        <v/>
      </c>
      <c r="K526">
        <f>IF(A526="","",ROUND(1+(LOG10(A526)-LOG10('入力・概要'!$B$38))*('入力・概要'!$B$40-1)/(LOG10('入力・概要'!$B$39)-LOG10('入力・概要'!$B$38)),0)+3)</f>
        <v/>
      </c>
      <c r="L526">
        <f>IF(K526="","",INDEX('差動モデル'!$B:$B,K526))</f>
        <v/>
      </c>
      <c r="M526">
        <f>IF(A526="","",IF(ABS(L526/A526-1)&lt;0.01,"周波数差&lt;1%","周波数差あり"))</f>
        <v/>
      </c>
    </row>
    <row r="527">
      <c r="A527" s="197" t="n"/>
      <c r="B527" s="198" t="n"/>
      <c r="C527" s="198" t="n"/>
      <c r="D527" s="195">
        <f>IF(K527="","",INDEX('差動モデル'!$R:$R,K527))</f>
        <v/>
      </c>
      <c r="E527" s="195">
        <f>IF(K527="","",INDEX('差動モデル'!$S:$S,K527))</f>
        <v/>
      </c>
      <c r="F527" s="195">
        <f>IF(OR(A527="",B527=""),"",100*(D527-B527)/MAX(B527,1E-12))</f>
        <v/>
      </c>
      <c r="G527" s="195">
        <f>IF(OR(A527="",C527=""),"",E527-C527)</f>
        <v/>
      </c>
      <c r="H527" s="195">
        <f>IF(A527="","",LOG10(A527))</f>
        <v/>
      </c>
      <c r="I527" s="195">
        <f>IF(B527="","",LOG10(MAX(B527,1E-12)))</f>
        <v/>
      </c>
      <c r="J527" s="195">
        <f>IF(D527="","",LOG10(MAX(D527,1E-12)))</f>
        <v/>
      </c>
      <c r="K527">
        <f>IF(A527="","",ROUND(1+(LOG10(A527)-LOG10('入力・概要'!$B$38))*('入力・概要'!$B$40-1)/(LOG10('入力・概要'!$B$39)-LOG10('入力・概要'!$B$38)),0)+3)</f>
        <v/>
      </c>
      <c r="L527">
        <f>IF(K527="","",INDEX('差動モデル'!$B:$B,K527))</f>
        <v/>
      </c>
      <c r="M527">
        <f>IF(A527="","",IF(ABS(L527/A527-1)&lt;0.01,"周波数差&lt;1%","周波数差あり"))</f>
        <v/>
      </c>
    </row>
    <row r="528">
      <c r="A528" s="197" t="n"/>
      <c r="B528" s="198" t="n"/>
      <c r="C528" s="198" t="n"/>
      <c r="D528" s="195">
        <f>IF(K528="","",INDEX('差動モデル'!$R:$R,K528))</f>
        <v/>
      </c>
      <c r="E528" s="195">
        <f>IF(K528="","",INDEX('差動モデル'!$S:$S,K528))</f>
        <v/>
      </c>
      <c r="F528" s="195">
        <f>IF(OR(A528="",B528=""),"",100*(D528-B528)/MAX(B528,1E-12))</f>
        <v/>
      </c>
      <c r="G528" s="195">
        <f>IF(OR(A528="",C528=""),"",E528-C528)</f>
        <v/>
      </c>
      <c r="H528" s="195">
        <f>IF(A528="","",LOG10(A528))</f>
        <v/>
      </c>
      <c r="I528" s="195">
        <f>IF(B528="","",LOG10(MAX(B528,1E-12)))</f>
        <v/>
      </c>
      <c r="J528" s="195">
        <f>IF(D528="","",LOG10(MAX(D528,1E-12)))</f>
        <v/>
      </c>
      <c r="K528">
        <f>IF(A528="","",ROUND(1+(LOG10(A528)-LOG10('入力・概要'!$B$38))*('入力・概要'!$B$40-1)/(LOG10('入力・概要'!$B$39)-LOG10('入力・概要'!$B$38)),0)+3)</f>
        <v/>
      </c>
      <c r="L528">
        <f>IF(K528="","",INDEX('差動モデル'!$B:$B,K528))</f>
        <v/>
      </c>
      <c r="M528">
        <f>IF(A528="","",IF(ABS(L528/A528-1)&lt;0.01,"周波数差&lt;1%","周波数差あり"))</f>
        <v/>
      </c>
    </row>
    <row r="529">
      <c r="A529" s="197" t="n"/>
      <c r="B529" s="198" t="n"/>
      <c r="C529" s="198" t="n"/>
      <c r="D529" s="195">
        <f>IF(K529="","",INDEX('差動モデル'!$R:$R,K529))</f>
        <v/>
      </c>
      <c r="E529" s="195">
        <f>IF(K529="","",INDEX('差動モデル'!$S:$S,K529))</f>
        <v/>
      </c>
      <c r="F529" s="195">
        <f>IF(OR(A529="",B529=""),"",100*(D529-B529)/MAX(B529,1E-12))</f>
        <v/>
      </c>
      <c r="G529" s="195">
        <f>IF(OR(A529="",C529=""),"",E529-C529)</f>
        <v/>
      </c>
      <c r="H529" s="195">
        <f>IF(A529="","",LOG10(A529))</f>
        <v/>
      </c>
      <c r="I529" s="195">
        <f>IF(B529="","",LOG10(MAX(B529,1E-12)))</f>
        <v/>
      </c>
      <c r="J529" s="195">
        <f>IF(D529="","",LOG10(MAX(D529,1E-12)))</f>
        <v/>
      </c>
      <c r="K529">
        <f>IF(A529="","",ROUND(1+(LOG10(A529)-LOG10('入力・概要'!$B$38))*('入力・概要'!$B$40-1)/(LOG10('入力・概要'!$B$39)-LOG10('入力・概要'!$B$38)),0)+3)</f>
        <v/>
      </c>
      <c r="L529">
        <f>IF(K529="","",INDEX('差動モデル'!$B:$B,K529))</f>
        <v/>
      </c>
      <c r="M529">
        <f>IF(A529="","",IF(ABS(L529/A529-1)&lt;0.01,"周波数差&lt;1%","周波数差あり"))</f>
        <v/>
      </c>
    </row>
    <row r="530">
      <c r="A530" s="197" t="n"/>
      <c r="B530" s="198" t="n"/>
      <c r="C530" s="198" t="n"/>
      <c r="D530" s="195">
        <f>IF(K530="","",INDEX('差動モデル'!$R:$R,K530))</f>
        <v/>
      </c>
      <c r="E530" s="195">
        <f>IF(K530="","",INDEX('差動モデル'!$S:$S,K530))</f>
        <v/>
      </c>
      <c r="F530" s="195">
        <f>IF(OR(A530="",B530=""),"",100*(D530-B530)/MAX(B530,1E-12))</f>
        <v/>
      </c>
      <c r="G530" s="195">
        <f>IF(OR(A530="",C530=""),"",E530-C530)</f>
        <v/>
      </c>
      <c r="H530" s="195">
        <f>IF(A530="","",LOG10(A530))</f>
        <v/>
      </c>
      <c r="I530" s="195">
        <f>IF(B530="","",LOG10(MAX(B530,1E-12)))</f>
        <v/>
      </c>
      <c r="J530" s="195">
        <f>IF(D530="","",LOG10(MAX(D530,1E-12)))</f>
        <v/>
      </c>
      <c r="K530">
        <f>IF(A530="","",ROUND(1+(LOG10(A530)-LOG10('入力・概要'!$B$38))*('入力・概要'!$B$40-1)/(LOG10('入力・概要'!$B$39)-LOG10('入力・概要'!$B$38)),0)+3)</f>
        <v/>
      </c>
      <c r="L530">
        <f>IF(K530="","",INDEX('差動モデル'!$B:$B,K530))</f>
        <v/>
      </c>
      <c r="M530">
        <f>IF(A530="","",IF(ABS(L530/A530-1)&lt;0.01,"周波数差&lt;1%","周波数差あり"))</f>
        <v/>
      </c>
    </row>
    <row r="531">
      <c r="A531" s="197" t="n"/>
      <c r="B531" s="198" t="n"/>
      <c r="C531" s="198" t="n"/>
      <c r="D531" s="195">
        <f>IF(K531="","",INDEX('差動モデル'!$R:$R,K531))</f>
        <v/>
      </c>
      <c r="E531" s="195">
        <f>IF(K531="","",INDEX('差動モデル'!$S:$S,K531))</f>
        <v/>
      </c>
      <c r="F531" s="195">
        <f>IF(OR(A531="",B531=""),"",100*(D531-B531)/MAX(B531,1E-12))</f>
        <v/>
      </c>
      <c r="G531" s="195">
        <f>IF(OR(A531="",C531=""),"",E531-C531)</f>
        <v/>
      </c>
      <c r="H531" s="195">
        <f>IF(A531="","",LOG10(A531))</f>
        <v/>
      </c>
      <c r="I531" s="195">
        <f>IF(B531="","",LOG10(MAX(B531,1E-12)))</f>
        <v/>
      </c>
      <c r="J531" s="195">
        <f>IF(D531="","",LOG10(MAX(D531,1E-12)))</f>
        <v/>
      </c>
      <c r="K531">
        <f>IF(A531="","",ROUND(1+(LOG10(A531)-LOG10('入力・概要'!$B$38))*('入力・概要'!$B$40-1)/(LOG10('入力・概要'!$B$39)-LOG10('入力・概要'!$B$38)),0)+3)</f>
        <v/>
      </c>
      <c r="L531">
        <f>IF(K531="","",INDEX('差動モデル'!$B:$B,K531))</f>
        <v/>
      </c>
      <c r="M531">
        <f>IF(A531="","",IF(ABS(L531/A531-1)&lt;0.01,"周波数差&lt;1%","周波数差あり"))</f>
        <v/>
      </c>
    </row>
    <row r="532">
      <c r="A532" s="197" t="n"/>
      <c r="B532" s="198" t="n"/>
      <c r="C532" s="198" t="n"/>
      <c r="D532" s="195">
        <f>IF(K532="","",INDEX('差動モデル'!$R:$R,K532))</f>
        <v/>
      </c>
      <c r="E532" s="195">
        <f>IF(K532="","",INDEX('差動モデル'!$S:$S,K532))</f>
        <v/>
      </c>
      <c r="F532" s="195">
        <f>IF(OR(A532="",B532=""),"",100*(D532-B532)/MAX(B532,1E-12))</f>
        <v/>
      </c>
      <c r="G532" s="195">
        <f>IF(OR(A532="",C532=""),"",E532-C532)</f>
        <v/>
      </c>
      <c r="H532" s="195">
        <f>IF(A532="","",LOG10(A532))</f>
        <v/>
      </c>
      <c r="I532" s="195">
        <f>IF(B532="","",LOG10(MAX(B532,1E-12)))</f>
        <v/>
      </c>
      <c r="J532" s="195">
        <f>IF(D532="","",LOG10(MAX(D532,1E-12)))</f>
        <v/>
      </c>
      <c r="K532">
        <f>IF(A532="","",ROUND(1+(LOG10(A532)-LOG10('入力・概要'!$B$38))*('入力・概要'!$B$40-1)/(LOG10('入力・概要'!$B$39)-LOG10('入力・概要'!$B$38)),0)+3)</f>
        <v/>
      </c>
      <c r="L532">
        <f>IF(K532="","",INDEX('差動モデル'!$B:$B,K532))</f>
        <v/>
      </c>
      <c r="M532">
        <f>IF(A532="","",IF(ABS(L532/A532-1)&lt;0.01,"周波数差&lt;1%","周波数差あり"))</f>
        <v/>
      </c>
    </row>
    <row r="533">
      <c r="A533" s="197" t="n"/>
      <c r="B533" s="198" t="n"/>
      <c r="C533" s="198" t="n"/>
      <c r="D533" s="195">
        <f>IF(K533="","",INDEX('差動モデル'!$R:$R,K533))</f>
        <v/>
      </c>
      <c r="E533" s="195">
        <f>IF(K533="","",INDEX('差動モデル'!$S:$S,K533))</f>
        <v/>
      </c>
      <c r="F533" s="195">
        <f>IF(OR(A533="",B533=""),"",100*(D533-B533)/MAX(B533,1E-12))</f>
        <v/>
      </c>
      <c r="G533" s="195">
        <f>IF(OR(A533="",C533=""),"",E533-C533)</f>
        <v/>
      </c>
      <c r="H533" s="195">
        <f>IF(A533="","",LOG10(A533))</f>
        <v/>
      </c>
      <c r="I533" s="195">
        <f>IF(B533="","",LOG10(MAX(B533,1E-12)))</f>
        <v/>
      </c>
      <c r="J533" s="195">
        <f>IF(D533="","",LOG10(MAX(D533,1E-12)))</f>
        <v/>
      </c>
      <c r="K533">
        <f>IF(A533="","",ROUND(1+(LOG10(A533)-LOG10('入力・概要'!$B$38))*('入力・概要'!$B$40-1)/(LOG10('入力・概要'!$B$39)-LOG10('入力・概要'!$B$38)),0)+3)</f>
        <v/>
      </c>
      <c r="L533">
        <f>IF(K533="","",INDEX('差動モデル'!$B:$B,K533))</f>
        <v/>
      </c>
      <c r="M533">
        <f>IF(A533="","",IF(ABS(L533/A533-1)&lt;0.01,"周波数差&lt;1%","周波数差あり"))</f>
        <v/>
      </c>
    </row>
    <row r="534">
      <c r="A534" s="197" t="n"/>
      <c r="B534" s="198" t="n"/>
      <c r="C534" s="198" t="n"/>
      <c r="D534" s="195">
        <f>IF(K534="","",INDEX('差動モデル'!$R:$R,K534))</f>
        <v/>
      </c>
      <c r="E534" s="195">
        <f>IF(K534="","",INDEX('差動モデル'!$S:$S,K534))</f>
        <v/>
      </c>
      <c r="F534" s="195">
        <f>IF(OR(A534="",B534=""),"",100*(D534-B534)/MAX(B534,1E-12))</f>
        <v/>
      </c>
      <c r="G534" s="195">
        <f>IF(OR(A534="",C534=""),"",E534-C534)</f>
        <v/>
      </c>
      <c r="H534" s="195">
        <f>IF(A534="","",LOG10(A534))</f>
        <v/>
      </c>
      <c r="I534" s="195">
        <f>IF(B534="","",LOG10(MAX(B534,1E-12)))</f>
        <v/>
      </c>
      <c r="J534" s="195">
        <f>IF(D534="","",LOG10(MAX(D534,1E-12)))</f>
        <v/>
      </c>
      <c r="K534">
        <f>IF(A534="","",ROUND(1+(LOG10(A534)-LOG10('入力・概要'!$B$38))*('入力・概要'!$B$40-1)/(LOG10('入力・概要'!$B$39)-LOG10('入力・概要'!$B$38)),0)+3)</f>
        <v/>
      </c>
      <c r="L534">
        <f>IF(K534="","",INDEX('差動モデル'!$B:$B,K534))</f>
        <v/>
      </c>
      <c r="M534">
        <f>IF(A534="","",IF(ABS(L534/A534-1)&lt;0.01,"周波数差&lt;1%","周波数差あり"))</f>
        <v/>
      </c>
    </row>
    <row r="535">
      <c r="A535" s="197" t="n"/>
      <c r="B535" s="198" t="n"/>
      <c r="C535" s="198" t="n"/>
      <c r="D535" s="195">
        <f>IF(K535="","",INDEX('差動モデル'!$R:$R,K535))</f>
        <v/>
      </c>
      <c r="E535" s="195">
        <f>IF(K535="","",INDEX('差動モデル'!$S:$S,K535))</f>
        <v/>
      </c>
      <c r="F535" s="195">
        <f>IF(OR(A535="",B535=""),"",100*(D535-B535)/MAX(B535,1E-12))</f>
        <v/>
      </c>
      <c r="G535" s="195">
        <f>IF(OR(A535="",C535=""),"",E535-C535)</f>
        <v/>
      </c>
      <c r="H535" s="195">
        <f>IF(A535="","",LOG10(A535))</f>
        <v/>
      </c>
      <c r="I535" s="195">
        <f>IF(B535="","",LOG10(MAX(B535,1E-12)))</f>
        <v/>
      </c>
      <c r="J535" s="195">
        <f>IF(D535="","",LOG10(MAX(D535,1E-12)))</f>
        <v/>
      </c>
      <c r="K535">
        <f>IF(A535="","",ROUND(1+(LOG10(A535)-LOG10('入力・概要'!$B$38))*('入力・概要'!$B$40-1)/(LOG10('入力・概要'!$B$39)-LOG10('入力・概要'!$B$38)),0)+3)</f>
        <v/>
      </c>
      <c r="L535">
        <f>IF(K535="","",INDEX('差動モデル'!$B:$B,K535))</f>
        <v/>
      </c>
      <c r="M535">
        <f>IF(A535="","",IF(ABS(L535/A535-1)&lt;0.01,"周波数差&lt;1%","周波数差あり"))</f>
        <v/>
      </c>
    </row>
    <row r="536">
      <c r="A536" s="197" t="n"/>
      <c r="B536" s="198" t="n"/>
      <c r="C536" s="198" t="n"/>
      <c r="D536" s="195">
        <f>IF(K536="","",INDEX('差動モデル'!$R:$R,K536))</f>
        <v/>
      </c>
      <c r="E536" s="195">
        <f>IF(K536="","",INDEX('差動モデル'!$S:$S,K536))</f>
        <v/>
      </c>
      <c r="F536" s="195">
        <f>IF(OR(A536="",B536=""),"",100*(D536-B536)/MAX(B536,1E-12))</f>
        <v/>
      </c>
      <c r="G536" s="195">
        <f>IF(OR(A536="",C536=""),"",E536-C536)</f>
        <v/>
      </c>
      <c r="H536" s="195">
        <f>IF(A536="","",LOG10(A536))</f>
        <v/>
      </c>
      <c r="I536" s="195">
        <f>IF(B536="","",LOG10(MAX(B536,1E-12)))</f>
        <v/>
      </c>
      <c r="J536" s="195">
        <f>IF(D536="","",LOG10(MAX(D536,1E-12)))</f>
        <v/>
      </c>
      <c r="K536">
        <f>IF(A536="","",ROUND(1+(LOG10(A536)-LOG10('入力・概要'!$B$38))*('入力・概要'!$B$40-1)/(LOG10('入力・概要'!$B$39)-LOG10('入力・概要'!$B$38)),0)+3)</f>
        <v/>
      </c>
      <c r="L536">
        <f>IF(K536="","",INDEX('差動モデル'!$B:$B,K536))</f>
        <v/>
      </c>
      <c r="M536">
        <f>IF(A536="","",IF(ABS(L536/A536-1)&lt;0.01,"周波数差&lt;1%","周波数差あり"))</f>
        <v/>
      </c>
    </row>
    <row r="537">
      <c r="A537" s="197" t="n"/>
      <c r="B537" s="198" t="n"/>
      <c r="C537" s="198" t="n"/>
      <c r="D537" s="195">
        <f>IF(K537="","",INDEX('差動モデル'!$R:$R,K537))</f>
        <v/>
      </c>
      <c r="E537" s="195">
        <f>IF(K537="","",INDEX('差動モデル'!$S:$S,K537))</f>
        <v/>
      </c>
      <c r="F537" s="195">
        <f>IF(OR(A537="",B537=""),"",100*(D537-B537)/MAX(B537,1E-12))</f>
        <v/>
      </c>
      <c r="G537" s="195">
        <f>IF(OR(A537="",C537=""),"",E537-C537)</f>
        <v/>
      </c>
      <c r="H537" s="195">
        <f>IF(A537="","",LOG10(A537))</f>
        <v/>
      </c>
      <c r="I537" s="195">
        <f>IF(B537="","",LOG10(MAX(B537,1E-12)))</f>
        <v/>
      </c>
      <c r="J537" s="195">
        <f>IF(D537="","",LOG10(MAX(D537,1E-12)))</f>
        <v/>
      </c>
      <c r="K537">
        <f>IF(A537="","",ROUND(1+(LOG10(A537)-LOG10('入力・概要'!$B$38))*('入力・概要'!$B$40-1)/(LOG10('入力・概要'!$B$39)-LOG10('入力・概要'!$B$38)),0)+3)</f>
        <v/>
      </c>
      <c r="L537">
        <f>IF(K537="","",INDEX('差動モデル'!$B:$B,K537))</f>
        <v/>
      </c>
      <c r="M537">
        <f>IF(A537="","",IF(ABS(L537/A537-1)&lt;0.01,"周波数差&lt;1%","周波数差あり"))</f>
        <v/>
      </c>
    </row>
    <row r="538">
      <c r="A538" s="197" t="n"/>
      <c r="B538" s="198" t="n"/>
      <c r="C538" s="198" t="n"/>
      <c r="D538" s="195">
        <f>IF(K538="","",INDEX('差動モデル'!$R:$R,K538))</f>
        <v/>
      </c>
      <c r="E538" s="195">
        <f>IF(K538="","",INDEX('差動モデル'!$S:$S,K538))</f>
        <v/>
      </c>
      <c r="F538" s="195">
        <f>IF(OR(A538="",B538=""),"",100*(D538-B538)/MAX(B538,1E-12))</f>
        <v/>
      </c>
      <c r="G538" s="195">
        <f>IF(OR(A538="",C538=""),"",E538-C538)</f>
        <v/>
      </c>
      <c r="H538" s="195">
        <f>IF(A538="","",LOG10(A538))</f>
        <v/>
      </c>
      <c r="I538" s="195">
        <f>IF(B538="","",LOG10(MAX(B538,1E-12)))</f>
        <v/>
      </c>
      <c r="J538" s="195">
        <f>IF(D538="","",LOG10(MAX(D538,1E-12)))</f>
        <v/>
      </c>
      <c r="K538">
        <f>IF(A538="","",ROUND(1+(LOG10(A538)-LOG10('入力・概要'!$B$38))*('入力・概要'!$B$40-1)/(LOG10('入力・概要'!$B$39)-LOG10('入力・概要'!$B$38)),0)+3)</f>
        <v/>
      </c>
      <c r="L538">
        <f>IF(K538="","",INDEX('差動モデル'!$B:$B,K538))</f>
        <v/>
      </c>
      <c r="M538">
        <f>IF(A538="","",IF(ABS(L538/A538-1)&lt;0.01,"周波数差&lt;1%","周波数差あり"))</f>
        <v/>
      </c>
    </row>
    <row r="539">
      <c r="A539" s="197" t="n"/>
      <c r="B539" s="198" t="n"/>
      <c r="C539" s="198" t="n"/>
      <c r="D539" s="195">
        <f>IF(K539="","",INDEX('差動モデル'!$R:$R,K539))</f>
        <v/>
      </c>
      <c r="E539" s="195">
        <f>IF(K539="","",INDEX('差動モデル'!$S:$S,K539))</f>
        <v/>
      </c>
      <c r="F539" s="195">
        <f>IF(OR(A539="",B539=""),"",100*(D539-B539)/MAX(B539,1E-12))</f>
        <v/>
      </c>
      <c r="G539" s="195">
        <f>IF(OR(A539="",C539=""),"",E539-C539)</f>
        <v/>
      </c>
      <c r="H539" s="195">
        <f>IF(A539="","",LOG10(A539))</f>
        <v/>
      </c>
      <c r="I539" s="195">
        <f>IF(B539="","",LOG10(MAX(B539,1E-12)))</f>
        <v/>
      </c>
      <c r="J539" s="195">
        <f>IF(D539="","",LOG10(MAX(D539,1E-12)))</f>
        <v/>
      </c>
      <c r="K539">
        <f>IF(A539="","",ROUND(1+(LOG10(A539)-LOG10('入力・概要'!$B$38))*('入力・概要'!$B$40-1)/(LOG10('入力・概要'!$B$39)-LOG10('入力・概要'!$B$38)),0)+3)</f>
        <v/>
      </c>
      <c r="L539">
        <f>IF(K539="","",INDEX('差動モデル'!$B:$B,K539))</f>
        <v/>
      </c>
      <c r="M539">
        <f>IF(A539="","",IF(ABS(L539/A539-1)&lt;0.01,"周波数差&lt;1%","周波数差あり"))</f>
        <v/>
      </c>
    </row>
    <row r="540">
      <c r="A540" s="197" t="n"/>
      <c r="B540" s="198" t="n"/>
      <c r="C540" s="198" t="n"/>
      <c r="D540" s="195">
        <f>IF(K540="","",INDEX('差動モデル'!$R:$R,K540))</f>
        <v/>
      </c>
      <c r="E540" s="195">
        <f>IF(K540="","",INDEX('差動モデル'!$S:$S,K540))</f>
        <v/>
      </c>
      <c r="F540" s="195">
        <f>IF(OR(A540="",B540=""),"",100*(D540-B540)/MAX(B540,1E-12))</f>
        <v/>
      </c>
      <c r="G540" s="195">
        <f>IF(OR(A540="",C540=""),"",E540-C540)</f>
        <v/>
      </c>
      <c r="H540" s="195">
        <f>IF(A540="","",LOG10(A540))</f>
        <v/>
      </c>
      <c r="I540" s="195">
        <f>IF(B540="","",LOG10(MAX(B540,1E-12)))</f>
        <v/>
      </c>
      <c r="J540" s="195">
        <f>IF(D540="","",LOG10(MAX(D540,1E-12)))</f>
        <v/>
      </c>
      <c r="K540">
        <f>IF(A540="","",ROUND(1+(LOG10(A540)-LOG10('入力・概要'!$B$38))*('入力・概要'!$B$40-1)/(LOG10('入力・概要'!$B$39)-LOG10('入力・概要'!$B$38)),0)+3)</f>
        <v/>
      </c>
      <c r="L540">
        <f>IF(K540="","",INDEX('差動モデル'!$B:$B,K540))</f>
        <v/>
      </c>
      <c r="M540">
        <f>IF(A540="","",IF(ABS(L540/A540-1)&lt;0.01,"周波数差&lt;1%","周波数差あり"))</f>
        <v/>
      </c>
    </row>
    <row r="541">
      <c r="A541" s="197" t="n"/>
      <c r="B541" s="198" t="n"/>
      <c r="C541" s="198" t="n"/>
      <c r="D541" s="195">
        <f>IF(K541="","",INDEX('差動モデル'!$R:$R,K541))</f>
        <v/>
      </c>
      <c r="E541" s="195">
        <f>IF(K541="","",INDEX('差動モデル'!$S:$S,K541))</f>
        <v/>
      </c>
      <c r="F541" s="195">
        <f>IF(OR(A541="",B541=""),"",100*(D541-B541)/MAX(B541,1E-12))</f>
        <v/>
      </c>
      <c r="G541" s="195">
        <f>IF(OR(A541="",C541=""),"",E541-C541)</f>
        <v/>
      </c>
      <c r="H541" s="195">
        <f>IF(A541="","",LOG10(A541))</f>
        <v/>
      </c>
      <c r="I541" s="195">
        <f>IF(B541="","",LOG10(MAX(B541,1E-12)))</f>
        <v/>
      </c>
      <c r="J541" s="195">
        <f>IF(D541="","",LOG10(MAX(D541,1E-12)))</f>
        <v/>
      </c>
      <c r="K541">
        <f>IF(A541="","",ROUND(1+(LOG10(A541)-LOG10('入力・概要'!$B$38))*('入力・概要'!$B$40-1)/(LOG10('入力・概要'!$B$39)-LOG10('入力・概要'!$B$38)),0)+3)</f>
        <v/>
      </c>
      <c r="L541">
        <f>IF(K541="","",INDEX('差動モデル'!$B:$B,K541))</f>
        <v/>
      </c>
      <c r="M541">
        <f>IF(A541="","",IF(ABS(L541/A541-1)&lt;0.01,"周波数差&lt;1%","周波数差あり"))</f>
        <v/>
      </c>
    </row>
    <row r="542">
      <c r="A542" s="197" t="n"/>
      <c r="B542" s="198" t="n"/>
      <c r="C542" s="198" t="n"/>
      <c r="D542" s="195">
        <f>IF(K542="","",INDEX('差動モデル'!$R:$R,K542))</f>
        <v/>
      </c>
      <c r="E542" s="195">
        <f>IF(K542="","",INDEX('差動モデル'!$S:$S,K542))</f>
        <v/>
      </c>
      <c r="F542" s="195">
        <f>IF(OR(A542="",B542=""),"",100*(D542-B542)/MAX(B542,1E-12))</f>
        <v/>
      </c>
      <c r="G542" s="195">
        <f>IF(OR(A542="",C542=""),"",E542-C542)</f>
        <v/>
      </c>
      <c r="H542" s="195">
        <f>IF(A542="","",LOG10(A542))</f>
        <v/>
      </c>
      <c r="I542" s="195">
        <f>IF(B542="","",LOG10(MAX(B542,1E-12)))</f>
        <v/>
      </c>
      <c r="J542" s="195">
        <f>IF(D542="","",LOG10(MAX(D542,1E-12)))</f>
        <v/>
      </c>
      <c r="K542">
        <f>IF(A542="","",ROUND(1+(LOG10(A542)-LOG10('入力・概要'!$B$38))*('入力・概要'!$B$40-1)/(LOG10('入力・概要'!$B$39)-LOG10('入力・概要'!$B$38)),0)+3)</f>
        <v/>
      </c>
      <c r="L542">
        <f>IF(K542="","",INDEX('差動モデル'!$B:$B,K542))</f>
        <v/>
      </c>
      <c r="M542">
        <f>IF(A542="","",IF(ABS(L542/A542-1)&lt;0.01,"周波数差&lt;1%","周波数差あり"))</f>
        <v/>
      </c>
    </row>
    <row r="543">
      <c r="A543" s="197" t="n"/>
      <c r="B543" s="198" t="n"/>
      <c r="C543" s="198" t="n"/>
      <c r="D543" s="195">
        <f>IF(K543="","",INDEX('差動モデル'!$R:$R,K543))</f>
        <v/>
      </c>
      <c r="E543" s="195">
        <f>IF(K543="","",INDEX('差動モデル'!$S:$S,K543))</f>
        <v/>
      </c>
      <c r="F543" s="195">
        <f>IF(OR(A543="",B543=""),"",100*(D543-B543)/MAX(B543,1E-12))</f>
        <v/>
      </c>
      <c r="G543" s="195">
        <f>IF(OR(A543="",C543=""),"",E543-C543)</f>
        <v/>
      </c>
      <c r="H543" s="195">
        <f>IF(A543="","",LOG10(A543))</f>
        <v/>
      </c>
      <c r="I543" s="195">
        <f>IF(B543="","",LOG10(MAX(B543,1E-12)))</f>
        <v/>
      </c>
      <c r="J543" s="195">
        <f>IF(D543="","",LOG10(MAX(D543,1E-12)))</f>
        <v/>
      </c>
      <c r="K543">
        <f>IF(A543="","",ROUND(1+(LOG10(A543)-LOG10('入力・概要'!$B$38))*('入力・概要'!$B$40-1)/(LOG10('入力・概要'!$B$39)-LOG10('入力・概要'!$B$38)),0)+3)</f>
        <v/>
      </c>
      <c r="L543">
        <f>IF(K543="","",INDEX('差動モデル'!$B:$B,K543))</f>
        <v/>
      </c>
      <c r="M543">
        <f>IF(A543="","",IF(ABS(L543/A543-1)&lt;0.01,"周波数差&lt;1%","周波数差あり"))</f>
        <v/>
      </c>
    </row>
    <row r="544">
      <c r="A544" s="197" t="n"/>
      <c r="B544" s="198" t="n"/>
      <c r="C544" s="198" t="n"/>
      <c r="D544" s="195">
        <f>IF(K544="","",INDEX('差動モデル'!$R:$R,K544))</f>
        <v/>
      </c>
      <c r="E544" s="195">
        <f>IF(K544="","",INDEX('差動モデル'!$S:$S,K544))</f>
        <v/>
      </c>
      <c r="F544" s="195">
        <f>IF(OR(A544="",B544=""),"",100*(D544-B544)/MAX(B544,1E-12))</f>
        <v/>
      </c>
      <c r="G544" s="195">
        <f>IF(OR(A544="",C544=""),"",E544-C544)</f>
        <v/>
      </c>
      <c r="H544" s="195">
        <f>IF(A544="","",LOG10(A544))</f>
        <v/>
      </c>
      <c r="I544" s="195">
        <f>IF(B544="","",LOG10(MAX(B544,1E-12)))</f>
        <v/>
      </c>
      <c r="J544" s="195">
        <f>IF(D544="","",LOG10(MAX(D544,1E-12)))</f>
        <v/>
      </c>
      <c r="K544">
        <f>IF(A544="","",ROUND(1+(LOG10(A544)-LOG10('入力・概要'!$B$38))*('入力・概要'!$B$40-1)/(LOG10('入力・概要'!$B$39)-LOG10('入力・概要'!$B$38)),0)+3)</f>
        <v/>
      </c>
      <c r="L544">
        <f>IF(K544="","",INDEX('差動モデル'!$B:$B,K544))</f>
        <v/>
      </c>
      <c r="M544">
        <f>IF(A544="","",IF(ABS(L544/A544-1)&lt;0.01,"周波数差&lt;1%","周波数差あり"))</f>
        <v/>
      </c>
    </row>
    <row r="545">
      <c r="A545" s="197" t="n"/>
      <c r="B545" s="198" t="n"/>
      <c r="C545" s="198" t="n"/>
      <c r="D545" s="195">
        <f>IF(K545="","",INDEX('差動モデル'!$R:$R,K545))</f>
        <v/>
      </c>
      <c r="E545" s="195">
        <f>IF(K545="","",INDEX('差動モデル'!$S:$S,K545))</f>
        <v/>
      </c>
      <c r="F545" s="195">
        <f>IF(OR(A545="",B545=""),"",100*(D545-B545)/MAX(B545,1E-12))</f>
        <v/>
      </c>
      <c r="G545" s="195">
        <f>IF(OR(A545="",C545=""),"",E545-C545)</f>
        <v/>
      </c>
      <c r="H545" s="195">
        <f>IF(A545="","",LOG10(A545))</f>
        <v/>
      </c>
      <c r="I545" s="195">
        <f>IF(B545="","",LOG10(MAX(B545,1E-12)))</f>
        <v/>
      </c>
      <c r="J545" s="195">
        <f>IF(D545="","",LOG10(MAX(D545,1E-12)))</f>
        <v/>
      </c>
      <c r="K545">
        <f>IF(A545="","",ROUND(1+(LOG10(A545)-LOG10('入力・概要'!$B$38))*('入力・概要'!$B$40-1)/(LOG10('入力・概要'!$B$39)-LOG10('入力・概要'!$B$38)),0)+3)</f>
        <v/>
      </c>
      <c r="L545">
        <f>IF(K545="","",INDEX('差動モデル'!$B:$B,K545))</f>
        <v/>
      </c>
      <c r="M545">
        <f>IF(A545="","",IF(ABS(L545/A545-1)&lt;0.01,"周波数差&lt;1%","周波数差あり"))</f>
        <v/>
      </c>
    </row>
    <row r="546">
      <c r="A546" s="197" t="n"/>
      <c r="B546" s="198" t="n"/>
      <c r="C546" s="198" t="n"/>
      <c r="D546" s="195">
        <f>IF(K546="","",INDEX('差動モデル'!$R:$R,K546))</f>
        <v/>
      </c>
      <c r="E546" s="195">
        <f>IF(K546="","",INDEX('差動モデル'!$S:$S,K546))</f>
        <v/>
      </c>
      <c r="F546" s="195">
        <f>IF(OR(A546="",B546=""),"",100*(D546-B546)/MAX(B546,1E-12))</f>
        <v/>
      </c>
      <c r="G546" s="195">
        <f>IF(OR(A546="",C546=""),"",E546-C546)</f>
        <v/>
      </c>
      <c r="H546" s="195">
        <f>IF(A546="","",LOG10(A546))</f>
        <v/>
      </c>
      <c r="I546" s="195">
        <f>IF(B546="","",LOG10(MAX(B546,1E-12)))</f>
        <v/>
      </c>
      <c r="J546" s="195">
        <f>IF(D546="","",LOG10(MAX(D546,1E-12)))</f>
        <v/>
      </c>
      <c r="K546">
        <f>IF(A546="","",ROUND(1+(LOG10(A546)-LOG10('入力・概要'!$B$38))*('入力・概要'!$B$40-1)/(LOG10('入力・概要'!$B$39)-LOG10('入力・概要'!$B$38)),0)+3)</f>
        <v/>
      </c>
      <c r="L546">
        <f>IF(K546="","",INDEX('差動モデル'!$B:$B,K546))</f>
        <v/>
      </c>
      <c r="M546">
        <f>IF(A546="","",IF(ABS(L546/A546-1)&lt;0.01,"周波数差&lt;1%","周波数差あり"))</f>
        <v/>
      </c>
    </row>
    <row r="547">
      <c r="A547" s="197" t="n"/>
      <c r="B547" s="198" t="n"/>
      <c r="C547" s="198" t="n"/>
      <c r="D547" s="195">
        <f>IF(K547="","",INDEX('差動モデル'!$R:$R,K547))</f>
        <v/>
      </c>
      <c r="E547" s="195">
        <f>IF(K547="","",INDEX('差動モデル'!$S:$S,K547))</f>
        <v/>
      </c>
      <c r="F547" s="195">
        <f>IF(OR(A547="",B547=""),"",100*(D547-B547)/MAX(B547,1E-12))</f>
        <v/>
      </c>
      <c r="G547" s="195">
        <f>IF(OR(A547="",C547=""),"",E547-C547)</f>
        <v/>
      </c>
      <c r="H547" s="195">
        <f>IF(A547="","",LOG10(A547))</f>
        <v/>
      </c>
      <c r="I547" s="195">
        <f>IF(B547="","",LOG10(MAX(B547,1E-12)))</f>
        <v/>
      </c>
      <c r="J547" s="195">
        <f>IF(D547="","",LOG10(MAX(D547,1E-12)))</f>
        <v/>
      </c>
      <c r="K547">
        <f>IF(A547="","",ROUND(1+(LOG10(A547)-LOG10('入力・概要'!$B$38))*('入力・概要'!$B$40-1)/(LOG10('入力・概要'!$B$39)-LOG10('入力・概要'!$B$38)),0)+3)</f>
        <v/>
      </c>
      <c r="L547">
        <f>IF(K547="","",INDEX('差動モデル'!$B:$B,K547))</f>
        <v/>
      </c>
      <c r="M547">
        <f>IF(A547="","",IF(ABS(L547/A547-1)&lt;0.01,"周波数差&lt;1%","周波数差あり"))</f>
        <v/>
      </c>
    </row>
    <row r="548">
      <c r="A548" s="197" t="n"/>
      <c r="B548" s="198" t="n"/>
      <c r="C548" s="198" t="n"/>
      <c r="D548" s="195">
        <f>IF(K548="","",INDEX('差動モデル'!$R:$R,K548))</f>
        <v/>
      </c>
      <c r="E548" s="195">
        <f>IF(K548="","",INDEX('差動モデル'!$S:$S,K548))</f>
        <v/>
      </c>
      <c r="F548" s="195">
        <f>IF(OR(A548="",B548=""),"",100*(D548-B548)/MAX(B548,1E-12))</f>
        <v/>
      </c>
      <c r="G548" s="195">
        <f>IF(OR(A548="",C548=""),"",E548-C548)</f>
        <v/>
      </c>
      <c r="H548" s="195">
        <f>IF(A548="","",LOG10(A548))</f>
        <v/>
      </c>
      <c r="I548" s="195">
        <f>IF(B548="","",LOG10(MAX(B548,1E-12)))</f>
        <v/>
      </c>
      <c r="J548" s="195">
        <f>IF(D548="","",LOG10(MAX(D548,1E-12)))</f>
        <v/>
      </c>
      <c r="K548">
        <f>IF(A548="","",ROUND(1+(LOG10(A548)-LOG10('入力・概要'!$B$38))*('入力・概要'!$B$40-1)/(LOG10('入力・概要'!$B$39)-LOG10('入力・概要'!$B$38)),0)+3)</f>
        <v/>
      </c>
      <c r="L548">
        <f>IF(K548="","",INDEX('差動モデル'!$B:$B,K548))</f>
        <v/>
      </c>
      <c r="M548">
        <f>IF(A548="","",IF(ABS(L548/A548-1)&lt;0.01,"周波数差&lt;1%","周波数差あり"))</f>
        <v/>
      </c>
    </row>
    <row r="549">
      <c r="A549" s="197" t="n"/>
      <c r="B549" s="198" t="n"/>
      <c r="C549" s="198" t="n"/>
      <c r="D549" s="195">
        <f>IF(K549="","",INDEX('差動モデル'!$R:$R,K549))</f>
        <v/>
      </c>
      <c r="E549" s="195">
        <f>IF(K549="","",INDEX('差動モデル'!$S:$S,K549))</f>
        <v/>
      </c>
      <c r="F549" s="195">
        <f>IF(OR(A549="",B549=""),"",100*(D549-B549)/MAX(B549,1E-12))</f>
        <v/>
      </c>
      <c r="G549" s="195">
        <f>IF(OR(A549="",C549=""),"",E549-C549)</f>
        <v/>
      </c>
      <c r="H549" s="195">
        <f>IF(A549="","",LOG10(A549))</f>
        <v/>
      </c>
      <c r="I549" s="195">
        <f>IF(B549="","",LOG10(MAX(B549,1E-12)))</f>
        <v/>
      </c>
      <c r="J549" s="195">
        <f>IF(D549="","",LOG10(MAX(D549,1E-12)))</f>
        <v/>
      </c>
      <c r="K549">
        <f>IF(A549="","",ROUND(1+(LOG10(A549)-LOG10('入力・概要'!$B$38))*('入力・概要'!$B$40-1)/(LOG10('入力・概要'!$B$39)-LOG10('入力・概要'!$B$38)),0)+3)</f>
        <v/>
      </c>
      <c r="L549">
        <f>IF(K549="","",INDEX('差動モデル'!$B:$B,K549))</f>
        <v/>
      </c>
      <c r="M549">
        <f>IF(A549="","",IF(ABS(L549/A549-1)&lt;0.01,"周波数差&lt;1%","周波数差あり"))</f>
        <v/>
      </c>
    </row>
    <row r="550">
      <c r="A550" s="197" t="n"/>
      <c r="B550" s="198" t="n"/>
      <c r="C550" s="198" t="n"/>
      <c r="D550" s="195">
        <f>IF(K550="","",INDEX('差動モデル'!$R:$R,K550))</f>
        <v/>
      </c>
      <c r="E550" s="195">
        <f>IF(K550="","",INDEX('差動モデル'!$S:$S,K550))</f>
        <v/>
      </c>
      <c r="F550" s="195">
        <f>IF(OR(A550="",B550=""),"",100*(D550-B550)/MAX(B550,1E-12))</f>
        <v/>
      </c>
      <c r="G550" s="195">
        <f>IF(OR(A550="",C550=""),"",E550-C550)</f>
        <v/>
      </c>
      <c r="H550" s="195">
        <f>IF(A550="","",LOG10(A550))</f>
        <v/>
      </c>
      <c r="I550" s="195">
        <f>IF(B550="","",LOG10(MAX(B550,1E-12)))</f>
        <v/>
      </c>
      <c r="J550" s="195">
        <f>IF(D550="","",LOG10(MAX(D550,1E-12)))</f>
        <v/>
      </c>
      <c r="K550">
        <f>IF(A550="","",ROUND(1+(LOG10(A550)-LOG10('入力・概要'!$B$38))*('入力・概要'!$B$40-1)/(LOG10('入力・概要'!$B$39)-LOG10('入力・概要'!$B$38)),0)+3)</f>
        <v/>
      </c>
      <c r="L550">
        <f>IF(K550="","",INDEX('差動モデル'!$B:$B,K550))</f>
        <v/>
      </c>
      <c r="M550">
        <f>IF(A550="","",IF(ABS(L550/A550-1)&lt;0.01,"周波数差&lt;1%","周波数差あり"))</f>
        <v/>
      </c>
    </row>
    <row r="551">
      <c r="A551" s="197" t="n"/>
      <c r="B551" s="198" t="n"/>
      <c r="C551" s="198" t="n"/>
      <c r="D551" s="195">
        <f>IF(K551="","",INDEX('差動モデル'!$R:$R,K551))</f>
        <v/>
      </c>
      <c r="E551" s="195">
        <f>IF(K551="","",INDEX('差動モデル'!$S:$S,K551))</f>
        <v/>
      </c>
      <c r="F551" s="195">
        <f>IF(OR(A551="",B551=""),"",100*(D551-B551)/MAX(B551,1E-12))</f>
        <v/>
      </c>
      <c r="G551" s="195">
        <f>IF(OR(A551="",C551=""),"",E551-C551)</f>
        <v/>
      </c>
      <c r="H551" s="195">
        <f>IF(A551="","",LOG10(A551))</f>
        <v/>
      </c>
      <c r="I551" s="195">
        <f>IF(B551="","",LOG10(MAX(B551,1E-12)))</f>
        <v/>
      </c>
      <c r="J551" s="195">
        <f>IF(D551="","",LOG10(MAX(D551,1E-12)))</f>
        <v/>
      </c>
      <c r="K551">
        <f>IF(A551="","",ROUND(1+(LOG10(A551)-LOG10('入力・概要'!$B$38))*('入力・概要'!$B$40-1)/(LOG10('入力・概要'!$B$39)-LOG10('入力・概要'!$B$38)),0)+3)</f>
        <v/>
      </c>
      <c r="L551">
        <f>IF(K551="","",INDEX('差動モデル'!$B:$B,K551))</f>
        <v/>
      </c>
      <c r="M551">
        <f>IF(A551="","",IF(ABS(L551/A551-1)&lt;0.01,"周波数差&lt;1%","周波数差あり"))</f>
        <v/>
      </c>
    </row>
    <row r="552">
      <c r="A552" s="197" t="n"/>
      <c r="B552" s="198" t="n"/>
      <c r="C552" s="198" t="n"/>
      <c r="D552" s="195">
        <f>IF(K552="","",INDEX('差動モデル'!$R:$R,K552))</f>
        <v/>
      </c>
      <c r="E552" s="195">
        <f>IF(K552="","",INDEX('差動モデル'!$S:$S,K552))</f>
        <v/>
      </c>
      <c r="F552" s="195">
        <f>IF(OR(A552="",B552=""),"",100*(D552-B552)/MAX(B552,1E-12))</f>
        <v/>
      </c>
      <c r="G552" s="195">
        <f>IF(OR(A552="",C552=""),"",E552-C552)</f>
        <v/>
      </c>
      <c r="H552" s="195">
        <f>IF(A552="","",LOG10(A552))</f>
        <v/>
      </c>
      <c r="I552" s="195">
        <f>IF(B552="","",LOG10(MAX(B552,1E-12)))</f>
        <v/>
      </c>
      <c r="J552" s="195">
        <f>IF(D552="","",LOG10(MAX(D552,1E-12)))</f>
        <v/>
      </c>
      <c r="K552">
        <f>IF(A552="","",ROUND(1+(LOG10(A552)-LOG10('入力・概要'!$B$38))*('入力・概要'!$B$40-1)/(LOG10('入力・概要'!$B$39)-LOG10('入力・概要'!$B$38)),0)+3)</f>
        <v/>
      </c>
      <c r="L552">
        <f>IF(K552="","",INDEX('差動モデル'!$B:$B,K552))</f>
        <v/>
      </c>
      <c r="M552">
        <f>IF(A552="","",IF(ABS(L552/A552-1)&lt;0.01,"周波数差&lt;1%","周波数差あり"))</f>
        <v/>
      </c>
    </row>
    <row r="553">
      <c r="A553" s="197" t="n"/>
      <c r="B553" s="198" t="n"/>
      <c r="C553" s="198" t="n"/>
      <c r="D553" s="195">
        <f>IF(K553="","",INDEX('差動モデル'!$R:$R,K553))</f>
        <v/>
      </c>
      <c r="E553" s="195">
        <f>IF(K553="","",INDEX('差動モデル'!$S:$S,K553))</f>
        <v/>
      </c>
      <c r="F553" s="195">
        <f>IF(OR(A553="",B553=""),"",100*(D553-B553)/MAX(B553,1E-12))</f>
        <v/>
      </c>
      <c r="G553" s="195">
        <f>IF(OR(A553="",C553=""),"",E553-C553)</f>
        <v/>
      </c>
      <c r="H553" s="195">
        <f>IF(A553="","",LOG10(A553))</f>
        <v/>
      </c>
      <c r="I553" s="195">
        <f>IF(B553="","",LOG10(MAX(B553,1E-12)))</f>
        <v/>
      </c>
      <c r="J553" s="195">
        <f>IF(D553="","",LOG10(MAX(D553,1E-12)))</f>
        <v/>
      </c>
      <c r="K553">
        <f>IF(A553="","",ROUND(1+(LOG10(A553)-LOG10('入力・概要'!$B$38))*('入力・概要'!$B$40-1)/(LOG10('入力・概要'!$B$39)-LOG10('入力・概要'!$B$38)),0)+3)</f>
        <v/>
      </c>
      <c r="L553">
        <f>IF(K553="","",INDEX('差動モデル'!$B:$B,K553))</f>
        <v/>
      </c>
      <c r="M553">
        <f>IF(A553="","",IF(ABS(L553/A553-1)&lt;0.01,"周波数差&lt;1%","周波数差あり"))</f>
        <v/>
      </c>
    </row>
    <row r="554">
      <c r="A554" s="197" t="n"/>
      <c r="B554" s="198" t="n"/>
      <c r="C554" s="198" t="n"/>
      <c r="D554" s="195">
        <f>IF(K554="","",INDEX('差動モデル'!$R:$R,K554))</f>
        <v/>
      </c>
      <c r="E554" s="195">
        <f>IF(K554="","",INDEX('差動モデル'!$S:$S,K554))</f>
        <v/>
      </c>
      <c r="F554" s="195">
        <f>IF(OR(A554="",B554=""),"",100*(D554-B554)/MAX(B554,1E-12))</f>
        <v/>
      </c>
      <c r="G554" s="195">
        <f>IF(OR(A554="",C554=""),"",E554-C554)</f>
        <v/>
      </c>
      <c r="H554" s="195">
        <f>IF(A554="","",LOG10(A554))</f>
        <v/>
      </c>
      <c r="I554" s="195">
        <f>IF(B554="","",LOG10(MAX(B554,1E-12)))</f>
        <v/>
      </c>
      <c r="J554" s="195">
        <f>IF(D554="","",LOG10(MAX(D554,1E-12)))</f>
        <v/>
      </c>
      <c r="K554">
        <f>IF(A554="","",ROUND(1+(LOG10(A554)-LOG10('入力・概要'!$B$38))*('入力・概要'!$B$40-1)/(LOG10('入力・概要'!$B$39)-LOG10('入力・概要'!$B$38)),0)+3)</f>
        <v/>
      </c>
      <c r="L554">
        <f>IF(K554="","",INDEX('差動モデル'!$B:$B,K554))</f>
        <v/>
      </c>
      <c r="M554">
        <f>IF(A554="","",IF(ABS(L554/A554-1)&lt;0.01,"周波数差&lt;1%","周波数差あり"))</f>
        <v/>
      </c>
    </row>
    <row r="555">
      <c r="A555" s="197" t="n"/>
      <c r="B555" s="198" t="n"/>
      <c r="C555" s="198" t="n"/>
      <c r="D555" s="195">
        <f>IF(K555="","",INDEX('差動モデル'!$R:$R,K555))</f>
        <v/>
      </c>
      <c r="E555" s="195">
        <f>IF(K555="","",INDEX('差動モデル'!$S:$S,K555))</f>
        <v/>
      </c>
      <c r="F555" s="195">
        <f>IF(OR(A555="",B555=""),"",100*(D555-B555)/MAX(B555,1E-12))</f>
        <v/>
      </c>
      <c r="G555" s="195">
        <f>IF(OR(A555="",C555=""),"",E555-C555)</f>
        <v/>
      </c>
      <c r="H555" s="195">
        <f>IF(A555="","",LOG10(A555))</f>
        <v/>
      </c>
      <c r="I555" s="195">
        <f>IF(B555="","",LOG10(MAX(B555,1E-12)))</f>
        <v/>
      </c>
      <c r="J555" s="195">
        <f>IF(D555="","",LOG10(MAX(D555,1E-12)))</f>
        <v/>
      </c>
      <c r="K555">
        <f>IF(A555="","",ROUND(1+(LOG10(A555)-LOG10('入力・概要'!$B$38))*('入力・概要'!$B$40-1)/(LOG10('入力・概要'!$B$39)-LOG10('入力・概要'!$B$38)),0)+3)</f>
        <v/>
      </c>
      <c r="L555">
        <f>IF(K555="","",INDEX('差動モデル'!$B:$B,K555))</f>
        <v/>
      </c>
      <c r="M555">
        <f>IF(A555="","",IF(ABS(L555/A555-1)&lt;0.01,"周波数差&lt;1%","周波数差あり"))</f>
        <v/>
      </c>
    </row>
    <row r="556">
      <c r="A556" s="197" t="n"/>
      <c r="B556" s="198" t="n"/>
      <c r="C556" s="198" t="n"/>
      <c r="D556" s="195">
        <f>IF(K556="","",INDEX('差動モデル'!$R:$R,K556))</f>
        <v/>
      </c>
      <c r="E556" s="195">
        <f>IF(K556="","",INDEX('差動モデル'!$S:$S,K556))</f>
        <v/>
      </c>
      <c r="F556" s="195">
        <f>IF(OR(A556="",B556=""),"",100*(D556-B556)/MAX(B556,1E-12))</f>
        <v/>
      </c>
      <c r="G556" s="195">
        <f>IF(OR(A556="",C556=""),"",E556-C556)</f>
        <v/>
      </c>
      <c r="H556" s="195">
        <f>IF(A556="","",LOG10(A556))</f>
        <v/>
      </c>
      <c r="I556" s="195">
        <f>IF(B556="","",LOG10(MAX(B556,1E-12)))</f>
        <v/>
      </c>
      <c r="J556" s="195">
        <f>IF(D556="","",LOG10(MAX(D556,1E-12)))</f>
        <v/>
      </c>
      <c r="K556">
        <f>IF(A556="","",ROUND(1+(LOG10(A556)-LOG10('入力・概要'!$B$38))*('入力・概要'!$B$40-1)/(LOG10('入力・概要'!$B$39)-LOG10('入力・概要'!$B$38)),0)+3)</f>
        <v/>
      </c>
      <c r="L556">
        <f>IF(K556="","",INDEX('差動モデル'!$B:$B,K556))</f>
        <v/>
      </c>
      <c r="M556">
        <f>IF(A556="","",IF(ABS(L556/A556-1)&lt;0.01,"周波数差&lt;1%","周波数差あり"))</f>
        <v/>
      </c>
    </row>
    <row r="557">
      <c r="A557" s="197" t="n"/>
      <c r="B557" s="198" t="n"/>
      <c r="C557" s="198" t="n"/>
      <c r="D557" s="195">
        <f>IF(K557="","",INDEX('差動モデル'!$R:$R,K557))</f>
        <v/>
      </c>
      <c r="E557" s="195">
        <f>IF(K557="","",INDEX('差動モデル'!$S:$S,K557))</f>
        <v/>
      </c>
      <c r="F557" s="195">
        <f>IF(OR(A557="",B557=""),"",100*(D557-B557)/MAX(B557,1E-12))</f>
        <v/>
      </c>
      <c r="G557" s="195">
        <f>IF(OR(A557="",C557=""),"",E557-C557)</f>
        <v/>
      </c>
      <c r="H557" s="195">
        <f>IF(A557="","",LOG10(A557))</f>
        <v/>
      </c>
      <c r="I557" s="195">
        <f>IF(B557="","",LOG10(MAX(B557,1E-12)))</f>
        <v/>
      </c>
      <c r="J557" s="195">
        <f>IF(D557="","",LOG10(MAX(D557,1E-12)))</f>
        <v/>
      </c>
      <c r="K557">
        <f>IF(A557="","",ROUND(1+(LOG10(A557)-LOG10('入力・概要'!$B$38))*('入力・概要'!$B$40-1)/(LOG10('入力・概要'!$B$39)-LOG10('入力・概要'!$B$38)),0)+3)</f>
        <v/>
      </c>
      <c r="L557">
        <f>IF(K557="","",INDEX('差動モデル'!$B:$B,K557))</f>
        <v/>
      </c>
      <c r="M557">
        <f>IF(A557="","",IF(ABS(L557/A557-1)&lt;0.01,"周波数差&lt;1%","周波数差あり"))</f>
        <v/>
      </c>
    </row>
    <row r="558">
      <c r="A558" s="197" t="n"/>
      <c r="B558" s="198" t="n"/>
      <c r="C558" s="198" t="n"/>
      <c r="D558" s="195">
        <f>IF(K558="","",INDEX('差動モデル'!$R:$R,K558))</f>
        <v/>
      </c>
      <c r="E558" s="195">
        <f>IF(K558="","",INDEX('差動モデル'!$S:$S,K558))</f>
        <v/>
      </c>
      <c r="F558" s="195">
        <f>IF(OR(A558="",B558=""),"",100*(D558-B558)/MAX(B558,1E-12))</f>
        <v/>
      </c>
      <c r="G558" s="195">
        <f>IF(OR(A558="",C558=""),"",E558-C558)</f>
        <v/>
      </c>
      <c r="H558" s="195">
        <f>IF(A558="","",LOG10(A558))</f>
        <v/>
      </c>
      <c r="I558" s="195">
        <f>IF(B558="","",LOG10(MAX(B558,1E-12)))</f>
        <v/>
      </c>
      <c r="J558" s="195">
        <f>IF(D558="","",LOG10(MAX(D558,1E-12)))</f>
        <v/>
      </c>
      <c r="K558">
        <f>IF(A558="","",ROUND(1+(LOG10(A558)-LOG10('入力・概要'!$B$38))*('入力・概要'!$B$40-1)/(LOG10('入力・概要'!$B$39)-LOG10('入力・概要'!$B$38)),0)+3)</f>
        <v/>
      </c>
      <c r="L558">
        <f>IF(K558="","",INDEX('差動モデル'!$B:$B,K558))</f>
        <v/>
      </c>
      <c r="M558">
        <f>IF(A558="","",IF(ABS(L558/A558-1)&lt;0.01,"周波数差&lt;1%","周波数差あり"))</f>
        <v/>
      </c>
    </row>
    <row r="559">
      <c r="A559" s="197" t="n"/>
      <c r="B559" s="198" t="n"/>
      <c r="C559" s="198" t="n"/>
      <c r="D559" s="195">
        <f>IF(K559="","",INDEX('差動モデル'!$R:$R,K559))</f>
        <v/>
      </c>
      <c r="E559" s="195">
        <f>IF(K559="","",INDEX('差動モデル'!$S:$S,K559))</f>
        <v/>
      </c>
      <c r="F559" s="195">
        <f>IF(OR(A559="",B559=""),"",100*(D559-B559)/MAX(B559,1E-12))</f>
        <v/>
      </c>
      <c r="G559" s="195">
        <f>IF(OR(A559="",C559=""),"",E559-C559)</f>
        <v/>
      </c>
      <c r="H559" s="195">
        <f>IF(A559="","",LOG10(A559))</f>
        <v/>
      </c>
      <c r="I559" s="195">
        <f>IF(B559="","",LOG10(MAX(B559,1E-12)))</f>
        <v/>
      </c>
      <c r="J559" s="195">
        <f>IF(D559="","",LOG10(MAX(D559,1E-12)))</f>
        <v/>
      </c>
      <c r="K559">
        <f>IF(A559="","",ROUND(1+(LOG10(A559)-LOG10('入力・概要'!$B$38))*('入力・概要'!$B$40-1)/(LOG10('入力・概要'!$B$39)-LOG10('入力・概要'!$B$38)),0)+3)</f>
        <v/>
      </c>
      <c r="L559">
        <f>IF(K559="","",INDEX('差動モデル'!$B:$B,K559))</f>
        <v/>
      </c>
      <c r="M559">
        <f>IF(A559="","",IF(ABS(L559/A559-1)&lt;0.01,"周波数差&lt;1%","周波数差あり"))</f>
        <v/>
      </c>
    </row>
    <row r="560">
      <c r="A560" s="197" t="n"/>
      <c r="B560" s="198" t="n"/>
      <c r="C560" s="198" t="n"/>
      <c r="D560" s="195">
        <f>IF(K560="","",INDEX('差動モデル'!$R:$R,K560))</f>
        <v/>
      </c>
      <c r="E560" s="195">
        <f>IF(K560="","",INDEX('差動モデル'!$S:$S,K560))</f>
        <v/>
      </c>
      <c r="F560" s="195">
        <f>IF(OR(A560="",B560=""),"",100*(D560-B560)/MAX(B560,1E-12))</f>
        <v/>
      </c>
      <c r="G560" s="195">
        <f>IF(OR(A560="",C560=""),"",E560-C560)</f>
        <v/>
      </c>
      <c r="H560" s="195">
        <f>IF(A560="","",LOG10(A560))</f>
        <v/>
      </c>
      <c r="I560" s="195">
        <f>IF(B560="","",LOG10(MAX(B560,1E-12)))</f>
        <v/>
      </c>
      <c r="J560" s="195">
        <f>IF(D560="","",LOG10(MAX(D560,1E-12)))</f>
        <v/>
      </c>
      <c r="K560">
        <f>IF(A560="","",ROUND(1+(LOG10(A560)-LOG10('入力・概要'!$B$38))*('入力・概要'!$B$40-1)/(LOG10('入力・概要'!$B$39)-LOG10('入力・概要'!$B$38)),0)+3)</f>
        <v/>
      </c>
      <c r="L560">
        <f>IF(K560="","",INDEX('差動モデル'!$B:$B,K560))</f>
        <v/>
      </c>
      <c r="M560">
        <f>IF(A560="","",IF(ABS(L560/A560-1)&lt;0.01,"周波数差&lt;1%","周波数差あり"))</f>
        <v/>
      </c>
    </row>
    <row r="561">
      <c r="A561" s="197" t="n"/>
      <c r="B561" s="198" t="n"/>
      <c r="C561" s="198" t="n"/>
      <c r="D561" s="195">
        <f>IF(K561="","",INDEX('差動モデル'!$R:$R,K561))</f>
        <v/>
      </c>
      <c r="E561" s="195">
        <f>IF(K561="","",INDEX('差動モデル'!$S:$S,K561))</f>
        <v/>
      </c>
      <c r="F561" s="195">
        <f>IF(OR(A561="",B561=""),"",100*(D561-B561)/MAX(B561,1E-12))</f>
        <v/>
      </c>
      <c r="G561" s="195">
        <f>IF(OR(A561="",C561=""),"",E561-C561)</f>
        <v/>
      </c>
      <c r="H561" s="195">
        <f>IF(A561="","",LOG10(A561))</f>
        <v/>
      </c>
      <c r="I561" s="195">
        <f>IF(B561="","",LOG10(MAX(B561,1E-12)))</f>
        <v/>
      </c>
      <c r="J561" s="195">
        <f>IF(D561="","",LOG10(MAX(D561,1E-12)))</f>
        <v/>
      </c>
      <c r="K561">
        <f>IF(A561="","",ROUND(1+(LOG10(A561)-LOG10('入力・概要'!$B$38))*('入力・概要'!$B$40-1)/(LOG10('入力・概要'!$B$39)-LOG10('入力・概要'!$B$38)),0)+3)</f>
        <v/>
      </c>
      <c r="L561">
        <f>IF(K561="","",INDEX('差動モデル'!$B:$B,K561))</f>
        <v/>
      </c>
      <c r="M561">
        <f>IF(A561="","",IF(ABS(L561/A561-1)&lt;0.01,"周波数差&lt;1%","周波数差あり"))</f>
        <v/>
      </c>
    </row>
    <row r="562">
      <c r="A562" s="197" t="n"/>
      <c r="B562" s="198" t="n"/>
      <c r="C562" s="198" t="n"/>
      <c r="D562" s="195">
        <f>IF(K562="","",INDEX('差動モデル'!$R:$R,K562))</f>
        <v/>
      </c>
      <c r="E562" s="195">
        <f>IF(K562="","",INDEX('差動モデル'!$S:$S,K562))</f>
        <v/>
      </c>
      <c r="F562" s="195">
        <f>IF(OR(A562="",B562=""),"",100*(D562-B562)/MAX(B562,1E-12))</f>
        <v/>
      </c>
      <c r="G562" s="195">
        <f>IF(OR(A562="",C562=""),"",E562-C562)</f>
        <v/>
      </c>
      <c r="H562" s="195">
        <f>IF(A562="","",LOG10(A562))</f>
        <v/>
      </c>
      <c r="I562" s="195">
        <f>IF(B562="","",LOG10(MAX(B562,1E-12)))</f>
        <v/>
      </c>
      <c r="J562" s="195">
        <f>IF(D562="","",LOG10(MAX(D562,1E-12)))</f>
        <v/>
      </c>
      <c r="K562">
        <f>IF(A562="","",ROUND(1+(LOG10(A562)-LOG10('入力・概要'!$B$38))*('入力・概要'!$B$40-1)/(LOG10('入力・概要'!$B$39)-LOG10('入力・概要'!$B$38)),0)+3)</f>
        <v/>
      </c>
      <c r="L562">
        <f>IF(K562="","",INDEX('差動モデル'!$B:$B,K562))</f>
        <v/>
      </c>
      <c r="M562">
        <f>IF(A562="","",IF(ABS(L562/A562-1)&lt;0.01,"周波数差&lt;1%","周波数差あり"))</f>
        <v/>
      </c>
    </row>
    <row r="563">
      <c r="A563" s="197" t="n"/>
      <c r="B563" s="198" t="n"/>
      <c r="C563" s="198" t="n"/>
      <c r="D563" s="195">
        <f>IF(K563="","",INDEX('差動モデル'!$R:$R,K563))</f>
        <v/>
      </c>
      <c r="E563" s="195">
        <f>IF(K563="","",INDEX('差動モデル'!$S:$S,K563))</f>
        <v/>
      </c>
      <c r="F563" s="195">
        <f>IF(OR(A563="",B563=""),"",100*(D563-B563)/MAX(B563,1E-12))</f>
        <v/>
      </c>
      <c r="G563" s="195">
        <f>IF(OR(A563="",C563=""),"",E563-C563)</f>
        <v/>
      </c>
      <c r="H563" s="195">
        <f>IF(A563="","",LOG10(A563))</f>
        <v/>
      </c>
      <c r="I563" s="195">
        <f>IF(B563="","",LOG10(MAX(B563,1E-12)))</f>
        <v/>
      </c>
      <c r="J563" s="195">
        <f>IF(D563="","",LOG10(MAX(D563,1E-12)))</f>
        <v/>
      </c>
      <c r="K563">
        <f>IF(A563="","",ROUND(1+(LOG10(A563)-LOG10('入力・概要'!$B$38))*('入力・概要'!$B$40-1)/(LOG10('入力・概要'!$B$39)-LOG10('入力・概要'!$B$38)),0)+3)</f>
        <v/>
      </c>
      <c r="L563">
        <f>IF(K563="","",INDEX('差動モデル'!$B:$B,K563))</f>
        <v/>
      </c>
      <c r="M563">
        <f>IF(A563="","",IF(ABS(L563/A563-1)&lt;0.01,"周波数差&lt;1%","周波数差あり"))</f>
        <v/>
      </c>
    </row>
    <row r="564">
      <c r="A564" s="197" t="n"/>
      <c r="B564" s="198" t="n"/>
      <c r="C564" s="198" t="n"/>
      <c r="D564" s="195">
        <f>IF(K564="","",INDEX('差動モデル'!$R:$R,K564))</f>
        <v/>
      </c>
      <c r="E564" s="195">
        <f>IF(K564="","",INDEX('差動モデル'!$S:$S,K564))</f>
        <v/>
      </c>
      <c r="F564" s="195">
        <f>IF(OR(A564="",B564=""),"",100*(D564-B564)/MAX(B564,1E-12))</f>
        <v/>
      </c>
      <c r="G564" s="195">
        <f>IF(OR(A564="",C564=""),"",E564-C564)</f>
        <v/>
      </c>
      <c r="H564" s="195">
        <f>IF(A564="","",LOG10(A564))</f>
        <v/>
      </c>
      <c r="I564" s="195">
        <f>IF(B564="","",LOG10(MAX(B564,1E-12)))</f>
        <v/>
      </c>
      <c r="J564" s="195">
        <f>IF(D564="","",LOG10(MAX(D564,1E-12)))</f>
        <v/>
      </c>
      <c r="K564">
        <f>IF(A564="","",ROUND(1+(LOG10(A564)-LOG10('入力・概要'!$B$38))*('入力・概要'!$B$40-1)/(LOG10('入力・概要'!$B$39)-LOG10('入力・概要'!$B$38)),0)+3)</f>
        <v/>
      </c>
      <c r="L564">
        <f>IF(K564="","",INDEX('差動モデル'!$B:$B,K564))</f>
        <v/>
      </c>
      <c r="M564">
        <f>IF(A564="","",IF(ABS(L564/A564-1)&lt;0.01,"周波数差&lt;1%","周波数差あり"))</f>
        <v/>
      </c>
    </row>
    <row r="565">
      <c r="A565" s="197" t="n"/>
      <c r="B565" s="198" t="n"/>
      <c r="C565" s="198" t="n"/>
      <c r="D565" s="195">
        <f>IF(K565="","",INDEX('差動モデル'!$R:$R,K565))</f>
        <v/>
      </c>
      <c r="E565" s="195">
        <f>IF(K565="","",INDEX('差動モデル'!$S:$S,K565))</f>
        <v/>
      </c>
      <c r="F565" s="195">
        <f>IF(OR(A565="",B565=""),"",100*(D565-B565)/MAX(B565,1E-12))</f>
        <v/>
      </c>
      <c r="G565" s="195">
        <f>IF(OR(A565="",C565=""),"",E565-C565)</f>
        <v/>
      </c>
      <c r="H565" s="195">
        <f>IF(A565="","",LOG10(A565))</f>
        <v/>
      </c>
      <c r="I565" s="195">
        <f>IF(B565="","",LOG10(MAX(B565,1E-12)))</f>
        <v/>
      </c>
      <c r="J565" s="195">
        <f>IF(D565="","",LOG10(MAX(D565,1E-12)))</f>
        <v/>
      </c>
      <c r="K565">
        <f>IF(A565="","",ROUND(1+(LOG10(A565)-LOG10('入力・概要'!$B$38))*('入力・概要'!$B$40-1)/(LOG10('入力・概要'!$B$39)-LOG10('入力・概要'!$B$38)),0)+3)</f>
        <v/>
      </c>
      <c r="L565">
        <f>IF(K565="","",INDEX('差動モデル'!$B:$B,K565))</f>
        <v/>
      </c>
      <c r="M565">
        <f>IF(A565="","",IF(ABS(L565/A565-1)&lt;0.01,"周波数差&lt;1%","周波数差あり"))</f>
        <v/>
      </c>
    </row>
    <row r="566">
      <c r="A566" s="197" t="n"/>
      <c r="B566" s="198" t="n"/>
      <c r="C566" s="198" t="n"/>
      <c r="D566" s="195">
        <f>IF(K566="","",INDEX('差動モデル'!$R:$R,K566))</f>
        <v/>
      </c>
      <c r="E566" s="195">
        <f>IF(K566="","",INDEX('差動モデル'!$S:$S,K566))</f>
        <v/>
      </c>
      <c r="F566" s="195">
        <f>IF(OR(A566="",B566=""),"",100*(D566-B566)/MAX(B566,1E-12))</f>
        <v/>
      </c>
      <c r="G566" s="195">
        <f>IF(OR(A566="",C566=""),"",E566-C566)</f>
        <v/>
      </c>
      <c r="H566" s="195">
        <f>IF(A566="","",LOG10(A566))</f>
        <v/>
      </c>
      <c r="I566" s="195">
        <f>IF(B566="","",LOG10(MAX(B566,1E-12)))</f>
        <v/>
      </c>
      <c r="J566" s="195">
        <f>IF(D566="","",LOG10(MAX(D566,1E-12)))</f>
        <v/>
      </c>
      <c r="K566">
        <f>IF(A566="","",ROUND(1+(LOG10(A566)-LOG10('入力・概要'!$B$38))*('入力・概要'!$B$40-1)/(LOG10('入力・概要'!$B$39)-LOG10('入力・概要'!$B$38)),0)+3)</f>
        <v/>
      </c>
      <c r="L566">
        <f>IF(K566="","",INDEX('差動モデル'!$B:$B,K566))</f>
        <v/>
      </c>
      <c r="M566">
        <f>IF(A566="","",IF(ABS(L566/A566-1)&lt;0.01,"周波数差&lt;1%","周波数差あり"))</f>
        <v/>
      </c>
    </row>
    <row r="567">
      <c r="A567" s="197" t="n"/>
      <c r="B567" s="198" t="n"/>
      <c r="C567" s="198" t="n"/>
      <c r="D567" s="195">
        <f>IF(K567="","",INDEX('差動モデル'!$R:$R,K567))</f>
        <v/>
      </c>
      <c r="E567" s="195">
        <f>IF(K567="","",INDEX('差動モデル'!$S:$S,K567))</f>
        <v/>
      </c>
      <c r="F567" s="195">
        <f>IF(OR(A567="",B567=""),"",100*(D567-B567)/MAX(B567,1E-12))</f>
        <v/>
      </c>
      <c r="G567" s="195">
        <f>IF(OR(A567="",C567=""),"",E567-C567)</f>
        <v/>
      </c>
      <c r="H567" s="195">
        <f>IF(A567="","",LOG10(A567))</f>
        <v/>
      </c>
      <c r="I567" s="195">
        <f>IF(B567="","",LOG10(MAX(B567,1E-12)))</f>
        <v/>
      </c>
      <c r="J567" s="195">
        <f>IF(D567="","",LOG10(MAX(D567,1E-12)))</f>
        <v/>
      </c>
      <c r="K567">
        <f>IF(A567="","",ROUND(1+(LOG10(A567)-LOG10('入力・概要'!$B$38))*('入力・概要'!$B$40-1)/(LOG10('入力・概要'!$B$39)-LOG10('入力・概要'!$B$38)),0)+3)</f>
        <v/>
      </c>
      <c r="L567">
        <f>IF(K567="","",INDEX('差動モデル'!$B:$B,K567))</f>
        <v/>
      </c>
      <c r="M567">
        <f>IF(A567="","",IF(ABS(L567/A567-1)&lt;0.01,"周波数差&lt;1%","周波数差あり"))</f>
        <v/>
      </c>
    </row>
    <row r="568">
      <c r="A568" s="197" t="n"/>
      <c r="B568" s="198" t="n"/>
      <c r="C568" s="198" t="n"/>
      <c r="D568" s="195">
        <f>IF(K568="","",INDEX('差動モデル'!$R:$R,K568))</f>
        <v/>
      </c>
      <c r="E568" s="195">
        <f>IF(K568="","",INDEX('差動モデル'!$S:$S,K568))</f>
        <v/>
      </c>
      <c r="F568" s="195">
        <f>IF(OR(A568="",B568=""),"",100*(D568-B568)/MAX(B568,1E-12))</f>
        <v/>
      </c>
      <c r="G568" s="195">
        <f>IF(OR(A568="",C568=""),"",E568-C568)</f>
        <v/>
      </c>
      <c r="H568" s="195">
        <f>IF(A568="","",LOG10(A568))</f>
        <v/>
      </c>
      <c r="I568" s="195">
        <f>IF(B568="","",LOG10(MAX(B568,1E-12)))</f>
        <v/>
      </c>
      <c r="J568" s="195">
        <f>IF(D568="","",LOG10(MAX(D568,1E-12)))</f>
        <v/>
      </c>
      <c r="K568">
        <f>IF(A568="","",ROUND(1+(LOG10(A568)-LOG10('入力・概要'!$B$38))*('入力・概要'!$B$40-1)/(LOG10('入力・概要'!$B$39)-LOG10('入力・概要'!$B$38)),0)+3)</f>
        <v/>
      </c>
      <c r="L568">
        <f>IF(K568="","",INDEX('差動モデル'!$B:$B,K568))</f>
        <v/>
      </c>
      <c r="M568">
        <f>IF(A568="","",IF(ABS(L568/A568-1)&lt;0.01,"周波数差&lt;1%","周波数差あり"))</f>
        <v/>
      </c>
    </row>
    <row r="569">
      <c r="A569" s="197" t="n"/>
      <c r="B569" s="198" t="n"/>
      <c r="C569" s="198" t="n"/>
      <c r="D569" s="195">
        <f>IF(K569="","",INDEX('差動モデル'!$R:$R,K569))</f>
        <v/>
      </c>
      <c r="E569" s="195">
        <f>IF(K569="","",INDEX('差動モデル'!$S:$S,K569))</f>
        <v/>
      </c>
      <c r="F569" s="195">
        <f>IF(OR(A569="",B569=""),"",100*(D569-B569)/MAX(B569,1E-12))</f>
        <v/>
      </c>
      <c r="G569" s="195">
        <f>IF(OR(A569="",C569=""),"",E569-C569)</f>
        <v/>
      </c>
      <c r="H569" s="195">
        <f>IF(A569="","",LOG10(A569))</f>
        <v/>
      </c>
      <c r="I569" s="195">
        <f>IF(B569="","",LOG10(MAX(B569,1E-12)))</f>
        <v/>
      </c>
      <c r="J569" s="195">
        <f>IF(D569="","",LOG10(MAX(D569,1E-12)))</f>
        <v/>
      </c>
      <c r="K569">
        <f>IF(A569="","",ROUND(1+(LOG10(A569)-LOG10('入力・概要'!$B$38))*('入力・概要'!$B$40-1)/(LOG10('入力・概要'!$B$39)-LOG10('入力・概要'!$B$38)),0)+3)</f>
        <v/>
      </c>
      <c r="L569">
        <f>IF(K569="","",INDEX('差動モデル'!$B:$B,K569))</f>
        <v/>
      </c>
      <c r="M569">
        <f>IF(A569="","",IF(ABS(L569/A569-1)&lt;0.01,"周波数差&lt;1%","周波数差あり"))</f>
        <v/>
      </c>
    </row>
    <row r="570">
      <c r="A570" s="197" t="n"/>
      <c r="B570" s="198" t="n"/>
      <c r="C570" s="198" t="n"/>
      <c r="D570" s="195">
        <f>IF(K570="","",INDEX('差動モデル'!$R:$R,K570))</f>
        <v/>
      </c>
      <c r="E570" s="195">
        <f>IF(K570="","",INDEX('差動モデル'!$S:$S,K570))</f>
        <v/>
      </c>
      <c r="F570" s="195">
        <f>IF(OR(A570="",B570=""),"",100*(D570-B570)/MAX(B570,1E-12))</f>
        <v/>
      </c>
      <c r="G570" s="195">
        <f>IF(OR(A570="",C570=""),"",E570-C570)</f>
        <v/>
      </c>
      <c r="H570" s="195">
        <f>IF(A570="","",LOG10(A570))</f>
        <v/>
      </c>
      <c r="I570" s="195">
        <f>IF(B570="","",LOG10(MAX(B570,1E-12)))</f>
        <v/>
      </c>
      <c r="J570" s="195">
        <f>IF(D570="","",LOG10(MAX(D570,1E-12)))</f>
        <v/>
      </c>
      <c r="K570">
        <f>IF(A570="","",ROUND(1+(LOG10(A570)-LOG10('入力・概要'!$B$38))*('入力・概要'!$B$40-1)/(LOG10('入力・概要'!$B$39)-LOG10('入力・概要'!$B$38)),0)+3)</f>
        <v/>
      </c>
      <c r="L570">
        <f>IF(K570="","",INDEX('差動モデル'!$B:$B,K570))</f>
        <v/>
      </c>
      <c r="M570">
        <f>IF(A570="","",IF(ABS(L570/A570-1)&lt;0.01,"周波数差&lt;1%","周波数差あり"))</f>
        <v/>
      </c>
    </row>
    <row r="571">
      <c r="A571" s="197" t="n"/>
      <c r="B571" s="198" t="n"/>
      <c r="C571" s="198" t="n"/>
      <c r="D571" s="195">
        <f>IF(K571="","",INDEX('差動モデル'!$R:$R,K571))</f>
        <v/>
      </c>
      <c r="E571" s="195">
        <f>IF(K571="","",INDEX('差動モデル'!$S:$S,K571))</f>
        <v/>
      </c>
      <c r="F571" s="195">
        <f>IF(OR(A571="",B571=""),"",100*(D571-B571)/MAX(B571,1E-12))</f>
        <v/>
      </c>
      <c r="G571" s="195">
        <f>IF(OR(A571="",C571=""),"",E571-C571)</f>
        <v/>
      </c>
      <c r="H571" s="195">
        <f>IF(A571="","",LOG10(A571))</f>
        <v/>
      </c>
      <c r="I571" s="195">
        <f>IF(B571="","",LOG10(MAX(B571,1E-12)))</f>
        <v/>
      </c>
      <c r="J571" s="195">
        <f>IF(D571="","",LOG10(MAX(D571,1E-12)))</f>
        <v/>
      </c>
      <c r="K571">
        <f>IF(A571="","",ROUND(1+(LOG10(A571)-LOG10('入力・概要'!$B$38))*('入力・概要'!$B$40-1)/(LOG10('入力・概要'!$B$39)-LOG10('入力・概要'!$B$38)),0)+3)</f>
        <v/>
      </c>
      <c r="L571">
        <f>IF(K571="","",INDEX('差動モデル'!$B:$B,K571))</f>
        <v/>
      </c>
      <c r="M571">
        <f>IF(A571="","",IF(ABS(L571/A571-1)&lt;0.01,"周波数差&lt;1%","周波数差あり"))</f>
        <v/>
      </c>
    </row>
    <row r="572">
      <c r="A572" s="197" t="n"/>
      <c r="B572" s="198" t="n"/>
      <c r="C572" s="198" t="n"/>
      <c r="D572" s="195">
        <f>IF(K572="","",INDEX('差動モデル'!$R:$R,K572))</f>
        <v/>
      </c>
      <c r="E572" s="195">
        <f>IF(K572="","",INDEX('差動モデル'!$S:$S,K572))</f>
        <v/>
      </c>
      <c r="F572" s="195">
        <f>IF(OR(A572="",B572=""),"",100*(D572-B572)/MAX(B572,1E-12))</f>
        <v/>
      </c>
      <c r="G572" s="195">
        <f>IF(OR(A572="",C572=""),"",E572-C572)</f>
        <v/>
      </c>
      <c r="H572" s="195">
        <f>IF(A572="","",LOG10(A572))</f>
        <v/>
      </c>
      <c r="I572" s="195">
        <f>IF(B572="","",LOG10(MAX(B572,1E-12)))</f>
        <v/>
      </c>
      <c r="J572" s="195">
        <f>IF(D572="","",LOG10(MAX(D572,1E-12)))</f>
        <v/>
      </c>
      <c r="K572">
        <f>IF(A572="","",ROUND(1+(LOG10(A572)-LOG10('入力・概要'!$B$38))*('入力・概要'!$B$40-1)/(LOG10('入力・概要'!$B$39)-LOG10('入力・概要'!$B$38)),0)+3)</f>
        <v/>
      </c>
      <c r="L572">
        <f>IF(K572="","",INDEX('差動モデル'!$B:$B,K572))</f>
        <v/>
      </c>
      <c r="M572">
        <f>IF(A572="","",IF(ABS(L572/A572-1)&lt;0.01,"周波数差&lt;1%","周波数差あり"))</f>
        <v/>
      </c>
    </row>
    <row r="573">
      <c r="A573" s="197" t="n"/>
      <c r="B573" s="198" t="n"/>
      <c r="C573" s="198" t="n"/>
      <c r="D573" s="195">
        <f>IF(K573="","",INDEX('差動モデル'!$R:$R,K573))</f>
        <v/>
      </c>
      <c r="E573" s="195">
        <f>IF(K573="","",INDEX('差動モデル'!$S:$S,K573))</f>
        <v/>
      </c>
      <c r="F573" s="195">
        <f>IF(OR(A573="",B573=""),"",100*(D573-B573)/MAX(B573,1E-12))</f>
        <v/>
      </c>
      <c r="G573" s="195">
        <f>IF(OR(A573="",C573=""),"",E573-C573)</f>
        <v/>
      </c>
      <c r="H573" s="195">
        <f>IF(A573="","",LOG10(A573))</f>
        <v/>
      </c>
      <c r="I573" s="195">
        <f>IF(B573="","",LOG10(MAX(B573,1E-12)))</f>
        <v/>
      </c>
      <c r="J573" s="195">
        <f>IF(D573="","",LOG10(MAX(D573,1E-12)))</f>
        <v/>
      </c>
      <c r="K573">
        <f>IF(A573="","",ROUND(1+(LOG10(A573)-LOG10('入力・概要'!$B$38))*('入力・概要'!$B$40-1)/(LOG10('入力・概要'!$B$39)-LOG10('入力・概要'!$B$38)),0)+3)</f>
        <v/>
      </c>
      <c r="L573">
        <f>IF(K573="","",INDEX('差動モデル'!$B:$B,K573))</f>
        <v/>
      </c>
      <c r="M573">
        <f>IF(A573="","",IF(ABS(L573/A573-1)&lt;0.01,"周波数差&lt;1%","周波数差あり"))</f>
        <v/>
      </c>
    </row>
    <row r="574">
      <c r="A574" s="197" t="n"/>
      <c r="B574" s="198" t="n"/>
      <c r="C574" s="198" t="n"/>
      <c r="D574" s="195">
        <f>IF(K574="","",INDEX('差動モデル'!$R:$R,K574))</f>
        <v/>
      </c>
      <c r="E574" s="195">
        <f>IF(K574="","",INDEX('差動モデル'!$S:$S,K574))</f>
        <v/>
      </c>
      <c r="F574" s="195">
        <f>IF(OR(A574="",B574=""),"",100*(D574-B574)/MAX(B574,1E-12))</f>
        <v/>
      </c>
      <c r="G574" s="195">
        <f>IF(OR(A574="",C574=""),"",E574-C574)</f>
        <v/>
      </c>
      <c r="H574" s="195">
        <f>IF(A574="","",LOG10(A574))</f>
        <v/>
      </c>
      <c r="I574" s="195">
        <f>IF(B574="","",LOG10(MAX(B574,1E-12)))</f>
        <v/>
      </c>
      <c r="J574" s="195">
        <f>IF(D574="","",LOG10(MAX(D574,1E-12)))</f>
        <v/>
      </c>
      <c r="K574">
        <f>IF(A574="","",ROUND(1+(LOG10(A574)-LOG10('入力・概要'!$B$38))*('入力・概要'!$B$40-1)/(LOG10('入力・概要'!$B$39)-LOG10('入力・概要'!$B$38)),0)+3)</f>
        <v/>
      </c>
      <c r="L574">
        <f>IF(K574="","",INDEX('差動モデル'!$B:$B,K574))</f>
        <v/>
      </c>
      <c r="M574">
        <f>IF(A574="","",IF(ABS(L574/A574-1)&lt;0.01,"周波数差&lt;1%","周波数差あり"))</f>
        <v/>
      </c>
    </row>
    <row r="575">
      <c r="A575" s="197" t="n"/>
      <c r="B575" s="198" t="n"/>
      <c r="C575" s="198" t="n"/>
      <c r="D575" s="195">
        <f>IF(K575="","",INDEX('差動モデル'!$R:$R,K575))</f>
        <v/>
      </c>
      <c r="E575" s="195">
        <f>IF(K575="","",INDEX('差動モデル'!$S:$S,K575))</f>
        <v/>
      </c>
      <c r="F575" s="195">
        <f>IF(OR(A575="",B575=""),"",100*(D575-B575)/MAX(B575,1E-12))</f>
        <v/>
      </c>
      <c r="G575" s="195">
        <f>IF(OR(A575="",C575=""),"",E575-C575)</f>
        <v/>
      </c>
      <c r="H575" s="195">
        <f>IF(A575="","",LOG10(A575))</f>
        <v/>
      </c>
      <c r="I575" s="195">
        <f>IF(B575="","",LOG10(MAX(B575,1E-12)))</f>
        <v/>
      </c>
      <c r="J575" s="195">
        <f>IF(D575="","",LOG10(MAX(D575,1E-12)))</f>
        <v/>
      </c>
      <c r="K575">
        <f>IF(A575="","",ROUND(1+(LOG10(A575)-LOG10('入力・概要'!$B$38))*('入力・概要'!$B$40-1)/(LOG10('入力・概要'!$B$39)-LOG10('入力・概要'!$B$38)),0)+3)</f>
        <v/>
      </c>
      <c r="L575">
        <f>IF(K575="","",INDEX('差動モデル'!$B:$B,K575))</f>
        <v/>
      </c>
      <c r="M575">
        <f>IF(A575="","",IF(ABS(L575/A575-1)&lt;0.01,"周波数差&lt;1%","周波数差あり"))</f>
        <v/>
      </c>
    </row>
    <row r="576">
      <c r="A576" s="197" t="n"/>
      <c r="B576" s="198" t="n"/>
      <c r="C576" s="198" t="n"/>
      <c r="D576" s="195">
        <f>IF(K576="","",INDEX('差動モデル'!$R:$R,K576))</f>
        <v/>
      </c>
      <c r="E576" s="195">
        <f>IF(K576="","",INDEX('差動モデル'!$S:$S,K576))</f>
        <v/>
      </c>
      <c r="F576" s="195">
        <f>IF(OR(A576="",B576=""),"",100*(D576-B576)/MAX(B576,1E-12))</f>
        <v/>
      </c>
      <c r="G576" s="195">
        <f>IF(OR(A576="",C576=""),"",E576-C576)</f>
        <v/>
      </c>
      <c r="H576" s="195">
        <f>IF(A576="","",LOG10(A576))</f>
        <v/>
      </c>
      <c r="I576" s="195">
        <f>IF(B576="","",LOG10(MAX(B576,1E-12)))</f>
        <v/>
      </c>
      <c r="J576" s="195">
        <f>IF(D576="","",LOG10(MAX(D576,1E-12)))</f>
        <v/>
      </c>
      <c r="K576">
        <f>IF(A576="","",ROUND(1+(LOG10(A576)-LOG10('入力・概要'!$B$38))*('入力・概要'!$B$40-1)/(LOG10('入力・概要'!$B$39)-LOG10('入力・概要'!$B$38)),0)+3)</f>
        <v/>
      </c>
      <c r="L576">
        <f>IF(K576="","",INDEX('差動モデル'!$B:$B,K576))</f>
        <v/>
      </c>
      <c r="M576">
        <f>IF(A576="","",IF(ABS(L576/A576-1)&lt;0.01,"周波数差&lt;1%","周波数差あり"))</f>
        <v/>
      </c>
    </row>
    <row r="577">
      <c r="A577" s="197" t="n"/>
      <c r="B577" s="198" t="n"/>
      <c r="C577" s="198" t="n"/>
      <c r="D577" s="195">
        <f>IF(K577="","",INDEX('差動モデル'!$R:$R,K577))</f>
        <v/>
      </c>
      <c r="E577" s="195">
        <f>IF(K577="","",INDEX('差動モデル'!$S:$S,K577))</f>
        <v/>
      </c>
      <c r="F577" s="195">
        <f>IF(OR(A577="",B577=""),"",100*(D577-B577)/MAX(B577,1E-12))</f>
        <v/>
      </c>
      <c r="G577" s="195">
        <f>IF(OR(A577="",C577=""),"",E577-C577)</f>
        <v/>
      </c>
      <c r="H577" s="195">
        <f>IF(A577="","",LOG10(A577))</f>
        <v/>
      </c>
      <c r="I577" s="195">
        <f>IF(B577="","",LOG10(MAX(B577,1E-12)))</f>
        <v/>
      </c>
      <c r="J577" s="195">
        <f>IF(D577="","",LOG10(MAX(D577,1E-12)))</f>
        <v/>
      </c>
      <c r="K577">
        <f>IF(A577="","",ROUND(1+(LOG10(A577)-LOG10('入力・概要'!$B$38))*('入力・概要'!$B$40-1)/(LOG10('入力・概要'!$B$39)-LOG10('入力・概要'!$B$38)),0)+3)</f>
        <v/>
      </c>
      <c r="L577">
        <f>IF(K577="","",INDEX('差動モデル'!$B:$B,K577))</f>
        <v/>
      </c>
      <c r="M577">
        <f>IF(A577="","",IF(ABS(L577/A577-1)&lt;0.01,"周波数差&lt;1%","周波数差あり"))</f>
        <v/>
      </c>
    </row>
    <row r="578">
      <c r="A578" s="197" t="n"/>
      <c r="B578" s="198" t="n"/>
      <c r="C578" s="198" t="n"/>
      <c r="D578" s="195">
        <f>IF(K578="","",INDEX('差動モデル'!$R:$R,K578))</f>
        <v/>
      </c>
      <c r="E578" s="195">
        <f>IF(K578="","",INDEX('差動モデル'!$S:$S,K578))</f>
        <v/>
      </c>
      <c r="F578" s="195">
        <f>IF(OR(A578="",B578=""),"",100*(D578-B578)/MAX(B578,1E-12))</f>
        <v/>
      </c>
      <c r="G578" s="195">
        <f>IF(OR(A578="",C578=""),"",E578-C578)</f>
        <v/>
      </c>
      <c r="H578" s="195">
        <f>IF(A578="","",LOG10(A578))</f>
        <v/>
      </c>
      <c r="I578" s="195">
        <f>IF(B578="","",LOG10(MAX(B578,1E-12)))</f>
        <v/>
      </c>
      <c r="J578" s="195">
        <f>IF(D578="","",LOG10(MAX(D578,1E-12)))</f>
        <v/>
      </c>
      <c r="K578">
        <f>IF(A578="","",ROUND(1+(LOG10(A578)-LOG10('入力・概要'!$B$38))*('入力・概要'!$B$40-1)/(LOG10('入力・概要'!$B$39)-LOG10('入力・概要'!$B$38)),0)+3)</f>
        <v/>
      </c>
      <c r="L578">
        <f>IF(K578="","",INDEX('差動モデル'!$B:$B,K578))</f>
        <v/>
      </c>
      <c r="M578">
        <f>IF(A578="","",IF(ABS(L578/A578-1)&lt;0.01,"周波数差&lt;1%","周波数差あり"))</f>
        <v/>
      </c>
    </row>
    <row r="579">
      <c r="A579" s="197" t="n"/>
      <c r="B579" s="198" t="n"/>
      <c r="C579" s="198" t="n"/>
      <c r="D579" s="195">
        <f>IF(K579="","",INDEX('差動モデル'!$R:$R,K579))</f>
        <v/>
      </c>
      <c r="E579" s="195">
        <f>IF(K579="","",INDEX('差動モデル'!$S:$S,K579))</f>
        <v/>
      </c>
      <c r="F579" s="195">
        <f>IF(OR(A579="",B579=""),"",100*(D579-B579)/MAX(B579,1E-12))</f>
        <v/>
      </c>
      <c r="G579" s="195">
        <f>IF(OR(A579="",C579=""),"",E579-C579)</f>
        <v/>
      </c>
      <c r="H579" s="195">
        <f>IF(A579="","",LOG10(A579))</f>
        <v/>
      </c>
      <c r="I579" s="195">
        <f>IF(B579="","",LOG10(MAX(B579,1E-12)))</f>
        <v/>
      </c>
      <c r="J579" s="195">
        <f>IF(D579="","",LOG10(MAX(D579,1E-12)))</f>
        <v/>
      </c>
      <c r="K579">
        <f>IF(A579="","",ROUND(1+(LOG10(A579)-LOG10('入力・概要'!$B$38))*('入力・概要'!$B$40-1)/(LOG10('入力・概要'!$B$39)-LOG10('入力・概要'!$B$38)),0)+3)</f>
        <v/>
      </c>
      <c r="L579">
        <f>IF(K579="","",INDEX('差動モデル'!$B:$B,K579))</f>
        <v/>
      </c>
      <c r="M579">
        <f>IF(A579="","",IF(ABS(L579/A579-1)&lt;0.01,"周波数差&lt;1%","周波数差あり"))</f>
        <v/>
      </c>
    </row>
    <row r="580">
      <c r="A580" s="197" t="n"/>
      <c r="B580" s="198" t="n"/>
      <c r="C580" s="198" t="n"/>
      <c r="D580" s="195">
        <f>IF(K580="","",INDEX('差動モデル'!$R:$R,K580))</f>
        <v/>
      </c>
      <c r="E580" s="195">
        <f>IF(K580="","",INDEX('差動モデル'!$S:$S,K580))</f>
        <v/>
      </c>
      <c r="F580" s="195">
        <f>IF(OR(A580="",B580=""),"",100*(D580-B580)/MAX(B580,1E-12))</f>
        <v/>
      </c>
      <c r="G580" s="195">
        <f>IF(OR(A580="",C580=""),"",E580-C580)</f>
        <v/>
      </c>
      <c r="H580" s="195">
        <f>IF(A580="","",LOG10(A580))</f>
        <v/>
      </c>
      <c r="I580" s="195">
        <f>IF(B580="","",LOG10(MAX(B580,1E-12)))</f>
        <v/>
      </c>
      <c r="J580" s="195">
        <f>IF(D580="","",LOG10(MAX(D580,1E-12)))</f>
        <v/>
      </c>
      <c r="K580">
        <f>IF(A580="","",ROUND(1+(LOG10(A580)-LOG10('入力・概要'!$B$38))*('入力・概要'!$B$40-1)/(LOG10('入力・概要'!$B$39)-LOG10('入力・概要'!$B$38)),0)+3)</f>
        <v/>
      </c>
      <c r="L580">
        <f>IF(K580="","",INDEX('差動モデル'!$B:$B,K580))</f>
        <v/>
      </c>
      <c r="M580">
        <f>IF(A580="","",IF(ABS(L580/A580-1)&lt;0.01,"周波数差&lt;1%","周波数差あり"))</f>
        <v/>
      </c>
    </row>
    <row r="581">
      <c r="A581" s="197" t="n"/>
      <c r="B581" s="198" t="n"/>
      <c r="C581" s="198" t="n"/>
      <c r="D581" s="195">
        <f>IF(K581="","",INDEX('差動モデル'!$R:$R,K581))</f>
        <v/>
      </c>
      <c r="E581" s="195">
        <f>IF(K581="","",INDEX('差動モデル'!$S:$S,K581))</f>
        <v/>
      </c>
      <c r="F581" s="195">
        <f>IF(OR(A581="",B581=""),"",100*(D581-B581)/MAX(B581,1E-12))</f>
        <v/>
      </c>
      <c r="G581" s="195">
        <f>IF(OR(A581="",C581=""),"",E581-C581)</f>
        <v/>
      </c>
      <c r="H581" s="195">
        <f>IF(A581="","",LOG10(A581))</f>
        <v/>
      </c>
      <c r="I581" s="195">
        <f>IF(B581="","",LOG10(MAX(B581,1E-12)))</f>
        <v/>
      </c>
      <c r="J581" s="195">
        <f>IF(D581="","",LOG10(MAX(D581,1E-12)))</f>
        <v/>
      </c>
      <c r="K581">
        <f>IF(A581="","",ROUND(1+(LOG10(A581)-LOG10('入力・概要'!$B$38))*('入力・概要'!$B$40-1)/(LOG10('入力・概要'!$B$39)-LOG10('入力・概要'!$B$38)),0)+3)</f>
        <v/>
      </c>
      <c r="L581">
        <f>IF(K581="","",INDEX('差動モデル'!$B:$B,K581))</f>
        <v/>
      </c>
      <c r="M581">
        <f>IF(A581="","",IF(ABS(L581/A581-1)&lt;0.01,"周波数差&lt;1%","周波数差あり"))</f>
        <v/>
      </c>
    </row>
    <row r="582">
      <c r="A582" s="197" t="n"/>
      <c r="B582" s="198" t="n"/>
      <c r="C582" s="198" t="n"/>
      <c r="D582" s="195">
        <f>IF(K582="","",INDEX('差動モデル'!$R:$R,K582))</f>
        <v/>
      </c>
      <c r="E582" s="195">
        <f>IF(K582="","",INDEX('差動モデル'!$S:$S,K582))</f>
        <v/>
      </c>
      <c r="F582" s="195">
        <f>IF(OR(A582="",B582=""),"",100*(D582-B582)/MAX(B582,1E-12))</f>
        <v/>
      </c>
      <c r="G582" s="195">
        <f>IF(OR(A582="",C582=""),"",E582-C582)</f>
        <v/>
      </c>
      <c r="H582" s="195">
        <f>IF(A582="","",LOG10(A582))</f>
        <v/>
      </c>
      <c r="I582" s="195">
        <f>IF(B582="","",LOG10(MAX(B582,1E-12)))</f>
        <v/>
      </c>
      <c r="J582" s="195">
        <f>IF(D582="","",LOG10(MAX(D582,1E-12)))</f>
        <v/>
      </c>
      <c r="K582">
        <f>IF(A582="","",ROUND(1+(LOG10(A582)-LOG10('入力・概要'!$B$38))*('入力・概要'!$B$40-1)/(LOG10('入力・概要'!$B$39)-LOG10('入力・概要'!$B$38)),0)+3)</f>
        <v/>
      </c>
      <c r="L582">
        <f>IF(K582="","",INDEX('差動モデル'!$B:$B,K582))</f>
        <v/>
      </c>
      <c r="M582">
        <f>IF(A582="","",IF(ABS(L582/A582-1)&lt;0.01,"周波数差&lt;1%","周波数差あり"))</f>
        <v/>
      </c>
    </row>
    <row r="583">
      <c r="A583" s="197" t="n"/>
      <c r="B583" s="198" t="n"/>
      <c r="C583" s="198" t="n"/>
      <c r="D583" s="195">
        <f>IF(K583="","",INDEX('差動モデル'!$R:$R,K583))</f>
        <v/>
      </c>
      <c r="E583" s="195">
        <f>IF(K583="","",INDEX('差動モデル'!$S:$S,K583))</f>
        <v/>
      </c>
      <c r="F583" s="195">
        <f>IF(OR(A583="",B583=""),"",100*(D583-B583)/MAX(B583,1E-12))</f>
        <v/>
      </c>
      <c r="G583" s="195">
        <f>IF(OR(A583="",C583=""),"",E583-C583)</f>
        <v/>
      </c>
      <c r="H583" s="195">
        <f>IF(A583="","",LOG10(A583))</f>
        <v/>
      </c>
      <c r="I583" s="195">
        <f>IF(B583="","",LOG10(MAX(B583,1E-12)))</f>
        <v/>
      </c>
      <c r="J583" s="195">
        <f>IF(D583="","",LOG10(MAX(D583,1E-12)))</f>
        <v/>
      </c>
      <c r="K583">
        <f>IF(A583="","",ROUND(1+(LOG10(A583)-LOG10('入力・概要'!$B$38))*('入力・概要'!$B$40-1)/(LOG10('入力・概要'!$B$39)-LOG10('入力・概要'!$B$38)),0)+3)</f>
        <v/>
      </c>
      <c r="L583">
        <f>IF(K583="","",INDEX('差動モデル'!$B:$B,K583))</f>
        <v/>
      </c>
      <c r="M583">
        <f>IF(A583="","",IF(ABS(L583/A583-1)&lt;0.01,"周波数差&lt;1%","周波数差あり"))</f>
        <v/>
      </c>
    </row>
    <row r="584">
      <c r="A584" s="197" t="n"/>
      <c r="B584" s="198" t="n"/>
      <c r="C584" s="198" t="n"/>
      <c r="D584" s="195">
        <f>IF(K584="","",INDEX('差動モデル'!$R:$R,K584))</f>
        <v/>
      </c>
      <c r="E584" s="195">
        <f>IF(K584="","",INDEX('差動モデル'!$S:$S,K584))</f>
        <v/>
      </c>
      <c r="F584" s="195">
        <f>IF(OR(A584="",B584=""),"",100*(D584-B584)/MAX(B584,1E-12))</f>
        <v/>
      </c>
      <c r="G584" s="195">
        <f>IF(OR(A584="",C584=""),"",E584-C584)</f>
        <v/>
      </c>
      <c r="H584" s="195">
        <f>IF(A584="","",LOG10(A584))</f>
        <v/>
      </c>
      <c r="I584" s="195">
        <f>IF(B584="","",LOG10(MAX(B584,1E-12)))</f>
        <v/>
      </c>
      <c r="J584" s="195">
        <f>IF(D584="","",LOG10(MAX(D584,1E-12)))</f>
        <v/>
      </c>
      <c r="K584">
        <f>IF(A584="","",ROUND(1+(LOG10(A584)-LOG10('入力・概要'!$B$38))*('入力・概要'!$B$40-1)/(LOG10('入力・概要'!$B$39)-LOG10('入力・概要'!$B$38)),0)+3)</f>
        <v/>
      </c>
      <c r="L584">
        <f>IF(K584="","",INDEX('差動モデル'!$B:$B,K584))</f>
        <v/>
      </c>
      <c r="M584">
        <f>IF(A584="","",IF(ABS(L584/A584-1)&lt;0.01,"周波数差&lt;1%","周波数差あり"))</f>
        <v/>
      </c>
    </row>
    <row r="585">
      <c r="A585" s="197" t="n"/>
      <c r="B585" s="198" t="n"/>
      <c r="C585" s="198" t="n"/>
      <c r="D585" s="195">
        <f>IF(K585="","",INDEX('差動モデル'!$R:$R,K585))</f>
        <v/>
      </c>
      <c r="E585" s="195">
        <f>IF(K585="","",INDEX('差動モデル'!$S:$S,K585))</f>
        <v/>
      </c>
      <c r="F585" s="195">
        <f>IF(OR(A585="",B585=""),"",100*(D585-B585)/MAX(B585,1E-12))</f>
        <v/>
      </c>
      <c r="G585" s="195">
        <f>IF(OR(A585="",C585=""),"",E585-C585)</f>
        <v/>
      </c>
      <c r="H585" s="195">
        <f>IF(A585="","",LOG10(A585))</f>
        <v/>
      </c>
      <c r="I585" s="195">
        <f>IF(B585="","",LOG10(MAX(B585,1E-12)))</f>
        <v/>
      </c>
      <c r="J585" s="195">
        <f>IF(D585="","",LOG10(MAX(D585,1E-12)))</f>
        <v/>
      </c>
      <c r="K585">
        <f>IF(A585="","",ROUND(1+(LOG10(A585)-LOG10('入力・概要'!$B$38))*('入力・概要'!$B$40-1)/(LOG10('入力・概要'!$B$39)-LOG10('入力・概要'!$B$38)),0)+3)</f>
        <v/>
      </c>
      <c r="L585">
        <f>IF(K585="","",INDEX('差動モデル'!$B:$B,K585))</f>
        <v/>
      </c>
      <c r="M585">
        <f>IF(A585="","",IF(ABS(L585/A585-1)&lt;0.01,"周波数差&lt;1%","周波数差あり"))</f>
        <v/>
      </c>
    </row>
    <row r="586">
      <c r="A586" s="197" t="n"/>
      <c r="B586" s="198" t="n"/>
      <c r="C586" s="198" t="n"/>
      <c r="D586" s="195">
        <f>IF(K586="","",INDEX('差動モデル'!$R:$R,K586))</f>
        <v/>
      </c>
      <c r="E586" s="195">
        <f>IF(K586="","",INDEX('差動モデル'!$S:$S,K586))</f>
        <v/>
      </c>
      <c r="F586" s="195">
        <f>IF(OR(A586="",B586=""),"",100*(D586-B586)/MAX(B586,1E-12))</f>
        <v/>
      </c>
      <c r="G586" s="195">
        <f>IF(OR(A586="",C586=""),"",E586-C586)</f>
        <v/>
      </c>
      <c r="H586" s="195">
        <f>IF(A586="","",LOG10(A586))</f>
        <v/>
      </c>
      <c r="I586" s="195">
        <f>IF(B586="","",LOG10(MAX(B586,1E-12)))</f>
        <v/>
      </c>
      <c r="J586" s="195">
        <f>IF(D586="","",LOG10(MAX(D586,1E-12)))</f>
        <v/>
      </c>
      <c r="K586">
        <f>IF(A586="","",ROUND(1+(LOG10(A586)-LOG10('入力・概要'!$B$38))*('入力・概要'!$B$40-1)/(LOG10('入力・概要'!$B$39)-LOG10('入力・概要'!$B$38)),0)+3)</f>
        <v/>
      </c>
      <c r="L586">
        <f>IF(K586="","",INDEX('差動モデル'!$B:$B,K586))</f>
        <v/>
      </c>
      <c r="M586">
        <f>IF(A586="","",IF(ABS(L586/A586-1)&lt;0.01,"周波数差&lt;1%","周波数差あり"))</f>
        <v/>
      </c>
    </row>
    <row r="587">
      <c r="A587" s="197" t="n"/>
      <c r="B587" s="198" t="n"/>
      <c r="C587" s="198" t="n"/>
      <c r="D587" s="195">
        <f>IF(K587="","",INDEX('差動モデル'!$R:$R,K587))</f>
        <v/>
      </c>
      <c r="E587" s="195">
        <f>IF(K587="","",INDEX('差動モデル'!$S:$S,K587))</f>
        <v/>
      </c>
      <c r="F587" s="195">
        <f>IF(OR(A587="",B587=""),"",100*(D587-B587)/MAX(B587,1E-12))</f>
        <v/>
      </c>
      <c r="G587" s="195">
        <f>IF(OR(A587="",C587=""),"",E587-C587)</f>
        <v/>
      </c>
      <c r="H587" s="195">
        <f>IF(A587="","",LOG10(A587))</f>
        <v/>
      </c>
      <c r="I587" s="195">
        <f>IF(B587="","",LOG10(MAX(B587,1E-12)))</f>
        <v/>
      </c>
      <c r="J587" s="195">
        <f>IF(D587="","",LOG10(MAX(D587,1E-12)))</f>
        <v/>
      </c>
      <c r="K587">
        <f>IF(A587="","",ROUND(1+(LOG10(A587)-LOG10('入力・概要'!$B$38))*('入力・概要'!$B$40-1)/(LOG10('入力・概要'!$B$39)-LOG10('入力・概要'!$B$38)),0)+3)</f>
        <v/>
      </c>
      <c r="L587">
        <f>IF(K587="","",INDEX('差動モデル'!$B:$B,K587))</f>
        <v/>
      </c>
      <c r="M587">
        <f>IF(A587="","",IF(ABS(L587/A587-1)&lt;0.01,"周波数差&lt;1%","周波数差あり"))</f>
        <v/>
      </c>
    </row>
    <row r="588">
      <c r="A588" s="197" t="n"/>
      <c r="B588" s="198" t="n"/>
      <c r="C588" s="198" t="n"/>
      <c r="D588" s="195">
        <f>IF(K588="","",INDEX('差動モデル'!$R:$R,K588))</f>
        <v/>
      </c>
      <c r="E588" s="195">
        <f>IF(K588="","",INDEX('差動モデル'!$S:$S,K588))</f>
        <v/>
      </c>
      <c r="F588" s="195">
        <f>IF(OR(A588="",B588=""),"",100*(D588-B588)/MAX(B588,1E-12))</f>
        <v/>
      </c>
      <c r="G588" s="195">
        <f>IF(OR(A588="",C588=""),"",E588-C588)</f>
        <v/>
      </c>
      <c r="H588" s="195">
        <f>IF(A588="","",LOG10(A588))</f>
        <v/>
      </c>
      <c r="I588" s="195">
        <f>IF(B588="","",LOG10(MAX(B588,1E-12)))</f>
        <v/>
      </c>
      <c r="J588" s="195">
        <f>IF(D588="","",LOG10(MAX(D588,1E-12)))</f>
        <v/>
      </c>
      <c r="K588">
        <f>IF(A588="","",ROUND(1+(LOG10(A588)-LOG10('入力・概要'!$B$38))*('入力・概要'!$B$40-1)/(LOG10('入力・概要'!$B$39)-LOG10('入力・概要'!$B$38)),0)+3)</f>
        <v/>
      </c>
      <c r="L588">
        <f>IF(K588="","",INDEX('差動モデル'!$B:$B,K588))</f>
        <v/>
      </c>
      <c r="M588">
        <f>IF(A588="","",IF(ABS(L588/A588-1)&lt;0.01,"周波数差&lt;1%","周波数差あり"))</f>
        <v/>
      </c>
    </row>
    <row r="589">
      <c r="A589" s="197" t="n"/>
      <c r="B589" s="198" t="n"/>
      <c r="C589" s="198" t="n"/>
      <c r="D589" s="195">
        <f>IF(K589="","",INDEX('差動モデル'!$R:$R,K589))</f>
        <v/>
      </c>
      <c r="E589" s="195">
        <f>IF(K589="","",INDEX('差動モデル'!$S:$S,K589))</f>
        <v/>
      </c>
      <c r="F589" s="195">
        <f>IF(OR(A589="",B589=""),"",100*(D589-B589)/MAX(B589,1E-12))</f>
        <v/>
      </c>
      <c r="G589" s="195">
        <f>IF(OR(A589="",C589=""),"",E589-C589)</f>
        <v/>
      </c>
      <c r="H589" s="195">
        <f>IF(A589="","",LOG10(A589))</f>
        <v/>
      </c>
      <c r="I589" s="195">
        <f>IF(B589="","",LOG10(MAX(B589,1E-12)))</f>
        <v/>
      </c>
      <c r="J589" s="195">
        <f>IF(D589="","",LOG10(MAX(D589,1E-12)))</f>
        <v/>
      </c>
      <c r="K589">
        <f>IF(A589="","",ROUND(1+(LOG10(A589)-LOG10('入力・概要'!$B$38))*('入力・概要'!$B$40-1)/(LOG10('入力・概要'!$B$39)-LOG10('入力・概要'!$B$38)),0)+3)</f>
        <v/>
      </c>
      <c r="L589">
        <f>IF(K589="","",INDEX('差動モデル'!$B:$B,K589))</f>
        <v/>
      </c>
      <c r="M589">
        <f>IF(A589="","",IF(ABS(L589/A589-1)&lt;0.01,"周波数差&lt;1%","周波数差あり"))</f>
        <v/>
      </c>
    </row>
    <row r="590">
      <c r="A590" s="197" t="n"/>
      <c r="B590" s="198" t="n"/>
      <c r="C590" s="198" t="n"/>
      <c r="D590" s="195">
        <f>IF(K590="","",INDEX('差動モデル'!$R:$R,K590))</f>
        <v/>
      </c>
      <c r="E590" s="195">
        <f>IF(K590="","",INDEX('差動モデル'!$S:$S,K590))</f>
        <v/>
      </c>
      <c r="F590" s="195">
        <f>IF(OR(A590="",B590=""),"",100*(D590-B590)/MAX(B590,1E-12))</f>
        <v/>
      </c>
      <c r="G590" s="195">
        <f>IF(OR(A590="",C590=""),"",E590-C590)</f>
        <v/>
      </c>
      <c r="H590" s="195">
        <f>IF(A590="","",LOG10(A590))</f>
        <v/>
      </c>
      <c r="I590" s="195">
        <f>IF(B590="","",LOG10(MAX(B590,1E-12)))</f>
        <v/>
      </c>
      <c r="J590" s="195">
        <f>IF(D590="","",LOG10(MAX(D590,1E-12)))</f>
        <v/>
      </c>
      <c r="K590">
        <f>IF(A590="","",ROUND(1+(LOG10(A590)-LOG10('入力・概要'!$B$38))*('入力・概要'!$B$40-1)/(LOG10('入力・概要'!$B$39)-LOG10('入力・概要'!$B$38)),0)+3)</f>
        <v/>
      </c>
      <c r="L590">
        <f>IF(K590="","",INDEX('差動モデル'!$B:$B,K590))</f>
        <v/>
      </c>
      <c r="M590">
        <f>IF(A590="","",IF(ABS(L590/A590-1)&lt;0.01,"周波数差&lt;1%","周波数差あり"))</f>
        <v/>
      </c>
    </row>
    <row r="591">
      <c r="A591" s="197" t="n"/>
      <c r="B591" s="198" t="n"/>
      <c r="C591" s="198" t="n"/>
      <c r="D591" s="195">
        <f>IF(K591="","",INDEX('差動モデル'!$R:$R,K591))</f>
        <v/>
      </c>
      <c r="E591" s="195">
        <f>IF(K591="","",INDEX('差動モデル'!$S:$S,K591))</f>
        <v/>
      </c>
      <c r="F591" s="195">
        <f>IF(OR(A591="",B591=""),"",100*(D591-B591)/MAX(B591,1E-12))</f>
        <v/>
      </c>
      <c r="G591" s="195">
        <f>IF(OR(A591="",C591=""),"",E591-C591)</f>
        <v/>
      </c>
      <c r="H591" s="195">
        <f>IF(A591="","",LOG10(A591))</f>
        <v/>
      </c>
      <c r="I591" s="195">
        <f>IF(B591="","",LOG10(MAX(B591,1E-12)))</f>
        <v/>
      </c>
      <c r="J591" s="195">
        <f>IF(D591="","",LOG10(MAX(D591,1E-12)))</f>
        <v/>
      </c>
      <c r="K591">
        <f>IF(A591="","",ROUND(1+(LOG10(A591)-LOG10('入力・概要'!$B$38))*('入力・概要'!$B$40-1)/(LOG10('入力・概要'!$B$39)-LOG10('入力・概要'!$B$38)),0)+3)</f>
        <v/>
      </c>
      <c r="L591">
        <f>IF(K591="","",INDEX('差動モデル'!$B:$B,K591))</f>
        <v/>
      </c>
      <c r="M591">
        <f>IF(A591="","",IF(ABS(L591/A591-1)&lt;0.01,"周波数差&lt;1%","周波数差あり"))</f>
        <v/>
      </c>
    </row>
    <row r="592">
      <c r="A592" s="197" t="n"/>
      <c r="B592" s="198" t="n"/>
      <c r="C592" s="198" t="n"/>
      <c r="D592" s="195">
        <f>IF(K592="","",INDEX('差動モデル'!$R:$R,K592))</f>
        <v/>
      </c>
      <c r="E592" s="195">
        <f>IF(K592="","",INDEX('差動モデル'!$S:$S,K592))</f>
        <v/>
      </c>
      <c r="F592" s="195">
        <f>IF(OR(A592="",B592=""),"",100*(D592-B592)/MAX(B592,1E-12))</f>
        <v/>
      </c>
      <c r="G592" s="195">
        <f>IF(OR(A592="",C592=""),"",E592-C592)</f>
        <v/>
      </c>
      <c r="H592" s="195">
        <f>IF(A592="","",LOG10(A592))</f>
        <v/>
      </c>
      <c r="I592" s="195">
        <f>IF(B592="","",LOG10(MAX(B592,1E-12)))</f>
        <v/>
      </c>
      <c r="J592" s="195">
        <f>IF(D592="","",LOG10(MAX(D592,1E-12)))</f>
        <v/>
      </c>
      <c r="K592">
        <f>IF(A592="","",ROUND(1+(LOG10(A592)-LOG10('入力・概要'!$B$38))*('入力・概要'!$B$40-1)/(LOG10('入力・概要'!$B$39)-LOG10('入力・概要'!$B$38)),0)+3)</f>
        <v/>
      </c>
      <c r="L592">
        <f>IF(K592="","",INDEX('差動モデル'!$B:$B,K592))</f>
        <v/>
      </c>
      <c r="M592">
        <f>IF(A592="","",IF(ABS(L592/A592-1)&lt;0.01,"周波数差&lt;1%","周波数差あり"))</f>
        <v/>
      </c>
    </row>
    <row r="593">
      <c r="A593" s="197" t="n"/>
      <c r="B593" s="198" t="n"/>
      <c r="C593" s="198" t="n"/>
      <c r="D593" s="195">
        <f>IF(K593="","",INDEX('差動モデル'!$R:$R,K593))</f>
        <v/>
      </c>
      <c r="E593" s="195">
        <f>IF(K593="","",INDEX('差動モデル'!$S:$S,K593))</f>
        <v/>
      </c>
      <c r="F593" s="195">
        <f>IF(OR(A593="",B593=""),"",100*(D593-B593)/MAX(B593,1E-12))</f>
        <v/>
      </c>
      <c r="G593" s="195">
        <f>IF(OR(A593="",C593=""),"",E593-C593)</f>
        <v/>
      </c>
      <c r="H593" s="195">
        <f>IF(A593="","",LOG10(A593))</f>
        <v/>
      </c>
      <c r="I593" s="195">
        <f>IF(B593="","",LOG10(MAX(B593,1E-12)))</f>
        <v/>
      </c>
      <c r="J593" s="195">
        <f>IF(D593="","",LOG10(MAX(D593,1E-12)))</f>
        <v/>
      </c>
      <c r="K593">
        <f>IF(A593="","",ROUND(1+(LOG10(A593)-LOG10('入力・概要'!$B$38))*('入力・概要'!$B$40-1)/(LOG10('入力・概要'!$B$39)-LOG10('入力・概要'!$B$38)),0)+3)</f>
        <v/>
      </c>
      <c r="L593">
        <f>IF(K593="","",INDEX('差動モデル'!$B:$B,K593))</f>
        <v/>
      </c>
      <c r="M593">
        <f>IF(A593="","",IF(ABS(L593/A593-1)&lt;0.01,"周波数差&lt;1%","周波数差あり"))</f>
        <v/>
      </c>
    </row>
    <row r="594">
      <c r="A594" s="197" t="n"/>
      <c r="B594" s="198" t="n"/>
      <c r="C594" s="198" t="n"/>
      <c r="D594" s="195">
        <f>IF(K594="","",INDEX('差動モデル'!$R:$R,K594))</f>
        <v/>
      </c>
      <c r="E594" s="195">
        <f>IF(K594="","",INDEX('差動モデル'!$S:$S,K594))</f>
        <v/>
      </c>
      <c r="F594" s="195">
        <f>IF(OR(A594="",B594=""),"",100*(D594-B594)/MAX(B594,1E-12))</f>
        <v/>
      </c>
      <c r="G594" s="195">
        <f>IF(OR(A594="",C594=""),"",E594-C594)</f>
        <v/>
      </c>
      <c r="H594" s="195">
        <f>IF(A594="","",LOG10(A594))</f>
        <v/>
      </c>
      <c r="I594" s="195">
        <f>IF(B594="","",LOG10(MAX(B594,1E-12)))</f>
        <v/>
      </c>
      <c r="J594" s="195">
        <f>IF(D594="","",LOG10(MAX(D594,1E-12)))</f>
        <v/>
      </c>
      <c r="K594">
        <f>IF(A594="","",ROUND(1+(LOG10(A594)-LOG10('入力・概要'!$B$38))*('入力・概要'!$B$40-1)/(LOG10('入力・概要'!$B$39)-LOG10('入力・概要'!$B$38)),0)+3)</f>
        <v/>
      </c>
      <c r="L594">
        <f>IF(K594="","",INDEX('差動モデル'!$B:$B,K594))</f>
        <v/>
      </c>
      <c r="M594">
        <f>IF(A594="","",IF(ABS(L594/A594-1)&lt;0.01,"周波数差&lt;1%","周波数差あり"))</f>
        <v/>
      </c>
    </row>
    <row r="595">
      <c r="A595" s="197" t="n"/>
      <c r="B595" s="198" t="n"/>
      <c r="C595" s="198" t="n"/>
      <c r="D595" s="195">
        <f>IF(K595="","",INDEX('差動モデル'!$R:$R,K595))</f>
        <v/>
      </c>
      <c r="E595" s="195">
        <f>IF(K595="","",INDEX('差動モデル'!$S:$S,K595))</f>
        <v/>
      </c>
      <c r="F595" s="195">
        <f>IF(OR(A595="",B595=""),"",100*(D595-B595)/MAX(B595,1E-12))</f>
        <v/>
      </c>
      <c r="G595" s="195">
        <f>IF(OR(A595="",C595=""),"",E595-C595)</f>
        <v/>
      </c>
      <c r="H595" s="195">
        <f>IF(A595="","",LOG10(A595))</f>
        <v/>
      </c>
      <c r="I595" s="195">
        <f>IF(B595="","",LOG10(MAX(B595,1E-12)))</f>
        <v/>
      </c>
      <c r="J595" s="195">
        <f>IF(D595="","",LOG10(MAX(D595,1E-12)))</f>
        <v/>
      </c>
      <c r="K595">
        <f>IF(A595="","",ROUND(1+(LOG10(A595)-LOG10('入力・概要'!$B$38))*('入力・概要'!$B$40-1)/(LOG10('入力・概要'!$B$39)-LOG10('入力・概要'!$B$38)),0)+3)</f>
        <v/>
      </c>
      <c r="L595">
        <f>IF(K595="","",INDEX('差動モデル'!$B:$B,K595))</f>
        <v/>
      </c>
      <c r="M595">
        <f>IF(A595="","",IF(ABS(L595/A595-1)&lt;0.01,"周波数差&lt;1%","周波数差あり"))</f>
        <v/>
      </c>
    </row>
    <row r="596">
      <c r="A596" s="197" t="n"/>
      <c r="B596" s="198" t="n"/>
      <c r="C596" s="198" t="n"/>
      <c r="D596" s="195">
        <f>IF(K596="","",INDEX('差動モデル'!$R:$R,K596))</f>
        <v/>
      </c>
      <c r="E596" s="195">
        <f>IF(K596="","",INDEX('差動モデル'!$S:$S,K596))</f>
        <v/>
      </c>
      <c r="F596" s="195">
        <f>IF(OR(A596="",B596=""),"",100*(D596-B596)/MAX(B596,1E-12))</f>
        <v/>
      </c>
      <c r="G596" s="195">
        <f>IF(OR(A596="",C596=""),"",E596-C596)</f>
        <v/>
      </c>
      <c r="H596" s="195">
        <f>IF(A596="","",LOG10(A596))</f>
        <v/>
      </c>
      <c r="I596" s="195">
        <f>IF(B596="","",LOG10(MAX(B596,1E-12)))</f>
        <v/>
      </c>
      <c r="J596" s="195">
        <f>IF(D596="","",LOG10(MAX(D596,1E-12)))</f>
        <v/>
      </c>
      <c r="K596">
        <f>IF(A596="","",ROUND(1+(LOG10(A596)-LOG10('入力・概要'!$B$38))*('入力・概要'!$B$40-1)/(LOG10('入力・概要'!$B$39)-LOG10('入力・概要'!$B$38)),0)+3)</f>
        <v/>
      </c>
      <c r="L596">
        <f>IF(K596="","",INDEX('差動モデル'!$B:$B,K596))</f>
        <v/>
      </c>
      <c r="M596">
        <f>IF(A596="","",IF(ABS(L596/A596-1)&lt;0.01,"周波数差&lt;1%","周波数差あり"))</f>
        <v/>
      </c>
    </row>
    <row r="597">
      <c r="A597" s="197" t="n"/>
      <c r="B597" s="198" t="n"/>
      <c r="C597" s="198" t="n"/>
      <c r="D597" s="195">
        <f>IF(K597="","",INDEX('差動モデル'!$R:$R,K597))</f>
        <v/>
      </c>
      <c r="E597" s="195">
        <f>IF(K597="","",INDEX('差動モデル'!$S:$S,K597))</f>
        <v/>
      </c>
      <c r="F597" s="195">
        <f>IF(OR(A597="",B597=""),"",100*(D597-B597)/MAX(B597,1E-12))</f>
        <v/>
      </c>
      <c r="G597" s="195">
        <f>IF(OR(A597="",C597=""),"",E597-C597)</f>
        <v/>
      </c>
      <c r="H597" s="195">
        <f>IF(A597="","",LOG10(A597))</f>
        <v/>
      </c>
      <c r="I597" s="195">
        <f>IF(B597="","",LOG10(MAX(B597,1E-12)))</f>
        <v/>
      </c>
      <c r="J597" s="195">
        <f>IF(D597="","",LOG10(MAX(D597,1E-12)))</f>
        <v/>
      </c>
      <c r="K597">
        <f>IF(A597="","",ROUND(1+(LOG10(A597)-LOG10('入力・概要'!$B$38))*('入力・概要'!$B$40-1)/(LOG10('入力・概要'!$B$39)-LOG10('入力・概要'!$B$38)),0)+3)</f>
        <v/>
      </c>
      <c r="L597">
        <f>IF(K597="","",INDEX('差動モデル'!$B:$B,K597))</f>
        <v/>
      </c>
      <c r="M597">
        <f>IF(A597="","",IF(ABS(L597/A597-1)&lt;0.01,"周波数差&lt;1%","周波数差あり"))</f>
        <v/>
      </c>
    </row>
    <row r="598">
      <c r="A598" s="197" t="n"/>
      <c r="B598" s="198" t="n"/>
      <c r="C598" s="198" t="n"/>
      <c r="D598" s="195">
        <f>IF(K598="","",INDEX('差動モデル'!$R:$R,K598))</f>
        <v/>
      </c>
      <c r="E598" s="195">
        <f>IF(K598="","",INDEX('差動モデル'!$S:$S,K598))</f>
        <v/>
      </c>
      <c r="F598" s="195">
        <f>IF(OR(A598="",B598=""),"",100*(D598-B598)/MAX(B598,1E-12))</f>
        <v/>
      </c>
      <c r="G598" s="195">
        <f>IF(OR(A598="",C598=""),"",E598-C598)</f>
        <v/>
      </c>
      <c r="H598" s="195">
        <f>IF(A598="","",LOG10(A598))</f>
        <v/>
      </c>
      <c r="I598" s="195">
        <f>IF(B598="","",LOG10(MAX(B598,1E-12)))</f>
        <v/>
      </c>
      <c r="J598" s="195">
        <f>IF(D598="","",LOG10(MAX(D598,1E-12)))</f>
        <v/>
      </c>
      <c r="K598">
        <f>IF(A598="","",ROUND(1+(LOG10(A598)-LOG10('入力・概要'!$B$38))*('入力・概要'!$B$40-1)/(LOG10('入力・概要'!$B$39)-LOG10('入力・概要'!$B$38)),0)+3)</f>
        <v/>
      </c>
      <c r="L598">
        <f>IF(K598="","",INDEX('差動モデル'!$B:$B,K598))</f>
        <v/>
      </c>
      <c r="M598">
        <f>IF(A598="","",IF(ABS(L598/A598-1)&lt;0.01,"周波数差&lt;1%","周波数差あり"))</f>
        <v/>
      </c>
    </row>
    <row r="599">
      <c r="A599" s="197" t="n"/>
      <c r="B599" s="198" t="n"/>
      <c r="C599" s="198" t="n"/>
      <c r="D599" s="195">
        <f>IF(K599="","",INDEX('差動モデル'!$R:$R,K599))</f>
        <v/>
      </c>
      <c r="E599" s="195">
        <f>IF(K599="","",INDEX('差動モデル'!$S:$S,K599))</f>
        <v/>
      </c>
      <c r="F599" s="195">
        <f>IF(OR(A599="",B599=""),"",100*(D599-B599)/MAX(B599,1E-12))</f>
        <v/>
      </c>
      <c r="G599" s="195">
        <f>IF(OR(A599="",C599=""),"",E599-C599)</f>
        <v/>
      </c>
      <c r="H599" s="195">
        <f>IF(A599="","",LOG10(A599))</f>
        <v/>
      </c>
      <c r="I599" s="195">
        <f>IF(B599="","",LOG10(MAX(B599,1E-12)))</f>
        <v/>
      </c>
      <c r="J599" s="195">
        <f>IF(D599="","",LOG10(MAX(D599,1E-12)))</f>
        <v/>
      </c>
      <c r="K599">
        <f>IF(A599="","",ROUND(1+(LOG10(A599)-LOG10('入力・概要'!$B$38))*('入力・概要'!$B$40-1)/(LOG10('入力・概要'!$B$39)-LOG10('入力・概要'!$B$38)),0)+3)</f>
        <v/>
      </c>
      <c r="L599">
        <f>IF(K599="","",INDEX('差動モデル'!$B:$B,K599))</f>
        <v/>
      </c>
      <c r="M599">
        <f>IF(A599="","",IF(ABS(L599/A599-1)&lt;0.01,"周波数差&lt;1%","周波数差あり"))</f>
        <v/>
      </c>
    </row>
    <row r="600">
      <c r="A600" s="197" t="n"/>
      <c r="B600" s="198" t="n"/>
      <c r="C600" s="198" t="n"/>
      <c r="D600" s="195">
        <f>IF(K600="","",INDEX('差動モデル'!$R:$R,K600))</f>
        <v/>
      </c>
      <c r="E600" s="195">
        <f>IF(K600="","",INDEX('差動モデル'!$S:$S,K600))</f>
        <v/>
      </c>
      <c r="F600" s="195">
        <f>IF(OR(A600="",B600=""),"",100*(D600-B600)/MAX(B600,1E-12))</f>
        <v/>
      </c>
      <c r="G600" s="195">
        <f>IF(OR(A600="",C600=""),"",E600-C600)</f>
        <v/>
      </c>
      <c r="H600" s="195">
        <f>IF(A600="","",LOG10(A600))</f>
        <v/>
      </c>
      <c r="I600" s="195">
        <f>IF(B600="","",LOG10(MAX(B600,1E-12)))</f>
        <v/>
      </c>
      <c r="J600" s="195">
        <f>IF(D600="","",LOG10(MAX(D600,1E-12)))</f>
        <v/>
      </c>
      <c r="K600">
        <f>IF(A600="","",ROUND(1+(LOG10(A600)-LOG10('入力・概要'!$B$38))*('入力・概要'!$B$40-1)/(LOG10('入力・概要'!$B$39)-LOG10('入力・概要'!$B$38)),0)+3)</f>
        <v/>
      </c>
      <c r="L600">
        <f>IF(K600="","",INDEX('差動モデル'!$B:$B,K600))</f>
        <v/>
      </c>
      <c r="M600">
        <f>IF(A600="","",IF(ABS(L600/A600-1)&lt;0.01,"周波数差&lt;1%","周波数差あり"))</f>
        <v/>
      </c>
    </row>
    <row r="601">
      <c r="A601" s="197" t="n"/>
      <c r="B601" s="198" t="n"/>
      <c r="C601" s="198" t="n"/>
      <c r="D601" s="195">
        <f>IF(K601="","",INDEX('差動モデル'!$R:$R,K601))</f>
        <v/>
      </c>
      <c r="E601" s="195">
        <f>IF(K601="","",INDEX('差動モデル'!$S:$S,K601))</f>
        <v/>
      </c>
      <c r="F601" s="195">
        <f>IF(OR(A601="",B601=""),"",100*(D601-B601)/MAX(B601,1E-12))</f>
        <v/>
      </c>
      <c r="G601" s="195">
        <f>IF(OR(A601="",C601=""),"",E601-C601)</f>
        <v/>
      </c>
      <c r="H601" s="195">
        <f>IF(A601="","",LOG10(A601))</f>
        <v/>
      </c>
      <c r="I601" s="195">
        <f>IF(B601="","",LOG10(MAX(B601,1E-12)))</f>
        <v/>
      </c>
      <c r="J601" s="195">
        <f>IF(D601="","",LOG10(MAX(D601,1E-12)))</f>
        <v/>
      </c>
      <c r="K601">
        <f>IF(A601="","",ROUND(1+(LOG10(A601)-LOG10('入力・概要'!$B$38))*('入力・概要'!$B$40-1)/(LOG10('入力・概要'!$B$39)-LOG10('入力・概要'!$B$38)),0)+3)</f>
        <v/>
      </c>
      <c r="L601">
        <f>IF(K601="","",INDEX('差動モデル'!$B:$B,K601))</f>
        <v/>
      </c>
      <c r="M601">
        <f>IF(A601="","",IF(ABS(L601/A601-1)&lt;0.01,"周波数差&lt;1%","周波数差あり"))</f>
        <v/>
      </c>
    </row>
    <row r="602">
      <c r="A602" s="197" t="n"/>
      <c r="B602" s="198" t="n"/>
      <c r="C602" s="198" t="n"/>
      <c r="D602" s="195">
        <f>IF(K602="","",INDEX('差動モデル'!$R:$R,K602))</f>
        <v/>
      </c>
      <c r="E602" s="195">
        <f>IF(K602="","",INDEX('差動モデル'!$S:$S,K602))</f>
        <v/>
      </c>
      <c r="F602" s="195">
        <f>IF(OR(A602="",B602=""),"",100*(D602-B602)/MAX(B602,1E-12))</f>
        <v/>
      </c>
      <c r="G602" s="195">
        <f>IF(OR(A602="",C602=""),"",E602-C602)</f>
        <v/>
      </c>
      <c r="H602" s="195">
        <f>IF(A602="","",LOG10(A602))</f>
        <v/>
      </c>
      <c r="I602" s="195">
        <f>IF(B602="","",LOG10(MAX(B602,1E-12)))</f>
        <v/>
      </c>
      <c r="J602" s="195">
        <f>IF(D602="","",LOG10(MAX(D602,1E-12)))</f>
        <v/>
      </c>
      <c r="K602">
        <f>IF(A602="","",ROUND(1+(LOG10(A602)-LOG10('入力・概要'!$B$38))*('入力・概要'!$B$40-1)/(LOG10('入力・概要'!$B$39)-LOG10('入力・概要'!$B$38)),0)+3)</f>
        <v/>
      </c>
      <c r="L602">
        <f>IF(K602="","",INDEX('差動モデル'!$B:$B,K602))</f>
        <v/>
      </c>
      <c r="M602">
        <f>IF(A602="","",IF(ABS(L602/A602-1)&lt;0.01,"周波数差&lt;1%","周波数差あり"))</f>
        <v/>
      </c>
    </row>
    <row r="603">
      <c r="A603" s="197" t="n"/>
      <c r="B603" s="198" t="n"/>
      <c r="C603" s="198" t="n"/>
      <c r="D603" s="195">
        <f>IF(K603="","",INDEX('差動モデル'!$R:$R,K603))</f>
        <v/>
      </c>
      <c r="E603" s="195">
        <f>IF(K603="","",INDEX('差動モデル'!$S:$S,K603))</f>
        <v/>
      </c>
      <c r="F603" s="195">
        <f>IF(OR(A603="",B603=""),"",100*(D603-B603)/MAX(B603,1E-12))</f>
        <v/>
      </c>
      <c r="G603" s="195">
        <f>IF(OR(A603="",C603=""),"",E603-C603)</f>
        <v/>
      </c>
      <c r="H603" s="195">
        <f>IF(A603="","",LOG10(A603))</f>
        <v/>
      </c>
      <c r="I603" s="195">
        <f>IF(B603="","",LOG10(MAX(B603,1E-12)))</f>
        <v/>
      </c>
      <c r="J603" s="195">
        <f>IF(D603="","",LOG10(MAX(D603,1E-12)))</f>
        <v/>
      </c>
      <c r="K603">
        <f>IF(A603="","",ROUND(1+(LOG10(A603)-LOG10('入力・概要'!$B$38))*('入力・概要'!$B$40-1)/(LOG10('入力・概要'!$B$39)-LOG10('入力・概要'!$B$38)),0)+3)</f>
        <v/>
      </c>
      <c r="L603">
        <f>IF(K603="","",INDEX('差動モデル'!$B:$B,K603))</f>
        <v/>
      </c>
      <c r="M603">
        <f>IF(A603="","",IF(ABS(L603/A603-1)&lt;0.01,"周波数差&lt;1%","周波数差あり"))</f>
        <v/>
      </c>
    </row>
    <row r="604">
      <c r="A604" s="197" t="n"/>
      <c r="B604" s="198" t="n"/>
      <c r="C604" s="198" t="n"/>
      <c r="D604" s="195">
        <f>IF(K604="","",INDEX('差動モデル'!$R:$R,K604))</f>
        <v/>
      </c>
      <c r="E604" s="195">
        <f>IF(K604="","",INDEX('差動モデル'!$S:$S,K604))</f>
        <v/>
      </c>
      <c r="F604" s="195">
        <f>IF(OR(A604="",B604=""),"",100*(D604-B604)/MAX(B604,1E-12))</f>
        <v/>
      </c>
      <c r="G604" s="195">
        <f>IF(OR(A604="",C604=""),"",E604-C604)</f>
        <v/>
      </c>
      <c r="H604" s="195">
        <f>IF(A604="","",LOG10(A604))</f>
        <v/>
      </c>
      <c r="I604" s="195">
        <f>IF(B604="","",LOG10(MAX(B604,1E-12)))</f>
        <v/>
      </c>
      <c r="J604" s="195">
        <f>IF(D604="","",LOG10(MAX(D604,1E-12)))</f>
        <v/>
      </c>
      <c r="K604">
        <f>IF(A604="","",ROUND(1+(LOG10(A604)-LOG10('入力・概要'!$B$38))*('入力・概要'!$B$40-1)/(LOG10('入力・概要'!$B$39)-LOG10('入力・概要'!$B$38)),0)+3)</f>
        <v/>
      </c>
      <c r="L604">
        <f>IF(K604="","",INDEX('差動モデル'!$B:$B,K604))</f>
        <v/>
      </c>
      <c r="M604">
        <f>IF(A604="","",IF(ABS(L604/A604-1)&lt;0.01,"周波数差&lt;1%","周波数差あり"))</f>
        <v/>
      </c>
    </row>
    <row r="605">
      <c r="A605" s="197" t="n"/>
      <c r="B605" s="198" t="n"/>
      <c r="C605" s="198" t="n"/>
      <c r="D605" s="195">
        <f>IF(K605="","",INDEX('差動モデル'!$R:$R,K605))</f>
        <v/>
      </c>
      <c r="E605" s="195">
        <f>IF(K605="","",INDEX('差動モデル'!$S:$S,K605))</f>
        <v/>
      </c>
      <c r="F605" s="195">
        <f>IF(OR(A605="",B605=""),"",100*(D605-B605)/MAX(B605,1E-12))</f>
        <v/>
      </c>
      <c r="G605" s="195">
        <f>IF(OR(A605="",C605=""),"",E605-C605)</f>
        <v/>
      </c>
      <c r="H605" s="195">
        <f>IF(A605="","",LOG10(A605))</f>
        <v/>
      </c>
      <c r="I605" s="195">
        <f>IF(B605="","",LOG10(MAX(B605,1E-12)))</f>
        <v/>
      </c>
      <c r="J605" s="195">
        <f>IF(D605="","",LOG10(MAX(D605,1E-12)))</f>
        <v/>
      </c>
      <c r="K605">
        <f>IF(A605="","",ROUND(1+(LOG10(A605)-LOG10('入力・概要'!$B$38))*('入力・概要'!$B$40-1)/(LOG10('入力・概要'!$B$39)-LOG10('入力・概要'!$B$38)),0)+3)</f>
        <v/>
      </c>
      <c r="L605">
        <f>IF(K605="","",INDEX('差動モデル'!$B:$B,K605))</f>
        <v/>
      </c>
      <c r="M605">
        <f>IF(A605="","",IF(ABS(L605/A605-1)&lt;0.01,"周波数差&lt;1%","周波数差あり"))</f>
        <v/>
      </c>
    </row>
    <row r="606">
      <c r="A606" s="197" t="n"/>
      <c r="B606" s="198" t="n"/>
      <c r="C606" s="198" t="n"/>
      <c r="D606" s="195">
        <f>IF(K606="","",INDEX('差動モデル'!$R:$R,K606))</f>
        <v/>
      </c>
      <c r="E606" s="195">
        <f>IF(K606="","",INDEX('差動モデル'!$S:$S,K606))</f>
        <v/>
      </c>
      <c r="F606" s="195">
        <f>IF(OR(A606="",B606=""),"",100*(D606-B606)/MAX(B606,1E-12))</f>
        <v/>
      </c>
      <c r="G606" s="195">
        <f>IF(OR(A606="",C606=""),"",E606-C606)</f>
        <v/>
      </c>
      <c r="H606" s="195">
        <f>IF(A606="","",LOG10(A606))</f>
        <v/>
      </c>
      <c r="I606" s="195">
        <f>IF(B606="","",LOG10(MAX(B606,1E-12)))</f>
        <v/>
      </c>
      <c r="J606" s="195">
        <f>IF(D606="","",LOG10(MAX(D606,1E-12)))</f>
        <v/>
      </c>
      <c r="K606">
        <f>IF(A606="","",ROUND(1+(LOG10(A606)-LOG10('入力・概要'!$B$38))*('入力・概要'!$B$40-1)/(LOG10('入力・概要'!$B$39)-LOG10('入力・概要'!$B$38)),0)+3)</f>
        <v/>
      </c>
      <c r="L606">
        <f>IF(K606="","",INDEX('差動モデル'!$B:$B,K606))</f>
        <v/>
      </c>
      <c r="M606">
        <f>IF(A606="","",IF(ABS(L606/A606-1)&lt;0.01,"周波数差&lt;1%","周波数差あり"))</f>
        <v/>
      </c>
    </row>
    <row r="607">
      <c r="A607" s="197" t="n"/>
      <c r="B607" s="198" t="n"/>
      <c r="C607" s="198" t="n"/>
      <c r="D607" s="195">
        <f>IF(K607="","",INDEX('差動モデル'!$R:$R,K607))</f>
        <v/>
      </c>
      <c r="E607" s="195">
        <f>IF(K607="","",INDEX('差動モデル'!$S:$S,K607))</f>
        <v/>
      </c>
      <c r="F607" s="195">
        <f>IF(OR(A607="",B607=""),"",100*(D607-B607)/MAX(B607,1E-12))</f>
        <v/>
      </c>
      <c r="G607" s="195">
        <f>IF(OR(A607="",C607=""),"",E607-C607)</f>
        <v/>
      </c>
      <c r="H607" s="195">
        <f>IF(A607="","",LOG10(A607))</f>
        <v/>
      </c>
      <c r="I607" s="195">
        <f>IF(B607="","",LOG10(MAX(B607,1E-12)))</f>
        <v/>
      </c>
      <c r="J607" s="195">
        <f>IF(D607="","",LOG10(MAX(D607,1E-12)))</f>
        <v/>
      </c>
      <c r="K607">
        <f>IF(A607="","",ROUND(1+(LOG10(A607)-LOG10('入力・概要'!$B$38))*('入力・概要'!$B$40-1)/(LOG10('入力・概要'!$B$39)-LOG10('入力・概要'!$B$38)),0)+3)</f>
        <v/>
      </c>
      <c r="L607">
        <f>IF(K607="","",INDEX('差動モデル'!$B:$B,K607))</f>
        <v/>
      </c>
      <c r="M607">
        <f>IF(A607="","",IF(ABS(L607/A607-1)&lt;0.01,"周波数差&lt;1%","周波数差あり"))</f>
        <v/>
      </c>
    </row>
    <row r="608">
      <c r="A608" s="197" t="n"/>
      <c r="B608" s="198" t="n"/>
      <c r="C608" s="198" t="n"/>
      <c r="D608" s="195">
        <f>IF(K608="","",INDEX('差動モデル'!$R:$R,K608))</f>
        <v/>
      </c>
      <c r="E608" s="195">
        <f>IF(K608="","",INDEX('差動モデル'!$S:$S,K608))</f>
        <v/>
      </c>
      <c r="F608" s="195">
        <f>IF(OR(A608="",B608=""),"",100*(D608-B608)/MAX(B608,1E-12))</f>
        <v/>
      </c>
      <c r="G608" s="195">
        <f>IF(OR(A608="",C608=""),"",E608-C608)</f>
        <v/>
      </c>
      <c r="H608" s="195">
        <f>IF(A608="","",LOG10(A608))</f>
        <v/>
      </c>
      <c r="I608" s="195">
        <f>IF(B608="","",LOG10(MAX(B608,1E-12)))</f>
        <v/>
      </c>
      <c r="J608" s="195">
        <f>IF(D608="","",LOG10(MAX(D608,1E-12)))</f>
        <v/>
      </c>
      <c r="K608">
        <f>IF(A608="","",ROUND(1+(LOG10(A608)-LOG10('入力・概要'!$B$38))*('入力・概要'!$B$40-1)/(LOG10('入力・概要'!$B$39)-LOG10('入力・概要'!$B$38)),0)+3)</f>
        <v/>
      </c>
      <c r="L608">
        <f>IF(K608="","",INDEX('差動モデル'!$B:$B,K608))</f>
        <v/>
      </c>
      <c r="M608">
        <f>IF(A608="","",IF(ABS(L608/A608-1)&lt;0.01,"周波数差&lt;1%","周波数差あり"))</f>
        <v/>
      </c>
    </row>
    <row r="609">
      <c r="A609" s="197" t="n"/>
      <c r="B609" s="198" t="n"/>
      <c r="C609" s="198" t="n"/>
      <c r="D609" s="195">
        <f>IF(K609="","",INDEX('差動モデル'!$R:$R,K609))</f>
        <v/>
      </c>
      <c r="E609" s="195">
        <f>IF(K609="","",INDEX('差動モデル'!$S:$S,K609))</f>
        <v/>
      </c>
      <c r="F609" s="195">
        <f>IF(OR(A609="",B609=""),"",100*(D609-B609)/MAX(B609,1E-12))</f>
        <v/>
      </c>
      <c r="G609" s="195">
        <f>IF(OR(A609="",C609=""),"",E609-C609)</f>
        <v/>
      </c>
      <c r="H609" s="195">
        <f>IF(A609="","",LOG10(A609))</f>
        <v/>
      </c>
      <c r="I609" s="195">
        <f>IF(B609="","",LOG10(MAX(B609,1E-12)))</f>
        <v/>
      </c>
      <c r="J609" s="195">
        <f>IF(D609="","",LOG10(MAX(D609,1E-12)))</f>
        <v/>
      </c>
      <c r="K609">
        <f>IF(A609="","",ROUND(1+(LOG10(A609)-LOG10('入力・概要'!$B$38))*('入力・概要'!$B$40-1)/(LOG10('入力・概要'!$B$39)-LOG10('入力・概要'!$B$38)),0)+3)</f>
        <v/>
      </c>
      <c r="L609">
        <f>IF(K609="","",INDEX('差動モデル'!$B:$B,K609))</f>
        <v/>
      </c>
      <c r="M609">
        <f>IF(A609="","",IF(ABS(L609/A609-1)&lt;0.01,"周波数差&lt;1%","周波数差あり"))</f>
        <v/>
      </c>
    </row>
    <row r="610">
      <c r="A610" s="197" t="n"/>
      <c r="B610" s="198" t="n"/>
      <c r="C610" s="198" t="n"/>
      <c r="D610" s="195">
        <f>IF(K610="","",INDEX('差動モデル'!$R:$R,K610))</f>
        <v/>
      </c>
      <c r="E610" s="195">
        <f>IF(K610="","",INDEX('差動モデル'!$S:$S,K610))</f>
        <v/>
      </c>
      <c r="F610" s="195">
        <f>IF(OR(A610="",B610=""),"",100*(D610-B610)/MAX(B610,1E-12))</f>
        <v/>
      </c>
      <c r="G610" s="195">
        <f>IF(OR(A610="",C610=""),"",E610-C610)</f>
        <v/>
      </c>
      <c r="H610" s="195">
        <f>IF(A610="","",LOG10(A610))</f>
        <v/>
      </c>
      <c r="I610" s="195">
        <f>IF(B610="","",LOG10(MAX(B610,1E-12)))</f>
        <v/>
      </c>
      <c r="J610" s="195">
        <f>IF(D610="","",LOG10(MAX(D610,1E-12)))</f>
        <v/>
      </c>
      <c r="K610">
        <f>IF(A610="","",ROUND(1+(LOG10(A610)-LOG10('入力・概要'!$B$38))*('入力・概要'!$B$40-1)/(LOG10('入力・概要'!$B$39)-LOG10('入力・概要'!$B$38)),0)+3)</f>
        <v/>
      </c>
      <c r="L610">
        <f>IF(K610="","",INDEX('差動モデル'!$B:$B,K610))</f>
        <v/>
      </c>
      <c r="M610">
        <f>IF(A610="","",IF(ABS(L610/A610-1)&lt;0.01,"周波数差&lt;1%","周波数差あり"))</f>
        <v/>
      </c>
    </row>
    <row r="611">
      <c r="A611" s="197" t="n"/>
      <c r="B611" s="198" t="n"/>
      <c r="C611" s="198" t="n"/>
      <c r="D611" s="195">
        <f>IF(K611="","",INDEX('差動モデル'!$R:$R,K611))</f>
        <v/>
      </c>
      <c r="E611" s="195">
        <f>IF(K611="","",INDEX('差動モデル'!$S:$S,K611))</f>
        <v/>
      </c>
      <c r="F611" s="195">
        <f>IF(OR(A611="",B611=""),"",100*(D611-B611)/MAX(B611,1E-12))</f>
        <v/>
      </c>
      <c r="G611" s="195">
        <f>IF(OR(A611="",C611=""),"",E611-C611)</f>
        <v/>
      </c>
      <c r="H611" s="195">
        <f>IF(A611="","",LOG10(A611))</f>
        <v/>
      </c>
      <c r="I611" s="195">
        <f>IF(B611="","",LOG10(MAX(B611,1E-12)))</f>
        <v/>
      </c>
      <c r="J611" s="195">
        <f>IF(D611="","",LOG10(MAX(D611,1E-12)))</f>
        <v/>
      </c>
      <c r="K611">
        <f>IF(A611="","",ROUND(1+(LOG10(A611)-LOG10('入力・概要'!$B$38))*('入力・概要'!$B$40-1)/(LOG10('入力・概要'!$B$39)-LOG10('入力・概要'!$B$38)),0)+3)</f>
        <v/>
      </c>
      <c r="L611">
        <f>IF(K611="","",INDEX('差動モデル'!$B:$B,K611))</f>
        <v/>
      </c>
      <c r="M611">
        <f>IF(A611="","",IF(ABS(L611/A611-1)&lt;0.01,"周波数差&lt;1%","周波数差あり"))</f>
        <v/>
      </c>
    </row>
    <row r="612">
      <c r="A612" s="197" t="n"/>
      <c r="B612" s="198" t="n"/>
      <c r="C612" s="198" t="n"/>
      <c r="D612" s="195">
        <f>IF(K612="","",INDEX('差動モデル'!$R:$R,K612))</f>
        <v/>
      </c>
      <c r="E612" s="195">
        <f>IF(K612="","",INDEX('差動モデル'!$S:$S,K612))</f>
        <v/>
      </c>
      <c r="F612" s="195">
        <f>IF(OR(A612="",B612=""),"",100*(D612-B612)/MAX(B612,1E-12))</f>
        <v/>
      </c>
      <c r="G612" s="195">
        <f>IF(OR(A612="",C612=""),"",E612-C612)</f>
        <v/>
      </c>
      <c r="H612" s="195">
        <f>IF(A612="","",LOG10(A612))</f>
        <v/>
      </c>
      <c r="I612" s="195">
        <f>IF(B612="","",LOG10(MAX(B612,1E-12)))</f>
        <v/>
      </c>
      <c r="J612" s="195">
        <f>IF(D612="","",LOG10(MAX(D612,1E-12)))</f>
        <v/>
      </c>
      <c r="K612">
        <f>IF(A612="","",ROUND(1+(LOG10(A612)-LOG10('入力・概要'!$B$38))*('入力・概要'!$B$40-1)/(LOG10('入力・概要'!$B$39)-LOG10('入力・概要'!$B$38)),0)+3)</f>
        <v/>
      </c>
      <c r="L612">
        <f>IF(K612="","",INDEX('差動モデル'!$B:$B,K612))</f>
        <v/>
      </c>
      <c r="M612">
        <f>IF(A612="","",IF(ABS(L612/A612-1)&lt;0.01,"周波数差&lt;1%","周波数差あり"))</f>
        <v/>
      </c>
    </row>
    <row r="613">
      <c r="A613" s="197" t="n"/>
      <c r="B613" s="198" t="n"/>
      <c r="C613" s="198" t="n"/>
      <c r="D613" s="195">
        <f>IF(K613="","",INDEX('差動モデル'!$R:$R,K613))</f>
        <v/>
      </c>
      <c r="E613" s="195">
        <f>IF(K613="","",INDEX('差動モデル'!$S:$S,K613))</f>
        <v/>
      </c>
      <c r="F613" s="195">
        <f>IF(OR(A613="",B613=""),"",100*(D613-B613)/MAX(B613,1E-12))</f>
        <v/>
      </c>
      <c r="G613" s="195">
        <f>IF(OR(A613="",C613=""),"",E613-C613)</f>
        <v/>
      </c>
      <c r="H613" s="195">
        <f>IF(A613="","",LOG10(A613))</f>
        <v/>
      </c>
      <c r="I613" s="195">
        <f>IF(B613="","",LOG10(MAX(B613,1E-12)))</f>
        <v/>
      </c>
      <c r="J613" s="195">
        <f>IF(D613="","",LOG10(MAX(D613,1E-12)))</f>
        <v/>
      </c>
      <c r="K613">
        <f>IF(A613="","",ROUND(1+(LOG10(A613)-LOG10('入力・概要'!$B$38))*('入力・概要'!$B$40-1)/(LOG10('入力・概要'!$B$39)-LOG10('入力・概要'!$B$38)),0)+3)</f>
        <v/>
      </c>
      <c r="L613">
        <f>IF(K613="","",INDEX('差動モデル'!$B:$B,K613))</f>
        <v/>
      </c>
      <c r="M613">
        <f>IF(A613="","",IF(ABS(L613/A613-1)&lt;0.01,"周波数差&lt;1%","周波数差あり"))</f>
        <v/>
      </c>
    </row>
    <row r="614">
      <c r="A614" s="197" t="n"/>
      <c r="B614" s="198" t="n"/>
      <c r="C614" s="198" t="n"/>
      <c r="D614" s="195">
        <f>IF(K614="","",INDEX('差動モデル'!$R:$R,K614))</f>
        <v/>
      </c>
      <c r="E614" s="195">
        <f>IF(K614="","",INDEX('差動モデル'!$S:$S,K614))</f>
        <v/>
      </c>
      <c r="F614" s="195">
        <f>IF(OR(A614="",B614=""),"",100*(D614-B614)/MAX(B614,1E-12))</f>
        <v/>
      </c>
      <c r="G614" s="195">
        <f>IF(OR(A614="",C614=""),"",E614-C614)</f>
        <v/>
      </c>
      <c r="H614" s="195">
        <f>IF(A614="","",LOG10(A614))</f>
        <v/>
      </c>
      <c r="I614" s="195">
        <f>IF(B614="","",LOG10(MAX(B614,1E-12)))</f>
        <v/>
      </c>
      <c r="J614" s="195">
        <f>IF(D614="","",LOG10(MAX(D614,1E-12)))</f>
        <v/>
      </c>
      <c r="K614">
        <f>IF(A614="","",ROUND(1+(LOG10(A614)-LOG10('入力・概要'!$B$38))*('入力・概要'!$B$40-1)/(LOG10('入力・概要'!$B$39)-LOG10('入力・概要'!$B$38)),0)+3)</f>
        <v/>
      </c>
      <c r="L614">
        <f>IF(K614="","",INDEX('差動モデル'!$B:$B,K614))</f>
        <v/>
      </c>
      <c r="M614">
        <f>IF(A614="","",IF(ABS(L614/A614-1)&lt;0.01,"周波数差&lt;1%","周波数差あり"))</f>
        <v/>
      </c>
    </row>
    <row r="615">
      <c r="A615" s="197" t="n"/>
      <c r="B615" s="198" t="n"/>
      <c r="C615" s="198" t="n"/>
      <c r="D615" s="195">
        <f>IF(K615="","",INDEX('差動モデル'!$R:$R,K615))</f>
        <v/>
      </c>
      <c r="E615" s="195">
        <f>IF(K615="","",INDEX('差動モデル'!$S:$S,K615))</f>
        <v/>
      </c>
      <c r="F615" s="195">
        <f>IF(OR(A615="",B615=""),"",100*(D615-B615)/MAX(B615,1E-12))</f>
        <v/>
      </c>
      <c r="G615" s="195">
        <f>IF(OR(A615="",C615=""),"",E615-C615)</f>
        <v/>
      </c>
      <c r="H615" s="195">
        <f>IF(A615="","",LOG10(A615))</f>
        <v/>
      </c>
      <c r="I615" s="195">
        <f>IF(B615="","",LOG10(MAX(B615,1E-12)))</f>
        <v/>
      </c>
      <c r="J615" s="195">
        <f>IF(D615="","",LOG10(MAX(D615,1E-12)))</f>
        <v/>
      </c>
      <c r="K615">
        <f>IF(A615="","",ROUND(1+(LOG10(A615)-LOG10('入力・概要'!$B$38))*('入力・概要'!$B$40-1)/(LOG10('入力・概要'!$B$39)-LOG10('入力・概要'!$B$38)),0)+3)</f>
        <v/>
      </c>
      <c r="L615">
        <f>IF(K615="","",INDEX('差動モデル'!$B:$B,K615))</f>
        <v/>
      </c>
      <c r="M615">
        <f>IF(A615="","",IF(ABS(L615/A615-1)&lt;0.01,"周波数差&lt;1%","周波数差あり"))</f>
        <v/>
      </c>
    </row>
    <row r="616">
      <c r="A616" s="197" t="n"/>
      <c r="B616" s="198" t="n"/>
      <c r="C616" s="198" t="n"/>
      <c r="D616" s="195">
        <f>IF(K616="","",INDEX('差動モデル'!$R:$R,K616))</f>
        <v/>
      </c>
      <c r="E616" s="195">
        <f>IF(K616="","",INDEX('差動モデル'!$S:$S,K616))</f>
        <v/>
      </c>
      <c r="F616" s="195">
        <f>IF(OR(A616="",B616=""),"",100*(D616-B616)/MAX(B616,1E-12))</f>
        <v/>
      </c>
      <c r="G616" s="195">
        <f>IF(OR(A616="",C616=""),"",E616-C616)</f>
        <v/>
      </c>
      <c r="H616" s="195">
        <f>IF(A616="","",LOG10(A616))</f>
        <v/>
      </c>
      <c r="I616" s="195">
        <f>IF(B616="","",LOG10(MAX(B616,1E-12)))</f>
        <v/>
      </c>
      <c r="J616" s="195">
        <f>IF(D616="","",LOG10(MAX(D616,1E-12)))</f>
        <v/>
      </c>
      <c r="K616">
        <f>IF(A616="","",ROUND(1+(LOG10(A616)-LOG10('入力・概要'!$B$38))*('入力・概要'!$B$40-1)/(LOG10('入力・概要'!$B$39)-LOG10('入力・概要'!$B$38)),0)+3)</f>
        <v/>
      </c>
      <c r="L616">
        <f>IF(K616="","",INDEX('差動モデル'!$B:$B,K616))</f>
        <v/>
      </c>
      <c r="M616">
        <f>IF(A616="","",IF(ABS(L616/A616-1)&lt;0.01,"周波数差&lt;1%","周波数差あり"))</f>
        <v/>
      </c>
    </row>
    <row r="617">
      <c r="A617" s="197" t="n"/>
      <c r="B617" s="198" t="n"/>
      <c r="C617" s="198" t="n"/>
      <c r="D617" s="195">
        <f>IF(K617="","",INDEX('差動モデル'!$R:$R,K617))</f>
        <v/>
      </c>
      <c r="E617" s="195">
        <f>IF(K617="","",INDEX('差動モデル'!$S:$S,K617))</f>
        <v/>
      </c>
      <c r="F617" s="195">
        <f>IF(OR(A617="",B617=""),"",100*(D617-B617)/MAX(B617,1E-12))</f>
        <v/>
      </c>
      <c r="G617" s="195">
        <f>IF(OR(A617="",C617=""),"",E617-C617)</f>
        <v/>
      </c>
      <c r="H617" s="195">
        <f>IF(A617="","",LOG10(A617))</f>
        <v/>
      </c>
      <c r="I617" s="195">
        <f>IF(B617="","",LOG10(MAX(B617,1E-12)))</f>
        <v/>
      </c>
      <c r="J617" s="195">
        <f>IF(D617="","",LOG10(MAX(D617,1E-12)))</f>
        <v/>
      </c>
      <c r="K617">
        <f>IF(A617="","",ROUND(1+(LOG10(A617)-LOG10('入力・概要'!$B$38))*('入力・概要'!$B$40-1)/(LOG10('入力・概要'!$B$39)-LOG10('入力・概要'!$B$38)),0)+3)</f>
        <v/>
      </c>
      <c r="L617">
        <f>IF(K617="","",INDEX('差動モデル'!$B:$B,K617))</f>
        <v/>
      </c>
      <c r="M617">
        <f>IF(A617="","",IF(ABS(L617/A617-1)&lt;0.01,"周波数差&lt;1%","周波数差あり"))</f>
        <v/>
      </c>
    </row>
    <row r="618">
      <c r="A618" s="197" t="n"/>
      <c r="B618" s="198" t="n"/>
      <c r="C618" s="198" t="n"/>
      <c r="D618" s="195">
        <f>IF(K618="","",INDEX('差動モデル'!$R:$R,K618))</f>
        <v/>
      </c>
      <c r="E618" s="195">
        <f>IF(K618="","",INDEX('差動モデル'!$S:$S,K618))</f>
        <v/>
      </c>
      <c r="F618" s="195">
        <f>IF(OR(A618="",B618=""),"",100*(D618-B618)/MAX(B618,1E-12))</f>
        <v/>
      </c>
      <c r="G618" s="195">
        <f>IF(OR(A618="",C618=""),"",E618-C618)</f>
        <v/>
      </c>
      <c r="H618" s="195">
        <f>IF(A618="","",LOG10(A618))</f>
        <v/>
      </c>
      <c r="I618" s="195">
        <f>IF(B618="","",LOG10(MAX(B618,1E-12)))</f>
        <v/>
      </c>
      <c r="J618" s="195">
        <f>IF(D618="","",LOG10(MAX(D618,1E-12)))</f>
        <v/>
      </c>
      <c r="K618">
        <f>IF(A618="","",ROUND(1+(LOG10(A618)-LOG10('入力・概要'!$B$38))*('入力・概要'!$B$40-1)/(LOG10('入力・概要'!$B$39)-LOG10('入力・概要'!$B$38)),0)+3)</f>
        <v/>
      </c>
      <c r="L618">
        <f>IF(K618="","",INDEX('差動モデル'!$B:$B,K618))</f>
        <v/>
      </c>
      <c r="M618">
        <f>IF(A618="","",IF(ABS(L618/A618-1)&lt;0.01,"周波数差&lt;1%","周波数差あり"))</f>
        <v/>
      </c>
    </row>
    <row r="619">
      <c r="A619" s="197" t="n"/>
      <c r="B619" s="198" t="n"/>
      <c r="C619" s="198" t="n"/>
      <c r="D619" s="195">
        <f>IF(K619="","",INDEX('差動モデル'!$R:$R,K619))</f>
        <v/>
      </c>
      <c r="E619" s="195">
        <f>IF(K619="","",INDEX('差動モデル'!$S:$S,K619))</f>
        <v/>
      </c>
      <c r="F619" s="195">
        <f>IF(OR(A619="",B619=""),"",100*(D619-B619)/MAX(B619,1E-12))</f>
        <v/>
      </c>
      <c r="G619" s="195">
        <f>IF(OR(A619="",C619=""),"",E619-C619)</f>
        <v/>
      </c>
      <c r="H619" s="195">
        <f>IF(A619="","",LOG10(A619))</f>
        <v/>
      </c>
      <c r="I619" s="195">
        <f>IF(B619="","",LOG10(MAX(B619,1E-12)))</f>
        <v/>
      </c>
      <c r="J619" s="195">
        <f>IF(D619="","",LOG10(MAX(D619,1E-12)))</f>
        <v/>
      </c>
      <c r="K619">
        <f>IF(A619="","",ROUND(1+(LOG10(A619)-LOG10('入力・概要'!$B$38))*('入力・概要'!$B$40-1)/(LOG10('入力・概要'!$B$39)-LOG10('入力・概要'!$B$38)),0)+3)</f>
        <v/>
      </c>
      <c r="L619">
        <f>IF(K619="","",INDEX('差動モデル'!$B:$B,K619))</f>
        <v/>
      </c>
      <c r="M619">
        <f>IF(A619="","",IF(ABS(L619/A619-1)&lt;0.01,"周波数差&lt;1%","周波数差あり"))</f>
        <v/>
      </c>
    </row>
    <row r="620">
      <c r="A620" s="197" t="n"/>
      <c r="B620" s="198" t="n"/>
      <c r="C620" s="198" t="n"/>
      <c r="D620" s="195">
        <f>IF(K620="","",INDEX('差動モデル'!$R:$R,K620))</f>
        <v/>
      </c>
      <c r="E620" s="195">
        <f>IF(K620="","",INDEX('差動モデル'!$S:$S,K620))</f>
        <v/>
      </c>
      <c r="F620" s="195">
        <f>IF(OR(A620="",B620=""),"",100*(D620-B620)/MAX(B620,1E-12))</f>
        <v/>
      </c>
      <c r="G620" s="195">
        <f>IF(OR(A620="",C620=""),"",E620-C620)</f>
        <v/>
      </c>
      <c r="H620" s="195">
        <f>IF(A620="","",LOG10(A620))</f>
        <v/>
      </c>
      <c r="I620" s="195">
        <f>IF(B620="","",LOG10(MAX(B620,1E-12)))</f>
        <v/>
      </c>
      <c r="J620" s="195">
        <f>IF(D620="","",LOG10(MAX(D620,1E-12)))</f>
        <v/>
      </c>
      <c r="K620">
        <f>IF(A620="","",ROUND(1+(LOG10(A620)-LOG10('入力・概要'!$B$38))*('入力・概要'!$B$40-1)/(LOG10('入力・概要'!$B$39)-LOG10('入力・概要'!$B$38)),0)+3)</f>
        <v/>
      </c>
      <c r="L620">
        <f>IF(K620="","",INDEX('差動モデル'!$B:$B,K620))</f>
        <v/>
      </c>
      <c r="M620">
        <f>IF(A620="","",IF(ABS(L620/A620-1)&lt;0.01,"周波数差&lt;1%","周波数差あり"))</f>
        <v/>
      </c>
    </row>
    <row r="621">
      <c r="A621" s="197" t="n"/>
      <c r="B621" s="198" t="n"/>
      <c r="C621" s="198" t="n"/>
      <c r="D621" s="195">
        <f>IF(K621="","",INDEX('差動モデル'!$R:$R,K621))</f>
        <v/>
      </c>
      <c r="E621" s="195">
        <f>IF(K621="","",INDEX('差動モデル'!$S:$S,K621))</f>
        <v/>
      </c>
      <c r="F621" s="195">
        <f>IF(OR(A621="",B621=""),"",100*(D621-B621)/MAX(B621,1E-12))</f>
        <v/>
      </c>
      <c r="G621" s="195">
        <f>IF(OR(A621="",C621=""),"",E621-C621)</f>
        <v/>
      </c>
      <c r="H621" s="195">
        <f>IF(A621="","",LOG10(A621))</f>
        <v/>
      </c>
      <c r="I621" s="195">
        <f>IF(B621="","",LOG10(MAX(B621,1E-12)))</f>
        <v/>
      </c>
      <c r="J621" s="195">
        <f>IF(D621="","",LOG10(MAX(D621,1E-12)))</f>
        <v/>
      </c>
      <c r="K621">
        <f>IF(A621="","",ROUND(1+(LOG10(A621)-LOG10('入力・概要'!$B$38))*('入力・概要'!$B$40-1)/(LOG10('入力・概要'!$B$39)-LOG10('入力・概要'!$B$38)),0)+3)</f>
        <v/>
      </c>
      <c r="L621">
        <f>IF(K621="","",INDEX('差動モデル'!$B:$B,K621))</f>
        <v/>
      </c>
      <c r="M621">
        <f>IF(A621="","",IF(ABS(L621/A621-1)&lt;0.01,"周波数差&lt;1%","周波数差あり"))</f>
        <v/>
      </c>
    </row>
    <row r="622">
      <c r="A622" s="197" t="n"/>
      <c r="B622" s="198" t="n"/>
      <c r="C622" s="198" t="n"/>
      <c r="D622" s="195">
        <f>IF(K622="","",INDEX('差動モデル'!$R:$R,K622))</f>
        <v/>
      </c>
      <c r="E622" s="195">
        <f>IF(K622="","",INDEX('差動モデル'!$S:$S,K622))</f>
        <v/>
      </c>
      <c r="F622" s="195">
        <f>IF(OR(A622="",B622=""),"",100*(D622-B622)/MAX(B622,1E-12))</f>
        <v/>
      </c>
      <c r="G622" s="195">
        <f>IF(OR(A622="",C622=""),"",E622-C622)</f>
        <v/>
      </c>
      <c r="H622" s="195">
        <f>IF(A622="","",LOG10(A622))</f>
        <v/>
      </c>
      <c r="I622" s="195">
        <f>IF(B622="","",LOG10(MAX(B622,1E-12)))</f>
        <v/>
      </c>
      <c r="J622" s="195">
        <f>IF(D622="","",LOG10(MAX(D622,1E-12)))</f>
        <v/>
      </c>
      <c r="K622">
        <f>IF(A622="","",ROUND(1+(LOG10(A622)-LOG10('入力・概要'!$B$38))*('入力・概要'!$B$40-1)/(LOG10('入力・概要'!$B$39)-LOG10('入力・概要'!$B$38)),0)+3)</f>
        <v/>
      </c>
      <c r="L622">
        <f>IF(K622="","",INDEX('差動モデル'!$B:$B,K622))</f>
        <v/>
      </c>
      <c r="M622">
        <f>IF(A622="","",IF(ABS(L622/A622-1)&lt;0.01,"周波数差&lt;1%","周波数差あり"))</f>
        <v/>
      </c>
    </row>
    <row r="623">
      <c r="A623" s="197" t="n"/>
      <c r="B623" s="198" t="n"/>
      <c r="C623" s="198" t="n"/>
      <c r="D623" s="195">
        <f>IF(K623="","",INDEX('差動モデル'!$R:$R,K623))</f>
        <v/>
      </c>
      <c r="E623" s="195">
        <f>IF(K623="","",INDEX('差動モデル'!$S:$S,K623))</f>
        <v/>
      </c>
      <c r="F623" s="195">
        <f>IF(OR(A623="",B623=""),"",100*(D623-B623)/MAX(B623,1E-12))</f>
        <v/>
      </c>
      <c r="G623" s="195">
        <f>IF(OR(A623="",C623=""),"",E623-C623)</f>
        <v/>
      </c>
      <c r="H623" s="195">
        <f>IF(A623="","",LOG10(A623))</f>
        <v/>
      </c>
      <c r="I623" s="195">
        <f>IF(B623="","",LOG10(MAX(B623,1E-12)))</f>
        <v/>
      </c>
      <c r="J623" s="195">
        <f>IF(D623="","",LOG10(MAX(D623,1E-12)))</f>
        <v/>
      </c>
      <c r="K623">
        <f>IF(A623="","",ROUND(1+(LOG10(A623)-LOG10('入力・概要'!$B$38))*('入力・概要'!$B$40-1)/(LOG10('入力・概要'!$B$39)-LOG10('入力・概要'!$B$38)),0)+3)</f>
        <v/>
      </c>
      <c r="L623">
        <f>IF(K623="","",INDEX('差動モデル'!$B:$B,K623))</f>
        <v/>
      </c>
      <c r="M623">
        <f>IF(A623="","",IF(ABS(L623/A623-1)&lt;0.01,"周波数差&lt;1%","周波数差あり"))</f>
        <v/>
      </c>
    </row>
    <row r="624">
      <c r="A624" s="197" t="n"/>
      <c r="B624" s="198" t="n"/>
      <c r="C624" s="198" t="n"/>
      <c r="D624" s="195">
        <f>IF(K624="","",INDEX('差動モデル'!$R:$R,K624))</f>
        <v/>
      </c>
      <c r="E624" s="195">
        <f>IF(K624="","",INDEX('差動モデル'!$S:$S,K624))</f>
        <v/>
      </c>
      <c r="F624" s="195">
        <f>IF(OR(A624="",B624=""),"",100*(D624-B624)/MAX(B624,1E-12))</f>
        <v/>
      </c>
      <c r="G624" s="195">
        <f>IF(OR(A624="",C624=""),"",E624-C624)</f>
        <v/>
      </c>
      <c r="H624" s="195">
        <f>IF(A624="","",LOG10(A624))</f>
        <v/>
      </c>
      <c r="I624" s="195">
        <f>IF(B624="","",LOG10(MAX(B624,1E-12)))</f>
        <v/>
      </c>
      <c r="J624" s="195">
        <f>IF(D624="","",LOG10(MAX(D624,1E-12)))</f>
        <v/>
      </c>
      <c r="K624">
        <f>IF(A624="","",ROUND(1+(LOG10(A624)-LOG10('入力・概要'!$B$38))*('入力・概要'!$B$40-1)/(LOG10('入力・概要'!$B$39)-LOG10('入力・概要'!$B$38)),0)+3)</f>
        <v/>
      </c>
      <c r="L624">
        <f>IF(K624="","",INDEX('差動モデル'!$B:$B,K624))</f>
        <v/>
      </c>
      <c r="M624">
        <f>IF(A624="","",IF(ABS(L624/A624-1)&lt;0.01,"周波数差&lt;1%","周波数差あり"))</f>
        <v/>
      </c>
    </row>
    <row r="625">
      <c r="A625" s="197" t="n"/>
      <c r="B625" s="198" t="n"/>
      <c r="C625" s="198" t="n"/>
      <c r="D625" s="195">
        <f>IF(K625="","",INDEX('差動モデル'!$R:$R,K625))</f>
        <v/>
      </c>
      <c r="E625" s="195">
        <f>IF(K625="","",INDEX('差動モデル'!$S:$S,K625))</f>
        <v/>
      </c>
      <c r="F625" s="195">
        <f>IF(OR(A625="",B625=""),"",100*(D625-B625)/MAX(B625,1E-12))</f>
        <v/>
      </c>
      <c r="G625" s="195">
        <f>IF(OR(A625="",C625=""),"",E625-C625)</f>
        <v/>
      </c>
      <c r="H625" s="195">
        <f>IF(A625="","",LOG10(A625))</f>
        <v/>
      </c>
      <c r="I625" s="195">
        <f>IF(B625="","",LOG10(MAX(B625,1E-12)))</f>
        <v/>
      </c>
      <c r="J625" s="195">
        <f>IF(D625="","",LOG10(MAX(D625,1E-12)))</f>
        <v/>
      </c>
      <c r="K625">
        <f>IF(A625="","",ROUND(1+(LOG10(A625)-LOG10('入力・概要'!$B$38))*('入力・概要'!$B$40-1)/(LOG10('入力・概要'!$B$39)-LOG10('入力・概要'!$B$38)),0)+3)</f>
        <v/>
      </c>
      <c r="L625">
        <f>IF(K625="","",INDEX('差動モデル'!$B:$B,K625))</f>
        <v/>
      </c>
      <c r="M625">
        <f>IF(A625="","",IF(ABS(L625/A625-1)&lt;0.01,"周波数差&lt;1%","周波数差あり"))</f>
        <v/>
      </c>
    </row>
    <row r="626">
      <c r="A626" s="197" t="n"/>
      <c r="B626" s="198" t="n"/>
      <c r="C626" s="198" t="n"/>
      <c r="D626" s="195">
        <f>IF(K626="","",INDEX('差動モデル'!$R:$R,K626))</f>
        <v/>
      </c>
      <c r="E626" s="195">
        <f>IF(K626="","",INDEX('差動モデル'!$S:$S,K626))</f>
        <v/>
      </c>
      <c r="F626" s="195">
        <f>IF(OR(A626="",B626=""),"",100*(D626-B626)/MAX(B626,1E-12))</f>
        <v/>
      </c>
      <c r="G626" s="195">
        <f>IF(OR(A626="",C626=""),"",E626-C626)</f>
        <v/>
      </c>
      <c r="H626" s="195">
        <f>IF(A626="","",LOG10(A626))</f>
        <v/>
      </c>
      <c r="I626" s="195">
        <f>IF(B626="","",LOG10(MAX(B626,1E-12)))</f>
        <v/>
      </c>
      <c r="J626" s="195">
        <f>IF(D626="","",LOG10(MAX(D626,1E-12)))</f>
        <v/>
      </c>
      <c r="K626">
        <f>IF(A626="","",ROUND(1+(LOG10(A626)-LOG10('入力・概要'!$B$38))*('入力・概要'!$B$40-1)/(LOG10('入力・概要'!$B$39)-LOG10('入力・概要'!$B$38)),0)+3)</f>
        <v/>
      </c>
      <c r="L626">
        <f>IF(K626="","",INDEX('差動モデル'!$B:$B,K626))</f>
        <v/>
      </c>
      <c r="M626">
        <f>IF(A626="","",IF(ABS(L626/A626-1)&lt;0.01,"周波数差&lt;1%","周波数差あり"))</f>
        <v/>
      </c>
    </row>
    <row r="627">
      <c r="A627" s="197" t="n"/>
      <c r="B627" s="198" t="n"/>
      <c r="C627" s="198" t="n"/>
      <c r="D627" s="195">
        <f>IF(K627="","",INDEX('差動モデル'!$R:$R,K627))</f>
        <v/>
      </c>
      <c r="E627" s="195">
        <f>IF(K627="","",INDEX('差動モデル'!$S:$S,K627))</f>
        <v/>
      </c>
      <c r="F627" s="195">
        <f>IF(OR(A627="",B627=""),"",100*(D627-B627)/MAX(B627,1E-12))</f>
        <v/>
      </c>
      <c r="G627" s="195">
        <f>IF(OR(A627="",C627=""),"",E627-C627)</f>
        <v/>
      </c>
      <c r="H627" s="195">
        <f>IF(A627="","",LOG10(A627))</f>
        <v/>
      </c>
      <c r="I627" s="195">
        <f>IF(B627="","",LOG10(MAX(B627,1E-12)))</f>
        <v/>
      </c>
      <c r="J627" s="195">
        <f>IF(D627="","",LOG10(MAX(D627,1E-12)))</f>
        <v/>
      </c>
      <c r="K627">
        <f>IF(A627="","",ROUND(1+(LOG10(A627)-LOG10('入力・概要'!$B$38))*('入力・概要'!$B$40-1)/(LOG10('入力・概要'!$B$39)-LOG10('入力・概要'!$B$38)),0)+3)</f>
        <v/>
      </c>
      <c r="L627">
        <f>IF(K627="","",INDEX('差動モデル'!$B:$B,K627))</f>
        <v/>
      </c>
      <c r="M627">
        <f>IF(A627="","",IF(ABS(L627/A627-1)&lt;0.01,"周波数差&lt;1%","周波数差あり"))</f>
        <v/>
      </c>
    </row>
    <row r="628">
      <c r="A628" s="197" t="n"/>
      <c r="B628" s="198" t="n"/>
      <c r="C628" s="198" t="n"/>
      <c r="D628" s="195">
        <f>IF(K628="","",INDEX('差動モデル'!$R:$R,K628))</f>
        <v/>
      </c>
      <c r="E628" s="195">
        <f>IF(K628="","",INDEX('差動モデル'!$S:$S,K628))</f>
        <v/>
      </c>
      <c r="F628" s="195">
        <f>IF(OR(A628="",B628=""),"",100*(D628-B628)/MAX(B628,1E-12))</f>
        <v/>
      </c>
      <c r="G628" s="195">
        <f>IF(OR(A628="",C628=""),"",E628-C628)</f>
        <v/>
      </c>
      <c r="H628" s="195">
        <f>IF(A628="","",LOG10(A628))</f>
        <v/>
      </c>
      <c r="I628" s="195">
        <f>IF(B628="","",LOG10(MAX(B628,1E-12)))</f>
        <v/>
      </c>
      <c r="J628" s="195">
        <f>IF(D628="","",LOG10(MAX(D628,1E-12)))</f>
        <v/>
      </c>
      <c r="K628">
        <f>IF(A628="","",ROUND(1+(LOG10(A628)-LOG10('入力・概要'!$B$38))*('入力・概要'!$B$40-1)/(LOG10('入力・概要'!$B$39)-LOG10('入力・概要'!$B$38)),0)+3)</f>
        <v/>
      </c>
      <c r="L628">
        <f>IF(K628="","",INDEX('差動モデル'!$B:$B,K628))</f>
        <v/>
      </c>
      <c r="M628">
        <f>IF(A628="","",IF(ABS(L628/A628-1)&lt;0.01,"周波数差&lt;1%","周波数差あり"))</f>
        <v/>
      </c>
    </row>
    <row r="629">
      <c r="A629" s="197" t="n"/>
      <c r="B629" s="198" t="n"/>
      <c r="C629" s="198" t="n"/>
      <c r="D629" s="195">
        <f>IF(K629="","",INDEX('差動モデル'!$R:$R,K629))</f>
        <v/>
      </c>
      <c r="E629" s="195">
        <f>IF(K629="","",INDEX('差動モデル'!$S:$S,K629))</f>
        <v/>
      </c>
      <c r="F629" s="195">
        <f>IF(OR(A629="",B629=""),"",100*(D629-B629)/MAX(B629,1E-12))</f>
        <v/>
      </c>
      <c r="G629" s="195">
        <f>IF(OR(A629="",C629=""),"",E629-C629)</f>
        <v/>
      </c>
      <c r="H629" s="195">
        <f>IF(A629="","",LOG10(A629))</f>
        <v/>
      </c>
      <c r="I629" s="195">
        <f>IF(B629="","",LOG10(MAX(B629,1E-12)))</f>
        <v/>
      </c>
      <c r="J629" s="195">
        <f>IF(D629="","",LOG10(MAX(D629,1E-12)))</f>
        <v/>
      </c>
      <c r="K629">
        <f>IF(A629="","",ROUND(1+(LOG10(A629)-LOG10('入力・概要'!$B$38))*('入力・概要'!$B$40-1)/(LOG10('入力・概要'!$B$39)-LOG10('入力・概要'!$B$38)),0)+3)</f>
        <v/>
      </c>
      <c r="L629">
        <f>IF(K629="","",INDEX('差動モデル'!$B:$B,K629))</f>
        <v/>
      </c>
      <c r="M629">
        <f>IF(A629="","",IF(ABS(L629/A629-1)&lt;0.01,"周波数差&lt;1%","周波数差あり"))</f>
        <v/>
      </c>
    </row>
    <row r="630">
      <c r="A630" s="197" t="n"/>
      <c r="B630" s="198" t="n"/>
      <c r="C630" s="198" t="n"/>
      <c r="D630" s="195">
        <f>IF(K630="","",INDEX('差動モデル'!$R:$R,K630))</f>
        <v/>
      </c>
      <c r="E630" s="195">
        <f>IF(K630="","",INDEX('差動モデル'!$S:$S,K630))</f>
        <v/>
      </c>
      <c r="F630" s="195">
        <f>IF(OR(A630="",B630=""),"",100*(D630-B630)/MAX(B630,1E-12))</f>
        <v/>
      </c>
      <c r="G630" s="195">
        <f>IF(OR(A630="",C630=""),"",E630-C630)</f>
        <v/>
      </c>
      <c r="H630" s="195">
        <f>IF(A630="","",LOG10(A630))</f>
        <v/>
      </c>
      <c r="I630" s="195">
        <f>IF(B630="","",LOG10(MAX(B630,1E-12)))</f>
        <v/>
      </c>
      <c r="J630" s="195">
        <f>IF(D630="","",LOG10(MAX(D630,1E-12)))</f>
        <v/>
      </c>
      <c r="K630">
        <f>IF(A630="","",ROUND(1+(LOG10(A630)-LOG10('入力・概要'!$B$38))*('入力・概要'!$B$40-1)/(LOG10('入力・概要'!$B$39)-LOG10('入力・概要'!$B$38)),0)+3)</f>
        <v/>
      </c>
      <c r="L630">
        <f>IF(K630="","",INDEX('差動モデル'!$B:$B,K630))</f>
        <v/>
      </c>
      <c r="M630">
        <f>IF(A630="","",IF(ABS(L630/A630-1)&lt;0.01,"周波数差&lt;1%","周波数差あり"))</f>
        <v/>
      </c>
    </row>
    <row r="631">
      <c r="A631" s="197" t="n"/>
      <c r="B631" s="198" t="n"/>
      <c r="C631" s="198" t="n"/>
      <c r="D631" s="195">
        <f>IF(K631="","",INDEX('差動モデル'!$R:$R,K631))</f>
        <v/>
      </c>
      <c r="E631" s="195">
        <f>IF(K631="","",INDEX('差動モデル'!$S:$S,K631))</f>
        <v/>
      </c>
      <c r="F631" s="195">
        <f>IF(OR(A631="",B631=""),"",100*(D631-B631)/MAX(B631,1E-12))</f>
        <v/>
      </c>
      <c r="G631" s="195">
        <f>IF(OR(A631="",C631=""),"",E631-C631)</f>
        <v/>
      </c>
      <c r="H631" s="195">
        <f>IF(A631="","",LOG10(A631))</f>
        <v/>
      </c>
      <c r="I631" s="195">
        <f>IF(B631="","",LOG10(MAX(B631,1E-12)))</f>
        <v/>
      </c>
      <c r="J631" s="195">
        <f>IF(D631="","",LOG10(MAX(D631,1E-12)))</f>
        <v/>
      </c>
      <c r="K631">
        <f>IF(A631="","",ROUND(1+(LOG10(A631)-LOG10('入力・概要'!$B$38))*('入力・概要'!$B$40-1)/(LOG10('入力・概要'!$B$39)-LOG10('入力・概要'!$B$38)),0)+3)</f>
        <v/>
      </c>
      <c r="L631">
        <f>IF(K631="","",INDEX('差動モデル'!$B:$B,K631))</f>
        <v/>
      </c>
      <c r="M631">
        <f>IF(A631="","",IF(ABS(L631/A631-1)&lt;0.01,"周波数差&lt;1%","周波数差あり"))</f>
        <v/>
      </c>
    </row>
    <row r="632">
      <c r="A632" s="197" t="n"/>
      <c r="B632" s="198" t="n"/>
      <c r="C632" s="198" t="n"/>
      <c r="D632" s="195">
        <f>IF(K632="","",INDEX('差動モデル'!$R:$R,K632))</f>
        <v/>
      </c>
      <c r="E632" s="195">
        <f>IF(K632="","",INDEX('差動モデル'!$S:$S,K632))</f>
        <v/>
      </c>
      <c r="F632" s="195">
        <f>IF(OR(A632="",B632=""),"",100*(D632-B632)/MAX(B632,1E-12))</f>
        <v/>
      </c>
      <c r="G632" s="195">
        <f>IF(OR(A632="",C632=""),"",E632-C632)</f>
        <v/>
      </c>
      <c r="H632" s="195">
        <f>IF(A632="","",LOG10(A632))</f>
        <v/>
      </c>
      <c r="I632" s="195">
        <f>IF(B632="","",LOG10(MAX(B632,1E-12)))</f>
        <v/>
      </c>
      <c r="J632" s="195">
        <f>IF(D632="","",LOG10(MAX(D632,1E-12)))</f>
        <v/>
      </c>
      <c r="K632">
        <f>IF(A632="","",ROUND(1+(LOG10(A632)-LOG10('入力・概要'!$B$38))*('入力・概要'!$B$40-1)/(LOG10('入力・概要'!$B$39)-LOG10('入力・概要'!$B$38)),0)+3)</f>
        <v/>
      </c>
      <c r="L632">
        <f>IF(K632="","",INDEX('差動モデル'!$B:$B,K632))</f>
        <v/>
      </c>
      <c r="M632">
        <f>IF(A632="","",IF(ABS(L632/A632-1)&lt;0.01,"周波数差&lt;1%","周波数差あり"))</f>
        <v/>
      </c>
    </row>
    <row r="633">
      <c r="A633" s="197" t="n"/>
      <c r="B633" s="198" t="n"/>
      <c r="C633" s="198" t="n"/>
      <c r="D633" s="195">
        <f>IF(K633="","",INDEX('差動モデル'!$R:$R,K633))</f>
        <v/>
      </c>
      <c r="E633" s="195">
        <f>IF(K633="","",INDEX('差動モデル'!$S:$S,K633))</f>
        <v/>
      </c>
      <c r="F633" s="195">
        <f>IF(OR(A633="",B633=""),"",100*(D633-B633)/MAX(B633,1E-12))</f>
        <v/>
      </c>
      <c r="G633" s="195">
        <f>IF(OR(A633="",C633=""),"",E633-C633)</f>
        <v/>
      </c>
      <c r="H633" s="195">
        <f>IF(A633="","",LOG10(A633))</f>
        <v/>
      </c>
      <c r="I633" s="195">
        <f>IF(B633="","",LOG10(MAX(B633,1E-12)))</f>
        <v/>
      </c>
      <c r="J633" s="195">
        <f>IF(D633="","",LOG10(MAX(D633,1E-12)))</f>
        <v/>
      </c>
      <c r="K633">
        <f>IF(A633="","",ROUND(1+(LOG10(A633)-LOG10('入力・概要'!$B$38))*('入力・概要'!$B$40-1)/(LOG10('入力・概要'!$B$39)-LOG10('入力・概要'!$B$38)),0)+3)</f>
        <v/>
      </c>
      <c r="L633">
        <f>IF(K633="","",INDEX('差動モデル'!$B:$B,K633))</f>
        <v/>
      </c>
      <c r="M633">
        <f>IF(A633="","",IF(ABS(L633/A633-1)&lt;0.01,"周波数差&lt;1%","周波数差あり"))</f>
        <v/>
      </c>
    </row>
    <row r="634">
      <c r="A634" s="197" t="n"/>
      <c r="B634" s="198" t="n"/>
      <c r="C634" s="198" t="n"/>
      <c r="D634" s="195">
        <f>IF(K634="","",INDEX('差動モデル'!$R:$R,K634))</f>
        <v/>
      </c>
      <c r="E634" s="195">
        <f>IF(K634="","",INDEX('差動モデル'!$S:$S,K634))</f>
        <v/>
      </c>
      <c r="F634" s="195">
        <f>IF(OR(A634="",B634=""),"",100*(D634-B634)/MAX(B634,1E-12))</f>
        <v/>
      </c>
      <c r="G634" s="195">
        <f>IF(OR(A634="",C634=""),"",E634-C634)</f>
        <v/>
      </c>
      <c r="H634" s="195">
        <f>IF(A634="","",LOG10(A634))</f>
        <v/>
      </c>
      <c r="I634" s="195">
        <f>IF(B634="","",LOG10(MAX(B634,1E-12)))</f>
        <v/>
      </c>
      <c r="J634" s="195">
        <f>IF(D634="","",LOG10(MAX(D634,1E-12)))</f>
        <v/>
      </c>
      <c r="K634">
        <f>IF(A634="","",ROUND(1+(LOG10(A634)-LOG10('入力・概要'!$B$38))*('入力・概要'!$B$40-1)/(LOG10('入力・概要'!$B$39)-LOG10('入力・概要'!$B$38)),0)+3)</f>
        <v/>
      </c>
      <c r="L634">
        <f>IF(K634="","",INDEX('差動モデル'!$B:$B,K634))</f>
        <v/>
      </c>
      <c r="M634">
        <f>IF(A634="","",IF(ABS(L634/A634-1)&lt;0.01,"周波数差&lt;1%","周波数差あり"))</f>
        <v/>
      </c>
    </row>
    <row r="635">
      <c r="A635" s="197" t="n"/>
      <c r="B635" s="198" t="n"/>
      <c r="C635" s="198" t="n"/>
      <c r="D635" s="195">
        <f>IF(K635="","",INDEX('差動モデル'!$R:$R,K635))</f>
        <v/>
      </c>
      <c r="E635" s="195">
        <f>IF(K635="","",INDEX('差動モデル'!$S:$S,K635))</f>
        <v/>
      </c>
      <c r="F635" s="195">
        <f>IF(OR(A635="",B635=""),"",100*(D635-B635)/MAX(B635,1E-12))</f>
        <v/>
      </c>
      <c r="G635" s="195">
        <f>IF(OR(A635="",C635=""),"",E635-C635)</f>
        <v/>
      </c>
      <c r="H635" s="195">
        <f>IF(A635="","",LOG10(A635))</f>
        <v/>
      </c>
      <c r="I635" s="195">
        <f>IF(B635="","",LOG10(MAX(B635,1E-12)))</f>
        <v/>
      </c>
      <c r="J635" s="195">
        <f>IF(D635="","",LOG10(MAX(D635,1E-12)))</f>
        <v/>
      </c>
      <c r="K635">
        <f>IF(A635="","",ROUND(1+(LOG10(A635)-LOG10('入力・概要'!$B$38))*('入力・概要'!$B$40-1)/(LOG10('入力・概要'!$B$39)-LOG10('入力・概要'!$B$38)),0)+3)</f>
        <v/>
      </c>
      <c r="L635">
        <f>IF(K635="","",INDEX('差動モデル'!$B:$B,K635))</f>
        <v/>
      </c>
      <c r="M635">
        <f>IF(A635="","",IF(ABS(L635/A635-1)&lt;0.01,"周波数差&lt;1%","周波数差あり"))</f>
        <v/>
      </c>
    </row>
    <row r="636">
      <c r="A636" s="197" t="n"/>
      <c r="B636" s="198" t="n"/>
      <c r="C636" s="198" t="n"/>
      <c r="D636" s="195">
        <f>IF(K636="","",INDEX('差動モデル'!$R:$R,K636))</f>
        <v/>
      </c>
      <c r="E636" s="195">
        <f>IF(K636="","",INDEX('差動モデル'!$S:$S,K636))</f>
        <v/>
      </c>
      <c r="F636" s="195">
        <f>IF(OR(A636="",B636=""),"",100*(D636-B636)/MAX(B636,1E-12))</f>
        <v/>
      </c>
      <c r="G636" s="195">
        <f>IF(OR(A636="",C636=""),"",E636-C636)</f>
        <v/>
      </c>
      <c r="H636" s="195">
        <f>IF(A636="","",LOG10(A636))</f>
        <v/>
      </c>
      <c r="I636" s="195">
        <f>IF(B636="","",LOG10(MAX(B636,1E-12)))</f>
        <v/>
      </c>
      <c r="J636" s="195">
        <f>IF(D636="","",LOG10(MAX(D636,1E-12)))</f>
        <v/>
      </c>
      <c r="K636">
        <f>IF(A636="","",ROUND(1+(LOG10(A636)-LOG10('入力・概要'!$B$38))*('入力・概要'!$B$40-1)/(LOG10('入力・概要'!$B$39)-LOG10('入力・概要'!$B$38)),0)+3)</f>
        <v/>
      </c>
      <c r="L636">
        <f>IF(K636="","",INDEX('差動モデル'!$B:$B,K636))</f>
        <v/>
      </c>
      <c r="M636">
        <f>IF(A636="","",IF(ABS(L636/A636-1)&lt;0.01,"周波数差&lt;1%","周波数差あり"))</f>
        <v/>
      </c>
    </row>
    <row r="637">
      <c r="A637" s="197" t="n"/>
      <c r="B637" s="198" t="n"/>
      <c r="C637" s="198" t="n"/>
      <c r="D637" s="195">
        <f>IF(K637="","",INDEX('差動モデル'!$R:$R,K637))</f>
        <v/>
      </c>
      <c r="E637" s="195">
        <f>IF(K637="","",INDEX('差動モデル'!$S:$S,K637))</f>
        <v/>
      </c>
      <c r="F637" s="195">
        <f>IF(OR(A637="",B637=""),"",100*(D637-B637)/MAX(B637,1E-12))</f>
        <v/>
      </c>
      <c r="G637" s="195">
        <f>IF(OR(A637="",C637=""),"",E637-C637)</f>
        <v/>
      </c>
      <c r="H637" s="195">
        <f>IF(A637="","",LOG10(A637))</f>
        <v/>
      </c>
      <c r="I637" s="195">
        <f>IF(B637="","",LOG10(MAX(B637,1E-12)))</f>
        <v/>
      </c>
      <c r="J637" s="195">
        <f>IF(D637="","",LOG10(MAX(D637,1E-12)))</f>
        <v/>
      </c>
      <c r="K637">
        <f>IF(A637="","",ROUND(1+(LOG10(A637)-LOG10('入力・概要'!$B$38))*('入力・概要'!$B$40-1)/(LOG10('入力・概要'!$B$39)-LOG10('入力・概要'!$B$38)),0)+3)</f>
        <v/>
      </c>
      <c r="L637">
        <f>IF(K637="","",INDEX('差動モデル'!$B:$B,K637))</f>
        <v/>
      </c>
      <c r="M637">
        <f>IF(A637="","",IF(ABS(L637/A637-1)&lt;0.01,"周波数差&lt;1%","周波数差あり"))</f>
        <v/>
      </c>
    </row>
    <row r="638">
      <c r="A638" s="197" t="n"/>
      <c r="B638" s="198" t="n"/>
      <c r="C638" s="198" t="n"/>
      <c r="D638" s="195">
        <f>IF(K638="","",INDEX('差動モデル'!$R:$R,K638))</f>
        <v/>
      </c>
      <c r="E638" s="195">
        <f>IF(K638="","",INDEX('差動モデル'!$S:$S,K638))</f>
        <v/>
      </c>
      <c r="F638" s="195">
        <f>IF(OR(A638="",B638=""),"",100*(D638-B638)/MAX(B638,1E-12))</f>
        <v/>
      </c>
      <c r="G638" s="195">
        <f>IF(OR(A638="",C638=""),"",E638-C638)</f>
        <v/>
      </c>
      <c r="H638" s="195">
        <f>IF(A638="","",LOG10(A638))</f>
        <v/>
      </c>
      <c r="I638" s="195">
        <f>IF(B638="","",LOG10(MAX(B638,1E-12)))</f>
        <v/>
      </c>
      <c r="J638" s="195">
        <f>IF(D638="","",LOG10(MAX(D638,1E-12)))</f>
        <v/>
      </c>
      <c r="K638">
        <f>IF(A638="","",ROUND(1+(LOG10(A638)-LOG10('入力・概要'!$B$38))*('入力・概要'!$B$40-1)/(LOG10('入力・概要'!$B$39)-LOG10('入力・概要'!$B$38)),0)+3)</f>
        <v/>
      </c>
      <c r="L638">
        <f>IF(K638="","",INDEX('差動モデル'!$B:$B,K638))</f>
        <v/>
      </c>
      <c r="M638">
        <f>IF(A638="","",IF(ABS(L638/A638-1)&lt;0.01,"周波数差&lt;1%","周波数差あり"))</f>
        <v/>
      </c>
    </row>
    <row r="639">
      <c r="A639" s="197" t="n"/>
      <c r="B639" s="198" t="n"/>
      <c r="C639" s="198" t="n"/>
      <c r="D639" s="195">
        <f>IF(K639="","",INDEX('差動モデル'!$R:$R,K639))</f>
        <v/>
      </c>
      <c r="E639" s="195">
        <f>IF(K639="","",INDEX('差動モデル'!$S:$S,K639))</f>
        <v/>
      </c>
      <c r="F639" s="195">
        <f>IF(OR(A639="",B639=""),"",100*(D639-B639)/MAX(B639,1E-12))</f>
        <v/>
      </c>
      <c r="G639" s="195">
        <f>IF(OR(A639="",C639=""),"",E639-C639)</f>
        <v/>
      </c>
      <c r="H639" s="195">
        <f>IF(A639="","",LOG10(A639))</f>
        <v/>
      </c>
      <c r="I639" s="195">
        <f>IF(B639="","",LOG10(MAX(B639,1E-12)))</f>
        <v/>
      </c>
      <c r="J639" s="195">
        <f>IF(D639="","",LOG10(MAX(D639,1E-12)))</f>
        <v/>
      </c>
      <c r="K639">
        <f>IF(A639="","",ROUND(1+(LOG10(A639)-LOG10('入力・概要'!$B$38))*('入力・概要'!$B$40-1)/(LOG10('入力・概要'!$B$39)-LOG10('入力・概要'!$B$38)),0)+3)</f>
        <v/>
      </c>
      <c r="L639">
        <f>IF(K639="","",INDEX('差動モデル'!$B:$B,K639))</f>
        <v/>
      </c>
      <c r="M639">
        <f>IF(A639="","",IF(ABS(L639/A639-1)&lt;0.01,"周波数差&lt;1%","周波数差あり"))</f>
        <v/>
      </c>
    </row>
    <row r="640">
      <c r="A640" s="197" t="n"/>
      <c r="B640" s="198" t="n"/>
      <c r="C640" s="198" t="n"/>
      <c r="D640" s="195">
        <f>IF(K640="","",INDEX('差動モデル'!$R:$R,K640))</f>
        <v/>
      </c>
      <c r="E640" s="195">
        <f>IF(K640="","",INDEX('差動モデル'!$S:$S,K640))</f>
        <v/>
      </c>
      <c r="F640" s="195">
        <f>IF(OR(A640="",B640=""),"",100*(D640-B640)/MAX(B640,1E-12))</f>
        <v/>
      </c>
      <c r="G640" s="195">
        <f>IF(OR(A640="",C640=""),"",E640-C640)</f>
        <v/>
      </c>
      <c r="H640" s="195">
        <f>IF(A640="","",LOG10(A640))</f>
        <v/>
      </c>
      <c r="I640" s="195">
        <f>IF(B640="","",LOG10(MAX(B640,1E-12)))</f>
        <v/>
      </c>
      <c r="J640" s="195">
        <f>IF(D640="","",LOG10(MAX(D640,1E-12)))</f>
        <v/>
      </c>
      <c r="K640">
        <f>IF(A640="","",ROUND(1+(LOG10(A640)-LOG10('入力・概要'!$B$38))*('入力・概要'!$B$40-1)/(LOG10('入力・概要'!$B$39)-LOG10('入力・概要'!$B$38)),0)+3)</f>
        <v/>
      </c>
      <c r="L640">
        <f>IF(K640="","",INDEX('差動モデル'!$B:$B,K640))</f>
        <v/>
      </c>
      <c r="M640">
        <f>IF(A640="","",IF(ABS(L640/A640-1)&lt;0.01,"周波数差&lt;1%","周波数差あり"))</f>
        <v/>
      </c>
    </row>
    <row r="641">
      <c r="A641" s="197" t="n"/>
      <c r="B641" s="198" t="n"/>
      <c r="C641" s="198" t="n"/>
      <c r="D641" s="195">
        <f>IF(K641="","",INDEX('差動モデル'!$R:$R,K641))</f>
        <v/>
      </c>
      <c r="E641" s="195">
        <f>IF(K641="","",INDEX('差動モデル'!$S:$S,K641))</f>
        <v/>
      </c>
      <c r="F641" s="195">
        <f>IF(OR(A641="",B641=""),"",100*(D641-B641)/MAX(B641,1E-12))</f>
        <v/>
      </c>
      <c r="G641" s="195">
        <f>IF(OR(A641="",C641=""),"",E641-C641)</f>
        <v/>
      </c>
      <c r="H641" s="195">
        <f>IF(A641="","",LOG10(A641))</f>
        <v/>
      </c>
      <c r="I641" s="195">
        <f>IF(B641="","",LOG10(MAX(B641,1E-12)))</f>
        <v/>
      </c>
      <c r="J641" s="195">
        <f>IF(D641="","",LOG10(MAX(D641,1E-12)))</f>
        <v/>
      </c>
      <c r="K641">
        <f>IF(A641="","",ROUND(1+(LOG10(A641)-LOG10('入力・概要'!$B$38))*('入力・概要'!$B$40-1)/(LOG10('入力・概要'!$B$39)-LOG10('入力・概要'!$B$38)),0)+3)</f>
        <v/>
      </c>
      <c r="L641">
        <f>IF(K641="","",INDEX('差動モデル'!$B:$B,K641))</f>
        <v/>
      </c>
      <c r="M641">
        <f>IF(A641="","",IF(ABS(L641/A641-1)&lt;0.01,"周波数差&lt;1%","周波数差あり"))</f>
        <v/>
      </c>
    </row>
    <row r="642">
      <c r="A642" s="197" t="n"/>
      <c r="B642" s="198" t="n"/>
      <c r="C642" s="198" t="n"/>
      <c r="D642" s="195">
        <f>IF(K642="","",INDEX('差動モデル'!$R:$R,K642))</f>
        <v/>
      </c>
      <c r="E642" s="195">
        <f>IF(K642="","",INDEX('差動モデル'!$S:$S,K642))</f>
        <v/>
      </c>
      <c r="F642" s="195">
        <f>IF(OR(A642="",B642=""),"",100*(D642-B642)/MAX(B642,1E-12))</f>
        <v/>
      </c>
      <c r="G642" s="195">
        <f>IF(OR(A642="",C642=""),"",E642-C642)</f>
        <v/>
      </c>
      <c r="H642" s="195">
        <f>IF(A642="","",LOG10(A642))</f>
        <v/>
      </c>
      <c r="I642" s="195">
        <f>IF(B642="","",LOG10(MAX(B642,1E-12)))</f>
        <v/>
      </c>
      <c r="J642" s="195">
        <f>IF(D642="","",LOG10(MAX(D642,1E-12)))</f>
        <v/>
      </c>
      <c r="K642">
        <f>IF(A642="","",ROUND(1+(LOG10(A642)-LOG10('入力・概要'!$B$38))*('入力・概要'!$B$40-1)/(LOG10('入力・概要'!$B$39)-LOG10('入力・概要'!$B$38)),0)+3)</f>
        <v/>
      </c>
      <c r="L642">
        <f>IF(K642="","",INDEX('差動モデル'!$B:$B,K642))</f>
        <v/>
      </c>
      <c r="M642">
        <f>IF(A642="","",IF(ABS(L642/A642-1)&lt;0.01,"周波数差&lt;1%","周波数差あり"))</f>
        <v/>
      </c>
    </row>
    <row r="643">
      <c r="A643" s="197" t="n"/>
      <c r="B643" s="198" t="n"/>
      <c r="C643" s="198" t="n"/>
      <c r="D643" s="195">
        <f>IF(K643="","",INDEX('差動モデル'!$R:$R,K643))</f>
        <v/>
      </c>
      <c r="E643" s="195">
        <f>IF(K643="","",INDEX('差動モデル'!$S:$S,K643))</f>
        <v/>
      </c>
      <c r="F643" s="195">
        <f>IF(OR(A643="",B643=""),"",100*(D643-B643)/MAX(B643,1E-12))</f>
        <v/>
      </c>
      <c r="G643" s="195">
        <f>IF(OR(A643="",C643=""),"",E643-C643)</f>
        <v/>
      </c>
      <c r="H643" s="195">
        <f>IF(A643="","",LOG10(A643))</f>
        <v/>
      </c>
      <c r="I643" s="195">
        <f>IF(B643="","",LOG10(MAX(B643,1E-12)))</f>
        <v/>
      </c>
      <c r="J643" s="195">
        <f>IF(D643="","",LOG10(MAX(D643,1E-12)))</f>
        <v/>
      </c>
      <c r="K643">
        <f>IF(A643="","",ROUND(1+(LOG10(A643)-LOG10('入力・概要'!$B$38))*('入力・概要'!$B$40-1)/(LOG10('入力・概要'!$B$39)-LOG10('入力・概要'!$B$38)),0)+3)</f>
        <v/>
      </c>
      <c r="L643">
        <f>IF(K643="","",INDEX('差動モデル'!$B:$B,K643))</f>
        <v/>
      </c>
      <c r="M643">
        <f>IF(A643="","",IF(ABS(L643/A643-1)&lt;0.01,"周波数差&lt;1%","周波数差あり"))</f>
        <v/>
      </c>
    </row>
    <row r="644">
      <c r="A644" s="197" t="n"/>
      <c r="B644" s="198" t="n"/>
      <c r="C644" s="198" t="n"/>
      <c r="D644" s="195">
        <f>IF(K644="","",INDEX('差動モデル'!$R:$R,K644))</f>
        <v/>
      </c>
      <c r="E644" s="195">
        <f>IF(K644="","",INDEX('差動モデル'!$S:$S,K644))</f>
        <v/>
      </c>
      <c r="F644" s="195">
        <f>IF(OR(A644="",B644=""),"",100*(D644-B644)/MAX(B644,1E-12))</f>
        <v/>
      </c>
      <c r="G644" s="195">
        <f>IF(OR(A644="",C644=""),"",E644-C644)</f>
        <v/>
      </c>
      <c r="H644" s="195">
        <f>IF(A644="","",LOG10(A644))</f>
        <v/>
      </c>
      <c r="I644" s="195">
        <f>IF(B644="","",LOG10(MAX(B644,1E-12)))</f>
        <v/>
      </c>
      <c r="J644" s="195">
        <f>IF(D644="","",LOG10(MAX(D644,1E-12)))</f>
        <v/>
      </c>
      <c r="K644">
        <f>IF(A644="","",ROUND(1+(LOG10(A644)-LOG10('入力・概要'!$B$38))*('入力・概要'!$B$40-1)/(LOG10('入力・概要'!$B$39)-LOG10('入力・概要'!$B$38)),0)+3)</f>
        <v/>
      </c>
      <c r="L644">
        <f>IF(K644="","",INDEX('差動モデル'!$B:$B,K644))</f>
        <v/>
      </c>
      <c r="M644">
        <f>IF(A644="","",IF(ABS(L644/A644-1)&lt;0.01,"周波数差&lt;1%","周波数差あり"))</f>
        <v/>
      </c>
    </row>
    <row r="645">
      <c r="A645" s="197" t="n"/>
      <c r="B645" s="198" t="n"/>
      <c r="C645" s="198" t="n"/>
      <c r="D645" s="195">
        <f>IF(K645="","",INDEX('差動モデル'!$R:$R,K645))</f>
        <v/>
      </c>
      <c r="E645" s="195">
        <f>IF(K645="","",INDEX('差動モデル'!$S:$S,K645))</f>
        <v/>
      </c>
      <c r="F645" s="195">
        <f>IF(OR(A645="",B645=""),"",100*(D645-B645)/MAX(B645,1E-12))</f>
        <v/>
      </c>
      <c r="G645" s="195">
        <f>IF(OR(A645="",C645=""),"",E645-C645)</f>
        <v/>
      </c>
      <c r="H645" s="195">
        <f>IF(A645="","",LOG10(A645))</f>
        <v/>
      </c>
      <c r="I645" s="195">
        <f>IF(B645="","",LOG10(MAX(B645,1E-12)))</f>
        <v/>
      </c>
      <c r="J645" s="195">
        <f>IF(D645="","",LOG10(MAX(D645,1E-12)))</f>
        <v/>
      </c>
      <c r="K645">
        <f>IF(A645="","",ROUND(1+(LOG10(A645)-LOG10('入力・概要'!$B$38))*('入力・概要'!$B$40-1)/(LOG10('入力・概要'!$B$39)-LOG10('入力・概要'!$B$38)),0)+3)</f>
        <v/>
      </c>
      <c r="L645">
        <f>IF(K645="","",INDEX('差動モデル'!$B:$B,K645))</f>
        <v/>
      </c>
      <c r="M645">
        <f>IF(A645="","",IF(ABS(L645/A645-1)&lt;0.01,"周波数差&lt;1%","周波数差あり"))</f>
        <v/>
      </c>
    </row>
    <row r="646">
      <c r="A646" s="197" t="n"/>
      <c r="B646" s="198" t="n"/>
      <c r="C646" s="198" t="n"/>
      <c r="D646" s="195">
        <f>IF(K646="","",INDEX('差動モデル'!$R:$R,K646))</f>
        <v/>
      </c>
      <c r="E646" s="195">
        <f>IF(K646="","",INDEX('差動モデル'!$S:$S,K646))</f>
        <v/>
      </c>
      <c r="F646" s="195">
        <f>IF(OR(A646="",B646=""),"",100*(D646-B646)/MAX(B646,1E-12))</f>
        <v/>
      </c>
      <c r="G646" s="195">
        <f>IF(OR(A646="",C646=""),"",E646-C646)</f>
        <v/>
      </c>
      <c r="H646" s="195">
        <f>IF(A646="","",LOG10(A646))</f>
        <v/>
      </c>
      <c r="I646" s="195">
        <f>IF(B646="","",LOG10(MAX(B646,1E-12)))</f>
        <v/>
      </c>
      <c r="J646" s="195">
        <f>IF(D646="","",LOG10(MAX(D646,1E-12)))</f>
        <v/>
      </c>
      <c r="K646">
        <f>IF(A646="","",ROUND(1+(LOG10(A646)-LOG10('入力・概要'!$B$38))*('入力・概要'!$B$40-1)/(LOG10('入力・概要'!$B$39)-LOG10('入力・概要'!$B$38)),0)+3)</f>
        <v/>
      </c>
      <c r="L646">
        <f>IF(K646="","",INDEX('差動モデル'!$B:$B,K646))</f>
        <v/>
      </c>
      <c r="M646">
        <f>IF(A646="","",IF(ABS(L646/A646-1)&lt;0.01,"周波数差&lt;1%","周波数差あり"))</f>
        <v/>
      </c>
    </row>
    <row r="647">
      <c r="A647" s="197" t="n"/>
      <c r="B647" s="198" t="n"/>
      <c r="C647" s="198" t="n"/>
      <c r="D647" s="195">
        <f>IF(K647="","",INDEX('差動モデル'!$R:$R,K647))</f>
        <v/>
      </c>
      <c r="E647" s="195">
        <f>IF(K647="","",INDEX('差動モデル'!$S:$S,K647))</f>
        <v/>
      </c>
      <c r="F647" s="195">
        <f>IF(OR(A647="",B647=""),"",100*(D647-B647)/MAX(B647,1E-12))</f>
        <v/>
      </c>
      <c r="G647" s="195">
        <f>IF(OR(A647="",C647=""),"",E647-C647)</f>
        <v/>
      </c>
      <c r="H647" s="195">
        <f>IF(A647="","",LOG10(A647))</f>
        <v/>
      </c>
      <c r="I647" s="195">
        <f>IF(B647="","",LOG10(MAX(B647,1E-12)))</f>
        <v/>
      </c>
      <c r="J647" s="195">
        <f>IF(D647="","",LOG10(MAX(D647,1E-12)))</f>
        <v/>
      </c>
      <c r="K647">
        <f>IF(A647="","",ROUND(1+(LOG10(A647)-LOG10('入力・概要'!$B$38))*('入力・概要'!$B$40-1)/(LOG10('入力・概要'!$B$39)-LOG10('入力・概要'!$B$38)),0)+3)</f>
        <v/>
      </c>
      <c r="L647">
        <f>IF(K647="","",INDEX('差動モデル'!$B:$B,K647))</f>
        <v/>
      </c>
      <c r="M647">
        <f>IF(A647="","",IF(ABS(L647/A647-1)&lt;0.01,"周波数差&lt;1%","周波数差あり"))</f>
        <v/>
      </c>
    </row>
    <row r="648">
      <c r="A648" s="197" t="n"/>
      <c r="B648" s="198" t="n"/>
      <c r="C648" s="198" t="n"/>
      <c r="D648" s="195">
        <f>IF(K648="","",INDEX('差動モデル'!$R:$R,K648))</f>
        <v/>
      </c>
      <c r="E648" s="195">
        <f>IF(K648="","",INDEX('差動モデル'!$S:$S,K648))</f>
        <v/>
      </c>
      <c r="F648" s="195">
        <f>IF(OR(A648="",B648=""),"",100*(D648-B648)/MAX(B648,1E-12))</f>
        <v/>
      </c>
      <c r="G648" s="195">
        <f>IF(OR(A648="",C648=""),"",E648-C648)</f>
        <v/>
      </c>
      <c r="H648" s="195">
        <f>IF(A648="","",LOG10(A648))</f>
        <v/>
      </c>
      <c r="I648" s="195">
        <f>IF(B648="","",LOG10(MAX(B648,1E-12)))</f>
        <v/>
      </c>
      <c r="J648" s="195">
        <f>IF(D648="","",LOG10(MAX(D648,1E-12)))</f>
        <v/>
      </c>
      <c r="K648">
        <f>IF(A648="","",ROUND(1+(LOG10(A648)-LOG10('入力・概要'!$B$38))*('入力・概要'!$B$40-1)/(LOG10('入力・概要'!$B$39)-LOG10('入力・概要'!$B$38)),0)+3)</f>
        <v/>
      </c>
      <c r="L648">
        <f>IF(K648="","",INDEX('差動モデル'!$B:$B,K648))</f>
        <v/>
      </c>
      <c r="M648">
        <f>IF(A648="","",IF(ABS(L648/A648-1)&lt;0.01,"周波数差&lt;1%","周波数差あり"))</f>
        <v/>
      </c>
    </row>
    <row r="649">
      <c r="A649" s="197" t="n"/>
      <c r="B649" s="198" t="n"/>
      <c r="C649" s="198" t="n"/>
      <c r="D649" s="195">
        <f>IF(K649="","",INDEX('差動モデル'!$R:$R,K649))</f>
        <v/>
      </c>
      <c r="E649" s="195">
        <f>IF(K649="","",INDEX('差動モデル'!$S:$S,K649))</f>
        <v/>
      </c>
      <c r="F649" s="195">
        <f>IF(OR(A649="",B649=""),"",100*(D649-B649)/MAX(B649,1E-12))</f>
        <v/>
      </c>
      <c r="G649" s="195">
        <f>IF(OR(A649="",C649=""),"",E649-C649)</f>
        <v/>
      </c>
      <c r="H649" s="195">
        <f>IF(A649="","",LOG10(A649))</f>
        <v/>
      </c>
      <c r="I649" s="195">
        <f>IF(B649="","",LOG10(MAX(B649,1E-12)))</f>
        <v/>
      </c>
      <c r="J649" s="195">
        <f>IF(D649="","",LOG10(MAX(D649,1E-12)))</f>
        <v/>
      </c>
      <c r="K649">
        <f>IF(A649="","",ROUND(1+(LOG10(A649)-LOG10('入力・概要'!$B$38))*('入力・概要'!$B$40-1)/(LOG10('入力・概要'!$B$39)-LOG10('入力・概要'!$B$38)),0)+3)</f>
        <v/>
      </c>
      <c r="L649">
        <f>IF(K649="","",INDEX('差動モデル'!$B:$B,K649))</f>
        <v/>
      </c>
      <c r="M649">
        <f>IF(A649="","",IF(ABS(L649/A649-1)&lt;0.01,"周波数差&lt;1%","周波数差あり"))</f>
        <v/>
      </c>
    </row>
    <row r="650">
      <c r="A650" s="197" t="n"/>
      <c r="B650" s="198" t="n"/>
      <c r="C650" s="198" t="n"/>
      <c r="D650" s="195">
        <f>IF(K650="","",INDEX('差動モデル'!$R:$R,K650))</f>
        <v/>
      </c>
      <c r="E650" s="195">
        <f>IF(K650="","",INDEX('差動モデル'!$S:$S,K650))</f>
        <v/>
      </c>
      <c r="F650" s="195">
        <f>IF(OR(A650="",B650=""),"",100*(D650-B650)/MAX(B650,1E-12))</f>
        <v/>
      </c>
      <c r="G650" s="195">
        <f>IF(OR(A650="",C650=""),"",E650-C650)</f>
        <v/>
      </c>
      <c r="H650" s="195">
        <f>IF(A650="","",LOG10(A650))</f>
        <v/>
      </c>
      <c r="I650" s="195">
        <f>IF(B650="","",LOG10(MAX(B650,1E-12)))</f>
        <v/>
      </c>
      <c r="J650" s="195">
        <f>IF(D650="","",LOG10(MAX(D650,1E-12)))</f>
        <v/>
      </c>
      <c r="K650">
        <f>IF(A650="","",ROUND(1+(LOG10(A650)-LOG10('入力・概要'!$B$38))*('入力・概要'!$B$40-1)/(LOG10('入力・概要'!$B$39)-LOG10('入力・概要'!$B$38)),0)+3)</f>
        <v/>
      </c>
      <c r="L650">
        <f>IF(K650="","",INDEX('差動モデル'!$B:$B,K650))</f>
        <v/>
      </c>
      <c r="M650">
        <f>IF(A650="","",IF(ABS(L650/A650-1)&lt;0.01,"周波数差&lt;1%","周波数差あり"))</f>
        <v/>
      </c>
    </row>
    <row r="651">
      <c r="A651" s="197" t="n"/>
      <c r="B651" s="198" t="n"/>
      <c r="C651" s="198" t="n"/>
      <c r="D651" s="195">
        <f>IF(K651="","",INDEX('差動モデル'!$R:$R,K651))</f>
        <v/>
      </c>
      <c r="E651" s="195">
        <f>IF(K651="","",INDEX('差動モデル'!$S:$S,K651))</f>
        <v/>
      </c>
      <c r="F651" s="195">
        <f>IF(OR(A651="",B651=""),"",100*(D651-B651)/MAX(B651,1E-12))</f>
        <v/>
      </c>
      <c r="G651" s="195">
        <f>IF(OR(A651="",C651=""),"",E651-C651)</f>
        <v/>
      </c>
      <c r="H651" s="195">
        <f>IF(A651="","",LOG10(A651))</f>
        <v/>
      </c>
      <c r="I651" s="195">
        <f>IF(B651="","",LOG10(MAX(B651,1E-12)))</f>
        <v/>
      </c>
      <c r="J651" s="195">
        <f>IF(D651="","",LOG10(MAX(D651,1E-12)))</f>
        <v/>
      </c>
      <c r="K651">
        <f>IF(A651="","",ROUND(1+(LOG10(A651)-LOG10('入力・概要'!$B$38))*('入力・概要'!$B$40-1)/(LOG10('入力・概要'!$B$39)-LOG10('入力・概要'!$B$38)),0)+3)</f>
        <v/>
      </c>
      <c r="L651">
        <f>IF(K651="","",INDEX('差動モデル'!$B:$B,K651))</f>
        <v/>
      </c>
      <c r="M651">
        <f>IF(A651="","",IF(ABS(L651/A651-1)&lt;0.01,"周波数差&lt;1%","周波数差あり"))</f>
        <v/>
      </c>
    </row>
    <row r="652">
      <c r="A652" s="197" t="n"/>
      <c r="B652" s="198" t="n"/>
      <c r="C652" s="198" t="n"/>
      <c r="D652" s="195">
        <f>IF(K652="","",INDEX('差動モデル'!$R:$R,K652))</f>
        <v/>
      </c>
      <c r="E652" s="195">
        <f>IF(K652="","",INDEX('差動モデル'!$S:$S,K652))</f>
        <v/>
      </c>
      <c r="F652" s="195">
        <f>IF(OR(A652="",B652=""),"",100*(D652-B652)/MAX(B652,1E-12))</f>
        <v/>
      </c>
      <c r="G652" s="195">
        <f>IF(OR(A652="",C652=""),"",E652-C652)</f>
        <v/>
      </c>
      <c r="H652" s="195">
        <f>IF(A652="","",LOG10(A652))</f>
        <v/>
      </c>
      <c r="I652" s="195">
        <f>IF(B652="","",LOG10(MAX(B652,1E-12)))</f>
        <v/>
      </c>
      <c r="J652" s="195">
        <f>IF(D652="","",LOG10(MAX(D652,1E-12)))</f>
        <v/>
      </c>
      <c r="K652">
        <f>IF(A652="","",ROUND(1+(LOG10(A652)-LOG10('入力・概要'!$B$38))*('入力・概要'!$B$40-1)/(LOG10('入力・概要'!$B$39)-LOG10('入力・概要'!$B$38)),0)+3)</f>
        <v/>
      </c>
      <c r="L652">
        <f>IF(K652="","",INDEX('差動モデル'!$B:$B,K652))</f>
        <v/>
      </c>
      <c r="M652">
        <f>IF(A652="","",IF(ABS(L652/A652-1)&lt;0.01,"周波数差&lt;1%","周波数差あり"))</f>
        <v/>
      </c>
    </row>
    <row r="653">
      <c r="A653" s="197" t="n"/>
      <c r="B653" s="198" t="n"/>
      <c r="C653" s="198" t="n"/>
      <c r="D653" s="195">
        <f>IF(K653="","",INDEX('差動モデル'!$R:$R,K653))</f>
        <v/>
      </c>
      <c r="E653" s="195">
        <f>IF(K653="","",INDEX('差動モデル'!$S:$S,K653))</f>
        <v/>
      </c>
      <c r="F653" s="195">
        <f>IF(OR(A653="",B653=""),"",100*(D653-B653)/MAX(B653,1E-12))</f>
        <v/>
      </c>
      <c r="G653" s="195">
        <f>IF(OR(A653="",C653=""),"",E653-C653)</f>
        <v/>
      </c>
      <c r="H653" s="195">
        <f>IF(A653="","",LOG10(A653))</f>
        <v/>
      </c>
      <c r="I653" s="195">
        <f>IF(B653="","",LOG10(MAX(B653,1E-12)))</f>
        <v/>
      </c>
      <c r="J653" s="195">
        <f>IF(D653="","",LOG10(MAX(D653,1E-12)))</f>
        <v/>
      </c>
      <c r="K653">
        <f>IF(A653="","",ROUND(1+(LOG10(A653)-LOG10('入力・概要'!$B$38))*('入力・概要'!$B$40-1)/(LOG10('入力・概要'!$B$39)-LOG10('入力・概要'!$B$38)),0)+3)</f>
        <v/>
      </c>
      <c r="L653">
        <f>IF(K653="","",INDEX('差動モデル'!$B:$B,K653))</f>
        <v/>
      </c>
      <c r="M653">
        <f>IF(A653="","",IF(ABS(L653/A653-1)&lt;0.01,"周波数差&lt;1%","周波数差あり"))</f>
        <v/>
      </c>
    </row>
    <row r="654">
      <c r="A654" s="197" t="n"/>
      <c r="B654" s="198" t="n"/>
      <c r="C654" s="198" t="n"/>
      <c r="D654" s="195">
        <f>IF(K654="","",INDEX('差動モデル'!$R:$R,K654))</f>
        <v/>
      </c>
      <c r="E654" s="195">
        <f>IF(K654="","",INDEX('差動モデル'!$S:$S,K654))</f>
        <v/>
      </c>
      <c r="F654" s="195">
        <f>IF(OR(A654="",B654=""),"",100*(D654-B654)/MAX(B654,1E-12))</f>
        <v/>
      </c>
      <c r="G654" s="195">
        <f>IF(OR(A654="",C654=""),"",E654-C654)</f>
        <v/>
      </c>
      <c r="H654" s="195">
        <f>IF(A654="","",LOG10(A654))</f>
        <v/>
      </c>
      <c r="I654" s="195">
        <f>IF(B654="","",LOG10(MAX(B654,1E-12)))</f>
        <v/>
      </c>
      <c r="J654" s="195">
        <f>IF(D654="","",LOG10(MAX(D654,1E-12)))</f>
        <v/>
      </c>
      <c r="K654">
        <f>IF(A654="","",ROUND(1+(LOG10(A654)-LOG10('入力・概要'!$B$38))*('入力・概要'!$B$40-1)/(LOG10('入力・概要'!$B$39)-LOG10('入力・概要'!$B$38)),0)+3)</f>
        <v/>
      </c>
      <c r="L654">
        <f>IF(K654="","",INDEX('差動モデル'!$B:$B,K654))</f>
        <v/>
      </c>
      <c r="M654">
        <f>IF(A654="","",IF(ABS(L654/A654-1)&lt;0.01,"周波数差&lt;1%","周波数差あり"))</f>
        <v/>
      </c>
    </row>
    <row r="655">
      <c r="A655" s="197" t="n"/>
      <c r="B655" s="198" t="n"/>
      <c r="C655" s="198" t="n"/>
      <c r="D655" s="195">
        <f>IF(K655="","",INDEX('差動モデル'!$R:$R,K655))</f>
        <v/>
      </c>
      <c r="E655" s="195">
        <f>IF(K655="","",INDEX('差動モデル'!$S:$S,K655))</f>
        <v/>
      </c>
      <c r="F655" s="195">
        <f>IF(OR(A655="",B655=""),"",100*(D655-B655)/MAX(B655,1E-12))</f>
        <v/>
      </c>
      <c r="G655" s="195">
        <f>IF(OR(A655="",C655=""),"",E655-C655)</f>
        <v/>
      </c>
      <c r="H655" s="195">
        <f>IF(A655="","",LOG10(A655))</f>
        <v/>
      </c>
      <c r="I655" s="195">
        <f>IF(B655="","",LOG10(MAX(B655,1E-12)))</f>
        <v/>
      </c>
      <c r="J655" s="195">
        <f>IF(D655="","",LOG10(MAX(D655,1E-12)))</f>
        <v/>
      </c>
      <c r="K655">
        <f>IF(A655="","",ROUND(1+(LOG10(A655)-LOG10('入力・概要'!$B$38))*('入力・概要'!$B$40-1)/(LOG10('入力・概要'!$B$39)-LOG10('入力・概要'!$B$38)),0)+3)</f>
        <v/>
      </c>
      <c r="L655">
        <f>IF(K655="","",INDEX('差動モデル'!$B:$B,K655))</f>
        <v/>
      </c>
      <c r="M655">
        <f>IF(A655="","",IF(ABS(L655/A655-1)&lt;0.01,"周波数差&lt;1%","周波数差あり"))</f>
        <v/>
      </c>
    </row>
    <row r="656">
      <c r="A656" s="197" t="n"/>
      <c r="B656" s="198" t="n"/>
      <c r="C656" s="198" t="n"/>
      <c r="D656" s="195">
        <f>IF(K656="","",INDEX('差動モデル'!$R:$R,K656))</f>
        <v/>
      </c>
      <c r="E656" s="195">
        <f>IF(K656="","",INDEX('差動モデル'!$S:$S,K656))</f>
        <v/>
      </c>
      <c r="F656" s="195">
        <f>IF(OR(A656="",B656=""),"",100*(D656-B656)/MAX(B656,1E-12))</f>
        <v/>
      </c>
      <c r="G656" s="195">
        <f>IF(OR(A656="",C656=""),"",E656-C656)</f>
        <v/>
      </c>
      <c r="H656" s="195">
        <f>IF(A656="","",LOG10(A656))</f>
        <v/>
      </c>
      <c r="I656" s="195">
        <f>IF(B656="","",LOG10(MAX(B656,1E-12)))</f>
        <v/>
      </c>
      <c r="J656" s="195">
        <f>IF(D656="","",LOG10(MAX(D656,1E-12)))</f>
        <v/>
      </c>
      <c r="K656">
        <f>IF(A656="","",ROUND(1+(LOG10(A656)-LOG10('入力・概要'!$B$38))*('入力・概要'!$B$40-1)/(LOG10('入力・概要'!$B$39)-LOG10('入力・概要'!$B$38)),0)+3)</f>
        <v/>
      </c>
      <c r="L656">
        <f>IF(K656="","",INDEX('差動モデル'!$B:$B,K656))</f>
        <v/>
      </c>
      <c r="M656">
        <f>IF(A656="","",IF(ABS(L656/A656-1)&lt;0.01,"周波数差&lt;1%","周波数差あり"))</f>
        <v/>
      </c>
    </row>
    <row r="657">
      <c r="A657" s="197" t="n"/>
      <c r="B657" s="198" t="n"/>
      <c r="C657" s="198" t="n"/>
      <c r="D657" s="195">
        <f>IF(K657="","",INDEX('差動モデル'!$R:$R,K657))</f>
        <v/>
      </c>
      <c r="E657" s="195">
        <f>IF(K657="","",INDEX('差動モデル'!$S:$S,K657))</f>
        <v/>
      </c>
      <c r="F657" s="195">
        <f>IF(OR(A657="",B657=""),"",100*(D657-B657)/MAX(B657,1E-12))</f>
        <v/>
      </c>
      <c r="G657" s="195">
        <f>IF(OR(A657="",C657=""),"",E657-C657)</f>
        <v/>
      </c>
      <c r="H657" s="195">
        <f>IF(A657="","",LOG10(A657))</f>
        <v/>
      </c>
      <c r="I657" s="195">
        <f>IF(B657="","",LOG10(MAX(B657,1E-12)))</f>
        <v/>
      </c>
      <c r="J657" s="195">
        <f>IF(D657="","",LOG10(MAX(D657,1E-12)))</f>
        <v/>
      </c>
      <c r="K657">
        <f>IF(A657="","",ROUND(1+(LOG10(A657)-LOG10('入力・概要'!$B$38))*('入力・概要'!$B$40-1)/(LOG10('入力・概要'!$B$39)-LOG10('入力・概要'!$B$38)),0)+3)</f>
        <v/>
      </c>
      <c r="L657">
        <f>IF(K657="","",INDEX('差動モデル'!$B:$B,K657))</f>
        <v/>
      </c>
      <c r="M657">
        <f>IF(A657="","",IF(ABS(L657/A657-1)&lt;0.01,"周波数差&lt;1%","周波数差あり"))</f>
        <v/>
      </c>
    </row>
    <row r="658">
      <c r="A658" s="197" t="n"/>
      <c r="B658" s="198" t="n"/>
      <c r="C658" s="198" t="n"/>
      <c r="D658" s="195">
        <f>IF(K658="","",INDEX('差動モデル'!$R:$R,K658))</f>
        <v/>
      </c>
      <c r="E658" s="195">
        <f>IF(K658="","",INDEX('差動モデル'!$S:$S,K658))</f>
        <v/>
      </c>
      <c r="F658" s="195">
        <f>IF(OR(A658="",B658=""),"",100*(D658-B658)/MAX(B658,1E-12))</f>
        <v/>
      </c>
      <c r="G658" s="195">
        <f>IF(OR(A658="",C658=""),"",E658-C658)</f>
        <v/>
      </c>
      <c r="H658" s="195">
        <f>IF(A658="","",LOG10(A658))</f>
        <v/>
      </c>
      <c r="I658" s="195">
        <f>IF(B658="","",LOG10(MAX(B658,1E-12)))</f>
        <v/>
      </c>
      <c r="J658" s="195">
        <f>IF(D658="","",LOG10(MAX(D658,1E-12)))</f>
        <v/>
      </c>
      <c r="K658">
        <f>IF(A658="","",ROUND(1+(LOG10(A658)-LOG10('入力・概要'!$B$38))*('入力・概要'!$B$40-1)/(LOG10('入力・概要'!$B$39)-LOG10('入力・概要'!$B$38)),0)+3)</f>
        <v/>
      </c>
      <c r="L658">
        <f>IF(K658="","",INDEX('差動モデル'!$B:$B,K658))</f>
        <v/>
      </c>
      <c r="M658">
        <f>IF(A658="","",IF(ABS(L658/A658-1)&lt;0.01,"周波数差&lt;1%","周波数差あり"))</f>
        <v/>
      </c>
    </row>
    <row r="659">
      <c r="A659" s="197" t="n"/>
      <c r="B659" s="198" t="n"/>
      <c r="C659" s="198" t="n"/>
      <c r="D659" s="195">
        <f>IF(K659="","",INDEX('差動モデル'!$R:$R,K659))</f>
        <v/>
      </c>
      <c r="E659" s="195">
        <f>IF(K659="","",INDEX('差動モデル'!$S:$S,K659))</f>
        <v/>
      </c>
      <c r="F659" s="195">
        <f>IF(OR(A659="",B659=""),"",100*(D659-B659)/MAX(B659,1E-12))</f>
        <v/>
      </c>
      <c r="G659" s="195">
        <f>IF(OR(A659="",C659=""),"",E659-C659)</f>
        <v/>
      </c>
      <c r="H659" s="195">
        <f>IF(A659="","",LOG10(A659))</f>
        <v/>
      </c>
      <c r="I659" s="195">
        <f>IF(B659="","",LOG10(MAX(B659,1E-12)))</f>
        <v/>
      </c>
      <c r="J659" s="195">
        <f>IF(D659="","",LOG10(MAX(D659,1E-12)))</f>
        <v/>
      </c>
      <c r="K659">
        <f>IF(A659="","",ROUND(1+(LOG10(A659)-LOG10('入力・概要'!$B$38))*('入力・概要'!$B$40-1)/(LOG10('入力・概要'!$B$39)-LOG10('入力・概要'!$B$38)),0)+3)</f>
        <v/>
      </c>
      <c r="L659">
        <f>IF(K659="","",INDEX('差動モデル'!$B:$B,K659))</f>
        <v/>
      </c>
      <c r="M659">
        <f>IF(A659="","",IF(ABS(L659/A659-1)&lt;0.01,"周波数差&lt;1%","周波数差あり"))</f>
        <v/>
      </c>
    </row>
    <row r="660">
      <c r="A660" s="197" t="n"/>
      <c r="B660" s="198" t="n"/>
      <c r="C660" s="198" t="n"/>
      <c r="D660" s="195">
        <f>IF(K660="","",INDEX('差動モデル'!$R:$R,K660))</f>
        <v/>
      </c>
      <c r="E660" s="195">
        <f>IF(K660="","",INDEX('差動モデル'!$S:$S,K660))</f>
        <v/>
      </c>
      <c r="F660" s="195">
        <f>IF(OR(A660="",B660=""),"",100*(D660-B660)/MAX(B660,1E-12))</f>
        <v/>
      </c>
      <c r="G660" s="195">
        <f>IF(OR(A660="",C660=""),"",E660-C660)</f>
        <v/>
      </c>
      <c r="H660" s="195">
        <f>IF(A660="","",LOG10(A660))</f>
        <v/>
      </c>
      <c r="I660" s="195">
        <f>IF(B660="","",LOG10(MAX(B660,1E-12)))</f>
        <v/>
      </c>
      <c r="J660" s="195">
        <f>IF(D660="","",LOG10(MAX(D660,1E-12)))</f>
        <v/>
      </c>
      <c r="K660">
        <f>IF(A660="","",ROUND(1+(LOG10(A660)-LOG10('入力・概要'!$B$38))*('入力・概要'!$B$40-1)/(LOG10('入力・概要'!$B$39)-LOG10('入力・概要'!$B$38)),0)+3)</f>
        <v/>
      </c>
      <c r="L660">
        <f>IF(K660="","",INDEX('差動モデル'!$B:$B,K660))</f>
        <v/>
      </c>
      <c r="M660">
        <f>IF(A660="","",IF(ABS(L660/A660-1)&lt;0.01,"周波数差&lt;1%","周波数差あり"))</f>
        <v/>
      </c>
    </row>
    <row r="661">
      <c r="A661" s="197" t="n"/>
      <c r="B661" s="198" t="n"/>
      <c r="C661" s="198" t="n"/>
      <c r="D661" s="195">
        <f>IF(K661="","",INDEX('差動モデル'!$R:$R,K661))</f>
        <v/>
      </c>
      <c r="E661" s="195">
        <f>IF(K661="","",INDEX('差動モデル'!$S:$S,K661))</f>
        <v/>
      </c>
      <c r="F661" s="195">
        <f>IF(OR(A661="",B661=""),"",100*(D661-B661)/MAX(B661,1E-12))</f>
        <v/>
      </c>
      <c r="G661" s="195">
        <f>IF(OR(A661="",C661=""),"",E661-C661)</f>
        <v/>
      </c>
      <c r="H661" s="195">
        <f>IF(A661="","",LOG10(A661))</f>
        <v/>
      </c>
      <c r="I661" s="195">
        <f>IF(B661="","",LOG10(MAX(B661,1E-12)))</f>
        <v/>
      </c>
      <c r="J661" s="195">
        <f>IF(D661="","",LOG10(MAX(D661,1E-12)))</f>
        <v/>
      </c>
      <c r="K661">
        <f>IF(A661="","",ROUND(1+(LOG10(A661)-LOG10('入力・概要'!$B$38))*('入力・概要'!$B$40-1)/(LOG10('入力・概要'!$B$39)-LOG10('入力・概要'!$B$38)),0)+3)</f>
        <v/>
      </c>
      <c r="L661">
        <f>IF(K661="","",INDEX('差動モデル'!$B:$B,K661))</f>
        <v/>
      </c>
      <c r="M661">
        <f>IF(A661="","",IF(ABS(L661/A661-1)&lt;0.01,"周波数差&lt;1%","周波数差あり"))</f>
        <v/>
      </c>
    </row>
    <row r="662">
      <c r="A662" s="197" t="n"/>
      <c r="B662" s="198" t="n"/>
      <c r="C662" s="198" t="n"/>
      <c r="D662" s="195">
        <f>IF(K662="","",INDEX('差動モデル'!$R:$R,K662))</f>
        <v/>
      </c>
      <c r="E662" s="195">
        <f>IF(K662="","",INDEX('差動モデル'!$S:$S,K662))</f>
        <v/>
      </c>
      <c r="F662" s="195">
        <f>IF(OR(A662="",B662=""),"",100*(D662-B662)/MAX(B662,1E-12))</f>
        <v/>
      </c>
      <c r="G662" s="195">
        <f>IF(OR(A662="",C662=""),"",E662-C662)</f>
        <v/>
      </c>
      <c r="H662" s="195">
        <f>IF(A662="","",LOG10(A662))</f>
        <v/>
      </c>
      <c r="I662" s="195">
        <f>IF(B662="","",LOG10(MAX(B662,1E-12)))</f>
        <v/>
      </c>
      <c r="J662" s="195">
        <f>IF(D662="","",LOG10(MAX(D662,1E-12)))</f>
        <v/>
      </c>
      <c r="K662">
        <f>IF(A662="","",ROUND(1+(LOG10(A662)-LOG10('入力・概要'!$B$38))*('入力・概要'!$B$40-1)/(LOG10('入力・概要'!$B$39)-LOG10('入力・概要'!$B$38)),0)+3)</f>
        <v/>
      </c>
      <c r="L662">
        <f>IF(K662="","",INDEX('差動モデル'!$B:$B,K662))</f>
        <v/>
      </c>
      <c r="M662">
        <f>IF(A662="","",IF(ABS(L662/A662-1)&lt;0.01,"周波数差&lt;1%","周波数差あり"))</f>
        <v/>
      </c>
    </row>
    <row r="663">
      <c r="A663" s="197" t="n"/>
      <c r="B663" s="198" t="n"/>
      <c r="C663" s="198" t="n"/>
      <c r="D663" s="195">
        <f>IF(K663="","",INDEX('差動モデル'!$R:$R,K663))</f>
        <v/>
      </c>
      <c r="E663" s="195">
        <f>IF(K663="","",INDEX('差動モデル'!$S:$S,K663))</f>
        <v/>
      </c>
      <c r="F663" s="195">
        <f>IF(OR(A663="",B663=""),"",100*(D663-B663)/MAX(B663,1E-12))</f>
        <v/>
      </c>
      <c r="G663" s="195">
        <f>IF(OR(A663="",C663=""),"",E663-C663)</f>
        <v/>
      </c>
      <c r="H663" s="195">
        <f>IF(A663="","",LOG10(A663))</f>
        <v/>
      </c>
      <c r="I663" s="195">
        <f>IF(B663="","",LOG10(MAX(B663,1E-12)))</f>
        <v/>
      </c>
      <c r="J663" s="195">
        <f>IF(D663="","",LOG10(MAX(D663,1E-12)))</f>
        <v/>
      </c>
      <c r="K663">
        <f>IF(A663="","",ROUND(1+(LOG10(A663)-LOG10('入力・概要'!$B$38))*('入力・概要'!$B$40-1)/(LOG10('入力・概要'!$B$39)-LOG10('入力・概要'!$B$38)),0)+3)</f>
        <v/>
      </c>
      <c r="L663">
        <f>IF(K663="","",INDEX('差動モデル'!$B:$B,K663))</f>
        <v/>
      </c>
      <c r="M663">
        <f>IF(A663="","",IF(ABS(L663/A663-1)&lt;0.01,"周波数差&lt;1%","周波数差あり"))</f>
        <v/>
      </c>
    </row>
    <row r="664">
      <c r="A664" s="197" t="n"/>
      <c r="B664" s="198" t="n"/>
      <c r="C664" s="198" t="n"/>
      <c r="D664" s="195">
        <f>IF(K664="","",INDEX('差動モデル'!$R:$R,K664))</f>
        <v/>
      </c>
      <c r="E664" s="195">
        <f>IF(K664="","",INDEX('差動モデル'!$S:$S,K664))</f>
        <v/>
      </c>
      <c r="F664" s="195">
        <f>IF(OR(A664="",B664=""),"",100*(D664-B664)/MAX(B664,1E-12))</f>
        <v/>
      </c>
      <c r="G664" s="195">
        <f>IF(OR(A664="",C664=""),"",E664-C664)</f>
        <v/>
      </c>
      <c r="H664" s="195">
        <f>IF(A664="","",LOG10(A664))</f>
        <v/>
      </c>
      <c r="I664" s="195">
        <f>IF(B664="","",LOG10(MAX(B664,1E-12)))</f>
        <v/>
      </c>
      <c r="J664" s="195">
        <f>IF(D664="","",LOG10(MAX(D664,1E-12)))</f>
        <v/>
      </c>
      <c r="K664">
        <f>IF(A664="","",ROUND(1+(LOG10(A664)-LOG10('入力・概要'!$B$38))*('入力・概要'!$B$40-1)/(LOG10('入力・概要'!$B$39)-LOG10('入力・概要'!$B$38)),0)+3)</f>
        <v/>
      </c>
      <c r="L664">
        <f>IF(K664="","",INDEX('差動モデル'!$B:$B,K664))</f>
        <v/>
      </c>
      <c r="M664">
        <f>IF(A664="","",IF(ABS(L664/A664-1)&lt;0.01,"周波数差&lt;1%","周波数差あり"))</f>
        <v/>
      </c>
    </row>
    <row r="665">
      <c r="A665" s="197" t="n"/>
      <c r="B665" s="198" t="n"/>
      <c r="C665" s="198" t="n"/>
      <c r="D665" s="195">
        <f>IF(K665="","",INDEX('差動モデル'!$R:$R,K665))</f>
        <v/>
      </c>
      <c r="E665" s="195">
        <f>IF(K665="","",INDEX('差動モデル'!$S:$S,K665))</f>
        <v/>
      </c>
      <c r="F665" s="195">
        <f>IF(OR(A665="",B665=""),"",100*(D665-B665)/MAX(B665,1E-12))</f>
        <v/>
      </c>
      <c r="G665" s="195">
        <f>IF(OR(A665="",C665=""),"",E665-C665)</f>
        <v/>
      </c>
      <c r="H665" s="195">
        <f>IF(A665="","",LOG10(A665))</f>
        <v/>
      </c>
      <c r="I665" s="195">
        <f>IF(B665="","",LOG10(MAX(B665,1E-12)))</f>
        <v/>
      </c>
      <c r="J665" s="195">
        <f>IF(D665="","",LOG10(MAX(D665,1E-12)))</f>
        <v/>
      </c>
      <c r="K665">
        <f>IF(A665="","",ROUND(1+(LOG10(A665)-LOG10('入力・概要'!$B$38))*('入力・概要'!$B$40-1)/(LOG10('入力・概要'!$B$39)-LOG10('入力・概要'!$B$38)),0)+3)</f>
        <v/>
      </c>
      <c r="L665">
        <f>IF(K665="","",INDEX('差動モデル'!$B:$B,K665))</f>
        <v/>
      </c>
      <c r="M665">
        <f>IF(A665="","",IF(ABS(L665/A665-1)&lt;0.01,"周波数差&lt;1%","周波数差あり"))</f>
        <v/>
      </c>
    </row>
    <row r="666">
      <c r="A666" s="197" t="n"/>
      <c r="B666" s="198" t="n"/>
      <c r="C666" s="198" t="n"/>
      <c r="D666" s="195">
        <f>IF(K666="","",INDEX('差動モデル'!$R:$R,K666))</f>
        <v/>
      </c>
      <c r="E666" s="195">
        <f>IF(K666="","",INDEX('差動モデル'!$S:$S,K666))</f>
        <v/>
      </c>
      <c r="F666" s="195">
        <f>IF(OR(A666="",B666=""),"",100*(D666-B666)/MAX(B666,1E-12))</f>
        <v/>
      </c>
      <c r="G666" s="195">
        <f>IF(OR(A666="",C666=""),"",E666-C666)</f>
        <v/>
      </c>
      <c r="H666" s="195">
        <f>IF(A666="","",LOG10(A666))</f>
        <v/>
      </c>
      <c r="I666" s="195">
        <f>IF(B666="","",LOG10(MAX(B666,1E-12)))</f>
        <v/>
      </c>
      <c r="J666" s="195">
        <f>IF(D666="","",LOG10(MAX(D666,1E-12)))</f>
        <v/>
      </c>
      <c r="K666">
        <f>IF(A666="","",ROUND(1+(LOG10(A666)-LOG10('入力・概要'!$B$38))*('入力・概要'!$B$40-1)/(LOG10('入力・概要'!$B$39)-LOG10('入力・概要'!$B$38)),0)+3)</f>
        <v/>
      </c>
      <c r="L666">
        <f>IF(K666="","",INDEX('差動モデル'!$B:$B,K666))</f>
        <v/>
      </c>
      <c r="M666">
        <f>IF(A666="","",IF(ABS(L666/A666-1)&lt;0.01,"周波数差&lt;1%","周波数差あり"))</f>
        <v/>
      </c>
    </row>
    <row r="667">
      <c r="A667" s="197" t="n"/>
      <c r="B667" s="198" t="n"/>
      <c r="C667" s="198" t="n"/>
      <c r="D667" s="195">
        <f>IF(K667="","",INDEX('差動モデル'!$R:$R,K667))</f>
        <v/>
      </c>
      <c r="E667" s="195">
        <f>IF(K667="","",INDEX('差動モデル'!$S:$S,K667))</f>
        <v/>
      </c>
      <c r="F667" s="195">
        <f>IF(OR(A667="",B667=""),"",100*(D667-B667)/MAX(B667,1E-12))</f>
        <v/>
      </c>
      <c r="G667" s="195">
        <f>IF(OR(A667="",C667=""),"",E667-C667)</f>
        <v/>
      </c>
      <c r="H667" s="195">
        <f>IF(A667="","",LOG10(A667))</f>
        <v/>
      </c>
      <c r="I667" s="195">
        <f>IF(B667="","",LOG10(MAX(B667,1E-12)))</f>
        <v/>
      </c>
      <c r="J667" s="195">
        <f>IF(D667="","",LOG10(MAX(D667,1E-12)))</f>
        <v/>
      </c>
      <c r="K667">
        <f>IF(A667="","",ROUND(1+(LOG10(A667)-LOG10('入力・概要'!$B$38))*('入力・概要'!$B$40-1)/(LOG10('入力・概要'!$B$39)-LOG10('入力・概要'!$B$38)),0)+3)</f>
        <v/>
      </c>
      <c r="L667">
        <f>IF(K667="","",INDEX('差動モデル'!$B:$B,K667))</f>
        <v/>
      </c>
      <c r="M667">
        <f>IF(A667="","",IF(ABS(L667/A667-1)&lt;0.01,"周波数差&lt;1%","周波数差あり"))</f>
        <v/>
      </c>
    </row>
    <row r="668">
      <c r="A668" s="197" t="n"/>
      <c r="B668" s="198" t="n"/>
      <c r="C668" s="198" t="n"/>
      <c r="D668" s="195">
        <f>IF(K668="","",INDEX('差動モデル'!$R:$R,K668))</f>
        <v/>
      </c>
      <c r="E668" s="195">
        <f>IF(K668="","",INDEX('差動モデル'!$S:$S,K668))</f>
        <v/>
      </c>
      <c r="F668" s="195">
        <f>IF(OR(A668="",B668=""),"",100*(D668-B668)/MAX(B668,1E-12))</f>
        <v/>
      </c>
      <c r="G668" s="195">
        <f>IF(OR(A668="",C668=""),"",E668-C668)</f>
        <v/>
      </c>
      <c r="H668" s="195">
        <f>IF(A668="","",LOG10(A668))</f>
        <v/>
      </c>
      <c r="I668" s="195">
        <f>IF(B668="","",LOG10(MAX(B668,1E-12)))</f>
        <v/>
      </c>
      <c r="J668" s="195">
        <f>IF(D668="","",LOG10(MAX(D668,1E-12)))</f>
        <v/>
      </c>
      <c r="K668">
        <f>IF(A668="","",ROUND(1+(LOG10(A668)-LOG10('入力・概要'!$B$38))*('入力・概要'!$B$40-1)/(LOG10('入力・概要'!$B$39)-LOG10('入力・概要'!$B$38)),0)+3)</f>
        <v/>
      </c>
      <c r="L668">
        <f>IF(K668="","",INDEX('差動モデル'!$B:$B,K668))</f>
        <v/>
      </c>
      <c r="M668">
        <f>IF(A668="","",IF(ABS(L668/A668-1)&lt;0.01,"周波数差&lt;1%","周波数差あり"))</f>
        <v/>
      </c>
    </row>
    <row r="669">
      <c r="A669" s="197" t="n"/>
      <c r="B669" s="198" t="n"/>
      <c r="C669" s="198" t="n"/>
      <c r="D669" s="195">
        <f>IF(K669="","",INDEX('差動モデル'!$R:$R,K669))</f>
        <v/>
      </c>
      <c r="E669" s="195">
        <f>IF(K669="","",INDEX('差動モデル'!$S:$S,K669))</f>
        <v/>
      </c>
      <c r="F669" s="195">
        <f>IF(OR(A669="",B669=""),"",100*(D669-B669)/MAX(B669,1E-12))</f>
        <v/>
      </c>
      <c r="G669" s="195">
        <f>IF(OR(A669="",C669=""),"",E669-C669)</f>
        <v/>
      </c>
      <c r="H669" s="195">
        <f>IF(A669="","",LOG10(A669))</f>
        <v/>
      </c>
      <c r="I669" s="195">
        <f>IF(B669="","",LOG10(MAX(B669,1E-12)))</f>
        <v/>
      </c>
      <c r="J669" s="195">
        <f>IF(D669="","",LOG10(MAX(D669,1E-12)))</f>
        <v/>
      </c>
      <c r="K669">
        <f>IF(A669="","",ROUND(1+(LOG10(A669)-LOG10('入力・概要'!$B$38))*('入力・概要'!$B$40-1)/(LOG10('入力・概要'!$B$39)-LOG10('入力・概要'!$B$38)),0)+3)</f>
        <v/>
      </c>
      <c r="L669">
        <f>IF(K669="","",INDEX('差動モデル'!$B:$B,K669))</f>
        <v/>
      </c>
      <c r="M669">
        <f>IF(A669="","",IF(ABS(L669/A669-1)&lt;0.01,"周波数差&lt;1%","周波数差あり"))</f>
        <v/>
      </c>
    </row>
    <row r="670">
      <c r="A670" s="197" t="n"/>
      <c r="B670" s="198" t="n"/>
      <c r="C670" s="198" t="n"/>
      <c r="D670" s="195">
        <f>IF(K670="","",INDEX('差動モデル'!$R:$R,K670))</f>
        <v/>
      </c>
      <c r="E670" s="195">
        <f>IF(K670="","",INDEX('差動モデル'!$S:$S,K670))</f>
        <v/>
      </c>
      <c r="F670" s="195">
        <f>IF(OR(A670="",B670=""),"",100*(D670-B670)/MAX(B670,1E-12))</f>
        <v/>
      </c>
      <c r="G670" s="195">
        <f>IF(OR(A670="",C670=""),"",E670-C670)</f>
        <v/>
      </c>
      <c r="H670" s="195">
        <f>IF(A670="","",LOG10(A670))</f>
        <v/>
      </c>
      <c r="I670" s="195">
        <f>IF(B670="","",LOG10(MAX(B670,1E-12)))</f>
        <v/>
      </c>
      <c r="J670" s="195">
        <f>IF(D670="","",LOG10(MAX(D670,1E-12)))</f>
        <v/>
      </c>
      <c r="K670">
        <f>IF(A670="","",ROUND(1+(LOG10(A670)-LOG10('入力・概要'!$B$38))*('入力・概要'!$B$40-1)/(LOG10('入力・概要'!$B$39)-LOG10('入力・概要'!$B$38)),0)+3)</f>
        <v/>
      </c>
      <c r="L670">
        <f>IF(K670="","",INDEX('差動モデル'!$B:$B,K670))</f>
        <v/>
      </c>
      <c r="M670">
        <f>IF(A670="","",IF(ABS(L670/A670-1)&lt;0.01,"周波数差&lt;1%","周波数差あり"))</f>
        <v/>
      </c>
    </row>
    <row r="671">
      <c r="A671" s="197" t="n"/>
      <c r="B671" s="198" t="n"/>
      <c r="C671" s="198" t="n"/>
      <c r="D671" s="195">
        <f>IF(K671="","",INDEX('差動モデル'!$R:$R,K671))</f>
        <v/>
      </c>
      <c r="E671" s="195">
        <f>IF(K671="","",INDEX('差動モデル'!$S:$S,K671))</f>
        <v/>
      </c>
      <c r="F671" s="195">
        <f>IF(OR(A671="",B671=""),"",100*(D671-B671)/MAX(B671,1E-12))</f>
        <v/>
      </c>
      <c r="G671" s="195">
        <f>IF(OR(A671="",C671=""),"",E671-C671)</f>
        <v/>
      </c>
      <c r="H671" s="195">
        <f>IF(A671="","",LOG10(A671))</f>
        <v/>
      </c>
      <c r="I671" s="195">
        <f>IF(B671="","",LOG10(MAX(B671,1E-12)))</f>
        <v/>
      </c>
      <c r="J671" s="195">
        <f>IF(D671="","",LOG10(MAX(D671,1E-12)))</f>
        <v/>
      </c>
      <c r="K671">
        <f>IF(A671="","",ROUND(1+(LOG10(A671)-LOG10('入力・概要'!$B$38))*('入力・概要'!$B$40-1)/(LOG10('入力・概要'!$B$39)-LOG10('入力・概要'!$B$38)),0)+3)</f>
        <v/>
      </c>
      <c r="L671">
        <f>IF(K671="","",INDEX('差動モデル'!$B:$B,K671))</f>
        <v/>
      </c>
      <c r="M671">
        <f>IF(A671="","",IF(ABS(L671/A671-1)&lt;0.01,"周波数差&lt;1%","周波数差あり"))</f>
        <v/>
      </c>
    </row>
    <row r="672">
      <c r="A672" s="197" t="n"/>
      <c r="B672" s="198" t="n"/>
      <c r="C672" s="198" t="n"/>
      <c r="D672" s="195">
        <f>IF(K672="","",INDEX('差動モデル'!$R:$R,K672))</f>
        <v/>
      </c>
      <c r="E672" s="195">
        <f>IF(K672="","",INDEX('差動モデル'!$S:$S,K672))</f>
        <v/>
      </c>
      <c r="F672" s="195">
        <f>IF(OR(A672="",B672=""),"",100*(D672-B672)/MAX(B672,1E-12))</f>
        <v/>
      </c>
      <c r="G672" s="195">
        <f>IF(OR(A672="",C672=""),"",E672-C672)</f>
        <v/>
      </c>
      <c r="H672" s="195">
        <f>IF(A672="","",LOG10(A672))</f>
        <v/>
      </c>
      <c r="I672" s="195">
        <f>IF(B672="","",LOG10(MAX(B672,1E-12)))</f>
        <v/>
      </c>
      <c r="J672" s="195">
        <f>IF(D672="","",LOG10(MAX(D672,1E-12)))</f>
        <v/>
      </c>
      <c r="K672">
        <f>IF(A672="","",ROUND(1+(LOG10(A672)-LOG10('入力・概要'!$B$38))*('入力・概要'!$B$40-1)/(LOG10('入力・概要'!$B$39)-LOG10('入力・概要'!$B$38)),0)+3)</f>
        <v/>
      </c>
      <c r="L672">
        <f>IF(K672="","",INDEX('差動モデル'!$B:$B,K672))</f>
        <v/>
      </c>
      <c r="M672">
        <f>IF(A672="","",IF(ABS(L672/A672-1)&lt;0.01,"周波数差&lt;1%","周波数差あり"))</f>
        <v/>
      </c>
    </row>
    <row r="673">
      <c r="A673" s="197" t="n"/>
      <c r="B673" s="198" t="n"/>
      <c r="C673" s="198" t="n"/>
      <c r="D673" s="195">
        <f>IF(K673="","",INDEX('差動モデル'!$R:$R,K673))</f>
        <v/>
      </c>
      <c r="E673" s="195">
        <f>IF(K673="","",INDEX('差動モデル'!$S:$S,K673))</f>
        <v/>
      </c>
      <c r="F673" s="195">
        <f>IF(OR(A673="",B673=""),"",100*(D673-B673)/MAX(B673,1E-12))</f>
        <v/>
      </c>
      <c r="G673" s="195">
        <f>IF(OR(A673="",C673=""),"",E673-C673)</f>
        <v/>
      </c>
      <c r="H673" s="195">
        <f>IF(A673="","",LOG10(A673))</f>
        <v/>
      </c>
      <c r="I673" s="195">
        <f>IF(B673="","",LOG10(MAX(B673,1E-12)))</f>
        <v/>
      </c>
      <c r="J673" s="195">
        <f>IF(D673="","",LOG10(MAX(D673,1E-12)))</f>
        <v/>
      </c>
      <c r="K673">
        <f>IF(A673="","",ROUND(1+(LOG10(A673)-LOG10('入力・概要'!$B$38))*('入力・概要'!$B$40-1)/(LOG10('入力・概要'!$B$39)-LOG10('入力・概要'!$B$38)),0)+3)</f>
        <v/>
      </c>
      <c r="L673">
        <f>IF(K673="","",INDEX('差動モデル'!$B:$B,K673))</f>
        <v/>
      </c>
      <c r="M673">
        <f>IF(A673="","",IF(ABS(L673/A673-1)&lt;0.01,"周波数差&lt;1%","周波数差あり"))</f>
        <v/>
      </c>
    </row>
    <row r="674">
      <c r="A674" s="197" t="n"/>
      <c r="B674" s="198" t="n"/>
      <c r="C674" s="198" t="n"/>
      <c r="D674" s="195">
        <f>IF(K674="","",INDEX('差動モデル'!$R:$R,K674))</f>
        <v/>
      </c>
      <c r="E674" s="195">
        <f>IF(K674="","",INDEX('差動モデル'!$S:$S,K674))</f>
        <v/>
      </c>
      <c r="F674" s="195">
        <f>IF(OR(A674="",B674=""),"",100*(D674-B674)/MAX(B674,1E-12))</f>
        <v/>
      </c>
      <c r="G674" s="195">
        <f>IF(OR(A674="",C674=""),"",E674-C674)</f>
        <v/>
      </c>
      <c r="H674" s="195">
        <f>IF(A674="","",LOG10(A674))</f>
        <v/>
      </c>
      <c r="I674" s="195">
        <f>IF(B674="","",LOG10(MAX(B674,1E-12)))</f>
        <v/>
      </c>
      <c r="J674" s="195">
        <f>IF(D674="","",LOG10(MAX(D674,1E-12)))</f>
        <v/>
      </c>
      <c r="K674">
        <f>IF(A674="","",ROUND(1+(LOG10(A674)-LOG10('入力・概要'!$B$38))*('入力・概要'!$B$40-1)/(LOG10('入力・概要'!$B$39)-LOG10('入力・概要'!$B$38)),0)+3)</f>
        <v/>
      </c>
      <c r="L674">
        <f>IF(K674="","",INDEX('差動モデル'!$B:$B,K674))</f>
        <v/>
      </c>
      <c r="M674">
        <f>IF(A674="","",IF(ABS(L674/A674-1)&lt;0.01,"周波数差&lt;1%","周波数差あり"))</f>
        <v/>
      </c>
    </row>
    <row r="675">
      <c r="A675" s="197" t="n"/>
      <c r="B675" s="198" t="n"/>
      <c r="C675" s="198" t="n"/>
      <c r="D675" s="195">
        <f>IF(K675="","",INDEX('差動モデル'!$R:$R,K675))</f>
        <v/>
      </c>
      <c r="E675" s="195">
        <f>IF(K675="","",INDEX('差動モデル'!$S:$S,K675))</f>
        <v/>
      </c>
      <c r="F675" s="195">
        <f>IF(OR(A675="",B675=""),"",100*(D675-B675)/MAX(B675,1E-12))</f>
        <v/>
      </c>
      <c r="G675" s="195">
        <f>IF(OR(A675="",C675=""),"",E675-C675)</f>
        <v/>
      </c>
      <c r="H675" s="195">
        <f>IF(A675="","",LOG10(A675))</f>
        <v/>
      </c>
      <c r="I675" s="195">
        <f>IF(B675="","",LOG10(MAX(B675,1E-12)))</f>
        <v/>
      </c>
      <c r="J675" s="195">
        <f>IF(D675="","",LOG10(MAX(D675,1E-12)))</f>
        <v/>
      </c>
      <c r="K675">
        <f>IF(A675="","",ROUND(1+(LOG10(A675)-LOG10('入力・概要'!$B$38))*('入力・概要'!$B$40-1)/(LOG10('入力・概要'!$B$39)-LOG10('入力・概要'!$B$38)),0)+3)</f>
        <v/>
      </c>
      <c r="L675">
        <f>IF(K675="","",INDEX('差動モデル'!$B:$B,K675))</f>
        <v/>
      </c>
      <c r="M675">
        <f>IF(A675="","",IF(ABS(L675/A675-1)&lt;0.01,"周波数差&lt;1%","周波数差あり"))</f>
        <v/>
      </c>
    </row>
    <row r="676">
      <c r="A676" s="197" t="n"/>
      <c r="B676" s="198" t="n"/>
      <c r="C676" s="198" t="n"/>
      <c r="D676" s="195">
        <f>IF(K676="","",INDEX('差動モデル'!$R:$R,K676))</f>
        <v/>
      </c>
      <c r="E676" s="195">
        <f>IF(K676="","",INDEX('差動モデル'!$S:$S,K676))</f>
        <v/>
      </c>
      <c r="F676" s="195">
        <f>IF(OR(A676="",B676=""),"",100*(D676-B676)/MAX(B676,1E-12))</f>
        <v/>
      </c>
      <c r="G676" s="195">
        <f>IF(OR(A676="",C676=""),"",E676-C676)</f>
        <v/>
      </c>
      <c r="H676" s="195">
        <f>IF(A676="","",LOG10(A676))</f>
        <v/>
      </c>
      <c r="I676" s="195">
        <f>IF(B676="","",LOG10(MAX(B676,1E-12)))</f>
        <v/>
      </c>
      <c r="J676" s="195">
        <f>IF(D676="","",LOG10(MAX(D676,1E-12)))</f>
        <v/>
      </c>
      <c r="K676">
        <f>IF(A676="","",ROUND(1+(LOG10(A676)-LOG10('入力・概要'!$B$38))*('入力・概要'!$B$40-1)/(LOG10('入力・概要'!$B$39)-LOG10('入力・概要'!$B$38)),0)+3)</f>
        <v/>
      </c>
      <c r="L676">
        <f>IF(K676="","",INDEX('差動モデル'!$B:$B,K676))</f>
        <v/>
      </c>
      <c r="M676">
        <f>IF(A676="","",IF(ABS(L676/A676-1)&lt;0.01,"周波数差&lt;1%","周波数差あり"))</f>
        <v/>
      </c>
    </row>
    <row r="677">
      <c r="A677" s="197" t="n"/>
      <c r="B677" s="198" t="n"/>
      <c r="C677" s="198" t="n"/>
      <c r="D677" s="195">
        <f>IF(K677="","",INDEX('差動モデル'!$R:$R,K677))</f>
        <v/>
      </c>
      <c r="E677" s="195">
        <f>IF(K677="","",INDEX('差動モデル'!$S:$S,K677))</f>
        <v/>
      </c>
      <c r="F677" s="195">
        <f>IF(OR(A677="",B677=""),"",100*(D677-B677)/MAX(B677,1E-12))</f>
        <v/>
      </c>
      <c r="G677" s="195">
        <f>IF(OR(A677="",C677=""),"",E677-C677)</f>
        <v/>
      </c>
      <c r="H677" s="195">
        <f>IF(A677="","",LOG10(A677))</f>
        <v/>
      </c>
      <c r="I677" s="195">
        <f>IF(B677="","",LOG10(MAX(B677,1E-12)))</f>
        <v/>
      </c>
      <c r="J677" s="195">
        <f>IF(D677="","",LOG10(MAX(D677,1E-12)))</f>
        <v/>
      </c>
      <c r="K677">
        <f>IF(A677="","",ROUND(1+(LOG10(A677)-LOG10('入力・概要'!$B$38))*('入力・概要'!$B$40-1)/(LOG10('入力・概要'!$B$39)-LOG10('入力・概要'!$B$38)),0)+3)</f>
        <v/>
      </c>
      <c r="L677">
        <f>IF(K677="","",INDEX('差動モデル'!$B:$B,K677))</f>
        <v/>
      </c>
      <c r="M677">
        <f>IF(A677="","",IF(ABS(L677/A677-1)&lt;0.01,"周波数差&lt;1%","周波数差あり"))</f>
        <v/>
      </c>
    </row>
    <row r="678">
      <c r="A678" s="197" t="n"/>
      <c r="B678" s="198" t="n"/>
      <c r="C678" s="198" t="n"/>
      <c r="D678" s="195">
        <f>IF(K678="","",INDEX('差動モデル'!$R:$R,K678))</f>
        <v/>
      </c>
      <c r="E678" s="195">
        <f>IF(K678="","",INDEX('差動モデル'!$S:$S,K678))</f>
        <v/>
      </c>
      <c r="F678" s="195">
        <f>IF(OR(A678="",B678=""),"",100*(D678-B678)/MAX(B678,1E-12))</f>
        <v/>
      </c>
      <c r="G678" s="195">
        <f>IF(OR(A678="",C678=""),"",E678-C678)</f>
        <v/>
      </c>
      <c r="H678" s="195">
        <f>IF(A678="","",LOG10(A678))</f>
        <v/>
      </c>
      <c r="I678" s="195">
        <f>IF(B678="","",LOG10(MAX(B678,1E-12)))</f>
        <v/>
      </c>
      <c r="J678" s="195">
        <f>IF(D678="","",LOG10(MAX(D678,1E-12)))</f>
        <v/>
      </c>
      <c r="K678">
        <f>IF(A678="","",ROUND(1+(LOG10(A678)-LOG10('入力・概要'!$B$38))*('入力・概要'!$B$40-1)/(LOG10('入力・概要'!$B$39)-LOG10('入力・概要'!$B$38)),0)+3)</f>
        <v/>
      </c>
      <c r="L678">
        <f>IF(K678="","",INDEX('差動モデル'!$B:$B,K678))</f>
        <v/>
      </c>
      <c r="M678">
        <f>IF(A678="","",IF(ABS(L678/A678-1)&lt;0.01,"周波数差&lt;1%","周波数差あり"))</f>
        <v/>
      </c>
    </row>
    <row r="679">
      <c r="A679" s="197" t="n"/>
      <c r="B679" s="198" t="n"/>
      <c r="C679" s="198" t="n"/>
      <c r="D679" s="195">
        <f>IF(K679="","",INDEX('差動モデル'!$R:$R,K679))</f>
        <v/>
      </c>
      <c r="E679" s="195">
        <f>IF(K679="","",INDEX('差動モデル'!$S:$S,K679))</f>
        <v/>
      </c>
      <c r="F679" s="195">
        <f>IF(OR(A679="",B679=""),"",100*(D679-B679)/MAX(B679,1E-12))</f>
        <v/>
      </c>
      <c r="G679" s="195">
        <f>IF(OR(A679="",C679=""),"",E679-C679)</f>
        <v/>
      </c>
      <c r="H679" s="195">
        <f>IF(A679="","",LOG10(A679))</f>
        <v/>
      </c>
      <c r="I679" s="195">
        <f>IF(B679="","",LOG10(MAX(B679,1E-12)))</f>
        <v/>
      </c>
      <c r="J679" s="195">
        <f>IF(D679="","",LOG10(MAX(D679,1E-12)))</f>
        <v/>
      </c>
      <c r="K679">
        <f>IF(A679="","",ROUND(1+(LOG10(A679)-LOG10('入力・概要'!$B$38))*('入力・概要'!$B$40-1)/(LOG10('入力・概要'!$B$39)-LOG10('入力・概要'!$B$38)),0)+3)</f>
        <v/>
      </c>
      <c r="L679">
        <f>IF(K679="","",INDEX('差動モデル'!$B:$B,K679))</f>
        <v/>
      </c>
      <c r="M679">
        <f>IF(A679="","",IF(ABS(L679/A679-1)&lt;0.01,"周波数差&lt;1%","周波数差あり"))</f>
        <v/>
      </c>
    </row>
    <row r="680">
      <c r="A680" s="197" t="n"/>
      <c r="B680" s="198" t="n"/>
      <c r="C680" s="198" t="n"/>
      <c r="D680" s="195">
        <f>IF(K680="","",INDEX('差動モデル'!$R:$R,K680))</f>
        <v/>
      </c>
      <c r="E680" s="195">
        <f>IF(K680="","",INDEX('差動モデル'!$S:$S,K680))</f>
        <v/>
      </c>
      <c r="F680" s="195">
        <f>IF(OR(A680="",B680=""),"",100*(D680-B680)/MAX(B680,1E-12))</f>
        <v/>
      </c>
      <c r="G680" s="195">
        <f>IF(OR(A680="",C680=""),"",E680-C680)</f>
        <v/>
      </c>
      <c r="H680" s="195">
        <f>IF(A680="","",LOG10(A680))</f>
        <v/>
      </c>
      <c r="I680" s="195">
        <f>IF(B680="","",LOG10(MAX(B680,1E-12)))</f>
        <v/>
      </c>
      <c r="J680" s="195">
        <f>IF(D680="","",LOG10(MAX(D680,1E-12)))</f>
        <v/>
      </c>
      <c r="K680">
        <f>IF(A680="","",ROUND(1+(LOG10(A680)-LOG10('入力・概要'!$B$38))*('入力・概要'!$B$40-1)/(LOG10('入力・概要'!$B$39)-LOG10('入力・概要'!$B$38)),0)+3)</f>
        <v/>
      </c>
      <c r="L680">
        <f>IF(K680="","",INDEX('差動モデル'!$B:$B,K680))</f>
        <v/>
      </c>
      <c r="M680">
        <f>IF(A680="","",IF(ABS(L680/A680-1)&lt;0.01,"周波数差&lt;1%","周波数差あり"))</f>
        <v/>
      </c>
    </row>
    <row r="681">
      <c r="A681" s="197" t="n"/>
      <c r="B681" s="198" t="n"/>
      <c r="C681" s="198" t="n"/>
      <c r="D681" s="195">
        <f>IF(K681="","",INDEX('差動モデル'!$R:$R,K681))</f>
        <v/>
      </c>
      <c r="E681" s="195">
        <f>IF(K681="","",INDEX('差動モデル'!$S:$S,K681))</f>
        <v/>
      </c>
      <c r="F681" s="195">
        <f>IF(OR(A681="",B681=""),"",100*(D681-B681)/MAX(B681,1E-12))</f>
        <v/>
      </c>
      <c r="G681" s="195">
        <f>IF(OR(A681="",C681=""),"",E681-C681)</f>
        <v/>
      </c>
      <c r="H681" s="195">
        <f>IF(A681="","",LOG10(A681))</f>
        <v/>
      </c>
      <c r="I681" s="195">
        <f>IF(B681="","",LOG10(MAX(B681,1E-12)))</f>
        <v/>
      </c>
      <c r="J681" s="195">
        <f>IF(D681="","",LOG10(MAX(D681,1E-12)))</f>
        <v/>
      </c>
      <c r="K681">
        <f>IF(A681="","",ROUND(1+(LOG10(A681)-LOG10('入力・概要'!$B$38))*('入力・概要'!$B$40-1)/(LOG10('入力・概要'!$B$39)-LOG10('入力・概要'!$B$38)),0)+3)</f>
        <v/>
      </c>
      <c r="L681">
        <f>IF(K681="","",INDEX('差動モデル'!$B:$B,K681))</f>
        <v/>
      </c>
      <c r="M681">
        <f>IF(A681="","",IF(ABS(L681/A681-1)&lt;0.01,"周波数差&lt;1%","周波数差あり"))</f>
        <v/>
      </c>
    </row>
    <row r="682">
      <c r="A682" s="197" t="n"/>
      <c r="B682" s="198" t="n"/>
      <c r="C682" s="198" t="n"/>
      <c r="D682" s="195">
        <f>IF(K682="","",INDEX('差動モデル'!$R:$R,K682))</f>
        <v/>
      </c>
      <c r="E682" s="195">
        <f>IF(K682="","",INDEX('差動モデル'!$S:$S,K682))</f>
        <v/>
      </c>
      <c r="F682" s="195">
        <f>IF(OR(A682="",B682=""),"",100*(D682-B682)/MAX(B682,1E-12))</f>
        <v/>
      </c>
      <c r="G682" s="195">
        <f>IF(OR(A682="",C682=""),"",E682-C682)</f>
        <v/>
      </c>
      <c r="H682" s="195">
        <f>IF(A682="","",LOG10(A682))</f>
        <v/>
      </c>
      <c r="I682" s="195">
        <f>IF(B682="","",LOG10(MAX(B682,1E-12)))</f>
        <v/>
      </c>
      <c r="J682" s="195">
        <f>IF(D682="","",LOG10(MAX(D682,1E-12)))</f>
        <v/>
      </c>
      <c r="K682">
        <f>IF(A682="","",ROUND(1+(LOG10(A682)-LOG10('入力・概要'!$B$38))*('入力・概要'!$B$40-1)/(LOG10('入力・概要'!$B$39)-LOG10('入力・概要'!$B$38)),0)+3)</f>
        <v/>
      </c>
      <c r="L682">
        <f>IF(K682="","",INDEX('差動モデル'!$B:$B,K682))</f>
        <v/>
      </c>
      <c r="M682">
        <f>IF(A682="","",IF(ABS(L682/A682-1)&lt;0.01,"周波数差&lt;1%","周波数差あり"))</f>
        <v/>
      </c>
    </row>
    <row r="683">
      <c r="A683" s="197" t="n"/>
      <c r="B683" s="198" t="n"/>
      <c r="C683" s="198" t="n"/>
      <c r="D683" s="195">
        <f>IF(K683="","",INDEX('差動モデル'!$R:$R,K683))</f>
        <v/>
      </c>
      <c r="E683" s="195">
        <f>IF(K683="","",INDEX('差動モデル'!$S:$S,K683))</f>
        <v/>
      </c>
      <c r="F683" s="195">
        <f>IF(OR(A683="",B683=""),"",100*(D683-B683)/MAX(B683,1E-12))</f>
        <v/>
      </c>
      <c r="G683" s="195">
        <f>IF(OR(A683="",C683=""),"",E683-C683)</f>
        <v/>
      </c>
      <c r="H683" s="195">
        <f>IF(A683="","",LOG10(A683))</f>
        <v/>
      </c>
      <c r="I683" s="195">
        <f>IF(B683="","",LOG10(MAX(B683,1E-12)))</f>
        <v/>
      </c>
      <c r="J683" s="195">
        <f>IF(D683="","",LOG10(MAX(D683,1E-12)))</f>
        <v/>
      </c>
      <c r="K683">
        <f>IF(A683="","",ROUND(1+(LOG10(A683)-LOG10('入力・概要'!$B$38))*('入力・概要'!$B$40-1)/(LOG10('入力・概要'!$B$39)-LOG10('入力・概要'!$B$38)),0)+3)</f>
        <v/>
      </c>
      <c r="L683">
        <f>IF(K683="","",INDEX('差動モデル'!$B:$B,K683))</f>
        <v/>
      </c>
      <c r="M683">
        <f>IF(A683="","",IF(ABS(L683/A683-1)&lt;0.01,"周波数差&lt;1%","周波数差あり"))</f>
        <v/>
      </c>
    </row>
    <row r="684">
      <c r="A684" s="197" t="n"/>
      <c r="B684" s="198" t="n"/>
      <c r="C684" s="198" t="n"/>
      <c r="D684" s="195">
        <f>IF(K684="","",INDEX('差動モデル'!$R:$R,K684))</f>
        <v/>
      </c>
      <c r="E684" s="195">
        <f>IF(K684="","",INDEX('差動モデル'!$S:$S,K684))</f>
        <v/>
      </c>
      <c r="F684" s="195">
        <f>IF(OR(A684="",B684=""),"",100*(D684-B684)/MAX(B684,1E-12))</f>
        <v/>
      </c>
      <c r="G684" s="195">
        <f>IF(OR(A684="",C684=""),"",E684-C684)</f>
        <v/>
      </c>
      <c r="H684" s="195">
        <f>IF(A684="","",LOG10(A684))</f>
        <v/>
      </c>
      <c r="I684" s="195">
        <f>IF(B684="","",LOG10(MAX(B684,1E-12)))</f>
        <v/>
      </c>
      <c r="J684" s="195">
        <f>IF(D684="","",LOG10(MAX(D684,1E-12)))</f>
        <v/>
      </c>
      <c r="K684">
        <f>IF(A684="","",ROUND(1+(LOG10(A684)-LOG10('入力・概要'!$B$38))*('入力・概要'!$B$40-1)/(LOG10('入力・概要'!$B$39)-LOG10('入力・概要'!$B$38)),0)+3)</f>
        <v/>
      </c>
      <c r="L684">
        <f>IF(K684="","",INDEX('差動モデル'!$B:$B,K684))</f>
        <v/>
      </c>
      <c r="M684">
        <f>IF(A684="","",IF(ABS(L684/A684-1)&lt;0.01,"周波数差&lt;1%","周波数差あり"))</f>
        <v/>
      </c>
    </row>
    <row r="685">
      <c r="A685" s="197" t="n"/>
      <c r="B685" s="198" t="n"/>
      <c r="C685" s="198" t="n"/>
      <c r="D685" s="195">
        <f>IF(K685="","",INDEX('差動モデル'!$R:$R,K685))</f>
        <v/>
      </c>
      <c r="E685" s="195">
        <f>IF(K685="","",INDEX('差動モデル'!$S:$S,K685))</f>
        <v/>
      </c>
      <c r="F685" s="195">
        <f>IF(OR(A685="",B685=""),"",100*(D685-B685)/MAX(B685,1E-12))</f>
        <v/>
      </c>
      <c r="G685" s="195">
        <f>IF(OR(A685="",C685=""),"",E685-C685)</f>
        <v/>
      </c>
      <c r="H685" s="195">
        <f>IF(A685="","",LOG10(A685))</f>
        <v/>
      </c>
      <c r="I685" s="195">
        <f>IF(B685="","",LOG10(MAX(B685,1E-12)))</f>
        <v/>
      </c>
      <c r="J685" s="195">
        <f>IF(D685="","",LOG10(MAX(D685,1E-12)))</f>
        <v/>
      </c>
      <c r="K685">
        <f>IF(A685="","",ROUND(1+(LOG10(A685)-LOG10('入力・概要'!$B$38))*('入力・概要'!$B$40-1)/(LOG10('入力・概要'!$B$39)-LOG10('入力・概要'!$B$38)),0)+3)</f>
        <v/>
      </c>
      <c r="L685">
        <f>IF(K685="","",INDEX('差動モデル'!$B:$B,K685))</f>
        <v/>
      </c>
      <c r="M685">
        <f>IF(A685="","",IF(ABS(L685/A685-1)&lt;0.01,"周波数差&lt;1%","周波数差あり"))</f>
        <v/>
      </c>
    </row>
    <row r="686">
      <c r="A686" s="197" t="n"/>
      <c r="B686" s="198" t="n"/>
      <c r="C686" s="198" t="n"/>
      <c r="D686" s="195">
        <f>IF(K686="","",INDEX('差動モデル'!$R:$R,K686))</f>
        <v/>
      </c>
      <c r="E686" s="195">
        <f>IF(K686="","",INDEX('差動モデル'!$S:$S,K686))</f>
        <v/>
      </c>
      <c r="F686" s="195">
        <f>IF(OR(A686="",B686=""),"",100*(D686-B686)/MAX(B686,1E-12))</f>
        <v/>
      </c>
      <c r="G686" s="195">
        <f>IF(OR(A686="",C686=""),"",E686-C686)</f>
        <v/>
      </c>
      <c r="H686" s="195">
        <f>IF(A686="","",LOG10(A686))</f>
        <v/>
      </c>
      <c r="I686" s="195">
        <f>IF(B686="","",LOG10(MAX(B686,1E-12)))</f>
        <v/>
      </c>
      <c r="J686" s="195">
        <f>IF(D686="","",LOG10(MAX(D686,1E-12)))</f>
        <v/>
      </c>
      <c r="K686">
        <f>IF(A686="","",ROUND(1+(LOG10(A686)-LOG10('入力・概要'!$B$38))*('入力・概要'!$B$40-1)/(LOG10('入力・概要'!$B$39)-LOG10('入力・概要'!$B$38)),0)+3)</f>
        <v/>
      </c>
      <c r="L686">
        <f>IF(K686="","",INDEX('差動モデル'!$B:$B,K686))</f>
        <v/>
      </c>
      <c r="M686">
        <f>IF(A686="","",IF(ABS(L686/A686-1)&lt;0.01,"周波数差&lt;1%","周波数差あり"))</f>
        <v/>
      </c>
    </row>
    <row r="687">
      <c r="A687" s="197" t="n"/>
      <c r="B687" s="198" t="n"/>
      <c r="C687" s="198" t="n"/>
      <c r="D687" s="195">
        <f>IF(K687="","",INDEX('差動モデル'!$R:$R,K687))</f>
        <v/>
      </c>
      <c r="E687" s="195">
        <f>IF(K687="","",INDEX('差動モデル'!$S:$S,K687))</f>
        <v/>
      </c>
      <c r="F687" s="195">
        <f>IF(OR(A687="",B687=""),"",100*(D687-B687)/MAX(B687,1E-12))</f>
        <v/>
      </c>
      <c r="G687" s="195">
        <f>IF(OR(A687="",C687=""),"",E687-C687)</f>
        <v/>
      </c>
      <c r="H687" s="195">
        <f>IF(A687="","",LOG10(A687))</f>
        <v/>
      </c>
      <c r="I687" s="195">
        <f>IF(B687="","",LOG10(MAX(B687,1E-12)))</f>
        <v/>
      </c>
      <c r="J687" s="195">
        <f>IF(D687="","",LOG10(MAX(D687,1E-12)))</f>
        <v/>
      </c>
      <c r="K687">
        <f>IF(A687="","",ROUND(1+(LOG10(A687)-LOG10('入力・概要'!$B$38))*('入力・概要'!$B$40-1)/(LOG10('入力・概要'!$B$39)-LOG10('入力・概要'!$B$38)),0)+3)</f>
        <v/>
      </c>
      <c r="L687">
        <f>IF(K687="","",INDEX('差動モデル'!$B:$B,K687))</f>
        <v/>
      </c>
      <c r="M687">
        <f>IF(A687="","",IF(ABS(L687/A687-1)&lt;0.01,"周波数差&lt;1%","周波数差あり"))</f>
        <v/>
      </c>
    </row>
    <row r="688">
      <c r="A688" s="197" t="n"/>
      <c r="B688" s="198" t="n"/>
      <c r="C688" s="198" t="n"/>
      <c r="D688" s="195">
        <f>IF(K688="","",INDEX('差動モデル'!$R:$R,K688))</f>
        <v/>
      </c>
      <c r="E688" s="195">
        <f>IF(K688="","",INDEX('差動モデル'!$S:$S,K688))</f>
        <v/>
      </c>
      <c r="F688" s="195">
        <f>IF(OR(A688="",B688=""),"",100*(D688-B688)/MAX(B688,1E-12))</f>
        <v/>
      </c>
      <c r="G688" s="195">
        <f>IF(OR(A688="",C688=""),"",E688-C688)</f>
        <v/>
      </c>
      <c r="H688" s="195">
        <f>IF(A688="","",LOG10(A688))</f>
        <v/>
      </c>
      <c r="I688" s="195">
        <f>IF(B688="","",LOG10(MAX(B688,1E-12)))</f>
        <v/>
      </c>
      <c r="J688" s="195">
        <f>IF(D688="","",LOG10(MAX(D688,1E-12)))</f>
        <v/>
      </c>
      <c r="K688">
        <f>IF(A688="","",ROUND(1+(LOG10(A688)-LOG10('入力・概要'!$B$38))*('入力・概要'!$B$40-1)/(LOG10('入力・概要'!$B$39)-LOG10('入力・概要'!$B$38)),0)+3)</f>
        <v/>
      </c>
      <c r="L688">
        <f>IF(K688="","",INDEX('差動モデル'!$B:$B,K688))</f>
        <v/>
      </c>
      <c r="M688">
        <f>IF(A688="","",IF(ABS(L688/A688-1)&lt;0.01,"周波数差&lt;1%","周波数差あり"))</f>
        <v/>
      </c>
    </row>
    <row r="689">
      <c r="A689" s="197" t="n"/>
      <c r="B689" s="198" t="n"/>
      <c r="C689" s="198" t="n"/>
      <c r="D689" s="195">
        <f>IF(K689="","",INDEX('差動モデル'!$R:$R,K689))</f>
        <v/>
      </c>
      <c r="E689" s="195">
        <f>IF(K689="","",INDEX('差動モデル'!$S:$S,K689))</f>
        <v/>
      </c>
      <c r="F689" s="195">
        <f>IF(OR(A689="",B689=""),"",100*(D689-B689)/MAX(B689,1E-12))</f>
        <v/>
      </c>
      <c r="G689" s="195">
        <f>IF(OR(A689="",C689=""),"",E689-C689)</f>
        <v/>
      </c>
      <c r="H689" s="195">
        <f>IF(A689="","",LOG10(A689))</f>
        <v/>
      </c>
      <c r="I689" s="195">
        <f>IF(B689="","",LOG10(MAX(B689,1E-12)))</f>
        <v/>
      </c>
      <c r="J689" s="195">
        <f>IF(D689="","",LOG10(MAX(D689,1E-12)))</f>
        <v/>
      </c>
      <c r="K689">
        <f>IF(A689="","",ROUND(1+(LOG10(A689)-LOG10('入力・概要'!$B$38))*('入力・概要'!$B$40-1)/(LOG10('入力・概要'!$B$39)-LOG10('入力・概要'!$B$38)),0)+3)</f>
        <v/>
      </c>
      <c r="L689">
        <f>IF(K689="","",INDEX('差動モデル'!$B:$B,K689))</f>
        <v/>
      </c>
      <c r="M689">
        <f>IF(A689="","",IF(ABS(L689/A689-1)&lt;0.01,"周波数差&lt;1%","周波数差あり"))</f>
        <v/>
      </c>
    </row>
    <row r="690">
      <c r="A690" s="197" t="n"/>
      <c r="B690" s="198" t="n"/>
      <c r="C690" s="198" t="n"/>
      <c r="D690" s="195">
        <f>IF(K690="","",INDEX('差動モデル'!$R:$R,K690))</f>
        <v/>
      </c>
      <c r="E690" s="195">
        <f>IF(K690="","",INDEX('差動モデル'!$S:$S,K690))</f>
        <v/>
      </c>
      <c r="F690" s="195">
        <f>IF(OR(A690="",B690=""),"",100*(D690-B690)/MAX(B690,1E-12))</f>
        <v/>
      </c>
      <c r="G690" s="195">
        <f>IF(OR(A690="",C690=""),"",E690-C690)</f>
        <v/>
      </c>
      <c r="H690" s="195">
        <f>IF(A690="","",LOG10(A690))</f>
        <v/>
      </c>
      <c r="I690" s="195">
        <f>IF(B690="","",LOG10(MAX(B690,1E-12)))</f>
        <v/>
      </c>
      <c r="J690" s="195">
        <f>IF(D690="","",LOG10(MAX(D690,1E-12)))</f>
        <v/>
      </c>
      <c r="K690">
        <f>IF(A690="","",ROUND(1+(LOG10(A690)-LOG10('入力・概要'!$B$38))*('入力・概要'!$B$40-1)/(LOG10('入力・概要'!$B$39)-LOG10('入力・概要'!$B$38)),0)+3)</f>
        <v/>
      </c>
      <c r="L690">
        <f>IF(K690="","",INDEX('差動モデル'!$B:$B,K690))</f>
        <v/>
      </c>
      <c r="M690">
        <f>IF(A690="","",IF(ABS(L690/A690-1)&lt;0.01,"周波数差&lt;1%","周波数差あり"))</f>
        <v/>
      </c>
    </row>
    <row r="691">
      <c r="A691" s="197" t="n"/>
      <c r="B691" s="198" t="n"/>
      <c r="C691" s="198" t="n"/>
      <c r="D691" s="195">
        <f>IF(K691="","",INDEX('差動モデル'!$R:$R,K691))</f>
        <v/>
      </c>
      <c r="E691" s="195">
        <f>IF(K691="","",INDEX('差動モデル'!$S:$S,K691))</f>
        <v/>
      </c>
      <c r="F691" s="195">
        <f>IF(OR(A691="",B691=""),"",100*(D691-B691)/MAX(B691,1E-12))</f>
        <v/>
      </c>
      <c r="G691" s="195">
        <f>IF(OR(A691="",C691=""),"",E691-C691)</f>
        <v/>
      </c>
      <c r="H691" s="195">
        <f>IF(A691="","",LOG10(A691))</f>
        <v/>
      </c>
      <c r="I691" s="195">
        <f>IF(B691="","",LOG10(MAX(B691,1E-12)))</f>
        <v/>
      </c>
      <c r="J691" s="195">
        <f>IF(D691="","",LOG10(MAX(D691,1E-12)))</f>
        <v/>
      </c>
      <c r="K691">
        <f>IF(A691="","",ROUND(1+(LOG10(A691)-LOG10('入力・概要'!$B$38))*('入力・概要'!$B$40-1)/(LOG10('入力・概要'!$B$39)-LOG10('入力・概要'!$B$38)),0)+3)</f>
        <v/>
      </c>
      <c r="L691">
        <f>IF(K691="","",INDEX('差動モデル'!$B:$B,K691))</f>
        <v/>
      </c>
      <c r="M691">
        <f>IF(A691="","",IF(ABS(L691/A691-1)&lt;0.01,"周波数差&lt;1%","周波数差あり"))</f>
        <v/>
      </c>
    </row>
    <row r="692">
      <c r="A692" s="197" t="n"/>
      <c r="B692" s="198" t="n"/>
      <c r="C692" s="198" t="n"/>
      <c r="D692" s="195">
        <f>IF(K692="","",INDEX('差動モデル'!$R:$R,K692))</f>
        <v/>
      </c>
      <c r="E692" s="195">
        <f>IF(K692="","",INDEX('差動モデル'!$S:$S,K692))</f>
        <v/>
      </c>
      <c r="F692" s="195">
        <f>IF(OR(A692="",B692=""),"",100*(D692-B692)/MAX(B692,1E-12))</f>
        <v/>
      </c>
      <c r="G692" s="195">
        <f>IF(OR(A692="",C692=""),"",E692-C692)</f>
        <v/>
      </c>
      <c r="H692" s="195">
        <f>IF(A692="","",LOG10(A692))</f>
        <v/>
      </c>
      <c r="I692" s="195">
        <f>IF(B692="","",LOG10(MAX(B692,1E-12)))</f>
        <v/>
      </c>
      <c r="J692" s="195">
        <f>IF(D692="","",LOG10(MAX(D692,1E-12)))</f>
        <v/>
      </c>
      <c r="K692">
        <f>IF(A692="","",ROUND(1+(LOG10(A692)-LOG10('入力・概要'!$B$38))*('入力・概要'!$B$40-1)/(LOG10('入力・概要'!$B$39)-LOG10('入力・概要'!$B$38)),0)+3)</f>
        <v/>
      </c>
      <c r="L692">
        <f>IF(K692="","",INDEX('差動モデル'!$B:$B,K692))</f>
        <v/>
      </c>
      <c r="M692">
        <f>IF(A692="","",IF(ABS(L692/A692-1)&lt;0.01,"周波数差&lt;1%","周波数差あり"))</f>
        <v/>
      </c>
    </row>
    <row r="693">
      <c r="A693" s="197" t="n"/>
      <c r="B693" s="198" t="n"/>
      <c r="C693" s="198" t="n"/>
      <c r="D693" s="195">
        <f>IF(K693="","",INDEX('差動モデル'!$R:$R,K693))</f>
        <v/>
      </c>
      <c r="E693" s="195">
        <f>IF(K693="","",INDEX('差動モデル'!$S:$S,K693))</f>
        <v/>
      </c>
      <c r="F693" s="195">
        <f>IF(OR(A693="",B693=""),"",100*(D693-B693)/MAX(B693,1E-12))</f>
        <v/>
      </c>
      <c r="G693" s="195">
        <f>IF(OR(A693="",C693=""),"",E693-C693)</f>
        <v/>
      </c>
      <c r="H693" s="195">
        <f>IF(A693="","",LOG10(A693))</f>
        <v/>
      </c>
      <c r="I693" s="195">
        <f>IF(B693="","",LOG10(MAX(B693,1E-12)))</f>
        <v/>
      </c>
      <c r="J693" s="195">
        <f>IF(D693="","",LOG10(MAX(D693,1E-12)))</f>
        <v/>
      </c>
      <c r="K693">
        <f>IF(A693="","",ROUND(1+(LOG10(A693)-LOG10('入力・概要'!$B$38))*('入力・概要'!$B$40-1)/(LOG10('入力・概要'!$B$39)-LOG10('入力・概要'!$B$38)),0)+3)</f>
        <v/>
      </c>
      <c r="L693">
        <f>IF(K693="","",INDEX('差動モデル'!$B:$B,K693))</f>
        <v/>
      </c>
      <c r="M693">
        <f>IF(A693="","",IF(ABS(L693/A693-1)&lt;0.01,"周波数差&lt;1%","周波数差あり"))</f>
        <v/>
      </c>
    </row>
    <row r="694">
      <c r="A694" s="197" t="n"/>
      <c r="B694" s="198" t="n"/>
      <c r="C694" s="198" t="n"/>
      <c r="D694" s="195">
        <f>IF(K694="","",INDEX('差動モデル'!$R:$R,K694))</f>
        <v/>
      </c>
      <c r="E694" s="195">
        <f>IF(K694="","",INDEX('差動モデル'!$S:$S,K694))</f>
        <v/>
      </c>
      <c r="F694" s="195">
        <f>IF(OR(A694="",B694=""),"",100*(D694-B694)/MAX(B694,1E-12))</f>
        <v/>
      </c>
      <c r="G694" s="195">
        <f>IF(OR(A694="",C694=""),"",E694-C694)</f>
        <v/>
      </c>
      <c r="H694" s="195">
        <f>IF(A694="","",LOG10(A694))</f>
        <v/>
      </c>
      <c r="I694" s="195">
        <f>IF(B694="","",LOG10(MAX(B694,1E-12)))</f>
        <v/>
      </c>
      <c r="J694" s="195">
        <f>IF(D694="","",LOG10(MAX(D694,1E-12)))</f>
        <v/>
      </c>
      <c r="K694">
        <f>IF(A694="","",ROUND(1+(LOG10(A694)-LOG10('入力・概要'!$B$38))*('入力・概要'!$B$40-1)/(LOG10('入力・概要'!$B$39)-LOG10('入力・概要'!$B$38)),0)+3)</f>
        <v/>
      </c>
      <c r="L694">
        <f>IF(K694="","",INDEX('差動モデル'!$B:$B,K694))</f>
        <v/>
      </c>
      <c r="M694">
        <f>IF(A694="","",IF(ABS(L694/A694-1)&lt;0.01,"周波数差&lt;1%","周波数差あり"))</f>
        <v/>
      </c>
    </row>
    <row r="695">
      <c r="A695" s="197" t="n"/>
      <c r="B695" s="198" t="n"/>
      <c r="C695" s="198" t="n"/>
      <c r="D695" s="195">
        <f>IF(K695="","",INDEX('差動モデル'!$R:$R,K695))</f>
        <v/>
      </c>
      <c r="E695" s="195">
        <f>IF(K695="","",INDEX('差動モデル'!$S:$S,K695))</f>
        <v/>
      </c>
      <c r="F695" s="195">
        <f>IF(OR(A695="",B695=""),"",100*(D695-B695)/MAX(B695,1E-12))</f>
        <v/>
      </c>
      <c r="G695" s="195">
        <f>IF(OR(A695="",C695=""),"",E695-C695)</f>
        <v/>
      </c>
      <c r="H695" s="195">
        <f>IF(A695="","",LOG10(A695))</f>
        <v/>
      </c>
      <c r="I695" s="195">
        <f>IF(B695="","",LOG10(MAX(B695,1E-12)))</f>
        <v/>
      </c>
      <c r="J695" s="195">
        <f>IF(D695="","",LOG10(MAX(D695,1E-12)))</f>
        <v/>
      </c>
      <c r="K695">
        <f>IF(A695="","",ROUND(1+(LOG10(A695)-LOG10('入力・概要'!$B$38))*('入力・概要'!$B$40-1)/(LOG10('入力・概要'!$B$39)-LOG10('入力・概要'!$B$38)),0)+3)</f>
        <v/>
      </c>
      <c r="L695">
        <f>IF(K695="","",INDEX('差動モデル'!$B:$B,K695))</f>
        <v/>
      </c>
      <c r="M695">
        <f>IF(A695="","",IF(ABS(L695/A695-1)&lt;0.01,"周波数差&lt;1%","周波数差あり"))</f>
        <v/>
      </c>
    </row>
    <row r="696">
      <c r="A696" s="197" t="n"/>
      <c r="B696" s="198" t="n"/>
      <c r="C696" s="198" t="n"/>
      <c r="D696" s="195">
        <f>IF(K696="","",INDEX('差動モデル'!$R:$R,K696))</f>
        <v/>
      </c>
      <c r="E696" s="195">
        <f>IF(K696="","",INDEX('差動モデル'!$S:$S,K696))</f>
        <v/>
      </c>
      <c r="F696" s="195">
        <f>IF(OR(A696="",B696=""),"",100*(D696-B696)/MAX(B696,1E-12))</f>
        <v/>
      </c>
      <c r="G696" s="195">
        <f>IF(OR(A696="",C696=""),"",E696-C696)</f>
        <v/>
      </c>
      <c r="H696" s="195">
        <f>IF(A696="","",LOG10(A696))</f>
        <v/>
      </c>
      <c r="I696" s="195">
        <f>IF(B696="","",LOG10(MAX(B696,1E-12)))</f>
        <v/>
      </c>
      <c r="J696" s="195">
        <f>IF(D696="","",LOG10(MAX(D696,1E-12)))</f>
        <v/>
      </c>
      <c r="K696">
        <f>IF(A696="","",ROUND(1+(LOG10(A696)-LOG10('入力・概要'!$B$38))*('入力・概要'!$B$40-1)/(LOG10('入力・概要'!$B$39)-LOG10('入力・概要'!$B$38)),0)+3)</f>
        <v/>
      </c>
      <c r="L696">
        <f>IF(K696="","",INDEX('差動モデル'!$B:$B,K696))</f>
        <v/>
      </c>
      <c r="M696">
        <f>IF(A696="","",IF(ABS(L696/A696-1)&lt;0.01,"周波数差&lt;1%","周波数差あり"))</f>
        <v/>
      </c>
    </row>
    <row r="697">
      <c r="A697" s="197" t="n"/>
      <c r="B697" s="198" t="n"/>
      <c r="C697" s="198" t="n"/>
      <c r="D697" s="195">
        <f>IF(K697="","",INDEX('差動モデル'!$R:$R,K697))</f>
        <v/>
      </c>
      <c r="E697" s="195">
        <f>IF(K697="","",INDEX('差動モデル'!$S:$S,K697))</f>
        <v/>
      </c>
      <c r="F697" s="195">
        <f>IF(OR(A697="",B697=""),"",100*(D697-B697)/MAX(B697,1E-12))</f>
        <v/>
      </c>
      <c r="G697" s="195">
        <f>IF(OR(A697="",C697=""),"",E697-C697)</f>
        <v/>
      </c>
      <c r="H697" s="195">
        <f>IF(A697="","",LOG10(A697))</f>
        <v/>
      </c>
      <c r="I697" s="195">
        <f>IF(B697="","",LOG10(MAX(B697,1E-12)))</f>
        <v/>
      </c>
      <c r="J697" s="195">
        <f>IF(D697="","",LOG10(MAX(D697,1E-12)))</f>
        <v/>
      </c>
      <c r="K697">
        <f>IF(A697="","",ROUND(1+(LOG10(A697)-LOG10('入力・概要'!$B$38))*('入力・概要'!$B$40-1)/(LOG10('入力・概要'!$B$39)-LOG10('入力・概要'!$B$38)),0)+3)</f>
        <v/>
      </c>
      <c r="L697">
        <f>IF(K697="","",INDEX('差動モデル'!$B:$B,K697))</f>
        <v/>
      </c>
      <c r="M697">
        <f>IF(A697="","",IF(ABS(L697/A697-1)&lt;0.01,"周波数差&lt;1%","周波数差あり"))</f>
        <v/>
      </c>
    </row>
    <row r="698">
      <c r="A698" s="197" t="n"/>
      <c r="B698" s="198" t="n"/>
      <c r="C698" s="198" t="n"/>
      <c r="D698" s="195">
        <f>IF(K698="","",INDEX('差動モデル'!$R:$R,K698))</f>
        <v/>
      </c>
      <c r="E698" s="195">
        <f>IF(K698="","",INDEX('差動モデル'!$S:$S,K698))</f>
        <v/>
      </c>
      <c r="F698" s="195">
        <f>IF(OR(A698="",B698=""),"",100*(D698-B698)/MAX(B698,1E-12))</f>
        <v/>
      </c>
      <c r="G698" s="195">
        <f>IF(OR(A698="",C698=""),"",E698-C698)</f>
        <v/>
      </c>
      <c r="H698" s="195">
        <f>IF(A698="","",LOG10(A698))</f>
        <v/>
      </c>
      <c r="I698" s="195">
        <f>IF(B698="","",LOG10(MAX(B698,1E-12)))</f>
        <v/>
      </c>
      <c r="J698" s="195">
        <f>IF(D698="","",LOG10(MAX(D698,1E-12)))</f>
        <v/>
      </c>
      <c r="K698">
        <f>IF(A698="","",ROUND(1+(LOG10(A698)-LOG10('入力・概要'!$B$38))*('入力・概要'!$B$40-1)/(LOG10('入力・概要'!$B$39)-LOG10('入力・概要'!$B$38)),0)+3)</f>
        <v/>
      </c>
      <c r="L698">
        <f>IF(K698="","",INDEX('差動モデル'!$B:$B,K698))</f>
        <v/>
      </c>
      <c r="M698">
        <f>IF(A698="","",IF(ABS(L698/A698-1)&lt;0.01,"周波数差&lt;1%","周波数差あり"))</f>
        <v/>
      </c>
    </row>
    <row r="699">
      <c r="A699" s="197" t="n"/>
      <c r="B699" s="198" t="n"/>
      <c r="C699" s="198" t="n"/>
      <c r="D699" s="195">
        <f>IF(K699="","",INDEX('差動モデル'!$R:$R,K699))</f>
        <v/>
      </c>
      <c r="E699" s="195">
        <f>IF(K699="","",INDEX('差動モデル'!$S:$S,K699))</f>
        <v/>
      </c>
      <c r="F699" s="195">
        <f>IF(OR(A699="",B699=""),"",100*(D699-B699)/MAX(B699,1E-12))</f>
        <v/>
      </c>
      <c r="G699" s="195">
        <f>IF(OR(A699="",C699=""),"",E699-C699)</f>
        <v/>
      </c>
      <c r="H699" s="195">
        <f>IF(A699="","",LOG10(A699))</f>
        <v/>
      </c>
      <c r="I699" s="195">
        <f>IF(B699="","",LOG10(MAX(B699,1E-12)))</f>
        <v/>
      </c>
      <c r="J699" s="195">
        <f>IF(D699="","",LOG10(MAX(D699,1E-12)))</f>
        <v/>
      </c>
      <c r="K699">
        <f>IF(A699="","",ROUND(1+(LOG10(A699)-LOG10('入力・概要'!$B$38))*('入力・概要'!$B$40-1)/(LOG10('入力・概要'!$B$39)-LOG10('入力・概要'!$B$38)),0)+3)</f>
        <v/>
      </c>
      <c r="L699">
        <f>IF(K699="","",INDEX('差動モデル'!$B:$B,K699))</f>
        <v/>
      </c>
      <c r="M699">
        <f>IF(A699="","",IF(ABS(L699/A699-1)&lt;0.01,"周波数差&lt;1%","周波数差あり"))</f>
        <v/>
      </c>
    </row>
    <row r="700">
      <c r="A700" s="197" t="n"/>
      <c r="B700" s="198" t="n"/>
      <c r="C700" s="198" t="n"/>
      <c r="D700" s="195">
        <f>IF(K700="","",INDEX('差動モデル'!$R:$R,K700))</f>
        <v/>
      </c>
      <c r="E700" s="195">
        <f>IF(K700="","",INDEX('差動モデル'!$S:$S,K700))</f>
        <v/>
      </c>
      <c r="F700" s="195">
        <f>IF(OR(A700="",B700=""),"",100*(D700-B700)/MAX(B700,1E-12))</f>
        <v/>
      </c>
      <c r="G700" s="195">
        <f>IF(OR(A700="",C700=""),"",E700-C700)</f>
        <v/>
      </c>
      <c r="H700" s="195">
        <f>IF(A700="","",LOG10(A700))</f>
        <v/>
      </c>
      <c r="I700" s="195">
        <f>IF(B700="","",LOG10(MAX(B700,1E-12)))</f>
        <v/>
      </c>
      <c r="J700" s="195">
        <f>IF(D700="","",LOG10(MAX(D700,1E-12)))</f>
        <v/>
      </c>
      <c r="K700">
        <f>IF(A700="","",ROUND(1+(LOG10(A700)-LOG10('入力・概要'!$B$38))*('入力・概要'!$B$40-1)/(LOG10('入力・概要'!$B$39)-LOG10('入力・概要'!$B$38)),0)+3)</f>
        <v/>
      </c>
      <c r="L700">
        <f>IF(K700="","",INDEX('差動モデル'!$B:$B,K700))</f>
        <v/>
      </c>
      <c r="M700">
        <f>IF(A700="","",IF(ABS(L700/A700-1)&lt;0.01,"周波数差&lt;1%","周波数差あり"))</f>
        <v/>
      </c>
    </row>
    <row r="701">
      <c r="A701" s="197" t="n"/>
      <c r="B701" s="198" t="n"/>
      <c r="C701" s="198" t="n"/>
      <c r="D701" s="195">
        <f>IF(K701="","",INDEX('差動モデル'!$R:$R,K701))</f>
        <v/>
      </c>
      <c r="E701" s="195">
        <f>IF(K701="","",INDEX('差動モデル'!$S:$S,K701))</f>
        <v/>
      </c>
      <c r="F701" s="195">
        <f>IF(OR(A701="",B701=""),"",100*(D701-B701)/MAX(B701,1E-12))</f>
        <v/>
      </c>
      <c r="G701" s="195">
        <f>IF(OR(A701="",C701=""),"",E701-C701)</f>
        <v/>
      </c>
      <c r="H701" s="195">
        <f>IF(A701="","",LOG10(A701))</f>
        <v/>
      </c>
      <c r="I701" s="195">
        <f>IF(B701="","",LOG10(MAX(B701,1E-12)))</f>
        <v/>
      </c>
      <c r="J701" s="195">
        <f>IF(D701="","",LOG10(MAX(D701,1E-12)))</f>
        <v/>
      </c>
      <c r="K701">
        <f>IF(A701="","",ROUND(1+(LOG10(A701)-LOG10('入力・概要'!$B$38))*('入力・概要'!$B$40-1)/(LOG10('入力・概要'!$B$39)-LOG10('入力・概要'!$B$38)),0)+3)</f>
        <v/>
      </c>
      <c r="L701">
        <f>IF(K701="","",INDEX('差動モデル'!$B:$B,K701))</f>
        <v/>
      </c>
      <c r="M701">
        <f>IF(A701="","",IF(ABS(L701/A701-1)&lt;0.01,"周波数差&lt;1%","周波数差あり"))</f>
        <v/>
      </c>
    </row>
    <row r="702">
      <c r="A702" s="197" t="n"/>
      <c r="B702" s="198" t="n"/>
      <c r="C702" s="198" t="n"/>
      <c r="D702" s="195">
        <f>IF(K702="","",INDEX('差動モデル'!$R:$R,K702))</f>
        <v/>
      </c>
      <c r="E702" s="195">
        <f>IF(K702="","",INDEX('差動モデル'!$S:$S,K702))</f>
        <v/>
      </c>
      <c r="F702" s="195">
        <f>IF(OR(A702="",B702=""),"",100*(D702-B702)/MAX(B702,1E-12))</f>
        <v/>
      </c>
      <c r="G702" s="195">
        <f>IF(OR(A702="",C702=""),"",E702-C702)</f>
        <v/>
      </c>
      <c r="H702" s="195">
        <f>IF(A702="","",LOG10(A702))</f>
        <v/>
      </c>
      <c r="I702" s="195">
        <f>IF(B702="","",LOG10(MAX(B702,1E-12)))</f>
        <v/>
      </c>
      <c r="J702" s="195">
        <f>IF(D702="","",LOG10(MAX(D702,1E-12)))</f>
        <v/>
      </c>
      <c r="K702">
        <f>IF(A702="","",ROUND(1+(LOG10(A702)-LOG10('入力・概要'!$B$38))*('入力・概要'!$B$40-1)/(LOG10('入力・概要'!$B$39)-LOG10('入力・概要'!$B$38)),0)+3)</f>
        <v/>
      </c>
      <c r="L702">
        <f>IF(K702="","",INDEX('差動モデル'!$B:$B,K702))</f>
        <v/>
      </c>
      <c r="M702">
        <f>IF(A702="","",IF(ABS(L702/A702-1)&lt;0.01,"周波数差&lt;1%","周波数差あり"))</f>
        <v/>
      </c>
    </row>
    <row r="703">
      <c r="A703" s="197" t="n"/>
      <c r="B703" s="198" t="n"/>
      <c r="C703" s="198" t="n"/>
      <c r="D703" s="195">
        <f>IF(K703="","",INDEX('差動モデル'!$R:$R,K703))</f>
        <v/>
      </c>
      <c r="E703" s="195">
        <f>IF(K703="","",INDEX('差動モデル'!$S:$S,K703))</f>
        <v/>
      </c>
      <c r="F703" s="195">
        <f>IF(OR(A703="",B703=""),"",100*(D703-B703)/MAX(B703,1E-12))</f>
        <v/>
      </c>
      <c r="G703" s="195">
        <f>IF(OR(A703="",C703=""),"",E703-C703)</f>
        <v/>
      </c>
      <c r="H703" s="195">
        <f>IF(A703="","",LOG10(A703))</f>
        <v/>
      </c>
      <c r="I703" s="195">
        <f>IF(B703="","",LOG10(MAX(B703,1E-12)))</f>
        <v/>
      </c>
      <c r="J703" s="195">
        <f>IF(D703="","",LOG10(MAX(D703,1E-12)))</f>
        <v/>
      </c>
      <c r="K703">
        <f>IF(A703="","",ROUND(1+(LOG10(A703)-LOG10('入力・概要'!$B$38))*('入力・概要'!$B$40-1)/(LOG10('入力・概要'!$B$39)-LOG10('入力・概要'!$B$38)),0)+3)</f>
        <v/>
      </c>
      <c r="L703">
        <f>IF(K703="","",INDEX('差動モデル'!$B:$B,K703))</f>
        <v/>
      </c>
      <c r="M703">
        <f>IF(A703="","",IF(ABS(L703/A703-1)&lt;0.01,"周波数差&lt;1%","周波数差あり"))</f>
        <v/>
      </c>
    </row>
    <row r="704">
      <c r="A704" s="197" t="n"/>
      <c r="B704" s="198" t="n"/>
      <c r="C704" s="198" t="n"/>
      <c r="D704" s="195">
        <f>IF(K704="","",INDEX('差動モデル'!$R:$R,K704))</f>
        <v/>
      </c>
      <c r="E704" s="195">
        <f>IF(K704="","",INDEX('差動モデル'!$S:$S,K704))</f>
        <v/>
      </c>
      <c r="F704" s="195">
        <f>IF(OR(A704="",B704=""),"",100*(D704-B704)/MAX(B704,1E-12))</f>
        <v/>
      </c>
      <c r="G704" s="195">
        <f>IF(OR(A704="",C704=""),"",E704-C704)</f>
        <v/>
      </c>
      <c r="H704" s="195">
        <f>IF(A704="","",LOG10(A704))</f>
        <v/>
      </c>
      <c r="I704" s="195">
        <f>IF(B704="","",LOG10(MAX(B704,1E-12)))</f>
        <v/>
      </c>
      <c r="J704" s="195">
        <f>IF(D704="","",LOG10(MAX(D704,1E-12)))</f>
        <v/>
      </c>
      <c r="K704">
        <f>IF(A704="","",ROUND(1+(LOG10(A704)-LOG10('入力・概要'!$B$38))*('入力・概要'!$B$40-1)/(LOG10('入力・概要'!$B$39)-LOG10('入力・概要'!$B$38)),0)+3)</f>
        <v/>
      </c>
      <c r="L704">
        <f>IF(K704="","",INDEX('差動モデル'!$B:$B,K704))</f>
        <v/>
      </c>
      <c r="M704">
        <f>IF(A704="","",IF(ABS(L704/A704-1)&lt;0.01,"周波数差&lt;1%","周波数差あり"))</f>
        <v/>
      </c>
    </row>
    <row r="705">
      <c r="A705" s="197" t="n"/>
      <c r="B705" s="198" t="n"/>
      <c r="C705" s="198" t="n"/>
      <c r="D705" s="195">
        <f>IF(K705="","",INDEX('差動モデル'!$R:$R,K705))</f>
        <v/>
      </c>
      <c r="E705" s="195">
        <f>IF(K705="","",INDEX('差動モデル'!$S:$S,K705))</f>
        <v/>
      </c>
      <c r="F705" s="195">
        <f>IF(OR(A705="",B705=""),"",100*(D705-B705)/MAX(B705,1E-12))</f>
        <v/>
      </c>
      <c r="G705" s="195">
        <f>IF(OR(A705="",C705=""),"",E705-C705)</f>
        <v/>
      </c>
      <c r="H705" s="195">
        <f>IF(A705="","",LOG10(A705))</f>
        <v/>
      </c>
      <c r="I705" s="195">
        <f>IF(B705="","",LOG10(MAX(B705,1E-12)))</f>
        <v/>
      </c>
      <c r="J705" s="195">
        <f>IF(D705="","",LOG10(MAX(D705,1E-12)))</f>
        <v/>
      </c>
      <c r="K705">
        <f>IF(A705="","",ROUND(1+(LOG10(A705)-LOG10('入力・概要'!$B$38))*('入力・概要'!$B$40-1)/(LOG10('入力・概要'!$B$39)-LOG10('入力・概要'!$B$38)),0)+3)</f>
        <v/>
      </c>
      <c r="L705">
        <f>IF(K705="","",INDEX('差動モデル'!$B:$B,K705))</f>
        <v/>
      </c>
      <c r="M705">
        <f>IF(A705="","",IF(ABS(L705/A705-1)&lt;0.01,"周波数差&lt;1%","周波数差あり"))</f>
        <v/>
      </c>
    </row>
    <row r="706">
      <c r="A706" s="197" t="n"/>
      <c r="B706" s="198" t="n"/>
      <c r="C706" s="198" t="n"/>
      <c r="D706" s="195">
        <f>IF(K706="","",INDEX('差動モデル'!$R:$R,K706))</f>
        <v/>
      </c>
      <c r="E706" s="195">
        <f>IF(K706="","",INDEX('差動モデル'!$S:$S,K706))</f>
        <v/>
      </c>
      <c r="F706" s="195">
        <f>IF(OR(A706="",B706=""),"",100*(D706-B706)/MAX(B706,1E-12))</f>
        <v/>
      </c>
      <c r="G706" s="195">
        <f>IF(OR(A706="",C706=""),"",E706-C706)</f>
        <v/>
      </c>
      <c r="H706" s="195">
        <f>IF(A706="","",LOG10(A706))</f>
        <v/>
      </c>
      <c r="I706" s="195">
        <f>IF(B706="","",LOG10(MAX(B706,1E-12)))</f>
        <v/>
      </c>
      <c r="J706" s="195">
        <f>IF(D706="","",LOG10(MAX(D706,1E-12)))</f>
        <v/>
      </c>
      <c r="K706">
        <f>IF(A706="","",ROUND(1+(LOG10(A706)-LOG10('入力・概要'!$B$38))*('入力・概要'!$B$40-1)/(LOG10('入力・概要'!$B$39)-LOG10('入力・概要'!$B$38)),0)+3)</f>
        <v/>
      </c>
      <c r="L706">
        <f>IF(K706="","",INDEX('差動モデル'!$B:$B,K706))</f>
        <v/>
      </c>
      <c r="M706">
        <f>IF(A706="","",IF(ABS(L706/A706-1)&lt;0.01,"周波数差&lt;1%","周波数差あり"))</f>
        <v/>
      </c>
    </row>
    <row r="707">
      <c r="A707" s="197" t="n"/>
      <c r="B707" s="198" t="n"/>
      <c r="C707" s="198" t="n"/>
      <c r="D707" s="195">
        <f>IF(K707="","",INDEX('差動モデル'!$R:$R,K707))</f>
        <v/>
      </c>
      <c r="E707" s="195">
        <f>IF(K707="","",INDEX('差動モデル'!$S:$S,K707))</f>
        <v/>
      </c>
      <c r="F707" s="195">
        <f>IF(OR(A707="",B707=""),"",100*(D707-B707)/MAX(B707,1E-12))</f>
        <v/>
      </c>
      <c r="G707" s="195">
        <f>IF(OR(A707="",C707=""),"",E707-C707)</f>
        <v/>
      </c>
      <c r="H707" s="195">
        <f>IF(A707="","",LOG10(A707))</f>
        <v/>
      </c>
      <c r="I707" s="195">
        <f>IF(B707="","",LOG10(MAX(B707,1E-12)))</f>
        <v/>
      </c>
      <c r="J707" s="195">
        <f>IF(D707="","",LOG10(MAX(D707,1E-12)))</f>
        <v/>
      </c>
      <c r="K707">
        <f>IF(A707="","",ROUND(1+(LOG10(A707)-LOG10('入力・概要'!$B$38))*('入力・概要'!$B$40-1)/(LOG10('入力・概要'!$B$39)-LOG10('入力・概要'!$B$38)),0)+3)</f>
        <v/>
      </c>
      <c r="L707">
        <f>IF(K707="","",INDEX('差動モデル'!$B:$B,K707))</f>
        <v/>
      </c>
      <c r="M707">
        <f>IF(A707="","",IF(ABS(L707/A707-1)&lt;0.01,"周波数差&lt;1%","周波数差あり"))</f>
        <v/>
      </c>
    </row>
    <row r="708">
      <c r="A708" s="197" t="n"/>
      <c r="B708" s="198" t="n"/>
      <c r="C708" s="198" t="n"/>
      <c r="D708" s="195">
        <f>IF(K708="","",INDEX('差動モデル'!$R:$R,K708))</f>
        <v/>
      </c>
      <c r="E708" s="195">
        <f>IF(K708="","",INDEX('差動モデル'!$S:$S,K708))</f>
        <v/>
      </c>
      <c r="F708" s="195">
        <f>IF(OR(A708="",B708=""),"",100*(D708-B708)/MAX(B708,1E-12))</f>
        <v/>
      </c>
      <c r="G708" s="195">
        <f>IF(OR(A708="",C708=""),"",E708-C708)</f>
        <v/>
      </c>
      <c r="H708" s="195">
        <f>IF(A708="","",LOG10(A708))</f>
        <v/>
      </c>
      <c r="I708" s="195">
        <f>IF(B708="","",LOG10(MAX(B708,1E-12)))</f>
        <v/>
      </c>
      <c r="J708" s="195">
        <f>IF(D708="","",LOG10(MAX(D708,1E-12)))</f>
        <v/>
      </c>
      <c r="K708">
        <f>IF(A708="","",ROUND(1+(LOG10(A708)-LOG10('入力・概要'!$B$38))*('入力・概要'!$B$40-1)/(LOG10('入力・概要'!$B$39)-LOG10('入力・概要'!$B$38)),0)+3)</f>
        <v/>
      </c>
      <c r="L708">
        <f>IF(K708="","",INDEX('差動モデル'!$B:$B,K708))</f>
        <v/>
      </c>
      <c r="M708">
        <f>IF(A708="","",IF(ABS(L708/A708-1)&lt;0.01,"周波数差&lt;1%","周波数差あり"))</f>
        <v/>
      </c>
    </row>
    <row r="709">
      <c r="A709" s="197" t="n"/>
      <c r="B709" s="198" t="n"/>
      <c r="C709" s="198" t="n"/>
      <c r="D709" s="195">
        <f>IF(K709="","",INDEX('差動モデル'!$R:$R,K709))</f>
        <v/>
      </c>
      <c r="E709" s="195">
        <f>IF(K709="","",INDEX('差動モデル'!$S:$S,K709))</f>
        <v/>
      </c>
      <c r="F709" s="195">
        <f>IF(OR(A709="",B709=""),"",100*(D709-B709)/MAX(B709,1E-12))</f>
        <v/>
      </c>
      <c r="G709" s="195">
        <f>IF(OR(A709="",C709=""),"",E709-C709)</f>
        <v/>
      </c>
      <c r="H709" s="195">
        <f>IF(A709="","",LOG10(A709))</f>
        <v/>
      </c>
      <c r="I709" s="195">
        <f>IF(B709="","",LOG10(MAX(B709,1E-12)))</f>
        <v/>
      </c>
      <c r="J709" s="195">
        <f>IF(D709="","",LOG10(MAX(D709,1E-12)))</f>
        <v/>
      </c>
      <c r="K709">
        <f>IF(A709="","",ROUND(1+(LOG10(A709)-LOG10('入力・概要'!$B$38))*('入力・概要'!$B$40-1)/(LOG10('入力・概要'!$B$39)-LOG10('入力・概要'!$B$38)),0)+3)</f>
        <v/>
      </c>
      <c r="L709">
        <f>IF(K709="","",INDEX('差動モデル'!$B:$B,K709))</f>
        <v/>
      </c>
      <c r="M709">
        <f>IF(A709="","",IF(ABS(L709/A709-1)&lt;0.01,"周波数差&lt;1%","周波数差あり"))</f>
        <v/>
      </c>
    </row>
    <row r="710">
      <c r="A710" s="197" t="n"/>
      <c r="B710" s="198" t="n"/>
      <c r="C710" s="198" t="n"/>
      <c r="D710" s="195">
        <f>IF(K710="","",INDEX('差動モデル'!$R:$R,K710))</f>
        <v/>
      </c>
      <c r="E710" s="195">
        <f>IF(K710="","",INDEX('差動モデル'!$S:$S,K710))</f>
        <v/>
      </c>
      <c r="F710" s="195">
        <f>IF(OR(A710="",B710=""),"",100*(D710-B710)/MAX(B710,1E-12))</f>
        <v/>
      </c>
      <c r="G710" s="195">
        <f>IF(OR(A710="",C710=""),"",E710-C710)</f>
        <v/>
      </c>
      <c r="H710" s="195">
        <f>IF(A710="","",LOG10(A710))</f>
        <v/>
      </c>
      <c r="I710" s="195">
        <f>IF(B710="","",LOG10(MAX(B710,1E-12)))</f>
        <v/>
      </c>
      <c r="J710" s="195">
        <f>IF(D710="","",LOG10(MAX(D710,1E-12)))</f>
        <v/>
      </c>
      <c r="K710">
        <f>IF(A710="","",ROUND(1+(LOG10(A710)-LOG10('入力・概要'!$B$38))*('入力・概要'!$B$40-1)/(LOG10('入力・概要'!$B$39)-LOG10('入力・概要'!$B$38)),0)+3)</f>
        <v/>
      </c>
      <c r="L710">
        <f>IF(K710="","",INDEX('差動モデル'!$B:$B,K710))</f>
        <v/>
      </c>
      <c r="M710">
        <f>IF(A710="","",IF(ABS(L710/A710-1)&lt;0.01,"周波数差&lt;1%","周波数差あり"))</f>
        <v/>
      </c>
    </row>
    <row r="711">
      <c r="A711" s="197" t="n"/>
      <c r="B711" s="198" t="n"/>
      <c r="C711" s="198" t="n"/>
      <c r="D711" s="195">
        <f>IF(K711="","",INDEX('差動モデル'!$R:$R,K711))</f>
        <v/>
      </c>
      <c r="E711" s="195">
        <f>IF(K711="","",INDEX('差動モデル'!$S:$S,K711))</f>
        <v/>
      </c>
      <c r="F711" s="195">
        <f>IF(OR(A711="",B711=""),"",100*(D711-B711)/MAX(B711,1E-12))</f>
        <v/>
      </c>
      <c r="G711" s="195">
        <f>IF(OR(A711="",C711=""),"",E711-C711)</f>
        <v/>
      </c>
      <c r="H711" s="195">
        <f>IF(A711="","",LOG10(A711))</f>
        <v/>
      </c>
      <c r="I711" s="195">
        <f>IF(B711="","",LOG10(MAX(B711,1E-12)))</f>
        <v/>
      </c>
      <c r="J711" s="195">
        <f>IF(D711="","",LOG10(MAX(D711,1E-12)))</f>
        <v/>
      </c>
      <c r="K711">
        <f>IF(A711="","",ROUND(1+(LOG10(A711)-LOG10('入力・概要'!$B$38))*('入力・概要'!$B$40-1)/(LOG10('入力・概要'!$B$39)-LOG10('入力・概要'!$B$38)),0)+3)</f>
        <v/>
      </c>
      <c r="L711">
        <f>IF(K711="","",INDEX('差動モデル'!$B:$B,K711))</f>
        <v/>
      </c>
      <c r="M711">
        <f>IF(A711="","",IF(ABS(L711/A711-1)&lt;0.01,"周波数差&lt;1%","周波数差あり"))</f>
        <v/>
      </c>
    </row>
    <row r="712">
      <c r="A712" s="197" t="n"/>
      <c r="B712" s="198" t="n"/>
      <c r="C712" s="198" t="n"/>
      <c r="D712" s="195">
        <f>IF(K712="","",INDEX('差動モデル'!$R:$R,K712))</f>
        <v/>
      </c>
      <c r="E712" s="195">
        <f>IF(K712="","",INDEX('差動モデル'!$S:$S,K712))</f>
        <v/>
      </c>
      <c r="F712" s="195">
        <f>IF(OR(A712="",B712=""),"",100*(D712-B712)/MAX(B712,1E-12))</f>
        <v/>
      </c>
      <c r="G712" s="195">
        <f>IF(OR(A712="",C712=""),"",E712-C712)</f>
        <v/>
      </c>
      <c r="H712" s="195">
        <f>IF(A712="","",LOG10(A712))</f>
        <v/>
      </c>
      <c r="I712" s="195">
        <f>IF(B712="","",LOG10(MAX(B712,1E-12)))</f>
        <v/>
      </c>
      <c r="J712" s="195">
        <f>IF(D712="","",LOG10(MAX(D712,1E-12)))</f>
        <v/>
      </c>
      <c r="K712">
        <f>IF(A712="","",ROUND(1+(LOG10(A712)-LOG10('入力・概要'!$B$38))*('入力・概要'!$B$40-1)/(LOG10('入力・概要'!$B$39)-LOG10('入力・概要'!$B$38)),0)+3)</f>
        <v/>
      </c>
      <c r="L712">
        <f>IF(K712="","",INDEX('差動モデル'!$B:$B,K712))</f>
        <v/>
      </c>
      <c r="M712">
        <f>IF(A712="","",IF(ABS(L712/A712-1)&lt;0.01,"周波数差&lt;1%","周波数差あり"))</f>
        <v/>
      </c>
    </row>
    <row r="713">
      <c r="A713" s="197" t="n"/>
      <c r="B713" s="198" t="n"/>
      <c r="C713" s="198" t="n"/>
      <c r="D713" s="195">
        <f>IF(K713="","",INDEX('差動モデル'!$R:$R,K713))</f>
        <v/>
      </c>
      <c r="E713" s="195">
        <f>IF(K713="","",INDEX('差動モデル'!$S:$S,K713))</f>
        <v/>
      </c>
      <c r="F713" s="195">
        <f>IF(OR(A713="",B713=""),"",100*(D713-B713)/MAX(B713,1E-12))</f>
        <v/>
      </c>
      <c r="G713" s="195">
        <f>IF(OR(A713="",C713=""),"",E713-C713)</f>
        <v/>
      </c>
      <c r="H713" s="195">
        <f>IF(A713="","",LOG10(A713))</f>
        <v/>
      </c>
      <c r="I713" s="195">
        <f>IF(B713="","",LOG10(MAX(B713,1E-12)))</f>
        <v/>
      </c>
      <c r="J713" s="195">
        <f>IF(D713="","",LOG10(MAX(D713,1E-12)))</f>
        <v/>
      </c>
      <c r="K713">
        <f>IF(A713="","",ROUND(1+(LOG10(A713)-LOG10('入力・概要'!$B$38))*('入力・概要'!$B$40-1)/(LOG10('入力・概要'!$B$39)-LOG10('入力・概要'!$B$38)),0)+3)</f>
        <v/>
      </c>
      <c r="L713">
        <f>IF(K713="","",INDEX('差動モデル'!$B:$B,K713))</f>
        <v/>
      </c>
      <c r="M713">
        <f>IF(A713="","",IF(ABS(L713/A713-1)&lt;0.01,"周波数差&lt;1%","周波数差あり"))</f>
        <v/>
      </c>
    </row>
    <row r="714">
      <c r="A714" s="197" t="n"/>
      <c r="B714" s="198" t="n"/>
      <c r="C714" s="198" t="n"/>
      <c r="D714" s="195">
        <f>IF(K714="","",INDEX('差動モデル'!$R:$R,K714))</f>
        <v/>
      </c>
      <c r="E714" s="195">
        <f>IF(K714="","",INDEX('差動モデル'!$S:$S,K714))</f>
        <v/>
      </c>
      <c r="F714" s="195">
        <f>IF(OR(A714="",B714=""),"",100*(D714-B714)/MAX(B714,1E-12))</f>
        <v/>
      </c>
      <c r="G714" s="195">
        <f>IF(OR(A714="",C714=""),"",E714-C714)</f>
        <v/>
      </c>
      <c r="H714" s="195">
        <f>IF(A714="","",LOG10(A714))</f>
        <v/>
      </c>
      <c r="I714" s="195">
        <f>IF(B714="","",LOG10(MAX(B714,1E-12)))</f>
        <v/>
      </c>
      <c r="J714" s="195">
        <f>IF(D714="","",LOG10(MAX(D714,1E-12)))</f>
        <v/>
      </c>
      <c r="K714">
        <f>IF(A714="","",ROUND(1+(LOG10(A714)-LOG10('入力・概要'!$B$38))*('入力・概要'!$B$40-1)/(LOG10('入力・概要'!$B$39)-LOG10('入力・概要'!$B$38)),0)+3)</f>
        <v/>
      </c>
      <c r="L714">
        <f>IF(K714="","",INDEX('差動モデル'!$B:$B,K714))</f>
        <v/>
      </c>
      <c r="M714">
        <f>IF(A714="","",IF(ABS(L714/A714-1)&lt;0.01,"周波数差&lt;1%","周波数差あり"))</f>
        <v/>
      </c>
    </row>
    <row r="715">
      <c r="A715" s="197" t="n"/>
      <c r="B715" s="198" t="n"/>
      <c r="C715" s="198" t="n"/>
      <c r="D715" s="195">
        <f>IF(K715="","",INDEX('差動モデル'!$R:$R,K715))</f>
        <v/>
      </c>
      <c r="E715" s="195">
        <f>IF(K715="","",INDEX('差動モデル'!$S:$S,K715))</f>
        <v/>
      </c>
      <c r="F715" s="195">
        <f>IF(OR(A715="",B715=""),"",100*(D715-B715)/MAX(B715,1E-12))</f>
        <v/>
      </c>
      <c r="G715" s="195">
        <f>IF(OR(A715="",C715=""),"",E715-C715)</f>
        <v/>
      </c>
      <c r="H715" s="195">
        <f>IF(A715="","",LOG10(A715))</f>
        <v/>
      </c>
      <c r="I715" s="195">
        <f>IF(B715="","",LOG10(MAX(B715,1E-12)))</f>
        <v/>
      </c>
      <c r="J715" s="195">
        <f>IF(D715="","",LOG10(MAX(D715,1E-12)))</f>
        <v/>
      </c>
      <c r="K715">
        <f>IF(A715="","",ROUND(1+(LOG10(A715)-LOG10('入力・概要'!$B$38))*('入力・概要'!$B$40-1)/(LOG10('入力・概要'!$B$39)-LOG10('入力・概要'!$B$38)),0)+3)</f>
        <v/>
      </c>
      <c r="L715">
        <f>IF(K715="","",INDEX('差動モデル'!$B:$B,K715))</f>
        <v/>
      </c>
      <c r="M715">
        <f>IF(A715="","",IF(ABS(L715/A715-1)&lt;0.01,"周波数差&lt;1%","周波数差あり"))</f>
        <v/>
      </c>
    </row>
    <row r="716">
      <c r="A716" s="197" t="n"/>
      <c r="B716" s="198" t="n"/>
      <c r="C716" s="198" t="n"/>
      <c r="D716" s="195">
        <f>IF(K716="","",INDEX('差動モデル'!$R:$R,K716))</f>
        <v/>
      </c>
      <c r="E716" s="195">
        <f>IF(K716="","",INDEX('差動モデル'!$S:$S,K716))</f>
        <v/>
      </c>
      <c r="F716" s="195">
        <f>IF(OR(A716="",B716=""),"",100*(D716-B716)/MAX(B716,1E-12))</f>
        <v/>
      </c>
      <c r="G716" s="195">
        <f>IF(OR(A716="",C716=""),"",E716-C716)</f>
        <v/>
      </c>
      <c r="H716" s="195">
        <f>IF(A716="","",LOG10(A716))</f>
        <v/>
      </c>
      <c r="I716" s="195">
        <f>IF(B716="","",LOG10(MAX(B716,1E-12)))</f>
        <v/>
      </c>
      <c r="J716" s="195">
        <f>IF(D716="","",LOG10(MAX(D716,1E-12)))</f>
        <v/>
      </c>
      <c r="K716">
        <f>IF(A716="","",ROUND(1+(LOG10(A716)-LOG10('入力・概要'!$B$38))*('入力・概要'!$B$40-1)/(LOG10('入力・概要'!$B$39)-LOG10('入力・概要'!$B$38)),0)+3)</f>
        <v/>
      </c>
      <c r="L716">
        <f>IF(K716="","",INDEX('差動モデル'!$B:$B,K716))</f>
        <v/>
      </c>
      <c r="M716">
        <f>IF(A716="","",IF(ABS(L716/A716-1)&lt;0.01,"周波数差&lt;1%","周波数差あり"))</f>
        <v/>
      </c>
    </row>
    <row r="717">
      <c r="A717" s="197" t="n"/>
      <c r="B717" s="198" t="n"/>
      <c r="C717" s="198" t="n"/>
      <c r="D717" s="195">
        <f>IF(K717="","",INDEX('差動モデル'!$R:$R,K717))</f>
        <v/>
      </c>
      <c r="E717" s="195">
        <f>IF(K717="","",INDEX('差動モデル'!$S:$S,K717))</f>
        <v/>
      </c>
      <c r="F717" s="195">
        <f>IF(OR(A717="",B717=""),"",100*(D717-B717)/MAX(B717,1E-12))</f>
        <v/>
      </c>
      <c r="G717" s="195">
        <f>IF(OR(A717="",C717=""),"",E717-C717)</f>
        <v/>
      </c>
      <c r="H717" s="195">
        <f>IF(A717="","",LOG10(A717))</f>
        <v/>
      </c>
      <c r="I717" s="195">
        <f>IF(B717="","",LOG10(MAX(B717,1E-12)))</f>
        <v/>
      </c>
      <c r="J717" s="195">
        <f>IF(D717="","",LOG10(MAX(D717,1E-12)))</f>
        <v/>
      </c>
      <c r="K717">
        <f>IF(A717="","",ROUND(1+(LOG10(A717)-LOG10('入力・概要'!$B$38))*('入力・概要'!$B$40-1)/(LOG10('入力・概要'!$B$39)-LOG10('入力・概要'!$B$38)),0)+3)</f>
        <v/>
      </c>
      <c r="L717">
        <f>IF(K717="","",INDEX('差動モデル'!$B:$B,K717))</f>
        <v/>
      </c>
      <c r="M717">
        <f>IF(A717="","",IF(ABS(L717/A717-1)&lt;0.01,"周波数差&lt;1%","周波数差あり"))</f>
        <v/>
      </c>
    </row>
    <row r="718">
      <c r="A718" s="197" t="n"/>
      <c r="B718" s="198" t="n"/>
      <c r="C718" s="198" t="n"/>
      <c r="D718" s="195">
        <f>IF(K718="","",INDEX('差動モデル'!$R:$R,K718))</f>
        <v/>
      </c>
      <c r="E718" s="195">
        <f>IF(K718="","",INDEX('差動モデル'!$S:$S,K718))</f>
        <v/>
      </c>
      <c r="F718" s="195">
        <f>IF(OR(A718="",B718=""),"",100*(D718-B718)/MAX(B718,1E-12))</f>
        <v/>
      </c>
      <c r="G718" s="195">
        <f>IF(OR(A718="",C718=""),"",E718-C718)</f>
        <v/>
      </c>
      <c r="H718" s="195">
        <f>IF(A718="","",LOG10(A718))</f>
        <v/>
      </c>
      <c r="I718" s="195">
        <f>IF(B718="","",LOG10(MAX(B718,1E-12)))</f>
        <v/>
      </c>
      <c r="J718" s="195">
        <f>IF(D718="","",LOG10(MAX(D718,1E-12)))</f>
        <v/>
      </c>
      <c r="K718">
        <f>IF(A718="","",ROUND(1+(LOG10(A718)-LOG10('入力・概要'!$B$38))*('入力・概要'!$B$40-1)/(LOG10('入力・概要'!$B$39)-LOG10('入力・概要'!$B$38)),0)+3)</f>
        <v/>
      </c>
      <c r="L718">
        <f>IF(K718="","",INDEX('差動モデル'!$B:$B,K718))</f>
        <v/>
      </c>
      <c r="M718">
        <f>IF(A718="","",IF(ABS(L718/A718-1)&lt;0.01,"周波数差&lt;1%","周波数差あり"))</f>
        <v/>
      </c>
    </row>
    <row r="719">
      <c r="A719" s="197" t="n"/>
      <c r="B719" s="198" t="n"/>
      <c r="C719" s="198" t="n"/>
      <c r="D719" s="195">
        <f>IF(K719="","",INDEX('差動モデル'!$R:$R,K719))</f>
        <v/>
      </c>
      <c r="E719" s="195">
        <f>IF(K719="","",INDEX('差動モデル'!$S:$S,K719))</f>
        <v/>
      </c>
      <c r="F719" s="195">
        <f>IF(OR(A719="",B719=""),"",100*(D719-B719)/MAX(B719,1E-12))</f>
        <v/>
      </c>
      <c r="G719" s="195">
        <f>IF(OR(A719="",C719=""),"",E719-C719)</f>
        <v/>
      </c>
      <c r="H719" s="195">
        <f>IF(A719="","",LOG10(A719))</f>
        <v/>
      </c>
      <c r="I719" s="195">
        <f>IF(B719="","",LOG10(MAX(B719,1E-12)))</f>
        <v/>
      </c>
      <c r="J719" s="195">
        <f>IF(D719="","",LOG10(MAX(D719,1E-12)))</f>
        <v/>
      </c>
      <c r="K719">
        <f>IF(A719="","",ROUND(1+(LOG10(A719)-LOG10('入力・概要'!$B$38))*('入力・概要'!$B$40-1)/(LOG10('入力・概要'!$B$39)-LOG10('入力・概要'!$B$38)),0)+3)</f>
        <v/>
      </c>
      <c r="L719">
        <f>IF(K719="","",INDEX('差動モデル'!$B:$B,K719))</f>
        <v/>
      </c>
      <c r="M719">
        <f>IF(A719="","",IF(ABS(L719/A719-1)&lt;0.01,"周波数差&lt;1%","周波数差あり"))</f>
        <v/>
      </c>
    </row>
    <row r="720">
      <c r="A720" s="197" t="n"/>
      <c r="B720" s="198" t="n"/>
      <c r="C720" s="198" t="n"/>
      <c r="D720" s="195">
        <f>IF(K720="","",INDEX('差動モデル'!$R:$R,K720))</f>
        <v/>
      </c>
      <c r="E720" s="195">
        <f>IF(K720="","",INDEX('差動モデル'!$S:$S,K720))</f>
        <v/>
      </c>
      <c r="F720" s="195">
        <f>IF(OR(A720="",B720=""),"",100*(D720-B720)/MAX(B720,1E-12))</f>
        <v/>
      </c>
      <c r="G720" s="195">
        <f>IF(OR(A720="",C720=""),"",E720-C720)</f>
        <v/>
      </c>
      <c r="H720" s="195">
        <f>IF(A720="","",LOG10(A720))</f>
        <v/>
      </c>
      <c r="I720" s="195">
        <f>IF(B720="","",LOG10(MAX(B720,1E-12)))</f>
        <v/>
      </c>
      <c r="J720" s="195">
        <f>IF(D720="","",LOG10(MAX(D720,1E-12)))</f>
        <v/>
      </c>
      <c r="K720">
        <f>IF(A720="","",ROUND(1+(LOG10(A720)-LOG10('入力・概要'!$B$38))*('入力・概要'!$B$40-1)/(LOG10('入力・概要'!$B$39)-LOG10('入力・概要'!$B$38)),0)+3)</f>
        <v/>
      </c>
      <c r="L720">
        <f>IF(K720="","",INDEX('差動モデル'!$B:$B,K720))</f>
        <v/>
      </c>
      <c r="M720">
        <f>IF(A720="","",IF(ABS(L720/A720-1)&lt;0.01,"周波数差&lt;1%","周波数差あり"))</f>
        <v/>
      </c>
    </row>
    <row r="721">
      <c r="A721" s="197" t="n"/>
      <c r="B721" s="198" t="n"/>
      <c r="C721" s="198" t="n"/>
      <c r="D721" s="195">
        <f>IF(K721="","",INDEX('差動モデル'!$R:$R,K721))</f>
        <v/>
      </c>
      <c r="E721" s="195">
        <f>IF(K721="","",INDEX('差動モデル'!$S:$S,K721))</f>
        <v/>
      </c>
      <c r="F721" s="195">
        <f>IF(OR(A721="",B721=""),"",100*(D721-B721)/MAX(B721,1E-12))</f>
        <v/>
      </c>
      <c r="G721" s="195">
        <f>IF(OR(A721="",C721=""),"",E721-C721)</f>
        <v/>
      </c>
      <c r="H721" s="195">
        <f>IF(A721="","",LOG10(A721))</f>
        <v/>
      </c>
      <c r="I721" s="195">
        <f>IF(B721="","",LOG10(MAX(B721,1E-12)))</f>
        <v/>
      </c>
      <c r="J721" s="195">
        <f>IF(D721="","",LOG10(MAX(D721,1E-12)))</f>
        <v/>
      </c>
      <c r="K721">
        <f>IF(A721="","",ROUND(1+(LOG10(A721)-LOG10('入力・概要'!$B$38))*('入力・概要'!$B$40-1)/(LOG10('入力・概要'!$B$39)-LOG10('入力・概要'!$B$38)),0)+3)</f>
        <v/>
      </c>
      <c r="L721">
        <f>IF(K721="","",INDEX('差動モデル'!$B:$B,K721))</f>
        <v/>
      </c>
      <c r="M721">
        <f>IF(A721="","",IF(ABS(L721/A721-1)&lt;0.01,"周波数差&lt;1%","周波数差あり"))</f>
        <v/>
      </c>
    </row>
    <row r="722">
      <c r="A722" s="197" t="n"/>
      <c r="B722" s="198" t="n"/>
      <c r="C722" s="198" t="n"/>
      <c r="D722" s="195">
        <f>IF(K722="","",INDEX('差動モデル'!$R:$R,K722))</f>
        <v/>
      </c>
      <c r="E722" s="195">
        <f>IF(K722="","",INDEX('差動モデル'!$S:$S,K722))</f>
        <v/>
      </c>
      <c r="F722" s="195">
        <f>IF(OR(A722="",B722=""),"",100*(D722-B722)/MAX(B722,1E-12))</f>
        <v/>
      </c>
      <c r="G722" s="195">
        <f>IF(OR(A722="",C722=""),"",E722-C722)</f>
        <v/>
      </c>
      <c r="H722" s="195">
        <f>IF(A722="","",LOG10(A722))</f>
        <v/>
      </c>
      <c r="I722" s="195">
        <f>IF(B722="","",LOG10(MAX(B722,1E-12)))</f>
        <v/>
      </c>
      <c r="J722" s="195">
        <f>IF(D722="","",LOG10(MAX(D722,1E-12)))</f>
        <v/>
      </c>
      <c r="K722">
        <f>IF(A722="","",ROUND(1+(LOG10(A722)-LOG10('入力・概要'!$B$38))*('入力・概要'!$B$40-1)/(LOG10('入力・概要'!$B$39)-LOG10('入力・概要'!$B$38)),0)+3)</f>
        <v/>
      </c>
      <c r="L722">
        <f>IF(K722="","",INDEX('差動モデル'!$B:$B,K722))</f>
        <v/>
      </c>
      <c r="M722">
        <f>IF(A722="","",IF(ABS(L722/A722-1)&lt;0.01,"周波数差&lt;1%","周波数差あり"))</f>
        <v/>
      </c>
    </row>
    <row r="723">
      <c r="A723" s="197" t="n"/>
      <c r="B723" s="198" t="n"/>
      <c r="C723" s="198" t="n"/>
      <c r="D723" s="195">
        <f>IF(K723="","",INDEX('差動モデル'!$R:$R,K723))</f>
        <v/>
      </c>
      <c r="E723" s="195">
        <f>IF(K723="","",INDEX('差動モデル'!$S:$S,K723))</f>
        <v/>
      </c>
      <c r="F723" s="195">
        <f>IF(OR(A723="",B723=""),"",100*(D723-B723)/MAX(B723,1E-12))</f>
        <v/>
      </c>
      <c r="G723" s="195">
        <f>IF(OR(A723="",C723=""),"",E723-C723)</f>
        <v/>
      </c>
      <c r="H723" s="195">
        <f>IF(A723="","",LOG10(A723))</f>
        <v/>
      </c>
      <c r="I723" s="195">
        <f>IF(B723="","",LOG10(MAX(B723,1E-12)))</f>
        <v/>
      </c>
      <c r="J723" s="195">
        <f>IF(D723="","",LOG10(MAX(D723,1E-12)))</f>
        <v/>
      </c>
      <c r="K723">
        <f>IF(A723="","",ROUND(1+(LOG10(A723)-LOG10('入力・概要'!$B$38))*('入力・概要'!$B$40-1)/(LOG10('入力・概要'!$B$39)-LOG10('入力・概要'!$B$38)),0)+3)</f>
        <v/>
      </c>
      <c r="L723">
        <f>IF(K723="","",INDEX('差動モデル'!$B:$B,K723))</f>
        <v/>
      </c>
      <c r="M723">
        <f>IF(A723="","",IF(ABS(L723/A723-1)&lt;0.01,"周波数差&lt;1%","周波数差あり"))</f>
        <v/>
      </c>
    </row>
    <row r="724">
      <c r="A724" s="197" t="n"/>
      <c r="B724" s="198" t="n"/>
      <c r="C724" s="198" t="n"/>
      <c r="D724" s="195">
        <f>IF(K724="","",INDEX('差動モデル'!$R:$R,K724))</f>
        <v/>
      </c>
      <c r="E724" s="195">
        <f>IF(K724="","",INDEX('差動モデル'!$S:$S,K724))</f>
        <v/>
      </c>
      <c r="F724" s="195">
        <f>IF(OR(A724="",B724=""),"",100*(D724-B724)/MAX(B724,1E-12))</f>
        <v/>
      </c>
      <c r="G724" s="195">
        <f>IF(OR(A724="",C724=""),"",E724-C724)</f>
        <v/>
      </c>
      <c r="H724" s="195">
        <f>IF(A724="","",LOG10(A724))</f>
        <v/>
      </c>
      <c r="I724" s="195">
        <f>IF(B724="","",LOG10(MAX(B724,1E-12)))</f>
        <v/>
      </c>
      <c r="J724" s="195">
        <f>IF(D724="","",LOG10(MAX(D724,1E-12)))</f>
        <v/>
      </c>
      <c r="K724">
        <f>IF(A724="","",ROUND(1+(LOG10(A724)-LOG10('入力・概要'!$B$38))*('入力・概要'!$B$40-1)/(LOG10('入力・概要'!$B$39)-LOG10('入力・概要'!$B$38)),0)+3)</f>
        <v/>
      </c>
      <c r="L724">
        <f>IF(K724="","",INDEX('差動モデル'!$B:$B,K724))</f>
        <v/>
      </c>
      <c r="M724">
        <f>IF(A724="","",IF(ABS(L724/A724-1)&lt;0.01,"周波数差&lt;1%","周波数差あり"))</f>
        <v/>
      </c>
    </row>
    <row r="725">
      <c r="A725" s="197" t="n"/>
      <c r="B725" s="198" t="n"/>
      <c r="C725" s="198" t="n"/>
      <c r="D725" s="195">
        <f>IF(K725="","",INDEX('差動モデル'!$R:$R,K725))</f>
        <v/>
      </c>
      <c r="E725" s="195">
        <f>IF(K725="","",INDEX('差動モデル'!$S:$S,K725))</f>
        <v/>
      </c>
      <c r="F725" s="195">
        <f>IF(OR(A725="",B725=""),"",100*(D725-B725)/MAX(B725,1E-12))</f>
        <v/>
      </c>
      <c r="G725" s="195">
        <f>IF(OR(A725="",C725=""),"",E725-C725)</f>
        <v/>
      </c>
      <c r="H725" s="195">
        <f>IF(A725="","",LOG10(A725))</f>
        <v/>
      </c>
      <c r="I725" s="195">
        <f>IF(B725="","",LOG10(MAX(B725,1E-12)))</f>
        <v/>
      </c>
      <c r="J725" s="195">
        <f>IF(D725="","",LOG10(MAX(D725,1E-12)))</f>
        <v/>
      </c>
      <c r="K725">
        <f>IF(A725="","",ROUND(1+(LOG10(A725)-LOG10('入力・概要'!$B$38))*('入力・概要'!$B$40-1)/(LOG10('入力・概要'!$B$39)-LOG10('入力・概要'!$B$38)),0)+3)</f>
        <v/>
      </c>
      <c r="L725">
        <f>IF(K725="","",INDEX('差動モデル'!$B:$B,K725))</f>
        <v/>
      </c>
      <c r="M725">
        <f>IF(A725="","",IF(ABS(L725/A725-1)&lt;0.01,"周波数差&lt;1%","周波数差あり"))</f>
        <v/>
      </c>
    </row>
    <row r="726">
      <c r="A726" s="197" t="n"/>
      <c r="B726" s="198" t="n"/>
      <c r="C726" s="198" t="n"/>
      <c r="D726" s="195">
        <f>IF(K726="","",INDEX('差動モデル'!$R:$R,K726))</f>
        <v/>
      </c>
      <c r="E726" s="195">
        <f>IF(K726="","",INDEX('差動モデル'!$S:$S,K726))</f>
        <v/>
      </c>
      <c r="F726" s="195">
        <f>IF(OR(A726="",B726=""),"",100*(D726-B726)/MAX(B726,1E-12))</f>
        <v/>
      </c>
      <c r="G726" s="195">
        <f>IF(OR(A726="",C726=""),"",E726-C726)</f>
        <v/>
      </c>
      <c r="H726" s="195">
        <f>IF(A726="","",LOG10(A726))</f>
        <v/>
      </c>
      <c r="I726" s="195">
        <f>IF(B726="","",LOG10(MAX(B726,1E-12)))</f>
        <v/>
      </c>
      <c r="J726" s="195">
        <f>IF(D726="","",LOG10(MAX(D726,1E-12)))</f>
        <v/>
      </c>
      <c r="K726">
        <f>IF(A726="","",ROUND(1+(LOG10(A726)-LOG10('入力・概要'!$B$38))*('入力・概要'!$B$40-1)/(LOG10('入力・概要'!$B$39)-LOG10('入力・概要'!$B$38)),0)+3)</f>
        <v/>
      </c>
      <c r="L726">
        <f>IF(K726="","",INDEX('差動モデル'!$B:$B,K726))</f>
        <v/>
      </c>
      <c r="M726">
        <f>IF(A726="","",IF(ABS(L726/A726-1)&lt;0.01,"周波数差&lt;1%","周波数差あり"))</f>
        <v/>
      </c>
    </row>
    <row r="727">
      <c r="A727" s="197" t="n"/>
      <c r="B727" s="198" t="n"/>
      <c r="C727" s="198" t="n"/>
      <c r="D727" s="195">
        <f>IF(K727="","",INDEX('差動モデル'!$R:$R,K727))</f>
        <v/>
      </c>
      <c r="E727" s="195">
        <f>IF(K727="","",INDEX('差動モデル'!$S:$S,K727))</f>
        <v/>
      </c>
      <c r="F727" s="195">
        <f>IF(OR(A727="",B727=""),"",100*(D727-B727)/MAX(B727,1E-12))</f>
        <v/>
      </c>
      <c r="G727" s="195">
        <f>IF(OR(A727="",C727=""),"",E727-C727)</f>
        <v/>
      </c>
      <c r="H727" s="195">
        <f>IF(A727="","",LOG10(A727))</f>
        <v/>
      </c>
      <c r="I727" s="195">
        <f>IF(B727="","",LOG10(MAX(B727,1E-12)))</f>
        <v/>
      </c>
      <c r="J727" s="195">
        <f>IF(D727="","",LOG10(MAX(D727,1E-12)))</f>
        <v/>
      </c>
      <c r="K727">
        <f>IF(A727="","",ROUND(1+(LOG10(A727)-LOG10('入力・概要'!$B$38))*('入力・概要'!$B$40-1)/(LOG10('入力・概要'!$B$39)-LOG10('入力・概要'!$B$38)),0)+3)</f>
        <v/>
      </c>
      <c r="L727">
        <f>IF(K727="","",INDEX('差動モデル'!$B:$B,K727))</f>
        <v/>
      </c>
      <c r="M727">
        <f>IF(A727="","",IF(ABS(L727/A727-1)&lt;0.01,"周波数差&lt;1%","周波数差あり"))</f>
        <v/>
      </c>
    </row>
    <row r="728">
      <c r="A728" s="197" t="n"/>
      <c r="B728" s="198" t="n"/>
      <c r="C728" s="198" t="n"/>
      <c r="D728" s="195">
        <f>IF(K728="","",INDEX('差動モデル'!$R:$R,K728))</f>
        <v/>
      </c>
      <c r="E728" s="195">
        <f>IF(K728="","",INDEX('差動モデル'!$S:$S,K728))</f>
        <v/>
      </c>
      <c r="F728" s="195">
        <f>IF(OR(A728="",B728=""),"",100*(D728-B728)/MAX(B728,1E-12))</f>
        <v/>
      </c>
      <c r="G728" s="195">
        <f>IF(OR(A728="",C728=""),"",E728-C728)</f>
        <v/>
      </c>
      <c r="H728" s="195">
        <f>IF(A728="","",LOG10(A728))</f>
        <v/>
      </c>
      <c r="I728" s="195">
        <f>IF(B728="","",LOG10(MAX(B728,1E-12)))</f>
        <v/>
      </c>
      <c r="J728" s="195">
        <f>IF(D728="","",LOG10(MAX(D728,1E-12)))</f>
        <v/>
      </c>
      <c r="K728">
        <f>IF(A728="","",ROUND(1+(LOG10(A728)-LOG10('入力・概要'!$B$38))*('入力・概要'!$B$40-1)/(LOG10('入力・概要'!$B$39)-LOG10('入力・概要'!$B$38)),0)+3)</f>
        <v/>
      </c>
      <c r="L728">
        <f>IF(K728="","",INDEX('差動モデル'!$B:$B,K728))</f>
        <v/>
      </c>
      <c r="M728">
        <f>IF(A728="","",IF(ABS(L728/A728-1)&lt;0.01,"周波数差&lt;1%","周波数差あり"))</f>
        <v/>
      </c>
    </row>
    <row r="729">
      <c r="A729" s="197" t="n"/>
      <c r="B729" s="198" t="n"/>
      <c r="C729" s="198" t="n"/>
      <c r="D729" s="195">
        <f>IF(K729="","",INDEX('差動モデル'!$R:$R,K729))</f>
        <v/>
      </c>
      <c r="E729" s="195">
        <f>IF(K729="","",INDEX('差動モデル'!$S:$S,K729))</f>
        <v/>
      </c>
      <c r="F729" s="195">
        <f>IF(OR(A729="",B729=""),"",100*(D729-B729)/MAX(B729,1E-12))</f>
        <v/>
      </c>
      <c r="G729" s="195">
        <f>IF(OR(A729="",C729=""),"",E729-C729)</f>
        <v/>
      </c>
      <c r="H729" s="195">
        <f>IF(A729="","",LOG10(A729))</f>
        <v/>
      </c>
      <c r="I729" s="195">
        <f>IF(B729="","",LOG10(MAX(B729,1E-12)))</f>
        <v/>
      </c>
      <c r="J729" s="195">
        <f>IF(D729="","",LOG10(MAX(D729,1E-12)))</f>
        <v/>
      </c>
      <c r="K729">
        <f>IF(A729="","",ROUND(1+(LOG10(A729)-LOG10('入力・概要'!$B$38))*('入力・概要'!$B$40-1)/(LOG10('入力・概要'!$B$39)-LOG10('入力・概要'!$B$38)),0)+3)</f>
        <v/>
      </c>
      <c r="L729">
        <f>IF(K729="","",INDEX('差動モデル'!$B:$B,K729))</f>
        <v/>
      </c>
      <c r="M729">
        <f>IF(A729="","",IF(ABS(L729/A729-1)&lt;0.01,"周波数差&lt;1%","周波数差あり"))</f>
        <v/>
      </c>
    </row>
    <row r="730">
      <c r="A730" s="197" t="n"/>
      <c r="B730" s="198" t="n"/>
      <c r="C730" s="198" t="n"/>
      <c r="D730" s="195">
        <f>IF(K730="","",INDEX('差動モデル'!$R:$R,K730))</f>
        <v/>
      </c>
      <c r="E730" s="195">
        <f>IF(K730="","",INDEX('差動モデル'!$S:$S,K730))</f>
        <v/>
      </c>
      <c r="F730" s="195">
        <f>IF(OR(A730="",B730=""),"",100*(D730-B730)/MAX(B730,1E-12))</f>
        <v/>
      </c>
      <c r="G730" s="195">
        <f>IF(OR(A730="",C730=""),"",E730-C730)</f>
        <v/>
      </c>
      <c r="H730" s="195">
        <f>IF(A730="","",LOG10(A730))</f>
        <v/>
      </c>
      <c r="I730" s="195">
        <f>IF(B730="","",LOG10(MAX(B730,1E-12)))</f>
        <v/>
      </c>
      <c r="J730" s="195">
        <f>IF(D730="","",LOG10(MAX(D730,1E-12)))</f>
        <v/>
      </c>
      <c r="K730">
        <f>IF(A730="","",ROUND(1+(LOG10(A730)-LOG10('入力・概要'!$B$38))*('入力・概要'!$B$40-1)/(LOG10('入力・概要'!$B$39)-LOG10('入力・概要'!$B$38)),0)+3)</f>
        <v/>
      </c>
      <c r="L730">
        <f>IF(K730="","",INDEX('差動モデル'!$B:$B,K730))</f>
        <v/>
      </c>
      <c r="M730">
        <f>IF(A730="","",IF(ABS(L730/A730-1)&lt;0.01,"周波数差&lt;1%","周波数差あり"))</f>
        <v/>
      </c>
    </row>
    <row r="731">
      <c r="A731" s="197" t="n"/>
      <c r="B731" s="198" t="n"/>
      <c r="C731" s="198" t="n"/>
      <c r="D731" s="195">
        <f>IF(K731="","",INDEX('差動モデル'!$R:$R,K731))</f>
        <v/>
      </c>
      <c r="E731" s="195">
        <f>IF(K731="","",INDEX('差動モデル'!$S:$S,K731))</f>
        <v/>
      </c>
      <c r="F731" s="195">
        <f>IF(OR(A731="",B731=""),"",100*(D731-B731)/MAX(B731,1E-12))</f>
        <v/>
      </c>
      <c r="G731" s="195">
        <f>IF(OR(A731="",C731=""),"",E731-C731)</f>
        <v/>
      </c>
      <c r="H731" s="195">
        <f>IF(A731="","",LOG10(A731))</f>
        <v/>
      </c>
      <c r="I731" s="195">
        <f>IF(B731="","",LOG10(MAX(B731,1E-12)))</f>
        <v/>
      </c>
      <c r="J731" s="195">
        <f>IF(D731="","",LOG10(MAX(D731,1E-12)))</f>
        <v/>
      </c>
      <c r="K731">
        <f>IF(A731="","",ROUND(1+(LOG10(A731)-LOG10('入力・概要'!$B$38))*('入力・概要'!$B$40-1)/(LOG10('入力・概要'!$B$39)-LOG10('入力・概要'!$B$38)),0)+3)</f>
        <v/>
      </c>
      <c r="L731">
        <f>IF(K731="","",INDEX('差動モデル'!$B:$B,K731))</f>
        <v/>
      </c>
      <c r="M731">
        <f>IF(A731="","",IF(ABS(L731/A731-1)&lt;0.01,"周波数差&lt;1%","周波数差あり"))</f>
        <v/>
      </c>
    </row>
    <row r="732">
      <c r="A732" s="197" t="n"/>
      <c r="B732" s="198" t="n"/>
      <c r="C732" s="198" t="n"/>
      <c r="D732" s="195">
        <f>IF(K732="","",INDEX('差動モデル'!$R:$R,K732))</f>
        <v/>
      </c>
      <c r="E732" s="195">
        <f>IF(K732="","",INDEX('差動モデル'!$S:$S,K732))</f>
        <v/>
      </c>
      <c r="F732" s="195">
        <f>IF(OR(A732="",B732=""),"",100*(D732-B732)/MAX(B732,1E-12))</f>
        <v/>
      </c>
      <c r="G732" s="195">
        <f>IF(OR(A732="",C732=""),"",E732-C732)</f>
        <v/>
      </c>
      <c r="H732" s="195">
        <f>IF(A732="","",LOG10(A732))</f>
        <v/>
      </c>
      <c r="I732" s="195">
        <f>IF(B732="","",LOG10(MAX(B732,1E-12)))</f>
        <v/>
      </c>
      <c r="J732" s="195">
        <f>IF(D732="","",LOG10(MAX(D732,1E-12)))</f>
        <v/>
      </c>
      <c r="K732">
        <f>IF(A732="","",ROUND(1+(LOG10(A732)-LOG10('入力・概要'!$B$38))*('入力・概要'!$B$40-1)/(LOG10('入力・概要'!$B$39)-LOG10('入力・概要'!$B$38)),0)+3)</f>
        <v/>
      </c>
      <c r="L732">
        <f>IF(K732="","",INDEX('差動モデル'!$B:$B,K732))</f>
        <v/>
      </c>
      <c r="M732">
        <f>IF(A732="","",IF(ABS(L732/A732-1)&lt;0.01,"周波数差&lt;1%","周波数差あり"))</f>
        <v/>
      </c>
    </row>
    <row r="733">
      <c r="A733" s="197" t="n"/>
      <c r="B733" s="198" t="n"/>
      <c r="C733" s="198" t="n"/>
      <c r="D733" s="195">
        <f>IF(K733="","",INDEX('差動モデル'!$R:$R,K733))</f>
        <v/>
      </c>
      <c r="E733" s="195">
        <f>IF(K733="","",INDEX('差動モデル'!$S:$S,K733))</f>
        <v/>
      </c>
      <c r="F733" s="195">
        <f>IF(OR(A733="",B733=""),"",100*(D733-B733)/MAX(B733,1E-12))</f>
        <v/>
      </c>
      <c r="G733" s="195">
        <f>IF(OR(A733="",C733=""),"",E733-C733)</f>
        <v/>
      </c>
      <c r="H733" s="195">
        <f>IF(A733="","",LOG10(A733))</f>
        <v/>
      </c>
      <c r="I733" s="195">
        <f>IF(B733="","",LOG10(MAX(B733,1E-12)))</f>
        <v/>
      </c>
      <c r="J733" s="195">
        <f>IF(D733="","",LOG10(MAX(D733,1E-12)))</f>
        <v/>
      </c>
      <c r="K733">
        <f>IF(A733="","",ROUND(1+(LOG10(A733)-LOG10('入力・概要'!$B$38))*('入力・概要'!$B$40-1)/(LOG10('入力・概要'!$B$39)-LOG10('入力・概要'!$B$38)),0)+3)</f>
        <v/>
      </c>
      <c r="L733">
        <f>IF(K733="","",INDEX('差動モデル'!$B:$B,K733))</f>
        <v/>
      </c>
      <c r="M733">
        <f>IF(A733="","",IF(ABS(L733/A733-1)&lt;0.01,"周波数差&lt;1%","周波数差あり"))</f>
        <v/>
      </c>
    </row>
    <row r="734">
      <c r="A734" s="197" t="n"/>
      <c r="B734" s="198" t="n"/>
      <c r="C734" s="198" t="n"/>
      <c r="D734" s="195">
        <f>IF(K734="","",INDEX('差動モデル'!$R:$R,K734))</f>
        <v/>
      </c>
      <c r="E734" s="195">
        <f>IF(K734="","",INDEX('差動モデル'!$S:$S,K734))</f>
        <v/>
      </c>
      <c r="F734" s="195">
        <f>IF(OR(A734="",B734=""),"",100*(D734-B734)/MAX(B734,1E-12))</f>
        <v/>
      </c>
      <c r="G734" s="195">
        <f>IF(OR(A734="",C734=""),"",E734-C734)</f>
        <v/>
      </c>
      <c r="H734" s="195">
        <f>IF(A734="","",LOG10(A734))</f>
        <v/>
      </c>
      <c r="I734" s="195">
        <f>IF(B734="","",LOG10(MAX(B734,1E-12)))</f>
        <v/>
      </c>
      <c r="J734" s="195">
        <f>IF(D734="","",LOG10(MAX(D734,1E-12)))</f>
        <v/>
      </c>
      <c r="K734">
        <f>IF(A734="","",ROUND(1+(LOG10(A734)-LOG10('入力・概要'!$B$38))*('入力・概要'!$B$40-1)/(LOG10('入力・概要'!$B$39)-LOG10('入力・概要'!$B$38)),0)+3)</f>
        <v/>
      </c>
      <c r="L734">
        <f>IF(K734="","",INDEX('差動モデル'!$B:$B,K734))</f>
        <v/>
      </c>
      <c r="M734">
        <f>IF(A734="","",IF(ABS(L734/A734-1)&lt;0.01,"周波数差&lt;1%","周波数差あり"))</f>
        <v/>
      </c>
    </row>
    <row r="735">
      <c r="A735" s="197" t="n"/>
      <c r="B735" s="198" t="n"/>
      <c r="C735" s="198" t="n"/>
      <c r="D735" s="195">
        <f>IF(K735="","",INDEX('差動モデル'!$R:$R,K735))</f>
        <v/>
      </c>
      <c r="E735" s="195">
        <f>IF(K735="","",INDEX('差動モデル'!$S:$S,K735))</f>
        <v/>
      </c>
      <c r="F735" s="195">
        <f>IF(OR(A735="",B735=""),"",100*(D735-B735)/MAX(B735,1E-12))</f>
        <v/>
      </c>
      <c r="G735" s="195">
        <f>IF(OR(A735="",C735=""),"",E735-C735)</f>
        <v/>
      </c>
      <c r="H735" s="195">
        <f>IF(A735="","",LOG10(A735))</f>
        <v/>
      </c>
      <c r="I735" s="195">
        <f>IF(B735="","",LOG10(MAX(B735,1E-12)))</f>
        <v/>
      </c>
      <c r="J735" s="195">
        <f>IF(D735="","",LOG10(MAX(D735,1E-12)))</f>
        <v/>
      </c>
      <c r="K735">
        <f>IF(A735="","",ROUND(1+(LOG10(A735)-LOG10('入力・概要'!$B$38))*('入力・概要'!$B$40-1)/(LOG10('入力・概要'!$B$39)-LOG10('入力・概要'!$B$38)),0)+3)</f>
        <v/>
      </c>
      <c r="L735">
        <f>IF(K735="","",INDEX('差動モデル'!$B:$B,K735))</f>
        <v/>
      </c>
      <c r="M735">
        <f>IF(A735="","",IF(ABS(L735/A735-1)&lt;0.01,"周波数差&lt;1%","周波数差あり"))</f>
        <v/>
      </c>
    </row>
    <row r="736">
      <c r="A736" s="197" t="n"/>
      <c r="B736" s="198" t="n"/>
      <c r="C736" s="198" t="n"/>
      <c r="D736" s="195">
        <f>IF(K736="","",INDEX('差動モデル'!$R:$R,K736))</f>
        <v/>
      </c>
      <c r="E736" s="195">
        <f>IF(K736="","",INDEX('差動モデル'!$S:$S,K736))</f>
        <v/>
      </c>
      <c r="F736" s="195">
        <f>IF(OR(A736="",B736=""),"",100*(D736-B736)/MAX(B736,1E-12))</f>
        <v/>
      </c>
      <c r="G736" s="195">
        <f>IF(OR(A736="",C736=""),"",E736-C736)</f>
        <v/>
      </c>
      <c r="H736" s="195">
        <f>IF(A736="","",LOG10(A736))</f>
        <v/>
      </c>
      <c r="I736" s="195">
        <f>IF(B736="","",LOG10(MAX(B736,1E-12)))</f>
        <v/>
      </c>
      <c r="J736" s="195">
        <f>IF(D736="","",LOG10(MAX(D736,1E-12)))</f>
        <v/>
      </c>
      <c r="K736">
        <f>IF(A736="","",ROUND(1+(LOG10(A736)-LOG10('入力・概要'!$B$38))*('入力・概要'!$B$40-1)/(LOG10('入力・概要'!$B$39)-LOG10('入力・概要'!$B$38)),0)+3)</f>
        <v/>
      </c>
      <c r="L736">
        <f>IF(K736="","",INDEX('差動モデル'!$B:$B,K736))</f>
        <v/>
      </c>
      <c r="M736">
        <f>IF(A736="","",IF(ABS(L736/A736-1)&lt;0.01,"周波数差&lt;1%","周波数差あり"))</f>
        <v/>
      </c>
    </row>
    <row r="737">
      <c r="A737" s="197" t="n"/>
      <c r="B737" s="198" t="n"/>
      <c r="C737" s="198" t="n"/>
      <c r="D737" s="195">
        <f>IF(K737="","",INDEX('差動モデル'!$R:$R,K737))</f>
        <v/>
      </c>
      <c r="E737" s="195">
        <f>IF(K737="","",INDEX('差動モデル'!$S:$S,K737))</f>
        <v/>
      </c>
      <c r="F737" s="195">
        <f>IF(OR(A737="",B737=""),"",100*(D737-B737)/MAX(B737,1E-12))</f>
        <v/>
      </c>
      <c r="G737" s="195">
        <f>IF(OR(A737="",C737=""),"",E737-C737)</f>
        <v/>
      </c>
      <c r="H737" s="195">
        <f>IF(A737="","",LOG10(A737))</f>
        <v/>
      </c>
      <c r="I737" s="195">
        <f>IF(B737="","",LOG10(MAX(B737,1E-12)))</f>
        <v/>
      </c>
      <c r="J737" s="195">
        <f>IF(D737="","",LOG10(MAX(D737,1E-12)))</f>
        <v/>
      </c>
      <c r="K737">
        <f>IF(A737="","",ROUND(1+(LOG10(A737)-LOG10('入力・概要'!$B$38))*('入力・概要'!$B$40-1)/(LOG10('入力・概要'!$B$39)-LOG10('入力・概要'!$B$38)),0)+3)</f>
        <v/>
      </c>
      <c r="L737">
        <f>IF(K737="","",INDEX('差動モデル'!$B:$B,K737))</f>
        <v/>
      </c>
      <c r="M737">
        <f>IF(A737="","",IF(ABS(L737/A737-1)&lt;0.01,"周波数差&lt;1%","周波数差あり"))</f>
        <v/>
      </c>
    </row>
    <row r="738">
      <c r="A738" s="197" t="n"/>
      <c r="B738" s="198" t="n"/>
      <c r="C738" s="198" t="n"/>
      <c r="D738" s="195">
        <f>IF(K738="","",INDEX('差動モデル'!$R:$R,K738))</f>
        <v/>
      </c>
      <c r="E738" s="195">
        <f>IF(K738="","",INDEX('差動モデル'!$S:$S,K738))</f>
        <v/>
      </c>
      <c r="F738" s="195">
        <f>IF(OR(A738="",B738=""),"",100*(D738-B738)/MAX(B738,1E-12))</f>
        <v/>
      </c>
      <c r="G738" s="195">
        <f>IF(OR(A738="",C738=""),"",E738-C738)</f>
        <v/>
      </c>
      <c r="H738" s="195">
        <f>IF(A738="","",LOG10(A738))</f>
        <v/>
      </c>
      <c r="I738" s="195">
        <f>IF(B738="","",LOG10(MAX(B738,1E-12)))</f>
        <v/>
      </c>
      <c r="J738" s="195">
        <f>IF(D738="","",LOG10(MAX(D738,1E-12)))</f>
        <v/>
      </c>
      <c r="K738">
        <f>IF(A738="","",ROUND(1+(LOG10(A738)-LOG10('入力・概要'!$B$38))*('入力・概要'!$B$40-1)/(LOG10('入力・概要'!$B$39)-LOG10('入力・概要'!$B$38)),0)+3)</f>
        <v/>
      </c>
      <c r="L738">
        <f>IF(K738="","",INDEX('差動モデル'!$B:$B,K738))</f>
        <v/>
      </c>
      <c r="M738">
        <f>IF(A738="","",IF(ABS(L738/A738-1)&lt;0.01,"周波数差&lt;1%","周波数差あり"))</f>
        <v/>
      </c>
    </row>
    <row r="739">
      <c r="A739" s="197" t="n"/>
      <c r="B739" s="198" t="n"/>
      <c r="C739" s="198" t="n"/>
      <c r="D739" s="195">
        <f>IF(K739="","",INDEX('差動モデル'!$R:$R,K739))</f>
        <v/>
      </c>
      <c r="E739" s="195">
        <f>IF(K739="","",INDEX('差動モデル'!$S:$S,K739))</f>
        <v/>
      </c>
      <c r="F739" s="195">
        <f>IF(OR(A739="",B739=""),"",100*(D739-B739)/MAX(B739,1E-12))</f>
        <v/>
      </c>
      <c r="G739" s="195">
        <f>IF(OR(A739="",C739=""),"",E739-C739)</f>
        <v/>
      </c>
      <c r="H739" s="195">
        <f>IF(A739="","",LOG10(A739))</f>
        <v/>
      </c>
      <c r="I739" s="195">
        <f>IF(B739="","",LOG10(MAX(B739,1E-12)))</f>
        <v/>
      </c>
      <c r="J739" s="195">
        <f>IF(D739="","",LOG10(MAX(D739,1E-12)))</f>
        <v/>
      </c>
      <c r="K739">
        <f>IF(A739="","",ROUND(1+(LOG10(A739)-LOG10('入力・概要'!$B$38))*('入力・概要'!$B$40-1)/(LOG10('入力・概要'!$B$39)-LOG10('入力・概要'!$B$38)),0)+3)</f>
        <v/>
      </c>
      <c r="L739">
        <f>IF(K739="","",INDEX('差動モデル'!$B:$B,K739))</f>
        <v/>
      </c>
      <c r="M739">
        <f>IF(A739="","",IF(ABS(L739/A739-1)&lt;0.01,"周波数差&lt;1%","周波数差あり"))</f>
        <v/>
      </c>
    </row>
    <row r="740">
      <c r="A740" s="197" t="n"/>
      <c r="B740" s="198" t="n"/>
      <c r="C740" s="198" t="n"/>
      <c r="D740" s="195">
        <f>IF(K740="","",INDEX('差動モデル'!$R:$R,K740))</f>
        <v/>
      </c>
      <c r="E740" s="195">
        <f>IF(K740="","",INDEX('差動モデル'!$S:$S,K740))</f>
        <v/>
      </c>
      <c r="F740" s="195">
        <f>IF(OR(A740="",B740=""),"",100*(D740-B740)/MAX(B740,1E-12))</f>
        <v/>
      </c>
      <c r="G740" s="195">
        <f>IF(OR(A740="",C740=""),"",E740-C740)</f>
        <v/>
      </c>
      <c r="H740" s="195">
        <f>IF(A740="","",LOG10(A740))</f>
        <v/>
      </c>
      <c r="I740" s="195">
        <f>IF(B740="","",LOG10(MAX(B740,1E-12)))</f>
        <v/>
      </c>
      <c r="J740" s="195">
        <f>IF(D740="","",LOG10(MAX(D740,1E-12)))</f>
        <v/>
      </c>
      <c r="K740">
        <f>IF(A740="","",ROUND(1+(LOG10(A740)-LOG10('入力・概要'!$B$38))*('入力・概要'!$B$40-1)/(LOG10('入力・概要'!$B$39)-LOG10('入力・概要'!$B$38)),0)+3)</f>
        <v/>
      </c>
      <c r="L740">
        <f>IF(K740="","",INDEX('差動モデル'!$B:$B,K740))</f>
        <v/>
      </c>
      <c r="M740">
        <f>IF(A740="","",IF(ABS(L740/A740-1)&lt;0.01,"周波数差&lt;1%","周波数差あり"))</f>
        <v/>
      </c>
    </row>
    <row r="741">
      <c r="A741" s="197" t="n"/>
      <c r="B741" s="198" t="n"/>
      <c r="C741" s="198" t="n"/>
      <c r="D741" s="195">
        <f>IF(K741="","",INDEX('差動モデル'!$R:$R,K741))</f>
        <v/>
      </c>
      <c r="E741" s="195">
        <f>IF(K741="","",INDEX('差動モデル'!$S:$S,K741))</f>
        <v/>
      </c>
      <c r="F741" s="195">
        <f>IF(OR(A741="",B741=""),"",100*(D741-B741)/MAX(B741,1E-12))</f>
        <v/>
      </c>
      <c r="G741" s="195">
        <f>IF(OR(A741="",C741=""),"",E741-C741)</f>
        <v/>
      </c>
      <c r="H741" s="195">
        <f>IF(A741="","",LOG10(A741))</f>
        <v/>
      </c>
      <c r="I741" s="195">
        <f>IF(B741="","",LOG10(MAX(B741,1E-12)))</f>
        <v/>
      </c>
      <c r="J741" s="195">
        <f>IF(D741="","",LOG10(MAX(D741,1E-12)))</f>
        <v/>
      </c>
      <c r="K741">
        <f>IF(A741="","",ROUND(1+(LOG10(A741)-LOG10('入力・概要'!$B$38))*('入力・概要'!$B$40-1)/(LOG10('入力・概要'!$B$39)-LOG10('入力・概要'!$B$38)),0)+3)</f>
        <v/>
      </c>
      <c r="L741">
        <f>IF(K741="","",INDEX('差動モデル'!$B:$B,K741))</f>
        <v/>
      </c>
      <c r="M741">
        <f>IF(A741="","",IF(ABS(L741/A741-1)&lt;0.01,"周波数差&lt;1%","周波数差あり"))</f>
        <v/>
      </c>
    </row>
    <row r="742">
      <c r="A742" s="197" t="n"/>
      <c r="B742" s="198" t="n"/>
      <c r="C742" s="198" t="n"/>
      <c r="D742" s="195">
        <f>IF(K742="","",INDEX('差動モデル'!$R:$R,K742))</f>
        <v/>
      </c>
      <c r="E742" s="195">
        <f>IF(K742="","",INDEX('差動モデル'!$S:$S,K742))</f>
        <v/>
      </c>
      <c r="F742" s="195">
        <f>IF(OR(A742="",B742=""),"",100*(D742-B742)/MAX(B742,1E-12))</f>
        <v/>
      </c>
      <c r="G742" s="195">
        <f>IF(OR(A742="",C742=""),"",E742-C742)</f>
        <v/>
      </c>
      <c r="H742" s="195">
        <f>IF(A742="","",LOG10(A742))</f>
        <v/>
      </c>
      <c r="I742" s="195">
        <f>IF(B742="","",LOG10(MAX(B742,1E-12)))</f>
        <v/>
      </c>
      <c r="J742" s="195">
        <f>IF(D742="","",LOG10(MAX(D742,1E-12)))</f>
        <v/>
      </c>
      <c r="K742">
        <f>IF(A742="","",ROUND(1+(LOG10(A742)-LOG10('入力・概要'!$B$38))*('入力・概要'!$B$40-1)/(LOG10('入力・概要'!$B$39)-LOG10('入力・概要'!$B$38)),0)+3)</f>
        <v/>
      </c>
      <c r="L742">
        <f>IF(K742="","",INDEX('差動モデル'!$B:$B,K742))</f>
        <v/>
      </c>
      <c r="M742">
        <f>IF(A742="","",IF(ABS(L742/A742-1)&lt;0.01,"周波数差&lt;1%","周波数差あり"))</f>
        <v/>
      </c>
    </row>
    <row r="743">
      <c r="A743" s="197" t="n"/>
      <c r="B743" s="198" t="n"/>
      <c r="C743" s="198" t="n"/>
      <c r="D743" s="195">
        <f>IF(K743="","",INDEX('差動モデル'!$R:$R,K743))</f>
        <v/>
      </c>
      <c r="E743" s="195">
        <f>IF(K743="","",INDEX('差動モデル'!$S:$S,K743))</f>
        <v/>
      </c>
      <c r="F743" s="195">
        <f>IF(OR(A743="",B743=""),"",100*(D743-B743)/MAX(B743,1E-12))</f>
        <v/>
      </c>
      <c r="G743" s="195">
        <f>IF(OR(A743="",C743=""),"",E743-C743)</f>
        <v/>
      </c>
      <c r="H743" s="195">
        <f>IF(A743="","",LOG10(A743))</f>
        <v/>
      </c>
      <c r="I743" s="195">
        <f>IF(B743="","",LOG10(MAX(B743,1E-12)))</f>
        <v/>
      </c>
      <c r="J743" s="195">
        <f>IF(D743="","",LOG10(MAX(D743,1E-12)))</f>
        <v/>
      </c>
      <c r="K743">
        <f>IF(A743="","",ROUND(1+(LOG10(A743)-LOG10('入力・概要'!$B$38))*('入力・概要'!$B$40-1)/(LOG10('入力・概要'!$B$39)-LOG10('入力・概要'!$B$38)),0)+3)</f>
        <v/>
      </c>
      <c r="L743">
        <f>IF(K743="","",INDEX('差動モデル'!$B:$B,K743))</f>
        <v/>
      </c>
      <c r="M743">
        <f>IF(A743="","",IF(ABS(L743/A743-1)&lt;0.01,"周波数差&lt;1%","周波数差あり"))</f>
        <v/>
      </c>
    </row>
    <row r="744">
      <c r="A744" s="197" t="n"/>
      <c r="B744" s="198" t="n"/>
      <c r="C744" s="198" t="n"/>
      <c r="D744" s="195">
        <f>IF(K744="","",INDEX('差動モデル'!$R:$R,K744))</f>
        <v/>
      </c>
      <c r="E744" s="195">
        <f>IF(K744="","",INDEX('差動モデル'!$S:$S,K744))</f>
        <v/>
      </c>
      <c r="F744" s="195">
        <f>IF(OR(A744="",B744=""),"",100*(D744-B744)/MAX(B744,1E-12))</f>
        <v/>
      </c>
      <c r="G744" s="195">
        <f>IF(OR(A744="",C744=""),"",E744-C744)</f>
        <v/>
      </c>
      <c r="H744" s="195">
        <f>IF(A744="","",LOG10(A744))</f>
        <v/>
      </c>
      <c r="I744" s="195">
        <f>IF(B744="","",LOG10(MAX(B744,1E-12)))</f>
        <v/>
      </c>
      <c r="J744" s="195">
        <f>IF(D744="","",LOG10(MAX(D744,1E-12)))</f>
        <v/>
      </c>
      <c r="K744">
        <f>IF(A744="","",ROUND(1+(LOG10(A744)-LOG10('入力・概要'!$B$38))*('入力・概要'!$B$40-1)/(LOG10('入力・概要'!$B$39)-LOG10('入力・概要'!$B$38)),0)+3)</f>
        <v/>
      </c>
      <c r="L744">
        <f>IF(K744="","",INDEX('差動モデル'!$B:$B,K744))</f>
        <v/>
      </c>
      <c r="M744">
        <f>IF(A744="","",IF(ABS(L744/A744-1)&lt;0.01,"周波数差&lt;1%","周波数差あり"))</f>
        <v/>
      </c>
    </row>
    <row r="745">
      <c r="A745" s="197" t="n"/>
      <c r="B745" s="198" t="n"/>
      <c r="C745" s="198" t="n"/>
      <c r="D745" s="195">
        <f>IF(K745="","",INDEX('差動モデル'!$R:$R,K745))</f>
        <v/>
      </c>
      <c r="E745" s="195">
        <f>IF(K745="","",INDEX('差動モデル'!$S:$S,K745))</f>
        <v/>
      </c>
      <c r="F745" s="195">
        <f>IF(OR(A745="",B745=""),"",100*(D745-B745)/MAX(B745,1E-12))</f>
        <v/>
      </c>
      <c r="G745" s="195">
        <f>IF(OR(A745="",C745=""),"",E745-C745)</f>
        <v/>
      </c>
      <c r="H745" s="195">
        <f>IF(A745="","",LOG10(A745))</f>
        <v/>
      </c>
      <c r="I745" s="195">
        <f>IF(B745="","",LOG10(MAX(B745,1E-12)))</f>
        <v/>
      </c>
      <c r="J745" s="195">
        <f>IF(D745="","",LOG10(MAX(D745,1E-12)))</f>
        <v/>
      </c>
      <c r="K745">
        <f>IF(A745="","",ROUND(1+(LOG10(A745)-LOG10('入力・概要'!$B$38))*('入力・概要'!$B$40-1)/(LOG10('入力・概要'!$B$39)-LOG10('入力・概要'!$B$38)),0)+3)</f>
        <v/>
      </c>
      <c r="L745">
        <f>IF(K745="","",INDEX('差動モデル'!$B:$B,K745))</f>
        <v/>
      </c>
      <c r="M745">
        <f>IF(A745="","",IF(ABS(L745/A745-1)&lt;0.01,"周波数差&lt;1%","周波数差あり"))</f>
        <v/>
      </c>
    </row>
    <row r="746">
      <c r="A746" s="197" t="n"/>
      <c r="B746" s="198" t="n"/>
      <c r="C746" s="198" t="n"/>
      <c r="D746" s="195">
        <f>IF(K746="","",INDEX('差動モデル'!$R:$R,K746))</f>
        <v/>
      </c>
      <c r="E746" s="195">
        <f>IF(K746="","",INDEX('差動モデル'!$S:$S,K746))</f>
        <v/>
      </c>
      <c r="F746" s="195">
        <f>IF(OR(A746="",B746=""),"",100*(D746-B746)/MAX(B746,1E-12))</f>
        <v/>
      </c>
      <c r="G746" s="195">
        <f>IF(OR(A746="",C746=""),"",E746-C746)</f>
        <v/>
      </c>
      <c r="H746" s="195">
        <f>IF(A746="","",LOG10(A746))</f>
        <v/>
      </c>
      <c r="I746" s="195">
        <f>IF(B746="","",LOG10(MAX(B746,1E-12)))</f>
        <v/>
      </c>
      <c r="J746" s="195">
        <f>IF(D746="","",LOG10(MAX(D746,1E-12)))</f>
        <v/>
      </c>
      <c r="K746">
        <f>IF(A746="","",ROUND(1+(LOG10(A746)-LOG10('入力・概要'!$B$38))*('入力・概要'!$B$40-1)/(LOG10('入力・概要'!$B$39)-LOG10('入力・概要'!$B$38)),0)+3)</f>
        <v/>
      </c>
      <c r="L746">
        <f>IF(K746="","",INDEX('差動モデル'!$B:$B,K746))</f>
        <v/>
      </c>
      <c r="M746">
        <f>IF(A746="","",IF(ABS(L746/A746-1)&lt;0.01,"周波数差&lt;1%","周波数差あり"))</f>
        <v/>
      </c>
    </row>
    <row r="747">
      <c r="A747" s="197" t="n"/>
      <c r="B747" s="198" t="n"/>
      <c r="C747" s="198" t="n"/>
      <c r="D747" s="195">
        <f>IF(K747="","",INDEX('差動モデル'!$R:$R,K747))</f>
        <v/>
      </c>
      <c r="E747" s="195">
        <f>IF(K747="","",INDEX('差動モデル'!$S:$S,K747))</f>
        <v/>
      </c>
      <c r="F747" s="195">
        <f>IF(OR(A747="",B747=""),"",100*(D747-B747)/MAX(B747,1E-12))</f>
        <v/>
      </c>
      <c r="G747" s="195">
        <f>IF(OR(A747="",C747=""),"",E747-C747)</f>
        <v/>
      </c>
      <c r="H747" s="195">
        <f>IF(A747="","",LOG10(A747))</f>
        <v/>
      </c>
      <c r="I747" s="195">
        <f>IF(B747="","",LOG10(MAX(B747,1E-12)))</f>
        <v/>
      </c>
      <c r="J747" s="195">
        <f>IF(D747="","",LOG10(MAX(D747,1E-12)))</f>
        <v/>
      </c>
      <c r="K747">
        <f>IF(A747="","",ROUND(1+(LOG10(A747)-LOG10('入力・概要'!$B$38))*('入力・概要'!$B$40-1)/(LOG10('入力・概要'!$B$39)-LOG10('入力・概要'!$B$38)),0)+3)</f>
        <v/>
      </c>
      <c r="L747">
        <f>IF(K747="","",INDEX('差動モデル'!$B:$B,K747))</f>
        <v/>
      </c>
      <c r="M747">
        <f>IF(A747="","",IF(ABS(L747/A747-1)&lt;0.01,"周波数差&lt;1%","周波数差あり"))</f>
        <v/>
      </c>
    </row>
    <row r="748">
      <c r="A748" s="197" t="n"/>
      <c r="B748" s="198" t="n"/>
      <c r="C748" s="198" t="n"/>
      <c r="D748" s="195">
        <f>IF(K748="","",INDEX('差動モデル'!$R:$R,K748))</f>
        <v/>
      </c>
      <c r="E748" s="195">
        <f>IF(K748="","",INDEX('差動モデル'!$S:$S,K748))</f>
        <v/>
      </c>
      <c r="F748" s="195">
        <f>IF(OR(A748="",B748=""),"",100*(D748-B748)/MAX(B748,1E-12))</f>
        <v/>
      </c>
      <c r="G748" s="195">
        <f>IF(OR(A748="",C748=""),"",E748-C748)</f>
        <v/>
      </c>
      <c r="H748" s="195">
        <f>IF(A748="","",LOG10(A748))</f>
        <v/>
      </c>
      <c r="I748" s="195">
        <f>IF(B748="","",LOG10(MAX(B748,1E-12)))</f>
        <v/>
      </c>
      <c r="J748" s="195">
        <f>IF(D748="","",LOG10(MAX(D748,1E-12)))</f>
        <v/>
      </c>
      <c r="K748">
        <f>IF(A748="","",ROUND(1+(LOG10(A748)-LOG10('入力・概要'!$B$38))*('入力・概要'!$B$40-1)/(LOG10('入力・概要'!$B$39)-LOG10('入力・概要'!$B$38)),0)+3)</f>
        <v/>
      </c>
      <c r="L748">
        <f>IF(K748="","",INDEX('差動モデル'!$B:$B,K748))</f>
        <v/>
      </c>
      <c r="M748">
        <f>IF(A748="","",IF(ABS(L748/A748-1)&lt;0.01,"周波数差&lt;1%","周波数差あり"))</f>
        <v/>
      </c>
    </row>
    <row r="749">
      <c r="A749" s="197" t="n"/>
      <c r="B749" s="198" t="n"/>
      <c r="C749" s="198" t="n"/>
      <c r="D749" s="195">
        <f>IF(K749="","",INDEX('差動モデル'!$R:$R,K749))</f>
        <v/>
      </c>
      <c r="E749" s="195">
        <f>IF(K749="","",INDEX('差動モデル'!$S:$S,K749))</f>
        <v/>
      </c>
      <c r="F749" s="195">
        <f>IF(OR(A749="",B749=""),"",100*(D749-B749)/MAX(B749,1E-12))</f>
        <v/>
      </c>
      <c r="G749" s="195">
        <f>IF(OR(A749="",C749=""),"",E749-C749)</f>
        <v/>
      </c>
      <c r="H749" s="195">
        <f>IF(A749="","",LOG10(A749))</f>
        <v/>
      </c>
      <c r="I749" s="195">
        <f>IF(B749="","",LOG10(MAX(B749,1E-12)))</f>
        <v/>
      </c>
      <c r="J749" s="195">
        <f>IF(D749="","",LOG10(MAX(D749,1E-12)))</f>
        <v/>
      </c>
      <c r="K749">
        <f>IF(A749="","",ROUND(1+(LOG10(A749)-LOG10('入力・概要'!$B$38))*('入力・概要'!$B$40-1)/(LOG10('入力・概要'!$B$39)-LOG10('入力・概要'!$B$38)),0)+3)</f>
        <v/>
      </c>
      <c r="L749">
        <f>IF(K749="","",INDEX('差動モデル'!$B:$B,K749))</f>
        <v/>
      </c>
      <c r="M749">
        <f>IF(A749="","",IF(ABS(L749/A749-1)&lt;0.01,"周波数差&lt;1%","周波数差あり"))</f>
        <v/>
      </c>
    </row>
    <row r="750">
      <c r="A750" s="197" t="n"/>
      <c r="B750" s="198" t="n"/>
      <c r="C750" s="198" t="n"/>
      <c r="D750" s="195">
        <f>IF(K750="","",INDEX('差動モデル'!$R:$R,K750))</f>
        <v/>
      </c>
      <c r="E750" s="195">
        <f>IF(K750="","",INDEX('差動モデル'!$S:$S,K750))</f>
        <v/>
      </c>
      <c r="F750" s="195">
        <f>IF(OR(A750="",B750=""),"",100*(D750-B750)/MAX(B750,1E-12))</f>
        <v/>
      </c>
      <c r="G750" s="195">
        <f>IF(OR(A750="",C750=""),"",E750-C750)</f>
        <v/>
      </c>
      <c r="H750" s="195">
        <f>IF(A750="","",LOG10(A750))</f>
        <v/>
      </c>
      <c r="I750" s="195">
        <f>IF(B750="","",LOG10(MAX(B750,1E-12)))</f>
        <v/>
      </c>
      <c r="J750" s="195">
        <f>IF(D750="","",LOG10(MAX(D750,1E-12)))</f>
        <v/>
      </c>
      <c r="K750">
        <f>IF(A750="","",ROUND(1+(LOG10(A750)-LOG10('入力・概要'!$B$38))*('入力・概要'!$B$40-1)/(LOG10('入力・概要'!$B$39)-LOG10('入力・概要'!$B$38)),0)+3)</f>
        <v/>
      </c>
      <c r="L750">
        <f>IF(K750="","",INDEX('差動モデル'!$B:$B,K750))</f>
        <v/>
      </c>
      <c r="M750">
        <f>IF(A750="","",IF(ABS(L750/A750-1)&lt;0.01,"周波数差&lt;1%","周波数差あり"))</f>
        <v/>
      </c>
    </row>
    <row r="751">
      <c r="A751" s="197" t="n"/>
      <c r="B751" s="198" t="n"/>
      <c r="C751" s="198" t="n"/>
      <c r="D751" s="195">
        <f>IF(K751="","",INDEX('差動モデル'!$R:$R,K751))</f>
        <v/>
      </c>
      <c r="E751" s="195">
        <f>IF(K751="","",INDEX('差動モデル'!$S:$S,K751))</f>
        <v/>
      </c>
      <c r="F751" s="195">
        <f>IF(OR(A751="",B751=""),"",100*(D751-B751)/MAX(B751,1E-12))</f>
        <v/>
      </c>
      <c r="G751" s="195">
        <f>IF(OR(A751="",C751=""),"",E751-C751)</f>
        <v/>
      </c>
      <c r="H751" s="195">
        <f>IF(A751="","",LOG10(A751))</f>
        <v/>
      </c>
      <c r="I751" s="195">
        <f>IF(B751="","",LOG10(MAX(B751,1E-12)))</f>
        <v/>
      </c>
      <c r="J751" s="195">
        <f>IF(D751="","",LOG10(MAX(D751,1E-12)))</f>
        <v/>
      </c>
      <c r="K751">
        <f>IF(A751="","",ROUND(1+(LOG10(A751)-LOG10('入力・概要'!$B$38))*('入力・概要'!$B$40-1)/(LOG10('入力・概要'!$B$39)-LOG10('入力・概要'!$B$38)),0)+3)</f>
        <v/>
      </c>
      <c r="L751">
        <f>IF(K751="","",INDEX('差動モデル'!$B:$B,K751))</f>
        <v/>
      </c>
      <c r="M751">
        <f>IF(A751="","",IF(ABS(L751/A751-1)&lt;0.01,"周波数差&lt;1%","周波数差あり"))</f>
        <v/>
      </c>
    </row>
    <row r="752">
      <c r="A752" s="197" t="n"/>
      <c r="B752" s="198" t="n"/>
      <c r="C752" s="198" t="n"/>
      <c r="D752" s="195">
        <f>IF(K752="","",INDEX('差動モデル'!$R:$R,K752))</f>
        <v/>
      </c>
      <c r="E752" s="195">
        <f>IF(K752="","",INDEX('差動モデル'!$S:$S,K752))</f>
        <v/>
      </c>
      <c r="F752" s="195">
        <f>IF(OR(A752="",B752=""),"",100*(D752-B752)/MAX(B752,1E-12))</f>
        <v/>
      </c>
      <c r="G752" s="195">
        <f>IF(OR(A752="",C752=""),"",E752-C752)</f>
        <v/>
      </c>
      <c r="H752" s="195">
        <f>IF(A752="","",LOG10(A752))</f>
        <v/>
      </c>
      <c r="I752" s="195">
        <f>IF(B752="","",LOG10(MAX(B752,1E-12)))</f>
        <v/>
      </c>
      <c r="J752" s="195">
        <f>IF(D752="","",LOG10(MAX(D752,1E-12)))</f>
        <v/>
      </c>
      <c r="K752">
        <f>IF(A752="","",ROUND(1+(LOG10(A752)-LOG10('入力・概要'!$B$38))*('入力・概要'!$B$40-1)/(LOG10('入力・概要'!$B$39)-LOG10('入力・概要'!$B$38)),0)+3)</f>
        <v/>
      </c>
      <c r="L752">
        <f>IF(K752="","",INDEX('差動モデル'!$B:$B,K752))</f>
        <v/>
      </c>
      <c r="M752">
        <f>IF(A752="","",IF(ABS(L752/A752-1)&lt;0.01,"周波数差&lt;1%","周波数差あり"))</f>
        <v/>
      </c>
    </row>
    <row r="753">
      <c r="A753" s="197" t="n"/>
      <c r="B753" s="198" t="n"/>
      <c r="C753" s="198" t="n"/>
      <c r="D753" s="195">
        <f>IF(K753="","",INDEX('差動モデル'!$R:$R,K753))</f>
        <v/>
      </c>
      <c r="E753" s="195">
        <f>IF(K753="","",INDEX('差動モデル'!$S:$S,K753))</f>
        <v/>
      </c>
      <c r="F753" s="195">
        <f>IF(OR(A753="",B753=""),"",100*(D753-B753)/MAX(B753,1E-12))</f>
        <v/>
      </c>
      <c r="G753" s="195">
        <f>IF(OR(A753="",C753=""),"",E753-C753)</f>
        <v/>
      </c>
      <c r="H753" s="195">
        <f>IF(A753="","",LOG10(A753))</f>
        <v/>
      </c>
      <c r="I753" s="195">
        <f>IF(B753="","",LOG10(MAX(B753,1E-12)))</f>
        <v/>
      </c>
      <c r="J753" s="195">
        <f>IF(D753="","",LOG10(MAX(D753,1E-12)))</f>
        <v/>
      </c>
      <c r="K753">
        <f>IF(A753="","",ROUND(1+(LOG10(A753)-LOG10('入力・概要'!$B$38))*('入力・概要'!$B$40-1)/(LOG10('入力・概要'!$B$39)-LOG10('入力・概要'!$B$38)),0)+3)</f>
        <v/>
      </c>
      <c r="L753">
        <f>IF(K753="","",INDEX('差動モデル'!$B:$B,K753))</f>
        <v/>
      </c>
      <c r="M753">
        <f>IF(A753="","",IF(ABS(L753/A753-1)&lt;0.01,"周波数差&lt;1%","周波数差あり"))</f>
        <v/>
      </c>
    </row>
    <row r="754">
      <c r="A754" s="197" t="n"/>
      <c r="B754" s="198" t="n"/>
      <c r="C754" s="198" t="n"/>
      <c r="D754" s="195">
        <f>IF(K754="","",INDEX('差動モデル'!$R:$R,K754))</f>
        <v/>
      </c>
      <c r="E754" s="195">
        <f>IF(K754="","",INDEX('差動モデル'!$S:$S,K754))</f>
        <v/>
      </c>
      <c r="F754" s="195">
        <f>IF(OR(A754="",B754=""),"",100*(D754-B754)/MAX(B754,1E-12))</f>
        <v/>
      </c>
      <c r="G754" s="195">
        <f>IF(OR(A754="",C754=""),"",E754-C754)</f>
        <v/>
      </c>
      <c r="H754" s="195">
        <f>IF(A754="","",LOG10(A754))</f>
        <v/>
      </c>
      <c r="I754" s="195">
        <f>IF(B754="","",LOG10(MAX(B754,1E-12)))</f>
        <v/>
      </c>
      <c r="J754" s="195">
        <f>IF(D754="","",LOG10(MAX(D754,1E-12)))</f>
        <v/>
      </c>
      <c r="K754">
        <f>IF(A754="","",ROUND(1+(LOG10(A754)-LOG10('入力・概要'!$B$38))*('入力・概要'!$B$40-1)/(LOG10('入力・概要'!$B$39)-LOG10('入力・概要'!$B$38)),0)+3)</f>
        <v/>
      </c>
      <c r="L754">
        <f>IF(K754="","",INDEX('差動モデル'!$B:$B,K754))</f>
        <v/>
      </c>
      <c r="M754">
        <f>IF(A754="","",IF(ABS(L754/A754-1)&lt;0.01,"周波数差&lt;1%","周波数差あり"))</f>
        <v/>
      </c>
    </row>
    <row r="755">
      <c r="A755" s="197" t="n"/>
      <c r="B755" s="198" t="n"/>
      <c r="C755" s="198" t="n"/>
      <c r="D755" s="195">
        <f>IF(K755="","",INDEX('差動モデル'!$R:$R,K755))</f>
        <v/>
      </c>
      <c r="E755" s="195">
        <f>IF(K755="","",INDEX('差動モデル'!$S:$S,K755))</f>
        <v/>
      </c>
      <c r="F755" s="195">
        <f>IF(OR(A755="",B755=""),"",100*(D755-B755)/MAX(B755,1E-12))</f>
        <v/>
      </c>
      <c r="G755" s="195">
        <f>IF(OR(A755="",C755=""),"",E755-C755)</f>
        <v/>
      </c>
      <c r="H755" s="195">
        <f>IF(A755="","",LOG10(A755))</f>
        <v/>
      </c>
      <c r="I755" s="195">
        <f>IF(B755="","",LOG10(MAX(B755,1E-12)))</f>
        <v/>
      </c>
      <c r="J755" s="195">
        <f>IF(D755="","",LOG10(MAX(D755,1E-12)))</f>
        <v/>
      </c>
      <c r="K755">
        <f>IF(A755="","",ROUND(1+(LOG10(A755)-LOG10('入力・概要'!$B$38))*('入力・概要'!$B$40-1)/(LOG10('入力・概要'!$B$39)-LOG10('入力・概要'!$B$38)),0)+3)</f>
        <v/>
      </c>
      <c r="L755">
        <f>IF(K755="","",INDEX('差動モデル'!$B:$B,K755))</f>
        <v/>
      </c>
      <c r="M755">
        <f>IF(A755="","",IF(ABS(L755/A755-1)&lt;0.01,"周波数差&lt;1%","周波数差あり"))</f>
        <v/>
      </c>
    </row>
    <row r="756">
      <c r="A756" s="197" t="n"/>
      <c r="B756" s="198" t="n"/>
      <c r="C756" s="198" t="n"/>
      <c r="D756" s="195">
        <f>IF(K756="","",INDEX('差動モデル'!$R:$R,K756))</f>
        <v/>
      </c>
      <c r="E756" s="195">
        <f>IF(K756="","",INDEX('差動モデル'!$S:$S,K756))</f>
        <v/>
      </c>
      <c r="F756" s="195">
        <f>IF(OR(A756="",B756=""),"",100*(D756-B756)/MAX(B756,1E-12))</f>
        <v/>
      </c>
      <c r="G756" s="195">
        <f>IF(OR(A756="",C756=""),"",E756-C756)</f>
        <v/>
      </c>
      <c r="H756" s="195">
        <f>IF(A756="","",LOG10(A756))</f>
        <v/>
      </c>
      <c r="I756" s="195">
        <f>IF(B756="","",LOG10(MAX(B756,1E-12)))</f>
        <v/>
      </c>
      <c r="J756" s="195">
        <f>IF(D756="","",LOG10(MAX(D756,1E-12)))</f>
        <v/>
      </c>
      <c r="K756">
        <f>IF(A756="","",ROUND(1+(LOG10(A756)-LOG10('入力・概要'!$B$38))*('入力・概要'!$B$40-1)/(LOG10('入力・概要'!$B$39)-LOG10('入力・概要'!$B$38)),0)+3)</f>
        <v/>
      </c>
      <c r="L756">
        <f>IF(K756="","",INDEX('差動モデル'!$B:$B,K756))</f>
        <v/>
      </c>
      <c r="M756">
        <f>IF(A756="","",IF(ABS(L756/A756-1)&lt;0.01,"周波数差&lt;1%","周波数差あり"))</f>
        <v/>
      </c>
    </row>
    <row r="757">
      <c r="A757" s="197" t="n"/>
      <c r="B757" s="198" t="n"/>
      <c r="C757" s="198" t="n"/>
      <c r="D757" s="195">
        <f>IF(K757="","",INDEX('差動モデル'!$R:$R,K757))</f>
        <v/>
      </c>
      <c r="E757" s="195">
        <f>IF(K757="","",INDEX('差動モデル'!$S:$S,K757))</f>
        <v/>
      </c>
      <c r="F757" s="195">
        <f>IF(OR(A757="",B757=""),"",100*(D757-B757)/MAX(B757,1E-12))</f>
        <v/>
      </c>
      <c r="G757" s="195">
        <f>IF(OR(A757="",C757=""),"",E757-C757)</f>
        <v/>
      </c>
      <c r="H757" s="195">
        <f>IF(A757="","",LOG10(A757))</f>
        <v/>
      </c>
      <c r="I757" s="195">
        <f>IF(B757="","",LOG10(MAX(B757,1E-12)))</f>
        <v/>
      </c>
      <c r="J757" s="195">
        <f>IF(D757="","",LOG10(MAX(D757,1E-12)))</f>
        <v/>
      </c>
      <c r="K757">
        <f>IF(A757="","",ROUND(1+(LOG10(A757)-LOG10('入力・概要'!$B$38))*('入力・概要'!$B$40-1)/(LOG10('入力・概要'!$B$39)-LOG10('入力・概要'!$B$38)),0)+3)</f>
        <v/>
      </c>
      <c r="L757">
        <f>IF(K757="","",INDEX('差動モデル'!$B:$B,K757))</f>
        <v/>
      </c>
      <c r="M757">
        <f>IF(A757="","",IF(ABS(L757/A757-1)&lt;0.01,"周波数差&lt;1%","周波数差あり"))</f>
        <v/>
      </c>
    </row>
    <row r="758">
      <c r="A758" s="197" t="n"/>
      <c r="B758" s="198" t="n"/>
      <c r="C758" s="198" t="n"/>
      <c r="D758" s="195">
        <f>IF(K758="","",INDEX('差動モデル'!$R:$R,K758))</f>
        <v/>
      </c>
      <c r="E758" s="195">
        <f>IF(K758="","",INDEX('差動モデル'!$S:$S,K758))</f>
        <v/>
      </c>
      <c r="F758" s="195">
        <f>IF(OR(A758="",B758=""),"",100*(D758-B758)/MAX(B758,1E-12))</f>
        <v/>
      </c>
      <c r="G758" s="195">
        <f>IF(OR(A758="",C758=""),"",E758-C758)</f>
        <v/>
      </c>
      <c r="H758" s="195">
        <f>IF(A758="","",LOG10(A758))</f>
        <v/>
      </c>
      <c r="I758" s="195">
        <f>IF(B758="","",LOG10(MAX(B758,1E-12)))</f>
        <v/>
      </c>
      <c r="J758" s="195">
        <f>IF(D758="","",LOG10(MAX(D758,1E-12)))</f>
        <v/>
      </c>
      <c r="K758">
        <f>IF(A758="","",ROUND(1+(LOG10(A758)-LOG10('入力・概要'!$B$38))*('入力・概要'!$B$40-1)/(LOG10('入力・概要'!$B$39)-LOG10('入力・概要'!$B$38)),0)+3)</f>
        <v/>
      </c>
      <c r="L758">
        <f>IF(K758="","",INDEX('差動モデル'!$B:$B,K758))</f>
        <v/>
      </c>
      <c r="M758">
        <f>IF(A758="","",IF(ABS(L758/A758-1)&lt;0.01,"周波数差&lt;1%","周波数差あり"))</f>
        <v/>
      </c>
    </row>
    <row r="759">
      <c r="A759" s="197" t="n"/>
      <c r="B759" s="198" t="n"/>
      <c r="C759" s="198" t="n"/>
      <c r="D759" s="195">
        <f>IF(K759="","",INDEX('差動モデル'!$R:$R,K759))</f>
        <v/>
      </c>
      <c r="E759" s="195">
        <f>IF(K759="","",INDEX('差動モデル'!$S:$S,K759))</f>
        <v/>
      </c>
      <c r="F759" s="195">
        <f>IF(OR(A759="",B759=""),"",100*(D759-B759)/MAX(B759,1E-12))</f>
        <v/>
      </c>
      <c r="G759" s="195">
        <f>IF(OR(A759="",C759=""),"",E759-C759)</f>
        <v/>
      </c>
      <c r="H759" s="195">
        <f>IF(A759="","",LOG10(A759))</f>
        <v/>
      </c>
      <c r="I759" s="195">
        <f>IF(B759="","",LOG10(MAX(B759,1E-12)))</f>
        <v/>
      </c>
      <c r="J759" s="195">
        <f>IF(D759="","",LOG10(MAX(D759,1E-12)))</f>
        <v/>
      </c>
      <c r="K759">
        <f>IF(A759="","",ROUND(1+(LOG10(A759)-LOG10('入力・概要'!$B$38))*('入力・概要'!$B$40-1)/(LOG10('入力・概要'!$B$39)-LOG10('入力・概要'!$B$38)),0)+3)</f>
        <v/>
      </c>
      <c r="L759">
        <f>IF(K759="","",INDEX('差動モデル'!$B:$B,K759))</f>
        <v/>
      </c>
      <c r="M759">
        <f>IF(A759="","",IF(ABS(L759/A759-1)&lt;0.01,"周波数差&lt;1%","周波数差あり"))</f>
        <v/>
      </c>
    </row>
    <row r="760">
      <c r="A760" s="197" t="n"/>
      <c r="B760" s="198" t="n"/>
      <c r="C760" s="198" t="n"/>
      <c r="D760" s="195">
        <f>IF(K760="","",INDEX('差動モデル'!$R:$R,K760))</f>
        <v/>
      </c>
      <c r="E760" s="195">
        <f>IF(K760="","",INDEX('差動モデル'!$S:$S,K760))</f>
        <v/>
      </c>
      <c r="F760" s="195">
        <f>IF(OR(A760="",B760=""),"",100*(D760-B760)/MAX(B760,1E-12))</f>
        <v/>
      </c>
      <c r="G760" s="195">
        <f>IF(OR(A760="",C760=""),"",E760-C760)</f>
        <v/>
      </c>
      <c r="H760" s="195">
        <f>IF(A760="","",LOG10(A760))</f>
        <v/>
      </c>
      <c r="I760" s="195">
        <f>IF(B760="","",LOG10(MAX(B760,1E-12)))</f>
        <v/>
      </c>
      <c r="J760" s="195">
        <f>IF(D760="","",LOG10(MAX(D760,1E-12)))</f>
        <v/>
      </c>
      <c r="K760">
        <f>IF(A760="","",ROUND(1+(LOG10(A760)-LOG10('入力・概要'!$B$38))*('入力・概要'!$B$40-1)/(LOG10('入力・概要'!$B$39)-LOG10('入力・概要'!$B$38)),0)+3)</f>
        <v/>
      </c>
      <c r="L760">
        <f>IF(K760="","",INDEX('差動モデル'!$B:$B,K760))</f>
        <v/>
      </c>
      <c r="M760">
        <f>IF(A760="","",IF(ABS(L760/A760-1)&lt;0.01,"周波数差&lt;1%","周波数差あり"))</f>
        <v/>
      </c>
    </row>
    <row r="761">
      <c r="A761" s="197" t="n"/>
      <c r="B761" s="198" t="n"/>
      <c r="C761" s="198" t="n"/>
      <c r="D761" s="195">
        <f>IF(K761="","",INDEX('差動モデル'!$R:$R,K761))</f>
        <v/>
      </c>
      <c r="E761" s="195">
        <f>IF(K761="","",INDEX('差動モデル'!$S:$S,K761))</f>
        <v/>
      </c>
      <c r="F761" s="195">
        <f>IF(OR(A761="",B761=""),"",100*(D761-B761)/MAX(B761,1E-12))</f>
        <v/>
      </c>
      <c r="G761" s="195">
        <f>IF(OR(A761="",C761=""),"",E761-C761)</f>
        <v/>
      </c>
      <c r="H761" s="195">
        <f>IF(A761="","",LOG10(A761))</f>
        <v/>
      </c>
      <c r="I761" s="195">
        <f>IF(B761="","",LOG10(MAX(B761,1E-12)))</f>
        <v/>
      </c>
      <c r="J761" s="195">
        <f>IF(D761="","",LOG10(MAX(D761,1E-12)))</f>
        <v/>
      </c>
      <c r="K761">
        <f>IF(A761="","",ROUND(1+(LOG10(A761)-LOG10('入力・概要'!$B$38))*('入力・概要'!$B$40-1)/(LOG10('入力・概要'!$B$39)-LOG10('入力・概要'!$B$38)),0)+3)</f>
        <v/>
      </c>
      <c r="L761">
        <f>IF(K761="","",INDEX('差動モデル'!$B:$B,K761))</f>
        <v/>
      </c>
      <c r="M761">
        <f>IF(A761="","",IF(ABS(L761/A761-1)&lt;0.01,"周波数差&lt;1%","周波数差あり"))</f>
        <v/>
      </c>
    </row>
    <row r="762">
      <c r="A762" s="197" t="n"/>
      <c r="B762" s="198" t="n"/>
      <c r="C762" s="198" t="n"/>
      <c r="D762" s="195">
        <f>IF(K762="","",INDEX('差動モデル'!$R:$R,K762))</f>
        <v/>
      </c>
      <c r="E762" s="195">
        <f>IF(K762="","",INDEX('差動モデル'!$S:$S,K762))</f>
        <v/>
      </c>
      <c r="F762" s="195">
        <f>IF(OR(A762="",B762=""),"",100*(D762-B762)/MAX(B762,1E-12))</f>
        <v/>
      </c>
      <c r="G762" s="195">
        <f>IF(OR(A762="",C762=""),"",E762-C762)</f>
        <v/>
      </c>
      <c r="H762" s="195">
        <f>IF(A762="","",LOG10(A762))</f>
        <v/>
      </c>
      <c r="I762" s="195">
        <f>IF(B762="","",LOG10(MAX(B762,1E-12)))</f>
        <v/>
      </c>
      <c r="J762" s="195">
        <f>IF(D762="","",LOG10(MAX(D762,1E-12)))</f>
        <v/>
      </c>
      <c r="K762">
        <f>IF(A762="","",ROUND(1+(LOG10(A762)-LOG10('入力・概要'!$B$38))*('入力・概要'!$B$40-1)/(LOG10('入力・概要'!$B$39)-LOG10('入力・概要'!$B$38)),0)+3)</f>
        <v/>
      </c>
      <c r="L762">
        <f>IF(K762="","",INDEX('差動モデル'!$B:$B,K762))</f>
        <v/>
      </c>
      <c r="M762">
        <f>IF(A762="","",IF(ABS(L762/A762-1)&lt;0.01,"周波数差&lt;1%","周波数差あり"))</f>
        <v/>
      </c>
    </row>
    <row r="763">
      <c r="A763" s="197" t="n"/>
      <c r="B763" s="198" t="n"/>
      <c r="C763" s="198" t="n"/>
      <c r="D763" s="195">
        <f>IF(K763="","",INDEX('差動モデル'!$R:$R,K763))</f>
        <v/>
      </c>
      <c r="E763" s="195">
        <f>IF(K763="","",INDEX('差動モデル'!$S:$S,K763))</f>
        <v/>
      </c>
      <c r="F763" s="195">
        <f>IF(OR(A763="",B763=""),"",100*(D763-B763)/MAX(B763,1E-12))</f>
        <v/>
      </c>
      <c r="G763" s="195">
        <f>IF(OR(A763="",C763=""),"",E763-C763)</f>
        <v/>
      </c>
      <c r="H763" s="195">
        <f>IF(A763="","",LOG10(A763))</f>
        <v/>
      </c>
      <c r="I763" s="195">
        <f>IF(B763="","",LOG10(MAX(B763,1E-12)))</f>
        <v/>
      </c>
      <c r="J763" s="195">
        <f>IF(D763="","",LOG10(MAX(D763,1E-12)))</f>
        <v/>
      </c>
      <c r="K763">
        <f>IF(A763="","",ROUND(1+(LOG10(A763)-LOG10('入力・概要'!$B$38))*('入力・概要'!$B$40-1)/(LOG10('入力・概要'!$B$39)-LOG10('入力・概要'!$B$38)),0)+3)</f>
        <v/>
      </c>
      <c r="L763">
        <f>IF(K763="","",INDEX('差動モデル'!$B:$B,K763))</f>
        <v/>
      </c>
      <c r="M763">
        <f>IF(A763="","",IF(ABS(L763/A763-1)&lt;0.01,"周波数差&lt;1%","周波数差あり"))</f>
        <v/>
      </c>
    </row>
    <row r="764">
      <c r="A764" s="197" t="n"/>
      <c r="B764" s="198" t="n"/>
      <c r="C764" s="198" t="n"/>
      <c r="D764" s="195">
        <f>IF(K764="","",INDEX('差動モデル'!$R:$R,K764))</f>
        <v/>
      </c>
      <c r="E764" s="195">
        <f>IF(K764="","",INDEX('差動モデル'!$S:$S,K764))</f>
        <v/>
      </c>
      <c r="F764" s="195">
        <f>IF(OR(A764="",B764=""),"",100*(D764-B764)/MAX(B764,1E-12))</f>
        <v/>
      </c>
      <c r="G764" s="195">
        <f>IF(OR(A764="",C764=""),"",E764-C764)</f>
        <v/>
      </c>
      <c r="H764" s="195">
        <f>IF(A764="","",LOG10(A764))</f>
        <v/>
      </c>
      <c r="I764" s="195">
        <f>IF(B764="","",LOG10(MAX(B764,1E-12)))</f>
        <v/>
      </c>
      <c r="J764" s="195">
        <f>IF(D764="","",LOG10(MAX(D764,1E-12)))</f>
        <v/>
      </c>
      <c r="K764">
        <f>IF(A764="","",ROUND(1+(LOG10(A764)-LOG10('入力・概要'!$B$38))*('入力・概要'!$B$40-1)/(LOG10('入力・概要'!$B$39)-LOG10('入力・概要'!$B$38)),0)+3)</f>
        <v/>
      </c>
      <c r="L764">
        <f>IF(K764="","",INDEX('差動モデル'!$B:$B,K764))</f>
        <v/>
      </c>
      <c r="M764">
        <f>IF(A764="","",IF(ABS(L764/A764-1)&lt;0.01,"周波数差&lt;1%","周波数差あり"))</f>
        <v/>
      </c>
    </row>
    <row r="765">
      <c r="A765" s="197" t="n"/>
      <c r="B765" s="198" t="n"/>
      <c r="C765" s="198" t="n"/>
      <c r="D765" s="195">
        <f>IF(K765="","",INDEX('差動モデル'!$R:$R,K765))</f>
        <v/>
      </c>
      <c r="E765" s="195">
        <f>IF(K765="","",INDEX('差動モデル'!$S:$S,K765))</f>
        <v/>
      </c>
      <c r="F765" s="195">
        <f>IF(OR(A765="",B765=""),"",100*(D765-B765)/MAX(B765,1E-12))</f>
        <v/>
      </c>
      <c r="G765" s="195">
        <f>IF(OR(A765="",C765=""),"",E765-C765)</f>
        <v/>
      </c>
      <c r="H765" s="195">
        <f>IF(A765="","",LOG10(A765))</f>
        <v/>
      </c>
      <c r="I765" s="195">
        <f>IF(B765="","",LOG10(MAX(B765,1E-12)))</f>
        <v/>
      </c>
      <c r="J765" s="195">
        <f>IF(D765="","",LOG10(MAX(D765,1E-12)))</f>
        <v/>
      </c>
      <c r="K765">
        <f>IF(A765="","",ROUND(1+(LOG10(A765)-LOG10('入力・概要'!$B$38))*('入力・概要'!$B$40-1)/(LOG10('入力・概要'!$B$39)-LOG10('入力・概要'!$B$38)),0)+3)</f>
        <v/>
      </c>
      <c r="L765">
        <f>IF(K765="","",INDEX('差動モデル'!$B:$B,K765))</f>
        <v/>
      </c>
      <c r="M765">
        <f>IF(A765="","",IF(ABS(L765/A765-1)&lt;0.01,"周波数差&lt;1%","周波数差あり"))</f>
        <v/>
      </c>
    </row>
    <row r="766">
      <c r="A766" s="197" t="n"/>
      <c r="B766" s="198" t="n"/>
      <c r="C766" s="198" t="n"/>
      <c r="D766" s="195">
        <f>IF(K766="","",INDEX('差動モデル'!$R:$R,K766))</f>
        <v/>
      </c>
      <c r="E766" s="195">
        <f>IF(K766="","",INDEX('差動モデル'!$S:$S,K766))</f>
        <v/>
      </c>
      <c r="F766" s="195">
        <f>IF(OR(A766="",B766=""),"",100*(D766-B766)/MAX(B766,1E-12))</f>
        <v/>
      </c>
      <c r="G766" s="195">
        <f>IF(OR(A766="",C766=""),"",E766-C766)</f>
        <v/>
      </c>
      <c r="H766" s="195">
        <f>IF(A766="","",LOG10(A766))</f>
        <v/>
      </c>
      <c r="I766" s="195">
        <f>IF(B766="","",LOG10(MAX(B766,1E-12)))</f>
        <v/>
      </c>
      <c r="J766" s="195">
        <f>IF(D766="","",LOG10(MAX(D766,1E-12)))</f>
        <v/>
      </c>
      <c r="K766">
        <f>IF(A766="","",ROUND(1+(LOG10(A766)-LOG10('入力・概要'!$B$38))*('入力・概要'!$B$40-1)/(LOG10('入力・概要'!$B$39)-LOG10('入力・概要'!$B$38)),0)+3)</f>
        <v/>
      </c>
      <c r="L766">
        <f>IF(K766="","",INDEX('差動モデル'!$B:$B,K766))</f>
        <v/>
      </c>
      <c r="M766">
        <f>IF(A766="","",IF(ABS(L766/A766-1)&lt;0.01,"周波数差&lt;1%","周波数差あり"))</f>
        <v/>
      </c>
    </row>
    <row r="767">
      <c r="A767" s="197" t="n"/>
      <c r="B767" s="198" t="n"/>
      <c r="C767" s="198" t="n"/>
      <c r="D767" s="195">
        <f>IF(K767="","",INDEX('差動モデル'!$R:$R,K767))</f>
        <v/>
      </c>
      <c r="E767" s="195">
        <f>IF(K767="","",INDEX('差動モデル'!$S:$S,K767))</f>
        <v/>
      </c>
      <c r="F767" s="195">
        <f>IF(OR(A767="",B767=""),"",100*(D767-B767)/MAX(B767,1E-12))</f>
        <v/>
      </c>
      <c r="G767" s="195">
        <f>IF(OR(A767="",C767=""),"",E767-C767)</f>
        <v/>
      </c>
      <c r="H767" s="195">
        <f>IF(A767="","",LOG10(A767))</f>
        <v/>
      </c>
      <c r="I767" s="195">
        <f>IF(B767="","",LOG10(MAX(B767,1E-12)))</f>
        <v/>
      </c>
      <c r="J767" s="195">
        <f>IF(D767="","",LOG10(MAX(D767,1E-12)))</f>
        <v/>
      </c>
      <c r="K767">
        <f>IF(A767="","",ROUND(1+(LOG10(A767)-LOG10('入力・概要'!$B$38))*('入力・概要'!$B$40-1)/(LOG10('入力・概要'!$B$39)-LOG10('入力・概要'!$B$38)),0)+3)</f>
        <v/>
      </c>
      <c r="L767">
        <f>IF(K767="","",INDEX('差動モデル'!$B:$B,K767))</f>
        <v/>
      </c>
      <c r="M767">
        <f>IF(A767="","",IF(ABS(L767/A767-1)&lt;0.01,"周波数差&lt;1%","周波数差あり"))</f>
        <v/>
      </c>
    </row>
    <row r="768">
      <c r="A768" s="197" t="n"/>
      <c r="B768" s="198" t="n"/>
      <c r="C768" s="198" t="n"/>
      <c r="D768" s="195">
        <f>IF(K768="","",INDEX('差動モデル'!$R:$R,K768))</f>
        <v/>
      </c>
      <c r="E768" s="195">
        <f>IF(K768="","",INDEX('差動モデル'!$S:$S,K768))</f>
        <v/>
      </c>
      <c r="F768" s="195">
        <f>IF(OR(A768="",B768=""),"",100*(D768-B768)/MAX(B768,1E-12))</f>
        <v/>
      </c>
      <c r="G768" s="195">
        <f>IF(OR(A768="",C768=""),"",E768-C768)</f>
        <v/>
      </c>
      <c r="H768" s="195">
        <f>IF(A768="","",LOG10(A768))</f>
        <v/>
      </c>
      <c r="I768" s="195">
        <f>IF(B768="","",LOG10(MAX(B768,1E-12)))</f>
        <v/>
      </c>
      <c r="J768" s="195">
        <f>IF(D768="","",LOG10(MAX(D768,1E-12)))</f>
        <v/>
      </c>
      <c r="K768">
        <f>IF(A768="","",ROUND(1+(LOG10(A768)-LOG10('入力・概要'!$B$38))*('入力・概要'!$B$40-1)/(LOG10('入力・概要'!$B$39)-LOG10('入力・概要'!$B$38)),0)+3)</f>
        <v/>
      </c>
      <c r="L768">
        <f>IF(K768="","",INDEX('差動モデル'!$B:$B,K768))</f>
        <v/>
      </c>
      <c r="M768">
        <f>IF(A768="","",IF(ABS(L768/A768-1)&lt;0.01,"周波数差&lt;1%","周波数差あり"))</f>
        <v/>
      </c>
    </row>
    <row r="769">
      <c r="A769" s="197" t="n"/>
      <c r="B769" s="198" t="n"/>
      <c r="C769" s="198" t="n"/>
      <c r="D769" s="195">
        <f>IF(K769="","",INDEX('差動モデル'!$R:$R,K769))</f>
        <v/>
      </c>
      <c r="E769" s="195">
        <f>IF(K769="","",INDEX('差動モデル'!$S:$S,K769))</f>
        <v/>
      </c>
      <c r="F769" s="195">
        <f>IF(OR(A769="",B769=""),"",100*(D769-B769)/MAX(B769,1E-12))</f>
        <v/>
      </c>
      <c r="G769" s="195">
        <f>IF(OR(A769="",C769=""),"",E769-C769)</f>
        <v/>
      </c>
      <c r="H769" s="195">
        <f>IF(A769="","",LOG10(A769))</f>
        <v/>
      </c>
      <c r="I769" s="195">
        <f>IF(B769="","",LOG10(MAX(B769,1E-12)))</f>
        <v/>
      </c>
      <c r="J769" s="195">
        <f>IF(D769="","",LOG10(MAX(D769,1E-12)))</f>
        <v/>
      </c>
      <c r="K769">
        <f>IF(A769="","",ROUND(1+(LOG10(A769)-LOG10('入力・概要'!$B$38))*('入力・概要'!$B$40-1)/(LOG10('入力・概要'!$B$39)-LOG10('入力・概要'!$B$38)),0)+3)</f>
        <v/>
      </c>
      <c r="L769">
        <f>IF(K769="","",INDEX('差動モデル'!$B:$B,K769))</f>
        <v/>
      </c>
      <c r="M769">
        <f>IF(A769="","",IF(ABS(L769/A769-1)&lt;0.01,"周波数差&lt;1%","周波数差あり"))</f>
        <v/>
      </c>
    </row>
    <row r="770">
      <c r="A770" s="197" t="n"/>
      <c r="B770" s="198" t="n"/>
      <c r="C770" s="198" t="n"/>
      <c r="D770" s="195">
        <f>IF(K770="","",INDEX('差動モデル'!$R:$R,K770))</f>
        <v/>
      </c>
      <c r="E770" s="195">
        <f>IF(K770="","",INDEX('差動モデル'!$S:$S,K770))</f>
        <v/>
      </c>
      <c r="F770" s="195">
        <f>IF(OR(A770="",B770=""),"",100*(D770-B770)/MAX(B770,1E-12))</f>
        <v/>
      </c>
      <c r="G770" s="195">
        <f>IF(OR(A770="",C770=""),"",E770-C770)</f>
        <v/>
      </c>
      <c r="H770" s="195">
        <f>IF(A770="","",LOG10(A770))</f>
        <v/>
      </c>
      <c r="I770" s="195">
        <f>IF(B770="","",LOG10(MAX(B770,1E-12)))</f>
        <v/>
      </c>
      <c r="J770" s="195">
        <f>IF(D770="","",LOG10(MAX(D770,1E-12)))</f>
        <v/>
      </c>
      <c r="K770">
        <f>IF(A770="","",ROUND(1+(LOG10(A770)-LOG10('入力・概要'!$B$38))*('入力・概要'!$B$40-1)/(LOG10('入力・概要'!$B$39)-LOG10('入力・概要'!$B$38)),0)+3)</f>
        <v/>
      </c>
      <c r="L770">
        <f>IF(K770="","",INDEX('差動モデル'!$B:$B,K770))</f>
        <v/>
      </c>
      <c r="M770">
        <f>IF(A770="","",IF(ABS(L770/A770-1)&lt;0.01,"周波数差&lt;1%","周波数差あり"))</f>
        <v/>
      </c>
    </row>
    <row r="771">
      <c r="A771" s="197" t="n"/>
      <c r="B771" s="198" t="n"/>
      <c r="C771" s="198" t="n"/>
      <c r="D771" s="195">
        <f>IF(K771="","",INDEX('差動モデル'!$R:$R,K771))</f>
        <v/>
      </c>
      <c r="E771" s="195">
        <f>IF(K771="","",INDEX('差動モデル'!$S:$S,K771))</f>
        <v/>
      </c>
      <c r="F771" s="195">
        <f>IF(OR(A771="",B771=""),"",100*(D771-B771)/MAX(B771,1E-12))</f>
        <v/>
      </c>
      <c r="G771" s="195">
        <f>IF(OR(A771="",C771=""),"",E771-C771)</f>
        <v/>
      </c>
      <c r="H771" s="195">
        <f>IF(A771="","",LOG10(A771))</f>
        <v/>
      </c>
      <c r="I771" s="195">
        <f>IF(B771="","",LOG10(MAX(B771,1E-12)))</f>
        <v/>
      </c>
      <c r="J771" s="195">
        <f>IF(D771="","",LOG10(MAX(D771,1E-12)))</f>
        <v/>
      </c>
      <c r="K771">
        <f>IF(A771="","",ROUND(1+(LOG10(A771)-LOG10('入力・概要'!$B$38))*('入力・概要'!$B$40-1)/(LOG10('入力・概要'!$B$39)-LOG10('入力・概要'!$B$38)),0)+3)</f>
        <v/>
      </c>
      <c r="L771">
        <f>IF(K771="","",INDEX('差動モデル'!$B:$B,K771))</f>
        <v/>
      </c>
      <c r="M771">
        <f>IF(A771="","",IF(ABS(L771/A771-1)&lt;0.01,"周波数差&lt;1%","周波数差あり"))</f>
        <v/>
      </c>
    </row>
    <row r="772">
      <c r="A772" s="197" t="n"/>
      <c r="B772" s="198" t="n"/>
      <c r="C772" s="198" t="n"/>
      <c r="D772" s="195">
        <f>IF(K772="","",INDEX('差動モデル'!$R:$R,K772))</f>
        <v/>
      </c>
      <c r="E772" s="195">
        <f>IF(K772="","",INDEX('差動モデル'!$S:$S,K772))</f>
        <v/>
      </c>
      <c r="F772" s="195">
        <f>IF(OR(A772="",B772=""),"",100*(D772-B772)/MAX(B772,1E-12))</f>
        <v/>
      </c>
      <c r="G772" s="195">
        <f>IF(OR(A772="",C772=""),"",E772-C772)</f>
        <v/>
      </c>
      <c r="H772" s="195">
        <f>IF(A772="","",LOG10(A772))</f>
        <v/>
      </c>
      <c r="I772" s="195">
        <f>IF(B772="","",LOG10(MAX(B772,1E-12)))</f>
        <v/>
      </c>
      <c r="J772" s="195">
        <f>IF(D772="","",LOG10(MAX(D772,1E-12)))</f>
        <v/>
      </c>
      <c r="K772">
        <f>IF(A772="","",ROUND(1+(LOG10(A772)-LOG10('入力・概要'!$B$38))*('入力・概要'!$B$40-1)/(LOG10('入力・概要'!$B$39)-LOG10('入力・概要'!$B$38)),0)+3)</f>
        <v/>
      </c>
      <c r="L772">
        <f>IF(K772="","",INDEX('差動モデル'!$B:$B,K772))</f>
        <v/>
      </c>
      <c r="M772">
        <f>IF(A772="","",IF(ABS(L772/A772-1)&lt;0.01,"周波数差&lt;1%","周波数差あり"))</f>
        <v/>
      </c>
    </row>
    <row r="773">
      <c r="A773" s="197" t="n"/>
      <c r="B773" s="198" t="n"/>
      <c r="C773" s="198" t="n"/>
      <c r="D773" s="195">
        <f>IF(K773="","",INDEX('差動モデル'!$R:$R,K773))</f>
        <v/>
      </c>
      <c r="E773" s="195">
        <f>IF(K773="","",INDEX('差動モデル'!$S:$S,K773))</f>
        <v/>
      </c>
      <c r="F773" s="195">
        <f>IF(OR(A773="",B773=""),"",100*(D773-B773)/MAX(B773,1E-12))</f>
        <v/>
      </c>
      <c r="G773" s="195">
        <f>IF(OR(A773="",C773=""),"",E773-C773)</f>
        <v/>
      </c>
      <c r="H773" s="195">
        <f>IF(A773="","",LOG10(A773))</f>
        <v/>
      </c>
      <c r="I773" s="195">
        <f>IF(B773="","",LOG10(MAX(B773,1E-12)))</f>
        <v/>
      </c>
      <c r="J773" s="195">
        <f>IF(D773="","",LOG10(MAX(D773,1E-12)))</f>
        <v/>
      </c>
      <c r="K773">
        <f>IF(A773="","",ROUND(1+(LOG10(A773)-LOG10('入力・概要'!$B$38))*('入力・概要'!$B$40-1)/(LOG10('入力・概要'!$B$39)-LOG10('入力・概要'!$B$38)),0)+3)</f>
        <v/>
      </c>
      <c r="L773">
        <f>IF(K773="","",INDEX('差動モデル'!$B:$B,K773))</f>
        <v/>
      </c>
      <c r="M773">
        <f>IF(A773="","",IF(ABS(L773/A773-1)&lt;0.01,"周波数差&lt;1%","周波数差あり"))</f>
        <v/>
      </c>
    </row>
    <row r="774">
      <c r="A774" s="197" t="n"/>
      <c r="B774" s="198" t="n"/>
      <c r="C774" s="198" t="n"/>
      <c r="D774" s="195">
        <f>IF(K774="","",INDEX('差動モデル'!$R:$R,K774))</f>
        <v/>
      </c>
      <c r="E774" s="195">
        <f>IF(K774="","",INDEX('差動モデル'!$S:$S,K774))</f>
        <v/>
      </c>
      <c r="F774" s="195">
        <f>IF(OR(A774="",B774=""),"",100*(D774-B774)/MAX(B774,1E-12))</f>
        <v/>
      </c>
      <c r="G774" s="195">
        <f>IF(OR(A774="",C774=""),"",E774-C774)</f>
        <v/>
      </c>
      <c r="H774" s="195">
        <f>IF(A774="","",LOG10(A774))</f>
        <v/>
      </c>
      <c r="I774" s="195">
        <f>IF(B774="","",LOG10(MAX(B774,1E-12)))</f>
        <v/>
      </c>
      <c r="J774" s="195">
        <f>IF(D774="","",LOG10(MAX(D774,1E-12)))</f>
        <v/>
      </c>
      <c r="K774">
        <f>IF(A774="","",ROUND(1+(LOG10(A774)-LOG10('入力・概要'!$B$38))*('入力・概要'!$B$40-1)/(LOG10('入力・概要'!$B$39)-LOG10('入力・概要'!$B$38)),0)+3)</f>
        <v/>
      </c>
      <c r="L774">
        <f>IF(K774="","",INDEX('差動モデル'!$B:$B,K774))</f>
        <v/>
      </c>
      <c r="M774">
        <f>IF(A774="","",IF(ABS(L774/A774-1)&lt;0.01,"周波数差&lt;1%","周波数差あり"))</f>
        <v/>
      </c>
    </row>
    <row r="775">
      <c r="A775" s="197" t="n"/>
      <c r="B775" s="198" t="n"/>
      <c r="C775" s="198" t="n"/>
      <c r="D775" s="195">
        <f>IF(K775="","",INDEX('差動モデル'!$R:$R,K775))</f>
        <v/>
      </c>
      <c r="E775" s="195">
        <f>IF(K775="","",INDEX('差動モデル'!$S:$S,K775))</f>
        <v/>
      </c>
      <c r="F775" s="195">
        <f>IF(OR(A775="",B775=""),"",100*(D775-B775)/MAX(B775,1E-12))</f>
        <v/>
      </c>
      <c r="G775" s="195">
        <f>IF(OR(A775="",C775=""),"",E775-C775)</f>
        <v/>
      </c>
      <c r="H775" s="195">
        <f>IF(A775="","",LOG10(A775))</f>
        <v/>
      </c>
      <c r="I775" s="195">
        <f>IF(B775="","",LOG10(MAX(B775,1E-12)))</f>
        <v/>
      </c>
      <c r="J775" s="195">
        <f>IF(D775="","",LOG10(MAX(D775,1E-12)))</f>
        <v/>
      </c>
      <c r="K775">
        <f>IF(A775="","",ROUND(1+(LOG10(A775)-LOG10('入力・概要'!$B$38))*('入力・概要'!$B$40-1)/(LOG10('入力・概要'!$B$39)-LOG10('入力・概要'!$B$38)),0)+3)</f>
        <v/>
      </c>
      <c r="L775">
        <f>IF(K775="","",INDEX('差動モデル'!$B:$B,K775))</f>
        <v/>
      </c>
      <c r="M775">
        <f>IF(A775="","",IF(ABS(L775/A775-1)&lt;0.01,"周波数差&lt;1%","周波数差あり"))</f>
        <v/>
      </c>
    </row>
    <row r="776">
      <c r="A776" s="197" t="n"/>
      <c r="B776" s="198" t="n"/>
      <c r="C776" s="198" t="n"/>
      <c r="D776" s="195">
        <f>IF(K776="","",INDEX('差動モデル'!$R:$R,K776))</f>
        <v/>
      </c>
      <c r="E776" s="195">
        <f>IF(K776="","",INDEX('差動モデル'!$S:$S,K776))</f>
        <v/>
      </c>
      <c r="F776" s="195">
        <f>IF(OR(A776="",B776=""),"",100*(D776-B776)/MAX(B776,1E-12))</f>
        <v/>
      </c>
      <c r="G776" s="195">
        <f>IF(OR(A776="",C776=""),"",E776-C776)</f>
        <v/>
      </c>
      <c r="H776" s="195">
        <f>IF(A776="","",LOG10(A776))</f>
        <v/>
      </c>
      <c r="I776" s="195">
        <f>IF(B776="","",LOG10(MAX(B776,1E-12)))</f>
        <v/>
      </c>
      <c r="J776" s="195">
        <f>IF(D776="","",LOG10(MAX(D776,1E-12)))</f>
        <v/>
      </c>
      <c r="K776">
        <f>IF(A776="","",ROUND(1+(LOG10(A776)-LOG10('入力・概要'!$B$38))*('入力・概要'!$B$40-1)/(LOG10('入力・概要'!$B$39)-LOG10('入力・概要'!$B$38)),0)+3)</f>
        <v/>
      </c>
      <c r="L776">
        <f>IF(K776="","",INDEX('差動モデル'!$B:$B,K776))</f>
        <v/>
      </c>
      <c r="M776">
        <f>IF(A776="","",IF(ABS(L776/A776-1)&lt;0.01,"周波数差&lt;1%","周波数差あり"))</f>
        <v/>
      </c>
    </row>
    <row r="777">
      <c r="A777" s="197" t="n"/>
      <c r="B777" s="198" t="n"/>
      <c r="C777" s="198" t="n"/>
      <c r="D777" s="195">
        <f>IF(K777="","",INDEX('差動モデル'!$R:$R,K777))</f>
        <v/>
      </c>
      <c r="E777" s="195">
        <f>IF(K777="","",INDEX('差動モデル'!$S:$S,K777))</f>
        <v/>
      </c>
      <c r="F777" s="195">
        <f>IF(OR(A777="",B777=""),"",100*(D777-B777)/MAX(B777,1E-12))</f>
        <v/>
      </c>
      <c r="G777" s="195">
        <f>IF(OR(A777="",C777=""),"",E777-C777)</f>
        <v/>
      </c>
      <c r="H777" s="195">
        <f>IF(A777="","",LOG10(A777))</f>
        <v/>
      </c>
      <c r="I777" s="195">
        <f>IF(B777="","",LOG10(MAX(B777,1E-12)))</f>
        <v/>
      </c>
      <c r="J777" s="195">
        <f>IF(D777="","",LOG10(MAX(D777,1E-12)))</f>
        <v/>
      </c>
      <c r="K777">
        <f>IF(A777="","",ROUND(1+(LOG10(A777)-LOG10('入力・概要'!$B$38))*('入力・概要'!$B$40-1)/(LOG10('入力・概要'!$B$39)-LOG10('入力・概要'!$B$38)),0)+3)</f>
        <v/>
      </c>
      <c r="L777">
        <f>IF(K777="","",INDEX('差動モデル'!$B:$B,K777))</f>
        <v/>
      </c>
      <c r="M777">
        <f>IF(A777="","",IF(ABS(L777/A777-1)&lt;0.01,"周波数差&lt;1%","周波数差あり"))</f>
        <v/>
      </c>
    </row>
    <row r="778">
      <c r="A778" s="197" t="n"/>
      <c r="B778" s="198" t="n"/>
      <c r="C778" s="198" t="n"/>
      <c r="D778" s="195">
        <f>IF(K778="","",INDEX('差動モデル'!$R:$R,K778))</f>
        <v/>
      </c>
      <c r="E778" s="195">
        <f>IF(K778="","",INDEX('差動モデル'!$S:$S,K778))</f>
        <v/>
      </c>
      <c r="F778" s="195">
        <f>IF(OR(A778="",B778=""),"",100*(D778-B778)/MAX(B778,1E-12))</f>
        <v/>
      </c>
      <c r="G778" s="195">
        <f>IF(OR(A778="",C778=""),"",E778-C778)</f>
        <v/>
      </c>
      <c r="H778" s="195">
        <f>IF(A778="","",LOG10(A778))</f>
        <v/>
      </c>
      <c r="I778" s="195">
        <f>IF(B778="","",LOG10(MAX(B778,1E-12)))</f>
        <v/>
      </c>
      <c r="J778" s="195">
        <f>IF(D778="","",LOG10(MAX(D778,1E-12)))</f>
        <v/>
      </c>
      <c r="K778">
        <f>IF(A778="","",ROUND(1+(LOG10(A778)-LOG10('入力・概要'!$B$38))*('入力・概要'!$B$40-1)/(LOG10('入力・概要'!$B$39)-LOG10('入力・概要'!$B$38)),0)+3)</f>
        <v/>
      </c>
      <c r="L778">
        <f>IF(K778="","",INDEX('差動モデル'!$B:$B,K778))</f>
        <v/>
      </c>
      <c r="M778">
        <f>IF(A778="","",IF(ABS(L778/A778-1)&lt;0.01,"周波数差&lt;1%","周波数差あり"))</f>
        <v/>
      </c>
    </row>
    <row r="779">
      <c r="A779" s="197" t="n"/>
      <c r="B779" s="198" t="n"/>
      <c r="C779" s="198" t="n"/>
      <c r="D779" s="195">
        <f>IF(K779="","",INDEX('差動モデル'!$R:$R,K779))</f>
        <v/>
      </c>
      <c r="E779" s="195">
        <f>IF(K779="","",INDEX('差動モデル'!$S:$S,K779))</f>
        <v/>
      </c>
      <c r="F779" s="195">
        <f>IF(OR(A779="",B779=""),"",100*(D779-B779)/MAX(B779,1E-12))</f>
        <v/>
      </c>
      <c r="G779" s="195">
        <f>IF(OR(A779="",C779=""),"",E779-C779)</f>
        <v/>
      </c>
      <c r="H779" s="195">
        <f>IF(A779="","",LOG10(A779))</f>
        <v/>
      </c>
      <c r="I779" s="195">
        <f>IF(B779="","",LOG10(MAX(B779,1E-12)))</f>
        <v/>
      </c>
      <c r="J779" s="195">
        <f>IF(D779="","",LOG10(MAX(D779,1E-12)))</f>
        <v/>
      </c>
      <c r="K779">
        <f>IF(A779="","",ROUND(1+(LOG10(A779)-LOG10('入力・概要'!$B$38))*('入力・概要'!$B$40-1)/(LOG10('入力・概要'!$B$39)-LOG10('入力・概要'!$B$38)),0)+3)</f>
        <v/>
      </c>
      <c r="L779">
        <f>IF(K779="","",INDEX('差動モデル'!$B:$B,K779))</f>
        <v/>
      </c>
      <c r="M779">
        <f>IF(A779="","",IF(ABS(L779/A779-1)&lt;0.01,"周波数差&lt;1%","周波数差あり"))</f>
        <v/>
      </c>
    </row>
    <row r="780">
      <c r="A780" s="197" t="n"/>
      <c r="B780" s="198" t="n"/>
      <c r="C780" s="198" t="n"/>
      <c r="D780" s="195">
        <f>IF(K780="","",INDEX('差動モデル'!$R:$R,K780))</f>
        <v/>
      </c>
      <c r="E780" s="195">
        <f>IF(K780="","",INDEX('差動モデル'!$S:$S,K780))</f>
        <v/>
      </c>
      <c r="F780" s="195">
        <f>IF(OR(A780="",B780=""),"",100*(D780-B780)/MAX(B780,1E-12))</f>
        <v/>
      </c>
      <c r="G780" s="195">
        <f>IF(OR(A780="",C780=""),"",E780-C780)</f>
        <v/>
      </c>
      <c r="H780" s="195">
        <f>IF(A780="","",LOG10(A780))</f>
        <v/>
      </c>
      <c r="I780" s="195">
        <f>IF(B780="","",LOG10(MAX(B780,1E-12)))</f>
        <v/>
      </c>
      <c r="J780" s="195">
        <f>IF(D780="","",LOG10(MAX(D780,1E-12)))</f>
        <v/>
      </c>
      <c r="K780">
        <f>IF(A780="","",ROUND(1+(LOG10(A780)-LOG10('入力・概要'!$B$38))*('入力・概要'!$B$40-1)/(LOG10('入力・概要'!$B$39)-LOG10('入力・概要'!$B$38)),0)+3)</f>
        <v/>
      </c>
      <c r="L780">
        <f>IF(K780="","",INDEX('差動モデル'!$B:$B,K780))</f>
        <v/>
      </c>
      <c r="M780">
        <f>IF(A780="","",IF(ABS(L780/A780-1)&lt;0.01,"周波数差&lt;1%","周波数差あり"))</f>
        <v/>
      </c>
    </row>
    <row r="781">
      <c r="A781" s="197" t="n"/>
      <c r="B781" s="198" t="n"/>
      <c r="C781" s="198" t="n"/>
      <c r="D781" s="195">
        <f>IF(K781="","",INDEX('差動モデル'!$R:$R,K781))</f>
        <v/>
      </c>
      <c r="E781" s="195">
        <f>IF(K781="","",INDEX('差動モデル'!$S:$S,K781))</f>
        <v/>
      </c>
      <c r="F781" s="195">
        <f>IF(OR(A781="",B781=""),"",100*(D781-B781)/MAX(B781,1E-12))</f>
        <v/>
      </c>
      <c r="G781" s="195">
        <f>IF(OR(A781="",C781=""),"",E781-C781)</f>
        <v/>
      </c>
      <c r="H781" s="195">
        <f>IF(A781="","",LOG10(A781))</f>
        <v/>
      </c>
      <c r="I781" s="195">
        <f>IF(B781="","",LOG10(MAX(B781,1E-12)))</f>
        <v/>
      </c>
      <c r="J781" s="195">
        <f>IF(D781="","",LOG10(MAX(D781,1E-12)))</f>
        <v/>
      </c>
      <c r="K781">
        <f>IF(A781="","",ROUND(1+(LOG10(A781)-LOG10('入力・概要'!$B$38))*('入力・概要'!$B$40-1)/(LOG10('入力・概要'!$B$39)-LOG10('入力・概要'!$B$38)),0)+3)</f>
        <v/>
      </c>
      <c r="L781">
        <f>IF(K781="","",INDEX('差動モデル'!$B:$B,K781))</f>
        <v/>
      </c>
      <c r="M781">
        <f>IF(A781="","",IF(ABS(L781/A781-1)&lt;0.01,"周波数差&lt;1%","周波数差あり"))</f>
        <v/>
      </c>
    </row>
    <row r="782">
      <c r="A782" s="197" t="n"/>
      <c r="B782" s="198" t="n"/>
      <c r="C782" s="198" t="n"/>
      <c r="D782" s="195">
        <f>IF(K782="","",INDEX('差動モデル'!$R:$R,K782))</f>
        <v/>
      </c>
      <c r="E782" s="195">
        <f>IF(K782="","",INDEX('差動モデル'!$S:$S,K782))</f>
        <v/>
      </c>
      <c r="F782" s="195">
        <f>IF(OR(A782="",B782=""),"",100*(D782-B782)/MAX(B782,1E-12))</f>
        <v/>
      </c>
      <c r="G782" s="195">
        <f>IF(OR(A782="",C782=""),"",E782-C782)</f>
        <v/>
      </c>
      <c r="H782" s="195">
        <f>IF(A782="","",LOG10(A782))</f>
        <v/>
      </c>
      <c r="I782" s="195">
        <f>IF(B782="","",LOG10(MAX(B782,1E-12)))</f>
        <v/>
      </c>
      <c r="J782" s="195">
        <f>IF(D782="","",LOG10(MAX(D782,1E-12)))</f>
        <v/>
      </c>
      <c r="K782">
        <f>IF(A782="","",ROUND(1+(LOG10(A782)-LOG10('入力・概要'!$B$38))*('入力・概要'!$B$40-1)/(LOG10('入力・概要'!$B$39)-LOG10('入力・概要'!$B$38)),0)+3)</f>
        <v/>
      </c>
      <c r="L782">
        <f>IF(K782="","",INDEX('差動モデル'!$B:$B,K782))</f>
        <v/>
      </c>
      <c r="M782">
        <f>IF(A782="","",IF(ABS(L782/A782-1)&lt;0.01,"周波数差&lt;1%","周波数差あり"))</f>
        <v/>
      </c>
    </row>
    <row r="783">
      <c r="A783" s="197" t="n"/>
      <c r="B783" s="198" t="n"/>
      <c r="C783" s="198" t="n"/>
      <c r="D783" s="195">
        <f>IF(K783="","",INDEX('差動モデル'!$R:$R,K783))</f>
        <v/>
      </c>
      <c r="E783" s="195">
        <f>IF(K783="","",INDEX('差動モデル'!$S:$S,K783))</f>
        <v/>
      </c>
      <c r="F783" s="195">
        <f>IF(OR(A783="",B783=""),"",100*(D783-B783)/MAX(B783,1E-12))</f>
        <v/>
      </c>
      <c r="G783" s="195">
        <f>IF(OR(A783="",C783=""),"",E783-C783)</f>
        <v/>
      </c>
      <c r="H783" s="195">
        <f>IF(A783="","",LOG10(A783))</f>
        <v/>
      </c>
      <c r="I783" s="195">
        <f>IF(B783="","",LOG10(MAX(B783,1E-12)))</f>
        <v/>
      </c>
      <c r="J783" s="195">
        <f>IF(D783="","",LOG10(MAX(D783,1E-12)))</f>
        <v/>
      </c>
      <c r="K783">
        <f>IF(A783="","",ROUND(1+(LOG10(A783)-LOG10('入力・概要'!$B$38))*('入力・概要'!$B$40-1)/(LOG10('入力・概要'!$B$39)-LOG10('入力・概要'!$B$38)),0)+3)</f>
        <v/>
      </c>
      <c r="L783">
        <f>IF(K783="","",INDEX('差動モデル'!$B:$B,K783))</f>
        <v/>
      </c>
      <c r="M783">
        <f>IF(A783="","",IF(ABS(L783/A783-1)&lt;0.01,"周波数差&lt;1%","周波数差あり"))</f>
        <v/>
      </c>
    </row>
    <row r="784">
      <c r="A784" s="197" t="n"/>
      <c r="B784" s="198" t="n"/>
      <c r="C784" s="198" t="n"/>
      <c r="D784" s="195">
        <f>IF(K784="","",INDEX('差動モデル'!$R:$R,K784))</f>
        <v/>
      </c>
      <c r="E784" s="195">
        <f>IF(K784="","",INDEX('差動モデル'!$S:$S,K784))</f>
        <v/>
      </c>
      <c r="F784" s="195">
        <f>IF(OR(A784="",B784=""),"",100*(D784-B784)/MAX(B784,1E-12))</f>
        <v/>
      </c>
      <c r="G784" s="195">
        <f>IF(OR(A784="",C784=""),"",E784-C784)</f>
        <v/>
      </c>
      <c r="H784" s="195">
        <f>IF(A784="","",LOG10(A784))</f>
        <v/>
      </c>
      <c r="I784" s="195">
        <f>IF(B784="","",LOG10(MAX(B784,1E-12)))</f>
        <v/>
      </c>
      <c r="J784" s="195">
        <f>IF(D784="","",LOG10(MAX(D784,1E-12)))</f>
        <v/>
      </c>
      <c r="K784">
        <f>IF(A784="","",ROUND(1+(LOG10(A784)-LOG10('入力・概要'!$B$38))*('入力・概要'!$B$40-1)/(LOG10('入力・概要'!$B$39)-LOG10('入力・概要'!$B$38)),0)+3)</f>
        <v/>
      </c>
      <c r="L784">
        <f>IF(K784="","",INDEX('差動モデル'!$B:$B,K784))</f>
        <v/>
      </c>
      <c r="M784">
        <f>IF(A784="","",IF(ABS(L784/A784-1)&lt;0.01,"周波数差&lt;1%","周波数差あり"))</f>
        <v/>
      </c>
    </row>
    <row r="785">
      <c r="A785" s="197" t="n"/>
      <c r="B785" s="198" t="n"/>
      <c r="C785" s="198" t="n"/>
      <c r="D785" s="195">
        <f>IF(K785="","",INDEX('差動モデル'!$R:$R,K785))</f>
        <v/>
      </c>
      <c r="E785" s="195">
        <f>IF(K785="","",INDEX('差動モデル'!$S:$S,K785))</f>
        <v/>
      </c>
      <c r="F785" s="195">
        <f>IF(OR(A785="",B785=""),"",100*(D785-B785)/MAX(B785,1E-12))</f>
        <v/>
      </c>
      <c r="G785" s="195">
        <f>IF(OR(A785="",C785=""),"",E785-C785)</f>
        <v/>
      </c>
      <c r="H785" s="195">
        <f>IF(A785="","",LOG10(A785))</f>
        <v/>
      </c>
      <c r="I785" s="195">
        <f>IF(B785="","",LOG10(MAX(B785,1E-12)))</f>
        <v/>
      </c>
      <c r="J785" s="195">
        <f>IF(D785="","",LOG10(MAX(D785,1E-12)))</f>
        <v/>
      </c>
      <c r="K785">
        <f>IF(A785="","",ROUND(1+(LOG10(A785)-LOG10('入力・概要'!$B$38))*('入力・概要'!$B$40-1)/(LOG10('入力・概要'!$B$39)-LOG10('入力・概要'!$B$38)),0)+3)</f>
        <v/>
      </c>
      <c r="L785">
        <f>IF(K785="","",INDEX('差動モデル'!$B:$B,K785))</f>
        <v/>
      </c>
      <c r="M785">
        <f>IF(A785="","",IF(ABS(L785/A785-1)&lt;0.01,"周波数差&lt;1%","周波数差あり"))</f>
        <v/>
      </c>
    </row>
    <row r="786">
      <c r="A786" s="197" t="n"/>
      <c r="B786" s="198" t="n"/>
      <c r="C786" s="198" t="n"/>
      <c r="D786" s="195">
        <f>IF(K786="","",INDEX('差動モデル'!$R:$R,K786))</f>
        <v/>
      </c>
      <c r="E786" s="195">
        <f>IF(K786="","",INDEX('差動モデル'!$S:$S,K786))</f>
        <v/>
      </c>
      <c r="F786" s="195">
        <f>IF(OR(A786="",B786=""),"",100*(D786-B786)/MAX(B786,1E-12))</f>
        <v/>
      </c>
      <c r="G786" s="195">
        <f>IF(OR(A786="",C786=""),"",E786-C786)</f>
        <v/>
      </c>
      <c r="H786" s="195">
        <f>IF(A786="","",LOG10(A786))</f>
        <v/>
      </c>
      <c r="I786" s="195">
        <f>IF(B786="","",LOG10(MAX(B786,1E-12)))</f>
        <v/>
      </c>
      <c r="J786" s="195">
        <f>IF(D786="","",LOG10(MAX(D786,1E-12)))</f>
        <v/>
      </c>
      <c r="K786">
        <f>IF(A786="","",ROUND(1+(LOG10(A786)-LOG10('入力・概要'!$B$38))*('入力・概要'!$B$40-1)/(LOG10('入力・概要'!$B$39)-LOG10('入力・概要'!$B$38)),0)+3)</f>
        <v/>
      </c>
      <c r="L786">
        <f>IF(K786="","",INDEX('差動モデル'!$B:$B,K786))</f>
        <v/>
      </c>
      <c r="M786">
        <f>IF(A786="","",IF(ABS(L786/A786-1)&lt;0.01,"周波数差&lt;1%","周波数差あり"))</f>
        <v/>
      </c>
    </row>
    <row r="787">
      <c r="A787" s="197" t="n"/>
      <c r="B787" s="198" t="n"/>
      <c r="C787" s="198" t="n"/>
      <c r="D787" s="195">
        <f>IF(K787="","",INDEX('差動モデル'!$R:$R,K787))</f>
        <v/>
      </c>
      <c r="E787" s="195">
        <f>IF(K787="","",INDEX('差動モデル'!$S:$S,K787))</f>
        <v/>
      </c>
      <c r="F787" s="195">
        <f>IF(OR(A787="",B787=""),"",100*(D787-B787)/MAX(B787,1E-12))</f>
        <v/>
      </c>
      <c r="G787" s="195">
        <f>IF(OR(A787="",C787=""),"",E787-C787)</f>
        <v/>
      </c>
      <c r="H787" s="195">
        <f>IF(A787="","",LOG10(A787))</f>
        <v/>
      </c>
      <c r="I787" s="195">
        <f>IF(B787="","",LOG10(MAX(B787,1E-12)))</f>
        <v/>
      </c>
      <c r="J787" s="195">
        <f>IF(D787="","",LOG10(MAX(D787,1E-12)))</f>
        <v/>
      </c>
      <c r="K787">
        <f>IF(A787="","",ROUND(1+(LOG10(A787)-LOG10('入力・概要'!$B$38))*('入力・概要'!$B$40-1)/(LOG10('入力・概要'!$B$39)-LOG10('入力・概要'!$B$38)),0)+3)</f>
        <v/>
      </c>
      <c r="L787">
        <f>IF(K787="","",INDEX('差動モデル'!$B:$B,K787))</f>
        <v/>
      </c>
      <c r="M787">
        <f>IF(A787="","",IF(ABS(L787/A787-1)&lt;0.01,"周波数差&lt;1%","周波数差あり"))</f>
        <v/>
      </c>
    </row>
    <row r="788">
      <c r="A788" s="197" t="n"/>
      <c r="B788" s="198" t="n"/>
      <c r="C788" s="198" t="n"/>
      <c r="D788" s="195">
        <f>IF(K788="","",INDEX('差動モデル'!$R:$R,K788))</f>
        <v/>
      </c>
      <c r="E788" s="195">
        <f>IF(K788="","",INDEX('差動モデル'!$S:$S,K788))</f>
        <v/>
      </c>
      <c r="F788" s="195">
        <f>IF(OR(A788="",B788=""),"",100*(D788-B788)/MAX(B788,1E-12))</f>
        <v/>
      </c>
      <c r="G788" s="195">
        <f>IF(OR(A788="",C788=""),"",E788-C788)</f>
        <v/>
      </c>
      <c r="H788" s="195">
        <f>IF(A788="","",LOG10(A788))</f>
        <v/>
      </c>
      <c r="I788" s="195">
        <f>IF(B788="","",LOG10(MAX(B788,1E-12)))</f>
        <v/>
      </c>
      <c r="J788" s="195">
        <f>IF(D788="","",LOG10(MAX(D788,1E-12)))</f>
        <v/>
      </c>
      <c r="K788">
        <f>IF(A788="","",ROUND(1+(LOG10(A788)-LOG10('入力・概要'!$B$38))*('入力・概要'!$B$40-1)/(LOG10('入力・概要'!$B$39)-LOG10('入力・概要'!$B$38)),0)+3)</f>
        <v/>
      </c>
      <c r="L788">
        <f>IF(K788="","",INDEX('差動モデル'!$B:$B,K788))</f>
        <v/>
      </c>
      <c r="M788">
        <f>IF(A788="","",IF(ABS(L788/A788-1)&lt;0.01,"周波数差&lt;1%","周波数差あり"))</f>
        <v/>
      </c>
    </row>
    <row r="789">
      <c r="A789" s="197" t="n"/>
      <c r="B789" s="198" t="n"/>
      <c r="C789" s="198" t="n"/>
      <c r="D789" s="195">
        <f>IF(K789="","",INDEX('差動モデル'!$R:$R,K789))</f>
        <v/>
      </c>
      <c r="E789" s="195">
        <f>IF(K789="","",INDEX('差動モデル'!$S:$S,K789))</f>
        <v/>
      </c>
      <c r="F789" s="195">
        <f>IF(OR(A789="",B789=""),"",100*(D789-B789)/MAX(B789,1E-12))</f>
        <v/>
      </c>
      <c r="G789" s="195">
        <f>IF(OR(A789="",C789=""),"",E789-C789)</f>
        <v/>
      </c>
      <c r="H789" s="195">
        <f>IF(A789="","",LOG10(A789))</f>
        <v/>
      </c>
      <c r="I789" s="195">
        <f>IF(B789="","",LOG10(MAX(B789,1E-12)))</f>
        <v/>
      </c>
      <c r="J789" s="195">
        <f>IF(D789="","",LOG10(MAX(D789,1E-12)))</f>
        <v/>
      </c>
      <c r="K789">
        <f>IF(A789="","",ROUND(1+(LOG10(A789)-LOG10('入力・概要'!$B$38))*('入力・概要'!$B$40-1)/(LOG10('入力・概要'!$B$39)-LOG10('入力・概要'!$B$38)),0)+3)</f>
        <v/>
      </c>
      <c r="L789">
        <f>IF(K789="","",INDEX('差動モデル'!$B:$B,K789))</f>
        <v/>
      </c>
      <c r="M789">
        <f>IF(A789="","",IF(ABS(L789/A789-1)&lt;0.01,"周波数差&lt;1%","周波数差あり"))</f>
        <v/>
      </c>
    </row>
    <row r="790">
      <c r="A790" s="197" t="n"/>
      <c r="B790" s="198" t="n"/>
      <c r="C790" s="198" t="n"/>
      <c r="D790" s="195">
        <f>IF(K790="","",INDEX('差動モデル'!$R:$R,K790))</f>
        <v/>
      </c>
      <c r="E790" s="195">
        <f>IF(K790="","",INDEX('差動モデル'!$S:$S,K790))</f>
        <v/>
      </c>
      <c r="F790" s="195">
        <f>IF(OR(A790="",B790=""),"",100*(D790-B790)/MAX(B790,1E-12))</f>
        <v/>
      </c>
      <c r="G790" s="195">
        <f>IF(OR(A790="",C790=""),"",E790-C790)</f>
        <v/>
      </c>
      <c r="H790" s="195">
        <f>IF(A790="","",LOG10(A790))</f>
        <v/>
      </c>
      <c r="I790" s="195">
        <f>IF(B790="","",LOG10(MAX(B790,1E-12)))</f>
        <v/>
      </c>
      <c r="J790" s="195">
        <f>IF(D790="","",LOG10(MAX(D790,1E-12)))</f>
        <v/>
      </c>
      <c r="K790">
        <f>IF(A790="","",ROUND(1+(LOG10(A790)-LOG10('入力・概要'!$B$38))*('入力・概要'!$B$40-1)/(LOG10('入力・概要'!$B$39)-LOG10('入力・概要'!$B$38)),0)+3)</f>
        <v/>
      </c>
      <c r="L790">
        <f>IF(K790="","",INDEX('差動モデル'!$B:$B,K790))</f>
        <v/>
      </c>
      <c r="M790">
        <f>IF(A790="","",IF(ABS(L790/A790-1)&lt;0.01,"周波数差&lt;1%","周波数差あり"))</f>
        <v/>
      </c>
    </row>
    <row r="791">
      <c r="A791" s="197" t="n"/>
      <c r="B791" s="198" t="n"/>
      <c r="C791" s="198" t="n"/>
      <c r="D791" s="195">
        <f>IF(K791="","",INDEX('差動モデル'!$R:$R,K791))</f>
        <v/>
      </c>
      <c r="E791" s="195">
        <f>IF(K791="","",INDEX('差動モデル'!$S:$S,K791))</f>
        <v/>
      </c>
      <c r="F791" s="195">
        <f>IF(OR(A791="",B791=""),"",100*(D791-B791)/MAX(B791,1E-12))</f>
        <v/>
      </c>
      <c r="G791" s="195">
        <f>IF(OR(A791="",C791=""),"",E791-C791)</f>
        <v/>
      </c>
      <c r="H791" s="195">
        <f>IF(A791="","",LOG10(A791))</f>
        <v/>
      </c>
      <c r="I791" s="195">
        <f>IF(B791="","",LOG10(MAX(B791,1E-12)))</f>
        <v/>
      </c>
      <c r="J791" s="195">
        <f>IF(D791="","",LOG10(MAX(D791,1E-12)))</f>
        <v/>
      </c>
      <c r="K791">
        <f>IF(A791="","",ROUND(1+(LOG10(A791)-LOG10('入力・概要'!$B$38))*('入力・概要'!$B$40-1)/(LOG10('入力・概要'!$B$39)-LOG10('入力・概要'!$B$38)),0)+3)</f>
        <v/>
      </c>
      <c r="L791">
        <f>IF(K791="","",INDEX('差動モデル'!$B:$B,K791))</f>
        <v/>
      </c>
      <c r="M791">
        <f>IF(A791="","",IF(ABS(L791/A791-1)&lt;0.01,"周波数差&lt;1%","周波数差あり"))</f>
        <v/>
      </c>
    </row>
    <row r="792">
      <c r="A792" s="197" t="n"/>
      <c r="B792" s="198" t="n"/>
      <c r="C792" s="198" t="n"/>
      <c r="D792" s="195">
        <f>IF(K792="","",INDEX('差動モデル'!$R:$R,K792))</f>
        <v/>
      </c>
      <c r="E792" s="195">
        <f>IF(K792="","",INDEX('差動モデル'!$S:$S,K792))</f>
        <v/>
      </c>
      <c r="F792" s="195">
        <f>IF(OR(A792="",B792=""),"",100*(D792-B792)/MAX(B792,1E-12))</f>
        <v/>
      </c>
      <c r="G792" s="195">
        <f>IF(OR(A792="",C792=""),"",E792-C792)</f>
        <v/>
      </c>
      <c r="H792" s="195">
        <f>IF(A792="","",LOG10(A792))</f>
        <v/>
      </c>
      <c r="I792" s="195">
        <f>IF(B792="","",LOG10(MAX(B792,1E-12)))</f>
        <v/>
      </c>
      <c r="J792" s="195">
        <f>IF(D792="","",LOG10(MAX(D792,1E-12)))</f>
        <v/>
      </c>
      <c r="K792">
        <f>IF(A792="","",ROUND(1+(LOG10(A792)-LOG10('入力・概要'!$B$38))*('入力・概要'!$B$40-1)/(LOG10('入力・概要'!$B$39)-LOG10('入力・概要'!$B$38)),0)+3)</f>
        <v/>
      </c>
      <c r="L792">
        <f>IF(K792="","",INDEX('差動モデル'!$B:$B,K792))</f>
        <v/>
      </c>
      <c r="M792">
        <f>IF(A792="","",IF(ABS(L792/A792-1)&lt;0.01,"周波数差&lt;1%","周波数差あり"))</f>
        <v/>
      </c>
    </row>
    <row r="793">
      <c r="A793" s="197" t="n"/>
      <c r="B793" s="198" t="n"/>
      <c r="C793" s="198" t="n"/>
      <c r="D793" s="195">
        <f>IF(K793="","",INDEX('差動モデル'!$R:$R,K793))</f>
        <v/>
      </c>
      <c r="E793" s="195">
        <f>IF(K793="","",INDEX('差動モデル'!$S:$S,K793))</f>
        <v/>
      </c>
      <c r="F793" s="195">
        <f>IF(OR(A793="",B793=""),"",100*(D793-B793)/MAX(B793,1E-12))</f>
        <v/>
      </c>
      <c r="G793" s="195">
        <f>IF(OR(A793="",C793=""),"",E793-C793)</f>
        <v/>
      </c>
      <c r="H793" s="195">
        <f>IF(A793="","",LOG10(A793))</f>
        <v/>
      </c>
      <c r="I793" s="195">
        <f>IF(B793="","",LOG10(MAX(B793,1E-12)))</f>
        <v/>
      </c>
      <c r="J793" s="195">
        <f>IF(D793="","",LOG10(MAX(D793,1E-12)))</f>
        <v/>
      </c>
      <c r="K793">
        <f>IF(A793="","",ROUND(1+(LOG10(A793)-LOG10('入力・概要'!$B$38))*('入力・概要'!$B$40-1)/(LOG10('入力・概要'!$B$39)-LOG10('入力・概要'!$B$38)),0)+3)</f>
        <v/>
      </c>
      <c r="L793">
        <f>IF(K793="","",INDEX('差動モデル'!$B:$B,K793))</f>
        <v/>
      </c>
      <c r="M793">
        <f>IF(A793="","",IF(ABS(L793/A793-1)&lt;0.01,"周波数差&lt;1%","周波数差あり"))</f>
        <v/>
      </c>
    </row>
    <row r="794">
      <c r="A794" s="197" t="n"/>
      <c r="B794" s="198" t="n"/>
      <c r="C794" s="198" t="n"/>
      <c r="D794" s="195">
        <f>IF(K794="","",INDEX('差動モデル'!$R:$R,K794))</f>
        <v/>
      </c>
      <c r="E794" s="195">
        <f>IF(K794="","",INDEX('差動モデル'!$S:$S,K794))</f>
        <v/>
      </c>
      <c r="F794" s="195">
        <f>IF(OR(A794="",B794=""),"",100*(D794-B794)/MAX(B794,1E-12))</f>
        <v/>
      </c>
      <c r="G794" s="195">
        <f>IF(OR(A794="",C794=""),"",E794-C794)</f>
        <v/>
      </c>
      <c r="H794" s="195">
        <f>IF(A794="","",LOG10(A794))</f>
        <v/>
      </c>
      <c r="I794" s="195">
        <f>IF(B794="","",LOG10(MAX(B794,1E-12)))</f>
        <v/>
      </c>
      <c r="J794" s="195">
        <f>IF(D794="","",LOG10(MAX(D794,1E-12)))</f>
        <v/>
      </c>
      <c r="K794">
        <f>IF(A794="","",ROUND(1+(LOG10(A794)-LOG10('入力・概要'!$B$38))*('入力・概要'!$B$40-1)/(LOG10('入力・概要'!$B$39)-LOG10('入力・概要'!$B$38)),0)+3)</f>
        <v/>
      </c>
      <c r="L794">
        <f>IF(K794="","",INDEX('差動モデル'!$B:$B,K794))</f>
        <v/>
      </c>
      <c r="M794">
        <f>IF(A794="","",IF(ABS(L794/A794-1)&lt;0.01,"周波数差&lt;1%","周波数差あり"))</f>
        <v/>
      </c>
    </row>
    <row r="795">
      <c r="A795" s="197" t="n"/>
      <c r="B795" s="198" t="n"/>
      <c r="C795" s="198" t="n"/>
      <c r="D795" s="195">
        <f>IF(K795="","",INDEX('差動モデル'!$R:$R,K795))</f>
        <v/>
      </c>
      <c r="E795" s="195">
        <f>IF(K795="","",INDEX('差動モデル'!$S:$S,K795))</f>
        <v/>
      </c>
      <c r="F795" s="195">
        <f>IF(OR(A795="",B795=""),"",100*(D795-B795)/MAX(B795,1E-12))</f>
        <v/>
      </c>
      <c r="G795" s="195">
        <f>IF(OR(A795="",C795=""),"",E795-C795)</f>
        <v/>
      </c>
      <c r="H795" s="195">
        <f>IF(A795="","",LOG10(A795))</f>
        <v/>
      </c>
      <c r="I795" s="195">
        <f>IF(B795="","",LOG10(MAX(B795,1E-12)))</f>
        <v/>
      </c>
      <c r="J795" s="195">
        <f>IF(D795="","",LOG10(MAX(D795,1E-12)))</f>
        <v/>
      </c>
      <c r="K795">
        <f>IF(A795="","",ROUND(1+(LOG10(A795)-LOG10('入力・概要'!$B$38))*('入力・概要'!$B$40-1)/(LOG10('入力・概要'!$B$39)-LOG10('入力・概要'!$B$38)),0)+3)</f>
        <v/>
      </c>
      <c r="L795">
        <f>IF(K795="","",INDEX('差動モデル'!$B:$B,K795))</f>
        <v/>
      </c>
      <c r="M795">
        <f>IF(A795="","",IF(ABS(L795/A795-1)&lt;0.01,"周波数差&lt;1%","周波数差あり"))</f>
        <v/>
      </c>
    </row>
    <row r="796">
      <c r="A796" s="197" t="n"/>
      <c r="B796" s="198" t="n"/>
      <c r="C796" s="198" t="n"/>
      <c r="D796" s="195">
        <f>IF(K796="","",INDEX('差動モデル'!$R:$R,K796))</f>
        <v/>
      </c>
      <c r="E796" s="195">
        <f>IF(K796="","",INDEX('差動モデル'!$S:$S,K796))</f>
        <v/>
      </c>
      <c r="F796" s="195">
        <f>IF(OR(A796="",B796=""),"",100*(D796-B796)/MAX(B796,1E-12))</f>
        <v/>
      </c>
      <c r="G796" s="195">
        <f>IF(OR(A796="",C796=""),"",E796-C796)</f>
        <v/>
      </c>
      <c r="H796" s="195">
        <f>IF(A796="","",LOG10(A796))</f>
        <v/>
      </c>
      <c r="I796" s="195">
        <f>IF(B796="","",LOG10(MAX(B796,1E-12)))</f>
        <v/>
      </c>
      <c r="J796" s="195">
        <f>IF(D796="","",LOG10(MAX(D796,1E-12)))</f>
        <v/>
      </c>
      <c r="K796">
        <f>IF(A796="","",ROUND(1+(LOG10(A796)-LOG10('入力・概要'!$B$38))*('入力・概要'!$B$40-1)/(LOG10('入力・概要'!$B$39)-LOG10('入力・概要'!$B$38)),0)+3)</f>
        <v/>
      </c>
      <c r="L796">
        <f>IF(K796="","",INDEX('差動モデル'!$B:$B,K796))</f>
        <v/>
      </c>
      <c r="M796">
        <f>IF(A796="","",IF(ABS(L796/A796-1)&lt;0.01,"周波数差&lt;1%","周波数差あり"))</f>
        <v/>
      </c>
    </row>
    <row r="797">
      <c r="A797" s="197" t="n"/>
      <c r="B797" s="198" t="n"/>
      <c r="C797" s="198" t="n"/>
      <c r="D797" s="195">
        <f>IF(K797="","",INDEX('差動モデル'!$R:$R,K797))</f>
        <v/>
      </c>
      <c r="E797" s="195">
        <f>IF(K797="","",INDEX('差動モデル'!$S:$S,K797))</f>
        <v/>
      </c>
      <c r="F797" s="195">
        <f>IF(OR(A797="",B797=""),"",100*(D797-B797)/MAX(B797,1E-12))</f>
        <v/>
      </c>
      <c r="G797" s="195">
        <f>IF(OR(A797="",C797=""),"",E797-C797)</f>
        <v/>
      </c>
      <c r="H797" s="195">
        <f>IF(A797="","",LOG10(A797))</f>
        <v/>
      </c>
      <c r="I797" s="195">
        <f>IF(B797="","",LOG10(MAX(B797,1E-12)))</f>
        <v/>
      </c>
      <c r="J797" s="195">
        <f>IF(D797="","",LOG10(MAX(D797,1E-12)))</f>
        <v/>
      </c>
      <c r="K797">
        <f>IF(A797="","",ROUND(1+(LOG10(A797)-LOG10('入力・概要'!$B$38))*('入力・概要'!$B$40-1)/(LOG10('入力・概要'!$B$39)-LOG10('入力・概要'!$B$38)),0)+3)</f>
        <v/>
      </c>
      <c r="L797">
        <f>IF(K797="","",INDEX('差動モデル'!$B:$B,K797))</f>
        <v/>
      </c>
      <c r="M797">
        <f>IF(A797="","",IF(ABS(L797/A797-1)&lt;0.01,"周波数差&lt;1%","周波数差あり"))</f>
        <v/>
      </c>
    </row>
    <row r="798">
      <c r="A798" s="197" t="n"/>
      <c r="B798" s="198" t="n"/>
      <c r="C798" s="198" t="n"/>
      <c r="D798" s="195">
        <f>IF(K798="","",INDEX('差動モデル'!$R:$R,K798))</f>
        <v/>
      </c>
      <c r="E798" s="195">
        <f>IF(K798="","",INDEX('差動モデル'!$S:$S,K798))</f>
        <v/>
      </c>
      <c r="F798" s="195">
        <f>IF(OR(A798="",B798=""),"",100*(D798-B798)/MAX(B798,1E-12))</f>
        <v/>
      </c>
      <c r="G798" s="195">
        <f>IF(OR(A798="",C798=""),"",E798-C798)</f>
        <v/>
      </c>
      <c r="H798" s="195">
        <f>IF(A798="","",LOG10(A798))</f>
        <v/>
      </c>
      <c r="I798" s="195">
        <f>IF(B798="","",LOG10(MAX(B798,1E-12)))</f>
        <v/>
      </c>
      <c r="J798" s="195">
        <f>IF(D798="","",LOG10(MAX(D798,1E-12)))</f>
        <v/>
      </c>
      <c r="K798">
        <f>IF(A798="","",ROUND(1+(LOG10(A798)-LOG10('入力・概要'!$B$38))*('入力・概要'!$B$40-1)/(LOG10('入力・概要'!$B$39)-LOG10('入力・概要'!$B$38)),0)+3)</f>
        <v/>
      </c>
      <c r="L798">
        <f>IF(K798="","",INDEX('差動モデル'!$B:$B,K798))</f>
        <v/>
      </c>
      <c r="M798">
        <f>IF(A798="","",IF(ABS(L798/A798-1)&lt;0.01,"周波数差&lt;1%","周波数差あり"))</f>
        <v/>
      </c>
    </row>
    <row r="799">
      <c r="A799" s="197" t="n"/>
      <c r="B799" s="198" t="n"/>
      <c r="C799" s="198" t="n"/>
      <c r="D799" s="195">
        <f>IF(K799="","",INDEX('差動モデル'!$R:$R,K799))</f>
        <v/>
      </c>
      <c r="E799" s="195">
        <f>IF(K799="","",INDEX('差動モデル'!$S:$S,K799))</f>
        <v/>
      </c>
      <c r="F799" s="195">
        <f>IF(OR(A799="",B799=""),"",100*(D799-B799)/MAX(B799,1E-12))</f>
        <v/>
      </c>
      <c r="G799" s="195">
        <f>IF(OR(A799="",C799=""),"",E799-C799)</f>
        <v/>
      </c>
      <c r="H799" s="195">
        <f>IF(A799="","",LOG10(A799))</f>
        <v/>
      </c>
      <c r="I799" s="195">
        <f>IF(B799="","",LOG10(MAX(B799,1E-12)))</f>
        <v/>
      </c>
      <c r="J799" s="195">
        <f>IF(D799="","",LOG10(MAX(D799,1E-12)))</f>
        <v/>
      </c>
      <c r="K799">
        <f>IF(A799="","",ROUND(1+(LOG10(A799)-LOG10('入力・概要'!$B$38))*('入力・概要'!$B$40-1)/(LOG10('入力・概要'!$B$39)-LOG10('入力・概要'!$B$38)),0)+3)</f>
        <v/>
      </c>
      <c r="L799">
        <f>IF(K799="","",INDEX('差動モデル'!$B:$B,K799))</f>
        <v/>
      </c>
      <c r="M799">
        <f>IF(A799="","",IF(ABS(L799/A799-1)&lt;0.01,"周波数差&lt;1%","周波数差あり"))</f>
        <v/>
      </c>
    </row>
    <row r="800">
      <c r="A800" s="197" t="n"/>
      <c r="B800" s="198" t="n"/>
      <c r="C800" s="198" t="n"/>
      <c r="D800" s="195">
        <f>IF(K800="","",INDEX('差動モデル'!$R:$R,K800))</f>
        <v/>
      </c>
      <c r="E800" s="195">
        <f>IF(K800="","",INDEX('差動モデル'!$S:$S,K800))</f>
        <v/>
      </c>
      <c r="F800" s="195">
        <f>IF(OR(A800="",B800=""),"",100*(D800-B800)/MAX(B800,1E-12))</f>
        <v/>
      </c>
      <c r="G800" s="195">
        <f>IF(OR(A800="",C800=""),"",E800-C800)</f>
        <v/>
      </c>
      <c r="H800" s="195">
        <f>IF(A800="","",LOG10(A800))</f>
        <v/>
      </c>
      <c r="I800" s="195">
        <f>IF(B800="","",LOG10(MAX(B800,1E-12)))</f>
        <v/>
      </c>
      <c r="J800" s="195">
        <f>IF(D800="","",LOG10(MAX(D800,1E-12)))</f>
        <v/>
      </c>
      <c r="K800">
        <f>IF(A800="","",ROUND(1+(LOG10(A800)-LOG10('入力・概要'!$B$38))*('入力・概要'!$B$40-1)/(LOG10('入力・概要'!$B$39)-LOG10('入力・概要'!$B$38)),0)+3)</f>
        <v/>
      </c>
      <c r="L800">
        <f>IF(K800="","",INDEX('差動モデル'!$B:$B,K800))</f>
        <v/>
      </c>
      <c r="M800">
        <f>IF(A800="","",IF(ABS(L800/A800-1)&lt;0.01,"周波数差&lt;1%","周波数差あり"))</f>
        <v/>
      </c>
    </row>
    <row r="801">
      <c r="A801" s="197" t="n"/>
      <c r="B801" s="198" t="n"/>
      <c r="C801" s="198" t="n"/>
      <c r="D801" s="195">
        <f>IF(K801="","",INDEX('差動モデル'!$R:$R,K801))</f>
        <v/>
      </c>
      <c r="E801" s="195">
        <f>IF(K801="","",INDEX('差動モデル'!$S:$S,K801))</f>
        <v/>
      </c>
      <c r="F801" s="195">
        <f>IF(OR(A801="",B801=""),"",100*(D801-B801)/MAX(B801,1E-12))</f>
        <v/>
      </c>
      <c r="G801" s="195">
        <f>IF(OR(A801="",C801=""),"",E801-C801)</f>
        <v/>
      </c>
      <c r="H801" s="195">
        <f>IF(A801="","",LOG10(A801))</f>
        <v/>
      </c>
      <c r="I801" s="195">
        <f>IF(B801="","",LOG10(MAX(B801,1E-12)))</f>
        <v/>
      </c>
      <c r="J801" s="195">
        <f>IF(D801="","",LOG10(MAX(D801,1E-12)))</f>
        <v/>
      </c>
      <c r="K801">
        <f>IF(A801="","",ROUND(1+(LOG10(A801)-LOG10('入力・概要'!$B$38))*('入力・概要'!$B$40-1)/(LOG10('入力・概要'!$B$39)-LOG10('入力・概要'!$B$38)),0)+3)</f>
        <v/>
      </c>
      <c r="L801">
        <f>IF(K801="","",INDEX('差動モデル'!$B:$B,K801))</f>
        <v/>
      </c>
      <c r="M801">
        <f>IF(A801="","",IF(ABS(L801/A801-1)&lt;0.01,"周波数差&lt;1%","周波数差あり"))</f>
        <v/>
      </c>
    </row>
    <row r="802">
      <c r="A802" s="197" t="n"/>
      <c r="B802" s="198" t="n"/>
      <c r="C802" s="198" t="n"/>
      <c r="D802" s="195">
        <f>IF(K802="","",INDEX('差動モデル'!$R:$R,K802))</f>
        <v/>
      </c>
      <c r="E802" s="195">
        <f>IF(K802="","",INDEX('差動モデル'!$S:$S,K802))</f>
        <v/>
      </c>
      <c r="F802" s="195">
        <f>IF(OR(A802="",B802=""),"",100*(D802-B802)/MAX(B802,1E-12))</f>
        <v/>
      </c>
      <c r="G802" s="195">
        <f>IF(OR(A802="",C802=""),"",E802-C802)</f>
        <v/>
      </c>
      <c r="H802" s="195">
        <f>IF(A802="","",LOG10(A802))</f>
        <v/>
      </c>
      <c r="I802" s="195">
        <f>IF(B802="","",LOG10(MAX(B802,1E-12)))</f>
        <v/>
      </c>
      <c r="J802" s="195">
        <f>IF(D802="","",LOG10(MAX(D802,1E-12)))</f>
        <v/>
      </c>
      <c r="K802">
        <f>IF(A802="","",ROUND(1+(LOG10(A802)-LOG10('入力・概要'!$B$38))*('入力・概要'!$B$40-1)/(LOG10('入力・概要'!$B$39)-LOG10('入力・概要'!$B$38)),0)+3)</f>
        <v/>
      </c>
      <c r="L802">
        <f>IF(K802="","",INDEX('差動モデル'!$B:$B,K802))</f>
        <v/>
      </c>
      <c r="M802">
        <f>IF(A802="","",IF(ABS(L802/A802-1)&lt;0.01,"周波数差&lt;1%","周波数差あり"))</f>
        <v/>
      </c>
    </row>
    <row r="803">
      <c r="A803" s="197" t="n"/>
      <c r="B803" s="198" t="n"/>
      <c r="C803" s="198" t="n"/>
      <c r="D803" s="195">
        <f>IF(K803="","",INDEX('差動モデル'!$R:$R,K803))</f>
        <v/>
      </c>
      <c r="E803" s="195">
        <f>IF(K803="","",INDEX('差動モデル'!$S:$S,K803))</f>
        <v/>
      </c>
      <c r="F803" s="195">
        <f>IF(OR(A803="",B803=""),"",100*(D803-B803)/MAX(B803,1E-12))</f>
        <v/>
      </c>
      <c r="G803" s="195">
        <f>IF(OR(A803="",C803=""),"",E803-C803)</f>
        <v/>
      </c>
      <c r="H803" s="195">
        <f>IF(A803="","",LOG10(A803))</f>
        <v/>
      </c>
      <c r="I803" s="195">
        <f>IF(B803="","",LOG10(MAX(B803,1E-12)))</f>
        <v/>
      </c>
      <c r="J803" s="195">
        <f>IF(D803="","",LOG10(MAX(D803,1E-12)))</f>
        <v/>
      </c>
      <c r="K803">
        <f>IF(A803="","",ROUND(1+(LOG10(A803)-LOG10('入力・概要'!$B$38))*('入力・概要'!$B$40-1)/(LOG10('入力・概要'!$B$39)-LOG10('入力・概要'!$B$38)),0)+3)</f>
        <v/>
      </c>
      <c r="L803">
        <f>IF(K803="","",INDEX('差動モデル'!$B:$B,K803))</f>
        <v/>
      </c>
      <c r="M803">
        <f>IF(A803="","",IF(ABS(L803/A803-1)&lt;0.01,"周波数差&lt;1%","周波数差あり"))</f>
        <v/>
      </c>
    </row>
    <row r="804">
      <c r="A804" s="197" t="n"/>
      <c r="B804" s="198" t="n"/>
      <c r="C804" s="198" t="n"/>
      <c r="D804" s="195">
        <f>IF(K804="","",INDEX('差動モデル'!$R:$R,K804))</f>
        <v/>
      </c>
      <c r="E804" s="195">
        <f>IF(K804="","",INDEX('差動モデル'!$S:$S,K804))</f>
        <v/>
      </c>
      <c r="F804" s="195">
        <f>IF(OR(A804="",B804=""),"",100*(D804-B804)/MAX(B804,1E-12))</f>
        <v/>
      </c>
      <c r="G804" s="195">
        <f>IF(OR(A804="",C804=""),"",E804-C804)</f>
        <v/>
      </c>
      <c r="H804" s="195">
        <f>IF(A804="","",LOG10(A804))</f>
        <v/>
      </c>
      <c r="I804" s="195">
        <f>IF(B804="","",LOG10(MAX(B804,1E-12)))</f>
        <v/>
      </c>
      <c r="J804" s="195">
        <f>IF(D804="","",LOG10(MAX(D804,1E-12)))</f>
        <v/>
      </c>
      <c r="K804">
        <f>IF(A804="","",ROUND(1+(LOG10(A804)-LOG10('入力・概要'!$B$38))*('入力・概要'!$B$40-1)/(LOG10('入力・概要'!$B$39)-LOG10('入力・概要'!$B$38)),0)+3)</f>
        <v/>
      </c>
      <c r="L804">
        <f>IF(K804="","",INDEX('差動モデル'!$B:$B,K804))</f>
        <v/>
      </c>
      <c r="M804">
        <f>IF(A804="","",IF(ABS(L804/A804-1)&lt;0.01,"周波数差&lt;1%","周波数差あり"))</f>
        <v/>
      </c>
    </row>
    <row r="805">
      <c r="A805" s="197" t="n"/>
      <c r="B805" s="198" t="n"/>
      <c r="C805" s="198" t="n"/>
      <c r="D805" s="195">
        <f>IF(K805="","",INDEX('差動モデル'!$R:$R,K805))</f>
        <v/>
      </c>
      <c r="E805" s="195">
        <f>IF(K805="","",INDEX('差動モデル'!$S:$S,K805))</f>
        <v/>
      </c>
      <c r="F805" s="195">
        <f>IF(OR(A805="",B805=""),"",100*(D805-B805)/MAX(B805,1E-12))</f>
        <v/>
      </c>
      <c r="G805" s="195">
        <f>IF(OR(A805="",C805=""),"",E805-C805)</f>
        <v/>
      </c>
      <c r="H805" s="195">
        <f>IF(A805="","",LOG10(A805))</f>
        <v/>
      </c>
      <c r="I805" s="195">
        <f>IF(B805="","",LOG10(MAX(B805,1E-12)))</f>
        <v/>
      </c>
      <c r="J805" s="195">
        <f>IF(D805="","",LOG10(MAX(D805,1E-12)))</f>
        <v/>
      </c>
      <c r="K805">
        <f>IF(A805="","",ROUND(1+(LOG10(A805)-LOG10('入力・概要'!$B$38))*('入力・概要'!$B$40-1)/(LOG10('入力・概要'!$B$39)-LOG10('入力・概要'!$B$38)),0)+3)</f>
        <v/>
      </c>
      <c r="L805">
        <f>IF(K805="","",INDEX('差動モデル'!$B:$B,K805))</f>
        <v/>
      </c>
      <c r="M805">
        <f>IF(A805="","",IF(ABS(L805/A805-1)&lt;0.01,"周波数差&lt;1%","周波数差あり"))</f>
        <v/>
      </c>
    </row>
    <row r="806">
      <c r="A806" s="197" t="n"/>
      <c r="B806" s="198" t="n"/>
      <c r="C806" s="198" t="n"/>
      <c r="D806" s="195">
        <f>IF(K806="","",INDEX('差動モデル'!$R:$R,K806))</f>
        <v/>
      </c>
      <c r="E806" s="195">
        <f>IF(K806="","",INDEX('差動モデル'!$S:$S,K806))</f>
        <v/>
      </c>
      <c r="F806" s="195">
        <f>IF(OR(A806="",B806=""),"",100*(D806-B806)/MAX(B806,1E-12))</f>
        <v/>
      </c>
      <c r="G806" s="195">
        <f>IF(OR(A806="",C806=""),"",E806-C806)</f>
        <v/>
      </c>
      <c r="H806" s="195">
        <f>IF(A806="","",LOG10(A806))</f>
        <v/>
      </c>
      <c r="I806" s="195">
        <f>IF(B806="","",LOG10(MAX(B806,1E-12)))</f>
        <v/>
      </c>
      <c r="J806" s="195">
        <f>IF(D806="","",LOG10(MAX(D806,1E-12)))</f>
        <v/>
      </c>
      <c r="K806">
        <f>IF(A806="","",ROUND(1+(LOG10(A806)-LOG10('入力・概要'!$B$38))*('入力・概要'!$B$40-1)/(LOG10('入力・概要'!$B$39)-LOG10('入力・概要'!$B$38)),0)+3)</f>
        <v/>
      </c>
      <c r="L806">
        <f>IF(K806="","",INDEX('差動モデル'!$B:$B,K806))</f>
        <v/>
      </c>
      <c r="M806">
        <f>IF(A806="","",IF(ABS(L806/A806-1)&lt;0.01,"周波数差&lt;1%","周波数差あり"))</f>
        <v/>
      </c>
    </row>
    <row r="807">
      <c r="A807" s="197" t="n"/>
      <c r="B807" s="198" t="n"/>
      <c r="C807" s="198" t="n"/>
      <c r="D807" s="195">
        <f>IF(K807="","",INDEX('差動モデル'!$R:$R,K807))</f>
        <v/>
      </c>
      <c r="E807" s="195">
        <f>IF(K807="","",INDEX('差動モデル'!$S:$S,K807))</f>
        <v/>
      </c>
      <c r="F807" s="195">
        <f>IF(OR(A807="",B807=""),"",100*(D807-B807)/MAX(B807,1E-12))</f>
        <v/>
      </c>
      <c r="G807" s="195">
        <f>IF(OR(A807="",C807=""),"",E807-C807)</f>
        <v/>
      </c>
      <c r="H807" s="195">
        <f>IF(A807="","",LOG10(A807))</f>
        <v/>
      </c>
      <c r="I807" s="195">
        <f>IF(B807="","",LOG10(MAX(B807,1E-12)))</f>
        <v/>
      </c>
      <c r="J807" s="195">
        <f>IF(D807="","",LOG10(MAX(D807,1E-12)))</f>
        <v/>
      </c>
      <c r="K807">
        <f>IF(A807="","",ROUND(1+(LOG10(A807)-LOG10('入力・概要'!$B$38))*('入力・概要'!$B$40-1)/(LOG10('入力・概要'!$B$39)-LOG10('入力・概要'!$B$38)),0)+3)</f>
        <v/>
      </c>
      <c r="L807">
        <f>IF(K807="","",INDEX('差動モデル'!$B:$B,K807))</f>
        <v/>
      </c>
      <c r="M807">
        <f>IF(A807="","",IF(ABS(L807/A807-1)&lt;0.01,"周波数差&lt;1%","周波数差あり"))</f>
        <v/>
      </c>
    </row>
    <row r="808">
      <c r="A808" s="197" t="n"/>
      <c r="B808" s="198" t="n"/>
      <c r="C808" s="198" t="n"/>
      <c r="D808" s="195">
        <f>IF(K808="","",INDEX('差動モデル'!$R:$R,K808))</f>
        <v/>
      </c>
      <c r="E808" s="195">
        <f>IF(K808="","",INDEX('差動モデル'!$S:$S,K808))</f>
        <v/>
      </c>
      <c r="F808" s="195">
        <f>IF(OR(A808="",B808=""),"",100*(D808-B808)/MAX(B808,1E-12))</f>
        <v/>
      </c>
      <c r="G808" s="195">
        <f>IF(OR(A808="",C808=""),"",E808-C808)</f>
        <v/>
      </c>
      <c r="H808" s="195">
        <f>IF(A808="","",LOG10(A808))</f>
        <v/>
      </c>
      <c r="I808" s="195">
        <f>IF(B808="","",LOG10(MAX(B808,1E-12)))</f>
        <v/>
      </c>
      <c r="J808" s="195">
        <f>IF(D808="","",LOG10(MAX(D808,1E-12)))</f>
        <v/>
      </c>
      <c r="K808">
        <f>IF(A808="","",ROUND(1+(LOG10(A808)-LOG10('入力・概要'!$B$38))*('入力・概要'!$B$40-1)/(LOG10('入力・概要'!$B$39)-LOG10('入力・概要'!$B$38)),0)+3)</f>
        <v/>
      </c>
      <c r="L808">
        <f>IF(K808="","",INDEX('差動モデル'!$B:$B,K808))</f>
        <v/>
      </c>
      <c r="M808">
        <f>IF(A808="","",IF(ABS(L808/A808-1)&lt;0.01,"周波数差&lt;1%","周波数差あり"))</f>
        <v/>
      </c>
    </row>
    <row r="809">
      <c r="A809" s="197" t="n"/>
      <c r="B809" s="198" t="n"/>
      <c r="C809" s="198" t="n"/>
      <c r="D809" s="195">
        <f>IF(K809="","",INDEX('差動モデル'!$R:$R,K809))</f>
        <v/>
      </c>
      <c r="E809" s="195">
        <f>IF(K809="","",INDEX('差動モデル'!$S:$S,K809))</f>
        <v/>
      </c>
      <c r="F809" s="195">
        <f>IF(OR(A809="",B809=""),"",100*(D809-B809)/MAX(B809,1E-12))</f>
        <v/>
      </c>
      <c r="G809" s="195">
        <f>IF(OR(A809="",C809=""),"",E809-C809)</f>
        <v/>
      </c>
      <c r="H809" s="195">
        <f>IF(A809="","",LOG10(A809))</f>
        <v/>
      </c>
      <c r="I809" s="195">
        <f>IF(B809="","",LOG10(MAX(B809,1E-12)))</f>
        <v/>
      </c>
      <c r="J809" s="195">
        <f>IF(D809="","",LOG10(MAX(D809,1E-12)))</f>
        <v/>
      </c>
      <c r="K809">
        <f>IF(A809="","",ROUND(1+(LOG10(A809)-LOG10('入力・概要'!$B$38))*('入力・概要'!$B$40-1)/(LOG10('入力・概要'!$B$39)-LOG10('入力・概要'!$B$38)),0)+3)</f>
        <v/>
      </c>
      <c r="L809">
        <f>IF(K809="","",INDEX('差動モデル'!$B:$B,K809))</f>
        <v/>
      </c>
      <c r="M809">
        <f>IF(A809="","",IF(ABS(L809/A809-1)&lt;0.01,"周波数差&lt;1%","周波数差あり"))</f>
        <v/>
      </c>
    </row>
    <row r="810">
      <c r="A810" s="197" t="n"/>
      <c r="B810" s="198" t="n"/>
      <c r="C810" s="198" t="n"/>
      <c r="D810" s="195">
        <f>IF(K810="","",INDEX('差動モデル'!$R:$R,K810))</f>
        <v/>
      </c>
      <c r="E810" s="195">
        <f>IF(K810="","",INDEX('差動モデル'!$S:$S,K810))</f>
        <v/>
      </c>
      <c r="F810" s="195">
        <f>IF(OR(A810="",B810=""),"",100*(D810-B810)/MAX(B810,1E-12))</f>
        <v/>
      </c>
      <c r="G810" s="195">
        <f>IF(OR(A810="",C810=""),"",E810-C810)</f>
        <v/>
      </c>
      <c r="H810" s="195">
        <f>IF(A810="","",LOG10(A810))</f>
        <v/>
      </c>
      <c r="I810" s="195">
        <f>IF(B810="","",LOG10(MAX(B810,1E-12)))</f>
        <v/>
      </c>
      <c r="J810" s="195">
        <f>IF(D810="","",LOG10(MAX(D810,1E-12)))</f>
        <v/>
      </c>
      <c r="K810">
        <f>IF(A810="","",ROUND(1+(LOG10(A810)-LOG10('入力・概要'!$B$38))*('入力・概要'!$B$40-1)/(LOG10('入力・概要'!$B$39)-LOG10('入力・概要'!$B$38)),0)+3)</f>
        <v/>
      </c>
      <c r="L810">
        <f>IF(K810="","",INDEX('差動モデル'!$B:$B,K810))</f>
        <v/>
      </c>
      <c r="M810">
        <f>IF(A810="","",IF(ABS(L810/A810-1)&lt;0.01,"周波数差&lt;1%","周波数差あり"))</f>
        <v/>
      </c>
    </row>
    <row r="811">
      <c r="A811" s="197" t="n"/>
      <c r="B811" s="198" t="n"/>
      <c r="C811" s="198" t="n"/>
      <c r="D811" s="195">
        <f>IF(K811="","",INDEX('差動モデル'!$R:$R,K811))</f>
        <v/>
      </c>
      <c r="E811" s="195">
        <f>IF(K811="","",INDEX('差動モデル'!$S:$S,K811))</f>
        <v/>
      </c>
      <c r="F811" s="195">
        <f>IF(OR(A811="",B811=""),"",100*(D811-B811)/MAX(B811,1E-12))</f>
        <v/>
      </c>
      <c r="G811" s="195">
        <f>IF(OR(A811="",C811=""),"",E811-C811)</f>
        <v/>
      </c>
      <c r="H811" s="195">
        <f>IF(A811="","",LOG10(A811))</f>
        <v/>
      </c>
      <c r="I811" s="195">
        <f>IF(B811="","",LOG10(MAX(B811,1E-12)))</f>
        <v/>
      </c>
      <c r="J811" s="195">
        <f>IF(D811="","",LOG10(MAX(D811,1E-12)))</f>
        <v/>
      </c>
      <c r="K811">
        <f>IF(A811="","",ROUND(1+(LOG10(A811)-LOG10('入力・概要'!$B$38))*('入力・概要'!$B$40-1)/(LOG10('入力・概要'!$B$39)-LOG10('入力・概要'!$B$38)),0)+3)</f>
        <v/>
      </c>
      <c r="L811">
        <f>IF(K811="","",INDEX('差動モデル'!$B:$B,K811))</f>
        <v/>
      </c>
      <c r="M811">
        <f>IF(A811="","",IF(ABS(L811/A811-1)&lt;0.01,"周波数差&lt;1%","周波数差あり"))</f>
        <v/>
      </c>
    </row>
    <row r="812">
      <c r="A812" s="197" t="n"/>
      <c r="B812" s="198" t="n"/>
      <c r="C812" s="198" t="n"/>
      <c r="D812" s="195">
        <f>IF(K812="","",INDEX('差動モデル'!$R:$R,K812))</f>
        <v/>
      </c>
      <c r="E812" s="195">
        <f>IF(K812="","",INDEX('差動モデル'!$S:$S,K812))</f>
        <v/>
      </c>
      <c r="F812" s="195">
        <f>IF(OR(A812="",B812=""),"",100*(D812-B812)/MAX(B812,1E-12))</f>
        <v/>
      </c>
      <c r="G812" s="195">
        <f>IF(OR(A812="",C812=""),"",E812-C812)</f>
        <v/>
      </c>
      <c r="H812" s="195">
        <f>IF(A812="","",LOG10(A812))</f>
        <v/>
      </c>
      <c r="I812" s="195">
        <f>IF(B812="","",LOG10(MAX(B812,1E-12)))</f>
        <v/>
      </c>
      <c r="J812" s="195">
        <f>IF(D812="","",LOG10(MAX(D812,1E-12)))</f>
        <v/>
      </c>
      <c r="K812">
        <f>IF(A812="","",ROUND(1+(LOG10(A812)-LOG10('入力・概要'!$B$38))*('入力・概要'!$B$40-1)/(LOG10('入力・概要'!$B$39)-LOG10('入力・概要'!$B$38)),0)+3)</f>
        <v/>
      </c>
      <c r="L812">
        <f>IF(K812="","",INDEX('差動モデル'!$B:$B,K812))</f>
        <v/>
      </c>
      <c r="M812">
        <f>IF(A812="","",IF(ABS(L812/A812-1)&lt;0.01,"周波数差&lt;1%","周波数差あり"))</f>
        <v/>
      </c>
    </row>
    <row r="813">
      <c r="A813" s="197" t="n"/>
      <c r="B813" s="198" t="n"/>
      <c r="C813" s="198" t="n"/>
      <c r="D813" s="195">
        <f>IF(K813="","",INDEX('差動モデル'!$R:$R,K813))</f>
        <v/>
      </c>
      <c r="E813" s="195">
        <f>IF(K813="","",INDEX('差動モデル'!$S:$S,K813))</f>
        <v/>
      </c>
      <c r="F813" s="195">
        <f>IF(OR(A813="",B813=""),"",100*(D813-B813)/MAX(B813,1E-12))</f>
        <v/>
      </c>
      <c r="G813" s="195">
        <f>IF(OR(A813="",C813=""),"",E813-C813)</f>
        <v/>
      </c>
      <c r="H813" s="195">
        <f>IF(A813="","",LOG10(A813))</f>
        <v/>
      </c>
      <c r="I813" s="195">
        <f>IF(B813="","",LOG10(MAX(B813,1E-12)))</f>
        <v/>
      </c>
      <c r="J813" s="195">
        <f>IF(D813="","",LOG10(MAX(D813,1E-12)))</f>
        <v/>
      </c>
      <c r="K813">
        <f>IF(A813="","",ROUND(1+(LOG10(A813)-LOG10('入力・概要'!$B$38))*('入力・概要'!$B$40-1)/(LOG10('入力・概要'!$B$39)-LOG10('入力・概要'!$B$38)),0)+3)</f>
        <v/>
      </c>
      <c r="L813">
        <f>IF(K813="","",INDEX('差動モデル'!$B:$B,K813))</f>
        <v/>
      </c>
      <c r="M813">
        <f>IF(A813="","",IF(ABS(L813/A813-1)&lt;0.01,"周波数差&lt;1%","周波数差あり"))</f>
        <v/>
      </c>
    </row>
    <row r="814">
      <c r="A814" s="197" t="n"/>
      <c r="B814" s="198" t="n"/>
      <c r="C814" s="198" t="n"/>
      <c r="D814" s="195">
        <f>IF(K814="","",INDEX('差動モデル'!$R:$R,K814))</f>
        <v/>
      </c>
      <c r="E814" s="195">
        <f>IF(K814="","",INDEX('差動モデル'!$S:$S,K814))</f>
        <v/>
      </c>
      <c r="F814" s="195">
        <f>IF(OR(A814="",B814=""),"",100*(D814-B814)/MAX(B814,1E-12))</f>
        <v/>
      </c>
      <c r="G814" s="195">
        <f>IF(OR(A814="",C814=""),"",E814-C814)</f>
        <v/>
      </c>
      <c r="H814" s="195">
        <f>IF(A814="","",LOG10(A814))</f>
        <v/>
      </c>
      <c r="I814" s="195">
        <f>IF(B814="","",LOG10(MAX(B814,1E-12)))</f>
        <v/>
      </c>
      <c r="J814" s="195">
        <f>IF(D814="","",LOG10(MAX(D814,1E-12)))</f>
        <v/>
      </c>
      <c r="K814">
        <f>IF(A814="","",ROUND(1+(LOG10(A814)-LOG10('入力・概要'!$B$38))*('入力・概要'!$B$40-1)/(LOG10('入力・概要'!$B$39)-LOG10('入力・概要'!$B$38)),0)+3)</f>
        <v/>
      </c>
      <c r="L814">
        <f>IF(K814="","",INDEX('差動モデル'!$B:$B,K814))</f>
        <v/>
      </c>
      <c r="M814">
        <f>IF(A814="","",IF(ABS(L814/A814-1)&lt;0.01,"周波数差&lt;1%","周波数差あり"))</f>
        <v/>
      </c>
    </row>
    <row r="815">
      <c r="A815" s="197" t="n"/>
      <c r="B815" s="198" t="n"/>
      <c r="C815" s="198" t="n"/>
      <c r="D815" s="195">
        <f>IF(K815="","",INDEX('差動モデル'!$R:$R,K815))</f>
        <v/>
      </c>
      <c r="E815" s="195">
        <f>IF(K815="","",INDEX('差動モデル'!$S:$S,K815))</f>
        <v/>
      </c>
      <c r="F815" s="195">
        <f>IF(OR(A815="",B815=""),"",100*(D815-B815)/MAX(B815,1E-12))</f>
        <v/>
      </c>
      <c r="G815" s="195">
        <f>IF(OR(A815="",C815=""),"",E815-C815)</f>
        <v/>
      </c>
      <c r="H815" s="195">
        <f>IF(A815="","",LOG10(A815))</f>
        <v/>
      </c>
      <c r="I815" s="195">
        <f>IF(B815="","",LOG10(MAX(B815,1E-12)))</f>
        <v/>
      </c>
      <c r="J815" s="195">
        <f>IF(D815="","",LOG10(MAX(D815,1E-12)))</f>
        <v/>
      </c>
      <c r="K815">
        <f>IF(A815="","",ROUND(1+(LOG10(A815)-LOG10('入力・概要'!$B$38))*('入力・概要'!$B$40-1)/(LOG10('入力・概要'!$B$39)-LOG10('入力・概要'!$B$38)),0)+3)</f>
        <v/>
      </c>
      <c r="L815">
        <f>IF(K815="","",INDEX('差動モデル'!$B:$B,K815))</f>
        <v/>
      </c>
      <c r="M815">
        <f>IF(A815="","",IF(ABS(L815/A815-1)&lt;0.01,"周波数差&lt;1%","周波数差あり"))</f>
        <v/>
      </c>
    </row>
    <row r="816">
      <c r="A816" s="197" t="n"/>
      <c r="B816" s="198" t="n"/>
      <c r="C816" s="198" t="n"/>
      <c r="D816" s="195">
        <f>IF(K816="","",INDEX('差動モデル'!$R:$R,K816))</f>
        <v/>
      </c>
      <c r="E816" s="195">
        <f>IF(K816="","",INDEX('差動モデル'!$S:$S,K816))</f>
        <v/>
      </c>
      <c r="F816" s="195">
        <f>IF(OR(A816="",B816=""),"",100*(D816-B816)/MAX(B816,1E-12))</f>
        <v/>
      </c>
      <c r="G816" s="195">
        <f>IF(OR(A816="",C816=""),"",E816-C816)</f>
        <v/>
      </c>
      <c r="H816" s="195">
        <f>IF(A816="","",LOG10(A816))</f>
        <v/>
      </c>
      <c r="I816" s="195">
        <f>IF(B816="","",LOG10(MAX(B816,1E-12)))</f>
        <v/>
      </c>
      <c r="J816" s="195">
        <f>IF(D816="","",LOG10(MAX(D816,1E-12)))</f>
        <v/>
      </c>
      <c r="K816">
        <f>IF(A816="","",ROUND(1+(LOG10(A816)-LOG10('入力・概要'!$B$38))*('入力・概要'!$B$40-1)/(LOG10('入力・概要'!$B$39)-LOG10('入力・概要'!$B$38)),0)+3)</f>
        <v/>
      </c>
      <c r="L816">
        <f>IF(K816="","",INDEX('差動モデル'!$B:$B,K816))</f>
        <v/>
      </c>
      <c r="M816">
        <f>IF(A816="","",IF(ABS(L816/A816-1)&lt;0.01,"周波数差&lt;1%","周波数差あり"))</f>
        <v/>
      </c>
    </row>
    <row r="817">
      <c r="A817" s="197" t="n"/>
      <c r="B817" s="198" t="n"/>
      <c r="C817" s="198" t="n"/>
      <c r="D817" s="195">
        <f>IF(K817="","",INDEX('差動モデル'!$R:$R,K817))</f>
        <v/>
      </c>
      <c r="E817" s="195">
        <f>IF(K817="","",INDEX('差動モデル'!$S:$S,K817))</f>
        <v/>
      </c>
      <c r="F817" s="195">
        <f>IF(OR(A817="",B817=""),"",100*(D817-B817)/MAX(B817,1E-12))</f>
        <v/>
      </c>
      <c r="G817" s="195">
        <f>IF(OR(A817="",C817=""),"",E817-C817)</f>
        <v/>
      </c>
      <c r="H817" s="195">
        <f>IF(A817="","",LOG10(A817))</f>
        <v/>
      </c>
      <c r="I817" s="195">
        <f>IF(B817="","",LOG10(MAX(B817,1E-12)))</f>
        <v/>
      </c>
      <c r="J817" s="195">
        <f>IF(D817="","",LOG10(MAX(D817,1E-12)))</f>
        <v/>
      </c>
      <c r="K817">
        <f>IF(A817="","",ROUND(1+(LOG10(A817)-LOG10('入力・概要'!$B$38))*('入力・概要'!$B$40-1)/(LOG10('入力・概要'!$B$39)-LOG10('入力・概要'!$B$38)),0)+3)</f>
        <v/>
      </c>
      <c r="L817">
        <f>IF(K817="","",INDEX('差動モデル'!$B:$B,K817))</f>
        <v/>
      </c>
      <c r="M817">
        <f>IF(A817="","",IF(ABS(L817/A817-1)&lt;0.01,"周波数差&lt;1%","周波数差あり"))</f>
        <v/>
      </c>
    </row>
    <row r="818">
      <c r="A818" s="197" t="n"/>
      <c r="B818" s="198" t="n"/>
      <c r="C818" s="198" t="n"/>
      <c r="D818" s="195">
        <f>IF(K818="","",INDEX('差動モデル'!$R:$R,K818))</f>
        <v/>
      </c>
      <c r="E818" s="195">
        <f>IF(K818="","",INDEX('差動モデル'!$S:$S,K818))</f>
        <v/>
      </c>
      <c r="F818" s="195">
        <f>IF(OR(A818="",B818=""),"",100*(D818-B818)/MAX(B818,1E-12))</f>
        <v/>
      </c>
      <c r="G818" s="195">
        <f>IF(OR(A818="",C818=""),"",E818-C818)</f>
        <v/>
      </c>
      <c r="H818" s="195">
        <f>IF(A818="","",LOG10(A818))</f>
        <v/>
      </c>
      <c r="I818" s="195">
        <f>IF(B818="","",LOG10(MAX(B818,1E-12)))</f>
        <v/>
      </c>
      <c r="J818" s="195">
        <f>IF(D818="","",LOG10(MAX(D818,1E-12)))</f>
        <v/>
      </c>
      <c r="K818">
        <f>IF(A818="","",ROUND(1+(LOG10(A818)-LOG10('入力・概要'!$B$38))*('入力・概要'!$B$40-1)/(LOG10('入力・概要'!$B$39)-LOG10('入力・概要'!$B$38)),0)+3)</f>
        <v/>
      </c>
      <c r="L818">
        <f>IF(K818="","",INDEX('差動モデル'!$B:$B,K818))</f>
        <v/>
      </c>
      <c r="M818">
        <f>IF(A818="","",IF(ABS(L818/A818-1)&lt;0.01,"周波数差&lt;1%","周波数差あり"))</f>
        <v/>
      </c>
    </row>
    <row r="819">
      <c r="A819" s="197" t="n"/>
      <c r="B819" s="198" t="n"/>
      <c r="C819" s="198" t="n"/>
      <c r="D819" s="195">
        <f>IF(K819="","",INDEX('差動モデル'!$R:$R,K819))</f>
        <v/>
      </c>
      <c r="E819" s="195">
        <f>IF(K819="","",INDEX('差動モデル'!$S:$S,K819))</f>
        <v/>
      </c>
      <c r="F819" s="195">
        <f>IF(OR(A819="",B819=""),"",100*(D819-B819)/MAX(B819,1E-12))</f>
        <v/>
      </c>
      <c r="G819" s="195">
        <f>IF(OR(A819="",C819=""),"",E819-C819)</f>
        <v/>
      </c>
      <c r="H819" s="195">
        <f>IF(A819="","",LOG10(A819))</f>
        <v/>
      </c>
      <c r="I819" s="195">
        <f>IF(B819="","",LOG10(MAX(B819,1E-12)))</f>
        <v/>
      </c>
      <c r="J819" s="195">
        <f>IF(D819="","",LOG10(MAX(D819,1E-12)))</f>
        <v/>
      </c>
      <c r="K819">
        <f>IF(A819="","",ROUND(1+(LOG10(A819)-LOG10('入力・概要'!$B$38))*('入力・概要'!$B$40-1)/(LOG10('入力・概要'!$B$39)-LOG10('入力・概要'!$B$38)),0)+3)</f>
        <v/>
      </c>
      <c r="L819">
        <f>IF(K819="","",INDEX('差動モデル'!$B:$B,K819))</f>
        <v/>
      </c>
      <c r="M819">
        <f>IF(A819="","",IF(ABS(L819/A819-1)&lt;0.01,"周波数差&lt;1%","周波数差あり"))</f>
        <v/>
      </c>
    </row>
    <row r="820">
      <c r="A820" s="197" t="n"/>
      <c r="B820" s="198" t="n"/>
      <c r="C820" s="198" t="n"/>
      <c r="D820" s="195">
        <f>IF(K820="","",INDEX('差動モデル'!$R:$R,K820))</f>
        <v/>
      </c>
      <c r="E820" s="195">
        <f>IF(K820="","",INDEX('差動モデル'!$S:$S,K820))</f>
        <v/>
      </c>
      <c r="F820" s="195">
        <f>IF(OR(A820="",B820=""),"",100*(D820-B820)/MAX(B820,1E-12))</f>
        <v/>
      </c>
      <c r="G820" s="195">
        <f>IF(OR(A820="",C820=""),"",E820-C820)</f>
        <v/>
      </c>
      <c r="H820" s="195">
        <f>IF(A820="","",LOG10(A820))</f>
        <v/>
      </c>
      <c r="I820" s="195">
        <f>IF(B820="","",LOG10(MAX(B820,1E-12)))</f>
        <v/>
      </c>
      <c r="J820" s="195">
        <f>IF(D820="","",LOG10(MAX(D820,1E-12)))</f>
        <v/>
      </c>
      <c r="K820">
        <f>IF(A820="","",ROUND(1+(LOG10(A820)-LOG10('入力・概要'!$B$38))*('入力・概要'!$B$40-1)/(LOG10('入力・概要'!$B$39)-LOG10('入力・概要'!$B$38)),0)+3)</f>
        <v/>
      </c>
      <c r="L820">
        <f>IF(K820="","",INDEX('差動モデル'!$B:$B,K820))</f>
        <v/>
      </c>
      <c r="M820">
        <f>IF(A820="","",IF(ABS(L820/A820-1)&lt;0.01,"周波数差&lt;1%","周波数差あり"))</f>
        <v/>
      </c>
    </row>
    <row r="821">
      <c r="A821" s="197" t="n"/>
      <c r="B821" s="198" t="n"/>
      <c r="C821" s="198" t="n"/>
      <c r="D821" s="195">
        <f>IF(K821="","",INDEX('差動モデル'!$R:$R,K821))</f>
        <v/>
      </c>
      <c r="E821" s="195">
        <f>IF(K821="","",INDEX('差動モデル'!$S:$S,K821))</f>
        <v/>
      </c>
      <c r="F821" s="195">
        <f>IF(OR(A821="",B821=""),"",100*(D821-B821)/MAX(B821,1E-12))</f>
        <v/>
      </c>
      <c r="G821" s="195">
        <f>IF(OR(A821="",C821=""),"",E821-C821)</f>
        <v/>
      </c>
      <c r="H821" s="195">
        <f>IF(A821="","",LOG10(A821))</f>
        <v/>
      </c>
      <c r="I821" s="195">
        <f>IF(B821="","",LOG10(MAX(B821,1E-12)))</f>
        <v/>
      </c>
      <c r="J821" s="195">
        <f>IF(D821="","",LOG10(MAX(D821,1E-12)))</f>
        <v/>
      </c>
      <c r="K821">
        <f>IF(A821="","",ROUND(1+(LOG10(A821)-LOG10('入力・概要'!$B$38))*('入力・概要'!$B$40-1)/(LOG10('入力・概要'!$B$39)-LOG10('入力・概要'!$B$38)),0)+3)</f>
        <v/>
      </c>
      <c r="L821">
        <f>IF(K821="","",INDEX('差動モデル'!$B:$B,K821))</f>
        <v/>
      </c>
      <c r="M821">
        <f>IF(A821="","",IF(ABS(L821/A821-1)&lt;0.01,"周波数差&lt;1%","周波数差あり"))</f>
        <v/>
      </c>
    </row>
    <row r="822">
      <c r="A822" s="197" t="n"/>
      <c r="B822" s="198" t="n"/>
      <c r="C822" s="198" t="n"/>
      <c r="D822" s="195">
        <f>IF(K822="","",INDEX('差動モデル'!$R:$R,K822))</f>
        <v/>
      </c>
      <c r="E822" s="195">
        <f>IF(K822="","",INDEX('差動モデル'!$S:$S,K822))</f>
        <v/>
      </c>
      <c r="F822" s="195">
        <f>IF(OR(A822="",B822=""),"",100*(D822-B822)/MAX(B822,1E-12))</f>
        <v/>
      </c>
      <c r="G822" s="195">
        <f>IF(OR(A822="",C822=""),"",E822-C822)</f>
        <v/>
      </c>
      <c r="H822" s="195">
        <f>IF(A822="","",LOG10(A822))</f>
        <v/>
      </c>
      <c r="I822" s="195">
        <f>IF(B822="","",LOG10(MAX(B822,1E-12)))</f>
        <v/>
      </c>
      <c r="J822" s="195">
        <f>IF(D822="","",LOG10(MAX(D822,1E-12)))</f>
        <v/>
      </c>
      <c r="K822">
        <f>IF(A822="","",ROUND(1+(LOG10(A822)-LOG10('入力・概要'!$B$38))*('入力・概要'!$B$40-1)/(LOG10('入力・概要'!$B$39)-LOG10('入力・概要'!$B$38)),0)+3)</f>
        <v/>
      </c>
      <c r="L822">
        <f>IF(K822="","",INDEX('差動モデル'!$B:$B,K822))</f>
        <v/>
      </c>
      <c r="M822">
        <f>IF(A822="","",IF(ABS(L822/A822-1)&lt;0.01,"周波数差&lt;1%","周波数差あり"))</f>
        <v/>
      </c>
    </row>
    <row r="823">
      <c r="A823" s="197" t="n"/>
      <c r="B823" s="198" t="n"/>
      <c r="C823" s="198" t="n"/>
      <c r="D823" s="195">
        <f>IF(K823="","",INDEX('差動モデル'!$R:$R,K823))</f>
        <v/>
      </c>
      <c r="E823" s="195">
        <f>IF(K823="","",INDEX('差動モデル'!$S:$S,K823))</f>
        <v/>
      </c>
      <c r="F823" s="195">
        <f>IF(OR(A823="",B823=""),"",100*(D823-B823)/MAX(B823,1E-12))</f>
        <v/>
      </c>
      <c r="G823" s="195">
        <f>IF(OR(A823="",C823=""),"",E823-C823)</f>
        <v/>
      </c>
      <c r="H823" s="195">
        <f>IF(A823="","",LOG10(A823))</f>
        <v/>
      </c>
      <c r="I823" s="195">
        <f>IF(B823="","",LOG10(MAX(B823,1E-12)))</f>
        <v/>
      </c>
      <c r="J823" s="195">
        <f>IF(D823="","",LOG10(MAX(D823,1E-12)))</f>
        <v/>
      </c>
      <c r="K823">
        <f>IF(A823="","",ROUND(1+(LOG10(A823)-LOG10('入力・概要'!$B$38))*('入力・概要'!$B$40-1)/(LOG10('入力・概要'!$B$39)-LOG10('入力・概要'!$B$38)),0)+3)</f>
        <v/>
      </c>
      <c r="L823">
        <f>IF(K823="","",INDEX('差動モデル'!$B:$B,K823))</f>
        <v/>
      </c>
      <c r="M823">
        <f>IF(A823="","",IF(ABS(L823/A823-1)&lt;0.01,"周波数差&lt;1%","周波数差あり"))</f>
        <v/>
      </c>
    </row>
    <row r="824">
      <c r="A824" s="197" t="n"/>
      <c r="B824" s="198" t="n"/>
      <c r="C824" s="198" t="n"/>
      <c r="D824" s="195">
        <f>IF(K824="","",INDEX('差動モデル'!$R:$R,K824))</f>
        <v/>
      </c>
      <c r="E824" s="195">
        <f>IF(K824="","",INDEX('差動モデル'!$S:$S,K824))</f>
        <v/>
      </c>
      <c r="F824" s="195">
        <f>IF(OR(A824="",B824=""),"",100*(D824-B824)/MAX(B824,1E-12))</f>
        <v/>
      </c>
      <c r="G824" s="195">
        <f>IF(OR(A824="",C824=""),"",E824-C824)</f>
        <v/>
      </c>
      <c r="H824" s="195">
        <f>IF(A824="","",LOG10(A824))</f>
        <v/>
      </c>
      <c r="I824" s="195">
        <f>IF(B824="","",LOG10(MAX(B824,1E-12)))</f>
        <v/>
      </c>
      <c r="J824" s="195">
        <f>IF(D824="","",LOG10(MAX(D824,1E-12)))</f>
        <v/>
      </c>
      <c r="K824">
        <f>IF(A824="","",ROUND(1+(LOG10(A824)-LOG10('入力・概要'!$B$38))*('入力・概要'!$B$40-1)/(LOG10('入力・概要'!$B$39)-LOG10('入力・概要'!$B$38)),0)+3)</f>
        <v/>
      </c>
      <c r="L824">
        <f>IF(K824="","",INDEX('差動モデル'!$B:$B,K824))</f>
        <v/>
      </c>
      <c r="M824">
        <f>IF(A824="","",IF(ABS(L824/A824-1)&lt;0.01,"周波数差&lt;1%","周波数差あり"))</f>
        <v/>
      </c>
    </row>
    <row r="825">
      <c r="A825" s="197" t="n"/>
      <c r="B825" s="198" t="n"/>
      <c r="C825" s="198" t="n"/>
      <c r="D825" s="195">
        <f>IF(K825="","",INDEX('差動モデル'!$R:$R,K825))</f>
        <v/>
      </c>
      <c r="E825" s="195">
        <f>IF(K825="","",INDEX('差動モデル'!$S:$S,K825))</f>
        <v/>
      </c>
      <c r="F825" s="195">
        <f>IF(OR(A825="",B825=""),"",100*(D825-B825)/MAX(B825,1E-12))</f>
        <v/>
      </c>
      <c r="G825" s="195">
        <f>IF(OR(A825="",C825=""),"",E825-C825)</f>
        <v/>
      </c>
      <c r="H825" s="195">
        <f>IF(A825="","",LOG10(A825))</f>
        <v/>
      </c>
      <c r="I825" s="195">
        <f>IF(B825="","",LOG10(MAX(B825,1E-12)))</f>
        <v/>
      </c>
      <c r="J825" s="195">
        <f>IF(D825="","",LOG10(MAX(D825,1E-12)))</f>
        <v/>
      </c>
      <c r="K825">
        <f>IF(A825="","",ROUND(1+(LOG10(A825)-LOG10('入力・概要'!$B$38))*('入力・概要'!$B$40-1)/(LOG10('入力・概要'!$B$39)-LOG10('入力・概要'!$B$38)),0)+3)</f>
        <v/>
      </c>
      <c r="L825">
        <f>IF(K825="","",INDEX('差動モデル'!$B:$B,K825))</f>
        <v/>
      </c>
      <c r="M825">
        <f>IF(A825="","",IF(ABS(L825/A825-1)&lt;0.01,"周波数差&lt;1%","周波数差あり"))</f>
        <v/>
      </c>
    </row>
    <row r="826">
      <c r="A826" s="197" t="n"/>
      <c r="B826" s="198" t="n"/>
      <c r="C826" s="198" t="n"/>
      <c r="D826" s="195">
        <f>IF(K826="","",INDEX('差動モデル'!$R:$R,K826))</f>
        <v/>
      </c>
      <c r="E826" s="195">
        <f>IF(K826="","",INDEX('差動モデル'!$S:$S,K826))</f>
        <v/>
      </c>
      <c r="F826" s="195">
        <f>IF(OR(A826="",B826=""),"",100*(D826-B826)/MAX(B826,1E-12))</f>
        <v/>
      </c>
      <c r="G826" s="195">
        <f>IF(OR(A826="",C826=""),"",E826-C826)</f>
        <v/>
      </c>
      <c r="H826" s="195">
        <f>IF(A826="","",LOG10(A826))</f>
        <v/>
      </c>
      <c r="I826" s="195">
        <f>IF(B826="","",LOG10(MAX(B826,1E-12)))</f>
        <v/>
      </c>
      <c r="J826" s="195">
        <f>IF(D826="","",LOG10(MAX(D826,1E-12)))</f>
        <v/>
      </c>
      <c r="K826">
        <f>IF(A826="","",ROUND(1+(LOG10(A826)-LOG10('入力・概要'!$B$38))*('入力・概要'!$B$40-1)/(LOG10('入力・概要'!$B$39)-LOG10('入力・概要'!$B$38)),0)+3)</f>
        <v/>
      </c>
      <c r="L826">
        <f>IF(K826="","",INDEX('差動モデル'!$B:$B,K826))</f>
        <v/>
      </c>
      <c r="M826">
        <f>IF(A826="","",IF(ABS(L826/A826-1)&lt;0.01,"周波数差&lt;1%","周波数差あり"))</f>
        <v/>
      </c>
    </row>
    <row r="827">
      <c r="A827" s="197" t="n"/>
      <c r="B827" s="198" t="n"/>
      <c r="C827" s="198" t="n"/>
      <c r="D827" s="195">
        <f>IF(K827="","",INDEX('差動モデル'!$R:$R,K827))</f>
        <v/>
      </c>
      <c r="E827" s="195">
        <f>IF(K827="","",INDEX('差動モデル'!$S:$S,K827))</f>
        <v/>
      </c>
      <c r="F827" s="195">
        <f>IF(OR(A827="",B827=""),"",100*(D827-B827)/MAX(B827,1E-12))</f>
        <v/>
      </c>
      <c r="G827" s="195">
        <f>IF(OR(A827="",C827=""),"",E827-C827)</f>
        <v/>
      </c>
      <c r="H827" s="195">
        <f>IF(A827="","",LOG10(A827))</f>
        <v/>
      </c>
      <c r="I827" s="195">
        <f>IF(B827="","",LOG10(MAX(B827,1E-12)))</f>
        <v/>
      </c>
      <c r="J827" s="195">
        <f>IF(D827="","",LOG10(MAX(D827,1E-12)))</f>
        <v/>
      </c>
      <c r="K827">
        <f>IF(A827="","",ROUND(1+(LOG10(A827)-LOG10('入力・概要'!$B$38))*('入力・概要'!$B$40-1)/(LOG10('入力・概要'!$B$39)-LOG10('入力・概要'!$B$38)),0)+3)</f>
        <v/>
      </c>
      <c r="L827">
        <f>IF(K827="","",INDEX('差動モデル'!$B:$B,K827))</f>
        <v/>
      </c>
      <c r="M827">
        <f>IF(A827="","",IF(ABS(L827/A827-1)&lt;0.01,"周波数差&lt;1%","周波数差あり"))</f>
        <v/>
      </c>
    </row>
    <row r="828">
      <c r="A828" s="197" t="n"/>
      <c r="B828" s="198" t="n"/>
      <c r="C828" s="198" t="n"/>
      <c r="D828" s="195">
        <f>IF(K828="","",INDEX('差動モデル'!$R:$R,K828))</f>
        <v/>
      </c>
      <c r="E828" s="195">
        <f>IF(K828="","",INDEX('差動モデル'!$S:$S,K828))</f>
        <v/>
      </c>
      <c r="F828" s="195">
        <f>IF(OR(A828="",B828=""),"",100*(D828-B828)/MAX(B828,1E-12))</f>
        <v/>
      </c>
      <c r="G828" s="195">
        <f>IF(OR(A828="",C828=""),"",E828-C828)</f>
        <v/>
      </c>
      <c r="H828" s="195">
        <f>IF(A828="","",LOG10(A828))</f>
        <v/>
      </c>
      <c r="I828" s="195">
        <f>IF(B828="","",LOG10(MAX(B828,1E-12)))</f>
        <v/>
      </c>
      <c r="J828" s="195">
        <f>IF(D828="","",LOG10(MAX(D828,1E-12)))</f>
        <v/>
      </c>
      <c r="K828">
        <f>IF(A828="","",ROUND(1+(LOG10(A828)-LOG10('入力・概要'!$B$38))*('入力・概要'!$B$40-1)/(LOG10('入力・概要'!$B$39)-LOG10('入力・概要'!$B$38)),0)+3)</f>
        <v/>
      </c>
      <c r="L828">
        <f>IF(K828="","",INDEX('差動モデル'!$B:$B,K828))</f>
        <v/>
      </c>
      <c r="M828">
        <f>IF(A828="","",IF(ABS(L828/A828-1)&lt;0.01,"周波数差&lt;1%","周波数差あり"))</f>
        <v/>
      </c>
    </row>
    <row r="829">
      <c r="A829" s="197" t="n"/>
      <c r="B829" s="198" t="n"/>
      <c r="C829" s="198" t="n"/>
      <c r="D829" s="195">
        <f>IF(K829="","",INDEX('差動モデル'!$R:$R,K829))</f>
        <v/>
      </c>
      <c r="E829" s="195">
        <f>IF(K829="","",INDEX('差動モデル'!$S:$S,K829))</f>
        <v/>
      </c>
      <c r="F829" s="195">
        <f>IF(OR(A829="",B829=""),"",100*(D829-B829)/MAX(B829,1E-12))</f>
        <v/>
      </c>
      <c r="G829" s="195">
        <f>IF(OR(A829="",C829=""),"",E829-C829)</f>
        <v/>
      </c>
      <c r="H829" s="195">
        <f>IF(A829="","",LOG10(A829))</f>
        <v/>
      </c>
      <c r="I829" s="195">
        <f>IF(B829="","",LOG10(MAX(B829,1E-12)))</f>
        <v/>
      </c>
      <c r="J829" s="195">
        <f>IF(D829="","",LOG10(MAX(D829,1E-12)))</f>
        <v/>
      </c>
      <c r="K829">
        <f>IF(A829="","",ROUND(1+(LOG10(A829)-LOG10('入力・概要'!$B$38))*('入力・概要'!$B$40-1)/(LOG10('入力・概要'!$B$39)-LOG10('入力・概要'!$B$38)),0)+3)</f>
        <v/>
      </c>
      <c r="L829">
        <f>IF(K829="","",INDEX('差動モデル'!$B:$B,K829))</f>
        <v/>
      </c>
      <c r="M829">
        <f>IF(A829="","",IF(ABS(L829/A829-1)&lt;0.01,"周波数差&lt;1%","周波数差あり"))</f>
        <v/>
      </c>
    </row>
    <row r="830">
      <c r="A830" s="197" t="n"/>
      <c r="B830" s="198" t="n"/>
      <c r="C830" s="198" t="n"/>
      <c r="D830" s="195">
        <f>IF(K830="","",INDEX('差動モデル'!$R:$R,K830))</f>
        <v/>
      </c>
      <c r="E830" s="195">
        <f>IF(K830="","",INDEX('差動モデル'!$S:$S,K830))</f>
        <v/>
      </c>
      <c r="F830" s="195">
        <f>IF(OR(A830="",B830=""),"",100*(D830-B830)/MAX(B830,1E-12))</f>
        <v/>
      </c>
      <c r="G830" s="195">
        <f>IF(OR(A830="",C830=""),"",E830-C830)</f>
        <v/>
      </c>
      <c r="H830" s="195">
        <f>IF(A830="","",LOG10(A830))</f>
        <v/>
      </c>
      <c r="I830" s="195">
        <f>IF(B830="","",LOG10(MAX(B830,1E-12)))</f>
        <v/>
      </c>
      <c r="J830" s="195">
        <f>IF(D830="","",LOG10(MAX(D830,1E-12)))</f>
        <v/>
      </c>
      <c r="K830">
        <f>IF(A830="","",ROUND(1+(LOG10(A830)-LOG10('入力・概要'!$B$38))*('入力・概要'!$B$40-1)/(LOG10('入力・概要'!$B$39)-LOG10('入力・概要'!$B$38)),0)+3)</f>
        <v/>
      </c>
      <c r="L830">
        <f>IF(K830="","",INDEX('差動モデル'!$B:$B,K830))</f>
        <v/>
      </c>
      <c r="M830">
        <f>IF(A830="","",IF(ABS(L830/A830-1)&lt;0.01,"周波数差&lt;1%","周波数差あり"))</f>
        <v/>
      </c>
    </row>
    <row r="831">
      <c r="A831" s="197" t="n"/>
      <c r="B831" s="198" t="n"/>
      <c r="C831" s="198" t="n"/>
      <c r="D831" s="195">
        <f>IF(K831="","",INDEX('差動モデル'!$R:$R,K831))</f>
        <v/>
      </c>
      <c r="E831" s="195">
        <f>IF(K831="","",INDEX('差動モデル'!$S:$S,K831))</f>
        <v/>
      </c>
      <c r="F831" s="195">
        <f>IF(OR(A831="",B831=""),"",100*(D831-B831)/MAX(B831,1E-12))</f>
        <v/>
      </c>
      <c r="G831" s="195">
        <f>IF(OR(A831="",C831=""),"",E831-C831)</f>
        <v/>
      </c>
      <c r="H831" s="195">
        <f>IF(A831="","",LOG10(A831))</f>
        <v/>
      </c>
      <c r="I831" s="195">
        <f>IF(B831="","",LOG10(MAX(B831,1E-12)))</f>
        <v/>
      </c>
      <c r="J831" s="195">
        <f>IF(D831="","",LOG10(MAX(D831,1E-12)))</f>
        <v/>
      </c>
      <c r="K831">
        <f>IF(A831="","",ROUND(1+(LOG10(A831)-LOG10('入力・概要'!$B$38))*('入力・概要'!$B$40-1)/(LOG10('入力・概要'!$B$39)-LOG10('入力・概要'!$B$38)),0)+3)</f>
        <v/>
      </c>
      <c r="L831">
        <f>IF(K831="","",INDEX('差動モデル'!$B:$B,K831))</f>
        <v/>
      </c>
      <c r="M831">
        <f>IF(A831="","",IF(ABS(L831/A831-1)&lt;0.01,"周波数差&lt;1%","周波数差あり"))</f>
        <v/>
      </c>
    </row>
    <row r="832">
      <c r="A832" s="197" t="n"/>
      <c r="B832" s="198" t="n"/>
      <c r="C832" s="198" t="n"/>
      <c r="D832" s="195">
        <f>IF(K832="","",INDEX('差動モデル'!$R:$R,K832))</f>
        <v/>
      </c>
      <c r="E832" s="195">
        <f>IF(K832="","",INDEX('差動モデル'!$S:$S,K832))</f>
        <v/>
      </c>
      <c r="F832" s="195">
        <f>IF(OR(A832="",B832=""),"",100*(D832-B832)/MAX(B832,1E-12))</f>
        <v/>
      </c>
      <c r="G832" s="195">
        <f>IF(OR(A832="",C832=""),"",E832-C832)</f>
        <v/>
      </c>
      <c r="H832" s="195">
        <f>IF(A832="","",LOG10(A832))</f>
        <v/>
      </c>
      <c r="I832" s="195">
        <f>IF(B832="","",LOG10(MAX(B832,1E-12)))</f>
        <v/>
      </c>
      <c r="J832" s="195">
        <f>IF(D832="","",LOG10(MAX(D832,1E-12)))</f>
        <v/>
      </c>
      <c r="K832">
        <f>IF(A832="","",ROUND(1+(LOG10(A832)-LOG10('入力・概要'!$B$38))*('入力・概要'!$B$40-1)/(LOG10('入力・概要'!$B$39)-LOG10('入力・概要'!$B$38)),0)+3)</f>
        <v/>
      </c>
      <c r="L832">
        <f>IF(K832="","",INDEX('差動モデル'!$B:$B,K832))</f>
        <v/>
      </c>
      <c r="M832">
        <f>IF(A832="","",IF(ABS(L832/A832-1)&lt;0.01,"周波数差&lt;1%","周波数差あり"))</f>
        <v/>
      </c>
    </row>
    <row r="833">
      <c r="A833" s="197" t="n"/>
      <c r="B833" s="198" t="n"/>
      <c r="C833" s="198" t="n"/>
      <c r="D833" s="195">
        <f>IF(K833="","",INDEX('差動モデル'!$R:$R,K833))</f>
        <v/>
      </c>
      <c r="E833" s="195">
        <f>IF(K833="","",INDEX('差動モデル'!$S:$S,K833))</f>
        <v/>
      </c>
      <c r="F833" s="195">
        <f>IF(OR(A833="",B833=""),"",100*(D833-B833)/MAX(B833,1E-12))</f>
        <v/>
      </c>
      <c r="G833" s="195">
        <f>IF(OR(A833="",C833=""),"",E833-C833)</f>
        <v/>
      </c>
      <c r="H833" s="195">
        <f>IF(A833="","",LOG10(A833))</f>
        <v/>
      </c>
      <c r="I833" s="195">
        <f>IF(B833="","",LOG10(MAX(B833,1E-12)))</f>
        <v/>
      </c>
      <c r="J833" s="195">
        <f>IF(D833="","",LOG10(MAX(D833,1E-12)))</f>
        <v/>
      </c>
      <c r="K833">
        <f>IF(A833="","",ROUND(1+(LOG10(A833)-LOG10('入力・概要'!$B$38))*('入力・概要'!$B$40-1)/(LOG10('入力・概要'!$B$39)-LOG10('入力・概要'!$B$38)),0)+3)</f>
        <v/>
      </c>
      <c r="L833">
        <f>IF(K833="","",INDEX('差動モデル'!$B:$B,K833))</f>
        <v/>
      </c>
      <c r="M833">
        <f>IF(A833="","",IF(ABS(L833/A833-1)&lt;0.01,"周波数差&lt;1%","周波数差あり"))</f>
        <v/>
      </c>
    </row>
    <row r="834">
      <c r="A834" s="197" t="n"/>
      <c r="B834" s="198" t="n"/>
      <c r="C834" s="198" t="n"/>
      <c r="D834" s="195">
        <f>IF(K834="","",INDEX('差動モデル'!$R:$R,K834))</f>
        <v/>
      </c>
      <c r="E834" s="195">
        <f>IF(K834="","",INDEX('差動モデル'!$S:$S,K834))</f>
        <v/>
      </c>
      <c r="F834" s="195">
        <f>IF(OR(A834="",B834=""),"",100*(D834-B834)/MAX(B834,1E-12))</f>
        <v/>
      </c>
      <c r="G834" s="195">
        <f>IF(OR(A834="",C834=""),"",E834-C834)</f>
        <v/>
      </c>
      <c r="H834" s="195">
        <f>IF(A834="","",LOG10(A834))</f>
        <v/>
      </c>
      <c r="I834" s="195">
        <f>IF(B834="","",LOG10(MAX(B834,1E-12)))</f>
        <v/>
      </c>
      <c r="J834" s="195">
        <f>IF(D834="","",LOG10(MAX(D834,1E-12)))</f>
        <v/>
      </c>
      <c r="K834">
        <f>IF(A834="","",ROUND(1+(LOG10(A834)-LOG10('入力・概要'!$B$38))*('入力・概要'!$B$40-1)/(LOG10('入力・概要'!$B$39)-LOG10('入力・概要'!$B$38)),0)+3)</f>
        <v/>
      </c>
      <c r="L834">
        <f>IF(K834="","",INDEX('差動モデル'!$B:$B,K834))</f>
        <v/>
      </c>
      <c r="M834">
        <f>IF(A834="","",IF(ABS(L834/A834-1)&lt;0.01,"周波数差&lt;1%","周波数差あり"))</f>
        <v/>
      </c>
    </row>
    <row r="835">
      <c r="A835" s="197" t="n"/>
      <c r="B835" s="198" t="n"/>
      <c r="C835" s="198" t="n"/>
      <c r="D835" s="195">
        <f>IF(K835="","",INDEX('差動モデル'!$R:$R,K835))</f>
        <v/>
      </c>
      <c r="E835" s="195">
        <f>IF(K835="","",INDEX('差動モデル'!$S:$S,K835))</f>
        <v/>
      </c>
      <c r="F835" s="195">
        <f>IF(OR(A835="",B835=""),"",100*(D835-B835)/MAX(B835,1E-12))</f>
        <v/>
      </c>
      <c r="G835" s="195">
        <f>IF(OR(A835="",C835=""),"",E835-C835)</f>
        <v/>
      </c>
      <c r="H835" s="195">
        <f>IF(A835="","",LOG10(A835))</f>
        <v/>
      </c>
      <c r="I835" s="195">
        <f>IF(B835="","",LOG10(MAX(B835,1E-12)))</f>
        <v/>
      </c>
      <c r="J835" s="195">
        <f>IF(D835="","",LOG10(MAX(D835,1E-12)))</f>
        <v/>
      </c>
      <c r="K835">
        <f>IF(A835="","",ROUND(1+(LOG10(A835)-LOG10('入力・概要'!$B$38))*('入力・概要'!$B$40-1)/(LOG10('入力・概要'!$B$39)-LOG10('入力・概要'!$B$38)),0)+3)</f>
        <v/>
      </c>
      <c r="L835">
        <f>IF(K835="","",INDEX('差動モデル'!$B:$B,K835))</f>
        <v/>
      </c>
      <c r="M835">
        <f>IF(A835="","",IF(ABS(L835/A835-1)&lt;0.01,"周波数差&lt;1%","周波数差あり"))</f>
        <v/>
      </c>
    </row>
    <row r="836">
      <c r="A836" s="197" t="n"/>
      <c r="B836" s="198" t="n"/>
      <c r="C836" s="198" t="n"/>
      <c r="D836" s="195">
        <f>IF(K836="","",INDEX('差動モデル'!$R:$R,K836))</f>
        <v/>
      </c>
      <c r="E836" s="195">
        <f>IF(K836="","",INDEX('差動モデル'!$S:$S,K836))</f>
        <v/>
      </c>
      <c r="F836" s="195">
        <f>IF(OR(A836="",B836=""),"",100*(D836-B836)/MAX(B836,1E-12))</f>
        <v/>
      </c>
      <c r="G836" s="195">
        <f>IF(OR(A836="",C836=""),"",E836-C836)</f>
        <v/>
      </c>
      <c r="H836" s="195">
        <f>IF(A836="","",LOG10(A836))</f>
        <v/>
      </c>
      <c r="I836" s="195">
        <f>IF(B836="","",LOG10(MAX(B836,1E-12)))</f>
        <v/>
      </c>
      <c r="J836" s="195">
        <f>IF(D836="","",LOG10(MAX(D836,1E-12)))</f>
        <v/>
      </c>
      <c r="K836">
        <f>IF(A836="","",ROUND(1+(LOG10(A836)-LOG10('入力・概要'!$B$38))*('入力・概要'!$B$40-1)/(LOG10('入力・概要'!$B$39)-LOG10('入力・概要'!$B$38)),0)+3)</f>
        <v/>
      </c>
      <c r="L836">
        <f>IF(K836="","",INDEX('差動モデル'!$B:$B,K836))</f>
        <v/>
      </c>
      <c r="M836">
        <f>IF(A836="","",IF(ABS(L836/A836-1)&lt;0.01,"周波数差&lt;1%","周波数差あり"))</f>
        <v/>
      </c>
    </row>
    <row r="837">
      <c r="A837" s="197" t="n"/>
      <c r="B837" s="198" t="n"/>
      <c r="C837" s="198" t="n"/>
      <c r="D837" s="195">
        <f>IF(K837="","",INDEX('差動モデル'!$R:$R,K837))</f>
        <v/>
      </c>
      <c r="E837" s="195">
        <f>IF(K837="","",INDEX('差動モデル'!$S:$S,K837))</f>
        <v/>
      </c>
      <c r="F837" s="195">
        <f>IF(OR(A837="",B837=""),"",100*(D837-B837)/MAX(B837,1E-12))</f>
        <v/>
      </c>
      <c r="G837" s="195">
        <f>IF(OR(A837="",C837=""),"",E837-C837)</f>
        <v/>
      </c>
      <c r="H837" s="195">
        <f>IF(A837="","",LOG10(A837))</f>
        <v/>
      </c>
      <c r="I837" s="195">
        <f>IF(B837="","",LOG10(MAX(B837,1E-12)))</f>
        <v/>
      </c>
      <c r="J837" s="195">
        <f>IF(D837="","",LOG10(MAX(D837,1E-12)))</f>
        <v/>
      </c>
      <c r="K837">
        <f>IF(A837="","",ROUND(1+(LOG10(A837)-LOG10('入力・概要'!$B$38))*('入力・概要'!$B$40-1)/(LOG10('入力・概要'!$B$39)-LOG10('入力・概要'!$B$38)),0)+3)</f>
        <v/>
      </c>
      <c r="L837">
        <f>IF(K837="","",INDEX('差動モデル'!$B:$B,K837))</f>
        <v/>
      </c>
      <c r="M837">
        <f>IF(A837="","",IF(ABS(L837/A837-1)&lt;0.01,"周波数差&lt;1%","周波数差あり"))</f>
        <v/>
      </c>
    </row>
    <row r="838">
      <c r="A838" s="197" t="n"/>
      <c r="B838" s="198" t="n"/>
      <c r="C838" s="198" t="n"/>
      <c r="D838" s="195">
        <f>IF(K838="","",INDEX('差動モデル'!$R:$R,K838))</f>
        <v/>
      </c>
      <c r="E838" s="195">
        <f>IF(K838="","",INDEX('差動モデル'!$S:$S,K838))</f>
        <v/>
      </c>
      <c r="F838" s="195">
        <f>IF(OR(A838="",B838=""),"",100*(D838-B838)/MAX(B838,1E-12))</f>
        <v/>
      </c>
      <c r="G838" s="195">
        <f>IF(OR(A838="",C838=""),"",E838-C838)</f>
        <v/>
      </c>
      <c r="H838" s="195">
        <f>IF(A838="","",LOG10(A838))</f>
        <v/>
      </c>
      <c r="I838" s="195">
        <f>IF(B838="","",LOG10(MAX(B838,1E-12)))</f>
        <v/>
      </c>
      <c r="J838" s="195">
        <f>IF(D838="","",LOG10(MAX(D838,1E-12)))</f>
        <v/>
      </c>
      <c r="K838">
        <f>IF(A838="","",ROUND(1+(LOG10(A838)-LOG10('入力・概要'!$B$38))*('入力・概要'!$B$40-1)/(LOG10('入力・概要'!$B$39)-LOG10('入力・概要'!$B$38)),0)+3)</f>
        <v/>
      </c>
      <c r="L838">
        <f>IF(K838="","",INDEX('差動モデル'!$B:$B,K838))</f>
        <v/>
      </c>
      <c r="M838">
        <f>IF(A838="","",IF(ABS(L838/A838-1)&lt;0.01,"周波数差&lt;1%","周波数差あり"))</f>
        <v/>
      </c>
    </row>
    <row r="839">
      <c r="A839" s="197" t="n"/>
      <c r="B839" s="198" t="n"/>
      <c r="C839" s="198" t="n"/>
      <c r="D839" s="195">
        <f>IF(K839="","",INDEX('差動モデル'!$R:$R,K839))</f>
        <v/>
      </c>
      <c r="E839" s="195">
        <f>IF(K839="","",INDEX('差動モデル'!$S:$S,K839))</f>
        <v/>
      </c>
      <c r="F839" s="195">
        <f>IF(OR(A839="",B839=""),"",100*(D839-B839)/MAX(B839,1E-12))</f>
        <v/>
      </c>
      <c r="G839" s="195">
        <f>IF(OR(A839="",C839=""),"",E839-C839)</f>
        <v/>
      </c>
      <c r="H839" s="195">
        <f>IF(A839="","",LOG10(A839))</f>
        <v/>
      </c>
      <c r="I839" s="195">
        <f>IF(B839="","",LOG10(MAX(B839,1E-12)))</f>
        <v/>
      </c>
      <c r="J839" s="195">
        <f>IF(D839="","",LOG10(MAX(D839,1E-12)))</f>
        <v/>
      </c>
      <c r="K839">
        <f>IF(A839="","",ROUND(1+(LOG10(A839)-LOG10('入力・概要'!$B$38))*('入力・概要'!$B$40-1)/(LOG10('入力・概要'!$B$39)-LOG10('入力・概要'!$B$38)),0)+3)</f>
        <v/>
      </c>
      <c r="L839">
        <f>IF(K839="","",INDEX('差動モデル'!$B:$B,K839))</f>
        <v/>
      </c>
      <c r="M839">
        <f>IF(A839="","",IF(ABS(L839/A839-1)&lt;0.01,"周波数差&lt;1%","周波数差あり"))</f>
        <v/>
      </c>
    </row>
    <row r="840">
      <c r="A840" s="197" t="n"/>
      <c r="B840" s="198" t="n"/>
      <c r="C840" s="198" t="n"/>
      <c r="D840" s="195">
        <f>IF(K840="","",INDEX('差動モデル'!$R:$R,K840))</f>
        <v/>
      </c>
      <c r="E840" s="195">
        <f>IF(K840="","",INDEX('差動モデル'!$S:$S,K840))</f>
        <v/>
      </c>
      <c r="F840" s="195">
        <f>IF(OR(A840="",B840=""),"",100*(D840-B840)/MAX(B840,1E-12))</f>
        <v/>
      </c>
      <c r="G840" s="195">
        <f>IF(OR(A840="",C840=""),"",E840-C840)</f>
        <v/>
      </c>
      <c r="H840" s="195">
        <f>IF(A840="","",LOG10(A840))</f>
        <v/>
      </c>
      <c r="I840" s="195">
        <f>IF(B840="","",LOG10(MAX(B840,1E-12)))</f>
        <v/>
      </c>
      <c r="J840" s="195">
        <f>IF(D840="","",LOG10(MAX(D840,1E-12)))</f>
        <v/>
      </c>
      <c r="K840">
        <f>IF(A840="","",ROUND(1+(LOG10(A840)-LOG10('入力・概要'!$B$38))*('入力・概要'!$B$40-1)/(LOG10('入力・概要'!$B$39)-LOG10('入力・概要'!$B$38)),0)+3)</f>
        <v/>
      </c>
      <c r="L840">
        <f>IF(K840="","",INDEX('差動モデル'!$B:$B,K840))</f>
        <v/>
      </c>
      <c r="M840">
        <f>IF(A840="","",IF(ABS(L840/A840-1)&lt;0.01,"周波数差&lt;1%","周波数差あり"))</f>
        <v/>
      </c>
    </row>
    <row r="841">
      <c r="A841" s="197" t="n"/>
      <c r="B841" s="198" t="n"/>
      <c r="C841" s="198" t="n"/>
      <c r="D841" s="195">
        <f>IF(K841="","",INDEX('差動モデル'!$R:$R,K841))</f>
        <v/>
      </c>
      <c r="E841" s="195">
        <f>IF(K841="","",INDEX('差動モデル'!$S:$S,K841))</f>
        <v/>
      </c>
      <c r="F841" s="195">
        <f>IF(OR(A841="",B841=""),"",100*(D841-B841)/MAX(B841,1E-12))</f>
        <v/>
      </c>
      <c r="G841" s="195">
        <f>IF(OR(A841="",C841=""),"",E841-C841)</f>
        <v/>
      </c>
      <c r="H841" s="195">
        <f>IF(A841="","",LOG10(A841))</f>
        <v/>
      </c>
      <c r="I841" s="195">
        <f>IF(B841="","",LOG10(MAX(B841,1E-12)))</f>
        <v/>
      </c>
      <c r="J841" s="195">
        <f>IF(D841="","",LOG10(MAX(D841,1E-12)))</f>
        <v/>
      </c>
      <c r="K841">
        <f>IF(A841="","",ROUND(1+(LOG10(A841)-LOG10('入力・概要'!$B$38))*('入力・概要'!$B$40-1)/(LOG10('入力・概要'!$B$39)-LOG10('入力・概要'!$B$38)),0)+3)</f>
        <v/>
      </c>
      <c r="L841">
        <f>IF(K841="","",INDEX('差動モデル'!$B:$B,K841))</f>
        <v/>
      </c>
      <c r="M841">
        <f>IF(A841="","",IF(ABS(L841/A841-1)&lt;0.01,"周波数差&lt;1%","周波数差あり"))</f>
        <v/>
      </c>
    </row>
    <row r="842">
      <c r="A842" s="197" t="n"/>
      <c r="B842" s="198" t="n"/>
      <c r="C842" s="198" t="n"/>
      <c r="D842" s="195">
        <f>IF(K842="","",INDEX('差動モデル'!$R:$R,K842))</f>
        <v/>
      </c>
      <c r="E842" s="195">
        <f>IF(K842="","",INDEX('差動モデル'!$S:$S,K842))</f>
        <v/>
      </c>
      <c r="F842" s="195">
        <f>IF(OR(A842="",B842=""),"",100*(D842-B842)/MAX(B842,1E-12))</f>
        <v/>
      </c>
      <c r="G842" s="195">
        <f>IF(OR(A842="",C842=""),"",E842-C842)</f>
        <v/>
      </c>
      <c r="H842" s="195">
        <f>IF(A842="","",LOG10(A842))</f>
        <v/>
      </c>
      <c r="I842" s="195">
        <f>IF(B842="","",LOG10(MAX(B842,1E-12)))</f>
        <v/>
      </c>
      <c r="J842" s="195">
        <f>IF(D842="","",LOG10(MAX(D842,1E-12)))</f>
        <v/>
      </c>
      <c r="K842">
        <f>IF(A842="","",ROUND(1+(LOG10(A842)-LOG10('入力・概要'!$B$38))*('入力・概要'!$B$40-1)/(LOG10('入力・概要'!$B$39)-LOG10('入力・概要'!$B$38)),0)+3)</f>
        <v/>
      </c>
      <c r="L842">
        <f>IF(K842="","",INDEX('差動モデル'!$B:$B,K842))</f>
        <v/>
      </c>
      <c r="M842">
        <f>IF(A842="","",IF(ABS(L842/A842-1)&lt;0.01,"周波数差&lt;1%","周波数差あり"))</f>
        <v/>
      </c>
    </row>
    <row r="843">
      <c r="A843" s="197" t="n"/>
      <c r="B843" s="198" t="n"/>
      <c r="C843" s="198" t="n"/>
      <c r="D843" s="195">
        <f>IF(K843="","",INDEX('差動モデル'!$R:$R,K843))</f>
        <v/>
      </c>
      <c r="E843" s="195">
        <f>IF(K843="","",INDEX('差動モデル'!$S:$S,K843))</f>
        <v/>
      </c>
      <c r="F843" s="195">
        <f>IF(OR(A843="",B843=""),"",100*(D843-B843)/MAX(B843,1E-12))</f>
        <v/>
      </c>
      <c r="G843" s="195">
        <f>IF(OR(A843="",C843=""),"",E843-C843)</f>
        <v/>
      </c>
      <c r="H843" s="195">
        <f>IF(A843="","",LOG10(A843))</f>
        <v/>
      </c>
      <c r="I843" s="195">
        <f>IF(B843="","",LOG10(MAX(B843,1E-12)))</f>
        <v/>
      </c>
      <c r="J843" s="195">
        <f>IF(D843="","",LOG10(MAX(D843,1E-12)))</f>
        <v/>
      </c>
      <c r="K843">
        <f>IF(A843="","",ROUND(1+(LOG10(A843)-LOG10('入力・概要'!$B$38))*('入力・概要'!$B$40-1)/(LOG10('入力・概要'!$B$39)-LOG10('入力・概要'!$B$38)),0)+3)</f>
        <v/>
      </c>
      <c r="L843">
        <f>IF(K843="","",INDEX('差動モデル'!$B:$B,K843))</f>
        <v/>
      </c>
      <c r="M843">
        <f>IF(A843="","",IF(ABS(L843/A843-1)&lt;0.01,"周波数差&lt;1%","周波数差あり"))</f>
        <v/>
      </c>
    </row>
    <row r="844">
      <c r="A844" s="197" t="n"/>
      <c r="B844" s="198" t="n"/>
      <c r="C844" s="198" t="n"/>
      <c r="D844" s="195">
        <f>IF(K844="","",INDEX('差動モデル'!$R:$R,K844))</f>
        <v/>
      </c>
      <c r="E844" s="195">
        <f>IF(K844="","",INDEX('差動モデル'!$S:$S,K844))</f>
        <v/>
      </c>
      <c r="F844" s="195">
        <f>IF(OR(A844="",B844=""),"",100*(D844-B844)/MAX(B844,1E-12))</f>
        <v/>
      </c>
      <c r="G844" s="195">
        <f>IF(OR(A844="",C844=""),"",E844-C844)</f>
        <v/>
      </c>
      <c r="H844" s="195">
        <f>IF(A844="","",LOG10(A844))</f>
        <v/>
      </c>
      <c r="I844" s="195">
        <f>IF(B844="","",LOG10(MAX(B844,1E-12)))</f>
        <v/>
      </c>
      <c r="J844" s="195">
        <f>IF(D844="","",LOG10(MAX(D844,1E-12)))</f>
        <v/>
      </c>
      <c r="K844">
        <f>IF(A844="","",ROUND(1+(LOG10(A844)-LOG10('入力・概要'!$B$38))*('入力・概要'!$B$40-1)/(LOG10('入力・概要'!$B$39)-LOG10('入力・概要'!$B$38)),0)+3)</f>
        <v/>
      </c>
      <c r="L844">
        <f>IF(K844="","",INDEX('差動モデル'!$B:$B,K844))</f>
        <v/>
      </c>
      <c r="M844">
        <f>IF(A844="","",IF(ABS(L844/A844-1)&lt;0.01,"周波数差&lt;1%","周波数差あり"))</f>
        <v/>
      </c>
    </row>
    <row r="845">
      <c r="A845" s="197" t="n"/>
      <c r="B845" s="198" t="n"/>
      <c r="C845" s="198" t="n"/>
      <c r="D845" s="195">
        <f>IF(K845="","",INDEX('差動モデル'!$R:$R,K845))</f>
        <v/>
      </c>
      <c r="E845" s="195">
        <f>IF(K845="","",INDEX('差動モデル'!$S:$S,K845))</f>
        <v/>
      </c>
      <c r="F845" s="195">
        <f>IF(OR(A845="",B845=""),"",100*(D845-B845)/MAX(B845,1E-12))</f>
        <v/>
      </c>
      <c r="G845" s="195">
        <f>IF(OR(A845="",C845=""),"",E845-C845)</f>
        <v/>
      </c>
      <c r="H845" s="195">
        <f>IF(A845="","",LOG10(A845))</f>
        <v/>
      </c>
      <c r="I845" s="195">
        <f>IF(B845="","",LOG10(MAX(B845,1E-12)))</f>
        <v/>
      </c>
      <c r="J845" s="195">
        <f>IF(D845="","",LOG10(MAX(D845,1E-12)))</f>
        <v/>
      </c>
      <c r="K845">
        <f>IF(A845="","",ROUND(1+(LOG10(A845)-LOG10('入力・概要'!$B$38))*('入力・概要'!$B$40-1)/(LOG10('入力・概要'!$B$39)-LOG10('入力・概要'!$B$38)),0)+3)</f>
        <v/>
      </c>
      <c r="L845">
        <f>IF(K845="","",INDEX('差動モデル'!$B:$B,K845))</f>
        <v/>
      </c>
      <c r="M845">
        <f>IF(A845="","",IF(ABS(L845/A845-1)&lt;0.01,"周波数差&lt;1%","周波数差あり"))</f>
        <v/>
      </c>
    </row>
    <row r="846">
      <c r="A846" s="197" t="n"/>
      <c r="B846" s="198" t="n"/>
      <c r="C846" s="198" t="n"/>
      <c r="D846" s="195">
        <f>IF(K846="","",INDEX('差動モデル'!$R:$R,K846))</f>
        <v/>
      </c>
      <c r="E846" s="195">
        <f>IF(K846="","",INDEX('差動モデル'!$S:$S,K846))</f>
        <v/>
      </c>
      <c r="F846" s="195">
        <f>IF(OR(A846="",B846=""),"",100*(D846-B846)/MAX(B846,1E-12))</f>
        <v/>
      </c>
      <c r="G846" s="195">
        <f>IF(OR(A846="",C846=""),"",E846-C846)</f>
        <v/>
      </c>
      <c r="H846" s="195">
        <f>IF(A846="","",LOG10(A846))</f>
        <v/>
      </c>
      <c r="I846" s="195">
        <f>IF(B846="","",LOG10(MAX(B846,1E-12)))</f>
        <v/>
      </c>
      <c r="J846" s="195">
        <f>IF(D846="","",LOG10(MAX(D846,1E-12)))</f>
        <v/>
      </c>
      <c r="K846">
        <f>IF(A846="","",ROUND(1+(LOG10(A846)-LOG10('入力・概要'!$B$38))*('入力・概要'!$B$40-1)/(LOG10('入力・概要'!$B$39)-LOG10('入力・概要'!$B$38)),0)+3)</f>
        <v/>
      </c>
      <c r="L846">
        <f>IF(K846="","",INDEX('差動モデル'!$B:$B,K846))</f>
        <v/>
      </c>
      <c r="M846">
        <f>IF(A846="","",IF(ABS(L846/A846-1)&lt;0.01,"周波数差&lt;1%","周波数差あり"))</f>
        <v/>
      </c>
    </row>
    <row r="847">
      <c r="A847" s="197" t="n"/>
      <c r="B847" s="198" t="n"/>
      <c r="C847" s="198" t="n"/>
      <c r="D847" s="195">
        <f>IF(K847="","",INDEX('差動モデル'!$R:$R,K847))</f>
        <v/>
      </c>
      <c r="E847" s="195">
        <f>IF(K847="","",INDEX('差動モデル'!$S:$S,K847))</f>
        <v/>
      </c>
      <c r="F847" s="195">
        <f>IF(OR(A847="",B847=""),"",100*(D847-B847)/MAX(B847,1E-12))</f>
        <v/>
      </c>
      <c r="G847" s="195">
        <f>IF(OR(A847="",C847=""),"",E847-C847)</f>
        <v/>
      </c>
      <c r="H847" s="195">
        <f>IF(A847="","",LOG10(A847))</f>
        <v/>
      </c>
      <c r="I847" s="195">
        <f>IF(B847="","",LOG10(MAX(B847,1E-12)))</f>
        <v/>
      </c>
      <c r="J847" s="195">
        <f>IF(D847="","",LOG10(MAX(D847,1E-12)))</f>
        <v/>
      </c>
      <c r="K847">
        <f>IF(A847="","",ROUND(1+(LOG10(A847)-LOG10('入力・概要'!$B$38))*('入力・概要'!$B$40-1)/(LOG10('入力・概要'!$B$39)-LOG10('入力・概要'!$B$38)),0)+3)</f>
        <v/>
      </c>
      <c r="L847">
        <f>IF(K847="","",INDEX('差動モデル'!$B:$B,K847))</f>
        <v/>
      </c>
      <c r="M847">
        <f>IF(A847="","",IF(ABS(L847/A847-1)&lt;0.01,"周波数差&lt;1%","周波数差あり"))</f>
        <v/>
      </c>
    </row>
    <row r="848">
      <c r="A848" s="197" t="n"/>
      <c r="B848" s="198" t="n"/>
      <c r="C848" s="198" t="n"/>
      <c r="D848" s="195">
        <f>IF(K848="","",INDEX('差動モデル'!$R:$R,K848))</f>
        <v/>
      </c>
      <c r="E848" s="195">
        <f>IF(K848="","",INDEX('差動モデル'!$S:$S,K848))</f>
        <v/>
      </c>
      <c r="F848" s="195">
        <f>IF(OR(A848="",B848=""),"",100*(D848-B848)/MAX(B848,1E-12))</f>
        <v/>
      </c>
      <c r="G848" s="195">
        <f>IF(OR(A848="",C848=""),"",E848-C848)</f>
        <v/>
      </c>
      <c r="H848" s="195">
        <f>IF(A848="","",LOG10(A848))</f>
        <v/>
      </c>
      <c r="I848" s="195">
        <f>IF(B848="","",LOG10(MAX(B848,1E-12)))</f>
        <v/>
      </c>
      <c r="J848" s="195">
        <f>IF(D848="","",LOG10(MAX(D848,1E-12)))</f>
        <v/>
      </c>
      <c r="K848">
        <f>IF(A848="","",ROUND(1+(LOG10(A848)-LOG10('入力・概要'!$B$38))*('入力・概要'!$B$40-1)/(LOG10('入力・概要'!$B$39)-LOG10('入力・概要'!$B$38)),0)+3)</f>
        <v/>
      </c>
      <c r="L848">
        <f>IF(K848="","",INDEX('差動モデル'!$B:$B,K848))</f>
        <v/>
      </c>
      <c r="M848">
        <f>IF(A848="","",IF(ABS(L848/A848-1)&lt;0.01,"周波数差&lt;1%","周波数差あり"))</f>
        <v/>
      </c>
    </row>
    <row r="849">
      <c r="A849" s="197" t="n"/>
      <c r="B849" s="198" t="n"/>
      <c r="C849" s="198" t="n"/>
      <c r="D849" s="195">
        <f>IF(K849="","",INDEX('差動モデル'!$R:$R,K849))</f>
        <v/>
      </c>
      <c r="E849" s="195">
        <f>IF(K849="","",INDEX('差動モデル'!$S:$S,K849))</f>
        <v/>
      </c>
      <c r="F849" s="195">
        <f>IF(OR(A849="",B849=""),"",100*(D849-B849)/MAX(B849,1E-12))</f>
        <v/>
      </c>
      <c r="G849" s="195">
        <f>IF(OR(A849="",C849=""),"",E849-C849)</f>
        <v/>
      </c>
      <c r="H849" s="195">
        <f>IF(A849="","",LOG10(A849))</f>
        <v/>
      </c>
      <c r="I849" s="195">
        <f>IF(B849="","",LOG10(MAX(B849,1E-12)))</f>
        <v/>
      </c>
      <c r="J849" s="195">
        <f>IF(D849="","",LOG10(MAX(D849,1E-12)))</f>
        <v/>
      </c>
      <c r="K849">
        <f>IF(A849="","",ROUND(1+(LOG10(A849)-LOG10('入力・概要'!$B$38))*('入力・概要'!$B$40-1)/(LOG10('入力・概要'!$B$39)-LOG10('入力・概要'!$B$38)),0)+3)</f>
        <v/>
      </c>
      <c r="L849">
        <f>IF(K849="","",INDEX('差動モデル'!$B:$B,K849))</f>
        <v/>
      </c>
      <c r="M849">
        <f>IF(A849="","",IF(ABS(L849/A849-1)&lt;0.01,"周波数差&lt;1%","周波数差あり"))</f>
        <v/>
      </c>
    </row>
    <row r="850">
      <c r="A850" s="197" t="n"/>
      <c r="B850" s="198" t="n"/>
      <c r="C850" s="198" t="n"/>
      <c r="D850" s="195">
        <f>IF(K850="","",INDEX('差動モデル'!$R:$R,K850))</f>
        <v/>
      </c>
      <c r="E850" s="195">
        <f>IF(K850="","",INDEX('差動モデル'!$S:$S,K850))</f>
        <v/>
      </c>
      <c r="F850" s="195">
        <f>IF(OR(A850="",B850=""),"",100*(D850-B850)/MAX(B850,1E-12))</f>
        <v/>
      </c>
      <c r="G850" s="195">
        <f>IF(OR(A850="",C850=""),"",E850-C850)</f>
        <v/>
      </c>
      <c r="H850" s="195">
        <f>IF(A850="","",LOG10(A850))</f>
        <v/>
      </c>
      <c r="I850" s="195">
        <f>IF(B850="","",LOG10(MAX(B850,1E-12)))</f>
        <v/>
      </c>
      <c r="J850" s="195">
        <f>IF(D850="","",LOG10(MAX(D850,1E-12)))</f>
        <v/>
      </c>
      <c r="K850">
        <f>IF(A850="","",ROUND(1+(LOG10(A850)-LOG10('入力・概要'!$B$38))*('入力・概要'!$B$40-1)/(LOG10('入力・概要'!$B$39)-LOG10('入力・概要'!$B$38)),0)+3)</f>
        <v/>
      </c>
      <c r="L850">
        <f>IF(K850="","",INDEX('差動モデル'!$B:$B,K850))</f>
        <v/>
      </c>
      <c r="M850">
        <f>IF(A850="","",IF(ABS(L850/A850-1)&lt;0.01,"周波数差&lt;1%","周波数差あり"))</f>
        <v/>
      </c>
    </row>
    <row r="851">
      <c r="A851" s="197" t="n"/>
      <c r="B851" s="198" t="n"/>
      <c r="C851" s="198" t="n"/>
      <c r="D851" s="195">
        <f>IF(K851="","",INDEX('差動モデル'!$R:$R,K851))</f>
        <v/>
      </c>
      <c r="E851" s="195">
        <f>IF(K851="","",INDEX('差動モデル'!$S:$S,K851))</f>
        <v/>
      </c>
      <c r="F851" s="195">
        <f>IF(OR(A851="",B851=""),"",100*(D851-B851)/MAX(B851,1E-12))</f>
        <v/>
      </c>
      <c r="G851" s="195">
        <f>IF(OR(A851="",C851=""),"",E851-C851)</f>
        <v/>
      </c>
      <c r="H851" s="195">
        <f>IF(A851="","",LOG10(A851))</f>
        <v/>
      </c>
      <c r="I851" s="195">
        <f>IF(B851="","",LOG10(MAX(B851,1E-12)))</f>
        <v/>
      </c>
      <c r="J851" s="195">
        <f>IF(D851="","",LOG10(MAX(D851,1E-12)))</f>
        <v/>
      </c>
      <c r="K851">
        <f>IF(A851="","",ROUND(1+(LOG10(A851)-LOG10('入力・概要'!$B$38))*('入力・概要'!$B$40-1)/(LOG10('入力・概要'!$B$39)-LOG10('入力・概要'!$B$38)),0)+3)</f>
        <v/>
      </c>
      <c r="L851">
        <f>IF(K851="","",INDEX('差動モデル'!$B:$B,K851))</f>
        <v/>
      </c>
      <c r="M851">
        <f>IF(A851="","",IF(ABS(L851/A851-1)&lt;0.01,"周波数差&lt;1%","周波数差あり"))</f>
        <v/>
      </c>
    </row>
    <row r="852">
      <c r="A852" s="197" t="n"/>
      <c r="B852" s="198" t="n"/>
      <c r="C852" s="198" t="n"/>
      <c r="D852" s="195">
        <f>IF(K852="","",INDEX('差動モデル'!$R:$R,K852))</f>
        <v/>
      </c>
      <c r="E852" s="195">
        <f>IF(K852="","",INDEX('差動モデル'!$S:$S,K852))</f>
        <v/>
      </c>
      <c r="F852" s="195">
        <f>IF(OR(A852="",B852=""),"",100*(D852-B852)/MAX(B852,1E-12))</f>
        <v/>
      </c>
      <c r="G852" s="195">
        <f>IF(OR(A852="",C852=""),"",E852-C852)</f>
        <v/>
      </c>
      <c r="H852" s="195">
        <f>IF(A852="","",LOG10(A852))</f>
        <v/>
      </c>
      <c r="I852" s="195">
        <f>IF(B852="","",LOG10(MAX(B852,1E-12)))</f>
        <v/>
      </c>
      <c r="J852" s="195">
        <f>IF(D852="","",LOG10(MAX(D852,1E-12)))</f>
        <v/>
      </c>
      <c r="K852">
        <f>IF(A852="","",ROUND(1+(LOG10(A852)-LOG10('入力・概要'!$B$38))*('入力・概要'!$B$40-1)/(LOG10('入力・概要'!$B$39)-LOG10('入力・概要'!$B$38)),0)+3)</f>
        <v/>
      </c>
      <c r="L852">
        <f>IF(K852="","",INDEX('差動モデル'!$B:$B,K852))</f>
        <v/>
      </c>
      <c r="M852">
        <f>IF(A852="","",IF(ABS(L852/A852-1)&lt;0.01,"周波数差&lt;1%","周波数差あり"))</f>
        <v/>
      </c>
    </row>
    <row r="853">
      <c r="A853" s="197" t="n"/>
      <c r="B853" s="198" t="n"/>
      <c r="C853" s="198" t="n"/>
      <c r="D853" s="195">
        <f>IF(K853="","",INDEX('差動モデル'!$R:$R,K853))</f>
        <v/>
      </c>
      <c r="E853" s="195">
        <f>IF(K853="","",INDEX('差動モデル'!$S:$S,K853))</f>
        <v/>
      </c>
      <c r="F853" s="195">
        <f>IF(OR(A853="",B853=""),"",100*(D853-B853)/MAX(B853,1E-12))</f>
        <v/>
      </c>
      <c r="G853" s="195">
        <f>IF(OR(A853="",C853=""),"",E853-C853)</f>
        <v/>
      </c>
      <c r="H853" s="195">
        <f>IF(A853="","",LOG10(A853))</f>
        <v/>
      </c>
      <c r="I853" s="195">
        <f>IF(B853="","",LOG10(MAX(B853,1E-12)))</f>
        <v/>
      </c>
      <c r="J853" s="195">
        <f>IF(D853="","",LOG10(MAX(D853,1E-12)))</f>
        <v/>
      </c>
      <c r="K853">
        <f>IF(A853="","",ROUND(1+(LOG10(A853)-LOG10('入力・概要'!$B$38))*('入力・概要'!$B$40-1)/(LOG10('入力・概要'!$B$39)-LOG10('入力・概要'!$B$38)),0)+3)</f>
        <v/>
      </c>
      <c r="L853">
        <f>IF(K853="","",INDEX('差動モデル'!$B:$B,K853))</f>
        <v/>
      </c>
      <c r="M853">
        <f>IF(A853="","",IF(ABS(L853/A853-1)&lt;0.01,"周波数差&lt;1%","周波数差あり"))</f>
        <v/>
      </c>
    </row>
    <row r="854">
      <c r="A854" s="197" t="n"/>
      <c r="B854" s="198" t="n"/>
      <c r="C854" s="198" t="n"/>
      <c r="D854" s="195">
        <f>IF(K854="","",INDEX('差動モデル'!$R:$R,K854))</f>
        <v/>
      </c>
      <c r="E854" s="195">
        <f>IF(K854="","",INDEX('差動モデル'!$S:$S,K854))</f>
        <v/>
      </c>
      <c r="F854" s="195">
        <f>IF(OR(A854="",B854=""),"",100*(D854-B854)/MAX(B854,1E-12))</f>
        <v/>
      </c>
      <c r="G854" s="195">
        <f>IF(OR(A854="",C854=""),"",E854-C854)</f>
        <v/>
      </c>
      <c r="H854" s="195">
        <f>IF(A854="","",LOG10(A854))</f>
        <v/>
      </c>
      <c r="I854" s="195">
        <f>IF(B854="","",LOG10(MAX(B854,1E-12)))</f>
        <v/>
      </c>
      <c r="J854" s="195">
        <f>IF(D854="","",LOG10(MAX(D854,1E-12)))</f>
        <v/>
      </c>
      <c r="K854">
        <f>IF(A854="","",ROUND(1+(LOG10(A854)-LOG10('入力・概要'!$B$38))*('入力・概要'!$B$40-1)/(LOG10('入力・概要'!$B$39)-LOG10('入力・概要'!$B$38)),0)+3)</f>
        <v/>
      </c>
      <c r="L854">
        <f>IF(K854="","",INDEX('差動モデル'!$B:$B,K854))</f>
        <v/>
      </c>
      <c r="M854">
        <f>IF(A854="","",IF(ABS(L854/A854-1)&lt;0.01,"周波数差&lt;1%","周波数差あり"))</f>
        <v/>
      </c>
    </row>
    <row r="855">
      <c r="A855" s="197" t="n"/>
      <c r="B855" s="198" t="n"/>
      <c r="C855" s="198" t="n"/>
      <c r="D855" s="195">
        <f>IF(K855="","",INDEX('差動モデル'!$R:$R,K855))</f>
        <v/>
      </c>
      <c r="E855" s="195">
        <f>IF(K855="","",INDEX('差動モデル'!$S:$S,K855))</f>
        <v/>
      </c>
      <c r="F855" s="195">
        <f>IF(OR(A855="",B855=""),"",100*(D855-B855)/MAX(B855,1E-12))</f>
        <v/>
      </c>
      <c r="G855" s="195">
        <f>IF(OR(A855="",C855=""),"",E855-C855)</f>
        <v/>
      </c>
      <c r="H855" s="195">
        <f>IF(A855="","",LOG10(A855))</f>
        <v/>
      </c>
      <c r="I855" s="195">
        <f>IF(B855="","",LOG10(MAX(B855,1E-12)))</f>
        <v/>
      </c>
      <c r="J855" s="195">
        <f>IF(D855="","",LOG10(MAX(D855,1E-12)))</f>
        <v/>
      </c>
      <c r="K855">
        <f>IF(A855="","",ROUND(1+(LOG10(A855)-LOG10('入力・概要'!$B$38))*('入力・概要'!$B$40-1)/(LOG10('入力・概要'!$B$39)-LOG10('入力・概要'!$B$38)),0)+3)</f>
        <v/>
      </c>
      <c r="L855">
        <f>IF(K855="","",INDEX('差動モデル'!$B:$B,K855))</f>
        <v/>
      </c>
      <c r="M855">
        <f>IF(A855="","",IF(ABS(L855/A855-1)&lt;0.01,"周波数差&lt;1%","周波数差あり"))</f>
        <v/>
      </c>
    </row>
    <row r="856">
      <c r="A856" s="197" t="n"/>
      <c r="B856" s="198" t="n"/>
      <c r="C856" s="198" t="n"/>
      <c r="D856" s="195">
        <f>IF(K856="","",INDEX('差動モデル'!$R:$R,K856))</f>
        <v/>
      </c>
      <c r="E856" s="195">
        <f>IF(K856="","",INDEX('差動モデル'!$S:$S,K856))</f>
        <v/>
      </c>
      <c r="F856" s="195">
        <f>IF(OR(A856="",B856=""),"",100*(D856-B856)/MAX(B856,1E-12))</f>
        <v/>
      </c>
      <c r="G856" s="195">
        <f>IF(OR(A856="",C856=""),"",E856-C856)</f>
        <v/>
      </c>
      <c r="H856" s="195">
        <f>IF(A856="","",LOG10(A856))</f>
        <v/>
      </c>
      <c r="I856" s="195">
        <f>IF(B856="","",LOG10(MAX(B856,1E-12)))</f>
        <v/>
      </c>
      <c r="J856" s="195">
        <f>IF(D856="","",LOG10(MAX(D856,1E-12)))</f>
        <v/>
      </c>
      <c r="K856">
        <f>IF(A856="","",ROUND(1+(LOG10(A856)-LOG10('入力・概要'!$B$38))*('入力・概要'!$B$40-1)/(LOG10('入力・概要'!$B$39)-LOG10('入力・概要'!$B$38)),0)+3)</f>
        <v/>
      </c>
      <c r="L856">
        <f>IF(K856="","",INDEX('差動モデル'!$B:$B,K856))</f>
        <v/>
      </c>
      <c r="M856">
        <f>IF(A856="","",IF(ABS(L856/A856-1)&lt;0.01,"周波数差&lt;1%","周波数差あり"))</f>
        <v/>
      </c>
    </row>
    <row r="857">
      <c r="A857" s="197" t="n"/>
      <c r="B857" s="198" t="n"/>
      <c r="C857" s="198" t="n"/>
      <c r="D857" s="195">
        <f>IF(K857="","",INDEX('差動モデル'!$R:$R,K857))</f>
        <v/>
      </c>
      <c r="E857" s="195">
        <f>IF(K857="","",INDEX('差動モデル'!$S:$S,K857))</f>
        <v/>
      </c>
      <c r="F857" s="195">
        <f>IF(OR(A857="",B857=""),"",100*(D857-B857)/MAX(B857,1E-12))</f>
        <v/>
      </c>
      <c r="G857" s="195">
        <f>IF(OR(A857="",C857=""),"",E857-C857)</f>
        <v/>
      </c>
      <c r="H857" s="195">
        <f>IF(A857="","",LOG10(A857))</f>
        <v/>
      </c>
      <c r="I857" s="195">
        <f>IF(B857="","",LOG10(MAX(B857,1E-12)))</f>
        <v/>
      </c>
      <c r="J857" s="195">
        <f>IF(D857="","",LOG10(MAX(D857,1E-12)))</f>
        <v/>
      </c>
      <c r="K857">
        <f>IF(A857="","",ROUND(1+(LOG10(A857)-LOG10('入力・概要'!$B$38))*('入力・概要'!$B$40-1)/(LOG10('入力・概要'!$B$39)-LOG10('入力・概要'!$B$38)),0)+3)</f>
        <v/>
      </c>
      <c r="L857">
        <f>IF(K857="","",INDEX('差動モデル'!$B:$B,K857))</f>
        <v/>
      </c>
      <c r="M857">
        <f>IF(A857="","",IF(ABS(L857/A857-1)&lt;0.01,"周波数差&lt;1%","周波数差あり"))</f>
        <v/>
      </c>
    </row>
    <row r="858">
      <c r="A858" s="197" t="n"/>
      <c r="B858" s="198" t="n"/>
      <c r="C858" s="198" t="n"/>
      <c r="D858" s="195">
        <f>IF(K858="","",INDEX('差動モデル'!$R:$R,K858))</f>
        <v/>
      </c>
      <c r="E858" s="195">
        <f>IF(K858="","",INDEX('差動モデル'!$S:$S,K858))</f>
        <v/>
      </c>
      <c r="F858" s="195">
        <f>IF(OR(A858="",B858=""),"",100*(D858-B858)/MAX(B858,1E-12))</f>
        <v/>
      </c>
      <c r="G858" s="195">
        <f>IF(OR(A858="",C858=""),"",E858-C858)</f>
        <v/>
      </c>
      <c r="H858" s="195">
        <f>IF(A858="","",LOG10(A858))</f>
        <v/>
      </c>
      <c r="I858" s="195">
        <f>IF(B858="","",LOG10(MAX(B858,1E-12)))</f>
        <v/>
      </c>
      <c r="J858" s="195">
        <f>IF(D858="","",LOG10(MAX(D858,1E-12)))</f>
        <v/>
      </c>
      <c r="K858">
        <f>IF(A858="","",ROUND(1+(LOG10(A858)-LOG10('入力・概要'!$B$38))*('入力・概要'!$B$40-1)/(LOG10('入力・概要'!$B$39)-LOG10('入力・概要'!$B$38)),0)+3)</f>
        <v/>
      </c>
      <c r="L858">
        <f>IF(K858="","",INDEX('差動モデル'!$B:$B,K858))</f>
        <v/>
      </c>
      <c r="M858">
        <f>IF(A858="","",IF(ABS(L858/A858-1)&lt;0.01,"周波数差&lt;1%","周波数差あり"))</f>
        <v/>
      </c>
    </row>
    <row r="859">
      <c r="A859" s="197" t="n"/>
      <c r="B859" s="198" t="n"/>
      <c r="C859" s="198" t="n"/>
      <c r="D859" s="195">
        <f>IF(K859="","",INDEX('差動モデル'!$R:$R,K859))</f>
        <v/>
      </c>
      <c r="E859" s="195">
        <f>IF(K859="","",INDEX('差動モデル'!$S:$S,K859))</f>
        <v/>
      </c>
      <c r="F859" s="195">
        <f>IF(OR(A859="",B859=""),"",100*(D859-B859)/MAX(B859,1E-12))</f>
        <v/>
      </c>
      <c r="G859" s="195">
        <f>IF(OR(A859="",C859=""),"",E859-C859)</f>
        <v/>
      </c>
      <c r="H859" s="195">
        <f>IF(A859="","",LOG10(A859))</f>
        <v/>
      </c>
      <c r="I859" s="195">
        <f>IF(B859="","",LOG10(MAX(B859,1E-12)))</f>
        <v/>
      </c>
      <c r="J859" s="195">
        <f>IF(D859="","",LOG10(MAX(D859,1E-12)))</f>
        <v/>
      </c>
      <c r="K859">
        <f>IF(A859="","",ROUND(1+(LOG10(A859)-LOG10('入力・概要'!$B$38))*('入力・概要'!$B$40-1)/(LOG10('入力・概要'!$B$39)-LOG10('入力・概要'!$B$38)),0)+3)</f>
        <v/>
      </c>
      <c r="L859">
        <f>IF(K859="","",INDEX('差動モデル'!$B:$B,K859))</f>
        <v/>
      </c>
      <c r="M859">
        <f>IF(A859="","",IF(ABS(L859/A859-1)&lt;0.01,"周波数差&lt;1%","周波数差あり"))</f>
        <v/>
      </c>
    </row>
    <row r="860">
      <c r="A860" s="197" t="n"/>
      <c r="B860" s="198" t="n"/>
      <c r="C860" s="198" t="n"/>
      <c r="D860" s="195">
        <f>IF(K860="","",INDEX('差動モデル'!$R:$R,K860))</f>
        <v/>
      </c>
      <c r="E860" s="195">
        <f>IF(K860="","",INDEX('差動モデル'!$S:$S,K860))</f>
        <v/>
      </c>
      <c r="F860" s="195">
        <f>IF(OR(A860="",B860=""),"",100*(D860-B860)/MAX(B860,1E-12))</f>
        <v/>
      </c>
      <c r="G860" s="195">
        <f>IF(OR(A860="",C860=""),"",E860-C860)</f>
        <v/>
      </c>
      <c r="H860" s="195">
        <f>IF(A860="","",LOG10(A860))</f>
        <v/>
      </c>
      <c r="I860" s="195">
        <f>IF(B860="","",LOG10(MAX(B860,1E-12)))</f>
        <v/>
      </c>
      <c r="J860" s="195">
        <f>IF(D860="","",LOG10(MAX(D860,1E-12)))</f>
        <v/>
      </c>
      <c r="K860">
        <f>IF(A860="","",ROUND(1+(LOG10(A860)-LOG10('入力・概要'!$B$38))*('入力・概要'!$B$40-1)/(LOG10('入力・概要'!$B$39)-LOG10('入力・概要'!$B$38)),0)+3)</f>
        <v/>
      </c>
      <c r="L860">
        <f>IF(K860="","",INDEX('差動モデル'!$B:$B,K860))</f>
        <v/>
      </c>
      <c r="M860">
        <f>IF(A860="","",IF(ABS(L860/A860-1)&lt;0.01,"周波数差&lt;1%","周波数差あり"))</f>
        <v/>
      </c>
    </row>
    <row r="861">
      <c r="A861" s="197" t="n"/>
      <c r="B861" s="198" t="n"/>
      <c r="C861" s="198" t="n"/>
      <c r="D861" s="195">
        <f>IF(K861="","",INDEX('差動モデル'!$R:$R,K861))</f>
        <v/>
      </c>
      <c r="E861" s="195">
        <f>IF(K861="","",INDEX('差動モデル'!$S:$S,K861))</f>
        <v/>
      </c>
      <c r="F861" s="195">
        <f>IF(OR(A861="",B861=""),"",100*(D861-B861)/MAX(B861,1E-12))</f>
        <v/>
      </c>
      <c r="G861" s="195">
        <f>IF(OR(A861="",C861=""),"",E861-C861)</f>
        <v/>
      </c>
      <c r="H861" s="195">
        <f>IF(A861="","",LOG10(A861))</f>
        <v/>
      </c>
      <c r="I861" s="195">
        <f>IF(B861="","",LOG10(MAX(B861,1E-12)))</f>
        <v/>
      </c>
      <c r="J861" s="195">
        <f>IF(D861="","",LOG10(MAX(D861,1E-12)))</f>
        <v/>
      </c>
      <c r="K861">
        <f>IF(A861="","",ROUND(1+(LOG10(A861)-LOG10('入力・概要'!$B$38))*('入力・概要'!$B$40-1)/(LOG10('入力・概要'!$B$39)-LOG10('入力・概要'!$B$38)),0)+3)</f>
        <v/>
      </c>
      <c r="L861">
        <f>IF(K861="","",INDEX('差動モデル'!$B:$B,K861))</f>
        <v/>
      </c>
      <c r="M861">
        <f>IF(A861="","",IF(ABS(L861/A861-1)&lt;0.01,"周波数差&lt;1%","周波数差あり"))</f>
        <v/>
      </c>
    </row>
    <row r="862">
      <c r="A862" s="197" t="n"/>
      <c r="B862" s="198" t="n"/>
      <c r="C862" s="198" t="n"/>
      <c r="D862" s="195">
        <f>IF(K862="","",INDEX('差動モデル'!$R:$R,K862))</f>
        <v/>
      </c>
      <c r="E862" s="195">
        <f>IF(K862="","",INDEX('差動モデル'!$S:$S,K862))</f>
        <v/>
      </c>
      <c r="F862" s="195">
        <f>IF(OR(A862="",B862=""),"",100*(D862-B862)/MAX(B862,1E-12))</f>
        <v/>
      </c>
      <c r="G862" s="195">
        <f>IF(OR(A862="",C862=""),"",E862-C862)</f>
        <v/>
      </c>
      <c r="H862" s="195">
        <f>IF(A862="","",LOG10(A862))</f>
        <v/>
      </c>
      <c r="I862" s="195">
        <f>IF(B862="","",LOG10(MAX(B862,1E-12)))</f>
        <v/>
      </c>
      <c r="J862" s="195">
        <f>IF(D862="","",LOG10(MAX(D862,1E-12)))</f>
        <v/>
      </c>
      <c r="K862">
        <f>IF(A862="","",ROUND(1+(LOG10(A862)-LOG10('入力・概要'!$B$38))*('入力・概要'!$B$40-1)/(LOG10('入力・概要'!$B$39)-LOG10('入力・概要'!$B$38)),0)+3)</f>
        <v/>
      </c>
      <c r="L862">
        <f>IF(K862="","",INDEX('差動モデル'!$B:$B,K862))</f>
        <v/>
      </c>
      <c r="M862">
        <f>IF(A862="","",IF(ABS(L862/A862-1)&lt;0.01,"周波数差&lt;1%","周波数差あり"))</f>
        <v/>
      </c>
    </row>
    <row r="863">
      <c r="A863" s="197" t="n"/>
      <c r="B863" s="198" t="n"/>
      <c r="C863" s="198" t="n"/>
      <c r="D863" s="195">
        <f>IF(K863="","",INDEX('差動モデル'!$R:$R,K863))</f>
        <v/>
      </c>
      <c r="E863" s="195">
        <f>IF(K863="","",INDEX('差動モデル'!$S:$S,K863))</f>
        <v/>
      </c>
      <c r="F863" s="195">
        <f>IF(OR(A863="",B863=""),"",100*(D863-B863)/MAX(B863,1E-12))</f>
        <v/>
      </c>
      <c r="G863" s="195">
        <f>IF(OR(A863="",C863=""),"",E863-C863)</f>
        <v/>
      </c>
      <c r="H863" s="195">
        <f>IF(A863="","",LOG10(A863))</f>
        <v/>
      </c>
      <c r="I863" s="195">
        <f>IF(B863="","",LOG10(MAX(B863,1E-12)))</f>
        <v/>
      </c>
      <c r="J863" s="195">
        <f>IF(D863="","",LOG10(MAX(D863,1E-12)))</f>
        <v/>
      </c>
      <c r="K863">
        <f>IF(A863="","",ROUND(1+(LOG10(A863)-LOG10('入力・概要'!$B$38))*('入力・概要'!$B$40-1)/(LOG10('入力・概要'!$B$39)-LOG10('入力・概要'!$B$38)),0)+3)</f>
        <v/>
      </c>
      <c r="L863">
        <f>IF(K863="","",INDEX('差動モデル'!$B:$B,K863))</f>
        <v/>
      </c>
      <c r="M863">
        <f>IF(A863="","",IF(ABS(L863/A863-1)&lt;0.01,"周波数差&lt;1%","周波数差あり"))</f>
        <v/>
      </c>
    </row>
    <row r="864">
      <c r="A864" s="197" t="n"/>
      <c r="B864" s="198" t="n"/>
      <c r="C864" s="198" t="n"/>
      <c r="D864" s="195">
        <f>IF(K864="","",INDEX('差動モデル'!$R:$R,K864))</f>
        <v/>
      </c>
      <c r="E864" s="195">
        <f>IF(K864="","",INDEX('差動モデル'!$S:$S,K864))</f>
        <v/>
      </c>
      <c r="F864" s="195">
        <f>IF(OR(A864="",B864=""),"",100*(D864-B864)/MAX(B864,1E-12))</f>
        <v/>
      </c>
      <c r="G864" s="195">
        <f>IF(OR(A864="",C864=""),"",E864-C864)</f>
        <v/>
      </c>
      <c r="H864" s="195">
        <f>IF(A864="","",LOG10(A864))</f>
        <v/>
      </c>
      <c r="I864" s="195">
        <f>IF(B864="","",LOG10(MAX(B864,1E-12)))</f>
        <v/>
      </c>
      <c r="J864" s="195">
        <f>IF(D864="","",LOG10(MAX(D864,1E-12)))</f>
        <v/>
      </c>
      <c r="K864">
        <f>IF(A864="","",ROUND(1+(LOG10(A864)-LOG10('入力・概要'!$B$38))*('入力・概要'!$B$40-1)/(LOG10('入力・概要'!$B$39)-LOG10('入力・概要'!$B$38)),0)+3)</f>
        <v/>
      </c>
      <c r="L864">
        <f>IF(K864="","",INDEX('差動モデル'!$B:$B,K864))</f>
        <v/>
      </c>
      <c r="M864">
        <f>IF(A864="","",IF(ABS(L864/A864-1)&lt;0.01,"周波数差&lt;1%","周波数差あり"))</f>
        <v/>
      </c>
    </row>
    <row r="865">
      <c r="A865" s="197" t="n"/>
      <c r="B865" s="198" t="n"/>
      <c r="C865" s="198" t="n"/>
      <c r="D865" s="195">
        <f>IF(K865="","",INDEX('差動モデル'!$R:$R,K865))</f>
        <v/>
      </c>
      <c r="E865" s="195">
        <f>IF(K865="","",INDEX('差動モデル'!$S:$S,K865))</f>
        <v/>
      </c>
      <c r="F865" s="195">
        <f>IF(OR(A865="",B865=""),"",100*(D865-B865)/MAX(B865,1E-12))</f>
        <v/>
      </c>
      <c r="G865" s="195">
        <f>IF(OR(A865="",C865=""),"",E865-C865)</f>
        <v/>
      </c>
      <c r="H865" s="195">
        <f>IF(A865="","",LOG10(A865))</f>
        <v/>
      </c>
      <c r="I865" s="195">
        <f>IF(B865="","",LOG10(MAX(B865,1E-12)))</f>
        <v/>
      </c>
      <c r="J865" s="195">
        <f>IF(D865="","",LOG10(MAX(D865,1E-12)))</f>
        <v/>
      </c>
      <c r="K865">
        <f>IF(A865="","",ROUND(1+(LOG10(A865)-LOG10('入力・概要'!$B$38))*('入力・概要'!$B$40-1)/(LOG10('入力・概要'!$B$39)-LOG10('入力・概要'!$B$38)),0)+3)</f>
        <v/>
      </c>
      <c r="L865">
        <f>IF(K865="","",INDEX('差動モデル'!$B:$B,K865))</f>
        <v/>
      </c>
      <c r="M865">
        <f>IF(A865="","",IF(ABS(L865/A865-1)&lt;0.01,"周波数差&lt;1%","周波数差あり"))</f>
        <v/>
      </c>
    </row>
    <row r="866">
      <c r="A866" s="197" t="n"/>
      <c r="B866" s="198" t="n"/>
      <c r="C866" s="198" t="n"/>
      <c r="D866" s="195">
        <f>IF(K866="","",INDEX('差動モデル'!$R:$R,K866))</f>
        <v/>
      </c>
      <c r="E866" s="195">
        <f>IF(K866="","",INDEX('差動モデル'!$S:$S,K866))</f>
        <v/>
      </c>
      <c r="F866" s="195">
        <f>IF(OR(A866="",B866=""),"",100*(D866-B866)/MAX(B866,1E-12))</f>
        <v/>
      </c>
      <c r="G866" s="195">
        <f>IF(OR(A866="",C866=""),"",E866-C866)</f>
        <v/>
      </c>
      <c r="H866" s="195">
        <f>IF(A866="","",LOG10(A866))</f>
        <v/>
      </c>
      <c r="I866" s="195">
        <f>IF(B866="","",LOG10(MAX(B866,1E-12)))</f>
        <v/>
      </c>
      <c r="J866" s="195">
        <f>IF(D866="","",LOG10(MAX(D866,1E-12)))</f>
        <v/>
      </c>
      <c r="K866">
        <f>IF(A866="","",ROUND(1+(LOG10(A866)-LOG10('入力・概要'!$B$38))*('入力・概要'!$B$40-1)/(LOG10('入力・概要'!$B$39)-LOG10('入力・概要'!$B$38)),0)+3)</f>
        <v/>
      </c>
      <c r="L866">
        <f>IF(K866="","",INDEX('差動モデル'!$B:$B,K866))</f>
        <v/>
      </c>
      <c r="M866">
        <f>IF(A866="","",IF(ABS(L866/A866-1)&lt;0.01,"周波数差&lt;1%","周波数差あり"))</f>
        <v/>
      </c>
    </row>
    <row r="867">
      <c r="A867" s="197" t="n"/>
      <c r="B867" s="198" t="n"/>
      <c r="C867" s="198" t="n"/>
      <c r="D867" s="195">
        <f>IF(K867="","",INDEX('差動モデル'!$R:$R,K867))</f>
        <v/>
      </c>
      <c r="E867" s="195">
        <f>IF(K867="","",INDEX('差動モデル'!$S:$S,K867))</f>
        <v/>
      </c>
      <c r="F867" s="195">
        <f>IF(OR(A867="",B867=""),"",100*(D867-B867)/MAX(B867,1E-12))</f>
        <v/>
      </c>
      <c r="G867" s="195">
        <f>IF(OR(A867="",C867=""),"",E867-C867)</f>
        <v/>
      </c>
      <c r="H867" s="195">
        <f>IF(A867="","",LOG10(A867))</f>
        <v/>
      </c>
      <c r="I867" s="195">
        <f>IF(B867="","",LOG10(MAX(B867,1E-12)))</f>
        <v/>
      </c>
      <c r="J867" s="195">
        <f>IF(D867="","",LOG10(MAX(D867,1E-12)))</f>
        <v/>
      </c>
      <c r="K867">
        <f>IF(A867="","",ROUND(1+(LOG10(A867)-LOG10('入力・概要'!$B$38))*('入力・概要'!$B$40-1)/(LOG10('入力・概要'!$B$39)-LOG10('入力・概要'!$B$38)),0)+3)</f>
        <v/>
      </c>
      <c r="L867">
        <f>IF(K867="","",INDEX('差動モデル'!$B:$B,K867))</f>
        <v/>
      </c>
      <c r="M867">
        <f>IF(A867="","",IF(ABS(L867/A867-1)&lt;0.01,"周波数差&lt;1%","周波数差あり"))</f>
        <v/>
      </c>
    </row>
    <row r="868">
      <c r="A868" s="197" t="n"/>
      <c r="B868" s="198" t="n"/>
      <c r="C868" s="198" t="n"/>
      <c r="D868" s="195">
        <f>IF(K868="","",INDEX('差動モデル'!$R:$R,K868))</f>
        <v/>
      </c>
      <c r="E868" s="195">
        <f>IF(K868="","",INDEX('差動モデル'!$S:$S,K868))</f>
        <v/>
      </c>
      <c r="F868" s="195">
        <f>IF(OR(A868="",B868=""),"",100*(D868-B868)/MAX(B868,1E-12))</f>
        <v/>
      </c>
      <c r="G868" s="195">
        <f>IF(OR(A868="",C868=""),"",E868-C868)</f>
        <v/>
      </c>
      <c r="H868" s="195">
        <f>IF(A868="","",LOG10(A868))</f>
        <v/>
      </c>
      <c r="I868" s="195">
        <f>IF(B868="","",LOG10(MAX(B868,1E-12)))</f>
        <v/>
      </c>
      <c r="J868" s="195">
        <f>IF(D868="","",LOG10(MAX(D868,1E-12)))</f>
        <v/>
      </c>
      <c r="K868">
        <f>IF(A868="","",ROUND(1+(LOG10(A868)-LOG10('入力・概要'!$B$38))*('入力・概要'!$B$40-1)/(LOG10('入力・概要'!$B$39)-LOG10('入力・概要'!$B$38)),0)+3)</f>
        <v/>
      </c>
      <c r="L868">
        <f>IF(K868="","",INDEX('差動モデル'!$B:$B,K868))</f>
        <v/>
      </c>
      <c r="M868">
        <f>IF(A868="","",IF(ABS(L868/A868-1)&lt;0.01,"周波数差&lt;1%","周波数差あり"))</f>
        <v/>
      </c>
    </row>
    <row r="869">
      <c r="A869" s="197" t="n"/>
      <c r="B869" s="198" t="n"/>
      <c r="C869" s="198" t="n"/>
      <c r="D869" s="195">
        <f>IF(K869="","",INDEX('差動モデル'!$R:$R,K869))</f>
        <v/>
      </c>
      <c r="E869" s="195">
        <f>IF(K869="","",INDEX('差動モデル'!$S:$S,K869))</f>
        <v/>
      </c>
      <c r="F869" s="195">
        <f>IF(OR(A869="",B869=""),"",100*(D869-B869)/MAX(B869,1E-12))</f>
        <v/>
      </c>
      <c r="G869" s="195">
        <f>IF(OR(A869="",C869=""),"",E869-C869)</f>
        <v/>
      </c>
      <c r="H869" s="195">
        <f>IF(A869="","",LOG10(A869))</f>
        <v/>
      </c>
      <c r="I869" s="195">
        <f>IF(B869="","",LOG10(MAX(B869,1E-12)))</f>
        <v/>
      </c>
      <c r="J869" s="195">
        <f>IF(D869="","",LOG10(MAX(D869,1E-12)))</f>
        <v/>
      </c>
      <c r="K869">
        <f>IF(A869="","",ROUND(1+(LOG10(A869)-LOG10('入力・概要'!$B$38))*('入力・概要'!$B$40-1)/(LOG10('入力・概要'!$B$39)-LOG10('入力・概要'!$B$38)),0)+3)</f>
        <v/>
      </c>
      <c r="L869">
        <f>IF(K869="","",INDEX('差動モデル'!$B:$B,K869))</f>
        <v/>
      </c>
      <c r="M869">
        <f>IF(A869="","",IF(ABS(L869/A869-1)&lt;0.01,"周波数差&lt;1%","周波数差あり"))</f>
        <v/>
      </c>
    </row>
    <row r="870">
      <c r="A870" s="197" t="n"/>
      <c r="B870" s="198" t="n"/>
      <c r="C870" s="198" t="n"/>
      <c r="D870" s="195">
        <f>IF(K870="","",INDEX('差動モデル'!$R:$R,K870))</f>
        <v/>
      </c>
      <c r="E870" s="195">
        <f>IF(K870="","",INDEX('差動モデル'!$S:$S,K870))</f>
        <v/>
      </c>
      <c r="F870" s="195">
        <f>IF(OR(A870="",B870=""),"",100*(D870-B870)/MAX(B870,1E-12))</f>
        <v/>
      </c>
      <c r="G870" s="195">
        <f>IF(OR(A870="",C870=""),"",E870-C870)</f>
        <v/>
      </c>
      <c r="H870" s="195">
        <f>IF(A870="","",LOG10(A870))</f>
        <v/>
      </c>
      <c r="I870" s="195">
        <f>IF(B870="","",LOG10(MAX(B870,1E-12)))</f>
        <v/>
      </c>
      <c r="J870" s="195">
        <f>IF(D870="","",LOG10(MAX(D870,1E-12)))</f>
        <v/>
      </c>
      <c r="K870">
        <f>IF(A870="","",ROUND(1+(LOG10(A870)-LOG10('入力・概要'!$B$38))*('入力・概要'!$B$40-1)/(LOG10('入力・概要'!$B$39)-LOG10('入力・概要'!$B$38)),0)+3)</f>
        <v/>
      </c>
      <c r="L870">
        <f>IF(K870="","",INDEX('差動モデル'!$B:$B,K870))</f>
        <v/>
      </c>
      <c r="M870">
        <f>IF(A870="","",IF(ABS(L870/A870-1)&lt;0.01,"周波数差&lt;1%","周波数差あり"))</f>
        <v/>
      </c>
    </row>
    <row r="871">
      <c r="A871" s="197" t="n"/>
      <c r="B871" s="198" t="n"/>
      <c r="C871" s="198" t="n"/>
      <c r="D871" s="195">
        <f>IF(K871="","",INDEX('差動モデル'!$R:$R,K871))</f>
        <v/>
      </c>
      <c r="E871" s="195">
        <f>IF(K871="","",INDEX('差動モデル'!$S:$S,K871))</f>
        <v/>
      </c>
      <c r="F871" s="195">
        <f>IF(OR(A871="",B871=""),"",100*(D871-B871)/MAX(B871,1E-12))</f>
        <v/>
      </c>
      <c r="G871" s="195">
        <f>IF(OR(A871="",C871=""),"",E871-C871)</f>
        <v/>
      </c>
      <c r="H871" s="195">
        <f>IF(A871="","",LOG10(A871))</f>
        <v/>
      </c>
      <c r="I871" s="195">
        <f>IF(B871="","",LOG10(MAX(B871,1E-12)))</f>
        <v/>
      </c>
      <c r="J871" s="195">
        <f>IF(D871="","",LOG10(MAX(D871,1E-12)))</f>
        <v/>
      </c>
      <c r="K871">
        <f>IF(A871="","",ROUND(1+(LOG10(A871)-LOG10('入力・概要'!$B$38))*('入力・概要'!$B$40-1)/(LOG10('入力・概要'!$B$39)-LOG10('入力・概要'!$B$38)),0)+3)</f>
        <v/>
      </c>
      <c r="L871">
        <f>IF(K871="","",INDEX('差動モデル'!$B:$B,K871))</f>
        <v/>
      </c>
      <c r="M871">
        <f>IF(A871="","",IF(ABS(L871/A871-1)&lt;0.01,"周波数差&lt;1%","周波数差あり"))</f>
        <v/>
      </c>
    </row>
    <row r="872">
      <c r="A872" s="197" t="n"/>
      <c r="B872" s="198" t="n"/>
      <c r="C872" s="198" t="n"/>
      <c r="D872" s="195">
        <f>IF(K872="","",INDEX('差動モデル'!$R:$R,K872))</f>
        <v/>
      </c>
      <c r="E872" s="195">
        <f>IF(K872="","",INDEX('差動モデル'!$S:$S,K872))</f>
        <v/>
      </c>
      <c r="F872" s="195">
        <f>IF(OR(A872="",B872=""),"",100*(D872-B872)/MAX(B872,1E-12))</f>
        <v/>
      </c>
      <c r="G872" s="195">
        <f>IF(OR(A872="",C872=""),"",E872-C872)</f>
        <v/>
      </c>
      <c r="H872" s="195">
        <f>IF(A872="","",LOG10(A872))</f>
        <v/>
      </c>
      <c r="I872" s="195">
        <f>IF(B872="","",LOG10(MAX(B872,1E-12)))</f>
        <v/>
      </c>
      <c r="J872" s="195">
        <f>IF(D872="","",LOG10(MAX(D872,1E-12)))</f>
        <v/>
      </c>
      <c r="K872">
        <f>IF(A872="","",ROUND(1+(LOG10(A872)-LOG10('入力・概要'!$B$38))*('入力・概要'!$B$40-1)/(LOG10('入力・概要'!$B$39)-LOG10('入力・概要'!$B$38)),0)+3)</f>
        <v/>
      </c>
      <c r="L872">
        <f>IF(K872="","",INDEX('差動モデル'!$B:$B,K872))</f>
        <v/>
      </c>
      <c r="M872">
        <f>IF(A872="","",IF(ABS(L872/A872-1)&lt;0.01,"周波数差&lt;1%","周波数差あり"))</f>
        <v/>
      </c>
    </row>
    <row r="873">
      <c r="A873" s="197" t="n"/>
      <c r="B873" s="198" t="n"/>
      <c r="C873" s="198" t="n"/>
      <c r="D873" s="195">
        <f>IF(K873="","",INDEX('差動モデル'!$R:$R,K873))</f>
        <v/>
      </c>
      <c r="E873" s="195">
        <f>IF(K873="","",INDEX('差動モデル'!$S:$S,K873))</f>
        <v/>
      </c>
      <c r="F873" s="195">
        <f>IF(OR(A873="",B873=""),"",100*(D873-B873)/MAX(B873,1E-12))</f>
        <v/>
      </c>
      <c r="G873" s="195">
        <f>IF(OR(A873="",C873=""),"",E873-C873)</f>
        <v/>
      </c>
      <c r="H873" s="195">
        <f>IF(A873="","",LOG10(A873))</f>
        <v/>
      </c>
      <c r="I873" s="195">
        <f>IF(B873="","",LOG10(MAX(B873,1E-12)))</f>
        <v/>
      </c>
      <c r="J873" s="195">
        <f>IF(D873="","",LOG10(MAX(D873,1E-12)))</f>
        <v/>
      </c>
      <c r="K873">
        <f>IF(A873="","",ROUND(1+(LOG10(A873)-LOG10('入力・概要'!$B$38))*('入力・概要'!$B$40-1)/(LOG10('入力・概要'!$B$39)-LOG10('入力・概要'!$B$38)),0)+3)</f>
        <v/>
      </c>
      <c r="L873">
        <f>IF(K873="","",INDEX('差動モデル'!$B:$B,K873))</f>
        <v/>
      </c>
      <c r="M873">
        <f>IF(A873="","",IF(ABS(L873/A873-1)&lt;0.01,"周波数差&lt;1%","周波数差あり"))</f>
        <v/>
      </c>
    </row>
    <row r="874">
      <c r="A874" s="197" t="n"/>
      <c r="B874" s="198" t="n"/>
      <c r="C874" s="198" t="n"/>
      <c r="D874" s="195">
        <f>IF(K874="","",INDEX('差動モデル'!$R:$R,K874))</f>
        <v/>
      </c>
      <c r="E874" s="195">
        <f>IF(K874="","",INDEX('差動モデル'!$S:$S,K874))</f>
        <v/>
      </c>
      <c r="F874" s="195">
        <f>IF(OR(A874="",B874=""),"",100*(D874-B874)/MAX(B874,1E-12))</f>
        <v/>
      </c>
      <c r="G874" s="195">
        <f>IF(OR(A874="",C874=""),"",E874-C874)</f>
        <v/>
      </c>
      <c r="H874" s="195">
        <f>IF(A874="","",LOG10(A874))</f>
        <v/>
      </c>
      <c r="I874" s="195">
        <f>IF(B874="","",LOG10(MAX(B874,1E-12)))</f>
        <v/>
      </c>
      <c r="J874" s="195">
        <f>IF(D874="","",LOG10(MAX(D874,1E-12)))</f>
        <v/>
      </c>
      <c r="K874">
        <f>IF(A874="","",ROUND(1+(LOG10(A874)-LOG10('入力・概要'!$B$38))*('入力・概要'!$B$40-1)/(LOG10('入力・概要'!$B$39)-LOG10('入力・概要'!$B$38)),0)+3)</f>
        <v/>
      </c>
      <c r="L874">
        <f>IF(K874="","",INDEX('差動モデル'!$B:$B,K874))</f>
        <v/>
      </c>
      <c r="M874">
        <f>IF(A874="","",IF(ABS(L874/A874-1)&lt;0.01,"周波数差&lt;1%","周波数差あり"))</f>
        <v/>
      </c>
    </row>
    <row r="875">
      <c r="A875" s="197" t="n"/>
      <c r="B875" s="198" t="n"/>
      <c r="C875" s="198" t="n"/>
      <c r="D875" s="195">
        <f>IF(K875="","",INDEX('差動モデル'!$R:$R,K875))</f>
        <v/>
      </c>
      <c r="E875" s="195">
        <f>IF(K875="","",INDEX('差動モデル'!$S:$S,K875))</f>
        <v/>
      </c>
      <c r="F875" s="195">
        <f>IF(OR(A875="",B875=""),"",100*(D875-B875)/MAX(B875,1E-12))</f>
        <v/>
      </c>
      <c r="G875" s="195">
        <f>IF(OR(A875="",C875=""),"",E875-C875)</f>
        <v/>
      </c>
      <c r="H875" s="195">
        <f>IF(A875="","",LOG10(A875))</f>
        <v/>
      </c>
      <c r="I875" s="195">
        <f>IF(B875="","",LOG10(MAX(B875,1E-12)))</f>
        <v/>
      </c>
      <c r="J875" s="195">
        <f>IF(D875="","",LOG10(MAX(D875,1E-12)))</f>
        <v/>
      </c>
      <c r="K875">
        <f>IF(A875="","",ROUND(1+(LOG10(A875)-LOG10('入力・概要'!$B$38))*('入力・概要'!$B$40-1)/(LOG10('入力・概要'!$B$39)-LOG10('入力・概要'!$B$38)),0)+3)</f>
        <v/>
      </c>
      <c r="L875">
        <f>IF(K875="","",INDEX('差動モデル'!$B:$B,K875))</f>
        <v/>
      </c>
      <c r="M875">
        <f>IF(A875="","",IF(ABS(L875/A875-1)&lt;0.01,"周波数差&lt;1%","周波数差あり"))</f>
        <v/>
      </c>
    </row>
    <row r="876">
      <c r="A876" s="197" t="n"/>
      <c r="B876" s="198" t="n"/>
      <c r="C876" s="198" t="n"/>
      <c r="D876" s="195">
        <f>IF(K876="","",INDEX('差動モデル'!$R:$R,K876))</f>
        <v/>
      </c>
      <c r="E876" s="195">
        <f>IF(K876="","",INDEX('差動モデル'!$S:$S,K876))</f>
        <v/>
      </c>
      <c r="F876" s="195">
        <f>IF(OR(A876="",B876=""),"",100*(D876-B876)/MAX(B876,1E-12))</f>
        <v/>
      </c>
      <c r="G876" s="195">
        <f>IF(OR(A876="",C876=""),"",E876-C876)</f>
        <v/>
      </c>
      <c r="H876" s="195">
        <f>IF(A876="","",LOG10(A876))</f>
        <v/>
      </c>
      <c r="I876" s="195">
        <f>IF(B876="","",LOG10(MAX(B876,1E-12)))</f>
        <v/>
      </c>
      <c r="J876" s="195">
        <f>IF(D876="","",LOG10(MAX(D876,1E-12)))</f>
        <v/>
      </c>
      <c r="K876">
        <f>IF(A876="","",ROUND(1+(LOG10(A876)-LOG10('入力・概要'!$B$38))*('入力・概要'!$B$40-1)/(LOG10('入力・概要'!$B$39)-LOG10('入力・概要'!$B$38)),0)+3)</f>
        <v/>
      </c>
      <c r="L876">
        <f>IF(K876="","",INDEX('差動モデル'!$B:$B,K876))</f>
        <v/>
      </c>
      <c r="M876">
        <f>IF(A876="","",IF(ABS(L876/A876-1)&lt;0.01,"周波数差&lt;1%","周波数差あり"))</f>
        <v/>
      </c>
    </row>
    <row r="877">
      <c r="A877" s="197" t="n"/>
      <c r="B877" s="198" t="n"/>
      <c r="C877" s="198" t="n"/>
      <c r="D877" s="195">
        <f>IF(K877="","",INDEX('差動モデル'!$R:$R,K877))</f>
        <v/>
      </c>
      <c r="E877" s="195">
        <f>IF(K877="","",INDEX('差動モデル'!$S:$S,K877))</f>
        <v/>
      </c>
      <c r="F877" s="195">
        <f>IF(OR(A877="",B877=""),"",100*(D877-B877)/MAX(B877,1E-12))</f>
        <v/>
      </c>
      <c r="G877" s="195">
        <f>IF(OR(A877="",C877=""),"",E877-C877)</f>
        <v/>
      </c>
      <c r="H877" s="195">
        <f>IF(A877="","",LOG10(A877))</f>
        <v/>
      </c>
      <c r="I877" s="195">
        <f>IF(B877="","",LOG10(MAX(B877,1E-12)))</f>
        <v/>
      </c>
      <c r="J877" s="195">
        <f>IF(D877="","",LOG10(MAX(D877,1E-12)))</f>
        <v/>
      </c>
      <c r="K877">
        <f>IF(A877="","",ROUND(1+(LOG10(A877)-LOG10('入力・概要'!$B$38))*('入力・概要'!$B$40-1)/(LOG10('入力・概要'!$B$39)-LOG10('入力・概要'!$B$38)),0)+3)</f>
        <v/>
      </c>
      <c r="L877">
        <f>IF(K877="","",INDEX('差動モデル'!$B:$B,K877))</f>
        <v/>
      </c>
      <c r="M877">
        <f>IF(A877="","",IF(ABS(L877/A877-1)&lt;0.01,"周波数差&lt;1%","周波数差あり"))</f>
        <v/>
      </c>
    </row>
    <row r="878">
      <c r="A878" s="197" t="n"/>
      <c r="B878" s="198" t="n"/>
      <c r="C878" s="198" t="n"/>
      <c r="D878" s="195">
        <f>IF(K878="","",INDEX('差動モデル'!$R:$R,K878))</f>
        <v/>
      </c>
      <c r="E878" s="195">
        <f>IF(K878="","",INDEX('差動モデル'!$S:$S,K878))</f>
        <v/>
      </c>
      <c r="F878" s="195">
        <f>IF(OR(A878="",B878=""),"",100*(D878-B878)/MAX(B878,1E-12))</f>
        <v/>
      </c>
      <c r="G878" s="195">
        <f>IF(OR(A878="",C878=""),"",E878-C878)</f>
        <v/>
      </c>
      <c r="H878" s="195">
        <f>IF(A878="","",LOG10(A878))</f>
        <v/>
      </c>
      <c r="I878" s="195">
        <f>IF(B878="","",LOG10(MAX(B878,1E-12)))</f>
        <v/>
      </c>
      <c r="J878" s="195">
        <f>IF(D878="","",LOG10(MAX(D878,1E-12)))</f>
        <v/>
      </c>
      <c r="K878">
        <f>IF(A878="","",ROUND(1+(LOG10(A878)-LOG10('入力・概要'!$B$38))*('入力・概要'!$B$40-1)/(LOG10('入力・概要'!$B$39)-LOG10('入力・概要'!$B$38)),0)+3)</f>
        <v/>
      </c>
      <c r="L878">
        <f>IF(K878="","",INDEX('差動モデル'!$B:$B,K878))</f>
        <v/>
      </c>
      <c r="M878">
        <f>IF(A878="","",IF(ABS(L878/A878-1)&lt;0.01,"周波数差&lt;1%","周波数差あり"))</f>
        <v/>
      </c>
    </row>
    <row r="879">
      <c r="A879" s="197" t="n"/>
      <c r="B879" s="198" t="n"/>
      <c r="C879" s="198" t="n"/>
      <c r="D879" s="195">
        <f>IF(K879="","",INDEX('差動モデル'!$R:$R,K879))</f>
        <v/>
      </c>
      <c r="E879" s="195">
        <f>IF(K879="","",INDEX('差動モデル'!$S:$S,K879))</f>
        <v/>
      </c>
      <c r="F879" s="195">
        <f>IF(OR(A879="",B879=""),"",100*(D879-B879)/MAX(B879,1E-12))</f>
        <v/>
      </c>
      <c r="G879" s="195">
        <f>IF(OR(A879="",C879=""),"",E879-C879)</f>
        <v/>
      </c>
      <c r="H879" s="195">
        <f>IF(A879="","",LOG10(A879))</f>
        <v/>
      </c>
      <c r="I879" s="195">
        <f>IF(B879="","",LOG10(MAX(B879,1E-12)))</f>
        <v/>
      </c>
      <c r="J879" s="195">
        <f>IF(D879="","",LOG10(MAX(D879,1E-12)))</f>
        <v/>
      </c>
      <c r="K879">
        <f>IF(A879="","",ROUND(1+(LOG10(A879)-LOG10('入力・概要'!$B$38))*('入力・概要'!$B$40-1)/(LOG10('入力・概要'!$B$39)-LOG10('入力・概要'!$B$38)),0)+3)</f>
        <v/>
      </c>
      <c r="L879">
        <f>IF(K879="","",INDEX('差動モデル'!$B:$B,K879))</f>
        <v/>
      </c>
      <c r="M879">
        <f>IF(A879="","",IF(ABS(L879/A879-1)&lt;0.01,"周波数差&lt;1%","周波数差あり"))</f>
        <v/>
      </c>
    </row>
    <row r="880">
      <c r="A880" s="197" t="n"/>
      <c r="B880" s="198" t="n"/>
      <c r="C880" s="198" t="n"/>
      <c r="D880" s="195">
        <f>IF(K880="","",INDEX('差動モデル'!$R:$R,K880))</f>
        <v/>
      </c>
      <c r="E880" s="195">
        <f>IF(K880="","",INDEX('差動モデル'!$S:$S,K880))</f>
        <v/>
      </c>
      <c r="F880" s="195">
        <f>IF(OR(A880="",B880=""),"",100*(D880-B880)/MAX(B880,1E-12))</f>
        <v/>
      </c>
      <c r="G880" s="195">
        <f>IF(OR(A880="",C880=""),"",E880-C880)</f>
        <v/>
      </c>
      <c r="H880" s="195">
        <f>IF(A880="","",LOG10(A880))</f>
        <v/>
      </c>
      <c r="I880" s="195">
        <f>IF(B880="","",LOG10(MAX(B880,1E-12)))</f>
        <v/>
      </c>
      <c r="J880" s="195">
        <f>IF(D880="","",LOG10(MAX(D880,1E-12)))</f>
        <v/>
      </c>
      <c r="K880">
        <f>IF(A880="","",ROUND(1+(LOG10(A880)-LOG10('入力・概要'!$B$38))*('入力・概要'!$B$40-1)/(LOG10('入力・概要'!$B$39)-LOG10('入力・概要'!$B$38)),0)+3)</f>
        <v/>
      </c>
      <c r="L880">
        <f>IF(K880="","",INDEX('差動モデル'!$B:$B,K880))</f>
        <v/>
      </c>
      <c r="M880">
        <f>IF(A880="","",IF(ABS(L880/A880-1)&lt;0.01,"周波数差&lt;1%","周波数差あり"))</f>
        <v/>
      </c>
    </row>
    <row r="881">
      <c r="A881" s="197" t="n"/>
      <c r="B881" s="198" t="n"/>
      <c r="C881" s="198" t="n"/>
      <c r="D881" s="195">
        <f>IF(K881="","",INDEX('差動モデル'!$R:$R,K881))</f>
        <v/>
      </c>
      <c r="E881" s="195">
        <f>IF(K881="","",INDEX('差動モデル'!$S:$S,K881))</f>
        <v/>
      </c>
      <c r="F881" s="195">
        <f>IF(OR(A881="",B881=""),"",100*(D881-B881)/MAX(B881,1E-12))</f>
        <v/>
      </c>
      <c r="G881" s="195">
        <f>IF(OR(A881="",C881=""),"",E881-C881)</f>
        <v/>
      </c>
      <c r="H881" s="195">
        <f>IF(A881="","",LOG10(A881))</f>
        <v/>
      </c>
      <c r="I881" s="195">
        <f>IF(B881="","",LOG10(MAX(B881,1E-12)))</f>
        <v/>
      </c>
      <c r="J881" s="195">
        <f>IF(D881="","",LOG10(MAX(D881,1E-12)))</f>
        <v/>
      </c>
      <c r="K881">
        <f>IF(A881="","",ROUND(1+(LOG10(A881)-LOG10('入力・概要'!$B$38))*('入力・概要'!$B$40-1)/(LOG10('入力・概要'!$B$39)-LOG10('入力・概要'!$B$38)),0)+3)</f>
        <v/>
      </c>
      <c r="L881">
        <f>IF(K881="","",INDEX('差動モデル'!$B:$B,K881))</f>
        <v/>
      </c>
      <c r="M881">
        <f>IF(A881="","",IF(ABS(L881/A881-1)&lt;0.01,"周波数差&lt;1%","周波数差あり"))</f>
        <v/>
      </c>
    </row>
    <row r="882">
      <c r="A882" s="197" t="n"/>
      <c r="B882" s="198" t="n"/>
      <c r="C882" s="198" t="n"/>
      <c r="D882" s="195">
        <f>IF(K882="","",INDEX('差動モデル'!$R:$R,K882))</f>
        <v/>
      </c>
      <c r="E882" s="195">
        <f>IF(K882="","",INDEX('差動モデル'!$S:$S,K882))</f>
        <v/>
      </c>
      <c r="F882" s="195">
        <f>IF(OR(A882="",B882=""),"",100*(D882-B882)/MAX(B882,1E-12))</f>
        <v/>
      </c>
      <c r="G882" s="195">
        <f>IF(OR(A882="",C882=""),"",E882-C882)</f>
        <v/>
      </c>
      <c r="H882" s="195">
        <f>IF(A882="","",LOG10(A882))</f>
        <v/>
      </c>
      <c r="I882" s="195">
        <f>IF(B882="","",LOG10(MAX(B882,1E-12)))</f>
        <v/>
      </c>
      <c r="J882" s="195">
        <f>IF(D882="","",LOG10(MAX(D882,1E-12)))</f>
        <v/>
      </c>
      <c r="K882">
        <f>IF(A882="","",ROUND(1+(LOG10(A882)-LOG10('入力・概要'!$B$38))*('入力・概要'!$B$40-1)/(LOG10('入力・概要'!$B$39)-LOG10('入力・概要'!$B$38)),0)+3)</f>
        <v/>
      </c>
      <c r="L882">
        <f>IF(K882="","",INDEX('差動モデル'!$B:$B,K882))</f>
        <v/>
      </c>
      <c r="M882">
        <f>IF(A882="","",IF(ABS(L882/A882-1)&lt;0.01,"周波数差&lt;1%","周波数差あり"))</f>
        <v/>
      </c>
    </row>
    <row r="883">
      <c r="A883" s="197" t="n"/>
      <c r="B883" s="198" t="n"/>
      <c r="C883" s="198" t="n"/>
      <c r="D883" s="195">
        <f>IF(K883="","",INDEX('差動モデル'!$R:$R,K883))</f>
        <v/>
      </c>
      <c r="E883" s="195">
        <f>IF(K883="","",INDEX('差動モデル'!$S:$S,K883))</f>
        <v/>
      </c>
      <c r="F883" s="195">
        <f>IF(OR(A883="",B883=""),"",100*(D883-B883)/MAX(B883,1E-12))</f>
        <v/>
      </c>
      <c r="G883" s="195">
        <f>IF(OR(A883="",C883=""),"",E883-C883)</f>
        <v/>
      </c>
      <c r="H883" s="195">
        <f>IF(A883="","",LOG10(A883))</f>
        <v/>
      </c>
      <c r="I883" s="195">
        <f>IF(B883="","",LOG10(MAX(B883,1E-12)))</f>
        <v/>
      </c>
      <c r="J883" s="195">
        <f>IF(D883="","",LOG10(MAX(D883,1E-12)))</f>
        <v/>
      </c>
      <c r="K883">
        <f>IF(A883="","",ROUND(1+(LOG10(A883)-LOG10('入力・概要'!$B$38))*('入力・概要'!$B$40-1)/(LOG10('入力・概要'!$B$39)-LOG10('入力・概要'!$B$38)),0)+3)</f>
        <v/>
      </c>
      <c r="L883">
        <f>IF(K883="","",INDEX('差動モデル'!$B:$B,K883))</f>
        <v/>
      </c>
      <c r="M883">
        <f>IF(A883="","",IF(ABS(L883/A883-1)&lt;0.01,"周波数差&lt;1%","周波数差あり"))</f>
        <v/>
      </c>
    </row>
    <row r="884">
      <c r="A884" s="197" t="n"/>
      <c r="B884" s="198" t="n"/>
      <c r="C884" s="198" t="n"/>
      <c r="D884" s="195">
        <f>IF(K884="","",INDEX('差動モデル'!$R:$R,K884))</f>
        <v/>
      </c>
      <c r="E884" s="195">
        <f>IF(K884="","",INDEX('差動モデル'!$S:$S,K884))</f>
        <v/>
      </c>
      <c r="F884" s="195">
        <f>IF(OR(A884="",B884=""),"",100*(D884-B884)/MAX(B884,1E-12))</f>
        <v/>
      </c>
      <c r="G884" s="195">
        <f>IF(OR(A884="",C884=""),"",E884-C884)</f>
        <v/>
      </c>
      <c r="H884" s="195">
        <f>IF(A884="","",LOG10(A884))</f>
        <v/>
      </c>
      <c r="I884" s="195">
        <f>IF(B884="","",LOG10(MAX(B884,1E-12)))</f>
        <v/>
      </c>
      <c r="J884" s="195">
        <f>IF(D884="","",LOG10(MAX(D884,1E-12)))</f>
        <v/>
      </c>
      <c r="K884">
        <f>IF(A884="","",ROUND(1+(LOG10(A884)-LOG10('入力・概要'!$B$38))*('入力・概要'!$B$40-1)/(LOG10('入力・概要'!$B$39)-LOG10('入力・概要'!$B$38)),0)+3)</f>
        <v/>
      </c>
      <c r="L884">
        <f>IF(K884="","",INDEX('差動モデル'!$B:$B,K884))</f>
        <v/>
      </c>
      <c r="M884">
        <f>IF(A884="","",IF(ABS(L884/A884-1)&lt;0.01,"周波数差&lt;1%","周波数差あり"))</f>
        <v/>
      </c>
    </row>
    <row r="885">
      <c r="A885" s="197" t="n"/>
      <c r="B885" s="198" t="n"/>
      <c r="C885" s="198" t="n"/>
      <c r="D885" s="195">
        <f>IF(K885="","",INDEX('差動モデル'!$R:$R,K885))</f>
        <v/>
      </c>
      <c r="E885" s="195">
        <f>IF(K885="","",INDEX('差動モデル'!$S:$S,K885))</f>
        <v/>
      </c>
      <c r="F885" s="195">
        <f>IF(OR(A885="",B885=""),"",100*(D885-B885)/MAX(B885,1E-12))</f>
        <v/>
      </c>
      <c r="G885" s="195">
        <f>IF(OR(A885="",C885=""),"",E885-C885)</f>
        <v/>
      </c>
      <c r="H885" s="195">
        <f>IF(A885="","",LOG10(A885))</f>
        <v/>
      </c>
      <c r="I885" s="195">
        <f>IF(B885="","",LOG10(MAX(B885,1E-12)))</f>
        <v/>
      </c>
      <c r="J885" s="195">
        <f>IF(D885="","",LOG10(MAX(D885,1E-12)))</f>
        <v/>
      </c>
      <c r="K885">
        <f>IF(A885="","",ROUND(1+(LOG10(A885)-LOG10('入力・概要'!$B$38))*('入力・概要'!$B$40-1)/(LOG10('入力・概要'!$B$39)-LOG10('入力・概要'!$B$38)),0)+3)</f>
        <v/>
      </c>
      <c r="L885">
        <f>IF(K885="","",INDEX('差動モデル'!$B:$B,K885))</f>
        <v/>
      </c>
      <c r="M885">
        <f>IF(A885="","",IF(ABS(L885/A885-1)&lt;0.01,"周波数差&lt;1%","周波数差あり"))</f>
        <v/>
      </c>
    </row>
    <row r="886">
      <c r="A886" s="197" t="n"/>
      <c r="B886" s="198" t="n"/>
      <c r="C886" s="198" t="n"/>
      <c r="D886" s="195">
        <f>IF(K886="","",INDEX('差動モデル'!$R:$R,K886))</f>
        <v/>
      </c>
      <c r="E886" s="195">
        <f>IF(K886="","",INDEX('差動モデル'!$S:$S,K886))</f>
        <v/>
      </c>
      <c r="F886" s="195">
        <f>IF(OR(A886="",B886=""),"",100*(D886-B886)/MAX(B886,1E-12))</f>
        <v/>
      </c>
      <c r="G886" s="195">
        <f>IF(OR(A886="",C886=""),"",E886-C886)</f>
        <v/>
      </c>
      <c r="H886" s="195">
        <f>IF(A886="","",LOG10(A886))</f>
        <v/>
      </c>
      <c r="I886" s="195">
        <f>IF(B886="","",LOG10(MAX(B886,1E-12)))</f>
        <v/>
      </c>
      <c r="J886" s="195">
        <f>IF(D886="","",LOG10(MAX(D886,1E-12)))</f>
        <v/>
      </c>
      <c r="K886">
        <f>IF(A886="","",ROUND(1+(LOG10(A886)-LOG10('入力・概要'!$B$38))*('入力・概要'!$B$40-1)/(LOG10('入力・概要'!$B$39)-LOG10('入力・概要'!$B$38)),0)+3)</f>
        <v/>
      </c>
      <c r="L886">
        <f>IF(K886="","",INDEX('差動モデル'!$B:$B,K886))</f>
        <v/>
      </c>
      <c r="M886">
        <f>IF(A886="","",IF(ABS(L886/A886-1)&lt;0.01,"周波数差&lt;1%","周波数差あり"))</f>
        <v/>
      </c>
    </row>
    <row r="887">
      <c r="A887" s="197" t="n"/>
      <c r="B887" s="198" t="n"/>
      <c r="C887" s="198" t="n"/>
      <c r="D887" s="195">
        <f>IF(K887="","",INDEX('差動モデル'!$R:$R,K887))</f>
        <v/>
      </c>
      <c r="E887" s="195">
        <f>IF(K887="","",INDEX('差動モデル'!$S:$S,K887))</f>
        <v/>
      </c>
      <c r="F887" s="195">
        <f>IF(OR(A887="",B887=""),"",100*(D887-B887)/MAX(B887,1E-12))</f>
        <v/>
      </c>
      <c r="G887" s="195">
        <f>IF(OR(A887="",C887=""),"",E887-C887)</f>
        <v/>
      </c>
      <c r="H887" s="195">
        <f>IF(A887="","",LOG10(A887))</f>
        <v/>
      </c>
      <c r="I887" s="195">
        <f>IF(B887="","",LOG10(MAX(B887,1E-12)))</f>
        <v/>
      </c>
      <c r="J887" s="195">
        <f>IF(D887="","",LOG10(MAX(D887,1E-12)))</f>
        <v/>
      </c>
      <c r="K887">
        <f>IF(A887="","",ROUND(1+(LOG10(A887)-LOG10('入力・概要'!$B$38))*('入力・概要'!$B$40-1)/(LOG10('入力・概要'!$B$39)-LOG10('入力・概要'!$B$38)),0)+3)</f>
        <v/>
      </c>
      <c r="L887">
        <f>IF(K887="","",INDEX('差動モデル'!$B:$B,K887))</f>
        <v/>
      </c>
      <c r="M887">
        <f>IF(A887="","",IF(ABS(L887/A887-1)&lt;0.01,"周波数差&lt;1%","周波数差あり"))</f>
        <v/>
      </c>
    </row>
    <row r="888">
      <c r="A888" s="197" t="n"/>
      <c r="B888" s="198" t="n"/>
      <c r="C888" s="198" t="n"/>
      <c r="D888" s="195">
        <f>IF(K888="","",INDEX('差動モデル'!$R:$R,K888))</f>
        <v/>
      </c>
      <c r="E888" s="195">
        <f>IF(K888="","",INDEX('差動モデル'!$S:$S,K888))</f>
        <v/>
      </c>
      <c r="F888" s="195">
        <f>IF(OR(A888="",B888=""),"",100*(D888-B888)/MAX(B888,1E-12))</f>
        <v/>
      </c>
      <c r="G888" s="195">
        <f>IF(OR(A888="",C888=""),"",E888-C888)</f>
        <v/>
      </c>
      <c r="H888" s="195">
        <f>IF(A888="","",LOG10(A888))</f>
        <v/>
      </c>
      <c r="I888" s="195">
        <f>IF(B888="","",LOG10(MAX(B888,1E-12)))</f>
        <v/>
      </c>
      <c r="J888" s="195">
        <f>IF(D888="","",LOG10(MAX(D888,1E-12)))</f>
        <v/>
      </c>
      <c r="K888">
        <f>IF(A888="","",ROUND(1+(LOG10(A888)-LOG10('入力・概要'!$B$38))*('入力・概要'!$B$40-1)/(LOG10('入力・概要'!$B$39)-LOG10('入力・概要'!$B$38)),0)+3)</f>
        <v/>
      </c>
      <c r="L888">
        <f>IF(K888="","",INDEX('差動モデル'!$B:$B,K888))</f>
        <v/>
      </c>
      <c r="M888">
        <f>IF(A888="","",IF(ABS(L888/A888-1)&lt;0.01,"周波数差&lt;1%","周波数差あり"))</f>
        <v/>
      </c>
    </row>
    <row r="889">
      <c r="A889" s="197" t="n"/>
      <c r="B889" s="198" t="n"/>
      <c r="C889" s="198" t="n"/>
      <c r="D889" s="195">
        <f>IF(K889="","",INDEX('差動モデル'!$R:$R,K889))</f>
        <v/>
      </c>
      <c r="E889" s="195">
        <f>IF(K889="","",INDEX('差動モデル'!$S:$S,K889))</f>
        <v/>
      </c>
      <c r="F889" s="195">
        <f>IF(OR(A889="",B889=""),"",100*(D889-B889)/MAX(B889,1E-12))</f>
        <v/>
      </c>
      <c r="G889" s="195">
        <f>IF(OR(A889="",C889=""),"",E889-C889)</f>
        <v/>
      </c>
      <c r="H889" s="195">
        <f>IF(A889="","",LOG10(A889))</f>
        <v/>
      </c>
      <c r="I889" s="195">
        <f>IF(B889="","",LOG10(MAX(B889,1E-12)))</f>
        <v/>
      </c>
      <c r="J889" s="195">
        <f>IF(D889="","",LOG10(MAX(D889,1E-12)))</f>
        <v/>
      </c>
      <c r="K889">
        <f>IF(A889="","",ROUND(1+(LOG10(A889)-LOG10('入力・概要'!$B$38))*('入力・概要'!$B$40-1)/(LOG10('入力・概要'!$B$39)-LOG10('入力・概要'!$B$38)),0)+3)</f>
        <v/>
      </c>
      <c r="L889">
        <f>IF(K889="","",INDEX('差動モデル'!$B:$B,K889))</f>
        <v/>
      </c>
      <c r="M889">
        <f>IF(A889="","",IF(ABS(L889/A889-1)&lt;0.01,"周波数差&lt;1%","周波数差あり"))</f>
        <v/>
      </c>
    </row>
    <row r="890">
      <c r="A890" s="197" t="n"/>
      <c r="B890" s="198" t="n"/>
      <c r="C890" s="198" t="n"/>
      <c r="D890" s="195">
        <f>IF(K890="","",INDEX('差動モデル'!$R:$R,K890))</f>
        <v/>
      </c>
      <c r="E890" s="195">
        <f>IF(K890="","",INDEX('差動モデル'!$S:$S,K890))</f>
        <v/>
      </c>
      <c r="F890" s="195">
        <f>IF(OR(A890="",B890=""),"",100*(D890-B890)/MAX(B890,1E-12))</f>
        <v/>
      </c>
      <c r="G890" s="195">
        <f>IF(OR(A890="",C890=""),"",E890-C890)</f>
        <v/>
      </c>
      <c r="H890" s="195">
        <f>IF(A890="","",LOG10(A890))</f>
        <v/>
      </c>
      <c r="I890" s="195">
        <f>IF(B890="","",LOG10(MAX(B890,1E-12)))</f>
        <v/>
      </c>
      <c r="J890" s="195">
        <f>IF(D890="","",LOG10(MAX(D890,1E-12)))</f>
        <v/>
      </c>
      <c r="K890">
        <f>IF(A890="","",ROUND(1+(LOG10(A890)-LOG10('入力・概要'!$B$38))*('入力・概要'!$B$40-1)/(LOG10('入力・概要'!$B$39)-LOG10('入力・概要'!$B$38)),0)+3)</f>
        <v/>
      </c>
      <c r="L890">
        <f>IF(K890="","",INDEX('差動モデル'!$B:$B,K890))</f>
        <v/>
      </c>
      <c r="M890">
        <f>IF(A890="","",IF(ABS(L890/A890-1)&lt;0.01,"周波数差&lt;1%","周波数差あり"))</f>
        <v/>
      </c>
    </row>
    <row r="891">
      <c r="A891" s="197" t="n"/>
      <c r="B891" s="198" t="n"/>
      <c r="C891" s="198" t="n"/>
      <c r="D891" s="195">
        <f>IF(K891="","",INDEX('差動モデル'!$R:$R,K891))</f>
        <v/>
      </c>
      <c r="E891" s="195">
        <f>IF(K891="","",INDEX('差動モデル'!$S:$S,K891))</f>
        <v/>
      </c>
      <c r="F891" s="195">
        <f>IF(OR(A891="",B891=""),"",100*(D891-B891)/MAX(B891,1E-12))</f>
        <v/>
      </c>
      <c r="G891" s="195">
        <f>IF(OR(A891="",C891=""),"",E891-C891)</f>
        <v/>
      </c>
      <c r="H891" s="195">
        <f>IF(A891="","",LOG10(A891))</f>
        <v/>
      </c>
      <c r="I891" s="195">
        <f>IF(B891="","",LOG10(MAX(B891,1E-12)))</f>
        <v/>
      </c>
      <c r="J891" s="195">
        <f>IF(D891="","",LOG10(MAX(D891,1E-12)))</f>
        <v/>
      </c>
      <c r="K891">
        <f>IF(A891="","",ROUND(1+(LOG10(A891)-LOG10('入力・概要'!$B$38))*('入力・概要'!$B$40-1)/(LOG10('入力・概要'!$B$39)-LOG10('入力・概要'!$B$38)),0)+3)</f>
        <v/>
      </c>
      <c r="L891">
        <f>IF(K891="","",INDEX('差動モデル'!$B:$B,K891))</f>
        <v/>
      </c>
      <c r="M891">
        <f>IF(A891="","",IF(ABS(L891/A891-1)&lt;0.01,"周波数差&lt;1%","周波数差あり"))</f>
        <v/>
      </c>
    </row>
    <row r="892">
      <c r="A892" s="197" t="n"/>
      <c r="B892" s="198" t="n"/>
      <c r="C892" s="198" t="n"/>
      <c r="D892" s="195">
        <f>IF(K892="","",INDEX('差動モデル'!$R:$R,K892))</f>
        <v/>
      </c>
      <c r="E892" s="195">
        <f>IF(K892="","",INDEX('差動モデル'!$S:$S,K892))</f>
        <v/>
      </c>
      <c r="F892" s="195">
        <f>IF(OR(A892="",B892=""),"",100*(D892-B892)/MAX(B892,1E-12))</f>
        <v/>
      </c>
      <c r="G892" s="195">
        <f>IF(OR(A892="",C892=""),"",E892-C892)</f>
        <v/>
      </c>
      <c r="H892" s="195">
        <f>IF(A892="","",LOG10(A892))</f>
        <v/>
      </c>
      <c r="I892" s="195">
        <f>IF(B892="","",LOG10(MAX(B892,1E-12)))</f>
        <v/>
      </c>
      <c r="J892" s="195">
        <f>IF(D892="","",LOG10(MAX(D892,1E-12)))</f>
        <v/>
      </c>
      <c r="K892">
        <f>IF(A892="","",ROUND(1+(LOG10(A892)-LOG10('入力・概要'!$B$38))*('入力・概要'!$B$40-1)/(LOG10('入力・概要'!$B$39)-LOG10('入力・概要'!$B$38)),0)+3)</f>
        <v/>
      </c>
      <c r="L892">
        <f>IF(K892="","",INDEX('差動モデル'!$B:$B,K892))</f>
        <v/>
      </c>
      <c r="M892">
        <f>IF(A892="","",IF(ABS(L892/A892-1)&lt;0.01,"周波数差&lt;1%","周波数差あり"))</f>
        <v/>
      </c>
    </row>
    <row r="893">
      <c r="A893" s="197" t="n"/>
      <c r="B893" s="198" t="n"/>
      <c r="C893" s="198" t="n"/>
      <c r="D893" s="195">
        <f>IF(K893="","",INDEX('差動モデル'!$R:$R,K893))</f>
        <v/>
      </c>
      <c r="E893" s="195">
        <f>IF(K893="","",INDEX('差動モデル'!$S:$S,K893))</f>
        <v/>
      </c>
      <c r="F893" s="195">
        <f>IF(OR(A893="",B893=""),"",100*(D893-B893)/MAX(B893,1E-12))</f>
        <v/>
      </c>
      <c r="G893" s="195">
        <f>IF(OR(A893="",C893=""),"",E893-C893)</f>
        <v/>
      </c>
      <c r="H893" s="195">
        <f>IF(A893="","",LOG10(A893))</f>
        <v/>
      </c>
      <c r="I893" s="195">
        <f>IF(B893="","",LOG10(MAX(B893,1E-12)))</f>
        <v/>
      </c>
      <c r="J893" s="195">
        <f>IF(D893="","",LOG10(MAX(D893,1E-12)))</f>
        <v/>
      </c>
      <c r="K893">
        <f>IF(A893="","",ROUND(1+(LOG10(A893)-LOG10('入力・概要'!$B$38))*('入力・概要'!$B$40-1)/(LOG10('入力・概要'!$B$39)-LOG10('入力・概要'!$B$38)),0)+3)</f>
        <v/>
      </c>
      <c r="L893">
        <f>IF(K893="","",INDEX('差動モデル'!$B:$B,K893))</f>
        <v/>
      </c>
      <c r="M893">
        <f>IF(A893="","",IF(ABS(L893/A893-1)&lt;0.01,"周波数差&lt;1%","周波数差あり"))</f>
        <v/>
      </c>
    </row>
    <row r="894">
      <c r="A894" s="197" t="n"/>
      <c r="B894" s="198" t="n"/>
      <c r="C894" s="198" t="n"/>
      <c r="D894" s="195">
        <f>IF(K894="","",INDEX('差動モデル'!$R:$R,K894))</f>
        <v/>
      </c>
      <c r="E894" s="195">
        <f>IF(K894="","",INDEX('差動モデル'!$S:$S,K894))</f>
        <v/>
      </c>
      <c r="F894" s="195">
        <f>IF(OR(A894="",B894=""),"",100*(D894-B894)/MAX(B894,1E-12))</f>
        <v/>
      </c>
      <c r="G894" s="195">
        <f>IF(OR(A894="",C894=""),"",E894-C894)</f>
        <v/>
      </c>
      <c r="H894" s="195">
        <f>IF(A894="","",LOG10(A894))</f>
        <v/>
      </c>
      <c r="I894" s="195">
        <f>IF(B894="","",LOG10(MAX(B894,1E-12)))</f>
        <v/>
      </c>
      <c r="J894" s="195">
        <f>IF(D894="","",LOG10(MAX(D894,1E-12)))</f>
        <v/>
      </c>
      <c r="K894">
        <f>IF(A894="","",ROUND(1+(LOG10(A894)-LOG10('入力・概要'!$B$38))*('入力・概要'!$B$40-1)/(LOG10('入力・概要'!$B$39)-LOG10('入力・概要'!$B$38)),0)+3)</f>
        <v/>
      </c>
      <c r="L894">
        <f>IF(K894="","",INDEX('差動モデル'!$B:$B,K894))</f>
        <v/>
      </c>
      <c r="M894">
        <f>IF(A894="","",IF(ABS(L894/A894-1)&lt;0.01,"周波数差&lt;1%","周波数差あり"))</f>
        <v/>
      </c>
    </row>
    <row r="895">
      <c r="A895" s="197" t="n"/>
      <c r="B895" s="198" t="n"/>
      <c r="C895" s="198" t="n"/>
      <c r="D895" s="195">
        <f>IF(K895="","",INDEX('差動モデル'!$R:$R,K895))</f>
        <v/>
      </c>
      <c r="E895" s="195">
        <f>IF(K895="","",INDEX('差動モデル'!$S:$S,K895))</f>
        <v/>
      </c>
      <c r="F895" s="195">
        <f>IF(OR(A895="",B895=""),"",100*(D895-B895)/MAX(B895,1E-12))</f>
        <v/>
      </c>
      <c r="G895" s="195">
        <f>IF(OR(A895="",C895=""),"",E895-C895)</f>
        <v/>
      </c>
      <c r="H895" s="195">
        <f>IF(A895="","",LOG10(A895))</f>
        <v/>
      </c>
      <c r="I895" s="195">
        <f>IF(B895="","",LOG10(MAX(B895,1E-12)))</f>
        <v/>
      </c>
      <c r="J895" s="195">
        <f>IF(D895="","",LOG10(MAX(D895,1E-12)))</f>
        <v/>
      </c>
      <c r="K895">
        <f>IF(A895="","",ROUND(1+(LOG10(A895)-LOG10('入力・概要'!$B$38))*('入力・概要'!$B$40-1)/(LOG10('入力・概要'!$B$39)-LOG10('入力・概要'!$B$38)),0)+3)</f>
        <v/>
      </c>
      <c r="L895">
        <f>IF(K895="","",INDEX('差動モデル'!$B:$B,K895))</f>
        <v/>
      </c>
      <c r="M895">
        <f>IF(A895="","",IF(ABS(L895/A895-1)&lt;0.01,"周波数差&lt;1%","周波数差あり"))</f>
        <v/>
      </c>
    </row>
    <row r="896">
      <c r="A896" s="197" t="n"/>
      <c r="B896" s="198" t="n"/>
      <c r="C896" s="198" t="n"/>
      <c r="D896" s="195">
        <f>IF(K896="","",INDEX('差動モデル'!$R:$R,K896))</f>
        <v/>
      </c>
      <c r="E896" s="195">
        <f>IF(K896="","",INDEX('差動モデル'!$S:$S,K896))</f>
        <v/>
      </c>
      <c r="F896" s="195">
        <f>IF(OR(A896="",B896=""),"",100*(D896-B896)/MAX(B896,1E-12))</f>
        <v/>
      </c>
      <c r="G896" s="195">
        <f>IF(OR(A896="",C896=""),"",E896-C896)</f>
        <v/>
      </c>
      <c r="H896" s="195">
        <f>IF(A896="","",LOG10(A896))</f>
        <v/>
      </c>
      <c r="I896" s="195">
        <f>IF(B896="","",LOG10(MAX(B896,1E-12)))</f>
        <v/>
      </c>
      <c r="J896" s="195">
        <f>IF(D896="","",LOG10(MAX(D896,1E-12)))</f>
        <v/>
      </c>
      <c r="K896">
        <f>IF(A896="","",ROUND(1+(LOG10(A896)-LOG10('入力・概要'!$B$38))*('入力・概要'!$B$40-1)/(LOG10('入力・概要'!$B$39)-LOG10('入力・概要'!$B$38)),0)+3)</f>
        <v/>
      </c>
      <c r="L896">
        <f>IF(K896="","",INDEX('差動モデル'!$B:$B,K896))</f>
        <v/>
      </c>
      <c r="M896">
        <f>IF(A896="","",IF(ABS(L896/A896-1)&lt;0.01,"周波数差&lt;1%","周波数差あり"))</f>
        <v/>
      </c>
    </row>
    <row r="897">
      <c r="A897" s="197" t="n"/>
      <c r="B897" s="198" t="n"/>
      <c r="C897" s="198" t="n"/>
      <c r="D897" s="195">
        <f>IF(K897="","",INDEX('差動モデル'!$R:$R,K897))</f>
        <v/>
      </c>
      <c r="E897" s="195">
        <f>IF(K897="","",INDEX('差動モデル'!$S:$S,K897))</f>
        <v/>
      </c>
      <c r="F897" s="195">
        <f>IF(OR(A897="",B897=""),"",100*(D897-B897)/MAX(B897,1E-12))</f>
        <v/>
      </c>
      <c r="G897" s="195">
        <f>IF(OR(A897="",C897=""),"",E897-C897)</f>
        <v/>
      </c>
      <c r="H897" s="195">
        <f>IF(A897="","",LOG10(A897))</f>
        <v/>
      </c>
      <c r="I897" s="195">
        <f>IF(B897="","",LOG10(MAX(B897,1E-12)))</f>
        <v/>
      </c>
      <c r="J897" s="195">
        <f>IF(D897="","",LOG10(MAX(D897,1E-12)))</f>
        <v/>
      </c>
      <c r="K897">
        <f>IF(A897="","",ROUND(1+(LOG10(A897)-LOG10('入力・概要'!$B$38))*('入力・概要'!$B$40-1)/(LOG10('入力・概要'!$B$39)-LOG10('入力・概要'!$B$38)),0)+3)</f>
        <v/>
      </c>
      <c r="L897">
        <f>IF(K897="","",INDEX('差動モデル'!$B:$B,K897))</f>
        <v/>
      </c>
      <c r="M897">
        <f>IF(A897="","",IF(ABS(L897/A897-1)&lt;0.01,"周波数差&lt;1%","周波数差あり"))</f>
        <v/>
      </c>
    </row>
    <row r="898">
      <c r="A898" s="197" t="n"/>
      <c r="B898" s="198" t="n"/>
      <c r="C898" s="198" t="n"/>
      <c r="D898" s="195">
        <f>IF(K898="","",INDEX('差動モデル'!$R:$R,K898))</f>
        <v/>
      </c>
      <c r="E898" s="195">
        <f>IF(K898="","",INDEX('差動モデル'!$S:$S,K898))</f>
        <v/>
      </c>
      <c r="F898" s="195">
        <f>IF(OR(A898="",B898=""),"",100*(D898-B898)/MAX(B898,1E-12))</f>
        <v/>
      </c>
      <c r="G898" s="195">
        <f>IF(OR(A898="",C898=""),"",E898-C898)</f>
        <v/>
      </c>
      <c r="H898" s="195">
        <f>IF(A898="","",LOG10(A898))</f>
        <v/>
      </c>
      <c r="I898" s="195">
        <f>IF(B898="","",LOG10(MAX(B898,1E-12)))</f>
        <v/>
      </c>
      <c r="J898" s="195">
        <f>IF(D898="","",LOG10(MAX(D898,1E-12)))</f>
        <v/>
      </c>
      <c r="K898">
        <f>IF(A898="","",ROUND(1+(LOG10(A898)-LOG10('入力・概要'!$B$38))*('入力・概要'!$B$40-1)/(LOG10('入力・概要'!$B$39)-LOG10('入力・概要'!$B$38)),0)+3)</f>
        <v/>
      </c>
      <c r="L898">
        <f>IF(K898="","",INDEX('差動モデル'!$B:$B,K898))</f>
        <v/>
      </c>
      <c r="M898">
        <f>IF(A898="","",IF(ABS(L898/A898-1)&lt;0.01,"周波数差&lt;1%","周波数差あり"))</f>
        <v/>
      </c>
    </row>
    <row r="899">
      <c r="A899" s="197" t="n"/>
      <c r="B899" s="198" t="n"/>
      <c r="C899" s="198" t="n"/>
      <c r="D899" s="195">
        <f>IF(K899="","",INDEX('差動モデル'!$R:$R,K899))</f>
        <v/>
      </c>
      <c r="E899" s="195">
        <f>IF(K899="","",INDEX('差動モデル'!$S:$S,K899))</f>
        <v/>
      </c>
      <c r="F899" s="195">
        <f>IF(OR(A899="",B899=""),"",100*(D899-B899)/MAX(B899,1E-12))</f>
        <v/>
      </c>
      <c r="G899" s="195">
        <f>IF(OR(A899="",C899=""),"",E899-C899)</f>
        <v/>
      </c>
      <c r="H899" s="195">
        <f>IF(A899="","",LOG10(A899))</f>
        <v/>
      </c>
      <c r="I899" s="195">
        <f>IF(B899="","",LOG10(MAX(B899,1E-12)))</f>
        <v/>
      </c>
      <c r="J899" s="195">
        <f>IF(D899="","",LOG10(MAX(D899,1E-12)))</f>
        <v/>
      </c>
      <c r="K899">
        <f>IF(A899="","",ROUND(1+(LOG10(A899)-LOG10('入力・概要'!$B$38))*('入力・概要'!$B$40-1)/(LOG10('入力・概要'!$B$39)-LOG10('入力・概要'!$B$38)),0)+3)</f>
        <v/>
      </c>
      <c r="L899">
        <f>IF(K899="","",INDEX('差動モデル'!$B:$B,K899))</f>
        <v/>
      </c>
      <c r="M899">
        <f>IF(A899="","",IF(ABS(L899/A899-1)&lt;0.01,"周波数差&lt;1%","周波数差あり"))</f>
        <v/>
      </c>
    </row>
    <row r="900">
      <c r="A900" s="197" t="n"/>
      <c r="B900" s="198" t="n"/>
      <c r="C900" s="198" t="n"/>
      <c r="D900" s="195">
        <f>IF(K900="","",INDEX('差動モデル'!$R:$R,K900))</f>
        <v/>
      </c>
      <c r="E900" s="195">
        <f>IF(K900="","",INDEX('差動モデル'!$S:$S,K900))</f>
        <v/>
      </c>
      <c r="F900" s="195">
        <f>IF(OR(A900="",B900=""),"",100*(D900-B900)/MAX(B900,1E-12))</f>
        <v/>
      </c>
      <c r="G900" s="195">
        <f>IF(OR(A900="",C900=""),"",E900-C900)</f>
        <v/>
      </c>
      <c r="H900" s="195">
        <f>IF(A900="","",LOG10(A900))</f>
        <v/>
      </c>
      <c r="I900" s="195">
        <f>IF(B900="","",LOG10(MAX(B900,1E-12)))</f>
        <v/>
      </c>
      <c r="J900" s="195">
        <f>IF(D900="","",LOG10(MAX(D900,1E-12)))</f>
        <v/>
      </c>
      <c r="K900">
        <f>IF(A900="","",ROUND(1+(LOG10(A900)-LOG10('入力・概要'!$B$38))*('入力・概要'!$B$40-1)/(LOG10('入力・概要'!$B$39)-LOG10('入力・概要'!$B$38)),0)+3)</f>
        <v/>
      </c>
      <c r="L900">
        <f>IF(K900="","",INDEX('差動モデル'!$B:$B,K900))</f>
        <v/>
      </c>
      <c r="M900">
        <f>IF(A900="","",IF(ABS(L900/A900-1)&lt;0.01,"周波数差&lt;1%","周波数差あり"))</f>
        <v/>
      </c>
    </row>
    <row r="901">
      <c r="A901" s="197" t="n"/>
      <c r="B901" s="198" t="n"/>
      <c r="C901" s="198" t="n"/>
      <c r="D901" s="195">
        <f>IF(K901="","",INDEX('差動モデル'!$R:$R,K901))</f>
        <v/>
      </c>
      <c r="E901" s="195">
        <f>IF(K901="","",INDEX('差動モデル'!$S:$S,K901))</f>
        <v/>
      </c>
      <c r="F901" s="195">
        <f>IF(OR(A901="",B901=""),"",100*(D901-B901)/MAX(B901,1E-12))</f>
        <v/>
      </c>
      <c r="G901" s="195">
        <f>IF(OR(A901="",C901=""),"",E901-C901)</f>
        <v/>
      </c>
      <c r="H901" s="195">
        <f>IF(A901="","",LOG10(A901))</f>
        <v/>
      </c>
      <c r="I901" s="195">
        <f>IF(B901="","",LOG10(MAX(B901,1E-12)))</f>
        <v/>
      </c>
      <c r="J901" s="195">
        <f>IF(D901="","",LOG10(MAX(D901,1E-12)))</f>
        <v/>
      </c>
      <c r="K901">
        <f>IF(A901="","",ROUND(1+(LOG10(A901)-LOG10('入力・概要'!$B$38))*('入力・概要'!$B$40-1)/(LOG10('入力・概要'!$B$39)-LOG10('入力・概要'!$B$38)),0)+3)</f>
        <v/>
      </c>
      <c r="L901">
        <f>IF(K901="","",INDEX('差動モデル'!$B:$B,K901))</f>
        <v/>
      </c>
      <c r="M901">
        <f>IF(A901="","",IF(ABS(L901/A901-1)&lt;0.01,"周波数差&lt;1%","周波数差あり"))</f>
        <v/>
      </c>
    </row>
    <row r="902">
      <c r="A902" s="197" t="n"/>
      <c r="B902" s="198" t="n"/>
      <c r="C902" s="198" t="n"/>
      <c r="D902" s="195">
        <f>IF(K902="","",INDEX('差動モデル'!$R:$R,K902))</f>
        <v/>
      </c>
      <c r="E902" s="195">
        <f>IF(K902="","",INDEX('差動モデル'!$S:$S,K902))</f>
        <v/>
      </c>
      <c r="F902" s="195">
        <f>IF(OR(A902="",B902=""),"",100*(D902-B902)/MAX(B902,1E-12))</f>
        <v/>
      </c>
      <c r="G902" s="195">
        <f>IF(OR(A902="",C902=""),"",E902-C902)</f>
        <v/>
      </c>
      <c r="H902" s="195">
        <f>IF(A902="","",LOG10(A902))</f>
        <v/>
      </c>
      <c r="I902" s="195">
        <f>IF(B902="","",LOG10(MAX(B902,1E-12)))</f>
        <v/>
      </c>
      <c r="J902" s="195">
        <f>IF(D902="","",LOG10(MAX(D902,1E-12)))</f>
        <v/>
      </c>
      <c r="K902">
        <f>IF(A902="","",ROUND(1+(LOG10(A902)-LOG10('入力・概要'!$B$38))*('入力・概要'!$B$40-1)/(LOG10('入力・概要'!$B$39)-LOG10('入力・概要'!$B$38)),0)+3)</f>
        <v/>
      </c>
      <c r="L902">
        <f>IF(K902="","",INDEX('差動モデル'!$B:$B,K902))</f>
        <v/>
      </c>
      <c r="M902">
        <f>IF(A902="","",IF(ABS(L902/A902-1)&lt;0.01,"周波数差&lt;1%","周波数差あり"))</f>
        <v/>
      </c>
    </row>
    <row r="903">
      <c r="A903" s="197" t="n"/>
      <c r="B903" s="198" t="n"/>
      <c r="C903" s="198" t="n"/>
      <c r="D903" s="195">
        <f>IF(K903="","",INDEX('差動モデル'!$R:$R,K903))</f>
        <v/>
      </c>
      <c r="E903" s="195">
        <f>IF(K903="","",INDEX('差動モデル'!$S:$S,K903))</f>
        <v/>
      </c>
      <c r="F903" s="195">
        <f>IF(OR(A903="",B903=""),"",100*(D903-B903)/MAX(B903,1E-12))</f>
        <v/>
      </c>
      <c r="G903" s="195">
        <f>IF(OR(A903="",C903=""),"",E903-C903)</f>
        <v/>
      </c>
      <c r="H903" s="195">
        <f>IF(A903="","",LOG10(A903))</f>
        <v/>
      </c>
      <c r="I903" s="195">
        <f>IF(B903="","",LOG10(MAX(B903,1E-12)))</f>
        <v/>
      </c>
      <c r="J903" s="195">
        <f>IF(D903="","",LOG10(MAX(D903,1E-12)))</f>
        <v/>
      </c>
      <c r="K903">
        <f>IF(A903="","",ROUND(1+(LOG10(A903)-LOG10('入力・概要'!$B$38))*('入力・概要'!$B$40-1)/(LOG10('入力・概要'!$B$39)-LOG10('入力・概要'!$B$38)),0)+3)</f>
        <v/>
      </c>
      <c r="L903">
        <f>IF(K903="","",INDEX('差動モデル'!$B:$B,K903))</f>
        <v/>
      </c>
      <c r="M903">
        <f>IF(A903="","",IF(ABS(L903/A903-1)&lt;0.01,"周波数差&lt;1%","周波数差あり"))</f>
        <v/>
      </c>
    </row>
    <row r="904">
      <c r="A904" s="197" t="n"/>
      <c r="B904" s="198" t="n"/>
      <c r="C904" s="198" t="n"/>
      <c r="D904" s="195">
        <f>IF(K904="","",INDEX('差動モデル'!$R:$R,K904))</f>
        <v/>
      </c>
      <c r="E904" s="195">
        <f>IF(K904="","",INDEX('差動モデル'!$S:$S,K904))</f>
        <v/>
      </c>
      <c r="F904" s="195">
        <f>IF(OR(A904="",B904=""),"",100*(D904-B904)/MAX(B904,1E-12))</f>
        <v/>
      </c>
      <c r="G904" s="195">
        <f>IF(OR(A904="",C904=""),"",E904-C904)</f>
        <v/>
      </c>
      <c r="H904" s="195">
        <f>IF(A904="","",LOG10(A904))</f>
        <v/>
      </c>
      <c r="I904" s="195">
        <f>IF(B904="","",LOG10(MAX(B904,1E-12)))</f>
        <v/>
      </c>
      <c r="J904" s="195">
        <f>IF(D904="","",LOG10(MAX(D904,1E-12)))</f>
        <v/>
      </c>
      <c r="K904">
        <f>IF(A904="","",ROUND(1+(LOG10(A904)-LOG10('入力・概要'!$B$38))*('入力・概要'!$B$40-1)/(LOG10('入力・概要'!$B$39)-LOG10('入力・概要'!$B$38)),0)+3)</f>
        <v/>
      </c>
      <c r="L904">
        <f>IF(K904="","",INDEX('差動モデル'!$B:$B,K904))</f>
        <v/>
      </c>
      <c r="M904">
        <f>IF(A904="","",IF(ABS(L904/A904-1)&lt;0.01,"周波数差&lt;1%","周波数差あり"))</f>
        <v/>
      </c>
    </row>
    <row r="905">
      <c r="A905" s="197" t="n"/>
      <c r="B905" s="198" t="n"/>
      <c r="C905" s="198" t="n"/>
      <c r="D905" s="195">
        <f>IF(K905="","",INDEX('差動モデル'!$R:$R,K905))</f>
        <v/>
      </c>
      <c r="E905" s="195">
        <f>IF(K905="","",INDEX('差動モデル'!$S:$S,K905))</f>
        <v/>
      </c>
      <c r="F905" s="195">
        <f>IF(OR(A905="",B905=""),"",100*(D905-B905)/MAX(B905,1E-12))</f>
        <v/>
      </c>
      <c r="G905" s="195">
        <f>IF(OR(A905="",C905=""),"",E905-C905)</f>
        <v/>
      </c>
      <c r="H905" s="195">
        <f>IF(A905="","",LOG10(A905))</f>
        <v/>
      </c>
      <c r="I905" s="195">
        <f>IF(B905="","",LOG10(MAX(B905,1E-12)))</f>
        <v/>
      </c>
      <c r="J905" s="195">
        <f>IF(D905="","",LOG10(MAX(D905,1E-12)))</f>
        <v/>
      </c>
      <c r="K905">
        <f>IF(A905="","",ROUND(1+(LOG10(A905)-LOG10('入力・概要'!$B$38))*('入力・概要'!$B$40-1)/(LOG10('入力・概要'!$B$39)-LOG10('入力・概要'!$B$38)),0)+3)</f>
        <v/>
      </c>
      <c r="L905">
        <f>IF(K905="","",INDEX('差動モデル'!$B:$B,K905))</f>
        <v/>
      </c>
      <c r="M905">
        <f>IF(A905="","",IF(ABS(L905/A905-1)&lt;0.01,"周波数差&lt;1%","周波数差あり"))</f>
        <v/>
      </c>
    </row>
    <row r="906">
      <c r="A906" s="197" t="n"/>
      <c r="B906" s="198" t="n"/>
      <c r="C906" s="198" t="n"/>
      <c r="D906" s="195">
        <f>IF(K906="","",INDEX('差動モデル'!$R:$R,K906))</f>
        <v/>
      </c>
      <c r="E906" s="195">
        <f>IF(K906="","",INDEX('差動モデル'!$S:$S,K906))</f>
        <v/>
      </c>
      <c r="F906" s="195">
        <f>IF(OR(A906="",B906=""),"",100*(D906-B906)/MAX(B906,1E-12))</f>
        <v/>
      </c>
      <c r="G906" s="195">
        <f>IF(OR(A906="",C906=""),"",E906-C906)</f>
        <v/>
      </c>
      <c r="H906" s="195">
        <f>IF(A906="","",LOG10(A906))</f>
        <v/>
      </c>
      <c r="I906" s="195">
        <f>IF(B906="","",LOG10(MAX(B906,1E-12)))</f>
        <v/>
      </c>
      <c r="J906" s="195">
        <f>IF(D906="","",LOG10(MAX(D906,1E-12)))</f>
        <v/>
      </c>
      <c r="K906">
        <f>IF(A906="","",ROUND(1+(LOG10(A906)-LOG10('入力・概要'!$B$38))*('入力・概要'!$B$40-1)/(LOG10('入力・概要'!$B$39)-LOG10('入力・概要'!$B$38)),0)+3)</f>
        <v/>
      </c>
      <c r="L906">
        <f>IF(K906="","",INDEX('差動モデル'!$B:$B,K906))</f>
        <v/>
      </c>
      <c r="M906">
        <f>IF(A906="","",IF(ABS(L906/A906-1)&lt;0.01,"周波数差&lt;1%","周波数差あり"))</f>
        <v/>
      </c>
    </row>
    <row r="907">
      <c r="A907" s="197" t="n"/>
      <c r="B907" s="198" t="n"/>
      <c r="C907" s="198" t="n"/>
      <c r="D907" s="195">
        <f>IF(K907="","",INDEX('差動モデル'!$R:$R,K907))</f>
        <v/>
      </c>
      <c r="E907" s="195">
        <f>IF(K907="","",INDEX('差動モデル'!$S:$S,K907))</f>
        <v/>
      </c>
      <c r="F907" s="195">
        <f>IF(OR(A907="",B907=""),"",100*(D907-B907)/MAX(B907,1E-12))</f>
        <v/>
      </c>
      <c r="G907" s="195">
        <f>IF(OR(A907="",C907=""),"",E907-C907)</f>
        <v/>
      </c>
      <c r="H907" s="195">
        <f>IF(A907="","",LOG10(A907))</f>
        <v/>
      </c>
      <c r="I907" s="195">
        <f>IF(B907="","",LOG10(MAX(B907,1E-12)))</f>
        <v/>
      </c>
      <c r="J907" s="195">
        <f>IF(D907="","",LOG10(MAX(D907,1E-12)))</f>
        <v/>
      </c>
      <c r="K907">
        <f>IF(A907="","",ROUND(1+(LOG10(A907)-LOG10('入力・概要'!$B$38))*('入力・概要'!$B$40-1)/(LOG10('入力・概要'!$B$39)-LOG10('入力・概要'!$B$38)),0)+3)</f>
        <v/>
      </c>
      <c r="L907">
        <f>IF(K907="","",INDEX('差動モデル'!$B:$B,K907))</f>
        <v/>
      </c>
      <c r="M907">
        <f>IF(A907="","",IF(ABS(L907/A907-1)&lt;0.01,"周波数差&lt;1%","周波数差あり"))</f>
        <v/>
      </c>
    </row>
    <row r="908">
      <c r="A908" s="197" t="n"/>
      <c r="B908" s="198" t="n"/>
      <c r="C908" s="198" t="n"/>
      <c r="D908" s="195">
        <f>IF(K908="","",INDEX('差動モデル'!$R:$R,K908))</f>
        <v/>
      </c>
      <c r="E908" s="195">
        <f>IF(K908="","",INDEX('差動モデル'!$S:$S,K908))</f>
        <v/>
      </c>
      <c r="F908" s="195">
        <f>IF(OR(A908="",B908=""),"",100*(D908-B908)/MAX(B908,1E-12))</f>
        <v/>
      </c>
      <c r="G908" s="195">
        <f>IF(OR(A908="",C908=""),"",E908-C908)</f>
        <v/>
      </c>
      <c r="H908" s="195">
        <f>IF(A908="","",LOG10(A908))</f>
        <v/>
      </c>
      <c r="I908" s="195">
        <f>IF(B908="","",LOG10(MAX(B908,1E-12)))</f>
        <v/>
      </c>
      <c r="J908" s="195">
        <f>IF(D908="","",LOG10(MAX(D908,1E-12)))</f>
        <v/>
      </c>
      <c r="K908">
        <f>IF(A908="","",ROUND(1+(LOG10(A908)-LOG10('入力・概要'!$B$38))*('入力・概要'!$B$40-1)/(LOG10('入力・概要'!$B$39)-LOG10('入力・概要'!$B$38)),0)+3)</f>
        <v/>
      </c>
      <c r="L908">
        <f>IF(K908="","",INDEX('差動モデル'!$B:$B,K908))</f>
        <v/>
      </c>
      <c r="M908">
        <f>IF(A908="","",IF(ABS(L908/A908-1)&lt;0.01,"周波数差&lt;1%","周波数差あり"))</f>
        <v/>
      </c>
    </row>
    <row r="909">
      <c r="A909" s="197" t="n"/>
      <c r="B909" s="198" t="n"/>
      <c r="C909" s="198" t="n"/>
      <c r="D909" s="195">
        <f>IF(K909="","",INDEX('差動モデル'!$R:$R,K909))</f>
        <v/>
      </c>
      <c r="E909" s="195">
        <f>IF(K909="","",INDEX('差動モデル'!$S:$S,K909))</f>
        <v/>
      </c>
      <c r="F909" s="195">
        <f>IF(OR(A909="",B909=""),"",100*(D909-B909)/MAX(B909,1E-12))</f>
        <v/>
      </c>
      <c r="G909" s="195">
        <f>IF(OR(A909="",C909=""),"",E909-C909)</f>
        <v/>
      </c>
      <c r="H909" s="195">
        <f>IF(A909="","",LOG10(A909))</f>
        <v/>
      </c>
      <c r="I909" s="195">
        <f>IF(B909="","",LOG10(MAX(B909,1E-12)))</f>
        <v/>
      </c>
      <c r="J909" s="195">
        <f>IF(D909="","",LOG10(MAX(D909,1E-12)))</f>
        <v/>
      </c>
      <c r="K909">
        <f>IF(A909="","",ROUND(1+(LOG10(A909)-LOG10('入力・概要'!$B$38))*('入力・概要'!$B$40-1)/(LOG10('入力・概要'!$B$39)-LOG10('入力・概要'!$B$38)),0)+3)</f>
        <v/>
      </c>
      <c r="L909">
        <f>IF(K909="","",INDEX('差動モデル'!$B:$B,K909))</f>
        <v/>
      </c>
      <c r="M909">
        <f>IF(A909="","",IF(ABS(L909/A909-1)&lt;0.01,"周波数差&lt;1%","周波数差あり"))</f>
        <v/>
      </c>
    </row>
    <row r="910">
      <c r="A910" s="197" t="n"/>
      <c r="B910" s="198" t="n"/>
      <c r="C910" s="198" t="n"/>
      <c r="D910" s="195">
        <f>IF(K910="","",INDEX('差動モデル'!$R:$R,K910))</f>
        <v/>
      </c>
      <c r="E910" s="195">
        <f>IF(K910="","",INDEX('差動モデル'!$S:$S,K910))</f>
        <v/>
      </c>
      <c r="F910" s="195">
        <f>IF(OR(A910="",B910=""),"",100*(D910-B910)/MAX(B910,1E-12))</f>
        <v/>
      </c>
      <c r="G910" s="195">
        <f>IF(OR(A910="",C910=""),"",E910-C910)</f>
        <v/>
      </c>
      <c r="H910" s="195">
        <f>IF(A910="","",LOG10(A910))</f>
        <v/>
      </c>
      <c r="I910" s="195">
        <f>IF(B910="","",LOG10(MAX(B910,1E-12)))</f>
        <v/>
      </c>
      <c r="J910" s="195">
        <f>IF(D910="","",LOG10(MAX(D910,1E-12)))</f>
        <v/>
      </c>
      <c r="K910">
        <f>IF(A910="","",ROUND(1+(LOG10(A910)-LOG10('入力・概要'!$B$38))*('入力・概要'!$B$40-1)/(LOG10('入力・概要'!$B$39)-LOG10('入力・概要'!$B$38)),0)+3)</f>
        <v/>
      </c>
      <c r="L910">
        <f>IF(K910="","",INDEX('差動モデル'!$B:$B,K910))</f>
        <v/>
      </c>
      <c r="M910">
        <f>IF(A910="","",IF(ABS(L910/A910-1)&lt;0.01,"周波数差&lt;1%","周波数差あり"))</f>
        <v/>
      </c>
    </row>
    <row r="911">
      <c r="A911" s="197" t="n"/>
      <c r="B911" s="198" t="n"/>
      <c r="C911" s="198" t="n"/>
      <c r="D911" s="195">
        <f>IF(K911="","",INDEX('差動モデル'!$R:$R,K911))</f>
        <v/>
      </c>
      <c r="E911" s="195">
        <f>IF(K911="","",INDEX('差動モデル'!$S:$S,K911))</f>
        <v/>
      </c>
      <c r="F911" s="195">
        <f>IF(OR(A911="",B911=""),"",100*(D911-B911)/MAX(B911,1E-12))</f>
        <v/>
      </c>
      <c r="G911" s="195">
        <f>IF(OR(A911="",C911=""),"",E911-C911)</f>
        <v/>
      </c>
      <c r="H911" s="195">
        <f>IF(A911="","",LOG10(A911))</f>
        <v/>
      </c>
      <c r="I911" s="195">
        <f>IF(B911="","",LOG10(MAX(B911,1E-12)))</f>
        <v/>
      </c>
      <c r="J911" s="195">
        <f>IF(D911="","",LOG10(MAX(D911,1E-12)))</f>
        <v/>
      </c>
      <c r="K911">
        <f>IF(A911="","",ROUND(1+(LOG10(A911)-LOG10('入力・概要'!$B$38))*('入力・概要'!$B$40-1)/(LOG10('入力・概要'!$B$39)-LOG10('入力・概要'!$B$38)),0)+3)</f>
        <v/>
      </c>
      <c r="L911">
        <f>IF(K911="","",INDEX('差動モデル'!$B:$B,K911))</f>
        <v/>
      </c>
      <c r="M911">
        <f>IF(A911="","",IF(ABS(L911/A911-1)&lt;0.01,"周波数差&lt;1%","周波数差あり"))</f>
        <v/>
      </c>
    </row>
    <row r="912">
      <c r="A912" s="197" t="n"/>
      <c r="B912" s="198" t="n"/>
      <c r="C912" s="198" t="n"/>
      <c r="D912" s="195">
        <f>IF(K912="","",INDEX('差動モデル'!$R:$R,K912))</f>
        <v/>
      </c>
      <c r="E912" s="195">
        <f>IF(K912="","",INDEX('差動モデル'!$S:$S,K912))</f>
        <v/>
      </c>
      <c r="F912" s="195">
        <f>IF(OR(A912="",B912=""),"",100*(D912-B912)/MAX(B912,1E-12))</f>
        <v/>
      </c>
      <c r="G912" s="195">
        <f>IF(OR(A912="",C912=""),"",E912-C912)</f>
        <v/>
      </c>
      <c r="H912" s="195">
        <f>IF(A912="","",LOG10(A912))</f>
        <v/>
      </c>
      <c r="I912" s="195">
        <f>IF(B912="","",LOG10(MAX(B912,1E-12)))</f>
        <v/>
      </c>
      <c r="J912" s="195">
        <f>IF(D912="","",LOG10(MAX(D912,1E-12)))</f>
        <v/>
      </c>
      <c r="K912">
        <f>IF(A912="","",ROUND(1+(LOG10(A912)-LOG10('入力・概要'!$B$38))*('入力・概要'!$B$40-1)/(LOG10('入力・概要'!$B$39)-LOG10('入力・概要'!$B$38)),0)+3)</f>
        <v/>
      </c>
      <c r="L912">
        <f>IF(K912="","",INDEX('差動モデル'!$B:$B,K912))</f>
        <v/>
      </c>
      <c r="M912">
        <f>IF(A912="","",IF(ABS(L912/A912-1)&lt;0.01,"周波数差&lt;1%","周波数差あり"))</f>
        <v/>
      </c>
    </row>
    <row r="913">
      <c r="A913" s="197" t="n"/>
      <c r="B913" s="198" t="n"/>
      <c r="C913" s="198" t="n"/>
      <c r="D913" s="195">
        <f>IF(K913="","",INDEX('差動モデル'!$R:$R,K913))</f>
        <v/>
      </c>
      <c r="E913" s="195">
        <f>IF(K913="","",INDEX('差動モデル'!$S:$S,K913))</f>
        <v/>
      </c>
      <c r="F913" s="195">
        <f>IF(OR(A913="",B913=""),"",100*(D913-B913)/MAX(B913,1E-12))</f>
        <v/>
      </c>
      <c r="G913" s="195">
        <f>IF(OR(A913="",C913=""),"",E913-C913)</f>
        <v/>
      </c>
      <c r="H913" s="195">
        <f>IF(A913="","",LOG10(A913))</f>
        <v/>
      </c>
      <c r="I913" s="195">
        <f>IF(B913="","",LOG10(MAX(B913,1E-12)))</f>
        <v/>
      </c>
      <c r="J913" s="195">
        <f>IF(D913="","",LOG10(MAX(D913,1E-12)))</f>
        <v/>
      </c>
      <c r="K913">
        <f>IF(A913="","",ROUND(1+(LOG10(A913)-LOG10('入力・概要'!$B$38))*('入力・概要'!$B$40-1)/(LOG10('入力・概要'!$B$39)-LOG10('入力・概要'!$B$38)),0)+3)</f>
        <v/>
      </c>
      <c r="L913">
        <f>IF(K913="","",INDEX('差動モデル'!$B:$B,K913))</f>
        <v/>
      </c>
      <c r="M913">
        <f>IF(A913="","",IF(ABS(L913/A913-1)&lt;0.01,"周波数差&lt;1%","周波数差あり"))</f>
        <v/>
      </c>
    </row>
    <row r="914">
      <c r="A914" s="197" t="n"/>
      <c r="B914" s="198" t="n"/>
      <c r="C914" s="198" t="n"/>
      <c r="D914" s="195">
        <f>IF(K914="","",INDEX('差動モデル'!$R:$R,K914))</f>
        <v/>
      </c>
      <c r="E914" s="195">
        <f>IF(K914="","",INDEX('差動モデル'!$S:$S,K914))</f>
        <v/>
      </c>
      <c r="F914" s="195">
        <f>IF(OR(A914="",B914=""),"",100*(D914-B914)/MAX(B914,1E-12))</f>
        <v/>
      </c>
      <c r="G914" s="195">
        <f>IF(OR(A914="",C914=""),"",E914-C914)</f>
        <v/>
      </c>
      <c r="H914" s="195">
        <f>IF(A914="","",LOG10(A914))</f>
        <v/>
      </c>
      <c r="I914" s="195">
        <f>IF(B914="","",LOG10(MAX(B914,1E-12)))</f>
        <v/>
      </c>
      <c r="J914" s="195">
        <f>IF(D914="","",LOG10(MAX(D914,1E-12)))</f>
        <v/>
      </c>
      <c r="K914">
        <f>IF(A914="","",ROUND(1+(LOG10(A914)-LOG10('入力・概要'!$B$38))*('入力・概要'!$B$40-1)/(LOG10('入力・概要'!$B$39)-LOG10('入力・概要'!$B$38)),0)+3)</f>
        <v/>
      </c>
      <c r="L914">
        <f>IF(K914="","",INDEX('差動モデル'!$B:$B,K914))</f>
        <v/>
      </c>
      <c r="M914">
        <f>IF(A914="","",IF(ABS(L914/A914-1)&lt;0.01,"周波数差&lt;1%","周波数差あり"))</f>
        <v/>
      </c>
    </row>
    <row r="915">
      <c r="A915" s="197" t="n"/>
      <c r="B915" s="198" t="n"/>
      <c r="C915" s="198" t="n"/>
      <c r="D915" s="195">
        <f>IF(K915="","",INDEX('差動モデル'!$R:$R,K915))</f>
        <v/>
      </c>
      <c r="E915" s="195">
        <f>IF(K915="","",INDEX('差動モデル'!$S:$S,K915))</f>
        <v/>
      </c>
      <c r="F915" s="195">
        <f>IF(OR(A915="",B915=""),"",100*(D915-B915)/MAX(B915,1E-12))</f>
        <v/>
      </c>
      <c r="G915" s="195">
        <f>IF(OR(A915="",C915=""),"",E915-C915)</f>
        <v/>
      </c>
      <c r="H915" s="195">
        <f>IF(A915="","",LOG10(A915))</f>
        <v/>
      </c>
      <c r="I915" s="195">
        <f>IF(B915="","",LOG10(MAX(B915,1E-12)))</f>
        <v/>
      </c>
      <c r="J915" s="195">
        <f>IF(D915="","",LOG10(MAX(D915,1E-12)))</f>
        <v/>
      </c>
      <c r="K915">
        <f>IF(A915="","",ROUND(1+(LOG10(A915)-LOG10('入力・概要'!$B$38))*('入力・概要'!$B$40-1)/(LOG10('入力・概要'!$B$39)-LOG10('入力・概要'!$B$38)),0)+3)</f>
        <v/>
      </c>
      <c r="L915">
        <f>IF(K915="","",INDEX('差動モデル'!$B:$B,K915))</f>
        <v/>
      </c>
      <c r="M915">
        <f>IF(A915="","",IF(ABS(L915/A915-1)&lt;0.01,"周波数差&lt;1%","周波数差あり"))</f>
        <v/>
      </c>
    </row>
    <row r="916">
      <c r="A916" s="197" t="n"/>
      <c r="B916" s="198" t="n"/>
      <c r="C916" s="198" t="n"/>
      <c r="D916" s="195">
        <f>IF(K916="","",INDEX('差動モデル'!$R:$R,K916))</f>
        <v/>
      </c>
      <c r="E916" s="195">
        <f>IF(K916="","",INDEX('差動モデル'!$S:$S,K916))</f>
        <v/>
      </c>
      <c r="F916" s="195">
        <f>IF(OR(A916="",B916=""),"",100*(D916-B916)/MAX(B916,1E-12))</f>
        <v/>
      </c>
      <c r="G916" s="195">
        <f>IF(OR(A916="",C916=""),"",E916-C916)</f>
        <v/>
      </c>
      <c r="H916" s="195">
        <f>IF(A916="","",LOG10(A916))</f>
        <v/>
      </c>
      <c r="I916" s="195">
        <f>IF(B916="","",LOG10(MAX(B916,1E-12)))</f>
        <v/>
      </c>
      <c r="J916" s="195">
        <f>IF(D916="","",LOG10(MAX(D916,1E-12)))</f>
        <v/>
      </c>
      <c r="K916">
        <f>IF(A916="","",ROUND(1+(LOG10(A916)-LOG10('入力・概要'!$B$38))*('入力・概要'!$B$40-1)/(LOG10('入力・概要'!$B$39)-LOG10('入力・概要'!$B$38)),0)+3)</f>
        <v/>
      </c>
      <c r="L916">
        <f>IF(K916="","",INDEX('差動モデル'!$B:$B,K916))</f>
        <v/>
      </c>
      <c r="M916">
        <f>IF(A916="","",IF(ABS(L916/A916-1)&lt;0.01,"周波数差&lt;1%","周波数差あり"))</f>
        <v/>
      </c>
    </row>
    <row r="917">
      <c r="A917" s="197" t="n"/>
      <c r="B917" s="198" t="n"/>
      <c r="C917" s="198" t="n"/>
      <c r="D917" s="195">
        <f>IF(K917="","",INDEX('差動モデル'!$R:$R,K917))</f>
        <v/>
      </c>
      <c r="E917" s="195">
        <f>IF(K917="","",INDEX('差動モデル'!$S:$S,K917))</f>
        <v/>
      </c>
      <c r="F917" s="195">
        <f>IF(OR(A917="",B917=""),"",100*(D917-B917)/MAX(B917,1E-12))</f>
        <v/>
      </c>
      <c r="G917" s="195">
        <f>IF(OR(A917="",C917=""),"",E917-C917)</f>
        <v/>
      </c>
      <c r="H917" s="195">
        <f>IF(A917="","",LOG10(A917))</f>
        <v/>
      </c>
      <c r="I917" s="195">
        <f>IF(B917="","",LOG10(MAX(B917,1E-12)))</f>
        <v/>
      </c>
      <c r="J917" s="195">
        <f>IF(D917="","",LOG10(MAX(D917,1E-12)))</f>
        <v/>
      </c>
      <c r="K917">
        <f>IF(A917="","",ROUND(1+(LOG10(A917)-LOG10('入力・概要'!$B$38))*('入力・概要'!$B$40-1)/(LOG10('入力・概要'!$B$39)-LOG10('入力・概要'!$B$38)),0)+3)</f>
        <v/>
      </c>
      <c r="L917">
        <f>IF(K917="","",INDEX('差動モデル'!$B:$B,K917))</f>
        <v/>
      </c>
      <c r="M917">
        <f>IF(A917="","",IF(ABS(L917/A917-1)&lt;0.01,"周波数差&lt;1%","周波数差あり"))</f>
        <v/>
      </c>
    </row>
    <row r="918">
      <c r="A918" s="197" t="n"/>
      <c r="B918" s="198" t="n"/>
      <c r="C918" s="198" t="n"/>
      <c r="D918" s="195">
        <f>IF(K918="","",INDEX('差動モデル'!$R:$R,K918))</f>
        <v/>
      </c>
      <c r="E918" s="195">
        <f>IF(K918="","",INDEX('差動モデル'!$S:$S,K918))</f>
        <v/>
      </c>
      <c r="F918" s="195">
        <f>IF(OR(A918="",B918=""),"",100*(D918-B918)/MAX(B918,1E-12))</f>
        <v/>
      </c>
      <c r="G918" s="195">
        <f>IF(OR(A918="",C918=""),"",E918-C918)</f>
        <v/>
      </c>
      <c r="H918" s="195">
        <f>IF(A918="","",LOG10(A918))</f>
        <v/>
      </c>
      <c r="I918" s="195">
        <f>IF(B918="","",LOG10(MAX(B918,1E-12)))</f>
        <v/>
      </c>
      <c r="J918" s="195">
        <f>IF(D918="","",LOG10(MAX(D918,1E-12)))</f>
        <v/>
      </c>
      <c r="K918">
        <f>IF(A918="","",ROUND(1+(LOG10(A918)-LOG10('入力・概要'!$B$38))*('入力・概要'!$B$40-1)/(LOG10('入力・概要'!$B$39)-LOG10('入力・概要'!$B$38)),0)+3)</f>
        <v/>
      </c>
      <c r="L918">
        <f>IF(K918="","",INDEX('差動モデル'!$B:$B,K918))</f>
        <v/>
      </c>
      <c r="M918">
        <f>IF(A918="","",IF(ABS(L918/A918-1)&lt;0.01,"周波数差&lt;1%","周波数差あり"))</f>
        <v/>
      </c>
    </row>
    <row r="919">
      <c r="A919" s="197" t="n"/>
      <c r="B919" s="198" t="n"/>
      <c r="C919" s="198" t="n"/>
      <c r="D919" s="195">
        <f>IF(K919="","",INDEX('差動モデル'!$R:$R,K919))</f>
        <v/>
      </c>
      <c r="E919" s="195">
        <f>IF(K919="","",INDEX('差動モデル'!$S:$S,K919))</f>
        <v/>
      </c>
      <c r="F919" s="195">
        <f>IF(OR(A919="",B919=""),"",100*(D919-B919)/MAX(B919,1E-12))</f>
        <v/>
      </c>
      <c r="G919" s="195">
        <f>IF(OR(A919="",C919=""),"",E919-C919)</f>
        <v/>
      </c>
      <c r="H919" s="195">
        <f>IF(A919="","",LOG10(A919))</f>
        <v/>
      </c>
      <c r="I919" s="195">
        <f>IF(B919="","",LOG10(MAX(B919,1E-12)))</f>
        <v/>
      </c>
      <c r="J919" s="195">
        <f>IF(D919="","",LOG10(MAX(D919,1E-12)))</f>
        <v/>
      </c>
      <c r="K919">
        <f>IF(A919="","",ROUND(1+(LOG10(A919)-LOG10('入力・概要'!$B$38))*('入力・概要'!$B$40-1)/(LOG10('入力・概要'!$B$39)-LOG10('入力・概要'!$B$38)),0)+3)</f>
        <v/>
      </c>
      <c r="L919">
        <f>IF(K919="","",INDEX('差動モデル'!$B:$B,K919))</f>
        <v/>
      </c>
      <c r="M919">
        <f>IF(A919="","",IF(ABS(L919/A919-1)&lt;0.01,"周波数差&lt;1%","周波数差あり"))</f>
        <v/>
      </c>
    </row>
    <row r="920">
      <c r="A920" s="197" t="n"/>
      <c r="B920" s="198" t="n"/>
      <c r="C920" s="198" t="n"/>
      <c r="D920" s="195">
        <f>IF(K920="","",INDEX('差動モデル'!$R:$R,K920))</f>
        <v/>
      </c>
      <c r="E920" s="195">
        <f>IF(K920="","",INDEX('差動モデル'!$S:$S,K920))</f>
        <v/>
      </c>
      <c r="F920" s="195">
        <f>IF(OR(A920="",B920=""),"",100*(D920-B920)/MAX(B920,1E-12))</f>
        <v/>
      </c>
      <c r="G920" s="195">
        <f>IF(OR(A920="",C920=""),"",E920-C920)</f>
        <v/>
      </c>
      <c r="H920" s="195">
        <f>IF(A920="","",LOG10(A920))</f>
        <v/>
      </c>
      <c r="I920" s="195">
        <f>IF(B920="","",LOG10(MAX(B920,1E-12)))</f>
        <v/>
      </c>
      <c r="J920" s="195">
        <f>IF(D920="","",LOG10(MAX(D920,1E-12)))</f>
        <v/>
      </c>
      <c r="K920">
        <f>IF(A920="","",ROUND(1+(LOG10(A920)-LOG10('入力・概要'!$B$38))*('入力・概要'!$B$40-1)/(LOG10('入力・概要'!$B$39)-LOG10('入力・概要'!$B$38)),0)+3)</f>
        <v/>
      </c>
      <c r="L920">
        <f>IF(K920="","",INDEX('差動モデル'!$B:$B,K920))</f>
        <v/>
      </c>
      <c r="M920">
        <f>IF(A920="","",IF(ABS(L920/A920-1)&lt;0.01,"周波数差&lt;1%","周波数差あり"))</f>
        <v/>
      </c>
    </row>
    <row r="921">
      <c r="A921" s="197" t="n"/>
      <c r="B921" s="198" t="n"/>
      <c r="C921" s="198" t="n"/>
      <c r="D921" s="195">
        <f>IF(K921="","",INDEX('差動モデル'!$R:$R,K921))</f>
        <v/>
      </c>
      <c r="E921" s="195">
        <f>IF(K921="","",INDEX('差動モデル'!$S:$S,K921))</f>
        <v/>
      </c>
      <c r="F921" s="195">
        <f>IF(OR(A921="",B921=""),"",100*(D921-B921)/MAX(B921,1E-12))</f>
        <v/>
      </c>
      <c r="G921" s="195">
        <f>IF(OR(A921="",C921=""),"",E921-C921)</f>
        <v/>
      </c>
      <c r="H921" s="195">
        <f>IF(A921="","",LOG10(A921))</f>
        <v/>
      </c>
      <c r="I921" s="195">
        <f>IF(B921="","",LOG10(MAX(B921,1E-12)))</f>
        <v/>
      </c>
      <c r="J921" s="195">
        <f>IF(D921="","",LOG10(MAX(D921,1E-12)))</f>
        <v/>
      </c>
      <c r="K921">
        <f>IF(A921="","",ROUND(1+(LOG10(A921)-LOG10('入力・概要'!$B$38))*('入力・概要'!$B$40-1)/(LOG10('入力・概要'!$B$39)-LOG10('入力・概要'!$B$38)),0)+3)</f>
        <v/>
      </c>
      <c r="L921">
        <f>IF(K921="","",INDEX('差動モデル'!$B:$B,K921))</f>
        <v/>
      </c>
      <c r="M921">
        <f>IF(A921="","",IF(ABS(L921/A921-1)&lt;0.01,"周波数差&lt;1%","周波数差あり"))</f>
        <v/>
      </c>
    </row>
    <row r="922">
      <c r="A922" s="197" t="n"/>
      <c r="B922" s="198" t="n"/>
      <c r="C922" s="198" t="n"/>
      <c r="D922" s="195">
        <f>IF(K922="","",INDEX('差動モデル'!$R:$R,K922))</f>
        <v/>
      </c>
      <c r="E922" s="195">
        <f>IF(K922="","",INDEX('差動モデル'!$S:$S,K922))</f>
        <v/>
      </c>
      <c r="F922" s="195">
        <f>IF(OR(A922="",B922=""),"",100*(D922-B922)/MAX(B922,1E-12))</f>
        <v/>
      </c>
      <c r="G922" s="195">
        <f>IF(OR(A922="",C922=""),"",E922-C922)</f>
        <v/>
      </c>
      <c r="H922" s="195">
        <f>IF(A922="","",LOG10(A922))</f>
        <v/>
      </c>
      <c r="I922" s="195">
        <f>IF(B922="","",LOG10(MAX(B922,1E-12)))</f>
        <v/>
      </c>
      <c r="J922" s="195">
        <f>IF(D922="","",LOG10(MAX(D922,1E-12)))</f>
        <v/>
      </c>
      <c r="K922">
        <f>IF(A922="","",ROUND(1+(LOG10(A922)-LOG10('入力・概要'!$B$38))*('入力・概要'!$B$40-1)/(LOG10('入力・概要'!$B$39)-LOG10('入力・概要'!$B$38)),0)+3)</f>
        <v/>
      </c>
      <c r="L922">
        <f>IF(K922="","",INDEX('差動モデル'!$B:$B,K922))</f>
        <v/>
      </c>
      <c r="M922">
        <f>IF(A922="","",IF(ABS(L922/A922-1)&lt;0.01,"周波数差&lt;1%","周波数差あり"))</f>
        <v/>
      </c>
    </row>
    <row r="923">
      <c r="A923" s="197" t="n"/>
      <c r="B923" s="198" t="n"/>
      <c r="C923" s="198" t="n"/>
      <c r="D923" s="195">
        <f>IF(K923="","",INDEX('差動モデル'!$R:$R,K923))</f>
        <v/>
      </c>
      <c r="E923" s="195">
        <f>IF(K923="","",INDEX('差動モデル'!$S:$S,K923))</f>
        <v/>
      </c>
      <c r="F923" s="195">
        <f>IF(OR(A923="",B923=""),"",100*(D923-B923)/MAX(B923,1E-12))</f>
        <v/>
      </c>
      <c r="G923" s="195">
        <f>IF(OR(A923="",C923=""),"",E923-C923)</f>
        <v/>
      </c>
      <c r="H923" s="195">
        <f>IF(A923="","",LOG10(A923))</f>
        <v/>
      </c>
      <c r="I923" s="195">
        <f>IF(B923="","",LOG10(MAX(B923,1E-12)))</f>
        <v/>
      </c>
      <c r="J923" s="195">
        <f>IF(D923="","",LOG10(MAX(D923,1E-12)))</f>
        <v/>
      </c>
      <c r="K923">
        <f>IF(A923="","",ROUND(1+(LOG10(A923)-LOG10('入力・概要'!$B$38))*('入力・概要'!$B$40-1)/(LOG10('入力・概要'!$B$39)-LOG10('入力・概要'!$B$38)),0)+3)</f>
        <v/>
      </c>
      <c r="L923">
        <f>IF(K923="","",INDEX('差動モデル'!$B:$B,K923))</f>
        <v/>
      </c>
      <c r="M923">
        <f>IF(A923="","",IF(ABS(L923/A923-1)&lt;0.01,"周波数差&lt;1%","周波数差あり"))</f>
        <v/>
      </c>
    </row>
    <row r="924">
      <c r="A924" s="197" t="n"/>
      <c r="B924" s="198" t="n"/>
      <c r="C924" s="198" t="n"/>
      <c r="D924" s="195">
        <f>IF(K924="","",INDEX('差動モデル'!$R:$R,K924))</f>
        <v/>
      </c>
      <c r="E924" s="195">
        <f>IF(K924="","",INDEX('差動モデル'!$S:$S,K924))</f>
        <v/>
      </c>
      <c r="F924" s="195">
        <f>IF(OR(A924="",B924=""),"",100*(D924-B924)/MAX(B924,1E-12))</f>
        <v/>
      </c>
      <c r="G924" s="195">
        <f>IF(OR(A924="",C924=""),"",E924-C924)</f>
        <v/>
      </c>
      <c r="H924" s="195">
        <f>IF(A924="","",LOG10(A924))</f>
        <v/>
      </c>
      <c r="I924" s="195">
        <f>IF(B924="","",LOG10(MAX(B924,1E-12)))</f>
        <v/>
      </c>
      <c r="J924" s="195">
        <f>IF(D924="","",LOG10(MAX(D924,1E-12)))</f>
        <v/>
      </c>
      <c r="K924">
        <f>IF(A924="","",ROUND(1+(LOG10(A924)-LOG10('入力・概要'!$B$38))*('入力・概要'!$B$40-1)/(LOG10('入力・概要'!$B$39)-LOG10('入力・概要'!$B$38)),0)+3)</f>
        <v/>
      </c>
      <c r="L924">
        <f>IF(K924="","",INDEX('差動モデル'!$B:$B,K924))</f>
        <v/>
      </c>
      <c r="M924">
        <f>IF(A924="","",IF(ABS(L924/A924-1)&lt;0.01,"周波数差&lt;1%","周波数差あり"))</f>
        <v/>
      </c>
    </row>
    <row r="925">
      <c r="A925" s="197" t="n"/>
      <c r="B925" s="198" t="n"/>
      <c r="C925" s="198" t="n"/>
      <c r="D925" s="195">
        <f>IF(K925="","",INDEX('差動モデル'!$R:$R,K925))</f>
        <v/>
      </c>
      <c r="E925" s="195">
        <f>IF(K925="","",INDEX('差動モデル'!$S:$S,K925))</f>
        <v/>
      </c>
      <c r="F925" s="195">
        <f>IF(OR(A925="",B925=""),"",100*(D925-B925)/MAX(B925,1E-12))</f>
        <v/>
      </c>
      <c r="G925" s="195">
        <f>IF(OR(A925="",C925=""),"",E925-C925)</f>
        <v/>
      </c>
      <c r="H925" s="195">
        <f>IF(A925="","",LOG10(A925))</f>
        <v/>
      </c>
      <c r="I925" s="195">
        <f>IF(B925="","",LOG10(MAX(B925,1E-12)))</f>
        <v/>
      </c>
      <c r="J925" s="195">
        <f>IF(D925="","",LOG10(MAX(D925,1E-12)))</f>
        <v/>
      </c>
      <c r="K925">
        <f>IF(A925="","",ROUND(1+(LOG10(A925)-LOG10('入力・概要'!$B$38))*('入力・概要'!$B$40-1)/(LOG10('入力・概要'!$B$39)-LOG10('入力・概要'!$B$38)),0)+3)</f>
        <v/>
      </c>
      <c r="L925">
        <f>IF(K925="","",INDEX('差動モデル'!$B:$B,K925))</f>
        <v/>
      </c>
      <c r="M925">
        <f>IF(A925="","",IF(ABS(L925/A925-1)&lt;0.01,"周波数差&lt;1%","周波数差あり"))</f>
        <v/>
      </c>
    </row>
    <row r="926">
      <c r="A926" s="197" t="n"/>
      <c r="B926" s="198" t="n"/>
      <c r="C926" s="198" t="n"/>
      <c r="D926" s="195">
        <f>IF(K926="","",INDEX('差動モデル'!$R:$R,K926))</f>
        <v/>
      </c>
      <c r="E926" s="195">
        <f>IF(K926="","",INDEX('差動モデル'!$S:$S,K926))</f>
        <v/>
      </c>
      <c r="F926" s="195">
        <f>IF(OR(A926="",B926=""),"",100*(D926-B926)/MAX(B926,1E-12))</f>
        <v/>
      </c>
      <c r="G926" s="195">
        <f>IF(OR(A926="",C926=""),"",E926-C926)</f>
        <v/>
      </c>
      <c r="H926" s="195">
        <f>IF(A926="","",LOG10(A926))</f>
        <v/>
      </c>
      <c r="I926" s="195">
        <f>IF(B926="","",LOG10(MAX(B926,1E-12)))</f>
        <v/>
      </c>
      <c r="J926" s="195">
        <f>IF(D926="","",LOG10(MAX(D926,1E-12)))</f>
        <v/>
      </c>
      <c r="K926">
        <f>IF(A926="","",ROUND(1+(LOG10(A926)-LOG10('入力・概要'!$B$38))*('入力・概要'!$B$40-1)/(LOG10('入力・概要'!$B$39)-LOG10('入力・概要'!$B$38)),0)+3)</f>
        <v/>
      </c>
      <c r="L926">
        <f>IF(K926="","",INDEX('差動モデル'!$B:$B,K926))</f>
        <v/>
      </c>
      <c r="M926">
        <f>IF(A926="","",IF(ABS(L926/A926-1)&lt;0.01,"周波数差&lt;1%","周波数差あり"))</f>
        <v/>
      </c>
    </row>
    <row r="927">
      <c r="A927" s="197" t="n"/>
      <c r="B927" s="198" t="n"/>
      <c r="C927" s="198" t="n"/>
      <c r="D927" s="195">
        <f>IF(K927="","",INDEX('差動モデル'!$R:$R,K927))</f>
        <v/>
      </c>
      <c r="E927" s="195">
        <f>IF(K927="","",INDEX('差動モデル'!$S:$S,K927))</f>
        <v/>
      </c>
      <c r="F927" s="195">
        <f>IF(OR(A927="",B927=""),"",100*(D927-B927)/MAX(B927,1E-12))</f>
        <v/>
      </c>
      <c r="G927" s="195">
        <f>IF(OR(A927="",C927=""),"",E927-C927)</f>
        <v/>
      </c>
      <c r="H927" s="195">
        <f>IF(A927="","",LOG10(A927))</f>
        <v/>
      </c>
      <c r="I927" s="195">
        <f>IF(B927="","",LOG10(MAX(B927,1E-12)))</f>
        <v/>
      </c>
      <c r="J927" s="195">
        <f>IF(D927="","",LOG10(MAX(D927,1E-12)))</f>
        <v/>
      </c>
      <c r="K927">
        <f>IF(A927="","",ROUND(1+(LOG10(A927)-LOG10('入力・概要'!$B$38))*('入力・概要'!$B$40-1)/(LOG10('入力・概要'!$B$39)-LOG10('入力・概要'!$B$38)),0)+3)</f>
        <v/>
      </c>
      <c r="L927">
        <f>IF(K927="","",INDEX('差動モデル'!$B:$B,K927))</f>
        <v/>
      </c>
      <c r="M927">
        <f>IF(A927="","",IF(ABS(L927/A927-1)&lt;0.01,"周波数差&lt;1%","周波数差あり"))</f>
        <v/>
      </c>
    </row>
    <row r="928">
      <c r="A928" s="197" t="n"/>
      <c r="B928" s="198" t="n"/>
      <c r="C928" s="198" t="n"/>
      <c r="D928" s="195">
        <f>IF(K928="","",INDEX('差動モデル'!$R:$R,K928))</f>
        <v/>
      </c>
      <c r="E928" s="195">
        <f>IF(K928="","",INDEX('差動モデル'!$S:$S,K928))</f>
        <v/>
      </c>
      <c r="F928" s="195">
        <f>IF(OR(A928="",B928=""),"",100*(D928-B928)/MAX(B928,1E-12))</f>
        <v/>
      </c>
      <c r="G928" s="195">
        <f>IF(OR(A928="",C928=""),"",E928-C928)</f>
        <v/>
      </c>
      <c r="H928" s="195">
        <f>IF(A928="","",LOG10(A928))</f>
        <v/>
      </c>
      <c r="I928" s="195">
        <f>IF(B928="","",LOG10(MAX(B928,1E-12)))</f>
        <v/>
      </c>
      <c r="J928" s="195">
        <f>IF(D928="","",LOG10(MAX(D928,1E-12)))</f>
        <v/>
      </c>
      <c r="K928">
        <f>IF(A928="","",ROUND(1+(LOG10(A928)-LOG10('入力・概要'!$B$38))*('入力・概要'!$B$40-1)/(LOG10('入力・概要'!$B$39)-LOG10('入力・概要'!$B$38)),0)+3)</f>
        <v/>
      </c>
      <c r="L928">
        <f>IF(K928="","",INDEX('差動モデル'!$B:$B,K928))</f>
        <v/>
      </c>
      <c r="M928">
        <f>IF(A928="","",IF(ABS(L928/A928-1)&lt;0.01,"周波数差&lt;1%","周波数差あり"))</f>
        <v/>
      </c>
    </row>
    <row r="929">
      <c r="A929" s="197" t="n"/>
      <c r="B929" s="198" t="n"/>
      <c r="C929" s="198" t="n"/>
      <c r="D929" s="195">
        <f>IF(K929="","",INDEX('差動モデル'!$R:$R,K929))</f>
        <v/>
      </c>
      <c r="E929" s="195">
        <f>IF(K929="","",INDEX('差動モデル'!$S:$S,K929))</f>
        <v/>
      </c>
      <c r="F929" s="195">
        <f>IF(OR(A929="",B929=""),"",100*(D929-B929)/MAX(B929,1E-12))</f>
        <v/>
      </c>
      <c r="G929" s="195">
        <f>IF(OR(A929="",C929=""),"",E929-C929)</f>
        <v/>
      </c>
      <c r="H929" s="195">
        <f>IF(A929="","",LOG10(A929))</f>
        <v/>
      </c>
      <c r="I929" s="195">
        <f>IF(B929="","",LOG10(MAX(B929,1E-12)))</f>
        <v/>
      </c>
      <c r="J929" s="195">
        <f>IF(D929="","",LOG10(MAX(D929,1E-12)))</f>
        <v/>
      </c>
      <c r="K929">
        <f>IF(A929="","",ROUND(1+(LOG10(A929)-LOG10('入力・概要'!$B$38))*('入力・概要'!$B$40-1)/(LOG10('入力・概要'!$B$39)-LOG10('入力・概要'!$B$38)),0)+3)</f>
        <v/>
      </c>
      <c r="L929">
        <f>IF(K929="","",INDEX('差動モデル'!$B:$B,K929))</f>
        <v/>
      </c>
      <c r="M929">
        <f>IF(A929="","",IF(ABS(L929/A929-1)&lt;0.01,"周波数差&lt;1%","周波数差あり"))</f>
        <v/>
      </c>
    </row>
    <row r="930">
      <c r="A930" s="197" t="n"/>
      <c r="B930" s="198" t="n"/>
      <c r="C930" s="198" t="n"/>
      <c r="D930" s="195">
        <f>IF(K930="","",INDEX('差動モデル'!$R:$R,K930))</f>
        <v/>
      </c>
      <c r="E930" s="195">
        <f>IF(K930="","",INDEX('差動モデル'!$S:$S,K930))</f>
        <v/>
      </c>
      <c r="F930" s="195">
        <f>IF(OR(A930="",B930=""),"",100*(D930-B930)/MAX(B930,1E-12))</f>
        <v/>
      </c>
      <c r="G930" s="195">
        <f>IF(OR(A930="",C930=""),"",E930-C930)</f>
        <v/>
      </c>
      <c r="H930" s="195">
        <f>IF(A930="","",LOG10(A930))</f>
        <v/>
      </c>
      <c r="I930" s="195">
        <f>IF(B930="","",LOG10(MAX(B930,1E-12)))</f>
        <v/>
      </c>
      <c r="J930" s="195">
        <f>IF(D930="","",LOG10(MAX(D930,1E-12)))</f>
        <v/>
      </c>
      <c r="K930">
        <f>IF(A930="","",ROUND(1+(LOG10(A930)-LOG10('入力・概要'!$B$38))*('入力・概要'!$B$40-1)/(LOG10('入力・概要'!$B$39)-LOG10('入力・概要'!$B$38)),0)+3)</f>
        <v/>
      </c>
      <c r="L930">
        <f>IF(K930="","",INDEX('差動モデル'!$B:$B,K930))</f>
        <v/>
      </c>
      <c r="M930">
        <f>IF(A930="","",IF(ABS(L930/A930-1)&lt;0.01,"周波数差&lt;1%","周波数差あり"))</f>
        <v/>
      </c>
    </row>
    <row r="931">
      <c r="A931" s="197" t="n"/>
      <c r="B931" s="198" t="n"/>
      <c r="C931" s="198" t="n"/>
      <c r="D931" s="195">
        <f>IF(K931="","",INDEX('差動モデル'!$R:$R,K931))</f>
        <v/>
      </c>
      <c r="E931" s="195">
        <f>IF(K931="","",INDEX('差動モデル'!$S:$S,K931))</f>
        <v/>
      </c>
      <c r="F931" s="195">
        <f>IF(OR(A931="",B931=""),"",100*(D931-B931)/MAX(B931,1E-12))</f>
        <v/>
      </c>
      <c r="G931" s="195">
        <f>IF(OR(A931="",C931=""),"",E931-C931)</f>
        <v/>
      </c>
      <c r="H931" s="195">
        <f>IF(A931="","",LOG10(A931))</f>
        <v/>
      </c>
      <c r="I931" s="195">
        <f>IF(B931="","",LOG10(MAX(B931,1E-12)))</f>
        <v/>
      </c>
      <c r="J931" s="195">
        <f>IF(D931="","",LOG10(MAX(D931,1E-12)))</f>
        <v/>
      </c>
      <c r="K931">
        <f>IF(A931="","",ROUND(1+(LOG10(A931)-LOG10('入力・概要'!$B$38))*('入力・概要'!$B$40-1)/(LOG10('入力・概要'!$B$39)-LOG10('入力・概要'!$B$38)),0)+3)</f>
        <v/>
      </c>
      <c r="L931">
        <f>IF(K931="","",INDEX('差動モデル'!$B:$B,K931))</f>
        <v/>
      </c>
      <c r="M931">
        <f>IF(A931="","",IF(ABS(L931/A931-1)&lt;0.01,"周波数差&lt;1%","周波数差あり"))</f>
        <v/>
      </c>
    </row>
    <row r="932">
      <c r="A932" s="197" t="n"/>
      <c r="B932" s="198" t="n"/>
      <c r="C932" s="198" t="n"/>
      <c r="D932" s="195">
        <f>IF(K932="","",INDEX('差動モデル'!$R:$R,K932))</f>
        <v/>
      </c>
      <c r="E932" s="195">
        <f>IF(K932="","",INDEX('差動モデル'!$S:$S,K932))</f>
        <v/>
      </c>
      <c r="F932" s="195">
        <f>IF(OR(A932="",B932=""),"",100*(D932-B932)/MAX(B932,1E-12))</f>
        <v/>
      </c>
      <c r="G932" s="195">
        <f>IF(OR(A932="",C932=""),"",E932-C932)</f>
        <v/>
      </c>
      <c r="H932" s="195">
        <f>IF(A932="","",LOG10(A932))</f>
        <v/>
      </c>
      <c r="I932" s="195">
        <f>IF(B932="","",LOG10(MAX(B932,1E-12)))</f>
        <v/>
      </c>
      <c r="J932" s="195">
        <f>IF(D932="","",LOG10(MAX(D932,1E-12)))</f>
        <v/>
      </c>
      <c r="K932">
        <f>IF(A932="","",ROUND(1+(LOG10(A932)-LOG10('入力・概要'!$B$38))*('入力・概要'!$B$40-1)/(LOG10('入力・概要'!$B$39)-LOG10('入力・概要'!$B$38)),0)+3)</f>
        <v/>
      </c>
      <c r="L932">
        <f>IF(K932="","",INDEX('差動モデル'!$B:$B,K932))</f>
        <v/>
      </c>
      <c r="M932">
        <f>IF(A932="","",IF(ABS(L932/A932-1)&lt;0.01,"周波数差&lt;1%","周波数差あり"))</f>
        <v/>
      </c>
    </row>
    <row r="933">
      <c r="A933" s="197" t="n"/>
      <c r="B933" s="198" t="n"/>
      <c r="C933" s="198" t="n"/>
      <c r="D933" s="195">
        <f>IF(K933="","",INDEX('差動モデル'!$R:$R,K933))</f>
        <v/>
      </c>
      <c r="E933" s="195">
        <f>IF(K933="","",INDEX('差動モデル'!$S:$S,K933))</f>
        <v/>
      </c>
      <c r="F933" s="195">
        <f>IF(OR(A933="",B933=""),"",100*(D933-B933)/MAX(B933,1E-12))</f>
        <v/>
      </c>
      <c r="G933" s="195">
        <f>IF(OR(A933="",C933=""),"",E933-C933)</f>
        <v/>
      </c>
      <c r="H933" s="195">
        <f>IF(A933="","",LOG10(A933))</f>
        <v/>
      </c>
      <c r="I933" s="195">
        <f>IF(B933="","",LOG10(MAX(B933,1E-12)))</f>
        <v/>
      </c>
      <c r="J933" s="195">
        <f>IF(D933="","",LOG10(MAX(D933,1E-12)))</f>
        <v/>
      </c>
      <c r="K933">
        <f>IF(A933="","",ROUND(1+(LOG10(A933)-LOG10('入力・概要'!$B$38))*('入力・概要'!$B$40-1)/(LOG10('入力・概要'!$B$39)-LOG10('入力・概要'!$B$38)),0)+3)</f>
        <v/>
      </c>
      <c r="L933">
        <f>IF(K933="","",INDEX('差動モデル'!$B:$B,K933))</f>
        <v/>
      </c>
      <c r="M933">
        <f>IF(A933="","",IF(ABS(L933/A933-1)&lt;0.01,"周波数差&lt;1%","周波数差あり"))</f>
        <v/>
      </c>
    </row>
    <row r="934">
      <c r="A934" s="197" t="n"/>
      <c r="B934" s="198" t="n"/>
      <c r="C934" s="198" t="n"/>
      <c r="D934" s="195">
        <f>IF(K934="","",INDEX('差動モデル'!$R:$R,K934))</f>
        <v/>
      </c>
      <c r="E934" s="195">
        <f>IF(K934="","",INDEX('差動モデル'!$S:$S,K934))</f>
        <v/>
      </c>
      <c r="F934" s="195">
        <f>IF(OR(A934="",B934=""),"",100*(D934-B934)/MAX(B934,1E-12))</f>
        <v/>
      </c>
      <c r="G934" s="195">
        <f>IF(OR(A934="",C934=""),"",E934-C934)</f>
        <v/>
      </c>
      <c r="H934" s="195">
        <f>IF(A934="","",LOG10(A934))</f>
        <v/>
      </c>
      <c r="I934" s="195">
        <f>IF(B934="","",LOG10(MAX(B934,1E-12)))</f>
        <v/>
      </c>
      <c r="J934" s="195">
        <f>IF(D934="","",LOG10(MAX(D934,1E-12)))</f>
        <v/>
      </c>
      <c r="K934">
        <f>IF(A934="","",ROUND(1+(LOG10(A934)-LOG10('入力・概要'!$B$38))*('入力・概要'!$B$40-1)/(LOG10('入力・概要'!$B$39)-LOG10('入力・概要'!$B$38)),0)+3)</f>
        <v/>
      </c>
      <c r="L934">
        <f>IF(K934="","",INDEX('差動モデル'!$B:$B,K934))</f>
        <v/>
      </c>
      <c r="M934">
        <f>IF(A934="","",IF(ABS(L934/A934-1)&lt;0.01,"周波数差&lt;1%","周波数差あり"))</f>
        <v/>
      </c>
    </row>
    <row r="935">
      <c r="A935" s="197" t="n"/>
      <c r="B935" s="198" t="n"/>
      <c r="C935" s="198" t="n"/>
      <c r="D935" s="195">
        <f>IF(K935="","",INDEX('差動モデル'!$R:$R,K935))</f>
        <v/>
      </c>
      <c r="E935" s="195">
        <f>IF(K935="","",INDEX('差動モデル'!$S:$S,K935))</f>
        <v/>
      </c>
      <c r="F935" s="195">
        <f>IF(OR(A935="",B935=""),"",100*(D935-B935)/MAX(B935,1E-12))</f>
        <v/>
      </c>
      <c r="G935" s="195">
        <f>IF(OR(A935="",C935=""),"",E935-C935)</f>
        <v/>
      </c>
      <c r="H935" s="195">
        <f>IF(A935="","",LOG10(A935))</f>
        <v/>
      </c>
      <c r="I935" s="195">
        <f>IF(B935="","",LOG10(MAX(B935,1E-12)))</f>
        <v/>
      </c>
      <c r="J935" s="195">
        <f>IF(D935="","",LOG10(MAX(D935,1E-12)))</f>
        <v/>
      </c>
      <c r="K935">
        <f>IF(A935="","",ROUND(1+(LOG10(A935)-LOG10('入力・概要'!$B$38))*('入力・概要'!$B$40-1)/(LOG10('入力・概要'!$B$39)-LOG10('入力・概要'!$B$38)),0)+3)</f>
        <v/>
      </c>
      <c r="L935">
        <f>IF(K935="","",INDEX('差動モデル'!$B:$B,K935))</f>
        <v/>
      </c>
      <c r="M935">
        <f>IF(A935="","",IF(ABS(L935/A935-1)&lt;0.01,"周波数差&lt;1%","周波数差あり"))</f>
        <v/>
      </c>
    </row>
    <row r="936">
      <c r="A936" s="197" t="n"/>
      <c r="B936" s="198" t="n"/>
      <c r="C936" s="198" t="n"/>
      <c r="D936" s="195">
        <f>IF(K936="","",INDEX('差動モデル'!$R:$R,K936))</f>
        <v/>
      </c>
      <c r="E936" s="195">
        <f>IF(K936="","",INDEX('差動モデル'!$S:$S,K936))</f>
        <v/>
      </c>
      <c r="F936" s="195">
        <f>IF(OR(A936="",B936=""),"",100*(D936-B936)/MAX(B936,1E-12))</f>
        <v/>
      </c>
      <c r="G936" s="195">
        <f>IF(OR(A936="",C936=""),"",E936-C936)</f>
        <v/>
      </c>
      <c r="H936" s="195">
        <f>IF(A936="","",LOG10(A936))</f>
        <v/>
      </c>
      <c r="I936" s="195">
        <f>IF(B936="","",LOG10(MAX(B936,1E-12)))</f>
        <v/>
      </c>
      <c r="J936" s="195">
        <f>IF(D936="","",LOG10(MAX(D936,1E-12)))</f>
        <v/>
      </c>
      <c r="K936">
        <f>IF(A936="","",ROUND(1+(LOG10(A936)-LOG10('入力・概要'!$B$38))*('入力・概要'!$B$40-1)/(LOG10('入力・概要'!$B$39)-LOG10('入力・概要'!$B$38)),0)+3)</f>
        <v/>
      </c>
      <c r="L936">
        <f>IF(K936="","",INDEX('差動モデル'!$B:$B,K936))</f>
        <v/>
      </c>
      <c r="M936">
        <f>IF(A936="","",IF(ABS(L936/A936-1)&lt;0.01,"周波数差&lt;1%","周波数差あり"))</f>
        <v/>
      </c>
    </row>
    <row r="937">
      <c r="A937" s="197" t="n"/>
      <c r="B937" s="198" t="n"/>
      <c r="C937" s="198" t="n"/>
      <c r="D937" s="195">
        <f>IF(K937="","",INDEX('差動モデル'!$R:$R,K937))</f>
        <v/>
      </c>
      <c r="E937" s="195">
        <f>IF(K937="","",INDEX('差動モデル'!$S:$S,K937))</f>
        <v/>
      </c>
      <c r="F937" s="195">
        <f>IF(OR(A937="",B937=""),"",100*(D937-B937)/MAX(B937,1E-12))</f>
        <v/>
      </c>
      <c r="G937" s="195">
        <f>IF(OR(A937="",C937=""),"",E937-C937)</f>
        <v/>
      </c>
      <c r="H937" s="195">
        <f>IF(A937="","",LOG10(A937))</f>
        <v/>
      </c>
      <c r="I937" s="195">
        <f>IF(B937="","",LOG10(MAX(B937,1E-12)))</f>
        <v/>
      </c>
      <c r="J937" s="195">
        <f>IF(D937="","",LOG10(MAX(D937,1E-12)))</f>
        <v/>
      </c>
      <c r="K937">
        <f>IF(A937="","",ROUND(1+(LOG10(A937)-LOG10('入力・概要'!$B$38))*('入力・概要'!$B$40-1)/(LOG10('入力・概要'!$B$39)-LOG10('入力・概要'!$B$38)),0)+3)</f>
        <v/>
      </c>
      <c r="L937">
        <f>IF(K937="","",INDEX('差動モデル'!$B:$B,K937))</f>
        <v/>
      </c>
      <c r="M937">
        <f>IF(A937="","",IF(ABS(L937/A937-1)&lt;0.01,"周波数差&lt;1%","周波数差あり"))</f>
        <v/>
      </c>
    </row>
    <row r="938">
      <c r="A938" s="197" t="n"/>
      <c r="B938" s="198" t="n"/>
      <c r="C938" s="198" t="n"/>
      <c r="D938" s="195">
        <f>IF(K938="","",INDEX('差動モデル'!$R:$R,K938))</f>
        <v/>
      </c>
      <c r="E938" s="195">
        <f>IF(K938="","",INDEX('差動モデル'!$S:$S,K938))</f>
        <v/>
      </c>
      <c r="F938" s="195">
        <f>IF(OR(A938="",B938=""),"",100*(D938-B938)/MAX(B938,1E-12))</f>
        <v/>
      </c>
      <c r="G938" s="195">
        <f>IF(OR(A938="",C938=""),"",E938-C938)</f>
        <v/>
      </c>
      <c r="H938" s="195">
        <f>IF(A938="","",LOG10(A938))</f>
        <v/>
      </c>
      <c r="I938" s="195">
        <f>IF(B938="","",LOG10(MAX(B938,1E-12)))</f>
        <v/>
      </c>
      <c r="J938" s="195">
        <f>IF(D938="","",LOG10(MAX(D938,1E-12)))</f>
        <v/>
      </c>
      <c r="K938">
        <f>IF(A938="","",ROUND(1+(LOG10(A938)-LOG10('入力・概要'!$B$38))*('入力・概要'!$B$40-1)/(LOG10('入力・概要'!$B$39)-LOG10('入力・概要'!$B$38)),0)+3)</f>
        <v/>
      </c>
      <c r="L938">
        <f>IF(K938="","",INDEX('差動モデル'!$B:$B,K938))</f>
        <v/>
      </c>
      <c r="M938">
        <f>IF(A938="","",IF(ABS(L938/A938-1)&lt;0.01,"周波数差&lt;1%","周波数差あり"))</f>
        <v/>
      </c>
    </row>
    <row r="939">
      <c r="A939" s="197" t="n"/>
      <c r="B939" s="198" t="n"/>
      <c r="C939" s="198" t="n"/>
      <c r="D939" s="195">
        <f>IF(K939="","",INDEX('差動モデル'!$R:$R,K939))</f>
        <v/>
      </c>
      <c r="E939" s="195">
        <f>IF(K939="","",INDEX('差動モデル'!$S:$S,K939))</f>
        <v/>
      </c>
      <c r="F939" s="195">
        <f>IF(OR(A939="",B939=""),"",100*(D939-B939)/MAX(B939,1E-12))</f>
        <v/>
      </c>
      <c r="G939" s="195">
        <f>IF(OR(A939="",C939=""),"",E939-C939)</f>
        <v/>
      </c>
      <c r="H939" s="195">
        <f>IF(A939="","",LOG10(A939))</f>
        <v/>
      </c>
      <c r="I939" s="195">
        <f>IF(B939="","",LOG10(MAX(B939,1E-12)))</f>
        <v/>
      </c>
      <c r="J939" s="195">
        <f>IF(D939="","",LOG10(MAX(D939,1E-12)))</f>
        <v/>
      </c>
      <c r="K939">
        <f>IF(A939="","",ROUND(1+(LOG10(A939)-LOG10('入力・概要'!$B$38))*('入力・概要'!$B$40-1)/(LOG10('入力・概要'!$B$39)-LOG10('入力・概要'!$B$38)),0)+3)</f>
        <v/>
      </c>
      <c r="L939">
        <f>IF(K939="","",INDEX('差動モデル'!$B:$B,K939))</f>
        <v/>
      </c>
      <c r="M939">
        <f>IF(A939="","",IF(ABS(L939/A939-1)&lt;0.01,"周波数差&lt;1%","周波数差あり"))</f>
        <v/>
      </c>
    </row>
    <row r="940">
      <c r="A940" s="197" t="n"/>
      <c r="B940" s="198" t="n"/>
      <c r="C940" s="198" t="n"/>
      <c r="D940" s="195">
        <f>IF(K940="","",INDEX('差動モデル'!$R:$R,K940))</f>
        <v/>
      </c>
      <c r="E940" s="195">
        <f>IF(K940="","",INDEX('差動モデル'!$S:$S,K940))</f>
        <v/>
      </c>
      <c r="F940" s="195">
        <f>IF(OR(A940="",B940=""),"",100*(D940-B940)/MAX(B940,1E-12))</f>
        <v/>
      </c>
      <c r="G940" s="195">
        <f>IF(OR(A940="",C940=""),"",E940-C940)</f>
        <v/>
      </c>
      <c r="H940" s="195">
        <f>IF(A940="","",LOG10(A940))</f>
        <v/>
      </c>
      <c r="I940" s="195">
        <f>IF(B940="","",LOG10(MAX(B940,1E-12)))</f>
        <v/>
      </c>
      <c r="J940" s="195">
        <f>IF(D940="","",LOG10(MAX(D940,1E-12)))</f>
        <v/>
      </c>
      <c r="K940">
        <f>IF(A940="","",ROUND(1+(LOG10(A940)-LOG10('入力・概要'!$B$38))*('入力・概要'!$B$40-1)/(LOG10('入力・概要'!$B$39)-LOG10('入力・概要'!$B$38)),0)+3)</f>
        <v/>
      </c>
      <c r="L940">
        <f>IF(K940="","",INDEX('差動モデル'!$B:$B,K940))</f>
        <v/>
      </c>
      <c r="M940">
        <f>IF(A940="","",IF(ABS(L940/A940-1)&lt;0.01,"周波数差&lt;1%","周波数差あり"))</f>
        <v/>
      </c>
    </row>
    <row r="941">
      <c r="A941" s="197" t="n"/>
      <c r="B941" s="198" t="n"/>
      <c r="C941" s="198" t="n"/>
      <c r="D941" s="195">
        <f>IF(K941="","",INDEX('差動モデル'!$R:$R,K941))</f>
        <v/>
      </c>
      <c r="E941" s="195">
        <f>IF(K941="","",INDEX('差動モデル'!$S:$S,K941))</f>
        <v/>
      </c>
      <c r="F941" s="195">
        <f>IF(OR(A941="",B941=""),"",100*(D941-B941)/MAX(B941,1E-12))</f>
        <v/>
      </c>
      <c r="G941" s="195">
        <f>IF(OR(A941="",C941=""),"",E941-C941)</f>
        <v/>
      </c>
      <c r="H941" s="195">
        <f>IF(A941="","",LOG10(A941))</f>
        <v/>
      </c>
      <c r="I941" s="195">
        <f>IF(B941="","",LOG10(MAX(B941,1E-12)))</f>
        <v/>
      </c>
      <c r="J941" s="195">
        <f>IF(D941="","",LOG10(MAX(D941,1E-12)))</f>
        <v/>
      </c>
      <c r="K941">
        <f>IF(A941="","",ROUND(1+(LOG10(A941)-LOG10('入力・概要'!$B$38))*('入力・概要'!$B$40-1)/(LOG10('入力・概要'!$B$39)-LOG10('入力・概要'!$B$38)),0)+3)</f>
        <v/>
      </c>
      <c r="L941">
        <f>IF(K941="","",INDEX('差動モデル'!$B:$B,K941))</f>
        <v/>
      </c>
      <c r="M941">
        <f>IF(A941="","",IF(ABS(L941/A941-1)&lt;0.01,"周波数差&lt;1%","周波数差あり"))</f>
        <v/>
      </c>
    </row>
    <row r="942">
      <c r="A942" s="197" t="n"/>
      <c r="B942" s="198" t="n"/>
      <c r="C942" s="198" t="n"/>
      <c r="D942" s="195">
        <f>IF(K942="","",INDEX('差動モデル'!$R:$R,K942))</f>
        <v/>
      </c>
      <c r="E942" s="195">
        <f>IF(K942="","",INDEX('差動モデル'!$S:$S,K942))</f>
        <v/>
      </c>
      <c r="F942" s="195">
        <f>IF(OR(A942="",B942=""),"",100*(D942-B942)/MAX(B942,1E-12))</f>
        <v/>
      </c>
      <c r="G942" s="195">
        <f>IF(OR(A942="",C942=""),"",E942-C942)</f>
        <v/>
      </c>
      <c r="H942" s="195">
        <f>IF(A942="","",LOG10(A942))</f>
        <v/>
      </c>
      <c r="I942" s="195">
        <f>IF(B942="","",LOG10(MAX(B942,1E-12)))</f>
        <v/>
      </c>
      <c r="J942" s="195">
        <f>IF(D942="","",LOG10(MAX(D942,1E-12)))</f>
        <v/>
      </c>
      <c r="K942">
        <f>IF(A942="","",ROUND(1+(LOG10(A942)-LOG10('入力・概要'!$B$38))*('入力・概要'!$B$40-1)/(LOG10('入力・概要'!$B$39)-LOG10('入力・概要'!$B$38)),0)+3)</f>
        <v/>
      </c>
      <c r="L942">
        <f>IF(K942="","",INDEX('差動モデル'!$B:$B,K942))</f>
        <v/>
      </c>
      <c r="M942">
        <f>IF(A942="","",IF(ABS(L942/A942-1)&lt;0.01,"周波数差&lt;1%","周波数差あり"))</f>
        <v/>
      </c>
    </row>
    <row r="943">
      <c r="A943" s="197" t="n"/>
      <c r="B943" s="198" t="n"/>
      <c r="C943" s="198" t="n"/>
      <c r="D943" s="195">
        <f>IF(K943="","",INDEX('差動モデル'!$R:$R,K943))</f>
        <v/>
      </c>
      <c r="E943" s="195">
        <f>IF(K943="","",INDEX('差動モデル'!$S:$S,K943))</f>
        <v/>
      </c>
      <c r="F943" s="195">
        <f>IF(OR(A943="",B943=""),"",100*(D943-B943)/MAX(B943,1E-12))</f>
        <v/>
      </c>
      <c r="G943" s="195">
        <f>IF(OR(A943="",C943=""),"",E943-C943)</f>
        <v/>
      </c>
      <c r="H943" s="195">
        <f>IF(A943="","",LOG10(A943))</f>
        <v/>
      </c>
      <c r="I943" s="195">
        <f>IF(B943="","",LOG10(MAX(B943,1E-12)))</f>
        <v/>
      </c>
      <c r="J943" s="195">
        <f>IF(D943="","",LOG10(MAX(D943,1E-12)))</f>
        <v/>
      </c>
      <c r="K943">
        <f>IF(A943="","",ROUND(1+(LOG10(A943)-LOG10('入力・概要'!$B$38))*('入力・概要'!$B$40-1)/(LOG10('入力・概要'!$B$39)-LOG10('入力・概要'!$B$38)),0)+3)</f>
        <v/>
      </c>
      <c r="L943">
        <f>IF(K943="","",INDEX('差動モデル'!$B:$B,K943))</f>
        <v/>
      </c>
      <c r="M943">
        <f>IF(A943="","",IF(ABS(L943/A943-1)&lt;0.01,"周波数差&lt;1%","周波数差あり"))</f>
        <v/>
      </c>
    </row>
    <row r="944">
      <c r="A944" s="197" t="n"/>
      <c r="B944" s="198" t="n"/>
      <c r="C944" s="198" t="n"/>
      <c r="D944" s="195">
        <f>IF(K944="","",INDEX('差動モデル'!$R:$R,K944))</f>
        <v/>
      </c>
      <c r="E944" s="195">
        <f>IF(K944="","",INDEX('差動モデル'!$S:$S,K944))</f>
        <v/>
      </c>
      <c r="F944" s="195">
        <f>IF(OR(A944="",B944=""),"",100*(D944-B944)/MAX(B944,1E-12))</f>
        <v/>
      </c>
      <c r="G944" s="195">
        <f>IF(OR(A944="",C944=""),"",E944-C944)</f>
        <v/>
      </c>
      <c r="H944" s="195">
        <f>IF(A944="","",LOG10(A944))</f>
        <v/>
      </c>
      <c r="I944" s="195">
        <f>IF(B944="","",LOG10(MAX(B944,1E-12)))</f>
        <v/>
      </c>
      <c r="J944" s="195">
        <f>IF(D944="","",LOG10(MAX(D944,1E-12)))</f>
        <v/>
      </c>
      <c r="K944">
        <f>IF(A944="","",ROUND(1+(LOG10(A944)-LOG10('入力・概要'!$B$38))*('入力・概要'!$B$40-1)/(LOG10('入力・概要'!$B$39)-LOG10('入力・概要'!$B$38)),0)+3)</f>
        <v/>
      </c>
      <c r="L944">
        <f>IF(K944="","",INDEX('差動モデル'!$B:$B,K944))</f>
        <v/>
      </c>
      <c r="M944">
        <f>IF(A944="","",IF(ABS(L944/A944-1)&lt;0.01,"周波数差&lt;1%","周波数差あり"))</f>
        <v/>
      </c>
    </row>
    <row r="945">
      <c r="A945" s="197" t="n"/>
      <c r="B945" s="198" t="n"/>
      <c r="C945" s="198" t="n"/>
      <c r="D945" s="195">
        <f>IF(K945="","",INDEX('差動モデル'!$R:$R,K945))</f>
        <v/>
      </c>
      <c r="E945" s="195">
        <f>IF(K945="","",INDEX('差動モデル'!$S:$S,K945))</f>
        <v/>
      </c>
      <c r="F945" s="195">
        <f>IF(OR(A945="",B945=""),"",100*(D945-B945)/MAX(B945,1E-12))</f>
        <v/>
      </c>
      <c r="G945" s="195">
        <f>IF(OR(A945="",C945=""),"",E945-C945)</f>
        <v/>
      </c>
      <c r="H945" s="195">
        <f>IF(A945="","",LOG10(A945))</f>
        <v/>
      </c>
      <c r="I945" s="195">
        <f>IF(B945="","",LOG10(MAX(B945,1E-12)))</f>
        <v/>
      </c>
      <c r="J945" s="195">
        <f>IF(D945="","",LOG10(MAX(D945,1E-12)))</f>
        <v/>
      </c>
      <c r="K945">
        <f>IF(A945="","",ROUND(1+(LOG10(A945)-LOG10('入力・概要'!$B$38))*('入力・概要'!$B$40-1)/(LOG10('入力・概要'!$B$39)-LOG10('入力・概要'!$B$38)),0)+3)</f>
        <v/>
      </c>
      <c r="L945">
        <f>IF(K945="","",INDEX('差動モデル'!$B:$B,K945))</f>
        <v/>
      </c>
      <c r="M945">
        <f>IF(A945="","",IF(ABS(L945/A945-1)&lt;0.01,"周波数差&lt;1%","周波数差あり"))</f>
        <v/>
      </c>
    </row>
    <row r="946">
      <c r="A946" s="197" t="n"/>
      <c r="B946" s="198" t="n"/>
      <c r="C946" s="198" t="n"/>
      <c r="D946" s="195">
        <f>IF(K946="","",INDEX('差動モデル'!$R:$R,K946))</f>
        <v/>
      </c>
      <c r="E946" s="195">
        <f>IF(K946="","",INDEX('差動モデル'!$S:$S,K946))</f>
        <v/>
      </c>
      <c r="F946" s="195">
        <f>IF(OR(A946="",B946=""),"",100*(D946-B946)/MAX(B946,1E-12))</f>
        <v/>
      </c>
      <c r="G946" s="195">
        <f>IF(OR(A946="",C946=""),"",E946-C946)</f>
        <v/>
      </c>
      <c r="H946" s="195">
        <f>IF(A946="","",LOG10(A946))</f>
        <v/>
      </c>
      <c r="I946" s="195">
        <f>IF(B946="","",LOG10(MAX(B946,1E-12)))</f>
        <v/>
      </c>
      <c r="J946" s="195">
        <f>IF(D946="","",LOG10(MAX(D946,1E-12)))</f>
        <v/>
      </c>
      <c r="K946">
        <f>IF(A946="","",ROUND(1+(LOG10(A946)-LOG10('入力・概要'!$B$38))*('入力・概要'!$B$40-1)/(LOG10('入力・概要'!$B$39)-LOG10('入力・概要'!$B$38)),0)+3)</f>
        <v/>
      </c>
      <c r="L946">
        <f>IF(K946="","",INDEX('差動モデル'!$B:$B,K946))</f>
        <v/>
      </c>
      <c r="M946">
        <f>IF(A946="","",IF(ABS(L946/A946-1)&lt;0.01,"周波数差&lt;1%","周波数差あり"))</f>
        <v/>
      </c>
    </row>
    <row r="947">
      <c r="A947" s="197" t="n"/>
      <c r="B947" s="198" t="n"/>
      <c r="C947" s="198" t="n"/>
      <c r="D947" s="195">
        <f>IF(K947="","",INDEX('差動モデル'!$R:$R,K947))</f>
        <v/>
      </c>
      <c r="E947" s="195">
        <f>IF(K947="","",INDEX('差動モデル'!$S:$S,K947))</f>
        <v/>
      </c>
      <c r="F947" s="195">
        <f>IF(OR(A947="",B947=""),"",100*(D947-B947)/MAX(B947,1E-12))</f>
        <v/>
      </c>
      <c r="G947" s="195">
        <f>IF(OR(A947="",C947=""),"",E947-C947)</f>
        <v/>
      </c>
      <c r="H947" s="195">
        <f>IF(A947="","",LOG10(A947))</f>
        <v/>
      </c>
      <c r="I947" s="195">
        <f>IF(B947="","",LOG10(MAX(B947,1E-12)))</f>
        <v/>
      </c>
      <c r="J947" s="195">
        <f>IF(D947="","",LOG10(MAX(D947,1E-12)))</f>
        <v/>
      </c>
      <c r="K947">
        <f>IF(A947="","",ROUND(1+(LOG10(A947)-LOG10('入力・概要'!$B$38))*('入力・概要'!$B$40-1)/(LOG10('入力・概要'!$B$39)-LOG10('入力・概要'!$B$38)),0)+3)</f>
        <v/>
      </c>
      <c r="L947">
        <f>IF(K947="","",INDEX('差動モデル'!$B:$B,K947))</f>
        <v/>
      </c>
      <c r="M947">
        <f>IF(A947="","",IF(ABS(L947/A947-1)&lt;0.01,"周波数差&lt;1%","周波数差あり"))</f>
        <v/>
      </c>
    </row>
    <row r="948">
      <c r="A948" s="197" t="n"/>
      <c r="B948" s="198" t="n"/>
      <c r="C948" s="198" t="n"/>
      <c r="D948" s="195">
        <f>IF(K948="","",INDEX('差動モデル'!$R:$R,K948))</f>
        <v/>
      </c>
      <c r="E948" s="195">
        <f>IF(K948="","",INDEX('差動モデル'!$S:$S,K948))</f>
        <v/>
      </c>
      <c r="F948" s="195">
        <f>IF(OR(A948="",B948=""),"",100*(D948-B948)/MAX(B948,1E-12))</f>
        <v/>
      </c>
      <c r="G948" s="195">
        <f>IF(OR(A948="",C948=""),"",E948-C948)</f>
        <v/>
      </c>
      <c r="H948" s="195">
        <f>IF(A948="","",LOG10(A948))</f>
        <v/>
      </c>
      <c r="I948" s="195">
        <f>IF(B948="","",LOG10(MAX(B948,1E-12)))</f>
        <v/>
      </c>
      <c r="J948" s="195">
        <f>IF(D948="","",LOG10(MAX(D948,1E-12)))</f>
        <v/>
      </c>
      <c r="K948">
        <f>IF(A948="","",ROUND(1+(LOG10(A948)-LOG10('入力・概要'!$B$38))*('入力・概要'!$B$40-1)/(LOG10('入力・概要'!$B$39)-LOG10('入力・概要'!$B$38)),0)+3)</f>
        <v/>
      </c>
      <c r="L948">
        <f>IF(K948="","",INDEX('差動モデル'!$B:$B,K948))</f>
        <v/>
      </c>
      <c r="M948">
        <f>IF(A948="","",IF(ABS(L948/A948-1)&lt;0.01,"周波数差&lt;1%","周波数差あり"))</f>
        <v/>
      </c>
    </row>
    <row r="949">
      <c r="A949" s="197" t="n"/>
      <c r="B949" s="198" t="n"/>
      <c r="C949" s="198" t="n"/>
      <c r="D949" s="195">
        <f>IF(K949="","",INDEX('差動モデル'!$R:$R,K949))</f>
        <v/>
      </c>
      <c r="E949" s="195">
        <f>IF(K949="","",INDEX('差動モデル'!$S:$S,K949))</f>
        <v/>
      </c>
      <c r="F949" s="195">
        <f>IF(OR(A949="",B949=""),"",100*(D949-B949)/MAX(B949,1E-12))</f>
        <v/>
      </c>
      <c r="G949" s="195">
        <f>IF(OR(A949="",C949=""),"",E949-C949)</f>
        <v/>
      </c>
      <c r="H949" s="195">
        <f>IF(A949="","",LOG10(A949))</f>
        <v/>
      </c>
      <c r="I949" s="195">
        <f>IF(B949="","",LOG10(MAX(B949,1E-12)))</f>
        <v/>
      </c>
      <c r="J949" s="195">
        <f>IF(D949="","",LOG10(MAX(D949,1E-12)))</f>
        <v/>
      </c>
      <c r="K949">
        <f>IF(A949="","",ROUND(1+(LOG10(A949)-LOG10('入力・概要'!$B$38))*('入力・概要'!$B$40-1)/(LOG10('入力・概要'!$B$39)-LOG10('入力・概要'!$B$38)),0)+3)</f>
        <v/>
      </c>
      <c r="L949">
        <f>IF(K949="","",INDEX('差動モデル'!$B:$B,K949))</f>
        <v/>
      </c>
      <c r="M949">
        <f>IF(A949="","",IF(ABS(L949/A949-1)&lt;0.01,"周波数差&lt;1%","周波数差あり"))</f>
        <v/>
      </c>
    </row>
    <row r="950">
      <c r="A950" s="197" t="n"/>
      <c r="B950" s="198" t="n"/>
      <c r="C950" s="198" t="n"/>
      <c r="D950" s="195">
        <f>IF(K950="","",INDEX('差動モデル'!$R:$R,K950))</f>
        <v/>
      </c>
      <c r="E950" s="195">
        <f>IF(K950="","",INDEX('差動モデル'!$S:$S,K950))</f>
        <v/>
      </c>
      <c r="F950" s="195">
        <f>IF(OR(A950="",B950=""),"",100*(D950-B950)/MAX(B950,1E-12))</f>
        <v/>
      </c>
      <c r="G950" s="195">
        <f>IF(OR(A950="",C950=""),"",E950-C950)</f>
        <v/>
      </c>
      <c r="H950" s="195">
        <f>IF(A950="","",LOG10(A950))</f>
        <v/>
      </c>
      <c r="I950" s="195">
        <f>IF(B950="","",LOG10(MAX(B950,1E-12)))</f>
        <v/>
      </c>
      <c r="J950" s="195">
        <f>IF(D950="","",LOG10(MAX(D950,1E-12)))</f>
        <v/>
      </c>
      <c r="K950">
        <f>IF(A950="","",ROUND(1+(LOG10(A950)-LOG10('入力・概要'!$B$38))*('入力・概要'!$B$40-1)/(LOG10('入力・概要'!$B$39)-LOG10('入力・概要'!$B$38)),0)+3)</f>
        <v/>
      </c>
      <c r="L950">
        <f>IF(K950="","",INDEX('差動モデル'!$B:$B,K950))</f>
        <v/>
      </c>
      <c r="M950">
        <f>IF(A950="","",IF(ABS(L950/A950-1)&lt;0.01,"周波数差&lt;1%","周波数差あり"))</f>
        <v/>
      </c>
    </row>
    <row r="951">
      <c r="A951" s="197" t="n"/>
      <c r="B951" s="198" t="n"/>
      <c r="C951" s="198" t="n"/>
      <c r="D951" s="195">
        <f>IF(K951="","",INDEX('差動モデル'!$R:$R,K951))</f>
        <v/>
      </c>
      <c r="E951" s="195">
        <f>IF(K951="","",INDEX('差動モデル'!$S:$S,K951))</f>
        <v/>
      </c>
      <c r="F951" s="195">
        <f>IF(OR(A951="",B951=""),"",100*(D951-B951)/MAX(B951,1E-12))</f>
        <v/>
      </c>
      <c r="G951" s="195">
        <f>IF(OR(A951="",C951=""),"",E951-C951)</f>
        <v/>
      </c>
      <c r="H951" s="195">
        <f>IF(A951="","",LOG10(A951))</f>
        <v/>
      </c>
      <c r="I951" s="195">
        <f>IF(B951="","",LOG10(MAX(B951,1E-12)))</f>
        <v/>
      </c>
      <c r="J951" s="195">
        <f>IF(D951="","",LOG10(MAX(D951,1E-12)))</f>
        <v/>
      </c>
      <c r="K951">
        <f>IF(A951="","",ROUND(1+(LOG10(A951)-LOG10('入力・概要'!$B$38))*('入力・概要'!$B$40-1)/(LOG10('入力・概要'!$B$39)-LOG10('入力・概要'!$B$38)),0)+3)</f>
        <v/>
      </c>
      <c r="L951">
        <f>IF(K951="","",INDEX('差動モデル'!$B:$B,K951))</f>
        <v/>
      </c>
      <c r="M951">
        <f>IF(A951="","",IF(ABS(L951/A951-1)&lt;0.01,"周波数差&lt;1%","周波数差あり"))</f>
        <v/>
      </c>
    </row>
    <row r="952">
      <c r="A952" s="197" t="n"/>
      <c r="B952" s="198" t="n"/>
      <c r="C952" s="198" t="n"/>
      <c r="D952" s="195">
        <f>IF(K952="","",INDEX('差動モデル'!$R:$R,K952))</f>
        <v/>
      </c>
      <c r="E952" s="195">
        <f>IF(K952="","",INDEX('差動モデル'!$S:$S,K952))</f>
        <v/>
      </c>
      <c r="F952" s="195">
        <f>IF(OR(A952="",B952=""),"",100*(D952-B952)/MAX(B952,1E-12))</f>
        <v/>
      </c>
      <c r="G952" s="195">
        <f>IF(OR(A952="",C952=""),"",E952-C952)</f>
        <v/>
      </c>
      <c r="H952" s="195">
        <f>IF(A952="","",LOG10(A952))</f>
        <v/>
      </c>
      <c r="I952" s="195">
        <f>IF(B952="","",LOG10(MAX(B952,1E-12)))</f>
        <v/>
      </c>
      <c r="J952" s="195">
        <f>IF(D952="","",LOG10(MAX(D952,1E-12)))</f>
        <v/>
      </c>
      <c r="K952">
        <f>IF(A952="","",ROUND(1+(LOG10(A952)-LOG10('入力・概要'!$B$38))*('入力・概要'!$B$40-1)/(LOG10('入力・概要'!$B$39)-LOG10('入力・概要'!$B$38)),0)+3)</f>
        <v/>
      </c>
      <c r="L952">
        <f>IF(K952="","",INDEX('差動モデル'!$B:$B,K952))</f>
        <v/>
      </c>
      <c r="M952">
        <f>IF(A952="","",IF(ABS(L952/A952-1)&lt;0.01,"周波数差&lt;1%","周波数差あり"))</f>
        <v/>
      </c>
    </row>
    <row r="953">
      <c r="A953" s="197" t="n"/>
      <c r="B953" s="198" t="n"/>
      <c r="C953" s="198" t="n"/>
      <c r="D953" s="195">
        <f>IF(K953="","",INDEX('差動モデル'!$R:$R,K953))</f>
        <v/>
      </c>
      <c r="E953" s="195">
        <f>IF(K953="","",INDEX('差動モデル'!$S:$S,K953))</f>
        <v/>
      </c>
      <c r="F953" s="195">
        <f>IF(OR(A953="",B953=""),"",100*(D953-B953)/MAX(B953,1E-12))</f>
        <v/>
      </c>
      <c r="G953" s="195">
        <f>IF(OR(A953="",C953=""),"",E953-C953)</f>
        <v/>
      </c>
      <c r="H953" s="195">
        <f>IF(A953="","",LOG10(A953))</f>
        <v/>
      </c>
      <c r="I953" s="195">
        <f>IF(B953="","",LOG10(MAX(B953,1E-12)))</f>
        <v/>
      </c>
      <c r="J953" s="195">
        <f>IF(D953="","",LOG10(MAX(D953,1E-12)))</f>
        <v/>
      </c>
      <c r="K953">
        <f>IF(A953="","",ROUND(1+(LOG10(A953)-LOG10('入力・概要'!$B$38))*('入力・概要'!$B$40-1)/(LOG10('入力・概要'!$B$39)-LOG10('入力・概要'!$B$38)),0)+3)</f>
        <v/>
      </c>
      <c r="L953">
        <f>IF(K953="","",INDEX('差動モデル'!$B:$B,K953))</f>
        <v/>
      </c>
      <c r="M953">
        <f>IF(A953="","",IF(ABS(L953/A953-1)&lt;0.01,"周波数差&lt;1%","周波数差あり"))</f>
        <v/>
      </c>
    </row>
    <row r="954">
      <c r="A954" s="197" t="n"/>
      <c r="B954" s="198" t="n"/>
      <c r="C954" s="198" t="n"/>
      <c r="D954" s="195">
        <f>IF(K954="","",INDEX('差動モデル'!$R:$R,K954))</f>
        <v/>
      </c>
      <c r="E954" s="195">
        <f>IF(K954="","",INDEX('差動モデル'!$S:$S,K954))</f>
        <v/>
      </c>
      <c r="F954" s="195">
        <f>IF(OR(A954="",B954=""),"",100*(D954-B954)/MAX(B954,1E-12))</f>
        <v/>
      </c>
      <c r="G954" s="195">
        <f>IF(OR(A954="",C954=""),"",E954-C954)</f>
        <v/>
      </c>
      <c r="H954" s="195">
        <f>IF(A954="","",LOG10(A954))</f>
        <v/>
      </c>
      <c r="I954" s="195">
        <f>IF(B954="","",LOG10(MAX(B954,1E-12)))</f>
        <v/>
      </c>
      <c r="J954" s="195">
        <f>IF(D954="","",LOG10(MAX(D954,1E-12)))</f>
        <v/>
      </c>
      <c r="K954">
        <f>IF(A954="","",ROUND(1+(LOG10(A954)-LOG10('入力・概要'!$B$38))*('入力・概要'!$B$40-1)/(LOG10('入力・概要'!$B$39)-LOG10('入力・概要'!$B$38)),0)+3)</f>
        <v/>
      </c>
      <c r="L954">
        <f>IF(K954="","",INDEX('差動モデル'!$B:$B,K954))</f>
        <v/>
      </c>
      <c r="M954">
        <f>IF(A954="","",IF(ABS(L954/A954-1)&lt;0.01,"周波数差&lt;1%","周波数差あり"))</f>
        <v/>
      </c>
    </row>
    <row r="955">
      <c r="A955" s="197" t="n"/>
      <c r="B955" s="198" t="n"/>
      <c r="C955" s="198" t="n"/>
      <c r="D955" s="195">
        <f>IF(K955="","",INDEX('差動モデル'!$R:$R,K955))</f>
        <v/>
      </c>
      <c r="E955" s="195">
        <f>IF(K955="","",INDEX('差動モデル'!$S:$S,K955))</f>
        <v/>
      </c>
      <c r="F955" s="195">
        <f>IF(OR(A955="",B955=""),"",100*(D955-B955)/MAX(B955,1E-12))</f>
        <v/>
      </c>
      <c r="G955" s="195">
        <f>IF(OR(A955="",C955=""),"",E955-C955)</f>
        <v/>
      </c>
      <c r="H955" s="195">
        <f>IF(A955="","",LOG10(A955))</f>
        <v/>
      </c>
      <c r="I955" s="195">
        <f>IF(B955="","",LOG10(MAX(B955,1E-12)))</f>
        <v/>
      </c>
      <c r="J955" s="195">
        <f>IF(D955="","",LOG10(MAX(D955,1E-12)))</f>
        <v/>
      </c>
      <c r="K955">
        <f>IF(A955="","",ROUND(1+(LOG10(A955)-LOG10('入力・概要'!$B$38))*('入力・概要'!$B$40-1)/(LOG10('入力・概要'!$B$39)-LOG10('入力・概要'!$B$38)),0)+3)</f>
        <v/>
      </c>
      <c r="L955">
        <f>IF(K955="","",INDEX('差動モデル'!$B:$B,K955))</f>
        <v/>
      </c>
      <c r="M955">
        <f>IF(A955="","",IF(ABS(L955/A955-1)&lt;0.01,"周波数差&lt;1%","周波数差あり"))</f>
        <v/>
      </c>
    </row>
    <row r="956">
      <c r="A956" s="197" t="n"/>
      <c r="B956" s="198" t="n"/>
      <c r="C956" s="198" t="n"/>
      <c r="D956" s="195">
        <f>IF(K956="","",INDEX('差動モデル'!$R:$R,K956))</f>
        <v/>
      </c>
      <c r="E956" s="195">
        <f>IF(K956="","",INDEX('差動モデル'!$S:$S,K956))</f>
        <v/>
      </c>
      <c r="F956" s="195">
        <f>IF(OR(A956="",B956=""),"",100*(D956-B956)/MAX(B956,1E-12))</f>
        <v/>
      </c>
      <c r="G956" s="195">
        <f>IF(OR(A956="",C956=""),"",E956-C956)</f>
        <v/>
      </c>
      <c r="H956" s="195">
        <f>IF(A956="","",LOG10(A956))</f>
        <v/>
      </c>
      <c r="I956" s="195">
        <f>IF(B956="","",LOG10(MAX(B956,1E-12)))</f>
        <v/>
      </c>
      <c r="J956" s="195">
        <f>IF(D956="","",LOG10(MAX(D956,1E-12)))</f>
        <v/>
      </c>
      <c r="K956">
        <f>IF(A956="","",ROUND(1+(LOG10(A956)-LOG10('入力・概要'!$B$38))*('入力・概要'!$B$40-1)/(LOG10('入力・概要'!$B$39)-LOG10('入力・概要'!$B$38)),0)+3)</f>
        <v/>
      </c>
      <c r="L956">
        <f>IF(K956="","",INDEX('差動モデル'!$B:$B,K956))</f>
        <v/>
      </c>
      <c r="M956">
        <f>IF(A956="","",IF(ABS(L956/A956-1)&lt;0.01,"周波数差&lt;1%","周波数差あり"))</f>
        <v/>
      </c>
    </row>
    <row r="957">
      <c r="A957" s="197" t="n"/>
      <c r="B957" s="198" t="n"/>
      <c r="C957" s="198" t="n"/>
      <c r="D957" s="195">
        <f>IF(K957="","",INDEX('差動モデル'!$R:$R,K957))</f>
        <v/>
      </c>
      <c r="E957" s="195">
        <f>IF(K957="","",INDEX('差動モデル'!$S:$S,K957))</f>
        <v/>
      </c>
      <c r="F957" s="195">
        <f>IF(OR(A957="",B957=""),"",100*(D957-B957)/MAX(B957,1E-12))</f>
        <v/>
      </c>
      <c r="G957" s="195">
        <f>IF(OR(A957="",C957=""),"",E957-C957)</f>
        <v/>
      </c>
      <c r="H957" s="195">
        <f>IF(A957="","",LOG10(A957))</f>
        <v/>
      </c>
      <c r="I957" s="195">
        <f>IF(B957="","",LOG10(MAX(B957,1E-12)))</f>
        <v/>
      </c>
      <c r="J957" s="195">
        <f>IF(D957="","",LOG10(MAX(D957,1E-12)))</f>
        <v/>
      </c>
      <c r="K957">
        <f>IF(A957="","",ROUND(1+(LOG10(A957)-LOG10('入力・概要'!$B$38))*('入力・概要'!$B$40-1)/(LOG10('入力・概要'!$B$39)-LOG10('入力・概要'!$B$38)),0)+3)</f>
        <v/>
      </c>
      <c r="L957">
        <f>IF(K957="","",INDEX('差動モデル'!$B:$B,K957))</f>
        <v/>
      </c>
      <c r="M957">
        <f>IF(A957="","",IF(ABS(L957/A957-1)&lt;0.01,"周波数差&lt;1%","周波数差あり"))</f>
        <v/>
      </c>
    </row>
    <row r="958">
      <c r="A958" s="197" t="n"/>
      <c r="B958" s="198" t="n"/>
      <c r="C958" s="198" t="n"/>
      <c r="D958" s="195">
        <f>IF(K958="","",INDEX('差動モデル'!$R:$R,K958))</f>
        <v/>
      </c>
      <c r="E958" s="195">
        <f>IF(K958="","",INDEX('差動モデル'!$S:$S,K958))</f>
        <v/>
      </c>
      <c r="F958" s="195">
        <f>IF(OR(A958="",B958=""),"",100*(D958-B958)/MAX(B958,1E-12))</f>
        <v/>
      </c>
      <c r="G958" s="195">
        <f>IF(OR(A958="",C958=""),"",E958-C958)</f>
        <v/>
      </c>
      <c r="H958" s="195">
        <f>IF(A958="","",LOG10(A958))</f>
        <v/>
      </c>
      <c r="I958" s="195">
        <f>IF(B958="","",LOG10(MAX(B958,1E-12)))</f>
        <v/>
      </c>
      <c r="J958" s="195">
        <f>IF(D958="","",LOG10(MAX(D958,1E-12)))</f>
        <v/>
      </c>
      <c r="K958">
        <f>IF(A958="","",ROUND(1+(LOG10(A958)-LOG10('入力・概要'!$B$38))*('入力・概要'!$B$40-1)/(LOG10('入力・概要'!$B$39)-LOG10('入力・概要'!$B$38)),0)+3)</f>
        <v/>
      </c>
      <c r="L958">
        <f>IF(K958="","",INDEX('差動モデル'!$B:$B,K958))</f>
        <v/>
      </c>
      <c r="M958">
        <f>IF(A958="","",IF(ABS(L958/A958-1)&lt;0.01,"周波数差&lt;1%","周波数差あり"))</f>
        <v/>
      </c>
    </row>
    <row r="959">
      <c r="A959" s="197" t="n"/>
      <c r="B959" s="198" t="n"/>
      <c r="C959" s="198" t="n"/>
      <c r="D959" s="195">
        <f>IF(K959="","",INDEX('差動モデル'!$R:$R,K959))</f>
        <v/>
      </c>
      <c r="E959" s="195">
        <f>IF(K959="","",INDEX('差動モデル'!$S:$S,K959))</f>
        <v/>
      </c>
      <c r="F959" s="195">
        <f>IF(OR(A959="",B959=""),"",100*(D959-B959)/MAX(B959,1E-12))</f>
        <v/>
      </c>
      <c r="G959" s="195">
        <f>IF(OR(A959="",C959=""),"",E959-C959)</f>
        <v/>
      </c>
      <c r="H959" s="195">
        <f>IF(A959="","",LOG10(A959))</f>
        <v/>
      </c>
      <c r="I959" s="195">
        <f>IF(B959="","",LOG10(MAX(B959,1E-12)))</f>
        <v/>
      </c>
      <c r="J959" s="195">
        <f>IF(D959="","",LOG10(MAX(D959,1E-12)))</f>
        <v/>
      </c>
      <c r="K959">
        <f>IF(A959="","",ROUND(1+(LOG10(A959)-LOG10('入力・概要'!$B$38))*('入力・概要'!$B$40-1)/(LOG10('入力・概要'!$B$39)-LOG10('入力・概要'!$B$38)),0)+3)</f>
        <v/>
      </c>
      <c r="L959">
        <f>IF(K959="","",INDEX('差動モデル'!$B:$B,K959))</f>
        <v/>
      </c>
      <c r="M959">
        <f>IF(A959="","",IF(ABS(L959/A959-1)&lt;0.01,"周波数差&lt;1%","周波数差あり"))</f>
        <v/>
      </c>
    </row>
    <row r="960">
      <c r="A960" s="197" t="n"/>
      <c r="B960" s="198" t="n"/>
      <c r="C960" s="198" t="n"/>
      <c r="D960" s="195">
        <f>IF(K960="","",INDEX('差動モデル'!$R:$R,K960))</f>
        <v/>
      </c>
      <c r="E960" s="195">
        <f>IF(K960="","",INDEX('差動モデル'!$S:$S,K960))</f>
        <v/>
      </c>
      <c r="F960" s="195">
        <f>IF(OR(A960="",B960=""),"",100*(D960-B960)/MAX(B960,1E-12))</f>
        <v/>
      </c>
      <c r="G960" s="195">
        <f>IF(OR(A960="",C960=""),"",E960-C960)</f>
        <v/>
      </c>
      <c r="H960" s="195">
        <f>IF(A960="","",LOG10(A960))</f>
        <v/>
      </c>
      <c r="I960" s="195">
        <f>IF(B960="","",LOG10(MAX(B960,1E-12)))</f>
        <v/>
      </c>
      <c r="J960" s="195">
        <f>IF(D960="","",LOG10(MAX(D960,1E-12)))</f>
        <v/>
      </c>
      <c r="K960">
        <f>IF(A960="","",ROUND(1+(LOG10(A960)-LOG10('入力・概要'!$B$38))*('入力・概要'!$B$40-1)/(LOG10('入力・概要'!$B$39)-LOG10('入力・概要'!$B$38)),0)+3)</f>
        <v/>
      </c>
      <c r="L960">
        <f>IF(K960="","",INDEX('差動モデル'!$B:$B,K960))</f>
        <v/>
      </c>
      <c r="M960">
        <f>IF(A960="","",IF(ABS(L960/A960-1)&lt;0.01,"周波数差&lt;1%","周波数差あり"))</f>
        <v/>
      </c>
    </row>
    <row r="961">
      <c r="A961" s="197" t="n"/>
      <c r="B961" s="198" t="n"/>
      <c r="C961" s="198" t="n"/>
      <c r="D961" s="195">
        <f>IF(K961="","",INDEX('差動モデル'!$R:$R,K961))</f>
        <v/>
      </c>
      <c r="E961" s="195">
        <f>IF(K961="","",INDEX('差動モデル'!$S:$S,K961))</f>
        <v/>
      </c>
      <c r="F961" s="195">
        <f>IF(OR(A961="",B961=""),"",100*(D961-B961)/MAX(B961,1E-12))</f>
        <v/>
      </c>
      <c r="G961" s="195">
        <f>IF(OR(A961="",C961=""),"",E961-C961)</f>
        <v/>
      </c>
      <c r="H961" s="195">
        <f>IF(A961="","",LOG10(A961))</f>
        <v/>
      </c>
      <c r="I961" s="195">
        <f>IF(B961="","",LOG10(MAX(B961,1E-12)))</f>
        <v/>
      </c>
      <c r="J961" s="195">
        <f>IF(D961="","",LOG10(MAX(D961,1E-12)))</f>
        <v/>
      </c>
      <c r="K961">
        <f>IF(A961="","",ROUND(1+(LOG10(A961)-LOG10('入力・概要'!$B$38))*('入力・概要'!$B$40-1)/(LOG10('入力・概要'!$B$39)-LOG10('入力・概要'!$B$38)),0)+3)</f>
        <v/>
      </c>
      <c r="L961">
        <f>IF(K961="","",INDEX('差動モデル'!$B:$B,K961))</f>
        <v/>
      </c>
      <c r="M961">
        <f>IF(A961="","",IF(ABS(L961/A961-1)&lt;0.01,"周波数差&lt;1%","周波数差あり"))</f>
        <v/>
      </c>
    </row>
    <row r="962">
      <c r="A962" s="197" t="n"/>
      <c r="B962" s="198" t="n"/>
      <c r="C962" s="198" t="n"/>
      <c r="D962" s="195">
        <f>IF(K962="","",INDEX('差動モデル'!$R:$R,K962))</f>
        <v/>
      </c>
      <c r="E962" s="195">
        <f>IF(K962="","",INDEX('差動モデル'!$S:$S,K962))</f>
        <v/>
      </c>
      <c r="F962" s="195">
        <f>IF(OR(A962="",B962=""),"",100*(D962-B962)/MAX(B962,1E-12))</f>
        <v/>
      </c>
      <c r="G962" s="195">
        <f>IF(OR(A962="",C962=""),"",E962-C962)</f>
        <v/>
      </c>
      <c r="H962" s="195">
        <f>IF(A962="","",LOG10(A962))</f>
        <v/>
      </c>
      <c r="I962" s="195">
        <f>IF(B962="","",LOG10(MAX(B962,1E-12)))</f>
        <v/>
      </c>
      <c r="J962" s="195">
        <f>IF(D962="","",LOG10(MAX(D962,1E-12)))</f>
        <v/>
      </c>
      <c r="K962">
        <f>IF(A962="","",ROUND(1+(LOG10(A962)-LOG10('入力・概要'!$B$38))*('入力・概要'!$B$40-1)/(LOG10('入力・概要'!$B$39)-LOG10('入力・概要'!$B$38)),0)+3)</f>
        <v/>
      </c>
      <c r="L962">
        <f>IF(K962="","",INDEX('差動モデル'!$B:$B,K962))</f>
        <v/>
      </c>
      <c r="M962">
        <f>IF(A962="","",IF(ABS(L962/A962-1)&lt;0.01,"周波数差&lt;1%","周波数差あり"))</f>
        <v/>
      </c>
    </row>
    <row r="963">
      <c r="A963" s="197" t="n"/>
      <c r="B963" s="198" t="n"/>
      <c r="C963" s="198" t="n"/>
      <c r="D963" s="195">
        <f>IF(K963="","",INDEX('差動モデル'!$R:$R,K963))</f>
        <v/>
      </c>
      <c r="E963" s="195">
        <f>IF(K963="","",INDEX('差動モデル'!$S:$S,K963))</f>
        <v/>
      </c>
      <c r="F963" s="195">
        <f>IF(OR(A963="",B963=""),"",100*(D963-B963)/MAX(B963,1E-12))</f>
        <v/>
      </c>
      <c r="G963" s="195">
        <f>IF(OR(A963="",C963=""),"",E963-C963)</f>
        <v/>
      </c>
      <c r="H963" s="195">
        <f>IF(A963="","",LOG10(A963))</f>
        <v/>
      </c>
      <c r="I963" s="195">
        <f>IF(B963="","",LOG10(MAX(B963,1E-12)))</f>
        <v/>
      </c>
      <c r="J963" s="195">
        <f>IF(D963="","",LOG10(MAX(D963,1E-12)))</f>
        <v/>
      </c>
      <c r="K963">
        <f>IF(A963="","",ROUND(1+(LOG10(A963)-LOG10('入力・概要'!$B$38))*('入力・概要'!$B$40-1)/(LOG10('入力・概要'!$B$39)-LOG10('入力・概要'!$B$38)),0)+3)</f>
        <v/>
      </c>
      <c r="L963">
        <f>IF(K963="","",INDEX('差動モデル'!$B:$B,K963))</f>
        <v/>
      </c>
      <c r="M963">
        <f>IF(A963="","",IF(ABS(L963/A963-1)&lt;0.01,"周波数差&lt;1%","周波数差あり"))</f>
        <v/>
      </c>
    </row>
    <row r="964">
      <c r="A964" s="197" t="n"/>
      <c r="B964" s="198" t="n"/>
      <c r="C964" s="198" t="n"/>
      <c r="D964" s="195">
        <f>IF(K964="","",INDEX('差動モデル'!$R:$R,K964))</f>
        <v/>
      </c>
      <c r="E964" s="195">
        <f>IF(K964="","",INDEX('差動モデル'!$S:$S,K964))</f>
        <v/>
      </c>
      <c r="F964" s="195">
        <f>IF(OR(A964="",B964=""),"",100*(D964-B964)/MAX(B964,1E-12))</f>
        <v/>
      </c>
      <c r="G964" s="195">
        <f>IF(OR(A964="",C964=""),"",E964-C964)</f>
        <v/>
      </c>
      <c r="H964" s="195">
        <f>IF(A964="","",LOG10(A964))</f>
        <v/>
      </c>
      <c r="I964" s="195">
        <f>IF(B964="","",LOG10(MAX(B964,1E-12)))</f>
        <v/>
      </c>
      <c r="J964" s="195">
        <f>IF(D964="","",LOG10(MAX(D964,1E-12)))</f>
        <v/>
      </c>
      <c r="K964">
        <f>IF(A964="","",ROUND(1+(LOG10(A964)-LOG10('入力・概要'!$B$38))*('入力・概要'!$B$40-1)/(LOG10('入力・概要'!$B$39)-LOG10('入力・概要'!$B$38)),0)+3)</f>
        <v/>
      </c>
      <c r="L964">
        <f>IF(K964="","",INDEX('差動モデル'!$B:$B,K964))</f>
        <v/>
      </c>
      <c r="M964">
        <f>IF(A964="","",IF(ABS(L964/A964-1)&lt;0.01,"周波数差&lt;1%","周波数差あり"))</f>
        <v/>
      </c>
    </row>
    <row r="965">
      <c r="A965" s="197" t="n"/>
      <c r="B965" s="198" t="n"/>
      <c r="C965" s="198" t="n"/>
      <c r="D965" s="195">
        <f>IF(K965="","",INDEX('差動モデル'!$R:$R,K965))</f>
        <v/>
      </c>
      <c r="E965" s="195">
        <f>IF(K965="","",INDEX('差動モデル'!$S:$S,K965))</f>
        <v/>
      </c>
      <c r="F965" s="195">
        <f>IF(OR(A965="",B965=""),"",100*(D965-B965)/MAX(B965,1E-12))</f>
        <v/>
      </c>
      <c r="G965" s="195">
        <f>IF(OR(A965="",C965=""),"",E965-C965)</f>
        <v/>
      </c>
      <c r="H965" s="195">
        <f>IF(A965="","",LOG10(A965))</f>
        <v/>
      </c>
      <c r="I965" s="195">
        <f>IF(B965="","",LOG10(MAX(B965,1E-12)))</f>
        <v/>
      </c>
      <c r="J965" s="195">
        <f>IF(D965="","",LOG10(MAX(D965,1E-12)))</f>
        <v/>
      </c>
      <c r="K965">
        <f>IF(A965="","",ROUND(1+(LOG10(A965)-LOG10('入力・概要'!$B$38))*('入力・概要'!$B$40-1)/(LOG10('入力・概要'!$B$39)-LOG10('入力・概要'!$B$38)),0)+3)</f>
        <v/>
      </c>
      <c r="L965">
        <f>IF(K965="","",INDEX('差動モデル'!$B:$B,K965))</f>
        <v/>
      </c>
      <c r="M965">
        <f>IF(A965="","",IF(ABS(L965/A965-1)&lt;0.01,"周波数差&lt;1%","周波数差あり"))</f>
        <v/>
      </c>
    </row>
    <row r="966">
      <c r="A966" s="197" t="n"/>
      <c r="B966" s="198" t="n"/>
      <c r="C966" s="198" t="n"/>
      <c r="D966" s="195">
        <f>IF(K966="","",INDEX('差動モデル'!$R:$R,K966))</f>
        <v/>
      </c>
      <c r="E966" s="195">
        <f>IF(K966="","",INDEX('差動モデル'!$S:$S,K966))</f>
        <v/>
      </c>
      <c r="F966" s="195">
        <f>IF(OR(A966="",B966=""),"",100*(D966-B966)/MAX(B966,1E-12))</f>
        <v/>
      </c>
      <c r="G966" s="195">
        <f>IF(OR(A966="",C966=""),"",E966-C966)</f>
        <v/>
      </c>
      <c r="H966" s="195">
        <f>IF(A966="","",LOG10(A966))</f>
        <v/>
      </c>
      <c r="I966" s="195">
        <f>IF(B966="","",LOG10(MAX(B966,1E-12)))</f>
        <v/>
      </c>
      <c r="J966" s="195">
        <f>IF(D966="","",LOG10(MAX(D966,1E-12)))</f>
        <v/>
      </c>
      <c r="K966">
        <f>IF(A966="","",ROUND(1+(LOG10(A966)-LOG10('入力・概要'!$B$38))*('入力・概要'!$B$40-1)/(LOG10('入力・概要'!$B$39)-LOG10('入力・概要'!$B$38)),0)+3)</f>
        <v/>
      </c>
      <c r="L966">
        <f>IF(K966="","",INDEX('差動モデル'!$B:$B,K966))</f>
        <v/>
      </c>
      <c r="M966">
        <f>IF(A966="","",IF(ABS(L966/A966-1)&lt;0.01,"周波数差&lt;1%","周波数差あり"))</f>
        <v/>
      </c>
    </row>
    <row r="967">
      <c r="A967" s="197" t="n"/>
      <c r="B967" s="198" t="n"/>
      <c r="C967" s="198" t="n"/>
      <c r="D967" s="195">
        <f>IF(K967="","",INDEX('差動モデル'!$R:$R,K967))</f>
        <v/>
      </c>
      <c r="E967" s="195">
        <f>IF(K967="","",INDEX('差動モデル'!$S:$S,K967))</f>
        <v/>
      </c>
      <c r="F967" s="195">
        <f>IF(OR(A967="",B967=""),"",100*(D967-B967)/MAX(B967,1E-12))</f>
        <v/>
      </c>
      <c r="G967" s="195">
        <f>IF(OR(A967="",C967=""),"",E967-C967)</f>
        <v/>
      </c>
      <c r="H967" s="195">
        <f>IF(A967="","",LOG10(A967))</f>
        <v/>
      </c>
      <c r="I967" s="195">
        <f>IF(B967="","",LOG10(MAX(B967,1E-12)))</f>
        <v/>
      </c>
      <c r="J967" s="195">
        <f>IF(D967="","",LOG10(MAX(D967,1E-12)))</f>
        <v/>
      </c>
      <c r="K967">
        <f>IF(A967="","",ROUND(1+(LOG10(A967)-LOG10('入力・概要'!$B$38))*('入力・概要'!$B$40-1)/(LOG10('入力・概要'!$B$39)-LOG10('入力・概要'!$B$38)),0)+3)</f>
        <v/>
      </c>
      <c r="L967">
        <f>IF(K967="","",INDEX('差動モデル'!$B:$B,K967))</f>
        <v/>
      </c>
      <c r="M967">
        <f>IF(A967="","",IF(ABS(L967/A967-1)&lt;0.01,"周波数差&lt;1%","周波数差あり"))</f>
        <v/>
      </c>
    </row>
    <row r="968">
      <c r="A968" s="197" t="n"/>
      <c r="B968" s="198" t="n"/>
      <c r="C968" s="198" t="n"/>
      <c r="D968" s="195">
        <f>IF(K968="","",INDEX('差動モデル'!$R:$R,K968))</f>
        <v/>
      </c>
      <c r="E968" s="195">
        <f>IF(K968="","",INDEX('差動モデル'!$S:$S,K968))</f>
        <v/>
      </c>
      <c r="F968" s="195">
        <f>IF(OR(A968="",B968=""),"",100*(D968-B968)/MAX(B968,1E-12))</f>
        <v/>
      </c>
      <c r="G968" s="195">
        <f>IF(OR(A968="",C968=""),"",E968-C968)</f>
        <v/>
      </c>
      <c r="H968" s="195">
        <f>IF(A968="","",LOG10(A968))</f>
        <v/>
      </c>
      <c r="I968" s="195">
        <f>IF(B968="","",LOG10(MAX(B968,1E-12)))</f>
        <v/>
      </c>
      <c r="J968" s="195">
        <f>IF(D968="","",LOG10(MAX(D968,1E-12)))</f>
        <v/>
      </c>
      <c r="K968">
        <f>IF(A968="","",ROUND(1+(LOG10(A968)-LOG10('入力・概要'!$B$38))*('入力・概要'!$B$40-1)/(LOG10('入力・概要'!$B$39)-LOG10('入力・概要'!$B$38)),0)+3)</f>
        <v/>
      </c>
      <c r="L968">
        <f>IF(K968="","",INDEX('差動モデル'!$B:$B,K968))</f>
        <v/>
      </c>
      <c r="M968">
        <f>IF(A968="","",IF(ABS(L968/A968-1)&lt;0.01,"周波数差&lt;1%","周波数差あり"))</f>
        <v/>
      </c>
    </row>
    <row r="969">
      <c r="A969" s="197" t="n"/>
      <c r="B969" s="198" t="n"/>
      <c r="C969" s="198" t="n"/>
      <c r="D969" s="195">
        <f>IF(K969="","",INDEX('差動モデル'!$R:$R,K969))</f>
        <v/>
      </c>
      <c r="E969" s="195">
        <f>IF(K969="","",INDEX('差動モデル'!$S:$S,K969))</f>
        <v/>
      </c>
      <c r="F969" s="195">
        <f>IF(OR(A969="",B969=""),"",100*(D969-B969)/MAX(B969,1E-12))</f>
        <v/>
      </c>
      <c r="G969" s="195">
        <f>IF(OR(A969="",C969=""),"",E969-C969)</f>
        <v/>
      </c>
      <c r="H969" s="195">
        <f>IF(A969="","",LOG10(A969))</f>
        <v/>
      </c>
      <c r="I969" s="195">
        <f>IF(B969="","",LOG10(MAX(B969,1E-12)))</f>
        <v/>
      </c>
      <c r="J969" s="195">
        <f>IF(D969="","",LOG10(MAX(D969,1E-12)))</f>
        <v/>
      </c>
      <c r="K969">
        <f>IF(A969="","",ROUND(1+(LOG10(A969)-LOG10('入力・概要'!$B$38))*('入力・概要'!$B$40-1)/(LOG10('入力・概要'!$B$39)-LOG10('入力・概要'!$B$38)),0)+3)</f>
        <v/>
      </c>
      <c r="L969">
        <f>IF(K969="","",INDEX('差動モデル'!$B:$B,K969))</f>
        <v/>
      </c>
      <c r="M969">
        <f>IF(A969="","",IF(ABS(L969/A969-1)&lt;0.01,"周波数差&lt;1%","周波数差あり"))</f>
        <v/>
      </c>
    </row>
    <row r="970">
      <c r="A970" s="197" t="n"/>
      <c r="B970" s="198" t="n"/>
      <c r="C970" s="198" t="n"/>
      <c r="D970" s="195">
        <f>IF(K970="","",INDEX('差動モデル'!$R:$R,K970))</f>
        <v/>
      </c>
      <c r="E970" s="195">
        <f>IF(K970="","",INDEX('差動モデル'!$S:$S,K970))</f>
        <v/>
      </c>
      <c r="F970" s="195">
        <f>IF(OR(A970="",B970=""),"",100*(D970-B970)/MAX(B970,1E-12))</f>
        <v/>
      </c>
      <c r="G970" s="195">
        <f>IF(OR(A970="",C970=""),"",E970-C970)</f>
        <v/>
      </c>
      <c r="H970" s="195">
        <f>IF(A970="","",LOG10(A970))</f>
        <v/>
      </c>
      <c r="I970" s="195">
        <f>IF(B970="","",LOG10(MAX(B970,1E-12)))</f>
        <v/>
      </c>
      <c r="J970" s="195">
        <f>IF(D970="","",LOG10(MAX(D970,1E-12)))</f>
        <v/>
      </c>
      <c r="K970">
        <f>IF(A970="","",ROUND(1+(LOG10(A970)-LOG10('入力・概要'!$B$38))*('入力・概要'!$B$40-1)/(LOG10('入力・概要'!$B$39)-LOG10('入力・概要'!$B$38)),0)+3)</f>
        <v/>
      </c>
      <c r="L970">
        <f>IF(K970="","",INDEX('差動モデル'!$B:$B,K970))</f>
        <v/>
      </c>
      <c r="M970">
        <f>IF(A970="","",IF(ABS(L970/A970-1)&lt;0.01,"周波数差&lt;1%","周波数差あり"))</f>
        <v/>
      </c>
    </row>
    <row r="971">
      <c r="A971" s="197" t="n"/>
      <c r="B971" s="198" t="n"/>
      <c r="C971" s="198" t="n"/>
      <c r="D971" s="195">
        <f>IF(K971="","",INDEX('差動モデル'!$R:$R,K971))</f>
        <v/>
      </c>
      <c r="E971" s="195">
        <f>IF(K971="","",INDEX('差動モデル'!$S:$S,K971))</f>
        <v/>
      </c>
      <c r="F971" s="195">
        <f>IF(OR(A971="",B971=""),"",100*(D971-B971)/MAX(B971,1E-12))</f>
        <v/>
      </c>
      <c r="G971" s="195">
        <f>IF(OR(A971="",C971=""),"",E971-C971)</f>
        <v/>
      </c>
      <c r="H971" s="195">
        <f>IF(A971="","",LOG10(A971))</f>
        <v/>
      </c>
      <c r="I971" s="195">
        <f>IF(B971="","",LOG10(MAX(B971,1E-12)))</f>
        <v/>
      </c>
      <c r="J971" s="195">
        <f>IF(D971="","",LOG10(MAX(D971,1E-12)))</f>
        <v/>
      </c>
      <c r="K971">
        <f>IF(A971="","",ROUND(1+(LOG10(A971)-LOG10('入力・概要'!$B$38))*('入力・概要'!$B$40-1)/(LOG10('入力・概要'!$B$39)-LOG10('入力・概要'!$B$38)),0)+3)</f>
        <v/>
      </c>
      <c r="L971">
        <f>IF(K971="","",INDEX('差動モデル'!$B:$B,K971))</f>
        <v/>
      </c>
      <c r="M971">
        <f>IF(A971="","",IF(ABS(L971/A971-1)&lt;0.01,"周波数差&lt;1%","周波数差あり"))</f>
        <v/>
      </c>
    </row>
    <row r="972">
      <c r="A972" s="197" t="n"/>
      <c r="B972" s="198" t="n"/>
      <c r="C972" s="198" t="n"/>
      <c r="D972" s="195">
        <f>IF(K972="","",INDEX('差動モデル'!$R:$R,K972))</f>
        <v/>
      </c>
      <c r="E972" s="195">
        <f>IF(K972="","",INDEX('差動モデル'!$S:$S,K972))</f>
        <v/>
      </c>
      <c r="F972" s="195">
        <f>IF(OR(A972="",B972=""),"",100*(D972-B972)/MAX(B972,1E-12))</f>
        <v/>
      </c>
      <c r="G972" s="195">
        <f>IF(OR(A972="",C972=""),"",E972-C972)</f>
        <v/>
      </c>
      <c r="H972" s="195">
        <f>IF(A972="","",LOG10(A972))</f>
        <v/>
      </c>
      <c r="I972" s="195">
        <f>IF(B972="","",LOG10(MAX(B972,1E-12)))</f>
        <v/>
      </c>
      <c r="J972" s="195">
        <f>IF(D972="","",LOG10(MAX(D972,1E-12)))</f>
        <v/>
      </c>
      <c r="K972">
        <f>IF(A972="","",ROUND(1+(LOG10(A972)-LOG10('入力・概要'!$B$38))*('入力・概要'!$B$40-1)/(LOG10('入力・概要'!$B$39)-LOG10('入力・概要'!$B$38)),0)+3)</f>
        <v/>
      </c>
      <c r="L972">
        <f>IF(K972="","",INDEX('差動モデル'!$B:$B,K972))</f>
        <v/>
      </c>
      <c r="M972">
        <f>IF(A972="","",IF(ABS(L972/A972-1)&lt;0.01,"周波数差&lt;1%","周波数差あり"))</f>
        <v/>
      </c>
    </row>
    <row r="973">
      <c r="A973" s="197" t="n"/>
      <c r="B973" s="198" t="n"/>
      <c r="C973" s="198" t="n"/>
      <c r="D973" s="195">
        <f>IF(K973="","",INDEX('差動モデル'!$R:$R,K973))</f>
        <v/>
      </c>
      <c r="E973" s="195">
        <f>IF(K973="","",INDEX('差動モデル'!$S:$S,K973))</f>
        <v/>
      </c>
      <c r="F973" s="195">
        <f>IF(OR(A973="",B973=""),"",100*(D973-B973)/MAX(B973,1E-12))</f>
        <v/>
      </c>
      <c r="G973" s="195">
        <f>IF(OR(A973="",C973=""),"",E973-C973)</f>
        <v/>
      </c>
      <c r="H973" s="195">
        <f>IF(A973="","",LOG10(A973))</f>
        <v/>
      </c>
      <c r="I973" s="195">
        <f>IF(B973="","",LOG10(MAX(B973,1E-12)))</f>
        <v/>
      </c>
      <c r="J973" s="195">
        <f>IF(D973="","",LOG10(MAX(D973,1E-12)))</f>
        <v/>
      </c>
      <c r="K973">
        <f>IF(A973="","",ROUND(1+(LOG10(A973)-LOG10('入力・概要'!$B$38))*('入力・概要'!$B$40-1)/(LOG10('入力・概要'!$B$39)-LOG10('入力・概要'!$B$38)),0)+3)</f>
        <v/>
      </c>
      <c r="L973">
        <f>IF(K973="","",INDEX('差動モデル'!$B:$B,K973))</f>
        <v/>
      </c>
      <c r="M973">
        <f>IF(A973="","",IF(ABS(L973/A973-1)&lt;0.01,"周波数差&lt;1%","周波数差あり"))</f>
        <v/>
      </c>
    </row>
    <row r="974">
      <c r="A974" s="197" t="n"/>
      <c r="B974" s="198" t="n"/>
      <c r="C974" s="198" t="n"/>
      <c r="D974" s="195">
        <f>IF(K974="","",INDEX('差動モデル'!$R:$R,K974))</f>
        <v/>
      </c>
      <c r="E974" s="195">
        <f>IF(K974="","",INDEX('差動モデル'!$S:$S,K974))</f>
        <v/>
      </c>
      <c r="F974" s="195">
        <f>IF(OR(A974="",B974=""),"",100*(D974-B974)/MAX(B974,1E-12))</f>
        <v/>
      </c>
      <c r="G974" s="195">
        <f>IF(OR(A974="",C974=""),"",E974-C974)</f>
        <v/>
      </c>
      <c r="H974" s="195">
        <f>IF(A974="","",LOG10(A974))</f>
        <v/>
      </c>
      <c r="I974" s="195">
        <f>IF(B974="","",LOG10(MAX(B974,1E-12)))</f>
        <v/>
      </c>
      <c r="J974" s="195">
        <f>IF(D974="","",LOG10(MAX(D974,1E-12)))</f>
        <v/>
      </c>
      <c r="K974">
        <f>IF(A974="","",ROUND(1+(LOG10(A974)-LOG10('入力・概要'!$B$38))*('入力・概要'!$B$40-1)/(LOG10('入力・概要'!$B$39)-LOG10('入力・概要'!$B$38)),0)+3)</f>
        <v/>
      </c>
      <c r="L974">
        <f>IF(K974="","",INDEX('差動モデル'!$B:$B,K974))</f>
        <v/>
      </c>
      <c r="M974">
        <f>IF(A974="","",IF(ABS(L974/A974-1)&lt;0.01,"周波数差&lt;1%","周波数差あり"))</f>
        <v/>
      </c>
    </row>
    <row r="975">
      <c r="A975" s="197" t="n"/>
      <c r="B975" s="198" t="n"/>
      <c r="C975" s="198" t="n"/>
      <c r="D975" s="195">
        <f>IF(K975="","",INDEX('差動モデル'!$R:$R,K975))</f>
        <v/>
      </c>
      <c r="E975" s="195">
        <f>IF(K975="","",INDEX('差動モデル'!$S:$S,K975))</f>
        <v/>
      </c>
      <c r="F975" s="195">
        <f>IF(OR(A975="",B975=""),"",100*(D975-B975)/MAX(B975,1E-12))</f>
        <v/>
      </c>
      <c r="G975" s="195">
        <f>IF(OR(A975="",C975=""),"",E975-C975)</f>
        <v/>
      </c>
      <c r="H975" s="195">
        <f>IF(A975="","",LOG10(A975))</f>
        <v/>
      </c>
      <c r="I975" s="195">
        <f>IF(B975="","",LOG10(MAX(B975,1E-12)))</f>
        <v/>
      </c>
      <c r="J975" s="195">
        <f>IF(D975="","",LOG10(MAX(D975,1E-12)))</f>
        <v/>
      </c>
      <c r="K975">
        <f>IF(A975="","",ROUND(1+(LOG10(A975)-LOG10('入力・概要'!$B$38))*('入力・概要'!$B$40-1)/(LOG10('入力・概要'!$B$39)-LOG10('入力・概要'!$B$38)),0)+3)</f>
        <v/>
      </c>
      <c r="L975">
        <f>IF(K975="","",INDEX('差動モデル'!$B:$B,K975))</f>
        <v/>
      </c>
      <c r="M975">
        <f>IF(A975="","",IF(ABS(L975/A975-1)&lt;0.01,"周波数差&lt;1%","周波数差あり"))</f>
        <v/>
      </c>
    </row>
    <row r="976">
      <c r="A976" s="197" t="n"/>
      <c r="B976" s="198" t="n"/>
      <c r="C976" s="198" t="n"/>
      <c r="D976" s="195">
        <f>IF(K976="","",INDEX('差動モデル'!$R:$R,K976))</f>
        <v/>
      </c>
      <c r="E976" s="195">
        <f>IF(K976="","",INDEX('差動モデル'!$S:$S,K976))</f>
        <v/>
      </c>
      <c r="F976" s="195">
        <f>IF(OR(A976="",B976=""),"",100*(D976-B976)/MAX(B976,1E-12))</f>
        <v/>
      </c>
      <c r="G976" s="195">
        <f>IF(OR(A976="",C976=""),"",E976-C976)</f>
        <v/>
      </c>
      <c r="H976" s="195">
        <f>IF(A976="","",LOG10(A976))</f>
        <v/>
      </c>
      <c r="I976" s="195">
        <f>IF(B976="","",LOG10(MAX(B976,1E-12)))</f>
        <v/>
      </c>
      <c r="J976" s="195">
        <f>IF(D976="","",LOG10(MAX(D976,1E-12)))</f>
        <v/>
      </c>
      <c r="K976">
        <f>IF(A976="","",ROUND(1+(LOG10(A976)-LOG10('入力・概要'!$B$38))*('入力・概要'!$B$40-1)/(LOG10('入力・概要'!$B$39)-LOG10('入力・概要'!$B$38)),0)+3)</f>
        <v/>
      </c>
      <c r="L976">
        <f>IF(K976="","",INDEX('差動モデル'!$B:$B,K976))</f>
        <v/>
      </c>
      <c r="M976">
        <f>IF(A976="","",IF(ABS(L976/A976-1)&lt;0.01,"周波数差&lt;1%","周波数差あり"))</f>
        <v/>
      </c>
    </row>
    <row r="977">
      <c r="A977" s="197" t="n"/>
      <c r="B977" s="198" t="n"/>
      <c r="C977" s="198" t="n"/>
      <c r="D977" s="195">
        <f>IF(K977="","",INDEX('差動モデル'!$R:$R,K977))</f>
        <v/>
      </c>
      <c r="E977" s="195">
        <f>IF(K977="","",INDEX('差動モデル'!$S:$S,K977))</f>
        <v/>
      </c>
      <c r="F977" s="195">
        <f>IF(OR(A977="",B977=""),"",100*(D977-B977)/MAX(B977,1E-12))</f>
        <v/>
      </c>
      <c r="G977" s="195">
        <f>IF(OR(A977="",C977=""),"",E977-C977)</f>
        <v/>
      </c>
      <c r="H977" s="195">
        <f>IF(A977="","",LOG10(A977))</f>
        <v/>
      </c>
      <c r="I977" s="195">
        <f>IF(B977="","",LOG10(MAX(B977,1E-12)))</f>
        <v/>
      </c>
      <c r="J977" s="195">
        <f>IF(D977="","",LOG10(MAX(D977,1E-12)))</f>
        <v/>
      </c>
      <c r="K977">
        <f>IF(A977="","",ROUND(1+(LOG10(A977)-LOG10('入力・概要'!$B$38))*('入力・概要'!$B$40-1)/(LOG10('入力・概要'!$B$39)-LOG10('入力・概要'!$B$38)),0)+3)</f>
        <v/>
      </c>
      <c r="L977">
        <f>IF(K977="","",INDEX('差動モデル'!$B:$B,K977))</f>
        <v/>
      </c>
      <c r="M977">
        <f>IF(A977="","",IF(ABS(L977/A977-1)&lt;0.01,"周波数差&lt;1%","周波数差あり"))</f>
        <v/>
      </c>
    </row>
    <row r="978">
      <c r="A978" s="197" t="n"/>
      <c r="B978" s="198" t="n"/>
      <c r="C978" s="198" t="n"/>
      <c r="D978" s="195">
        <f>IF(K978="","",INDEX('差動モデル'!$R:$R,K978))</f>
        <v/>
      </c>
      <c r="E978" s="195">
        <f>IF(K978="","",INDEX('差動モデル'!$S:$S,K978))</f>
        <v/>
      </c>
      <c r="F978" s="195">
        <f>IF(OR(A978="",B978=""),"",100*(D978-B978)/MAX(B978,1E-12))</f>
        <v/>
      </c>
      <c r="G978" s="195">
        <f>IF(OR(A978="",C978=""),"",E978-C978)</f>
        <v/>
      </c>
      <c r="H978" s="195">
        <f>IF(A978="","",LOG10(A978))</f>
        <v/>
      </c>
      <c r="I978" s="195">
        <f>IF(B978="","",LOG10(MAX(B978,1E-12)))</f>
        <v/>
      </c>
      <c r="J978" s="195">
        <f>IF(D978="","",LOG10(MAX(D978,1E-12)))</f>
        <v/>
      </c>
      <c r="K978">
        <f>IF(A978="","",ROUND(1+(LOG10(A978)-LOG10('入力・概要'!$B$38))*('入力・概要'!$B$40-1)/(LOG10('入力・概要'!$B$39)-LOG10('入力・概要'!$B$38)),0)+3)</f>
        <v/>
      </c>
      <c r="L978">
        <f>IF(K978="","",INDEX('差動モデル'!$B:$B,K978))</f>
        <v/>
      </c>
      <c r="M978">
        <f>IF(A978="","",IF(ABS(L978/A978-1)&lt;0.01,"周波数差&lt;1%","周波数差あり"))</f>
        <v/>
      </c>
    </row>
    <row r="979">
      <c r="A979" s="197" t="n"/>
      <c r="B979" s="198" t="n"/>
      <c r="C979" s="198" t="n"/>
      <c r="D979" s="195">
        <f>IF(K979="","",INDEX('差動モデル'!$R:$R,K979))</f>
        <v/>
      </c>
      <c r="E979" s="195">
        <f>IF(K979="","",INDEX('差動モデル'!$S:$S,K979))</f>
        <v/>
      </c>
      <c r="F979" s="195">
        <f>IF(OR(A979="",B979=""),"",100*(D979-B979)/MAX(B979,1E-12))</f>
        <v/>
      </c>
      <c r="G979" s="195">
        <f>IF(OR(A979="",C979=""),"",E979-C979)</f>
        <v/>
      </c>
      <c r="H979" s="195">
        <f>IF(A979="","",LOG10(A979))</f>
        <v/>
      </c>
      <c r="I979" s="195">
        <f>IF(B979="","",LOG10(MAX(B979,1E-12)))</f>
        <v/>
      </c>
      <c r="J979" s="195">
        <f>IF(D979="","",LOG10(MAX(D979,1E-12)))</f>
        <v/>
      </c>
      <c r="K979">
        <f>IF(A979="","",ROUND(1+(LOG10(A979)-LOG10('入力・概要'!$B$38))*('入力・概要'!$B$40-1)/(LOG10('入力・概要'!$B$39)-LOG10('入力・概要'!$B$38)),0)+3)</f>
        <v/>
      </c>
      <c r="L979">
        <f>IF(K979="","",INDEX('差動モデル'!$B:$B,K979))</f>
        <v/>
      </c>
      <c r="M979">
        <f>IF(A979="","",IF(ABS(L979/A979-1)&lt;0.01,"周波数差&lt;1%","周波数差あり"))</f>
        <v/>
      </c>
    </row>
    <row r="980">
      <c r="A980" s="197" t="n"/>
      <c r="B980" s="198" t="n"/>
      <c r="C980" s="198" t="n"/>
      <c r="D980" s="195">
        <f>IF(K980="","",INDEX('差動モデル'!$R:$R,K980))</f>
        <v/>
      </c>
      <c r="E980" s="195">
        <f>IF(K980="","",INDEX('差動モデル'!$S:$S,K980))</f>
        <v/>
      </c>
      <c r="F980" s="195">
        <f>IF(OR(A980="",B980=""),"",100*(D980-B980)/MAX(B980,1E-12))</f>
        <v/>
      </c>
      <c r="G980" s="195">
        <f>IF(OR(A980="",C980=""),"",E980-C980)</f>
        <v/>
      </c>
      <c r="H980" s="195">
        <f>IF(A980="","",LOG10(A980))</f>
        <v/>
      </c>
      <c r="I980" s="195">
        <f>IF(B980="","",LOG10(MAX(B980,1E-12)))</f>
        <v/>
      </c>
      <c r="J980" s="195">
        <f>IF(D980="","",LOG10(MAX(D980,1E-12)))</f>
        <v/>
      </c>
      <c r="K980">
        <f>IF(A980="","",ROUND(1+(LOG10(A980)-LOG10('入力・概要'!$B$38))*('入力・概要'!$B$40-1)/(LOG10('入力・概要'!$B$39)-LOG10('入力・概要'!$B$38)),0)+3)</f>
        <v/>
      </c>
      <c r="L980">
        <f>IF(K980="","",INDEX('差動モデル'!$B:$B,K980))</f>
        <v/>
      </c>
      <c r="M980">
        <f>IF(A980="","",IF(ABS(L980/A980-1)&lt;0.01,"周波数差&lt;1%","周波数差あり"))</f>
        <v/>
      </c>
    </row>
    <row r="981">
      <c r="A981" s="197" t="n"/>
      <c r="B981" s="198" t="n"/>
      <c r="C981" s="198" t="n"/>
      <c r="D981" s="195">
        <f>IF(K981="","",INDEX('差動モデル'!$R:$R,K981))</f>
        <v/>
      </c>
      <c r="E981" s="195">
        <f>IF(K981="","",INDEX('差動モデル'!$S:$S,K981))</f>
        <v/>
      </c>
      <c r="F981" s="195">
        <f>IF(OR(A981="",B981=""),"",100*(D981-B981)/MAX(B981,1E-12))</f>
        <v/>
      </c>
      <c r="G981" s="195">
        <f>IF(OR(A981="",C981=""),"",E981-C981)</f>
        <v/>
      </c>
      <c r="H981" s="195">
        <f>IF(A981="","",LOG10(A981))</f>
        <v/>
      </c>
      <c r="I981" s="195">
        <f>IF(B981="","",LOG10(MAX(B981,1E-12)))</f>
        <v/>
      </c>
      <c r="J981" s="195">
        <f>IF(D981="","",LOG10(MAX(D981,1E-12)))</f>
        <v/>
      </c>
      <c r="K981">
        <f>IF(A981="","",ROUND(1+(LOG10(A981)-LOG10('入力・概要'!$B$38))*('入力・概要'!$B$40-1)/(LOG10('入力・概要'!$B$39)-LOG10('入力・概要'!$B$38)),0)+3)</f>
        <v/>
      </c>
      <c r="L981">
        <f>IF(K981="","",INDEX('差動モデル'!$B:$B,K981))</f>
        <v/>
      </c>
      <c r="M981">
        <f>IF(A981="","",IF(ABS(L981/A981-1)&lt;0.01,"周波数差&lt;1%","周波数差あり"))</f>
        <v/>
      </c>
    </row>
    <row r="982">
      <c r="A982" s="197" t="n"/>
      <c r="B982" s="198" t="n"/>
      <c r="C982" s="198" t="n"/>
      <c r="D982" s="195">
        <f>IF(K982="","",INDEX('差動モデル'!$R:$R,K982))</f>
        <v/>
      </c>
      <c r="E982" s="195">
        <f>IF(K982="","",INDEX('差動モデル'!$S:$S,K982))</f>
        <v/>
      </c>
      <c r="F982" s="195">
        <f>IF(OR(A982="",B982=""),"",100*(D982-B982)/MAX(B982,1E-12))</f>
        <v/>
      </c>
      <c r="G982" s="195">
        <f>IF(OR(A982="",C982=""),"",E982-C982)</f>
        <v/>
      </c>
      <c r="H982" s="195">
        <f>IF(A982="","",LOG10(A982))</f>
        <v/>
      </c>
      <c r="I982" s="195">
        <f>IF(B982="","",LOG10(MAX(B982,1E-12)))</f>
        <v/>
      </c>
      <c r="J982" s="195">
        <f>IF(D982="","",LOG10(MAX(D982,1E-12)))</f>
        <v/>
      </c>
      <c r="K982">
        <f>IF(A982="","",ROUND(1+(LOG10(A982)-LOG10('入力・概要'!$B$38))*('入力・概要'!$B$40-1)/(LOG10('入力・概要'!$B$39)-LOG10('入力・概要'!$B$38)),0)+3)</f>
        <v/>
      </c>
      <c r="L982">
        <f>IF(K982="","",INDEX('差動モデル'!$B:$B,K982))</f>
        <v/>
      </c>
      <c r="M982">
        <f>IF(A982="","",IF(ABS(L982/A982-1)&lt;0.01,"周波数差&lt;1%","周波数差あり"))</f>
        <v/>
      </c>
    </row>
    <row r="983">
      <c r="A983" s="197" t="n"/>
      <c r="B983" s="198" t="n"/>
      <c r="C983" s="198" t="n"/>
      <c r="D983" s="195">
        <f>IF(K983="","",INDEX('差動モデル'!$R:$R,K983))</f>
        <v/>
      </c>
      <c r="E983" s="195">
        <f>IF(K983="","",INDEX('差動モデル'!$S:$S,K983))</f>
        <v/>
      </c>
      <c r="F983" s="195">
        <f>IF(OR(A983="",B983=""),"",100*(D983-B983)/MAX(B983,1E-12))</f>
        <v/>
      </c>
      <c r="G983" s="195">
        <f>IF(OR(A983="",C983=""),"",E983-C983)</f>
        <v/>
      </c>
      <c r="H983" s="195">
        <f>IF(A983="","",LOG10(A983))</f>
        <v/>
      </c>
      <c r="I983" s="195">
        <f>IF(B983="","",LOG10(MAX(B983,1E-12)))</f>
        <v/>
      </c>
      <c r="J983" s="195">
        <f>IF(D983="","",LOG10(MAX(D983,1E-12)))</f>
        <v/>
      </c>
      <c r="K983">
        <f>IF(A983="","",ROUND(1+(LOG10(A983)-LOG10('入力・概要'!$B$38))*('入力・概要'!$B$40-1)/(LOG10('入力・概要'!$B$39)-LOG10('入力・概要'!$B$38)),0)+3)</f>
        <v/>
      </c>
      <c r="L983">
        <f>IF(K983="","",INDEX('差動モデル'!$B:$B,K983))</f>
        <v/>
      </c>
      <c r="M983">
        <f>IF(A983="","",IF(ABS(L983/A983-1)&lt;0.01,"周波数差&lt;1%","周波数差あり"))</f>
        <v/>
      </c>
    </row>
    <row r="984">
      <c r="A984" s="197" t="n"/>
      <c r="B984" s="198" t="n"/>
      <c r="C984" s="198" t="n"/>
      <c r="D984" s="195">
        <f>IF(K984="","",INDEX('差動モデル'!$R:$R,K984))</f>
        <v/>
      </c>
      <c r="E984" s="195">
        <f>IF(K984="","",INDEX('差動モデル'!$S:$S,K984))</f>
        <v/>
      </c>
      <c r="F984" s="195">
        <f>IF(OR(A984="",B984=""),"",100*(D984-B984)/MAX(B984,1E-12))</f>
        <v/>
      </c>
      <c r="G984" s="195">
        <f>IF(OR(A984="",C984=""),"",E984-C984)</f>
        <v/>
      </c>
      <c r="H984" s="195">
        <f>IF(A984="","",LOG10(A984))</f>
        <v/>
      </c>
      <c r="I984" s="195">
        <f>IF(B984="","",LOG10(MAX(B984,1E-12)))</f>
        <v/>
      </c>
      <c r="J984" s="195">
        <f>IF(D984="","",LOG10(MAX(D984,1E-12)))</f>
        <v/>
      </c>
      <c r="K984">
        <f>IF(A984="","",ROUND(1+(LOG10(A984)-LOG10('入力・概要'!$B$38))*('入力・概要'!$B$40-1)/(LOG10('入力・概要'!$B$39)-LOG10('入力・概要'!$B$38)),0)+3)</f>
        <v/>
      </c>
      <c r="L984">
        <f>IF(K984="","",INDEX('差動モデル'!$B:$B,K984))</f>
        <v/>
      </c>
      <c r="M984">
        <f>IF(A984="","",IF(ABS(L984/A984-1)&lt;0.01,"周波数差&lt;1%","周波数差あり"))</f>
        <v/>
      </c>
    </row>
    <row r="985">
      <c r="A985" s="197" t="n"/>
      <c r="B985" s="198" t="n"/>
      <c r="C985" s="198" t="n"/>
      <c r="D985" s="195">
        <f>IF(K985="","",INDEX('差動モデル'!$R:$R,K985))</f>
        <v/>
      </c>
      <c r="E985" s="195">
        <f>IF(K985="","",INDEX('差動モデル'!$S:$S,K985))</f>
        <v/>
      </c>
      <c r="F985" s="195">
        <f>IF(OR(A985="",B985=""),"",100*(D985-B985)/MAX(B985,1E-12))</f>
        <v/>
      </c>
      <c r="G985" s="195">
        <f>IF(OR(A985="",C985=""),"",E985-C985)</f>
        <v/>
      </c>
      <c r="H985" s="195">
        <f>IF(A985="","",LOG10(A985))</f>
        <v/>
      </c>
      <c r="I985" s="195">
        <f>IF(B985="","",LOG10(MAX(B985,1E-12)))</f>
        <v/>
      </c>
      <c r="J985" s="195">
        <f>IF(D985="","",LOG10(MAX(D985,1E-12)))</f>
        <v/>
      </c>
      <c r="K985">
        <f>IF(A985="","",ROUND(1+(LOG10(A985)-LOG10('入力・概要'!$B$38))*('入力・概要'!$B$40-1)/(LOG10('入力・概要'!$B$39)-LOG10('入力・概要'!$B$38)),0)+3)</f>
        <v/>
      </c>
      <c r="L985">
        <f>IF(K985="","",INDEX('差動モデル'!$B:$B,K985))</f>
        <v/>
      </c>
      <c r="M985">
        <f>IF(A985="","",IF(ABS(L985/A985-1)&lt;0.01,"周波数差&lt;1%","周波数差あり"))</f>
        <v/>
      </c>
    </row>
    <row r="986">
      <c r="A986" s="197" t="n"/>
      <c r="B986" s="198" t="n"/>
      <c r="C986" s="198" t="n"/>
      <c r="D986" s="195">
        <f>IF(K986="","",INDEX('差動モデル'!$R:$R,K986))</f>
        <v/>
      </c>
      <c r="E986" s="195">
        <f>IF(K986="","",INDEX('差動モデル'!$S:$S,K986))</f>
        <v/>
      </c>
      <c r="F986" s="195">
        <f>IF(OR(A986="",B986=""),"",100*(D986-B986)/MAX(B986,1E-12))</f>
        <v/>
      </c>
      <c r="G986" s="195">
        <f>IF(OR(A986="",C986=""),"",E986-C986)</f>
        <v/>
      </c>
      <c r="H986" s="195">
        <f>IF(A986="","",LOG10(A986))</f>
        <v/>
      </c>
      <c r="I986" s="195">
        <f>IF(B986="","",LOG10(MAX(B986,1E-12)))</f>
        <v/>
      </c>
      <c r="J986" s="195">
        <f>IF(D986="","",LOG10(MAX(D986,1E-12)))</f>
        <v/>
      </c>
      <c r="K986">
        <f>IF(A986="","",ROUND(1+(LOG10(A986)-LOG10('入力・概要'!$B$38))*('入力・概要'!$B$40-1)/(LOG10('入力・概要'!$B$39)-LOG10('入力・概要'!$B$38)),0)+3)</f>
        <v/>
      </c>
      <c r="L986">
        <f>IF(K986="","",INDEX('差動モデル'!$B:$B,K986))</f>
        <v/>
      </c>
      <c r="M986">
        <f>IF(A986="","",IF(ABS(L986/A986-1)&lt;0.01,"周波数差&lt;1%","周波数差あり"))</f>
        <v/>
      </c>
    </row>
    <row r="987">
      <c r="A987" s="197" t="n"/>
      <c r="B987" s="198" t="n"/>
      <c r="C987" s="198" t="n"/>
      <c r="D987" s="195">
        <f>IF(K987="","",INDEX('差動モデル'!$R:$R,K987))</f>
        <v/>
      </c>
      <c r="E987" s="195">
        <f>IF(K987="","",INDEX('差動モデル'!$S:$S,K987))</f>
        <v/>
      </c>
      <c r="F987" s="195">
        <f>IF(OR(A987="",B987=""),"",100*(D987-B987)/MAX(B987,1E-12))</f>
        <v/>
      </c>
      <c r="G987" s="195">
        <f>IF(OR(A987="",C987=""),"",E987-C987)</f>
        <v/>
      </c>
      <c r="H987" s="195">
        <f>IF(A987="","",LOG10(A987))</f>
        <v/>
      </c>
      <c r="I987" s="195">
        <f>IF(B987="","",LOG10(MAX(B987,1E-12)))</f>
        <v/>
      </c>
      <c r="J987" s="195">
        <f>IF(D987="","",LOG10(MAX(D987,1E-12)))</f>
        <v/>
      </c>
      <c r="K987">
        <f>IF(A987="","",ROUND(1+(LOG10(A987)-LOG10('入力・概要'!$B$38))*('入力・概要'!$B$40-1)/(LOG10('入力・概要'!$B$39)-LOG10('入力・概要'!$B$38)),0)+3)</f>
        <v/>
      </c>
      <c r="L987">
        <f>IF(K987="","",INDEX('差動モデル'!$B:$B,K987))</f>
        <v/>
      </c>
      <c r="M987">
        <f>IF(A987="","",IF(ABS(L987/A987-1)&lt;0.01,"周波数差&lt;1%","周波数差あり"))</f>
        <v/>
      </c>
    </row>
    <row r="988">
      <c r="A988" s="197" t="n"/>
      <c r="B988" s="198" t="n"/>
      <c r="C988" s="198" t="n"/>
      <c r="D988" s="195">
        <f>IF(K988="","",INDEX('差動モデル'!$R:$R,K988))</f>
        <v/>
      </c>
      <c r="E988" s="195">
        <f>IF(K988="","",INDEX('差動モデル'!$S:$S,K988))</f>
        <v/>
      </c>
      <c r="F988" s="195">
        <f>IF(OR(A988="",B988=""),"",100*(D988-B988)/MAX(B988,1E-12))</f>
        <v/>
      </c>
      <c r="G988" s="195">
        <f>IF(OR(A988="",C988=""),"",E988-C988)</f>
        <v/>
      </c>
      <c r="H988" s="195">
        <f>IF(A988="","",LOG10(A988))</f>
        <v/>
      </c>
      <c r="I988" s="195">
        <f>IF(B988="","",LOG10(MAX(B988,1E-12)))</f>
        <v/>
      </c>
      <c r="J988" s="195">
        <f>IF(D988="","",LOG10(MAX(D988,1E-12)))</f>
        <v/>
      </c>
      <c r="K988">
        <f>IF(A988="","",ROUND(1+(LOG10(A988)-LOG10('入力・概要'!$B$38))*('入力・概要'!$B$40-1)/(LOG10('入力・概要'!$B$39)-LOG10('入力・概要'!$B$38)),0)+3)</f>
        <v/>
      </c>
      <c r="L988">
        <f>IF(K988="","",INDEX('差動モデル'!$B:$B,K988))</f>
        <v/>
      </c>
      <c r="M988">
        <f>IF(A988="","",IF(ABS(L988/A988-1)&lt;0.01,"周波数差&lt;1%","周波数差あり"))</f>
        <v/>
      </c>
    </row>
    <row r="989">
      <c r="A989" s="197" t="n"/>
      <c r="B989" s="198" t="n"/>
      <c r="C989" s="198" t="n"/>
      <c r="D989" s="195">
        <f>IF(K989="","",INDEX('差動モデル'!$R:$R,K989))</f>
        <v/>
      </c>
      <c r="E989" s="195">
        <f>IF(K989="","",INDEX('差動モデル'!$S:$S,K989))</f>
        <v/>
      </c>
      <c r="F989" s="195">
        <f>IF(OR(A989="",B989=""),"",100*(D989-B989)/MAX(B989,1E-12))</f>
        <v/>
      </c>
      <c r="G989" s="195">
        <f>IF(OR(A989="",C989=""),"",E989-C989)</f>
        <v/>
      </c>
      <c r="H989" s="195">
        <f>IF(A989="","",LOG10(A989))</f>
        <v/>
      </c>
      <c r="I989" s="195">
        <f>IF(B989="","",LOG10(MAX(B989,1E-12)))</f>
        <v/>
      </c>
      <c r="J989" s="195">
        <f>IF(D989="","",LOG10(MAX(D989,1E-12)))</f>
        <v/>
      </c>
      <c r="K989">
        <f>IF(A989="","",ROUND(1+(LOG10(A989)-LOG10('入力・概要'!$B$38))*('入力・概要'!$B$40-1)/(LOG10('入力・概要'!$B$39)-LOG10('入力・概要'!$B$38)),0)+3)</f>
        <v/>
      </c>
      <c r="L989">
        <f>IF(K989="","",INDEX('差動モデル'!$B:$B,K989))</f>
        <v/>
      </c>
      <c r="M989">
        <f>IF(A989="","",IF(ABS(L989/A989-1)&lt;0.01,"周波数差&lt;1%","周波数差あり"))</f>
        <v/>
      </c>
    </row>
    <row r="990">
      <c r="A990" s="197" t="n"/>
      <c r="B990" s="198" t="n"/>
      <c r="C990" s="198" t="n"/>
      <c r="D990" s="195">
        <f>IF(K990="","",INDEX('差動モデル'!$R:$R,K990))</f>
        <v/>
      </c>
      <c r="E990" s="195">
        <f>IF(K990="","",INDEX('差動モデル'!$S:$S,K990))</f>
        <v/>
      </c>
      <c r="F990" s="195">
        <f>IF(OR(A990="",B990=""),"",100*(D990-B990)/MAX(B990,1E-12))</f>
        <v/>
      </c>
      <c r="G990" s="195">
        <f>IF(OR(A990="",C990=""),"",E990-C990)</f>
        <v/>
      </c>
      <c r="H990" s="195">
        <f>IF(A990="","",LOG10(A990))</f>
        <v/>
      </c>
      <c r="I990" s="195">
        <f>IF(B990="","",LOG10(MAX(B990,1E-12)))</f>
        <v/>
      </c>
      <c r="J990" s="195">
        <f>IF(D990="","",LOG10(MAX(D990,1E-12)))</f>
        <v/>
      </c>
      <c r="K990">
        <f>IF(A990="","",ROUND(1+(LOG10(A990)-LOG10('入力・概要'!$B$38))*('入力・概要'!$B$40-1)/(LOG10('入力・概要'!$B$39)-LOG10('入力・概要'!$B$38)),0)+3)</f>
        <v/>
      </c>
      <c r="L990">
        <f>IF(K990="","",INDEX('差動モデル'!$B:$B,K990))</f>
        <v/>
      </c>
      <c r="M990">
        <f>IF(A990="","",IF(ABS(L990/A990-1)&lt;0.01,"周波数差&lt;1%","周波数差あり"))</f>
        <v/>
      </c>
    </row>
    <row r="991">
      <c r="A991" s="197" t="n"/>
      <c r="B991" s="198" t="n"/>
      <c r="C991" s="198" t="n"/>
      <c r="D991" s="195">
        <f>IF(K991="","",INDEX('差動モデル'!$R:$R,K991))</f>
        <v/>
      </c>
      <c r="E991" s="195">
        <f>IF(K991="","",INDEX('差動モデル'!$S:$S,K991))</f>
        <v/>
      </c>
      <c r="F991" s="195">
        <f>IF(OR(A991="",B991=""),"",100*(D991-B991)/MAX(B991,1E-12))</f>
        <v/>
      </c>
      <c r="G991" s="195">
        <f>IF(OR(A991="",C991=""),"",E991-C991)</f>
        <v/>
      </c>
      <c r="H991" s="195">
        <f>IF(A991="","",LOG10(A991))</f>
        <v/>
      </c>
      <c r="I991" s="195">
        <f>IF(B991="","",LOG10(MAX(B991,1E-12)))</f>
        <v/>
      </c>
      <c r="J991" s="195">
        <f>IF(D991="","",LOG10(MAX(D991,1E-12)))</f>
        <v/>
      </c>
      <c r="K991">
        <f>IF(A991="","",ROUND(1+(LOG10(A991)-LOG10('入力・概要'!$B$38))*('入力・概要'!$B$40-1)/(LOG10('入力・概要'!$B$39)-LOG10('入力・概要'!$B$38)),0)+3)</f>
        <v/>
      </c>
      <c r="L991">
        <f>IF(K991="","",INDEX('差動モデル'!$B:$B,K991))</f>
        <v/>
      </c>
      <c r="M991">
        <f>IF(A991="","",IF(ABS(L991/A991-1)&lt;0.01,"周波数差&lt;1%","周波数差あり"))</f>
        <v/>
      </c>
    </row>
    <row r="992">
      <c r="A992" s="197" t="n"/>
      <c r="B992" s="198" t="n"/>
      <c r="C992" s="198" t="n"/>
      <c r="D992" s="195">
        <f>IF(K992="","",INDEX('差動モデル'!$R:$R,K992))</f>
        <v/>
      </c>
      <c r="E992" s="195">
        <f>IF(K992="","",INDEX('差動モデル'!$S:$S,K992))</f>
        <v/>
      </c>
      <c r="F992" s="195">
        <f>IF(OR(A992="",B992=""),"",100*(D992-B992)/MAX(B992,1E-12))</f>
        <v/>
      </c>
      <c r="G992" s="195">
        <f>IF(OR(A992="",C992=""),"",E992-C992)</f>
        <v/>
      </c>
      <c r="H992" s="195">
        <f>IF(A992="","",LOG10(A992))</f>
        <v/>
      </c>
      <c r="I992" s="195">
        <f>IF(B992="","",LOG10(MAX(B992,1E-12)))</f>
        <v/>
      </c>
      <c r="J992" s="195">
        <f>IF(D992="","",LOG10(MAX(D992,1E-12)))</f>
        <v/>
      </c>
      <c r="K992">
        <f>IF(A992="","",ROUND(1+(LOG10(A992)-LOG10('入力・概要'!$B$38))*('入力・概要'!$B$40-1)/(LOG10('入力・概要'!$B$39)-LOG10('入力・概要'!$B$38)),0)+3)</f>
        <v/>
      </c>
      <c r="L992">
        <f>IF(K992="","",INDEX('差動モデル'!$B:$B,K992))</f>
        <v/>
      </c>
      <c r="M992">
        <f>IF(A992="","",IF(ABS(L992/A992-1)&lt;0.01,"周波数差&lt;1%","周波数差あり"))</f>
        <v/>
      </c>
    </row>
    <row r="993">
      <c r="A993" s="197" t="n"/>
      <c r="B993" s="198" t="n"/>
      <c r="C993" s="198" t="n"/>
      <c r="D993" s="195">
        <f>IF(K993="","",INDEX('差動モデル'!$R:$R,K993))</f>
        <v/>
      </c>
      <c r="E993" s="195">
        <f>IF(K993="","",INDEX('差動モデル'!$S:$S,K993))</f>
        <v/>
      </c>
      <c r="F993" s="195">
        <f>IF(OR(A993="",B993=""),"",100*(D993-B993)/MAX(B993,1E-12))</f>
        <v/>
      </c>
      <c r="G993" s="195">
        <f>IF(OR(A993="",C993=""),"",E993-C993)</f>
        <v/>
      </c>
      <c r="H993" s="195">
        <f>IF(A993="","",LOG10(A993))</f>
        <v/>
      </c>
      <c r="I993" s="195">
        <f>IF(B993="","",LOG10(MAX(B993,1E-12)))</f>
        <v/>
      </c>
      <c r="J993" s="195">
        <f>IF(D993="","",LOG10(MAX(D993,1E-12)))</f>
        <v/>
      </c>
      <c r="K993">
        <f>IF(A993="","",ROUND(1+(LOG10(A993)-LOG10('入力・概要'!$B$38))*('入力・概要'!$B$40-1)/(LOG10('入力・概要'!$B$39)-LOG10('入力・概要'!$B$38)),0)+3)</f>
        <v/>
      </c>
      <c r="L993">
        <f>IF(K993="","",INDEX('差動モデル'!$B:$B,K993))</f>
        <v/>
      </c>
      <c r="M993">
        <f>IF(A993="","",IF(ABS(L993/A993-1)&lt;0.01,"周波数差&lt;1%","周波数差あり"))</f>
        <v/>
      </c>
    </row>
    <row r="994">
      <c r="A994" s="197" t="n"/>
      <c r="B994" s="198" t="n"/>
      <c r="C994" s="198" t="n"/>
      <c r="D994" s="195">
        <f>IF(K994="","",INDEX('差動モデル'!$R:$R,K994))</f>
        <v/>
      </c>
      <c r="E994" s="195">
        <f>IF(K994="","",INDEX('差動モデル'!$S:$S,K994))</f>
        <v/>
      </c>
      <c r="F994" s="195">
        <f>IF(OR(A994="",B994=""),"",100*(D994-B994)/MAX(B994,1E-12))</f>
        <v/>
      </c>
      <c r="G994" s="195">
        <f>IF(OR(A994="",C994=""),"",E994-C994)</f>
        <v/>
      </c>
      <c r="H994" s="195">
        <f>IF(A994="","",LOG10(A994))</f>
        <v/>
      </c>
      <c r="I994" s="195">
        <f>IF(B994="","",LOG10(MAX(B994,1E-12)))</f>
        <v/>
      </c>
      <c r="J994" s="195">
        <f>IF(D994="","",LOG10(MAX(D994,1E-12)))</f>
        <v/>
      </c>
      <c r="K994">
        <f>IF(A994="","",ROUND(1+(LOG10(A994)-LOG10('入力・概要'!$B$38))*('入力・概要'!$B$40-1)/(LOG10('入力・概要'!$B$39)-LOG10('入力・概要'!$B$38)),0)+3)</f>
        <v/>
      </c>
      <c r="L994">
        <f>IF(K994="","",INDEX('差動モデル'!$B:$B,K994))</f>
        <v/>
      </c>
      <c r="M994">
        <f>IF(A994="","",IF(ABS(L994/A994-1)&lt;0.01,"周波数差&lt;1%","周波数差あり"))</f>
        <v/>
      </c>
    </row>
    <row r="995">
      <c r="A995" s="197" t="n"/>
      <c r="B995" s="198" t="n"/>
      <c r="C995" s="198" t="n"/>
      <c r="D995" s="195">
        <f>IF(K995="","",INDEX('差動モデル'!$R:$R,K995))</f>
        <v/>
      </c>
      <c r="E995" s="195">
        <f>IF(K995="","",INDEX('差動モデル'!$S:$S,K995))</f>
        <v/>
      </c>
      <c r="F995" s="195">
        <f>IF(OR(A995="",B995=""),"",100*(D995-B995)/MAX(B995,1E-12))</f>
        <v/>
      </c>
      <c r="G995" s="195">
        <f>IF(OR(A995="",C995=""),"",E995-C995)</f>
        <v/>
      </c>
      <c r="H995" s="195">
        <f>IF(A995="","",LOG10(A995))</f>
        <v/>
      </c>
      <c r="I995" s="195">
        <f>IF(B995="","",LOG10(MAX(B995,1E-12)))</f>
        <v/>
      </c>
      <c r="J995" s="195">
        <f>IF(D995="","",LOG10(MAX(D995,1E-12)))</f>
        <v/>
      </c>
      <c r="K995">
        <f>IF(A995="","",ROUND(1+(LOG10(A995)-LOG10('入力・概要'!$B$38))*('入力・概要'!$B$40-1)/(LOG10('入力・概要'!$B$39)-LOG10('入力・概要'!$B$38)),0)+3)</f>
        <v/>
      </c>
      <c r="L995">
        <f>IF(K995="","",INDEX('差動モデル'!$B:$B,K995))</f>
        <v/>
      </c>
      <c r="M995">
        <f>IF(A995="","",IF(ABS(L995/A995-1)&lt;0.01,"周波数差&lt;1%","周波数差あり"))</f>
        <v/>
      </c>
    </row>
    <row r="996">
      <c r="A996" s="197" t="n"/>
      <c r="B996" s="198" t="n"/>
      <c r="C996" s="198" t="n"/>
      <c r="D996" s="195">
        <f>IF(K996="","",INDEX('差動モデル'!$R:$R,K996))</f>
        <v/>
      </c>
      <c r="E996" s="195">
        <f>IF(K996="","",INDEX('差動モデル'!$S:$S,K996))</f>
        <v/>
      </c>
      <c r="F996" s="195">
        <f>IF(OR(A996="",B996=""),"",100*(D996-B996)/MAX(B996,1E-12))</f>
        <v/>
      </c>
      <c r="G996" s="195">
        <f>IF(OR(A996="",C996=""),"",E996-C996)</f>
        <v/>
      </c>
      <c r="H996" s="195">
        <f>IF(A996="","",LOG10(A996))</f>
        <v/>
      </c>
      <c r="I996" s="195">
        <f>IF(B996="","",LOG10(MAX(B996,1E-12)))</f>
        <v/>
      </c>
      <c r="J996" s="195">
        <f>IF(D996="","",LOG10(MAX(D996,1E-12)))</f>
        <v/>
      </c>
      <c r="K996">
        <f>IF(A996="","",ROUND(1+(LOG10(A996)-LOG10('入力・概要'!$B$38))*('入力・概要'!$B$40-1)/(LOG10('入力・概要'!$B$39)-LOG10('入力・概要'!$B$38)),0)+3)</f>
        <v/>
      </c>
      <c r="L996">
        <f>IF(K996="","",INDEX('差動モデル'!$B:$B,K996))</f>
        <v/>
      </c>
      <c r="M996">
        <f>IF(A996="","",IF(ABS(L996/A996-1)&lt;0.01,"周波数差&lt;1%","周波数差あり"))</f>
        <v/>
      </c>
    </row>
    <row r="997">
      <c r="A997" s="197" t="n"/>
      <c r="B997" s="198" t="n"/>
      <c r="C997" s="198" t="n"/>
      <c r="D997" s="195">
        <f>IF(K997="","",INDEX('差動モデル'!$R:$R,K997))</f>
        <v/>
      </c>
      <c r="E997" s="195">
        <f>IF(K997="","",INDEX('差動モデル'!$S:$S,K997))</f>
        <v/>
      </c>
      <c r="F997" s="195">
        <f>IF(OR(A997="",B997=""),"",100*(D997-B997)/MAX(B997,1E-12))</f>
        <v/>
      </c>
      <c r="G997" s="195">
        <f>IF(OR(A997="",C997=""),"",E997-C997)</f>
        <v/>
      </c>
      <c r="H997" s="195">
        <f>IF(A997="","",LOG10(A997))</f>
        <v/>
      </c>
      <c r="I997" s="195">
        <f>IF(B997="","",LOG10(MAX(B997,1E-12)))</f>
        <v/>
      </c>
      <c r="J997" s="195">
        <f>IF(D997="","",LOG10(MAX(D997,1E-12)))</f>
        <v/>
      </c>
      <c r="K997">
        <f>IF(A997="","",ROUND(1+(LOG10(A997)-LOG10('入力・概要'!$B$38))*('入力・概要'!$B$40-1)/(LOG10('入力・概要'!$B$39)-LOG10('入力・概要'!$B$38)),0)+3)</f>
        <v/>
      </c>
      <c r="L997">
        <f>IF(K997="","",INDEX('差動モデル'!$B:$B,K997))</f>
        <v/>
      </c>
      <c r="M997">
        <f>IF(A997="","",IF(ABS(L997/A997-1)&lt;0.01,"周波数差&lt;1%","周波数差あり"))</f>
        <v/>
      </c>
    </row>
    <row r="998">
      <c r="A998" s="197" t="n"/>
      <c r="B998" s="198" t="n"/>
      <c r="C998" s="198" t="n"/>
      <c r="D998" s="195">
        <f>IF(K998="","",INDEX('差動モデル'!$R:$R,K998))</f>
        <v/>
      </c>
      <c r="E998" s="195">
        <f>IF(K998="","",INDEX('差動モデル'!$S:$S,K998))</f>
        <v/>
      </c>
      <c r="F998" s="195">
        <f>IF(OR(A998="",B998=""),"",100*(D998-B998)/MAX(B998,1E-12))</f>
        <v/>
      </c>
      <c r="G998" s="195">
        <f>IF(OR(A998="",C998=""),"",E998-C998)</f>
        <v/>
      </c>
      <c r="H998" s="195">
        <f>IF(A998="","",LOG10(A998))</f>
        <v/>
      </c>
      <c r="I998" s="195">
        <f>IF(B998="","",LOG10(MAX(B998,1E-12)))</f>
        <v/>
      </c>
      <c r="J998" s="195">
        <f>IF(D998="","",LOG10(MAX(D998,1E-12)))</f>
        <v/>
      </c>
      <c r="K998">
        <f>IF(A998="","",ROUND(1+(LOG10(A998)-LOG10('入力・概要'!$B$38))*('入力・概要'!$B$40-1)/(LOG10('入力・概要'!$B$39)-LOG10('入力・概要'!$B$38)),0)+3)</f>
        <v/>
      </c>
      <c r="L998">
        <f>IF(K998="","",INDEX('差動モデル'!$B:$B,K998))</f>
        <v/>
      </c>
      <c r="M998">
        <f>IF(A998="","",IF(ABS(L998/A998-1)&lt;0.01,"周波数差&lt;1%","周波数差あり"))</f>
        <v/>
      </c>
    </row>
    <row r="999">
      <c r="A999" s="197" t="n"/>
      <c r="B999" s="198" t="n"/>
      <c r="C999" s="198" t="n"/>
      <c r="D999" s="195">
        <f>IF(K999="","",INDEX('差動モデル'!$R:$R,K999))</f>
        <v/>
      </c>
      <c r="E999" s="195">
        <f>IF(K999="","",INDEX('差動モデル'!$S:$S,K999))</f>
        <v/>
      </c>
      <c r="F999" s="195">
        <f>IF(OR(A999="",B999=""),"",100*(D999-B999)/MAX(B999,1E-12))</f>
        <v/>
      </c>
      <c r="G999" s="195">
        <f>IF(OR(A999="",C999=""),"",E999-C999)</f>
        <v/>
      </c>
      <c r="H999" s="195">
        <f>IF(A999="","",LOG10(A999))</f>
        <v/>
      </c>
      <c r="I999" s="195">
        <f>IF(B999="","",LOG10(MAX(B999,1E-12)))</f>
        <v/>
      </c>
      <c r="J999" s="195">
        <f>IF(D999="","",LOG10(MAX(D999,1E-12)))</f>
        <v/>
      </c>
      <c r="K999">
        <f>IF(A999="","",ROUND(1+(LOG10(A999)-LOG10('入力・概要'!$B$38))*('入力・概要'!$B$40-1)/(LOG10('入力・概要'!$B$39)-LOG10('入力・概要'!$B$38)),0)+3)</f>
        <v/>
      </c>
      <c r="L999">
        <f>IF(K999="","",INDEX('差動モデル'!$B:$B,K999))</f>
        <v/>
      </c>
      <c r="M999">
        <f>IF(A999="","",IF(ABS(L999/A999-1)&lt;0.01,"周波数差&lt;1%","周波数差あり"))</f>
        <v/>
      </c>
    </row>
    <row r="1000">
      <c r="A1000" s="197" t="n"/>
      <c r="B1000" s="198" t="n"/>
      <c r="C1000" s="198" t="n"/>
      <c r="D1000" s="195">
        <f>IF(K1000="","",INDEX('差動モデル'!$R:$R,K1000))</f>
        <v/>
      </c>
      <c r="E1000" s="195">
        <f>IF(K1000="","",INDEX('差動モデル'!$S:$S,K1000))</f>
        <v/>
      </c>
      <c r="F1000" s="195">
        <f>IF(OR(A1000="",B1000=""),"",100*(D1000-B1000)/MAX(B1000,1E-12))</f>
        <v/>
      </c>
      <c r="G1000" s="195">
        <f>IF(OR(A1000="",C1000=""),"",E1000-C1000)</f>
        <v/>
      </c>
      <c r="H1000" s="195">
        <f>IF(A1000="","",LOG10(A1000))</f>
        <v/>
      </c>
      <c r="I1000" s="195">
        <f>IF(B1000="","",LOG10(MAX(B1000,1E-12)))</f>
        <v/>
      </c>
      <c r="J1000" s="195">
        <f>IF(D1000="","",LOG10(MAX(D1000,1E-12)))</f>
        <v/>
      </c>
      <c r="K1000">
        <f>IF(A1000="","",ROUND(1+(LOG10(A1000)-LOG10('入力・概要'!$B$38))*('入力・概要'!$B$40-1)/(LOG10('入力・概要'!$B$39)-LOG10('入力・概要'!$B$38)),0)+3)</f>
        <v/>
      </c>
      <c r="L1000">
        <f>IF(K1000="","",INDEX('差動モデル'!$B:$B,K1000))</f>
        <v/>
      </c>
      <c r="M1000">
        <f>IF(A1000="","",IF(ABS(L1000/A1000-1)&lt;0.01,"周波数差&lt;1%","周波数差あり"))</f>
        <v/>
      </c>
    </row>
    <row r="1001">
      <c r="A1001" s="197" t="n"/>
      <c r="B1001" s="198" t="n"/>
      <c r="C1001" s="198" t="n"/>
      <c r="D1001" s="195">
        <f>IF(K1001="","",INDEX('差動モデル'!$R:$R,K1001))</f>
        <v/>
      </c>
      <c r="E1001" s="195">
        <f>IF(K1001="","",INDEX('差動モデル'!$S:$S,K1001))</f>
        <v/>
      </c>
      <c r="F1001" s="195">
        <f>IF(OR(A1001="",B1001=""),"",100*(D1001-B1001)/MAX(B1001,1E-12))</f>
        <v/>
      </c>
      <c r="G1001" s="195">
        <f>IF(OR(A1001="",C1001=""),"",E1001-C1001)</f>
        <v/>
      </c>
      <c r="H1001" s="195">
        <f>IF(A1001="","",LOG10(A1001))</f>
        <v/>
      </c>
      <c r="I1001" s="195">
        <f>IF(B1001="","",LOG10(MAX(B1001,1E-12)))</f>
        <v/>
      </c>
      <c r="J1001" s="195">
        <f>IF(D1001="","",LOG10(MAX(D1001,1E-12)))</f>
        <v/>
      </c>
      <c r="K1001">
        <f>IF(A1001="","",ROUND(1+(LOG10(A1001)-LOG10('入力・概要'!$B$38))*('入力・概要'!$B$40-1)/(LOG10('入力・概要'!$B$39)-LOG10('入力・概要'!$B$38)),0)+3)</f>
        <v/>
      </c>
      <c r="L1001">
        <f>IF(K1001="","",INDEX('差動モデル'!$B:$B,K1001))</f>
        <v/>
      </c>
      <c r="M1001">
        <f>IF(A1001="","",IF(ABS(L1001/A1001-1)&lt;0.01,"周波数差&lt;1%","周波数差あり"))</f>
        <v/>
      </c>
    </row>
    <row r="1002">
      <c r="A1002" s="197" t="n"/>
      <c r="B1002" s="198" t="n"/>
      <c r="C1002" s="198" t="n"/>
      <c r="D1002" s="195">
        <f>IF(K1002="","",INDEX('差動モデル'!$R:$R,K1002))</f>
        <v/>
      </c>
      <c r="E1002" s="195">
        <f>IF(K1002="","",INDEX('差動モデル'!$S:$S,K1002))</f>
        <v/>
      </c>
      <c r="F1002" s="195">
        <f>IF(OR(A1002="",B1002=""),"",100*(D1002-B1002)/MAX(B1002,1E-12))</f>
        <v/>
      </c>
      <c r="G1002" s="195">
        <f>IF(OR(A1002="",C1002=""),"",E1002-C1002)</f>
        <v/>
      </c>
      <c r="H1002" s="195">
        <f>IF(A1002="","",LOG10(A1002))</f>
        <v/>
      </c>
      <c r="I1002" s="195">
        <f>IF(B1002="","",LOG10(MAX(B1002,1E-12)))</f>
        <v/>
      </c>
      <c r="J1002" s="195">
        <f>IF(D1002="","",LOG10(MAX(D1002,1E-12)))</f>
        <v/>
      </c>
      <c r="K1002">
        <f>IF(A1002="","",ROUND(1+(LOG10(A1002)-LOG10('入力・概要'!$B$38))*('入力・概要'!$B$40-1)/(LOG10('入力・概要'!$B$39)-LOG10('入力・概要'!$B$38)),0)+3)</f>
        <v/>
      </c>
      <c r="L1002">
        <f>IF(K1002="","",INDEX('差動モデル'!$B:$B,K1002))</f>
        <v/>
      </c>
      <c r="M1002">
        <f>IF(A1002="","",IF(ABS(L1002/A1002-1)&lt;0.01,"周波数差&lt;1%","周波数差あり"))</f>
        <v/>
      </c>
    </row>
    <row r="1003">
      <c r="A1003" s="197" t="n"/>
      <c r="B1003" s="198" t="n"/>
      <c r="C1003" s="198" t="n"/>
      <c r="D1003" s="195">
        <f>IF(K1003="","",INDEX('差動モデル'!$R:$R,K1003))</f>
        <v/>
      </c>
      <c r="E1003" s="195">
        <f>IF(K1003="","",INDEX('差動モデル'!$S:$S,K1003))</f>
        <v/>
      </c>
      <c r="F1003" s="195">
        <f>IF(OR(A1003="",B1003=""),"",100*(D1003-B1003)/MAX(B1003,1E-12))</f>
        <v/>
      </c>
      <c r="G1003" s="195">
        <f>IF(OR(A1003="",C1003=""),"",E1003-C1003)</f>
        <v/>
      </c>
      <c r="H1003" s="195">
        <f>IF(A1003="","",LOG10(A1003))</f>
        <v/>
      </c>
      <c r="I1003" s="195">
        <f>IF(B1003="","",LOG10(MAX(B1003,1E-12)))</f>
        <v/>
      </c>
      <c r="J1003" s="195">
        <f>IF(D1003="","",LOG10(MAX(D1003,1E-12)))</f>
        <v/>
      </c>
      <c r="K1003">
        <f>IF(A1003="","",ROUND(1+(LOG10(A1003)-LOG10('入力・概要'!$B$38))*('入力・概要'!$B$40-1)/(LOG10('入力・概要'!$B$39)-LOG10('入力・概要'!$B$38)),0)+3)</f>
        <v/>
      </c>
      <c r="L1003">
        <f>IF(K1003="","",INDEX('差動モデル'!$B:$B,K1003))</f>
        <v/>
      </c>
      <c r="M1003">
        <f>IF(A1003="","",IF(ABS(L1003/A1003-1)&lt;0.01,"周波数差&lt;1%","周波数差あり"))</f>
        <v/>
      </c>
    </row>
    <row r="1004">
      <c r="A1004" s="197" t="n"/>
      <c r="B1004" s="198" t="n"/>
      <c r="C1004" s="198" t="n"/>
      <c r="D1004" s="195">
        <f>IF(K1004="","",INDEX('差動モデル'!$R:$R,K1004))</f>
        <v/>
      </c>
      <c r="E1004" s="195">
        <f>IF(K1004="","",INDEX('差動モデル'!$S:$S,K1004))</f>
        <v/>
      </c>
      <c r="F1004" s="195">
        <f>IF(OR(A1004="",B1004=""),"",100*(D1004-B1004)/MAX(B1004,1E-12))</f>
        <v/>
      </c>
      <c r="G1004" s="195">
        <f>IF(OR(A1004="",C1004=""),"",E1004-C1004)</f>
        <v/>
      </c>
      <c r="H1004" s="195">
        <f>IF(A1004="","",LOG10(A1004))</f>
        <v/>
      </c>
      <c r="I1004" s="195">
        <f>IF(B1004="","",LOG10(MAX(B1004,1E-12)))</f>
        <v/>
      </c>
      <c r="J1004" s="195">
        <f>IF(D1004="","",LOG10(MAX(D1004,1E-12)))</f>
        <v/>
      </c>
      <c r="K1004">
        <f>IF(A1004="","",ROUND(1+(LOG10(A1004)-LOG10('入力・概要'!$B$38))*('入力・概要'!$B$40-1)/(LOG10('入力・概要'!$B$39)-LOG10('入力・概要'!$B$38)),0)+3)</f>
        <v/>
      </c>
      <c r="L1004">
        <f>IF(K1004="","",INDEX('差動モデル'!$B:$B,K1004))</f>
        <v/>
      </c>
      <c r="M1004">
        <f>IF(A1004="","",IF(ABS(L1004/A1004-1)&lt;0.01,"周波数差&lt;1%","周波数差あり"))</f>
        <v/>
      </c>
    </row>
  </sheetData>
  <mergeCells count="2">
    <mergeCell ref="A2:M2"/>
    <mergeCell ref="A1:M1"/>
  </mergeCells>
  <conditionalFormatting sqref="F5:G10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04"/>
  <sheetViews>
    <sheetView workbookViewId="0">
      <selection activeCell="A1" sqref="A1"/>
    </sheetView>
  </sheetViews>
  <sheetFormatPr baseColWidth="8" defaultRowHeight="15"/>
  <cols>
    <col width="15" customWidth="1" style="165" min="1" max="1"/>
    <col width="15" customWidth="1" style="165" min="2" max="2"/>
    <col width="15" customWidth="1" style="165" min="3" max="3"/>
    <col width="15" customWidth="1" style="165" min="4" max="4"/>
    <col width="15" customWidth="1" style="165" min="5" max="5"/>
    <col width="15" customWidth="1" style="165" min="6" max="6"/>
    <col width="15" customWidth="1" style="165" min="7" max="7"/>
    <col width="15" customWidth="1" style="165" min="8" max="8"/>
    <col width="15" customWidth="1" style="165" min="9" max="9"/>
    <col width="15" customWidth="1" style="165" min="10" max="10"/>
    <col width="15" customWidth="1" style="165" min="11" max="11"/>
    <col width="15" customWidth="1" style="165" min="12" max="12"/>
    <col width="15" customWidth="1" style="165" min="13" max="13"/>
  </cols>
  <sheetData>
    <row r="1">
      <c r="A1" s="227" t="inlineStr">
        <is>
          <t>実測比較：同相3導体モデル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</row>
    <row r="2">
      <c r="A2" s="229" t="inlineStr">
        <is>
          <t>A～C列へ周波数[Hz]・実測|Z|[Ω]・実測位相[deg]を貼り付けます。最も近いモデル周波数を参照します。</t>
        </is>
      </c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</row>
    <row r="3">
      <c r="A3" s="202" t="n"/>
      <c r="B3" s="202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  <c r="AA3" s="202" t="n"/>
      <c r="AB3" s="202" t="n"/>
      <c r="AC3" s="202" t="n"/>
      <c r="AD3" s="202" t="n"/>
      <c r="AE3" s="202" t="n"/>
      <c r="AF3" s="202" t="n"/>
      <c r="AG3" s="202" t="n"/>
    </row>
    <row r="4">
      <c r="A4" s="211" t="inlineStr">
        <is>
          <t>周波数 [Hz]</t>
        </is>
      </c>
      <c r="B4" s="211" t="inlineStr">
        <is>
          <t>実測 |Z| [Ω]</t>
        </is>
      </c>
      <c r="C4" s="211" t="inlineStr">
        <is>
          <t>実測位相 [deg]</t>
        </is>
      </c>
      <c r="D4" s="211" t="inlineStr">
        <is>
          <t>モデル |Z| [Ω]</t>
        </is>
      </c>
      <c r="E4" s="211" t="inlineStr">
        <is>
          <t>モデル位相 [deg]</t>
        </is>
      </c>
      <c r="F4" s="211" t="inlineStr">
        <is>
          <t>振幅誤差 [%]</t>
        </is>
      </c>
      <c r="G4" s="211" t="inlineStr">
        <is>
          <t>位相誤差 [deg]</t>
        </is>
      </c>
      <c r="H4" s="211" t="inlineStr">
        <is>
          <t>log10(f)</t>
        </is>
      </c>
      <c r="I4" s="211" t="inlineStr">
        <is>
          <t>log10(実測)</t>
        </is>
      </c>
      <c r="J4" s="211" t="inlineStr">
        <is>
          <t>log10(モデル)</t>
        </is>
      </c>
      <c r="K4" s="211" t="inlineStr">
        <is>
          <t>モデル行</t>
        </is>
      </c>
      <c r="L4" s="211" t="inlineStr">
        <is>
          <t>モデル周波数</t>
        </is>
      </c>
      <c r="M4" s="211" t="inlineStr">
        <is>
          <t>判定</t>
        </is>
      </c>
      <c r="N4" s="202" t="n"/>
      <c r="O4" s="202" t="n"/>
      <c r="P4" s="202" t="n"/>
      <c r="Q4" s="202" t="n"/>
      <c r="R4" s="202" t="n"/>
      <c r="S4" s="202" t="n"/>
      <c r="T4" s="202" t="n"/>
      <c r="U4" s="202" t="n"/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>
      <c r="A5" s="214" t="n"/>
      <c r="B5" s="215" t="n"/>
      <c r="C5" s="215" t="n"/>
      <c r="D5" s="212">
        <f>IF(K5="","",INDEX('同相3導体'!$AB:$AB,K5))</f>
        <v/>
      </c>
      <c r="E5" s="212">
        <f>IF(K5="","",INDEX('同相3導体'!$AC:$AC,K5))</f>
        <v/>
      </c>
      <c r="F5" s="212">
        <f>IF(OR(A5="",B5=""),"",100*(D5-B5)/MAX(B5,1E-12))</f>
        <v/>
      </c>
      <c r="G5" s="212">
        <f>IF(OR(A5="",C5=""),"",E5-C5)</f>
        <v/>
      </c>
      <c r="H5" s="212">
        <f>IF(A5="","",LOG10(A5))</f>
        <v/>
      </c>
      <c r="I5" s="212">
        <f>IF(B5="","",LOG10(MAX(B5,1E-12)))</f>
        <v/>
      </c>
      <c r="J5" s="212">
        <f>IF(D5="","",LOG10(MAX(D5,1E-12)))</f>
        <v/>
      </c>
      <c r="K5" s="202">
        <f>IF(A5="","",ROUND(1+(LOG10(A5)-LOG10('入力・概要'!$B$38))*('入力・概要'!$B$40-1)/(LOG10('入力・概要'!$B$39)-LOG10('入力・概要'!$B$38)),0)+3)</f>
        <v/>
      </c>
      <c r="L5" s="202">
        <f>IF(K5="","",INDEX('同相3導体'!$B:$B,K5))</f>
        <v/>
      </c>
      <c r="M5" s="202">
        <f>IF(A5="","",IF(ABS(L5/A5-1)&lt;0.01,"周波数差&lt;1%","周波数差あり"))</f>
        <v/>
      </c>
      <c r="N5" s="202" t="n"/>
      <c r="O5" s="202" t="n"/>
      <c r="P5" s="202" t="n"/>
      <c r="Q5" s="202" t="n"/>
      <c r="R5" s="202" t="n"/>
      <c r="S5" s="202" t="n"/>
      <c r="T5" s="202" t="n"/>
      <c r="U5" s="202" t="n"/>
      <c r="V5" s="202" t="n"/>
      <c r="W5" s="202" t="n"/>
      <c r="X5" s="202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</row>
    <row r="6">
      <c r="A6" s="214" t="n"/>
      <c r="B6" s="215" t="n"/>
      <c r="C6" s="215" t="n"/>
      <c r="D6" s="212">
        <f>IF(K6="","",INDEX('同相3導体'!$AB:$AB,K6))</f>
        <v/>
      </c>
      <c r="E6" s="212">
        <f>IF(K6="","",INDEX('同相3導体'!$AC:$AC,K6))</f>
        <v/>
      </c>
      <c r="F6" s="212">
        <f>IF(OR(A6="",B6=""),"",100*(D6-B6)/MAX(B6,1E-12))</f>
        <v/>
      </c>
      <c r="G6" s="212">
        <f>IF(OR(A6="",C6=""),"",E6-C6)</f>
        <v/>
      </c>
      <c r="H6" s="212">
        <f>IF(A6="","",LOG10(A6))</f>
        <v/>
      </c>
      <c r="I6" s="212">
        <f>IF(B6="","",LOG10(MAX(B6,1E-12)))</f>
        <v/>
      </c>
      <c r="J6" s="212">
        <f>IF(D6="","",LOG10(MAX(D6,1E-12)))</f>
        <v/>
      </c>
      <c r="K6" s="202">
        <f>IF(A6="","",ROUND(1+(LOG10(A6)-LOG10('入力・概要'!$B$38))*('入力・概要'!$B$40-1)/(LOG10('入力・概要'!$B$39)-LOG10('入力・概要'!$B$38)),0)+3)</f>
        <v/>
      </c>
      <c r="L6" s="202">
        <f>IF(K6="","",INDEX('同相3導体'!$B:$B,K6))</f>
        <v/>
      </c>
      <c r="M6" s="202">
        <f>IF(A6="","",IF(ABS(L6/A6-1)&lt;0.01,"周波数差&lt;1%","周波数差あり"))</f>
        <v/>
      </c>
      <c r="N6" s="202" t="n"/>
      <c r="O6" s="202" t="n"/>
      <c r="P6" s="202" t="n"/>
      <c r="Q6" s="202" t="n"/>
      <c r="R6" s="202" t="n"/>
      <c r="S6" s="202" t="n"/>
      <c r="T6" s="202" t="n"/>
      <c r="U6" s="202" t="n"/>
      <c r="V6" s="202" t="n"/>
      <c r="W6" s="202" t="n"/>
      <c r="X6" s="202" t="n"/>
      <c r="Y6" s="202" t="n"/>
      <c r="Z6" s="202" t="n"/>
      <c r="AA6" s="202" t="n"/>
      <c r="AB6" s="202" t="n"/>
      <c r="AC6" s="202" t="n"/>
      <c r="AD6" s="202" t="n"/>
      <c r="AE6" s="202" t="n"/>
      <c r="AF6" s="202" t="n"/>
      <c r="AG6" s="202" t="n"/>
    </row>
    <row r="7">
      <c r="A7" s="214" t="n"/>
      <c r="B7" s="215" t="n"/>
      <c r="C7" s="215" t="n"/>
      <c r="D7" s="212">
        <f>IF(K7="","",INDEX('同相3導体'!$AB:$AB,K7))</f>
        <v/>
      </c>
      <c r="E7" s="212">
        <f>IF(K7="","",INDEX('同相3導体'!$AC:$AC,K7))</f>
        <v/>
      </c>
      <c r="F7" s="212">
        <f>IF(OR(A7="",B7=""),"",100*(D7-B7)/MAX(B7,1E-12))</f>
        <v/>
      </c>
      <c r="G7" s="212">
        <f>IF(OR(A7="",C7=""),"",E7-C7)</f>
        <v/>
      </c>
      <c r="H7" s="212">
        <f>IF(A7="","",LOG10(A7))</f>
        <v/>
      </c>
      <c r="I7" s="212">
        <f>IF(B7="","",LOG10(MAX(B7,1E-12)))</f>
        <v/>
      </c>
      <c r="J7" s="212">
        <f>IF(D7="","",LOG10(MAX(D7,1E-12)))</f>
        <v/>
      </c>
      <c r="K7" s="202">
        <f>IF(A7="","",ROUND(1+(LOG10(A7)-LOG10('入力・概要'!$B$38))*('入力・概要'!$B$40-1)/(LOG10('入力・概要'!$B$39)-LOG10('入力・概要'!$B$38)),0)+3)</f>
        <v/>
      </c>
      <c r="L7" s="202">
        <f>IF(K7="","",INDEX('同相3導体'!$B:$B,K7))</f>
        <v/>
      </c>
      <c r="M7" s="202">
        <f>IF(A7="","",IF(ABS(L7/A7-1)&lt;0.01,"周波数差&lt;1%","周波数差あり"))</f>
        <v/>
      </c>
      <c r="N7" s="202" t="n"/>
      <c r="O7" s="202" t="n"/>
      <c r="P7" s="202" t="n"/>
      <c r="Q7" s="202" t="n"/>
      <c r="R7" s="202" t="n"/>
      <c r="S7" s="202" t="n"/>
      <c r="T7" s="202" t="n"/>
      <c r="U7" s="202" t="n"/>
      <c r="V7" s="202" t="n"/>
      <c r="W7" s="202" t="n"/>
      <c r="X7" s="202" t="n"/>
      <c r="Y7" s="202" t="n"/>
      <c r="Z7" s="202" t="n"/>
      <c r="AA7" s="202" t="n"/>
      <c r="AB7" s="202" t="n"/>
      <c r="AC7" s="202" t="n"/>
      <c r="AD7" s="202" t="n"/>
      <c r="AE7" s="202" t="n"/>
      <c r="AF7" s="202" t="n"/>
      <c r="AG7" s="202" t="n"/>
    </row>
    <row r="8">
      <c r="A8" s="214" t="n"/>
      <c r="B8" s="215" t="n"/>
      <c r="C8" s="215" t="n"/>
      <c r="D8" s="212">
        <f>IF(K8="","",INDEX('同相3導体'!$AB:$AB,K8))</f>
        <v/>
      </c>
      <c r="E8" s="212">
        <f>IF(K8="","",INDEX('同相3導体'!$AC:$AC,K8))</f>
        <v/>
      </c>
      <c r="F8" s="212">
        <f>IF(OR(A8="",B8=""),"",100*(D8-B8)/MAX(B8,1E-12))</f>
        <v/>
      </c>
      <c r="G8" s="212">
        <f>IF(OR(A8="",C8=""),"",E8-C8)</f>
        <v/>
      </c>
      <c r="H8" s="212">
        <f>IF(A8="","",LOG10(A8))</f>
        <v/>
      </c>
      <c r="I8" s="212">
        <f>IF(B8="","",LOG10(MAX(B8,1E-12)))</f>
        <v/>
      </c>
      <c r="J8" s="212">
        <f>IF(D8="","",LOG10(MAX(D8,1E-12)))</f>
        <v/>
      </c>
      <c r="K8" s="202">
        <f>IF(A8="","",ROUND(1+(LOG10(A8)-LOG10('入力・概要'!$B$38))*('入力・概要'!$B$40-1)/(LOG10('入力・概要'!$B$39)-LOG10('入力・概要'!$B$38)),0)+3)</f>
        <v/>
      </c>
      <c r="L8" s="202">
        <f>IF(K8="","",INDEX('同相3導体'!$B:$B,K8))</f>
        <v/>
      </c>
      <c r="M8" s="202">
        <f>IF(A8="","",IF(ABS(L8/A8-1)&lt;0.01,"周波数差&lt;1%","周波数差あり"))</f>
        <v/>
      </c>
      <c r="N8" s="202" t="n"/>
      <c r="O8" s="202" t="n"/>
      <c r="P8" s="202" t="n"/>
      <c r="Q8" s="202" t="n"/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2" t="n"/>
      <c r="AF8" s="202" t="n"/>
      <c r="AG8" s="202" t="n"/>
    </row>
    <row r="9">
      <c r="A9" s="214" t="n"/>
      <c r="B9" s="215" t="n"/>
      <c r="C9" s="215" t="n"/>
      <c r="D9" s="212">
        <f>IF(K9="","",INDEX('同相3導体'!$AB:$AB,K9))</f>
        <v/>
      </c>
      <c r="E9" s="212">
        <f>IF(K9="","",INDEX('同相3導体'!$AC:$AC,K9))</f>
        <v/>
      </c>
      <c r="F9" s="212">
        <f>IF(OR(A9="",B9=""),"",100*(D9-B9)/MAX(B9,1E-12))</f>
        <v/>
      </c>
      <c r="G9" s="212">
        <f>IF(OR(A9="",C9=""),"",E9-C9)</f>
        <v/>
      </c>
      <c r="H9" s="212">
        <f>IF(A9="","",LOG10(A9))</f>
        <v/>
      </c>
      <c r="I9" s="212">
        <f>IF(B9="","",LOG10(MAX(B9,1E-12)))</f>
        <v/>
      </c>
      <c r="J9" s="212">
        <f>IF(D9="","",LOG10(MAX(D9,1E-12)))</f>
        <v/>
      </c>
      <c r="K9" s="202">
        <f>IF(A9="","",ROUND(1+(LOG10(A9)-LOG10('入力・概要'!$B$38))*('入力・概要'!$B$40-1)/(LOG10('入力・概要'!$B$39)-LOG10('入力・概要'!$B$38)),0)+3)</f>
        <v/>
      </c>
      <c r="L9" s="202">
        <f>IF(K9="","",INDEX('同相3導体'!$B:$B,K9))</f>
        <v/>
      </c>
      <c r="M9" s="202">
        <f>IF(A9="","",IF(ABS(L9/A9-1)&lt;0.01,"周波数差&lt;1%","周波数差あり"))</f>
        <v/>
      </c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</row>
    <row r="10">
      <c r="A10" s="214" t="n"/>
      <c r="B10" s="215" t="n"/>
      <c r="C10" s="215" t="n"/>
      <c r="D10" s="212">
        <f>IF(K10="","",INDEX('同相3導体'!$AB:$AB,K10))</f>
        <v/>
      </c>
      <c r="E10" s="212">
        <f>IF(K10="","",INDEX('同相3導体'!$AC:$AC,K10))</f>
        <v/>
      </c>
      <c r="F10" s="212">
        <f>IF(OR(A10="",B10=""),"",100*(D10-B10)/MAX(B10,1E-12))</f>
        <v/>
      </c>
      <c r="G10" s="212">
        <f>IF(OR(A10="",C10=""),"",E10-C10)</f>
        <v/>
      </c>
      <c r="H10" s="212">
        <f>IF(A10="","",LOG10(A10))</f>
        <v/>
      </c>
      <c r="I10" s="212">
        <f>IF(B10="","",LOG10(MAX(B10,1E-12)))</f>
        <v/>
      </c>
      <c r="J10" s="212">
        <f>IF(D10="","",LOG10(MAX(D10,1E-12)))</f>
        <v/>
      </c>
      <c r="K10" s="202">
        <f>IF(A10="","",ROUND(1+(LOG10(A10)-LOG10('入力・概要'!$B$38))*('入力・概要'!$B$40-1)/(LOG10('入力・概要'!$B$39)-LOG10('入力・概要'!$B$38)),0)+3)</f>
        <v/>
      </c>
      <c r="L10" s="202">
        <f>IF(K10="","",INDEX('同相3導体'!$B:$B,K10))</f>
        <v/>
      </c>
      <c r="M10" s="202">
        <f>IF(A10="","",IF(ABS(L10/A10-1)&lt;0.01,"周波数差&lt;1%","周波数差あり"))</f>
        <v/>
      </c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202" t="n"/>
      <c r="AF10" s="202" t="n"/>
      <c r="AG10" s="202" t="n"/>
    </row>
    <row r="11">
      <c r="A11" s="214" t="n"/>
      <c r="B11" s="215" t="n"/>
      <c r="C11" s="215" t="n"/>
      <c r="D11" s="212">
        <f>IF(K11="","",INDEX('同相3導体'!$AB:$AB,K11))</f>
        <v/>
      </c>
      <c r="E11" s="212">
        <f>IF(K11="","",INDEX('同相3導体'!$AC:$AC,K11))</f>
        <v/>
      </c>
      <c r="F11" s="212">
        <f>IF(OR(A11="",B11=""),"",100*(D11-B11)/MAX(B11,1E-12))</f>
        <v/>
      </c>
      <c r="G11" s="212">
        <f>IF(OR(A11="",C11=""),"",E11-C11)</f>
        <v/>
      </c>
      <c r="H11" s="212">
        <f>IF(A11="","",LOG10(A11))</f>
        <v/>
      </c>
      <c r="I11" s="212">
        <f>IF(B11="","",LOG10(MAX(B11,1E-12)))</f>
        <v/>
      </c>
      <c r="J11" s="212">
        <f>IF(D11="","",LOG10(MAX(D11,1E-12)))</f>
        <v/>
      </c>
      <c r="K11" s="202">
        <f>IF(A11="","",ROUND(1+(LOG10(A11)-LOG10('入力・概要'!$B$38))*('入力・概要'!$B$40-1)/(LOG10('入力・概要'!$B$39)-LOG10('入力・概要'!$B$38)),0)+3)</f>
        <v/>
      </c>
      <c r="L11" s="202">
        <f>IF(K11="","",INDEX('同相3導体'!$B:$B,K11))</f>
        <v/>
      </c>
      <c r="M11" s="202">
        <f>IF(A11="","",IF(ABS(L11/A11-1)&lt;0.01,"周波数差&lt;1%","周波数差あり"))</f>
        <v/>
      </c>
      <c r="N11" s="202" t="n"/>
      <c r="O11" s="202" t="n"/>
      <c r="P11" s="202" t="n"/>
      <c r="Q11" s="202" t="n"/>
      <c r="R11" s="202" t="n"/>
      <c r="S11" s="202" t="n"/>
      <c r="T11" s="202" t="n"/>
      <c r="U11" s="202" t="n"/>
      <c r="V11" s="202" t="n"/>
      <c r="W11" s="202" t="n"/>
      <c r="X11" s="202" t="n"/>
      <c r="Y11" s="202" t="n"/>
      <c r="Z11" s="202" t="n"/>
      <c r="AA11" s="202" t="n"/>
      <c r="AB11" s="202" t="n"/>
      <c r="AC11" s="202" t="n"/>
      <c r="AD11" s="202" t="n"/>
      <c r="AE11" s="202" t="n"/>
      <c r="AF11" s="202" t="n"/>
      <c r="AG11" s="202" t="n"/>
    </row>
    <row r="12">
      <c r="A12" s="214" t="n"/>
      <c r="B12" s="215" t="n"/>
      <c r="C12" s="215" t="n"/>
      <c r="D12" s="212">
        <f>IF(K12="","",INDEX('同相3導体'!$AB:$AB,K12))</f>
        <v/>
      </c>
      <c r="E12" s="212">
        <f>IF(K12="","",INDEX('同相3導体'!$AC:$AC,K12))</f>
        <v/>
      </c>
      <c r="F12" s="212">
        <f>IF(OR(A12="",B12=""),"",100*(D12-B12)/MAX(B12,1E-12))</f>
        <v/>
      </c>
      <c r="G12" s="212">
        <f>IF(OR(A12="",C12=""),"",E12-C12)</f>
        <v/>
      </c>
      <c r="H12" s="212">
        <f>IF(A12="","",LOG10(A12))</f>
        <v/>
      </c>
      <c r="I12" s="212">
        <f>IF(B12="","",LOG10(MAX(B12,1E-12)))</f>
        <v/>
      </c>
      <c r="J12" s="212">
        <f>IF(D12="","",LOG10(MAX(D12,1E-12)))</f>
        <v/>
      </c>
      <c r="K12" s="202">
        <f>IF(A12="","",ROUND(1+(LOG10(A12)-LOG10('入力・概要'!$B$38))*('入力・概要'!$B$40-1)/(LOG10('入力・概要'!$B$39)-LOG10('入力・概要'!$B$38)),0)+3)</f>
        <v/>
      </c>
      <c r="L12" s="202">
        <f>IF(K12="","",INDEX('同相3導体'!$B:$B,K12))</f>
        <v/>
      </c>
      <c r="M12" s="202">
        <f>IF(A12="","",IF(ABS(L12/A12-1)&lt;0.01,"周波数差&lt;1%","周波数差あり"))</f>
        <v/>
      </c>
      <c r="N12" s="202" t="n"/>
      <c r="O12" s="202" t="n"/>
      <c r="P12" s="202" t="n"/>
      <c r="Q12" s="202" t="n"/>
      <c r="R12" s="202" t="n"/>
      <c r="S12" s="202" t="n"/>
      <c r="T12" s="202" t="n"/>
      <c r="U12" s="202" t="n"/>
      <c r="V12" s="202" t="n"/>
      <c r="W12" s="202" t="n"/>
      <c r="X12" s="202" t="n"/>
      <c r="Y12" s="202" t="n"/>
      <c r="Z12" s="202" t="n"/>
      <c r="AA12" s="202" t="n"/>
      <c r="AB12" s="202" t="n"/>
      <c r="AC12" s="202" t="n"/>
      <c r="AD12" s="202" t="n"/>
      <c r="AE12" s="202" t="n"/>
      <c r="AF12" s="202" t="n"/>
      <c r="AG12" s="202" t="n"/>
    </row>
    <row r="13">
      <c r="A13" s="214" t="n"/>
      <c r="B13" s="215" t="n"/>
      <c r="C13" s="215" t="n"/>
      <c r="D13" s="212">
        <f>IF(K13="","",INDEX('同相3導体'!$AB:$AB,K13))</f>
        <v/>
      </c>
      <c r="E13" s="212">
        <f>IF(K13="","",INDEX('同相3導体'!$AC:$AC,K13))</f>
        <v/>
      </c>
      <c r="F13" s="212">
        <f>IF(OR(A13="",B13=""),"",100*(D13-B13)/MAX(B13,1E-12))</f>
        <v/>
      </c>
      <c r="G13" s="212">
        <f>IF(OR(A13="",C13=""),"",E13-C13)</f>
        <v/>
      </c>
      <c r="H13" s="212">
        <f>IF(A13="","",LOG10(A13))</f>
        <v/>
      </c>
      <c r="I13" s="212">
        <f>IF(B13="","",LOG10(MAX(B13,1E-12)))</f>
        <v/>
      </c>
      <c r="J13" s="212">
        <f>IF(D13="","",LOG10(MAX(D13,1E-12)))</f>
        <v/>
      </c>
      <c r="K13" s="202">
        <f>IF(A13="","",ROUND(1+(LOG10(A13)-LOG10('入力・概要'!$B$38))*('入力・概要'!$B$40-1)/(LOG10('入力・概要'!$B$39)-LOG10('入力・概要'!$B$38)),0)+3)</f>
        <v/>
      </c>
      <c r="L13" s="202">
        <f>IF(K13="","",INDEX('同相3導体'!$B:$B,K13))</f>
        <v/>
      </c>
      <c r="M13" s="202">
        <f>IF(A13="","",IF(ABS(L13/A13-1)&lt;0.01,"周波数差&lt;1%","周波数差あり"))</f>
        <v/>
      </c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02" t="n"/>
      <c r="AB13" s="202" t="n"/>
      <c r="AC13" s="202" t="n"/>
      <c r="AD13" s="202" t="n"/>
      <c r="AE13" s="202" t="n"/>
      <c r="AF13" s="202" t="n"/>
      <c r="AG13" s="202" t="n"/>
    </row>
    <row r="14">
      <c r="A14" s="214" t="n"/>
      <c r="B14" s="215" t="n"/>
      <c r="C14" s="215" t="n"/>
      <c r="D14" s="212">
        <f>IF(K14="","",INDEX('同相3導体'!$AB:$AB,K14))</f>
        <v/>
      </c>
      <c r="E14" s="212">
        <f>IF(K14="","",INDEX('同相3導体'!$AC:$AC,K14))</f>
        <v/>
      </c>
      <c r="F14" s="212">
        <f>IF(OR(A14="",B14=""),"",100*(D14-B14)/MAX(B14,1E-12))</f>
        <v/>
      </c>
      <c r="G14" s="212">
        <f>IF(OR(A14="",C14=""),"",E14-C14)</f>
        <v/>
      </c>
      <c r="H14" s="212">
        <f>IF(A14="","",LOG10(A14))</f>
        <v/>
      </c>
      <c r="I14" s="212">
        <f>IF(B14="","",LOG10(MAX(B14,1E-12)))</f>
        <v/>
      </c>
      <c r="J14" s="212">
        <f>IF(D14="","",LOG10(MAX(D14,1E-12)))</f>
        <v/>
      </c>
      <c r="K14" s="202">
        <f>IF(A14="","",ROUND(1+(LOG10(A14)-LOG10('入力・概要'!$B$38))*('入力・概要'!$B$40-1)/(LOG10('入力・概要'!$B$39)-LOG10('入力・概要'!$B$38)),0)+3)</f>
        <v/>
      </c>
      <c r="L14" s="202">
        <f>IF(K14="","",INDEX('同相3導体'!$B:$B,K14))</f>
        <v/>
      </c>
      <c r="M14" s="202">
        <f>IF(A14="","",IF(ABS(L14/A14-1)&lt;0.01,"周波数差&lt;1%","周波数差あり"))</f>
        <v/>
      </c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  <c r="AE14" s="202" t="n"/>
      <c r="AF14" s="202" t="n"/>
      <c r="AG14" s="202" t="n"/>
    </row>
    <row r="15">
      <c r="A15" s="214" t="n"/>
      <c r="B15" s="215" t="n"/>
      <c r="C15" s="215" t="n"/>
      <c r="D15" s="212">
        <f>IF(K15="","",INDEX('同相3導体'!$AB:$AB,K15))</f>
        <v/>
      </c>
      <c r="E15" s="212">
        <f>IF(K15="","",INDEX('同相3導体'!$AC:$AC,K15))</f>
        <v/>
      </c>
      <c r="F15" s="212">
        <f>IF(OR(A15="",B15=""),"",100*(D15-B15)/MAX(B15,1E-12))</f>
        <v/>
      </c>
      <c r="G15" s="212">
        <f>IF(OR(A15="",C15=""),"",E15-C15)</f>
        <v/>
      </c>
      <c r="H15" s="212">
        <f>IF(A15="","",LOG10(A15))</f>
        <v/>
      </c>
      <c r="I15" s="212">
        <f>IF(B15="","",LOG10(MAX(B15,1E-12)))</f>
        <v/>
      </c>
      <c r="J15" s="212">
        <f>IF(D15="","",LOG10(MAX(D15,1E-12)))</f>
        <v/>
      </c>
      <c r="K15" s="202">
        <f>IF(A15="","",ROUND(1+(LOG10(A15)-LOG10('入力・概要'!$B$38))*('入力・概要'!$B$40-1)/(LOG10('入力・概要'!$B$39)-LOG10('入力・概要'!$B$38)),0)+3)</f>
        <v/>
      </c>
      <c r="L15" s="202">
        <f>IF(K15="","",INDEX('同相3導体'!$B:$B,K15))</f>
        <v/>
      </c>
      <c r="M15" s="202">
        <f>IF(A15="","",IF(ABS(L15/A15-1)&lt;0.01,"周波数差&lt;1%","周波数差あり"))</f>
        <v/>
      </c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</row>
    <row r="16">
      <c r="A16" s="214" t="n"/>
      <c r="B16" s="215" t="n"/>
      <c r="C16" s="215" t="n"/>
      <c r="D16" s="212">
        <f>IF(K16="","",INDEX('同相3導体'!$AB:$AB,K16))</f>
        <v/>
      </c>
      <c r="E16" s="212">
        <f>IF(K16="","",INDEX('同相3導体'!$AC:$AC,K16))</f>
        <v/>
      </c>
      <c r="F16" s="212">
        <f>IF(OR(A16="",B16=""),"",100*(D16-B16)/MAX(B16,1E-12))</f>
        <v/>
      </c>
      <c r="G16" s="212">
        <f>IF(OR(A16="",C16=""),"",E16-C16)</f>
        <v/>
      </c>
      <c r="H16" s="212">
        <f>IF(A16="","",LOG10(A16))</f>
        <v/>
      </c>
      <c r="I16" s="212">
        <f>IF(B16="","",LOG10(MAX(B16,1E-12)))</f>
        <v/>
      </c>
      <c r="J16" s="212">
        <f>IF(D16="","",LOG10(MAX(D16,1E-12)))</f>
        <v/>
      </c>
      <c r="K16" s="202">
        <f>IF(A16="","",ROUND(1+(LOG10(A16)-LOG10('入力・概要'!$B$38))*('入力・概要'!$B$40-1)/(LOG10('入力・概要'!$B$39)-LOG10('入力・概要'!$B$38)),0)+3)</f>
        <v/>
      </c>
      <c r="L16" s="202">
        <f>IF(K16="","",INDEX('同相3導体'!$B:$B,K16))</f>
        <v/>
      </c>
      <c r="M16" s="202">
        <f>IF(A16="","",IF(ABS(L16/A16-1)&lt;0.01,"周波数差&lt;1%","周波数差あり"))</f>
        <v/>
      </c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</row>
    <row r="17">
      <c r="A17" s="214" t="n"/>
      <c r="B17" s="215" t="n"/>
      <c r="C17" s="215" t="n"/>
      <c r="D17" s="212">
        <f>IF(K17="","",INDEX('同相3導体'!$AB:$AB,K17))</f>
        <v/>
      </c>
      <c r="E17" s="212">
        <f>IF(K17="","",INDEX('同相3導体'!$AC:$AC,K17))</f>
        <v/>
      </c>
      <c r="F17" s="212">
        <f>IF(OR(A17="",B17=""),"",100*(D17-B17)/MAX(B17,1E-12))</f>
        <v/>
      </c>
      <c r="G17" s="212">
        <f>IF(OR(A17="",C17=""),"",E17-C17)</f>
        <v/>
      </c>
      <c r="H17" s="212">
        <f>IF(A17="","",LOG10(A17))</f>
        <v/>
      </c>
      <c r="I17" s="212">
        <f>IF(B17="","",LOG10(MAX(B17,1E-12)))</f>
        <v/>
      </c>
      <c r="J17" s="212">
        <f>IF(D17="","",LOG10(MAX(D17,1E-12)))</f>
        <v/>
      </c>
      <c r="K17" s="202">
        <f>IF(A17="","",ROUND(1+(LOG10(A17)-LOG10('入力・概要'!$B$38))*('入力・概要'!$B$40-1)/(LOG10('入力・概要'!$B$39)-LOG10('入力・概要'!$B$38)),0)+3)</f>
        <v/>
      </c>
      <c r="L17" s="202">
        <f>IF(K17="","",INDEX('同相3導体'!$B:$B,K17))</f>
        <v/>
      </c>
      <c r="M17" s="202">
        <f>IF(A17="","",IF(ABS(L17/A17-1)&lt;0.01,"周波数差&lt;1%","周波数差あり"))</f>
        <v/>
      </c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</row>
    <row r="18">
      <c r="A18" s="214" t="n"/>
      <c r="B18" s="215" t="n"/>
      <c r="C18" s="215" t="n"/>
      <c r="D18" s="212">
        <f>IF(K18="","",INDEX('同相3導体'!$AB:$AB,K18))</f>
        <v/>
      </c>
      <c r="E18" s="212">
        <f>IF(K18="","",INDEX('同相3導体'!$AC:$AC,K18))</f>
        <v/>
      </c>
      <c r="F18" s="212">
        <f>IF(OR(A18="",B18=""),"",100*(D18-B18)/MAX(B18,1E-12))</f>
        <v/>
      </c>
      <c r="G18" s="212">
        <f>IF(OR(A18="",C18=""),"",E18-C18)</f>
        <v/>
      </c>
      <c r="H18" s="212">
        <f>IF(A18="","",LOG10(A18))</f>
        <v/>
      </c>
      <c r="I18" s="212">
        <f>IF(B18="","",LOG10(MAX(B18,1E-12)))</f>
        <v/>
      </c>
      <c r="J18" s="212">
        <f>IF(D18="","",LOG10(MAX(D18,1E-12)))</f>
        <v/>
      </c>
      <c r="K18" s="202">
        <f>IF(A18="","",ROUND(1+(LOG10(A18)-LOG10('入力・概要'!$B$38))*('入力・概要'!$B$40-1)/(LOG10('入力・概要'!$B$39)-LOG10('入力・概要'!$B$38)),0)+3)</f>
        <v/>
      </c>
      <c r="L18" s="202">
        <f>IF(K18="","",INDEX('同相3導体'!$B:$B,K18))</f>
        <v/>
      </c>
      <c r="M18" s="202">
        <f>IF(A18="","",IF(ABS(L18/A18-1)&lt;0.01,"周波数差&lt;1%","周波数差あり"))</f>
        <v/>
      </c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</row>
    <row r="19">
      <c r="A19" s="214" t="n"/>
      <c r="B19" s="215" t="n"/>
      <c r="C19" s="215" t="n"/>
      <c r="D19" s="212">
        <f>IF(K19="","",INDEX('同相3導体'!$AB:$AB,K19))</f>
        <v/>
      </c>
      <c r="E19" s="212">
        <f>IF(K19="","",INDEX('同相3導体'!$AC:$AC,K19))</f>
        <v/>
      </c>
      <c r="F19" s="212">
        <f>IF(OR(A19="",B19=""),"",100*(D19-B19)/MAX(B19,1E-12))</f>
        <v/>
      </c>
      <c r="G19" s="212">
        <f>IF(OR(A19="",C19=""),"",E19-C19)</f>
        <v/>
      </c>
      <c r="H19" s="212">
        <f>IF(A19="","",LOG10(A19))</f>
        <v/>
      </c>
      <c r="I19" s="212">
        <f>IF(B19="","",LOG10(MAX(B19,1E-12)))</f>
        <v/>
      </c>
      <c r="J19" s="212">
        <f>IF(D19="","",LOG10(MAX(D19,1E-12)))</f>
        <v/>
      </c>
      <c r="K19" s="202">
        <f>IF(A19="","",ROUND(1+(LOG10(A19)-LOG10('入力・概要'!$B$38))*('入力・概要'!$B$40-1)/(LOG10('入力・概要'!$B$39)-LOG10('入力・概要'!$B$38)),0)+3)</f>
        <v/>
      </c>
      <c r="L19" s="202">
        <f>IF(K19="","",INDEX('同相3導体'!$B:$B,K19))</f>
        <v/>
      </c>
      <c r="M19" s="202">
        <f>IF(A19="","",IF(ABS(L19/A19-1)&lt;0.01,"周波数差&lt;1%","周波数差あり"))</f>
        <v/>
      </c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</row>
    <row r="20">
      <c r="A20" s="214" t="n"/>
      <c r="B20" s="215" t="n"/>
      <c r="C20" s="215" t="n"/>
      <c r="D20" s="212">
        <f>IF(K20="","",INDEX('同相3導体'!$AB:$AB,K20))</f>
        <v/>
      </c>
      <c r="E20" s="212">
        <f>IF(K20="","",INDEX('同相3導体'!$AC:$AC,K20))</f>
        <v/>
      </c>
      <c r="F20" s="212">
        <f>IF(OR(A20="",B20=""),"",100*(D20-B20)/MAX(B20,1E-12))</f>
        <v/>
      </c>
      <c r="G20" s="212">
        <f>IF(OR(A20="",C20=""),"",E20-C20)</f>
        <v/>
      </c>
      <c r="H20" s="212">
        <f>IF(A20="","",LOG10(A20))</f>
        <v/>
      </c>
      <c r="I20" s="212">
        <f>IF(B20="","",LOG10(MAX(B20,1E-12)))</f>
        <v/>
      </c>
      <c r="J20" s="212">
        <f>IF(D20="","",LOG10(MAX(D20,1E-12)))</f>
        <v/>
      </c>
      <c r="K20" s="202">
        <f>IF(A20="","",ROUND(1+(LOG10(A20)-LOG10('入力・概要'!$B$38))*('入力・概要'!$B$40-1)/(LOG10('入力・概要'!$B$39)-LOG10('入力・概要'!$B$38)),0)+3)</f>
        <v/>
      </c>
      <c r="L20" s="202">
        <f>IF(K20="","",INDEX('同相3導体'!$B:$B,K20))</f>
        <v/>
      </c>
      <c r="M20" s="202">
        <f>IF(A20="","",IF(ABS(L20/A20-1)&lt;0.01,"周波数差&lt;1%","周波数差あり"))</f>
        <v/>
      </c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</row>
    <row r="21">
      <c r="A21" s="214" t="n"/>
      <c r="B21" s="215" t="n"/>
      <c r="C21" s="215" t="n"/>
      <c r="D21" s="212">
        <f>IF(K21="","",INDEX('同相3導体'!$AB:$AB,K21))</f>
        <v/>
      </c>
      <c r="E21" s="212">
        <f>IF(K21="","",INDEX('同相3導体'!$AC:$AC,K21))</f>
        <v/>
      </c>
      <c r="F21" s="212">
        <f>IF(OR(A21="",B21=""),"",100*(D21-B21)/MAX(B21,1E-12))</f>
        <v/>
      </c>
      <c r="G21" s="212">
        <f>IF(OR(A21="",C21=""),"",E21-C21)</f>
        <v/>
      </c>
      <c r="H21" s="212">
        <f>IF(A21="","",LOG10(A21))</f>
        <v/>
      </c>
      <c r="I21" s="212">
        <f>IF(B21="","",LOG10(MAX(B21,1E-12)))</f>
        <v/>
      </c>
      <c r="J21" s="212">
        <f>IF(D21="","",LOG10(MAX(D21,1E-12)))</f>
        <v/>
      </c>
      <c r="K21" s="202">
        <f>IF(A21="","",ROUND(1+(LOG10(A21)-LOG10('入力・概要'!$B$38))*('入力・概要'!$B$40-1)/(LOG10('入力・概要'!$B$39)-LOG10('入力・概要'!$B$38)),0)+3)</f>
        <v/>
      </c>
      <c r="L21" s="202">
        <f>IF(K21="","",INDEX('同相3導体'!$B:$B,K21))</f>
        <v/>
      </c>
      <c r="M21" s="202">
        <f>IF(A21="","",IF(ABS(L21/A21-1)&lt;0.01,"周波数差&lt;1%","周波数差あり"))</f>
        <v/>
      </c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</row>
    <row r="22">
      <c r="A22" s="214" t="n"/>
      <c r="B22" s="215" t="n"/>
      <c r="C22" s="215" t="n"/>
      <c r="D22" s="212">
        <f>IF(K22="","",INDEX('同相3導体'!$AB:$AB,K22))</f>
        <v/>
      </c>
      <c r="E22" s="212">
        <f>IF(K22="","",INDEX('同相3導体'!$AC:$AC,K22))</f>
        <v/>
      </c>
      <c r="F22" s="212">
        <f>IF(OR(A22="",B22=""),"",100*(D22-B22)/MAX(B22,1E-12))</f>
        <v/>
      </c>
      <c r="G22" s="212">
        <f>IF(OR(A22="",C22=""),"",E22-C22)</f>
        <v/>
      </c>
      <c r="H22" s="212">
        <f>IF(A22="","",LOG10(A22))</f>
        <v/>
      </c>
      <c r="I22" s="212">
        <f>IF(B22="","",LOG10(MAX(B22,1E-12)))</f>
        <v/>
      </c>
      <c r="J22" s="212">
        <f>IF(D22="","",LOG10(MAX(D22,1E-12)))</f>
        <v/>
      </c>
      <c r="K22" s="202">
        <f>IF(A22="","",ROUND(1+(LOG10(A22)-LOG10('入力・概要'!$B$38))*('入力・概要'!$B$40-1)/(LOG10('入力・概要'!$B$39)-LOG10('入力・概要'!$B$38)),0)+3)</f>
        <v/>
      </c>
      <c r="L22" s="202">
        <f>IF(K22="","",INDEX('同相3導体'!$B:$B,K22))</f>
        <v/>
      </c>
      <c r="M22" s="202">
        <f>IF(A22="","",IF(ABS(L22/A22-1)&lt;0.01,"周波数差&lt;1%","周波数差あり"))</f>
        <v/>
      </c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</row>
    <row r="23">
      <c r="A23" s="214" t="n"/>
      <c r="B23" s="215" t="n"/>
      <c r="C23" s="215" t="n"/>
      <c r="D23" s="212">
        <f>IF(K23="","",INDEX('同相3導体'!$AB:$AB,K23))</f>
        <v/>
      </c>
      <c r="E23" s="212">
        <f>IF(K23="","",INDEX('同相3導体'!$AC:$AC,K23))</f>
        <v/>
      </c>
      <c r="F23" s="212">
        <f>IF(OR(A23="",B23=""),"",100*(D23-B23)/MAX(B23,1E-12))</f>
        <v/>
      </c>
      <c r="G23" s="212">
        <f>IF(OR(A23="",C23=""),"",E23-C23)</f>
        <v/>
      </c>
      <c r="H23" s="212">
        <f>IF(A23="","",LOG10(A23))</f>
        <v/>
      </c>
      <c r="I23" s="212">
        <f>IF(B23="","",LOG10(MAX(B23,1E-12)))</f>
        <v/>
      </c>
      <c r="J23" s="212">
        <f>IF(D23="","",LOG10(MAX(D23,1E-12)))</f>
        <v/>
      </c>
      <c r="K23" s="202">
        <f>IF(A23="","",ROUND(1+(LOG10(A23)-LOG10('入力・概要'!$B$38))*('入力・概要'!$B$40-1)/(LOG10('入力・概要'!$B$39)-LOG10('入力・概要'!$B$38)),0)+3)</f>
        <v/>
      </c>
      <c r="L23" s="202">
        <f>IF(K23="","",INDEX('同相3導体'!$B:$B,K23))</f>
        <v/>
      </c>
      <c r="M23" s="202">
        <f>IF(A23="","",IF(ABS(L23/A23-1)&lt;0.01,"周波数差&lt;1%","周波数差あり"))</f>
        <v/>
      </c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</row>
    <row r="24">
      <c r="A24" s="214" t="n"/>
      <c r="B24" s="215" t="n"/>
      <c r="C24" s="215" t="n"/>
      <c r="D24" s="212">
        <f>IF(K24="","",INDEX('同相3導体'!$AB:$AB,K24))</f>
        <v/>
      </c>
      <c r="E24" s="212">
        <f>IF(K24="","",INDEX('同相3導体'!$AC:$AC,K24))</f>
        <v/>
      </c>
      <c r="F24" s="212">
        <f>IF(OR(A24="",B24=""),"",100*(D24-B24)/MAX(B24,1E-12))</f>
        <v/>
      </c>
      <c r="G24" s="212">
        <f>IF(OR(A24="",C24=""),"",E24-C24)</f>
        <v/>
      </c>
      <c r="H24" s="212">
        <f>IF(A24="","",LOG10(A24))</f>
        <v/>
      </c>
      <c r="I24" s="212">
        <f>IF(B24="","",LOG10(MAX(B24,1E-12)))</f>
        <v/>
      </c>
      <c r="J24" s="212">
        <f>IF(D24="","",LOG10(MAX(D24,1E-12)))</f>
        <v/>
      </c>
      <c r="K24" s="202">
        <f>IF(A24="","",ROUND(1+(LOG10(A24)-LOG10('入力・概要'!$B$38))*('入力・概要'!$B$40-1)/(LOG10('入力・概要'!$B$39)-LOG10('入力・概要'!$B$38)),0)+3)</f>
        <v/>
      </c>
      <c r="L24" s="202">
        <f>IF(K24="","",INDEX('同相3導体'!$B:$B,K24))</f>
        <v/>
      </c>
      <c r="M24" s="202">
        <f>IF(A24="","",IF(ABS(L24/A24-1)&lt;0.01,"周波数差&lt;1%","周波数差あり"))</f>
        <v/>
      </c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</row>
    <row r="25">
      <c r="A25" s="214" t="n"/>
      <c r="B25" s="215" t="n"/>
      <c r="C25" s="215" t="n"/>
      <c r="D25" s="212">
        <f>IF(K25="","",INDEX('同相3導体'!$AB:$AB,K25))</f>
        <v/>
      </c>
      <c r="E25" s="212">
        <f>IF(K25="","",INDEX('同相3導体'!$AC:$AC,K25))</f>
        <v/>
      </c>
      <c r="F25" s="212">
        <f>IF(OR(A25="",B25=""),"",100*(D25-B25)/MAX(B25,1E-12))</f>
        <v/>
      </c>
      <c r="G25" s="212">
        <f>IF(OR(A25="",C25=""),"",E25-C25)</f>
        <v/>
      </c>
      <c r="H25" s="212">
        <f>IF(A25="","",LOG10(A25))</f>
        <v/>
      </c>
      <c r="I25" s="212">
        <f>IF(B25="","",LOG10(MAX(B25,1E-12)))</f>
        <v/>
      </c>
      <c r="J25" s="212">
        <f>IF(D25="","",LOG10(MAX(D25,1E-12)))</f>
        <v/>
      </c>
      <c r="K25" s="202">
        <f>IF(A25="","",ROUND(1+(LOG10(A25)-LOG10('入力・概要'!$B$38))*('入力・概要'!$B$40-1)/(LOG10('入力・概要'!$B$39)-LOG10('入力・概要'!$B$38)),0)+3)</f>
        <v/>
      </c>
      <c r="L25" s="202">
        <f>IF(K25="","",INDEX('同相3導体'!$B:$B,K25))</f>
        <v/>
      </c>
      <c r="M25" s="202">
        <f>IF(A25="","",IF(ABS(L25/A25-1)&lt;0.01,"周波数差&lt;1%","周波数差あり"))</f>
        <v/>
      </c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</row>
    <row r="26">
      <c r="A26" s="214" t="n"/>
      <c r="B26" s="215" t="n"/>
      <c r="C26" s="215" t="n"/>
      <c r="D26" s="212">
        <f>IF(K26="","",INDEX('同相3導体'!$AB:$AB,K26))</f>
        <v/>
      </c>
      <c r="E26" s="212">
        <f>IF(K26="","",INDEX('同相3導体'!$AC:$AC,K26))</f>
        <v/>
      </c>
      <c r="F26" s="212">
        <f>IF(OR(A26="",B26=""),"",100*(D26-B26)/MAX(B26,1E-12))</f>
        <v/>
      </c>
      <c r="G26" s="212">
        <f>IF(OR(A26="",C26=""),"",E26-C26)</f>
        <v/>
      </c>
      <c r="H26" s="212">
        <f>IF(A26="","",LOG10(A26))</f>
        <v/>
      </c>
      <c r="I26" s="212">
        <f>IF(B26="","",LOG10(MAX(B26,1E-12)))</f>
        <v/>
      </c>
      <c r="J26" s="212">
        <f>IF(D26="","",LOG10(MAX(D26,1E-12)))</f>
        <v/>
      </c>
      <c r="K26" s="202">
        <f>IF(A26="","",ROUND(1+(LOG10(A26)-LOG10('入力・概要'!$B$38))*('入力・概要'!$B$40-1)/(LOG10('入力・概要'!$B$39)-LOG10('入力・概要'!$B$38)),0)+3)</f>
        <v/>
      </c>
      <c r="L26" s="202">
        <f>IF(K26="","",INDEX('同相3導体'!$B:$B,K26))</f>
        <v/>
      </c>
      <c r="M26" s="202">
        <f>IF(A26="","",IF(ABS(L26/A26-1)&lt;0.01,"周波数差&lt;1%","周波数差あり"))</f>
        <v/>
      </c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</row>
    <row r="27">
      <c r="A27" s="214" t="n"/>
      <c r="B27" s="215" t="n"/>
      <c r="C27" s="215" t="n"/>
      <c r="D27" s="212">
        <f>IF(K27="","",INDEX('同相3導体'!$AB:$AB,K27))</f>
        <v/>
      </c>
      <c r="E27" s="212">
        <f>IF(K27="","",INDEX('同相3導体'!$AC:$AC,K27))</f>
        <v/>
      </c>
      <c r="F27" s="212">
        <f>IF(OR(A27="",B27=""),"",100*(D27-B27)/MAX(B27,1E-12))</f>
        <v/>
      </c>
      <c r="G27" s="212">
        <f>IF(OR(A27="",C27=""),"",E27-C27)</f>
        <v/>
      </c>
      <c r="H27" s="212">
        <f>IF(A27="","",LOG10(A27))</f>
        <v/>
      </c>
      <c r="I27" s="212">
        <f>IF(B27="","",LOG10(MAX(B27,1E-12)))</f>
        <v/>
      </c>
      <c r="J27" s="212">
        <f>IF(D27="","",LOG10(MAX(D27,1E-12)))</f>
        <v/>
      </c>
      <c r="K27" s="202">
        <f>IF(A27="","",ROUND(1+(LOG10(A27)-LOG10('入力・概要'!$B$38))*('入力・概要'!$B$40-1)/(LOG10('入力・概要'!$B$39)-LOG10('入力・概要'!$B$38)),0)+3)</f>
        <v/>
      </c>
      <c r="L27" s="202">
        <f>IF(K27="","",INDEX('同相3導体'!$B:$B,K27))</f>
        <v/>
      </c>
      <c r="M27" s="202">
        <f>IF(A27="","",IF(ABS(L27/A27-1)&lt;0.01,"周波数差&lt;1%","周波数差あり"))</f>
        <v/>
      </c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</row>
    <row r="28">
      <c r="A28" s="214" t="n"/>
      <c r="B28" s="215" t="n"/>
      <c r="C28" s="215" t="n"/>
      <c r="D28" s="212">
        <f>IF(K28="","",INDEX('同相3導体'!$AB:$AB,K28))</f>
        <v/>
      </c>
      <c r="E28" s="212">
        <f>IF(K28="","",INDEX('同相3導体'!$AC:$AC,K28))</f>
        <v/>
      </c>
      <c r="F28" s="212">
        <f>IF(OR(A28="",B28=""),"",100*(D28-B28)/MAX(B28,1E-12))</f>
        <v/>
      </c>
      <c r="G28" s="212">
        <f>IF(OR(A28="",C28=""),"",E28-C28)</f>
        <v/>
      </c>
      <c r="H28" s="212">
        <f>IF(A28="","",LOG10(A28))</f>
        <v/>
      </c>
      <c r="I28" s="212">
        <f>IF(B28="","",LOG10(MAX(B28,1E-12)))</f>
        <v/>
      </c>
      <c r="J28" s="212">
        <f>IF(D28="","",LOG10(MAX(D28,1E-12)))</f>
        <v/>
      </c>
      <c r="K28" s="202">
        <f>IF(A28="","",ROUND(1+(LOG10(A28)-LOG10('入力・概要'!$B$38))*('入力・概要'!$B$40-1)/(LOG10('入力・概要'!$B$39)-LOG10('入力・概要'!$B$38)),0)+3)</f>
        <v/>
      </c>
      <c r="L28" s="202">
        <f>IF(K28="","",INDEX('同相3導体'!$B:$B,K28))</f>
        <v/>
      </c>
      <c r="M28" s="202">
        <f>IF(A28="","",IF(ABS(L28/A28-1)&lt;0.01,"周波数差&lt;1%","周波数差あり"))</f>
        <v/>
      </c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</row>
    <row r="29">
      <c r="A29" s="214" t="n"/>
      <c r="B29" s="215" t="n"/>
      <c r="C29" s="215" t="n"/>
      <c r="D29" s="212">
        <f>IF(K29="","",INDEX('同相3導体'!$AB:$AB,K29))</f>
        <v/>
      </c>
      <c r="E29" s="212">
        <f>IF(K29="","",INDEX('同相3導体'!$AC:$AC,K29))</f>
        <v/>
      </c>
      <c r="F29" s="212">
        <f>IF(OR(A29="",B29=""),"",100*(D29-B29)/MAX(B29,1E-12))</f>
        <v/>
      </c>
      <c r="G29" s="212">
        <f>IF(OR(A29="",C29=""),"",E29-C29)</f>
        <v/>
      </c>
      <c r="H29" s="212">
        <f>IF(A29="","",LOG10(A29))</f>
        <v/>
      </c>
      <c r="I29" s="212">
        <f>IF(B29="","",LOG10(MAX(B29,1E-12)))</f>
        <v/>
      </c>
      <c r="J29" s="212">
        <f>IF(D29="","",LOG10(MAX(D29,1E-12)))</f>
        <v/>
      </c>
      <c r="K29" s="202">
        <f>IF(A29="","",ROUND(1+(LOG10(A29)-LOG10('入力・概要'!$B$38))*('入力・概要'!$B$40-1)/(LOG10('入力・概要'!$B$39)-LOG10('入力・概要'!$B$38)),0)+3)</f>
        <v/>
      </c>
      <c r="L29" s="202">
        <f>IF(K29="","",INDEX('同相3導体'!$B:$B,K29))</f>
        <v/>
      </c>
      <c r="M29" s="202">
        <f>IF(A29="","",IF(ABS(L29/A29-1)&lt;0.01,"周波数差&lt;1%","周波数差あり"))</f>
        <v/>
      </c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</row>
    <row r="30">
      <c r="A30" s="214" t="n"/>
      <c r="B30" s="215" t="n"/>
      <c r="C30" s="215" t="n"/>
      <c r="D30" s="212">
        <f>IF(K30="","",INDEX('同相3導体'!$AB:$AB,K30))</f>
        <v/>
      </c>
      <c r="E30" s="212">
        <f>IF(K30="","",INDEX('同相3導体'!$AC:$AC,K30))</f>
        <v/>
      </c>
      <c r="F30" s="212">
        <f>IF(OR(A30="",B30=""),"",100*(D30-B30)/MAX(B30,1E-12))</f>
        <v/>
      </c>
      <c r="G30" s="212">
        <f>IF(OR(A30="",C30=""),"",E30-C30)</f>
        <v/>
      </c>
      <c r="H30" s="212">
        <f>IF(A30="","",LOG10(A30))</f>
        <v/>
      </c>
      <c r="I30" s="212">
        <f>IF(B30="","",LOG10(MAX(B30,1E-12)))</f>
        <v/>
      </c>
      <c r="J30" s="212">
        <f>IF(D30="","",LOG10(MAX(D30,1E-12)))</f>
        <v/>
      </c>
      <c r="K30" s="202">
        <f>IF(A30="","",ROUND(1+(LOG10(A30)-LOG10('入力・概要'!$B$38))*('入力・概要'!$B$40-1)/(LOG10('入力・概要'!$B$39)-LOG10('入力・概要'!$B$38)),0)+3)</f>
        <v/>
      </c>
      <c r="L30" s="202">
        <f>IF(K30="","",INDEX('同相3導体'!$B:$B,K30))</f>
        <v/>
      </c>
      <c r="M30" s="202">
        <f>IF(A30="","",IF(ABS(L30/A30-1)&lt;0.01,"周波数差&lt;1%","周波数差あり"))</f>
        <v/>
      </c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</row>
    <row r="31">
      <c r="A31" s="214" t="n"/>
      <c r="B31" s="215" t="n"/>
      <c r="C31" s="215" t="n"/>
      <c r="D31" s="212">
        <f>IF(K31="","",INDEX('同相3導体'!$AB:$AB,K31))</f>
        <v/>
      </c>
      <c r="E31" s="212">
        <f>IF(K31="","",INDEX('同相3導体'!$AC:$AC,K31))</f>
        <v/>
      </c>
      <c r="F31" s="212">
        <f>IF(OR(A31="",B31=""),"",100*(D31-B31)/MAX(B31,1E-12))</f>
        <v/>
      </c>
      <c r="G31" s="212">
        <f>IF(OR(A31="",C31=""),"",E31-C31)</f>
        <v/>
      </c>
      <c r="H31" s="212">
        <f>IF(A31="","",LOG10(A31))</f>
        <v/>
      </c>
      <c r="I31" s="212">
        <f>IF(B31="","",LOG10(MAX(B31,1E-12)))</f>
        <v/>
      </c>
      <c r="J31" s="212">
        <f>IF(D31="","",LOG10(MAX(D31,1E-12)))</f>
        <v/>
      </c>
      <c r="K31" s="202">
        <f>IF(A31="","",ROUND(1+(LOG10(A31)-LOG10('入力・概要'!$B$38))*('入力・概要'!$B$40-1)/(LOG10('入力・概要'!$B$39)-LOG10('入力・概要'!$B$38)),0)+3)</f>
        <v/>
      </c>
      <c r="L31" s="202">
        <f>IF(K31="","",INDEX('同相3導体'!$B:$B,K31))</f>
        <v/>
      </c>
      <c r="M31" s="202">
        <f>IF(A31="","",IF(ABS(L31/A31-1)&lt;0.01,"周波数差&lt;1%","周波数差あり"))</f>
        <v/>
      </c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</row>
    <row r="32">
      <c r="A32" s="214" t="n"/>
      <c r="B32" s="215" t="n"/>
      <c r="C32" s="215" t="n"/>
      <c r="D32" s="212">
        <f>IF(K32="","",INDEX('同相3導体'!$AB:$AB,K32))</f>
        <v/>
      </c>
      <c r="E32" s="212">
        <f>IF(K32="","",INDEX('同相3導体'!$AC:$AC,K32))</f>
        <v/>
      </c>
      <c r="F32" s="212">
        <f>IF(OR(A32="",B32=""),"",100*(D32-B32)/MAX(B32,1E-12))</f>
        <v/>
      </c>
      <c r="G32" s="212">
        <f>IF(OR(A32="",C32=""),"",E32-C32)</f>
        <v/>
      </c>
      <c r="H32" s="212">
        <f>IF(A32="","",LOG10(A32))</f>
        <v/>
      </c>
      <c r="I32" s="212">
        <f>IF(B32="","",LOG10(MAX(B32,1E-12)))</f>
        <v/>
      </c>
      <c r="J32" s="212">
        <f>IF(D32="","",LOG10(MAX(D32,1E-12)))</f>
        <v/>
      </c>
      <c r="K32" s="202">
        <f>IF(A32="","",ROUND(1+(LOG10(A32)-LOG10('入力・概要'!$B$38))*('入力・概要'!$B$40-1)/(LOG10('入力・概要'!$B$39)-LOG10('入力・概要'!$B$38)),0)+3)</f>
        <v/>
      </c>
      <c r="L32" s="202">
        <f>IF(K32="","",INDEX('同相3導体'!$B:$B,K32))</f>
        <v/>
      </c>
      <c r="M32" s="202">
        <f>IF(A32="","",IF(ABS(L32/A32-1)&lt;0.01,"周波数差&lt;1%","周波数差あり"))</f>
        <v/>
      </c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</row>
    <row r="33">
      <c r="A33" s="214" t="n"/>
      <c r="B33" s="215" t="n"/>
      <c r="C33" s="215" t="n"/>
      <c r="D33" s="212">
        <f>IF(K33="","",INDEX('同相3導体'!$AB:$AB,K33))</f>
        <v/>
      </c>
      <c r="E33" s="212">
        <f>IF(K33="","",INDEX('同相3導体'!$AC:$AC,K33))</f>
        <v/>
      </c>
      <c r="F33" s="212">
        <f>IF(OR(A33="",B33=""),"",100*(D33-B33)/MAX(B33,1E-12))</f>
        <v/>
      </c>
      <c r="G33" s="212">
        <f>IF(OR(A33="",C33=""),"",E33-C33)</f>
        <v/>
      </c>
      <c r="H33" s="212">
        <f>IF(A33="","",LOG10(A33))</f>
        <v/>
      </c>
      <c r="I33" s="212">
        <f>IF(B33="","",LOG10(MAX(B33,1E-12)))</f>
        <v/>
      </c>
      <c r="J33" s="212">
        <f>IF(D33="","",LOG10(MAX(D33,1E-12)))</f>
        <v/>
      </c>
      <c r="K33" s="202">
        <f>IF(A33="","",ROUND(1+(LOG10(A33)-LOG10('入力・概要'!$B$38))*('入力・概要'!$B$40-1)/(LOG10('入力・概要'!$B$39)-LOG10('入力・概要'!$B$38)),0)+3)</f>
        <v/>
      </c>
      <c r="L33" s="202">
        <f>IF(K33="","",INDEX('同相3導体'!$B:$B,K33))</f>
        <v/>
      </c>
      <c r="M33" s="202">
        <f>IF(A33="","",IF(ABS(L33/A33-1)&lt;0.01,"周波数差&lt;1%","周波数差あり"))</f>
        <v/>
      </c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</row>
    <row r="34">
      <c r="A34" s="214" t="n"/>
      <c r="B34" s="215" t="n"/>
      <c r="C34" s="215" t="n"/>
      <c r="D34" s="212">
        <f>IF(K34="","",INDEX('同相3導体'!$AB:$AB,K34))</f>
        <v/>
      </c>
      <c r="E34" s="212">
        <f>IF(K34="","",INDEX('同相3導体'!$AC:$AC,K34))</f>
        <v/>
      </c>
      <c r="F34" s="212">
        <f>IF(OR(A34="",B34=""),"",100*(D34-B34)/MAX(B34,1E-12))</f>
        <v/>
      </c>
      <c r="G34" s="212">
        <f>IF(OR(A34="",C34=""),"",E34-C34)</f>
        <v/>
      </c>
      <c r="H34" s="212">
        <f>IF(A34="","",LOG10(A34))</f>
        <v/>
      </c>
      <c r="I34" s="212">
        <f>IF(B34="","",LOG10(MAX(B34,1E-12)))</f>
        <v/>
      </c>
      <c r="J34" s="212">
        <f>IF(D34="","",LOG10(MAX(D34,1E-12)))</f>
        <v/>
      </c>
      <c r="K34" s="202">
        <f>IF(A34="","",ROUND(1+(LOG10(A34)-LOG10('入力・概要'!$B$38))*('入力・概要'!$B$40-1)/(LOG10('入力・概要'!$B$39)-LOG10('入力・概要'!$B$38)),0)+3)</f>
        <v/>
      </c>
      <c r="L34" s="202">
        <f>IF(K34="","",INDEX('同相3導体'!$B:$B,K34))</f>
        <v/>
      </c>
      <c r="M34" s="202">
        <f>IF(A34="","",IF(ABS(L34/A34-1)&lt;0.01,"周波数差&lt;1%","周波数差あり"))</f>
        <v/>
      </c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</row>
    <row r="35">
      <c r="A35" s="214" t="n"/>
      <c r="B35" s="215" t="n"/>
      <c r="C35" s="215" t="n"/>
      <c r="D35" s="212">
        <f>IF(K35="","",INDEX('同相3導体'!$AB:$AB,K35))</f>
        <v/>
      </c>
      <c r="E35" s="212">
        <f>IF(K35="","",INDEX('同相3導体'!$AC:$AC,K35))</f>
        <v/>
      </c>
      <c r="F35" s="212">
        <f>IF(OR(A35="",B35=""),"",100*(D35-B35)/MAX(B35,1E-12))</f>
        <v/>
      </c>
      <c r="G35" s="212">
        <f>IF(OR(A35="",C35=""),"",E35-C35)</f>
        <v/>
      </c>
      <c r="H35" s="212">
        <f>IF(A35="","",LOG10(A35))</f>
        <v/>
      </c>
      <c r="I35" s="212">
        <f>IF(B35="","",LOG10(MAX(B35,1E-12)))</f>
        <v/>
      </c>
      <c r="J35" s="212">
        <f>IF(D35="","",LOG10(MAX(D35,1E-12)))</f>
        <v/>
      </c>
      <c r="K35" s="202">
        <f>IF(A35="","",ROUND(1+(LOG10(A35)-LOG10('入力・概要'!$B$38))*('入力・概要'!$B$40-1)/(LOG10('入力・概要'!$B$39)-LOG10('入力・概要'!$B$38)),0)+3)</f>
        <v/>
      </c>
      <c r="L35" s="202">
        <f>IF(K35="","",INDEX('同相3導体'!$B:$B,K35))</f>
        <v/>
      </c>
      <c r="M35" s="202">
        <f>IF(A35="","",IF(ABS(L35/A35-1)&lt;0.01,"周波数差&lt;1%","周波数差あり"))</f>
        <v/>
      </c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</row>
    <row r="36">
      <c r="A36" s="214" t="n"/>
      <c r="B36" s="215" t="n"/>
      <c r="C36" s="215" t="n"/>
      <c r="D36" s="212">
        <f>IF(K36="","",INDEX('同相3導体'!$AB:$AB,K36))</f>
        <v/>
      </c>
      <c r="E36" s="212">
        <f>IF(K36="","",INDEX('同相3導体'!$AC:$AC,K36))</f>
        <v/>
      </c>
      <c r="F36" s="212">
        <f>IF(OR(A36="",B36=""),"",100*(D36-B36)/MAX(B36,1E-12))</f>
        <v/>
      </c>
      <c r="G36" s="212">
        <f>IF(OR(A36="",C36=""),"",E36-C36)</f>
        <v/>
      </c>
      <c r="H36" s="212">
        <f>IF(A36="","",LOG10(A36))</f>
        <v/>
      </c>
      <c r="I36" s="212">
        <f>IF(B36="","",LOG10(MAX(B36,1E-12)))</f>
        <v/>
      </c>
      <c r="J36" s="212">
        <f>IF(D36="","",LOG10(MAX(D36,1E-12)))</f>
        <v/>
      </c>
      <c r="K36" s="202">
        <f>IF(A36="","",ROUND(1+(LOG10(A36)-LOG10('入力・概要'!$B$38))*('入力・概要'!$B$40-1)/(LOG10('入力・概要'!$B$39)-LOG10('入力・概要'!$B$38)),0)+3)</f>
        <v/>
      </c>
      <c r="L36" s="202">
        <f>IF(K36="","",INDEX('同相3導体'!$B:$B,K36))</f>
        <v/>
      </c>
      <c r="M36" s="202">
        <f>IF(A36="","",IF(ABS(L36/A36-1)&lt;0.01,"周波数差&lt;1%","周波数差あり"))</f>
        <v/>
      </c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</row>
    <row r="37">
      <c r="A37" s="214" t="n"/>
      <c r="B37" s="215" t="n"/>
      <c r="C37" s="215" t="n"/>
      <c r="D37" s="212">
        <f>IF(K37="","",INDEX('同相3導体'!$AB:$AB,K37))</f>
        <v/>
      </c>
      <c r="E37" s="212">
        <f>IF(K37="","",INDEX('同相3導体'!$AC:$AC,K37))</f>
        <v/>
      </c>
      <c r="F37" s="212">
        <f>IF(OR(A37="",B37=""),"",100*(D37-B37)/MAX(B37,1E-12))</f>
        <v/>
      </c>
      <c r="G37" s="212">
        <f>IF(OR(A37="",C37=""),"",E37-C37)</f>
        <v/>
      </c>
      <c r="H37" s="212">
        <f>IF(A37="","",LOG10(A37))</f>
        <v/>
      </c>
      <c r="I37" s="212">
        <f>IF(B37="","",LOG10(MAX(B37,1E-12)))</f>
        <v/>
      </c>
      <c r="J37" s="212">
        <f>IF(D37="","",LOG10(MAX(D37,1E-12)))</f>
        <v/>
      </c>
      <c r="K37" s="202">
        <f>IF(A37="","",ROUND(1+(LOG10(A37)-LOG10('入力・概要'!$B$38))*('入力・概要'!$B$40-1)/(LOG10('入力・概要'!$B$39)-LOG10('入力・概要'!$B$38)),0)+3)</f>
        <v/>
      </c>
      <c r="L37" s="202">
        <f>IF(K37="","",INDEX('同相3導体'!$B:$B,K37))</f>
        <v/>
      </c>
      <c r="M37" s="202">
        <f>IF(A37="","",IF(ABS(L37/A37-1)&lt;0.01,"周波数差&lt;1%","周波数差あり"))</f>
        <v/>
      </c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</row>
    <row r="38">
      <c r="A38" s="214" t="n"/>
      <c r="B38" s="215" t="n"/>
      <c r="C38" s="215" t="n"/>
      <c r="D38" s="212">
        <f>IF(K38="","",INDEX('同相3導体'!$AB:$AB,K38))</f>
        <v/>
      </c>
      <c r="E38" s="212">
        <f>IF(K38="","",INDEX('同相3導体'!$AC:$AC,K38))</f>
        <v/>
      </c>
      <c r="F38" s="212">
        <f>IF(OR(A38="",B38=""),"",100*(D38-B38)/MAX(B38,1E-12))</f>
        <v/>
      </c>
      <c r="G38" s="212">
        <f>IF(OR(A38="",C38=""),"",E38-C38)</f>
        <v/>
      </c>
      <c r="H38" s="212">
        <f>IF(A38="","",LOG10(A38))</f>
        <v/>
      </c>
      <c r="I38" s="212">
        <f>IF(B38="","",LOG10(MAX(B38,1E-12)))</f>
        <v/>
      </c>
      <c r="J38" s="212">
        <f>IF(D38="","",LOG10(MAX(D38,1E-12)))</f>
        <v/>
      </c>
      <c r="K38" s="202">
        <f>IF(A38="","",ROUND(1+(LOG10(A38)-LOG10('入力・概要'!$B$38))*('入力・概要'!$B$40-1)/(LOG10('入力・概要'!$B$39)-LOG10('入力・概要'!$B$38)),0)+3)</f>
        <v/>
      </c>
      <c r="L38" s="202">
        <f>IF(K38="","",INDEX('同相3導体'!$B:$B,K38))</f>
        <v/>
      </c>
      <c r="M38" s="202">
        <f>IF(A38="","",IF(ABS(L38/A38-1)&lt;0.01,"周波数差&lt;1%","周波数差あり"))</f>
        <v/>
      </c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</row>
    <row r="39">
      <c r="A39" s="214" t="n"/>
      <c r="B39" s="215" t="n"/>
      <c r="C39" s="215" t="n"/>
      <c r="D39" s="212">
        <f>IF(K39="","",INDEX('同相3導体'!$AB:$AB,K39))</f>
        <v/>
      </c>
      <c r="E39" s="212">
        <f>IF(K39="","",INDEX('同相3導体'!$AC:$AC,K39))</f>
        <v/>
      </c>
      <c r="F39" s="212">
        <f>IF(OR(A39="",B39=""),"",100*(D39-B39)/MAX(B39,1E-12))</f>
        <v/>
      </c>
      <c r="G39" s="212">
        <f>IF(OR(A39="",C39=""),"",E39-C39)</f>
        <v/>
      </c>
      <c r="H39" s="212">
        <f>IF(A39="","",LOG10(A39))</f>
        <v/>
      </c>
      <c r="I39" s="212">
        <f>IF(B39="","",LOG10(MAX(B39,1E-12)))</f>
        <v/>
      </c>
      <c r="J39" s="212">
        <f>IF(D39="","",LOG10(MAX(D39,1E-12)))</f>
        <v/>
      </c>
      <c r="K39" s="202">
        <f>IF(A39="","",ROUND(1+(LOG10(A39)-LOG10('入力・概要'!$B$38))*('入力・概要'!$B$40-1)/(LOG10('入力・概要'!$B$39)-LOG10('入力・概要'!$B$38)),0)+3)</f>
        <v/>
      </c>
      <c r="L39" s="202">
        <f>IF(K39="","",INDEX('同相3導体'!$B:$B,K39))</f>
        <v/>
      </c>
      <c r="M39" s="202">
        <f>IF(A39="","",IF(ABS(L39/A39-1)&lt;0.01,"周波数差&lt;1%","周波数差あり"))</f>
        <v/>
      </c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</row>
    <row r="40">
      <c r="A40" s="214" t="n"/>
      <c r="B40" s="215" t="n"/>
      <c r="C40" s="215" t="n"/>
      <c r="D40" s="212">
        <f>IF(K40="","",INDEX('同相3導体'!$AB:$AB,K40))</f>
        <v/>
      </c>
      <c r="E40" s="212">
        <f>IF(K40="","",INDEX('同相3導体'!$AC:$AC,K40))</f>
        <v/>
      </c>
      <c r="F40" s="212">
        <f>IF(OR(A40="",B40=""),"",100*(D40-B40)/MAX(B40,1E-12))</f>
        <v/>
      </c>
      <c r="G40" s="212">
        <f>IF(OR(A40="",C40=""),"",E40-C40)</f>
        <v/>
      </c>
      <c r="H40" s="212">
        <f>IF(A40="","",LOG10(A40))</f>
        <v/>
      </c>
      <c r="I40" s="212">
        <f>IF(B40="","",LOG10(MAX(B40,1E-12)))</f>
        <v/>
      </c>
      <c r="J40" s="212">
        <f>IF(D40="","",LOG10(MAX(D40,1E-12)))</f>
        <v/>
      </c>
      <c r="K40" s="202">
        <f>IF(A40="","",ROUND(1+(LOG10(A40)-LOG10('入力・概要'!$B$38))*('入力・概要'!$B$40-1)/(LOG10('入力・概要'!$B$39)-LOG10('入力・概要'!$B$38)),0)+3)</f>
        <v/>
      </c>
      <c r="L40" s="202">
        <f>IF(K40="","",INDEX('同相3導体'!$B:$B,K40))</f>
        <v/>
      </c>
      <c r="M40" s="202">
        <f>IF(A40="","",IF(ABS(L40/A40-1)&lt;0.01,"周波数差&lt;1%","周波数差あり"))</f>
        <v/>
      </c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</row>
    <row r="41">
      <c r="A41" s="214" t="n"/>
      <c r="B41" s="215" t="n"/>
      <c r="C41" s="215" t="n"/>
      <c r="D41" s="212">
        <f>IF(K41="","",INDEX('同相3導体'!$AB:$AB,K41))</f>
        <v/>
      </c>
      <c r="E41" s="212">
        <f>IF(K41="","",INDEX('同相3導体'!$AC:$AC,K41))</f>
        <v/>
      </c>
      <c r="F41" s="212">
        <f>IF(OR(A41="",B41=""),"",100*(D41-B41)/MAX(B41,1E-12))</f>
        <v/>
      </c>
      <c r="G41" s="212">
        <f>IF(OR(A41="",C41=""),"",E41-C41)</f>
        <v/>
      </c>
      <c r="H41" s="212">
        <f>IF(A41="","",LOG10(A41))</f>
        <v/>
      </c>
      <c r="I41" s="212">
        <f>IF(B41="","",LOG10(MAX(B41,1E-12)))</f>
        <v/>
      </c>
      <c r="J41" s="212">
        <f>IF(D41="","",LOG10(MAX(D41,1E-12)))</f>
        <v/>
      </c>
      <c r="K41" s="202">
        <f>IF(A41="","",ROUND(1+(LOG10(A41)-LOG10('入力・概要'!$B$38))*('入力・概要'!$B$40-1)/(LOG10('入力・概要'!$B$39)-LOG10('入力・概要'!$B$38)),0)+3)</f>
        <v/>
      </c>
      <c r="L41" s="202">
        <f>IF(K41="","",INDEX('同相3導体'!$B:$B,K41))</f>
        <v/>
      </c>
      <c r="M41" s="202">
        <f>IF(A41="","",IF(ABS(L41/A41-1)&lt;0.01,"周波数差&lt;1%","周波数差あり"))</f>
        <v/>
      </c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</row>
    <row r="42">
      <c r="A42" s="214" t="n"/>
      <c r="B42" s="215" t="n"/>
      <c r="C42" s="215" t="n"/>
      <c r="D42" s="212">
        <f>IF(K42="","",INDEX('同相3導体'!$AB:$AB,K42))</f>
        <v/>
      </c>
      <c r="E42" s="212">
        <f>IF(K42="","",INDEX('同相3導体'!$AC:$AC,K42))</f>
        <v/>
      </c>
      <c r="F42" s="212">
        <f>IF(OR(A42="",B42=""),"",100*(D42-B42)/MAX(B42,1E-12))</f>
        <v/>
      </c>
      <c r="G42" s="212">
        <f>IF(OR(A42="",C42=""),"",E42-C42)</f>
        <v/>
      </c>
      <c r="H42" s="212">
        <f>IF(A42="","",LOG10(A42))</f>
        <v/>
      </c>
      <c r="I42" s="212">
        <f>IF(B42="","",LOG10(MAX(B42,1E-12)))</f>
        <v/>
      </c>
      <c r="J42" s="212">
        <f>IF(D42="","",LOG10(MAX(D42,1E-12)))</f>
        <v/>
      </c>
      <c r="K42" s="202">
        <f>IF(A42="","",ROUND(1+(LOG10(A42)-LOG10('入力・概要'!$B$38))*('入力・概要'!$B$40-1)/(LOG10('入力・概要'!$B$39)-LOG10('入力・概要'!$B$38)),0)+3)</f>
        <v/>
      </c>
      <c r="L42" s="202">
        <f>IF(K42="","",INDEX('同相3導体'!$B:$B,K42))</f>
        <v/>
      </c>
      <c r="M42" s="202">
        <f>IF(A42="","",IF(ABS(L42/A42-1)&lt;0.01,"周波数差&lt;1%","周波数差あり"))</f>
        <v/>
      </c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</row>
    <row r="43">
      <c r="A43" s="214" t="n"/>
      <c r="B43" s="215" t="n"/>
      <c r="C43" s="215" t="n"/>
      <c r="D43" s="212">
        <f>IF(K43="","",INDEX('同相3導体'!$AB:$AB,K43))</f>
        <v/>
      </c>
      <c r="E43" s="212">
        <f>IF(K43="","",INDEX('同相3導体'!$AC:$AC,K43))</f>
        <v/>
      </c>
      <c r="F43" s="212">
        <f>IF(OR(A43="",B43=""),"",100*(D43-B43)/MAX(B43,1E-12))</f>
        <v/>
      </c>
      <c r="G43" s="212">
        <f>IF(OR(A43="",C43=""),"",E43-C43)</f>
        <v/>
      </c>
      <c r="H43" s="212">
        <f>IF(A43="","",LOG10(A43))</f>
        <v/>
      </c>
      <c r="I43" s="212">
        <f>IF(B43="","",LOG10(MAX(B43,1E-12)))</f>
        <v/>
      </c>
      <c r="J43" s="212">
        <f>IF(D43="","",LOG10(MAX(D43,1E-12)))</f>
        <v/>
      </c>
      <c r="K43" s="202">
        <f>IF(A43="","",ROUND(1+(LOG10(A43)-LOG10('入力・概要'!$B$38))*('入力・概要'!$B$40-1)/(LOG10('入力・概要'!$B$39)-LOG10('入力・概要'!$B$38)),0)+3)</f>
        <v/>
      </c>
      <c r="L43" s="202">
        <f>IF(K43="","",INDEX('同相3導体'!$B:$B,K43))</f>
        <v/>
      </c>
      <c r="M43" s="202">
        <f>IF(A43="","",IF(ABS(L43/A43-1)&lt;0.01,"周波数差&lt;1%","周波数差あり"))</f>
        <v/>
      </c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</row>
    <row r="44">
      <c r="A44" s="214" t="n"/>
      <c r="B44" s="215" t="n"/>
      <c r="C44" s="215" t="n"/>
      <c r="D44" s="212">
        <f>IF(K44="","",INDEX('同相3導体'!$AB:$AB,K44))</f>
        <v/>
      </c>
      <c r="E44" s="212">
        <f>IF(K44="","",INDEX('同相3導体'!$AC:$AC,K44))</f>
        <v/>
      </c>
      <c r="F44" s="212">
        <f>IF(OR(A44="",B44=""),"",100*(D44-B44)/MAX(B44,1E-12))</f>
        <v/>
      </c>
      <c r="G44" s="212">
        <f>IF(OR(A44="",C44=""),"",E44-C44)</f>
        <v/>
      </c>
      <c r="H44" s="212">
        <f>IF(A44="","",LOG10(A44))</f>
        <v/>
      </c>
      <c r="I44" s="212">
        <f>IF(B44="","",LOG10(MAX(B44,1E-12)))</f>
        <v/>
      </c>
      <c r="J44" s="212">
        <f>IF(D44="","",LOG10(MAX(D44,1E-12)))</f>
        <v/>
      </c>
      <c r="K44" s="202">
        <f>IF(A44="","",ROUND(1+(LOG10(A44)-LOG10('入力・概要'!$B$38))*('入力・概要'!$B$40-1)/(LOG10('入力・概要'!$B$39)-LOG10('入力・概要'!$B$38)),0)+3)</f>
        <v/>
      </c>
      <c r="L44" s="202">
        <f>IF(K44="","",INDEX('同相3導体'!$B:$B,K44))</f>
        <v/>
      </c>
      <c r="M44" s="202">
        <f>IF(A44="","",IF(ABS(L44/A44-1)&lt;0.01,"周波数差&lt;1%","周波数差あり"))</f>
        <v/>
      </c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</row>
    <row r="45">
      <c r="A45" s="214" t="n"/>
      <c r="B45" s="215" t="n"/>
      <c r="C45" s="215" t="n"/>
      <c r="D45" s="212">
        <f>IF(K45="","",INDEX('同相3導体'!$AB:$AB,K45))</f>
        <v/>
      </c>
      <c r="E45" s="212">
        <f>IF(K45="","",INDEX('同相3導体'!$AC:$AC,K45))</f>
        <v/>
      </c>
      <c r="F45" s="212">
        <f>IF(OR(A45="",B45=""),"",100*(D45-B45)/MAX(B45,1E-12))</f>
        <v/>
      </c>
      <c r="G45" s="212">
        <f>IF(OR(A45="",C45=""),"",E45-C45)</f>
        <v/>
      </c>
      <c r="H45" s="212">
        <f>IF(A45="","",LOG10(A45))</f>
        <v/>
      </c>
      <c r="I45" s="212">
        <f>IF(B45="","",LOG10(MAX(B45,1E-12)))</f>
        <v/>
      </c>
      <c r="J45" s="212">
        <f>IF(D45="","",LOG10(MAX(D45,1E-12)))</f>
        <v/>
      </c>
      <c r="K45" s="202">
        <f>IF(A45="","",ROUND(1+(LOG10(A45)-LOG10('入力・概要'!$B$38))*('入力・概要'!$B$40-1)/(LOG10('入力・概要'!$B$39)-LOG10('入力・概要'!$B$38)),0)+3)</f>
        <v/>
      </c>
      <c r="L45" s="202">
        <f>IF(K45="","",INDEX('同相3導体'!$B:$B,K45))</f>
        <v/>
      </c>
      <c r="M45" s="202">
        <f>IF(A45="","",IF(ABS(L45/A45-1)&lt;0.01,"周波数差&lt;1%","周波数差あり"))</f>
        <v/>
      </c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</row>
    <row r="46">
      <c r="A46" s="214" t="n"/>
      <c r="B46" s="215" t="n"/>
      <c r="C46" s="215" t="n"/>
      <c r="D46" s="212">
        <f>IF(K46="","",INDEX('同相3導体'!$AB:$AB,K46))</f>
        <v/>
      </c>
      <c r="E46" s="212">
        <f>IF(K46="","",INDEX('同相3導体'!$AC:$AC,K46))</f>
        <v/>
      </c>
      <c r="F46" s="212">
        <f>IF(OR(A46="",B46=""),"",100*(D46-B46)/MAX(B46,1E-12))</f>
        <v/>
      </c>
      <c r="G46" s="212">
        <f>IF(OR(A46="",C46=""),"",E46-C46)</f>
        <v/>
      </c>
      <c r="H46" s="212">
        <f>IF(A46="","",LOG10(A46))</f>
        <v/>
      </c>
      <c r="I46" s="212">
        <f>IF(B46="","",LOG10(MAX(B46,1E-12)))</f>
        <v/>
      </c>
      <c r="J46" s="212">
        <f>IF(D46="","",LOG10(MAX(D46,1E-12)))</f>
        <v/>
      </c>
      <c r="K46" s="202">
        <f>IF(A46="","",ROUND(1+(LOG10(A46)-LOG10('入力・概要'!$B$38))*('入力・概要'!$B$40-1)/(LOG10('入力・概要'!$B$39)-LOG10('入力・概要'!$B$38)),0)+3)</f>
        <v/>
      </c>
      <c r="L46" s="202">
        <f>IF(K46="","",INDEX('同相3導体'!$B:$B,K46))</f>
        <v/>
      </c>
      <c r="M46" s="202">
        <f>IF(A46="","",IF(ABS(L46/A46-1)&lt;0.01,"周波数差&lt;1%","周波数差あり"))</f>
        <v/>
      </c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</row>
    <row r="47">
      <c r="A47" s="214" t="n"/>
      <c r="B47" s="215" t="n"/>
      <c r="C47" s="215" t="n"/>
      <c r="D47" s="212">
        <f>IF(K47="","",INDEX('同相3導体'!$AB:$AB,K47))</f>
        <v/>
      </c>
      <c r="E47" s="212">
        <f>IF(K47="","",INDEX('同相3導体'!$AC:$AC,K47))</f>
        <v/>
      </c>
      <c r="F47" s="212">
        <f>IF(OR(A47="",B47=""),"",100*(D47-B47)/MAX(B47,1E-12))</f>
        <v/>
      </c>
      <c r="G47" s="212">
        <f>IF(OR(A47="",C47=""),"",E47-C47)</f>
        <v/>
      </c>
      <c r="H47" s="212">
        <f>IF(A47="","",LOG10(A47))</f>
        <v/>
      </c>
      <c r="I47" s="212">
        <f>IF(B47="","",LOG10(MAX(B47,1E-12)))</f>
        <v/>
      </c>
      <c r="J47" s="212">
        <f>IF(D47="","",LOG10(MAX(D47,1E-12)))</f>
        <v/>
      </c>
      <c r="K47" s="202">
        <f>IF(A47="","",ROUND(1+(LOG10(A47)-LOG10('入力・概要'!$B$38))*('入力・概要'!$B$40-1)/(LOG10('入力・概要'!$B$39)-LOG10('入力・概要'!$B$38)),0)+3)</f>
        <v/>
      </c>
      <c r="L47" s="202">
        <f>IF(K47="","",INDEX('同相3導体'!$B:$B,K47))</f>
        <v/>
      </c>
      <c r="M47" s="202">
        <f>IF(A47="","",IF(ABS(L47/A47-1)&lt;0.01,"周波数差&lt;1%","周波数差あり"))</f>
        <v/>
      </c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</row>
    <row r="48">
      <c r="A48" s="214" t="n"/>
      <c r="B48" s="215" t="n"/>
      <c r="C48" s="215" t="n"/>
      <c r="D48" s="212">
        <f>IF(K48="","",INDEX('同相3導体'!$AB:$AB,K48))</f>
        <v/>
      </c>
      <c r="E48" s="212">
        <f>IF(K48="","",INDEX('同相3導体'!$AC:$AC,K48))</f>
        <v/>
      </c>
      <c r="F48" s="212">
        <f>IF(OR(A48="",B48=""),"",100*(D48-B48)/MAX(B48,1E-12))</f>
        <v/>
      </c>
      <c r="G48" s="212">
        <f>IF(OR(A48="",C48=""),"",E48-C48)</f>
        <v/>
      </c>
      <c r="H48" s="212">
        <f>IF(A48="","",LOG10(A48))</f>
        <v/>
      </c>
      <c r="I48" s="212">
        <f>IF(B48="","",LOG10(MAX(B48,1E-12)))</f>
        <v/>
      </c>
      <c r="J48" s="212">
        <f>IF(D48="","",LOG10(MAX(D48,1E-12)))</f>
        <v/>
      </c>
      <c r="K48" s="202">
        <f>IF(A48="","",ROUND(1+(LOG10(A48)-LOG10('入力・概要'!$B$38))*('入力・概要'!$B$40-1)/(LOG10('入力・概要'!$B$39)-LOG10('入力・概要'!$B$38)),0)+3)</f>
        <v/>
      </c>
      <c r="L48" s="202">
        <f>IF(K48="","",INDEX('同相3導体'!$B:$B,K48))</f>
        <v/>
      </c>
      <c r="M48" s="202">
        <f>IF(A48="","",IF(ABS(L48/A48-1)&lt;0.01,"周波数差&lt;1%","周波数差あり"))</f>
        <v/>
      </c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</row>
    <row r="49">
      <c r="A49" s="214" t="n"/>
      <c r="B49" s="215" t="n"/>
      <c r="C49" s="215" t="n"/>
      <c r="D49" s="212">
        <f>IF(K49="","",INDEX('同相3導体'!$AB:$AB,K49))</f>
        <v/>
      </c>
      <c r="E49" s="212">
        <f>IF(K49="","",INDEX('同相3導体'!$AC:$AC,K49))</f>
        <v/>
      </c>
      <c r="F49" s="212">
        <f>IF(OR(A49="",B49=""),"",100*(D49-B49)/MAX(B49,1E-12))</f>
        <v/>
      </c>
      <c r="G49" s="212">
        <f>IF(OR(A49="",C49=""),"",E49-C49)</f>
        <v/>
      </c>
      <c r="H49" s="212">
        <f>IF(A49="","",LOG10(A49))</f>
        <v/>
      </c>
      <c r="I49" s="212">
        <f>IF(B49="","",LOG10(MAX(B49,1E-12)))</f>
        <v/>
      </c>
      <c r="J49" s="212">
        <f>IF(D49="","",LOG10(MAX(D49,1E-12)))</f>
        <v/>
      </c>
      <c r="K49" s="202">
        <f>IF(A49="","",ROUND(1+(LOG10(A49)-LOG10('入力・概要'!$B$38))*('入力・概要'!$B$40-1)/(LOG10('入力・概要'!$B$39)-LOG10('入力・概要'!$B$38)),0)+3)</f>
        <v/>
      </c>
      <c r="L49" s="202">
        <f>IF(K49="","",INDEX('同相3導体'!$B:$B,K49))</f>
        <v/>
      </c>
      <c r="M49" s="202">
        <f>IF(A49="","",IF(ABS(L49/A49-1)&lt;0.01,"周波数差&lt;1%","周波数差あり"))</f>
        <v/>
      </c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</row>
    <row r="50">
      <c r="A50" s="214" t="n"/>
      <c r="B50" s="215" t="n"/>
      <c r="C50" s="215" t="n"/>
      <c r="D50" s="212">
        <f>IF(K50="","",INDEX('同相3導体'!$AB:$AB,K50))</f>
        <v/>
      </c>
      <c r="E50" s="212">
        <f>IF(K50="","",INDEX('同相3導体'!$AC:$AC,K50))</f>
        <v/>
      </c>
      <c r="F50" s="212">
        <f>IF(OR(A50="",B50=""),"",100*(D50-B50)/MAX(B50,1E-12))</f>
        <v/>
      </c>
      <c r="G50" s="212">
        <f>IF(OR(A50="",C50=""),"",E50-C50)</f>
        <v/>
      </c>
      <c r="H50" s="212">
        <f>IF(A50="","",LOG10(A50))</f>
        <v/>
      </c>
      <c r="I50" s="212">
        <f>IF(B50="","",LOG10(MAX(B50,1E-12)))</f>
        <v/>
      </c>
      <c r="J50" s="212">
        <f>IF(D50="","",LOG10(MAX(D50,1E-12)))</f>
        <v/>
      </c>
      <c r="K50" s="202">
        <f>IF(A50="","",ROUND(1+(LOG10(A50)-LOG10('入力・概要'!$B$38))*('入力・概要'!$B$40-1)/(LOG10('入力・概要'!$B$39)-LOG10('入力・概要'!$B$38)),0)+3)</f>
        <v/>
      </c>
      <c r="L50" s="202">
        <f>IF(K50="","",INDEX('同相3導体'!$B:$B,K50))</f>
        <v/>
      </c>
      <c r="M50" s="202">
        <f>IF(A50="","",IF(ABS(L50/A50-1)&lt;0.01,"周波数差&lt;1%","周波数差あり"))</f>
        <v/>
      </c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</row>
    <row r="51">
      <c r="A51" s="214" t="n"/>
      <c r="B51" s="215" t="n"/>
      <c r="C51" s="215" t="n"/>
      <c r="D51" s="212">
        <f>IF(K51="","",INDEX('同相3導体'!$AB:$AB,K51))</f>
        <v/>
      </c>
      <c r="E51" s="212">
        <f>IF(K51="","",INDEX('同相3導体'!$AC:$AC,K51))</f>
        <v/>
      </c>
      <c r="F51" s="212">
        <f>IF(OR(A51="",B51=""),"",100*(D51-B51)/MAX(B51,1E-12))</f>
        <v/>
      </c>
      <c r="G51" s="212">
        <f>IF(OR(A51="",C51=""),"",E51-C51)</f>
        <v/>
      </c>
      <c r="H51" s="212">
        <f>IF(A51="","",LOG10(A51))</f>
        <v/>
      </c>
      <c r="I51" s="212">
        <f>IF(B51="","",LOG10(MAX(B51,1E-12)))</f>
        <v/>
      </c>
      <c r="J51" s="212">
        <f>IF(D51="","",LOG10(MAX(D51,1E-12)))</f>
        <v/>
      </c>
      <c r="K51" s="202">
        <f>IF(A51="","",ROUND(1+(LOG10(A51)-LOG10('入力・概要'!$B$38))*('入力・概要'!$B$40-1)/(LOG10('入力・概要'!$B$39)-LOG10('入力・概要'!$B$38)),0)+3)</f>
        <v/>
      </c>
      <c r="L51" s="202">
        <f>IF(K51="","",INDEX('同相3導体'!$B:$B,K51))</f>
        <v/>
      </c>
      <c r="M51" s="202">
        <f>IF(A51="","",IF(ABS(L51/A51-1)&lt;0.01,"周波数差&lt;1%","周波数差あり"))</f>
        <v/>
      </c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</row>
    <row r="52">
      <c r="A52" s="214" t="n"/>
      <c r="B52" s="215" t="n"/>
      <c r="C52" s="215" t="n"/>
      <c r="D52" s="212">
        <f>IF(K52="","",INDEX('同相3導体'!$AB:$AB,K52))</f>
        <v/>
      </c>
      <c r="E52" s="212">
        <f>IF(K52="","",INDEX('同相3導体'!$AC:$AC,K52))</f>
        <v/>
      </c>
      <c r="F52" s="212">
        <f>IF(OR(A52="",B52=""),"",100*(D52-B52)/MAX(B52,1E-12))</f>
        <v/>
      </c>
      <c r="G52" s="212">
        <f>IF(OR(A52="",C52=""),"",E52-C52)</f>
        <v/>
      </c>
      <c r="H52" s="212">
        <f>IF(A52="","",LOG10(A52))</f>
        <v/>
      </c>
      <c r="I52" s="212">
        <f>IF(B52="","",LOG10(MAX(B52,1E-12)))</f>
        <v/>
      </c>
      <c r="J52" s="212">
        <f>IF(D52="","",LOG10(MAX(D52,1E-12)))</f>
        <v/>
      </c>
      <c r="K52" s="202">
        <f>IF(A52="","",ROUND(1+(LOG10(A52)-LOG10('入力・概要'!$B$38))*('入力・概要'!$B$40-1)/(LOG10('入力・概要'!$B$39)-LOG10('入力・概要'!$B$38)),0)+3)</f>
        <v/>
      </c>
      <c r="L52" s="202">
        <f>IF(K52="","",INDEX('同相3導体'!$B:$B,K52))</f>
        <v/>
      </c>
      <c r="M52" s="202">
        <f>IF(A52="","",IF(ABS(L52/A52-1)&lt;0.01,"周波数差&lt;1%","周波数差あり"))</f>
        <v/>
      </c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</row>
    <row r="53">
      <c r="A53" s="214" t="n"/>
      <c r="B53" s="215" t="n"/>
      <c r="C53" s="215" t="n"/>
      <c r="D53" s="212">
        <f>IF(K53="","",INDEX('同相3導体'!$AB:$AB,K53))</f>
        <v/>
      </c>
      <c r="E53" s="212">
        <f>IF(K53="","",INDEX('同相3導体'!$AC:$AC,K53))</f>
        <v/>
      </c>
      <c r="F53" s="212">
        <f>IF(OR(A53="",B53=""),"",100*(D53-B53)/MAX(B53,1E-12))</f>
        <v/>
      </c>
      <c r="G53" s="212">
        <f>IF(OR(A53="",C53=""),"",E53-C53)</f>
        <v/>
      </c>
      <c r="H53" s="212">
        <f>IF(A53="","",LOG10(A53))</f>
        <v/>
      </c>
      <c r="I53" s="212">
        <f>IF(B53="","",LOG10(MAX(B53,1E-12)))</f>
        <v/>
      </c>
      <c r="J53" s="212">
        <f>IF(D53="","",LOG10(MAX(D53,1E-12)))</f>
        <v/>
      </c>
      <c r="K53" s="202">
        <f>IF(A53="","",ROUND(1+(LOG10(A53)-LOG10('入力・概要'!$B$38))*('入力・概要'!$B$40-1)/(LOG10('入力・概要'!$B$39)-LOG10('入力・概要'!$B$38)),0)+3)</f>
        <v/>
      </c>
      <c r="L53" s="202">
        <f>IF(K53="","",INDEX('同相3導体'!$B:$B,K53))</f>
        <v/>
      </c>
      <c r="M53" s="202">
        <f>IF(A53="","",IF(ABS(L53/A53-1)&lt;0.01,"周波数差&lt;1%","周波数差あり"))</f>
        <v/>
      </c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</row>
    <row r="54">
      <c r="A54" s="214" t="n"/>
      <c r="B54" s="215" t="n"/>
      <c r="C54" s="215" t="n"/>
      <c r="D54" s="212">
        <f>IF(K54="","",INDEX('同相3導体'!$AB:$AB,K54))</f>
        <v/>
      </c>
      <c r="E54" s="212">
        <f>IF(K54="","",INDEX('同相3導体'!$AC:$AC,K54))</f>
        <v/>
      </c>
      <c r="F54" s="212">
        <f>IF(OR(A54="",B54=""),"",100*(D54-B54)/MAX(B54,1E-12))</f>
        <v/>
      </c>
      <c r="G54" s="212">
        <f>IF(OR(A54="",C54=""),"",E54-C54)</f>
        <v/>
      </c>
      <c r="H54" s="212">
        <f>IF(A54="","",LOG10(A54))</f>
        <v/>
      </c>
      <c r="I54" s="212">
        <f>IF(B54="","",LOG10(MAX(B54,1E-12)))</f>
        <v/>
      </c>
      <c r="J54" s="212">
        <f>IF(D54="","",LOG10(MAX(D54,1E-12)))</f>
        <v/>
      </c>
      <c r="K54" s="202">
        <f>IF(A54="","",ROUND(1+(LOG10(A54)-LOG10('入力・概要'!$B$38))*('入力・概要'!$B$40-1)/(LOG10('入力・概要'!$B$39)-LOG10('入力・概要'!$B$38)),0)+3)</f>
        <v/>
      </c>
      <c r="L54" s="202">
        <f>IF(K54="","",INDEX('同相3導体'!$B:$B,K54))</f>
        <v/>
      </c>
      <c r="M54" s="202">
        <f>IF(A54="","",IF(ABS(L54/A54-1)&lt;0.01,"周波数差&lt;1%","周波数差あり"))</f>
        <v/>
      </c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</row>
    <row r="55">
      <c r="A55" s="214" t="n"/>
      <c r="B55" s="215" t="n"/>
      <c r="C55" s="215" t="n"/>
      <c r="D55" s="212">
        <f>IF(K55="","",INDEX('同相3導体'!$AB:$AB,K55))</f>
        <v/>
      </c>
      <c r="E55" s="212">
        <f>IF(K55="","",INDEX('同相3導体'!$AC:$AC,K55))</f>
        <v/>
      </c>
      <c r="F55" s="212">
        <f>IF(OR(A55="",B55=""),"",100*(D55-B55)/MAX(B55,1E-12))</f>
        <v/>
      </c>
      <c r="G55" s="212">
        <f>IF(OR(A55="",C55=""),"",E55-C55)</f>
        <v/>
      </c>
      <c r="H55" s="212">
        <f>IF(A55="","",LOG10(A55))</f>
        <v/>
      </c>
      <c r="I55" s="212">
        <f>IF(B55="","",LOG10(MAX(B55,1E-12)))</f>
        <v/>
      </c>
      <c r="J55" s="212">
        <f>IF(D55="","",LOG10(MAX(D55,1E-12)))</f>
        <v/>
      </c>
      <c r="K55" s="202">
        <f>IF(A55="","",ROUND(1+(LOG10(A55)-LOG10('入力・概要'!$B$38))*('入力・概要'!$B$40-1)/(LOG10('入力・概要'!$B$39)-LOG10('入力・概要'!$B$38)),0)+3)</f>
        <v/>
      </c>
      <c r="L55" s="202">
        <f>IF(K55="","",INDEX('同相3導体'!$B:$B,K55))</f>
        <v/>
      </c>
      <c r="M55" s="202">
        <f>IF(A55="","",IF(ABS(L55/A55-1)&lt;0.01,"周波数差&lt;1%","周波数差あり"))</f>
        <v/>
      </c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</row>
    <row r="56">
      <c r="A56" s="214" t="n"/>
      <c r="B56" s="215" t="n"/>
      <c r="C56" s="215" t="n"/>
      <c r="D56" s="212">
        <f>IF(K56="","",INDEX('同相3導体'!$AB:$AB,K56))</f>
        <v/>
      </c>
      <c r="E56" s="212">
        <f>IF(K56="","",INDEX('同相3導体'!$AC:$AC,K56))</f>
        <v/>
      </c>
      <c r="F56" s="212">
        <f>IF(OR(A56="",B56=""),"",100*(D56-B56)/MAX(B56,1E-12))</f>
        <v/>
      </c>
      <c r="G56" s="212">
        <f>IF(OR(A56="",C56=""),"",E56-C56)</f>
        <v/>
      </c>
      <c r="H56" s="212">
        <f>IF(A56="","",LOG10(A56))</f>
        <v/>
      </c>
      <c r="I56" s="212">
        <f>IF(B56="","",LOG10(MAX(B56,1E-12)))</f>
        <v/>
      </c>
      <c r="J56" s="212">
        <f>IF(D56="","",LOG10(MAX(D56,1E-12)))</f>
        <v/>
      </c>
      <c r="K56" s="202">
        <f>IF(A56="","",ROUND(1+(LOG10(A56)-LOG10('入力・概要'!$B$38))*('入力・概要'!$B$40-1)/(LOG10('入力・概要'!$B$39)-LOG10('入力・概要'!$B$38)),0)+3)</f>
        <v/>
      </c>
      <c r="L56" s="202">
        <f>IF(K56="","",INDEX('同相3導体'!$B:$B,K56))</f>
        <v/>
      </c>
      <c r="M56" s="202">
        <f>IF(A56="","",IF(ABS(L56/A56-1)&lt;0.01,"周波数差&lt;1%","周波数差あり"))</f>
        <v/>
      </c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</row>
    <row r="57">
      <c r="A57" s="214" t="n"/>
      <c r="B57" s="215" t="n"/>
      <c r="C57" s="215" t="n"/>
      <c r="D57" s="212">
        <f>IF(K57="","",INDEX('同相3導体'!$AB:$AB,K57))</f>
        <v/>
      </c>
      <c r="E57" s="212">
        <f>IF(K57="","",INDEX('同相3導体'!$AC:$AC,K57))</f>
        <v/>
      </c>
      <c r="F57" s="212">
        <f>IF(OR(A57="",B57=""),"",100*(D57-B57)/MAX(B57,1E-12))</f>
        <v/>
      </c>
      <c r="G57" s="212">
        <f>IF(OR(A57="",C57=""),"",E57-C57)</f>
        <v/>
      </c>
      <c r="H57" s="212">
        <f>IF(A57="","",LOG10(A57))</f>
        <v/>
      </c>
      <c r="I57" s="212">
        <f>IF(B57="","",LOG10(MAX(B57,1E-12)))</f>
        <v/>
      </c>
      <c r="J57" s="212">
        <f>IF(D57="","",LOG10(MAX(D57,1E-12)))</f>
        <v/>
      </c>
      <c r="K57" s="202">
        <f>IF(A57="","",ROUND(1+(LOG10(A57)-LOG10('入力・概要'!$B$38))*('入力・概要'!$B$40-1)/(LOG10('入力・概要'!$B$39)-LOG10('入力・概要'!$B$38)),0)+3)</f>
        <v/>
      </c>
      <c r="L57" s="202">
        <f>IF(K57="","",INDEX('同相3導体'!$B:$B,K57))</f>
        <v/>
      </c>
      <c r="M57" s="202">
        <f>IF(A57="","",IF(ABS(L57/A57-1)&lt;0.01,"周波数差&lt;1%","周波数差あり"))</f>
        <v/>
      </c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</row>
    <row r="58">
      <c r="A58" s="214" t="n"/>
      <c r="B58" s="215" t="n"/>
      <c r="C58" s="215" t="n"/>
      <c r="D58" s="212">
        <f>IF(K58="","",INDEX('同相3導体'!$AB:$AB,K58))</f>
        <v/>
      </c>
      <c r="E58" s="212">
        <f>IF(K58="","",INDEX('同相3導体'!$AC:$AC,K58))</f>
        <v/>
      </c>
      <c r="F58" s="212">
        <f>IF(OR(A58="",B58=""),"",100*(D58-B58)/MAX(B58,1E-12))</f>
        <v/>
      </c>
      <c r="G58" s="212">
        <f>IF(OR(A58="",C58=""),"",E58-C58)</f>
        <v/>
      </c>
      <c r="H58" s="212">
        <f>IF(A58="","",LOG10(A58))</f>
        <v/>
      </c>
      <c r="I58" s="212">
        <f>IF(B58="","",LOG10(MAX(B58,1E-12)))</f>
        <v/>
      </c>
      <c r="J58" s="212">
        <f>IF(D58="","",LOG10(MAX(D58,1E-12)))</f>
        <v/>
      </c>
      <c r="K58" s="202">
        <f>IF(A58="","",ROUND(1+(LOG10(A58)-LOG10('入力・概要'!$B$38))*('入力・概要'!$B$40-1)/(LOG10('入力・概要'!$B$39)-LOG10('入力・概要'!$B$38)),0)+3)</f>
        <v/>
      </c>
      <c r="L58" s="202">
        <f>IF(K58="","",INDEX('同相3導体'!$B:$B,K58))</f>
        <v/>
      </c>
      <c r="M58" s="202">
        <f>IF(A58="","",IF(ABS(L58/A58-1)&lt;0.01,"周波数差&lt;1%","周波数差あり"))</f>
        <v/>
      </c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</row>
    <row r="59">
      <c r="A59" s="214" t="n"/>
      <c r="B59" s="215" t="n"/>
      <c r="C59" s="215" t="n"/>
      <c r="D59" s="212">
        <f>IF(K59="","",INDEX('同相3導体'!$AB:$AB,K59))</f>
        <v/>
      </c>
      <c r="E59" s="212">
        <f>IF(K59="","",INDEX('同相3導体'!$AC:$AC,K59))</f>
        <v/>
      </c>
      <c r="F59" s="212">
        <f>IF(OR(A59="",B59=""),"",100*(D59-B59)/MAX(B59,1E-12))</f>
        <v/>
      </c>
      <c r="G59" s="212">
        <f>IF(OR(A59="",C59=""),"",E59-C59)</f>
        <v/>
      </c>
      <c r="H59" s="212">
        <f>IF(A59="","",LOG10(A59))</f>
        <v/>
      </c>
      <c r="I59" s="212">
        <f>IF(B59="","",LOG10(MAX(B59,1E-12)))</f>
        <v/>
      </c>
      <c r="J59" s="212">
        <f>IF(D59="","",LOG10(MAX(D59,1E-12)))</f>
        <v/>
      </c>
      <c r="K59" s="202">
        <f>IF(A59="","",ROUND(1+(LOG10(A59)-LOG10('入力・概要'!$B$38))*('入力・概要'!$B$40-1)/(LOG10('入力・概要'!$B$39)-LOG10('入力・概要'!$B$38)),0)+3)</f>
        <v/>
      </c>
      <c r="L59" s="202">
        <f>IF(K59="","",INDEX('同相3導体'!$B:$B,K59))</f>
        <v/>
      </c>
      <c r="M59" s="202">
        <f>IF(A59="","",IF(ABS(L59/A59-1)&lt;0.01,"周波数差&lt;1%","周波数差あり"))</f>
        <v/>
      </c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</row>
    <row r="60">
      <c r="A60" s="214" t="n"/>
      <c r="B60" s="215" t="n"/>
      <c r="C60" s="215" t="n"/>
      <c r="D60" s="212">
        <f>IF(K60="","",INDEX('同相3導体'!$AB:$AB,K60))</f>
        <v/>
      </c>
      <c r="E60" s="212">
        <f>IF(K60="","",INDEX('同相3導体'!$AC:$AC,K60))</f>
        <v/>
      </c>
      <c r="F60" s="212">
        <f>IF(OR(A60="",B60=""),"",100*(D60-B60)/MAX(B60,1E-12))</f>
        <v/>
      </c>
      <c r="G60" s="212">
        <f>IF(OR(A60="",C60=""),"",E60-C60)</f>
        <v/>
      </c>
      <c r="H60" s="212">
        <f>IF(A60="","",LOG10(A60))</f>
        <v/>
      </c>
      <c r="I60" s="212">
        <f>IF(B60="","",LOG10(MAX(B60,1E-12)))</f>
        <v/>
      </c>
      <c r="J60" s="212">
        <f>IF(D60="","",LOG10(MAX(D60,1E-12)))</f>
        <v/>
      </c>
      <c r="K60" s="202">
        <f>IF(A60="","",ROUND(1+(LOG10(A60)-LOG10('入力・概要'!$B$38))*('入力・概要'!$B$40-1)/(LOG10('入力・概要'!$B$39)-LOG10('入力・概要'!$B$38)),0)+3)</f>
        <v/>
      </c>
      <c r="L60" s="202">
        <f>IF(K60="","",INDEX('同相3導体'!$B:$B,K60))</f>
        <v/>
      </c>
      <c r="M60" s="202">
        <f>IF(A60="","",IF(ABS(L60/A60-1)&lt;0.01,"周波数差&lt;1%","周波数差あり"))</f>
        <v/>
      </c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</row>
    <row r="61">
      <c r="A61" s="197" t="n"/>
      <c r="B61" s="198" t="n"/>
      <c r="C61" s="198" t="n"/>
      <c r="D61" s="195">
        <f>IF(K61="","",INDEX('同相3導体'!$AB:$AB,K61))</f>
        <v/>
      </c>
      <c r="E61" s="195">
        <f>IF(K61="","",INDEX('同相3導体'!$AC:$AC,K61))</f>
        <v/>
      </c>
      <c r="F61" s="195">
        <f>IF(OR(A61="",B61=""),"",100*(D61-B61)/MAX(B61,1E-12))</f>
        <v/>
      </c>
      <c r="G61" s="195">
        <f>IF(OR(A61="",C61=""),"",E61-C61)</f>
        <v/>
      </c>
      <c r="H61" s="195">
        <f>IF(A61="","",LOG10(A61))</f>
        <v/>
      </c>
      <c r="I61" s="195">
        <f>IF(B61="","",LOG10(MAX(B61,1E-12)))</f>
        <v/>
      </c>
      <c r="J61" s="195">
        <f>IF(D61="","",LOG10(MAX(D61,1E-12)))</f>
        <v/>
      </c>
      <c r="K61">
        <f>IF(A61="","",ROUND(1+(LOG10(A61)-LOG10('入力・概要'!$B$38))*('入力・概要'!$B$40-1)/(LOG10('入力・概要'!$B$39)-LOG10('入力・概要'!$B$38)),0)+3)</f>
        <v/>
      </c>
      <c r="L61">
        <f>IF(K61="","",INDEX('同相3導体'!$B:$B,K61))</f>
        <v/>
      </c>
      <c r="M61">
        <f>IF(A61="","",IF(ABS(L61/A61-1)&lt;0.01,"周波数差&lt;1%","周波数差あり"))</f>
        <v/>
      </c>
    </row>
    <row r="62">
      <c r="A62" s="197" t="n"/>
      <c r="B62" s="198" t="n"/>
      <c r="C62" s="198" t="n"/>
      <c r="D62" s="195">
        <f>IF(K62="","",INDEX('同相3導体'!$AB:$AB,K62))</f>
        <v/>
      </c>
      <c r="E62" s="195">
        <f>IF(K62="","",INDEX('同相3導体'!$AC:$AC,K62))</f>
        <v/>
      </c>
      <c r="F62" s="195">
        <f>IF(OR(A62="",B62=""),"",100*(D62-B62)/MAX(B62,1E-12))</f>
        <v/>
      </c>
      <c r="G62" s="195">
        <f>IF(OR(A62="",C62=""),"",E62-C62)</f>
        <v/>
      </c>
      <c r="H62" s="195">
        <f>IF(A62="","",LOG10(A62))</f>
        <v/>
      </c>
      <c r="I62" s="195">
        <f>IF(B62="","",LOG10(MAX(B62,1E-12)))</f>
        <v/>
      </c>
      <c r="J62" s="195">
        <f>IF(D62="","",LOG10(MAX(D62,1E-12)))</f>
        <v/>
      </c>
      <c r="K62">
        <f>IF(A62="","",ROUND(1+(LOG10(A62)-LOG10('入力・概要'!$B$38))*('入力・概要'!$B$40-1)/(LOG10('入力・概要'!$B$39)-LOG10('入力・概要'!$B$38)),0)+3)</f>
        <v/>
      </c>
      <c r="L62">
        <f>IF(K62="","",INDEX('同相3導体'!$B:$B,K62))</f>
        <v/>
      </c>
      <c r="M62">
        <f>IF(A62="","",IF(ABS(L62/A62-1)&lt;0.01,"周波数差&lt;1%","周波数差あり"))</f>
        <v/>
      </c>
    </row>
    <row r="63">
      <c r="A63" s="197" t="n"/>
      <c r="B63" s="198" t="n"/>
      <c r="C63" s="198" t="n"/>
      <c r="D63" s="195">
        <f>IF(K63="","",INDEX('同相3導体'!$AB:$AB,K63))</f>
        <v/>
      </c>
      <c r="E63" s="195">
        <f>IF(K63="","",INDEX('同相3導体'!$AC:$AC,K63))</f>
        <v/>
      </c>
      <c r="F63" s="195">
        <f>IF(OR(A63="",B63=""),"",100*(D63-B63)/MAX(B63,1E-12))</f>
        <v/>
      </c>
      <c r="G63" s="195">
        <f>IF(OR(A63="",C63=""),"",E63-C63)</f>
        <v/>
      </c>
      <c r="H63" s="195">
        <f>IF(A63="","",LOG10(A63))</f>
        <v/>
      </c>
      <c r="I63" s="195">
        <f>IF(B63="","",LOG10(MAX(B63,1E-12)))</f>
        <v/>
      </c>
      <c r="J63" s="195">
        <f>IF(D63="","",LOG10(MAX(D63,1E-12)))</f>
        <v/>
      </c>
      <c r="K63">
        <f>IF(A63="","",ROUND(1+(LOG10(A63)-LOG10('入力・概要'!$B$38))*('入力・概要'!$B$40-1)/(LOG10('入力・概要'!$B$39)-LOG10('入力・概要'!$B$38)),0)+3)</f>
        <v/>
      </c>
      <c r="L63">
        <f>IF(K63="","",INDEX('同相3導体'!$B:$B,K63))</f>
        <v/>
      </c>
      <c r="M63">
        <f>IF(A63="","",IF(ABS(L63/A63-1)&lt;0.01,"周波数差&lt;1%","周波数差あり"))</f>
        <v/>
      </c>
    </row>
    <row r="64">
      <c r="A64" s="197" t="n"/>
      <c r="B64" s="198" t="n"/>
      <c r="C64" s="198" t="n"/>
      <c r="D64" s="195">
        <f>IF(K64="","",INDEX('同相3導体'!$AB:$AB,K64))</f>
        <v/>
      </c>
      <c r="E64" s="195">
        <f>IF(K64="","",INDEX('同相3導体'!$AC:$AC,K64))</f>
        <v/>
      </c>
      <c r="F64" s="195">
        <f>IF(OR(A64="",B64=""),"",100*(D64-B64)/MAX(B64,1E-12))</f>
        <v/>
      </c>
      <c r="G64" s="195">
        <f>IF(OR(A64="",C64=""),"",E64-C64)</f>
        <v/>
      </c>
      <c r="H64" s="195">
        <f>IF(A64="","",LOG10(A64))</f>
        <v/>
      </c>
      <c r="I64" s="195">
        <f>IF(B64="","",LOG10(MAX(B64,1E-12)))</f>
        <v/>
      </c>
      <c r="J64" s="195">
        <f>IF(D64="","",LOG10(MAX(D64,1E-12)))</f>
        <v/>
      </c>
      <c r="K64">
        <f>IF(A64="","",ROUND(1+(LOG10(A64)-LOG10('入力・概要'!$B$38))*('入力・概要'!$B$40-1)/(LOG10('入力・概要'!$B$39)-LOG10('入力・概要'!$B$38)),0)+3)</f>
        <v/>
      </c>
      <c r="L64">
        <f>IF(K64="","",INDEX('同相3導体'!$B:$B,K64))</f>
        <v/>
      </c>
      <c r="M64">
        <f>IF(A64="","",IF(ABS(L64/A64-1)&lt;0.01,"周波数差&lt;1%","周波数差あり"))</f>
        <v/>
      </c>
    </row>
    <row r="65">
      <c r="A65" s="197" t="n"/>
      <c r="B65" s="198" t="n"/>
      <c r="C65" s="198" t="n"/>
      <c r="D65" s="195">
        <f>IF(K65="","",INDEX('同相3導体'!$AB:$AB,K65))</f>
        <v/>
      </c>
      <c r="E65" s="195">
        <f>IF(K65="","",INDEX('同相3導体'!$AC:$AC,K65))</f>
        <v/>
      </c>
      <c r="F65" s="195">
        <f>IF(OR(A65="",B65=""),"",100*(D65-B65)/MAX(B65,1E-12))</f>
        <v/>
      </c>
      <c r="G65" s="195">
        <f>IF(OR(A65="",C65=""),"",E65-C65)</f>
        <v/>
      </c>
      <c r="H65" s="195">
        <f>IF(A65="","",LOG10(A65))</f>
        <v/>
      </c>
      <c r="I65" s="195">
        <f>IF(B65="","",LOG10(MAX(B65,1E-12)))</f>
        <v/>
      </c>
      <c r="J65" s="195">
        <f>IF(D65="","",LOG10(MAX(D65,1E-12)))</f>
        <v/>
      </c>
      <c r="K65">
        <f>IF(A65="","",ROUND(1+(LOG10(A65)-LOG10('入力・概要'!$B$38))*('入力・概要'!$B$40-1)/(LOG10('入力・概要'!$B$39)-LOG10('入力・概要'!$B$38)),0)+3)</f>
        <v/>
      </c>
      <c r="L65">
        <f>IF(K65="","",INDEX('同相3導体'!$B:$B,K65))</f>
        <v/>
      </c>
      <c r="M65">
        <f>IF(A65="","",IF(ABS(L65/A65-1)&lt;0.01,"周波数差&lt;1%","周波数差あり"))</f>
        <v/>
      </c>
    </row>
    <row r="66">
      <c r="A66" s="197" t="n"/>
      <c r="B66" s="198" t="n"/>
      <c r="C66" s="198" t="n"/>
      <c r="D66" s="195">
        <f>IF(K66="","",INDEX('同相3導体'!$AB:$AB,K66))</f>
        <v/>
      </c>
      <c r="E66" s="195">
        <f>IF(K66="","",INDEX('同相3導体'!$AC:$AC,K66))</f>
        <v/>
      </c>
      <c r="F66" s="195">
        <f>IF(OR(A66="",B66=""),"",100*(D66-B66)/MAX(B66,1E-12))</f>
        <v/>
      </c>
      <c r="G66" s="195">
        <f>IF(OR(A66="",C66=""),"",E66-C66)</f>
        <v/>
      </c>
      <c r="H66" s="195">
        <f>IF(A66="","",LOG10(A66))</f>
        <v/>
      </c>
      <c r="I66" s="195">
        <f>IF(B66="","",LOG10(MAX(B66,1E-12)))</f>
        <v/>
      </c>
      <c r="J66" s="195">
        <f>IF(D66="","",LOG10(MAX(D66,1E-12)))</f>
        <v/>
      </c>
      <c r="K66">
        <f>IF(A66="","",ROUND(1+(LOG10(A66)-LOG10('入力・概要'!$B$38))*('入力・概要'!$B$40-1)/(LOG10('入力・概要'!$B$39)-LOG10('入力・概要'!$B$38)),0)+3)</f>
        <v/>
      </c>
      <c r="L66">
        <f>IF(K66="","",INDEX('同相3導体'!$B:$B,K66))</f>
        <v/>
      </c>
      <c r="M66">
        <f>IF(A66="","",IF(ABS(L66/A66-1)&lt;0.01,"周波数差&lt;1%","周波数差あり"))</f>
        <v/>
      </c>
    </row>
    <row r="67">
      <c r="A67" s="197" t="n"/>
      <c r="B67" s="198" t="n"/>
      <c r="C67" s="198" t="n"/>
      <c r="D67" s="195">
        <f>IF(K67="","",INDEX('同相3導体'!$AB:$AB,K67))</f>
        <v/>
      </c>
      <c r="E67" s="195">
        <f>IF(K67="","",INDEX('同相3導体'!$AC:$AC,K67))</f>
        <v/>
      </c>
      <c r="F67" s="195">
        <f>IF(OR(A67="",B67=""),"",100*(D67-B67)/MAX(B67,1E-12))</f>
        <v/>
      </c>
      <c r="G67" s="195">
        <f>IF(OR(A67="",C67=""),"",E67-C67)</f>
        <v/>
      </c>
      <c r="H67" s="195">
        <f>IF(A67="","",LOG10(A67))</f>
        <v/>
      </c>
      <c r="I67" s="195">
        <f>IF(B67="","",LOG10(MAX(B67,1E-12)))</f>
        <v/>
      </c>
      <c r="J67" s="195">
        <f>IF(D67="","",LOG10(MAX(D67,1E-12)))</f>
        <v/>
      </c>
      <c r="K67">
        <f>IF(A67="","",ROUND(1+(LOG10(A67)-LOG10('入力・概要'!$B$38))*('入力・概要'!$B$40-1)/(LOG10('入力・概要'!$B$39)-LOG10('入力・概要'!$B$38)),0)+3)</f>
        <v/>
      </c>
      <c r="L67">
        <f>IF(K67="","",INDEX('同相3導体'!$B:$B,K67))</f>
        <v/>
      </c>
      <c r="M67">
        <f>IF(A67="","",IF(ABS(L67/A67-1)&lt;0.01,"周波数差&lt;1%","周波数差あり"))</f>
        <v/>
      </c>
    </row>
    <row r="68">
      <c r="A68" s="197" t="n"/>
      <c r="B68" s="198" t="n"/>
      <c r="C68" s="198" t="n"/>
      <c r="D68" s="195">
        <f>IF(K68="","",INDEX('同相3導体'!$AB:$AB,K68))</f>
        <v/>
      </c>
      <c r="E68" s="195">
        <f>IF(K68="","",INDEX('同相3導体'!$AC:$AC,K68))</f>
        <v/>
      </c>
      <c r="F68" s="195">
        <f>IF(OR(A68="",B68=""),"",100*(D68-B68)/MAX(B68,1E-12))</f>
        <v/>
      </c>
      <c r="G68" s="195">
        <f>IF(OR(A68="",C68=""),"",E68-C68)</f>
        <v/>
      </c>
      <c r="H68" s="195">
        <f>IF(A68="","",LOG10(A68))</f>
        <v/>
      </c>
      <c r="I68" s="195">
        <f>IF(B68="","",LOG10(MAX(B68,1E-12)))</f>
        <v/>
      </c>
      <c r="J68" s="195">
        <f>IF(D68="","",LOG10(MAX(D68,1E-12)))</f>
        <v/>
      </c>
      <c r="K68">
        <f>IF(A68="","",ROUND(1+(LOG10(A68)-LOG10('入力・概要'!$B$38))*('入力・概要'!$B$40-1)/(LOG10('入力・概要'!$B$39)-LOG10('入力・概要'!$B$38)),0)+3)</f>
        <v/>
      </c>
      <c r="L68">
        <f>IF(K68="","",INDEX('同相3導体'!$B:$B,K68))</f>
        <v/>
      </c>
      <c r="M68">
        <f>IF(A68="","",IF(ABS(L68/A68-1)&lt;0.01,"周波数差&lt;1%","周波数差あり"))</f>
        <v/>
      </c>
    </row>
    <row r="69">
      <c r="A69" s="197" t="n"/>
      <c r="B69" s="198" t="n"/>
      <c r="C69" s="198" t="n"/>
      <c r="D69" s="195">
        <f>IF(K69="","",INDEX('同相3導体'!$AB:$AB,K69))</f>
        <v/>
      </c>
      <c r="E69" s="195">
        <f>IF(K69="","",INDEX('同相3導体'!$AC:$AC,K69))</f>
        <v/>
      </c>
      <c r="F69" s="195">
        <f>IF(OR(A69="",B69=""),"",100*(D69-B69)/MAX(B69,1E-12))</f>
        <v/>
      </c>
      <c r="G69" s="195">
        <f>IF(OR(A69="",C69=""),"",E69-C69)</f>
        <v/>
      </c>
      <c r="H69" s="195">
        <f>IF(A69="","",LOG10(A69))</f>
        <v/>
      </c>
      <c r="I69" s="195">
        <f>IF(B69="","",LOG10(MAX(B69,1E-12)))</f>
        <v/>
      </c>
      <c r="J69" s="195">
        <f>IF(D69="","",LOG10(MAX(D69,1E-12)))</f>
        <v/>
      </c>
      <c r="K69">
        <f>IF(A69="","",ROUND(1+(LOG10(A69)-LOG10('入力・概要'!$B$38))*('入力・概要'!$B$40-1)/(LOG10('入力・概要'!$B$39)-LOG10('入力・概要'!$B$38)),0)+3)</f>
        <v/>
      </c>
      <c r="L69">
        <f>IF(K69="","",INDEX('同相3導体'!$B:$B,K69))</f>
        <v/>
      </c>
      <c r="M69">
        <f>IF(A69="","",IF(ABS(L69/A69-1)&lt;0.01,"周波数差&lt;1%","周波数差あり"))</f>
        <v/>
      </c>
    </row>
    <row r="70">
      <c r="A70" s="197" t="n"/>
      <c r="B70" s="198" t="n"/>
      <c r="C70" s="198" t="n"/>
      <c r="D70" s="195">
        <f>IF(K70="","",INDEX('同相3導体'!$AB:$AB,K70))</f>
        <v/>
      </c>
      <c r="E70" s="195">
        <f>IF(K70="","",INDEX('同相3導体'!$AC:$AC,K70))</f>
        <v/>
      </c>
      <c r="F70" s="195">
        <f>IF(OR(A70="",B70=""),"",100*(D70-B70)/MAX(B70,1E-12))</f>
        <v/>
      </c>
      <c r="G70" s="195">
        <f>IF(OR(A70="",C70=""),"",E70-C70)</f>
        <v/>
      </c>
      <c r="H70" s="195">
        <f>IF(A70="","",LOG10(A70))</f>
        <v/>
      </c>
      <c r="I70" s="195">
        <f>IF(B70="","",LOG10(MAX(B70,1E-12)))</f>
        <v/>
      </c>
      <c r="J70" s="195">
        <f>IF(D70="","",LOG10(MAX(D70,1E-12)))</f>
        <v/>
      </c>
      <c r="K70">
        <f>IF(A70="","",ROUND(1+(LOG10(A70)-LOG10('入力・概要'!$B$38))*('入力・概要'!$B$40-1)/(LOG10('入力・概要'!$B$39)-LOG10('入力・概要'!$B$38)),0)+3)</f>
        <v/>
      </c>
      <c r="L70">
        <f>IF(K70="","",INDEX('同相3導体'!$B:$B,K70))</f>
        <v/>
      </c>
      <c r="M70">
        <f>IF(A70="","",IF(ABS(L70/A70-1)&lt;0.01,"周波数差&lt;1%","周波数差あり"))</f>
        <v/>
      </c>
    </row>
    <row r="71">
      <c r="A71" s="197" t="n"/>
      <c r="B71" s="198" t="n"/>
      <c r="C71" s="198" t="n"/>
      <c r="D71" s="195">
        <f>IF(K71="","",INDEX('同相3導体'!$AB:$AB,K71))</f>
        <v/>
      </c>
      <c r="E71" s="195">
        <f>IF(K71="","",INDEX('同相3導体'!$AC:$AC,K71))</f>
        <v/>
      </c>
      <c r="F71" s="195">
        <f>IF(OR(A71="",B71=""),"",100*(D71-B71)/MAX(B71,1E-12))</f>
        <v/>
      </c>
      <c r="G71" s="195">
        <f>IF(OR(A71="",C71=""),"",E71-C71)</f>
        <v/>
      </c>
      <c r="H71" s="195">
        <f>IF(A71="","",LOG10(A71))</f>
        <v/>
      </c>
      <c r="I71" s="195">
        <f>IF(B71="","",LOG10(MAX(B71,1E-12)))</f>
        <v/>
      </c>
      <c r="J71" s="195">
        <f>IF(D71="","",LOG10(MAX(D71,1E-12)))</f>
        <v/>
      </c>
      <c r="K71">
        <f>IF(A71="","",ROUND(1+(LOG10(A71)-LOG10('入力・概要'!$B$38))*('入力・概要'!$B$40-1)/(LOG10('入力・概要'!$B$39)-LOG10('入力・概要'!$B$38)),0)+3)</f>
        <v/>
      </c>
      <c r="L71">
        <f>IF(K71="","",INDEX('同相3導体'!$B:$B,K71))</f>
        <v/>
      </c>
      <c r="M71">
        <f>IF(A71="","",IF(ABS(L71/A71-1)&lt;0.01,"周波数差&lt;1%","周波数差あり"))</f>
        <v/>
      </c>
    </row>
    <row r="72">
      <c r="A72" s="197" t="n"/>
      <c r="B72" s="198" t="n"/>
      <c r="C72" s="198" t="n"/>
      <c r="D72" s="195">
        <f>IF(K72="","",INDEX('同相3導体'!$AB:$AB,K72))</f>
        <v/>
      </c>
      <c r="E72" s="195">
        <f>IF(K72="","",INDEX('同相3導体'!$AC:$AC,K72))</f>
        <v/>
      </c>
      <c r="F72" s="195">
        <f>IF(OR(A72="",B72=""),"",100*(D72-B72)/MAX(B72,1E-12))</f>
        <v/>
      </c>
      <c r="G72" s="195">
        <f>IF(OR(A72="",C72=""),"",E72-C72)</f>
        <v/>
      </c>
      <c r="H72" s="195">
        <f>IF(A72="","",LOG10(A72))</f>
        <v/>
      </c>
      <c r="I72" s="195">
        <f>IF(B72="","",LOG10(MAX(B72,1E-12)))</f>
        <v/>
      </c>
      <c r="J72" s="195">
        <f>IF(D72="","",LOG10(MAX(D72,1E-12)))</f>
        <v/>
      </c>
      <c r="K72">
        <f>IF(A72="","",ROUND(1+(LOG10(A72)-LOG10('入力・概要'!$B$38))*('入力・概要'!$B$40-1)/(LOG10('入力・概要'!$B$39)-LOG10('入力・概要'!$B$38)),0)+3)</f>
        <v/>
      </c>
      <c r="L72">
        <f>IF(K72="","",INDEX('同相3導体'!$B:$B,K72))</f>
        <v/>
      </c>
      <c r="M72">
        <f>IF(A72="","",IF(ABS(L72/A72-1)&lt;0.01,"周波数差&lt;1%","周波数差あり"))</f>
        <v/>
      </c>
    </row>
    <row r="73">
      <c r="A73" s="197" t="n"/>
      <c r="B73" s="198" t="n"/>
      <c r="C73" s="198" t="n"/>
      <c r="D73" s="195">
        <f>IF(K73="","",INDEX('同相3導体'!$AB:$AB,K73))</f>
        <v/>
      </c>
      <c r="E73" s="195">
        <f>IF(K73="","",INDEX('同相3導体'!$AC:$AC,K73))</f>
        <v/>
      </c>
      <c r="F73" s="195">
        <f>IF(OR(A73="",B73=""),"",100*(D73-B73)/MAX(B73,1E-12))</f>
        <v/>
      </c>
      <c r="G73" s="195">
        <f>IF(OR(A73="",C73=""),"",E73-C73)</f>
        <v/>
      </c>
      <c r="H73" s="195">
        <f>IF(A73="","",LOG10(A73))</f>
        <v/>
      </c>
      <c r="I73" s="195">
        <f>IF(B73="","",LOG10(MAX(B73,1E-12)))</f>
        <v/>
      </c>
      <c r="J73" s="195">
        <f>IF(D73="","",LOG10(MAX(D73,1E-12)))</f>
        <v/>
      </c>
      <c r="K73">
        <f>IF(A73="","",ROUND(1+(LOG10(A73)-LOG10('入力・概要'!$B$38))*('入力・概要'!$B$40-1)/(LOG10('入力・概要'!$B$39)-LOG10('入力・概要'!$B$38)),0)+3)</f>
        <v/>
      </c>
      <c r="L73">
        <f>IF(K73="","",INDEX('同相3導体'!$B:$B,K73))</f>
        <v/>
      </c>
      <c r="M73">
        <f>IF(A73="","",IF(ABS(L73/A73-1)&lt;0.01,"周波数差&lt;1%","周波数差あり"))</f>
        <v/>
      </c>
    </row>
    <row r="74">
      <c r="A74" s="197" t="n"/>
      <c r="B74" s="198" t="n"/>
      <c r="C74" s="198" t="n"/>
      <c r="D74" s="195">
        <f>IF(K74="","",INDEX('同相3導体'!$AB:$AB,K74))</f>
        <v/>
      </c>
      <c r="E74" s="195">
        <f>IF(K74="","",INDEX('同相3導体'!$AC:$AC,K74))</f>
        <v/>
      </c>
      <c r="F74" s="195">
        <f>IF(OR(A74="",B74=""),"",100*(D74-B74)/MAX(B74,1E-12))</f>
        <v/>
      </c>
      <c r="G74" s="195">
        <f>IF(OR(A74="",C74=""),"",E74-C74)</f>
        <v/>
      </c>
      <c r="H74" s="195">
        <f>IF(A74="","",LOG10(A74))</f>
        <v/>
      </c>
      <c r="I74" s="195">
        <f>IF(B74="","",LOG10(MAX(B74,1E-12)))</f>
        <v/>
      </c>
      <c r="J74" s="195">
        <f>IF(D74="","",LOG10(MAX(D74,1E-12)))</f>
        <v/>
      </c>
      <c r="K74">
        <f>IF(A74="","",ROUND(1+(LOG10(A74)-LOG10('入力・概要'!$B$38))*('入力・概要'!$B$40-1)/(LOG10('入力・概要'!$B$39)-LOG10('入力・概要'!$B$38)),0)+3)</f>
        <v/>
      </c>
      <c r="L74">
        <f>IF(K74="","",INDEX('同相3導体'!$B:$B,K74))</f>
        <v/>
      </c>
      <c r="M74">
        <f>IF(A74="","",IF(ABS(L74/A74-1)&lt;0.01,"周波数差&lt;1%","周波数差あり"))</f>
        <v/>
      </c>
    </row>
    <row r="75">
      <c r="A75" s="197" t="n"/>
      <c r="B75" s="198" t="n"/>
      <c r="C75" s="198" t="n"/>
      <c r="D75" s="195">
        <f>IF(K75="","",INDEX('同相3導体'!$AB:$AB,K75))</f>
        <v/>
      </c>
      <c r="E75" s="195">
        <f>IF(K75="","",INDEX('同相3導体'!$AC:$AC,K75))</f>
        <v/>
      </c>
      <c r="F75" s="195">
        <f>IF(OR(A75="",B75=""),"",100*(D75-B75)/MAX(B75,1E-12))</f>
        <v/>
      </c>
      <c r="G75" s="195">
        <f>IF(OR(A75="",C75=""),"",E75-C75)</f>
        <v/>
      </c>
      <c r="H75" s="195">
        <f>IF(A75="","",LOG10(A75))</f>
        <v/>
      </c>
      <c r="I75" s="195">
        <f>IF(B75="","",LOG10(MAX(B75,1E-12)))</f>
        <v/>
      </c>
      <c r="J75" s="195">
        <f>IF(D75="","",LOG10(MAX(D75,1E-12)))</f>
        <v/>
      </c>
      <c r="K75">
        <f>IF(A75="","",ROUND(1+(LOG10(A75)-LOG10('入力・概要'!$B$38))*('入力・概要'!$B$40-1)/(LOG10('入力・概要'!$B$39)-LOG10('入力・概要'!$B$38)),0)+3)</f>
        <v/>
      </c>
      <c r="L75">
        <f>IF(K75="","",INDEX('同相3導体'!$B:$B,K75))</f>
        <v/>
      </c>
      <c r="M75">
        <f>IF(A75="","",IF(ABS(L75/A75-1)&lt;0.01,"周波数差&lt;1%","周波数差あり"))</f>
        <v/>
      </c>
    </row>
    <row r="76">
      <c r="A76" s="197" t="n"/>
      <c r="B76" s="198" t="n"/>
      <c r="C76" s="198" t="n"/>
      <c r="D76" s="195">
        <f>IF(K76="","",INDEX('同相3導体'!$AB:$AB,K76))</f>
        <v/>
      </c>
      <c r="E76" s="195">
        <f>IF(K76="","",INDEX('同相3導体'!$AC:$AC,K76))</f>
        <v/>
      </c>
      <c r="F76" s="195">
        <f>IF(OR(A76="",B76=""),"",100*(D76-B76)/MAX(B76,1E-12))</f>
        <v/>
      </c>
      <c r="G76" s="195">
        <f>IF(OR(A76="",C76=""),"",E76-C76)</f>
        <v/>
      </c>
      <c r="H76" s="195">
        <f>IF(A76="","",LOG10(A76))</f>
        <v/>
      </c>
      <c r="I76" s="195">
        <f>IF(B76="","",LOG10(MAX(B76,1E-12)))</f>
        <v/>
      </c>
      <c r="J76" s="195">
        <f>IF(D76="","",LOG10(MAX(D76,1E-12)))</f>
        <v/>
      </c>
      <c r="K76">
        <f>IF(A76="","",ROUND(1+(LOG10(A76)-LOG10('入力・概要'!$B$38))*('入力・概要'!$B$40-1)/(LOG10('入力・概要'!$B$39)-LOG10('入力・概要'!$B$38)),0)+3)</f>
        <v/>
      </c>
      <c r="L76">
        <f>IF(K76="","",INDEX('同相3導体'!$B:$B,K76))</f>
        <v/>
      </c>
      <c r="M76">
        <f>IF(A76="","",IF(ABS(L76/A76-1)&lt;0.01,"周波数差&lt;1%","周波数差あり"))</f>
        <v/>
      </c>
    </row>
    <row r="77">
      <c r="A77" s="197" t="n"/>
      <c r="B77" s="198" t="n"/>
      <c r="C77" s="198" t="n"/>
      <c r="D77" s="195">
        <f>IF(K77="","",INDEX('同相3導体'!$AB:$AB,K77))</f>
        <v/>
      </c>
      <c r="E77" s="195">
        <f>IF(K77="","",INDEX('同相3導体'!$AC:$AC,K77))</f>
        <v/>
      </c>
      <c r="F77" s="195">
        <f>IF(OR(A77="",B77=""),"",100*(D77-B77)/MAX(B77,1E-12))</f>
        <v/>
      </c>
      <c r="G77" s="195">
        <f>IF(OR(A77="",C77=""),"",E77-C77)</f>
        <v/>
      </c>
      <c r="H77" s="195">
        <f>IF(A77="","",LOG10(A77))</f>
        <v/>
      </c>
      <c r="I77" s="195">
        <f>IF(B77="","",LOG10(MAX(B77,1E-12)))</f>
        <v/>
      </c>
      <c r="J77" s="195">
        <f>IF(D77="","",LOG10(MAX(D77,1E-12)))</f>
        <v/>
      </c>
      <c r="K77">
        <f>IF(A77="","",ROUND(1+(LOG10(A77)-LOG10('入力・概要'!$B$38))*('入力・概要'!$B$40-1)/(LOG10('入力・概要'!$B$39)-LOG10('入力・概要'!$B$38)),0)+3)</f>
        <v/>
      </c>
      <c r="L77">
        <f>IF(K77="","",INDEX('同相3導体'!$B:$B,K77))</f>
        <v/>
      </c>
      <c r="M77">
        <f>IF(A77="","",IF(ABS(L77/A77-1)&lt;0.01,"周波数差&lt;1%","周波数差あり"))</f>
        <v/>
      </c>
    </row>
    <row r="78">
      <c r="A78" s="197" t="n"/>
      <c r="B78" s="198" t="n"/>
      <c r="C78" s="198" t="n"/>
      <c r="D78" s="195">
        <f>IF(K78="","",INDEX('同相3導体'!$AB:$AB,K78))</f>
        <v/>
      </c>
      <c r="E78" s="195">
        <f>IF(K78="","",INDEX('同相3導体'!$AC:$AC,K78))</f>
        <v/>
      </c>
      <c r="F78" s="195">
        <f>IF(OR(A78="",B78=""),"",100*(D78-B78)/MAX(B78,1E-12))</f>
        <v/>
      </c>
      <c r="G78" s="195">
        <f>IF(OR(A78="",C78=""),"",E78-C78)</f>
        <v/>
      </c>
      <c r="H78" s="195">
        <f>IF(A78="","",LOG10(A78))</f>
        <v/>
      </c>
      <c r="I78" s="195">
        <f>IF(B78="","",LOG10(MAX(B78,1E-12)))</f>
        <v/>
      </c>
      <c r="J78" s="195">
        <f>IF(D78="","",LOG10(MAX(D78,1E-12)))</f>
        <v/>
      </c>
      <c r="K78">
        <f>IF(A78="","",ROUND(1+(LOG10(A78)-LOG10('入力・概要'!$B$38))*('入力・概要'!$B$40-1)/(LOG10('入力・概要'!$B$39)-LOG10('入力・概要'!$B$38)),0)+3)</f>
        <v/>
      </c>
      <c r="L78">
        <f>IF(K78="","",INDEX('同相3導体'!$B:$B,K78))</f>
        <v/>
      </c>
      <c r="M78">
        <f>IF(A78="","",IF(ABS(L78/A78-1)&lt;0.01,"周波数差&lt;1%","周波数差あり"))</f>
        <v/>
      </c>
    </row>
    <row r="79">
      <c r="A79" s="197" t="n"/>
      <c r="B79" s="198" t="n"/>
      <c r="C79" s="198" t="n"/>
      <c r="D79" s="195">
        <f>IF(K79="","",INDEX('同相3導体'!$AB:$AB,K79))</f>
        <v/>
      </c>
      <c r="E79" s="195">
        <f>IF(K79="","",INDEX('同相3導体'!$AC:$AC,K79))</f>
        <v/>
      </c>
      <c r="F79" s="195">
        <f>IF(OR(A79="",B79=""),"",100*(D79-B79)/MAX(B79,1E-12))</f>
        <v/>
      </c>
      <c r="G79" s="195">
        <f>IF(OR(A79="",C79=""),"",E79-C79)</f>
        <v/>
      </c>
      <c r="H79" s="195">
        <f>IF(A79="","",LOG10(A79))</f>
        <v/>
      </c>
      <c r="I79" s="195">
        <f>IF(B79="","",LOG10(MAX(B79,1E-12)))</f>
        <v/>
      </c>
      <c r="J79" s="195">
        <f>IF(D79="","",LOG10(MAX(D79,1E-12)))</f>
        <v/>
      </c>
      <c r="K79">
        <f>IF(A79="","",ROUND(1+(LOG10(A79)-LOG10('入力・概要'!$B$38))*('入力・概要'!$B$40-1)/(LOG10('入力・概要'!$B$39)-LOG10('入力・概要'!$B$38)),0)+3)</f>
        <v/>
      </c>
      <c r="L79">
        <f>IF(K79="","",INDEX('同相3導体'!$B:$B,K79))</f>
        <v/>
      </c>
      <c r="M79">
        <f>IF(A79="","",IF(ABS(L79/A79-1)&lt;0.01,"周波数差&lt;1%","周波数差あり"))</f>
        <v/>
      </c>
    </row>
    <row r="80">
      <c r="A80" s="197" t="n"/>
      <c r="B80" s="198" t="n"/>
      <c r="C80" s="198" t="n"/>
      <c r="D80" s="195">
        <f>IF(K80="","",INDEX('同相3導体'!$AB:$AB,K80))</f>
        <v/>
      </c>
      <c r="E80" s="195">
        <f>IF(K80="","",INDEX('同相3導体'!$AC:$AC,K80))</f>
        <v/>
      </c>
      <c r="F80" s="195">
        <f>IF(OR(A80="",B80=""),"",100*(D80-B80)/MAX(B80,1E-12))</f>
        <v/>
      </c>
      <c r="G80" s="195">
        <f>IF(OR(A80="",C80=""),"",E80-C80)</f>
        <v/>
      </c>
      <c r="H80" s="195">
        <f>IF(A80="","",LOG10(A80))</f>
        <v/>
      </c>
      <c r="I80" s="195">
        <f>IF(B80="","",LOG10(MAX(B80,1E-12)))</f>
        <v/>
      </c>
      <c r="J80" s="195">
        <f>IF(D80="","",LOG10(MAX(D80,1E-12)))</f>
        <v/>
      </c>
      <c r="K80">
        <f>IF(A80="","",ROUND(1+(LOG10(A80)-LOG10('入力・概要'!$B$38))*('入力・概要'!$B$40-1)/(LOG10('入力・概要'!$B$39)-LOG10('入力・概要'!$B$38)),0)+3)</f>
        <v/>
      </c>
      <c r="L80">
        <f>IF(K80="","",INDEX('同相3導体'!$B:$B,K80))</f>
        <v/>
      </c>
      <c r="M80">
        <f>IF(A80="","",IF(ABS(L80/A80-1)&lt;0.01,"周波数差&lt;1%","周波数差あり"))</f>
        <v/>
      </c>
    </row>
    <row r="81">
      <c r="A81" s="197" t="n"/>
      <c r="B81" s="198" t="n"/>
      <c r="C81" s="198" t="n"/>
      <c r="D81" s="195">
        <f>IF(K81="","",INDEX('同相3導体'!$AB:$AB,K81))</f>
        <v/>
      </c>
      <c r="E81" s="195">
        <f>IF(K81="","",INDEX('同相3導体'!$AC:$AC,K81))</f>
        <v/>
      </c>
      <c r="F81" s="195">
        <f>IF(OR(A81="",B81=""),"",100*(D81-B81)/MAX(B81,1E-12))</f>
        <v/>
      </c>
      <c r="G81" s="195">
        <f>IF(OR(A81="",C81=""),"",E81-C81)</f>
        <v/>
      </c>
      <c r="H81" s="195">
        <f>IF(A81="","",LOG10(A81))</f>
        <v/>
      </c>
      <c r="I81" s="195">
        <f>IF(B81="","",LOG10(MAX(B81,1E-12)))</f>
        <v/>
      </c>
      <c r="J81" s="195">
        <f>IF(D81="","",LOG10(MAX(D81,1E-12)))</f>
        <v/>
      </c>
      <c r="K81">
        <f>IF(A81="","",ROUND(1+(LOG10(A81)-LOG10('入力・概要'!$B$38))*('入力・概要'!$B$40-1)/(LOG10('入力・概要'!$B$39)-LOG10('入力・概要'!$B$38)),0)+3)</f>
        <v/>
      </c>
      <c r="L81">
        <f>IF(K81="","",INDEX('同相3導体'!$B:$B,K81))</f>
        <v/>
      </c>
      <c r="M81">
        <f>IF(A81="","",IF(ABS(L81/A81-1)&lt;0.01,"周波数差&lt;1%","周波数差あり"))</f>
        <v/>
      </c>
    </row>
    <row r="82">
      <c r="A82" s="197" t="n"/>
      <c r="B82" s="198" t="n"/>
      <c r="C82" s="198" t="n"/>
      <c r="D82" s="195">
        <f>IF(K82="","",INDEX('同相3導体'!$AB:$AB,K82))</f>
        <v/>
      </c>
      <c r="E82" s="195">
        <f>IF(K82="","",INDEX('同相3導体'!$AC:$AC,K82))</f>
        <v/>
      </c>
      <c r="F82" s="195">
        <f>IF(OR(A82="",B82=""),"",100*(D82-B82)/MAX(B82,1E-12))</f>
        <v/>
      </c>
      <c r="G82" s="195">
        <f>IF(OR(A82="",C82=""),"",E82-C82)</f>
        <v/>
      </c>
      <c r="H82" s="195">
        <f>IF(A82="","",LOG10(A82))</f>
        <v/>
      </c>
      <c r="I82" s="195">
        <f>IF(B82="","",LOG10(MAX(B82,1E-12)))</f>
        <v/>
      </c>
      <c r="J82" s="195">
        <f>IF(D82="","",LOG10(MAX(D82,1E-12)))</f>
        <v/>
      </c>
      <c r="K82">
        <f>IF(A82="","",ROUND(1+(LOG10(A82)-LOG10('入力・概要'!$B$38))*('入力・概要'!$B$40-1)/(LOG10('入力・概要'!$B$39)-LOG10('入力・概要'!$B$38)),0)+3)</f>
        <v/>
      </c>
      <c r="L82">
        <f>IF(K82="","",INDEX('同相3導体'!$B:$B,K82))</f>
        <v/>
      </c>
      <c r="M82">
        <f>IF(A82="","",IF(ABS(L82/A82-1)&lt;0.01,"周波数差&lt;1%","周波数差あり"))</f>
        <v/>
      </c>
    </row>
    <row r="83">
      <c r="A83" s="197" t="n"/>
      <c r="B83" s="198" t="n"/>
      <c r="C83" s="198" t="n"/>
      <c r="D83" s="195">
        <f>IF(K83="","",INDEX('同相3導体'!$AB:$AB,K83))</f>
        <v/>
      </c>
      <c r="E83" s="195">
        <f>IF(K83="","",INDEX('同相3導体'!$AC:$AC,K83))</f>
        <v/>
      </c>
      <c r="F83" s="195">
        <f>IF(OR(A83="",B83=""),"",100*(D83-B83)/MAX(B83,1E-12))</f>
        <v/>
      </c>
      <c r="G83" s="195">
        <f>IF(OR(A83="",C83=""),"",E83-C83)</f>
        <v/>
      </c>
      <c r="H83" s="195">
        <f>IF(A83="","",LOG10(A83))</f>
        <v/>
      </c>
      <c r="I83" s="195">
        <f>IF(B83="","",LOG10(MAX(B83,1E-12)))</f>
        <v/>
      </c>
      <c r="J83" s="195">
        <f>IF(D83="","",LOG10(MAX(D83,1E-12)))</f>
        <v/>
      </c>
      <c r="K83">
        <f>IF(A83="","",ROUND(1+(LOG10(A83)-LOG10('入力・概要'!$B$38))*('入力・概要'!$B$40-1)/(LOG10('入力・概要'!$B$39)-LOG10('入力・概要'!$B$38)),0)+3)</f>
        <v/>
      </c>
      <c r="L83">
        <f>IF(K83="","",INDEX('同相3導体'!$B:$B,K83))</f>
        <v/>
      </c>
      <c r="M83">
        <f>IF(A83="","",IF(ABS(L83/A83-1)&lt;0.01,"周波数差&lt;1%","周波数差あり"))</f>
        <v/>
      </c>
    </row>
    <row r="84">
      <c r="A84" s="197" t="n"/>
      <c r="B84" s="198" t="n"/>
      <c r="C84" s="198" t="n"/>
      <c r="D84" s="195">
        <f>IF(K84="","",INDEX('同相3導体'!$AB:$AB,K84))</f>
        <v/>
      </c>
      <c r="E84" s="195">
        <f>IF(K84="","",INDEX('同相3導体'!$AC:$AC,K84))</f>
        <v/>
      </c>
      <c r="F84" s="195">
        <f>IF(OR(A84="",B84=""),"",100*(D84-B84)/MAX(B84,1E-12))</f>
        <v/>
      </c>
      <c r="G84" s="195">
        <f>IF(OR(A84="",C84=""),"",E84-C84)</f>
        <v/>
      </c>
      <c r="H84" s="195">
        <f>IF(A84="","",LOG10(A84))</f>
        <v/>
      </c>
      <c r="I84" s="195">
        <f>IF(B84="","",LOG10(MAX(B84,1E-12)))</f>
        <v/>
      </c>
      <c r="J84" s="195">
        <f>IF(D84="","",LOG10(MAX(D84,1E-12)))</f>
        <v/>
      </c>
      <c r="K84">
        <f>IF(A84="","",ROUND(1+(LOG10(A84)-LOG10('入力・概要'!$B$38))*('入力・概要'!$B$40-1)/(LOG10('入力・概要'!$B$39)-LOG10('入力・概要'!$B$38)),0)+3)</f>
        <v/>
      </c>
      <c r="L84">
        <f>IF(K84="","",INDEX('同相3導体'!$B:$B,K84))</f>
        <v/>
      </c>
      <c r="M84">
        <f>IF(A84="","",IF(ABS(L84/A84-1)&lt;0.01,"周波数差&lt;1%","周波数差あり"))</f>
        <v/>
      </c>
    </row>
    <row r="85">
      <c r="A85" s="197" t="n"/>
      <c r="B85" s="198" t="n"/>
      <c r="C85" s="198" t="n"/>
      <c r="D85" s="195">
        <f>IF(K85="","",INDEX('同相3導体'!$AB:$AB,K85))</f>
        <v/>
      </c>
      <c r="E85" s="195">
        <f>IF(K85="","",INDEX('同相3導体'!$AC:$AC,K85))</f>
        <v/>
      </c>
      <c r="F85" s="195">
        <f>IF(OR(A85="",B85=""),"",100*(D85-B85)/MAX(B85,1E-12))</f>
        <v/>
      </c>
      <c r="G85" s="195">
        <f>IF(OR(A85="",C85=""),"",E85-C85)</f>
        <v/>
      </c>
      <c r="H85" s="195">
        <f>IF(A85="","",LOG10(A85))</f>
        <v/>
      </c>
      <c r="I85" s="195">
        <f>IF(B85="","",LOG10(MAX(B85,1E-12)))</f>
        <v/>
      </c>
      <c r="J85" s="195">
        <f>IF(D85="","",LOG10(MAX(D85,1E-12)))</f>
        <v/>
      </c>
      <c r="K85">
        <f>IF(A85="","",ROUND(1+(LOG10(A85)-LOG10('入力・概要'!$B$38))*('入力・概要'!$B$40-1)/(LOG10('入力・概要'!$B$39)-LOG10('入力・概要'!$B$38)),0)+3)</f>
        <v/>
      </c>
      <c r="L85">
        <f>IF(K85="","",INDEX('同相3導体'!$B:$B,K85))</f>
        <v/>
      </c>
      <c r="M85">
        <f>IF(A85="","",IF(ABS(L85/A85-1)&lt;0.01,"周波数差&lt;1%","周波数差あり"))</f>
        <v/>
      </c>
    </row>
    <row r="86">
      <c r="A86" s="197" t="n"/>
      <c r="B86" s="198" t="n"/>
      <c r="C86" s="198" t="n"/>
      <c r="D86" s="195">
        <f>IF(K86="","",INDEX('同相3導体'!$AB:$AB,K86))</f>
        <v/>
      </c>
      <c r="E86" s="195">
        <f>IF(K86="","",INDEX('同相3導体'!$AC:$AC,K86))</f>
        <v/>
      </c>
      <c r="F86" s="195">
        <f>IF(OR(A86="",B86=""),"",100*(D86-B86)/MAX(B86,1E-12))</f>
        <v/>
      </c>
      <c r="G86" s="195">
        <f>IF(OR(A86="",C86=""),"",E86-C86)</f>
        <v/>
      </c>
      <c r="H86" s="195">
        <f>IF(A86="","",LOG10(A86))</f>
        <v/>
      </c>
      <c r="I86" s="195">
        <f>IF(B86="","",LOG10(MAX(B86,1E-12)))</f>
        <v/>
      </c>
      <c r="J86" s="195">
        <f>IF(D86="","",LOG10(MAX(D86,1E-12)))</f>
        <v/>
      </c>
      <c r="K86">
        <f>IF(A86="","",ROUND(1+(LOG10(A86)-LOG10('入力・概要'!$B$38))*('入力・概要'!$B$40-1)/(LOG10('入力・概要'!$B$39)-LOG10('入力・概要'!$B$38)),0)+3)</f>
        <v/>
      </c>
      <c r="L86">
        <f>IF(K86="","",INDEX('同相3導体'!$B:$B,K86))</f>
        <v/>
      </c>
      <c r="M86">
        <f>IF(A86="","",IF(ABS(L86/A86-1)&lt;0.01,"周波数差&lt;1%","周波数差あり"))</f>
        <v/>
      </c>
    </row>
    <row r="87">
      <c r="A87" s="197" t="n"/>
      <c r="B87" s="198" t="n"/>
      <c r="C87" s="198" t="n"/>
      <c r="D87" s="195">
        <f>IF(K87="","",INDEX('同相3導体'!$AB:$AB,K87))</f>
        <v/>
      </c>
      <c r="E87" s="195">
        <f>IF(K87="","",INDEX('同相3導体'!$AC:$AC,K87))</f>
        <v/>
      </c>
      <c r="F87" s="195">
        <f>IF(OR(A87="",B87=""),"",100*(D87-B87)/MAX(B87,1E-12))</f>
        <v/>
      </c>
      <c r="G87" s="195">
        <f>IF(OR(A87="",C87=""),"",E87-C87)</f>
        <v/>
      </c>
      <c r="H87" s="195">
        <f>IF(A87="","",LOG10(A87))</f>
        <v/>
      </c>
      <c r="I87" s="195">
        <f>IF(B87="","",LOG10(MAX(B87,1E-12)))</f>
        <v/>
      </c>
      <c r="J87" s="195">
        <f>IF(D87="","",LOG10(MAX(D87,1E-12)))</f>
        <v/>
      </c>
      <c r="K87">
        <f>IF(A87="","",ROUND(1+(LOG10(A87)-LOG10('入力・概要'!$B$38))*('入力・概要'!$B$40-1)/(LOG10('入力・概要'!$B$39)-LOG10('入力・概要'!$B$38)),0)+3)</f>
        <v/>
      </c>
      <c r="L87">
        <f>IF(K87="","",INDEX('同相3導体'!$B:$B,K87))</f>
        <v/>
      </c>
      <c r="M87">
        <f>IF(A87="","",IF(ABS(L87/A87-1)&lt;0.01,"周波数差&lt;1%","周波数差あり"))</f>
        <v/>
      </c>
    </row>
    <row r="88">
      <c r="A88" s="197" t="n"/>
      <c r="B88" s="198" t="n"/>
      <c r="C88" s="198" t="n"/>
      <c r="D88" s="195">
        <f>IF(K88="","",INDEX('同相3導体'!$AB:$AB,K88))</f>
        <v/>
      </c>
      <c r="E88" s="195">
        <f>IF(K88="","",INDEX('同相3導体'!$AC:$AC,K88))</f>
        <v/>
      </c>
      <c r="F88" s="195">
        <f>IF(OR(A88="",B88=""),"",100*(D88-B88)/MAX(B88,1E-12))</f>
        <v/>
      </c>
      <c r="G88" s="195">
        <f>IF(OR(A88="",C88=""),"",E88-C88)</f>
        <v/>
      </c>
      <c r="H88" s="195">
        <f>IF(A88="","",LOG10(A88))</f>
        <v/>
      </c>
      <c r="I88" s="195">
        <f>IF(B88="","",LOG10(MAX(B88,1E-12)))</f>
        <v/>
      </c>
      <c r="J88" s="195">
        <f>IF(D88="","",LOG10(MAX(D88,1E-12)))</f>
        <v/>
      </c>
      <c r="K88">
        <f>IF(A88="","",ROUND(1+(LOG10(A88)-LOG10('入力・概要'!$B$38))*('入力・概要'!$B$40-1)/(LOG10('入力・概要'!$B$39)-LOG10('入力・概要'!$B$38)),0)+3)</f>
        <v/>
      </c>
      <c r="L88">
        <f>IF(K88="","",INDEX('同相3導体'!$B:$B,K88))</f>
        <v/>
      </c>
      <c r="M88">
        <f>IF(A88="","",IF(ABS(L88/A88-1)&lt;0.01,"周波数差&lt;1%","周波数差あり"))</f>
        <v/>
      </c>
    </row>
    <row r="89">
      <c r="A89" s="197" t="n"/>
      <c r="B89" s="198" t="n"/>
      <c r="C89" s="198" t="n"/>
      <c r="D89" s="195">
        <f>IF(K89="","",INDEX('同相3導体'!$AB:$AB,K89))</f>
        <v/>
      </c>
      <c r="E89" s="195">
        <f>IF(K89="","",INDEX('同相3導体'!$AC:$AC,K89))</f>
        <v/>
      </c>
      <c r="F89" s="195">
        <f>IF(OR(A89="",B89=""),"",100*(D89-B89)/MAX(B89,1E-12))</f>
        <v/>
      </c>
      <c r="G89" s="195">
        <f>IF(OR(A89="",C89=""),"",E89-C89)</f>
        <v/>
      </c>
      <c r="H89" s="195">
        <f>IF(A89="","",LOG10(A89))</f>
        <v/>
      </c>
      <c r="I89" s="195">
        <f>IF(B89="","",LOG10(MAX(B89,1E-12)))</f>
        <v/>
      </c>
      <c r="J89" s="195">
        <f>IF(D89="","",LOG10(MAX(D89,1E-12)))</f>
        <v/>
      </c>
      <c r="K89">
        <f>IF(A89="","",ROUND(1+(LOG10(A89)-LOG10('入力・概要'!$B$38))*('入力・概要'!$B$40-1)/(LOG10('入力・概要'!$B$39)-LOG10('入力・概要'!$B$38)),0)+3)</f>
        <v/>
      </c>
      <c r="L89">
        <f>IF(K89="","",INDEX('同相3導体'!$B:$B,K89))</f>
        <v/>
      </c>
      <c r="M89">
        <f>IF(A89="","",IF(ABS(L89/A89-1)&lt;0.01,"周波数差&lt;1%","周波数差あり"))</f>
        <v/>
      </c>
    </row>
    <row r="90">
      <c r="A90" s="197" t="n"/>
      <c r="B90" s="198" t="n"/>
      <c r="C90" s="198" t="n"/>
      <c r="D90" s="195">
        <f>IF(K90="","",INDEX('同相3導体'!$AB:$AB,K90))</f>
        <v/>
      </c>
      <c r="E90" s="195">
        <f>IF(K90="","",INDEX('同相3導体'!$AC:$AC,K90))</f>
        <v/>
      </c>
      <c r="F90" s="195">
        <f>IF(OR(A90="",B90=""),"",100*(D90-B90)/MAX(B90,1E-12))</f>
        <v/>
      </c>
      <c r="G90" s="195">
        <f>IF(OR(A90="",C90=""),"",E90-C90)</f>
        <v/>
      </c>
      <c r="H90" s="195">
        <f>IF(A90="","",LOG10(A90))</f>
        <v/>
      </c>
      <c r="I90" s="195">
        <f>IF(B90="","",LOG10(MAX(B90,1E-12)))</f>
        <v/>
      </c>
      <c r="J90" s="195">
        <f>IF(D90="","",LOG10(MAX(D90,1E-12)))</f>
        <v/>
      </c>
      <c r="K90">
        <f>IF(A90="","",ROUND(1+(LOG10(A90)-LOG10('入力・概要'!$B$38))*('入力・概要'!$B$40-1)/(LOG10('入力・概要'!$B$39)-LOG10('入力・概要'!$B$38)),0)+3)</f>
        <v/>
      </c>
      <c r="L90">
        <f>IF(K90="","",INDEX('同相3導体'!$B:$B,K90))</f>
        <v/>
      </c>
      <c r="M90">
        <f>IF(A90="","",IF(ABS(L90/A90-1)&lt;0.01,"周波数差&lt;1%","周波数差あり"))</f>
        <v/>
      </c>
    </row>
    <row r="91">
      <c r="A91" s="197" t="n"/>
      <c r="B91" s="198" t="n"/>
      <c r="C91" s="198" t="n"/>
      <c r="D91" s="195">
        <f>IF(K91="","",INDEX('同相3導体'!$AB:$AB,K91))</f>
        <v/>
      </c>
      <c r="E91" s="195">
        <f>IF(K91="","",INDEX('同相3導体'!$AC:$AC,K91))</f>
        <v/>
      </c>
      <c r="F91" s="195">
        <f>IF(OR(A91="",B91=""),"",100*(D91-B91)/MAX(B91,1E-12))</f>
        <v/>
      </c>
      <c r="G91" s="195">
        <f>IF(OR(A91="",C91=""),"",E91-C91)</f>
        <v/>
      </c>
      <c r="H91" s="195">
        <f>IF(A91="","",LOG10(A91))</f>
        <v/>
      </c>
      <c r="I91" s="195">
        <f>IF(B91="","",LOG10(MAX(B91,1E-12)))</f>
        <v/>
      </c>
      <c r="J91" s="195">
        <f>IF(D91="","",LOG10(MAX(D91,1E-12)))</f>
        <v/>
      </c>
      <c r="K91">
        <f>IF(A91="","",ROUND(1+(LOG10(A91)-LOG10('入力・概要'!$B$38))*('入力・概要'!$B$40-1)/(LOG10('入力・概要'!$B$39)-LOG10('入力・概要'!$B$38)),0)+3)</f>
        <v/>
      </c>
      <c r="L91">
        <f>IF(K91="","",INDEX('同相3導体'!$B:$B,K91))</f>
        <v/>
      </c>
      <c r="M91">
        <f>IF(A91="","",IF(ABS(L91/A91-1)&lt;0.01,"周波数差&lt;1%","周波数差あり"))</f>
        <v/>
      </c>
    </row>
    <row r="92">
      <c r="A92" s="197" t="n"/>
      <c r="B92" s="198" t="n"/>
      <c r="C92" s="198" t="n"/>
      <c r="D92" s="195">
        <f>IF(K92="","",INDEX('同相3導体'!$AB:$AB,K92))</f>
        <v/>
      </c>
      <c r="E92" s="195">
        <f>IF(K92="","",INDEX('同相3導体'!$AC:$AC,K92))</f>
        <v/>
      </c>
      <c r="F92" s="195">
        <f>IF(OR(A92="",B92=""),"",100*(D92-B92)/MAX(B92,1E-12))</f>
        <v/>
      </c>
      <c r="G92" s="195">
        <f>IF(OR(A92="",C92=""),"",E92-C92)</f>
        <v/>
      </c>
      <c r="H92" s="195">
        <f>IF(A92="","",LOG10(A92))</f>
        <v/>
      </c>
      <c r="I92" s="195">
        <f>IF(B92="","",LOG10(MAX(B92,1E-12)))</f>
        <v/>
      </c>
      <c r="J92" s="195">
        <f>IF(D92="","",LOG10(MAX(D92,1E-12)))</f>
        <v/>
      </c>
      <c r="K92">
        <f>IF(A92="","",ROUND(1+(LOG10(A92)-LOG10('入力・概要'!$B$38))*('入力・概要'!$B$40-1)/(LOG10('入力・概要'!$B$39)-LOG10('入力・概要'!$B$38)),0)+3)</f>
        <v/>
      </c>
      <c r="L92">
        <f>IF(K92="","",INDEX('同相3導体'!$B:$B,K92))</f>
        <v/>
      </c>
      <c r="M92">
        <f>IF(A92="","",IF(ABS(L92/A92-1)&lt;0.01,"周波数差&lt;1%","周波数差あり"))</f>
        <v/>
      </c>
    </row>
    <row r="93">
      <c r="A93" s="197" t="n"/>
      <c r="B93" s="198" t="n"/>
      <c r="C93" s="198" t="n"/>
      <c r="D93" s="195">
        <f>IF(K93="","",INDEX('同相3導体'!$AB:$AB,K93))</f>
        <v/>
      </c>
      <c r="E93" s="195">
        <f>IF(K93="","",INDEX('同相3導体'!$AC:$AC,K93))</f>
        <v/>
      </c>
      <c r="F93" s="195">
        <f>IF(OR(A93="",B93=""),"",100*(D93-B93)/MAX(B93,1E-12))</f>
        <v/>
      </c>
      <c r="G93" s="195">
        <f>IF(OR(A93="",C93=""),"",E93-C93)</f>
        <v/>
      </c>
      <c r="H93" s="195">
        <f>IF(A93="","",LOG10(A93))</f>
        <v/>
      </c>
      <c r="I93" s="195">
        <f>IF(B93="","",LOG10(MAX(B93,1E-12)))</f>
        <v/>
      </c>
      <c r="J93" s="195">
        <f>IF(D93="","",LOG10(MAX(D93,1E-12)))</f>
        <v/>
      </c>
      <c r="K93">
        <f>IF(A93="","",ROUND(1+(LOG10(A93)-LOG10('入力・概要'!$B$38))*('入力・概要'!$B$40-1)/(LOG10('入力・概要'!$B$39)-LOG10('入力・概要'!$B$38)),0)+3)</f>
        <v/>
      </c>
      <c r="L93">
        <f>IF(K93="","",INDEX('同相3導体'!$B:$B,K93))</f>
        <v/>
      </c>
      <c r="M93">
        <f>IF(A93="","",IF(ABS(L93/A93-1)&lt;0.01,"周波数差&lt;1%","周波数差あり"))</f>
        <v/>
      </c>
    </row>
    <row r="94">
      <c r="A94" s="197" t="n"/>
      <c r="B94" s="198" t="n"/>
      <c r="C94" s="198" t="n"/>
      <c r="D94" s="195">
        <f>IF(K94="","",INDEX('同相3導体'!$AB:$AB,K94))</f>
        <v/>
      </c>
      <c r="E94" s="195">
        <f>IF(K94="","",INDEX('同相3導体'!$AC:$AC,K94))</f>
        <v/>
      </c>
      <c r="F94" s="195">
        <f>IF(OR(A94="",B94=""),"",100*(D94-B94)/MAX(B94,1E-12))</f>
        <v/>
      </c>
      <c r="G94" s="195">
        <f>IF(OR(A94="",C94=""),"",E94-C94)</f>
        <v/>
      </c>
      <c r="H94" s="195">
        <f>IF(A94="","",LOG10(A94))</f>
        <v/>
      </c>
      <c r="I94" s="195">
        <f>IF(B94="","",LOG10(MAX(B94,1E-12)))</f>
        <v/>
      </c>
      <c r="J94" s="195">
        <f>IF(D94="","",LOG10(MAX(D94,1E-12)))</f>
        <v/>
      </c>
      <c r="K94">
        <f>IF(A94="","",ROUND(1+(LOG10(A94)-LOG10('入力・概要'!$B$38))*('入力・概要'!$B$40-1)/(LOG10('入力・概要'!$B$39)-LOG10('入力・概要'!$B$38)),0)+3)</f>
        <v/>
      </c>
      <c r="L94">
        <f>IF(K94="","",INDEX('同相3導体'!$B:$B,K94))</f>
        <v/>
      </c>
      <c r="M94">
        <f>IF(A94="","",IF(ABS(L94/A94-1)&lt;0.01,"周波数差&lt;1%","周波数差あり"))</f>
        <v/>
      </c>
    </row>
    <row r="95">
      <c r="A95" s="197" t="n"/>
      <c r="B95" s="198" t="n"/>
      <c r="C95" s="198" t="n"/>
      <c r="D95" s="195">
        <f>IF(K95="","",INDEX('同相3導体'!$AB:$AB,K95))</f>
        <v/>
      </c>
      <c r="E95" s="195">
        <f>IF(K95="","",INDEX('同相3導体'!$AC:$AC,K95))</f>
        <v/>
      </c>
      <c r="F95" s="195">
        <f>IF(OR(A95="",B95=""),"",100*(D95-B95)/MAX(B95,1E-12))</f>
        <v/>
      </c>
      <c r="G95" s="195">
        <f>IF(OR(A95="",C95=""),"",E95-C95)</f>
        <v/>
      </c>
      <c r="H95" s="195">
        <f>IF(A95="","",LOG10(A95))</f>
        <v/>
      </c>
      <c r="I95" s="195">
        <f>IF(B95="","",LOG10(MAX(B95,1E-12)))</f>
        <v/>
      </c>
      <c r="J95" s="195">
        <f>IF(D95="","",LOG10(MAX(D95,1E-12)))</f>
        <v/>
      </c>
      <c r="K95">
        <f>IF(A95="","",ROUND(1+(LOG10(A95)-LOG10('入力・概要'!$B$38))*('入力・概要'!$B$40-1)/(LOG10('入力・概要'!$B$39)-LOG10('入力・概要'!$B$38)),0)+3)</f>
        <v/>
      </c>
      <c r="L95">
        <f>IF(K95="","",INDEX('同相3導体'!$B:$B,K95))</f>
        <v/>
      </c>
      <c r="M95">
        <f>IF(A95="","",IF(ABS(L95/A95-1)&lt;0.01,"周波数差&lt;1%","周波数差あり"))</f>
        <v/>
      </c>
    </row>
    <row r="96">
      <c r="A96" s="197" t="n"/>
      <c r="B96" s="198" t="n"/>
      <c r="C96" s="198" t="n"/>
      <c r="D96" s="195">
        <f>IF(K96="","",INDEX('同相3導体'!$AB:$AB,K96))</f>
        <v/>
      </c>
      <c r="E96" s="195">
        <f>IF(K96="","",INDEX('同相3導体'!$AC:$AC,K96))</f>
        <v/>
      </c>
      <c r="F96" s="195">
        <f>IF(OR(A96="",B96=""),"",100*(D96-B96)/MAX(B96,1E-12))</f>
        <v/>
      </c>
      <c r="G96" s="195">
        <f>IF(OR(A96="",C96=""),"",E96-C96)</f>
        <v/>
      </c>
      <c r="H96" s="195">
        <f>IF(A96="","",LOG10(A96))</f>
        <v/>
      </c>
      <c r="I96" s="195">
        <f>IF(B96="","",LOG10(MAX(B96,1E-12)))</f>
        <v/>
      </c>
      <c r="J96" s="195">
        <f>IF(D96="","",LOG10(MAX(D96,1E-12)))</f>
        <v/>
      </c>
      <c r="K96">
        <f>IF(A96="","",ROUND(1+(LOG10(A96)-LOG10('入力・概要'!$B$38))*('入力・概要'!$B$40-1)/(LOG10('入力・概要'!$B$39)-LOG10('入力・概要'!$B$38)),0)+3)</f>
        <v/>
      </c>
      <c r="L96">
        <f>IF(K96="","",INDEX('同相3導体'!$B:$B,K96))</f>
        <v/>
      </c>
      <c r="M96">
        <f>IF(A96="","",IF(ABS(L96/A96-1)&lt;0.01,"周波数差&lt;1%","周波数差あり"))</f>
        <v/>
      </c>
    </row>
    <row r="97">
      <c r="A97" s="197" t="n"/>
      <c r="B97" s="198" t="n"/>
      <c r="C97" s="198" t="n"/>
      <c r="D97" s="195">
        <f>IF(K97="","",INDEX('同相3導体'!$AB:$AB,K97))</f>
        <v/>
      </c>
      <c r="E97" s="195">
        <f>IF(K97="","",INDEX('同相3導体'!$AC:$AC,K97))</f>
        <v/>
      </c>
      <c r="F97" s="195">
        <f>IF(OR(A97="",B97=""),"",100*(D97-B97)/MAX(B97,1E-12))</f>
        <v/>
      </c>
      <c r="G97" s="195">
        <f>IF(OR(A97="",C97=""),"",E97-C97)</f>
        <v/>
      </c>
      <c r="H97" s="195">
        <f>IF(A97="","",LOG10(A97))</f>
        <v/>
      </c>
      <c r="I97" s="195">
        <f>IF(B97="","",LOG10(MAX(B97,1E-12)))</f>
        <v/>
      </c>
      <c r="J97" s="195">
        <f>IF(D97="","",LOG10(MAX(D97,1E-12)))</f>
        <v/>
      </c>
      <c r="K97">
        <f>IF(A97="","",ROUND(1+(LOG10(A97)-LOG10('入力・概要'!$B$38))*('入力・概要'!$B$40-1)/(LOG10('入力・概要'!$B$39)-LOG10('入力・概要'!$B$38)),0)+3)</f>
        <v/>
      </c>
      <c r="L97">
        <f>IF(K97="","",INDEX('同相3導体'!$B:$B,K97))</f>
        <v/>
      </c>
      <c r="M97">
        <f>IF(A97="","",IF(ABS(L97/A97-1)&lt;0.01,"周波数差&lt;1%","周波数差あり"))</f>
        <v/>
      </c>
    </row>
    <row r="98">
      <c r="A98" s="197" t="n"/>
      <c r="B98" s="198" t="n"/>
      <c r="C98" s="198" t="n"/>
      <c r="D98" s="195">
        <f>IF(K98="","",INDEX('同相3導体'!$AB:$AB,K98))</f>
        <v/>
      </c>
      <c r="E98" s="195">
        <f>IF(K98="","",INDEX('同相3導体'!$AC:$AC,K98))</f>
        <v/>
      </c>
      <c r="F98" s="195">
        <f>IF(OR(A98="",B98=""),"",100*(D98-B98)/MAX(B98,1E-12))</f>
        <v/>
      </c>
      <c r="G98" s="195">
        <f>IF(OR(A98="",C98=""),"",E98-C98)</f>
        <v/>
      </c>
      <c r="H98" s="195">
        <f>IF(A98="","",LOG10(A98))</f>
        <v/>
      </c>
      <c r="I98" s="195">
        <f>IF(B98="","",LOG10(MAX(B98,1E-12)))</f>
        <v/>
      </c>
      <c r="J98" s="195">
        <f>IF(D98="","",LOG10(MAX(D98,1E-12)))</f>
        <v/>
      </c>
      <c r="K98">
        <f>IF(A98="","",ROUND(1+(LOG10(A98)-LOG10('入力・概要'!$B$38))*('入力・概要'!$B$40-1)/(LOG10('入力・概要'!$B$39)-LOG10('入力・概要'!$B$38)),0)+3)</f>
        <v/>
      </c>
      <c r="L98">
        <f>IF(K98="","",INDEX('同相3導体'!$B:$B,K98))</f>
        <v/>
      </c>
      <c r="M98">
        <f>IF(A98="","",IF(ABS(L98/A98-1)&lt;0.01,"周波数差&lt;1%","周波数差あり"))</f>
        <v/>
      </c>
    </row>
    <row r="99">
      <c r="A99" s="197" t="n"/>
      <c r="B99" s="198" t="n"/>
      <c r="C99" s="198" t="n"/>
      <c r="D99" s="195">
        <f>IF(K99="","",INDEX('同相3導体'!$AB:$AB,K99))</f>
        <v/>
      </c>
      <c r="E99" s="195">
        <f>IF(K99="","",INDEX('同相3導体'!$AC:$AC,K99))</f>
        <v/>
      </c>
      <c r="F99" s="195">
        <f>IF(OR(A99="",B99=""),"",100*(D99-B99)/MAX(B99,1E-12))</f>
        <v/>
      </c>
      <c r="G99" s="195">
        <f>IF(OR(A99="",C99=""),"",E99-C99)</f>
        <v/>
      </c>
      <c r="H99" s="195">
        <f>IF(A99="","",LOG10(A99))</f>
        <v/>
      </c>
      <c r="I99" s="195">
        <f>IF(B99="","",LOG10(MAX(B99,1E-12)))</f>
        <v/>
      </c>
      <c r="J99" s="195">
        <f>IF(D99="","",LOG10(MAX(D99,1E-12)))</f>
        <v/>
      </c>
      <c r="K99">
        <f>IF(A99="","",ROUND(1+(LOG10(A99)-LOG10('入力・概要'!$B$38))*('入力・概要'!$B$40-1)/(LOG10('入力・概要'!$B$39)-LOG10('入力・概要'!$B$38)),0)+3)</f>
        <v/>
      </c>
      <c r="L99">
        <f>IF(K99="","",INDEX('同相3導体'!$B:$B,K99))</f>
        <v/>
      </c>
      <c r="M99">
        <f>IF(A99="","",IF(ABS(L99/A99-1)&lt;0.01,"周波数差&lt;1%","周波数差あり"))</f>
        <v/>
      </c>
    </row>
    <row r="100">
      <c r="A100" s="197" t="n"/>
      <c r="B100" s="198" t="n"/>
      <c r="C100" s="198" t="n"/>
      <c r="D100" s="195">
        <f>IF(K100="","",INDEX('同相3導体'!$AB:$AB,K100))</f>
        <v/>
      </c>
      <c r="E100" s="195">
        <f>IF(K100="","",INDEX('同相3導体'!$AC:$AC,K100))</f>
        <v/>
      </c>
      <c r="F100" s="195">
        <f>IF(OR(A100="",B100=""),"",100*(D100-B100)/MAX(B100,1E-12))</f>
        <v/>
      </c>
      <c r="G100" s="195">
        <f>IF(OR(A100="",C100=""),"",E100-C100)</f>
        <v/>
      </c>
      <c r="H100" s="195">
        <f>IF(A100="","",LOG10(A100))</f>
        <v/>
      </c>
      <c r="I100" s="195">
        <f>IF(B100="","",LOG10(MAX(B100,1E-12)))</f>
        <v/>
      </c>
      <c r="J100" s="195">
        <f>IF(D100="","",LOG10(MAX(D100,1E-12)))</f>
        <v/>
      </c>
      <c r="K100">
        <f>IF(A100="","",ROUND(1+(LOG10(A100)-LOG10('入力・概要'!$B$38))*('入力・概要'!$B$40-1)/(LOG10('入力・概要'!$B$39)-LOG10('入力・概要'!$B$38)),0)+3)</f>
        <v/>
      </c>
      <c r="L100">
        <f>IF(K100="","",INDEX('同相3導体'!$B:$B,K100))</f>
        <v/>
      </c>
      <c r="M100">
        <f>IF(A100="","",IF(ABS(L100/A100-1)&lt;0.01,"周波数差&lt;1%","周波数差あり"))</f>
        <v/>
      </c>
    </row>
    <row r="101">
      <c r="A101" s="197" t="n"/>
      <c r="B101" s="198" t="n"/>
      <c r="C101" s="198" t="n"/>
      <c r="D101" s="195">
        <f>IF(K101="","",INDEX('同相3導体'!$AB:$AB,K101))</f>
        <v/>
      </c>
      <c r="E101" s="195">
        <f>IF(K101="","",INDEX('同相3導体'!$AC:$AC,K101))</f>
        <v/>
      </c>
      <c r="F101" s="195">
        <f>IF(OR(A101="",B101=""),"",100*(D101-B101)/MAX(B101,1E-12))</f>
        <v/>
      </c>
      <c r="G101" s="195">
        <f>IF(OR(A101="",C101=""),"",E101-C101)</f>
        <v/>
      </c>
      <c r="H101" s="195">
        <f>IF(A101="","",LOG10(A101))</f>
        <v/>
      </c>
      <c r="I101" s="195">
        <f>IF(B101="","",LOG10(MAX(B101,1E-12)))</f>
        <v/>
      </c>
      <c r="J101" s="195">
        <f>IF(D101="","",LOG10(MAX(D101,1E-12)))</f>
        <v/>
      </c>
      <c r="K101">
        <f>IF(A101="","",ROUND(1+(LOG10(A101)-LOG10('入力・概要'!$B$38))*('入力・概要'!$B$40-1)/(LOG10('入力・概要'!$B$39)-LOG10('入力・概要'!$B$38)),0)+3)</f>
        <v/>
      </c>
      <c r="L101">
        <f>IF(K101="","",INDEX('同相3導体'!$B:$B,K101))</f>
        <v/>
      </c>
      <c r="M101">
        <f>IF(A101="","",IF(ABS(L101/A101-1)&lt;0.01,"周波数差&lt;1%","周波数差あり"))</f>
        <v/>
      </c>
    </row>
    <row r="102">
      <c r="A102" s="197" t="n"/>
      <c r="B102" s="198" t="n"/>
      <c r="C102" s="198" t="n"/>
      <c r="D102" s="195">
        <f>IF(K102="","",INDEX('同相3導体'!$AB:$AB,K102))</f>
        <v/>
      </c>
      <c r="E102" s="195">
        <f>IF(K102="","",INDEX('同相3導体'!$AC:$AC,K102))</f>
        <v/>
      </c>
      <c r="F102" s="195">
        <f>IF(OR(A102="",B102=""),"",100*(D102-B102)/MAX(B102,1E-12))</f>
        <v/>
      </c>
      <c r="G102" s="195">
        <f>IF(OR(A102="",C102=""),"",E102-C102)</f>
        <v/>
      </c>
      <c r="H102" s="195">
        <f>IF(A102="","",LOG10(A102))</f>
        <v/>
      </c>
      <c r="I102" s="195">
        <f>IF(B102="","",LOG10(MAX(B102,1E-12)))</f>
        <v/>
      </c>
      <c r="J102" s="195">
        <f>IF(D102="","",LOG10(MAX(D102,1E-12)))</f>
        <v/>
      </c>
      <c r="K102">
        <f>IF(A102="","",ROUND(1+(LOG10(A102)-LOG10('入力・概要'!$B$38))*('入力・概要'!$B$40-1)/(LOG10('入力・概要'!$B$39)-LOG10('入力・概要'!$B$38)),0)+3)</f>
        <v/>
      </c>
      <c r="L102">
        <f>IF(K102="","",INDEX('同相3導体'!$B:$B,K102))</f>
        <v/>
      </c>
      <c r="M102">
        <f>IF(A102="","",IF(ABS(L102/A102-1)&lt;0.01,"周波数差&lt;1%","周波数差あり"))</f>
        <v/>
      </c>
    </row>
    <row r="103">
      <c r="A103" s="197" t="n"/>
      <c r="B103" s="198" t="n"/>
      <c r="C103" s="198" t="n"/>
      <c r="D103" s="195">
        <f>IF(K103="","",INDEX('同相3導体'!$AB:$AB,K103))</f>
        <v/>
      </c>
      <c r="E103" s="195">
        <f>IF(K103="","",INDEX('同相3導体'!$AC:$AC,K103))</f>
        <v/>
      </c>
      <c r="F103" s="195">
        <f>IF(OR(A103="",B103=""),"",100*(D103-B103)/MAX(B103,1E-12))</f>
        <v/>
      </c>
      <c r="G103" s="195">
        <f>IF(OR(A103="",C103=""),"",E103-C103)</f>
        <v/>
      </c>
      <c r="H103" s="195">
        <f>IF(A103="","",LOG10(A103))</f>
        <v/>
      </c>
      <c r="I103" s="195">
        <f>IF(B103="","",LOG10(MAX(B103,1E-12)))</f>
        <v/>
      </c>
      <c r="J103" s="195">
        <f>IF(D103="","",LOG10(MAX(D103,1E-12)))</f>
        <v/>
      </c>
      <c r="K103">
        <f>IF(A103="","",ROUND(1+(LOG10(A103)-LOG10('入力・概要'!$B$38))*('入力・概要'!$B$40-1)/(LOG10('入力・概要'!$B$39)-LOG10('入力・概要'!$B$38)),0)+3)</f>
        <v/>
      </c>
      <c r="L103">
        <f>IF(K103="","",INDEX('同相3導体'!$B:$B,K103))</f>
        <v/>
      </c>
      <c r="M103">
        <f>IF(A103="","",IF(ABS(L103/A103-1)&lt;0.01,"周波数差&lt;1%","周波数差あり"))</f>
        <v/>
      </c>
    </row>
    <row r="104">
      <c r="A104" s="197" t="n"/>
      <c r="B104" s="198" t="n"/>
      <c r="C104" s="198" t="n"/>
      <c r="D104" s="195">
        <f>IF(K104="","",INDEX('同相3導体'!$AB:$AB,K104))</f>
        <v/>
      </c>
      <c r="E104" s="195">
        <f>IF(K104="","",INDEX('同相3導体'!$AC:$AC,K104))</f>
        <v/>
      </c>
      <c r="F104" s="195">
        <f>IF(OR(A104="",B104=""),"",100*(D104-B104)/MAX(B104,1E-12))</f>
        <v/>
      </c>
      <c r="G104" s="195">
        <f>IF(OR(A104="",C104=""),"",E104-C104)</f>
        <v/>
      </c>
      <c r="H104" s="195">
        <f>IF(A104="","",LOG10(A104))</f>
        <v/>
      </c>
      <c r="I104" s="195">
        <f>IF(B104="","",LOG10(MAX(B104,1E-12)))</f>
        <v/>
      </c>
      <c r="J104" s="195">
        <f>IF(D104="","",LOG10(MAX(D104,1E-12)))</f>
        <v/>
      </c>
      <c r="K104">
        <f>IF(A104="","",ROUND(1+(LOG10(A104)-LOG10('入力・概要'!$B$38))*('入力・概要'!$B$40-1)/(LOG10('入力・概要'!$B$39)-LOG10('入力・概要'!$B$38)),0)+3)</f>
        <v/>
      </c>
      <c r="L104">
        <f>IF(K104="","",INDEX('同相3導体'!$B:$B,K104))</f>
        <v/>
      </c>
      <c r="M104">
        <f>IF(A104="","",IF(ABS(L104/A104-1)&lt;0.01,"周波数差&lt;1%","周波数差あり"))</f>
        <v/>
      </c>
    </row>
    <row r="105">
      <c r="A105" s="197" t="n"/>
      <c r="B105" s="198" t="n"/>
      <c r="C105" s="198" t="n"/>
      <c r="D105" s="195">
        <f>IF(K105="","",INDEX('同相3導体'!$AB:$AB,K105))</f>
        <v/>
      </c>
      <c r="E105" s="195">
        <f>IF(K105="","",INDEX('同相3導体'!$AC:$AC,K105))</f>
        <v/>
      </c>
      <c r="F105" s="195">
        <f>IF(OR(A105="",B105=""),"",100*(D105-B105)/MAX(B105,1E-12))</f>
        <v/>
      </c>
      <c r="G105" s="195">
        <f>IF(OR(A105="",C105=""),"",E105-C105)</f>
        <v/>
      </c>
      <c r="H105" s="195">
        <f>IF(A105="","",LOG10(A105))</f>
        <v/>
      </c>
      <c r="I105" s="195">
        <f>IF(B105="","",LOG10(MAX(B105,1E-12)))</f>
        <v/>
      </c>
      <c r="J105" s="195">
        <f>IF(D105="","",LOG10(MAX(D105,1E-12)))</f>
        <v/>
      </c>
      <c r="K105">
        <f>IF(A105="","",ROUND(1+(LOG10(A105)-LOG10('入力・概要'!$B$38))*('入力・概要'!$B$40-1)/(LOG10('入力・概要'!$B$39)-LOG10('入力・概要'!$B$38)),0)+3)</f>
        <v/>
      </c>
      <c r="L105">
        <f>IF(K105="","",INDEX('同相3導体'!$B:$B,K105))</f>
        <v/>
      </c>
      <c r="M105">
        <f>IF(A105="","",IF(ABS(L105/A105-1)&lt;0.01,"周波数差&lt;1%","周波数差あり"))</f>
        <v/>
      </c>
    </row>
    <row r="106">
      <c r="A106" s="197" t="n"/>
      <c r="B106" s="198" t="n"/>
      <c r="C106" s="198" t="n"/>
      <c r="D106" s="195">
        <f>IF(K106="","",INDEX('同相3導体'!$AB:$AB,K106))</f>
        <v/>
      </c>
      <c r="E106" s="195">
        <f>IF(K106="","",INDEX('同相3導体'!$AC:$AC,K106))</f>
        <v/>
      </c>
      <c r="F106" s="195">
        <f>IF(OR(A106="",B106=""),"",100*(D106-B106)/MAX(B106,1E-12))</f>
        <v/>
      </c>
      <c r="G106" s="195">
        <f>IF(OR(A106="",C106=""),"",E106-C106)</f>
        <v/>
      </c>
      <c r="H106" s="195">
        <f>IF(A106="","",LOG10(A106))</f>
        <v/>
      </c>
      <c r="I106" s="195">
        <f>IF(B106="","",LOG10(MAX(B106,1E-12)))</f>
        <v/>
      </c>
      <c r="J106" s="195">
        <f>IF(D106="","",LOG10(MAX(D106,1E-12)))</f>
        <v/>
      </c>
      <c r="K106">
        <f>IF(A106="","",ROUND(1+(LOG10(A106)-LOG10('入力・概要'!$B$38))*('入力・概要'!$B$40-1)/(LOG10('入力・概要'!$B$39)-LOG10('入力・概要'!$B$38)),0)+3)</f>
        <v/>
      </c>
      <c r="L106">
        <f>IF(K106="","",INDEX('同相3導体'!$B:$B,K106))</f>
        <v/>
      </c>
      <c r="M106">
        <f>IF(A106="","",IF(ABS(L106/A106-1)&lt;0.01,"周波数差&lt;1%","周波数差あり"))</f>
        <v/>
      </c>
    </row>
    <row r="107">
      <c r="A107" s="197" t="n"/>
      <c r="B107" s="198" t="n"/>
      <c r="C107" s="198" t="n"/>
      <c r="D107" s="195">
        <f>IF(K107="","",INDEX('同相3導体'!$AB:$AB,K107))</f>
        <v/>
      </c>
      <c r="E107" s="195">
        <f>IF(K107="","",INDEX('同相3導体'!$AC:$AC,K107))</f>
        <v/>
      </c>
      <c r="F107" s="195">
        <f>IF(OR(A107="",B107=""),"",100*(D107-B107)/MAX(B107,1E-12))</f>
        <v/>
      </c>
      <c r="G107" s="195">
        <f>IF(OR(A107="",C107=""),"",E107-C107)</f>
        <v/>
      </c>
      <c r="H107" s="195">
        <f>IF(A107="","",LOG10(A107))</f>
        <v/>
      </c>
      <c r="I107" s="195">
        <f>IF(B107="","",LOG10(MAX(B107,1E-12)))</f>
        <v/>
      </c>
      <c r="J107" s="195">
        <f>IF(D107="","",LOG10(MAX(D107,1E-12)))</f>
        <v/>
      </c>
      <c r="K107">
        <f>IF(A107="","",ROUND(1+(LOG10(A107)-LOG10('入力・概要'!$B$38))*('入力・概要'!$B$40-1)/(LOG10('入力・概要'!$B$39)-LOG10('入力・概要'!$B$38)),0)+3)</f>
        <v/>
      </c>
      <c r="L107">
        <f>IF(K107="","",INDEX('同相3導体'!$B:$B,K107))</f>
        <v/>
      </c>
      <c r="M107">
        <f>IF(A107="","",IF(ABS(L107/A107-1)&lt;0.01,"周波数差&lt;1%","周波数差あり"))</f>
        <v/>
      </c>
    </row>
    <row r="108">
      <c r="A108" s="197" t="n"/>
      <c r="B108" s="198" t="n"/>
      <c r="C108" s="198" t="n"/>
      <c r="D108" s="195">
        <f>IF(K108="","",INDEX('同相3導体'!$AB:$AB,K108))</f>
        <v/>
      </c>
      <c r="E108" s="195">
        <f>IF(K108="","",INDEX('同相3導体'!$AC:$AC,K108))</f>
        <v/>
      </c>
      <c r="F108" s="195">
        <f>IF(OR(A108="",B108=""),"",100*(D108-B108)/MAX(B108,1E-12))</f>
        <v/>
      </c>
      <c r="G108" s="195">
        <f>IF(OR(A108="",C108=""),"",E108-C108)</f>
        <v/>
      </c>
      <c r="H108" s="195">
        <f>IF(A108="","",LOG10(A108))</f>
        <v/>
      </c>
      <c r="I108" s="195">
        <f>IF(B108="","",LOG10(MAX(B108,1E-12)))</f>
        <v/>
      </c>
      <c r="J108" s="195">
        <f>IF(D108="","",LOG10(MAX(D108,1E-12)))</f>
        <v/>
      </c>
      <c r="K108">
        <f>IF(A108="","",ROUND(1+(LOG10(A108)-LOG10('入力・概要'!$B$38))*('入力・概要'!$B$40-1)/(LOG10('入力・概要'!$B$39)-LOG10('入力・概要'!$B$38)),0)+3)</f>
        <v/>
      </c>
      <c r="L108">
        <f>IF(K108="","",INDEX('同相3導体'!$B:$B,K108))</f>
        <v/>
      </c>
      <c r="M108">
        <f>IF(A108="","",IF(ABS(L108/A108-1)&lt;0.01,"周波数差&lt;1%","周波数差あり"))</f>
        <v/>
      </c>
    </row>
    <row r="109">
      <c r="A109" s="197" t="n"/>
      <c r="B109" s="198" t="n"/>
      <c r="C109" s="198" t="n"/>
      <c r="D109" s="195">
        <f>IF(K109="","",INDEX('同相3導体'!$AB:$AB,K109))</f>
        <v/>
      </c>
      <c r="E109" s="195">
        <f>IF(K109="","",INDEX('同相3導体'!$AC:$AC,K109))</f>
        <v/>
      </c>
      <c r="F109" s="195">
        <f>IF(OR(A109="",B109=""),"",100*(D109-B109)/MAX(B109,1E-12))</f>
        <v/>
      </c>
      <c r="G109" s="195">
        <f>IF(OR(A109="",C109=""),"",E109-C109)</f>
        <v/>
      </c>
      <c r="H109" s="195">
        <f>IF(A109="","",LOG10(A109))</f>
        <v/>
      </c>
      <c r="I109" s="195">
        <f>IF(B109="","",LOG10(MAX(B109,1E-12)))</f>
        <v/>
      </c>
      <c r="J109" s="195">
        <f>IF(D109="","",LOG10(MAX(D109,1E-12)))</f>
        <v/>
      </c>
      <c r="K109">
        <f>IF(A109="","",ROUND(1+(LOG10(A109)-LOG10('入力・概要'!$B$38))*('入力・概要'!$B$40-1)/(LOG10('入力・概要'!$B$39)-LOG10('入力・概要'!$B$38)),0)+3)</f>
        <v/>
      </c>
      <c r="L109">
        <f>IF(K109="","",INDEX('同相3導体'!$B:$B,K109))</f>
        <v/>
      </c>
      <c r="M109">
        <f>IF(A109="","",IF(ABS(L109/A109-1)&lt;0.01,"周波数差&lt;1%","周波数差あり"))</f>
        <v/>
      </c>
    </row>
    <row r="110">
      <c r="A110" s="197" t="n"/>
      <c r="B110" s="198" t="n"/>
      <c r="C110" s="198" t="n"/>
      <c r="D110" s="195">
        <f>IF(K110="","",INDEX('同相3導体'!$AB:$AB,K110))</f>
        <v/>
      </c>
      <c r="E110" s="195">
        <f>IF(K110="","",INDEX('同相3導体'!$AC:$AC,K110))</f>
        <v/>
      </c>
      <c r="F110" s="195">
        <f>IF(OR(A110="",B110=""),"",100*(D110-B110)/MAX(B110,1E-12))</f>
        <v/>
      </c>
      <c r="G110" s="195">
        <f>IF(OR(A110="",C110=""),"",E110-C110)</f>
        <v/>
      </c>
      <c r="H110" s="195">
        <f>IF(A110="","",LOG10(A110))</f>
        <v/>
      </c>
      <c r="I110" s="195">
        <f>IF(B110="","",LOG10(MAX(B110,1E-12)))</f>
        <v/>
      </c>
      <c r="J110" s="195">
        <f>IF(D110="","",LOG10(MAX(D110,1E-12)))</f>
        <v/>
      </c>
      <c r="K110">
        <f>IF(A110="","",ROUND(1+(LOG10(A110)-LOG10('入力・概要'!$B$38))*('入力・概要'!$B$40-1)/(LOG10('入力・概要'!$B$39)-LOG10('入力・概要'!$B$38)),0)+3)</f>
        <v/>
      </c>
      <c r="L110">
        <f>IF(K110="","",INDEX('同相3導体'!$B:$B,K110))</f>
        <v/>
      </c>
      <c r="M110">
        <f>IF(A110="","",IF(ABS(L110/A110-1)&lt;0.01,"周波数差&lt;1%","周波数差あり"))</f>
        <v/>
      </c>
    </row>
    <row r="111">
      <c r="A111" s="197" t="n"/>
      <c r="B111" s="198" t="n"/>
      <c r="C111" s="198" t="n"/>
      <c r="D111" s="195">
        <f>IF(K111="","",INDEX('同相3導体'!$AB:$AB,K111))</f>
        <v/>
      </c>
      <c r="E111" s="195">
        <f>IF(K111="","",INDEX('同相3導体'!$AC:$AC,K111))</f>
        <v/>
      </c>
      <c r="F111" s="195">
        <f>IF(OR(A111="",B111=""),"",100*(D111-B111)/MAX(B111,1E-12))</f>
        <v/>
      </c>
      <c r="G111" s="195">
        <f>IF(OR(A111="",C111=""),"",E111-C111)</f>
        <v/>
      </c>
      <c r="H111" s="195">
        <f>IF(A111="","",LOG10(A111))</f>
        <v/>
      </c>
      <c r="I111" s="195">
        <f>IF(B111="","",LOG10(MAX(B111,1E-12)))</f>
        <v/>
      </c>
      <c r="J111" s="195">
        <f>IF(D111="","",LOG10(MAX(D111,1E-12)))</f>
        <v/>
      </c>
      <c r="K111">
        <f>IF(A111="","",ROUND(1+(LOG10(A111)-LOG10('入力・概要'!$B$38))*('入力・概要'!$B$40-1)/(LOG10('入力・概要'!$B$39)-LOG10('入力・概要'!$B$38)),0)+3)</f>
        <v/>
      </c>
      <c r="L111">
        <f>IF(K111="","",INDEX('同相3導体'!$B:$B,K111))</f>
        <v/>
      </c>
      <c r="M111">
        <f>IF(A111="","",IF(ABS(L111/A111-1)&lt;0.01,"周波数差&lt;1%","周波数差あり"))</f>
        <v/>
      </c>
    </row>
    <row r="112">
      <c r="A112" s="197" t="n"/>
      <c r="B112" s="198" t="n"/>
      <c r="C112" s="198" t="n"/>
      <c r="D112" s="195">
        <f>IF(K112="","",INDEX('同相3導体'!$AB:$AB,K112))</f>
        <v/>
      </c>
      <c r="E112" s="195">
        <f>IF(K112="","",INDEX('同相3導体'!$AC:$AC,K112))</f>
        <v/>
      </c>
      <c r="F112" s="195">
        <f>IF(OR(A112="",B112=""),"",100*(D112-B112)/MAX(B112,1E-12))</f>
        <v/>
      </c>
      <c r="G112" s="195">
        <f>IF(OR(A112="",C112=""),"",E112-C112)</f>
        <v/>
      </c>
      <c r="H112" s="195">
        <f>IF(A112="","",LOG10(A112))</f>
        <v/>
      </c>
      <c r="I112" s="195">
        <f>IF(B112="","",LOG10(MAX(B112,1E-12)))</f>
        <v/>
      </c>
      <c r="J112" s="195">
        <f>IF(D112="","",LOG10(MAX(D112,1E-12)))</f>
        <v/>
      </c>
      <c r="K112">
        <f>IF(A112="","",ROUND(1+(LOG10(A112)-LOG10('入力・概要'!$B$38))*('入力・概要'!$B$40-1)/(LOG10('入力・概要'!$B$39)-LOG10('入力・概要'!$B$38)),0)+3)</f>
        <v/>
      </c>
      <c r="L112">
        <f>IF(K112="","",INDEX('同相3導体'!$B:$B,K112))</f>
        <v/>
      </c>
      <c r="M112">
        <f>IF(A112="","",IF(ABS(L112/A112-1)&lt;0.01,"周波数差&lt;1%","周波数差あり"))</f>
        <v/>
      </c>
    </row>
    <row r="113">
      <c r="A113" s="197" t="n"/>
      <c r="B113" s="198" t="n"/>
      <c r="C113" s="198" t="n"/>
      <c r="D113" s="195">
        <f>IF(K113="","",INDEX('同相3導体'!$AB:$AB,K113))</f>
        <v/>
      </c>
      <c r="E113" s="195">
        <f>IF(K113="","",INDEX('同相3導体'!$AC:$AC,K113))</f>
        <v/>
      </c>
      <c r="F113" s="195">
        <f>IF(OR(A113="",B113=""),"",100*(D113-B113)/MAX(B113,1E-12))</f>
        <v/>
      </c>
      <c r="G113" s="195">
        <f>IF(OR(A113="",C113=""),"",E113-C113)</f>
        <v/>
      </c>
      <c r="H113" s="195">
        <f>IF(A113="","",LOG10(A113))</f>
        <v/>
      </c>
      <c r="I113" s="195">
        <f>IF(B113="","",LOG10(MAX(B113,1E-12)))</f>
        <v/>
      </c>
      <c r="J113" s="195">
        <f>IF(D113="","",LOG10(MAX(D113,1E-12)))</f>
        <v/>
      </c>
      <c r="K113">
        <f>IF(A113="","",ROUND(1+(LOG10(A113)-LOG10('入力・概要'!$B$38))*('入力・概要'!$B$40-1)/(LOG10('入力・概要'!$B$39)-LOG10('入力・概要'!$B$38)),0)+3)</f>
        <v/>
      </c>
      <c r="L113">
        <f>IF(K113="","",INDEX('同相3導体'!$B:$B,K113))</f>
        <v/>
      </c>
      <c r="M113">
        <f>IF(A113="","",IF(ABS(L113/A113-1)&lt;0.01,"周波数差&lt;1%","周波数差あり"))</f>
        <v/>
      </c>
    </row>
    <row r="114">
      <c r="A114" s="197" t="n"/>
      <c r="B114" s="198" t="n"/>
      <c r="C114" s="198" t="n"/>
      <c r="D114" s="195">
        <f>IF(K114="","",INDEX('同相3導体'!$AB:$AB,K114))</f>
        <v/>
      </c>
      <c r="E114" s="195">
        <f>IF(K114="","",INDEX('同相3導体'!$AC:$AC,K114))</f>
        <v/>
      </c>
      <c r="F114" s="195">
        <f>IF(OR(A114="",B114=""),"",100*(D114-B114)/MAX(B114,1E-12))</f>
        <v/>
      </c>
      <c r="G114" s="195">
        <f>IF(OR(A114="",C114=""),"",E114-C114)</f>
        <v/>
      </c>
      <c r="H114" s="195">
        <f>IF(A114="","",LOG10(A114))</f>
        <v/>
      </c>
      <c r="I114" s="195">
        <f>IF(B114="","",LOG10(MAX(B114,1E-12)))</f>
        <v/>
      </c>
      <c r="J114" s="195">
        <f>IF(D114="","",LOG10(MAX(D114,1E-12)))</f>
        <v/>
      </c>
      <c r="K114">
        <f>IF(A114="","",ROUND(1+(LOG10(A114)-LOG10('入力・概要'!$B$38))*('入力・概要'!$B$40-1)/(LOG10('入力・概要'!$B$39)-LOG10('入力・概要'!$B$38)),0)+3)</f>
        <v/>
      </c>
      <c r="L114">
        <f>IF(K114="","",INDEX('同相3導体'!$B:$B,K114))</f>
        <v/>
      </c>
      <c r="M114">
        <f>IF(A114="","",IF(ABS(L114/A114-1)&lt;0.01,"周波数差&lt;1%","周波数差あり"))</f>
        <v/>
      </c>
    </row>
    <row r="115">
      <c r="A115" s="197" t="n"/>
      <c r="B115" s="198" t="n"/>
      <c r="C115" s="198" t="n"/>
      <c r="D115" s="195">
        <f>IF(K115="","",INDEX('同相3導体'!$AB:$AB,K115))</f>
        <v/>
      </c>
      <c r="E115" s="195">
        <f>IF(K115="","",INDEX('同相3導体'!$AC:$AC,K115))</f>
        <v/>
      </c>
      <c r="F115" s="195">
        <f>IF(OR(A115="",B115=""),"",100*(D115-B115)/MAX(B115,1E-12))</f>
        <v/>
      </c>
      <c r="G115" s="195">
        <f>IF(OR(A115="",C115=""),"",E115-C115)</f>
        <v/>
      </c>
      <c r="H115" s="195">
        <f>IF(A115="","",LOG10(A115))</f>
        <v/>
      </c>
      <c r="I115" s="195">
        <f>IF(B115="","",LOG10(MAX(B115,1E-12)))</f>
        <v/>
      </c>
      <c r="J115" s="195">
        <f>IF(D115="","",LOG10(MAX(D115,1E-12)))</f>
        <v/>
      </c>
      <c r="K115">
        <f>IF(A115="","",ROUND(1+(LOG10(A115)-LOG10('入力・概要'!$B$38))*('入力・概要'!$B$40-1)/(LOG10('入力・概要'!$B$39)-LOG10('入力・概要'!$B$38)),0)+3)</f>
        <v/>
      </c>
      <c r="L115">
        <f>IF(K115="","",INDEX('同相3導体'!$B:$B,K115))</f>
        <v/>
      </c>
      <c r="M115">
        <f>IF(A115="","",IF(ABS(L115/A115-1)&lt;0.01,"周波数差&lt;1%","周波数差あり"))</f>
        <v/>
      </c>
    </row>
    <row r="116">
      <c r="A116" s="197" t="n"/>
      <c r="B116" s="198" t="n"/>
      <c r="C116" s="198" t="n"/>
      <c r="D116" s="195">
        <f>IF(K116="","",INDEX('同相3導体'!$AB:$AB,K116))</f>
        <v/>
      </c>
      <c r="E116" s="195">
        <f>IF(K116="","",INDEX('同相3導体'!$AC:$AC,K116))</f>
        <v/>
      </c>
      <c r="F116" s="195">
        <f>IF(OR(A116="",B116=""),"",100*(D116-B116)/MAX(B116,1E-12))</f>
        <v/>
      </c>
      <c r="G116" s="195">
        <f>IF(OR(A116="",C116=""),"",E116-C116)</f>
        <v/>
      </c>
      <c r="H116" s="195">
        <f>IF(A116="","",LOG10(A116))</f>
        <v/>
      </c>
      <c r="I116" s="195">
        <f>IF(B116="","",LOG10(MAX(B116,1E-12)))</f>
        <v/>
      </c>
      <c r="J116" s="195">
        <f>IF(D116="","",LOG10(MAX(D116,1E-12)))</f>
        <v/>
      </c>
      <c r="K116">
        <f>IF(A116="","",ROUND(1+(LOG10(A116)-LOG10('入力・概要'!$B$38))*('入力・概要'!$B$40-1)/(LOG10('入力・概要'!$B$39)-LOG10('入力・概要'!$B$38)),0)+3)</f>
        <v/>
      </c>
      <c r="L116">
        <f>IF(K116="","",INDEX('同相3導体'!$B:$B,K116))</f>
        <v/>
      </c>
      <c r="M116">
        <f>IF(A116="","",IF(ABS(L116/A116-1)&lt;0.01,"周波数差&lt;1%","周波数差あり"))</f>
        <v/>
      </c>
    </row>
    <row r="117">
      <c r="A117" s="197" t="n"/>
      <c r="B117" s="198" t="n"/>
      <c r="C117" s="198" t="n"/>
      <c r="D117" s="195">
        <f>IF(K117="","",INDEX('同相3導体'!$AB:$AB,K117))</f>
        <v/>
      </c>
      <c r="E117" s="195">
        <f>IF(K117="","",INDEX('同相3導体'!$AC:$AC,K117))</f>
        <v/>
      </c>
      <c r="F117" s="195">
        <f>IF(OR(A117="",B117=""),"",100*(D117-B117)/MAX(B117,1E-12))</f>
        <v/>
      </c>
      <c r="G117" s="195">
        <f>IF(OR(A117="",C117=""),"",E117-C117)</f>
        <v/>
      </c>
      <c r="H117" s="195">
        <f>IF(A117="","",LOG10(A117))</f>
        <v/>
      </c>
      <c r="I117" s="195">
        <f>IF(B117="","",LOG10(MAX(B117,1E-12)))</f>
        <v/>
      </c>
      <c r="J117" s="195">
        <f>IF(D117="","",LOG10(MAX(D117,1E-12)))</f>
        <v/>
      </c>
      <c r="K117">
        <f>IF(A117="","",ROUND(1+(LOG10(A117)-LOG10('入力・概要'!$B$38))*('入力・概要'!$B$40-1)/(LOG10('入力・概要'!$B$39)-LOG10('入力・概要'!$B$38)),0)+3)</f>
        <v/>
      </c>
      <c r="L117">
        <f>IF(K117="","",INDEX('同相3導体'!$B:$B,K117))</f>
        <v/>
      </c>
      <c r="M117">
        <f>IF(A117="","",IF(ABS(L117/A117-1)&lt;0.01,"周波数差&lt;1%","周波数差あり"))</f>
        <v/>
      </c>
    </row>
    <row r="118">
      <c r="A118" s="197" t="n"/>
      <c r="B118" s="198" t="n"/>
      <c r="C118" s="198" t="n"/>
      <c r="D118" s="195">
        <f>IF(K118="","",INDEX('同相3導体'!$AB:$AB,K118))</f>
        <v/>
      </c>
      <c r="E118" s="195">
        <f>IF(K118="","",INDEX('同相3導体'!$AC:$AC,K118))</f>
        <v/>
      </c>
      <c r="F118" s="195">
        <f>IF(OR(A118="",B118=""),"",100*(D118-B118)/MAX(B118,1E-12))</f>
        <v/>
      </c>
      <c r="G118" s="195">
        <f>IF(OR(A118="",C118=""),"",E118-C118)</f>
        <v/>
      </c>
      <c r="H118" s="195">
        <f>IF(A118="","",LOG10(A118))</f>
        <v/>
      </c>
      <c r="I118" s="195">
        <f>IF(B118="","",LOG10(MAX(B118,1E-12)))</f>
        <v/>
      </c>
      <c r="J118" s="195">
        <f>IF(D118="","",LOG10(MAX(D118,1E-12)))</f>
        <v/>
      </c>
      <c r="K118">
        <f>IF(A118="","",ROUND(1+(LOG10(A118)-LOG10('入力・概要'!$B$38))*('入力・概要'!$B$40-1)/(LOG10('入力・概要'!$B$39)-LOG10('入力・概要'!$B$38)),0)+3)</f>
        <v/>
      </c>
      <c r="L118">
        <f>IF(K118="","",INDEX('同相3導体'!$B:$B,K118))</f>
        <v/>
      </c>
      <c r="M118">
        <f>IF(A118="","",IF(ABS(L118/A118-1)&lt;0.01,"周波数差&lt;1%","周波数差あり"))</f>
        <v/>
      </c>
    </row>
    <row r="119">
      <c r="A119" s="197" t="n"/>
      <c r="B119" s="198" t="n"/>
      <c r="C119" s="198" t="n"/>
      <c r="D119" s="195">
        <f>IF(K119="","",INDEX('同相3導体'!$AB:$AB,K119))</f>
        <v/>
      </c>
      <c r="E119" s="195">
        <f>IF(K119="","",INDEX('同相3導体'!$AC:$AC,K119))</f>
        <v/>
      </c>
      <c r="F119" s="195">
        <f>IF(OR(A119="",B119=""),"",100*(D119-B119)/MAX(B119,1E-12))</f>
        <v/>
      </c>
      <c r="G119" s="195">
        <f>IF(OR(A119="",C119=""),"",E119-C119)</f>
        <v/>
      </c>
      <c r="H119" s="195">
        <f>IF(A119="","",LOG10(A119))</f>
        <v/>
      </c>
      <c r="I119" s="195">
        <f>IF(B119="","",LOG10(MAX(B119,1E-12)))</f>
        <v/>
      </c>
      <c r="J119" s="195">
        <f>IF(D119="","",LOG10(MAX(D119,1E-12)))</f>
        <v/>
      </c>
      <c r="K119">
        <f>IF(A119="","",ROUND(1+(LOG10(A119)-LOG10('入力・概要'!$B$38))*('入力・概要'!$B$40-1)/(LOG10('入力・概要'!$B$39)-LOG10('入力・概要'!$B$38)),0)+3)</f>
        <v/>
      </c>
      <c r="L119">
        <f>IF(K119="","",INDEX('同相3導体'!$B:$B,K119))</f>
        <v/>
      </c>
      <c r="M119">
        <f>IF(A119="","",IF(ABS(L119/A119-1)&lt;0.01,"周波数差&lt;1%","周波数差あり"))</f>
        <v/>
      </c>
    </row>
    <row r="120">
      <c r="A120" s="197" t="n"/>
      <c r="B120" s="198" t="n"/>
      <c r="C120" s="198" t="n"/>
      <c r="D120" s="195">
        <f>IF(K120="","",INDEX('同相3導体'!$AB:$AB,K120))</f>
        <v/>
      </c>
      <c r="E120" s="195">
        <f>IF(K120="","",INDEX('同相3導体'!$AC:$AC,K120))</f>
        <v/>
      </c>
      <c r="F120" s="195">
        <f>IF(OR(A120="",B120=""),"",100*(D120-B120)/MAX(B120,1E-12))</f>
        <v/>
      </c>
      <c r="G120" s="195">
        <f>IF(OR(A120="",C120=""),"",E120-C120)</f>
        <v/>
      </c>
      <c r="H120" s="195">
        <f>IF(A120="","",LOG10(A120))</f>
        <v/>
      </c>
      <c r="I120" s="195">
        <f>IF(B120="","",LOG10(MAX(B120,1E-12)))</f>
        <v/>
      </c>
      <c r="J120" s="195">
        <f>IF(D120="","",LOG10(MAX(D120,1E-12)))</f>
        <v/>
      </c>
      <c r="K120">
        <f>IF(A120="","",ROUND(1+(LOG10(A120)-LOG10('入力・概要'!$B$38))*('入力・概要'!$B$40-1)/(LOG10('入力・概要'!$B$39)-LOG10('入力・概要'!$B$38)),0)+3)</f>
        <v/>
      </c>
      <c r="L120">
        <f>IF(K120="","",INDEX('同相3導体'!$B:$B,K120))</f>
        <v/>
      </c>
      <c r="M120">
        <f>IF(A120="","",IF(ABS(L120/A120-1)&lt;0.01,"周波数差&lt;1%","周波数差あり"))</f>
        <v/>
      </c>
    </row>
    <row r="121">
      <c r="A121" s="197" t="n"/>
      <c r="B121" s="198" t="n"/>
      <c r="C121" s="198" t="n"/>
      <c r="D121" s="195">
        <f>IF(K121="","",INDEX('同相3導体'!$AB:$AB,K121))</f>
        <v/>
      </c>
      <c r="E121" s="195">
        <f>IF(K121="","",INDEX('同相3導体'!$AC:$AC,K121))</f>
        <v/>
      </c>
      <c r="F121" s="195">
        <f>IF(OR(A121="",B121=""),"",100*(D121-B121)/MAX(B121,1E-12))</f>
        <v/>
      </c>
      <c r="G121" s="195">
        <f>IF(OR(A121="",C121=""),"",E121-C121)</f>
        <v/>
      </c>
      <c r="H121" s="195">
        <f>IF(A121="","",LOG10(A121))</f>
        <v/>
      </c>
      <c r="I121" s="195">
        <f>IF(B121="","",LOG10(MAX(B121,1E-12)))</f>
        <v/>
      </c>
      <c r="J121" s="195">
        <f>IF(D121="","",LOG10(MAX(D121,1E-12)))</f>
        <v/>
      </c>
      <c r="K121">
        <f>IF(A121="","",ROUND(1+(LOG10(A121)-LOG10('入力・概要'!$B$38))*('入力・概要'!$B$40-1)/(LOG10('入力・概要'!$B$39)-LOG10('入力・概要'!$B$38)),0)+3)</f>
        <v/>
      </c>
      <c r="L121">
        <f>IF(K121="","",INDEX('同相3導体'!$B:$B,K121))</f>
        <v/>
      </c>
      <c r="M121">
        <f>IF(A121="","",IF(ABS(L121/A121-1)&lt;0.01,"周波数差&lt;1%","周波数差あり"))</f>
        <v/>
      </c>
    </row>
    <row r="122">
      <c r="A122" s="197" t="n"/>
      <c r="B122" s="198" t="n"/>
      <c r="C122" s="198" t="n"/>
      <c r="D122" s="195">
        <f>IF(K122="","",INDEX('同相3導体'!$AB:$AB,K122))</f>
        <v/>
      </c>
      <c r="E122" s="195">
        <f>IF(K122="","",INDEX('同相3導体'!$AC:$AC,K122))</f>
        <v/>
      </c>
      <c r="F122" s="195">
        <f>IF(OR(A122="",B122=""),"",100*(D122-B122)/MAX(B122,1E-12))</f>
        <v/>
      </c>
      <c r="G122" s="195">
        <f>IF(OR(A122="",C122=""),"",E122-C122)</f>
        <v/>
      </c>
      <c r="H122" s="195">
        <f>IF(A122="","",LOG10(A122))</f>
        <v/>
      </c>
      <c r="I122" s="195">
        <f>IF(B122="","",LOG10(MAX(B122,1E-12)))</f>
        <v/>
      </c>
      <c r="J122" s="195">
        <f>IF(D122="","",LOG10(MAX(D122,1E-12)))</f>
        <v/>
      </c>
      <c r="K122">
        <f>IF(A122="","",ROUND(1+(LOG10(A122)-LOG10('入力・概要'!$B$38))*('入力・概要'!$B$40-1)/(LOG10('入力・概要'!$B$39)-LOG10('入力・概要'!$B$38)),0)+3)</f>
        <v/>
      </c>
      <c r="L122">
        <f>IF(K122="","",INDEX('同相3導体'!$B:$B,K122))</f>
        <v/>
      </c>
      <c r="M122">
        <f>IF(A122="","",IF(ABS(L122/A122-1)&lt;0.01,"周波数差&lt;1%","周波数差あり"))</f>
        <v/>
      </c>
    </row>
    <row r="123">
      <c r="A123" s="197" t="n"/>
      <c r="B123" s="198" t="n"/>
      <c r="C123" s="198" t="n"/>
      <c r="D123" s="195">
        <f>IF(K123="","",INDEX('同相3導体'!$AB:$AB,K123))</f>
        <v/>
      </c>
      <c r="E123" s="195">
        <f>IF(K123="","",INDEX('同相3導体'!$AC:$AC,K123))</f>
        <v/>
      </c>
      <c r="F123" s="195">
        <f>IF(OR(A123="",B123=""),"",100*(D123-B123)/MAX(B123,1E-12))</f>
        <v/>
      </c>
      <c r="G123" s="195">
        <f>IF(OR(A123="",C123=""),"",E123-C123)</f>
        <v/>
      </c>
      <c r="H123" s="195">
        <f>IF(A123="","",LOG10(A123))</f>
        <v/>
      </c>
      <c r="I123" s="195">
        <f>IF(B123="","",LOG10(MAX(B123,1E-12)))</f>
        <v/>
      </c>
      <c r="J123" s="195">
        <f>IF(D123="","",LOG10(MAX(D123,1E-12)))</f>
        <v/>
      </c>
      <c r="K123">
        <f>IF(A123="","",ROUND(1+(LOG10(A123)-LOG10('入力・概要'!$B$38))*('入力・概要'!$B$40-1)/(LOG10('入力・概要'!$B$39)-LOG10('入力・概要'!$B$38)),0)+3)</f>
        <v/>
      </c>
      <c r="L123">
        <f>IF(K123="","",INDEX('同相3導体'!$B:$B,K123))</f>
        <v/>
      </c>
      <c r="M123">
        <f>IF(A123="","",IF(ABS(L123/A123-1)&lt;0.01,"周波数差&lt;1%","周波数差あり"))</f>
        <v/>
      </c>
    </row>
    <row r="124">
      <c r="A124" s="197" t="n"/>
      <c r="B124" s="198" t="n"/>
      <c r="C124" s="198" t="n"/>
      <c r="D124" s="195">
        <f>IF(K124="","",INDEX('同相3導体'!$AB:$AB,K124))</f>
        <v/>
      </c>
      <c r="E124" s="195">
        <f>IF(K124="","",INDEX('同相3導体'!$AC:$AC,K124))</f>
        <v/>
      </c>
      <c r="F124" s="195">
        <f>IF(OR(A124="",B124=""),"",100*(D124-B124)/MAX(B124,1E-12))</f>
        <v/>
      </c>
      <c r="G124" s="195">
        <f>IF(OR(A124="",C124=""),"",E124-C124)</f>
        <v/>
      </c>
      <c r="H124" s="195">
        <f>IF(A124="","",LOG10(A124))</f>
        <v/>
      </c>
      <c r="I124" s="195">
        <f>IF(B124="","",LOG10(MAX(B124,1E-12)))</f>
        <v/>
      </c>
      <c r="J124" s="195">
        <f>IF(D124="","",LOG10(MAX(D124,1E-12)))</f>
        <v/>
      </c>
      <c r="K124">
        <f>IF(A124="","",ROUND(1+(LOG10(A124)-LOG10('入力・概要'!$B$38))*('入力・概要'!$B$40-1)/(LOG10('入力・概要'!$B$39)-LOG10('入力・概要'!$B$38)),0)+3)</f>
        <v/>
      </c>
      <c r="L124">
        <f>IF(K124="","",INDEX('同相3導体'!$B:$B,K124))</f>
        <v/>
      </c>
      <c r="M124">
        <f>IF(A124="","",IF(ABS(L124/A124-1)&lt;0.01,"周波数差&lt;1%","周波数差あり"))</f>
        <v/>
      </c>
    </row>
    <row r="125">
      <c r="A125" s="197" t="n"/>
      <c r="B125" s="198" t="n"/>
      <c r="C125" s="198" t="n"/>
      <c r="D125" s="195">
        <f>IF(K125="","",INDEX('同相3導体'!$AB:$AB,K125))</f>
        <v/>
      </c>
      <c r="E125" s="195">
        <f>IF(K125="","",INDEX('同相3導体'!$AC:$AC,K125))</f>
        <v/>
      </c>
      <c r="F125" s="195">
        <f>IF(OR(A125="",B125=""),"",100*(D125-B125)/MAX(B125,1E-12))</f>
        <v/>
      </c>
      <c r="G125" s="195">
        <f>IF(OR(A125="",C125=""),"",E125-C125)</f>
        <v/>
      </c>
      <c r="H125" s="195">
        <f>IF(A125="","",LOG10(A125))</f>
        <v/>
      </c>
      <c r="I125" s="195">
        <f>IF(B125="","",LOG10(MAX(B125,1E-12)))</f>
        <v/>
      </c>
      <c r="J125" s="195">
        <f>IF(D125="","",LOG10(MAX(D125,1E-12)))</f>
        <v/>
      </c>
      <c r="K125">
        <f>IF(A125="","",ROUND(1+(LOG10(A125)-LOG10('入力・概要'!$B$38))*('入力・概要'!$B$40-1)/(LOG10('入力・概要'!$B$39)-LOG10('入力・概要'!$B$38)),0)+3)</f>
        <v/>
      </c>
      <c r="L125">
        <f>IF(K125="","",INDEX('同相3導体'!$B:$B,K125))</f>
        <v/>
      </c>
      <c r="M125">
        <f>IF(A125="","",IF(ABS(L125/A125-1)&lt;0.01,"周波数差&lt;1%","周波数差あり"))</f>
        <v/>
      </c>
    </row>
    <row r="126">
      <c r="A126" s="197" t="n"/>
      <c r="B126" s="198" t="n"/>
      <c r="C126" s="198" t="n"/>
      <c r="D126" s="195">
        <f>IF(K126="","",INDEX('同相3導体'!$AB:$AB,K126))</f>
        <v/>
      </c>
      <c r="E126" s="195">
        <f>IF(K126="","",INDEX('同相3導体'!$AC:$AC,K126))</f>
        <v/>
      </c>
      <c r="F126" s="195">
        <f>IF(OR(A126="",B126=""),"",100*(D126-B126)/MAX(B126,1E-12))</f>
        <v/>
      </c>
      <c r="G126" s="195">
        <f>IF(OR(A126="",C126=""),"",E126-C126)</f>
        <v/>
      </c>
      <c r="H126" s="195">
        <f>IF(A126="","",LOG10(A126))</f>
        <v/>
      </c>
      <c r="I126" s="195">
        <f>IF(B126="","",LOG10(MAX(B126,1E-12)))</f>
        <v/>
      </c>
      <c r="J126" s="195">
        <f>IF(D126="","",LOG10(MAX(D126,1E-12)))</f>
        <v/>
      </c>
      <c r="K126">
        <f>IF(A126="","",ROUND(1+(LOG10(A126)-LOG10('入力・概要'!$B$38))*('入力・概要'!$B$40-1)/(LOG10('入力・概要'!$B$39)-LOG10('入力・概要'!$B$38)),0)+3)</f>
        <v/>
      </c>
      <c r="L126">
        <f>IF(K126="","",INDEX('同相3導体'!$B:$B,K126))</f>
        <v/>
      </c>
      <c r="M126">
        <f>IF(A126="","",IF(ABS(L126/A126-1)&lt;0.01,"周波数差&lt;1%","周波数差あり"))</f>
        <v/>
      </c>
    </row>
    <row r="127">
      <c r="A127" s="197" t="n"/>
      <c r="B127" s="198" t="n"/>
      <c r="C127" s="198" t="n"/>
      <c r="D127" s="195">
        <f>IF(K127="","",INDEX('同相3導体'!$AB:$AB,K127))</f>
        <v/>
      </c>
      <c r="E127" s="195">
        <f>IF(K127="","",INDEX('同相3導体'!$AC:$AC,K127))</f>
        <v/>
      </c>
      <c r="F127" s="195">
        <f>IF(OR(A127="",B127=""),"",100*(D127-B127)/MAX(B127,1E-12))</f>
        <v/>
      </c>
      <c r="G127" s="195">
        <f>IF(OR(A127="",C127=""),"",E127-C127)</f>
        <v/>
      </c>
      <c r="H127" s="195">
        <f>IF(A127="","",LOG10(A127))</f>
        <v/>
      </c>
      <c r="I127" s="195">
        <f>IF(B127="","",LOG10(MAX(B127,1E-12)))</f>
        <v/>
      </c>
      <c r="J127" s="195">
        <f>IF(D127="","",LOG10(MAX(D127,1E-12)))</f>
        <v/>
      </c>
      <c r="K127">
        <f>IF(A127="","",ROUND(1+(LOG10(A127)-LOG10('入力・概要'!$B$38))*('入力・概要'!$B$40-1)/(LOG10('入力・概要'!$B$39)-LOG10('入力・概要'!$B$38)),0)+3)</f>
        <v/>
      </c>
      <c r="L127">
        <f>IF(K127="","",INDEX('同相3導体'!$B:$B,K127))</f>
        <v/>
      </c>
      <c r="M127">
        <f>IF(A127="","",IF(ABS(L127/A127-1)&lt;0.01,"周波数差&lt;1%","周波数差あり"))</f>
        <v/>
      </c>
    </row>
    <row r="128">
      <c r="A128" s="197" t="n"/>
      <c r="B128" s="198" t="n"/>
      <c r="C128" s="198" t="n"/>
      <c r="D128" s="195">
        <f>IF(K128="","",INDEX('同相3導体'!$AB:$AB,K128))</f>
        <v/>
      </c>
      <c r="E128" s="195">
        <f>IF(K128="","",INDEX('同相3導体'!$AC:$AC,K128))</f>
        <v/>
      </c>
      <c r="F128" s="195">
        <f>IF(OR(A128="",B128=""),"",100*(D128-B128)/MAX(B128,1E-12))</f>
        <v/>
      </c>
      <c r="G128" s="195">
        <f>IF(OR(A128="",C128=""),"",E128-C128)</f>
        <v/>
      </c>
      <c r="H128" s="195">
        <f>IF(A128="","",LOG10(A128))</f>
        <v/>
      </c>
      <c r="I128" s="195">
        <f>IF(B128="","",LOG10(MAX(B128,1E-12)))</f>
        <v/>
      </c>
      <c r="J128" s="195">
        <f>IF(D128="","",LOG10(MAX(D128,1E-12)))</f>
        <v/>
      </c>
      <c r="K128">
        <f>IF(A128="","",ROUND(1+(LOG10(A128)-LOG10('入力・概要'!$B$38))*('入力・概要'!$B$40-1)/(LOG10('入力・概要'!$B$39)-LOG10('入力・概要'!$B$38)),0)+3)</f>
        <v/>
      </c>
      <c r="L128">
        <f>IF(K128="","",INDEX('同相3導体'!$B:$B,K128))</f>
        <v/>
      </c>
      <c r="M128">
        <f>IF(A128="","",IF(ABS(L128/A128-1)&lt;0.01,"周波数差&lt;1%","周波数差あり"))</f>
        <v/>
      </c>
    </row>
    <row r="129">
      <c r="A129" s="197" t="n"/>
      <c r="B129" s="198" t="n"/>
      <c r="C129" s="198" t="n"/>
      <c r="D129" s="195">
        <f>IF(K129="","",INDEX('同相3導体'!$AB:$AB,K129))</f>
        <v/>
      </c>
      <c r="E129" s="195">
        <f>IF(K129="","",INDEX('同相3導体'!$AC:$AC,K129))</f>
        <v/>
      </c>
      <c r="F129" s="195">
        <f>IF(OR(A129="",B129=""),"",100*(D129-B129)/MAX(B129,1E-12))</f>
        <v/>
      </c>
      <c r="G129" s="195">
        <f>IF(OR(A129="",C129=""),"",E129-C129)</f>
        <v/>
      </c>
      <c r="H129" s="195">
        <f>IF(A129="","",LOG10(A129))</f>
        <v/>
      </c>
      <c r="I129" s="195">
        <f>IF(B129="","",LOG10(MAX(B129,1E-12)))</f>
        <v/>
      </c>
      <c r="J129" s="195">
        <f>IF(D129="","",LOG10(MAX(D129,1E-12)))</f>
        <v/>
      </c>
      <c r="K129">
        <f>IF(A129="","",ROUND(1+(LOG10(A129)-LOG10('入力・概要'!$B$38))*('入力・概要'!$B$40-1)/(LOG10('入力・概要'!$B$39)-LOG10('入力・概要'!$B$38)),0)+3)</f>
        <v/>
      </c>
      <c r="L129">
        <f>IF(K129="","",INDEX('同相3導体'!$B:$B,K129))</f>
        <v/>
      </c>
      <c r="M129">
        <f>IF(A129="","",IF(ABS(L129/A129-1)&lt;0.01,"周波数差&lt;1%","周波数差あり"))</f>
        <v/>
      </c>
    </row>
    <row r="130">
      <c r="A130" s="197" t="n"/>
      <c r="B130" s="198" t="n"/>
      <c r="C130" s="198" t="n"/>
      <c r="D130" s="195">
        <f>IF(K130="","",INDEX('同相3導体'!$AB:$AB,K130))</f>
        <v/>
      </c>
      <c r="E130" s="195">
        <f>IF(K130="","",INDEX('同相3導体'!$AC:$AC,K130))</f>
        <v/>
      </c>
      <c r="F130" s="195">
        <f>IF(OR(A130="",B130=""),"",100*(D130-B130)/MAX(B130,1E-12))</f>
        <v/>
      </c>
      <c r="G130" s="195">
        <f>IF(OR(A130="",C130=""),"",E130-C130)</f>
        <v/>
      </c>
      <c r="H130" s="195">
        <f>IF(A130="","",LOG10(A130))</f>
        <v/>
      </c>
      <c r="I130" s="195">
        <f>IF(B130="","",LOG10(MAX(B130,1E-12)))</f>
        <v/>
      </c>
      <c r="J130" s="195">
        <f>IF(D130="","",LOG10(MAX(D130,1E-12)))</f>
        <v/>
      </c>
      <c r="K130">
        <f>IF(A130="","",ROUND(1+(LOG10(A130)-LOG10('入力・概要'!$B$38))*('入力・概要'!$B$40-1)/(LOG10('入力・概要'!$B$39)-LOG10('入力・概要'!$B$38)),0)+3)</f>
        <v/>
      </c>
      <c r="L130">
        <f>IF(K130="","",INDEX('同相3導体'!$B:$B,K130))</f>
        <v/>
      </c>
      <c r="M130">
        <f>IF(A130="","",IF(ABS(L130/A130-1)&lt;0.01,"周波数差&lt;1%","周波数差あり"))</f>
        <v/>
      </c>
    </row>
    <row r="131">
      <c r="A131" s="197" t="n"/>
      <c r="B131" s="198" t="n"/>
      <c r="C131" s="198" t="n"/>
      <c r="D131" s="195">
        <f>IF(K131="","",INDEX('同相3導体'!$AB:$AB,K131))</f>
        <v/>
      </c>
      <c r="E131" s="195">
        <f>IF(K131="","",INDEX('同相3導体'!$AC:$AC,K131))</f>
        <v/>
      </c>
      <c r="F131" s="195">
        <f>IF(OR(A131="",B131=""),"",100*(D131-B131)/MAX(B131,1E-12))</f>
        <v/>
      </c>
      <c r="G131" s="195">
        <f>IF(OR(A131="",C131=""),"",E131-C131)</f>
        <v/>
      </c>
      <c r="H131" s="195">
        <f>IF(A131="","",LOG10(A131))</f>
        <v/>
      </c>
      <c r="I131" s="195">
        <f>IF(B131="","",LOG10(MAX(B131,1E-12)))</f>
        <v/>
      </c>
      <c r="J131" s="195">
        <f>IF(D131="","",LOG10(MAX(D131,1E-12)))</f>
        <v/>
      </c>
      <c r="K131">
        <f>IF(A131="","",ROUND(1+(LOG10(A131)-LOG10('入力・概要'!$B$38))*('入力・概要'!$B$40-1)/(LOG10('入力・概要'!$B$39)-LOG10('入力・概要'!$B$38)),0)+3)</f>
        <v/>
      </c>
      <c r="L131">
        <f>IF(K131="","",INDEX('同相3導体'!$B:$B,K131))</f>
        <v/>
      </c>
      <c r="M131">
        <f>IF(A131="","",IF(ABS(L131/A131-1)&lt;0.01,"周波数差&lt;1%","周波数差あり"))</f>
        <v/>
      </c>
    </row>
    <row r="132">
      <c r="A132" s="197" t="n"/>
      <c r="B132" s="198" t="n"/>
      <c r="C132" s="198" t="n"/>
      <c r="D132" s="195">
        <f>IF(K132="","",INDEX('同相3導体'!$AB:$AB,K132))</f>
        <v/>
      </c>
      <c r="E132" s="195">
        <f>IF(K132="","",INDEX('同相3導体'!$AC:$AC,K132))</f>
        <v/>
      </c>
      <c r="F132" s="195">
        <f>IF(OR(A132="",B132=""),"",100*(D132-B132)/MAX(B132,1E-12))</f>
        <v/>
      </c>
      <c r="G132" s="195">
        <f>IF(OR(A132="",C132=""),"",E132-C132)</f>
        <v/>
      </c>
      <c r="H132" s="195">
        <f>IF(A132="","",LOG10(A132))</f>
        <v/>
      </c>
      <c r="I132" s="195">
        <f>IF(B132="","",LOG10(MAX(B132,1E-12)))</f>
        <v/>
      </c>
      <c r="J132" s="195">
        <f>IF(D132="","",LOG10(MAX(D132,1E-12)))</f>
        <v/>
      </c>
      <c r="K132">
        <f>IF(A132="","",ROUND(1+(LOG10(A132)-LOG10('入力・概要'!$B$38))*('入力・概要'!$B$40-1)/(LOG10('入力・概要'!$B$39)-LOG10('入力・概要'!$B$38)),0)+3)</f>
        <v/>
      </c>
      <c r="L132">
        <f>IF(K132="","",INDEX('同相3導体'!$B:$B,K132))</f>
        <v/>
      </c>
      <c r="M132">
        <f>IF(A132="","",IF(ABS(L132/A132-1)&lt;0.01,"周波数差&lt;1%","周波数差あり"))</f>
        <v/>
      </c>
    </row>
    <row r="133">
      <c r="A133" s="197" t="n"/>
      <c r="B133" s="198" t="n"/>
      <c r="C133" s="198" t="n"/>
      <c r="D133" s="195">
        <f>IF(K133="","",INDEX('同相3導体'!$AB:$AB,K133))</f>
        <v/>
      </c>
      <c r="E133" s="195">
        <f>IF(K133="","",INDEX('同相3導体'!$AC:$AC,K133))</f>
        <v/>
      </c>
      <c r="F133" s="195">
        <f>IF(OR(A133="",B133=""),"",100*(D133-B133)/MAX(B133,1E-12))</f>
        <v/>
      </c>
      <c r="G133" s="195">
        <f>IF(OR(A133="",C133=""),"",E133-C133)</f>
        <v/>
      </c>
      <c r="H133" s="195">
        <f>IF(A133="","",LOG10(A133))</f>
        <v/>
      </c>
      <c r="I133" s="195">
        <f>IF(B133="","",LOG10(MAX(B133,1E-12)))</f>
        <v/>
      </c>
      <c r="J133" s="195">
        <f>IF(D133="","",LOG10(MAX(D133,1E-12)))</f>
        <v/>
      </c>
      <c r="K133">
        <f>IF(A133="","",ROUND(1+(LOG10(A133)-LOG10('入力・概要'!$B$38))*('入力・概要'!$B$40-1)/(LOG10('入力・概要'!$B$39)-LOG10('入力・概要'!$B$38)),0)+3)</f>
        <v/>
      </c>
      <c r="L133">
        <f>IF(K133="","",INDEX('同相3導体'!$B:$B,K133))</f>
        <v/>
      </c>
      <c r="M133">
        <f>IF(A133="","",IF(ABS(L133/A133-1)&lt;0.01,"周波数差&lt;1%","周波数差あり"))</f>
        <v/>
      </c>
    </row>
    <row r="134">
      <c r="A134" s="197" t="n"/>
      <c r="B134" s="198" t="n"/>
      <c r="C134" s="198" t="n"/>
      <c r="D134" s="195">
        <f>IF(K134="","",INDEX('同相3導体'!$AB:$AB,K134))</f>
        <v/>
      </c>
      <c r="E134" s="195">
        <f>IF(K134="","",INDEX('同相3導体'!$AC:$AC,K134))</f>
        <v/>
      </c>
      <c r="F134" s="195">
        <f>IF(OR(A134="",B134=""),"",100*(D134-B134)/MAX(B134,1E-12))</f>
        <v/>
      </c>
      <c r="G134" s="195">
        <f>IF(OR(A134="",C134=""),"",E134-C134)</f>
        <v/>
      </c>
      <c r="H134" s="195">
        <f>IF(A134="","",LOG10(A134))</f>
        <v/>
      </c>
      <c r="I134" s="195">
        <f>IF(B134="","",LOG10(MAX(B134,1E-12)))</f>
        <v/>
      </c>
      <c r="J134" s="195">
        <f>IF(D134="","",LOG10(MAX(D134,1E-12)))</f>
        <v/>
      </c>
      <c r="K134">
        <f>IF(A134="","",ROUND(1+(LOG10(A134)-LOG10('入力・概要'!$B$38))*('入力・概要'!$B$40-1)/(LOG10('入力・概要'!$B$39)-LOG10('入力・概要'!$B$38)),0)+3)</f>
        <v/>
      </c>
      <c r="L134">
        <f>IF(K134="","",INDEX('同相3導体'!$B:$B,K134))</f>
        <v/>
      </c>
      <c r="M134">
        <f>IF(A134="","",IF(ABS(L134/A134-1)&lt;0.01,"周波数差&lt;1%","周波数差あり"))</f>
        <v/>
      </c>
    </row>
    <row r="135">
      <c r="A135" s="197" t="n"/>
      <c r="B135" s="198" t="n"/>
      <c r="C135" s="198" t="n"/>
      <c r="D135" s="195">
        <f>IF(K135="","",INDEX('同相3導体'!$AB:$AB,K135))</f>
        <v/>
      </c>
      <c r="E135" s="195">
        <f>IF(K135="","",INDEX('同相3導体'!$AC:$AC,K135))</f>
        <v/>
      </c>
      <c r="F135" s="195">
        <f>IF(OR(A135="",B135=""),"",100*(D135-B135)/MAX(B135,1E-12))</f>
        <v/>
      </c>
      <c r="G135" s="195">
        <f>IF(OR(A135="",C135=""),"",E135-C135)</f>
        <v/>
      </c>
      <c r="H135" s="195">
        <f>IF(A135="","",LOG10(A135))</f>
        <v/>
      </c>
      <c r="I135" s="195">
        <f>IF(B135="","",LOG10(MAX(B135,1E-12)))</f>
        <v/>
      </c>
      <c r="J135" s="195">
        <f>IF(D135="","",LOG10(MAX(D135,1E-12)))</f>
        <v/>
      </c>
      <c r="K135">
        <f>IF(A135="","",ROUND(1+(LOG10(A135)-LOG10('入力・概要'!$B$38))*('入力・概要'!$B$40-1)/(LOG10('入力・概要'!$B$39)-LOG10('入力・概要'!$B$38)),0)+3)</f>
        <v/>
      </c>
      <c r="L135">
        <f>IF(K135="","",INDEX('同相3導体'!$B:$B,K135))</f>
        <v/>
      </c>
      <c r="M135">
        <f>IF(A135="","",IF(ABS(L135/A135-1)&lt;0.01,"周波数差&lt;1%","周波数差あり"))</f>
        <v/>
      </c>
    </row>
    <row r="136">
      <c r="A136" s="197" t="n"/>
      <c r="B136" s="198" t="n"/>
      <c r="C136" s="198" t="n"/>
      <c r="D136" s="195">
        <f>IF(K136="","",INDEX('同相3導体'!$AB:$AB,K136))</f>
        <v/>
      </c>
      <c r="E136" s="195">
        <f>IF(K136="","",INDEX('同相3導体'!$AC:$AC,K136))</f>
        <v/>
      </c>
      <c r="F136" s="195">
        <f>IF(OR(A136="",B136=""),"",100*(D136-B136)/MAX(B136,1E-12))</f>
        <v/>
      </c>
      <c r="G136" s="195">
        <f>IF(OR(A136="",C136=""),"",E136-C136)</f>
        <v/>
      </c>
      <c r="H136" s="195">
        <f>IF(A136="","",LOG10(A136))</f>
        <v/>
      </c>
      <c r="I136" s="195">
        <f>IF(B136="","",LOG10(MAX(B136,1E-12)))</f>
        <v/>
      </c>
      <c r="J136" s="195">
        <f>IF(D136="","",LOG10(MAX(D136,1E-12)))</f>
        <v/>
      </c>
      <c r="K136">
        <f>IF(A136="","",ROUND(1+(LOG10(A136)-LOG10('入力・概要'!$B$38))*('入力・概要'!$B$40-1)/(LOG10('入力・概要'!$B$39)-LOG10('入力・概要'!$B$38)),0)+3)</f>
        <v/>
      </c>
      <c r="L136">
        <f>IF(K136="","",INDEX('同相3導体'!$B:$B,K136))</f>
        <v/>
      </c>
      <c r="M136">
        <f>IF(A136="","",IF(ABS(L136/A136-1)&lt;0.01,"周波数差&lt;1%","周波数差あり"))</f>
        <v/>
      </c>
    </row>
    <row r="137">
      <c r="A137" s="197" t="n"/>
      <c r="B137" s="198" t="n"/>
      <c r="C137" s="198" t="n"/>
      <c r="D137" s="195">
        <f>IF(K137="","",INDEX('同相3導体'!$AB:$AB,K137))</f>
        <v/>
      </c>
      <c r="E137" s="195">
        <f>IF(K137="","",INDEX('同相3導体'!$AC:$AC,K137))</f>
        <v/>
      </c>
      <c r="F137" s="195">
        <f>IF(OR(A137="",B137=""),"",100*(D137-B137)/MAX(B137,1E-12))</f>
        <v/>
      </c>
      <c r="G137" s="195">
        <f>IF(OR(A137="",C137=""),"",E137-C137)</f>
        <v/>
      </c>
      <c r="H137" s="195">
        <f>IF(A137="","",LOG10(A137))</f>
        <v/>
      </c>
      <c r="I137" s="195">
        <f>IF(B137="","",LOG10(MAX(B137,1E-12)))</f>
        <v/>
      </c>
      <c r="J137" s="195">
        <f>IF(D137="","",LOG10(MAX(D137,1E-12)))</f>
        <v/>
      </c>
      <c r="K137">
        <f>IF(A137="","",ROUND(1+(LOG10(A137)-LOG10('入力・概要'!$B$38))*('入力・概要'!$B$40-1)/(LOG10('入力・概要'!$B$39)-LOG10('入力・概要'!$B$38)),0)+3)</f>
        <v/>
      </c>
      <c r="L137">
        <f>IF(K137="","",INDEX('同相3導体'!$B:$B,K137))</f>
        <v/>
      </c>
      <c r="M137">
        <f>IF(A137="","",IF(ABS(L137/A137-1)&lt;0.01,"周波数差&lt;1%","周波数差あり"))</f>
        <v/>
      </c>
    </row>
    <row r="138">
      <c r="A138" s="197" t="n"/>
      <c r="B138" s="198" t="n"/>
      <c r="C138" s="198" t="n"/>
      <c r="D138" s="195">
        <f>IF(K138="","",INDEX('同相3導体'!$AB:$AB,K138))</f>
        <v/>
      </c>
      <c r="E138" s="195">
        <f>IF(K138="","",INDEX('同相3導体'!$AC:$AC,K138))</f>
        <v/>
      </c>
      <c r="F138" s="195">
        <f>IF(OR(A138="",B138=""),"",100*(D138-B138)/MAX(B138,1E-12))</f>
        <v/>
      </c>
      <c r="G138" s="195">
        <f>IF(OR(A138="",C138=""),"",E138-C138)</f>
        <v/>
      </c>
      <c r="H138" s="195">
        <f>IF(A138="","",LOG10(A138))</f>
        <v/>
      </c>
      <c r="I138" s="195">
        <f>IF(B138="","",LOG10(MAX(B138,1E-12)))</f>
        <v/>
      </c>
      <c r="J138" s="195">
        <f>IF(D138="","",LOG10(MAX(D138,1E-12)))</f>
        <v/>
      </c>
      <c r="K138">
        <f>IF(A138="","",ROUND(1+(LOG10(A138)-LOG10('入力・概要'!$B$38))*('入力・概要'!$B$40-1)/(LOG10('入力・概要'!$B$39)-LOG10('入力・概要'!$B$38)),0)+3)</f>
        <v/>
      </c>
      <c r="L138">
        <f>IF(K138="","",INDEX('同相3導体'!$B:$B,K138))</f>
        <v/>
      </c>
      <c r="M138">
        <f>IF(A138="","",IF(ABS(L138/A138-1)&lt;0.01,"周波数差&lt;1%","周波数差あり"))</f>
        <v/>
      </c>
    </row>
    <row r="139">
      <c r="A139" s="197" t="n"/>
      <c r="B139" s="198" t="n"/>
      <c r="C139" s="198" t="n"/>
      <c r="D139" s="195">
        <f>IF(K139="","",INDEX('同相3導体'!$AB:$AB,K139))</f>
        <v/>
      </c>
      <c r="E139" s="195">
        <f>IF(K139="","",INDEX('同相3導体'!$AC:$AC,K139))</f>
        <v/>
      </c>
      <c r="F139" s="195">
        <f>IF(OR(A139="",B139=""),"",100*(D139-B139)/MAX(B139,1E-12))</f>
        <v/>
      </c>
      <c r="G139" s="195">
        <f>IF(OR(A139="",C139=""),"",E139-C139)</f>
        <v/>
      </c>
      <c r="H139" s="195">
        <f>IF(A139="","",LOG10(A139))</f>
        <v/>
      </c>
      <c r="I139" s="195">
        <f>IF(B139="","",LOG10(MAX(B139,1E-12)))</f>
        <v/>
      </c>
      <c r="J139" s="195">
        <f>IF(D139="","",LOG10(MAX(D139,1E-12)))</f>
        <v/>
      </c>
      <c r="K139">
        <f>IF(A139="","",ROUND(1+(LOG10(A139)-LOG10('入力・概要'!$B$38))*('入力・概要'!$B$40-1)/(LOG10('入力・概要'!$B$39)-LOG10('入力・概要'!$B$38)),0)+3)</f>
        <v/>
      </c>
      <c r="L139">
        <f>IF(K139="","",INDEX('同相3導体'!$B:$B,K139))</f>
        <v/>
      </c>
      <c r="M139">
        <f>IF(A139="","",IF(ABS(L139/A139-1)&lt;0.01,"周波数差&lt;1%","周波数差あり"))</f>
        <v/>
      </c>
    </row>
    <row r="140">
      <c r="A140" s="197" t="n"/>
      <c r="B140" s="198" t="n"/>
      <c r="C140" s="198" t="n"/>
      <c r="D140" s="195">
        <f>IF(K140="","",INDEX('同相3導体'!$AB:$AB,K140))</f>
        <v/>
      </c>
      <c r="E140" s="195">
        <f>IF(K140="","",INDEX('同相3導体'!$AC:$AC,K140))</f>
        <v/>
      </c>
      <c r="F140" s="195">
        <f>IF(OR(A140="",B140=""),"",100*(D140-B140)/MAX(B140,1E-12))</f>
        <v/>
      </c>
      <c r="G140" s="195">
        <f>IF(OR(A140="",C140=""),"",E140-C140)</f>
        <v/>
      </c>
      <c r="H140" s="195">
        <f>IF(A140="","",LOG10(A140))</f>
        <v/>
      </c>
      <c r="I140" s="195">
        <f>IF(B140="","",LOG10(MAX(B140,1E-12)))</f>
        <v/>
      </c>
      <c r="J140" s="195">
        <f>IF(D140="","",LOG10(MAX(D140,1E-12)))</f>
        <v/>
      </c>
      <c r="K140">
        <f>IF(A140="","",ROUND(1+(LOG10(A140)-LOG10('入力・概要'!$B$38))*('入力・概要'!$B$40-1)/(LOG10('入力・概要'!$B$39)-LOG10('入力・概要'!$B$38)),0)+3)</f>
        <v/>
      </c>
      <c r="L140">
        <f>IF(K140="","",INDEX('同相3導体'!$B:$B,K140))</f>
        <v/>
      </c>
      <c r="M140">
        <f>IF(A140="","",IF(ABS(L140/A140-1)&lt;0.01,"周波数差&lt;1%","周波数差あり"))</f>
        <v/>
      </c>
    </row>
    <row r="141">
      <c r="A141" s="197" t="n"/>
      <c r="B141" s="198" t="n"/>
      <c r="C141" s="198" t="n"/>
      <c r="D141" s="195">
        <f>IF(K141="","",INDEX('同相3導体'!$AB:$AB,K141))</f>
        <v/>
      </c>
      <c r="E141" s="195">
        <f>IF(K141="","",INDEX('同相3導体'!$AC:$AC,K141))</f>
        <v/>
      </c>
      <c r="F141" s="195">
        <f>IF(OR(A141="",B141=""),"",100*(D141-B141)/MAX(B141,1E-12))</f>
        <v/>
      </c>
      <c r="G141" s="195">
        <f>IF(OR(A141="",C141=""),"",E141-C141)</f>
        <v/>
      </c>
      <c r="H141" s="195">
        <f>IF(A141="","",LOG10(A141))</f>
        <v/>
      </c>
      <c r="I141" s="195">
        <f>IF(B141="","",LOG10(MAX(B141,1E-12)))</f>
        <v/>
      </c>
      <c r="J141" s="195">
        <f>IF(D141="","",LOG10(MAX(D141,1E-12)))</f>
        <v/>
      </c>
      <c r="K141">
        <f>IF(A141="","",ROUND(1+(LOG10(A141)-LOG10('入力・概要'!$B$38))*('入力・概要'!$B$40-1)/(LOG10('入力・概要'!$B$39)-LOG10('入力・概要'!$B$38)),0)+3)</f>
        <v/>
      </c>
      <c r="L141">
        <f>IF(K141="","",INDEX('同相3導体'!$B:$B,K141))</f>
        <v/>
      </c>
      <c r="M141">
        <f>IF(A141="","",IF(ABS(L141/A141-1)&lt;0.01,"周波数差&lt;1%","周波数差あり"))</f>
        <v/>
      </c>
    </row>
    <row r="142">
      <c r="A142" s="197" t="n"/>
      <c r="B142" s="198" t="n"/>
      <c r="C142" s="198" t="n"/>
      <c r="D142" s="195">
        <f>IF(K142="","",INDEX('同相3導体'!$AB:$AB,K142))</f>
        <v/>
      </c>
      <c r="E142" s="195">
        <f>IF(K142="","",INDEX('同相3導体'!$AC:$AC,K142))</f>
        <v/>
      </c>
      <c r="F142" s="195">
        <f>IF(OR(A142="",B142=""),"",100*(D142-B142)/MAX(B142,1E-12))</f>
        <v/>
      </c>
      <c r="G142" s="195">
        <f>IF(OR(A142="",C142=""),"",E142-C142)</f>
        <v/>
      </c>
      <c r="H142" s="195">
        <f>IF(A142="","",LOG10(A142))</f>
        <v/>
      </c>
      <c r="I142" s="195">
        <f>IF(B142="","",LOG10(MAX(B142,1E-12)))</f>
        <v/>
      </c>
      <c r="J142" s="195">
        <f>IF(D142="","",LOG10(MAX(D142,1E-12)))</f>
        <v/>
      </c>
      <c r="K142">
        <f>IF(A142="","",ROUND(1+(LOG10(A142)-LOG10('入力・概要'!$B$38))*('入力・概要'!$B$40-1)/(LOG10('入力・概要'!$B$39)-LOG10('入力・概要'!$B$38)),0)+3)</f>
        <v/>
      </c>
      <c r="L142">
        <f>IF(K142="","",INDEX('同相3導体'!$B:$B,K142))</f>
        <v/>
      </c>
      <c r="M142">
        <f>IF(A142="","",IF(ABS(L142/A142-1)&lt;0.01,"周波数差&lt;1%","周波数差あり"))</f>
        <v/>
      </c>
    </row>
    <row r="143">
      <c r="A143" s="197" t="n"/>
      <c r="B143" s="198" t="n"/>
      <c r="C143" s="198" t="n"/>
      <c r="D143" s="195">
        <f>IF(K143="","",INDEX('同相3導体'!$AB:$AB,K143))</f>
        <v/>
      </c>
      <c r="E143" s="195">
        <f>IF(K143="","",INDEX('同相3導体'!$AC:$AC,K143))</f>
        <v/>
      </c>
      <c r="F143" s="195">
        <f>IF(OR(A143="",B143=""),"",100*(D143-B143)/MAX(B143,1E-12))</f>
        <v/>
      </c>
      <c r="G143" s="195">
        <f>IF(OR(A143="",C143=""),"",E143-C143)</f>
        <v/>
      </c>
      <c r="H143" s="195">
        <f>IF(A143="","",LOG10(A143))</f>
        <v/>
      </c>
      <c r="I143" s="195">
        <f>IF(B143="","",LOG10(MAX(B143,1E-12)))</f>
        <v/>
      </c>
      <c r="J143" s="195">
        <f>IF(D143="","",LOG10(MAX(D143,1E-12)))</f>
        <v/>
      </c>
      <c r="K143">
        <f>IF(A143="","",ROUND(1+(LOG10(A143)-LOG10('入力・概要'!$B$38))*('入力・概要'!$B$40-1)/(LOG10('入力・概要'!$B$39)-LOG10('入力・概要'!$B$38)),0)+3)</f>
        <v/>
      </c>
      <c r="L143">
        <f>IF(K143="","",INDEX('同相3導体'!$B:$B,K143))</f>
        <v/>
      </c>
      <c r="M143">
        <f>IF(A143="","",IF(ABS(L143/A143-1)&lt;0.01,"周波数差&lt;1%","周波数差あり"))</f>
        <v/>
      </c>
    </row>
    <row r="144">
      <c r="A144" s="197" t="n"/>
      <c r="B144" s="198" t="n"/>
      <c r="C144" s="198" t="n"/>
      <c r="D144" s="195">
        <f>IF(K144="","",INDEX('同相3導体'!$AB:$AB,K144))</f>
        <v/>
      </c>
      <c r="E144" s="195">
        <f>IF(K144="","",INDEX('同相3導体'!$AC:$AC,K144))</f>
        <v/>
      </c>
      <c r="F144" s="195">
        <f>IF(OR(A144="",B144=""),"",100*(D144-B144)/MAX(B144,1E-12))</f>
        <v/>
      </c>
      <c r="G144" s="195">
        <f>IF(OR(A144="",C144=""),"",E144-C144)</f>
        <v/>
      </c>
      <c r="H144" s="195">
        <f>IF(A144="","",LOG10(A144))</f>
        <v/>
      </c>
      <c r="I144" s="195">
        <f>IF(B144="","",LOG10(MAX(B144,1E-12)))</f>
        <v/>
      </c>
      <c r="J144" s="195">
        <f>IF(D144="","",LOG10(MAX(D144,1E-12)))</f>
        <v/>
      </c>
      <c r="K144">
        <f>IF(A144="","",ROUND(1+(LOG10(A144)-LOG10('入力・概要'!$B$38))*('入力・概要'!$B$40-1)/(LOG10('入力・概要'!$B$39)-LOG10('入力・概要'!$B$38)),0)+3)</f>
        <v/>
      </c>
      <c r="L144">
        <f>IF(K144="","",INDEX('同相3導体'!$B:$B,K144))</f>
        <v/>
      </c>
      <c r="M144">
        <f>IF(A144="","",IF(ABS(L144/A144-1)&lt;0.01,"周波数差&lt;1%","周波数差あり"))</f>
        <v/>
      </c>
    </row>
    <row r="145">
      <c r="A145" s="197" t="n"/>
      <c r="B145" s="198" t="n"/>
      <c r="C145" s="198" t="n"/>
      <c r="D145" s="195">
        <f>IF(K145="","",INDEX('同相3導体'!$AB:$AB,K145))</f>
        <v/>
      </c>
      <c r="E145" s="195">
        <f>IF(K145="","",INDEX('同相3導体'!$AC:$AC,K145))</f>
        <v/>
      </c>
      <c r="F145" s="195">
        <f>IF(OR(A145="",B145=""),"",100*(D145-B145)/MAX(B145,1E-12))</f>
        <v/>
      </c>
      <c r="G145" s="195">
        <f>IF(OR(A145="",C145=""),"",E145-C145)</f>
        <v/>
      </c>
      <c r="H145" s="195">
        <f>IF(A145="","",LOG10(A145))</f>
        <v/>
      </c>
      <c r="I145" s="195">
        <f>IF(B145="","",LOG10(MAX(B145,1E-12)))</f>
        <v/>
      </c>
      <c r="J145" s="195">
        <f>IF(D145="","",LOG10(MAX(D145,1E-12)))</f>
        <v/>
      </c>
      <c r="K145">
        <f>IF(A145="","",ROUND(1+(LOG10(A145)-LOG10('入力・概要'!$B$38))*('入力・概要'!$B$40-1)/(LOG10('入力・概要'!$B$39)-LOG10('入力・概要'!$B$38)),0)+3)</f>
        <v/>
      </c>
      <c r="L145">
        <f>IF(K145="","",INDEX('同相3導体'!$B:$B,K145))</f>
        <v/>
      </c>
      <c r="M145">
        <f>IF(A145="","",IF(ABS(L145/A145-1)&lt;0.01,"周波数差&lt;1%","周波数差あり"))</f>
        <v/>
      </c>
    </row>
    <row r="146">
      <c r="A146" s="197" t="n"/>
      <c r="B146" s="198" t="n"/>
      <c r="C146" s="198" t="n"/>
      <c r="D146" s="195">
        <f>IF(K146="","",INDEX('同相3導体'!$AB:$AB,K146))</f>
        <v/>
      </c>
      <c r="E146" s="195">
        <f>IF(K146="","",INDEX('同相3導体'!$AC:$AC,K146))</f>
        <v/>
      </c>
      <c r="F146" s="195">
        <f>IF(OR(A146="",B146=""),"",100*(D146-B146)/MAX(B146,1E-12))</f>
        <v/>
      </c>
      <c r="G146" s="195">
        <f>IF(OR(A146="",C146=""),"",E146-C146)</f>
        <v/>
      </c>
      <c r="H146" s="195">
        <f>IF(A146="","",LOG10(A146))</f>
        <v/>
      </c>
      <c r="I146" s="195">
        <f>IF(B146="","",LOG10(MAX(B146,1E-12)))</f>
        <v/>
      </c>
      <c r="J146" s="195">
        <f>IF(D146="","",LOG10(MAX(D146,1E-12)))</f>
        <v/>
      </c>
      <c r="K146">
        <f>IF(A146="","",ROUND(1+(LOG10(A146)-LOG10('入力・概要'!$B$38))*('入力・概要'!$B$40-1)/(LOG10('入力・概要'!$B$39)-LOG10('入力・概要'!$B$38)),0)+3)</f>
        <v/>
      </c>
      <c r="L146">
        <f>IF(K146="","",INDEX('同相3導体'!$B:$B,K146))</f>
        <v/>
      </c>
      <c r="M146">
        <f>IF(A146="","",IF(ABS(L146/A146-1)&lt;0.01,"周波数差&lt;1%","周波数差あり"))</f>
        <v/>
      </c>
    </row>
    <row r="147">
      <c r="A147" s="197" t="n"/>
      <c r="B147" s="198" t="n"/>
      <c r="C147" s="198" t="n"/>
      <c r="D147" s="195">
        <f>IF(K147="","",INDEX('同相3導体'!$AB:$AB,K147))</f>
        <v/>
      </c>
      <c r="E147" s="195">
        <f>IF(K147="","",INDEX('同相3導体'!$AC:$AC,K147))</f>
        <v/>
      </c>
      <c r="F147" s="195">
        <f>IF(OR(A147="",B147=""),"",100*(D147-B147)/MAX(B147,1E-12))</f>
        <v/>
      </c>
      <c r="G147" s="195">
        <f>IF(OR(A147="",C147=""),"",E147-C147)</f>
        <v/>
      </c>
      <c r="H147" s="195">
        <f>IF(A147="","",LOG10(A147))</f>
        <v/>
      </c>
      <c r="I147" s="195">
        <f>IF(B147="","",LOG10(MAX(B147,1E-12)))</f>
        <v/>
      </c>
      <c r="J147" s="195">
        <f>IF(D147="","",LOG10(MAX(D147,1E-12)))</f>
        <v/>
      </c>
      <c r="K147">
        <f>IF(A147="","",ROUND(1+(LOG10(A147)-LOG10('入力・概要'!$B$38))*('入力・概要'!$B$40-1)/(LOG10('入力・概要'!$B$39)-LOG10('入力・概要'!$B$38)),0)+3)</f>
        <v/>
      </c>
      <c r="L147">
        <f>IF(K147="","",INDEX('同相3導体'!$B:$B,K147))</f>
        <v/>
      </c>
      <c r="M147">
        <f>IF(A147="","",IF(ABS(L147/A147-1)&lt;0.01,"周波数差&lt;1%","周波数差あり"))</f>
        <v/>
      </c>
    </row>
    <row r="148">
      <c r="A148" s="197" t="n"/>
      <c r="B148" s="198" t="n"/>
      <c r="C148" s="198" t="n"/>
      <c r="D148" s="195">
        <f>IF(K148="","",INDEX('同相3導体'!$AB:$AB,K148))</f>
        <v/>
      </c>
      <c r="E148" s="195">
        <f>IF(K148="","",INDEX('同相3導体'!$AC:$AC,K148))</f>
        <v/>
      </c>
      <c r="F148" s="195">
        <f>IF(OR(A148="",B148=""),"",100*(D148-B148)/MAX(B148,1E-12))</f>
        <v/>
      </c>
      <c r="G148" s="195">
        <f>IF(OR(A148="",C148=""),"",E148-C148)</f>
        <v/>
      </c>
      <c r="H148" s="195">
        <f>IF(A148="","",LOG10(A148))</f>
        <v/>
      </c>
      <c r="I148" s="195">
        <f>IF(B148="","",LOG10(MAX(B148,1E-12)))</f>
        <v/>
      </c>
      <c r="J148" s="195">
        <f>IF(D148="","",LOG10(MAX(D148,1E-12)))</f>
        <v/>
      </c>
      <c r="K148">
        <f>IF(A148="","",ROUND(1+(LOG10(A148)-LOG10('入力・概要'!$B$38))*('入力・概要'!$B$40-1)/(LOG10('入力・概要'!$B$39)-LOG10('入力・概要'!$B$38)),0)+3)</f>
        <v/>
      </c>
      <c r="L148">
        <f>IF(K148="","",INDEX('同相3導体'!$B:$B,K148))</f>
        <v/>
      </c>
      <c r="M148">
        <f>IF(A148="","",IF(ABS(L148/A148-1)&lt;0.01,"周波数差&lt;1%","周波数差あり"))</f>
        <v/>
      </c>
    </row>
    <row r="149">
      <c r="A149" s="197" t="n"/>
      <c r="B149" s="198" t="n"/>
      <c r="C149" s="198" t="n"/>
      <c r="D149" s="195">
        <f>IF(K149="","",INDEX('同相3導体'!$AB:$AB,K149))</f>
        <v/>
      </c>
      <c r="E149" s="195">
        <f>IF(K149="","",INDEX('同相3導体'!$AC:$AC,K149))</f>
        <v/>
      </c>
      <c r="F149" s="195">
        <f>IF(OR(A149="",B149=""),"",100*(D149-B149)/MAX(B149,1E-12))</f>
        <v/>
      </c>
      <c r="G149" s="195">
        <f>IF(OR(A149="",C149=""),"",E149-C149)</f>
        <v/>
      </c>
      <c r="H149" s="195">
        <f>IF(A149="","",LOG10(A149))</f>
        <v/>
      </c>
      <c r="I149" s="195">
        <f>IF(B149="","",LOG10(MAX(B149,1E-12)))</f>
        <v/>
      </c>
      <c r="J149" s="195">
        <f>IF(D149="","",LOG10(MAX(D149,1E-12)))</f>
        <v/>
      </c>
      <c r="K149">
        <f>IF(A149="","",ROUND(1+(LOG10(A149)-LOG10('入力・概要'!$B$38))*('入力・概要'!$B$40-1)/(LOG10('入力・概要'!$B$39)-LOG10('入力・概要'!$B$38)),0)+3)</f>
        <v/>
      </c>
      <c r="L149">
        <f>IF(K149="","",INDEX('同相3導体'!$B:$B,K149))</f>
        <v/>
      </c>
      <c r="M149">
        <f>IF(A149="","",IF(ABS(L149/A149-1)&lt;0.01,"周波数差&lt;1%","周波数差あり"))</f>
        <v/>
      </c>
    </row>
    <row r="150">
      <c r="A150" s="197" t="n"/>
      <c r="B150" s="198" t="n"/>
      <c r="C150" s="198" t="n"/>
      <c r="D150" s="195">
        <f>IF(K150="","",INDEX('同相3導体'!$AB:$AB,K150))</f>
        <v/>
      </c>
      <c r="E150" s="195">
        <f>IF(K150="","",INDEX('同相3導体'!$AC:$AC,K150))</f>
        <v/>
      </c>
      <c r="F150" s="195">
        <f>IF(OR(A150="",B150=""),"",100*(D150-B150)/MAX(B150,1E-12))</f>
        <v/>
      </c>
      <c r="G150" s="195">
        <f>IF(OR(A150="",C150=""),"",E150-C150)</f>
        <v/>
      </c>
      <c r="H150" s="195">
        <f>IF(A150="","",LOG10(A150))</f>
        <v/>
      </c>
      <c r="I150" s="195">
        <f>IF(B150="","",LOG10(MAX(B150,1E-12)))</f>
        <v/>
      </c>
      <c r="J150" s="195">
        <f>IF(D150="","",LOG10(MAX(D150,1E-12)))</f>
        <v/>
      </c>
      <c r="K150">
        <f>IF(A150="","",ROUND(1+(LOG10(A150)-LOG10('入力・概要'!$B$38))*('入力・概要'!$B$40-1)/(LOG10('入力・概要'!$B$39)-LOG10('入力・概要'!$B$38)),0)+3)</f>
        <v/>
      </c>
      <c r="L150">
        <f>IF(K150="","",INDEX('同相3導体'!$B:$B,K150))</f>
        <v/>
      </c>
      <c r="M150">
        <f>IF(A150="","",IF(ABS(L150/A150-1)&lt;0.01,"周波数差&lt;1%","周波数差あり"))</f>
        <v/>
      </c>
    </row>
    <row r="151">
      <c r="A151" s="197" t="n"/>
      <c r="B151" s="198" t="n"/>
      <c r="C151" s="198" t="n"/>
      <c r="D151" s="195">
        <f>IF(K151="","",INDEX('同相3導体'!$AB:$AB,K151))</f>
        <v/>
      </c>
      <c r="E151" s="195">
        <f>IF(K151="","",INDEX('同相3導体'!$AC:$AC,K151))</f>
        <v/>
      </c>
      <c r="F151" s="195">
        <f>IF(OR(A151="",B151=""),"",100*(D151-B151)/MAX(B151,1E-12))</f>
        <v/>
      </c>
      <c r="G151" s="195">
        <f>IF(OR(A151="",C151=""),"",E151-C151)</f>
        <v/>
      </c>
      <c r="H151" s="195">
        <f>IF(A151="","",LOG10(A151))</f>
        <v/>
      </c>
      <c r="I151" s="195">
        <f>IF(B151="","",LOG10(MAX(B151,1E-12)))</f>
        <v/>
      </c>
      <c r="J151" s="195">
        <f>IF(D151="","",LOG10(MAX(D151,1E-12)))</f>
        <v/>
      </c>
      <c r="K151">
        <f>IF(A151="","",ROUND(1+(LOG10(A151)-LOG10('入力・概要'!$B$38))*('入力・概要'!$B$40-1)/(LOG10('入力・概要'!$B$39)-LOG10('入力・概要'!$B$38)),0)+3)</f>
        <v/>
      </c>
      <c r="L151">
        <f>IF(K151="","",INDEX('同相3導体'!$B:$B,K151))</f>
        <v/>
      </c>
      <c r="M151">
        <f>IF(A151="","",IF(ABS(L151/A151-1)&lt;0.01,"周波数差&lt;1%","周波数差あり"))</f>
        <v/>
      </c>
    </row>
    <row r="152">
      <c r="A152" s="197" t="n"/>
      <c r="B152" s="198" t="n"/>
      <c r="C152" s="198" t="n"/>
      <c r="D152" s="195">
        <f>IF(K152="","",INDEX('同相3導体'!$AB:$AB,K152))</f>
        <v/>
      </c>
      <c r="E152" s="195">
        <f>IF(K152="","",INDEX('同相3導体'!$AC:$AC,K152))</f>
        <v/>
      </c>
      <c r="F152" s="195">
        <f>IF(OR(A152="",B152=""),"",100*(D152-B152)/MAX(B152,1E-12))</f>
        <v/>
      </c>
      <c r="G152" s="195">
        <f>IF(OR(A152="",C152=""),"",E152-C152)</f>
        <v/>
      </c>
      <c r="H152" s="195">
        <f>IF(A152="","",LOG10(A152))</f>
        <v/>
      </c>
      <c r="I152" s="195">
        <f>IF(B152="","",LOG10(MAX(B152,1E-12)))</f>
        <v/>
      </c>
      <c r="J152" s="195">
        <f>IF(D152="","",LOG10(MAX(D152,1E-12)))</f>
        <v/>
      </c>
      <c r="K152">
        <f>IF(A152="","",ROUND(1+(LOG10(A152)-LOG10('入力・概要'!$B$38))*('入力・概要'!$B$40-1)/(LOG10('入力・概要'!$B$39)-LOG10('入力・概要'!$B$38)),0)+3)</f>
        <v/>
      </c>
      <c r="L152">
        <f>IF(K152="","",INDEX('同相3導体'!$B:$B,K152))</f>
        <v/>
      </c>
      <c r="M152">
        <f>IF(A152="","",IF(ABS(L152/A152-1)&lt;0.01,"周波数差&lt;1%","周波数差あり"))</f>
        <v/>
      </c>
    </row>
    <row r="153">
      <c r="A153" s="197" t="n"/>
      <c r="B153" s="198" t="n"/>
      <c r="C153" s="198" t="n"/>
      <c r="D153" s="195">
        <f>IF(K153="","",INDEX('同相3導体'!$AB:$AB,K153))</f>
        <v/>
      </c>
      <c r="E153" s="195">
        <f>IF(K153="","",INDEX('同相3導体'!$AC:$AC,K153))</f>
        <v/>
      </c>
      <c r="F153" s="195">
        <f>IF(OR(A153="",B153=""),"",100*(D153-B153)/MAX(B153,1E-12))</f>
        <v/>
      </c>
      <c r="G153" s="195">
        <f>IF(OR(A153="",C153=""),"",E153-C153)</f>
        <v/>
      </c>
      <c r="H153" s="195">
        <f>IF(A153="","",LOG10(A153))</f>
        <v/>
      </c>
      <c r="I153" s="195">
        <f>IF(B153="","",LOG10(MAX(B153,1E-12)))</f>
        <v/>
      </c>
      <c r="J153" s="195">
        <f>IF(D153="","",LOG10(MAX(D153,1E-12)))</f>
        <v/>
      </c>
      <c r="K153">
        <f>IF(A153="","",ROUND(1+(LOG10(A153)-LOG10('入力・概要'!$B$38))*('入力・概要'!$B$40-1)/(LOG10('入力・概要'!$B$39)-LOG10('入力・概要'!$B$38)),0)+3)</f>
        <v/>
      </c>
      <c r="L153">
        <f>IF(K153="","",INDEX('同相3導体'!$B:$B,K153))</f>
        <v/>
      </c>
      <c r="M153">
        <f>IF(A153="","",IF(ABS(L153/A153-1)&lt;0.01,"周波数差&lt;1%","周波数差あり"))</f>
        <v/>
      </c>
    </row>
    <row r="154">
      <c r="A154" s="197" t="n"/>
      <c r="B154" s="198" t="n"/>
      <c r="C154" s="198" t="n"/>
      <c r="D154" s="195">
        <f>IF(K154="","",INDEX('同相3導体'!$AB:$AB,K154))</f>
        <v/>
      </c>
      <c r="E154" s="195">
        <f>IF(K154="","",INDEX('同相3導体'!$AC:$AC,K154))</f>
        <v/>
      </c>
      <c r="F154" s="195">
        <f>IF(OR(A154="",B154=""),"",100*(D154-B154)/MAX(B154,1E-12))</f>
        <v/>
      </c>
      <c r="G154" s="195">
        <f>IF(OR(A154="",C154=""),"",E154-C154)</f>
        <v/>
      </c>
      <c r="H154" s="195">
        <f>IF(A154="","",LOG10(A154))</f>
        <v/>
      </c>
      <c r="I154" s="195">
        <f>IF(B154="","",LOG10(MAX(B154,1E-12)))</f>
        <v/>
      </c>
      <c r="J154" s="195">
        <f>IF(D154="","",LOG10(MAX(D154,1E-12)))</f>
        <v/>
      </c>
      <c r="K154">
        <f>IF(A154="","",ROUND(1+(LOG10(A154)-LOG10('入力・概要'!$B$38))*('入力・概要'!$B$40-1)/(LOG10('入力・概要'!$B$39)-LOG10('入力・概要'!$B$38)),0)+3)</f>
        <v/>
      </c>
      <c r="L154">
        <f>IF(K154="","",INDEX('同相3導体'!$B:$B,K154))</f>
        <v/>
      </c>
      <c r="M154">
        <f>IF(A154="","",IF(ABS(L154/A154-1)&lt;0.01,"周波数差&lt;1%","周波数差あり"))</f>
        <v/>
      </c>
    </row>
    <row r="155">
      <c r="A155" s="197" t="n"/>
      <c r="B155" s="198" t="n"/>
      <c r="C155" s="198" t="n"/>
      <c r="D155" s="195">
        <f>IF(K155="","",INDEX('同相3導体'!$AB:$AB,K155))</f>
        <v/>
      </c>
      <c r="E155" s="195">
        <f>IF(K155="","",INDEX('同相3導体'!$AC:$AC,K155))</f>
        <v/>
      </c>
      <c r="F155" s="195">
        <f>IF(OR(A155="",B155=""),"",100*(D155-B155)/MAX(B155,1E-12))</f>
        <v/>
      </c>
      <c r="G155" s="195">
        <f>IF(OR(A155="",C155=""),"",E155-C155)</f>
        <v/>
      </c>
      <c r="H155" s="195">
        <f>IF(A155="","",LOG10(A155))</f>
        <v/>
      </c>
      <c r="I155" s="195">
        <f>IF(B155="","",LOG10(MAX(B155,1E-12)))</f>
        <v/>
      </c>
      <c r="J155" s="195">
        <f>IF(D155="","",LOG10(MAX(D155,1E-12)))</f>
        <v/>
      </c>
      <c r="K155">
        <f>IF(A155="","",ROUND(1+(LOG10(A155)-LOG10('入力・概要'!$B$38))*('入力・概要'!$B$40-1)/(LOG10('入力・概要'!$B$39)-LOG10('入力・概要'!$B$38)),0)+3)</f>
        <v/>
      </c>
      <c r="L155">
        <f>IF(K155="","",INDEX('同相3導体'!$B:$B,K155))</f>
        <v/>
      </c>
      <c r="M155">
        <f>IF(A155="","",IF(ABS(L155/A155-1)&lt;0.01,"周波数差&lt;1%","周波数差あり"))</f>
        <v/>
      </c>
    </row>
    <row r="156">
      <c r="A156" s="197" t="n"/>
      <c r="B156" s="198" t="n"/>
      <c r="C156" s="198" t="n"/>
      <c r="D156" s="195">
        <f>IF(K156="","",INDEX('同相3導体'!$AB:$AB,K156))</f>
        <v/>
      </c>
      <c r="E156" s="195">
        <f>IF(K156="","",INDEX('同相3導体'!$AC:$AC,K156))</f>
        <v/>
      </c>
      <c r="F156" s="195">
        <f>IF(OR(A156="",B156=""),"",100*(D156-B156)/MAX(B156,1E-12))</f>
        <v/>
      </c>
      <c r="G156" s="195">
        <f>IF(OR(A156="",C156=""),"",E156-C156)</f>
        <v/>
      </c>
      <c r="H156" s="195">
        <f>IF(A156="","",LOG10(A156))</f>
        <v/>
      </c>
      <c r="I156" s="195">
        <f>IF(B156="","",LOG10(MAX(B156,1E-12)))</f>
        <v/>
      </c>
      <c r="J156" s="195">
        <f>IF(D156="","",LOG10(MAX(D156,1E-12)))</f>
        <v/>
      </c>
      <c r="K156">
        <f>IF(A156="","",ROUND(1+(LOG10(A156)-LOG10('入力・概要'!$B$38))*('入力・概要'!$B$40-1)/(LOG10('入力・概要'!$B$39)-LOG10('入力・概要'!$B$38)),0)+3)</f>
        <v/>
      </c>
      <c r="L156">
        <f>IF(K156="","",INDEX('同相3導体'!$B:$B,K156))</f>
        <v/>
      </c>
      <c r="M156">
        <f>IF(A156="","",IF(ABS(L156/A156-1)&lt;0.01,"周波数差&lt;1%","周波数差あり"))</f>
        <v/>
      </c>
    </row>
    <row r="157">
      <c r="A157" s="197" t="n"/>
      <c r="B157" s="198" t="n"/>
      <c r="C157" s="198" t="n"/>
      <c r="D157" s="195">
        <f>IF(K157="","",INDEX('同相3導体'!$AB:$AB,K157))</f>
        <v/>
      </c>
      <c r="E157" s="195">
        <f>IF(K157="","",INDEX('同相3導体'!$AC:$AC,K157))</f>
        <v/>
      </c>
      <c r="F157" s="195">
        <f>IF(OR(A157="",B157=""),"",100*(D157-B157)/MAX(B157,1E-12))</f>
        <v/>
      </c>
      <c r="G157" s="195">
        <f>IF(OR(A157="",C157=""),"",E157-C157)</f>
        <v/>
      </c>
      <c r="H157" s="195">
        <f>IF(A157="","",LOG10(A157))</f>
        <v/>
      </c>
      <c r="I157" s="195">
        <f>IF(B157="","",LOG10(MAX(B157,1E-12)))</f>
        <v/>
      </c>
      <c r="J157" s="195">
        <f>IF(D157="","",LOG10(MAX(D157,1E-12)))</f>
        <v/>
      </c>
      <c r="K157">
        <f>IF(A157="","",ROUND(1+(LOG10(A157)-LOG10('入力・概要'!$B$38))*('入力・概要'!$B$40-1)/(LOG10('入力・概要'!$B$39)-LOG10('入力・概要'!$B$38)),0)+3)</f>
        <v/>
      </c>
      <c r="L157">
        <f>IF(K157="","",INDEX('同相3導体'!$B:$B,K157))</f>
        <v/>
      </c>
      <c r="M157">
        <f>IF(A157="","",IF(ABS(L157/A157-1)&lt;0.01,"周波数差&lt;1%","周波数差あり"))</f>
        <v/>
      </c>
    </row>
    <row r="158">
      <c r="A158" s="197" t="n"/>
      <c r="B158" s="198" t="n"/>
      <c r="C158" s="198" t="n"/>
      <c r="D158" s="195">
        <f>IF(K158="","",INDEX('同相3導体'!$AB:$AB,K158))</f>
        <v/>
      </c>
      <c r="E158" s="195">
        <f>IF(K158="","",INDEX('同相3導体'!$AC:$AC,K158))</f>
        <v/>
      </c>
      <c r="F158" s="195">
        <f>IF(OR(A158="",B158=""),"",100*(D158-B158)/MAX(B158,1E-12))</f>
        <v/>
      </c>
      <c r="G158" s="195">
        <f>IF(OR(A158="",C158=""),"",E158-C158)</f>
        <v/>
      </c>
      <c r="H158" s="195">
        <f>IF(A158="","",LOG10(A158))</f>
        <v/>
      </c>
      <c r="I158" s="195">
        <f>IF(B158="","",LOG10(MAX(B158,1E-12)))</f>
        <v/>
      </c>
      <c r="J158" s="195">
        <f>IF(D158="","",LOG10(MAX(D158,1E-12)))</f>
        <v/>
      </c>
      <c r="K158">
        <f>IF(A158="","",ROUND(1+(LOG10(A158)-LOG10('入力・概要'!$B$38))*('入力・概要'!$B$40-1)/(LOG10('入力・概要'!$B$39)-LOG10('入力・概要'!$B$38)),0)+3)</f>
        <v/>
      </c>
      <c r="L158">
        <f>IF(K158="","",INDEX('同相3導体'!$B:$B,K158))</f>
        <v/>
      </c>
      <c r="M158">
        <f>IF(A158="","",IF(ABS(L158/A158-1)&lt;0.01,"周波数差&lt;1%","周波数差あり"))</f>
        <v/>
      </c>
    </row>
    <row r="159">
      <c r="A159" s="197" t="n"/>
      <c r="B159" s="198" t="n"/>
      <c r="C159" s="198" t="n"/>
      <c r="D159" s="195">
        <f>IF(K159="","",INDEX('同相3導体'!$AB:$AB,K159))</f>
        <v/>
      </c>
      <c r="E159" s="195">
        <f>IF(K159="","",INDEX('同相3導体'!$AC:$AC,K159))</f>
        <v/>
      </c>
      <c r="F159" s="195">
        <f>IF(OR(A159="",B159=""),"",100*(D159-B159)/MAX(B159,1E-12))</f>
        <v/>
      </c>
      <c r="G159" s="195">
        <f>IF(OR(A159="",C159=""),"",E159-C159)</f>
        <v/>
      </c>
      <c r="H159" s="195">
        <f>IF(A159="","",LOG10(A159))</f>
        <v/>
      </c>
      <c r="I159" s="195">
        <f>IF(B159="","",LOG10(MAX(B159,1E-12)))</f>
        <v/>
      </c>
      <c r="J159" s="195">
        <f>IF(D159="","",LOG10(MAX(D159,1E-12)))</f>
        <v/>
      </c>
      <c r="K159">
        <f>IF(A159="","",ROUND(1+(LOG10(A159)-LOG10('入力・概要'!$B$38))*('入力・概要'!$B$40-1)/(LOG10('入力・概要'!$B$39)-LOG10('入力・概要'!$B$38)),0)+3)</f>
        <v/>
      </c>
      <c r="L159">
        <f>IF(K159="","",INDEX('同相3導体'!$B:$B,K159))</f>
        <v/>
      </c>
      <c r="M159">
        <f>IF(A159="","",IF(ABS(L159/A159-1)&lt;0.01,"周波数差&lt;1%","周波数差あり"))</f>
        <v/>
      </c>
    </row>
    <row r="160">
      <c r="A160" s="197" t="n"/>
      <c r="B160" s="198" t="n"/>
      <c r="C160" s="198" t="n"/>
      <c r="D160" s="195">
        <f>IF(K160="","",INDEX('同相3導体'!$AB:$AB,K160))</f>
        <v/>
      </c>
      <c r="E160" s="195">
        <f>IF(K160="","",INDEX('同相3導体'!$AC:$AC,K160))</f>
        <v/>
      </c>
      <c r="F160" s="195">
        <f>IF(OR(A160="",B160=""),"",100*(D160-B160)/MAX(B160,1E-12))</f>
        <v/>
      </c>
      <c r="G160" s="195">
        <f>IF(OR(A160="",C160=""),"",E160-C160)</f>
        <v/>
      </c>
      <c r="H160" s="195">
        <f>IF(A160="","",LOG10(A160))</f>
        <v/>
      </c>
      <c r="I160" s="195">
        <f>IF(B160="","",LOG10(MAX(B160,1E-12)))</f>
        <v/>
      </c>
      <c r="J160" s="195">
        <f>IF(D160="","",LOG10(MAX(D160,1E-12)))</f>
        <v/>
      </c>
      <c r="K160">
        <f>IF(A160="","",ROUND(1+(LOG10(A160)-LOG10('入力・概要'!$B$38))*('入力・概要'!$B$40-1)/(LOG10('入力・概要'!$B$39)-LOG10('入力・概要'!$B$38)),0)+3)</f>
        <v/>
      </c>
      <c r="L160">
        <f>IF(K160="","",INDEX('同相3導体'!$B:$B,K160))</f>
        <v/>
      </c>
      <c r="M160">
        <f>IF(A160="","",IF(ABS(L160/A160-1)&lt;0.01,"周波数差&lt;1%","周波数差あり"))</f>
        <v/>
      </c>
    </row>
    <row r="161">
      <c r="A161" s="197" t="n"/>
      <c r="B161" s="198" t="n"/>
      <c r="C161" s="198" t="n"/>
      <c r="D161" s="195">
        <f>IF(K161="","",INDEX('同相3導体'!$AB:$AB,K161))</f>
        <v/>
      </c>
      <c r="E161" s="195">
        <f>IF(K161="","",INDEX('同相3導体'!$AC:$AC,K161))</f>
        <v/>
      </c>
      <c r="F161" s="195">
        <f>IF(OR(A161="",B161=""),"",100*(D161-B161)/MAX(B161,1E-12))</f>
        <v/>
      </c>
      <c r="G161" s="195">
        <f>IF(OR(A161="",C161=""),"",E161-C161)</f>
        <v/>
      </c>
      <c r="H161" s="195">
        <f>IF(A161="","",LOG10(A161))</f>
        <v/>
      </c>
      <c r="I161" s="195">
        <f>IF(B161="","",LOG10(MAX(B161,1E-12)))</f>
        <v/>
      </c>
      <c r="J161" s="195">
        <f>IF(D161="","",LOG10(MAX(D161,1E-12)))</f>
        <v/>
      </c>
      <c r="K161">
        <f>IF(A161="","",ROUND(1+(LOG10(A161)-LOG10('入力・概要'!$B$38))*('入力・概要'!$B$40-1)/(LOG10('入力・概要'!$B$39)-LOG10('入力・概要'!$B$38)),0)+3)</f>
        <v/>
      </c>
      <c r="L161">
        <f>IF(K161="","",INDEX('同相3導体'!$B:$B,K161))</f>
        <v/>
      </c>
      <c r="M161">
        <f>IF(A161="","",IF(ABS(L161/A161-1)&lt;0.01,"周波数差&lt;1%","周波数差あり"))</f>
        <v/>
      </c>
    </row>
    <row r="162">
      <c r="A162" s="197" t="n"/>
      <c r="B162" s="198" t="n"/>
      <c r="C162" s="198" t="n"/>
      <c r="D162" s="195">
        <f>IF(K162="","",INDEX('同相3導体'!$AB:$AB,K162))</f>
        <v/>
      </c>
      <c r="E162" s="195">
        <f>IF(K162="","",INDEX('同相3導体'!$AC:$AC,K162))</f>
        <v/>
      </c>
      <c r="F162" s="195">
        <f>IF(OR(A162="",B162=""),"",100*(D162-B162)/MAX(B162,1E-12))</f>
        <v/>
      </c>
      <c r="G162" s="195">
        <f>IF(OR(A162="",C162=""),"",E162-C162)</f>
        <v/>
      </c>
      <c r="H162" s="195">
        <f>IF(A162="","",LOG10(A162))</f>
        <v/>
      </c>
      <c r="I162" s="195">
        <f>IF(B162="","",LOG10(MAX(B162,1E-12)))</f>
        <v/>
      </c>
      <c r="J162" s="195">
        <f>IF(D162="","",LOG10(MAX(D162,1E-12)))</f>
        <v/>
      </c>
      <c r="K162">
        <f>IF(A162="","",ROUND(1+(LOG10(A162)-LOG10('入力・概要'!$B$38))*('入力・概要'!$B$40-1)/(LOG10('入力・概要'!$B$39)-LOG10('入力・概要'!$B$38)),0)+3)</f>
        <v/>
      </c>
      <c r="L162">
        <f>IF(K162="","",INDEX('同相3導体'!$B:$B,K162))</f>
        <v/>
      </c>
      <c r="M162">
        <f>IF(A162="","",IF(ABS(L162/A162-1)&lt;0.01,"周波数差&lt;1%","周波数差あり"))</f>
        <v/>
      </c>
    </row>
    <row r="163">
      <c r="A163" s="197" t="n"/>
      <c r="B163" s="198" t="n"/>
      <c r="C163" s="198" t="n"/>
      <c r="D163" s="195">
        <f>IF(K163="","",INDEX('同相3導体'!$AB:$AB,K163))</f>
        <v/>
      </c>
      <c r="E163" s="195">
        <f>IF(K163="","",INDEX('同相3導体'!$AC:$AC,K163))</f>
        <v/>
      </c>
      <c r="F163" s="195">
        <f>IF(OR(A163="",B163=""),"",100*(D163-B163)/MAX(B163,1E-12))</f>
        <v/>
      </c>
      <c r="G163" s="195">
        <f>IF(OR(A163="",C163=""),"",E163-C163)</f>
        <v/>
      </c>
      <c r="H163" s="195">
        <f>IF(A163="","",LOG10(A163))</f>
        <v/>
      </c>
      <c r="I163" s="195">
        <f>IF(B163="","",LOG10(MAX(B163,1E-12)))</f>
        <v/>
      </c>
      <c r="J163" s="195">
        <f>IF(D163="","",LOG10(MAX(D163,1E-12)))</f>
        <v/>
      </c>
      <c r="K163">
        <f>IF(A163="","",ROUND(1+(LOG10(A163)-LOG10('入力・概要'!$B$38))*('入力・概要'!$B$40-1)/(LOG10('入力・概要'!$B$39)-LOG10('入力・概要'!$B$38)),0)+3)</f>
        <v/>
      </c>
      <c r="L163">
        <f>IF(K163="","",INDEX('同相3導体'!$B:$B,K163))</f>
        <v/>
      </c>
      <c r="M163">
        <f>IF(A163="","",IF(ABS(L163/A163-1)&lt;0.01,"周波数差&lt;1%","周波数差あり"))</f>
        <v/>
      </c>
    </row>
    <row r="164">
      <c r="A164" s="197" t="n"/>
      <c r="B164" s="198" t="n"/>
      <c r="C164" s="198" t="n"/>
      <c r="D164" s="195">
        <f>IF(K164="","",INDEX('同相3導体'!$AB:$AB,K164))</f>
        <v/>
      </c>
      <c r="E164" s="195">
        <f>IF(K164="","",INDEX('同相3導体'!$AC:$AC,K164))</f>
        <v/>
      </c>
      <c r="F164" s="195">
        <f>IF(OR(A164="",B164=""),"",100*(D164-B164)/MAX(B164,1E-12))</f>
        <v/>
      </c>
      <c r="G164" s="195">
        <f>IF(OR(A164="",C164=""),"",E164-C164)</f>
        <v/>
      </c>
      <c r="H164" s="195">
        <f>IF(A164="","",LOG10(A164))</f>
        <v/>
      </c>
      <c r="I164" s="195">
        <f>IF(B164="","",LOG10(MAX(B164,1E-12)))</f>
        <v/>
      </c>
      <c r="J164" s="195">
        <f>IF(D164="","",LOG10(MAX(D164,1E-12)))</f>
        <v/>
      </c>
      <c r="K164">
        <f>IF(A164="","",ROUND(1+(LOG10(A164)-LOG10('入力・概要'!$B$38))*('入力・概要'!$B$40-1)/(LOG10('入力・概要'!$B$39)-LOG10('入力・概要'!$B$38)),0)+3)</f>
        <v/>
      </c>
      <c r="L164">
        <f>IF(K164="","",INDEX('同相3導体'!$B:$B,K164))</f>
        <v/>
      </c>
      <c r="M164">
        <f>IF(A164="","",IF(ABS(L164/A164-1)&lt;0.01,"周波数差&lt;1%","周波数差あり"))</f>
        <v/>
      </c>
    </row>
    <row r="165">
      <c r="A165" s="197" t="n"/>
      <c r="B165" s="198" t="n"/>
      <c r="C165" s="198" t="n"/>
      <c r="D165" s="195">
        <f>IF(K165="","",INDEX('同相3導体'!$AB:$AB,K165))</f>
        <v/>
      </c>
      <c r="E165" s="195">
        <f>IF(K165="","",INDEX('同相3導体'!$AC:$AC,K165))</f>
        <v/>
      </c>
      <c r="F165" s="195">
        <f>IF(OR(A165="",B165=""),"",100*(D165-B165)/MAX(B165,1E-12))</f>
        <v/>
      </c>
      <c r="G165" s="195">
        <f>IF(OR(A165="",C165=""),"",E165-C165)</f>
        <v/>
      </c>
      <c r="H165" s="195">
        <f>IF(A165="","",LOG10(A165))</f>
        <v/>
      </c>
      <c r="I165" s="195">
        <f>IF(B165="","",LOG10(MAX(B165,1E-12)))</f>
        <v/>
      </c>
      <c r="J165" s="195">
        <f>IF(D165="","",LOG10(MAX(D165,1E-12)))</f>
        <v/>
      </c>
      <c r="K165">
        <f>IF(A165="","",ROUND(1+(LOG10(A165)-LOG10('入力・概要'!$B$38))*('入力・概要'!$B$40-1)/(LOG10('入力・概要'!$B$39)-LOG10('入力・概要'!$B$38)),0)+3)</f>
        <v/>
      </c>
      <c r="L165">
        <f>IF(K165="","",INDEX('同相3導体'!$B:$B,K165))</f>
        <v/>
      </c>
      <c r="M165">
        <f>IF(A165="","",IF(ABS(L165/A165-1)&lt;0.01,"周波数差&lt;1%","周波数差あり"))</f>
        <v/>
      </c>
    </row>
    <row r="166">
      <c r="A166" s="197" t="n"/>
      <c r="B166" s="198" t="n"/>
      <c r="C166" s="198" t="n"/>
      <c r="D166" s="195">
        <f>IF(K166="","",INDEX('同相3導体'!$AB:$AB,K166))</f>
        <v/>
      </c>
      <c r="E166" s="195">
        <f>IF(K166="","",INDEX('同相3導体'!$AC:$AC,K166))</f>
        <v/>
      </c>
      <c r="F166" s="195">
        <f>IF(OR(A166="",B166=""),"",100*(D166-B166)/MAX(B166,1E-12))</f>
        <v/>
      </c>
      <c r="G166" s="195">
        <f>IF(OR(A166="",C166=""),"",E166-C166)</f>
        <v/>
      </c>
      <c r="H166" s="195">
        <f>IF(A166="","",LOG10(A166))</f>
        <v/>
      </c>
      <c r="I166" s="195">
        <f>IF(B166="","",LOG10(MAX(B166,1E-12)))</f>
        <v/>
      </c>
      <c r="J166" s="195">
        <f>IF(D166="","",LOG10(MAX(D166,1E-12)))</f>
        <v/>
      </c>
      <c r="K166">
        <f>IF(A166="","",ROUND(1+(LOG10(A166)-LOG10('入力・概要'!$B$38))*('入力・概要'!$B$40-1)/(LOG10('入力・概要'!$B$39)-LOG10('入力・概要'!$B$38)),0)+3)</f>
        <v/>
      </c>
      <c r="L166">
        <f>IF(K166="","",INDEX('同相3導体'!$B:$B,K166))</f>
        <v/>
      </c>
      <c r="M166">
        <f>IF(A166="","",IF(ABS(L166/A166-1)&lt;0.01,"周波数差&lt;1%","周波数差あり"))</f>
        <v/>
      </c>
    </row>
    <row r="167">
      <c r="A167" s="197" t="n"/>
      <c r="B167" s="198" t="n"/>
      <c r="C167" s="198" t="n"/>
      <c r="D167" s="195">
        <f>IF(K167="","",INDEX('同相3導体'!$AB:$AB,K167))</f>
        <v/>
      </c>
      <c r="E167" s="195">
        <f>IF(K167="","",INDEX('同相3導体'!$AC:$AC,K167))</f>
        <v/>
      </c>
      <c r="F167" s="195">
        <f>IF(OR(A167="",B167=""),"",100*(D167-B167)/MAX(B167,1E-12))</f>
        <v/>
      </c>
      <c r="G167" s="195">
        <f>IF(OR(A167="",C167=""),"",E167-C167)</f>
        <v/>
      </c>
      <c r="H167" s="195">
        <f>IF(A167="","",LOG10(A167))</f>
        <v/>
      </c>
      <c r="I167" s="195">
        <f>IF(B167="","",LOG10(MAX(B167,1E-12)))</f>
        <v/>
      </c>
      <c r="J167" s="195">
        <f>IF(D167="","",LOG10(MAX(D167,1E-12)))</f>
        <v/>
      </c>
      <c r="K167">
        <f>IF(A167="","",ROUND(1+(LOG10(A167)-LOG10('入力・概要'!$B$38))*('入力・概要'!$B$40-1)/(LOG10('入力・概要'!$B$39)-LOG10('入力・概要'!$B$38)),0)+3)</f>
        <v/>
      </c>
      <c r="L167">
        <f>IF(K167="","",INDEX('同相3導体'!$B:$B,K167))</f>
        <v/>
      </c>
      <c r="M167">
        <f>IF(A167="","",IF(ABS(L167/A167-1)&lt;0.01,"周波数差&lt;1%","周波数差あり"))</f>
        <v/>
      </c>
    </row>
    <row r="168">
      <c r="A168" s="197" t="n"/>
      <c r="B168" s="198" t="n"/>
      <c r="C168" s="198" t="n"/>
      <c r="D168" s="195">
        <f>IF(K168="","",INDEX('同相3導体'!$AB:$AB,K168))</f>
        <v/>
      </c>
      <c r="E168" s="195">
        <f>IF(K168="","",INDEX('同相3導体'!$AC:$AC,K168))</f>
        <v/>
      </c>
      <c r="F168" s="195">
        <f>IF(OR(A168="",B168=""),"",100*(D168-B168)/MAX(B168,1E-12))</f>
        <v/>
      </c>
      <c r="G168" s="195">
        <f>IF(OR(A168="",C168=""),"",E168-C168)</f>
        <v/>
      </c>
      <c r="H168" s="195">
        <f>IF(A168="","",LOG10(A168))</f>
        <v/>
      </c>
      <c r="I168" s="195">
        <f>IF(B168="","",LOG10(MAX(B168,1E-12)))</f>
        <v/>
      </c>
      <c r="J168" s="195">
        <f>IF(D168="","",LOG10(MAX(D168,1E-12)))</f>
        <v/>
      </c>
      <c r="K168">
        <f>IF(A168="","",ROUND(1+(LOG10(A168)-LOG10('入力・概要'!$B$38))*('入力・概要'!$B$40-1)/(LOG10('入力・概要'!$B$39)-LOG10('入力・概要'!$B$38)),0)+3)</f>
        <v/>
      </c>
      <c r="L168">
        <f>IF(K168="","",INDEX('同相3導体'!$B:$B,K168))</f>
        <v/>
      </c>
      <c r="M168">
        <f>IF(A168="","",IF(ABS(L168/A168-1)&lt;0.01,"周波数差&lt;1%","周波数差あり"))</f>
        <v/>
      </c>
    </row>
    <row r="169">
      <c r="A169" s="197" t="n"/>
      <c r="B169" s="198" t="n"/>
      <c r="C169" s="198" t="n"/>
      <c r="D169" s="195">
        <f>IF(K169="","",INDEX('同相3導体'!$AB:$AB,K169))</f>
        <v/>
      </c>
      <c r="E169" s="195">
        <f>IF(K169="","",INDEX('同相3導体'!$AC:$AC,K169))</f>
        <v/>
      </c>
      <c r="F169" s="195">
        <f>IF(OR(A169="",B169=""),"",100*(D169-B169)/MAX(B169,1E-12))</f>
        <v/>
      </c>
      <c r="G169" s="195">
        <f>IF(OR(A169="",C169=""),"",E169-C169)</f>
        <v/>
      </c>
      <c r="H169" s="195">
        <f>IF(A169="","",LOG10(A169))</f>
        <v/>
      </c>
      <c r="I169" s="195">
        <f>IF(B169="","",LOG10(MAX(B169,1E-12)))</f>
        <v/>
      </c>
      <c r="J169" s="195">
        <f>IF(D169="","",LOG10(MAX(D169,1E-12)))</f>
        <v/>
      </c>
      <c r="K169">
        <f>IF(A169="","",ROUND(1+(LOG10(A169)-LOG10('入力・概要'!$B$38))*('入力・概要'!$B$40-1)/(LOG10('入力・概要'!$B$39)-LOG10('入力・概要'!$B$38)),0)+3)</f>
        <v/>
      </c>
      <c r="L169">
        <f>IF(K169="","",INDEX('同相3導体'!$B:$B,K169))</f>
        <v/>
      </c>
      <c r="M169">
        <f>IF(A169="","",IF(ABS(L169/A169-1)&lt;0.01,"周波数差&lt;1%","周波数差あり"))</f>
        <v/>
      </c>
    </row>
    <row r="170">
      <c r="A170" s="197" t="n"/>
      <c r="B170" s="198" t="n"/>
      <c r="C170" s="198" t="n"/>
      <c r="D170" s="195">
        <f>IF(K170="","",INDEX('同相3導体'!$AB:$AB,K170))</f>
        <v/>
      </c>
      <c r="E170" s="195">
        <f>IF(K170="","",INDEX('同相3導体'!$AC:$AC,K170))</f>
        <v/>
      </c>
      <c r="F170" s="195">
        <f>IF(OR(A170="",B170=""),"",100*(D170-B170)/MAX(B170,1E-12))</f>
        <v/>
      </c>
      <c r="G170" s="195">
        <f>IF(OR(A170="",C170=""),"",E170-C170)</f>
        <v/>
      </c>
      <c r="H170" s="195">
        <f>IF(A170="","",LOG10(A170))</f>
        <v/>
      </c>
      <c r="I170" s="195">
        <f>IF(B170="","",LOG10(MAX(B170,1E-12)))</f>
        <v/>
      </c>
      <c r="J170" s="195">
        <f>IF(D170="","",LOG10(MAX(D170,1E-12)))</f>
        <v/>
      </c>
      <c r="K170">
        <f>IF(A170="","",ROUND(1+(LOG10(A170)-LOG10('入力・概要'!$B$38))*('入力・概要'!$B$40-1)/(LOG10('入力・概要'!$B$39)-LOG10('入力・概要'!$B$38)),0)+3)</f>
        <v/>
      </c>
      <c r="L170">
        <f>IF(K170="","",INDEX('同相3導体'!$B:$B,K170))</f>
        <v/>
      </c>
      <c r="M170">
        <f>IF(A170="","",IF(ABS(L170/A170-1)&lt;0.01,"周波数差&lt;1%","周波数差あり"))</f>
        <v/>
      </c>
    </row>
    <row r="171">
      <c r="A171" s="197" t="n"/>
      <c r="B171" s="198" t="n"/>
      <c r="C171" s="198" t="n"/>
      <c r="D171" s="195">
        <f>IF(K171="","",INDEX('同相3導体'!$AB:$AB,K171))</f>
        <v/>
      </c>
      <c r="E171" s="195">
        <f>IF(K171="","",INDEX('同相3導体'!$AC:$AC,K171))</f>
        <v/>
      </c>
      <c r="F171" s="195">
        <f>IF(OR(A171="",B171=""),"",100*(D171-B171)/MAX(B171,1E-12))</f>
        <v/>
      </c>
      <c r="G171" s="195">
        <f>IF(OR(A171="",C171=""),"",E171-C171)</f>
        <v/>
      </c>
      <c r="H171" s="195">
        <f>IF(A171="","",LOG10(A171))</f>
        <v/>
      </c>
      <c r="I171" s="195">
        <f>IF(B171="","",LOG10(MAX(B171,1E-12)))</f>
        <v/>
      </c>
      <c r="J171" s="195">
        <f>IF(D171="","",LOG10(MAX(D171,1E-12)))</f>
        <v/>
      </c>
      <c r="K171">
        <f>IF(A171="","",ROUND(1+(LOG10(A171)-LOG10('入力・概要'!$B$38))*('入力・概要'!$B$40-1)/(LOG10('入力・概要'!$B$39)-LOG10('入力・概要'!$B$38)),0)+3)</f>
        <v/>
      </c>
      <c r="L171">
        <f>IF(K171="","",INDEX('同相3導体'!$B:$B,K171))</f>
        <v/>
      </c>
      <c r="M171">
        <f>IF(A171="","",IF(ABS(L171/A171-1)&lt;0.01,"周波数差&lt;1%","周波数差あり"))</f>
        <v/>
      </c>
    </row>
    <row r="172">
      <c r="A172" s="197" t="n"/>
      <c r="B172" s="198" t="n"/>
      <c r="C172" s="198" t="n"/>
      <c r="D172" s="195">
        <f>IF(K172="","",INDEX('同相3導体'!$AB:$AB,K172))</f>
        <v/>
      </c>
      <c r="E172" s="195">
        <f>IF(K172="","",INDEX('同相3導体'!$AC:$AC,K172))</f>
        <v/>
      </c>
      <c r="F172" s="195">
        <f>IF(OR(A172="",B172=""),"",100*(D172-B172)/MAX(B172,1E-12))</f>
        <v/>
      </c>
      <c r="G172" s="195">
        <f>IF(OR(A172="",C172=""),"",E172-C172)</f>
        <v/>
      </c>
      <c r="H172" s="195">
        <f>IF(A172="","",LOG10(A172))</f>
        <v/>
      </c>
      <c r="I172" s="195">
        <f>IF(B172="","",LOG10(MAX(B172,1E-12)))</f>
        <v/>
      </c>
      <c r="J172" s="195">
        <f>IF(D172="","",LOG10(MAX(D172,1E-12)))</f>
        <v/>
      </c>
      <c r="K172">
        <f>IF(A172="","",ROUND(1+(LOG10(A172)-LOG10('入力・概要'!$B$38))*('入力・概要'!$B$40-1)/(LOG10('入力・概要'!$B$39)-LOG10('入力・概要'!$B$38)),0)+3)</f>
        <v/>
      </c>
      <c r="L172">
        <f>IF(K172="","",INDEX('同相3導体'!$B:$B,K172))</f>
        <v/>
      </c>
      <c r="M172">
        <f>IF(A172="","",IF(ABS(L172/A172-1)&lt;0.01,"周波数差&lt;1%","周波数差あり"))</f>
        <v/>
      </c>
    </row>
    <row r="173">
      <c r="A173" s="197" t="n"/>
      <c r="B173" s="198" t="n"/>
      <c r="C173" s="198" t="n"/>
      <c r="D173" s="195">
        <f>IF(K173="","",INDEX('同相3導体'!$AB:$AB,K173))</f>
        <v/>
      </c>
      <c r="E173" s="195">
        <f>IF(K173="","",INDEX('同相3導体'!$AC:$AC,K173))</f>
        <v/>
      </c>
      <c r="F173" s="195">
        <f>IF(OR(A173="",B173=""),"",100*(D173-B173)/MAX(B173,1E-12))</f>
        <v/>
      </c>
      <c r="G173" s="195">
        <f>IF(OR(A173="",C173=""),"",E173-C173)</f>
        <v/>
      </c>
      <c r="H173" s="195">
        <f>IF(A173="","",LOG10(A173))</f>
        <v/>
      </c>
      <c r="I173" s="195">
        <f>IF(B173="","",LOG10(MAX(B173,1E-12)))</f>
        <v/>
      </c>
      <c r="J173" s="195">
        <f>IF(D173="","",LOG10(MAX(D173,1E-12)))</f>
        <v/>
      </c>
      <c r="K173">
        <f>IF(A173="","",ROUND(1+(LOG10(A173)-LOG10('入力・概要'!$B$38))*('入力・概要'!$B$40-1)/(LOG10('入力・概要'!$B$39)-LOG10('入力・概要'!$B$38)),0)+3)</f>
        <v/>
      </c>
      <c r="L173">
        <f>IF(K173="","",INDEX('同相3導体'!$B:$B,K173))</f>
        <v/>
      </c>
      <c r="M173">
        <f>IF(A173="","",IF(ABS(L173/A173-1)&lt;0.01,"周波数差&lt;1%","周波数差あり"))</f>
        <v/>
      </c>
    </row>
    <row r="174">
      <c r="A174" s="197" t="n"/>
      <c r="B174" s="198" t="n"/>
      <c r="C174" s="198" t="n"/>
      <c r="D174" s="195">
        <f>IF(K174="","",INDEX('同相3導体'!$AB:$AB,K174))</f>
        <v/>
      </c>
      <c r="E174" s="195">
        <f>IF(K174="","",INDEX('同相3導体'!$AC:$AC,K174))</f>
        <v/>
      </c>
      <c r="F174" s="195">
        <f>IF(OR(A174="",B174=""),"",100*(D174-B174)/MAX(B174,1E-12))</f>
        <v/>
      </c>
      <c r="G174" s="195">
        <f>IF(OR(A174="",C174=""),"",E174-C174)</f>
        <v/>
      </c>
      <c r="H174" s="195">
        <f>IF(A174="","",LOG10(A174))</f>
        <v/>
      </c>
      <c r="I174" s="195">
        <f>IF(B174="","",LOG10(MAX(B174,1E-12)))</f>
        <v/>
      </c>
      <c r="J174" s="195">
        <f>IF(D174="","",LOG10(MAX(D174,1E-12)))</f>
        <v/>
      </c>
      <c r="K174">
        <f>IF(A174="","",ROUND(1+(LOG10(A174)-LOG10('入力・概要'!$B$38))*('入力・概要'!$B$40-1)/(LOG10('入力・概要'!$B$39)-LOG10('入力・概要'!$B$38)),0)+3)</f>
        <v/>
      </c>
      <c r="L174">
        <f>IF(K174="","",INDEX('同相3導体'!$B:$B,K174))</f>
        <v/>
      </c>
      <c r="M174">
        <f>IF(A174="","",IF(ABS(L174/A174-1)&lt;0.01,"周波数差&lt;1%","周波数差あり"))</f>
        <v/>
      </c>
    </row>
    <row r="175">
      <c r="A175" s="197" t="n"/>
      <c r="B175" s="198" t="n"/>
      <c r="C175" s="198" t="n"/>
      <c r="D175" s="195">
        <f>IF(K175="","",INDEX('同相3導体'!$AB:$AB,K175))</f>
        <v/>
      </c>
      <c r="E175" s="195">
        <f>IF(K175="","",INDEX('同相3導体'!$AC:$AC,K175))</f>
        <v/>
      </c>
      <c r="F175" s="195">
        <f>IF(OR(A175="",B175=""),"",100*(D175-B175)/MAX(B175,1E-12))</f>
        <v/>
      </c>
      <c r="G175" s="195">
        <f>IF(OR(A175="",C175=""),"",E175-C175)</f>
        <v/>
      </c>
      <c r="H175" s="195">
        <f>IF(A175="","",LOG10(A175))</f>
        <v/>
      </c>
      <c r="I175" s="195">
        <f>IF(B175="","",LOG10(MAX(B175,1E-12)))</f>
        <v/>
      </c>
      <c r="J175" s="195">
        <f>IF(D175="","",LOG10(MAX(D175,1E-12)))</f>
        <v/>
      </c>
      <c r="K175">
        <f>IF(A175="","",ROUND(1+(LOG10(A175)-LOG10('入力・概要'!$B$38))*('入力・概要'!$B$40-1)/(LOG10('入力・概要'!$B$39)-LOG10('入力・概要'!$B$38)),0)+3)</f>
        <v/>
      </c>
      <c r="L175">
        <f>IF(K175="","",INDEX('同相3導体'!$B:$B,K175))</f>
        <v/>
      </c>
      <c r="M175">
        <f>IF(A175="","",IF(ABS(L175/A175-1)&lt;0.01,"周波数差&lt;1%","周波数差あり"))</f>
        <v/>
      </c>
    </row>
    <row r="176">
      <c r="A176" s="197" t="n"/>
      <c r="B176" s="198" t="n"/>
      <c r="C176" s="198" t="n"/>
      <c r="D176" s="195">
        <f>IF(K176="","",INDEX('同相3導体'!$AB:$AB,K176))</f>
        <v/>
      </c>
      <c r="E176" s="195">
        <f>IF(K176="","",INDEX('同相3導体'!$AC:$AC,K176))</f>
        <v/>
      </c>
      <c r="F176" s="195">
        <f>IF(OR(A176="",B176=""),"",100*(D176-B176)/MAX(B176,1E-12))</f>
        <v/>
      </c>
      <c r="G176" s="195">
        <f>IF(OR(A176="",C176=""),"",E176-C176)</f>
        <v/>
      </c>
      <c r="H176" s="195">
        <f>IF(A176="","",LOG10(A176))</f>
        <v/>
      </c>
      <c r="I176" s="195">
        <f>IF(B176="","",LOG10(MAX(B176,1E-12)))</f>
        <v/>
      </c>
      <c r="J176" s="195">
        <f>IF(D176="","",LOG10(MAX(D176,1E-12)))</f>
        <v/>
      </c>
      <c r="K176">
        <f>IF(A176="","",ROUND(1+(LOG10(A176)-LOG10('入力・概要'!$B$38))*('入力・概要'!$B$40-1)/(LOG10('入力・概要'!$B$39)-LOG10('入力・概要'!$B$38)),0)+3)</f>
        <v/>
      </c>
      <c r="L176">
        <f>IF(K176="","",INDEX('同相3導体'!$B:$B,K176))</f>
        <v/>
      </c>
      <c r="M176">
        <f>IF(A176="","",IF(ABS(L176/A176-1)&lt;0.01,"周波数差&lt;1%","周波数差あり"))</f>
        <v/>
      </c>
    </row>
    <row r="177">
      <c r="A177" s="197" t="n"/>
      <c r="B177" s="198" t="n"/>
      <c r="C177" s="198" t="n"/>
      <c r="D177" s="195">
        <f>IF(K177="","",INDEX('同相3導体'!$AB:$AB,K177))</f>
        <v/>
      </c>
      <c r="E177" s="195">
        <f>IF(K177="","",INDEX('同相3導体'!$AC:$AC,K177))</f>
        <v/>
      </c>
      <c r="F177" s="195">
        <f>IF(OR(A177="",B177=""),"",100*(D177-B177)/MAX(B177,1E-12))</f>
        <v/>
      </c>
      <c r="G177" s="195">
        <f>IF(OR(A177="",C177=""),"",E177-C177)</f>
        <v/>
      </c>
      <c r="H177" s="195">
        <f>IF(A177="","",LOG10(A177))</f>
        <v/>
      </c>
      <c r="I177" s="195">
        <f>IF(B177="","",LOG10(MAX(B177,1E-12)))</f>
        <v/>
      </c>
      <c r="J177" s="195">
        <f>IF(D177="","",LOG10(MAX(D177,1E-12)))</f>
        <v/>
      </c>
      <c r="K177">
        <f>IF(A177="","",ROUND(1+(LOG10(A177)-LOG10('入力・概要'!$B$38))*('入力・概要'!$B$40-1)/(LOG10('入力・概要'!$B$39)-LOG10('入力・概要'!$B$38)),0)+3)</f>
        <v/>
      </c>
      <c r="L177">
        <f>IF(K177="","",INDEX('同相3導体'!$B:$B,K177))</f>
        <v/>
      </c>
      <c r="M177">
        <f>IF(A177="","",IF(ABS(L177/A177-1)&lt;0.01,"周波数差&lt;1%","周波数差あり"))</f>
        <v/>
      </c>
    </row>
    <row r="178">
      <c r="A178" s="197" t="n"/>
      <c r="B178" s="198" t="n"/>
      <c r="C178" s="198" t="n"/>
      <c r="D178" s="195">
        <f>IF(K178="","",INDEX('同相3導体'!$AB:$AB,K178))</f>
        <v/>
      </c>
      <c r="E178" s="195">
        <f>IF(K178="","",INDEX('同相3導体'!$AC:$AC,K178))</f>
        <v/>
      </c>
      <c r="F178" s="195">
        <f>IF(OR(A178="",B178=""),"",100*(D178-B178)/MAX(B178,1E-12))</f>
        <v/>
      </c>
      <c r="G178" s="195">
        <f>IF(OR(A178="",C178=""),"",E178-C178)</f>
        <v/>
      </c>
      <c r="H178" s="195">
        <f>IF(A178="","",LOG10(A178))</f>
        <v/>
      </c>
      <c r="I178" s="195">
        <f>IF(B178="","",LOG10(MAX(B178,1E-12)))</f>
        <v/>
      </c>
      <c r="J178" s="195">
        <f>IF(D178="","",LOG10(MAX(D178,1E-12)))</f>
        <v/>
      </c>
      <c r="K178">
        <f>IF(A178="","",ROUND(1+(LOG10(A178)-LOG10('入力・概要'!$B$38))*('入力・概要'!$B$40-1)/(LOG10('入力・概要'!$B$39)-LOG10('入力・概要'!$B$38)),0)+3)</f>
        <v/>
      </c>
      <c r="L178">
        <f>IF(K178="","",INDEX('同相3導体'!$B:$B,K178))</f>
        <v/>
      </c>
      <c r="M178">
        <f>IF(A178="","",IF(ABS(L178/A178-1)&lt;0.01,"周波数差&lt;1%","周波数差あり"))</f>
        <v/>
      </c>
    </row>
    <row r="179">
      <c r="A179" s="197" t="n"/>
      <c r="B179" s="198" t="n"/>
      <c r="C179" s="198" t="n"/>
      <c r="D179" s="195">
        <f>IF(K179="","",INDEX('同相3導体'!$AB:$AB,K179))</f>
        <v/>
      </c>
      <c r="E179" s="195">
        <f>IF(K179="","",INDEX('同相3導体'!$AC:$AC,K179))</f>
        <v/>
      </c>
      <c r="F179" s="195">
        <f>IF(OR(A179="",B179=""),"",100*(D179-B179)/MAX(B179,1E-12))</f>
        <v/>
      </c>
      <c r="G179" s="195">
        <f>IF(OR(A179="",C179=""),"",E179-C179)</f>
        <v/>
      </c>
      <c r="H179" s="195">
        <f>IF(A179="","",LOG10(A179))</f>
        <v/>
      </c>
      <c r="I179" s="195">
        <f>IF(B179="","",LOG10(MAX(B179,1E-12)))</f>
        <v/>
      </c>
      <c r="J179" s="195">
        <f>IF(D179="","",LOG10(MAX(D179,1E-12)))</f>
        <v/>
      </c>
      <c r="K179">
        <f>IF(A179="","",ROUND(1+(LOG10(A179)-LOG10('入力・概要'!$B$38))*('入力・概要'!$B$40-1)/(LOG10('入力・概要'!$B$39)-LOG10('入力・概要'!$B$38)),0)+3)</f>
        <v/>
      </c>
      <c r="L179">
        <f>IF(K179="","",INDEX('同相3導体'!$B:$B,K179))</f>
        <v/>
      </c>
      <c r="M179">
        <f>IF(A179="","",IF(ABS(L179/A179-1)&lt;0.01,"周波数差&lt;1%","周波数差あり"))</f>
        <v/>
      </c>
    </row>
    <row r="180">
      <c r="A180" s="197" t="n"/>
      <c r="B180" s="198" t="n"/>
      <c r="C180" s="198" t="n"/>
      <c r="D180" s="195">
        <f>IF(K180="","",INDEX('同相3導体'!$AB:$AB,K180))</f>
        <v/>
      </c>
      <c r="E180" s="195">
        <f>IF(K180="","",INDEX('同相3導体'!$AC:$AC,K180))</f>
        <v/>
      </c>
      <c r="F180" s="195">
        <f>IF(OR(A180="",B180=""),"",100*(D180-B180)/MAX(B180,1E-12))</f>
        <v/>
      </c>
      <c r="G180" s="195">
        <f>IF(OR(A180="",C180=""),"",E180-C180)</f>
        <v/>
      </c>
      <c r="H180" s="195">
        <f>IF(A180="","",LOG10(A180))</f>
        <v/>
      </c>
      <c r="I180" s="195">
        <f>IF(B180="","",LOG10(MAX(B180,1E-12)))</f>
        <v/>
      </c>
      <c r="J180" s="195">
        <f>IF(D180="","",LOG10(MAX(D180,1E-12)))</f>
        <v/>
      </c>
      <c r="K180">
        <f>IF(A180="","",ROUND(1+(LOG10(A180)-LOG10('入力・概要'!$B$38))*('入力・概要'!$B$40-1)/(LOG10('入力・概要'!$B$39)-LOG10('入力・概要'!$B$38)),0)+3)</f>
        <v/>
      </c>
      <c r="L180">
        <f>IF(K180="","",INDEX('同相3導体'!$B:$B,K180))</f>
        <v/>
      </c>
      <c r="M180">
        <f>IF(A180="","",IF(ABS(L180/A180-1)&lt;0.01,"周波数差&lt;1%","周波数差あり"))</f>
        <v/>
      </c>
    </row>
    <row r="181">
      <c r="A181" s="197" t="n"/>
      <c r="B181" s="198" t="n"/>
      <c r="C181" s="198" t="n"/>
      <c r="D181" s="195">
        <f>IF(K181="","",INDEX('同相3導体'!$AB:$AB,K181))</f>
        <v/>
      </c>
      <c r="E181" s="195">
        <f>IF(K181="","",INDEX('同相3導体'!$AC:$AC,K181))</f>
        <v/>
      </c>
      <c r="F181" s="195">
        <f>IF(OR(A181="",B181=""),"",100*(D181-B181)/MAX(B181,1E-12))</f>
        <v/>
      </c>
      <c r="G181" s="195">
        <f>IF(OR(A181="",C181=""),"",E181-C181)</f>
        <v/>
      </c>
      <c r="H181" s="195">
        <f>IF(A181="","",LOG10(A181))</f>
        <v/>
      </c>
      <c r="I181" s="195">
        <f>IF(B181="","",LOG10(MAX(B181,1E-12)))</f>
        <v/>
      </c>
      <c r="J181" s="195">
        <f>IF(D181="","",LOG10(MAX(D181,1E-12)))</f>
        <v/>
      </c>
      <c r="K181">
        <f>IF(A181="","",ROUND(1+(LOG10(A181)-LOG10('入力・概要'!$B$38))*('入力・概要'!$B$40-1)/(LOG10('入力・概要'!$B$39)-LOG10('入力・概要'!$B$38)),0)+3)</f>
        <v/>
      </c>
      <c r="L181">
        <f>IF(K181="","",INDEX('同相3導体'!$B:$B,K181))</f>
        <v/>
      </c>
      <c r="M181">
        <f>IF(A181="","",IF(ABS(L181/A181-1)&lt;0.01,"周波数差&lt;1%","周波数差あり"))</f>
        <v/>
      </c>
    </row>
    <row r="182">
      <c r="A182" s="197" t="n"/>
      <c r="B182" s="198" t="n"/>
      <c r="C182" s="198" t="n"/>
      <c r="D182" s="195">
        <f>IF(K182="","",INDEX('同相3導体'!$AB:$AB,K182))</f>
        <v/>
      </c>
      <c r="E182" s="195">
        <f>IF(K182="","",INDEX('同相3導体'!$AC:$AC,K182))</f>
        <v/>
      </c>
      <c r="F182" s="195">
        <f>IF(OR(A182="",B182=""),"",100*(D182-B182)/MAX(B182,1E-12))</f>
        <v/>
      </c>
      <c r="G182" s="195">
        <f>IF(OR(A182="",C182=""),"",E182-C182)</f>
        <v/>
      </c>
      <c r="H182" s="195">
        <f>IF(A182="","",LOG10(A182))</f>
        <v/>
      </c>
      <c r="I182" s="195">
        <f>IF(B182="","",LOG10(MAX(B182,1E-12)))</f>
        <v/>
      </c>
      <c r="J182" s="195">
        <f>IF(D182="","",LOG10(MAX(D182,1E-12)))</f>
        <v/>
      </c>
      <c r="K182">
        <f>IF(A182="","",ROUND(1+(LOG10(A182)-LOG10('入力・概要'!$B$38))*('入力・概要'!$B$40-1)/(LOG10('入力・概要'!$B$39)-LOG10('入力・概要'!$B$38)),0)+3)</f>
        <v/>
      </c>
      <c r="L182">
        <f>IF(K182="","",INDEX('同相3導体'!$B:$B,K182))</f>
        <v/>
      </c>
      <c r="M182">
        <f>IF(A182="","",IF(ABS(L182/A182-1)&lt;0.01,"周波数差&lt;1%","周波数差あり"))</f>
        <v/>
      </c>
    </row>
    <row r="183">
      <c r="A183" s="197" t="n"/>
      <c r="B183" s="198" t="n"/>
      <c r="C183" s="198" t="n"/>
      <c r="D183" s="195">
        <f>IF(K183="","",INDEX('同相3導体'!$AB:$AB,K183))</f>
        <v/>
      </c>
      <c r="E183" s="195">
        <f>IF(K183="","",INDEX('同相3導体'!$AC:$AC,K183))</f>
        <v/>
      </c>
      <c r="F183" s="195">
        <f>IF(OR(A183="",B183=""),"",100*(D183-B183)/MAX(B183,1E-12))</f>
        <v/>
      </c>
      <c r="G183" s="195">
        <f>IF(OR(A183="",C183=""),"",E183-C183)</f>
        <v/>
      </c>
      <c r="H183" s="195">
        <f>IF(A183="","",LOG10(A183))</f>
        <v/>
      </c>
      <c r="I183" s="195">
        <f>IF(B183="","",LOG10(MAX(B183,1E-12)))</f>
        <v/>
      </c>
      <c r="J183" s="195">
        <f>IF(D183="","",LOG10(MAX(D183,1E-12)))</f>
        <v/>
      </c>
      <c r="K183">
        <f>IF(A183="","",ROUND(1+(LOG10(A183)-LOG10('入力・概要'!$B$38))*('入力・概要'!$B$40-1)/(LOG10('入力・概要'!$B$39)-LOG10('入力・概要'!$B$38)),0)+3)</f>
        <v/>
      </c>
      <c r="L183">
        <f>IF(K183="","",INDEX('同相3導体'!$B:$B,K183))</f>
        <v/>
      </c>
      <c r="M183">
        <f>IF(A183="","",IF(ABS(L183/A183-1)&lt;0.01,"周波数差&lt;1%","周波数差あり"))</f>
        <v/>
      </c>
    </row>
    <row r="184">
      <c r="A184" s="197" t="n"/>
      <c r="B184" s="198" t="n"/>
      <c r="C184" s="198" t="n"/>
      <c r="D184" s="195">
        <f>IF(K184="","",INDEX('同相3導体'!$AB:$AB,K184))</f>
        <v/>
      </c>
      <c r="E184" s="195">
        <f>IF(K184="","",INDEX('同相3導体'!$AC:$AC,K184))</f>
        <v/>
      </c>
      <c r="F184" s="195">
        <f>IF(OR(A184="",B184=""),"",100*(D184-B184)/MAX(B184,1E-12))</f>
        <v/>
      </c>
      <c r="G184" s="195">
        <f>IF(OR(A184="",C184=""),"",E184-C184)</f>
        <v/>
      </c>
      <c r="H184" s="195">
        <f>IF(A184="","",LOG10(A184))</f>
        <v/>
      </c>
      <c r="I184" s="195">
        <f>IF(B184="","",LOG10(MAX(B184,1E-12)))</f>
        <v/>
      </c>
      <c r="J184" s="195">
        <f>IF(D184="","",LOG10(MAX(D184,1E-12)))</f>
        <v/>
      </c>
      <c r="K184">
        <f>IF(A184="","",ROUND(1+(LOG10(A184)-LOG10('入力・概要'!$B$38))*('入力・概要'!$B$40-1)/(LOG10('入力・概要'!$B$39)-LOG10('入力・概要'!$B$38)),0)+3)</f>
        <v/>
      </c>
      <c r="L184">
        <f>IF(K184="","",INDEX('同相3導体'!$B:$B,K184))</f>
        <v/>
      </c>
      <c r="M184">
        <f>IF(A184="","",IF(ABS(L184/A184-1)&lt;0.01,"周波数差&lt;1%","周波数差あり"))</f>
        <v/>
      </c>
    </row>
    <row r="185">
      <c r="A185" s="197" t="n"/>
      <c r="B185" s="198" t="n"/>
      <c r="C185" s="198" t="n"/>
      <c r="D185" s="195">
        <f>IF(K185="","",INDEX('同相3導体'!$AB:$AB,K185))</f>
        <v/>
      </c>
      <c r="E185" s="195">
        <f>IF(K185="","",INDEX('同相3導体'!$AC:$AC,K185))</f>
        <v/>
      </c>
      <c r="F185" s="195">
        <f>IF(OR(A185="",B185=""),"",100*(D185-B185)/MAX(B185,1E-12))</f>
        <v/>
      </c>
      <c r="G185" s="195">
        <f>IF(OR(A185="",C185=""),"",E185-C185)</f>
        <v/>
      </c>
      <c r="H185" s="195">
        <f>IF(A185="","",LOG10(A185))</f>
        <v/>
      </c>
      <c r="I185" s="195">
        <f>IF(B185="","",LOG10(MAX(B185,1E-12)))</f>
        <v/>
      </c>
      <c r="J185" s="195">
        <f>IF(D185="","",LOG10(MAX(D185,1E-12)))</f>
        <v/>
      </c>
      <c r="K185">
        <f>IF(A185="","",ROUND(1+(LOG10(A185)-LOG10('入力・概要'!$B$38))*('入力・概要'!$B$40-1)/(LOG10('入力・概要'!$B$39)-LOG10('入力・概要'!$B$38)),0)+3)</f>
        <v/>
      </c>
      <c r="L185">
        <f>IF(K185="","",INDEX('同相3導体'!$B:$B,K185))</f>
        <v/>
      </c>
      <c r="M185">
        <f>IF(A185="","",IF(ABS(L185/A185-1)&lt;0.01,"周波数差&lt;1%","周波数差あり"))</f>
        <v/>
      </c>
    </row>
    <row r="186">
      <c r="A186" s="197" t="n"/>
      <c r="B186" s="198" t="n"/>
      <c r="C186" s="198" t="n"/>
      <c r="D186" s="195">
        <f>IF(K186="","",INDEX('同相3導体'!$AB:$AB,K186))</f>
        <v/>
      </c>
      <c r="E186" s="195">
        <f>IF(K186="","",INDEX('同相3導体'!$AC:$AC,K186))</f>
        <v/>
      </c>
      <c r="F186" s="195">
        <f>IF(OR(A186="",B186=""),"",100*(D186-B186)/MAX(B186,1E-12))</f>
        <v/>
      </c>
      <c r="G186" s="195">
        <f>IF(OR(A186="",C186=""),"",E186-C186)</f>
        <v/>
      </c>
      <c r="H186" s="195">
        <f>IF(A186="","",LOG10(A186))</f>
        <v/>
      </c>
      <c r="I186" s="195">
        <f>IF(B186="","",LOG10(MAX(B186,1E-12)))</f>
        <v/>
      </c>
      <c r="J186" s="195">
        <f>IF(D186="","",LOG10(MAX(D186,1E-12)))</f>
        <v/>
      </c>
      <c r="K186">
        <f>IF(A186="","",ROUND(1+(LOG10(A186)-LOG10('入力・概要'!$B$38))*('入力・概要'!$B$40-1)/(LOG10('入力・概要'!$B$39)-LOG10('入力・概要'!$B$38)),0)+3)</f>
        <v/>
      </c>
      <c r="L186">
        <f>IF(K186="","",INDEX('同相3導体'!$B:$B,K186))</f>
        <v/>
      </c>
      <c r="M186">
        <f>IF(A186="","",IF(ABS(L186/A186-1)&lt;0.01,"周波数差&lt;1%","周波数差あり"))</f>
        <v/>
      </c>
    </row>
    <row r="187">
      <c r="A187" s="197" t="n"/>
      <c r="B187" s="198" t="n"/>
      <c r="C187" s="198" t="n"/>
      <c r="D187" s="195">
        <f>IF(K187="","",INDEX('同相3導体'!$AB:$AB,K187))</f>
        <v/>
      </c>
      <c r="E187" s="195">
        <f>IF(K187="","",INDEX('同相3導体'!$AC:$AC,K187))</f>
        <v/>
      </c>
      <c r="F187" s="195">
        <f>IF(OR(A187="",B187=""),"",100*(D187-B187)/MAX(B187,1E-12))</f>
        <v/>
      </c>
      <c r="G187" s="195">
        <f>IF(OR(A187="",C187=""),"",E187-C187)</f>
        <v/>
      </c>
      <c r="H187" s="195">
        <f>IF(A187="","",LOG10(A187))</f>
        <v/>
      </c>
      <c r="I187" s="195">
        <f>IF(B187="","",LOG10(MAX(B187,1E-12)))</f>
        <v/>
      </c>
      <c r="J187" s="195">
        <f>IF(D187="","",LOG10(MAX(D187,1E-12)))</f>
        <v/>
      </c>
      <c r="K187">
        <f>IF(A187="","",ROUND(1+(LOG10(A187)-LOG10('入力・概要'!$B$38))*('入力・概要'!$B$40-1)/(LOG10('入力・概要'!$B$39)-LOG10('入力・概要'!$B$38)),0)+3)</f>
        <v/>
      </c>
      <c r="L187">
        <f>IF(K187="","",INDEX('同相3導体'!$B:$B,K187))</f>
        <v/>
      </c>
      <c r="M187">
        <f>IF(A187="","",IF(ABS(L187/A187-1)&lt;0.01,"周波数差&lt;1%","周波数差あり"))</f>
        <v/>
      </c>
    </row>
    <row r="188">
      <c r="A188" s="197" t="n"/>
      <c r="B188" s="198" t="n"/>
      <c r="C188" s="198" t="n"/>
      <c r="D188" s="195">
        <f>IF(K188="","",INDEX('同相3導体'!$AB:$AB,K188))</f>
        <v/>
      </c>
      <c r="E188" s="195">
        <f>IF(K188="","",INDEX('同相3導体'!$AC:$AC,K188))</f>
        <v/>
      </c>
      <c r="F188" s="195">
        <f>IF(OR(A188="",B188=""),"",100*(D188-B188)/MAX(B188,1E-12))</f>
        <v/>
      </c>
      <c r="G188" s="195">
        <f>IF(OR(A188="",C188=""),"",E188-C188)</f>
        <v/>
      </c>
      <c r="H188" s="195">
        <f>IF(A188="","",LOG10(A188))</f>
        <v/>
      </c>
      <c r="I188" s="195">
        <f>IF(B188="","",LOG10(MAX(B188,1E-12)))</f>
        <v/>
      </c>
      <c r="J188" s="195">
        <f>IF(D188="","",LOG10(MAX(D188,1E-12)))</f>
        <v/>
      </c>
      <c r="K188">
        <f>IF(A188="","",ROUND(1+(LOG10(A188)-LOG10('入力・概要'!$B$38))*('入力・概要'!$B$40-1)/(LOG10('入力・概要'!$B$39)-LOG10('入力・概要'!$B$38)),0)+3)</f>
        <v/>
      </c>
      <c r="L188">
        <f>IF(K188="","",INDEX('同相3導体'!$B:$B,K188))</f>
        <v/>
      </c>
      <c r="M188">
        <f>IF(A188="","",IF(ABS(L188/A188-1)&lt;0.01,"周波数差&lt;1%","周波数差あり"))</f>
        <v/>
      </c>
    </row>
    <row r="189">
      <c r="A189" s="197" t="n"/>
      <c r="B189" s="198" t="n"/>
      <c r="C189" s="198" t="n"/>
      <c r="D189" s="195">
        <f>IF(K189="","",INDEX('同相3導体'!$AB:$AB,K189))</f>
        <v/>
      </c>
      <c r="E189" s="195">
        <f>IF(K189="","",INDEX('同相3導体'!$AC:$AC,K189))</f>
        <v/>
      </c>
      <c r="F189" s="195">
        <f>IF(OR(A189="",B189=""),"",100*(D189-B189)/MAX(B189,1E-12))</f>
        <v/>
      </c>
      <c r="G189" s="195">
        <f>IF(OR(A189="",C189=""),"",E189-C189)</f>
        <v/>
      </c>
      <c r="H189" s="195">
        <f>IF(A189="","",LOG10(A189))</f>
        <v/>
      </c>
      <c r="I189" s="195">
        <f>IF(B189="","",LOG10(MAX(B189,1E-12)))</f>
        <v/>
      </c>
      <c r="J189" s="195">
        <f>IF(D189="","",LOG10(MAX(D189,1E-12)))</f>
        <v/>
      </c>
      <c r="K189">
        <f>IF(A189="","",ROUND(1+(LOG10(A189)-LOG10('入力・概要'!$B$38))*('入力・概要'!$B$40-1)/(LOG10('入力・概要'!$B$39)-LOG10('入力・概要'!$B$38)),0)+3)</f>
        <v/>
      </c>
      <c r="L189">
        <f>IF(K189="","",INDEX('同相3導体'!$B:$B,K189))</f>
        <v/>
      </c>
      <c r="M189">
        <f>IF(A189="","",IF(ABS(L189/A189-1)&lt;0.01,"周波数差&lt;1%","周波数差あり"))</f>
        <v/>
      </c>
    </row>
    <row r="190">
      <c r="A190" s="197" t="n"/>
      <c r="B190" s="198" t="n"/>
      <c r="C190" s="198" t="n"/>
      <c r="D190" s="195">
        <f>IF(K190="","",INDEX('同相3導体'!$AB:$AB,K190))</f>
        <v/>
      </c>
      <c r="E190" s="195">
        <f>IF(K190="","",INDEX('同相3導体'!$AC:$AC,K190))</f>
        <v/>
      </c>
      <c r="F190" s="195">
        <f>IF(OR(A190="",B190=""),"",100*(D190-B190)/MAX(B190,1E-12))</f>
        <v/>
      </c>
      <c r="G190" s="195">
        <f>IF(OR(A190="",C190=""),"",E190-C190)</f>
        <v/>
      </c>
      <c r="H190" s="195">
        <f>IF(A190="","",LOG10(A190))</f>
        <v/>
      </c>
      <c r="I190" s="195">
        <f>IF(B190="","",LOG10(MAX(B190,1E-12)))</f>
        <v/>
      </c>
      <c r="J190" s="195">
        <f>IF(D190="","",LOG10(MAX(D190,1E-12)))</f>
        <v/>
      </c>
      <c r="K190">
        <f>IF(A190="","",ROUND(1+(LOG10(A190)-LOG10('入力・概要'!$B$38))*('入力・概要'!$B$40-1)/(LOG10('入力・概要'!$B$39)-LOG10('入力・概要'!$B$38)),0)+3)</f>
        <v/>
      </c>
      <c r="L190">
        <f>IF(K190="","",INDEX('同相3導体'!$B:$B,K190))</f>
        <v/>
      </c>
      <c r="M190">
        <f>IF(A190="","",IF(ABS(L190/A190-1)&lt;0.01,"周波数差&lt;1%","周波数差あり"))</f>
        <v/>
      </c>
    </row>
    <row r="191">
      <c r="A191" s="197" t="n"/>
      <c r="B191" s="198" t="n"/>
      <c r="C191" s="198" t="n"/>
      <c r="D191" s="195">
        <f>IF(K191="","",INDEX('同相3導体'!$AB:$AB,K191))</f>
        <v/>
      </c>
      <c r="E191" s="195">
        <f>IF(K191="","",INDEX('同相3導体'!$AC:$AC,K191))</f>
        <v/>
      </c>
      <c r="F191" s="195">
        <f>IF(OR(A191="",B191=""),"",100*(D191-B191)/MAX(B191,1E-12))</f>
        <v/>
      </c>
      <c r="G191" s="195">
        <f>IF(OR(A191="",C191=""),"",E191-C191)</f>
        <v/>
      </c>
      <c r="H191" s="195">
        <f>IF(A191="","",LOG10(A191))</f>
        <v/>
      </c>
      <c r="I191" s="195">
        <f>IF(B191="","",LOG10(MAX(B191,1E-12)))</f>
        <v/>
      </c>
      <c r="J191" s="195">
        <f>IF(D191="","",LOG10(MAX(D191,1E-12)))</f>
        <v/>
      </c>
      <c r="K191">
        <f>IF(A191="","",ROUND(1+(LOG10(A191)-LOG10('入力・概要'!$B$38))*('入力・概要'!$B$40-1)/(LOG10('入力・概要'!$B$39)-LOG10('入力・概要'!$B$38)),0)+3)</f>
        <v/>
      </c>
      <c r="L191">
        <f>IF(K191="","",INDEX('同相3導体'!$B:$B,K191))</f>
        <v/>
      </c>
      <c r="M191">
        <f>IF(A191="","",IF(ABS(L191/A191-1)&lt;0.01,"周波数差&lt;1%","周波数差あり"))</f>
        <v/>
      </c>
    </row>
    <row r="192">
      <c r="A192" s="197" t="n"/>
      <c r="B192" s="198" t="n"/>
      <c r="C192" s="198" t="n"/>
      <c r="D192" s="195">
        <f>IF(K192="","",INDEX('同相3導体'!$AB:$AB,K192))</f>
        <v/>
      </c>
      <c r="E192" s="195">
        <f>IF(K192="","",INDEX('同相3導体'!$AC:$AC,K192))</f>
        <v/>
      </c>
      <c r="F192" s="195">
        <f>IF(OR(A192="",B192=""),"",100*(D192-B192)/MAX(B192,1E-12))</f>
        <v/>
      </c>
      <c r="G192" s="195">
        <f>IF(OR(A192="",C192=""),"",E192-C192)</f>
        <v/>
      </c>
      <c r="H192" s="195">
        <f>IF(A192="","",LOG10(A192))</f>
        <v/>
      </c>
      <c r="I192" s="195">
        <f>IF(B192="","",LOG10(MAX(B192,1E-12)))</f>
        <v/>
      </c>
      <c r="J192" s="195">
        <f>IF(D192="","",LOG10(MAX(D192,1E-12)))</f>
        <v/>
      </c>
      <c r="K192">
        <f>IF(A192="","",ROUND(1+(LOG10(A192)-LOG10('入力・概要'!$B$38))*('入力・概要'!$B$40-1)/(LOG10('入力・概要'!$B$39)-LOG10('入力・概要'!$B$38)),0)+3)</f>
        <v/>
      </c>
      <c r="L192">
        <f>IF(K192="","",INDEX('同相3導体'!$B:$B,K192))</f>
        <v/>
      </c>
      <c r="M192">
        <f>IF(A192="","",IF(ABS(L192/A192-1)&lt;0.01,"周波数差&lt;1%","周波数差あり"))</f>
        <v/>
      </c>
    </row>
    <row r="193">
      <c r="A193" s="197" t="n"/>
      <c r="B193" s="198" t="n"/>
      <c r="C193" s="198" t="n"/>
      <c r="D193" s="195">
        <f>IF(K193="","",INDEX('同相3導体'!$AB:$AB,K193))</f>
        <v/>
      </c>
      <c r="E193" s="195">
        <f>IF(K193="","",INDEX('同相3導体'!$AC:$AC,K193))</f>
        <v/>
      </c>
      <c r="F193" s="195">
        <f>IF(OR(A193="",B193=""),"",100*(D193-B193)/MAX(B193,1E-12))</f>
        <v/>
      </c>
      <c r="G193" s="195">
        <f>IF(OR(A193="",C193=""),"",E193-C193)</f>
        <v/>
      </c>
      <c r="H193" s="195">
        <f>IF(A193="","",LOG10(A193))</f>
        <v/>
      </c>
      <c r="I193" s="195">
        <f>IF(B193="","",LOG10(MAX(B193,1E-12)))</f>
        <v/>
      </c>
      <c r="J193" s="195">
        <f>IF(D193="","",LOG10(MAX(D193,1E-12)))</f>
        <v/>
      </c>
      <c r="K193">
        <f>IF(A193="","",ROUND(1+(LOG10(A193)-LOG10('入力・概要'!$B$38))*('入力・概要'!$B$40-1)/(LOG10('入力・概要'!$B$39)-LOG10('入力・概要'!$B$38)),0)+3)</f>
        <v/>
      </c>
      <c r="L193">
        <f>IF(K193="","",INDEX('同相3導体'!$B:$B,K193))</f>
        <v/>
      </c>
      <c r="M193">
        <f>IF(A193="","",IF(ABS(L193/A193-1)&lt;0.01,"周波数差&lt;1%","周波数差あり"))</f>
        <v/>
      </c>
    </row>
    <row r="194">
      <c r="A194" s="197" t="n"/>
      <c r="B194" s="198" t="n"/>
      <c r="C194" s="198" t="n"/>
      <c r="D194" s="195">
        <f>IF(K194="","",INDEX('同相3導体'!$AB:$AB,K194))</f>
        <v/>
      </c>
      <c r="E194" s="195">
        <f>IF(K194="","",INDEX('同相3導体'!$AC:$AC,K194))</f>
        <v/>
      </c>
      <c r="F194" s="195">
        <f>IF(OR(A194="",B194=""),"",100*(D194-B194)/MAX(B194,1E-12))</f>
        <v/>
      </c>
      <c r="G194" s="195">
        <f>IF(OR(A194="",C194=""),"",E194-C194)</f>
        <v/>
      </c>
      <c r="H194" s="195">
        <f>IF(A194="","",LOG10(A194))</f>
        <v/>
      </c>
      <c r="I194" s="195">
        <f>IF(B194="","",LOG10(MAX(B194,1E-12)))</f>
        <v/>
      </c>
      <c r="J194" s="195">
        <f>IF(D194="","",LOG10(MAX(D194,1E-12)))</f>
        <v/>
      </c>
      <c r="K194">
        <f>IF(A194="","",ROUND(1+(LOG10(A194)-LOG10('入力・概要'!$B$38))*('入力・概要'!$B$40-1)/(LOG10('入力・概要'!$B$39)-LOG10('入力・概要'!$B$38)),0)+3)</f>
        <v/>
      </c>
      <c r="L194">
        <f>IF(K194="","",INDEX('同相3導体'!$B:$B,K194))</f>
        <v/>
      </c>
      <c r="M194">
        <f>IF(A194="","",IF(ABS(L194/A194-1)&lt;0.01,"周波数差&lt;1%","周波数差あり"))</f>
        <v/>
      </c>
    </row>
    <row r="195">
      <c r="A195" s="197" t="n"/>
      <c r="B195" s="198" t="n"/>
      <c r="C195" s="198" t="n"/>
      <c r="D195" s="195">
        <f>IF(K195="","",INDEX('同相3導体'!$AB:$AB,K195))</f>
        <v/>
      </c>
      <c r="E195" s="195">
        <f>IF(K195="","",INDEX('同相3導体'!$AC:$AC,K195))</f>
        <v/>
      </c>
      <c r="F195" s="195">
        <f>IF(OR(A195="",B195=""),"",100*(D195-B195)/MAX(B195,1E-12))</f>
        <v/>
      </c>
      <c r="G195" s="195">
        <f>IF(OR(A195="",C195=""),"",E195-C195)</f>
        <v/>
      </c>
      <c r="H195" s="195">
        <f>IF(A195="","",LOG10(A195))</f>
        <v/>
      </c>
      <c r="I195" s="195">
        <f>IF(B195="","",LOG10(MAX(B195,1E-12)))</f>
        <v/>
      </c>
      <c r="J195" s="195">
        <f>IF(D195="","",LOG10(MAX(D195,1E-12)))</f>
        <v/>
      </c>
      <c r="K195">
        <f>IF(A195="","",ROUND(1+(LOG10(A195)-LOG10('入力・概要'!$B$38))*('入力・概要'!$B$40-1)/(LOG10('入力・概要'!$B$39)-LOG10('入力・概要'!$B$38)),0)+3)</f>
        <v/>
      </c>
      <c r="L195">
        <f>IF(K195="","",INDEX('同相3導体'!$B:$B,K195))</f>
        <v/>
      </c>
      <c r="M195">
        <f>IF(A195="","",IF(ABS(L195/A195-1)&lt;0.01,"周波数差&lt;1%","周波数差あり"))</f>
        <v/>
      </c>
    </row>
    <row r="196">
      <c r="A196" s="197" t="n"/>
      <c r="B196" s="198" t="n"/>
      <c r="C196" s="198" t="n"/>
      <c r="D196" s="195">
        <f>IF(K196="","",INDEX('同相3導体'!$AB:$AB,K196))</f>
        <v/>
      </c>
      <c r="E196" s="195">
        <f>IF(K196="","",INDEX('同相3導体'!$AC:$AC,K196))</f>
        <v/>
      </c>
      <c r="F196" s="195">
        <f>IF(OR(A196="",B196=""),"",100*(D196-B196)/MAX(B196,1E-12))</f>
        <v/>
      </c>
      <c r="G196" s="195">
        <f>IF(OR(A196="",C196=""),"",E196-C196)</f>
        <v/>
      </c>
      <c r="H196" s="195">
        <f>IF(A196="","",LOG10(A196))</f>
        <v/>
      </c>
      <c r="I196" s="195">
        <f>IF(B196="","",LOG10(MAX(B196,1E-12)))</f>
        <v/>
      </c>
      <c r="J196" s="195">
        <f>IF(D196="","",LOG10(MAX(D196,1E-12)))</f>
        <v/>
      </c>
      <c r="K196">
        <f>IF(A196="","",ROUND(1+(LOG10(A196)-LOG10('入力・概要'!$B$38))*('入力・概要'!$B$40-1)/(LOG10('入力・概要'!$B$39)-LOG10('入力・概要'!$B$38)),0)+3)</f>
        <v/>
      </c>
      <c r="L196">
        <f>IF(K196="","",INDEX('同相3導体'!$B:$B,K196))</f>
        <v/>
      </c>
      <c r="M196">
        <f>IF(A196="","",IF(ABS(L196/A196-1)&lt;0.01,"周波数差&lt;1%","周波数差あり"))</f>
        <v/>
      </c>
    </row>
    <row r="197">
      <c r="A197" s="197" t="n"/>
      <c r="B197" s="198" t="n"/>
      <c r="C197" s="198" t="n"/>
      <c r="D197" s="195">
        <f>IF(K197="","",INDEX('同相3導体'!$AB:$AB,K197))</f>
        <v/>
      </c>
      <c r="E197" s="195">
        <f>IF(K197="","",INDEX('同相3導体'!$AC:$AC,K197))</f>
        <v/>
      </c>
      <c r="F197" s="195">
        <f>IF(OR(A197="",B197=""),"",100*(D197-B197)/MAX(B197,1E-12))</f>
        <v/>
      </c>
      <c r="G197" s="195">
        <f>IF(OR(A197="",C197=""),"",E197-C197)</f>
        <v/>
      </c>
      <c r="H197" s="195">
        <f>IF(A197="","",LOG10(A197))</f>
        <v/>
      </c>
      <c r="I197" s="195">
        <f>IF(B197="","",LOG10(MAX(B197,1E-12)))</f>
        <v/>
      </c>
      <c r="J197" s="195">
        <f>IF(D197="","",LOG10(MAX(D197,1E-12)))</f>
        <v/>
      </c>
      <c r="K197">
        <f>IF(A197="","",ROUND(1+(LOG10(A197)-LOG10('入力・概要'!$B$38))*('入力・概要'!$B$40-1)/(LOG10('入力・概要'!$B$39)-LOG10('入力・概要'!$B$38)),0)+3)</f>
        <v/>
      </c>
      <c r="L197">
        <f>IF(K197="","",INDEX('同相3導体'!$B:$B,K197))</f>
        <v/>
      </c>
      <c r="M197">
        <f>IF(A197="","",IF(ABS(L197/A197-1)&lt;0.01,"周波数差&lt;1%","周波数差あり"))</f>
        <v/>
      </c>
    </row>
    <row r="198">
      <c r="A198" s="197" t="n"/>
      <c r="B198" s="198" t="n"/>
      <c r="C198" s="198" t="n"/>
      <c r="D198" s="195">
        <f>IF(K198="","",INDEX('同相3導体'!$AB:$AB,K198))</f>
        <v/>
      </c>
      <c r="E198" s="195">
        <f>IF(K198="","",INDEX('同相3導体'!$AC:$AC,K198))</f>
        <v/>
      </c>
      <c r="F198" s="195">
        <f>IF(OR(A198="",B198=""),"",100*(D198-B198)/MAX(B198,1E-12))</f>
        <v/>
      </c>
      <c r="G198" s="195">
        <f>IF(OR(A198="",C198=""),"",E198-C198)</f>
        <v/>
      </c>
      <c r="H198" s="195">
        <f>IF(A198="","",LOG10(A198))</f>
        <v/>
      </c>
      <c r="I198" s="195">
        <f>IF(B198="","",LOG10(MAX(B198,1E-12)))</f>
        <v/>
      </c>
      <c r="J198" s="195">
        <f>IF(D198="","",LOG10(MAX(D198,1E-12)))</f>
        <v/>
      </c>
      <c r="K198">
        <f>IF(A198="","",ROUND(1+(LOG10(A198)-LOG10('入力・概要'!$B$38))*('入力・概要'!$B$40-1)/(LOG10('入力・概要'!$B$39)-LOG10('入力・概要'!$B$38)),0)+3)</f>
        <v/>
      </c>
      <c r="L198">
        <f>IF(K198="","",INDEX('同相3導体'!$B:$B,K198))</f>
        <v/>
      </c>
      <c r="M198">
        <f>IF(A198="","",IF(ABS(L198/A198-1)&lt;0.01,"周波数差&lt;1%","周波数差あり"))</f>
        <v/>
      </c>
    </row>
    <row r="199">
      <c r="A199" s="197" t="n"/>
      <c r="B199" s="198" t="n"/>
      <c r="C199" s="198" t="n"/>
      <c r="D199" s="195">
        <f>IF(K199="","",INDEX('同相3導体'!$AB:$AB,K199))</f>
        <v/>
      </c>
      <c r="E199" s="195">
        <f>IF(K199="","",INDEX('同相3導体'!$AC:$AC,K199))</f>
        <v/>
      </c>
      <c r="F199" s="195">
        <f>IF(OR(A199="",B199=""),"",100*(D199-B199)/MAX(B199,1E-12))</f>
        <v/>
      </c>
      <c r="G199" s="195">
        <f>IF(OR(A199="",C199=""),"",E199-C199)</f>
        <v/>
      </c>
      <c r="H199" s="195">
        <f>IF(A199="","",LOG10(A199))</f>
        <v/>
      </c>
      <c r="I199" s="195">
        <f>IF(B199="","",LOG10(MAX(B199,1E-12)))</f>
        <v/>
      </c>
      <c r="J199" s="195">
        <f>IF(D199="","",LOG10(MAX(D199,1E-12)))</f>
        <v/>
      </c>
      <c r="K199">
        <f>IF(A199="","",ROUND(1+(LOG10(A199)-LOG10('入力・概要'!$B$38))*('入力・概要'!$B$40-1)/(LOG10('入力・概要'!$B$39)-LOG10('入力・概要'!$B$38)),0)+3)</f>
        <v/>
      </c>
      <c r="L199">
        <f>IF(K199="","",INDEX('同相3導体'!$B:$B,K199))</f>
        <v/>
      </c>
      <c r="M199">
        <f>IF(A199="","",IF(ABS(L199/A199-1)&lt;0.01,"周波数差&lt;1%","周波数差あり"))</f>
        <v/>
      </c>
    </row>
    <row r="200">
      <c r="A200" s="197" t="n"/>
      <c r="B200" s="198" t="n"/>
      <c r="C200" s="198" t="n"/>
      <c r="D200" s="195">
        <f>IF(K200="","",INDEX('同相3導体'!$AB:$AB,K200))</f>
        <v/>
      </c>
      <c r="E200" s="195">
        <f>IF(K200="","",INDEX('同相3導体'!$AC:$AC,K200))</f>
        <v/>
      </c>
      <c r="F200" s="195">
        <f>IF(OR(A200="",B200=""),"",100*(D200-B200)/MAX(B200,1E-12))</f>
        <v/>
      </c>
      <c r="G200" s="195">
        <f>IF(OR(A200="",C200=""),"",E200-C200)</f>
        <v/>
      </c>
      <c r="H200" s="195">
        <f>IF(A200="","",LOG10(A200))</f>
        <v/>
      </c>
      <c r="I200" s="195">
        <f>IF(B200="","",LOG10(MAX(B200,1E-12)))</f>
        <v/>
      </c>
      <c r="J200" s="195">
        <f>IF(D200="","",LOG10(MAX(D200,1E-12)))</f>
        <v/>
      </c>
      <c r="K200">
        <f>IF(A200="","",ROUND(1+(LOG10(A200)-LOG10('入力・概要'!$B$38))*('入力・概要'!$B$40-1)/(LOG10('入力・概要'!$B$39)-LOG10('入力・概要'!$B$38)),0)+3)</f>
        <v/>
      </c>
      <c r="L200">
        <f>IF(K200="","",INDEX('同相3導体'!$B:$B,K200))</f>
        <v/>
      </c>
      <c r="M200">
        <f>IF(A200="","",IF(ABS(L200/A200-1)&lt;0.01,"周波数差&lt;1%","周波数差あり"))</f>
        <v/>
      </c>
    </row>
    <row r="201">
      <c r="A201" s="197" t="n"/>
      <c r="B201" s="198" t="n"/>
      <c r="C201" s="198" t="n"/>
      <c r="D201" s="195">
        <f>IF(K201="","",INDEX('同相3導体'!$AB:$AB,K201))</f>
        <v/>
      </c>
      <c r="E201" s="195">
        <f>IF(K201="","",INDEX('同相3導体'!$AC:$AC,K201))</f>
        <v/>
      </c>
      <c r="F201" s="195">
        <f>IF(OR(A201="",B201=""),"",100*(D201-B201)/MAX(B201,1E-12))</f>
        <v/>
      </c>
      <c r="G201" s="195">
        <f>IF(OR(A201="",C201=""),"",E201-C201)</f>
        <v/>
      </c>
      <c r="H201" s="195">
        <f>IF(A201="","",LOG10(A201))</f>
        <v/>
      </c>
      <c r="I201" s="195">
        <f>IF(B201="","",LOG10(MAX(B201,1E-12)))</f>
        <v/>
      </c>
      <c r="J201" s="195">
        <f>IF(D201="","",LOG10(MAX(D201,1E-12)))</f>
        <v/>
      </c>
      <c r="K201">
        <f>IF(A201="","",ROUND(1+(LOG10(A201)-LOG10('入力・概要'!$B$38))*('入力・概要'!$B$40-1)/(LOG10('入力・概要'!$B$39)-LOG10('入力・概要'!$B$38)),0)+3)</f>
        <v/>
      </c>
      <c r="L201">
        <f>IF(K201="","",INDEX('同相3導体'!$B:$B,K201))</f>
        <v/>
      </c>
      <c r="M201">
        <f>IF(A201="","",IF(ABS(L201/A201-1)&lt;0.01,"周波数差&lt;1%","周波数差あり"))</f>
        <v/>
      </c>
    </row>
    <row r="202">
      <c r="A202" s="197" t="n"/>
      <c r="B202" s="198" t="n"/>
      <c r="C202" s="198" t="n"/>
      <c r="D202" s="195">
        <f>IF(K202="","",INDEX('同相3導体'!$AB:$AB,K202))</f>
        <v/>
      </c>
      <c r="E202" s="195">
        <f>IF(K202="","",INDEX('同相3導体'!$AC:$AC,K202))</f>
        <v/>
      </c>
      <c r="F202" s="195">
        <f>IF(OR(A202="",B202=""),"",100*(D202-B202)/MAX(B202,1E-12))</f>
        <v/>
      </c>
      <c r="G202" s="195">
        <f>IF(OR(A202="",C202=""),"",E202-C202)</f>
        <v/>
      </c>
      <c r="H202" s="195">
        <f>IF(A202="","",LOG10(A202))</f>
        <v/>
      </c>
      <c r="I202" s="195">
        <f>IF(B202="","",LOG10(MAX(B202,1E-12)))</f>
        <v/>
      </c>
      <c r="J202" s="195">
        <f>IF(D202="","",LOG10(MAX(D202,1E-12)))</f>
        <v/>
      </c>
      <c r="K202">
        <f>IF(A202="","",ROUND(1+(LOG10(A202)-LOG10('入力・概要'!$B$38))*('入力・概要'!$B$40-1)/(LOG10('入力・概要'!$B$39)-LOG10('入力・概要'!$B$38)),0)+3)</f>
        <v/>
      </c>
      <c r="L202">
        <f>IF(K202="","",INDEX('同相3導体'!$B:$B,K202))</f>
        <v/>
      </c>
      <c r="M202">
        <f>IF(A202="","",IF(ABS(L202/A202-1)&lt;0.01,"周波数差&lt;1%","周波数差あり"))</f>
        <v/>
      </c>
    </row>
    <row r="203">
      <c r="A203" s="197" t="n"/>
      <c r="B203" s="198" t="n"/>
      <c r="C203" s="198" t="n"/>
      <c r="D203" s="195">
        <f>IF(K203="","",INDEX('同相3導体'!$AB:$AB,K203))</f>
        <v/>
      </c>
      <c r="E203" s="195">
        <f>IF(K203="","",INDEX('同相3導体'!$AC:$AC,K203))</f>
        <v/>
      </c>
      <c r="F203" s="195">
        <f>IF(OR(A203="",B203=""),"",100*(D203-B203)/MAX(B203,1E-12))</f>
        <v/>
      </c>
      <c r="G203" s="195">
        <f>IF(OR(A203="",C203=""),"",E203-C203)</f>
        <v/>
      </c>
      <c r="H203" s="195">
        <f>IF(A203="","",LOG10(A203))</f>
        <v/>
      </c>
      <c r="I203" s="195">
        <f>IF(B203="","",LOG10(MAX(B203,1E-12)))</f>
        <v/>
      </c>
      <c r="J203" s="195">
        <f>IF(D203="","",LOG10(MAX(D203,1E-12)))</f>
        <v/>
      </c>
      <c r="K203">
        <f>IF(A203="","",ROUND(1+(LOG10(A203)-LOG10('入力・概要'!$B$38))*('入力・概要'!$B$40-1)/(LOG10('入力・概要'!$B$39)-LOG10('入力・概要'!$B$38)),0)+3)</f>
        <v/>
      </c>
      <c r="L203">
        <f>IF(K203="","",INDEX('同相3導体'!$B:$B,K203))</f>
        <v/>
      </c>
      <c r="M203">
        <f>IF(A203="","",IF(ABS(L203/A203-1)&lt;0.01,"周波数差&lt;1%","周波数差あり"))</f>
        <v/>
      </c>
    </row>
    <row r="204">
      <c r="A204" s="197" t="n"/>
      <c r="B204" s="198" t="n"/>
      <c r="C204" s="198" t="n"/>
      <c r="D204" s="195">
        <f>IF(K204="","",INDEX('同相3導体'!$AB:$AB,K204))</f>
        <v/>
      </c>
      <c r="E204" s="195">
        <f>IF(K204="","",INDEX('同相3導体'!$AC:$AC,K204))</f>
        <v/>
      </c>
      <c r="F204" s="195">
        <f>IF(OR(A204="",B204=""),"",100*(D204-B204)/MAX(B204,1E-12))</f>
        <v/>
      </c>
      <c r="G204" s="195">
        <f>IF(OR(A204="",C204=""),"",E204-C204)</f>
        <v/>
      </c>
      <c r="H204" s="195">
        <f>IF(A204="","",LOG10(A204))</f>
        <v/>
      </c>
      <c r="I204" s="195">
        <f>IF(B204="","",LOG10(MAX(B204,1E-12)))</f>
        <v/>
      </c>
      <c r="J204" s="195">
        <f>IF(D204="","",LOG10(MAX(D204,1E-12)))</f>
        <v/>
      </c>
      <c r="K204">
        <f>IF(A204="","",ROUND(1+(LOG10(A204)-LOG10('入力・概要'!$B$38))*('入力・概要'!$B$40-1)/(LOG10('入力・概要'!$B$39)-LOG10('入力・概要'!$B$38)),0)+3)</f>
        <v/>
      </c>
      <c r="L204">
        <f>IF(K204="","",INDEX('同相3導体'!$B:$B,K204))</f>
        <v/>
      </c>
      <c r="M204">
        <f>IF(A204="","",IF(ABS(L204/A204-1)&lt;0.01,"周波数差&lt;1%","周波数差あり"))</f>
        <v/>
      </c>
    </row>
    <row r="205">
      <c r="A205" s="197" t="n"/>
      <c r="B205" s="198" t="n"/>
      <c r="C205" s="198" t="n"/>
      <c r="D205" s="195">
        <f>IF(K205="","",INDEX('同相3導体'!$AB:$AB,K205))</f>
        <v/>
      </c>
      <c r="E205" s="195">
        <f>IF(K205="","",INDEX('同相3導体'!$AC:$AC,K205))</f>
        <v/>
      </c>
      <c r="F205" s="195">
        <f>IF(OR(A205="",B205=""),"",100*(D205-B205)/MAX(B205,1E-12))</f>
        <v/>
      </c>
      <c r="G205" s="195">
        <f>IF(OR(A205="",C205=""),"",E205-C205)</f>
        <v/>
      </c>
      <c r="H205" s="195">
        <f>IF(A205="","",LOG10(A205))</f>
        <v/>
      </c>
      <c r="I205" s="195">
        <f>IF(B205="","",LOG10(MAX(B205,1E-12)))</f>
        <v/>
      </c>
      <c r="J205" s="195">
        <f>IF(D205="","",LOG10(MAX(D205,1E-12)))</f>
        <v/>
      </c>
      <c r="K205">
        <f>IF(A205="","",ROUND(1+(LOG10(A205)-LOG10('入力・概要'!$B$38))*('入力・概要'!$B$40-1)/(LOG10('入力・概要'!$B$39)-LOG10('入力・概要'!$B$38)),0)+3)</f>
        <v/>
      </c>
      <c r="L205">
        <f>IF(K205="","",INDEX('同相3導体'!$B:$B,K205))</f>
        <v/>
      </c>
      <c r="M205">
        <f>IF(A205="","",IF(ABS(L205/A205-1)&lt;0.01,"周波数差&lt;1%","周波数差あり"))</f>
        <v/>
      </c>
    </row>
    <row r="206">
      <c r="A206" s="197" t="n"/>
      <c r="B206" s="198" t="n"/>
      <c r="C206" s="198" t="n"/>
      <c r="D206" s="195">
        <f>IF(K206="","",INDEX('同相3導体'!$AB:$AB,K206))</f>
        <v/>
      </c>
      <c r="E206" s="195">
        <f>IF(K206="","",INDEX('同相3導体'!$AC:$AC,K206))</f>
        <v/>
      </c>
      <c r="F206" s="195">
        <f>IF(OR(A206="",B206=""),"",100*(D206-B206)/MAX(B206,1E-12))</f>
        <v/>
      </c>
      <c r="G206" s="195">
        <f>IF(OR(A206="",C206=""),"",E206-C206)</f>
        <v/>
      </c>
      <c r="H206" s="195">
        <f>IF(A206="","",LOG10(A206))</f>
        <v/>
      </c>
      <c r="I206" s="195">
        <f>IF(B206="","",LOG10(MAX(B206,1E-12)))</f>
        <v/>
      </c>
      <c r="J206" s="195">
        <f>IF(D206="","",LOG10(MAX(D206,1E-12)))</f>
        <v/>
      </c>
      <c r="K206">
        <f>IF(A206="","",ROUND(1+(LOG10(A206)-LOG10('入力・概要'!$B$38))*('入力・概要'!$B$40-1)/(LOG10('入力・概要'!$B$39)-LOG10('入力・概要'!$B$38)),0)+3)</f>
        <v/>
      </c>
      <c r="L206">
        <f>IF(K206="","",INDEX('同相3導体'!$B:$B,K206))</f>
        <v/>
      </c>
      <c r="M206">
        <f>IF(A206="","",IF(ABS(L206/A206-1)&lt;0.01,"周波数差&lt;1%","周波数差あり"))</f>
        <v/>
      </c>
    </row>
    <row r="207">
      <c r="A207" s="197" t="n"/>
      <c r="B207" s="198" t="n"/>
      <c r="C207" s="198" t="n"/>
      <c r="D207" s="195">
        <f>IF(K207="","",INDEX('同相3導体'!$AB:$AB,K207))</f>
        <v/>
      </c>
      <c r="E207" s="195">
        <f>IF(K207="","",INDEX('同相3導体'!$AC:$AC,K207))</f>
        <v/>
      </c>
      <c r="F207" s="195">
        <f>IF(OR(A207="",B207=""),"",100*(D207-B207)/MAX(B207,1E-12))</f>
        <v/>
      </c>
      <c r="G207" s="195">
        <f>IF(OR(A207="",C207=""),"",E207-C207)</f>
        <v/>
      </c>
      <c r="H207" s="195">
        <f>IF(A207="","",LOG10(A207))</f>
        <v/>
      </c>
      <c r="I207" s="195">
        <f>IF(B207="","",LOG10(MAX(B207,1E-12)))</f>
        <v/>
      </c>
      <c r="J207" s="195">
        <f>IF(D207="","",LOG10(MAX(D207,1E-12)))</f>
        <v/>
      </c>
      <c r="K207">
        <f>IF(A207="","",ROUND(1+(LOG10(A207)-LOG10('入力・概要'!$B$38))*('入力・概要'!$B$40-1)/(LOG10('入力・概要'!$B$39)-LOG10('入力・概要'!$B$38)),0)+3)</f>
        <v/>
      </c>
      <c r="L207">
        <f>IF(K207="","",INDEX('同相3導体'!$B:$B,K207))</f>
        <v/>
      </c>
      <c r="M207">
        <f>IF(A207="","",IF(ABS(L207/A207-1)&lt;0.01,"周波数差&lt;1%","周波数差あり"))</f>
        <v/>
      </c>
    </row>
    <row r="208">
      <c r="A208" s="197" t="n"/>
      <c r="B208" s="198" t="n"/>
      <c r="C208" s="198" t="n"/>
      <c r="D208" s="195">
        <f>IF(K208="","",INDEX('同相3導体'!$AB:$AB,K208))</f>
        <v/>
      </c>
      <c r="E208" s="195">
        <f>IF(K208="","",INDEX('同相3導体'!$AC:$AC,K208))</f>
        <v/>
      </c>
      <c r="F208" s="195">
        <f>IF(OR(A208="",B208=""),"",100*(D208-B208)/MAX(B208,1E-12))</f>
        <v/>
      </c>
      <c r="G208" s="195">
        <f>IF(OR(A208="",C208=""),"",E208-C208)</f>
        <v/>
      </c>
      <c r="H208" s="195">
        <f>IF(A208="","",LOG10(A208))</f>
        <v/>
      </c>
      <c r="I208" s="195">
        <f>IF(B208="","",LOG10(MAX(B208,1E-12)))</f>
        <v/>
      </c>
      <c r="J208" s="195">
        <f>IF(D208="","",LOG10(MAX(D208,1E-12)))</f>
        <v/>
      </c>
      <c r="K208">
        <f>IF(A208="","",ROUND(1+(LOG10(A208)-LOG10('入力・概要'!$B$38))*('入力・概要'!$B$40-1)/(LOG10('入力・概要'!$B$39)-LOG10('入力・概要'!$B$38)),0)+3)</f>
        <v/>
      </c>
      <c r="L208">
        <f>IF(K208="","",INDEX('同相3導体'!$B:$B,K208))</f>
        <v/>
      </c>
      <c r="M208">
        <f>IF(A208="","",IF(ABS(L208/A208-1)&lt;0.01,"周波数差&lt;1%","周波数差あり"))</f>
        <v/>
      </c>
    </row>
    <row r="209">
      <c r="A209" s="197" t="n"/>
      <c r="B209" s="198" t="n"/>
      <c r="C209" s="198" t="n"/>
      <c r="D209" s="195">
        <f>IF(K209="","",INDEX('同相3導体'!$AB:$AB,K209))</f>
        <v/>
      </c>
      <c r="E209" s="195">
        <f>IF(K209="","",INDEX('同相3導体'!$AC:$AC,K209))</f>
        <v/>
      </c>
      <c r="F209" s="195">
        <f>IF(OR(A209="",B209=""),"",100*(D209-B209)/MAX(B209,1E-12))</f>
        <v/>
      </c>
      <c r="G209" s="195">
        <f>IF(OR(A209="",C209=""),"",E209-C209)</f>
        <v/>
      </c>
      <c r="H209" s="195">
        <f>IF(A209="","",LOG10(A209))</f>
        <v/>
      </c>
      <c r="I209" s="195">
        <f>IF(B209="","",LOG10(MAX(B209,1E-12)))</f>
        <v/>
      </c>
      <c r="J209" s="195">
        <f>IF(D209="","",LOG10(MAX(D209,1E-12)))</f>
        <v/>
      </c>
      <c r="K209">
        <f>IF(A209="","",ROUND(1+(LOG10(A209)-LOG10('入力・概要'!$B$38))*('入力・概要'!$B$40-1)/(LOG10('入力・概要'!$B$39)-LOG10('入力・概要'!$B$38)),0)+3)</f>
        <v/>
      </c>
      <c r="L209">
        <f>IF(K209="","",INDEX('同相3導体'!$B:$B,K209))</f>
        <v/>
      </c>
      <c r="M209">
        <f>IF(A209="","",IF(ABS(L209/A209-1)&lt;0.01,"周波数差&lt;1%","周波数差あり"))</f>
        <v/>
      </c>
    </row>
    <row r="210">
      <c r="A210" s="197" t="n"/>
      <c r="B210" s="198" t="n"/>
      <c r="C210" s="198" t="n"/>
      <c r="D210" s="195">
        <f>IF(K210="","",INDEX('同相3導体'!$AB:$AB,K210))</f>
        <v/>
      </c>
      <c r="E210" s="195">
        <f>IF(K210="","",INDEX('同相3導体'!$AC:$AC,K210))</f>
        <v/>
      </c>
      <c r="F210" s="195">
        <f>IF(OR(A210="",B210=""),"",100*(D210-B210)/MAX(B210,1E-12))</f>
        <v/>
      </c>
      <c r="G210" s="195">
        <f>IF(OR(A210="",C210=""),"",E210-C210)</f>
        <v/>
      </c>
      <c r="H210" s="195">
        <f>IF(A210="","",LOG10(A210))</f>
        <v/>
      </c>
      <c r="I210" s="195">
        <f>IF(B210="","",LOG10(MAX(B210,1E-12)))</f>
        <v/>
      </c>
      <c r="J210" s="195">
        <f>IF(D210="","",LOG10(MAX(D210,1E-12)))</f>
        <v/>
      </c>
      <c r="K210">
        <f>IF(A210="","",ROUND(1+(LOG10(A210)-LOG10('入力・概要'!$B$38))*('入力・概要'!$B$40-1)/(LOG10('入力・概要'!$B$39)-LOG10('入力・概要'!$B$38)),0)+3)</f>
        <v/>
      </c>
      <c r="L210">
        <f>IF(K210="","",INDEX('同相3導体'!$B:$B,K210))</f>
        <v/>
      </c>
      <c r="M210">
        <f>IF(A210="","",IF(ABS(L210/A210-1)&lt;0.01,"周波数差&lt;1%","周波数差あり"))</f>
        <v/>
      </c>
    </row>
    <row r="211">
      <c r="A211" s="197" t="n"/>
      <c r="B211" s="198" t="n"/>
      <c r="C211" s="198" t="n"/>
      <c r="D211" s="195">
        <f>IF(K211="","",INDEX('同相3導体'!$AB:$AB,K211))</f>
        <v/>
      </c>
      <c r="E211" s="195">
        <f>IF(K211="","",INDEX('同相3導体'!$AC:$AC,K211))</f>
        <v/>
      </c>
      <c r="F211" s="195">
        <f>IF(OR(A211="",B211=""),"",100*(D211-B211)/MAX(B211,1E-12))</f>
        <v/>
      </c>
      <c r="G211" s="195">
        <f>IF(OR(A211="",C211=""),"",E211-C211)</f>
        <v/>
      </c>
      <c r="H211" s="195">
        <f>IF(A211="","",LOG10(A211))</f>
        <v/>
      </c>
      <c r="I211" s="195">
        <f>IF(B211="","",LOG10(MAX(B211,1E-12)))</f>
        <v/>
      </c>
      <c r="J211" s="195">
        <f>IF(D211="","",LOG10(MAX(D211,1E-12)))</f>
        <v/>
      </c>
      <c r="K211">
        <f>IF(A211="","",ROUND(1+(LOG10(A211)-LOG10('入力・概要'!$B$38))*('入力・概要'!$B$40-1)/(LOG10('入力・概要'!$B$39)-LOG10('入力・概要'!$B$38)),0)+3)</f>
        <v/>
      </c>
      <c r="L211">
        <f>IF(K211="","",INDEX('同相3導体'!$B:$B,K211))</f>
        <v/>
      </c>
      <c r="M211">
        <f>IF(A211="","",IF(ABS(L211/A211-1)&lt;0.01,"周波数差&lt;1%","周波数差あり"))</f>
        <v/>
      </c>
    </row>
    <row r="212">
      <c r="A212" s="197" t="n"/>
      <c r="B212" s="198" t="n"/>
      <c r="C212" s="198" t="n"/>
      <c r="D212" s="195">
        <f>IF(K212="","",INDEX('同相3導体'!$AB:$AB,K212))</f>
        <v/>
      </c>
      <c r="E212" s="195">
        <f>IF(K212="","",INDEX('同相3導体'!$AC:$AC,K212))</f>
        <v/>
      </c>
      <c r="F212" s="195">
        <f>IF(OR(A212="",B212=""),"",100*(D212-B212)/MAX(B212,1E-12))</f>
        <v/>
      </c>
      <c r="G212" s="195">
        <f>IF(OR(A212="",C212=""),"",E212-C212)</f>
        <v/>
      </c>
      <c r="H212" s="195">
        <f>IF(A212="","",LOG10(A212))</f>
        <v/>
      </c>
      <c r="I212" s="195">
        <f>IF(B212="","",LOG10(MAX(B212,1E-12)))</f>
        <v/>
      </c>
      <c r="J212" s="195">
        <f>IF(D212="","",LOG10(MAX(D212,1E-12)))</f>
        <v/>
      </c>
      <c r="K212">
        <f>IF(A212="","",ROUND(1+(LOG10(A212)-LOG10('入力・概要'!$B$38))*('入力・概要'!$B$40-1)/(LOG10('入力・概要'!$B$39)-LOG10('入力・概要'!$B$38)),0)+3)</f>
        <v/>
      </c>
      <c r="L212">
        <f>IF(K212="","",INDEX('同相3導体'!$B:$B,K212))</f>
        <v/>
      </c>
      <c r="M212">
        <f>IF(A212="","",IF(ABS(L212/A212-1)&lt;0.01,"周波数差&lt;1%","周波数差あり"))</f>
        <v/>
      </c>
    </row>
    <row r="213">
      <c r="A213" s="197" t="n"/>
      <c r="B213" s="198" t="n"/>
      <c r="C213" s="198" t="n"/>
      <c r="D213" s="195">
        <f>IF(K213="","",INDEX('同相3導体'!$AB:$AB,K213))</f>
        <v/>
      </c>
      <c r="E213" s="195">
        <f>IF(K213="","",INDEX('同相3導体'!$AC:$AC,K213))</f>
        <v/>
      </c>
      <c r="F213" s="195">
        <f>IF(OR(A213="",B213=""),"",100*(D213-B213)/MAX(B213,1E-12))</f>
        <v/>
      </c>
      <c r="G213" s="195">
        <f>IF(OR(A213="",C213=""),"",E213-C213)</f>
        <v/>
      </c>
      <c r="H213" s="195">
        <f>IF(A213="","",LOG10(A213))</f>
        <v/>
      </c>
      <c r="I213" s="195">
        <f>IF(B213="","",LOG10(MAX(B213,1E-12)))</f>
        <v/>
      </c>
      <c r="J213" s="195">
        <f>IF(D213="","",LOG10(MAX(D213,1E-12)))</f>
        <v/>
      </c>
      <c r="K213">
        <f>IF(A213="","",ROUND(1+(LOG10(A213)-LOG10('入力・概要'!$B$38))*('入力・概要'!$B$40-1)/(LOG10('入力・概要'!$B$39)-LOG10('入力・概要'!$B$38)),0)+3)</f>
        <v/>
      </c>
      <c r="L213">
        <f>IF(K213="","",INDEX('同相3導体'!$B:$B,K213))</f>
        <v/>
      </c>
      <c r="M213">
        <f>IF(A213="","",IF(ABS(L213/A213-1)&lt;0.01,"周波数差&lt;1%","周波数差あり"))</f>
        <v/>
      </c>
    </row>
    <row r="214">
      <c r="A214" s="197" t="n"/>
      <c r="B214" s="198" t="n"/>
      <c r="C214" s="198" t="n"/>
      <c r="D214" s="195">
        <f>IF(K214="","",INDEX('同相3導体'!$AB:$AB,K214))</f>
        <v/>
      </c>
      <c r="E214" s="195">
        <f>IF(K214="","",INDEX('同相3導体'!$AC:$AC,K214))</f>
        <v/>
      </c>
      <c r="F214" s="195">
        <f>IF(OR(A214="",B214=""),"",100*(D214-B214)/MAX(B214,1E-12))</f>
        <v/>
      </c>
      <c r="G214" s="195">
        <f>IF(OR(A214="",C214=""),"",E214-C214)</f>
        <v/>
      </c>
      <c r="H214" s="195">
        <f>IF(A214="","",LOG10(A214))</f>
        <v/>
      </c>
      <c r="I214" s="195">
        <f>IF(B214="","",LOG10(MAX(B214,1E-12)))</f>
        <v/>
      </c>
      <c r="J214" s="195">
        <f>IF(D214="","",LOG10(MAX(D214,1E-12)))</f>
        <v/>
      </c>
      <c r="K214">
        <f>IF(A214="","",ROUND(1+(LOG10(A214)-LOG10('入力・概要'!$B$38))*('入力・概要'!$B$40-1)/(LOG10('入力・概要'!$B$39)-LOG10('入力・概要'!$B$38)),0)+3)</f>
        <v/>
      </c>
      <c r="L214">
        <f>IF(K214="","",INDEX('同相3導体'!$B:$B,K214))</f>
        <v/>
      </c>
      <c r="M214">
        <f>IF(A214="","",IF(ABS(L214/A214-1)&lt;0.01,"周波数差&lt;1%","周波数差あり"))</f>
        <v/>
      </c>
    </row>
    <row r="215">
      <c r="A215" s="197" t="n"/>
      <c r="B215" s="198" t="n"/>
      <c r="C215" s="198" t="n"/>
      <c r="D215" s="195">
        <f>IF(K215="","",INDEX('同相3導体'!$AB:$AB,K215))</f>
        <v/>
      </c>
      <c r="E215" s="195">
        <f>IF(K215="","",INDEX('同相3導体'!$AC:$AC,K215))</f>
        <v/>
      </c>
      <c r="F215" s="195">
        <f>IF(OR(A215="",B215=""),"",100*(D215-B215)/MAX(B215,1E-12))</f>
        <v/>
      </c>
      <c r="G215" s="195">
        <f>IF(OR(A215="",C215=""),"",E215-C215)</f>
        <v/>
      </c>
      <c r="H215" s="195">
        <f>IF(A215="","",LOG10(A215))</f>
        <v/>
      </c>
      <c r="I215" s="195">
        <f>IF(B215="","",LOG10(MAX(B215,1E-12)))</f>
        <v/>
      </c>
      <c r="J215" s="195">
        <f>IF(D215="","",LOG10(MAX(D215,1E-12)))</f>
        <v/>
      </c>
      <c r="K215">
        <f>IF(A215="","",ROUND(1+(LOG10(A215)-LOG10('入力・概要'!$B$38))*('入力・概要'!$B$40-1)/(LOG10('入力・概要'!$B$39)-LOG10('入力・概要'!$B$38)),0)+3)</f>
        <v/>
      </c>
      <c r="L215">
        <f>IF(K215="","",INDEX('同相3導体'!$B:$B,K215))</f>
        <v/>
      </c>
      <c r="M215">
        <f>IF(A215="","",IF(ABS(L215/A215-1)&lt;0.01,"周波数差&lt;1%","周波数差あり"))</f>
        <v/>
      </c>
    </row>
    <row r="216">
      <c r="A216" s="197" t="n"/>
      <c r="B216" s="198" t="n"/>
      <c r="C216" s="198" t="n"/>
      <c r="D216" s="195">
        <f>IF(K216="","",INDEX('同相3導体'!$AB:$AB,K216))</f>
        <v/>
      </c>
      <c r="E216" s="195">
        <f>IF(K216="","",INDEX('同相3導体'!$AC:$AC,K216))</f>
        <v/>
      </c>
      <c r="F216" s="195">
        <f>IF(OR(A216="",B216=""),"",100*(D216-B216)/MAX(B216,1E-12))</f>
        <v/>
      </c>
      <c r="G216" s="195">
        <f>IF(OR(A216="",C216=""),"",E216-C216)</f>
        <v/>
      </c>
      <c r="H216" s="195">
        <f>IF(A216="","",LOG10(A216))</f>
        <v/>
      </c>
      <c r="I216" s="195">
        <f>IF(B216="","",LOG10(MAX(B216,1E-12)))</f>
        <v/>
      </c>
      <c r="J216" s="195">
        <f>IF(D216="","",LOG10(MAX(D216,1E-12)))</f>
        <v/>
      </c>
      <c r="K216">
        <f>IF(A216="","",ROUND(1+(LOG10(A216)-LOG10('入力・概要'!$B$38))*('入力・概要'!$B$40-1)/(LOG10('入力・概要'!$B$39)-LOG10('入力・概要'!$B$38)),0)+3)</f>
        <v/>
      </c>
      <c r="L216">
        <f>IF(K216="","",INDEX('同相3導体'!$B:$B,K216))</f>
        <v/>
      </c>
      <c r="M216">
        <f>IF(A216="","",IF(ABS(L216/A216-1)&lt;0.01,"周波数差&lt;1%","周波数差あり"))</f>
        <v/>
      </c>
    </row>
    <row r="217">
      <c r="A217" s="197" t="n"/>
      <c r="B217" s="198" t="n"/>
      <c r="C217" s="198" t="n"/>
      <c r="D217" s="195">
        <f>IF(K217="","",INDEX('同相3導体'!$AB:$AB,K217))</f>
        <v/>
      </c>
      <c r="E217" s="195">
        <f>IF(K217="","",INDEX('同相3導体'!$AC:$AC,K217))</f>
        <v/>
      </c>
      <c r="F217" s="195">
        <f>IF(OR(A217="",B217=""),"",100*(D217-B217)/MAX(B217,1E-12))</f>
        <v/>
      </c>
      <c r="G217" s="195">
        <f>IF(OR(A217="",C217=""),"",E217-C217)</f>
        <v/>
      </c>
      <c r="H217" s="195">
        <f>IF(A217="","",LOG10(A217))</f>
        <v/>
      </c>
      <c r="I217" s="195">
        <f>IF(B217="","",LOG10(MAX(B217,1E-12)))</f>
        <v/>
      </c>
      <c r="J217" s="195">
        <f>IF(D217="","",LOG10(MAX(D217,1E-12)))</f>
        <v/>
      </c>
      <c r="K217">
        <f>IF(A217="","",ROUND(1+(LOG10(A217)-LOG10('入力・概要'!$B$38))*('入力・概要'!$B$40-1)/(LOG10('入力・概要'!$B$39)-LOG10('入力・概要'!$B$38)),0)+3)</f>
        <v/>
      </c>
      <c r="L217">
        <f>IF(K217="","",INDEX('同相3導体'!$B:$B,K217))</f>
        <v/>
      </c>
      <c r="M217">
        <f>IF(A217="","",IF(ABS(L217/A217-1)&lt;0.01,"周波数差&lt;1%","周波数差あり"))</f>
        <v/>
      </c>
    </row>
    <row r="218">
      <c r="A218" s="197" t="n"/>
      <c r="B218" s="198" t="n"/>
      <c r="C218" s="198" t="n"/>
      <c r="D218" s="195">
        <f>IF(K218="","",INDEX('同相3導体'!$AB:$AB,K218))</f>
        <v/>
      </c>
      <c r="E218" s="195">
        <f>IF(K218="","",INDEX('同相3導体'!$AC:$AC,K218))</f>
        <v/>
      </c>
      <c r="F218" s="195">
        <f>IF(OR(A218="",B218=""),"",100*(D218-B218)/MAX(B218,1E-12))</f>
        <v/>
      </c>
      <c r="G218" s="195">
        <f>IF(OR(A218="",C218=""),"",E218-C218)</f>
        <v/>
      </c>
      <c r="H218" s="195">
        <f>IF(A218="","",LOG10(A218))</f>
        <v/>
      </c>
      <c r="I218" s="195">
        <f>IF(B218="","",LOG10(MAX(B218,1E-12)))</f>
        <v/>
      </c>
      <c r="J218" s="195">
        <f>IF(D218="","",LOG10(MAX(D218,1E-12)))</f>
        <v/>
      </c>
      <c r="K218">
        <f>IF(A218="","",ROUND(1+(LOG10(A218)-LOG10('入力・概要'!$B$38))*('入力・概要'!$B$40-1)/(LOG10('入力・概要'!$B$39)-LOG10('入力・概要'!$B$38)),0)+3)</f>
        <v/>
      </c>
      <c r="L218">
        <f>IF(K218="","",INDEX('同相3導体'!$B:$B,K218))</f>
        <v/>
      </c>
      <c r="M218">
        <f>IF(A218="","",IF(ABS(L218/A218-1)&lt;0.01,"周波数差&lt;1%","周波数差あり"))</f>
        <v/>
      </c>
    </row>
    <row r="219">
      <c r="A219" s="197" t="n"/>
      <c r="B219" s="198" t="n"/>
      <c r="C219" s="198" t="n"/>
      <c r="D219" s="195">
        <f>IF(K219="","",INDEX('同相3導体'!$AB:$AB,K219))</f>
        <v/>
      </c>
      <c r="E219" s="195">
        <f>IF(K219="","",INDEX('同相3導体'!$AC:$AC,K219))</f>
        <v/>
      </c>
      <c r="F219" s="195">
        <f>IF(OR(A219="",B219=""),"",100*(D219-B219)/MAX(B219,1E-12))</f>
        <v/>
      </c>
      <c r="G219" s="195">
        <f>IF(OR(A219="",C219=""),"",E219-C219)</f>
        <v/>
      </c>
      <c r="H219" s="195">
        <f>IF(A219="","",LOG10(A219))</f>
        <v/>
      </c>
      <c r="I219" s="195">
        <f>IF(B219="","",LOG10(MAX(B219,1E-12)))</f>
        <v/>
      </c>
      <c r="J219" s="195">
        <f>IF(D219="","",LOG10(MAX(D219,1E-12)))</f>
        <v/>
      </c>
      <c r="K219">
        <f>IF(A219="","",ROUND(1+(LOG10(A219)-LOG10('入力・概要'!$B$38))*('入力・概要'!$B$40-1)/(LOG10('入力・概要'!$B$39)-LOG10('入力・概要'!$B$38)),0)+3)</f>
        <v/>
      </c>
      <c r="L219">
        <f>IF(K219="","",INDEX('同相3導体'!$B:$B,K219))</f>
        <v/>
      </c>
      <c r="M219">
        <f>IF(A219="","",IF(ABS(L219/A219-1)&lt;0.01,"周波数差&lt;1%","周波数差あり"))</f>
        <v/>
      </c>
    </row>
    <row r="220">
      <c r="A220" s="197" t="n"/>
      <c r="B220" s="198" t="n"/>
      <c r="C220" s="198" t="n"/>
      <c r="D220" s="195">
        <f>IF(K220="","",INDEX('同相3導体'!$AB:$AB,K220))</f>
        <v/>
      </c>
      <c r="E220" s="195">
        <f>IF(K220="","",INDEX('同相3導体'!$AC:$AC,K220))</f>
        <v/>
      </c>
      <c r="F220" s="195">
        <f>IF(OR(A220="",B220=""),"",100*(D220-B220)/MAX(B220,1E-12))</f>
        <v/>
      </c>
      <c r="G220" s="195">
        <f>IF(OR(A220="",C220=""),"",E220-C220)</f>
        <v/>
      </c>
      <c r="H220" s="195">
        <f>IF(A220="","",LOG10(A220))</f>
        <v/>
      </c>
      <c r="I220" s="195">
        <f>IF(B220="","",LOG10(MAX(B220,1E-12)))</f>
        <v/>
      </c>
      <c r="J220" s="195">
        <f>IF(D220="","",LOG10(MAX(D220,1E-12)))</f>
        <v/>
      </c>
      <c r="K220">
        <f>IF(A220="","",ROUND(1+(LOG10(A220)-LOG10('入力・概要'!$B$38))*('入力・概要'!$B$40-1)/(LOG10('入力・概要'!$B$39)-LOG10('入力・概要'!$B$38)),0)+3)</f>
        <v/>
      </c>
      <c r="L220">
        <f>IF(K220="","",INDEX('同相3導体'!$B:$B,K220))</f>
        <v/>
      </c>
      <c r="M220">
        <f>IF(A220="","",IF(ABS(L220/A220-1)&lt;0.01,"周波数差&lt;1%","周波数差あり"))</f>
        <v/>
      </c>
    </row>
    <row r="221">
      <c r="A221" s="197" t="n"/>
      <c r="B221" s="198" t="n"/>
      <c r="C221" s="198" t="n"/>
      <c r="D221" s="195">
        <f>IF(K221="","",INDEX('同相3導体'!$AB:$AB,K221))</f>
        <v/>
      </c>
      <c r="E221" s="195">
        <f>IF(K221="","",INDEX('同相3導体'!$AC:$AC,K221))</f>
        <v/>
      </c>
      <c r="F221" s="195">
        <f>IF(OR(A221="",B221=""),"",100*(D221-B221)/MAX(B221,1E-12))</f>
        <v/>
      </c>
      <c r="G221" s="195">
        <f>IF(OR(A221="",C221=""),"",E221-C221)</f>
        <v/>
      </c>
      <c r="H221" s="195">
        <f>IF(A221="","",LOG10(A221))</f>
        <v/>
      </c>
      <c r="I221" s="195">
        <f>IF(B221="","",LOG10(MAX(B221,1E-12)))</f>
        <v/>
      </c>
      <c r="J221" s="195">
        <f>IF(D221="","",LOG10(MAX(D221,1E-12)))</f>
        <v/>
      </c>
      <c r="K221">
        <f>IF(A221="","",ROUND(1+(LOG10(A221)-LOG10('入力・概要'!$B$38))*('入力・概要'!$B$40-1)/(LOG10('入力・概要'!$B$39)-LOG10('入力・概要'!$B$38)),0)+3)</f>
        <v/>
      </c>
      <c r="L221">
        <f>IF(K221="","",INDEX('同相3導体'!$B:$B,K221))</f>
        <v/>
      </c>
      <c r="M221">
        <f>IF(A221="","",IF(ABS(L221/A221-1)&lt;0.01,"周波数差&lt;1%","周波数差あり"))</f>
        <v/>
      </c>
    </row>
    <row r="222">
      <c r="A222" s="197" t="n"/>
      <c r="B222" s="198" t="n"/>
      <c r="C222" s="198" t="n"/>
      <c r="D222" s="195">
        <f>IF(K222="","",INDEX('同相3導体'!$AB:$AB,K222))</f>
        <v/>
      </c>
      <c r="E222" s="195">
        <f>IF(K222="","",INDEX('同相3導体'!$AC:$AC,K222))</f>
        <v/>
      </c>
      <c r="F222" s="195">
        <f>IF(OR(A222="",B222=""),"",100*(D222-B222)/MAX(B222,1E-12))</f>
        <v/>
      </c>
      <c r="G222" s="195">
        <f>IF(OR(A222="",C222=""),"",E222-C222)</f>
        <v/>
      </c>
      <c r="H222" s="195">
        <f>IF(A222="","",LOG10(A222))</f>
        <v/>
      </c>
      <c r="I222" s="195">
        <f>IF(B222="","",LOG10(MAX(B222,1E-12)))</f>
        <v/>
      </c>
      <c r="J222" s="195">
        <f>IF(D222="","",LOG10(MAX(D222,1E-12)))</f>
        <v/>
      </c>
      <c r="K222">
        <f>IF(A222="","",ROUND(1+(LOG10(A222)-LOG10('入力・概要'!$B$38))*('入力・概要'!$B$40-1)/(LOG10('入力・概要'!$B$39)-LOG10('入力・概要'!$B$38)),0)+3)</f>
        <v/>
      </c>
      <c r="L222">
        <f>IF(K222="","",INDEX('同相3導体'!$B:$B,K222))</f>
        <v/>
      </c>
      <c r="M222">
        <f>IF(A222="","",IF(ABS(L222/A222-1)&lt;0.01,"周波数差&lt;1%","周波数差あり"))</f>
        <v/>
      </c>
    </row>
    <row r="223">
      <c r="A223" s="197" t="n"/>
      <c r="B223" s="198" t="n"/>
      <c r="C223" s="198" t="n"/>
      <c r="D223" s="195">
        <f>IF(K223="","",INDEX('同相3導体'!$AB:$AB,K223))</f>
        <v/>
      </c>
      <c r="E223" s="195">
        <f>IF(K223="","",INDEX('同相3導体'!$AC:$AC,K223))</f>
        <v/>
      </c>
      <c r="F223" s="195">
        <f>IF(OR(A223="",B223=""),"",100*(D223-B223)/MAX(B223,1E-12))</f>
        <v/>
      </c>
      <c r="G223" s="195">
        <f>IF(OR(A223="",C223=""),"",E223-C223)</f>
        <v/>
      </c>
      <c r="H223" s="195">
        <f>IF(A223="","",LOG10(A223))</f>
        <v/>
      </c>
      <c r="I223" s="195">
        <f>IF(B223="","",LOG10(MAX(B223,1E-12)))</f>
        <v/>
      </c>
      <c r="J223" s="195">
        <f>IF(D223="","",LOG10(MAX(D223,1E-12)))</f>
        <v/>
      </c>
      <c r="K223">
        <f>IF(A223="","",ROUND(1+(LOG10(A223)-LOG10('入力・概要'!$B$38))*('入力・概要'!$B$40-1)/(LOG10('入力・概要'!$B$39)-LOG10('入力・概要'!$B$38)),0)+3)</f>
        <v/>
      </c>
      <c r="L223">
        <f>IF(K223="","",INDEX('同相3導体'!$B:$B,K223))</f>
        <v/>
      </c>
      <c r="M223">
        <f>IF(A223="","",IF(ABS(L223/A223-1)&lt;0.01,"周波数差&lt;1%","周波数差あり"))</f>
        <v/>
      </c>
    </row>
    <row r="224">
      <c r="A224" s="197" t="n"/>
      <c r="B224" s="198" t="n"/>
      <c r="C224" s="198" t="n"/>
      <c r="D224" s="195">
        <f>IF(K224="","",INDEX('同相3導体'!$AB:$AB,K224))</f>
        <v/>
      </c>
      <c r="E224" s="195">
        <f>IF(K224="","",INDEX('同相3導体'!$AC:$AC,K224))</f>
        <v/>
      </c>
      <c r="F224" s="195">
        <f>IF(OR(A224="",B224=""),"",100*(D224-B224)/MAX(B224,1E-12))</f>
        <v/>
      </c>
      <c r="G224" s="195">
        <f>IF(OR(A224="",C224=""),"",E224-C224)</f>
        <v/>
      </c>
      <c r="H224" s="195">
        <f>IF(A224="","",LOG10(A224))</f>
        <v/>
      </c>
      <c r="I224" s="195">
        <f>IF(B224="","",LOG10(MAX(B224,1E-12)))</f>
        <v/>
      </c>
      <c r="J224" s="195">
        <f>IF(D224="","",LOG10(MAX(D224,1E-12)))</f>
        <v/>
      </c>
      <c r="K224">
        <f>IF(A224="","",ROUND(1+(LOG10(A224)-LOG10('入力・概要'!$B$38))*('入力・概要'!$B$40-1)/(LOG10('入力・概要'!$B$39)-LOG10('入力・概要'!$B$38)),0)+3)</f>
        <v/>
      </c>
      <c r="L224">
        <f>IF(K224="","",INDEX('同相3導体'!$B:$B,K224))</f>
        <v/>
      </c>
      <c r="M224">
        <f>IF(A224="","",IF(ABS(L224/A224-1)&lt;0.01,"周波数差&lt;1%","周波数差あり"))</f>
        <v/>
      </c>
    </row>
    <row r="225">
      <c r="A225" s="197" t="n"/>
      <c r="B225" s="198" t="n"/>
      <c r="C225" s="198" t="n"/>
      <c r="D225" s="195">
        <f>IF(K225="","",INDEX('同相3導体'!$AB:$AB,K225))</f>
        <v/>
      </c>
      <c r="E225" s="195">
        <f>IF(K225="","",INDEX('同相3導体'!$AC:$AC,K225))</f>
        <v/>
      </c>
      <c r="F225" s="195">
        <f>IF(OR(A225="",B225=""),"",100*(D225-B225)/MAX(B225,1E-12))</f>
        <v/>
      </c>
      <c r="G225" s="195">
        <f>IF(OR(A225="",C225=""),"",E225-C225)</f>
        <v/>
      </c>
      <c r="H225" s="195">
        <f>IF(A225="","",LOG10(A225))</f>
        <v/>
      </c>
      <c r="I225" s="195">
        <f>IF(B225="","",LOG10(MAX(B225,1E-12)))</f>
        <v/>
      </c>
      <c r="J225" s="195">
        <f>IF(D225="","",LOG10(MAX(D225,1E-12)))</f>
        <v/>
      </c>
      <c r="K225">
        <f>IF(A225="","",ROUND(1+(LOG10(A225)-LOG10('入力・概要'!$B$38))*('入力・概要'!$B$40-1)/(LOG10('入力・概要'!$B$39)-LOG10('入力・概要'!$B$38)),0)+3)</f>
        <v/>
      </c>
      <c r="L225">
        <f>IF(K225="","",INDEX('同相3導体'!$B:$B,K225))</f>
        <v/>
      </c>
      <c r="M225">
        <f>IF(A225="","",IF(ABS(L225/A225-1)&lt;0.01,"周波数差&lt;1%","周波数差あり"))</f>
        <v/>
      </c>
    </row>
    <row r="226">
      <c r="A226" s="197" t="n"/>
      <c r="B226" s="198" t="n"/>
      <c r="C226" s="198" t="n"/>
      <c r="D226" s="195">
        <f>IF(K226="","",INDEX('同相3導体'!$AB:$AB,K226))</f>
        <v/>
      </c>
      <c r="E226" s="195">
        <f>IF(K226="","",INDEX('同相3導体'!$AC:$AC,K226))</f>
        <v/>
      </c>
      <c r="F226" s="195">
        <f>IF(OR(A226="",B226=""),"",100*(D226-B226)/MAX(B226,1E-12))</f>
        <v/>
      </c>
      <c r="G226" s="195">
        <f>IF(OR(A226="",C226=""),"",E226-C226)</f>
        <v/>
      </c>
      <c r="H226" s="195">
        <f>IF(A226="","",LOG10(A226))</f>
        <v/>
      </c>
      <c r="I226" s="195">
        <f>IF(B226="","",LOG10(MAX(B226,1E-12)))</f>
        <v/>
      </c>
      <c r="J226" s="195">
        <f>IF(D226="","",LOG10(MAX(D226,1E-12)))</f>
        <v/>
      </c>
      <c r="K226">
        <f>IF(A226="","",ROUND(1+(LOG10(A226)-LOG10('入力・概要'!$B$38))*('入力・概要'!$B$40-1)/(LOG10('入力・概要'!$B$39)-LOG10('入力・概要'!$B$38)),0)+3)</f>
        <v/>
      </c>
      <c r="L226">
        <f>IF(K226="","",INDEX('同相3導体'!$B:$B,K226))</f>
        <v/>
      </c>
      <c r="M226">
        <f>IF(A226="","",IF(ABS(L226/A226-1)&lt;0.01,"周波数差&lt;1%","周波数差あり"))</f>
        <v/>
      </c>
    </row>
    <row r="227">
      <c r="A227" s="197" t="n"/>
      <c r="B227" s="198" t="n"/>
      <c r="C227" s="198" t="n"/>
      <c r="D227" s="195">
        <f>IF(K227="","",INDEX('同相3導体'!$AB:$AB,K227))</f>
        <v/>
      </c>
      <c r="E227" s="195">
        <f>IF(K227="","",INDEX('同相3導体'!$AC:$AC,K227))</f>
        <v/>
      </c>
      <c r="F227" s="195">
        <f>IF(OR(A227="",B227=""),"",100*(D227-B227)/MAX(B227,1E-12))</f>
        <v/>
      </c>
      <c r="G227" s="195">
        <f>IF(OR(A227="",C227=""),"",E227-C227)</f>
        <v/>
      </c>
      <c r="H227" s="195">
        <f>IF(A227="","",LOG10(A227))</f>
        <v/>
      </c>
      <c r="I227" s="195">
        <f>IF(B227="","",LOG10(MAX(B227,1E-12)))</f>
        <v/>
      </c>
      <c r="J227" s="195">
        <f>IF(D227="","",LOG10(MAX(D227,1E-12)))</f>
        <v/>
      </c>
      <c r="K227">
        <f>IF(A227="","",ROUND(1+(LOG10(A227)-LOG10('入力・概要'!$B$38))*('入力・概要'!$B$40-1)/(LOG10('入力・概要'!$B$39)-LOG10('入力・概要'!$B$38)),0)+3)</f>
        <v/>
      </c>
      <c r="L227">
        <f>IF(K227="","",INDEX('同相3導体'!$B:$B,K227))</f>
        <v/>
      </c>
      <c r="M227">
        <f>IF(A227="","",IF(ABS(L227/A227-1)&lt;0.01,"周波数差&lt;1%","周波数差あり"))</f>
        <v/>
      </c>
    </row>
    <row r="228">
      <c r="A228" s="197" t="n"/>
      <c r="B228" s="198" t="n"/>
      <c r="C228" s="198" t="n"/>
      <c r="D228" s="195">
        <f>IF(K228="","",INDEX('同相3導体'!$AB:$AB,K228))</f>
        <v/>
      </c>
      <c r="E228" s="195">
        <f>IF(K228="","",INDEX('同相3導体'!$AC:$AC,K228))</f>
        <v/>
      </c>
      <c r="F228" s="195">
        <f>IF(OR(A228="",B228=""),"",100*(D228-B228)/MAX(B228,1E-12))</f>
        <v/>
      </c>
      <c r="G228" s="195">
        <f>IF(OR(A228="",C228=""),"",E228-C228)</f>
        <v/>
      </c>
      <c r="H228" s="195">
        <f>IF(A228="","",LOG10(A228))</f>
        <v/>
      </c>
      <c r="I228" s="195">
        <f>IF(B228="","",LOG10(MAX(B228,1E-12)))</f>
        <v/>
      </c>
      <c r="J228" s="195">
        <f>IF(D228="","",LOG10(MAX(D228,1E-12)))</f>
        <v/>
      </c>
      <c r="K228">
        <f>IF(A228="","",ROUND(1+(LOG10(A228)-LOG10('入力・概要'!$B$38))*('入力・概要'!$B$40-1)/(LOG10('入力・概要'!$B$39)-LOG10('入力・概要'!$B$38)),0)+3)</f>
        <v/>
      </c>
      <c r="L228">
        <f>IF(K228="","",INDEX('同相3導体'!$B:$B,K228))</f>
        <v/>
      </c>
      <c r="M228">
        <f>IF(A228="","",IF(ABS(L228/A228-1)&lt;0.01,"周波数差&lt;1%","周波数差あり"))</f>
        <v/>
      </c>
    </row>
    <row r="229">
      <c r="A229" s="197" t="n"/>
      <c r="B229" s="198" t="n"/>
      <c r="C229" s="198" t="n"/>
      <c r="D229" s="195">
        <f>IF(K229="","",INDEX('同相3導体'!$AB:$AB,K229))</f>
        <v/>
      </c>
      <c r="E229" s="195">
        <f>IF(K229="","",INDEX('同相3導体'!$AC:$AC,K229))</f>
        <v/>
      </c>
      <c r="F229" s="195">
        <f>IF(OR(A229="",B229=""),"",100*(D229-B229)/MAX(B229,1E-12))</f>
        <v/>
      </c>
      <c r="G229" s="195">
        <f>IF(OR(A229="",C229=""),"",E229-C229)</f>
        <v/>
      </c>
      <c r="H229" s="195">
        <f>IF(A229="","",LOG10(A229))</f>
        <v/>
      </c>
      <c r="I229" s="195">
        <f>IF(B229="","",LOG10(MAX(B229,1E-12)))</f>
        <v/>
      </c>
      <c r="J229" s="195">
        <f>IF(D229="","",LOG10(MAX(D229,1E-12)))</f>
        <v/>
      </c>
      <c r="K229">
        <f>IF(A229="","",ROUND(1+(LOG10(A229)-LOG10('入力・概要'!$B$38))*('入力・概要'!$B$40-1)/(LOG10('入力・概要'!$B$39)-LOG10('入力・概要'!$B$38)),0)+3)</f>
        <v/>
      </c>
      <c r="L229">
        <f>IF(K229="","",INDEX('同相3導体'!$B:$B,K229))</f>
        <v/>
      </c>
      <c r="M229">
        <f>IF(A229="","",IF(ABS(L229/A229-1)&lt;0.01,"周波数差&lt;1%","周波数差あり"))</f>
        <v/>
      </c>
    </row>
    <row r="230">
      <c r="A230" s="197" t="n"/>
      <c r="B230" s="198" t="n"/>
      <c r="C230" s="198" t="n"/>
      <c r="D230" s="195">
        <f>IF(K230="","",INDEX('同相3導体'!$AB:$AB,K230))</f>
        <v/>
      </c>
      <c r="E230" s="195">
        <f>IF(K230="","",INDEX('同相3導体'!$AC:$AC,K230))</f>
        <v/>
      </c>
      <c r="F230" s="195">
        <f>IF(OR(A230="",B230=""),"",100*(D230-B230)/MAX(B230,1E-12))</f>
        <v/>
      </c>
      <c r="G230" s="195">
        <f>IF(OR(A230="",C230=""),"",E230-C230)</f>
        <v/>
      </c>
      <c r="H230" s="195">
        <f>IF(A230="","",LOG10(A230))</f>
        <v/>
      </c>
      <c r="I230" s="195">
        <f>IF(B230="","",LOG10(MAX(B230,1E-12)))</f>
        <v/>
      </c>
      <c r="J230" s="195">
        <f>IF(D230="","",LOG10(MAX(D230,1E-12)))</f>
        <v/>
      </c>
      <c r="K230">
        <f>IF(A230="","",ROUND(1+(LOG10(A230)-LOG10('入力・概要'!$B$38))*('入力・概要'!$B$40-1)/(LOG10('入力・概要'!$B$39)-LOG10('入力・概要'!$B$38)),0)+3)</f>
        <v/>
      </c>
      <c r="L230">
        <f>IF(K230="","",INDEX('同相3導体'!$B:$B,K230))</f>
        <v/>
      </c>
      <c r="M230">
        <f>IF(A230="","",IF(ABS(L230/A230-1)&lt;0.01,"周波数差&lt;1%","周波数差あり"))</f>
        <v/>
      </c>
    </row>
    <row r="231">
      <c r="A231" s="197" t="n"/>
      <c r="B231" s="198" t="n"/>
      <c r="C231" s="198" t="n"/>
      <c r="D231" s="195">
        <f>IF(K231="","",INDEX('同相3導体'!$AB:$AB,K231))</f>
        <v/>
      </c>
      <c r="E231" s="195">
        <f>IF(K231="","",INDEX('同相3導体'!$AC:$AC,K231))</f>
        <v/>
      </c>
      <c r="F231" s="195">
        <f>IF(OR(A231="",B231=""),"",100*(D231-B231)/MAX(B231,1E-12))</f>
        <v/>
      </c>
      <c r="G231" s="195">
        <f>IF(OR(A231="",C231=""),"",E231-C231)</f>
        <v/>
      </c>
      <c r="H231" s="195">
        <f>IF(A231="","",LOG10(A231))</f>
        <v/>
      </c>
      <c r="I231" s="195">
        <f>IF(B231="","",LOG10(MAX(B231,1E-12)))</f>
        <v/>
      </c>
      <c r="J231" s="195">
        <f>IF(D231="","",LOG10(MAX(D231,1E-12)))</f>
        <v/>
      </c>
      <c r="K231">
        <f>IF(A231="","",ROUND(1+(LOG10(A231)-LOG10('入力・概要'!$B$38))*('入力・概要'!$B$40-1)/(LOG10('入力・概要'!$B$39)-LOG10('入力・概要'!$B$38)),0)+3)</f>
        <v/>
      </c>
      <c r="L231">
        <f>IF(K231="","",INDEX('同相3導体'!$B:$B,K231))</f>
        <v/>
      </c>
      <c r="M231">
        <f>IF(A231="","",IF(ABS(L231/A231-1)&lt;0.01,"周波数差&lt;1%","周波数差あり"))</f>
        <v/>
      </c>
    </row>
    <row r="232">
      <c r="A232" s="197" t="n"/>
      <c r="B232" s="198" t="n"/>
      <c r="C232" s="198" t="n"/>
      <c r="D232" s="195">
        <f>IF(K232="","",INDEX('同相3導体'!$AB:$AB,K232))</f>
        <v/>
      </c>
      <c r="E232" s="195">
        <f>IF(K232="","",INDEX('同相3導体'!$AC:$AC,K232))</f>
        <v/>
      </c>
      <c r="F232" s="195">
        <f>IF(OR(A232="",B232=""),"",100*(D232-B232)/MAX(B232,1E-12))</f>
        <v/>
      </c>
      <c r="G232" s="195">
        <f>IF(OR(A232="",C232=""),"",E232-C232)</f>
        <v/>
      </c>
      <c r="H232" s="195">
        <f>IF(A232="","",LOG10(A232))</f>
        <v/>
      </c>
      <c r="I232" s="195">
        <f>IF(B232="","",LOG10(MAX(B232,1E-12)))</f>
        <v/>
      </c>
      <c r="J232" s="195">
        <f>IF(D232="","",LOG10(MAX(D232,1E-12)))</f>
        <v/>
      </c>
      <c r="K232">
        <f>IF(A232="","",ROUND(1+(LOG10(A232)-LOG10('入力・概要'!$B$38))*('入力・概要'!$B$40-1)/(LOG10('入力・概要'!$B$39)-LOG10('入力・概要'!$B$38)),0)+3)</f>
        <v/>
      </c>
      <c r="L232">
        <f>IF(K232="","",INDEX('同相3導体'!$B:$B,K232))</f>
        <v/>
      </c>
      <c r="M232">
        <f>IF(A232="","",IF(ABS(L232/A232-1)&lt;0.01,"周波数差&lt;1%","周波数差あり"))</f>
        <v/>
      </c>
    </row>
    <row r="233">
      <c r="A233" s="197" t="n"/>
      <c r="B233" s="198" t="n"/>
      <c r="C233" s="198" t="n"/>
      <c r="D233" s="195">
        <f>IF(K233="","",INDEX('同相3導体'!$AB:$AB,K233))</f>
        <v/>
      </c>
      <c r="E233" s="195">
        <f>IF(K233="","",INDEX('同相3導体'!$AC:$AC,K233))</f>
        <v/>
      </c>
      <c r="F233" s="195">
        <f>IF(OR(A233="",B233=""),"",100*(D233-B233)/MAX(B233,1E-12))</f>
        <v/>
      </c>
      <c r="G233" s="195">
        <f>IF(OR(A233="",C233=""),"",E233-C233)</f>
        <v/>
      </c>
      <c r="H233" s="195">
        <f>IF(A233="","",LOG10(A233))</f>
        <v/>
      </c>
      <c r="I233" s="195">
        <f>IF(B233="","",LOG10(MAX(B233,1E-12)))</f>
        <v/>
      </c>
      <c r="J233" s="195">
        <f>IF(D233="","",LOG10(MAX(D233,1E-12)))</f>
        <v/>
      </c>
      <c r="K233">
        <f>IF(A233="","",ROUND(1+(LOG10(A233)-LOG10('入力・概要'!$B$38))*('入力・概要'!$B$40-1)/(LOG10('入力・概要'!$B$39)-LOG10('入力・概要'!$B$38)),0)+3)</f>
        <v/>
      </c>
      <c r="L233">
        <f>IF(K233="","",INDEX('同相3導体'!$B:$B,K233))</f>
        <v/>
      </c>
      <c r="M233">
        <f>IF(A233="","",IF(ABS(L233/A233-1)&lt;0.01,"周波数差&lt;1%","周波数差あり"))</f>
        <v/>
      </c>
    </row>
    <row r="234">
      <c r="A234" s="197" t="n"/>
      <c r="B234" s="198" t="n"/>
      <c r="C234" s="198" t="n"/>
      <c r="D234" s="195">
        <f>IF(K234="","",INDEX('同相3導体'!$AB:$AB,K234))</f>
        <v/>
      </c>
      <c r="E234" s="195">
        <f>IF(K234="","",INDEX('同相3導体'!$AC:$AC,K234))</f>
        <v/>
      </c>
      <c r="F234" s="195">
        <f>IF(OR(A234="",B234=""),"",100*(D234-B234)/MAX(B234,1E-12))</f>
        <v/>
      </c>
      <c r="G234" s="195">
        <f>IF(OR(A234="",C234=""),"",E234-C234)</f>
        <v/>
      </c>
      <c r="H234" s="195">
        <f>IF(A234="","",LOG10(A234))</f>
        <v/>
      </c>
      <c r="I234" s="195">
        <f>IF(B234="","",LOG10(MAX(B234,1E-12)))</f>
        <v/>
      </c>
      <c r="J234" s="195">
        <f>IF(D234="","",LOG10(MAX(D234,1E-12)))</f>
        <v/>
      </c>
      <c r="K234">
        <f>IF(A234="","",ROUND(1+(LOG10(A234)-LOG10('入力・概要'!$B$38))*('入力・概要'!$B$40-1)/(LOG10('入力・概要'!$B$39)-LOG10('入力・概要'!$B$38)),0)+3)</f>
        <v/>
      </c>
      <c r="L234">
        <f>IF(K234="","",INDEX('同相3導体'!$B:$B,K234))</f>
        <v/>
      </c>
      <c r="M234">
        <f>IF(A234="","",IF(ABS(L234/A234-1)&lt;0.01,"周波数差&lt;1%","周波数差あり"))</f>
        <v/>
      </c>
    </row>
    <row r="235">
      <c r="A235" s="197" t="n"/>
      <c r="B235" s="198" t="n"/>
      <c r="C235" s="198" t="n"/>
      <c r="D235" s="195">
        <f>IF(K235="","",INDEX('同相3導体'!$AB:$AB,K235))</f>
        <v/>
      </c>
      <c r="E235" s="195">
        <f>IF(K235="","",INDEX('同相3導体'!$AC:$AC,K235))</f>
        <v/>
      </c>
      <c r="F235" s="195">
        <f>IF(OR(A235="",B235=""),"",100*(D235-B235)/MAX(B235,1E-12))</f>
        <v/>
      </c>
      <c r="G235" s="195">
        <f>IF(OR(A235="",C235=""),"",E235-C235)</f>
        <v/>
      </c>
      <c r="H235" s="195">
        <f>IF(A235="","",LOG10(A235))</f>
        <v/>
      </c>
      <c r="I235" s="195">
        <f>IF(B235="","",LOG10(MAX(B235,1E-12)))</f>
        <v/>
      </c>
      <c r="J235" s="195">
        <f>IF(D235="","",LOG10(MAX(D235,1E-12)))</f>
        <v/>
      </c>
      <c r="K235">
        <f>IF(A235="","",ROUND(1+(LOG10(A235)-LOG10('入力・概要'!$B$38))*('入力・概要'!$B$40-1)/(LOG10('入力・概要'!$B$39)-LOG10('入力・概要'!$B$38)),0)+3)</f>
        <v/>
      </c>
      <c r="L235">
        <f>IF(K235="","",INDEX('同相3導体'!$B:$B,K235))</f>
        <v/>
      </c>
      <c r="M235">
        <f>IF(A235="","",IF(ABS(L235/A235-1)&lt;0.01,"周波数差&lt;1%","周波数差あり"))</f>
        <v/>
      </c>
    </row>
    <row r="236">
      <c r="A236" s="197" t="n"/>
      <c r="B236" s="198" t="n"/>
      <c r="C236" s="198" t="n"/>
      <c r="D236" s="195">
        <f>IF(K236="","",INDEX('同相3導体'!$AB:$AB,K236))</f>
        <v/>
      </c>
      <c r="E236" s="195">
        <f>IF(K236="","",INDEX('同相3導体'!$AC:$AC,K236))</f>
        <v/>
      </c>
      <c r="F236" s="195">
        <f>IF(OR(A236="",B236=""),"",100*(D236-B236)/MAX(B236,1E-12))</f>
        <v/>
      </c>
      <c r="G236" s="195">
        <f>IF(OR(A236="",C236=""),"",E236-C236)</f>
        <v/>
      </c>
      <c r="H236" s="195">
        <f>IF(A236="","",LOG10(A236))</f>
        <v/>
      </c>
      <c r="I236" s="195">
        <f>IF(B236="","",LOG10(MAX(B236,1E-12)))</f>
        <v/>
      </c>
      <c r="J236" s="195">
        <f>IF(D236="","",LOG10(MAX(D236,1E-12)))</f>
        <v/>
      </c>
      <c r="K236">
        <f>IF(A236="","",ROUND(1+(LOG10(A236)-LOG10('入力・概要'!$B$38))*('入力・概要'!$B$40-1)/(LOG10('入力・概要'!$B$39)-LOG10('入力・概要'!$B$38)),0)+3)</f>
        <v/>
      </c>
      <c r="L236">
        <f>IF(K236="","",INDEX('同相3導体'!$B:$B,K236))</f>
        <v/>
      </c>
      <c r="M236">
        <f>IF(A236="","",IF(ABS(L236/A236-1)&lt;0.01,"周波数差&lt;1%","周波数差あり"))</f>
        <v/>
      </c>
    </row>
    <row r="237">
      <c r="A237" s="197" t="n"/>
      <c r="B237" s="198" t="n"/>
      <c r="C237" s="198" t="n"/>
      <c r="D237" s="195">
        <f>IF(K237="","",INDEX('同相3導体'!$AB:$AB,K237))</f>
        <v/>
      </c>
      <c r="E237" s="195">
        <f>IF(K237="","",INDEX('同相3導体'!$AC:$AC,K237))</f>
        <v/>
      </c>
      <c r="F237" s="195">
        <f>IF(OR(A237="",B237=""),"",100*(D237-B237)/MAX(B237,1E-12))</f>
        <v/>
      </c>
      <c r="G237" s="195">
        <f>IF(OR(A237="",C237=""),"",E237-C237)</f>
        <v/>
      </c>
      <c r="H237" s="195">
        <f>IF(A237="","",LOG10(A237))</f>
        <v/>
      </c>
      <c r="I237" s="195">
        <f>IF(B237="","",LOG10(MAX(B237,1E-12)))</f>
        <v/>
      </c>
      <c r="J237" s="195">
        <f>IF(D237="","",LOG10(MAX(D237,1E-12)))</f>
        <v/>
      </c>
      <c r="K237">
        <f>IF(A237="","",ROUND(1+(LOG10(A237)-LOG10('入力・概要'!$B$38))*('入力・概要'!$B$40-1)/(LOG10('入力・概要'!$B$39)-LOG10('入力・概要'!$B$38)),0)+3)</f>
        <v/>
      </c>
      <c r="L237">
        <f>IF(K237="","",INDEX('同相3導体'!$B:$B,K237))</f>
        <v/>
      </c>
      <c r="M237">
        <f>IF(A237="","",IF(ABS(L237/A237-1)&lt;0.01,"周波数差&lt;1%","周波数差あり"))</f>
        <v/>
      </c>
    </row>
    <row r="238">
      <c r="A238" s="197" t="n"/>
      <c r="B238" s="198" t="n"/>
      <c r="C238" s="198" t="n"/>
      <c r="D238" s="195">
        <f>IF(K238="","",INDEX('同相3導体'!$AB:$AB,K238))</f>
        <v/>
      </c>
      <c r="E238" s="195">
        <f>IF(K238="","",INDEX('同相3導体'!$AC:$AC,K238))</f>
        <v/>
      </c>
      <c r="F238" s="195">
        <f>IF(OR(A238="",B238=""),"",100*(D238-B238)/MAX(B238,1E-12))</f>
        <v/>
      </c>
      <c r="G238" s="195">
        <f>IF(OR(A238="",C238=""),"",E238-C238)</f>
        <v/>
      </c>
      <c r="H238" s="195">
        <f>IF(A238="","",LOG10(A238))</f>
        <v/>
      </c>
      <c r="I238" s="195">
        <f>IF(B238="","",LOG10(MAX(B238,1E-12)))</f>
        <v/>
      </c>
      <c r="J238" s="195">
        <f>IF(D238="","",LOG10(MAX(D238,1E-12)))</f>
        <v/>
      </c>
      <c r="K238">
        <f>IF(A238="","",ROUND(1+(LOG10(A238)-LOG10('入力・概要'!$B$38))*('入力・概要'!$B$40-1)/(LOG10('入力・概要'!$B$39)-LOG10('入力・概要'!$B$38)),0)+3)</f>
        <v/>
      </c>
      <c r="L238">
        <f>IF(K238="","",INDEX('同相3導体'!$B:$B,K238))</f>
        <v/>
      </c>
      <c r="M238">
        <f>IF(A238="","",IF(ABS(L238/A238-1)&lt;0.01,"周波数差&lt;1%","周波数差あり"))</f>
        <v/>
      </c>
    </row>
    <row r="239">
      <c r="A239" s="197" t="n"/>
      <c r="B239" s="198" t="n"/>
      <c r="C239" s="198" t="n"/>
      <c r="D239" s="195">
        <f>IF(K239="","",INDEX('同相3導体'!$AB:$AB,K239))</f>
        <v/>
      </c>
      <c r="E239" s="195">
        <f>IF(K239="","",INDEX('同相3導体'!$AC:$AC,K239))</f>
        <v/>
      </c>
      <c r="F239" s="195">
        <f>IF(OR(A239="",B239=""),"",100*(D239-B239)/MAX(B239,1E-12))</f>
        <v/>
      </c>
      <c r="G239" s="195">
        <f>IF(OR(A239="",C239=""),"",E239-C239)</f>
        <v/>
      </c>
      <c r="H239" s="195">
        <f>IF(A239="","",LOG10(A239))</f>
        <v/>
      </c>
      <c r="I239" s="195">
        <f>IF(B239="","",LOG10(MAX(B239,1E-12)))</f>
        <v/>
      </c>
      <c r="J239" s="195">
        <f>IF(D239="","",LOG10(MAX(D239,1E-12)))</f>
        <v/>
      </c>
      <c r="K239">
        <f>IF(A239="","",ROUND(1+(LOG10(A239)-LOG10('入力・概要'!$B$38))*('入力・概要'!$B$40-1)/(LOG10('入力・概要'!$B$39)-LOG10('入力・概要'!$B$38)),0)+3)</f>
        <v/>
      </c>
      <c r="L239">
        <f>IF(K239="","",INDEX('同相3導体'!$B:$B,K239))</f>
        <v/>
      </c>
      <c r="M239">
        <f>IF(A239="","",IF(ABS(L239/A239-1)&lt;0.01,"周波数差&lt;1%","周波数差あり"))</f>
        <v/>
      </c>
    </row>
    <row r="240">
      <c r="A240" s="197" t="n"/>
      <c r="B240" s="198" t="n"/>
      <c r="C240" s="198" t="n"/>
      <c r="D240" s="195">
        <f>IF(K240="","",INDEX('同相3導体'!$AB:$AB,K240))</f>
        <v/>
      </c>
      <c r="E240" s="195">
        <f>IF(K240="","",INDEX('同相3導体'!$AC:$AC,K240))</f>
        <v/>
      </c>
      <c r="F240" s="195">
        <f>IF(OR(A240="",B240=""),"",100*(D240-B240)/MAX(B240,1E-12))</f>
        <v/>
      </c>
      <c r="G240" s="195">
        <f>IF(OR(A240="",C240=""),"",E240-C240)</f>
        <v/>
      </c>
      <c r="H240" s="195">
        <f>IF(A240="","",LOG10(A240))</f>
        <v/>
      </c>
      <c r="I240" s="195">
        <f>IF(B240="","",LOG10(MAX(B240,1E-12)))</f>
        <v/>
      </c>
      <c r="J240" s="195">
        <f>IF(D240="","",LOG10(MAX(D240,1E-12)))</f>
        <v/>
      </c>
      <c r="K240">
        <f>IF(A240="","",ROUND(1+(LOG10(A240)-LOG10('入力・概要'!$B$38))*('入力・概要'!$B$40-1)/(LOG10('入力・概要'!$B$39)-LOG10('入力・概要'!$B$38)),0)+3)</f>
        <v/>
      </c>
      <c r="L240">
        <f>IF(K240="","",INDEX('同相3導体'!$B:$B,K240))</f>
        <v/>
      </c>
      <c r="M240">
        <f>IF(A240="","",IF(ABS(L240/A240-1)&lt;0.01,"周波数差&lt;1%","周波数差あり"))</f>
        <v/>
      </c>
    </row>
    <row r="241">
      <c r="A241" s="197" t="n"/>
      <c r="B241" s="198" t="n"/>
      <c r="C241" s="198" t="n"/>
      <c r="D241" s="195">
        <f>IF(K241="","",INDEX('同相3導体'!$AB:$AB,K241))</f>
        <v/>
      </c>
      <c r="E241" s="195">
        <f>IF(K241="","",INDEX('同相3導体'!$AC:$AC,K241))</f>
        <v/>
      </c>
      <c r="F241" s="195">
        <f>IF(OR(A241="",B241=""),"",100*(D241-B241)/MAX(B241,1E-12))</f>
        <v/>
      </c>
      <c r="G241" s="195">
        <f>IF(OR(A241="",C241=""),"",E241-C241)</f>
        <v/>
      </c>
      <c r="H241" s="195">
        <f>IF(A241="","",LOG10(A241))</f>
        <v/>
      </c>
      <c r="I241" s="195">
        <f>IF(B241="","",LOG10(MAX(B241,1E-12)))</f>
        <v/>
      </c>
      <c r="J241" s="195">
        <f>IF(D241="","",LOG10(MAX(D241,1E-12)))</f>
        <v/>
      </c>
      <c r="K241">
        <f>IF(A241="","",ROUND(1+(LOG10(A241)-LOG10('入力・概要'!$B$38))*('入力・概要'!$B$40-1)/(LOG10('入力・概要'!$B$39)-LOG10('入力・概要'!$B$38)),0)+3)</f>
        <v/>
      </c>
      <c r="L241">
        <f>IF(K241="","",INDEX('同相3導体'!$B:$B,K241))</f>
        <v/>
      </c>
      <c r="M241">
        <f>IF(A241="","",IF(ABS(L241/A241-1)&lt;0.01,"周波数差&lt;1%","周波数差あり"))</f>
        <v/>
      </c>
    </row>
    <row r="242">
      <c r="A242" s="197" t="n"/>
      <c r="B242" s="198" t="n"/>
      <c r="C242" s="198" t="n"/>
      <c r="D242" s="195">
        <f>IF(K242="","",INDEX('同相3導体'!$AB:$AB,K242))</f>
        <v/>
      </c>
      <c r="E242" s="195">
        <f>IF(K242="","",INDEX('同相3導体'!$AC:$AC,K242))</f>
        <v/>
      </c>
      <c r="F242" s="195">
        <f>IF(OR(A242="",B242=""),"",100*(D242-B242)/MAX(B242,1E-12))</f>
        <v/>
      </c>
      <c r="G242" s="195">
        <f>IF(OR(A242="",C242=""),"",E242-C242)</f>
        <v/>
      </c>
      <c r="H242" s="195">
        <f>IF(A242="","",LOG10(A242))</f>
        <v/>
      </c>
      <c r="I242" s="195">
        <f>IF(B242="","",LOG10(MAX(B242,1E-12)))</f>
        <v/>
      </c>
      <c r="J242" s="195">
        <f>IF(D242="","",LOG10(MAX(D242,1E-12)))</f>
        <v/>
      </c>
      <c r="K242">
        <f>IF(A242="","",ROUND(1+(LOG10(A242)-LOG10('入力・概要'!$B$38))*('入力・概要'!$B$40-1)/(LOG10('入力・概要'!$B$39)-LOG10('入力・概要'!$B$38)),0)+3)</f>
        <v/>
      </c>
      <c r="L242">
        <f>IF(K242="","",INDEX('同相3導体'!$B:$B,K242))</f>
        <v/>
      </c>
      <c r="M242">
        <f>IF(A242="","",IF(ABS(L242/A242-1)&lt;0.01,"周波数差&lt;1%","周波数差あり"))</f>
        <v/>
      </c>
    </row>
    <row r="243">
      <c r="A243" s="197" t="n"/>
      <c r="B243" s="198" t="n"/>
      <c r="C243" s="198" t="n"/>
      <c r="D243" s="195">
        <f>IF(K243="","",INDEX('同相3導体'!$AB:$AB,K243))</f>
        <v/>
      </c>
      <c r="E243" s="195">
        <f>IF(K243="","",INDEX('同相3導体'!$AC:$AC,K243))</f>
        <v/>
      </c>
      <c r="F243" s="195">
        <f>IF(OR(A243="",B243=""),"",100*(D243-B243)/MAX(B243,1E-12))</f>
        <v/>
      </c>
      <c r="G243" s="195">
        <f>IF(OR(A243="",C243=""),"",E243-C243)</f>
        <v/>
      </c>
      <c r="H243" s="195">
        <f>IF(A243="","",LOG10(A243))</f>
        <v/>
      </c>
      <c r="I243" s="195">
        <f>IF(B243="","",LOG10(MAX(B243,1E-12)))</f>
        <v/>
      </c>
      <c r="J243" s="195">
        <f>IF(D243="","",LOG10(MAX(D243,1E-12)))</f>
        <v/>
      </c>
      <c r="K243">
        <f>IF(A243="","",ROUND(1+(LOG10(A243)-LOG10('入力・概要'!$B$38))*('入力・概要'!$B$40-1)/(LOG10('入力・概要'!$B$39)-LOG10('入力・概要'!$B$38)),0)+3)</f>
        <v/>
      </c>
      <c r="L243">
        <f>IF(K243="","",INDEX('同相3導体'!$B:$B,K243))</f>
        <v/>
      </c>
      <c r="M243">
        <f>IF(A243="","",IF(ABS(L243/A243-1)&lt;0.01,"周波数差&lt;1%","周波数差あり"))</f>
        <v/>
      </c>
    </row>
    <row r="244">
      <c r="A244" s="197" t="n"/>
      <c r="B244" s="198" t="n"/>
      <c r="C244" s="198" t="n"/>
      <c r="D244" s="195">
        <f>IF(K244="","",INDEX('同相3導体'!$AB:$AB,K244))</f>
        <v/>
      </c>
      <c r="E244" s="195">
        <f>IF(K244="","",INDEX('同相3導体'!$AC:$AC,K244))</f>
        <v/>
      </c>
      <c r="F244" s="195">
        <f>IF(OR(A244="",B244=""),"",100*(D244-B244)/MAX(B244,1E-12))</f>
        <v/>
      </c>
      <c r="G244" s="195">
        <f>IF(OR(A244="",C244=""),"",E244-C244)</f>
        <v/>
      </c>
      <c r="H244" s="195">
        <f>IF(A244="","",LOG10(A244))</f>
        <v/>
      </c>
      <c r="I244" s="195">
        <f>IF(B244="","",LOG10(MAX(B244,1E-12)))</f>
        <v/>
      </c>
      <c r="J244" s="195">
        <f>IF(D244="","",LOG10(MAX(D244,1E-12)))</f>
        <v/>
      </c>
      <c r="K244">
        <f>IF(A244="","",ROUND(1+(LOG10(A244)-LOG10('入力・概要'!$B$38))*('入力・概要'!$B$40-1)/(LOG10('入力・概要'!$B$39)-LOG10('入力・概要'!$B$38)),0)+3)</f>
        <v/>
      </c>
      <c r="L244">
        <f>IF(K244="","",INDEX('同相3導体'!$B:$B,K244))</f>
        <v/>
      </c>
      <c r="M244">
        <f>IF(A244="","",IF(ABS(L244/A244-1)&lt;0.01,"周波数差&lt;1%","周波数差あり"))</f>
        <v/>
      </c>
    </row>
    <row r="245">
      <c r="A245" s="197" t="n"/>
      <c r="B245" s="198" t="n"/>
      <c r="C245" s="198" t="n"/>
      <c r="D245" s="195">
        <f>IF(K245="","",INDEX('同相3導体'!$AB:$AB,K245))</f>
        <v/>
      </c>
      <c r="E245" s="195">
        <f>IF(K245="","",INDEX('同相3導体'!$AC:$AC,K245))</f>
        <v/>
      </c>
      <c r="F245" s="195">
        <f>IF(OR(A245="",B245=""),"",100*(D245-B245)/MAX(B245,1E-12))</f>
        <v/>
      </c>
      <c r="G245" s="195">
        <f>IF(OR(A245="",C245=""),"",E245-C245)</f>
        <v/>
      </c>
      <c r="H245" s="195">
        <f>IF(A245="","",LOG10(A245))</f>
        <v/>
      </c>
      <c r="I245" s="195">
        <f>IF(B245="","",LOG10(MAX(B245,1E-12)))</f>
        <v/>
      </c>
      <c r="J245" s="195">
        <f>IF(D245="","",LOG10(MAX(D245,1E-12)))</f>
        <v/>
      </c>
      <c r="K245">
        <f>IF(A245="","",ROUND(1+(LOG10(A245)-LOG10('入力・概要'!$B$38))*('入力・概要'!$B$40-1)/(LOG10('入力・概要'!$B$39)-LOG10('入力・概要'!$B$38)),0)+3)</f>
        <v/>
      </c>
      <c r="L245">
        <f>IF(K245="","",INDEX('同相3導体'!$B:$B,K245))</f>
        <v/>
      </c>
      <c r="M245">
        <f>IF(A245="","",IF(ABS(L245/A245-1)&lt;0.01,"周波数差&lt;1%","周波数差あり"))</f>
        <v/>
      </c>
    </row>
    <row r="246">
      <c r="A246" s="197" t="n"/>
      <c r="B246" s="198" t="n"/>
      <c r="C246" s="198" t="n"/>
      <c r="D246" s="195">
        <f>IF(K246="","",INDEX('同相3導体'!$AB:$AB,K246))</f>
        <v/>
      </c>
      <c r="E246" s="195">
        <f>IF(K246="","",INDEX('同相3導体'!$AC:$AC,K246))</f>
        <v/>
      </c>
      <c r="F246" s="195">
        <f>IF(OR(A246="",B246=""),"",100*(D246-B246)/MAX(B246,1E-12))</f>
        <v/>
      </c>
      <c r="G246" s="195">
        <f>IF(OR(A246="",C246=""),"",E246-C246)</f>
        <v/>
      </c>
      <c r="H246" s="195">
        <f>IF(A246="","",LOG10(A246))</f>
        <v/>
      </c>
      <c r="I246" s="195">
        <f>IF(B246="","",LOG10(MAX(B246,1E-12)))</f>
        <v/>
      </c>
      <c r="J246" s="195">
        <f>IF(D246="","",LOG10(MAX(D246,1E-12)))</f>
        <v/>
      </c>
      <c r="K246">
        <f>IF(A246="","",ROUND(1+(LOG10(A246)-LOG10('入力・概要'!$B$38))*('入力・概要'!$B$40-1)/(LOG10('入力・概要'!$B$39)-LOG10('入力・概要'!$B$38)),0)+3)</f>
        <v/>
      </c>
      <c r="L246">
        <f>IF(K246="","",INDEX('同相3導体'!$B:$B,K246))</f>
        <v/>
      </c>
      <c r="M246">
        <f>IF(A246="","",IF(ABS(L246/A246-1)&lt;0.01,"周波数差&lt;1%","周波数差あり"))</f>
        <v/>
      </c>
    </row>
    <row r="247">
      <c r="A247" s="197" t="n"/>
      <c r="B247" s="198" t="n"/>
      <c r="C247" s="198" t="n"/>
      <c r="D247" s="195">
        <f>IF(K247="","",INDEX('同相3導体'!$AB:$AB,K247))</f>
        <v/>
      </c>
      <c r="E247" s="195">
        <f>IF(K247="","",INDEX('同相3導体'!$AC:$AC,K247))</f>
        <v/>
      </c>
      <c r="F247" s="195">
        <f>IF(OR(A247="",B247=""),"",100*(D247-B247)/MAX(B247,1E-12))</f>
        <v/>
      </c>
      <c r="G247" s="195">
        <f>IF(OR(A247="",C247=""),"",E247-C247)</f>
        <v/>
      </c>
      <c r="H247" s="195">
        <f>IF(A247="","",LOG10(A247))</f>
        <v/>
      </c>
      <c r="I247" s="195">
        <f>IF(B247="","",LOG10(MAX(B247,1E-12)))</f>
        <v/>
      </c>
      <c r="J247" s="195">
        <f>IF(D247="","",LOG10(MAX(D247,1E-12)))</f>
        <v/>
      </c>
      <c r="K247">
        <f>IF(A247="","",ROUND(1+(LOG10(A247)-LOG10('入力・概要'!$B$38))*('入力・概要'!$B$40-1)/(LOG10('入力・概要'!$B$39)-LOG10('入力・概要'!$B$38)),0)+3)</f>
        <v/>
      </c>
      <c r="L247">
        <f>IF(K247="","",INDEX('同相3導体'!$B:$B,K247))</f>
        <v/>
      </c>
      <c r="M247">
        <f>IF(A247="","",IF(ABS(L247/A247-1)&lt;0.01,"周波数差&lt;1%","周波数差あり"))</f>
        <v/>
      </c>
    </row>
    <row r="248">
      <c r="A248" s="197" t="n"/>
      <c r="B248" s="198" t="n"/>
      <c r="C248" s="198" t="n"/>
      <c r="D248" s="195">
        <f>IF(K248="","",INDEX('同相3導体'!$AB:$AB,K248))</f>
        <v/>
      </c>
      <c r="E248" s="195">
        <f>IF(K248="","",INDEX('同相3導体'!$AC:$AC,K248))</f>
        <v/>
      </c>
      <c r="F248" s="195">
        <f>IF(OR(A248="",B248=""),"",100*(D248-B248)/MAX(B248,1E-12))</f>
        <v/>
      </c>
      <c r="G248" s="195">
        <f>IF(OR(A248="",C248=""),"",E248-C248)</f>
        <v/>
      </c>
      <c r="H248" s="195">
        <f>IF(A248="","",LOG10(A248))</f>
        <v/>
      </c>
      <c r="I248" s="195">
        <f>IF(B248="","",LOG10(MAX(B248,1E-12)))</f>
        <v/>
      </c>
      <c r="J248" s="195">
        <f>IF(D248="","",LOG10(MAX(D248,1E-12)))</f>
        <v/>
      </c>
      <c r="K248">
        <f>IF(A248="","",ROUND(1+(LOG10(A248)-LOG10('入力・概要'!$B$38))*('入力・概要'!$B$40-1)/(LOG10('入力・概要'!$B$39)-LOG10('入力・概要'!$B$38)),0)+3)</f>
        <v/>
      </c>
      <c r="L248">
        <f>IF(K248="","",INDEX('同相3導体'!$B:$B,K248))</f>
        <v/>
      </c>
      <c r="M248">
        <f>IF(A248="","",IF(ABS(L248/A248-1)&lt;0.01,"周波数差&lt;1%","周波数差あり"))</f>
        <v/>
      </c>
    </row>
    <row r="249">
      <c r="A249" s="197" t="n"/>
      <c r="B249" s="198" t="n"/>
      <c r="C249" s="198" t="n"/>
      <c r="D249" s="195">
        <f>IF(K249="","",INDEX('同相3導体'!$AB:$AB,K249))</f>
        <v/>
      </c>
      <c r="E249" s="195">
        <f>IF(K249="","",INDEX('同相3導体'!$AC:$AC,K249))</f>
        <v/>
      </c>
      <c r="F249" s="195">
        <f>IF(OR(A249="",B249=""),"",100*(D249-B249)/MAX(B249,1E-12))</f>
        <v/>
      </c>
      <c r="G249" s="195">
        <f>IF(OR(A249="",C249=""),"",E249-C249)</f>
        <v/>
      </c>
      <c r="H249" s="195">
        <f>IF(A249="","",LOG10(A249))</f>
        <v/>
      </c>
      <c r="I249" s="195">
        <f>IF(B249="","",LOG10(MAX(B249,1E-12)))</f>
        <v/>
      </c>
      <c r="J249" s="195">
        <f>IF(D249="","",LOG10(MAX(D249,1E-12)))</f>
        <v/>
      </c>
      <c r="K249">
        <f>IF(A249="","",ROUND(1+(LOG10(A249)-LOG10('入力・概要'!$B$38))*('入力・概要'!$B$40-1)/(LOG10('入力・概要'!$B$39)-LOG10('入力・概要'!$B$38)),0)+3)</f>
        <v/>
      </c>
      <c r="L249">
        <f>IF(K249="","",INDEX('同相3導体'!$B:$B,K249))</f>
        <v/>
      </c>
      <c r="M249">
        <f>IF(A249="","",IF(ABS(L249/A249-1)&lt;0.01,"周波数差&lt;1%","周波数差あり"))</f>
        <v/>
      </c>
    </row>
    <row r="250">
      <c r="A250" s="197" t="n"/>
      <c r="B250" s="198" t="n"/>
      <c r="C250" s="198" t="n"/>
      <c r="D250" s="195">
        <f>IF(K250="","",INDEX('同相3導体'!$AB:$AB,K250))</f>
        <v/>
      </c>
      <c r="E250" s="195">
        <f>IF(K250="","",INDEX('同相3導体'!$AC:$AC,K250))</f>
        <v/>
      </c>
      <c r="F250" s="195">
        <f>IF(OR(A250="",B250=""),"",100*(D250-B250)/MAX(B250,1E-12))</f>
        <v/>
      </c>
      <c r="G250" s="195">
        <f>IF(OR(A250="",C250=""),"",E250-C250)</f>
        <v/>
      </c>
      <c r="H250" s="195">
        <f>IF(A250="","",LOG10(A250))</f>
        <v/>
      </c>
      <c r="I250" s="195">
        <f>IF(B250="","",LOG10(MAX(B250,1E-12)))</f>
        <v/>
      </c>
      <c r="J250" s="195">
        <f>IF(D250="","",LOG10(MAX(D250,1E-12)))</f>
        <v/>
      </c>
      <c r="K250">
        <f>IF(A250="","",ROUND(1+(LOG10(A250)-LOG10('入力・概要'!$B$38))*('入力・概要'!$B$40-1)/(LOG10('入力・概要'!$B$39)-LOG10('入力・概要'!$B$38)),0)+3)</f>
        <v/>
      </c>
      <c r="L250">
        <f>IF(K250="","",INDEX('同相3導体'!$B:$B,K250))</f>
        <v/>
      </c>
      <c r="M250">
        <f>IF(A250="","",IF(ABS(L250/A250-1)&lt;0.01,"周波数差&lt;1%","周波数差あり"))</f>
        <v/>
      </c>
    </row>
    <row r="251">
      <c r="A251" s="197" t="n"/>
      <c r="B251" s="198" t="n"/>
      <c r="C251" s="198" t="n"/>
      <c r="D251" s="195">
        <f>IF(K251="","",INDEX('同相3導体'!$AB:$AB,K251))</f>
        <v/>
      </c>
      <c r="E251" s="195">
        <f>IF(K251="","",INDEX('同相3導体'!$AC:$AC,K251))</f>
        <v/>
      </c>
      <c r="F251" s="195">
        <f>IF(OR(A251="",B251=""),"",100*(D251-B251)/MAX(B251,1E-12))</f>
        <v/>
      </c>
      <c r="G251" s="195">
        <f>IF(OR(A251="",C251=""),"",E251-C251)</f>
        <v/>
      </c>
      <c r="H251" s="195">
        <f>IF(A251="","",LOG10(A251))</f>
        <v/>
      </c>
      <c r="I251" s="195">
        <f>IF(B251="","",LOG10(MAX(B251,1E-12)))</f>
        <v/>
      </c>
      <c r="J251" s="195">
        <f>IF(D251="","",LOG10(MAX(D251,1E-12)))</f>
        <v/>
      </c>
      <c r="K251">
        <f>IF(A251="","",ROUND(1+(LOG10(A251)-LOG10('入力・概要'!$B$38))*('入力・概要'!$B$40-1)/(LOG10('入力・概要'!$B$39)-LOG10('入力・概要'!$B$38)),0)+3)</f>
        <v/>
      </c>
      <c r="L251">
        <f>IF(K251="","",INDEX('同相3導体'!$B:$B,K251))</f>
        <v/>
      </c>
      <c r="M251">
        <f>IF(A251="","",IF(ABS(L251/A251-1)&lt;0.01,"周波数差&lt;1%","周波数差あり"))</f>
        <v/>
      </c>
    </row>
    <row r="252">
      <c r="A252" s="197" t="n"/>
      <c r="B252" s="198" t="n"/>
      <c r="C252" s="198" t="n"/>
      <c r="D252" s="195">
        <f>IF(K252="","",INDEX('同相3導体'!$AB:$AB,K252))</f>
        <v/>
      </c>
      <c r="E252" s="195">
        <f>IF(K252="","",INDEX('同相3導体'!$AC:$AC,K252))</f>
        <v/>
      </c>
      <c r="F252" s="195">
        <f>IF(OR(A252="",B252=""),"",100*(D252-B252)/MAX(B252,1E-12))</f>
        <v/>
      </c>
      <c r="G252" s="195">
        <f>IF(OR(A252="",C252=""),"",E252-C252)</f>
        <v/>
      </c>
      <c r="H252" s="195">
        <f>IF(A252="","",LOG10(A252))</f>
        <v/>
      </c>
      <c r="I252" s="195">
        <f>IF(B252="","",LOG10(MAX(B252,1E-12)))</f>
        <v/>
      </c>
      <c r="J252" s="195">
        <f>IF(D252="","",LOG10(MAX(D252,1E-12)))</f>
        <v/>
      </c>
      <c r="K252">
        <f>IF(A252="","",ROUND(1+(LOG10(A252)-LOG10('入力・概要'!$B$38))*('入力・概要'!$B$40-1)/(LOG10('入力・概要'!$B$39)-LOG10('入力・概要'!$B$38)),0)+3)</f>
        <v/>
      </c>
      <c r="L252">
        <f>IF(K252="","",INDEX('同相3導体'!$B:$B,K252))</f>
        <v/>
      </c>
      <c r="M252">
        <f>IF(A252="","",IF(ABS(L252/A252-1)&lt;0.01,"周波数差&lt;1%","周波数差あり"))</f>
        <v/>
      </c>
    </row>
    <row r="253">
      <c r="A253" s="197" t="n"/>
      <c r="B253" s="198" t="n"/>
      <c r="C253" s="198" t="n"/>
      <c r="D253" s="195">
        <f>IF(K253="","",INDEX('同相3導体'!$AB:$AB,K253))</f>
        <v/>
      </c>
      <c r="E253" s="195">
        <f>IF(K253="","",INDEX('同相3導体'!$AC:$AC,K253))</f>
        <v/>
      </c>
      <c r="F253" s="195">
        <f>IF(OR(A253="",B253=""),"",100*(D253-B253)/MAX(B253,1E-12))</f>
        <v/>
      </c>
      <c r="G253" s="195">
        <f>IF(OR(A253="",C253=""),"",E253-C253)</f>
        <v/>
      </c>
      <c r="H253" s="195">
        <f>IF(A253="","",LOG10(A253))</f>
        <v/>
      </c>
      <c r="I253" s="195">
        <f>IF(B253="","",LOG10(MAX(B253,1E-12)))</f>
        <v/>
      </c>
      <c r="J253" s="195">
        <f>IF(D253="","",LOG10(MAX(D253,1E-12)))</f>
        <v/>
      </c>
      <c r="K253">
        <f>IF(A253="","",ROUND(1+(LOG10(A253)-LOG10('入力・概要'!$B$38))*('入力・概要'!$B$40-1)/(LOG10('入力・概要'!$B$39)-LOG10('入力・概要'!$B$38)),0)+3)</f>
        <v/>
      </c>
      <c r="L253">
        <f>IF(K253="","",INDEX('同相3導体'!$B:$B,K253))</f>
        <v/>
      </c>
      <c r="M253">
        <f>IF(A253="","",IF(ABS(L253/A253-1)&lt;0.01,"周波数差&lt;1%","周波数差あり"))</f>
        <v/>
      </c>
    </row>
    <row r="254">
      <c r="A254" s="197" t="n"/>
      <c r="B254" s="198" t="n"/>
      <c r="C254" s="198" t="n"/>
      <c r="D254" s="195">
        <f>IF(K254="","",INDEX('同相3導体'!$AB:$AB,K254))</f>
        <v/>
      </c>
      <c r="E254" s="195">
        <f>IF(K254="","",INDEX('同相3導体'!$AC:$AC,K254))</f>
        <v/>
      </c>
      <c r="F254" s="195">
        <f>IF(OR(A254="",B254=""),"",100*(D254-B254)/MAX(B254,1E-12))</f>
        <v/>
      </c>
      <c r="G254" s="195">
        <f>IF(OR(A254="",C254=""),"",E254-C254)</f>
        <v/>
      </c>
      <c r="H254" s="195">
        <f>IF(A254="","",LOG10(A254))</f>
        <v/>
      </c>
      <c r="I254" s="195">
        <f>IF(B254="","",LOG10(MAX(B254,1E-12)))</f>
        <v/>
      </c>
      <c r="J254" s="195">
        <f>IF(D254="","",LOG10(MAX(D254,1E-12)))</f>
        <v/>
      </c>
      <c r="K254">
        <f>IF(A254="","",ROUND(1+(LOG10(A254)-LOG10('入力・概要'!$B$38))*('入力・概要'!$B$40-1)/(LOG10('入力・概要'!$B$39)-LOG10('入力・概要'!$B$38)),0)+3)</f>
        <v/>
      </c>
      <c r="L254">
        <f>IF(K254="","",INDEX('同相3導体'!$B:$B,K254))</f>
        <v/>
      </c>
      <c r="M254">
        <f>IF(A254="","",IF(ABS(L254/A254-1)&lt;0.01,"周波数差&lt;1%","周波数差あり"))</f>
        <v/>
      </c>
    </row>
    <row r="255">
      <c r="A255" s="197" t="n"/>
      <c r="B255" s="198" t="n"/>
      <c r="C255" s="198" t="n"/>
      <c r="D255" s="195">
        <f>IF(K255="","",INDEX('同相3導体'!$AB:$AB,K255))</f>
        <v/>
      </c>
      <c r="E255" s="195">
        <f>IF(K255="","",INDEX('同相3導体'!$AC:$AC,K255))</f>
        <v/>
      </c>
      <c r="F255" s="195">
        <f>IF(OR(A255="",B255=""),"",100*(D255-B255)/MAX(B255,1E-12))</f>
        <v/>
      </c>
      <c r="G255" s="195">
        <f>IF(OR(A255="",C255=""),"",E255-C255)</f>
        <v/>
      </c>
      <c r="H255" s="195">
        <f>IF(A255="","",LOG10(A255))</f>
        <v/>
      </c>
      <c r="I255" s="195">
        <f>IF(B255="","",LOG10(MAX(B255,1E-12)))</f>
        <v/>
      </c>
      <c r="J255" s="195">
        <f>IF(D255="","",LOG10(MAX(D255,1E-12)))</f>
        <v/>
      </c>
      <c r="K255">
        <f>IF(A255="","",ROUND(1+(LOG10(A255)-LOG10('入力・概要'!$B$38))*('入力・概要'!$B$40-1)/(LOG10('入力・概要'!$B$39)-LOG10('入力・概要'!$B$38)),0)+3)</f>
        <v/>
      </c>
      <c r="L255">
        <f>IF(K255="","",INDEX('同相3導体'!$B:$B,K255))</f>
        <v/>
      </c>
      <c r="M255">
        <f>IF(A255="","",IF(ABS(L255/A255-1)&lt;0.01,"周波数差&lt;1%","周波数差あり"))</f>
        <v/>
      </c>
    </row>
    <row r="256">
      <c r="A256" s="197" t="n"/>
      <c r="B256" s="198" t="n"/>
      <c r="C256" s="198" t="n"/>
      <c r="D256" s="195">
        <f>IF(K256="","",INDEX('同相3導体'!$AB:$AB,K256))</f>
        <v/>
      </c>
      <c r="E256" s="195">
        <f>IF(K256="","",INDEX('同相3導体'!$AC:$AC,K256))</f>
        <v/>
      </c>
      <c r="F256" s="195">
        <f>IF(OR(A256="",B256=""),"",100*(D256-B256)/MAX(B256,1E-12))</f>
        <v/>
      </c>
      <c r="G256" s="195">
        <f>IF(OR(A256="",C256=""),"",E256-C256)</f>
        <v/>
      </c>
      <c r="H256" s="195">
        <f>IF(A256="","",LOG10(A256))</f>
        <v/>
      </c>
      <c r="I256" s="195">
        <f>IF(B256="","",LOG10(MAX(B256,1E-12)))</f>
        <v/>
      </c>
      <c r="J256" s="195">
        <f>IF(D256="","",LOG10(MAX(D256,1E-12)))</f>
        <v/>
      </c>
      <c r="K256">
        <f>IF(A256="","",ROUND(1+(LOG10(A256)-LOG10('入力・概要'!$B$38))*('入力・概要'!$B$40-1)/(LOG10('入力・概要'!$B$39)-LOG10('入力・概要'!$B$38)),0)+3)</f>
        <v/>
      </c>
      <c r="L256">
        <f>IF(K256="","",INDEX('同相3導体'!$B:$B,K256))</f>
        <v/>
      </c>
      <c r="M256">
        <f>IF(A256="","",IF(ABS(L256/A256-1)&lt;0.01,"周波数差&lt;1%","周波数差あり"))</f>
        <v/>
      </c>
    </row>
    <row r="257">
      <c r="A257" s="197" t="n"/>
      <c r="B257" s="198" t="n"/>
      <c r="C257" s="198" t="n"/>
      <c r="D257" s="195">
        <f>IF(K257="","",INDEX('同相3導体'!$AB:$AB,K257))</f>
        <v/>
      </c>
      <c r="E257" s="195">
        <f>IF(K257="","",INDEX('同相3導体'!$AC:$AC,K257))</f>
        <v/>
      </c>
      <c r="F257" s="195">
        <f>IF(OR(A257="",B257=""),"",100*(D257-B257)/MAX(B257,1E-12))</f>
        <v/>
      </c>
      <c r="G257" s="195">
        <f>IF(OR(A257="",C257=""),"",E257-C257)</f>
        <v/>
      </c>
      <c r="H257" s="195">
        <f>IF(A257="","",LOG10(A257))</f>
        <v/>
      </c>
      <c r="I257" s="195">
        <f>IF(B257="","",LOG10(MAX(B257,1E-12)))</f>
        <v/>
      </c>
      <c r="J257" s="195">
        <f>IF(D257="","",LOG10(MAX(D257,1E-12)))</f>
        <v/>
      </c>
      <c r="K257">
        <f>IF(A257="","",ROUND(1+(LOG10(A257)-LOG10('入力・概要'!$B$38))*('入力・概要'!$B$40-1)/(LOG10('入力・概要'!$B$39)-LOG10('入力・概要'!$B$38)),0)+3)</f>
        <v/>
      </c>
      <c r="L257">
        <f>IF(K257="","",INDEX('同相3導体'!$B:$B,K257))</f>
        <v/>
      </c>
      <c r="M257">
        <f>IF(A257="","",IF(ABS(L257/A257-1)&lt;0.01,"周波数差&lt;1%","周波数差あり"))</f>
        <v/>
      </c>
    </row>
    <row r="258">
      <c r="A258" s="197" t="n"/>
      <c r="B258" s="198" t="n"/>
      <c r="C258" s="198" t="n"/>
      <c r="D258" s="195">
        <f>IF(K258="","",INDEX('同相3導体'!$AB:$AB,K258))</f>
        <v/>
      </c>
      <c r="E258" s="195">
        <f>IF(K258="","",INDEX('同相3導体'!$AC:$AC,K258))</f>
        <v/>
      </c>
      <c r="F258" s="195">
        <f>IF(OR(A258="",B258=""),"",100*(D258-B258)/MAX(B258,1E-12))</f>
        <v/>
      </c>
      <c r="G258" s="195">
        <f>IF(OR(A258="",C258=""),"",E258-C258)</f>
        <v/>
      </c>
      <c r="H258" s="195">
        <f>IF(A258="","",LOG10(A258))</f>
        <v/>
      </c>
      <c r="I258" s="195">
        <f>IF(B258="","",LOG10(MAX(B258,1E-12)))</f>
        <v/>
      </c>
      <c r="J258" s="195">
        <f>IF(D258="","",LOG10(MAX(D258,1E-12)))</f>
        <v/>
      </c>
      <c r="K258">
        <f>IF(A258="","",ROUND(1+(LOG10(A258)-LOG10('入力・概要'!$B$38))*('入力・概要'!$B$40-1)/(LOG10('入力・概要'!$B$39)-LOG10('入力・概要'!$B$38)),0)+3)</f>
        <v/>
      </c>
      <c r="L258">
        <f>IF(K258="","",INDEX('同相3導体'!$B:$B,K258))</f>
        <v/>
      </c>
      <c r="M258">
        <f>IF(A258="","",IF(ABS(L258/A258-1)&lt;0.01,"周波数差&lt;1%","周波数差あり"))</f>
        <v/>
      </c>
    </row>
    <row r="259">
      <c r="A259" s="197" t="n"/>
      <c r="B259" s="198" t="n"/>
      <c r="C259" s="198" t="n"/>
      <c r="D259" s="195">
        <f>IF(K259="","",INDEX('同相3導体'!$AB:$AB,K259))</f>
        <v/>
      </c>
      <c r="E259" s="195">
        <f>IF(K259="","",INDEX('同相3導体'!$AC:$AC,K259))</f>
        <v/>
      </c>
      <c r="F259" s="195">
        <f>IF(OR(A259="",B259=""),"",100*(D259-B259)/MAX(B259,1E-12))</f>
        <v/>
      </c>
      <c r="G259" s="195">
        <f>IF(OR(A259="",C259=""),"",E259-C259)</f>
        <v/>
      </c>
      <c r="H259" s="195">
        <f>IF(A259="","",LOG10(A259))</f>
        <v/>
      </c>
      <c r="I259" s="195">
        <f>IF(B259="","",LOG10(MAX(B259,1E-12)))</f>
        <v/>
      </c>
      <c r="J259" s="195">
        <f>IF(D259="","",LOG10(MAX(D259,1E-12)))</f>
        <v/>
      </c>
      <c r="K259">
        <f>IF(A259="","",ROUND(1+(LOG10(A259)-LOG10('入力・概要'!$B$38))*('入力・概要'!$B$40-1)/(LOG10('入力・概要'!$B$39)-LOG10('入力・概要'!$B$38)),0)+3)</f>
        <v/>
      </c>
      <c r="L259">
        <f>IF(K259="","",INDEX('同相3導体'!$B:$B,K259))</f>
        <v/>
      </c>
      <c r="M259">
        <f>IF(A259="","",IF(ABS(L259/A259-1)&lt;0.01,"周波数差&lt;1%","周波数差あり"))</f>
        <v/>
      </c>
    </row>
    <row r="260">
      <c r="A260" s="197" t="n"/>
      <c r="B260" s="198" t="n"/>
      <c r="C260" s="198" t="n"/>
      <c r="D260" s="195">
        <f>IF(K260="","",INDEX('同相3導体'!$AB:$AB,K260))</f>
        <v/>
      </c>
      <c r="E260" s="195">
        <f>IF(K260="","",INDEX('同相3導体'!$AC:$AC,K260))</f>
        <v/>
      </c>
      <c r="F260" s="195">
        <f>IF(OR(A260="",B260=""),"",100*(D260-B260)/MAX(B260,1E-12))</f>
        <v/>
      </c>
      <c r="G260" s="195">
        <f>IF(OR(A260="",C260=""),"",E260-C260)</f>
        <v/>
      </c>
      <c r="H260" s="195">
        <f>IF(A260="","",LOG10(A260))</f>
        <v/>
      </c>
      <c r="I260" s="195">
        <f>IF(B260="","",LOG10(MAX(B260,1E-12)))</f>
        <v/>
      </c>
      <c r="J260" s="195">
        <f>IF(D260="","",LOG10(MAX(D260,1E-12)))</f>
        <v/>
      </c>
      <c r="K260">
        <f>IF(A260="","",ROUND(1+(LOG10(A260)-LOG10('入力・概要'!$B$38))*('入力・概要'!$B$40-1)/(LOG10('入力・概要'!$B$39)-LOG10('入力・概要'!$B$38)),0)+3)</f>
        <v/>
      </c>
      <c r="L260">
        <f>IF(K260="","",INDEX('同相3導体'!$B:$B,K260))</f>
        <v/>
      </c>
      <c r="M260">
        <f>IF(A260="","",IF(ABS(L260/A260-1)&lt;0.01,"周波数差&lt;1%","周波数差あり"))</f>
        <v/>
      </c>
    </row>
    <row r="261">
      <c r="A261" s="197" t="n"/>
      <c r="B261" s="198" t="n"/>
      <c r="C261" s="198" t="n"/>
      <c r="D261" s="195">
        <f>IF(K261="","",INDEX('同相3導体'!$AB:$AB,K261))</f>
        <v/>
      </c>
      <c r="E261" s="195">
        <f>IF(K261="","",INDEX('同相3導体'!$AC:$AC,K261))</f>
        <v/>
      </c>
      <c r="F261" s="195">
        <f>IF(OR(A261="",B261=""),"",100*(D261-B261)/MAX(B261,1E-12))</f>
        <v/>
      </c>
      <c r="G261" s="195">
        <f>IF(OR(A261="",C261=""),"",E261-C261)</f>
        <v/>
      </c>
      <c r="H261" s="195">
        <f>IF(A261="","",LOG10(A261))</f>
        <v/>
      </c>
      <c r="I261" s="195">
        <f>IF(B261="","",LOG10(MAX(B261,1E-12)))</f>
        <v/>
      </c>
      <c r="J261" s="195">
        <f>IF(D261="","",LOG10(MAX(D261,1E-12)))</f>
        <v/>
      </c>
      <c r="K261">
        <f>IF(A261="","",ROUND(1+(LOG10(A261)-LOG10('入力・概要'!$B$38))*('入力・概要'!$B$40-1)/(LOG10('入力・概要'!$B$39)-LOG10('入力・概要'!$B$38)),0)+3)</f>
        <v/>
      </c>
      <c r="L261">
        <f>IF(K261="","",INDEX('同相3導体'!$B:$B,K261))</f>
        <v/>
      </c>
      <c r="M261">
        <f>IF(A261="","",IF(ABS(L261/A261-1)&lt;0.01,"周波数差&lt;1%","周波数差あり"))</f>
        <v/>
      </c>
    </row>
    <row r="262">
      <c r="A262" s="197" t="n"/>
      <c r="B262" s="198" t="n"/>
      <c r="C262" s="198" t="n"/>
      <c r="D262" s="195">
        <f>IF(K262="","",INDEX('同相3導体'!$AB:$AB,K262))</f>
        <v/>
      </c>
      <c r="E262" s="195">
        <f>IF(K262="","",INDEX('同相3導体'!$AC:$AC,K262))</f>
        <v/>
      </c>
      <c r="F262" s="195">
        <f>IF(OR(A262="",B262=""),"",100*(D262-B262)/MAX(B262,1E-12))</f>
        <v/>
      </c>
      <c r="G262" s="195">
        <f>IF(OR(A262="",C262=""),"",E262-C262)</f>
        <v/>
      </c>
      <c r="H262" s="195">
        <f>IF(A262="","",LOG10(A262))</f>
        <v/>
      </c>
      <c r="I262" s="195">
        <f>IF(B262="","",LOG10(MAX(B262,1E-12)))</f>
        <v/>
      </c>
      <c r="J262" s="195">
        <f>IF(D262="","",LOG10(MAX(D262,1E-12)))</f>
        <v/>
      </c>
      <c r="K262">
        <f>IF(A262="","",ROUND(1+(LOG10(A262)-LOG10('入力・概要'!$B$38))*('入力・概要'!$B$40-1)/(LOG10('入力・概要'!$B$39)-LOG10('入力・概要'!$B$38)),0)+3)</f>
        <v/>
      </c>
      <c r="L262">
        <f>IF(K262="","",INDEX('同相3導体'!$B:$B,K262))</f>
        <v/>
      </c>
      <c r="M262">
        <f>IF(A262="","",IF(ABS(L262/A262-1)&lt;0.01,"周波数差&lt;1%","周波数差あり"))</f>
        <v/>
      </c>
    </row>
    <row r="263">
      <c r="A263" s="197" t="n"/>
      <c r="B263" s="198" t="n"/>
      <c r="C263" s="198" t="n"/>
      <c r="D263" s="195">
        <f>IF(K263="","",INDEX('同相3導体'!$AB:$AB,K263))</f>
        <v/>
      </c>
      <c r="E263" s="195">
        <f>IF(K263="","",INDEX('同相3導体'!$AC:$AC,K263))</f>
        <v/>
      </c>
      <c r="F263" s="195">
        <f>IF(OR(A263="",B263=""),"",100*(D263-B263)/MAX(B263,1E-12))</f>
        <v/>
      </c>
      <c r="G263" s="195">
        <f>IF(OR(A263="",C263=""),"",E263-C263)</f>
        <v/>
      </c>
      <c r="H263" s="195">
        <f>IF(A263="","",LOG10(A263))</f>
        <v/>
      </c>
      <c r="I263" s="195">
        <f>IF(B263="","",LOG10(MAX(B263,1E-12)))</f>
        <v/>
      </c>
      <c r="J263" s="195">
        <f>IF(D263="","",LOG10(MAX(D263,1E-12)))</f>
        <v/>
      </c>
      <c r="K263">
        <f>IF(A263="","",ROUND(1+(LOG10(A263)-LOG10('入力・概要'!$B$38))*('入力・概要'!$B$40-1)/(LOG10('入力・概要'!$B$39)-LOG10('入力・概要'!$B$38)),0)+3)</f>
        <v/>
      </c>
      <c r="L263">
        <f>IF(K263="","",INDEX('同相3導体'!$B:$B,K263))</f>
        <v/>
      </c>
      <c r="M263">
        <f>IF(A263="","",IF(ABS(L263/A263-1)&lt;0.01,"周波数差&lt;1%","周波数差あり"))</f>
        <v/>
      </c>
    </row>
    <row r="264">
      <c r="A264" s="197" t="n"/>
      <c r="B264" s="198" t="n"/>
      <c r="C264" s="198" t="n"/>
      <c r="D264" s="195">
        <f>IF(K264="","",INDEX('同相3導体'!$AB:$AB,K264))</f>
        <v/>
      </c>
      <c r="E264" s="195">
        <f>IF(K264="","",INDEX('同相3導体'!$AC:$AC,K264))</f>
        <v/>
      </c>
      <c r="F264" s="195">
        <f>IF(OR(A264="",B264=""),"",100*(D264-B264)/MAX(B264,1E-12))</f>
        <v/>
      </c>
      <c r="G264" s="195">
        <f>IF(OR(A264="",C264=""),"",E264-C264)</f>
        <v/>
      </c>
      <c r="H264" s="195">
        <f>IF(A264="","",LOG10(A264))</f>
        <v/>
      </c>
      <c r="I264" s="195">
        <f>IF(B264="","",LOG10(MAX(B264,1E-12)))</f>
        <v/>
      </c>
      <c r="J264" s="195">
        <f>IF(D264="","",LOG10(MAX(D264,1E-12)))</f>
        <v/>
      </c>
      <c r="K264">
        <f>IF(A264="","",ROUND(1+(LOG10(A264)-LOG10('入力・概要'!$B$38))*('入力・概要'!$B$40-1)/(LOG10('入力・概要'!$B$39)-LOG10('入力・概要'!$B$38)),0)+3)</f>
        <v/>
      </c>
      <c r="L264">
        <f>IF(K264="","",INDEX('同相3導体'!$B:$B,K264))</f>
        <v/>
      </c>
      <c r="M264">
        <f>IF(A264="","",IF(ABS(L264/A264-1)&lt;0.01,"周波数差&lt;1%","周波数差あり"))</f>
        <v/>
      </c>
    </row>
    <row r="265">
      <c r="A265" s="197" t="n"/>
      <c r="B265" s="198" t="n"/>
      <c r="C265" s="198" t="n"/>
      <c r="D265" s="195">
        <f>IF(K265="","",INDEX('同相3導体'!$AB:$AB,K265))</f>
        <v/>
      </c>
      <c r="E265" s="195">
        <f>IF(K265="","",INDEX('同相3導体'!$AC:$AC,K265))</f>
        <v/>
      </c>
      <c r="F265" s="195">
        <f>IF(OR(A265="",B265=""),"",100*(D265-B265)/MAX(B265,1E-12))</f>
        <v/>
      </c>
      <c r="G265" s="195">
        <f>IF(OR(A265="",C265=""),"",E265-C265)</f>
        <v/>
      </c>
      <c r="H265" s="195">
        <f>IF(A265="","",LOG10(A265))</f>
        <v/>
      </c>
      <c r="I265" s="195">
        <f>IF(B265="","",LOG10(MAX(B265,1E-12)))</f>
        <v/>
      </c>
      <c r="J265" s="195">
        <f>IF(D265="","",LOG10(MAX(D265,1E-12)))</f>
        <v/>
      </c>
      <c r="K265">
        <f>IF(A265="","",ROUND(1+(LOG10(A265)-LOG10('入力・概要'!$B$38))*('入力・概要'!$B$40-1)/(LOG10('入力・概要'!$B$39)-LOG10('入力・概要'!$B$38)),0)+3)</f>
        <v/>
      </c>
      <c r="L265">
        <f>IF(K265="","",INDEX('同相3導体'!$B:$B,K265))</f>
        <v/>
      </c>
      <c r="M265">
        <f>IF(A265="","",IF(ABS(L265/A265-1)&lt;0.01,"周波数差&lt;1%","周波数差あり"))</f>
        <v/>
      </c>
    </row>
    <row r="266">
      <c r="A266" s="197" t="n"/>
      <c r="B266" s="198" t="n"/>
      <c r="C266" s="198" t="n"/>
      <c r="D266" s="195">
        <f>IF(K266="","",INDEX('同相3導体'!$AB:$AB,K266))</f>
        <v/>
      </c>
      <c r="E266" s="195">
        <f>IF(K266="","",INDEX('同相3導体'!$AC:$AC,K266))</f>
        <v/>
      </c>
      <c r="F266" s="195">
        <f>IF(OR(A266="",B266=""),"",100*(D266-B266)/MAX(B266,1E-12))</f>
        <v/>
      </c>
      <c r="G266" s="195">
        <f>IF(OR(A266="",C266=""),"",E266-C266)</f>
        <v/>
      </c>
      <c r="H266" s="195">
        <f>IF(A266="","",LOG10(A266))</f>
        <v/>
      </c>
      <c r="I266" s="195">
        <f>IF(B266="","",LOG10(MAX(B266,1E-12)))</f>
        <v/>
      </c>
      <c r="J266" s="195">
        <f>IF(D266="","",LOG10(MAX(D266,1E-12)))</f>
        <v/>
      </c>
      <c r="K266">
        <f>IF(A266="","",ROUND(1+(LOG10(A266)-LOG10('入力・概要'!$B$38))*('入力・概要'!$B$40-1)/(LOG10('入力・概要'!$B$39)-LOG10('入力・概要'!$B$38)),0)+3)</f>
        <v/>
      </c>
      <c r="L266">
        <f>IF(K266="","",INDEX('同相3導体'!$B:$B,K266))</f>
        <v/>
      </c>
      <c r="M266">
        <f>IF(A266="","",IF(ABS(L266/A266-1)&lt;0.01,"周波数差&lt;1%","周波数差あり"))</f>
        <v/>
      </c>
    </row>
    <row r="267">
      <c r="A267" s="197" t="n"/>
      <c r="B267" s="198" t="n"/>
      <c r="C267" s="198" t="n"/>
      <c r="D267" s="195">
        <f>IF(K267="","",INDEX('同相3導体'!$AB:$AB,K267))</f>
        <v/>
      </c>
      <c r="E267" s="195">
        <f>IF(K267="","",INDEX('同相3導体'!$AC:$AC,K267))</f>
        <v/>
      </c>
      <c r="F267" s="195">
        <f>IF(OR(A267="",B267=""),"",100*(D267-B267)/MAX(B267,1E-12))</f>
        <v/>
      </c>
      <c r="G267" s="195">
        <f>IF(OR(A267="",C267=""),"",E267-C267)</f>
        <v/>
      </c>
      <c r="H267" s="195">
        <f>IF(A267="","",LOG10(A267))</f>
        <v/>
      </c>
      <c r="I267" s="195">
        <f>IF(B267="","",LOG10(MAX(B267,1E-12)))</f>
        <v/>
      </c>
      <c r="J267" s="195">
        <f>IF(D267="","",LOG10(MAX(D267,1E-12)))</f>
        <v/>
      </c>
      <c r="K267">
        <f>IF(A267="","",ROUND(1+(LOG10(A267)-LOG10('入力・概要'!$B$38))*('入力・概要'!$B$40-1)/(LOG10('入力・概要'!$B$39)-LOG10('入力・概要'!$B$38)),0)+3)</f>
        <v/>
      </c>
      <c r="L267">
        <f>IF(K267="","",INDEX('同相3導体'!$B:$B,K267))</f>
        <v/>
      </c>
      <c r="M267">
        <f>IF(A267="","",IF(ABS(L267/A267-1)&lt;0.01,"周波数差&lt;1%","周波数差あり"))</f>
        <v/>
      </c>
    </row>
    <row r="268">
      <c r="A268" s="197" t="n"/>
      <c r="B268" s="198" t="n"/>
      <c r="C268" s="198" t="n"/>
      <c r="D268" s="195">
        <f>IF(K268="","",INDEX('同相3導体'!$AB:$AB,K268))</f>
        <v/>
      </c>
      <c r="E268" s="195">
        <f>IF(K268="","",INDEX('同相3導体'!$AC:$AC,K268))</f>
        <v/>
      </c>
      <c r="F268" s="195">
        <f>IF(OR(A268="",B268=""),"",100*(D268-B268)/MAX(B268,1E-12))</f>
        <v/>
      </c>
      <c r="G268" s="195">
        <f>IF(OR(A268="",C268=""),"",E268-C268)</f>
        <v/>
      </c>
      <c r="H268" s="195">
        <f>IF(A268="","",LOG10(A268))</f>
        <v/>
      </c>
      <c r="I268" s="195">
        <f>IF(B268="","",LOG10(MAX(B268,1E-12)))</f>
        <v/>
      </c>
      <c r="J268" s="195">
        <f>IF(D268="","",LOG10(MAX(D268,1E-12)))</f>
        <v/>
      </c>
      <c r="K268">
        <f>IF(A268="","",ROUND(1+(LOG10(A268)-LOG10('入力・概要'!$B$38))*('入力・概要'!$B$40-1)/(LOG10('入力・概要'!$B$39)-LOG10('入力・概要'!$B$38)),0)+3)</f>
        <v/>
      </c>
      <c r="L268">
        <f>IF(K268="","",INDEX('同相3導体'!$B:$B,K268))</f>
        <v/>
      </c>
      <c r="M268">
        <f>IF(A268="","",IF(ABS(L268/A268-1)&lt;0.01,"周波数差&lt;1%","周波数差あり"))</f>
        <v/>
      </c>
    </row>
    <row r="269">
      <c r="A269" s="197" t="n"/>
      <c r="B269" s="198" t="n"/>
      <c r="C269" s="198" t="n"/>
      <c r="D269" s="195">
        <f>IF(K269="","",INDEX('同相3導体'!$AB:$AB,K269))</f>
        <v/>
      </c>
      <c r="E269" s="195">
        <f>IF(K269="","",INDEX('同相3導体'!$AC:$AC,K269))</f>
        <v/>
      </c>
      <c r="F269" s="195">
        <f>IF(OR(A269="",B269=""),"",100*(D269-B269)/MAX(B269,1E-12))</f>
        <v/>
      </c>
      <c r="G269" s="195">
        <f>IF(OR(A269="",C269=""),"",E269-C269)</f>
        <v/>
      </c>
      <c r="H269" s="195">
        <f>IF(A269="","",LOG10(A269))</f>
        <v/>
      </c>
      <c r="I269" s="195">
        <f>IF(B269="","",LOG10(MAX(B269,1E-12)))</f>
        <v/>
      </c>
      <c r="J269" s="195">
        <f>IF(D269="","",LOG10(MAX(D269,1E-12)))</f>
        <v/>
      </c>
      <c r="K269">
        <f>IF(A269="","",ROUND(1+(LOG10(A269)-LOG10('入力・概要'!$B$38))*('入力・概要'!$B$40-1)/(LOG10('入力・概要'!$B$39)-LOG10('入力・概要'!$B$38)),0)+3)</f>
        <v/>
      </c>
      <c r="L269">
        <f>IF(K269="","",INDEX('同相3導体'!$B:$B,K269))</f>
        <v/>
      </c>
      <c r="M269">
        <f>IF(A269="","",IF(ABS(L269/A269-1)&lt;0.01,"周波数差&lt;1%","周波数差あり"))</f>
        <v/>
      </c>
    </row>
    <row r="270">
      <c r="A270" s="197" t="n"/>
      <c r="B270" s="198" t="n"/>
      <c r="C270" s="198" t="n"/>
      <c r="D270" s="195">
        <f>IF(K270="","",INDEX('同相3導体'!$AB:$AB,K270))</f>
        <v/>
      </c>
      <c r="E270" s="195">
        <f>IF(K270="","",INDEX('同相3導体'!$AC:$AC,K270))</f>
        <v/>
      </c>
      <c r="F270" s="195">
        <f>IF(OR(A270="",B270=""),"",100*(D270-B270)/MAX(B270,1E-12))</f>
        <v/>
      </c>
      <c r="G270" s="195">
        <f>IF(OR(A270="",C270=""),"",E270-C270)</f>
        <v/>
      </c>
      <c r="H270" s="195">
        <f>IF(A270="","",LOG10(A270))</f>
        <v/>
      </c>
      <c r="I270" s="195">
        <f>IF(B270="","",LOG10(MAX(B270,1E-12)))</f>
        <v/>
      </c>
      <c r="J270" s="195">
        <f>IF(D270="","",LOG10(MAX(D270,1E-12)))</f>
        <v/>
      </c>
      <c r="K270">
        <f>IF(A270="","",ROUND(1+(LOG10(A270)-LOG10('入力・概要'!$B$38))*('入力・概要'!$B$40-1)/(LOG10('入力・概要'!$B$39)-LOG10('入力・概要'!$B$38)),0)+3)</f>
        <v/>
      </c>
      <c r="L270">
        <f>IF(K270="","",INDEX('同相3導体'!$B:$B,K270))</f>
        <v/>
      </c>
      <c r="M270">
        <f>IF(A270="","",IF(ABS(L270/A270-1)&lt;0.01,"周波数差&lt;1%","周波数差あり"))</f>
        <v/>
      </c>
    </row>
    <row r="271">
      <c r="A271" s="197" t="n"/>
      <c r="B271" s="198" t="n"/>
      <c r="C271" s="198" t="n"/>
      <c r="D271" s="195">
        <f>IF(K271="","",INDEX('同相3導体'!$AB:$AB,K271))</f>
        <v/>
      </c>
      <c r="E271" s="195">
        <f>IF(K271="","",INDEX('同相3導体'!$AC:$AC,K271))</f>
        <v/>
      </c>
      <c r="F271" s="195">
        <f>IF(OR(A271="",B271=""),"",100*(D271-B271)/MAX(B271,1E-12))</f>
        <v/>
      </c>
      <c r="G271" s="195">
        <f>IF(OR(A271="",C271=""),"",E271-C271)</f>
        <v/>
      </c>
      <c r="H271" s="195">
        <f>IF(A271="","",LOG10(A271))</f>
        <v/>
      </c>
      <c r="I271" s="195">
        <f>IF(B271="","",LOG10(MAX(B271,1E-12)))</f>
        <v/>
      </c>
      <c r="J271" s="195">
        <f>IF(D271="","",LOG10(MAX(D271,1E-12)))</f>
        <v/>
      </c>
      <c r="K271">
        <f>IF(A271="","",ROUND(1+(LOG10(A271)-LOG10('入力・概要'!$B$38))*('入力・概要'!$B$40-1)/(LOG10('入力・概要'!$B$39)-LOG10('入力・概要'!$B$38)),0)+3)</f>
        <v/>
      </c>
      <c r="L271">
        <f>IF(K271="","",INDEX('同相3導体'!$B:$B,K271))</f>
        <v/>
      </c>
      <c r="M271">
        <f>IF(A271="","",IF(ABS(L271/A271-1)&lt;0.01,"周波数差&lt;1%","周波数差あり"))</f>
        <v/>
      </c>
    </row>
    <row r="272">
      <c r="A272" s="197" t="n"/>
      <c r="B272" s="198" t="n"/>
      <c r="C272" s="198" t="n"/>
      <c r="D272" s="195">
        <f>IF(K272="","",INDEX('同相3導体'!$AB:$AB,K272))</f>
        <v/>
      </c>
      <c r="E272" s="195">
        <f>IF(K272="","",INDEX('同相3導体'!$AC:$AC,K272))</f>
        <v/>
      </c>
      <c r="F272" s="195">
        <f>IF(OR(A272="",B272=""),"",100*(D272-B272)/MAX(B272,1E-12))</f>
        <v/>
      </c>
      <c r="G272" s="195">
        <f>IF(OR(A272="",C272=""),"",E272-C272)</f>
        <v/>
      </c>
      <c r="H272" s="195">
        <f>IF(A272="","",LOG10(A272))</f>
        <v/>
      </c>
      <c r="I272" s="195">
        <f>IF(B272="","",LOG10(MAX(B272,1E-12)))</f>
        <v/>
      </c>
      <c r="J272" s="195">
        <f>IF(D272="","",LOG10(MAX(D272,1E-12)))</f>
        <v/>
      </c>
      <c r="K272">
        <f>IF(A272="","",ROUND(1+(LOG10(A272)-LOG10('入力・概要'!$B$38))*('入力・概要'!$B$40-1)/(LOG10('入力・概要'!$B$39)-LOG10('入力・概要'!$B$38)),0)+3)</f>
        <v/>
      </c>
      <c r="L272">
        <f>IF(K272="","",INDEX('同相3導体'!$B:$B,K272))</f>
        <v/>
      </c>
      <c r="M272">
        <f>IF(A272="","",IF(ABS(L272/A272-1)&lt;0.01,"周波数差&lt;1%","周波数差あり"))</f>
        <v/>
      </c>
    </row>
    <row r="273">
      <c r="A273" s="197" t="n"/>
      <c r="B273" s="198" t="n"/>
      <c r="C273" s="198" t="n"/>
      <c r="D273" s="195">
        <f>IF(K273="","",INDEX('同相3導体'!$AB:$AB,K273))</f>
        <v/>
      </c>
      <c r="E273" s="195">
        <f>IF(K273="","",INDEX('同相3導体'!$AC:$AC,K273))</f>
        <v/>
      </c>
      <c r="F273" s="195">
        <f>IF(OR(A273="",B273=""),"",100*(D273-B273)/MAX(B273,1E-12))</f>
        <v/>
      </c>
      <c r="G273" s="195">
        <f>IF(OR(A273="",C273=""),"",E273-C273)</f>
        <v/>
      </c>
      <c r="H273" s="195">
        <f>IF(A273="","",LOG10(A273))</f>
        <v/>
      </c>
      <c r="I273" s="195">
        <f>IF(B273="","",LOG10(MAX(B273,1E-12)))</f>
        <v/>
      </c>
      <c r="J273" s="195">
        <f>IF(D273="","",LOG10(MAX(D273,1E-12)))</f>
        <v/>
      </c>
      <c r="K273">
        <f>IF(A273="","",ROUND(1+(LOG10(A273)-LOG10('入力・概要'!$B$38))*('入力・概要'!$B$40-1)/(LOG10('入力・概要'!$B$39)-LOG10('入力・概要'!$B$38)),0)+3)</f>
        <v/>
      </c>
      <c r="L273">
        <f>IF(K273="","",INDEX('同相3導体'!$B:$B,K273))</f>
        <v/>
      </c>
      <c r="M273">
        <f>IF(A273="","",IF(ABS(L273/A273-1)&lt;0.01,"周波数差&lt;1%","周波数差あり"))</f>
        <v/>
      </c>
    </row>
    <row r="274">
      <c r="A274" s="197" t="n"/>
      <c r="B274" s="198" t="n"/>
      <c r="C274" s="198" t="n"/>
      <c r="D274" s="195">
        <f>IF(K274="","",INDEX('同相3導体'!$AB:$AB,K274))</f>
        <v/>
      </c>
      <c r="E274" s="195">
        <f>IF(K274="","",INDEX('同相3導体'!$AC:$AC,K274))</f>
        <v/>
      </c>
      <c r="F274" s="195">
        <f>IF(OR(A274="",B274=""),"",100*(D274-B274)/MAX(B274,1E-12))</f>
        <v/>
      </c>
      <c r="G274" s="195">
        <f>IF(OR(A274="",C274=""),"",E274-C274)</f>
        <v/>
      </c>
      <c r="H274" s="195">
        <f>IF(A274="","",LOG10(A274))</f>
        <v/>
      </c>
      <c r="I274" s="195">
        <f>IF(B274="","",LOG10(MAX(B274,1E-12)))</f>
        <v/>
      </c>
      <c r="J274" s="195">
        <f>IF(D274="","",LOG10(MAX(D274,1E-12)))</f>
        <v/>
      </c>
      <c r="K274">
        <f>IF(A274="","",ROUND(1+(LOG10(A274)-LOG10('入力・概要'!$B$38))*('入力・概要'!$B$40-1)/(LOG10('入力・概要'!$B$39)-LOG10('入力・概要'!$B$38)),0)+3)</f>
        <v/>
      </c>
      <c r="L274">
        <f>IF(K274="","",INDEX('同相3導体'!$B:$B,K274))</f>
        <v/>
      </c>
      <c r="M274">
        <f>IF(A274="","",IF(ABS(L274/A274-1)&lt;0.01,"周波数差&lt;1%","周波数差あり"))</f>
        <v/>
      </c>
    </row>
    <row r="275">
      <c r="A275" s="197" t="n"/>
      <c r="B275" s="198" t="n"/>
      <c r="C275" s="198" t="n"/>
      <c r="D275" s="195">
        <f>IF(K275="","",INDEX('同相3導体'!$AB:$AB,K275))</f>
        <v/>
      </c>
      <c r="E275" s="195">
        <f>IF(K275="","",INDEX('同相3導体'!$AC:$AC,K275))</f>
        <v/>
      </c>
      <c r="F275" s="195">
        <f>IF(OR(A275="",B275=""),"",100*(D275-B275)/MAX(B275,1E-12))</f>
        <v/>
      </c>
      <c r="G275" s="195">
        <f>IF(OR(A275="",C275=""),"",E275-C275)</f>
        <v/>
      </c>
      <c r="H275" s="195">
        <f>IF(A275="","",LOG10(A275))</f>
        <v/>
      </c>
      <c r="I275" s="195">
        <f>IF(B275="","",LOG10(MAX(B275,1E-12)))</f>
        <v/>
      </c>
      <c r="J275" s="195">
        <f>IF(D275="","",LOG10(MAX(D275,1E-12)))</f>
        <v/>
      </c>
      <c r="K275">
        <f>IF(A275="","",ROUND(1+(LOG10(A275)-LOG10('入力・概要'!$B$38))*('入力・概要'!$B$40-1)/(LOG10('入力・概要'!$B$39)-LOG10('入力・概要'!$B$38)),0)+3)</f>
        <v/>
      </c>
      <c r="L275">
        <f>IF(K275="","",INDEX('同相3導体'!$B:$B,K275))</f>
        <v/>
      </c>
      <c r="M275">
        <f>IF(A275="","",IF(ABS(L275/A275-1)&lt;0.01,"周波数差&lt;1%","周波数差あり"))</f>
        <v/>
      </c>
    </row>
    <row r="276">
      <c r="A276" s="197" t="n"/>
      <c r="B276" s="198" t="n"/>
      <c r="C276" s="198" t="n"/>
      <c r="D276" s="195">
        <f>IF(K276="","",INDEX('同相3導体'!$AB:$AB,K276))</f>
        <v/>
      </c>
      <c r="E276" s="195">
        <f>IF(K276="","",INDEX('同相3導体'!$AC:$AC,K276))</f>
        <v/>
      </c>
      <c r="F276" s="195">
        <f>IF(OR(A276="",B276=""),"",100*(D276-B276)/MAX(B276,1E-12))</f>
        <v/>
      </c>
      <c r="G276" s="195">
        <f>IF(OR(A276="",C276=""),"",E276-C276)</f>
        <v/>
      </c>
      <c r="H276" s="195">
        <f>IF(A276="","",LOG10(A276))</f>
        <v/>
      </c>
      <c r="I276" s="195">
        <f>IF(B276="","",LOG10(MAX(B276,1E-12)))</f>
        <v/>
      </c>
      <c r="J276" s="195">
        <f>IF(D276="","",LOG10(MAX(D276,1E-12)))</f>
        <v/>
      </c>
      <c r="K276">
        <f>IF(A276="","",ROUND(1+(LOG10(A276)-LOG10('入力・概要'!$B$38))*('入力・概要'!$B$40-1)/(LOG10('入力・概要'!$B$39)-LOG10('入力・概要'!$B$38)),0)+3)</f>
        <v/>
      </c>
      <c r="L276">
        <f>IF(K276="","",INDEX('同相3導体'!$B:$B,K276))</f>
        <v/>
      </c>
      <c r="M276">
        <f>IF(A276="","",IF(ABS(L276/A276-1)&lt;0.01,"周波数差&lt;1%","周波数差あり"))</f>
        <v/>
      </c>
    </row>
    <row r="277">
      <c r="A277" s="197" t="n"/>
      <c r="B277" s="198" t="n"/>
      <c r="C277" s="198" t="n"/>
      <c r="D277" s="195">
        <f>IF(K277="","",INDEX('同相3導体'!$AB:$AB,K277))</f>
        <v/>
      </c>
      <c r="E277" s="195">
        <f>IF(K277="","",INDEX('同相3導体'!$AC:$AC,K277))</f>
        <v/>
      </c>
      <c r="F277" s="195">
        <f>IF(OR(A277="",B277=""),"",100*(D277-B277)/MAX(B277,1E-12))</f>
        <v/>
      </c>
      <c r="G277" s="195">
        <f>IF(OR(A277="",C277=""),"",E277-C277)</f>
        <v/>
      </c>
      <c r="H277" s="195">
        <f>IF(A277="","",LOG10(A277))</f>
        <v/>
      </c>
      <c r="I277" s="195">
        <f>IF(B277="","",LOG10(MAX(B277,1E-12)))</f>
        <v/>
      </c>
      <c r="J277" s="195">
        <f>IF(D277="","",LOG10(MAX(D277,1E-12)))</f>
        <v/>
      </c>
      <c r="K277">
        <f>IF(A277="","",ROUND(1+(LOG10(A277)-LOG10('入力・概要'!$B$38))*('入力・概要'!$B$40-1)/(LOG10('入力・概要'!$B$39)-LOG10('入力・概要'!$B$38)),0)+3)</f>
        <v/>
      </c>
      <c r="L277">
        <f>IF(K277="","",INDEX('同相3導体'!$B:$B,K277))</f>
        <v/>
      </c>
      <c r="M277">
        <f>IF(A277="","",IF(ABS(L277/A277-1)&lt;0.01,"周波数差&lt;1%","周波数差あり"))</f>
        <v/>
      </c>
    </row>
    <row r="278">
      <c r="A278" s="197" t="n"/>
      <c r="B278" s="198" t="n"/>
      <c r="C278" s="198" t="n"/>
      <c r="D278" s="195">
        <f>IF(K278="","",INDEX('同相3導体'!$AB:$AB,K278))</f>
        <v/>
      </c>
      <c r="E278" s="195">
        <f>IF(K278="","",INDEX('同相3導体'!$AC:$AC,K278))</f>
        <v/>
      </c>
      <c r="F278" s="195">
        <f>IF(OR(A278="",B278=""),"",100*(D278-B278)/MAX(B278,1E-12))</f>
        <v/>
      </c>
      <c r="G278" s="195">
        <f>IF(OR(A278="",C278=""),"",E278-C278)</f>
        <v/>
      </c>
      <c r="H278" s="195">
        <f>IF(A278="","",LOG10(A278))</f>
        <v/>
      </c>
      <c r="I278" s="195">
        <f>IF(B278="","",LOG10(MAX(B278,1E-12)))</f>
        <v/>
      </c>
      <c r="J278" s="195">
        <f>IF(D278="","",LOG10(MAX(D278,1E-12)))</f>
        <v/>
      </c>
      <c r="K278">
        <f>IF(A278="","",ROUND(1+(LOG10(A278)-LOG10('入力・概要'!$B$38))*('入力・概要'!$B$40-1)/(LOG10('入力・概要'!$B$39)-LOG10('入力・概要'!$B$38)),0)+3)</f>
        <v/>
      </c>
      <c r="L278">
        <f>IF(K278="","",INDEX('同相3導体'!$B:$B,K278))</f>
        <v/>
      </c>
      <c r="M278">
        <f>IF(A278="","",IF(ABS(L278/A278-1)&lt;0.01,"周波数差&lt;1%","周波数差あり"))</f>
        <v/>
      </c>
    </row>
    <row r="279">
      <c r="A279" s="197" t="n"/>
      <c r="B279" s="198" t="n"/>
      <c r="C279" s="198" t="n"/>
      <c r="D279" s="195">
        <f>IF(K279="","",INDEX('同相3導体'!$AB:$AB,K279))</f>
        <v/>
      </c>
      <c r="E279" s="195">
        <f>IF(K279="","",INDEX('同相3導体'!$AC:$AC,K279))</f>
        <v/>
      </c>
      <c r="F279" s="195">
        <f>IF(OR(A279="",B279=""),"",100*(D279-B279)/MAX(B279,1E-12))</f>
        <v/>
      </c>
      <c r="G279" s="195">
        <f>IF(OR(A279="",C279=""),"",E279-C279)</f>
        <v/>
      </c>
      <c r="H279" s="195">
        <f>IF(A279="","",LOG10(A279))</f>
        <v/>
      </c>
      <c r="I279" s="195">
        <f>IF(B279="","",LOG10(MAX(B279,1E-12)))</f>
        <v/>
      </c>
      <c r="J279" s="195">
        <f>IF(D279="","",LOG10(MAX(D279,1E-12)))</f>
        <v/>
      </c>
      <c r="K279">
        <f>IF(A279="","",ROUND(1+(LOG10(A279)-LOG10('入力・概要'!$B$38))*('入力・概要'!$B$40-1)/(LOG10('入力・概要'!$B$39)-LOG10('入力・概要'!$B$38)),0)+3)</f>
        <v/>
      </c>
      <c r="L279">
        <f>IF(K279="","",INDEX('同相3導体'!$B:$B,K279))</f>
        <v/>
      </c>
      <c r="M279">
        <f>IF(A279="","",IF(ABS(L279/A279-1)&lt;0.01,"周波数差&lt;1%","周波数差あり"))</f>
        <v/>
      </c>
    </row>
    <row r="280">
      <c r="A280" s="197" t="n"/>
      <c r="B280" s="198" t="n"/>
      <c r="C280" s="198" t="n"/>
      <c r="D280" s="195">
        <f>IF(K280="","",INDEX('同相3導体'!$AB:$AB,K280))</f>
        <v/>
      </c>
      <c r="E280" s="195">
        <f>IF(K280="","",INDEX('同相3導体'!$AC:$AC,K280))</f>
        <v/>
      </c>
      <c r="F280" s="195">
        <f>IF(OR(A280="",B280=""),"",100*(D280-B280)/MAX(B280,1E-12))</f>
        <v/>
      </c>
      <c r="G280" s="195">
        <f>IF(OR(A280="",C280=""),"",E280-C280)</f>
        <v/>
      </c>
      <c r="H280" s="195">
        <f>IF(A280="","",LOG10(A280))</f>
        <v/>
      </c>
      <c r="I280" s="195">
        <f>IF(B280="","",LOG10(MAX(B280,1E-12)))</f>
        <v/>
      </c>
      <c r="J280" s="195">
        <f>IF(D280="","",LOG10(MAX(D280,1E-12)))</f>
        <v/>
      </c>
      <c r="K280">
        <f>IF(A280="","",ROUND(1+(LOG10(A280)-LOG10('入力・概要'!$B$38))*('入力・概要'!$B$40-1)/(LOG10('入力・概要'!$B$39)-LOG10('入力・概要'!$B$38)),0)+3)</f>
        <v/>
      </c>
      <c r="L280">
        <f>IF(K280="","",INDEX('同相3導体'!$B:$B,K280))</f>
        <v/>
      </c>
      <c r="M280">
        <f>IF(A280="","",IF(ABS(L280/A280-1)&lt;0.01,"周波数差&lt;1%","周波数差あり"))</f>
        <v/>
      </c>
    </row>
    <row r="281">
      <c r="A281" s="197" t="n"/>
      <c r="B281" s="198" t="n"/>
      <c r="C281" s="198" t="n"/>
      <c r="D281" s="195">
        <f>IF(K281="","",INDEX('同相3導体'!$AB:$AB,K281))</f>
        <v/>
      </c>
      <c r="E281" s="195">
        <f>IF(K281="","",INDEX('同相3導体'!$AC:$AC,K281))</f>
        <v/>
      </c>
      <c r="F281" s="195">
        <f>IF(OR(A281="",B281=""),"",100*(D281-B281)/MAX(B281,1E-12))</f>
        <v/>
      </c>
      <c r="G281" s="195">
        <f>IF(OR(A281="",C281=""),"",E281-C281)</f>
        <v/>
      </c>
      <c r="H281" s="195">
        <f>IF(A281="","",LOG10(A281))</f>
        <v/>
      </c>
      <c r="I281" s="195">
        <f>IF(B281="","",LOG10(MAX(B281,1E-12)))</f>
        <v/>
      </c>
      <c r="J281" s="195">
        <f>IF(D281="","",LOG10(MAX(D281,1E-12)))</f>
        <v/>
      </c>
      <c r="K281">
        <f>IF(A281="","",ROUND(1+(LOG10(A281)-LOG10('入力・概要'!$B$38))*('入力・概要'!$B$40-1)/(LOG10('入力・概要'!$B$39)-LOG10('入力・概要'!$B$38)),0)+3)</f>
        <v/>
      </c>
      <c r="L281">
        <f>IF(K281="","",INDEX('同相3導体'!$B:$B,K281))</f>
        <v/>
      </c>
      <c r="M281">
        <f>IF(A281="","",IF(ABS(L281/A281-1)&lt;0.01,"周波数差&lt;1%","周波数差あり"))</f>
        <v/>
      </c>
    </row>
    <row r="282">
      <c r="A282" s="197" t="n"/>
      <c r="B282" s="198" t="n"/>
      <c r="C282" s="198" t="n"/>
      <c r="D282" s="195">
        <f>IF(K282="","",INDEX('同相3導体'!$AB:$AB,K282))</f>
        <v/>
      </c>
      <c r="E282" s="195">
        <f>IF(K282="","",INDEX('同相3導体'!$AC:$AC,K282))</f>
        <v/>
      </c>
      <c r="F282" s="195">
        <f>IF(OR(A282="",B282=""),"",100*(D282-B282)/MAX(B282,1E-12))</f>
        <v/>
      </c>
      <c r="G282" s="195">
        <f>IF(OR(A282="",C282=""),"",E282-C282)</f>
        <v/>
      </c>
      <c r="H282" s="195">
        <f>IF(A282="","",LOG10(A282))</f>
        <v/>
      </c>
      <c r="I282" s="195">
        <f>IF(B282="","",LOG10(MAX(B282,1E-12)))</f>
        <v/>
      </c>
      <c r="J282" s="195">
        <f>IF(D282="","",LOG10(MAX(D282,1E-12)))</f>
        <v/>
      </c>
      <c r="K282">
        <f>IF(A282="","",ROUND(1+(LOG10(A282)-LOG10('入力・概要'!$B$38))*('入力・概要'!$B$40-1)/(LOG10('入力・概要'!$B$39)-LOG10('入力・概要'!$B$38)),0)+3)</f>
        <v/>
      </c>
      <c r="L282">
        <f>IF(K282="","",INDEX('同相3導体'!$B:$B,K282))</f>
        <v/>
      </c>
      <c r="M282">
        <f>IF(A282="","",IF(ABS(L282/A282-1)&lt;0.01,"周波数差&lt;1%","周波数差あり"))</f>
        <v/>
      </c>
    </row>
    <row r="283">
      <c r="A283" s="197" t="n"/>
      <c r="B283" s="198" t="n"/>
      <c r="C283" s="198" t="n"/>
      <c r="D283" s="195">
        <f>IF(K283="","",INDEX('同相3導体'!$AB:$AB,K283))</f>
        <v/>
      </c>
      <c r="E283" s="195">
        <f>IF(K283="","",INDEX('同相3導体'!$AC:$AC,K283))</f>
        <v/>
      </c>
      <c r="F283" s="195">
        <f>IF(OR(A283="",B283=""),"",100*(D283-B283)/MAX(B283,1E-12))</f>
        <v/>
      </c>
      <c r="G283" s="195">
        <f>IF(OR(A283="",C283=""),"",E283-C283)</f>
        <v/>
      </c>
      <c r="H283" s="195">
        <f>IF(A283="","",LOG10(A283))</f>
        <v/>
      </c>
      <c r="I283" s="195">
        <f>IF(B283="","",LOG10(MAX(B283,1E-12)))</f>
        <v/>
      </c>
      <c r="J283" s="195">
        <f>IF(D283="","",LOG10(MAX(D283,1E-12)))</f>
        <v/>
      </c>
      <c r="K283">
        <f>IF(A283="","",ROUND(1+(LOG10(A283)-LOG10('入力・概要'!$B$38))*('入力・概要'!$B$40-1)/(LOG10('入力・概要'!$B$39)-LOG10('入力・概要'!$B$38)),0)+3)</f>
        <v/>
      </c>
      <c r="L283">
        <f>IF(K283="","",INDEX('同相3導体'!$B:$B,K283))</f>
        <v/>
      </c>
      <c r="M283">
        <f>IF(A283="","",IF(ABS(L283/A283-1)&lt;0.01,"周波数差&lt;1%","周波数差あり"))</f>
        <v/>
      </c>
    </row>
    <row r="284">
      <c r="A284" s="197" t="n"/>
      <c r="B284" s="198" t="n"/>
      <c r="C284" s="198" t="n"/>
      <c r="D284" s="195">
        <f>IF(K284="","",INDEX('同相3導体'!$AB:$AB,K284))</f>
        <v/>
      </c>
      <c r="E284" s="195">
        <f>IF(K284="","",INDEX('同相3導体'!$AC:$AC,K284))</f>
        <v/>
      </c>
      <c r="F284" s="195">
        <f>IF(OR(A284="",B284=""),"",100*(D284-B284)/MAX(B284,1E-12))</f>
        <v/>
      </c>
      <c r="G284" s="195">
        <f>IF(OR(A284="",C284=""),"",E284-C284)</f>
        <v/>
      </c>
      <c r="H284" s="195">
        <f>IF(A284="","",LOG10(A284))</f>
        <v/>
      </c>
      <c r="I284" s="195">
        <f>IF(B284="","",LOG10(MAX(B284,1E-12)))</f>
        <v/>
      </c>
      <c r="J284" s="195">
        <f>IF(D284="","",LOG10(MAX(D284,1E-12)))</f>
        <v/>
      </c>
      <c r="K284">
        <f>IF(A284="","",ROUND(1+(LOG10(A284)-LOG10('入力・概要'!$B$38))*('入力・概要'!$B$40-1)/(LOG10('入力・概要'!$B$39)-LOG10('入力・概要'!$B$38)),0)+3)</f>
        <v/>
      </c>
      <c r="L284">
        <f>IF(K284="","",INDEX('同相3導体'!$B:$B,K284))</f>
        <v/>
      </c>
      <c r="M284">
        <f>IF(A284="","",IF(ABS(L284/A284-1)&lt;0.01,"周波数差&lt;1%","周波数差あり"))</f>
        <v/>
      </c>
    </row>
    <row r="285">
      <c r="A285" s="197" t="n"/>
      <c r="B285" s="198" t="n"/>
      <c r="C285" s="198" t="n"/>
      <c r="D285" s="195">
        <f>IF(K285="","",INDEX('同相3導体'!$AB:$AB,K285))</f>
        <v/>
      </c>
      <c r="E285" s="195">
        <f>IF(K285="","",INDEX('同相3導体'!$AC:$AC,K285))</f>
        <v/>
      </c>
      <c r="F285" s="195">
        <f>IF(OR(A285="",B285=""),"",100*(D285-B285)/MAX(B285,1E-12))</f>
        <v/>
      </c>
      <c r="G285" s="195">
        <f>IF(OR(A285="",C285=""),"",E285-C285)</f>
        <v/>
      </c>
      <c r="H285" s="195">
        <f>IF(A285="","",LOG10(A285))</f>
        <v/>
      </c>
      <c r="I285" s="195">
        <f>IF(B285="","",LOG10(MAX(B285,1E-12)))</f>
        <v/>
      </c>
      <c r="J285" s="195">
        <f>IF(D285="","",LOG10(MAX(D285,1E-12)))</f>
        <v/>
      </c>
      <c r="K285">
        <f>IF(A285="","",ROUND(1+(LOG10(A285)-LOG10('入力・概要'!$B$38))*('入力・概要'!$B$40-1)/(LOG10('入力・概要'!$B$39)-LOG10('入力・概要'!$B$38)),0)+3)</f>
        <v/>
      </c>
      <c r="L285">
        <f>IF(K285="","",INDEX('同相3導体'!$B:$B,K285))</f>
        <v/>
      </c>
      <c r="M285">
        <f>IF(A285="","",IF(ABS(L285/A285-1)&lt;0.01,"周波数差&lt;1%","周波数差あり"))</f>
        <v/>
      </c>
    </row>
    <row r="286">
      <c r="A286" s="197" t="n"/>
      <c r="B286" s="198" t="n"/>
      <c r="C286" s="198" t="n"/>
      <c r="D286" s="195">
        <f>IF(K286="","",INDEX('同相3導体'!$AB:$AB,K286))</f>
        <v/>
      </c>
      <c r="E286" s="195">
        <f>IF(K286="","",INDEX('同相3導体'!$AC:$AC,K286))</f>
        <v/>
      </c>
      <c r="F286" s="195">
        <f>IF(OR(A286="",B286=""),"",100*(D286-B286)/MAX(B286,1E-12))</f>
        <v/>
      </c>
      <c r="G286" s="195">
        <f>IF(OR(A286="",C286=""),"",E286-C286)</f>
        <v/>
      </c>
      <c r="H286" s="195">
        <f>IF(A286="","",LOG10(A286))</f>
        <v/>
      </c>
      <c r="I286" s="195">
        <f>IF(B286="","",LOG10(MAX(B286,1E-12)))</f>
        <v/>
      </c>
      <c r="J286" s="195">
        <f>IF(D286="","",LOG10(MAX(D286,1E-12)))</f>
        <v/>
      </c>
      <c r="K286">
        <f>IF(A286="","",ROUND(1+(LOG10(A286)-LOG10('入力・概要'!$B$38))*('入力・概要'!$B$40-1)/(LOG10('入力・概要'!$B$39)-LOG10('入力・概要'!$B$38)),0)+3)</f>
        <v/>
      </c>
      <c r="L286">
        <f>IF(K286="","",INDEX('同相3導体'!$B:$B,K286))</f>
        <v/>
      </c>
      <c r="M286">
        <f>IF(A286="","",IF(ABS(L286/A286-1)&lt;0.01,"周波数差&lt;1%","周波数差あり"))</f>
        <v/>
      </c>
    </row>
    <row r="287">
      <c r="A287" s="197" t="n"/>
      <c r="B287" s="198" t="n"/>
      <c r="C287" s="198" t="n"/>
      <c r="D287" s="195">
        <f>IF(K287="","",INDEX('同相3導体'!$AB:$AB,K287))</f>
        <v/>
      </c>
      <c r="E287" s="195">
        <f>IF(K287="","",INDEX('同相3導体'!$AC:$AC,K287))</f>
        <v/>
      </c>
      <c r="F287" s="195">
        <f>IF(OR(A287="",B287=""),"",100*(D287-B287)/MAX(B287,1E-12))</f>
        <v/>
      </c>
      <c r="G287" s="195">
        <f>IF(OR(A287="",C287=""),"",E287-C287)</f>
        <v/>
      </c>
      <c r="H287" s="195">
        <f>IF(A287="","",LOG10(A287))</f>
        <v/>
      </c>
      <c r="I287" s="195">
        <f>IF(B287="","",LOG10(MAX(B287,1E-12)))</f>
        <v/>
      </c>
      <c r="J287" s="195">
        <f>IF(D287="","",LOG10(MAX(D287,1E-12)))</f>
        <v/>
      </c>
      <c r="K287">
        <f>IF(A287="","",ROUND(1+(LOG10(A287)-LOG10('入力・概要'!$B$38))*('入力・概要'!$B$40-1)/(LOG10('入力・概要'!$B$39)-LOG10('入力・概要'!$B$38)),0)+3)</f>
        <v/>
      </c>
      <c r="L287">
        <f>IF(K287="","",INDEX('同相3導体'!$B:$B,K287))</f>
        <v/>
      </c>
      <c r="M287">
        <f>IF(A287="","",IF(ABS(L287/A287-1)&lt;0.01,"周波数差&lt;1%","周波数差あり"))</f>
        <v/>
      </c>
    </row>
    <row r="288">
      <c r="A288" s="197" t="n"/>
      <c r="B288" s="198" t="n"/>
      <c r="C288" s="198" t="n"/>
      <c r="D288" s="195">
        <f>IF(K288="","",INDEX('同相3導体'!$AB:$AB,K288))</f>
        <v/>
      </c>
      <c r="E288" s="195">
        <f>IF(K288="","",INDEX('同相3導体'!$AC:$AC,K288))</f>
        <v/>
      </c>
      <c r="F288" s="195">
        <f>IF(OR(A288="",B288=""),"",100*(D288-B288)/MAX(B288,1E-12))</f>
        <v/>
      </c>
      <c r="G288" s="195">
        <f>IF(OR(A288="",C288=""),"",E288-C288)</f>
        <v/>
      </c>
      <c r="H288" s="195">
        <f>IF(A288="","",LOG10(A288))</f>
        <v/>
      </c>
      <c r="I288" s="195">
        <f>IF(B288="","",LOG10(MAX(B288,1E-12)))</f>
        <v/>
      </c>
      <c r="J288" s="195">
        <f>IF(D288="","",LOG10(MAX(D288,1E-12)))</f>
        <v/>
      </c>
      <c r="K288">
        <f>IF(A288="","",ROUND(1+(LOG10(A288)-LOG10('入力・概要'!$B$38))*('入力・概要'!$B$40-1)/(LOG10('入力・概要'!$B$39)-LOG10('入力・概要'!$B$38)),0)+3)</f>
        <v/>
      </c>
      <c r="L288">
        <f>IF(K288="","",INDEX('同相3導体'!$B:$B,K288))</f>
        <v/>
      </c>
      <c r="M288">
        <f>IF(A288="","",IF(ABS(L288/A288-1)&lt;0.01,"周波数差&lt;1%","周波数差あり"))</f>
        <v/>
      </c>
    </row>
    <row r="289">
      <c r="A289" s="197" t="n"/>
      <c r="B289" s="198" t="n"/>
      <c r="C289" s="198" t="n"/>
      <c r="D289" s="195">
        <f>IF(K289="","",INDEX('同相3導体'!$AB:$AB,K289))</f>
        <v/>
      </c>
      <c r="E289" s="195">
        <f>IF(K289="","",INDEX('同相3導体'!$AC:$AC,K289))</f>
        <v/>
      </c>
      <c r="F289" s="195">
        <f>IF(OR(A289="",B289=""),"",100*(D289-B289)/MAX(B289,1E-12))</f>
        <v/>
      </c>
      <c r="G289" s="195">
        <f>IF(OR(A289="",C289=""),"",E289-C289)</f>
        <v/>
      </c>
      <c r="H289" s="195">
        <f>IF(A289="","",LOG10(A289))</f>
        <v/>
      </c>
      <c r="I289" s="195">
        <f>IF(B289="","",LOG10(MAX(B289,1E-12)))</f>
        <v/>
      </c>
      <c r="J289" s="195">
        <f>IF(D289="","",LOG10(MAX(D289,1E-12)))</f>
        <v/>
      </c>
      <c r="K289">
        <f>IF(A289="","",ROUND(1+(LOG10(A289)-LOG10('入力・概要'!$B$38))*('入力・概要'!$B$40-1)/(LOG10('入力・概要'!$B$39)-LOG10('入力・概要'!$B$38)),0)+3)</f>
        <v/>
      </c>
      <c r="L289">
        <f>IF(K289="","",INDEX('同相3導体'!$B:$B,K289))</f>
        <v/>
      </c>
      <c r="M289">
        <f>IF(A289="","",IF(ABS(L289/A289-1)&lt;0.01,"周波数差&lt;1%","周波数差あり"))</f>
        <v/>
      </c>
    </row>
    <row r="290">
      <c r="A290" s="197" t="n"/>
      <c r="B290" s="198" t="n"/>
      <c r="C290" s="198" t="n"/>
      <c r="D290" s="195">
        <f>IF(K290="","",INDEX('同相3導体'!$AB:$AB,K290))</f>
        <v/>
      </c>
      <c r="E290" s="195">
        <f>IF(K290="","",INDEX('同相3導体'!$AC:$AC,K290))</f>
        <v/>
      </c>
      <c r="F290" s="195">
        <f>IF(OR(A290="",B290=""),"",100*(D290-B290)/MAX(B290,1E-12))</f>
        <v/>
      </c>
      <c r="G290" s="195">
        <f>IF(OR(A290="",C290=""),"",E290-C290)</f>
        <v/>
      </c>
      <c r="H290" s="195">
        <f>IF(A290="","",LOG10(A290))</f>
        <v/>
      </c>
      <c r="I290" s="195">
        <f>IF(B290="","",LOG10(MAX(B290,1E-12)))</f>
        <v/>
      </c>
      <c r="J290" s="195">
        <f>IF(D290="","",LOG10(MAX(D290,1E-12)))</f>
        <v/>
      </c>
      <c r="K290">
        <f>IF(A290="","",ROUND(1+(LOG10(A290)-LOG10('入力・概要'!$B$38))*('入力・概要'!$B$40-1)/(LOG10('入力・概要'!$B$39)-LOG10('入力・概要'!$B$38)),0)+3)</f>
        <v/>
      </c>
      <c r="L290">
        <f>IF(K290="","",INDEX('同相3導体'!$B:$B,K290))</f>
        <v/>
      </c>
      <c r="M290">
        <f>IF(A290="","",IF(ABS(L290/A290-1)&lt;0.01,"周波数差&lt;1%","周波数差あり"))</f>
        <v/>
      </c>
    </row>
    <row r="291">
      <c r="A291" s="197" t="n"/>
      <c r="B291" s="198" t="n"/>
      <c r="C291" s="198" t="n"/>
      <c r="D291" s="195">
        <f>IF(K291="","",INDEX('同相3導体'!$AB:$AB,K291))</f>
        <v/>
      </c>
      <c r="E291" s="195">
        <f>IF(K291="","",INDEX('同相3導体'!$AC:$AC,K291))</f>
        <v/>
      </c>
      <c r="F291" s="195">
        <f>IF(OR(A291="",B291=""),"",100*(D291-B291)/MAX(B291,1E-12))</f>
        <v/>
      </c>
      <c r="G291" s="195">
        <f>IF(OR(A291="",C291=""),"",E291-C291)</f>
        <v/>
      </c>
      <c r="H291" s="195">
        <f>IF(A291="","",LOG10(A291))</f>
        <v/>
      </c>
      <c r="I291" s="195">
        <f>IF(B291="","",LOG10(MAX(B291,1E-12)))</f>
        <v/>
      </c>
      <c r="J291" s="195">
        <f>IF(D291="","",LOG10(MAX(D291,1E-12)))</f>
        <v/>
      </c>
      <c r="K291">
        <f>IF(A291="","",ROUND(1+(LOG10(A291)-LOG10('入力・概要'!$B$38))*('入力・概要'!$B$40-1)/(LOG10('入力・概要'!$B$39)-LOG10('入力・概要'!$B$38)),0)+3)</f>
        <v/>
      </c>
      <c r="L291">
        <f>IF(K291="","",INDEX('同相3導体'!$B:$B,K291))</f>
        <v/>
      </c>
      <c r="M291">
        <f>IF(A291="","",IF(ABS(L291/A291-1)&lt;0.01,"周波数差&lt;1%","周波数差あり"))</f>
        <v/>
      </c>
    </row>
    <row r="292">
      <c r="A292" s="197" t="n"/>
      <c r="B292" s="198" t="n"/>
      <c r="C292" s="198" t="n"/>
      <c r="D292" s="195">
        <f>IF(K292="","",INDEX('同相3導体'!$AB:$AB,K292))</f>
        <v/>
      </c>
      <c r="E292" s="195">
        <f>IF(K292="","",INDEX('同相3導体'!$AC:$AC,K292))</f>
        <v/>
      </c>
      <c r="F292" s="195">
        <f>IF(OR(A292="",B292=""),"",100*(D292-B292)/MAX(B292,1E-12))</f>
        <v/>
      </c>
      <c r="G292" s="195">
        <f>IF(OR(A292="",C292=""),"",E292-C292)</f>
        <v/>
      </c>
      <c r="H292" s="195">
        <f>IF(A292="","",LOG10(A292))</f>
        <v/>
      </c>
      <c r="I292" s="195">
        <f>IF(B292="","",LOG10(MAX(B292,1E-12)))</f>
        <v/>
      </c>
      <c r="J292" s="195">
        <f>IF(D292="","",LOG10(MAX(D292,1E-12)))</f>
        <v/>
      </c>
      <c r="K292">
        <f>IF(A292="","",ROUND(1+(LOG10(A292)-LOG10('入力・概要'!$B$38))*('入力・概要'!$B$40-1)/(LOG10('入力・概要'!$B$39)-LOG10('入力・概要'!$B$38)),0)+3)</f>
        <v/>
      </c>
      <c r="L292">
        <f>IF(K292="","",INDEX('同相3導体'!$B:$B,K292))</f>
        <v/>
      </c>
      <c r="M292">
        <f>IF(A292="","",IF(ABS(L292/A292-1)&lt;0.01,"周波数差&lt;1%","周波数差あり"))</f>
        <v/>
      </c>
    </row>
    <row r="293">
      <c r="A293" s="197" t="n"/>
      <c r="B293" s="198" t="n"/>
      <c r="C293" s="198" t="n"/>
      <c r="D293" s="195">
        <f>IF(K293="","",INDEX('同相3導体'!$AB:$AB,K293))</f>
        <v/>
      </c>
      <c r="E293" s="195">
        <f>IF(K293="","",INDEX('同相3導体'!$AC:$AC,K293))</f>
        <v/>
      </c>
      <c r="F293" s="195">
        <f>IF(OR(A293="",B293=""),"",100*(D293-B293)/MAX(B293,1E-12))</f>
        <v/>
      </c>
      <c r="G293" s="195">
        <f>IF(OR(A293="",C293=""),"",E293-C293)</f>
        <v/>
      </c>
      <c r="H293" s="195">
        <f>IF(A293="","",LOG10(A293))</f>
        <v/>
      </c>
      <c r="I293" s="195">
        <f>IF(B293="","",LOG10(MAX(B293,1E-12)))</f>
        <v/>
      </c>
      <c r="J293" s="195">
        <f>IF(D293="","",LOG10(MAX(D293,1E-12)))</f>
        <v/>
      </c>
      <c r="K293">
        <f>IF(A293="","",ROUND(1+(LOG10(A293)-LOG10('入力・概要'!$B$38))*('入力・概要'!$B$40-1)/(LOG10('入力・概要'!$B$39)-LOG10('入力・概要'!$B$38)),0)+3)</f>
        <v/>
      </c>
      <c r="L293">
        <f>IF(K293="","",INDEX('同相3導体'!$B:$B,K293))</f>
        <v/>
      </c>
      <c r="M293">
        <f>IF(A293="","",IF(ABS(L293/A293-1)&lt;0.01,"周波数差&lt;1%","周波数差あり"))</f>
        <v/>
      </c>
    </row>
    <row r="294">
      <c r="A294" s="197" t="n"/>
      <c r="B294" s="198" t="n"/>
      <c r="C294" s="198" t="n"/>
      <c r="D294" s="195">
        <f>IF(K294="","",INDEX('同相3導体'!$AB:$AB,K294))</f>
        <v/>
      </c>
      <c r="E294" s="195">
        <f>IF(K294="","",INDEX('同相3導体'!$AC:$AC,K294))</f>
        <v/>
      </c>
      <c r="F294" s="195">
        <f>IF(OR(A294="",B294=""),"",100*(D294-B294)/MAX(B294,1E-12))</f>
        <v/>
      </c>
      <c r="G294" s="195">
        <f>IF(OR(A294="",C294=""),"",E294-C294)</f>
        <v/>
      </c>
      <c r="H294" s="195">
        <f>IF(A294="","",LOG10(A294))</f>
        <v/>
      </c>
      <c r="I294" s="195">
        <f>IF(B294="","",LOG10(MAX(B294,1E-12)))</f>
        <v/>
      </c>
      <c r="J294" s="195">
        <f>IF(D294="","",LOG10(MAX(D294,1E-12)))</f>
        <v/>
      </c>
      <c r="K294">
        <f>IF(A294="","",ROUND(1+(LOG10(A294)-LOG10('入力・概要'!$B$38))*('入力・概要'!$B$40-1)/(LOG10('入力・概要'!$B$39)-LOG10('入力・概要'!$B$38)),0)+3)</f>
        <v/>
      </c>
      <c r="L294">
        <f>IF(K294="","",INDEX('同相3導体'!$B:$B,K294))</f>
        <v/>
      </c>
      <c r="M294">
        <f>IF(A294="","",IF(ABS(L294/A294-1)&lt;0.01,"周波数差&lt;1%","周波数差あり"))</f>
        <v/>
      </c>
    </row>
    <row r="295">
      <c r="A295" s="197" t="n"/>
      <c r="B295" s="198" t="n"/>
      <c r="C295" s="198" t="n"/>
      <c r="D295" s="195">
        <f>IF(K295="","",INDEX('同相3導体'!$AB:$AB,K295))</f>
        <v/>
      </c>
      <c r="E295" s="195">
        <f>IF(K295="","",INDEX('同相3導体'!$AC:$AC,K295))</f>
        <v/>
      </c>
      <c r="F295" s="195">
        <f>IF(OR(A295="",B295=""),"",100*(D295-B295)/MAX(B295,1E-12))</f>
        <v/>
      </c>
      <c r="G295" s="195">
        <f>IF(OR(A295="",C295=""),"",E295-C295)</f>
        <v/>
      </c>
      <c r="H295" s="195">
        <f>IF(A295="","",LOG10(A295))</f>
        <v/>
      </c>
      <c r="I295" s="195">
        <f>IF(B295="","",LOG10(MAX(B295,1E-12)))</f>
        <v/>
      </c>
      <c r="J295" s="195">
        <f>IF(D295="","",LOG10(MAX(D295,1E-12)))</f>
        <v/>
      </c>
      <c r="K295">
        <f>IF(A295="","",ROUND(1+(LOG10(A295)-LOG10('入力・概要'!$B$38))*('入力・概要'!$B$40-1)/(LOG10('入力・概要'!$B$39)-LOG10('入力・概要'!$B$38)),0)+3)</f>
        <v/>
      </c>
      <c r="L295">
        <f>IF(K295="","",INDEX('同相3導体'!$B:$B,K295))</f>
        <v/>
      </c>
      <c r="M295">
        <f>IF(A295="","",IF(ABS(L295/A295-1)&lt;0.01,"周波数差&lt;1%","周波数差あり"))</f>
        <v/>
      </c>
    </row>
    <row r="296">
      <c r="A296" s="197" t="n"/>
      <c r="B296" s="198" t="n"/>
      <c r="C296" s="198" t="n"/>
      <c r="D296" s="195">
        <f>IF(K296="","",INDEX('同相3導体'!$AB:$AB,K296))</f>
        <v/>
      </c>
      <c r="E296" s="195">
        <f>IF(K296="","",INDEX('同相3導体'!$AC:$AC,K296))</f>
        <v/>
      </c>
      <c r="F296" s="195">
        <f>IF(OR(A296="",B296=""),"",100*(D296-B296)/MAX(B296,1E-12))</f>
        <v/>
      </c>
      <c r="G296" s="195">
        <f>IF(OR(A296="",C296=""),"",E296-C296)</f>
        <v/>
      </c>
      <c r="H296" s="195">
        <f>IF(A296="","",LOG10(A296))</f>
        <v/>
      </c>
      <c r="I296" s="195">
        <f>IF(B296="","",LOG10(MAX(B296,1E-12)))</f>
        <v/>
      </c>
      <c r="J296" s="195">
        <f>IF(D296="","",LOG10(MAX(D296,1E-12)))</f>
        <v/>
      </c>
      <c r="K296">
        <f>IF(A296="","",ROUND(1+(LOG10(A296)-LOG10('入力・概要'!$B$38))*('入力・概要'!$B$40-1)/(LOG10('入力・概要'!$B$39)-LOG10('入力・概要'!$B$38)),0)+3)</f>
        <v/>
      </c>
      <c r="L296">
        <f>IF(K296="","",INDEX('同相3導体'!$B:$B,K296))</f>
        <v/>
      </c>
      <c r="M296">
        <f>IF(A296="","",IF(ABS(L296/A296-1)&lt;0.01,"周波数差&lt;1%","周波数差あり"))</f>
        <v/>
      </c>
    </row>
    <row r="297">
      <c r="A297" s="197" t="n"/>
      <c r="B297" s="198" t="n"/>
      <c r="C297" s="198" t="n"/>
      <c r="D297" s="195">
        <f>IF(K297="","",INDEX('同相3導体'!$AB:$AB,K297))</f>
        <v/>
      </c>
      <c r="E297" s="195">
        <f>IF(K297="","",INDEX('同相3導体'!$AC:$AC,K297))</f>
        <v/>
      </c>
      <c r="F297" s="195">
        <f>IF(OR(A297="",B297=""),"",100*(D297-B297)/MAX(B297,1E-12))</f>
        <v/>
      </c>
      <c r="G297" s="195">
        <f>IF(OR(A297="",C297=""),"",E297-C297)</f>
        <v/>
      </c>
      <c r="H297" s="195">
        <f>IF(A297="","",LOG10(A297))</f>
        <v/>
      </c>
      <c r="I297" s="195">
        <f>IF(B297="","",LOG10(MAX(B297,1E-12)))</f>
        <v/>
      </c>
      <c r="J297" s="195">
        <f>IF(D297="","",LOG10(MAX(D297,1E-12)))</f>
        <v/>
      </c>
      <c r="K297">
        <f>IF(A297="","",ROUND(1+(LOG10(A297)-LOG10('入力・概要'!$B$38))*('入力・概要'!$B$40-1)/(LOG10('入力・概要'!$B$39)-LOG10('入力・概要'!$B$38)),0)+3)</f>
        <v/>
      </c>
      <c r="L297">
        <f>IF(K297="","",INDEX('同相3導体'!$B:$B,K297))</f>
        <v/>
      </c>
      <c r="M297">
        <f>IF(A297="","",IF(ABS(L297/A297-1)&lt;0.01,"周波数差&lt;1%","周波数差あり"))</f>
        <v/>
      </c>
    </row>
    <row r="298">
      <c r="A298" s="197" t="n"/>
      <c r="B298" s="198" t="n"/>
      <c r="C298" s="198" t="n"/>
      <c r="D298" s="195">
        <f>IF(K298="","",INDEX('同相3導体'!$AB:$AB,K298))</f>
        <v/>
      </c>
      <c r="E298" s="195">
        <f>IF(K298="","",INDEX('同相3導体'!$AC:$AC,K298))</f>
        <v/>
      </c>
      <c r="F298" s="195">
        <f>IF(OR(A298="",B298=""),"",100*(D298-B298)/MAX(B298,1E-12))</f>
        <v/>
      </c>
      <c r="G298" s="195">
        <f>IF(OR(A298="",C298=""),"",E298-C298)</f>
        <v/>
      </c>
      <c r="H298" s="195">
        <f>IF(A298="","",LOG10(A298))</f>
        <v/>
      </c>
      <c r="I298" s="195">
        <f>IF(B298="","",LOG10(MAX(B298,1E-12)))</f>
        <v/>
      </c>
      <c r="J298" s="195">
        <f>IF(D298="","",LOG10(MAX(D298,1E-12)))</f>
        <v/>
      </c>
      <c r="K298">
        <f>IF(A298="","",ROUND(1+(LOG10(A298)-LOG10('入力・概要'!$B$38))*('入力・概要'!$B$40-1)/(LOG10('入力・概要'!$B$39)-LOG10('入力・概要'!$B$38)),0)+3)</f>
        <v/>
      </c>
      <c r="L298">
        <f>IF(K298="","",INDEX('同相3導体'!$B:$B,K298))</f>
        <v/>
      </c>
      <c r="M298">
        <f>IF(A298="","",IF(ABS(L298/A298-1)&lt;0.01,"周波数差&lt;1%","周波数差あり"))</f>
        <v/>
      </c>
    </row>
    <row r="299">
      <c r="A299" s="197" t="n"/>
      <c r="B299" s="198" t="n"/>
      <c r="C299" s="198" t="n"/>
      <c r="D299" s="195">
        <f>IF(K299="","",INDEX('同相3導体'!$AB:$AB,K299))</f>
        <v/>
      </c>
      <c r="E299" s="195">
        <f>IF(K299="","",INDEX('同相3導体'!$AC:$AC,K299))</f>
        <v/>
      </c>
      <c r="F299" s="195">
        <f>IF(OR(A299="",B299=""),"",100*(D299-B299)/MAX(B299,1E-12))</f>
        <v/>
      </c>
      <c r="G299" s="195">
        <f>IF(OR(A299="",C299=""),"",E299-C299)</f>
        <v/>
      </c>
      <c r="H299" s="195">
        <f>IF(A299="","",LOG10(A299))</f>
        <v/>
      </c>
      <c r="I299" s="195">
        <f>IF(B299="","",LOG10(MAX(B299,1E-12)))</f>
        <v/>
      </c>
      <c r="J299" s="195">
        <f>IF(D299="","",LOG10(MAX(D299,1E-12)))</f>
        <v/>
      </c>
      <c r="K299">
        <f>IF(A299="","",ROUND(1+(LOG10(A299)-LOG10('入力・概要'!$B$38))*('入力・概要'!$B$40-1)/(LOG10('入力・概要'!$B$39)-LOG10('入力・概要'!$B$38)),0)+3)</f>
        <v/>
      </c>
      <c r="L299">
        <f>IF(K299="","",INDEX('同相3導体'!$B:$B,K299))</f>
        <v/>
      </c>
      <c r="M299">
        <f>IF(A299="","",IF(ABS(L299/A299-1)&lt;0.01,"周波数差&lt;1%","周波数差あり"))</f>
        <v/>
      </c>
    </row>
    <row r="300">
      <c r="A300" s="197" t="n"/>
      <c r="B300" s="198" t="n"/>
      <c r="C300" s="198" t="n"/>
      <c r="D300" s="195">
        <f>IF(K300="","",INDEX('同相3導体'!$AB:$AB,K300))</f>
        <v/>
      </c>
      <c r="E300" s="195">
        <f>IF(K300="","",INDEX('同相3導体'!$AC:$AC,K300))</f>
        <v/>
      </c>
      <c r="F300" s="195">
        <f>IF(OR(A300="",B300=""),"",100*(D300-B300)/MAX(B300,1E-12))</f>
        <v/>
      </c>
      <c r="G300" s="195">
        <f>IF(OR(A300="",C300=""),"",E300-C300)</f>
        <v/>
      </c>
      <c r="H300" s="195">
        <f>IF(A300="","",LOG10(A300))</f>
        <v/>
      </c>
      <c r="I300" s="195">
        <f>IF(B300="","",LOG10(MAX(B300,1E-12)))</f>
        <v/>
      </c>
      <c r="J300" s="195">
        <f>IF(D300="","",LOG10(MAX(D300,1E-12)))</f>
        <v/>
      </c>
      <c r="K300">
        <f>IF(A300="","",ROUND(1+(LOG10(A300)-LOG10('入力・概要'!$B$38))*('入力・概要'!$B$40-1)/(LOG10('入力・概要'!$B$39)-LOG10('入力・概要'!$B$38)),0)+3)</f>
        <v/>
      </c>
      <c r="L300">
        <f>IF(K300="","",INDEX('同相3導体'!$B:$B,K300))</f>
        <v/>
      </c>
      <c r="M300">
        <f>IF(A300="","",IF(ABS(L300/A300-1)&lt;0.01,"周波数差&lt;1%","周波数差あり"))</f>
        <v/>
      </c>
    </row>
    <row r="301">
      <c r="A301" s="197" t="n"/>
      <c r="B301" s="198" t="n"/>
      <c r="C301" s="198" t="n"/>
      <c r="D301" s="195">
        <f>IF(K301="","",INDEX('同相3導体'!$AB:$AB,K301))</f>
        <v/>
      </c>
      <c r="E301" s="195">
        <f>IF(K301="","",INDEX('同相3導体'!$AC:$AC,K301))</f>
        <v/>
      </c>
      <c r="F301" s="195">
        <f>IF(OR(A301="",B301=""),"",100*(D301-B301)/MAX(B301,1E-12))</f>
        <v/>
      </c>
      <c r="G301" s="195">
        <f>IF(OR(A301="",C301=""),"",E301-C301)</f>
        <v/>
      </c>
      <c r="H301" s="195">
        <f>IF(A301="","",LOG10(A301))</f>
        <v/>
      </c>
      <c r="I301" s="195">
        <f>IF(B301="","",LOG10(MAX(B301,1E-12)))</f>
        <v/>
      </c>
      <c r="J301" s="195">
        <f>IF(D301="","",LOG10(MAX(D301,1E-12)))</f>
        <v/>
      </c>
      <c r="K301">
        <f>IF(A301="","",ROUND(1+(LOG10(A301)-LOG10('入力・概要'!$B$38))*('入力・概要'!$B$40-1)/(LOG10('入力・概要'!$B$39)-LOG10('入力・概要'!$B$38)),0)+3)</f>
        <v/>
      </c>
      <c r="L301">
        <f>IF(K301="","",INDEX('同相3導体'!$B:$B,K301))</f>
        <v/>
      </c>
      <c r="M301">
        <f>IF(A301="","",IF(ABS(L301/A301-1)&lt;0.01,"周波数差&lt;1%","周波数差あり"))</f>
        <v/>
      </c>
    </row>
    <row r="302">
      <c r="A302" s="197" t="n"/>
      <c r="B302" s="198" t="n"/>
      <c r="C302" s="198" t="n"/>
      <c r="D302" s="195">
        <f>IF(K302="","",INDEX('同相3導体'!$AB:$AB,K302))</f>
        <v/>
      </c>
      <c r="E302" s="195">
        <f>IF(K302="","",INDEX('同相3導体'!$AC:$AC,K302))</f>
        <v/>
      </c>
      <c r="F302" s="195">
        <f>IF(OR(A302="",B302=""),"",100*(D302-B302)/MAX(B302,1E-12))</f>
        <v/>
      </c>
      <c r="G302" s="195">
        <f>IF(OR(A302="",C302=""),"",E302-C302)</f>
        <v/>
      </c>
      <c r="H302" s="195">
        <f>IF(A302="","",LOG10(A302))</f>
        <v/>
      </c>
      <c r="I302" s="195">
        <f>IF(B302="","",LOG10(MAX(B302,1E-12)))</f>
        <v/>
      </c>
      <c r="J302" s="195">
        <f>IF(D302="","",LOG10(MAX(D302,1E-12)))</f>
        <v/>
      </c>
      <c r="K302">
        <f>IF(A302="","",ROUND(1+(LOG10(A302)-LOG10('入力・概要'!$B$38))*('入力・概要'!$B$40-1)/(LOG10('入力・概要'!$B$39)-LOG10('入力・概要'!$B$38)),0)+3)</f>
        <v/>
      </c>
      <c r="L302">
        <f>IF(K302="","",INDEX('同相3導体'!$B:$B,K302))</f>
        <v/>
      </c>
      <c r="M302">
        <f>IF(A302="","",IF(ABS(L302/A302-1)&lt;0.01,"周波数差&lt;1%","周波数差あり"))</f>
        <v/>
      </c>
    </row>
    <row r="303">
      <c r="A303" s="197" t="n"/>
      <c r="B303" s="198" t="n"/>
      <c r="C303" s="198" t="n"/>
      <c r="D303" s="195">
        <f>IF(K303="","",INDEX('同相3導体'!$AB:$AB,K303))</f>
        <v/>
      </c>
      <c r="E303" s="195">
        <f>IF(K303="","",INDEX('同相3導体'!$AC:$AC,K303))</f>
        <v/>
      </c>
      <c r="F303" s="195">
        <f>IF(OR(A303="",B303=""),"",100*(D303-B303)/MAX(B303,1E-12))</f>
        <v/>
      </c>
      <c r="G303" s="195">
        <f>IF(OR(A303="",C303=""),"",E303-C303)</f>
        <v/>
      </c>
      <c r="H303" s="195">
        <f>IF(A303="","",LOG10(A303))</f>
        <v/>
      </c>
      <c r="I303" s="195">
        <f>IF(B303="","",LOG10(MAX(B303,1E-12)))</f>
        <v/>
      </c>
      <c r="J303" s="195">
        <f>IF(D303="","",LOG10(MAX(D303,1E-12)))</f>
        <v/>
      </c>
      <c r="K303">
        <f>IF(A303="","",ROUND(1+(LOG10(A303)-LOG10('入力・概要'!$B$38))*('入力・概要'!$B$40-1)/(LOG10('入力・概要'!$B$39)-LOG10('入力・概要'!$B$38)),0)+3)</f>
        <v/>
      </c>
      <c r="L303">
        <f>IF(K303="","",INDEX('同相3導体'!$B:$B,K303))</f>
        <v/>
      </c>
      <c r="M303">
        <f>IF(A303="","",IF(ABS(L303/A303-1)&lt;0.01,"周波数差&lt;1%","周波数差あり"))</f>
        <v/>
      </c>
    </row>
    <row r="304">
      <c r="A304" s="197" t="n"/>
      <c r="B304" s="198" t="n"/>
      <c r="C304" s="198" t="n"/>
      <c r="D304" s="195">
        <f>IF(K304="","",INDEX('同相3導体'!$AB:$AB,K304))</f>
        <v/>
      </c>
      <c r="E304" s="195">
        <f>IF(K304="","",INDEX('同相3導体'!$AC:$AC,K304))</f>
        <v/>
      </c>
      <c r="F304" s="195">
        <f>IF(OR(A304="",B304=""),"",100*(D304-B304)/MAX(B304,1E-12))</f>
        <v/>
      </c>
      <c r="G304" s="195">
        <f>IF(OR(A304="",C304=""),"",E304-C304)</f>
        <v/>
      </c>
      <c r="H304" s="195">
        <f>IF(A304="","",LOG10(A304))</f>
        <v/>
      </c>
      <c r="I304" s="195">
        <f>IF(B304="","",LOG10(MAX(B304,1E-12)))</f>
        <v/>
      </c>
      <c r="J304" s="195">
        <f>IF(D304="","",LOG10(MAX(D304,1E-12)))</f>
        <v/>
      </c>
      <c r="K304">
        <f>IF(A304="","",ROUND(1+(LOG10(A304)-LOG10('入力・概要'!$B$38))*('入力・概要'!$B$40-1)/(LOG10('入力・概要'!$B$39)-LOG10('入力・概要'!$B$38)),0)+3)</f>
        <v/>
      </c>
      <c r="L304">
        <f>IF(K304="","",INDEX('同相3導体'!$B:$B,K304))</f>
        <v/>
      </c>
      <c r="M304">
        <f>IF(A304="","",IF(ABS(L304/A304-1)&lt;0.01,"周波数差&lt;1%","周波数差あり"))</f>
        <v/>
      </c>
    </row>
    <row r="305">
      <c r="A305" s="197" t="n"/>
      <c r="B305" s="198" t="n"/>
      <c r="C305" s="198" t="n"/>
      <c r="D305" s="195">
        <f>IF(K305="","",INDEX('同相3導体'!$AB:$AB,K305))</f>
        <v/>
      </c>
      <c r="E305" s="195">
        <f>IF(K305="","",INDEX('同相3導体'!$AC:$AC,K305))</f>
        <v/>
      </c>
      <c r="F305" s="195">
        <f>IF(OR(A305="",B305=""),"",100*(D305-B305)/MAX(B305,1E-12))</f>
        <v/>
      </c>
      <c r="G305" s="195">
        <f>IF(OR(A305="",C305=""),"",E305-C305)</f>
        <v/>
      </c>
      <c r="H305" s="195">
        <f>IF(A305="","",LOG10(A305))</f>
        <v/>
      </c>
      <c r="I305" s="195">
        <f>IF(B305="","",LOG10(MAX(B305,1E-12)))</f>
        <v/>
      </c>
      <c r="J305" s="195">
        <f>IF(D305="","",LOG10(MAX(D305,1E-12)))</f>
        <v/>
      </c>
      <c r="K305">
        <f>IF(A305="","",ROUND(1+(LOG10(A305)-LOG10('入力・概要'!$B$38))*('入力・概要'!$B$40-1)/(LOG10('入力・概要'!$B$39)-LOG10('入力・概要'!$B$38)),0)+3)</f>
        <v/>
      </c>
      <c r="L305">
        <f>IF(K305="","",INDEX('同相3導体'!$B:$B,K305))</f>
        <v/>
      </c>
      <c r="M305">
        <f>IF(A305="","",IF(ABS(L305/A305-1)&lt;0.01,"周波数差&lt;1%","周波数差あり"))</f>
        <v/>
      </c>
    </row>
    <row r="306">
      <c r="A306" s="197" t="n"/>
      <c r="B306" s="198" t="n"/>
      <c r="C306" s="198" t="n"/>
      <c r="D306" s="195">
        <f>IF(K306="","",INDEX('同相3導体'!$AB:$AB,K306))</f>
        <v/>
      </c>
      <c r="E306" s="195">
        <f>IF(K306="","",INDEX('同相3導体'!$AC:$AC,K306))</f>
        <v/>
      </c>
      <c r="F306" s="195">
        <f>IF(OR(A306="",B306=""),"",100*(D306-B306)/MAX(B306,1E-12))</f>
        <v/>
      </c>
      <c r="G306" s="195">
        <f>IF(OR(A306="",C306=""),"",E306-C306)</f>
        <v/>
      </c>
      <c r="H306" s="195">
        <f>IF(A306="","",LOG10(A306))</f>
        <v/>
      </c>
      <c r="I306" s="195">
        <f>IF(B306="","",LOG10(MAX(B306,1E-12)))</f>
        <v/>
      </c>
      <c r="J306" s="195">
        <f>IF(D306="","",LOG10(MAX(D306,1E-12)))</f>
        <v/>
      </c>
      <c r="K306">
        <f>IF(A306="","",ROUND(1+(LOG10(A306)-LOG10('入力・概要'!$B$38))*('入力・概要'!$B$40-1)/(LOG10('入力・概要'!$B$39)-LOG10('入力・概要'!$B$38)),0)+3)</f>
        <v/>
      </c>
      <c r="L306">
        <f>IF(K306="","",INDEX('同相3導体'!$B:$B,K306))</f>
        <v/>
      </c>
      <c r="M306">
        <f>IF(A306="","",IF(ABS(L306/A306-1)&lt;0.01,"周波数差&lt;1%","周波数差あり"))</f>
        <v/>
      </c>
    </row>
    <row r="307">
      <c r="A307" s="197" t="n"/>
      <c r="B307" s="198" t="n"/>
      <c r="C307" s="198" t="n"/>
      <c r="D307" s="195">
        <f>IF(K307="","",INDEX('同相3導体'!$AB:$AB,K307))</f>
        <v/>
      </c>
      <c r="E307" s="195">
        <f>IF(K307="","",INDEX('同相3導体'!$AC:$AC,K307))</f>
        <v/>
      </c>
      <c r="F307" s="195">
        <f>IF(OR(A307="",B307=""),"",100*(D307-B307)/MAX(B307,1E-12))</f>
        <v/>
      </c>
      <c r="G307" s="195">
        <f>IF(OR(A307="",C307=""),"",E307-C307)</f>
        <v/>
      </c>
      <c r="H307" s="195">
        <f>IF(A307="","",LOG10(A307))</f>
        <v/>
      </c>
      <c r="I307" s="195">
        <f>IF(B307="","",LOG10(MAX(B307,1E-12)))</f>
        <v/>
      </c>
      <c r="J307" s="195">
        <f>IF(D307="","",LOG10(MAX(D307,1E-12)))</f>
        <v/>
      </c>
      <c r="K307">
        <f>IF(A307="","",ROUND(1+(LOG10(A307)-LOG10('入力・概要'!$B$38))*('入力・概要'!$B$40-1)/(LOG10('入力・概要'!$B$39)-LOG10('入力・概要'!$B$38)),0)+3)</f>
        <v/>
      </c>
      <c r="L307">
        <f>IF(K307="","",INDEX('同相3導体'!$B:$B,K307))</f>
        <v/>
      </c>
      <c r="M307">
        <f>IF(A307="","",IF(ABS(L307/A307-1)&lt;0.01,"周波数差&lt;1%","周波数差あり"))</f>
        <v/>
      </c>
    </row>
    <row r="308">
      <c r="A308" s="197" t="n"/>
      <c r="B308" s="198" t="n"/>
      <c r="C308" s="198" t="n"/>
      <c r="D308" s="195">
        <f>IF(K308="","",INDEX('同相3導体'!$AB:$AB,K308))</f>
        <v/>
      </c>
      <c r="E308" s="195">
        <f>IF(K308="","",INDEX('同相3導体'!$AC:$AC,K308))</f>
        <v/>
      </c>
      <c r="F308" s="195">
        <f>IF(OR(A308="",B308=""),"",100*(D308-B308)/MAX(B308,1E-12))</f>
        <v/>
      </c>
      <c r="G308" s="195">
        <f>IF(OR(A308="",C308=""),"",E308-C308)</f>
        <v/>
      </c>
      <c r="H308" s="195">
        <f>IF(A308="","",LOG10(A308))</f>
        <v/>
      </c>
      <c r="I308" s="195">
        <f>IF(B308="","",LOG10(MAX(B308,1E-12)))</f>
        <v/>
      </c>
      <c r="J308" s="195">
        <f>IF(D308="","",LOG10(MAX(D308,1E-12)))</f>
        <v/>
      </c>
      <c r="K308">
        <f>IF(A308="","",ROUND(1+(LOG10(A308)-LOG10('入力・概要'!$B$38))*('入力・概要'!$B$40-1)/(LOG10('入力・概要'!$B$39)-LOG10('入力・概要'!$B$38)),0)+3)</f>
        <v/>
      </c>
      <c r="L308">
        <f>IF(K308="","",INDEX('同相3導体'!$B:$B,K308))</f>
        <v/>
      </c>
      <c r="M308">
        <f>IF(A308="","",IF(ABS(L308/A308-1)&lt;0.01,"周波数差&lt;1%","周波数差あり"))</f>
        <v/>
      </c>
    </row>
    <row r="309">
      <c r="A309" s="197" t="n"/>
      <c r="B309" s="198" t="n"/>
      <c r="C309" s="198" t="n"/>
      <c r="D309" s="195">
        <f>IF(K309="","",INDEX('同相3導体'!$AB:$AB,K309))</f>
        <v/>
      </c>
      <c r="E309" s="195">
        <f>IF(K309="","",INDEX('同相3導体'!$AC:$AC,K309))</f>
        <v/>
      </c>
      <c r="F309" s="195">
        <f>IF(OR(A309="",B309=""),"",100*(D309-B309)/MAX(B309,1E-12))</f>
        <v/>
      </c>
      <c r="G309" s="195">
        <f>IF(OR(A309="",C309=""),"",E309-C309)</f>
        <v/>
      </c>
      <c r="H309" s="195">
        <f>IF(A309="","",LOG10(A309))</f>
        <v/>
      </c>
      <c r="I309" s="195">
        <f>IF(B309="","",LOG10(MAX(B309,1E-12)))</f>
        <v/>
      </c>
      <c r="J309" s="195">
        <f>IF(D309="","",LOG10(MAX(D309,1E-12)))</f>
        <v/>
      </c>
      <c r="K309">
        <f>IF(A309="","",ROUND(1+(LOG10(A309)-LOG10('入力・概要'!$B$38))*('入力・概要'!$B$40-1)/(LOG10('入力・概要'!$B$39)-LOG10('入力・概要'!$B$38)),0)+3)</f>
        <v/>
      </c>
      <c r="L309">
        <f>IF(K309="","",INDEX('同相3導体'!$B:$B,K309))</f>
        <v/>
      </c>
      <c r="M309">
        <f>IF(A309="","",IF(ABS(L309/A309-1)&lt;0.01,"周波数差&lt;1%","周波数差あり"))</f>
        <v/>
      </c>
    </row>
    <row r="310">
      <c r="A310" s="197" t="n"/>
      <c r="B310" s="198" t="n"/>
      <c r="C310" s="198" t="n"/>
      <c r="D310" s="195">
        <f>IF(K310="","",INDEX('同相3導体'!$AB:$AB,K310))</f>
        <v/>
      </c>
      <c r="E310" s="195">
        <f>IF(K310="","",INDEX('同相3導体'!$AC:$AC,K310))</f>
        <v/>
      </c>
      <c r="F310" s="195">
        <f>IF(OR(A310="",B310=""),"",100*(D310-B310)/MAX(B310,1E-12))</f>
        <v/>
      </c>
      <c r="G310" s="195">
        <f>IF(OR(A310="",C310=""),"",E310-C310)</f>
        <v/>
      </c>
      <c r="H310" s="195">
        <f>IF(A310="","",LOG10(A310))</f>
        <v/>
      </c>
      <c r="I310" s="195">
        <f>IF(B310="","",LOG10(MAX(B310,1E-12)))</f>
        <v/>
      </c>
      <c r="J310" s="195">
        <f>IF(D310="","",LOG10(MAX(D310,1E-12)))</f>
        <v/>
      </c>
      <c r="K310">
        <f>IF(A310="","",ROUND(1+(LOG10(A310)-LOG10('入力・概要'!$B$38))*('入力・概要'!$B$40-1)/(LOG10('入力・概要'!$B$39)-LOG10('入力・概要'!$B$38)),0)+3)</f>
        <v/>
      </c>
      <c r="L310">
        <f>IF(K310="","",INDEX('同相3導体'!$B:$B,K310))</f>
        <v/>
      </c>
      <c r="M310">
        <f>IF(A310="","",IF(ABS(L310/A310-1)&lt;0.01,"周波数差&lt;1%","周波数差あり"))</f>
        <v/>
      </c>
    </row>
    <row r="311">
      <c r="A311" s="197" t="n"/>
      <c r="B311" s="198" t="n"/>
      <c r="C311" s="198" t="n"/>
      <c r="D311" s="195">
        <f>IF(K311="","",INDEX('同相3導体'!$AB:$AB,K311))</f>
        <v/>
      </c>
      <c r="E311" s="195">
        <f>IF(K311="","",INDEX('同相3導体'!$AC:$AC,K311))</f>
        <v/>
      </c>
      <c r="F311" s="195">
        <f>IF(OR(A311="",B311=""),"",100*(D311-B311)/MAX(B311,1E-12))</f>
        <v/>
      </c>
      <c r="G311" s="195">
        <f>IF(OR(A311="",C311=""),"",E311-C311)</f>
        <v/>
      </c>
      <c r="H311" s="195">
        <f>IF(A311="","",LOG10(A311))</f>
        <v/>
      </c>
      <c r="I311" s="195">
        <f>IF(B311="","",LOG10(MAX(B311,1E-12)))</f>
        <v/>
      </c>
      <c r="J311" s="195">
        <f>IF(D311="","",LOG10(MAX(D311,1E-12)))</f>
        <v/>
      </c>
      <c r="K311">
        <f>IF(A311="","",ROUND(1+(LOG10(A311)-LOG10('入力・概要'!$B$38))*('入力・概要'!$B$40-1)/(LOG10('入力・概要'!$B$39)-LOG10('入力・概要'!$B$38)),0)+3)</f>
        <v/>
      </c>
      <c r="L311">
        <f>IF(K311="","",INDEX('同相3導体'!$B:$B,K311))</f>
        <v/>
      </c>
      <c r="M311">
        <f>IF(A311="","",IF(ABS(L311/A311-1)&lt;0.01,"周波数差&lt;1%","周波数差あり"))</f>
        <v/>
      </c>
    </row>
    <row r="312">
      <c r="A312" s="197" t="n"/>
      <c r="B312" s="198" t="n"/>
      <c r="C312" s="198" t="n"/>
      <c r="D312" s="195">
        <f>IF(K312="","",INDEX('同相3導体'!$AB:$AB,K312))</f>
        <v/>
      </c>
      <c r="E312" s="195">
        <f>IF(K312="","",INDEX('同相3導体'!$AC:$AC,K312))</f>
        <v/>
      </c>
      <c r="F312" s="195">
        <f>IF(OR(A312="",B312=""),"",100*(D312-B312)/MAX(B312,1E-12))</f>
        <v/>
      </c>
      <c r="G312" s="195">
        <f>IF(OR(A312="",C312=""),"",E312-C312)</f>
        <v/>
      </c>
      <c r="H312" s="195">
        <f>IF(A312="","",LOG10(A312))</f>
        <v/>
      </c>
      <c r="I312" s="195">
        <f>IF(B312="","",LOG10(MAX(B312,1E-12)))</f>
        <v/>
      </c>
      <c r="J312" s="195">
        <f>IF(D312="","",LOG10(MAX(D312,1E-12)))</f>
        <v/>
      </c>
      <c r="K312">
        <f>IF(A312="","",ROUND(1+(LOG10(A312)-LOG10('入力・概要'!$B$38))*('入力・概要'!$B$40-1)/(LOG10('入力・概要'!$B$39)-LOG10('入力・概要'!$B$38)),0)+3)</f>
        <v/>
      </c>
      <c r="L312">
        <f>IF(K312="","",INDEX('同相3導体'!$B:$B,K312))</f>
        <v/>
      </c>
      <c r="M312">
        <f>IF(A312="","",IF(ABS(L312/A312-1)&lt;0.01,"周波数差&lt;1%","周波数差あり"))</f>
        <v/>
      </c>
    </row>
    <row r="313">
      <c r="A313" s="197" t="n"/>
      <c r="B313" s="198" t="n"/>
      <c r="C313" s="198" t="n"/>
      <c r="D313" s="195">
        <f>IF(K313="","",INDEX('同相3導体'!$AB:$AB,K313))</f>
        <v/>
      </c>
      <c r="E313" s="195">
        <f>IF(K313="","",INDEX('同相3導体'!$AC:$AC,K313))</f>
        <v/>
      </c>
      <c r="F313" s="195">
        <f>IF(OR(A313="",B313=""),"",100*(D313-B313)/MAX(B313,1E-12))</f>
        <v/>
      </c>
      <c r="G313" s="195">
        <f>IF(OR(A313="",C313=""),"",E313-C313)</f>
        <v/>
      </c>
      <c r="H313" s="195">
        <f>IF(A313="","",LOG10(A313))</f>
        <v/>
      </c>
      <c r="I313" s="195">
        <f>IF(B313="","",LOG10(MAX(B313,1E-12)))</f>
        <v/>
      </c>
      <c r="J313" s="195">
        <f>IF(D313="","",LOG10(MAX(D313,1E-12)))</f>
        <v/>
      </c>
      <c r="K313">
        <f>IF(A313="","",ROUND(1+(LOG10(A313)-LOG10('入力・概要'!$B$38))*('入力・概要'!$B$40-1)/(LOG10('入力・概要'!$B$39)-LOG10('入力・概要'!$B$38)),0)+3)</f>
        <v/>
      </c>
      <c r="L313">
        <f>IF(K313="","",INDEX('同相3導体'!$B:$B,K313))</f>
        <v/>
      </c>
      <c r="M313">
        <f>IF(A313="","",IF(ABS(L313/A313-1)&lt;0.01,"周波数差&lt;1%","周波数差あり"))</f>
        <v/>
      </c>
    </row>
    <row r="314">
      <c r="A314" s="197" t="n"/>
      <c r="B314" s="198" t="n"/>
      <c r="C314" s="198" t="n"/>
      <c r="D314" s="195">
        <f>IF(K314="","",INDEX('同相3導体'!$AB:$AB,K314))</f>
        <v/>
      </c>
      <c r="E314" s="195">
        <f>IF(K314="","",INDEX('同相3導体'!$AC:$AC,K314))</f>
        <v/>
      </c>
      <c r="F314" s="195">
        <f>IF(OR(A314="",B314=""),"",100*(D314-B314)/MAX(B314,1E-12))</f>
        <v/>
      </c>
      <c r="G314" s="195">
        <f>IF(OR(A314="",C314=""),"",E314-C314)</f>
        <v/>
      </c>
      <c r="H314" s="195">
        <f>IF(A314="","",LOG10(A314))</f>
        <v/>
      </c>
      <c r="I314" s="195">
        <f>IF(B314="","",LOG10(MAX(B314,1E-12)))</f>
        <v/>
      </c>
      <c r="J314" s="195">
        <f>IF(D314="","",LOG10(MAX(D314,1E-12)))</f>
        <v/>
      </c>
      <c r="K314">
        <f>IF(A314="","",ROUND(1+(LOG10(A314)-LOG10('入力・概要'!$B$38))*('入力・概要'!$B$40-1)/(LOG10('入力・概要'!$B$39)-LOG10('入力・概要'!$B$38)),0)+3)</f>
        <v/>
      </c>
      <c r="L314">
        <f>IF(K314="","",INDEX('同相3導体'!$B:$B,K314))</f>
        <v/>
      </c>
      <c r="M314">
        <f>IF(A314="","",IF(ABS(L314/A314-1)&lt;0.01,"周波数差&lt;1%","周波数差あり"))</f>
        <v/>
      </c>
    </row>
    <row r="315">
      <c r="A315" s="197" t="n"/>
      <c r="B315" s="198" t="n"/>
      <c r="C315" s="198" t="n"/>
      <c r="D315" s="195">
        <f>IF(K315="","",INDEX('同相3導体'!$AB:$AB,K315))</f>
        <v/>
      </c>
      <c r="E315" s="195">
        <f>IF(K315="","",INDEX('同相3導体'!$AC:$AC,K315))</f>
        <v/>
      </c>
      <c r="F315" s="195">
        <f>IF(OR(A315="",B315=""),"",100*(D315-B315)/MAX(B315,1E-12))</f>
        <v/>
      </c>
      <c r="G315" s="195">
        <f>IF(OR(A315="",C315=""),"",E315-C315)</f>
        <v/>
      </c>
      <c r="H315" s="195">
        <f>IF(A315="","",LOG10(A315))</f>
        <v/>
      </c>
      <c r="I315" s="195">
        <f>IF(B315="","",LOG10(MAX(B315,1E-12)))</f>
        <v/>
      </c>
      <c r="J315" s="195">
        <f>IF(D315="","",LOG10(MAX(D315,1E-12)))</f>
        <v/>
      </c>
      <c r="K315">
        <f>IF(A315="","",ROUND(1+(LOG10(A315)-LOG10('入力・概要'!$B$38))*('入力・概要'!$B$40-1)/(LOG10('入力・概要'!$B$39)-LOG10('入力・概要'!$B$38)),0)+3)</f>
        <v/>
      </c>
      <c r="L315">
        <f>IF(K315="","",INDEX('同相3導体'!$B:$B,K315))</f>
        <v/>
      </c>
      <c r="M315">
        <f>IF(A315="","",IF(ABS(L315/A315-1)&lt;0.01,"周波数差&lt;1%","周波数差あり"))</f>
        <v/>
      </c>
    </row>
    <row r="316">
      <c r="A316" s="197" t="n"/>
      <c r="B316" s="198" t="n"/>
      <c r="C316" s="198" t="n"/>
      <c r="D316" s="195">
        <f>IF(K316="","",INDEX('同相3導体'!$AB:$AB,K316))</f>
        <v/>
      </c>
      <c r="E316" s="195">
        <f>IF(K316="","",INDEX('同相3導体'!$AC:$AC,K316))</f>
        <v/>
      </c>
      <c r="F316" s="195">
        <f>IF(OR(A316="",B316=""),"",100*(D316-B316)/MAX(B316,1E-12))</f>
        <v/>
      </c>
      <c r="G316" s="195">
        <f>IF(OR(A316="",C316=""),"",E316-C316)</f>
        <v/>
      </c>
      <c r="H316" s="195">
        <f>IF(A316="","",LOG10(A316))</f>
        <v/>
      </c>
      <c r="I316" s="195">
        <f>IF(B316="","",LOG10(MAX(B316,1E-12)))</f>
        <v/>
      </c>
      <c r="J316" s="195">
        <f>IF(D316="","",LOG10(MAX(D316,1E-12)))</f>
        <v/>
      </c>
      <c r="K316">
        <f>IF(A316="","",ROUND(1+(LOG10(A316)-LOG10('入力・概要'!$B$38))*('入力・概要'!$B$40-1)/(LOG10('入力・概要'!$B$39)-LOG10('入力・概要'!$B$38)),0)+3)</f>
        <v/>
      </c>
      <c r="L316">
        <f>IF(K316="","",INDEX('同相3導体'!$B:$B,K316))</f>
        <v/>
      </c>
      <c r="M316">
        <f>IF(A316="","",IF(ABS(L316/A316-1)&lt;0.01,"周波数差&lt;1%","周波数差あり"))</f>
        <v/>
      </c>
    </row>
    <row r="317">
      <c r="A317" s="197" t="n"/>
      <c r="B317" s="198" t="n"/>
      <c r="C317" s="198" t="n"/>
      <c r="D317" s="195">
        <f>IF(K317="","",INDEX('同相3導体'!$AB:$AB,K317))</f>
        <v/>
      </c>
      <c r="E317" s="195">
        <f>IF(K317="","",INDEX('同相3導体'!$AC:$AC,K317))</f>
        <v/>
      </c>
      <c r="F317" s="195">
        <f>IF(OR(A317="",B317=""),"",100*(D317-B317)/MAX(B317,1E-12))</f>
        <v/>
      </c>
      <c r="G317" s="195">
        <f>IF(OR(A317="",C317=""),"",E317-C317)</f>
        <v/>
      </c>
      <c r="H317" s="195">
        <f>IF(A317="","",LOG10(A317))</f>
        <v/>
      </c>
      <c r="I317" s="195">
        <f>IF(B317="","",LOG10(MAX(B317,1E-12)))</f>
        <v/>
      </c>
      <c r="J317" s="195">
        <f>IF(D317="","",LOG10(MAX(D317,1E-12)))</f>
        <v/>
      </c>
      <c r="K317">
        <f>IF(A317="","",ROUND(1+(LOG10(A317)-LOG10('入力・概要'!$B$38))*('入力・概要'!$B$40-1)/(LOG10('入力・概要'!$B$39)-LOG10('入力・概要'!$B$38)),0)+3)</f>
        <v/>
      </c>
      <c r="L317">
        <f>IF(K317="","",INDEX('同相3導体'!$B:$B,K317))</f>
        <v/>
      </c>
      <c r="M317">
        <f>IF(A317="","",IF(ABS(L317/A317-1)&lt;0.01,"周波数差&lt;1%","周波数差あり"))</f>
        <v/>
      </c>
    </row>
    <row r="318">
      <c r="A318" s="197" t="n"/>
      <c r="B318" s="198" t="n"/>
      <c r="C318" s="198" t="n"/>
      <c r="D318" s="195">
        <f>IF(K318="","",INDEX('同相3導体'!$AB:$AB,K318))</f>
        <v/>
      </c>
      <c r="E318" s="195">
        <f>IF(K318="","",INDEX('同相3導体'!$AC:$AC,K318))</f>
        <v/>
      </c>
      <c r="F318" s="195">
        <f>IF(OR(A318="",B318=""),"",100*(D318-B318)/MAX(B318,1E-12))</f>
        <v/>
      </c>
      <c r="G318" s="195">
        <f>IF(OR(A318="",C318=""),"",E318-C318)</f>
        <v/>
      </c>
      <c r="H318" s="195">
        <f>IF(A318="","",LOG10(A318))</f>
        <v/>
      </c>
      <c r="I318" s="195">
        <f>IF(B318="","",LOG10(MAX(B318,1E-12)))</f>
        <v/>
      </c>
      <c r="J318" s="195">
        <f>IF(D318="","",LOG10(MAX(D318,1E-12)))</f>
        <v/>
      </c>
      <c r="K318">
        <f>IF(A318="","",ROUND(1+(LOG10(A318)-LOG10('入力・概要'!$B$38))*('入力・概要'!$B$40-1)/(LOG10('入力・概要'!$B$39)-LOG10('入力・概要'!$B$38)),0)+3)</f>
        <v/>
      </c>
      <c r="L318">
        <f>IF(K318="","",INDEX('同相3導体'!$B:$B,K318))</f>
        <v/>
      </c>
      <c r="M318">
        <f>IF(A318="","",IF(ABS(L318/A318-1)&lt;0.01,"周波数差&lt;1%","周波数差あり"))</f>
        <v/>
      </c>
    </row>
    <row r="319">
      <c r="A319" s="197" t="n"/>
      <c r="B319" s="198" t="n"/>
      <c r="C319" s="198" t="n"/>
      <c r="D319" s="195">
        <f>IF(K319="","",INDEX('同相3導体'!$AB:$AB,K319))</f>
        <v/>
      </c>
      <c r="E319" s="195">
        <f>IF(K319="","",INDEX('同相3導体'!$AC:$AC,K319))</f>
        <v/>
      </c>
      <c r="F319" s="195">
        <f>IF(OR(A319="",B319=""),"",100*(D319-B319)/MAX(B319,1E-12))</f>
        <v/>
      </c>
      <c r="G319" s="195">
        <f>IF(OR(A319="",C319=""),"",E319-C319)</f>
        <v/>
      </c>
      <c r="H319" s="195">
        <f>IF(A319="","",LOG10(A319))</f>
        <v/>
      </c>
      <c r="I319" s="195">
        <f>IF(B319="","",LOG10(MAX(B319,1E-12)))</f>
        <v/>
      </c>
      <c r="J319" s="195">
        <f>IF(D319="","",LOG10(MAX(D319,1E-12)))</f>
        <v/>
      </c>
      <c r="K319">
        <f>IF(A319="","",ROUND(1+(LOG10(A319)-LOG10('入力・概要'!$B$38))*('入力・概要'!$B$40-1)/(LOG10('入力・概要'!$B$39)-LOG10('入力・概要'!$B$38)),0)+3)</f>
        <v/>
      </c>
      <c r="L319">
        <f>IF(K319="","",INDEX('同相3導体'!$B:$B,K319))</f>
        <v/>
      </c>
      <c r="M319">
        <f>IF(A319="","",IF(ABS(L319/A319-1)&lt;0.01,"周波数差&lt;1%","周波数差あり"))</f>
        <v/>
      </c>
    </row>
    <row r="320">
      <c r="A320" s="197" t="n"/>
      <c r="B320" s="198" t="n"/>
      <c r="C320" s="198" t="n"/>
      <c r="D320" s="195">
        <f>IF(K320="","",INDEX('同相3導体'!$AB:$AB,K320))</f>
        <v/>
      </c>
      <c r="E320" s="195">
        <f>IF(K320="","",INDEX('同相3導体'!$AC:$AC,K320))</f>
        <v/>
      </c>
      <c r="F320" s="195">
        <f>IF(OR(A320="",B320=""),"",100*(D320-B320)/MAX(B320,1E-12))</f>
        <v/>
      </c>
      <c r="G320" s="195">
        <f>IF(OR(A320="",C320=""),"",E320-C320)</f>
        <v/>
      </c>
      <c r="H320" s="195">
        <f>IF(A320="","",LOG10(A320))</f>
        <v/>
      </c>
      <c r="I320" s="195">
        <f>IF(B320="","",LOG10(MAX(B320,1E-12)))</f>
        <v/>
      </c>
      <c r="J320" s="195">
        <f>IF(D320="","",LOG10(MAX(D320,1E-12)))</f>
        <v/>
      </c>
      <c r="K320">
        <f>IF(A320="","",ROUND(1+(LOG10(A320)-LOG10('入力・概要'!$B$38))*('入力・概要'!$B$40-1)/(LOG10('入力・概要'!$B$39)-LOG10('入力・概要'!$B$38)),0)+3)</f>
        <v/>
      </c>
      <c r="L320">
        <f>IF(K320="","",INDEX('同相3導体'!$B:$B,K320))</f>
        <v/>
      </c>
      <c r="M320">
        <f>IF(A320="","",IF(ABS(L320/A320-1)&lt;0.01,"周波数差&lt;1%","周波数差あり"))</f>
        <v/>
      </c>
    </row>
    <row r="321">
      <c r="A321" s="197" t="n"/>
      <c r="B321" s="198" t="n"/>
      <c r="C321" s="198" t="n"/>
      <c r="D321" s="195">
        <f>IF(K321="","",INDEX('同相3導体'!$AB:$AB,K321))</f>
        <v/>
      </c>
      <c r="E321" s="195">
        <f>IF(K321="","",INDEX('同相3導体'!$AC:$AC,K321))</f>
        <v/>
      </c>
      <c r="F321" s="195">
        <f>IF(OR(A321="",B321=""),"",100*(D321-B321)/MAX(B321,1E-12))</f>
        <v/>
      </c>
      <c r="G321" s="195">
        <f>IF(OR(A321="",C321=""),"",E321-C321)</f>
        <v/>
      </c>
      <c r="H321" s="195">
        <f>IF(A321="","",LOG10(A321))</f>
        <v/>
      </c>
      <c r="I321" s="195">
        <f>IF(B321="","",LOG10(MAX(B321,1E-12)))</f>
        <v/>
      </c>
      <c r="J321" s="195">
        <f>IF(D321="","",LOG10(MAX(D321,1E-12)))</f>
        <v/>
      </c>
      <c r="K321">
        <f>IF(A321="","",ROUND(1+(LOG10(A321)-LOG10('入力・概要'!$B$38))*('入力・概要'!$B$40-1)/(LOG10('入力・概要'!$B$39)-LOG10('入力・概要'!$B$38)),0)+3)</f>
        <v/>
      </c>
      <c r="L321">
        <f>IF(K321="","",INDEX('同相3導体'!$B:$B,K321))</f>
        <v/>
      </c>
      <c r="M321">
        <f>IF(A321="","",IF(ABS(L321/A321-1)&lt;0.01,"周波数差&lt;1%","周波数差あり"))</f>
        <v/>
      </c>
    </row>
    <row r="322">
      <c r="A322" s="197" t="n"/>
      <c r="B322" s="198" t="n"/>
      <c r="C322" s="198" t="n"/>
      <c r="D322" s="195">
        <f>IF(K322="","",INDEX('同相3導体'!$AB:$AB,K322))</f>
        <v/>
      </c>
      <c r="E322" s="195">
        <f>IF(K322="","",INDEX('同相3導体'!$AC:$AC,K322))</f>
        <v/>
      </c>
      <c r="F322" s="195">
        <f>IF(OR(A322="",B322=""),"",100*(D322-B322)/MAX(B322,1E-12))</f>
        <v/>
      </c>
      <c r="G322" s="195">
        <f>IF(OR(A322="",C322=""),"",E322-C322)</f>
        <v/>
      </c>
      <c r="H322" s="195">
        <f>IF(A322="","",LOG10(A322))</f>
        <v/>
      </c>
      <c r="I322" s="195">
        <f>IF(B322="","",LOG10(MAX(B322,1E-12)))</f>
        <v/>
      </c>
      <c r="J322" s="195">
        <f>IF(D322="","",LOG10(MAX(D322,1E-12)))</f>
        <v/>
      </c>
      <c r="K322">
        <f>IF(A322="","",ROUND(1+(LOG10(A322)-LOG10('入力・概要'!$B$38))*('入力・概要'!$B$40-1)/(LOG10('入力・概要'!$B$39)-LOG10('入力・概要'!$B$38)),0)+3)</f>
        <v/>
      </c>
      <c r="L322">
        <f>IF(K322="","",INDEX('同相3導体'!$B:$B,K322))</f>
        <v/>
      </c>
      <c r="M322">
        <f>IF(A322="","",IF(ABS(L322/A322-1)&lt;0.01,"周波数差&lt;1%","周波数差あり"))</f>
        <v/>
      </c>
    </row>
    <row r="323">
      <c r="A323" s="197" t="n"/>
      <c r="B323" s="198" t="n"/>
      <c r="C323" s="198" t="n"/>
      <c r="D323" s="195">
        <f>IF(K323="","",INDEX('同相3導体'!$AB:$AB,K323))</f>
        <v/>
      </c>
      <c r="E323" s="195">
        <f>IF(K323="","",INDEX('同相3導体'!$AC:$AC,K323))</f>
        <v/>
      </c>
      <c r="F323" s="195">
        <f>IF(OR(A323="",B323=""),"",100*(D323-B323)/MAX(B323,1E-12))</f>
        <v/>
      </c>
      <c r="G323" s="195">
        <f>IF(OR(A323="",C323=""),"",E323-C323)</f>
        <v/>
      </c>
      <c r="H323" s="195">
        <f>IF(A323="","",LOG10(A323))</f>
        <v/>
      </c>
      <c r="I323" s="195">
        <f>IF(B323="","",LOG10(MAX(B323,1E-12)))</f>
        <v/>
      </c>
      <c r="J323" s="195">
        <f>IF(D323="","",LOG10(MAX(D323,1E-12)))</f>
        <v/>
      </c>
      <c r="K323">
        <f>IF(A323="","",ROUND(1+(LOG10(A323)-LOG10('入力・概要'!$B$38))*('入力・概要'!$B$40-1)/(LOG10('入力・概要'!$B$39)-LOG10('入力・概要'!$B$38)),0)+3)</f>
        <v/>
      </c>
      <c r="L323">
        <f>IF(K323="","",INDEX('同相3導体'!$B:$B,K323))</f>
        <v/>
      </c>
      <c r="M323">
        <f>IF(A323="","",IF(ABS(L323/A323-1)&lt;0.01,"周波数差&lt;1%","周波数差あり"))</f>
        <v/>
      </c>
    </row>
    <row r="324">
      <c r="A324" s="197" t="n"/>
      <c r="B324" s="198" t="n"/>
      <c r="C324" s="198" t="n"/>
      <c r="D324" s="195">
        <f>IF(K324="","",INDEX('同相3導体'!$AB:$AB,K324))</f>
        <v/>
      </c>
      <c r="E324" s="195">
        <f>IF(K324="","",INDEX('同相3導体'!$AC:$AC,K324))</f>
        <v/>
      </c>
      <c r="F324" s="195">
        <f>IF(OR(A324="",B324=""),"",100*(D324-B324)/MAX(B324,1E-12))</f>
        <v/>
      </c>
      <c r="G324" s="195">
        <f>IF(OR(A324="",C324=""),"",E324-C324)</f>
        <v/>
      </c>
      <c r="H324" s="195">
        <f>IF(A324="","",LOG10(A324))</f>
        <v/>
      </c>
      <c r="I324" s="195">
        <f>IF(B324="","",LOG10(MAX(B324,1E-12)))</f>
        <v/>
      </c>
      <c r="J324" s="195">
        <f>IF(D324="","",LOG10(MAX(D324,1E-12)))</f>
        <v/>
      </c>
      <c r="K324">
        <f>IF(A324="","",ROUND(1+(LOG10(A324)-LOG10('入力・概要'!$B$38))*('入力・概要'!$B$40-1)/(LOG10('入力・概要'!$B$39)-LOG10('入力・概要'!$B$38)),0)+3)</f>
        <v/>
      </c>
      <c r="L324">
        <f>IF(K324="","",INDEX('同相3導体'!$B:$B,K324))</f>
        <v/>
      </c>
      <c r="M324">
        <f>IF(A324="","",IF(ABS(L324/A324-1)&lt;0.01,"周波数差&lt;1%","周波数差あり"))</f>
        <v/>
      </c>
    </row>
    <row r="325">
      <c r="A325" s="197" t="n"/>
      <c r="B325" s="198" t="n"/>
      <c r="C325" s="198" t="n"/>
      <c r="D325" s="195">
        <f>IF(K325="","",INDEX('同相3導体'!$AB:$AB,K325))</f>
        <v/>
      </c>
      <c r="E325" s="195">
        <f>IF(K325="","",INDEX('同相3導体'!$AC:$AC,K325))</f>
        <v/>
      </c>
      <c r="F325" s="195">
        <f>IF(OR(A325="",B325=""),"",100*(D325-B325)/MAX(B325,1E-12))</f>
        <v/>
      </c>
      <c r="G325" s="195">
        <f>IF(OR(A325="",C325=""),"",E325-C325)</f>
        <v/>
      </c>
      <c r="H325" s="195">
        <f>IF(A325="","",LOG10(A325))</f>
        <v/>
      </c>
      <c r="I325" s="195">
        <f>IF(B325="","",LOG10(MAX(B325,1E-12)))</f>
        <v/>
      </c>
      <c r="J325" s="195">
        <f>IF(D325="","",LOG10(MAX(D325,1E-12)))</f>
        <v/>
      </c>
      <c r="K325">
        <f>IF(A325="","",ROUND(1+(LOG10(A325)-LOG10('入力・概要'!$B$38))*('入力・概要'!$B$40-1)/(LOG10('入力・概要'!$B$39)-LOG10('入力・概要'!$B$38)),0)+3)</f>
        <v/>
      </c>
      <c r="L325">
        <f>IF(K325="","",INDEX('同相3導体'!$B:$B,K325))</f>
        <v/>
      </c>
      <c r="M325">
        <f>IF(A325="","",IF(ABS(L325/A325-1)&lt;0.01,"周波数差&lt;1%","周波数差あり"))</f>
        <v/>
      </c>
    </row>
    <row r="326">
      <c r="A326" s="197" t="n"/>
      <c r="B326" s="198" t="n"/>
      <c r="C326" s="198" t="n"/>
      <c r="D326" s="195">
        <f>IF(K326="","",INDEX('同相3導体'!$AB:$AB,K326))</f>
        <v/>
      </c>
      <c r="E326" s="195">
        <f>IF(K326="","",INDEX('同相3導体'!$AC:$AC,K326))</f>
        <v/>
      </c>
      <c r="F326" s="195">
        <f>IF(OR(A326="",B326=""),"",100*(D326-B326)/MAX(B326,1E-12))</f>
        <v/>
      </c>
      <c r="G326" s="195">
        <f>IF(OR(A326="",C326=""),"",E326-C326)</f>
        <v/>
      </c>
      <c r="H326" s="195">
        <f>IF(A326="","",LOG10(A326))</f>
        <v/>
      </c>
      <c r="I326" s="195">
        <f>IF(B326="","",LOG10(MAX(B326,1E-12)))</f>
        <v/>
      </c>
      <c r="J326" s="195">
        <f>IF(D326="","",LOG10(MAX(D326,1E-12)))</f>
        <v/>
      </c>
      <c r="K326">
        <f>IF(A326="","",ROUND(1+(LOG10(A326)-LOG10('入力・概要'!$B$38))*('入力・概要'!$B$40-1)/(LOG10('入力・概要'!$B$39)-LOG10('入力・概要'!$B$38)),0)+3)</f>
        <v/>
      </c>
      <c r="L326">
        <f>IF(K326="","",INDEX('同相3導体'!$B:$B,K326))</f>
        <v/>
      </c>
      <c r="M326">
        <f>IF(A326="","",IF(ABS(L326/A326-1)&lt;0.01,"周波数差&lt;1%","周波数差あり"))</f>
        <v/>
      </c>
    </row>
    <row r="327">
      <c r="A327" s="197" t="n"/>
      <c r="B327" s="198" t="n"/>
      <c r="C327" s="198" t="n"/>
      <c r="D327" s="195">
        <f>IF(K327="","",INDEX('同相3導体'!$AB:$AB,K327))</f>
        <v/>
      </c>
      <c r="E327" s="195">
        <f>IF(K327="","",INDEX('同相3導体'!$AC:$AC,K327))</f>
        <v/>
      </c>
      <c r="F327" s="195">
        <f>IF(OR(A327="",B327=""),"",100*(D327-B327)/MAX(B327,1E-12))</f>
        <v/>
      </c>
      <c r="G327" s="195">
        <f>IF(OR(A327="",C327=""),"",E327-C327)</f>
        <v/>
      </c>
      <c r="H327" s="195">
        <f>IF(A327="","",LOG10(A327))</f>
        <v/>
      </c>
      <c r="I327" s="195">
        <f>IF(B327="","",LOG10(MAX(B327,1E-12)))</f>
        <v/>
      </c>
      <c r="J327" s="195">
        <f>IF(D327="","",LOG10(MAX(D327,1E-12)))</f>
        <v/>
      </c>
      <c r="K327">
        <f>IF(A327="","",ROUND(1+(LOG10(A327)-LOG10('入力・概要'!$B$38))*('入力・概要'!$B$40-1)/(LOG10('入力・概要'!$B$39)-LOG10('入力・概要'!$B$38)),0)+3)</f>
        <v/>
      </c>
      <c r="L327">
        <f>IF(K327="","",INDEX('同相3導体'!$B:$B,K327))</f>
        <v/>
      </c>
      <c r="M327">
        <f>IF(A327="","",IF(ABS(L327/A327-1)&lt;0.01,"周波数差&lt;1%","周波数差あり"))</f>
        <v/>
      </c>
    </row>
    <row r="328">
      <c r="A328" s="197" t="n"/>
      <c r="B328" s="198" t="n"/>
      <c r="C328" s="198" t="n"/>
      <c r="D328" s="195">
        <f>IF(K328="","",INDEX('同相3導体'!$AB:$AB,K328))</f>
        <v/>
      </c>
      <c r="E328" s="195">
        <f>IF(K328="","",INDEX('同相3導体'!$AC:$AC,K328))</f>
        <v/>
      </c>
      <c r="F328" s="195">
        <f>IF(OR(A328="",B328=""),"",100*(D328-B328)/MAX(B328,1E-12))</f>
        <v/>
      </c>
      <c r="G328" s="195">
        <f>IF(OR(A328="",C328=""),"",E328-C328)</f>
        <v/>
      </c>
      <c r="H328" s="195">
        <f>IF(A328="","",LOG10(A328))</f>
        <v/>
      </c>
      <c r="I328" s="195">
        <f>IF(B328="","",LOG10(MAX(B328,1E-12)))</f>
        <v/>
      </c>
      <c r="J328" s="195">
        <f>IF(D328="","",LOG10(MAX(D328,1E-12)))</f>
        <v/>
      </c>
      <c r="K328">
        <f>IF(A328="","",ROUND(1+(LOG10(A328)-LOG10('入力・概要'!$B$38))*('入力・概要'!$B$40-1)/(LOG10('入力・概要'!$B$39)-LOG10('入力・概要'!$B$38)),0)+3)</f>
        <v/>
      </c>
      <c r="L328">
        <f>IF(K328="","",INDEX('同相3導体'!$B:$B,K328))</f>
        <v/>
      </c>
      <c r="M328">
        <f>IF(A328="","",IF(ABS(L328/A328-1)&lt;0.01,"周波数差&lt;1%","周波数差あり"))</f>
        <v/>
      </c>
    </row>
    <row r="329">
      <c r="A329" s="197" t="n"/>
      <c r="B329" s="198" t="n"/>
      <c r="C329" s="198" t="n"/>
      <c r="D329" s="195">
        <f>IF(K329="","",INDEX('同相3導体'!$AB:$AB,K329))</f>
        <v/>
      </c>
      <c r="E329" s="195">
        <f>IF(K329="","",INDEX('同相3導体'!$AC:$AC,K329))</f>
        <v/>
      </c>
      <c r="F329" s="195">
        <f>IF(OR(A329="",B329=""),"",100*(D329-B329)/MAX(B329,1E-12))</f>
        <v/>
      </c>
      <c r="G329" s="195">
        <f>IF(OR(A329="",C329=""),"",E329-C329)</f>
        <v/>
      </c>
      <c r="H329" s="195">
        <f>IF(A329="","",LOG10(A329))</f>
        <v/>
      </c>
      <c r="I329" s="195">
        <f>IF(B329="","",LOG10(MAX(B329,1E-12)))</f>
        <v/>
      </c>
      <c r="J329" s="195">
        <f>IF(D329="","",LOG10(MAX(D329,1E-12)))</f>
        <v/>
      </c>
      <c r="K329">
        <f>IF(A329="","",ROUND(1+(LOG10(A329)-LOG10('入力・概要'!$B$38))*('入力・概要'!$B$40-1)/(LOG10('入力・概要'!$B$39)-LOG10('入力・概要'!$B$38)),0)+3)</f>
        <v/>
      </c>
      <c r="L329">
        <f>IF(K329="","",INDEX('同相3導体'!$B:$B,K329))</f>
        <v/>
      </c>
      <c r="M329">
        <f>IF(A329="","",IF(ABS(L329/A329-1)&lt;0.01,"周波数差&lt;1%","周波数差あり"))</f>
        <v/>
      </c>
    </row>
    <row r="330">
      <c r="A330" s="197" t="n"/>
      <c r="B330" s="198" t="n"/>
      <c r="C330" s="198" t="n"/>
      <c r="D330" s="195">
        <f>IF(K330="","",INDEX('同相3導体'!$AB:$AB,K330))</f>
        <v/>
      </c>
      <c r="E330" s="195">
        <f>IF(K330="","",INDEX('同相3導体'!$AC:$AC,K330))</f>
        <v/>
      </c>
      <c r="F330" s="195">
        <f>IF(OR(A330="",B330=""),"",100*(D330-B330)/MAX(B330,1E-12))</f>
        <v/>
      </c>
      <c r="G330" s="195">
        <f>IF(OR(A330="",C330=""),"",E330-C330)</f>
        <v/>
      </c>
      <c r="H330" s="195">
        <f>IF(A330="","",LOG10(A330))</f>
        <v/>
      </c>
      <c r="I330" s="195">
        <f>IF(B330="","",LOG10(MAX(B330,1E-12)))</f>
        <v/>
      </c>
      <c r="J330" s="195">
        <f>IF(D330="","",LOG10(MAX(D330,1E-12)))</f>
        <v/>
      </c>
      <c r="K330">
        <f>IF(A330="","",ROUND(1+(LOG10(A330)-LOG10('入力・概要'!$B$38))*('入力・概要'!$B$40-1)/(LOG10('入力・概要'!$B$39)-LOG10('入力・概要'!$B$38)),0)+3)</f>
        <v/>
      </c>
      <c r="L330">
        <f>IF(K330="","",INDEX('同相3導体'!$B:$B,K330))</f>
        <v/>
      </c>
      <c r="M330">
        <f>IF(A330="","",IF(ABS(L330/A330-1)&lt;0.01,"周波数差&lt;1%","周波数差あり"))</f>
        <v/>
      </c>
    </row>
    <row r="331">
      <c r="A331" s="197" t="n"/>
      <c r="B331" s="198" t="n"/>
      <c r="C331" s="198" t="n"/>
      <c r="D331" s="195">
        <f>IF(K331="","",INDEX('同相3導体'!$AB:$AB,K331))</f>
        <v/>
      </c>
      <c r="E331" s="195">
        <f>IF(K331="","",INDEX('同相3導体'!$AC:$AC,K331))</f>
        <v/>
      </c>
      <c r="F331" s="195">
        <f>IF(OR(A331="",B331=""),"",100*(D331-B331)/MAX(B331,1E-12))</f>
        <v/>
      </c>
      <c r="G331" s="195">
        <f>IF(OR(A331="",C331=""),"",E331-C331)</f>
        <v/>
      </c>
      <c r="H331" s="195">
        <f>IF(A331="","",LOG10(A331))</f>
        <v/>
      </c>
      <c r="I331" s="195">
        <f>IF(B331="","",LOG10(MAX(B331,1E-12)))</f>
        <v/>
      </c>
      <c r="J331" s="195">
        <f>IF(D331="","",LOG10(MAX(D331,1E-12)))</f>
        <v/>
      </c>
      <c r="K331">
        <f>IF(A331="","",ROUND(1+(LOG10(A331)-LOG10('入力・概要'!$B$38))*('入力・概要'!$B$40-1)/(LOG10('入力・概要'!$B$39)-LOG10('入力・概要'!$B$38)),0)+3)</f>
        <v/>
      </c>
      <c r="L331">
        <f>IF(K331="","",INDEX('同相3導体'!$B:$B,K331))</f>
        <v/>
      </c>
      <c r="M331">
        <f>IF(A331="","",IF(ABS(L331/A331-1)&lt;0.01,"周波数差&lt;1%","周波数差あり"))</f>
        <v/>
      </c>
    </row>
    <row r="332">
      <c r="A332" s="197" t="n"/>
      <c r="B332" s="198" t="n"/>
      <c r="C332" s="198" t="n"/>
      <c r="D332" s="195">
        <f>IF(K332="","",INDEX('同相3導体'!$AB:$AB,K332))</f>
        <v/>
      </c>
      <c r="E332" s="195">
        <f>IF(K332="","",INDEX('同相3導体'!$AC:$AC,K332))</f>
        <v/>
      </c>
      <c r="F332" s="195">
        <f>IF(OR(A332="",B332=""),"",100*(D332-B332)/MAX(B332,1E-12))</f>
        <v/>
      </c>
      <c r="G332" s="195">
        <f>IF(OR(A332="",C332=""),"",E332-C332)</f>
        <v/>
      </c>
      <c r="H332" s="195">
        <f>IF(A332="","",LOG10(A332))</f>
        <v/>
      </c>
      <c r="I332" s="195">
        <f>IF(B332="","",LOG10(MAX(B332,1E-12)))</f>
        <v/>
      </c>
      <c r="J332" s="195">
        <f>IF(D332="","",LOG10(MAX(D332,1E-12)))</f>
        <v/>
      </c>
      <c r="K332">
        <f>IF(A332="","",ROUND(1+(LOG10(A332)-LOG10('入力・概要'!$B$38))*('入力・概要'!$B$40-1)/(LOG10('入力・概要'!$B$39)-LOG10('入力・概要'!$B$38)),0)+3)</f>
        <v/>
      </c>
      <c r="L332">
        <f>IF(K332="","",INDEX('同相3導体'!$B:$B,K332))</f>
        <v/>
      </c>
      <c r="M332">
        <f>IF(A332="","",IF(ABS(L332/A332-1)&lt;0.01,"周波数差&lt;1%","周波数差あり"))</f>
        <v/>
      </c>
    </row>
    <row r="333">
      <c r="A333" s="197" t="n"/>
      <c r="B333" s="198" t="n"/>
      <c r="C333" s="198" t="n"/>
      <c r="D333" s="195">
        <f>IF(K333="","",INDEX('同相3導体'!$AB:$AB,K333))</f>
        <v/>
      </c>
      <c r="E333" s="195">
        <f>IF(K333="","",INDEX('同相3導体'!$AC:$AC,K333))</f>
        <v/>
      </c>
      <c r="F333" s="195">
        <f>IF(OR(A333="",B333=""),"",100*(D333-B333)/MAX(B333,1E-12))</f>
        <v/>
      </c>
      <c r="G333" s="195">
        <f>IF(OR(A333="",C333=""),"",E333-C333)</f>
        <v/>
      </c>
      <c r="H333" s="195">
        <f>IF(A333="","",LOG10(A333))</f>
        <v/>
      </c>
      <c r="I333" s="195">
        <f>IF(B333="","",LOG10(MAX(B333,1E-12)))</f>
        <v/>
      </c>
      <c r="J333" s="195">
        <f>IF(D333="","",LOG10(MAX(D333,1E-12)))</f>
        <v/>
      </c>
      <c r="K333">
        <f>IF(A333="","",ROUND(1+(LOG10(A333)-LOG10('入力・概要'!$B$38))*('入力・概要'!$B$40-1)/(LOG10('入力・概要'!$B$39)-LOG10('入力・概要'!$B$38)),0)+3)</f>
        <v/>
      </c>
      <c r="L333">
        <f>IF(K333="","",INDEX('同相3導体'!$B:$B,K333))</f>
        <v/>
      </c>
      <c r="M333">
        <f>IF(A333="","",IF(ABS(L333/A333-1)&lt;0.01,"周波数差&lt;1%","周波数差あり"))</f>
        <v/>
      </c>
    </row>
    <row r="334">
      <c r="A334" s="197" t="n"/>
      <c r="B334" s="198" t="n"/>
      <c r="C334" s="198" t="n"/>
      <c r="D334" s="195">
        <f>IF(K334="","",INDEX('同相3導体'!$AB:$AB,K334))</f>
        <v/>
      </c>
      <c r="E334" s="195">
        <f>IF(K334="","",INDEX('同相3導体'!$AC:$AC,K334))</f>
        <v/>
      </c>
      <c r="F334" s="195">
        <f>IF(OR(A334="",B334=""),"",100*(D334-B334)/MAX(B334,1E-12))</f>
        <v/>
      </c>
      <c r="G334" s="195">
        <f>IF(OR(A334="",C334=""),"",E334-C334)</f>
        <v/>
      </c>
      <c r="H334" s="195">
        <f>IF(A334="","",LOG10(A334))</f>
        <v/>
      </c>
      <c r="I334" s="195">
        <f>IF(B334="","",LOG10(MAX(B334,1E-12)))</f>
        <v/>
      </c>
      <c r="J334" s="195">
        <f>IF(D334="","",LOG10(MAX(D334,1E-12)))</f>
        <v/>
      </c>
      <c r="K334">
        <f>IF(A334="","",ROUND(1+(LOG10(A334)-LOG10('入力・概要'!$B$38))*('入力・概要'!$B$40-1)/(LOG10('入力・概要'!$B$39)-LOG10('入力・概要'!$B$38)),0)+3)</f>
        <v/>
      </c>
      <c r="L334">
        <f>IF(K334="","",INDEX('同相3導体'!$B:$B,K334))</f>
        <v/>
      </c>
      <c r="M334">
        <f>IF(A334="","",IF(ABS(L334/A334-1)&lt;0.01,"周波数差&lt;1%","周波数差あり"))</f>
        <v/>
      </c>
    </row>
    <row r="335">
      <c r="A335" s="197" t="n"/>
      <c r="B335" s="198" t="n"/>
      <c r="C335" s="198" t="n"/>
      <c r="D335" s="195">
        <f>IF(K335="","",INDEX('同相3導体'!$AB:$AB,K335))</f>
        <v/>
      </c>
      <c r="E335" s="195">
        <f>IF(K335="","",INDEX('同相3導体'!$AC:$AC,K335))</f>
        <v/>
      </c>
      <c r="F335" s="195">
        <f>IF(OR(A335="",B335=""),"",100*(D335-B335)/MAX(B335,1E-12))</f>
        <v/>
      </c>
      <c r="G335" s="195">
        <f>IF(OR(A335="",C335=""),"",E335-C335)</f>
        <v/>
      </c>
      <c r="H335" s="195">
        <f>IF(A335="","",LOG10(A335))</f>
        <v/>
      </c>
      <c r="I335" s="195">
        <f>IF(B335="","",LOG10(MAX(B335,1E-12)))</f>
        <v/>
      </c>
      <c r="J335" s="195">
        <f>IF(D335="","",LOG10(MAX(D335,1E-12)))</f>
        <v/>
      </c>
      <c r="K335">
        <f>IF(A335="","",ROUND(1+(LOG10(A335)-LOG10('入力・概要'!$B$38))*('入力・概要'!$B$40-1)/(LOG10('入力・概要'!$B$39)-LOG10('入力・概要'!$B$38)),0)+3)</f>
        <v/>
      </c>
      <c r="L335">
        <f>IF(K335="","",INDEX('同相3導体'!$B:$B,K335))</f>
        <v/>
      </c>
      <c r="M335">
        <f>IF(A335="","",IF(ABS(L335/A335-1)&lt;0.01,"周波数差&lt;1%","周波数差あり"))</f>
        <v/>
      </c>
    </row>
    <row r="336">
      <c r="A336" s="197" t="n"/>
      <c r="B336" s="198" t="n"/>
      <c r="C336" s="198" t="n"/>
      <c r="D336" s="195">
        <f>IF(K336="","",INDEX('同相3導体'!$AB:$AB,K336))</f>
        <v/>
      </c>
      <c r="E336" s="195">
        <f>IF(K336="","",INDEX('同相3導体'!$AC:$AC,K336))</f>
        <v/>
      </c>
      <c r="F336" s="195">
        <f>IF(OR(A336="",B336=""),"",100*(D336-B336)/MAX(B336,1E-12))</f>
        <v/>
      </c>
      <c r="G336" s="195">
        <f>IF(OR(A336="",C336=""),"",E336-C336)</f>
        <v/>
      </c>
      <c r="H336" s="195">
        <f>IF(A336="","",LOG10(A336))</f>
        <v/>
      </c>
      <c r="I336" s="195">
        <f>IF(B336="","",LOG10(MAX(B336,1E-12)))</f>
        <v/>
      </c>
      <c r="J336" s="195">
        <f>IF(D336="","",LOG10(MAX(D336,1E-12)))</f>
        <v/>
      </c>
      <c r="K336">
        <f>IF(A336="","",ROUND(1+(LOG10(A336)-LOG10('入力・概要'!$B$38))*('入力・概要'!$B$40-1)/(LOG10('入力・概要'!$B$39)-LOG10('入力・概要'!$B$38)),0)+3)</f>
        <v/>
      </c>
      <c r="L336">
        <f>IF(K336="","",INDEX('同相3導体'!$B:$B,K336))</f>
        <v/>
      </c>
      <c r="M336">
        <f>IF(A336="","",IF(ABS(L336/A336-1)&lt;0.01,"周波数差&lt;1%","周波数差あり"))</f>
        <v/>
      </c>
    </row>
    <row r="337">
      <c r="A337" s="197" t="n"/>
      <c r="B337" s="198" t="n"/>
      <c r="C337" s="198" t="n"/>
      <c r="D337" s="195">
        <f>IF(K337="","",INDEX('同相3導体'!$AB:$AB,K337))</f>
        <v/>
      </c>
      <c r="E337" s="195">
        <f>IF(K337="","",INDEX('同相3導体'!$AC:$AC,K337))</f>
        <v/>
      </c>
      <c r="F337" s="195">
        <f>IF(OR(A337="",B337=""),"",100*(D337-B337)/MAX(B337,1E-12))</f>
        <v/>
      </c>
      <c r="G337" s="195">
        <f>IF(OR(A337="",C337=""),"",E337-C337)</f>
        <v/>
      </c>
      <c r="H337" s="195">
        <f>IF(A337="","",LOG10(A337))</f>
        <v/>
      </c>
      <c r="I337" s="195">
        <f>IF(B337="","",LOG10(MAX(B337,1E-12)))</f>
        <v/>
      </c>
      <c r="J337" s="195">
        <f>IF(D337="","",LOG10(MAX(D337,1E-12)))</f>
        <v/>
      </c>
      <c r="K337">
        <f>IF(A337="","",ROUND(1+(LOG10(A337)-LOG10('入力・概要'!$B$38))*('入力・概要'!$B$40-1)/(LOG10('入力・概要'!$B$39)-LOG10('入力・概要'!$B$38)),0)+3)</f>
        <v/>
      </c>
      <c r="L337">
        <f>IF(K337="","",INDEX('同相3導体'!$B:$B,K337))</f>
        <v/>
      </c>
      <c r="M337">
        <f>IF(A337="","",IF(ABS(L337/A337-1)&lt;0.01,"周波数差&lt;1%","周波数差あり"))</f>
        <v/>
      </c>
    </row>
    <row r="338">
      <c r="A338" s="197" t="n"/>
      <c r="B338" s="198" t="n"/>
      <c r="C338" s="198" t="n"/>
      <c r="D338" s="195">
        <f>IF(K338="","",INDEX('同相3導体'!$AB:$AB,K338))</f>
        <v/>
      </c>
      <c r="E338" s="195">
        <f>IF(K338="","",INDEX('同相3導体'!$AC:$AC,K338))</f>
        <v/>
      </c>
      <c r="F338" s="195">
        <f>IF(OR(A338="",B338=""),"",100*(D338-B338)/MAX(B338,1E-12))</f>
        <v/>
      </c>
      <c r="G338" s="195">
        <f>IF(OR(A338="",C338=""),"",E338-C338)</f>
        <v/>
      </c>
      <c r="H338" s="195">
        <f>IF(A338="","",LOG10(A338))</f>
        <v/>
      </c>
      <c r="I338" s="195">
        <f>IF(B338="","",LOG10(MAX(B338,1E-12)))</f>
        <v/>
      </c>
      <c r="J338" s="195">
        <f>IF(D338="","",LOG10(MAX(D338,1E-12)))</f>
        <v/>
      </c>
      <c r="K338">
        <f>IF(A338="","",ROUND(1+(LOG10(A338)-LOG10('入力・概要'!$B$38))*('入力・概要'!$B$40-1)/(LOG10('入力・概要'!$B$39)-LOG10('入力・概要'!$B$38)),0)+3)</f>
        <v/>
      </c>
      <c r="L338">
        <f>IF(K338="","",INDEX('同相3導体'!$B:$B,K338))</f>
        <v/>
      </c>
      <c r="M338">
        <f>IF(A338="","",IF(ABS(L338/A338-1)&lt;0.01,"周波数差&lt;1%","周波数差あり"))</f>
        <v/>
      </c>
    </row>
    <row r="339">
      <c r="A339" s="197" t="n"/>
      <c r="B339" s="198" t="n"/>
      <c r="C339" s="198" t="n"/>
      <c r="D339" s="195">
        <f>IF(K339="","",INDEX('同相3導体'!$AB:$AB,K339))</f>
        <v/>
      </c>
      <c r="E339" s="195">
        <f>IF(K339="","",INDEX('同相3導体'!$AC:$AC,K339))</f>
        <v/>
      </c>
      <c r="F339" s="195">
        <f>IF(OR(A339="",B339=""),"",100*(D339-B339)/MAX(B339,1E-12))</f>
        <v/>
      </c>
      <c r="G339" s="195">
        <f>IF(OR(A339="",C339=""),"",E339-C339)</f>
        <v/>
      </c>
      <c r="H339" s="195">
        <f>IF(A339="","",LOG10(A339))</f>
        <v/>
      </c>
      <c r="I339" s="195">
        <f>IF(B339="","",LOG10(MAX(B339,1E-12)))</f>
        <v/>
      </c>
      <c r="J339" s="195">
        <f>IF(D339="","",LOG10(MAX(D339,1E-12)))</f>
        <v/>
      </c>
      <c r="K339">
        <f>IF(A339="","",ROUND(1+(LOG10(A339)-LOG10('入力・概要'!$B$38))*('入力・概要'!$B$40-1)/(LOG10('入力・概要'!$B$39)-LOG10('入力・概要'!$B$38)),0)+3)</f>
        <v/>
      </c>
      <c r="L339">
        <f>IF(K339="","",INDEX('同相3導体'!$B:$B,K339))</f>
        <v/>
      </c>
      <c r="M339">
        <f>IF(A339="","",IF(ABS(L339/A339-1)&lt;0.01,"周波数差&lt;1%","周波数差あり"))</f>
        <v/>
      </c>
    </row>
    <row r="340">
      <c r="A340" s="197" t="n"/>
      <c r="B340" s="198" t="n"/>
      <c r="C340" s="198" t="n"/>
      <c r="D340" s="195">
        <f>IF(K340="","",INDEX('同相3導体'!$AB:$AB,K340))</f>
        <v/>
      </c>
      <c r="E340" s="195">
        <f>IF(K340="","",INDEX('同相3導体'!$AC:$AC,K340))</f>
        <v/>
      </c>
      <c r="F340" s="195">
        <f>IF(OR(A340="",B340=""),"",100*(D340-B340)/MAX(B340,1E-12))</f>
        <v/>
      </c>
      <c r="G340" s="195">
        <f>IF(OR(A340="",C340=""),"",E340-C340)</f>
        <v/>
      </c>
      <c r="H340" s="195">
        <f>IF(A340="","",LOG10(A340))</f>
        <v/>
      </c>
      <c r="I340" s="195">
        <f>IF(B340="","",LOG10(MAX(B340,1E-12)))</f>
        <v/>
      </c>
      <c r="J340" s="195">
        <f>IF(D340="","",LOG10(MAX(D340,1E-12)))</f>
        <v/>
      </c>
      <c r="K340">
        <f>IF(A340="","",ROUND(1+(LOG10(A340)-LOG10('入力・概要'!$B$38))*('入力・概要'!$B$40-1)/(LOG10('入力・概要'!$B$39)-LOG10('入力・概要'!$B$38)),0)+3)</f>
        <v/>
      </c>
      <c r="L340">
        <f>IF(K340="","",INDEX('同相3導体'!$B:$B,K340))</f>
        <v/>
      </c>
      <c r="M340">
        <f>IF(A340="","",IF(ABS(L340/A340-1)&lt;0.01,"周波数差&lt;1%","周波数差あり"))</f>
        <v/>
      </c>
    </row>
    <row r="341">
      <c r="A341" s="197" t="n"/>
      <c r="B341" s="198" t="n"/>
      <c r="C341" s="198" t="n"/>
      <c r="D341" s="195">
        <f>IF(K341="","",INDEX('同相3導体'!$AB:$AB,K341))</f>
        <v/>
      </c>
      <c r="E341" s="195">
        <f>IF(K341="","",INDEX('同相3導体'!$AC:$AC,K341))</f>
        <v/>
      </c>
      <c r="F341" s="195">
        <f>IF(OR(A341="",B341=""),"",100*(D341-B341)/MAX(B341,1E-12))</f>
        <v/>
      </c>
      <c r="G341" s="195">
        <f>IF(OR(A341="",C341=""),"",E341-C341)</f>
        <v/>
      </c>
      <c r="H341" s="195">
        <f>IF(A341="","",LOG10(A341))</f>
        <v/>
      </c>
      <c r="I341" s="195">
        <f>IF(B341="","",LOG10(MAX(B341,1E-12)))</f>
        <v/>
      </c>
      <c r="J341" s="195">
        <f>IF(D341="","",LOG10(MAX(D341,1E-12)))</f>
        <v/>
      </c>
      <c r="K341">
        <f>IF(A341="","",ROUND(1+(LOG10(A341)-LOG10('入力・概要'!$B$38))*('入力・概要'!$B$40-1)/(LOG10('入力・概要'!$B$39)-LOG10('入力・概要'!$B$38)),0)+3)</f>
        <v/>
      </c>
      <c r="L341">
        <f>IF(K341="","",INDEX('同相3導体'!$B:$B,K341))</f>
        <v/>
      </c>
      <c r="M341">
        <f>IF(A341="","",IF(ABS(L341/A341-1)&lt;0.01,"周波数差&lt;1%","周波数差あり"))</f>
        <v/>
      </c>
    </row>
    <row r="342">
      <c r="A342" s="197" t="n"/>
      <c r="B342" s="198" t="n"/>
      <c r="C342" s="198" t="n"/>
      <c r="D342" s="195">
        <f>IF(K342="","",INDEX('同相3導体'!$AB:$AB,K342))</f>
        <v/>
      </c>
      <c r="E342" s="195">
        <f>IF(K342="","",INDEX('同相3導体'!$AC:$AC,K342))</f>
        <v/>
      </c>
      <c r="F342" s="195">
        <f>IF(OR(A342="",B342=""),"",100*(D342-B342)/MAX(B342,1E-12))</f>
        <v/>
      </c>
      <c r="G342" s="195">
        <f>IF(OR(A342="",C342=""),"",E342-C342)</f>
        <v/>
      </c>
      <c r="H342" s="195">
        <f>IF(A342="","",LOG10(A342))</f>
        <v/>
      </c>
      <c r="I342" s="195">
        <f>IF(B342="","",LOG10(MAX(B342,1E-12)))</f>
        <v/>
      </c>
      <c r="J342" s="195">
        <f>IF(D342="","",LOG10(MAX(D342,1E-12)))</f>
        <v/>
      </c>
      <c r="K342">
        <f>IF(A342="","",ROUND(1+(LOG10(A342)-LOG10('入力・概要'!$B$38))*('入力・概要'!$B$40-1)/(LOG10('入力・概要'!$B$39)-LOG10('入力・概要'!$B$38)),0)+3)</f>
        <v/>
      </c>
      <c r="L342">
        <f>IF(K342="","",INDEX('同相3導体'!$B:$B,K342))</f>
        <v/>
      </c>
      <c r="M342">
        <f>IF(A342="","",IF(ABS(L342/A342-1)&lt;0.01,"周波数差&lt;1%","周波数差あり"))</f>
        <v/>
      </c>
    </row>
    <row r="343">
      <c r="A343" s="197" t="n"/>
      <c r="B343" s="198" t="n"/>
      <c r="C343" s="198" t="n"/>
      <c r="D343" s="195">
        <f>IF(K343="","",INDEX('同相3導体'!$AB:$AB,K343))</f>
        <v/>
      </c>
      <c r="E343" s="195">
        <f>IF(K343="","",INDEX('同相3導体'!$AC:$AC,K343))</f>
        <v/>
      </c>
      <c r="F343" s="195">
        <f>IF(OR(A343="",B343=""),"",100*(D343-B343)/MAX(B343,1E-12))</f>
        <v/>
      </c>
      <c r="G343" s="195">
        <f>IF(OR(A343="",C343=""),"",E343-C343)</f>
        <v/>
      </c>
      <c r="H343" s="195">
        <f>IF(A343="","",LOG10(A343))</f>
        <v/>
      </c>
      <c r="I343" s="195">
        <f>IF(B343="","",LOG10(MAX(B343,1E-12)))</f>
        <v/>
      </c>
      <c r="J343" s="195">
        <f>IF(D343="","",LOG10(MAX(D343,1E-12)))</f>
        <v/>
      </c>
      <c r="K343">
        <f>IF(A343="","",ROUND(1+(LOG10(A343)-LOG10('入力・概要'!$B$38))*('入力・概要'!$B$40-1)/(LOG10('入力・概要'!$B$39)-LOG10('入力・概要'!$B$38)),0)+3)</f>
        <v/>
      </c>
      <c r="L343">
        <f>IF(K343="","",INDEX('同相3導体'!$B:$B,K343))</f>
        <v/>
      </c>
      <c r="M343">
        <f>IF(A343="","",IF(ABS(L343/A343-1)&lt;0.01,"周波数差&lt;1%","周波数差あり"))</f>
        <v/>
      </c>
    </row>
    <row r="344">
      <c r="A344" s="197" t="n"/>
      <c r="B344" s="198" t="n"/>
      <c r="C344" s="198" t="n"/>
      <c r="D344" s="195">
        <f>IF(K344="","",INDEX('同相3導体'!$AB:$AB,K344))</f>
        <v/>
      </c>
      <c r="E344" s="195">
        <f>IF(K344="","",INDEX('同相3導体'!$AC:$AC,K344))</f>
        <v/>
      </c>
      <c r="F344" s="195">
        <f>IF(OR(A344="",B344=""),"",100*(D344-B344)/MAX(B344,1E-12))</f>
        <v/>
      </c>
      <c r="G344" s="195">
        <f>IF(OR(A344="",C344=""),"",E344-C344)</f>
        <v/>
      </c>
      <c r="H344" s="195">
        <f>IF(A344="","",LOG10(A344))</f>
        <v/>
      </c>
      <c r="I344" s="195">
        <f>IF(B344="","",LOG10(MAX(B344,1E-12)))</f>
        <v/>
      </c>
      <c r="J344" s="195">
        <f>IF(D344="","",LOG10(MAX(D344,1E-12)))</f>
        <v/>
      </c>
      <c r="K344">
        <f>IF(A344="","",ROUND(1+(LOG10(A344)-LOG10('入力・概要'!$B$38))*('入力・概要'!$B$40-1)/(LOG10('入力・概要'!$B$39)-LOG10('入力・概要'!$B$38)),0)+3)</f>
        <v/>
      </c>
      <c r="L344">
        <f>IF(K344="","",INDEX('同相3導体'!$B:$B,K344))</f>
        <v/>
      </c>
      <c r="M344">
        <f>IF(A344="","",IF(ABS(L344/A344-1)&lt;0.01,"周波数差&lt;1%","周波数差あり"))</f>
        <v/>
      </c>
    </row>
    <row r="345">
      <c r="A345" s="197" t="n"/>
      <c r="B345" s="198" t="n"/>
      <c r="C345" s="198" t="n"/>
      <c r="D345" s="195">
        <f>IF(K345="","",INDEX('同相3導体'!$AB:$AB,K345))</f>
        <v/>
      </c>
      <c r="E345" s="195">
        <f>IF(K345="","",INDEX('同相3導体'!$AC:$AC,K345))</f>
        <v/>
      </c>
      <c r="F345" s="195">
        <f>IF(OR(A345="",B345=""),"",100*(D345-B345)/MAX(B345,1E-12))</f>
        <v/>
      </c>
      <c r="G345" s="195">
        <f>IF(OR(A345="",C345=""),"",E345-C345)</f>
        <v/>
      </c>
      <c r="H345" s="195">
        <f>IF(A345="","",LOG10(A345))</f>
        <v/>
      </c>
      <c r="I345" s="195">
        <f>IF(B345="","",LOG10(MAX(B345,1E-12)))</f>
        <v/>
      </c>
      <c r="J345" s="195">
        <f>IF(D345="","",LOG10(MAX(D345,1E-12)))</f>
        <v/>
      </c>
      <c r="K345">
        <f>IF(A345="","",ROUND(1+(LOG10(A345)-LOG10('入力・概要'!$B$38))*('入力・概要'!$B$40-1)/(LOG10('入力・概要'!$B$39)-LOG10('入力・概要'!$B$38)),0)+3)</f>
        <v/>
      </c>
      <c r="L345">
        <f>IF(K345="","",INDEX('同相3導体'!$B:$B,K345))</f>
        <v/>
      </c>
      <c r="M345">
        <f>IF(A345="","",IF(ABS(L345/A345-1)&lt;0.01,"周波数差&lt;1%","周波数差あり"))</f>
        <v/>
      </c>
    </row>
    <row r="346">
      <c r="A346" s="197" t="n"/>
      <c r="B346" s="198" t="n"/>
      <c r="C346" s="198" t="n"/>
      <c r="D346" s="195">
        <f>IF(K346="","",INDEX('同相3導体'!$AB:$AB,K346))</f>
        <v/>
      </c>
      <c r="E346" s="195">
        <f>IF(K346="","",INDEX('同相3導体'!$AC:$AC,K346))</f>
        <v/>
      </c>
      <c r="F346" s="195">
        <f>IF(OR(A346="",B346=""),"",100*(D346-B346)/MAX(B346,1E-12))</f>
        <v/>
      </c>
      <c r="G346" s="195">
        <f>IF(OR(A346="",C346=""),"",E346-C346)</f>
        <v/>
      </c>
      <c r="H346" s="195">
        <f>IF(A346="","",LOG10(A346))</f>
        <v/>
      </c>
      <c r="I346" s="195">
        <f>IF(B346="","",LOG10(MAX(B346,1E-12)))</f>
        <v/>
      </c>
      <c r="J346" s="195">
        <f>IF(D346="","",LOG10(MAX(D346,1E-12)))</f>
        <v/>
      </c>
      <c r="K346">
        <f>IF(A346="","",ROUND(1+(LOG10(A346)-LOG10('入力・概要'!$B$38))*('入力・概要'!$B$40-1)/(LOG10('入力・概要'!$B$39)-LOG10('入力・概要'!$B$38)),0)+3)</f>
        <v/>
      </c>
      <c r="L346">
        <f>IF(K346="","",INDEX('同相3導体'!$B:$B,K346))</f>
        <v/>
      </c>
      <c r="M346">
        <f>IF(A346="","",IF(ABS(L346/A346-1)&lt;0.01,"周波数差&lt;1%","周波数差あり"))</f>
        <v/>
      </c>
    </row>
    <row r="347">
      <c r="A347" s="197" t="n"/>
      <c r="B347" s="198" t="n"/>
      <c r="C347" s="198" t="n"/>
      <c r="D347" s="195">
        <f>IF(K347="","",INDEX('同相3導体'!$AB:$AB,K347))</f>
        <v/>
      </c>
      <c r="E347" s="195">
        <f>IF(K347="","",INDEX('同相3導体'!$AC:$AC,K347))</f>
        <v/>
      </c>
      <c r="F347" s="195">
        <f>IF(OR(A347="",B347=""),"",100*(D347-B347)/MAX(B347,1E-12))</f>
        <v/>
      </c>
      <c r="G347" s="195">
        <f>IF(OR(A347="",C347=""),"",E347-C347)</f>
        <v/>
      </c>
      <c r="H347" s="195">
        <f>IF(A347="","",LOG10(A347))</f>
        <v/>
      </c>
      <c r="I347" s="195">
        <f>IF(B347="","",LOG10(MAX(B347,1E-12)))</f>
        <v/>
      </c>
      <c r="J347" s="195">
        <f>IF(D347="","",LOG10(MAX(D347,1E-12)))</f>
        <v/>
      </c>
      <c r="K347">
        <f>IF(A347="","",ROUND(1+(LOG10(A347)-LOG10('入力・概要'!$B$38))*('入力・概要'!$B$40-1)/(LOG10('入力・概要'!$B$39)-LOG10('入力・概要'!$B$38)),0)+3)</f>
        <v/>
      </c>
      <c r="L347">
        <f>IF(K347="","",INDEX('同相3導体'!$B:$B,K347))</f>
        <v/>
      </c>
      <c r="M347">
        <f>IF(A347="","",IF(ABS(L347/A347-1)&lt;0.01,"周波数差&lt;1%","周波数差あり"))</f>
        <v/>
      </c>
    </row>
    <row r="348">
      <c r="A348" s="197" t="n"/>
      <c r="B348" s="198" t="n"/>
      <c r="C348" s="198" t="n"/>
      <c r="D348" s="195">
        <f>IF(K348="","",INDEX('同相3導体'!$AB:$AB,K348))</f>
        <v/>
      </c>
      <c r="E348" s="195">
        <f>IF(K348="","",INDEX('同相3導体'!$AC:$AC,K348))</f>
        <v/>
      </c>
      <c r="F348" s="195">
        <f>IF(OR(A348="",B348=""),"",100*(D348-B348)/MAX(B348,1E-12))</f>
        <v/>
      </c>
      <c r="G348" s="195">
        <f>IF(OR(A348="",C348=""),"",E348-C348)</f>
        <v/>
      </c>
      <c r="H348" s="195">
        <f>IF(A348="","",LOG10(A348))</f>
        <v/>
      </c>
      <c r="I348" s="195">
        <f>IF(B348="","",LOG10(MAX(B348,1E-12)))</f>
        <v/>
      </c>
      <c r="J348" s="195">
        <f>IF(D348="","",LOG10(MAX(D348,1E-12)))</f>
        <v/>
      </c>
      <c r="K348">
        <f>IF(A348="","",ROUND(1+(LOG10(A348)-LOG10('入力・概要'!$B$38))*('入力・概要'!$B$40-1)/(LOG10('入力・概要'!$B$39)-LOG10('入力・概要'!$B$38)),0)+3)</f>
        <v/>
      </c>
      <c r="L348">
        <f>IF(K348="","",INDEX('同相3導体'!$B:$B,K348))</f>
        <v/>
      </c>
      <c r="M348">
        <f>IF(A348="","",IF(ABS(L348/A348-1)&lt;0.01,"周波数差&lt;1%","周波数差あり"))</f>
        <v/>
      </c>
    </row>
    <row r="349">
      <c r="A349" s="197" t="n"/>
      <c r="B349" s="198" t="n"/>
      <c r="C349" s="198" t="n"/>
      <c r="D349" s="195">
        <f>IF(K349="","",INDEX('同相3導体'!$AB:$AB,K349))</f>
        <v/>
      </c>
      <c r="E349" s="195">
        <f>IF(K349="","",INDEX('同相3導体'!$AC:$AC,K349))</f>
        <v/>
      </c>
      <c r="F349" s="195">
        <f>IF(OR(A349="",B349=""),"",100*(D349-B349)/MAX(B349,1E-12))</f>
        <v/>
      </c>
      <c r="G349" s="195">
        <f>IF(OR(A349="",C349=""),"",E349-C349)</f>
        <v/>
      </c>
      <c r="H349" s="195">
        <f>IF(A349="","",LOG10(A349))</f>
        <v/>
      </c>
      <c r="I349" s="195">
        <f>IF(B349="","",LOG10(MAX(B349,1E-12)))</f>
        <v/>
      </c>
      <c r="J349" s="195">
        <f>IF(D349="","",LOG10(MAX(D349,1E-12)))</f>
        <v/>
      </c>
      <c r="K349">
        <f>IF(A349="","",ROUND(1+(LOG10(A349)-LOG10('入力・概要'!$B$38))*('入力・概要'!$B$40-1)/(LOG10('入力・概要'!$B$39)-LOG10('入力・概要'!$B$38)),0)+3)</f>
        <v/>
      </c>
      <c r="L349">
        <f>IF(K349="","",INDEX('同相3導体'!$B:$B,K349))</f>
        <v/>
      </c>
      <c r="M349">
        <f>IF(A349="","",IF(ABS(L349/A349-1)&lt;0.01,"周波数差&lt;1%","周波数差あり"))</f>
        <v/>
      </c>
    </row>
    <row r="350">
      <c r="A350" s="197" t="n"/>
      <c r="B350" s="198" t="n"/>
      <c r="C350" s="198" t="n"/>
      <c r="D350" s="195">
        <f>IF(K350="","",INDEX('同相3導体'!$AB:$AB,K350))</f>
        <v/>
      </c>
      <c r="E350" s="195">
        <f>IF(K350="","",INDEX('同相3導体'!$AC:$AC,K350))</f>
        <v/>
      </c>
      <c r="F350" s="195">
        <f>IF(OR(A350="",B350=""),"",100*(D350-B350)/MAX(B350,1E-12))</f>
        <v/>
      </c>
      <c r="G350" s="195">
        <f>IF(OR(A350="",C350=""),"",E350-C350)</f>
        <v/>
      </c>
      <c r="H350" s="195">
        <f>IF(A350="","",LOG10(A350))</f>
        <v/>
      </c>
      <c r="I350" s="195">
        <f>IF(B350="","",LOG10(MAX(B350,1E-12)))</f>
        <v/>
      </c>
      <c r="J350" s="195">
        <f>IF(D350="","",LOG10(MAX(D350,1E-12)))</f>
        <v/>
      </c>
      <c r="K350">
        <f>IF(A350="","",ROUND(1+(LOG10(A350)-LOG10('入力・概要'!$B$38))*('入力・概要'!$B$40-1)/(LOG10('入力・概要'!$B$39)-LOG10('入力・概要'!$B$38)),0)+3)</f>
        <v/>
      </c>
      <c r="L350">
        <f>IF(K350="","",INDEX('同相3導体'!$B:$B,K350))</f>
        <v/>
      </c>
      <c r="M350">
        <f>IF(A350="","",IF(ABS(L350/A350-1)&lt;0.01,"周波数差&lt;1%","周波数差あり"))</f>
        <v/>
      </c>
    </row>
    <row r="351">
      <c r="A351" s="197" t="n"/>
      <c r="B351" s="198" t="n"/>
      <c r="C351" s="198" t="n"/>
      <c r="D351" s="195">
        <f>IF(K351="","",INDEX('同相3導体'!$AB:$AB,K351))</f>
        <v/>
      </c>
      <c r="E351" s="195">
        <f>IF(K351="","",INDEX('同相3導体'!$AC:$AC,K351))</f>
        <v/>
      </c>
      <c r="F351" s="195">
        <f>IF(OR(A351="",B351=""),"",100*(D351-B351)/MAX(B351,1E-12))</f>
        <v/>
      </c>
      <c r="G351" s="195">
        <f>IF(OR(A351="",C351=""),"",E351-C351)</f>
        <v/>
      </c>
      <c r="H351" s="195">
        <f>IF(A351="","",LOG10(A351))</f>
        <v/>
      </c>
      <c r="I351" s="195">
        <f>IF(B351="","",LOG10(MAX(B351,1E-12)))</f>
        <v/>
      </c>
      <c r="J351" s="195">
        <f>IF(D351="","",LOG10(MAX(D351,1E-12)))</f>
        <v/>
      </c>
      <c r="K351">
        <f>IF(A351="","",ROUND(1+(LOG10(A351)-LOG10('入力・概要'!$B$38))*('入力・概要'!$B$40-1)/(LOG10('入力・概要'!$B$39)-LOG10('入力・概要'!$B$38)),0)+3)</f>
        <v/>
      </c>
      <c r="L351">
        <f>IF(K351="","",INDEX('同相3導体'!$B:$B,K351))</f>
        <v/>
      </c>
      <c r="M351">
        <f>IF(A351="","",IF(ABS(L351/A351-1)&lt;0.01,"周波数差&lt;1%","周波数差あり"))</f>
        <v/>
      </c>
    </row>
    <row r="352">
      <c r="A352" s="197" t="n"/>
      <c r="B352" s="198" t="n"/>
      <c r="C352" s="198" t="n"/>
      <c r="D352" s="195">
        <f>IF(K352="","",INDEX('同相3導体'!$AB:$AB,K352))</f>
        <v/>
      </c>
      <c r="E352" s="195">
        <f>IF(K352="","",INDEX('同相3導体'!$AC:$AC,K352))</f>
        <v/>
      </c>
      <c r="F352" s="195">
        <f>IF(OR(A352="",B352=""),"",100*(D352-B352)/MAX(B352,1E-12))</f>
        <v/>
      </c>
      <c r="G352" s="195">
        <f>IF(OR(A352="",C352=""),"",E352-C352)</f>
        <v/>
      </c>
      <c r="H352" s="195">
        <f>IF(A352="","",LOG10(A352))</f>
        <v/>
      </c>
      <c r="I352" s="195">
        <f>IF(B352="","",LOG10(MAX(B352,1E-12)))</f>
        <v/>
      </c>
      <c r="J352" s="195">
        <f>IF(D352="","",LOG10(MAX(D352,1E-12)))</f>
        <v/>
      </c>
      <c r="K352">
        <f>IF(A352="","",ROUND(1+(LOG10(A352)-LOG10('入力・概要'!$B$38))*('入力・概要'!$B$40-1)/(LOG10('入力・概要'!$B$39)-LOG10('入力・概要'!$B$38)),0)+3)</f>
        <v/>
      </c>
      <c r="L352">
        <f>IF(K352="","",INDEX('同相3導体'!$B:$B,K352))</f>
        <v/>
      </c>
      <c r="M352">
        <f>IF(A352="","",IF(ABS(L352/A352-1)&lt;0.01,"周波数差&lt;1%","周波数差あり"))</f>
        <v/>
      </c>
    </row>
    <row r="353">
      <c r="A353" s="197" t="n"/>
      <c r="B353" s="198" t="n"/>
      <c r="C353" s="198" t="n"/>
      <c r="D353" s="195">
        <f>IF(K353="","",INDEX('同相3導体'!$AB:$AB,K353))</f>
        <v/>
      </c>
      <c r="E353" s="195">
        <f>IF(K353="","",INDEX('同相3導体'!$AC:$AC,K353))</f>
        <v/>
      </c>
      <c r="F353" s="195">
        <f>IF(OR(A353="",B353=""),"",100*(D353-B353)/MAX(B353,1E-12))</f>
        <v/>
      </c>
      <c r="G353" s="195">
        <f>IF(OR(A353="",C353=""),"",E353-C353)</f>
        <v/>
      </c>
      <c r="H353" s="195">
        <f>IF(A353="","",LOG10(A353))</f>
        <v/>
      </c>
      <c r="I353" s="195">
        <f>IF(B353="","",LOG10(MAX(B353,1E-12)))</f>
        <v/>
      </c>
      <c r="J353" s="195">
        <f>IF(D353="","",LOG10(MAX(D353,1E-12)))</f>
        <v/>
      </c>
      <c r="K353">
        <f>IF(A353="","",ROUND(1+(LOG10(A353)-LOG10('入力・概要'!$B$38))*('入力・概要'!$B$40-1)/(LOG10('入力・概要'!$B$39)-LOG10('入力・概要'!$B$38)),0)+3)</f>
        <v/>
      </c>
      <c r="L353">
        <f>IF(K353="","",INDEX('同相3導体'!$B:$B,K353))</f>
        <v/>
      </c>
      <c r="M353">
        <f>IF(A353="","",IF(ABS(L353/A353-1)&lt;0.01,"周波数差&lt;1%","周波数差あり"))</f>
        <v/>
      </c>
    </row>
    <row r="354">
      <c r="A354" s="197" t="n"/>
      <c r="B354" s="198" t="n"/>
      <c r="C354" s="198" t="n"/>
      <c r="D354" s="195">
        <f>IF(K354="","",INDEX('同相3導体'!$AB:$AB,K354))</f>
        <v/>
      </c>
      <c r="E354" s="195">
        <f>IF(K354="","",INDEX('同相3導体'!$AC:$AC,K354))</f>
        <v/>
      </c>
      <c r="F354" s="195">
        <f>IF(OR(A354="",B354=""),"",100*(D354-B354)/MAX(B354,1E-12))</f>
        <v/>
      </c>
      <c r="G354" s="195">
        <f>IF(OR(A354="",C354=""),"",E354-C354)</f>
        <v/>
      </c>
      <c r="H354" s="195">
        <f>IF(A354="","",LOG10(A354))</f>
        <v/>
      </c>
      <c r="I354" s="195">
        <f>IF(B354="","",LOG10(MAX(B354,1E-12)))</f>
        <v/>
      </c>
      <c r="J354" s="195">
        <f>IF(D354="","",LOG10(MAX(D354,1E-12)))</f>
        <v/>
      </c>
      <c r="K354">
        <f>IF(A354="","",ROUND(1+(LOG10(A354)-LOG10('入力・概要'!$B$38))*('入力・概要'!$B$40-1)/(LOG10('入力・概要'!$B$39)-LOG10('入力・概要'!$B$38)),0)+3)</f>
        <v/>
      </c>
      <c r="L354">
        <f>IF(K354="","",INDEX('同相3導体'!$B:$B,K354))</f>
        <v/>
      </c>
      <c r="M354">
        <f>IF(A354="","",IF(ABS(L354/A354-1)&lt;0.01,"周波数差&lt;1%","周波数差あり"))</f>
        <v/>
      </c>
    </row>
    <row r="355">
      <c r="A355" s="197" t="n"/>
      <c r="B355" s="198" t="n"/>
      <c r="C355" s="198" t="n"/>
      <c r="D355" s="195">
        <f>IF(K355="","",INDEX('同相3導体'!$AB:$AB,K355))</f>
        <v/>
      </c>
      <c r="E355" s="195">
        <f>IF(K355="","",INDEX('同相3導体'!$AC:$AC,K355))</f>
        <v/>
      </c>
      <c r="F355" s="195">
        <f>IF(OR(A355="",B355=""),"",100*(D355-B355)/MAX(B355,1E-12))</f>
        <v/>
      </c>
      <c r="G355" s="195">
        <f>IF(OR(A355="",C355=""),"",E355-C355)</f>
        <v/>
      </c>
      <c r="H355" s="195">
        <f>IF(A355="","",LOG10(A355))</f>
        <v/>
      </c>
      <c r="I355" s="195">
        <f>IF(B355="","",LOG10(MAX(B355,1E-12)))</f>
        <v/>
      </c>
      <c r="J355" s="195">
        <f>IF(D355="","",LOG10(MAX(D355,1E-12)))</f>
        <v/>
      </c>
      <c r="K355">
        <f>IF(A355="","",ROUND(1+(LOG10(A355)-LOG10('入力・概要'!$B$38))*('入力・概要'!$B$40-1)/(LOG10('入力・概要'!$B$39)-LOG10('入力・概要'!$B$38)),0)+3)</f>
        <v/>
      </c>
      <c r="L355">
        <f>IF(K355="","",INDEX('同相3導体'!$B:$B,K355))</f>
        <v/>
      </c>
      <c r="M355">
        <f>IF(A355="","",IF(ABS(L355/A355-1)&lt;0.01,"周波数差&lt;1%","周波数差あり"))</f>
        <v/>
      </c>
    </row>
    <row r="356">
      <c r="A356" s="197" t="n"/>
      <c r="B356" s="198" t="n"/>
      <c r="C356" s="198" t="n"/>
      <c r="D356" s="195">
        <f>IF(K356="","",INDEX('同相3導体'!$AB:$AB,K356))</f>
        <v/>
      </c>
      <c r="E356" s="195">
        <f>IF(K356="","",INDEX('同相3導体'!$AC:$AC,K356))</f>
        <v/>
      </c>
      <c r="F356" s="195">
        <f>IF(OR(A356="",B356=""),"",100*(D356-B356)/MAX(B356,1E-12))</f>
        <v/>
      </c>
      <c r="G356" s="195">
        <f>IF(OR(A356="",C356=""),"",E356-C356)</f>
        <v/>
      </c>
      <c r="H356" s="195">
        <f>IF(A356="","",LOG10(A356))</f>
        <v/>
      </c>
      <c r="I356" s="195">
        <f>IF(B356="","",LOG10(MAX(B356,1E-12)))</f>
        <v/>
      </c>
      <c r="J356" s="195">
        <f>IF(D356="","",LOG10(MAX(D356,1E-12)))</f>
        <v/>
      </c>
      <c r="K356">
        <f>IF(A356="","",ROUND(1+(LOG10(A356)-LOG10('入力・概要'!$B$38))*('入力・概要'!$B$40-1)/(LOG10('入力・概要'!$B$39)-LOG10('入力・概要'!$B$38)),0)+3)</f>
        <v/>
      </c>
      <c r="L356">
        <f>IF(K356="","",INDEX('同相3導体'!$B:$B,K356))</f>
        <v/>
      </c>
      <c r="M356">
        <f>IF(A356="","",IF(ABS(L356/A356-1)&lt;0.01,"周波数差&lt;1%","周波数差あり"))</f>
        <v/>
      </c>
    </row>
    <row r="357">
      <c r="A357" s="197" t="n"/>
      <c r="B357" s="198" t="n"/>
      <c r="C357" s="198" t="n"/>
      <c r="D357" s="195">
        <f>IF(K357="","",INDEX('同相3導体'!$AB:$AB,K357))</f>
        <v/>
      </c>
      <c r="E357" s="195">
        <f>IF(K357="","",INDEX('同相3導体'!$AC:$AC,K357))</f>
        <v/>
      </c>
      <c r="F357" s="195">
        <f>IF(OR(A357="",B357=""),"",100*(D357-B357)/MAX(B357,1E-12))</f>
        <v/>
      </c>
      <c r="G357" s="195">
        <f>IF(OR(A357="",C357=""),"",E357-C357)</f>
        <v/>
      </c>
      <c r="H357" s="195">
        <f>IF(A357="","",LOG10(A357))</f>
        <v/>
      </c>
      <c r="I357" s="195">
        <f>IF(B357="","",LOG10(MAX(B357,1E-12)))</f>
        <v/>
      </c>
      <c r="J357" s="195">
        <f>IF(D357="","",LOG10(MAX(D357,1E-12)))</f>
        <v/>
      </c>
      <c r="K357">
        <f>IF(A357="","",ROUND(1+(LOG10(A357)-LOG10('入力・概要'!$B$38))*('入力・概要'!$B$40-1)/(LOG10('入力・概要'!$B$39)-LOG10('入力・概要'!$B$38)),0)+3)</f>
        <v/>
      </c>
      <c r="L357">
        <f>IF(K357="","",INDEX('同相3導体'!$B:$B,K357))</f>
        <v/>
      </c>
      <c r="M357">
        <f>IF(A357="","",IF(ABS(L357/A357-1)&lt;0.01,"周波数差&lt;1%","周波数差あり"))</f>
        <v/>
      </c>
    </row>
    <row r="358">
      <c r="A358" s="197" t="n"/>
      <c r="B358" s="198" t="n"/>
      <c r="C358" s="198" t="n"/>
      <c r="D358" s="195">
        <f>IF(K358="","",INDEX('同相3導体'!$AB:$AB,K358))</f>
        <v/>
      </c>
      <c r="E358" s="195">
        <f>IF(K358="","",INDEX('同相3導体'!$AC:$AC,K358))</f>
        <v/>
      </c>
      <c r="F358" s="195">
        <f>IF(OR(A358="",B358=""),"",100*(D358-B358)/MAX(B358,1E-12))</f>
        <v/>
      </c>
      <c r="G358" s="195">
        <f>IF(OR(A358="",C358=""),"",E358-C358)</f>
        <v/>
      </c>
      <c r="H358" s="195">
        <f>IF(A358="","",LOG10(A358))</f>
        <v/>
      </c>
      <c r="I358" s="195">
        <f>IF(B358="","",LOG10(MAX(B358,1E-12)))</f>
        <v/>
      </c>
      <c r="J358" s="195">
        <f>IF(D358="","",LOG10(MAX(D358,1E-12)))</f>
        <v/>
      </c>
      <c r="K358">
        <f>IF(A358="","",ROUND(1+(LOG10(A358)-LOG10('入力・概要'!$B$38))*('入力・概要'!$B$40-1)/(LOG10('入力・概要'!$B$39)-LOG10('入力・概要'!$B$38)),0)+3)</f>
        <v/>
      </c>
      <c r="L358">
        <f>IF(K358="","",INDEX('同相3導体'!$B:$B,K358))</f>
        <v/>
      </c>
      <c r="M358">
        <f>IF(A358="","",IF(ABS(L358/A358-1)&lt;0.01,"周波数差&lt;1%","周波数差あり"))</f>
        <v/>
      </c>
    </row>
    <row r="359">
      <c r="A359" s="197" t="n"/>
      <c r="B359" s="198" t="n"/>
      <c r="C359" s="198" t="n"/>
      <c r="D359" s="195">
        <f>IF(K359="","",INDEX('同相3導体'!$AB:$AB,K359))</f>
        <v/>
      </c>
      <c r="E359" s="195">
        <f>IF(K359="","",INDEX('同相3導体'!$AC:$AC,K359))</f>
        <v/>
      </c>
      <c r="F359" s="195">
        <f>IF(OR(A359="",B359=""),"",100*(D359-B359)/MAX(B359,1E-12))</f>
        <v/>
      </c>
      <c r="G359" s="195">
        <f>IF(OR(A359="",C359=""),"",E359-C359)</f>
        <v/>
      </c>
      <c r="H359" s="195">
        <f>IF(A359="","",LOG10(A359))</f>
        <v/>
      </c>
      <c r="I359" s="195">
        <f>IF(B359="","",LOG10(MAX(B359,1E-12)))</f>
        <v/>
      </c>
      <c r="J359" s="195">
        <f>IF(D359="","",LOG10(MAX(D359,1E-12)))</f>
        <v/>
      </c>
      <c r="K359">
        <f>IF(A359="","",ROUND(1+(LOG10(A359)-LOG10('入力・概要'!$B$38))*('入力・概要'!$B$40-1)/(LOG10('入力・概要'!$B$39)-LOG10('入力・概要'!$B$38)),0)+3)</f>
        <v/>
      </c>
      <c r="L359">
        <f>IF(K359="","",INDEX('同相3導体'!$B:$B,K359))</f>
        <v/>
      </c>
      <c r="M359">
        <f>IF(A359="","",IF(ABS(L359/A359-1)&lt;0.01,"周波数差&lt;1%","周波数差あり"))</f>
        <v/>
      </c>
    </row>
    <row r="360">
      <c r="A360" s="197" t="n"/>
      <c r="B360" s="198" t="n"/>
      <c r="C360" s="198" t="n"/>
      <c r="D360" s="195">
        <f>IF(K360="","",INDEX('同相3導体'!$AB:$AB,K360))</f>
        <v/>
      </c>
      <c r="E360" s="195">
        <f>IF(K360="","",INDEX('同相3導体'!$AC:$AC,K360))</f>
        <v/>
      </c>
      <c r="F360" s="195">
        <f>IF(OR(A360="",B360=""),"",100*(D360-B360)/MAX(B360,1E-12))</f>
        <v/>
      </c>
      <c r="G360" s="195">
        <f>IF(OR(A360="",C360=""),"",E360-C360)</f>
        <v/>
      </c>
      <c r="H360" s="195">
        <f>IF(A360="","",LOG10(A360))</f>
        <v/>
      </c>
      <c r="I360" s="195">
        <f>IF(B360="","",LOG10(MAX(B360,1E-12)))</f>
        <v/>
      </c>
      <c r="J360" s="195">
        <f>IF(D360="","",LOG10(MAX(D360,1E-12)))</f>
        <v/>
      </c>
      <c r="K360">
        <f>IF(A360="","",ROUND(1+(LOG10(A360)-LOG10('入力・概要'!$B$38))*('入力・概要'!$B$40-1)/(LOG10('入力・概要'!$B$39)-LOG10('入力・概要'!$B$38)),0)+3)</f>
        <v/>
      </c>
      <c r="L360">
        <f>IF(K360="","",INDEX('同相3導体'!$B:$B,K360))</f>
        <v/>
      </c>
      <c r="M360">
        <f>IF(A360="","",IF(ABS(L360/A360-1)&lt;0.01,"周波数差&lt;1%","周波数差あり"))</f>
        <v/>
      </c>
    </row>
    <row r="361">
      <c r="A361" s="197" t="n"/>
      <c r="B361" s="198" t="n"/>
      <c r="C361" s="198" t="n"/>
      <c r="D361" s="195">
        <f>IF(K361="","",INDEX('同相3導体'!$AB:$AB,K361))</f>
        <v/>
      </c>
      <c r="E361" s="195">
        <f>IF(K361="","",INDEX('同相3導体'!$AC:$AC,K361))</f>
        <v/>
      </c>
      <c r="F361" s="195">
        <f>IF(OR(A361="",B361=""),"",100*(D361-B361)/MAX(B361,1E-12))</f>
        <v/>
      </c>
      <c r="G361" s="195">
        <f>IF(OR(A361="",C361=""),"",E361-C361)</f>
        <v/>
      </c>
      <c r="H361" s="195">
        <f>IF(A361="","",LOG10(A361))</f>
        <v/>
      </c>
      <c r="I361" s="195">
        <f>IF(B361="","",LOG10(MAX(B361,1E-12)))</f>
        <v/>
      </c>
      <c r="J361" s="195">
        <f>IF(D361="","",LOG10(MAX(D361,1E-12)))</f>
        <v/>
      </c>
      <c r="K361">
        <f>IF(A361="","",ROUND(1+(LOG10(A361)-LOG10('入力・概要'!$B$38))*('入力・概要'!$B$40-1)/(LOG10('入力・概要'!$B$39)-LOG10('入力・概要'!$B$38)),0)+3)</f>
        <v/>
      </c>
      <c r="L361">
        <f>IF(K361="","",INDEX('同相3導体'!$B:$B,K361))</f>
        <v/>
      </c>
      <c r="M361">
        <f>IF(A361="","",IF(ABS(L361/A361-1)&lt;0.01,"周波数差&lt;1%","周波数差あり"))</f>
        <v/>
      </c>
    </row>
    <row r="362">
      <c r="A362" s="197" t="n"/>
      <c r="B362" s="198" t="n"/>
      <c r="C362" s="198" t="n"/>
      <c r="D362" s="195">
        <f>IF(K362="","",INDEX('同相3導体'!$AB:$AB,K362))</f>
        <v/>
      </c>
      <c r="E362" s="195">
        <f>IF(K362="","",INDEX('同相3導体'!$AC:$AC,K362))</f>
        <v/>
      </c>
      <c r="F362" s="195">
        <f>IF(OR(A362="",B362=""),"",100*(D362-B362)/MAX(B362,1E-12))</f>
        <v/>
      </c>
      <c r="G362" s="195">
        <f>IF(OR(A362="",C362=""),"",E362-C362)</f>
        <v/>
      </c>
      <c r="H362" s="195">
        <f>IF(A362="","",LOG10(A362))</f>
        <v/>
      </c>
      <c r="I362" s="195">
        <f>IF(B362="","",LOG10(MAX(B362,1E-12)))</f>
        <v/>
      </c>
      <c r="J362" s="195">
        <f>IF(D362="","",LOG10(MAX(D362,1E-12)))</f>
        <v/>
      </c>
      <c r="K362">
        <f>IF(A362="","",ROUND(1+(LOG10(A362)-LOG10('入力・概要'!$B$38))*('入力・概要'!$B$40-1)/(LOG10('入力・概要'!$B$39)-LOG10('入力・概要'!$B$38)),0)+3)</f>
        <v/>
      </c>
      <c r="L362">
        <f>IF(K362="","",INDEX('同相3導体'!$B:$B,K362))</f>
        <v/>
      </c>
      <c r="M362">
        <f>IF(A362="","",IF(ABS(L362/A362-1)&lt;0.01,"周波数差&lt;1%","周波数差あり"))</f>
        <v/>
      </c>
    </row>
    <row r="363">
      <c r="A363" s="197" t="n"/>
      <c r="B363" s="198" t="n"/>
      <c r="C363" s="198" t="n"/>
      <c r="D363" s="195">
        <f>IF(K363="","",INDEX('同相3導体'!$AB:$AB,K363))</f>
        <v/>
      </c>
      <c r="E363" s="195">
        <f>IF(K363="","",INDEX('同相3導体'!$AC:$AC,K363))</f>
        <v/>
      </c>
      <c r="F363" s="195">
        <f>IF(OR(A363="",B363=""),"",100*(D363-B363)/MAX(B363,1E-12))</f>
        <v/>
      </c>
      <c r="G363" s="195">
        <f>IF(OR(A363="",C363=""),"",E363-C363)</f>
        <v/>
      </c>
      <c r="H363" s="195">
        <f>IF(A363="","",LOG10(A363))</f>
        <v/>
      </c>
      <c r="I363" s="195">
        <f>IF(B363="","",LOG10(MAX(B363,1E-12)))</f>
        <v/>
      </c>
      <c r="J363" s="195">
        <f>IF(D363="","",LOG10(MAX(D363,1E-12)))</f>
        <v/>
      </c>
      <c r="K363">
        <f>IF(A363="","",ROUND(1+(LOG10(A363)-LOG10('入力・概要'!$B$38))*('入力・概要'!$B$40-1)/(LOG10('入力・概要'!$B$39)-LOG10('入力・概要'!$B$38)),0)+3)</f>
        <v/>
      </c>
      <c r="L363">
        <f>IF(K363="","",INDEX('同相3導体'!$B:$B,K363))</f>
        <v/>
      </c>
      <c r="M363">
        <f>IF(A363="","",IF(ABS(L363/A363-1)&lt;0.01,"周波数差&lt;1%","周波数差あり"))</f>
        <v/>
      </c>
    </row>
    <row r="364">
      <c r="A364" s="197" t="n"/>
      <c r="B364" s="198" t="n"/>
      <c r="C364" s="198" t="n"/>
      <c r="D364" s="195">
        <f>IF(K364="","",INDEX('同相3導体'!$AB:$AB,K364))</f>
        <v/>
      </c>
      <c r="E364" s="195">
        <f>IF(K364="","",INDEX('同相3導体'!$AC:$AC,K364))</f>
        <v/>
      </c>
      <c r="F364" s="195">
        <f>IF(OR(A364="",B364=""),"",100*(D364-B364)/MAX(B364,1E-12))</f>
        <v/>
      </c>
      <c r="G364" s="195">
        <f>IF(OR(A364="",C364=""),"",E364-C364)</f>
        <v/>
      </c>
      <c r="H364" s="195">
        <f>IF(A364="","",LOG10(A364))</f>
        <v/>
      </c>
      <c r="I364" s="195">
        <f>IF(B364="","",LOG10(MAX(B364,1E-12)))</f>
        <v/>
      </c>
      <c r="J364" s="195">
        <f>IF(D364="","",LOG10(MAX(D364,1E-12)))</f>
        <v/>
      </c>
      <c r="K364">
        <f>IF(A364="","",ROUND(1+(LOG10(A364)-LOG10('入力・概要'!$B$38))*('入力・概要'!$B$40-1)/(LOG10('入力・概要'!$B$39)-LOG10('入力・概要'!$B$38)),0)+3)</f>
        <v/>
      </c>
      <c r="L364">
        <f>IF(K364="","",INDEX('同相3導体'!$B:$B,K364))</f>
        <v/>
      </c>
      <c r="M364">
        <f>IF(A364="","",IF(ABS(L364/A364-1)&lt;0.01,"周波数差&lt;1%","周波数差あり"))</f>
        <v/>
      </c>
    </row>
    <row r="365">
      <c r="A365" s="197" t="n"/>
      <c r="B365" s="198" t="n"/>
      <c r="C365" s="198" t="n"/>
      <c r="D365" s="195">
        <f>IF(K365="","",INDEX('同相3導体'!$AB:$AB,K365))</f>
        <v/>
      </c>
      <c r="E365" s="195">
        <f>IF(K365="","",INDEX('同相3導体'!$AC:$AC,K365))</f>
        <v/>
      </c>
      <c r="F365" s="195">
        <f>IF(OR(A365="",B365=""),"",100*(D365-B365)/MAX(B365,1E-12))</f>
        <v/>
      </c>
      <c r="G365" s="195">
        <f>IF(OR(A365="",C365=""),"",E365-C365)</f>
        <v/>
      </c>
      <c r="H365" s="195">
        <f>IF(A365="","",LOG10(A365))</f>
        <v/>
      </c>
      <c r="I365" s="195">
        <f>IF(B365="","",LOG10(MAX(B365,1E-12)))</f>
        <v/>
      </c>
      <c r="J365" s="195">
        <f>IF(D365="","",LOG10(MAX(D365,1E-12)))</f>
        <v/>
      </c>
      <c r="K365">
        <f>IF(A365="","",ROUND(1+(LOG10(A365)-LOG10('入力・概要'!$B$38))*('入力・概要'!$B$40-1)/(LOG10('入力・概要'!$B$39)-LOG10('入力・概要'!$B$38)),0)+3)</f>
        <v/>
      </c>
      <c r="L365">
        <f>IF(K365="","",INDEX('同相3導体'!$B:$B,K365))</f>
        <v/>
      </c>
      <c r="M365">
        <f>IF(A365="","",IF(ABS(L365/A365-1)&lt;0.01,"周波数差&lt;1%","周波数差あり"))</f>
        <v/>
      </c>
    </row>
    <row r="366">
      <c r="A366" s="197" t="n"/>
      <c r="B366" s="198" t="n"/>
      <c r="C366" s="198" t="n"/>
      <c r="D366" s="195">
        <f>IF(K366="","",INDEX('同相3導体'!$AB:$AB,K366))</f>
        <v/>
      </c>
      <c r="E366" s="195">
        <f>IF(K366="","",INDEX('同相3導体'!$AC:$AC,K366))</f>
        <v/>
      </c>
      <c r="F366" s="195">
        <f>IF(OR(A366="",B366=""),"",100*(D366-B366)/MAX(B366,1E-12))</f>
        <v/>
      </c>
      <c r="G366" s="195">
        <f>IF(OR(A366="",C366=""),"",E366-C366)</f>
        <v/>
      </c>
      <c r="H366" s="195">
        <f>IF(A366="","",LOG10(A366))</f>
        <v/>
      </c>
      <c r="I366" s="195">
        <f>IF(B366="","",LOG10(MAX(B366,1E-12)))</f>
        <v/>
      </c>
      <c r="J366" s="195">
        <f>IF(D366="","",LOG10(MAX(D366,1E-12)))</f>
        <v/>
      </c>
      <c r="K366">
        <f>IF(A366="","",ROUND(1+(LOG10(A366)-LOG10('入力・概要'!$B$38))*('入力・概要'!$B$40-1)/(LOG10('入力・概要'!$B$39)-LOG10('入力・概要'!$B$38)),0)+3)</f>
        <v/>
      </c>
      <c r="L366">
        <f>IF(K366="","",INDEX('同相3導体'!$B:$B,K366))</f>
        <v/>
      </c>
      <c r="M366">
        <f>IF(A366="","",IF(ABS(L366/A366-1)&lt;0.01,"周波数差&lt;1%","周波数差あり"))</f>
        <v/>
      </c>
    </row>
    <row r="367">
      <c r="A367" s="197" t="n"/>
      <c r="B367" s="198" t="n"/>
      <c r="C367" s="198" t="n"/>
      <c r="D367" s="195">
        <f>IF(K367="","",INDEX('同相3導体'!$AB:$AB,K367))</f>
        <v/>
      </c>
      <c r="E367" s="195">
        <f>IF(K367="","",INDEX('同相3導体'!$AC:$AC,K367))</f>
        <v/>
      </c>
      <c r="F367" s="195">
        <f>IF(OR(A367="",B367=""),"",100*(D367-B367)/MAX(B367,1E-12))</f>
        <v/>
      </c>
      <c r="G367" s="195">
        <f>IF(OR(A367="",C367=""),"",E367-C367)</f>
        <v/>
      </c>
      <c r="H367" s="195">
        <f>IF(A367="","",LOG10(A367))</f>
        <v/>
      </c>
      <c r="I367" s="195">
        <f>IF(B367="","",LOG10(MAX(B367,1E-12)))</f>
        <v/>
      </c>
      <c r="J367" s="195">
        <f>IF(D367="","",LOG10(MAX(D367,1E-12)))</f>
        <v/>
      </c>
      <c r="K367">
        <f>IF(A367="","",ROUND(1+(LOG10(A367)-LOG10('入力・概要'!$B$38))*('入力・概要'!$B$40-1)/(LOG10('入力・概要'!$B$39)-LOG10('入力・概要'!$B$38)),0)+3)</f>
        <v/>
      </c>
      <c r="L367">
        <f>IF(K367="","",INDEX('同相3導体'!$B:$B,K367))</f>
        <v/>
      </c>
      <c r="M367">
        <f>IF(A367="","",IF(ABS(L367/A367-1)&lt;0.01,"周波数差&lt;1%","周波数差あり"))</f>
        <v/>
      </c>
    </row>
    <row r="368">
      <c r="A368" s="197" t="n"/>
      <c r="B368" s="198" t="n"/>
      <c r="C368" s="198" t="n"/>
      <c r="D368" s="195">
        <f>IF(K368="","",INDEX('同相3導体'!$AB:$AB,K368))</f>
        <v/>
      </c>
      <c r="E368" s="195">
        <f>IF(K368="","",INDEX('同相3導体'!$AC:$AC,K368))</f>
        <v/>
      </c>
      <c r="F368" s="195">
        <f>IF(OR(A368="",B368=""),"",100*(D368-B368)/MAX(B368,1E-12))</f>
        <v/>
      </c>
      <c r="G368" s="195">
        <f>IF(OR(A368="",C368=""),"",E368-C368)</f>
        <v/>
      </c>
      <c r="H368" s="195">
        <f>IF(A368="","",LOG10(A368))</f>
        <v/>
      </c>
      <c r="I368" s="195">
        <f>IF(B368="","",LOG10(MAX(B368,1E-12)))</f>
        <v/>
      </c>
      <c r="J368" s="195">
        <f>IF(D368="","",LOG10(MAX(D368,1E-12)))</f>
        <v/>
      </c>
      <c r="K368">
        <f>IF(A368="","",ROUND(1+(LOG10(A368)-LOG10('入力・概要'!$B$38))*('入力・概要'!$B$40-1)/(LOG10('入力・概要'!$B$39)-LOG10('入力・概要'!$B$38)),0)+3)</f>
        <v/>
      </c>
      <c r="L368">
        <f>IF(K368="","",INDEX('同相3導体'!$B:$B,K368))</f>
        <v/>
      </c>
      <c r="M368">
        <f>IF(A368="","",IF(ABS(L368/A368-1)&lt;0.01,"周波数差&lt;1%","周波数差あり"))</f>
        <v/>
      </c>
    </row>
    <row r="369">
      <c r="A369" s="197" t="n"/>
      <c r="B369" s="198" t="n"/>
      <c r="C369" s="198" t="n"/>
      <c r="D369" s="195">
        <f>IF(K369="","",INDEX('同相3導体'!$AB:$AB,K369))</f>
        <v/>
      </c>
      <c r="E369" s="195">
        <f>IF(K369="","",INDEX('同相3導体'!$AC:$AC,K369))</f>
        <v/>
      </c>
      <c r="F369" s="195">
        <f>IF(OR(A369="",B369=""),"",100*(D369-B369)/MAX(B369,1E-12))</f>
        <v/>
      </c>
      <c r="G369" s="195">
        <f>IF(OR(A369="",C369=""),"",E369-C369)</f>
        <v/>
      </c>
      <c r="H369" s="195">
        <f>IF(A369="","",LOG10(A369))</f>
        <v/>
      </c>
      <c r="I369" s="195">
        <f>IF(B369="","",LOG10(MAX(B369,1E-12)))</f>
        <v/>
      </c>
      <c r="J369" s="195">
        <f>IF(D369="","",LOG10(MAX(D369,1E-12)))</f>
        <v/>
      </c>
      <c r="K369">
        <f>IF(A369="","",ROUND(1+(LOG10(A369)-LOG10('入力・概要'!$B$38))*('入力・概要'!$B$40-1)/(LOG10('入力・概要'!$B$39)-LOG10('入力・概要'!$B$38)),0)+3)</f>
        <v/>
      </c>
      <c r="L369">
        <f>IF(K369="","",INDEX('同相3導体'!$B:$B,K369))</f>
        <v/>
      </c>
      <c r="M369">
        <f>IF(A369="","",IF(ABS(L369/A369-1)&lt;0.01,"周波数差&lt;1%","周波数差あり"))</f>
        <v/>
      </c>
    </row>
    <row r="370">
      <c r="A370" s="197" t="n"/>
      <c r="B370" s="198" t="n"/>
      <c r="C370" s="198" t="n"/>
      <c r="D370" s="195">
        <f>IF(K370="","",INDEX('同相3導体'!$AB:$AB,K370))</f>
        <v/>
      </c>
      <c r="E370" s="195">
        <f>IF(K370="","",INDEX('同相3導体'!$AC:$AC,K370))</f>
        <v/>
      </c>
      <c r="F370" s="195">
        <f>IF(OR(A370="",B370=""),"",100*(D370-B370)/MAX(B370,1E-12))</f>
        <v/>
      </c>
      <c r="G370" s="195">
        <f>IF(OR(A370="",C370=""),"",E370-C370)</f>
        <v/>
      </c>
      <c r="H370" s="195">
        <f>IF(A370="","",LOG10(A370))</f>
        <v/>
      </c>
      <c r="I370" s="195">
        <f>IF(B370="","",LOG10(MAX(B370,1E-12)))</f>
        <v/>
      </c>
      <c r="J370" s="195">
        <f>IF(D370="","",LOG10(MAX(D370,1E-12)))</f>
        <v/>
      </c>
      <c r="K370">
        <f>IF(A370="","",ROUND(1+(LOG10(A370)-LOG10('入力・概要'!$B$38))*('入力・概要'!$B$40-1)/(LOG10('入力・概要'!$B$39)-LOG10('入力・概要'!$B$38)),0)+3)</f>
        <v/>
      </c>
      <c r="L370">
        <f>IF(K370="","",INDEX('同相3導体'!$B:$B,K370))</f>
        <v/>
      </c>
      <c r="M370">
        <f>IF(A370="","",IF(ABS(L370/A370-1)&lt;0.01,"周波数差&lt;1%","周波数差あり"))</f>
        <v/>
      </c>
    </row>
    <row r="371">
      <c r="A371" s="197" t="n"/>
      <c r="B371" s="198" t="n"/>
      <c r="C371" s="198" t="n"/>
      <c r="D371" s="195">
        <f>IF(K371="","",INDEX('同相3導体'!$AB:$AB,K371))</f>
        <v/>
      </c>
      <c r="E371" s="195">
        <f>IF(K371="","",INDEX('同相3導体'!$AC:$AC,K371))</f>
        <v/>
      </c>
      <c r="F371" s="195">
        <f>IF(OR(A371="",B371=""),"",100*(D371-B371)/MAX(B371,1E-12))</f>
        <v/>
      </c>
      <c r="G371" s="195">
        <f>IF(OR(A371="",C371=""),"",E371-C371)</f>
        <v/>
      </c>
      <c r="H371" s="195">
        <f>IF(A371="","",LOG10(A371))</f>
        <v/>
      </c>
      <c r="I371" s="195">
        <f>IF(B371="","",LOG10(MAX(B371,1E-12)))</f>
        <v/>
      </c>
      <c r="J371" s="195">
        <f>IF(D371="","",LOG10(MAX(D371,1E-12)))</f>
        <v/>
      </c>
      <c r="K371">
        <f>IF(A371="","",ROUND(1+(LOG10(A371)-LOG10('入力・概要'!$B$38))*('入力・概要'!$B$40-1)/(LOG10('入力・概要'!$B$39)-LOG10('入力・概要'!$B$38)),0)+3)</f>
        <v/>
      </c>
      <c r="L371">
        <f>IF(K371="","",INDEX('同相3導体'!$B:$B,K371))</f>
        <v/>
      </c>
      <c r="M371">
        <f>IF(A371="","",IF(ABS(L371/A371-1)&lt;0.01,"周波数差&lt;1%","周波数差あり"))</f>
        <v/>
      </c>
    </row>
    <row r="372">
      <c r="A372" s="197" t="n"/>
      <c r="B372" s="198" t="n"/>
      <c r="C372" s="198" t="n"/>
      <c r="D372" s="195">
        <f>IF(K372="","",INDEX('同相3導体'!$AB:$AB,K372))</f>
        <v/>
      </c>
      <c r="E372" s="195">
        <f>IF(K372="","",INDEX('同相3導体'!$AC:$AC,K372))</f>
        <v/>
      </c>
      <c r="F372" s="195">
        <f>IF(OR(A372="",B372=""),"",100*(D372-B372)/MAX(B372,1E-12))</f>
        <v/>
      </c>
      <c r="G372" s="195">
        <f>IF(OR(A372="",C372=""),"",E372-C372)</f>
        <v/>
      </c>
      <c r="H372" s="195">
        <f>IF(A372="","",LOG10(A372))</f>
        <v/>
      </c>
      <c r="I372" s="195">
        <f>IF(B372="","",LOG10(MAX(B372,1E-12)))</f>
        <v/>
      </c>
      <c r="J372" s="195">
        <f>IF(D372="","",LOG10(MAX(D372,1E-12)))</f>
        <v/>
      </c>
      <c r="K372">
        <f>IF(A372="","",ROUND(1+(LOG10(A372)-LOG10('入力・概要'!$B$38))*('入力・概要'!$B$40-1)/(LOG10('入力・概要'!$B$39)-LOG10('入力・概要'!$B$38)),0)+3)</f>
        <v/>
      </c>
      <c r="L372">
        <f>IF(K372="","",INDEX('同相3導体'!$B:$B,K372))</f>
        <v/>
      </c>
      <c r="M372">
        <f>IF(A372="","",IF(ABS(L372/A372-1)&lt;0.01,"周波数差&lt;1%","周波数差あり"))</f>
        <v/>
      </c>
    </row>
    <row r="373">
      <c r="A373" s="197" t="n"/>
      <c r="B373" s="198" t="n"/>
      <c r="C373" s="198" t="n"/>
      <c r="D373" s="195">
        <f>IF(K373="","",INDEX('同相3導体'!$AB:$AB,K373))</f>
        <v/>
      </c>
      <c r="E373" s="195">
        <f>IF(K373="","",INDEX('同相3導体'!$AC:$AC,K373))</f>
        <v/>
      </c>
      <c r="F373" s="195">
        <f>IF(OR(A373="",B373=""),"",100*(D373-B373)/MAX(B373,1E-12))</f>
        <v/>
      </c>
      <c r="G373" s="195">
        <f>IF(OR(A373="",C373=""),"",E373-C373)</f>
        <v/>
      </c>
      <c r="H373" s="195">
        <f>IF(A373="","",LOG10(A373))</f>
        <v/>
      </c>
      <c r="I373" s="195">
        <f>IF(B373="","",LOG10(MAX(B373,1E-12)))</f>
        <v/>
      </c>
      <c r="J373" s="195">
        <f>IF(D373="","",LOG10(MAX(D373,1E-12)))</f>
        <v/>
      </c>
      <c r="K373">
        <f>IF(A373="","",ROUND(1+(LOG10(A373)-LOG10('入力・概要'!$B$38))*('入力・概要'!$B$40-1)/(LOG10('入力・概要'!$B$39)-LOG10('入力・概要'!$B$38)),0)+3)</f>
        <v/>
      </c>
      <c r="L373">
        <f>IF(K373="","",INDEX('同相3導体'!$B:$B,K373))</f>
        <v/>
      </c>
      <c r="M373">
        <f>IF(A373="","",IF(ABS(L373/A373-1)&lt;0.01,"周波数差&lt;1%","周波数差あり"))</f>
        <v/>
      </c>
    </row>
    <row r="374">
      <c r="A374" s="197" t="n"/>
      <c r="B374" s="198" t="n"/>
      <c r="C374" s="198" t="n"/>
      <c r="D374" s="195">
        <f>IF(K374="","",INDEX('同相3導体'!$AB:$AB,K374))</f>
        <v/>
      </c>
      <c r="E374" s="195">
        <f>IF(K374="","",INDEX('同相3導体'!$AC:$AC,K374))</f>
        <v/>
      </c>
      <c r="F374" s="195">
        <f>IF(OR(A374="",B374=""),"",100*(D374-B374)/MAX(B374,1E-12))</f>
        <v/>
      </c>
      <c r="G374" s="195">
        <f>IF(OR(A374="",C374=""),"",E374-C374)</f>
        <v/>
      </c>
      <c r="H374" s="195">
        <f>IF(A374="","",LOG10(A374))</f>
        <v/>
      </c>
      <c r="I374" s="195">
        <f>IF(B374="","",LOG10(MAX(B374,1E-12)))</f>
        <v/>
      </c>
      <c r="J374" s="195">
        <f>IF(D374="","",LOG10(MAX(D374,1E-12)))</f>
        <v/>
      </c>
      <c r="K374">
        <f>IF(A374="","",ROUND(1+(LOG10(A374)-LOG10('入力・概要'!$B$38))*('入力・概要'!$B$40-1)/(LOG10('入力・概要'!$B$39)-LOG10('入力・概要'!$B$38)),0)+3)</f>
        <v/>
      </c>
      <c r="L374">
        <f>IF(K374="","",INDEX('同相3導体'!$B:$B,K374))</f>
        <v/>
      </c>
      <c r="M374">
        <f>IF(A374="","",IF(ABS(L374/A374-1)&lt;0.01,"周波数差&lt;1%","周波数差あり"))</f>
        <v/>
      </c>
    </row>
    <row r="375">
      <c r="A375" s="197" t="n"/>
      <c r="B375" s="198" t="n"/>
      <c r="C375" s="198" t="n"/>
      <c r="D375" s="195">
        <f>IF(K375="","",INDEX('同相3導体'!$AB:$AB,K375))</f>
        <v/>
      </c>
      <c r="E375" s="195">
        <f>IF(K375="","",INDEX('同相3導体'!$AC:$AC,K375))</f>
        <v/>
      </c>
      <c r="F375" s="195">
        <f>IF(OR(A375="",B375=""),"",100*(D375-B375)/MAX(B375,1E-12))</f>
        <v/>
      </c>
      <c r="G375" s="195">
        <f>IF(OR(A375="",C375=""),"",E375-C375)</f>
        <v/>
      </c>
      <c r="H375" s="195">
        <f>IF(A375="","",LOG10(A375))</f>
        <v/>
      </c>
      <c r="I375" s="195">
        <f>IF(B375="","",LOG10(MAX(B375,1E-12)))</f>
        <v/>
      </c>
      <c r="J375" s="195">
        <f>IF(D375="","",LOG10(MAX(D375,1E-12)))</f>
        <v/>
      </c>
      <c r="K375">
        <f>IF(A375="","",ROUND(1+(LOG10(A375)-LOG10('入力・概要'!$B$38))*('入力・概要'!$B$40-1)/(LOG10('入力・概要'!$B$39)-LOG10('入力・概要'!$B$38)),0)+3)</f>
        <v/>
      </c>
      <c r="L375">
        <f>IF(K375="","",INDEX('同相3導体'!$B:$B,K375))</f>
        <v/>
      </c>
      <c r="M375">
        <f>IF(A375="","",IF(ABS(L375/A375-1)&lt;0.01,"周波数差&lt;1%","周波数差あり"))</f>
        <v/>
      </c>
    </row>
    <row r="376">
      <c r="A376" s="197" t="n"/>
      <c r="B376" s="198" t="n"/>
      <c r="C376" s="198" t="n"/>
      <c r="D376" s="195">
        <f>IF(K376="","",INDEX('同相3導体'!$AB:$AB,K376))</f>
        <v/>
      </c>
      <c r="E376" s="195">
        <f>IF(K376="","",INDEX('同相3導体'!$AC:$AC,K376))</f>
        <v/>
      </c>
      <c r="F376" s="195">
        <f>IF(OR(A376="",B376=""),"",100*(D376-B376)/MAX(B376,1E-12))</f>
        <v/>
      </c>
      <c r="G376" s="195">
        <f>IF(OR(A376="",C376=""),"",E376-C376)</f>
        <v/>
      </c>
      <c r="H376" s="195">
        <f>IF(A376="","",LOG10(A376))</f>
        <v/>
      </c>
      <c r="I376" s="195">
        <f>IF(B376="","",LOG10(MAX(B376,1E-12)))</f>
        <v/>
      </c>
      <c r="J376" s="195">
        <f>IF(D376="","",LOG10(MAX(D376,1E-12)))</f>
        <v/>
      </c>
      <c r="K376">
        <f>IF(A376="","",ROUND(1+(LOG10(A376)-LOG10('入力・概要'!$B$38))*('入力・概要'!$B$40-1)/(LOG10('入力・概要'!$B$39)-LOG10('入力・概要'!$B$38)),0)+3)</f>
        <v/>
      </c>
      <c r="L376">
        <f>IF(K376="","",INDEX('同相3導体'!$B:$B,K376))</f>
        <v/>
      </c>
      <c r="M376">
        <f>IF(A376="","",IF(ABS(L376/A376-1)&lt;0.01,"周波数差&lt;1%","周波数差あり"))</f>
        <v/>
      </c>
    </row>
    <row r="377">
      <c r="A377" s="197" t="n"/>
      <c r="B377" s="198" t="n"/>
      <c r="C377" s="198" t="n"/>
      <c r="D377" s="195">
        <f>IF(K377="","",INDEX('同相3導体'!$AB:$AB,K377))</f>
        <v/>
      </c>
      <c r="E377" s="195">
        <f>IF(K377="","",INDEX('同相3導体'!$AC:$AC,K377))</f>
        <v/>
      </c>
      <c r="F377" s="195">
        <f>IF(OR(A377="",B377=""),"",100*(D377-B377)/MAX(B377,1E-12))</f>
        <v/>
      </c>
      <c r="G377" s="195">
        <f>IF(OR(A377="",C377=""),"",E377-C377)</f>
        <v/>
      </c>
      <c r="H377" s="195">
        <f>IF(A377="","",LOG10(A377))</f>
        <v/>
      </c>
      <c r="I377" s="195">
        <f>IF(B377="","",LOG10(MAX(B377,1E-12)))</f>
        <v/>
      </c>
      <c r="J377" s="195">
        <f>IF(D377="","",LOG10(MAX(D377,1E-12)))</f>
        <v/>
      </c>
      <c r="K377">
        <f>IF(A377="","",ROUND(1+(LOG10(A377)-LOG10('入力・概要'!$B$38))*('入力・概要'!$B$40-1)/(LOG10('入力・概要'!$B$39)-LOG10('入力・概要'!$B$38)),0)+3)</f>
        <v/>
      </c>
      <c r="L377">
        <f>IF(K377="","",INDEX('同相3導体'!$B:$B,K377))</f>
        <v/>
      </c>
      <c r="M377">
        <f>IF(A377="","",IF(ABS(L377/A377-1)&lt;0.01,"周波数差&lt;1%","周波数差あり"))</f>
        <v/>
      </c>
    </row>
    <row r="378">
      <c r="A378" s="197" t="n"/>
      <c r="B378" s="198" t="n"/>
      <c r="C378" s="198" t="n"/>
      <c r="D378" s="195">
        <f>IF(K378="","",INDEX('同相3導体'!$AB:$AB,K378))</f>
        <v/>
      </c>
      <c r="E378" s="195">
        <f>IF(K378="","",INDEX('同相3導体'!$AC:$AC,K378))</f>
        <v/>
      </c>
      <c r="F378" s="195">
        <f>IF(OR(A378="",B378=""),"",100*(D378-B378)/MAX(B378,1E-12))</f>
        <v/>
      </c>
      <c r="G378" s="195">
        <f>IF(OR(A378="",C378=""),"",E378-C378)</f>
        <v/>
      </c>
      <c r="H378" s="195">
        <f>IF(A378="","",LOG10(A378))</f>
        <v/>
      </c>
      <c r="I378" s="195">
        <f>IF(B378="","",LOG10(MAX(B378,1E-12)))</f>
        <v/>
      </c>
      <c r="J378" s="195">
        <f>IF(D378="","",LOG10(MAX(D378,1E-12)))</f>
        <v/>
      </c>
      <c r="K378">
        <f>IF(A378="","",ROUND(1+(LOG10(A378)-LOG10('入力・概要'!$B$38))*('入力・概要'!$B$40-1)/(LOG10('入力・概要'!$B$39)-LOG10('入力・概要'!$B$38)),0)+3)</f>
        <v/>
      </c>
      <c r="L378">
        <f>IF(K378="","",INDEX('同相3導体'!$B:$B,K378))</f>
        <v/>
      </c>
      <c r="M378">
        <f>IF(A378="","",IF(ABS(L378/A378-1)&lt;0.01,"周波数差&lt;1%","周波数差あり"))</f>
        <v/>
      </c>
    </row>
    <row r="379">
      <c r="A379" s="197" t="n"/>
      <c r="B379" s="198" t="n"/>
      <c r="C379" s="198" t="n"/>
      <c r="D379" s="195">
        <f>IF(K379="","",INDEX('同相3導体'!$AB:$AB,K379))</f>
        <v/>
      </c>
      <c r="E379" s="195">
        <f>IF(K379="","",INDEX('同相3導体'!$AC:$AC,K379))</f>
        <v/>
      </c>
      <c r="F379" s="195">
        <f>IF(OR(A379="",B379=""),"",100*(D379-B379)/MAX(B379,1E-12))</f>
        <v/>
      </c>
      <c r="G379" s="195">
        <f>IF(OR(A379="",C379=""),"",E379-C379)</f>
        <v/>
      </c>
      <c r="H379" s="195">
        <f>IF(A379="","",LOG10(A379))</f>
        <v/>
      </c>
      <c r="I379" s="195">
        <f>IF(B379="","",LOG10(MAX(B379,1E-12)))</f>
        <v/>
      </c>
      <c r="J379" s="195">
        <f>IF(D379="","",LOG10(MAX(D379,1E-12)))</f>
        <v/>
      </c>
      <c r="K379">
        <f>IF(A379="","",ROUND(1+(LOG10(A379)-LOG10('入力・概要'!$B$38))*('入力・概要'!$B$40-1)/(LOG10('入力・概要'!$B$39)-LOG10('入力・概要'!$B$38)),0)+3)</f>
        <v/>
      </c>
      <c r="L379">
        <f>IF(K379="","",INDEX('同相3導体'!$B:$B,K379))</f>
        <v/>
      </c>
      <c r="M379">
        <f>IF(A379="","",IF(ABS(L379/A379-1)&lt;0.01,"周波数差&lt;1%","周波数差あり"))</f>
        <v/>
      </c>
    </row>
    <row r="380">
      <c r="A380" s="197" t="n"/>
      <c r="B380" s="198" t="n"/>
      <c r="C380" s="198" t="n"/>
      <c r="D380" s="195">
        <f>IF(K380="","",INDEX('同相3導体'!$AB:$AB,K380))</f>
        <v/>
      </c>
      <c r="E380" s="195">
        <f>IF(K380="","",INDEX('同相3導体'!$AC:$AC,K380))</f>
        <v/>
      </c>
      <c r="F380" s="195">
        <f>IF(OR(A380="",B380=""),"",100*(D380-B380)/MAX(B380,1E-12))</f>
        <v/>
      </c>
      <c r="G380" s="195">
        <f>IF(OR(A380="",C380=""),"",E380-C380)</f>
        <v/>
      </c>
      <c r="H380" s="195">
        <f>IF(A380="","",LOG10(A380))</f>
        <v/>
      </c>
      <c r="I380" s="195">
        <f>IF(B380="","",LOG10(MAX(B380,1E-12)))</f>
        <v/>
      </c>
      <c r="J380" s="195">
        <f>IF(D380="","",LOG10(MAX(D380,1E-12)))</f>
        <v/>
      </c>
      <c r="K380">
        <f>IF(A380="","",ROUND(1+(LOG10(A380)-LOG10('入力・概要'!$B$38))*('入力・概要'!$B$40-1)/(LOG10('入力・概要'!$B$39)-LOG10('入力・概要'!$B$38)),0)+3)</f>
        <v/>
      </c>
      <c r="L380">
        <f>IF(K380="","",INDEX('同相3導体'!$B:$B,K380))</f>
        <v/>
      </c>
      <c r="M380">
        <f>IF(A380="","",IF(ABS(L380/A380-1)&lt;0.01,"周波数差&lt;1%","周波数差あり"))</f>
        <v/>
      </c>
    </row>
    <row r="381">
      <c r="A381" s="197" t="n"/>
      <c r="B381" s="198" t="n"/>
      <c r="C381" s="198" t="n"/>
      <c r="D381" s="195">
        <f>IF(K381="","",INDEX('同相3導体'!$AB:$AB,K381))</f>
        <v/>
      </c>
      <c r="E381" s="195">
        <f>IF(K381="","",INDEX('同相3導体'!$AC:$AC,K381))</f>
        <v/>
      </c>
      <c r="F381" s="195">
        <f>IF(OR(A381="",B381=""),"",100*(D381-B381)/MAX(B381,1E-12))</f>
        <v/>
      </c>
      <c r="G381" s="195">
        <f>IF(OR(A381="",C381=""),"",E381-C381)</f>
        <v/>
      </c>
      <c r="H381" s="195">
        <f>IF(A381="","",LOG10(A381))</f>
        <v/>
      </c>
      <c r="I381" s="195">
        <f>IF(B381="","",LOG10(MAX(B381,1E-12)))</f>
        <v/>
      </c>
      <c r="J381" s="195">
        <f>IF(D381="","",LOG10(MAX(D381,1E-12)))</f>
        <v/>
      </c>
      <c r="K381">
        <f>IF(A381="","",ROUND(1+(LOG10(A381)-LOG10('入力・概要'!$B$38))*('入力・概要'!$B$40-1)/(LOG10('入力・概要'!$B$39)-LOG10('入力・概要'!$B$38)),0)+3)</f>
        <v/>
      </c>
      <c r="L381">
        <f>IF(K381="","",INDEX('同相3導体'!$B:$B,K381))</f>
        <v/>
      </c>
      <c r="M381">
        <f>IF(A381="","",IF(ABS(L381/A381-1)&lt;0.01,"周波数差&lt;1%","周波数差あり"))</f>
        <v/>
      </c>
    </row>
    <row r="382">
      <c r="A382" s="197" t="n"/>
      <c r="B382" s="198" t="n"/>
      <c r="C382" s="198" t="n"/>
      <c r="D382" s="195">
        <f>IF(K382="","",INDEX('同相3導体'!$AB:$AB,K382))</f>
        <v/>
      </c>
      <c r="E382" s="195">
        <f>IF(K382="","",INDEX('同相3導体'!$AC:$AC,K382))</f>
        <v/>
      </c>
      <c r="F382" s="195">
        <f>IF(OR(A382="",B382=""),"",100*(D382-B382)/MAX(B382,1E-12))</f>
        <v/>
      </c>
      <c r="G382" s="195">
        <f>IF(OR(A382="",C382=""),"",E382-C382)</f>
        <v/>
      </c>
      <c r="H382" s="195">
        <f>IF(A382="","",LOG10(A382))</f>
        <v/>
      </c>
      <c r="I382" s="195">
        <f>IF(B382="","",LOG10(MAX(B382,1E-12)))</f>
        <v/>
      </c>
      <c r="J382" s="195">
        <f>IF(D382="","",LOG10(MAX(D382,1E-12)))</f>
        <v/>
      </c>
      <c r="K382">
        <f>IF(A382="","",ROUND(1+(LOG10(A382)-LOG10('入力・概要'!$B$38))*('入力・概要'!$B$40-1)/(LOG10('入力・概要'!$B$39)-LOG10('入力・概要'!$B$38)),0)+3)</f>
        <v/>
      </c>
      <c r="L382">
        <f>IF(K382="","",INDEX('同相3導体'!$B:$B,K382))</f>
        <v/>
      </c>
      <c r="M382">
        <f>IF(A382="","",IF(ABS(L382/A382-1)&lt;0.01,"周波数差&lt;1%","周波数差あり"))</f>
        <v/>
      </c>
    </row>
    <row r="383">
      <c r="A383" s="197" t="n"/>
      <c r="B383" s="198" t="n"/>
      <c r="C383" s="198" t="n"/>
      <c r="D383" s="195">
        <f>IF(K383="","",INDEX('同相3導体'!$AB:$AB,K383))</f>
        <v/>
      </c>
      <c r="E383" s="195">
        <f>IF(K383="","",INDEX('同相3導体'!$AC:$AC,K383))</f>
        <v/>
      </c>
      <c r="F383" s="195">
        <f>IF(OR(A383="",B383=""),"",100*(D383-B383)/MAX(B383,1E-12))</f>
        <v/>
      </c>
      <c r="G383" s="195">
        <f>IF(OR(A383="",C383=""),"",E383-C383)</f>
        <v/>
      </c>
      <c r="H383" s="195">
        <f>IF(A383="","",LOG10(A383))</f>
        <v/>
      </c>
      <c r="I383" s="195">
        <f>IF(B383="","",LOG10(MAX(B383,1E-12)))</f>
        <v/>
      </c>
      <c r="J383" s="195">
        <f>IF(D383="","",LOG10(MAX(D383,1E-12)))</f>
        <v/>
      </c>
      <c r="K383">
        <f>IF(A383="","",ROUND(1+(LOG10(A383)-LOG10('入力・概要'!$B$38))*('入力・概要'!$B$40-1)/(LOG10('入力・概要'!$B$39)-LOG10('入力・概要'!$B$38)),0)+3)</f>
        <v/>
      </c>
      <c r="L383">
        <f>IF(K383="","",INDEX('同相3導体'!$B:$B,K383))</f>
        <v/>
      </c>
      <c r="M383">
        <f>IF(A383="","",IF(ABS(L383/A383-1)&lt;0.01,"周波数差&lt;1%","周波数差あり"))</f>
        <v/>
      </c>
    </row>
    <row r="384">
      <c r="A384" s="197" t="n"/>
      <c r="B384" s="198" t="n"/>
      <c r="C384" s="198" t="n"/>
      <c r="D384" s="195">
        <f>IF(K384="","",INDEX('同相3導体'!$AB:$AB,K384))</f>
        <v/>
      </c>
      <c r="E384" s="195">
        <f>IF(K384="","",INDEX('同相3導体'!$AC:$AC,K384))</f>
        <v/>
      </c>
      <c r="F384" s="195">
        <f>IF(OR(A384="",B384=""),"",100*(D384-B384)/MAX(B384,1E-12))</f>
        <v/>
      </c>
      <c r="G384" s="195">
        <f>IF(OR(A384="",C384=""),"",E384-C384)</f>
        <v/>
      </c>
      <c r="H384" s="195">
        <f>IF(A384="","",LOG10(A384))</f>
        <v/>
      </c>
      <c r="I384" s="195">
        <f>IF(B384="","",LOG10(MAX(B384,1E-12)))</f>
        <v/>
      </c>
      <c r="J384" s="195">
        <f>IF(D384="","",LOG10(MAX(D384,1E-12)))</f>
        <v/>
      </c>
      <c r="K384">
        <f>IF(A384="","",ROUND(1+(LOG10(A384)-LOG10('入力・概要'!$B$38))*('入力・概要'!$B$40-1)/(LOG10('入力・概要'!$B$39)-LOG10('入力・概要'!$B$38)),0)+3)</f>
        <v/>
      </c>
      <c r="L384">
        <f>IF(K384="","",INDEX('同相3導体'!$B:$B,K384))</f>
        <v/>
      </c>
      <c r="M384">
        <f>IF(A384="","",IF(ABS(L384/A384-1)&lt;0.01,"周波数差&lt;1%","周波数差あり"))</f>
        <v/>
      </c>
    </row>
    <row r="385">
      <c r="A385" s="197" t="n"/>
      <c r="B385" s="198" t="n"/>
      <c r="C385" s="198" t="n"/>
      <c r="D385" s="195">
        <f>IF(K385="","",INDEX('同相3導体'!$AB:$AB,K385))</f>
        <v/>
      </c>
      <c r="E385" s="195">
        <f>IF(K385="","",INDEX('同相3導体'!$AC:$AC,K385))</f>
        <v/>
      </c>
      <c r="F385" s="195">
        <f>IF(OR(A385="",B385=""),"",100*(D385-B385)/MAX(B385,1E-12))</f>
        <v/>
      </c>
      <c r="G385" s="195">
        <f>IF(OR(A385="",C385=""),"",E385-C385)</f>
        <v/>
      </c>
      <c r="H385" s="195">
        <f>IF(A385="","",LOG10(A385))</f>
        <v/>
      </c>
      <c r="I385" s="195">
        <f>IF(B385="","",LOG10(MAX(B385,1E-12)))</f>
        <v/>
      </c>
      <c r="J385" s="195">
        <f>IF(D385="","",LOG10(MAX(D385,1E-12)))</f>
        <v/>
      </c>
      <c r="K385">
        <f>IF(A385="","",ROUND(1+(LOG10(A385)-LOG10('入力・概要'!$B$38))*('入力・概要'!$B$40-1)/(LOG10('入力・概要'!$B$39)-LOG10('入力・概要'!$B$38)),0)+3)</f>
        <v/>
      </c>
      <c r="L385">
        <f>IF(K385="","",INDEX('同相3導体'!$B:$B,K385))</f>
        <v/>
      </c>
      <c r="M385">
        <f>IF(A385="","",IF(ABS(L385/A385-1)&lt;0.01,"周波数差&lt;1%","周波数差あり"))</f>
        <v/>
      </c>
    </row>
    <row r="386">
      <c r="A386" s="197" t="n"/>
      <c r="B386" s="198" t="n"/>
      <c r="C386" s="198" t="n"/>
      <c r="D386" s="195">
        <f>IF(K386="","",INDEX('同相3導体'!$AB:$AB,K386))</f>
        <v/>
      </c>
      <c r="E386" s="195">
        <f>IF(K386="","",INDEX('同相3導体'!$AC:$AC,K386))</f>
        <v/>
      </c>
      <c r="F386" s="195">
        <f>IF(OR(A386="",B386=""),"",100*(D386-B386)/MAX(B386,1E-12))</f>
        <v/>
      </c>
      <c r="G386" s="195">
        <f>IF(OR(A386="",C386=""),"",E386-C386)</f>
        <v/>
      </c>
      <c r="H386" s="195">
        <f>IF(A386="","",LOG10(A386))</f>
        <v/>
      </c>
      <c r="I386" s="195">
        <f>IF(B386="","",LOG10(MAX(B386,1E-12)))</f>
        <v/>
      </c>
      <c r="J386" s="195">
        <f>IF(D386="","",LOG10(MAX(D386,1E-12)))</f>
        <v/>
      </c>
      <c r="K386">
        <f>IF(A386="","",ROUND(1+(LOG10(A386)-LOG10('入力・概要'!$B$38))*('入力・概要'!$B$40-1)/(LOG10('入力・概要'!$B$39)-LOG10('入力・概要'!$B$38)),0)+3)</f>
        <v/>
      </c>
      <c r="L386">
        <f>IF(K386="","",INDEX('同相3導体'!$B:$B,K386))</f>
        <v/>
      </c>
      <c r="M386">
        <f>IF(A386="","",IF(ABS(L386/A386-1)&lt;0.01,"周波数差&lt;1%","周波数差あり"))</f>
        <v/>
      </c>
    </row>
    <row r="387">
      <c r="A387" s="197" t="n"/>
      <c r="B387" s="198" t="n"/>
      <c r="C387" s="198" t="n"/>
      <c r="D387" s="195">
        <f>IF(K387="","",INDEX('同相3導体'!$AB:$AB,K387))</f>
        <v/>
      </c>
      <c r="E387" s="195">
        <f>IF(K387="","",INDEX('同相3導体'!$AC:$AC,K387))</f>
        <v/>
      </c>
      <c r="F387" s="195">
        <f>IF(OR(A387="",B387=""),"",100*(D387-B387)/MAX(B387,1E-12))</f>
        <v/>
      </c>
      <c r="G387" s="195">
        <f>IF(OR(A387="",C387=""),"",E387-C387)</f>
        <v/>
      </c>
      <c r="H387" s="195">
        <f>IF(A387="","",LOG10(A387))</f>
        <v/>
      </c>
      <c r="I387" s="195">
        <f>IF(B387="","",LOG10(MAX(B387,1E-12)))</f>
        <v/>
      </c>
      <c r="J387" s="195">
        <f>IF(D387="","",LOG10(MAX(D387,1E-12)))</f>
        <v/>
      </c>
      <c r="K387">
        <f>IF(A387="","",ROUND(1+(LOG10(A387)-LOG10('入力・概要'!$B$38))*('入力・概要'!$B$40-1)/(LOG10('入力・概要'!$B$39)-LOG10('入力・概要'!$B$38)),0)+3)</f>
        <v/>
      </c>
      <c r="L387">
        <f>IF(K387="","",INDEX('同相3導体'!$B:$B,K387))</f>
        <v/>
      </c>
      <c r="M387">
        <f>IF(A387="","",IF(ABS(L387/A387-1)&lt;0.01,"周波数差&lt;1%","周波数差あり"))</f>
        <v/>
      </c>
    </row>
    <row r="388">
      <c r="A388" s="197" t="n"/>
      <c r="B388" s="198" t="n"/>
      <c r="C388" s="198" t="n"/>
      <c r="D388" s="195">
        <f>IF(K388="","",INDEX('同相3導体'!$AB:$AB,K388))</f>
        <v/>
      </c>
      <c r="E388" s="195">
        <f>IF(K388="","",INDEX('同相3導体'!$AC:$AC,K388))</f>
        <v/>
      </c>
      <c r="F388" s="195">
        <f>IF(OR(A388="",B388=""),"",100*(D388-B388)/MAX(B388,1E-12))</f>
        <v/>
      </c>
      <c r="G388" s="195">
        <f>IF(OR(A388="",C388=""),"",E388-C388)</f>
        <v/>
      </c>
      <c r="H388" s="195">
        <f>IF(A388="","",LOG10(A388))</f>
        <v/>
      </c>
      <c r="I388" s="195">
        <f>IF(B388="","",LOG10(MAX(B388,1E-12)))</f>
        <v/>
      </c>
      <c r="J388" s="195">
        <f>IF(D388="","",LOG10(MAX(D388,1E-12)))</f>
        <v/>
      </c>
      <c r="K388">
        <f>IF(A388="","",ROUND(1+(LOG10(A388)-LOG10('入力・概要'!$B$38))*('入力・概要'!$B$40-1)/(LOG10('入力・概要'!$B$39)-LOG10('入力・概要'!$B$38)),0)+3)</f>
        <v/>
      </c>
      <c r="L388">
        <f>IF(K388="","",INDEX('同相3導体'!$B:$B,K388))</f>
        <v/>
      </c>
      <c r="M388">
        <f>IF(A388="","",IF(ABS(L388/A388-1)&lt;0.01,"周波数差&lt;1%","周波数差あり"))</f>
        <v/>
      </c>
    </row>
    <row r="389">
      <c r="A389" s="197" t="n"/>
      <c r="B389" s="198" t="n"/>
      <c r="C389" s="198" t="n"/>
      <c r="D389" s="195">
        <f>IF(K389="","",INDEX('同相3導体'!$AB:$AB,K389))</f>
        <v/>
      </c>
      <c r="E389" s="195">
        <f>IF(K389="","",INDEX('同相3導体'!$AC:$AC,K389))</f>
        <v/>
      </c>
      <c r="F389" s="195">
        <f>IF(OR(A389="",B389=""),"",100*(D389-B389)/MAX(B389,1E-12))</f>
        <v/>
      </c>
      <c r="G389" s="195">
        <f>IF(OR(A389="",C389=""),"",E389-C389)</f>
        <v/>
      </c>
      <c r="H389" s="195">
        <f>IF(A389="","",LOG10(A389))</f>
        <v/>
      </c>
      <c r="I389" s="195">
        <f>IF(B389="","",LOG10(MAX(B389,1E-12)))</f>
        <v/>
      </c>
      <c r="J389" s="195">
        <f>IF(D389="","",LOG10(MAX(D389,1E-12)))</f>
        <v/>
      </c>
      <c r="K389">
        <f>IF(A389="","",ROUND(1+(LOG10(A389)-LOG10('入力・概要'!$B$38))*('入力・概要'!$B$40-1)/(LOG10('入力・概要'!$B$39)-LOG10('入力・概要'!$B$38)),0)+3)</f>
        <v/>
      </c>
      <c r="L389">
        <f>IF(K389="","",INDEX('同相3導体'!$B:$B,K389))</f>
        <v/>
      </c>
      <c r="M389">
        <f>IF(A389="","",IF(ABS(L389/A389-1)&lt;0.01,"周波数差&lt;1%","周波数差あり"))</f>
        <v/>
      </c>
    </row>
    <row r="390">
      <c r="A390" s="197" t="n"/>
      <c r="B390" s="198" t="n"/>
      <c r="C390" s="198" t="n"/>
      <c r="D390" s="195">
        <f>IF(K390="","",INDEX('同相3導体'!$AB:$AB,K390))</f>
        <v/>
      </c>
      <c r="E390" s="195">
        <f>IF(K390="","",INDEX('同相3導体'!$AC:$AC,K390))</f>
        <v/>
      </c>
      <c r="F390" s="195">
        <f>IF(OR(A390="",B390=""),"",100*(D390-B390)/MAX(B390,1E-12))</f>
        <v/>
      </c>
      <c r="G390" s="195">
        <f>IF(OR(A390="",C390=""),"",E390-C390)</f>
        <v/>
      </c>
      <c r="H390" s="195">
        <f>IF(A390="","",LOG10(A390))</f>
        <v/>
      </c>
      <c r="I390" s="195">
        <f>IF(B390="","",LOG10(MAX(B390,1E-12)))</f>
        <v/>
      </c>
      <c r="J390" s="195">
        <f>IF(D390="","",LOG10(MAX(D390,1E-12)))</f>
        <v/>
      </c>
      <c r="K390">
        <f>IF(A390="","",ROUND(1+(LOG10(A390)-LOG10('入力・概要'!$B$38))*('入力・概要'!$B$40-1)/(LOG10('入力・概要'!$B$39)-LOG10('入力・概要'!$B$38)),0)+3)</f>
        <v/>
      </c>
      <c r="L390">
        <f>IF(K390="","",INDEX('同相3導体'!$B:$B,K390))</f>
        <v/>
      </c>
      <c r="M390">
        <f>IF(A390="","",IF(ABS(L390/A390-1)&lt;0.01,"周波数差&lt;1%","周波数差あり"))</f>
        <v/>
      </c>
    </row>
    <row r="391">
      <c r="A391" s="197" t="n"/>
      <c r="B391" s="198" t="n"/>
      <c r="C391" s="198" t="n"/>
      <c r="D391" s="195">
        <f>IF(K391="","",INDEX('同相3導体'!$AB:$AB,K391))</f>
        <v/>
      </c>
      <c r="E391" s="195">
        <f>IF(K391="","",INDEX('同相3導体'!$AC:$AC,K391))</f>
        <v/>
      </c>
      <c r="F391" s="195">
        <f>IF(OR(A391="",B391=""),"",100*(D391-B391)/MAX(B391,1E-12))</f>
        <v/>
      </c>
      <c r="G391" s="195">
        <f>IF(OR(A391="",C391=""),"",E391-C391)</f>
        <v/>
      </c>
      <c r="H391" s="195">
        <f>IF(A391="","",LOG10(A391))</f>
        <v/>
      </c>
      <c r="I391" s="195">
        <f>IF(B391="","",LOG10(MAX(B391,1E-12)))</f>
        <v/>
      </c>
      <c r="J391" s="195">
        <f>IF(D391="","",LOG10(MAX(D391,1E-12)))</f>
        <v/>
      </c>
      <c r="K391">
        <f>IF(A391="","",ROUND(1+(LOG10(A391)-LOG10('入力・概要'!$B$38))*('入力・概要'!$B$40-1)/(LOG10('入力・概要'!$B$39)-LOG10('入力・概要'!$B$38)),0)+3)</f>
        <v/>
      </c>
      <c r="L391">
        <f>IF(K391="","",INDEX('同相3導体'!$B:$B,K391))</f>
        <v/>
      </c>
      <c r="M391">
        <f>IF(A391="","",IF(ABS(L391/A391-1)&lt;0.01,"周波数差&lt;1%","周波数差あり"))</f>
        <v/>
      </c>
    </row>
    <row r="392">
      <c r="A392" s="197" t="n"/>
      <c r="B392" s="198" t="n"/>
      <c r="C392" s="198" t="n"/>
      <c r="D392" s="195">
        <f>IF(K392="","",INDEX('同相3導体'!$AB:$AB,K392))</f>
        <v/>
      </c>
      <c r="E392" s="195">
        <f>IF(K392="","",INDEX('同相3導体'!$AC:$AC,K392))</f>
        <v/>
      </c>
      <c r="F392" s="195">
        <f>IF(OR(A392="",B392=""),"",100*(D392-B392)/MAX(B392,1E-12))</f>
        <v/>
      </c>
      <c r="G392" s="195">
        <f>IF(OR(A392="",C392=""),"",E392-C392)</f>
        <v/>
      </c>
      <c r="H392" s="195">
        <f>IF(A392="","",LOG10(A392))</f>
        <v/>
      </c>
      <c r="I392" s="195">
        <f>IF(B392="","",LOG10(MAX(B392,1E-12)))</f>
        <v/>
      </c>
      <c r="J392" s="195">
        <f>IF(D392="","",LOG10(MAX(D392,1E-12)))</f>
        <v/>
      </c>
      <c r="K392">
        <f>IF(A392="","",ROUND(1+(LOG10(A392)-LOG10('入力・概要'!$B$38))*('入力・概要'!$B$40-1)/(LOG10('入力・概要'!$B$39)-LOG10('入力・概要'!$B$38)),0)+3)</f>
        <v/>
      </c>
      <c r="L392">
        <f>IF(K392="","",INDEX('同相3導体'!$B:$B,K392))</f>
        <v/>
      </c>
      <c r="M392">
        <f>IF(A392="","",IF(ABS(L392/A392-1)&lt;0.01,"周波数差&lt;1%","周波数差あり"))</f>
        <v/>
      </c>
    </row>
    <row r="393">
      <c r="A393" s="197" t="n"/>
      <c r="B393" s="198" t="n"/>
      <c r="C393" s="198" t="n"/>
      <c r="D393" s="195">
        <f>IF(K393="","",INDEX('同相3導体'!$AB:$AB,K393))</f>
        <v/>
      </c>
      <c r="E393" s="195">
        <f>IF(K393="","",INDEX('同相3導体'!$AC:$AC,K393))</f>
        <v/>
      </c>
      <c r="F393" s="195">
        <f>IF(OR(A393="",B393=""),"",100*(D393-B393)/MAX(B393,1E-12))</f>
        <v/>
      </c>
      <c r="G393" s="195">
        <f>IF(OR(A393="",C393=""),"",E393-C393)</f>
        <v/>
      </c>
      <c r="H393" s="195">
        <f>IF(A393="","",LOG10(A393))</f>
        <v/>
      </c>
      <c r="I393" s="195">
        <f>IF(B393="","",LOG10(MAX(B393,1E-12)))</f>
        <v/>
      </c>
      <c r="J393" s="195">
        <f>IF(D393="","",LOG10(MAX(D393,1E-12)))</f>
        <v/>
      </c>
      <c r="K393">
        <f>IF(A393="","",ROUND(1+(LOG10(A393)-LOG10('入力・概要'!$B$38))*('入力・概要'!$B$40-1)/(LOG10('入力・概要'!$B$39)-LOG10('入力・概要'!$B$38)),0)+3)</f>
        <v/>
      </c>
      <c r="L393">
        <f>IF(K393="","",INDEX('同相3導体'!$B:$B,K393))</f>
        <v/>
      </c>
      <c r="M393">
        <f>IF(A393="","",IF(ABS(L393/A393-1)&lt;0.01,"周波数差&lt;1%","周波数差あり"))</f>
        <v/>
      </c>
    </row>
    <row r="394">
      <c r="A394" s="197" t="n"/>
      <c r="B394" s="198" t="n"/>
      <c r="C394" s="198" t="n"/>
      <c r="D394" s="195">
        <f>IF(K394="","",INDEX('同相3導体'!$AB:$AB,K394))</f>
        <v/>
      </c>
      <c r="E394" s="195">
        <f>IF(K394="","",INDEX('同相3導体'!$AC:$AC,K394))</f>
        <v/>
      </c>
      <c r="F394" s="195">
        <f>IF(OR(A394="",B394=""),"",100*(D394-B394)/MAX(B394,1E-12))</f>
        <v/>
      </c>
      <c r="G394" s="195">
        <f>IF(OR(A394="",C394=""),"",E394-C394)</f>
        <v/>
      </c>
      <c r="H394" s="195">
        <f>IF(A394="","",LOG10(A394))</f>
        <v/>
      </c>
      <c r="I394" s="195">
        <f>IF(B394="","",LOG10(MAX(B394,1E-12)))</f>
        <v/>
      </c>
      <c r="J394" s="195">
        <f>IF(D394="","",LOG10(MAX(D394,1E-12)))</f>
        <v/>
      </c>
      <c r="K394">
        <f>IF(A394="","",ROUND(1+(LOG10(A394)-LOG10('入力・概要'!$B$38))*('入力・概要'!$B$40-1)/(LOG10('入力・概要'!$B$39)-LOG10('入力・概要'!$B$38)),0)+3)</f>
        <v/>
      </c>
      <c r="L394">
        <f>IF(K394="","",INDEX('同相3導体'!$B:$B,K394))</f>
        <v/>
      </c>
      <c r="M394">
        <f>IF(A394="","",IF(ABS(L394/A394-1)&lt;0.01,"周波数差&lt;1%","周波数差あり"))</f>
        <v/>
      </c>
    </row>
    <row r="395">
      <c r="A395" s="197" t="n"/>
      <c r="B395" s="198" t="n"/>
      <c r="C395" s="198" t="n"/>
      <c r="D395" s="195">
        <f>IF(K395="","",INDEX('同相3導体'!$AB:$AB,K395))</f>
        <v/>
      </c>
      <c r="E395" s="195">
        <f>IF(K395="","",INDEX('同相3導体'!$AC:$AC,K395))</f>
        <v/>
      </c>
      <c r="F395" s="195">
        <f>IF(OR(A395="",B395=""),"",100*(D395-B395)/MAX(B395,1E-12))</f>
        <v/>
      </c>
      <c r="G395" s="195">
        <f>IF(OR(A395="",C395=""),"",E395-C395)</f>
        <v/>
      </c>
      <c r="H395" s="195">
        <f>IF(A395="","",LOG10(A395))</f>
        <v/>
      </c>
      <c r="I395" s="195">
        <f>IF(B395="","",LOG10(MAX(B395,1E-12)))</f>
        <v/>
      </c>
      <c r="J395" s="195">
        <f>IF(D395="","",LOG10(MAX(D395,1E-12)))</f>
        <v/>
      </c>
      <c r="K395">
        <f>IF(A395="","",ROUND(1+(LOG10(A395)-LOG10('入力・概要'!$B$38))*('入力・概要'!$B$40-1)/(LOG10('入力・概要'!$B$39)-LOG10('入力・概要'!$B$38)),0)+3)</f>
        <v/>
      </c>
      <c r="L395">
        <f>IF(K395="","",INDEX('同相3導体'!$B:$B,K395))</f>
        <v/>
      </c>
      <c r="M395">
        <f>IF(A395="","",IF(ABS(L395/A395-1)&lt;0.01,"周波数差&lt;1%","周波数差あり"))</f>
        <v/>
      </c>
    </row>
    <row r="396">
      <c r="A396" s="197" t="n"/>
      <c r="B396" s="198" t="n"/>
      <c r="C396" s="198" t="n"/>
      <c r="D396" s="195">
        <f>IF(K396="","",INDEX('同相3導体'!$AB:$AB,K396))</f>
        <v/>
      </c>
      <c r="E396" s="195">
        <f>IF(K396="","",INDEX('同相3導体'!$AC:$AC,K396))</f>
        <v/>
      </c>
      <c r="F396" s="195">
        <f>IF(OR(A396="",B396=""),"",100*(D396-B396)/MAX(B396,1E-12))</f>
        <v/>
      </c>
      <c r="G396" s="195">
        <f>IF(OR(A396="",C396=""),"",E396-C396)</f>
        <v/>
      </c>
      <c r="H396" s="195">
        <f>IF(A396="","",LOG10(A396))</f>
        <v/>
      </c>
      <c r="I396" s="195">
        <f>IF(B396="","",LOG10(MAX(B396,1E-12)))</f>
        <v/>
      </c>
      <c r="J396" s="195">
        <f>IF(D396="","",LOG10(MAX(D396,1E-12)))</f>
        <v/>
      </c>
      <c r="K396">
        <f>IF(A396="","",ROUND(1+(LOG10(A396)-LOG10('入力・概要'!$B$38))*('入力・概要'!$B$40-1)/(LOG10('入力・概要'!$B$39)-LOG10('入力・概要'!$B$38)),0)+3)</f>
        <v/>
      </c>
      <c r="L396">
        <f>IF(K396="","",INDEX('同相3導体'!$B:$B,K396))</f>
        <v/>
      </c>
      <c r="M396">
        <f>IF(A396="","",IF(ABS(L396/A396-1)&lt;0.01,"周波数差&lt;1%","周波数差あり"))</f>
        <v/>
      </c>
    </row>
    <row r="397">
      <c r="A397" s="197" t="n"/>
      <c r="B397" s="198" t="n"/>
      <c r="C397" s="198" t="n"/>
      <c r="D397" s="195">
        <f>IF(K397="","",INDEX('同相3導体'!$AB:$AB,K397))</f>
        <v/>
      </c>
      <c r="E397" s="195">
        <f>IF(K397="","",INDEX('同相3導体'!$AC:$AC,K397))</f>
        <v/>
      </c>
      <c r="F397" s="195">
        <f>IF(OR(A397="",B397=""),"",100*(D397-B397)/MAX(B397,1E-12))</f>
        <v/>
      </c>
      <c r="G397" s="195">
        <f>IF(OR(A397="",C397=""),"",E397-C397)</f>
        <v/>
      </c>
      <c r="H397" s="195">
        <f>IF(A397="","",LOG10(A397))</f>
        <v/>
      </c>
      <c r="I397" s="195">
        <f>IF(B397="","",LOG10(MAX(B397,1E-12)))</f>
        <v/>
      </c>
      <c r="J397" s="195">
        <f>IF(D397="","",LOG10(MAX(D397,1E-12)))</f>
        <v/>
      </c>
      <c r="K397">
        <f>IF(A397="","",ROUND(1+(LOG10(A397)-LOG10('入力・概要'!$B$38))*('入力・概要'!$B$40-1)/(LOG10('入力・概要'!$B$39)-LOG10('入力・概要'!$B$38)),0)+3)</f>
        <v/>
      </c>
      <c r="L397">
        <f>IF(K397="","",INDEX('同相3導体'!$B:$B,K397))</f>
        <v/>
      </c>
      <c r="M397">
        <f>IF(A397="","",IF(ABS(L397/A397-1)&lt;0.01,"周波数差&lt;1%","周波数差あり"))</f>
        <v/>
      </c>
    </row>
    <row r="398">
      <c r="A398" s="197" t="n"/>
      <c r="B398" s="198" t="n"/>
      <c r="C398" s="198" t="n"/>
      <c r="D398" s="195">
        <f>IF(K398="","",INDEX('同相3導体'!$AB:$AB,K398))</f>
        <v/>
      </c>
      <c r="E398" s="195">
        <f>IF(K398="","",INDEX('同相3導体'!$AC:$AC,K398))</f>
        <v/>
      </c>
      <c r="F398" s="195">
        <f>IF(OR(A398="",B398=""),"",100*(D398-B398)/MAX(B398,1E-12))</f>
        <v/>
      </c>
      <c r="G398" s="195">
        <f>IF(OR(A398="",C398=""),"",E398-C398)</f>
        <v/>
      </c>
      <c r="H398" s="195">
        <f>IF(A398="","",LOG10(A398))</f>
        <v/>
      </c>
      <c r="I398" s="195">
        <f>IF(B398="","",LOG10(MAX(B398,1E-12)))</f>
        <v/>
      </c>
      <c r="J398" s="195">
        <f>IF(D398="","",LOG10(MAX(D398,1E-12)))</f>
        <v/>
      </c>
      <c r="K398">
        <f>IF(A398="","",ROUND(1+(LOG10(A398)-LOG10('入力・概要'!$B$38))*('入力・概要'!$B$40-1)/(LOG10('入力・概要'!$B$39)-LOG10('入力・概要'!$B$38)),0)+3)</f>
        <v/>
      </c>
      <c r="L398">
        <f>IF(K398="","",INDEX('同相3導体'!$B:$B,K398))</f>
        <v/>
      </c>
      <c r="M398">
        <f>IF(A398="","",IF(ABS(L398/A398-1)&lt;0.01,"周波数差&lt;1%","周波数差あり"))</f>
        <v/>
      </c>
    </row>
    <row r="399">
      <c r="A399" s="197" t="n"/>
      <c r="B399" s="198" t="n"/>
      <c r="C399" s="198" t="n"/>
      <c r="D399" s="195">
        <f>IF(K399="","",INDEX('同相3導体'!$AB:$AB,K399))</f>
        <v/>
      </c>
      <c r="E399" s="195">
        <f>IF(K399="","",INDEX('同相3導体'!$AC:$AC,K399))</f>
        <v/>
      </c>
      <c r="F399" s="195">
        <f>IF(OR(A399="",B399=""),"",100*(D399-B399)/MAX(B399,1E-12))</f>
        <v/>
      </c>
      <c r="G399" s="195">
        <f>IF(OR(A399="",C399=""),"",E399-C399)</f>
        <v/>
      </c>
      <c r="H399" s="195">
        <f>IF(A399="","",LOG10(A399))</f>
        <v/>
      </c>
      <c r="I399" s="195">
        <f>IF(B399="","",LOG10(MAX(B399,1E-12)))</f>
        <v/>
      </c>
      <c r="J399" s="195">
        <f>IF(D399="","",LOG10(MAX(D399,1E-12)))</f>
        <v/>
      </c>
      <c r="K399">
        <f>IF(A399="","",ROUND(1+(LOG10(A399)-LOG10('入力・概要'!$B$38))*('入力・概要'!$B$40-1)/(LOG10('入力・概要'!$B$39)-LOG10('入力・概要'!$B$38)),0)+3)</f>
        <v/>
      </c>
      <c r="L399">
        <f>IF(K399="","",INDEX('同相3導体'!$B:$B,K399))</f>
        <v/>
      </c>
      <c r="M399">
        <f>IF(A399="","",IF(ABS(L399/A399-1)&lt;0.01,"周波数差&lt;1%","周波数差あり"))</f>
        <v/>
      </c>
    </row>
    <row r="400">
      <c r="A400" s="197" t="n"/>
      <c r="B400" s="198" t="n"/>
      <c r="C400" s="198" t="n"/>
      <c r="D400" s="195">
        <f>IF(K400="","",INDEX('同相3導体'!$AB:$AB,K400))</f>
        <v/>
      </c>
      <c r="E400" s="195">
        <f>IF(K400="","",INDEX('同相3導体'!$AC:$AC,K400))</f>
        <v/>
      </c>
      <c r="F400" s="195">
        <f>IF(OR(A400="",B400=""),"",100*(D400-B400)/MAX(B400,1E-12))</f>
        <v/>
      </c>
      <c r="G400" s="195">
        <f>IF(OR(A400="",C400=""),"",E400-C400)</f>
        <v/>
      </c>
      <c r="H400" s="195">
        <f>IF(A400="","",LOG10(A400))</f>
        <v/>
      </c>
      <c r="I400" s="195">
        <f>IF(B400="","",LOG10(MAX(B400,1E-12)))</f>
        <v/>
      </c>
      <c r="J400" s="195">
        <f>IF(D400="","",LOG10(MAX(D400,1E-12)))</f>
        <v/>
      </c>
      <c r="K400">
        <f>IF(A400="","",ROUND(1+(LOG10(A400)-LOG10('入力・概要'!$B$38))*('入力・概要'!$B$40-1)/(LOG10('入力・概要'!$B$39)-LOG10('入力・概要'!$B$38)),0)+3)</f>
        <v/>
      </c>
      <c r="L400">
        <f>IF(K400="","",INDEX('同相3導体'!$B:$B,K400))</f>
        <v/>
      </c>
      <c r="M400">
        <f>IF(A400="","",IF(ABS(L400/A400-1)&lt;0.01,"周波数差&lt;1%","周波数差あり"))</f>
        <v/>
      </c>
    </row>
    <row r="401">
      <c r="A401" s="197" t="n"/>
      <c r="B401" s="198" t="n"/>
      <c r="C401" s="198" t="n"/>
      <c r="D401" s="195">
        <f>IF(K401="","",INDEX('同相3導体'!$AB:$AB,K401))</f>
        <v/>
      </c>
      <c r="E401" s="195">
        <f>IF(K401="","",INDEX('同相3導体'!$AC:$AC,K401))</f>
        <v/>
      </c>
      <c r="F401" s="195">
        <f>IF(OR(A401="",B401=""),"",100*(D401-B401)/MAX(B401,1E-12))</f>
        <v/>
      </c>
      <c r="G401" s="195">
        <f>IF(OR(A401="",C401=""),"",E401-C401)</f>
        <v/>
      </c>
      <c r="H401" s="195">
        <f>IF(A401="","",LOG10(A401))</f>
        <v/>
      </c>
      <c r="I401" s="195">
        <f>IF(B401="","",LOG10(MAX(B401,1E-12)))</f>
        <v/>
      </c>
      <c r="J401" s="195">
        <f>IF(D401="","",LOG10(MAX(D401,1E-12)))</f>
        <v/>
      </c>
      <c r="K401">
        <f>IF(A401="","",ROUND(1+(LOG10(A401)-LOG10('入力・概要'!$B$38))*('入力・概要'!$B$40-1)/(LOG10('入力・概要'!$B$39)-LOG10('入力・概要'!$B$38)),0)+3)</f>
        <v/>
      </c>
      <c r="L401">
        <f>IF(K401="","",INDEX('同相3導体'!$B:$B,K401))</f>
        <v/>
      </c>
      <c r="M401">
        <f>IF(A401="","",IF(ABS(L401/A401-1)&lt;0.01,"周波数差&lt;1%","周波数差あり"))</f>
        <v/>
      </c>
    </row>
    <row r="402">
      <c r="A402" s="197" t="n"/>
      <c r="B402" s="198" t="n"/>
      <c r="C402" s="198" t="n"/>
      <c r="D402" s="195">
        <f>IF(K402="","",INDEX('同相3導体'!$AB:$AB,K402))</f>
        <v/>
      </c>
      <c r="E402" s="195">
        <f>IF(K402="","",INDEX('同相3導体'!$AC:$AC,K402))</f>
        <v/>
      </c>
      <c r="F402" s="195">
        <f>IF(OR(A402="",B402=""),"",100*(D402-B402)/MAX(B402,1E-12))</f>
        <v/>
      </c>
      <c r="G402" s="195">
        <f>IF(OR(A402="",C402=""),"",E402-C402)</f>
        <v/>
      </c>
      <c r="H402" s="195">
        <f>IF(A402="","",LOG10(A402))</f>
        <v/>
      </c>
      <c r="I402" s="195">
        <f>IF(B402="","",LOG10(MAX(B402,1E-12)))</f>
        <v/>
      </c>
      <c r="J402" s="195">
        <f>IF(D402="","",LOG10(MAX(D402,1E-12)))</f>
        <v/>
      </c>
      <c r="K402">
        <f>IF(A402="","",ROUND(1+(LOG10(A402)-LOG10('入力・概要'!$B$38))*('入力・概要'!$B$40-1)/(LOG10('入力・概要'!$B$39)-LOG10('入力・概要'!$B$38)),0)+3)</f>
        <v/>
      </c>
      <c r="L402">
        <f>IF(K402="","",INDEX('同相3導体'!$B:$B,K402))</f>
        <v/>
      </c>
      <c r="M402">
        <f>IF(A402="","",IF(ABS(L402/A402-1)&lt;0.01,"周波数差&lt;1%","周波数差あり"))</f>
        <v/>
      </c>
    </row>
    <row r="403">
      <c r="A403" s="197" t="n"/>
      <c r="B403" s="198" t="n"/>
      <c r="C403" s="198" t="n"/>
      <c r="D403" s="195">
        <f>IF(K403="","",INDEX('同相3導体'!$AB:$AB,K403))</f>
        <v/>
      </c>
      <c r="E403" s="195">
        <f>IF(K403="","",INDEX('同相3導体'!$AC:$AC,K403))</f>
        <v/>
      </c>
      <c r="F403" s="195">
        <f>IF(OR(A403="",B403=""),"",100*(D403-B403)/MAX(B403,1E-12))</f>
        <v/>
      </c>
      <c r="G403" s="195">
        <f>IF(OR(A403="",C403=""),"",E403-C403)</f>
        <v/>
      </c>
      <c r="H403" s="195">
        <f>IF(A403="","",LOG10(A403))</f>
        <v/>
      </c>
      <c r="I403" s="195">
        <f>IF(B403="","",LOG10(MAX(B403,1E-12)))</f>
        <v/>
      </c>
      <c r="J403" s="195">
        <f>IF(D403="","",LOG10(MAX(D403,1E-12)))</f>
        <v/>
      </c>
      <c r="K403">
        <f>IF(A403="","",ROUND(1+(LOG10(A403)-LOG10('入力・概要'!$B$38))*('入力・概要'!$B$40-1)/(LOG10('入力・概要'!$B$39)-LOG10('入力・概要'!$B$38)),0)+3)</f>
        <v/>
      </c>
      <c r="L403">
        <f>IF(K403="","",INDEX('同相3導体'!$B:$B,K403))</f>
        <v/>
      </c>
      <c r="M403">
        <f>IF(A403="","",IF(ABS(L403/A403-1)&lt;0.01,"周波数差&lt;1%","周波数差あり"))</f>
        <v/>
      </c>
    </row>
    <row r="404">
      <c r="A404" s="197" t="n"/>
      <c r="B404" s="198" t="n"/>
      <c r="C404" s="198" t="n"/>
      <c r="D404" s="195">
        <f>IF(K404="","",INDEX('同相3導体'!$AB:$AB,K404))</f>
        <v/>
      </c>
      <c r="E404" s="195">
        <f>IF(K404="","",INDEX('同相3導体'!$AC:$AC,K404))</f>
        <v/>
      </c>
      <c r="F404" s="195">
        <f>IF(OR(A404="",B404=""),"",100*(D404-B404)/MAX(B404,1E-12))</f>
        <v/>
      </c>
      <c r="G404" s="195">
        <f>IF(OR(A404="",C404=""),"",E404-C404)</f>
        <v/>
      </c>
      <c r="H404" s="195">
        <f>IF(A404="","",LOG10(A404))</f>
        <v/>
      </c>
      <c r="I404" s="195">
        <f>IF(B404="","",LOG10(MAX(B404,1E-12)))</f>
        <v/>
      </c>
      <c r="J404" s="195">
        <f>IF(D404="","",LOG10(MAX(D404,1E-12)))</f>
        <v/>
      </c>
      <c r="K404">
        <f>IF(A404="","",ROUND(1+(LOG10(A404)-LOG10('入力・概要'!$B$38))*('入力・概要'!$B$40-1)/(LOG10('入力・概要'!$B$39)-LOG10('入力・概要'!$B$38)),0)+3)</f>
        <v/>
      </c>
      <c r="L404">
        <f>IF(K404="","",INDEX('同相3導体'!$B:$B,K404))</f>
        <v/>
      </c>
      <c r="M404">
        <f>IF(A404="","",IF(ABS(L404/A404-1)&lt;0.01,"周波数差&lt;1%","周波数差あり"))</f>
        <v/>
      </c>
    </row>
    <row r="405">
      <c r="A405" s="197" t="n"/>
      <c r="B405" s="198" t="n"/>
      <c r="C405" s="198" t="n"/>
      <c r="D405" s="195">
        <f>IF(K405="","",INDEX('同相3導体'!$AB:$AB,K405))</f>
        <v/>
      </c>
      <c r="E405" s="195">
        <f>IF(K405="","",INDEX('同相3導体'!$AC:$AC,K405))</f>
        <v/>
      </c>
      <c r="F405" s="195">
        <f>IF(OR(A405="",B405=""),"",100*(D405-B405)/MAX(B405,1E-12))</f>
        <v/>
      </c>
      <c r="G405" s="195">
        <f>IF(OR(A405="",C405=""),"",E405-C405)</f>
        <v/>
      </c>
      <c r="H405" s="195">
        <f>IF(A405="","",LOG10(A405))</f>
        <v/>
      </c>
      <c r="I405" s="195">
        <f>IF(B405="","",LOG10(MAX(B405,1E-12)))</f>
        <v/>
      </c>
      <c r="J405" s="195">
        <f>IF(D405="","",LOG10(MAX(D405,1E-12)))</f>
        <v/>
      </c>
      <c r="K405">
        <f>IF(A405="","",ROUND(1+(LOG10(A405)-LOG10('入力・概要'!$B$38))*('入力・概要'!$B$40-1)/(LOG10('入力・概要'!$B$39)-LOG10('入力・概要'!$B$38)),0)+3)</f>
        <v/>
      </c>
      <c r="L405">
        <f>IF(K405="","",INDEX('同相3導体'!$B:$B,K405))</f>
        <v/>
      </c>
      <c r="M405">
        <f>IF(A405="","",IF(ABS(L405/A405-1)&lt;0.01,"周波数差&lt;1%","周波数差あり"))</f>
        <v/>
      </c>
    </row>
    <row r="406">
      <c r="A406" s="197" t="n"/>
      <c r="B406" s="198" t="n"/>
      <c r="C406" s="198" t="n"/>
      <c r="D406" s="195">
        <f>IF(K406="","",INDEX('同相3導体'!$AB:$AB,K406))</f>
        <v/>
      </c>
      <c r="E406" s="195">
        <f>IF(K406="","",INDEX('同相3導体'!$AC:$AC,K406))</f>
        <v/>
      </c>
      <c r="F406" s="195">
        <f>IF(OR(A406="",B406=""),"",100*(D406-B406)/MAX(B406,1E-12))</f>
        <v/>
      </c>
      <c r="G406" s="195">
        <f>IF(OR(A406="",C406=""),"",E406-C406)</f>
        <v/>
      </c>
      <c r="H406" s="195">
        <f>IF(A406="","",LOG10(A406))</f>
        <v/>
      </c>
      <c r="I406" s="195">
        <f>IF(B406="","",LOG10(MAX(B406,1E-12)))</f>
        <v/>
      </c>
      <c r="J406" s="195">
        <f>IF(D406="","",LOG10(MAX(D406,1E-12)))</f>
        <v/>
      </c>
      <c r="K406">
        <f>IF(A406="","",ROUND(1+(LOG10(A406)-LOG10('入力・概要'!$B$38))*('入力・概要'!$B$40-1)/(LOG10('入力・概要'!$B$39)-LOG10('入力・概要'!$B$38)),0)+3)</f>
        <v/>
      </c>
      <c r="L406">
        <f>IF(K406="","",INDEX('同相3導体'!$B:$B,K406))</f>
        <v/>
      </c>
      <c r="M406">
        <f>IF(A406="","",IF(ABS(L406/A406-1)&lt;0.01,"周波数差&lt;1%","周波数差あり"))</f>
        <v/>
      </c>
    </row>
    <row r="407">
      <c r="A407" s="197" t="n"/>
      <c r="B407" s="198" t="n"/>
      <c r="C407" s="198" t="n"/>
      <c r="D407" s="195">
        <f>IF(K407="","",INDEX('同相3導体'!$AB:$AB,K407))</f>
        <v/>
      </c>
      <c r="E407" s="195">
        <f>IF(K407="","",INDEX('同相3導体'!$AC:$AC,K407))</f>
        <v/>
      </c>
      <c r="F407" s="195">
        <f>IF(OR(A407="",B407=""),"",100*(D407-B407)/MAX(B407,1E-12))</f>
        <v/>
      </c>
      <c r="G407" s="195">
        <f>IF(OR(A407="",C407=""),"",E407-C407)</f>
        <v/>
      </c>
      <c r="H407" s="195">
        <f>IF(A407="","",LOG10(A407))</f>
        <v/>
      </c>
      <c r="I407" s="195">
        <f>IF(B407="","",LOG10(MAX(B407,1E-12)))</f>
        <v/>
      </c>
      <c r="J407" s="195">
        <f>IF(D407="","",LOG10(MAX(D407,1E-12)))</f>
        <v/>
      </c>
      <c r="K407">
        <f>IF(A407="","",ROUND(1+(LOG10(A407)-LOG10('入力・概要'!$B$38))*('入力・概要'!$B$40-1)/(LOG10('入力・概要'!$B$39)-LOG10('入力・概要'!$B$38)),0)+3)</f>
        <v/>
      </c>
      <c r="L407">
        <f>IF(K407="","",INDEX('同相3導体'!$B:$B,K407))</f>
        <v/>
      </c>
      <c r="M407">
        <f>IF(A407="","",IF(ABS(L407/A407-1)&lt;0.01,"周波数差&lt;1%","周波数差あり"))</f>
        <v/>
      </c>
    </row>
    <row r="408">
      <c r="A408" s="197" t="n"/>
      <c r="B408" s="198" t="n"/>
      <c r="C408" s="198" t="n"/>
      <c r="D408" s="195">
        <f>IF(K408="","",INDEX('同相3導体'!$AB:$AB,K408))</f>
        <v/>
      </c>
      <c r="E408" s="195">
        <f>IF(K408="","",INDEX('同相3導体'!$AC:$AC,K408))</f>
        <v/>
      </c>
      <c r="F408" s="195">
        <f>IF(OR(A408="",B408=""),"",100*(D408-B408)/MAX(B408,1E-12))</f>
        <v/>
      </c>
      <c r="G408" s="195">
        <f>IF(OR(A408="",C408=""),"",E408-C408)</f>
        <v/>
      </c>
      <c r="H408" s="195">
        <f>IF(A408="","",LOG10(A408))</f>
        <v/>
      </c>
      <c r="I408" s="195">
        <f>IF(B408="","",LOG10(MAX(B408,1E-12)))</f>
        <v/>
      </c>
      <c r="J408" s="195">
        <f>IF(D408="","",LOG10(MAX(D408,1E-12)))</f>
        <v/>
      </c>
      <c r="K408">
        <f>IF(A408="","",ROUND(1+(LOG10(A408)-LOG10('入力・概要'!$B$38))*('入力・概要'!$B$40-1)/(LOG10('入力・概要'!$B$39)-LOG10('入力・概要'!$B$38)),0)+3)</f>
        <v/>
      </c>
      <c r="L408">
        <f>IF(K408="","",INDEX('同相3導体'!$B:$B,K408))</f>
        <v/>
      </c>
      <c r="M408">
        <f>IF(A408="","",IF(ABS(L408/A408-1)&lt;0.01,"周波数差&lt;1%","周波数差あり"))</f>
        <v/>
      </c>
    </row>
    <row r="409">
      <c r="A409" s="197" t="n"/>
      <c r="B409" s="198" t="n"/>
      <c r="C409" s="198" t="n"/>
      <c r="D409" s="195">
        <f>IF(K409="","",INDEX('同相3導体'!$AB:$AB,K409))</f>
        <v/>
      </c>
      <c r="E409" s="195">
        <f>IF(K409="","",INDEX('同相3導体'!$AC:$AC,K409))</f>
        <v/>
      </c>
      <c r="F409" s="195">
        <f>IF(OR(A409="",B409=""),"",100*(D409-B409)/MAX(B409,1E-12))</f>
        <v/>
      </c>
      <c r="G409" s="195">
        <f>IF(OR(A409="",C409=""),"",E409-C409)</f>
        <v/>
      </c>
      <c r="H409" s="195">
        <f>IF(A409="","",LOG10(A409))</f>
        <v/>
      </c>
      <c r="I409" s="195">
        <f>IF(B409="","",LOG10(MAX(B409,1E-12)))</f>
        <v/>
      </c>
      <c r="J409" s="195">
        <f>IF(D409="","",LOG10(MAX(D409,1E-12)))</f>
        <v/>
      </c>
      <c r="K409">
        <f>IF(A409="","",ROUND(1+(LOG10(A409)-LOG10('入力・概要'!$B$38))*('入力・概要'!$B$40-1)/(LOG10('入力・概要'!$B$39)-LOG10('入力・概要'!$B$38)),0)+3)</f>
        <v/>
      </c>
      <c r="L409">
        <f>IF(K409="","",INDEX('同相3導体'!$B:$B,K409))</f>
        <v/>
      </c>
      <c r="M409">
        <f>IF(A409="","",IF(ABS(L409/A409-1)&lt;0.01,"周波数差&lt;1%","周波数差あり"))</f>
        <v/>
      </c>
    </row>
    <row r="410">
      <c r="A410" s="197" t="n"/>
      <c r="B410" s="198" t="n"/>
      <c r="C410" s="198" t="n"/>
      <c r="D410" s="195">
        <f>IF(K410="","",INDEX('同相3導体'!$AB:$AB,K410))</f>
        <v/>
      </c>
      <c r="E410" s="195">
        <f>IF(K410="","",INDEX('同相3導体'!$AC:$AC,K410))</f>
        <v/>
      </c>
      <c r="F410" s="195">
        <f>IF(OR(A410="",B410=""),"",100*(D410-B410)/MAX(B410,1E-12))</f>
        <v/>
      </c>
      <c r="G410" s="195">
        <f>IF(OR(A410="",C410=""),"",E410-C410)</f>
        <v/>
      </c>
      <c r="H410" s="195">
        <f>IF(A410="","",LOG10(A410))</f>
        <v/>
      </c>
      <c r="I410" s="195">
        <f>IF(B410="","",LOG10(MAX(B410,1E-12)))</f>
        <v/>
      </c>
      <c r="J410" s="195">
        <f>IF(D410="","",LOG10(MAX(D410,1E-12)))</f>
        <v/>
      </c>
      <c r="K410">
        <f>IF(A410="","",ROUND(1+(LOG10(A410)-LOG10('入力・概要'!$B$38))*('入力・概要'!$B$40-1)/(LOG10('入力・概要'!$B$39)-LOG10('入力・概要'!$B$38)),0)+3)</f>
        <v/>
      </c>
      <c r="L410">
        <f>IF(K410="","",INDEX('同相3導体'!$B:$B,K410))</f>
        <v/>
      </c>
      <c r="M410">
        <f>IF(A410="","",IF(ABS(L410/A410-1)&lt;0.01,"周波数差&lt;1%","周波数差あり"))</f>
        <v/>
      </c>
    </row>
    <row r="411">
      <c r="A411" s="197" t="n"/>
      <c r="B411" s="198" t="n"/>
      <c r="C411" s="198" t="n"/>
      <c r="D411" s="195">
        <f>IF(K411="","",INDEX('同相3導体'!$AB:$AB,K411))</f>
        <v/>
      </c>
      <c r="E411" s="195">
        <f>IF(K411="","",INDEX('同相3導体'!$AC:$AC,K411))</f>
        <v/>
      </c>
      <c r="F411" s="195">
        <f>IF(OR(A411="",B411=""),"",100*(D411-B411)/MAX(B411,1E-12))</f>
        <v/>
      </c>
      <c r="G411" s="195">
        <f>IF(OR(A411="",C411=""),"",E411-C411)</f>
        <v/>
      </c>
      <c r="H411" s="195">
        <f>IF(A411="","",LOG10(A411))</f>
        <v/>
      </c>
      <c r="I411" s="195">
        <f>IF(B411="","",LOG10(MAX(B411,1E-12)))</f>
        <v/>
      </c>
      <c r="J411" s="195">
        <f>IF(D411="","",LOG10(MAX(D411,1E-12)))</f>
        <v/>
      </c>
      <c r="K411">
        <f>IF(A411="","",ROUND(1+(LOG10(A411)-LOG10('入力・概要'!$B$38))*('入力・概要'!$B$40-1)/(LOG10('入力・概要'!$B$39)-LOG10('入力・概要'!$B$38)),0)+3)</f>
        <v/>
      </c>
      <c r="L411">
        <f>IF(K411="","",INDEX('同相3導体'!$B:$B,K411))</f>
        <v/>
      </c>
      <c r="M411">
        <f>IF(A411="","",IF(ABS(L411/A411-1)&lt;0.01,"周波数差&lt;1%","周波数差あり"))</f>
        <v/>
      </c>
    </row>
    <row r="412">
      <c r="A412" s="197" t="n"/>
      <c r="B412" s="198" t="n"/>
      <c r="C412" s="198" t="n"/>
      <c r="D412" s="195">
        <f>IF(K412="","",INDEX('同相3導体'!$AB:$AB,K412))</f>
        <v/>
      </c>
      <c r="E412" s="195">
        <f>IF(K412="","",INDEX('同相3導体'!$AC:$AC,K412))</f>
        <v/>
      </c>
      <c r="F412" s="195">
        <f>IF(OR(A412="",B412=""),"",100*(D412-B412)/MAX(B412,1E-12))</f>
        <v/>
      </c>
      <c r="G412" s="195">
        <f>IF(OR(A412="",C412=""),"",E412-C412)</f>
        <v/>
      </c>
      <c r="H412" s="195">
        <f>IF(A412="","",LOG10(A412))</f>
        <v/>
      </c>
      <c r="I412" s="195">
        <f>IF(B412="","",LOG10(MAX(B412,1E-12)))</f>
        <v/>
      </c>
      <c r="J412" s="195">
        <f>IF(D412="","",LOG10(MAX(D412,1E-12)))</f>
        <v/>
      </c>
      <c r="K412">
        <f>IF(A412="","",ROUND(1+(LOG10(A412)-LOG10('入力・概要'!$B$38))*('入力・概要'!$B$40-1)/(LOG10('入力・概要'!$B$39)-LOG10('入力・概要'!$B$38)),0)+3)</f>
        <v/>
      </c>
      <c r="L412">
        <f>IF(K412="","",INDEX('同相3導体'!$B:$B,K412))</f>
        <v/>
      </c>
      <c r="M412">
        <f>IF(A412="","",IF(ABS(L412/A412-1)&lt;0.01,"周波数差&lt;1%","周波数差あり"))</f>
        <v/>
      </c>
    </row>
    <row r="413">
      <c r="A413" s="197" t="n"/>
      <c r="B413" s="198" t="n"/>
      <c r="C413" s="198" t="n"/>
      <c r="D413" s="195">
        <f>IF(K413="","",INDEX('同相3導体'!$AB:$AB,K413))</f>
        <v/>
      </c>
      <c r="E413" s="195">
        <f>IF(K413="","",INDEX('同相3導体'!$AC:$AC,K413))</f>
        <v/>
      </c>
      <c r="F413" s="195">
        <f>IF(OR(A413="",B413=""),"",100*(D413-B413)/MAX(B413,1E-12))</f>
        <v/>
      </c>
      <c r="G413" s="195">
        <f>IF(OR(A413="",C413=""),"",E413-C413)</f>
        <v/>
      </c>
      <c r="H413" s="195">
        <f>IF(A413="","",LOG10(A413))</f>
        <v/>
      </c>
      <c r="I413" s="195">
        <f>IF(B413="","",LOG10(MAX(B413,1E-12)))</f>
        <v/>
      </c>
      <c r="J413" s="195">
        <f>IF(D413="","",LOG10(MAX(D413,1E-12)))</f>
        <v/>
      </c>
      <c r="K413">
        <f>IF(A413="","",ROUND(1+(LOG10(A413)-LOG10('入力・概要'!$B$38))*('入力・概要'!$B$40-1)/(LOG10('入力・概要'!$B$39)-LOG10('入力・概要'!$B$38)),0)+3)</f>
        <v/>
      </c>
      <c r="L413">
        <f>IF(K413="","",INDEX('同相3導体'!$B:$B,K413))</f>
        <v/>
      </c>
      <c r="M413">
        <f>IF(A413="","",IF(ABS(L413/A413-1)&lt;0.01,"周波数差&lt;1%","周波数差あり"))</f>
        <v/>
      </c>
    </row>
    <row r="414">
      <c r="A414" s="197" t="n"/>
      <c r="B414" s="198" t="n"/>
      <c r="C414" s="198" t="n"/>
      <c r="D414" s="195">
        <f>IF(K414="","",INDEX('同相3導体'!$AB:$AB,K414))</f>
        <v/>
      </c>
      <c r="E414" s="195">
        <f>IF(K414="","",INDEX('同相3導体'!$AC:$AC,K414))</f>
        <v/>
      </c>
      <c r="F414" s="195">
        <f>IF(OR(A414="",B414=""),"",100*(D414-B414)/MAX(B414,1E-12))</f>
        <v/>
      </c>
      <c r="G414" s="195">
        <f>IF(OR(A414="",C414=""),"",E414-C414)</f>
        <v/>
      </c>
      <c r="H414" s="195">
        <f>IF(A414="","",LOG10(A414))</f>
        <v/>
      </c>
      <c r="I414" s="195">
        <f>IF(B414="","",LOG10(MAX(B414,1E-12)))</f>
        <v/>
      </c>
      <c r="J414" s="195">
        <f>IF(D414="","",LOG10(MAX(D414,1E-12)))</f>
        <v/>
      </c>
      <c r="K414">
        <f>IF(A414="","",ROUND(1+(LOG10(A414)-LOG10('入力・概要'!$B$38))*('入力・概要'!$B$40-1)/(LOG10('入力・概要'!$B$39)-LOG10('入力・概要'!$B$38)),0)+3)</f>
        <v/>
      </c>
      <c r="L414">
        <f>IF(K414="","",INDEX('同相3導体'!$B:$B,K414))</f>
        <v/>
      </c>
      <c r="M414">
        <f>IF(A414="","",IF(ABS(L414/A414-1)&lt;0.01,"周波数差&lt;1%","周波数差あり"))</f>
        <v/>
      </c>
    </row>
    <row r="415">
      <c r="A415" s="197" t="n"/>
      <c r="B415" s="198" t="n"/>
      <c r="C415" s="198" t="n"/>
      <c r="D415" s="195">
        <f>IF(K415="","",INDEX('同相3導体'!$AB:$AB,K415))</f>
        <v/>
      </c>
      <c r="E415" s="195">
        <f>IF(K415="","",INDEX('同相3導体'!$AC:$AC,K415))</f>
        <v/>
      </c>
      <c r="F415" s="195">
        <f>IF(OR(A415="",B415=""),"",100*(D415-B415)/MAX(B415,1E-12))</f>
        <v/>
      </c>
      <c r="G415" s="195">
        <f>IF(OR(A415="",C415=""),"",E415-C415)</f>
        <v/>
      </c>
      <c r="H415" s="195">
        <f>IF(A415="","",LOG10(A415))</f>
        <v/>
      </c>
      <c r="I415" s="195">
        <f>IF(B415="","",LOG10(MAX(B415,1E-12)))</f>
        <v/>
      </c>
      <c r="J415" s="195">
        <f>IF(D415="","",LOG10(MAX(D415,1E-12)))</f>
        <v/>
      </c>
      <c r="K415">
        <f>IF(A415="","",ROUND(1+(LOG10(A415)-LOG10('入力・概要'!$B$38))*('入力・概要'!$B$40-1)/(LOG10('入力・概要'!$B$39)-LOG10('入力・概要'!$B$38)),0)+3)</f>
        <v/>
      </c>
      <c r="L415">
        <f>IF(K415="","",INDEX('同相3導体'!$B:$B,K415))</f>
        <v/>
      </c>
      <c r="M415">
        <f>IF(A415="","",IF(ABS(L415/A415-1)&lt;0.01,"周波数差&lt;1%","周波数差あり"))</f>
        <v/>
      </c>
    </row>
    <row r="416">
      <c r="A416" s="197" t="n"/>
      <c r="B416" s="198" t="n"/>
      <c r="C416" s="198" t="n"/>
      <c r="D416" s="195">
        <f>IF(K416="","",INDEX('同相3導体'!$AB:$AB,K416))</f>
        <v/>
      </c>
      <c r="E416" s="195">
        <f>IF(K416="","",INDEX('同相3導体'!$AC:$AC,K416))</f>
        <v/>
      </c>
      <c r="F416" s="195">
        <f>IF(OR(A416="",B416=""),"",100*(D416-B416)/MAX(B416,1E-12))</f>
        <v/>
      </c>
      <c r="G416" s="195">
        <f>IF(OR(A416="",C416=""),"",E416-C416)</f>
        <v/>
      </c>
      <c r="H416" s="195">
        <f>IF(A416="","",LOG10(A416))</f>
        <v/>
      </c>
      <c r="I416" s="195">
        <f>IF(B416="","",LOG10(MAX(B416,1E-12)))</f>
        <v/>
      </c>
      <c r="J416" s="195">
        <f>IF(D416="","",LOG10(MAX(D416,1E-12)))</f>
        <v/>
      </c>
      <c r="K416">
        <f>IF(A416="","",ROUND(1+(LOG10(A416)-LOG10('入力・概要'!$B$38))*('入力・概要'!$B$40-1)/(LOG10('入力・概要'!$B$39)-LOG10('入力・概要'!$B$38)),0)+3)</f>
        <v/>
      </c>
      <c r="L416">
        <f>IF(K416="","",INDEX('同相3導体'!$B:$B,K416))</f>
        <v/>
      </c>
      <c r="M416">
        <f>IF(A416="","",IF(ABS(L416/A416-1)&lt;0.01,"周波数差&lt;1%","周波数差あり"))</f>
        <v/>
      </c>
    </row>
    <row r="417">
      <c r="A417" s="197" t="n"/>
      <c r="B417" s="198" t="n"/>
      <c r="C417" s="198" t="n"/>
      <c r="D417" s="195">
        <f>IF(K417="","",INDEX('同相3導体'!$AB:$AB,K417))</f>
        <v/>
      </c>
      <c r="E417" s="195">
        <f>IF(K417="","",INDEX('同相3導体'!$AC:$AC,K417))</f>
        <v/>
      </c>
      <c r="F417" s="195">
        <f>IF(OR(A417="",B417=""),"",100*(D417-B417)/MAX(B417,1E-12))</f>
        <v/>
      </c>
      <c r="G417" s="195">
        <f>IF(OR(A417="",C417=""),"",E417-C417)</f>
        <v/>
      </c>
      <c r="H417" s="195">
        <f>IF(A417="","",LOG10(A417))</f>
        <v/>
      </c>
      <c r="I417" s="195">
        <f>IF(B417="","",LOG10(MAX(B417,1E-12)))</f>
        <v/>
      </c>
      <c r="J417" s="195">
        <f>IF(D417="","",LOG10(MAX(D417,1E-12)))</f>
        <v/>
      </c>
      <c r="K417">
        <f>IF(A417="","",ROUND(1+(LOG10(A417)-LOG10('入力・概要'!$B$38))*('入力・概要'!$B$40-1)/(LOG10('入力・概要'!$B$39)-LOG10('入力・概要'!$B$38)),0)+3)</f>
        <v/>
      </c>
      <c r="L417">
        <f>IF(K417="","",INDEX('同相3導体'!$B:$B,K417))</f>
        <v/>
      </c>
      <c r="M417">
        <f>IF(A417="","",IF(ABS(L417/A417-1)&lt;0.01,"周波数差&lt;1%","周波数差あり"))</f>
        <v/>
      </c>
    </row>
    <row r="418">
      <c r="A418" s="197" t="n"/>
      <c r="B418" s="198" t="n"/>
      <c r="C418" s="198" t="n"/>
      <c r="D418" s="195">
        <f>IF(K418="","",INDEX('同相3導体'!$AB:$AB,K418))</f>
        <v/>
      </c>
      <c r="E418" s="195">
        <f>IF(K418="","",INDEX('同相3導体'!$AC:$AC,K418))</f>
        <v/>
      </c>
      <c r="F418" s="195">
        <f>IF(OR(A418="",B418=""),"",100*(D418-B418)/MAX(B418,1E-12))</f>
        <v/>
      </c>
      <c r="G418" s="195">
        <f>IF(OR(A418="",C418=""),"",E418-C418)</f>
        <v/>
      </c>
      <c r="H418" s="195">
        <f>IF(A418="","",LOG10(A418))</f>
        <v/>
      </c>
      <c r="I418" s="195">
        <f>IF(B418="","",LOG10(MAX(B418,1E-12)))</f>
        <v/>
      </c>
      <c r="J418" s="195">
        <f>IF(D418="","",LOG10(MAX(D418,1E-12)))</f>
        <v/>
      </c>
      <c r="K418">
        <f>IF(A418="","",ROUND(1+(LOG10(A418)-LOG10('入力・概要'!$B$38))*('入力・概要'!$B$40-1)/(LOG10('入力・概要'!$B$39)-LOG10('入力・概要'!$B$38)),0)+3)</f>
        <v/>
      </c>
      <c r="L418">
        <f>IF(K418="","",INDEX('同相3導体'!$B:$B,K418))</f>
        <v/>
      </c>
      <c r="M418">
        <f>IF(A418="","",IF(ABS(L418/A418-1)&lt;0.01,"周波数差&lt;1%","周波数差あり"))</f>
        <v/>
      </c>
    </row>
    <row r="419">
      <c r="A419" s="197" t="n"/>
      <c r="B419" s="198" t="n"/>
      <c r="C419" s="198" t="n"/>
      <c r="D419" s="195">
        <f>IF(K419="","",INDEX('同相3導体'!$AB:$AB,K419))</f>
        <v/>
      </c>
      <c r="E419" s="195">
        <f>IF(K419="","",INDEX('同相3導体'!$AC:$AC,K419))</f>
        <v/>
      </c>
      <c r="F419" s="195">
        <f>IF(OR(A419="",B419=""),"",100*(D419-B419)/MAX(B419,1E-12))</f>
        <v/>
      </c>
      <c r="G419" s="195">
        <f>IF(OR(A419="",C419=""),"",E419-C419)</f>
        <v/>
      </c>
      <c r="H419" s="195">
        <f>IF(A419="","",LOG10(A419))</f>
        <v/>
      </c>
      <c r="I419" s="195">
        <f>IF(B419="","",LOG10(MAX(B419,1E-12)))</f>
        <v/>
      </c>
      <c r="J419" s="195">
        <f>IF(D419="","",LOG10(MAX(D419,1E-12)))</f>
        <v/>
      </c>
      <c r="K419">
        <f>IF(A419="","",ROUND(1+(LOG10(A419)-LOG10('入力・概要'!$B$38))*('入力・概要'!$B$40-1)/(LOG10('入力・概要'!$B$39)-LOG10('入力・概要'!$B$38)),0)+3)</f>
        <v/>
      </c>
      <c r="L419">
        <f>IF(K419="","",INDEX('同相3導体'!$B:$B,K419))</f>
        <v/>
      </c>
      <c r="M419">
        <f>IF(A419="","",IF(ABS(L419/A419-1)&lt;0.01,"周波数差&lt;1%","周波数差あり"))</f>
        <v/>
      </c>
    </row>
    <row r="420">
      <c r="A420" s="197" t="n"/>
      <c r="B420" s="198" t="n"/>
      <c r="C420" s="198" t="n"/>
      <c r="D420" s="195">
        <f>IF(K420="","",INDEX('同相3導体'!$AB:$AB,K420))</f>
        <v/>
      </c>
      <c r="E420" s="195">
        <f>IF(K420="","",INDEX('同相3導体'!$AC:$AC,K420))</f>
        <v/>
      </c>
      <c r="F420" s="195">
        <f>IF(OR(A420="",B420=""),"",100*(D420-B420)/MAX(B420,1E-12))</f>
        <v/>
      </c>
      <c r="G420" s="195">
        <f>IF(OR(A420="",C420=""),"",E420-C420)</f>
        <v/>
      </c>
      <c r="H420" s="195">
        <f>IF(A420="","",LOG10(A420))</f>
        <v/>
      </c>
      <c r="I420" s="195">
        <f>IF(B420="","",LOG10(MAX(B420,1E-12)))</f>
        <v/>
      </c>
      <c r="J420" s="195">
        <f>IF(D420="","",LOG10(MAX(D420,1E-12)))</f>
        <v/>
      </c>
      <c r="K420">
        <f>IF(A420="","",ROUND(1+(LOG10(A420)-LOG10('入力・概要'!$B$38))*('入力・概要'!$B$40-1)/(LOG10('入力・概要'!$B$39)-LOG10('入力・概要'!$B$38)),0)+3)</f>
        <v/>
      </c>
      <c r="L420">
        <f>IF(K420="","",INDEX('同相3導体'!$B:$B,K420))</f>
        <v/>
      </c>
      <c r="M420">
        <f>IF(A420="","",IF(ABS(L420/A420-1)&lt;0.01,"周波数差&lt;1%","周波数差あり"))</f>
        <v/>
      </c>
    </row>
    <row r="421">
      <c r="A421" s="197" t="n"/>
      <c r="B421" s="198" t="n"/>
      <c r="C421" s="198" t="n"/>
      <c r="D421" s="195">
        <f>IF(K421="","",INDEX('同相3導体'!$AB:$AB,K421))</f>
        <v/>
      </c>
      <c r="E421" s="195">
        <f>IF(K421="","",INDEX('同相3導体'!$AC:$AC,K421))</f>
        <v/>
      </c>
      <c r="F421" s="195">
        <f>IF(OR(A421="",B421=""),"",100*(D421-B421)/MAX(B421,1E-12))</f>
        <v/>
      </c>
      <c r="G421" s="195">
        <f>IF(OR(A421="",C421=""),"",E421-C421)</f>
        <v/>
      </c>
      <c r="H421" s="195">
        <f>IF(A421="","",LOG10(A421))</f>
        <v/>
      </c>
      <c r="I421" s="195">
        <f>IF(B421="","",LOG10(MAX(B421,1E-12)))</f>
        <v/>
      </c>
      <c r="J421" s="195">
        <f>IF(D421="","",LOG10(MAX(D421,1E-12)))</f>
        <v/>
      </c>
      <c r="K421">
        <f>IF(A421="","",ROUND(1+(LOG10(A421)-LOG10('入力・概要'!$B$38))*('入力・概要'!$B$40-1)/(LOG10('入力・概要'!$B$39)-LOG10('入力・概要'!$B$38)),0)+3)</f>
        <v/>
      </c>
      <c r="L421">
        <f>IF(K421="","",INDEX('同相3導体'!$B:$B,K421))</f>
        <v/>
      </c>
      <c r="M421">
        <f>IF(A421="","",IF(ABS(L421/A421-1)&lt;0.01,"周波数差&lt;1%","周波数差あり"))</f>
        <v/>
      </c>
    </row>
    <row r="422">
      <c r="A422" s="197" t="n"/>
      <c r="B422" s="198" t="n"/>
      <c r="C422" s="198" t="n"/>
      <c r="D422" s="195">
        <f>IF(K422="","",INDEX('同相3導体'!$AB:$AB,K422))</f>
        <v/>
      </c>
      <c r="E422" s="195">
        <f>IF(K422="","",INDEX('同相3導体'!$AC:$AC,K422))</f>
        <v/>
      </c>
      <c r="F422" s="195">
        <f>IF(OR(A422="",B422=""),"",100*(D422-B422)/MAX(B422,1E-12))</f>
        <v/>
      </c>
      <c r="G422" s="195">
        <f>IF(OR(A422="",C422=""),"",E422-C422)</f>
        <v/>
      </c>
      <c r="H422" s="195">
        <f>IF(A422="","",LOG10(A422))</f>
        <v/>
      </c>
      <c r="I422" s="195">
        <f>IF(B422="","",LOG10(MAX(B422,1E-12)))</f>
        <v/>
      </c>
      <c r="J422" s="195">
        <f>IF(D422="","",LOG10(MAX(D422,1E-12)))</f>
        <v/>
      </c>
      <c r="K422">
        <f>IF(A422="","",ROUND(1+(LOG10(A422)-LOG10('入力・概要'!$B$38))*('入力・概要'!$B$40-1)/(LOG10('入力・概要'!$B$39)-LOG10('入力・概要'!$B$38)),0)+3)</f>
        <v/>
      </c>
      <c r="L422">
        <f>IF(K422="","",INDEX('同相3導体'!$B:$B,K422))</f>
        <v/>
      </c>
      <c r="M422">
        <f>IF(A422="","",IF(ABS(L422/A422-1)&lt;0.01,"周波数差&lt;1%","周波数差あり"))</f>
        <v/>
      </c>
    </row>
    <row r="423">
      <c r="A423" s="197" t="n"/>
      <c r="B423" s="198" t="n"/>
      <c r="C423" s="198" t="n"/>
      <c r="D423" s="195">
        <f>IF(K423="","",INDEX('同相3導体'!$AB:$AB,K423))</f>
        <v/>
      </c>
      <c r="E423" s="195">
        <f>IF(K423="","",INDEX('同相3導体'!$AC:$AC,K423))</f>
        <v/>
      </c>
      <c r="F423" s="195">
        <f>IF(OR(A423="",B423=""),"",100*(D423-B423)/MAX(B423,1E-12))</f>
        <v/>
      </c>
      <c r="G423" s="195">
        <f>IF(OR(A423="",C423=""),"",E423-C423)</f>
        <v/>
      </c>
      <c r="H423" s="195">
        <f>IF(A423="","",LOG10(A423))</f>
        <v/>
      </c>
      <c r="I423" s="195">
        <f>IF(B423="","",LOG10(MAX(B423,1E-12)))</f>
        <v/>
      </c>
      <c r="J423" s="195">
        <f>IF(D423="","",LOG10(MAX(D423,1E-12)))</f>
        <v/>
      </c>
      <c r="K423">
        <f>IF(A423="","",ROUND(1+(LOG10(A423)-LOG10('入力・概要'!$B$38))*('入力・概要'!$B$40-1)/(LOG10('入力・概要'!$B$39)-LOG10('入力・概要'!$B$38)),0)+3)</f>
        <v/>
      </c>
      <c r="L423">
        <f>IF(K423="","",INDEX('同相3導体'!$B:$B,K423))</f>
        <v/>
      </c>
      <c r="M423">
        <f>IF(A423="","",IF(ABS(L423/A423-1)&lt;0.01,"周波数差&lt;1%","周波数差あり"))</f>
        <v/>
      </c>
    </row>
    <row r="424">
      <c r="A424" s="197" t="n"/>
      <c r="B424" s="198" t="n"/>
      <c r="C424" s="198" t="n"/>
      <c r="D424" s="195">
        <f>IF(K424="","",INDEX('同相3導体'!$AB:$AB,K424))</f>
        <v/>
      </c>
      <c r="E424" s="195">
        <f>IF(K424="","",INDEX('同相3導体'!$AC:$AC,K424))</f>
        <v/>
      </c>
      <c r="F424" s="195">
        <f>IF(OR(A424="",B424=""),"",100*(D424-B424)/MAX(B424,1E-12))</f>
        <v/>
      </c>
      <c r="G424" s="195">
        <f>IF(OR(A424="",C424=""),"",E424-C424)</f>
        <v/>
      </c>
      <c r="H424" s="195">
        <f>IF(A424="","",LOG10(A424))</f>
        <v/>
      </c>
      <c r="I424" s="195">
        <f>IF(B424="","",LOG10(MAX(B424,1E-12)))</f>
        <v/>
      </c>
      <c r="J424" s="195">
        <f>IF(D424="","",LOG10(MAX(D424,1E-12)))</f>
        <v/>
      </c>
      <c r="K424">
        <f>IF(A424="","",ROUND(1+(LOG10(A424)-LOG10('入力・概要'!$B$38))*('入力・概要'!$B$40-1)/(LOG10('入力・概要'!$B$39)-LOG10('入力・概要'!$B$38)),0)+3)</f>
        <v/>
      </c>
      <c r="L424">
        <f>IF(K424="","",INDEX('同相3導体'!$B:$B,K424))</f>
        <v/>
      </c>
      <c r="M424">
        <f>IF(A424="","",IF(ABS(L424/A424-1)&lt;0.01,"周波数差&lt;1%","周波数差あり"))</f>
        <v/>
      </c>
    </row>
    <row r="425">
      <c r="A425" s="197" t="n"/>
      <c r="B425" s="198" t="n"/>
      <c r="C425" s="198" t="n"/>
      <c r="D425" s="195">
        <f>IF(K425="","",INDEX('同相3導体'!$AB:$AB,K425))</f>
        <v/>
      </c>
      <c r="E425" s="195">
        <f>IF(K425="","",INDEX('同相3導体'!$AC:$AC,K425))</f>
        <v/>
      </c>
      <c r="F425" s="195">
        <f>IF(OR(A425="",B425=""),"",100*(D425-B425)/MAX(B425,1E-12))</f>
        <v/>
      </c>
      <c r="G425" s="195">
        <f>IF(OR(A425="",C425=""),"",E425-C425)</f>
        <v/>
      </c>
      <c r="H425" s="195">
        <f>IF(A425="","",LOG10(A425))</f>
        <v/>
      </c>
      <c r="I425" s="195">
        <f>IF(B425="","",LOG10(MAX(B425,1E-12)))</f>
        <v/>
      </c>
      <c r="J425" s="195">
        <f>IF(D425="","",LOG10(MAX(D425,1E-12)))</f>
        <v/>
      </c>
      <c r="K425">
        <f>IF(A425="","",ROUND(1+(LOG10(A425)-LOG10('入力・概要'!$B$38))*('入力・概要'!$B$40-1)/(LOG10('入力・概要'!$B$39)-LOG10('入力・概要'!$B$38)),0)+3)</f>
        <v/>
      </c>
      <c r="L425">
        <f>IF(K425="","",INDEX('同相3導体'!$B:$B,K425))</f>
        <v/>
      </c>
      <c r="M425">
        <f>IF(A425="","",IF(ABS(L425/A425-1)&lt;0.01,"周波数差&lt;1%","周波数差あり"))</f>
        <v/>
      </c>
    </row>
    <row r="426">
      <c r="A426" s="197" t="n"/>
      <c r="B426" s="198" t="n"/>
      <c r="C426" s="198" t="n"/>
      <c r="D426" s="195">
        <f>IF(K426="","",INDEX('同相3導体'!$AB:$AB,K426))</f>
        <v/>
      </c>
      <c r="E426" s="195">
        <f>IF(K426="","",INDEX('同相3導体'!$AC:$AC,K426))</f>
        <v/>
      </c>
      <c r="F426" s="195">
        <f>IF(OR(A426="",B426=""),"",100*(D426-B426)/MAX(B426,1E-12))</f>
        <v/>
      </c>
      <c r="G426" s="195">
        <f>IF(OR(A426="",C426=""),"",E426-C426)</f>
        <v/>
      </c>
      <c r="H426" s="195">
        <f>IF(A426="","",LOG10(A426))</f>
        <v/>
      </c>
      <c r="I426" s="195">
        <f>IF(B426="","",LOG10(MAX(B426,1E-12)))</f>
        <v/>
      </c>
      <c r="J426" s="195">
        <f>IF(D426="","",LOG10(MAX(D426,1E-12)))</f>
        <v/>
      </c>
      <c r="K426">
        <f>IF(A426="","",ROUND(1+(LOG10(A426)-LOG10('入力・概要'!$B$38))*('入力・概要'!$B$40-1)/(LOG10('入力・概要'!$B$39)-LOG10('入力・概要'!$B$38)),0)+3)</f>
        <v/>
      </c>
      <c r="L426">
        <f>IF(K426="","",INDEX('同相3導体'!$B:$B,K426))</f>
        <v/>
      </c>
      <c r="M426">
        <f>IF(A426="","",IF(ABS(L426/A426-1)&lt;0.01,"周波数差&lt;1%","周波数差あり"))</f>
        <v/>
      </c>
    </row>
    <row r="427">
      <c r="A427" s="197" t="n"/>
      <c r="B427" s="198" t="n"/>
      <c r="C427" s="198" t="n"/>
      <c r="D427" s="195">
        <f>IF(K427="","",INDEX('同相3導体'!$AB:$AB,K427))</f>
        <v/>
      </c>
      <c r="E427" s="195">
        <f>IF(K427="","",INDEX('同相3導体'!$AC:$AC,K427))</f>
        <v/>
      </c>
      <c r="F427" s="195">
        <f>IF(OR(A427="",B427=""),"",100*(D427-B427)/MAX(B427,1E-12))</f>
        <v/>
      </c>
      <c r="G427" s="195">
        <f>IF(OR(A427="",C427=""),"",E427-C427)</f>
        <v/>
      </c>
      <c r="H427" s="195">
        <f>IF(A427="","",LOG10(A427))</f>
        <v/>
      </c>
      <c r="I427" s="195">
        <f>IF(B427="","",LOG10(MAX(B427,1E-12)))</f>
        <v/>
      </c>
      <c r="J427" s="195">
        <f>IF(D427="","",LOG10(MAX(D427,1E-12)))</f>
        <v/>
      </c>
      <c r="K427">
        <f>IF(A427="","",ROUND(1+(LOG10(A427)-LOG10('入力・概要'!$B$38))*('入力・概要'!$B$40-1)/(LOG10('入力・概要'!$B$39)-LOG10('入力・概要'!$B$38)),0)+3)</f>
        <v/>
      </c>
      <c r="L427">
        <f>IF(K427="","",INDEX('同相3導体'!$B:$B,K427))</f>
        <v/>
      </c>
      <c r="M427">
        <f>IF(A427="","",IF(ABS(L427/A427-1)&lt;0.01,"周波数差&lt;1%","周波数差あり"))</f>
        <v/>
      </c>
    </row>
    <row r="428">
      <c r="A428" s="197" t="n"/>
      <c r="B428" s="198" t="n"/>
      <c r="C428" s="198" t="n"/>
      <c r="D428" s="195">
        <f>IF(K428="","",INDEX('同相3導体'!$AB:$AB,K428))</f>
        <v/>
      </c>
      <c r="E428" s="195">
        <f>IF(K428="","",INDEX('同相3導体'!$AC:$AC,K428))</f>
        <v/>
      </c>
      <c r="F428" s="195">
        <f>IF(OR(A428="",B428=""),"",100*(D428-B428)/MAX(B428,1E-12))</f>
        <v/>
      </c>
      <c r="G428" s="195">
        <f>IF(OR(A428="",C428=""),"",E428-C428)</f>
        <v/>
      </c>
      <c r="H428" s="195">
        <f>IF(A428="","",LOG10(A428))</f>
        <v/>
      </c>
      <c r="I428" s="195">
        <f>IF(B428="","",LOG10(MAX(B428,1E-12)))</f>
        <v/>
      </c>
      <c r="J428" s="195">
        <f>IF(D428="","",LOG10(MAX(D428,1E-12)))</f>
        <v/>
      </c>
      <c r="K428">
        <f>IF(A428="","",ROUND(1+(LOG10(A428)-LOG10('入力・概要'!$B$38))*('入力・概要'!$B$40-1)/(LOG10('入力・概要'!$B$39)-LOG10('入力・概要'!$B$38)),0)+3)</f>
        <v/>
      </c>
      <c r="L428">
        <f>IF(K428="","",INDEX('同相3導体'!$B:$B,K428))</f>
        <v/>
      </c>
      <c r="M428">
        <f>IF(A428="","",IF(ABS(L428/A428-1)&lt;0.01,"周波数差&lt;1%","周波数差あり"))</f>
        <v/>
      </c>
    </row>
    <row r="429">
      <c r="A429" s="197" t="n"/>
      <c r="B429" s="198" t="n"/>
      <c r="C429" s="198" t="n"/>
      <c r="D429" s="195">
        <f>IF(K429="","",INDEX('同相3導体'!$AB:$AB,K429))</f>
        <v/>
      </c>
      <c r="E429" s="195">
        <f>IF(K429="","",INDEX('同相3導体'!$AC:$AC,K429))</f>
        <v/>
      </c>
      <c r="F429" s="195">
        <f>IF(OR(A429="",B429=""),"",100*(D429-B429)/MAX(B429,1E-12))</f>
        <v/>
      </c>
      <c r="G429" s="195">
        <f>IF(OR(A429="",C429=""),"",E429-C429)</f>
        <v/>
      </c>
      <c r="H429" s="195">
        <f>IF(A429="","",LOG10(A429))</f>
        <v/>
      </c>
      <c r="I429" s="195">
        <f>IF(B429="","",LOG10(MAX(B429,1E-12)))</f>
        <v/>
      </c>
      <c r="J429" s="195">
        <f>IF(D429="","",LOG10(MAX(D429,1E-12)))</f>
        <v/>
      </c>
      <c r="K429">
        <f>IF(A429="","",ROUND(1+(LOG10(A429)-LOG10('入力・概要'!$B$38))*('入力・概要'!$B$40-1)/(LOG10('入力・概要'!$B$39)-LOG10('入力・概要'!$B$38)),0)+3)</f>
        <v/>
      </c>
      <c r="L429">
        <f>IF(K429="","",INDEX('同相3導体'!$B:$B,K429))</f>
        <v/>
      </c>
      <c r="M429">
        <f>IF(A429="","",IF(ABS(L429/A429-1)&lt;0.01,"周波数差&lt;1%","周波数差あり"))</f>
        <v/>
      </c>
    </row>
    <row r="430">
      <c r="A430" s="197" t="n"/>
      <c r="B430" s="198" t="n"/>
      <c r="C430" s="198" t="n"/>
      <c r="D430" s="195">
        <f>IF(K430="","",INDEX('同相3導体'!$AB:$AB,K430))</f>
        <v/>
      </c>
      <c r="E430" s="195">
        <f>IF(K430="","",INDEX('同相3導体'!$AC:$AC,K430))</f>
        <v/>
      </c>
      <c r="F430" s="195">
        <f>IF(OR(A430="",B430=""),"",100*(D430-B430)/MAX(B430,1E-12))</f>
        <v/>
      </c>
      <c r="G430" s="195">
        <f>IF(OR(A430="",C430=""),"",E430-C430)</f>
        <v/>
      </c>
      <c r="H430" s="195">
        <f>IF(A430="","",LOG10(A430))</f>
        <v/>
      </c>
      <c r="I430" s="195">
        <f>IF(B430="","",LOG10(MAX(B430,1E-12)))</f>
        <v/>
      </c>
      <c r="J430" s="195">
        <f>IF(D430="","",LOG10(MAX(D430,1E-12)))</f>
        <v/>
      </c>
      <c r="K430">
        <f>IF(A430="","",ROUND(1+(LOG10(A430)-LOG10('入力・概要'!$B$38))*('入力・概要'!$B$40-1)/(LOG10('入力・概要'!$B$39)-LOG10('入力・概要'!$B$38)),0)+3)</f>
        <v/>
      </c>
      <c r="L430">
        <f>IF(K430="","",INDEX('同相3導体'!$B:$B,K430))</f>
        <v/>
      </c>
      <c r="M430">
        <f>IF(A430="","",IF(ABS(L430/A430-1)&lt;0.01,"周波数差&lt;1%","周波数差あり"))</f>
        <v/>
      </c>
    </row>
    <row r="431">
      <c r="A431" s="197" t="n"/>
      <c r="B431" s="198" t="n"/>
      <c r="C431" s="198" t="n"/>
      <c r="D431" s="195">
        <f>IF(K431="","",INDEX('同相3導体'!$AB:$AB,K431))</f>
        <v/>
      </c>
      <c r="E431" s="195">
        <f>IF(K431="","",INDEX('同相3導体'!$AC:$AC,K431))</f>
        <v/>
      </c>
      <c r="F431" s="195">
        <f>IF(OR(A431="",B431=""),"",100*(D431-B431)/MAX(B431,1E-12))</f>
        <v/>
      </c>
      <c r="G431" s="195">
        <f>IF(OR(A431="",C431=""),"",E431-C431)</f>
        <v/>
      </c>
      <c r="H431" s="195">
        <f>IF(A431="","",LOG10(A431))</f>
        <v/>
      </c>
      <c r="I431" s="195">
        <f>IF(B431="","",LOG10(MAX(B431,1E-12)))</f>
        <v/>
      </c>
      <c r="J431" s="195">
        <f>IF(D431="","",LOG10(MAX(D431,1E-12)))</f>
        <v/>
      </c>
      <c r="K431">
        <f>IF(A431="","",ROUND(1+(LOG10(A431)-LOG10('入力・概要'!$B$38))*('入力・概要'!$B$40-1)/(LOG10('入力・概要'!$B$39)-LOG10('入力・概要'!$B$38)),0)+3)</f>
        <v/>
      </c>
      <c r="L431">
        <f>IF(K431="","",INDEX('同相3導体'!$B:$B,K431))</f>
        <v/>
      </c>
      <c r="M431">
        <f>IF(A431="","",IF(ABS(L431/A431-1)&lt;0.01,"周波数差&lt;1%","周波数差あり"))</f>
        <v/>
      </c>
    </row>
    <row r="432">
      <c r="A432" s="197" t="n"/>
      <c r="B432" s="198" t="n"/>
      <c r="C432" s="198" t="n"/>
      <c r="D432" s="195">
        <f>IF(K432="","",INDEX('同相3導体'!$AB:$AB,K432))</f>
        <v/>
      </c>
      <c r="E432" s="195">
        <f>IF(K432="","",INDEX('同相3導体'!$AC:$AC,K432))</f>
        <v/>
      </c>
      <c r="F432" s="195">
        <f>IF(OR(A432="",B432=""),"",100*(D432-B432)/MAX(B432,1E-12))</f>
        <v/>
      </c>
      <c r="G432" s="195">
        <f>IF(OR(A432="",C432=""),"",E432-C432)</f>
        <v/>
      </c>
      <c r="H432" s="195">
        <f>IF(A432="","",LOG10(A432))</f>
        <v/>
      </c>
      <c r="I432" s="195">
        <f>IF(B432="","",LOG10(MAX(B432,1E-12)))</f>
        <v/>
      </c>
      <c r="J432" s="195">
        <f>IF(D432="","",LOG10(MAX(D432,1E-12)))</f>
        <v/>
      </c>
      <c r="K432">
        <f>IF(A432="","",ROUND(1+(LOG10(A432)-LOG10('入力・概要'!$B$38))*('入力・概要'!$B$40-1)/(LOG10('入力・概要'!$B$39)-LOG10('入力・概要'!$B$38)),0)+3)</f>
        <v/>
      </c>
      <c r="L432">
        <f>IF(K432="","",INDEX('同相3導体'!$B:$B,K432))</f>
        <v/>
      </c>
      <c r="M432">
        <f>IF(A432="","",IF(ABS(L432/A432-1)&lt;0.01,"周波数差&lt;1%","周波数差あり"))</f>
        <v/>
      </c>
    </row>
    <row r="433">
      <c r="A433" s="197" t="n"/>
      <c r="B433" s="198" t="n"/>
      <c r="C433" s="198" t="n"/>
      <c r="D433" s="195">
        <f>IF(K433="","",INDEX('同相3導体'!$AB:$AB,K433))</f>
        <v/>
      </c>
      <c r="E433" s="195">
        <f>IF(K433="","",INDEX('同相3導体'!$AC:$AC,K433))</f>
        <v/>
      </c>
      <c r="F433" s="195">
        <f>IF(OR(A433="",B433=""),"",100*(D433-B433)/MAX(B433,1E-12))</f>
        <v/>
      </c>
      <c r="G433" s="195">
        <f>IF(OR(A433="",C433=""),"",E433-C433)</f>
        <v/>
      </c>
      <c r="H433" s="195">
        <f>IF(A433="","",LOG10(A433))</f>
        <v/>
      </c>
      <c r="I433" s="195">
        <f>IF(B433="","",LOG10(MAX(B433,1E-12)))</f>
        <v/>
      </c>
      <c r="J433" s="195">
        <f>IF(D433="","",LOG10(MAX(D433,1E-12)))</f>
        <v/>
      </c>
      <c r="K433">
        <f>IF(A433="","",ROUND(1+(LOG10(A433)-LOG10('入力・概要'!$B$38))*('入力・概要'!$B$40-1)/(LOG10('入力・概要'!$B$39)-LOG10('入力・概要'!$B$38)),0)+3)</f>
        <v/>
      </c>
      <c r="L433">
        <f>IF(K433="","",INDEX('同相3導体'!$B:$B,K433))</f>
        <v/>
      </c>
      <c r="M433">
        <f>IF(A433="","",IF(ABS(L433/A433-1)&lt;0.01,"周波数差&lt;1%","周波数差あり"))</f>
        <v/>
      </c>
    </row>
    <row r="434">
      <c r="A434" s="197" t="n"/>
      <c r="B434" s="198" t="n"/>
      <c r="C434" s="198" t="n"/>
      <c r="D434" s="195">
        <f>IF(K434="","",INDEX('同相3導体'!$AB:$AB,K434))</f>
        <v/>
      </c>
      <c r="E434" s="195">
        <f>IF(K434="","",INDEX('同相3導体'!$AC:$AC,K434))</f>
        <v/>
      </c>
      <c r="F434" s="195">
        <f>IF(OR(A434="",B434=""),"",100*(D434-B434)/MAX(B434,1E-12))</f>
        <v/>
      </c>
      <c r="G434" s="195">
        <f>IF(OR(A434="",C434=""),"",E434-C434)</f>
        <v/>
      </c>
      <c r="H434" s="195">
        <f>IF(A434="","",LOG10(A434))</f>
        <v/>
      </c>
      <c r="I434" s="195">
        <f>IF(B434="","",LOG10(MAX(B434,1E-12)))</f>
        <v/>
      </c>
      <c r="J434" s="195">
        <f>IF(D434="","",LOG10(MAX(D434,1E-12)))</f>
        <v/>
      </c>
      <c r="K434">
        <f>IF(A434="","",ROUND(1+(LOG10(A434)-LOG10('入力・概要'!$B$38))*('入力・概要'!$B$40-1)/(LOG10('入力・概要'!$B$39)-LOG10('入力・概要'!$B$38)),0)+3)</f>
        <v/>
      </c>
      <c r="L434">
        <f>IF(K434="","",INDEX('同相3導体'!$B:$B,K434))</f>
        <v/>
      </c>
      <c r="M434">
        <f>IF(A434="","",IF(ABS(L434/A434-1)&lt;0.01,"周波数差&lt;1%","周波数差あり"))</f>
        <v/>
      </c>
    </row>
    <row r="435">
      <c r="A435" s="197" t="n"/>
      <c r="B435" s="198" t="n"/>
      <c r="C435" s="198" t="n"/>
      <c r="D435" s="195">
        <f>IF(K435="","",INDEX('同相3導体'!$AB:$AB,K435))</f>
        <v/>
      </c>
      <c r="E435" s="195">
        <f>IF(K435="","",INDEX('同相3導体'!$AC:$AC,K435))</f>
        <v/>
      </c>
      <c r="F435" s="195">
        <f>IF(OR(A435="",B435=""),"",100*(D435-B435)/MAX(B435,1E-12))</f>
        <v/>
      </c>
      <c r="G435" s="195">
        <f>IF(OR(A435="",C435=""),"",E435-C435)</f>
        <v/>
      </c>
      <c r="H435" s="195">
        <f>IF(A435="","",LOG10(A435))</f>
        <v/>
      </c>
      <c r="I435" s="195">
        <f>IF(B435="","",LOG10(MAX(B435,1E-12)))</f>
        <v/>
      </c>
      <c r="J435" s="195">
        <f>IF(D435="","",LOG10(MAX(D435,1E-12)))</f>
        <v/>
      </c>
      <c r="K435">
        <f>IF(A435="","",ROUND(1+(LOG10(A435)-LOG10('入力・概要'!$B$38))*('入力・概要'!$B$40-1)/(LOG10('入力・概要'!$B$39)-LOG10('入力・概要'!$B$38)),0)+3)</f>
        <v/>
      </c>
      <c r="L435">
        <f>IF(K435="","",INDEX('同相3導体'!$B:$B,K435))</f>
        <v/>
      </c>
      <c r="M435">
        <f>IF(A435="","",IF(ABS(L435/A435-1)&lt;0.01,"周波数差&lt;1%","周波数差あり"))</f>
        <v/>
      </c>
    </row>
    <row r="436">
      <c r="A436" s="197" t="n"/>
      <c r="B436" s="198" t="n"/>
      <c r="C436" s="198" t="n"/>
      <c r="D436" s="195">
        <f>IF(K436="","",INDEX('同相3導体'!$AB:$AB,K436))</f>
        <v/>
      </c>
      <c r="E436" s="195">
        <f>IF(K436="","",INDEX('同相3導体'!$AC:$AC,K436))</f>
        <v/>
      </c>
      <c r="F436" s="195">
        <f>IF(OR(A436="",B436=""),"",100*(D436-B436)/MAX(B436,1E-12))</f>
        <v/>
      </c>
      <c r="G436" s="195">
        <f>IF(OR(A436="",C436=""),"",E436-C436)</f>
        <v/>
      </c>
      <c r="H436" s="195">
        <f>IF(A436="","",LOG10(A436))</f>
        <v/>
      </c>
      <c r="I436" s="195">
        <f>IF(B436="","",LOG10(MAX(B436,1E-12)))</f>
        <v/>
      </c>
      <c r="J436" s="195">
        <f>IF(D436="","",LOG10(MAX(D436,1E-12)))</f>
        <v/>
      </c>
      <c r="K436">
        <f>IF(A436="","",ROUND(1+(LOG10(A436)-LOG10('入力・概要'!$B$38))*('入力・概要'!$B$40-1)/(LOG10('入力・概要'!$B$39)-LOG10('入力・概要'!$B$38)),0)+3)</f>
        <v/>
      </c>
      <c r="L436">
        <f>IF(K436="","",INDEX('同相3導体'!$B:$B,K436))</f>
        <v/>
      </c>
      <c r="M436">
        <f>IF(A436="","",IF(ABS(L436/A436-1)&lt;0.01,"周波数差&lt;1%","周波数差あり"))</f>
        <v/>
      </c>
    </row>
    <row r="437">
      <c r="A437" s="197" t="n"/>
      <c r="B437" s="198" t="n"/>
      <c r="C437" s="198" t="n"/>
      <c r="D437" s="195">
        <f>IF(K437="","",INDEX('同相3導体'!$AB:$AB,K437))</f>
        <v/>
      </c>
      <c r="E437" s="195">
        <f>IF(K437="","",INDEX('同相3導体'!$AC:$AC,K437))</f>
        <v/>
      </c>
      <c r="F437" s="195">
        <f>IF(OR(A437="",B437=""),"",100*(D437-B437)/MAX(B437,1E-12))</f>
        <v/>
      </c>
      <c r="G437" s="195">
        <f>IF(OR(A437="",C437=""),"",E437-C437)</f>
        <v/>
      </c>
      <c r="H437" s="195">
        <f>IF(A437="","",LOG10(A437))</f>
        <v/>
      </c>
      <c r="I437" s="195">
        <f>IF(B437="","",LOG10(MAX(B437,1E-12)))</f>
        <v/>
      </c>
      <c r="J437" s="195">
        <f>IF(D437="","",LOG10(MAX(D437,1E-12)))</f>
        <v/>
      </c>
      <c r="K437">
        <f>IF(A437="","",ROUND(1+(LOG10(A437)-LOG10('入力・概要'!$B$38))*('入力・概要'!$B$40-1)/(LOG10('入力・概要'!$B$39)-LOG10('入力・概要'!$B$38)),0)+3)</f>
        <v/>
      </c>
      <c r="L437">
        <f>IF(K437="","",INDEX('同相3導体'!$B:$B,K437))</f>
        <v/>
      </c>
      <c r="M437">
        <f>IF(A437="","",IF(ABS(L437/A437-1)&lt;0.01,"周波数差&lt;1%","周波数差あり"))</f>
        <v/>
      </c>
    </row>
    <row r="438">
      <c r="A438" s="197" t="n"/>
      <c r="B438" s="198" t="n"/>
      <c r="C438" s="198" t="n"/>
      <c r="D438" s="195">
        <f>IF(K438="","",INDEX('同相3導体'!$AB:$AB,K438))</f>
        <v/>
      </c>
      <c r="E438" s="195">
        <f>IF(K438="","",INDEX('同相3導体'!$AC:$AC,K438))</f>
        <v/>
      </c>
      <c r="F438" s="195">
        <f>IF(OR(A438="",B438=""),"",100*(D438-B438)/MAX(B438,1E-12))</f>
        <v/>
      </c>
      <c r="G438" s="195">
        <f>IF(OR(A438="",C438=""),"",E438-C438)</f>
        <v/>
      </c>
      <c r="H438" s="195">
        <f>IF(A438="","",LOG10(A438))</f>
        <v/>
      </c>
      <c r="I438" s="195">
        <f>IF(B438="","",LOG10(MAX(B438,1E-12)))</f>
        <v/>
      </c>
      <c r="J438" s="195">
        <f>IF(D438="","",LOG10(MAX(D438,1E-12)))</f>
        <v/>
      </c>
      <c r="K438">
        <f>IF(A438="","",ROUND(1+(LOG10(A438)-LOG10('入力・概要'!$B$38))*('入力・概要'!$B$40-1)/(LOG10('入力・概要'!$B$39)-LOG10('入力・概要'!$B$38)),0)+3)</f>
        <v/>
      </c>
      <c r="L438">
        <f>IF(K438="","",INDEX('同相3導体'!$B:$B,K438))</f>
        <v/>
      </c>
      <c r="M438">
        <f>IF(A438="","",IF(ABS(L438/A438-1)&lt;0.01,"周波数差&lt;1%","周波数差あり"))</f>
        <v/>
      </c>
    </row>
    <row r="439">
      <c r="A439" s="197" t="n"/>
      <c r="B439" s="198" t="n"/>
      <c r="C439" s="198" t="n"/>
      <c r="D439" s="195">
        <f>IF(K439="","",INDEX('同相3導体'!$AB:$AB,K439))</f>
        <v/>
      </c>
      <c r="E439" s="195">
        <f>IF(K439="","",INDEX('同相3導体'!$AC:$AC,K439))</f>
        <v/>
      </c>
      <c r="F439" s="195">
        <f>IF(OR(A439="",B439=""),"",100*(D439-B439)/MAX(B439,1E-12))</f>
        <v/>
      </c>
      <c r="G439" s="195">
        <f>IF(OR(A439="",C439=""),"",E439-C439)</f>
        <v/>
      </c>
      <c r="H439" s="195">
        <f>IF(A439="","",LOG10(A439))</f>
        <v/>
      </c>
      <c r="I439" s="195">
        <f>IF(B439="","",LOG10(MAX(B439,1E-12)))</f>
        <v/>
      </c>
      <c r="J439" s="195">
        <f>IF(D439="","",LOG10(MAX(D439,1E-12)))</f>
        <v/>
      </c>
      <c r="K439">
        <f>IF(A439="","",ROUND(1+(LOG10(A439)-LOG10('入力・概要'!$B$38))*('入力・概要'!$B$40-1)/(LOG10('入力・概要'!$B$39)-LOG10('入力・概要'!$B$38)),0)+3)</f>
        <v/>
      </c>
      <c r="L439">
        <f>IF(K439="","",INDEX('同相3導体'!$B:$B,K439))</f>
        <v/>
      </c>
      <c r="M439">
        <f>IF(A439="","",IF(ABS(L439/A439-1)&lt;0.01,"周波数差&lt;1%","周波数差あり"))</f>
        <v/>
      </c>
    </row>
    <row r="440">
      <c r="A440" s="197" t="n"/>
      <c r="B440" s="198" t="n"/>
      <c r="C440" s="198" t="n"/>
      <c r="D440" s="195">
        <f>IF(K440="","",INDEX('同相3導体'!$AB:$AB,K440))</f>
        <v/>
      </c>
      <c r="E440" s="195">
        <f>IF(K440="","",INDEX('同相3導体'!$AC:$AC,K440))</f>
        <v/>
      </c>
      <c r="F440" s="195">
        <f>IF(OR(A440="",B440=""),"",100*(D440-B440)/MAX(B440,1E-12))</f>
        <v/>
      </c>
      <c r="G440" s="195">
        <f>IF(OR(A440="",C440=""),"",E440-C440)</f>
        <v/>
      </c>
      <c r="H440" s="195">
        <f>IF(A440="","",LOG10(A440))</f>
        <v/>
      </c>
      <c r="I440" s="195">
        <f>IF(B440="","",LOG10(MAX(B440,1E-12)))</f>
        <v/>
      </c>
      <c r="J440" s="195">
        <f>IF(D440="","",LOG10(MAX(D440,1E-12)))</f>
        <v/>
      </c>
      <c r="K440">
        <f>IF(A440="","",ROUND(1+(LOG10(A440)-LOG10('入力・概要'!$B$38))*('入力・概要'!$B$40-1)/(LOG10('入力・概要'!$B$39)-LOG10('入力・概要'!$B$38)),0)+3)</f>
        <v/>
      </c>
      <c r="L440">
        <f>IF(K440="","",INDEX('同相3導体'!$B:$B,K440))</f>
        <v/>
      </c>
      <c r="M440">
        <f>IF(A440="","",IF(ABS(L440/A440-1)&lt;0.01,"周波数差&lt;1%","周波数差あり"))</f>
        <v/>
      </c>
    </row>
    <row r="441">
      <c r="A441" s="197" t="n"/>
      <c r="B441" s="198" t="n"/>
      <c r="C441" s="198" t="n"/>
      <c r="D441" s="195">
        <f>IF(K441="","",INDEX('同相3導体'!$AB:$AB,K441))</f>
        <v/>
      </c>
      <c r="E441" s="195">
        <f>IF(K441="","",INDEX('同相3導体'!$AC:$AC,K441))</f>
        <v/>
      </c>
      <c r="F441" s="195">
        <f>IF(OR(A441="",B441=""),"",100*(D441-B441)/MAX(B441,1E-12))</f>
        <v/>
      </c>
      <c r="G441" s="195">
        <f>IF(OR(A441="",C441=""),"",E441-C441)</f>
        <v/>
      </c>
      <c r="H441" s="195">
        <f>IF(A441="","",LOG10(A441))</f>
        <v/>
      </c>
      <c r="I441" s="195">
        <f>IF(B441="","",LOG10(MAX(B441,1E-12)))</f>
        <v/>
      </c>
      <c r="J441" s="195">
        <f>IF(D441="","",LOG10(MAX(D441,1E-12)))</f>
        <v/>
      </c>
      <c r="K441">
        <f>IF(A441="","",ROUND(1+(LOG10(A441)-LOG10('入力・概要'!$B$38))*('入力・概要'!$B$40-1)/(LOG10('入力・概要'!$B$39)-LOG10('入力・概要'!$B$38)),0)+3)</f>
        <v/>
      </c>
      <c r="L441">
        <f>IF(K441="","",INDEX('同相3導体'!$B:$B,K441))</f>
        <v/>
      </c>
      <c r="M441">
        <f>IF(A441="","",IF(ABS(L441/A441-1)&lt;0.01,"周波数差&lt;1%","周波数差あり"))</f>
        <v/>
      </c>
    </row>
    <row r="442">
      <c r="A442" s="197" t="n"/>
      <c r="B442" s="198" t="n"/>
      <c r="C442" s="198" t="n"/>
      <c r="D442" s="195">
        <f>IF(K442="","",INDEX('同相3導体'!$AB:$AB,K442))</f>
        <v/>
      </c>
      <c r="E442" s="195">
        <f>IF(K442="","",INDEX('同相3導体'!$AC:$AC,K442))</f>
        <v/>
      </c>
      <c r="F442" s="195">
        <f>IF(OR(A442="",B442=""),"",100*(D442-B442)/MAX(B442,1E-12))</f>
        <v/>
      </c>
      <c r="G442" s="195">
        <f>IF(OR(A442="",C442=""),"",E442-C442)</f>
        <v/>
      </c>
      <c r="H442" s="195">
        <f>IF(A442="","",LOG10(A442))</f>
        <v/>
      </c>
      <c r="I442" s="195">
        <f>IF(B442="","",LOG10(MAX(B442,1E-12)))</f>
        <v/>
      </c>
      <c r="J442" s="195">
        <f>IF(D442="","",LOG10(MAX(D442,1E-12)))</f>
        <v/>
      </c>
      <c r="K442">
        <f>IF(A442="","",ROUND(1+(LOG10(A442)-LOG10('入力・概要'!$B$38))*('入力・概要'!$B$40-1)/(LOG10('入力・概要'!$B$39)-LOG10('入力・概要'!$B$38)),0)+3)</f>
        <v/>
      </c>
      <c r="L442">
        <f>IF(K442="","",INDEX('同相3導体'!$B:$B,K442))</f>
        <v/>
      </c>
      <c r="M442">
        <f>IF(A442="","",IF(ABS(L442/A442-1)&lt;0.01,"周波数差&lt;1%","周波数差あり"))</f>
        <v/>
      </c>
    </row>
    <row r="443">
      <c r="A443" s="197" t="n"/>
      <c r="B443" s="198" t="n"/>
      <c r="C443" s="198" t="n"/>
      <c r="D443" s="195">
        <f>IF(K443="","",INDEX('同相3導体'!$AB:$AB,K443))</f>
        <v/>
      </c>
      <c r="E443" s="195">
        <f>IF(K443="","",INDEX('同相3導体'!$AC:$AC,K443))</f>
        <v/>
      </c>
      <c r="F443" s="195">
        <f>IF(OR(A443="",B443=""),"",100*(D443-B443)/MAX(B443,1E-12))</f>
        <v/>
      </c>
      <c r="G443" s="195">
        <f>IF(OR(A443="",C443=""),"",E443-C443)</f>
        <v/>
      </c>
      <c r="H443" s="195">
        <f>IF(A443="","",LOG10(A443))</f>
        <v/>
      </c>
      <c r="I443" s="195">
        <f>IF(B443="","",LOG10(MAX(B443,1E-12)))</f>
        <v/>
      </c>
      <c r="J443" s="195">
        <f>IF(D443="","",LOG10(MAX(D443,1E-12)))</f>
        <v/>
      </c>
      <c r="K443">
        <f>IF(A443="","",ROUND(1+(LOG10(A443)-LOG10('入力・概要'!$B$38))*('入力・概要'!$B$40-1)/(LOG10('入力・概要'!$B$39)-LOG10('入力・概要'!$B$38)),0)+3)</f>
        <v/>
      </c>
      <c r="L443">
        <f>IF(K443="","",INDEX('同相3導体'!$B:$B,K443))</f>
        <v/>
      </c>
      <c r="M443">
        <f>IF(A443="","",IF(ABS(L443/A443-1)&lt;0.01,"周波数差&lt;1%","周波数差あり"))</f>
        <v/>
      </c>
    </row>
    <row r="444">
      <c r="A444" s="197" t="n"/>
      <c r="B444" s="198" t="n"/>
      <c r="C444" s="198" t="n"/>
      <c r="D444" s="195">
        <f>IF(K444="","",INDEX('同相3導体'!$AB:$AB,K444))</f>
        <v/>
      </c>
      <c r="E444" s="195">
        <f>IF(K444="","",INDEX('同相3導体'!$AC:$AC,K444))</f>
        <v/>
      </c>
      <c r="F444" s="195">
        <f>IF(OR(A444="",B444=""),"",100*(D444-B444)/MAX(B444,1E-12))</f>
        <v/>
      </c>
      <c r="G444" s="195">
        <f>IF(OR(A444="",C444=""),"",E444-C444)</f>
        <v/>
      </c>
      <c r="H444" s="195">
        <f>IF(A444="","",LOG10(A444))</f>
        <v/>
      </c>
      <c r="I444" s="195">
        <f>IF(B444="","",LOG10(MAX(B444,1E-12)))</f>
        <v/>
      </c>
      <c r="J444" s="195">
        <f>IF(D444="","",LOG10(MAX(D444,1E-12)))</f>
        <v/>
      </c>
      <c r="K444">
        <f>IF(A444="","",ROUND(1+(LOG10(A444)-LOG10('入力・概要'!$B$38))*('入力・概要'!$B$40-1)/(LOG10('入力・概要'!$B$39)-LOG10('入力・概要'!$B$38)),0)+3)</f>
        <v/>
      </c>
      <c r="L444">
        <f>IF(K444="","",INDEX('同相3導体'!$B:$B,K444))</f>
        <v/>
      </c>
      <c r="M444">
        <f>IF(A444="","",IF(ABS(L444/A444-1)&lt;0.01,"周波数差&lt;1%","周波数差あり"))</f>
        <v/>
      </c>
    </row>
    <row r="445">
      <c r="A445" s="197" t="n"/>
      <c r="B445" s="198" t="n"/>
      <c r="C445" s="198" t="n"/>
      <c r="D445" s="195">
        <f>IF(K445="","",INDEX('同相3導体'!$AB:$AB,K445))</f>
        <v/>
      </c>
      <c r="E445" s="195">
        <f>IF(K445="","",INDEX('同相3導体'!$AC:$AC,K445))</f>
        <v/>
      </c>
      <c r="F445" s="195">
        <f>IF(OR(A445="",B445=""),"",100*(D445-B445)/MAX(B445,1E-12))</f>
        <v/>
      </c>
      <c r="G445" s="195">
        <f>IF(OR(A445="",C445=""),"",E445-C445)</f>
        <v/>
      </c>
      <c r="H445" s="195">
        <f>IF(A445="","",LOG10(A445))</f>
        <v/>
      </c>
      <c r="I445" s="195">
        <f>IF(B445="","",LOG10(MAX(B445,1E-12)))</f>
        <v/>
      </c>
      <c r="J445" s="195">
        <f>IF(D445="","",LOG10(MAX(D445,1E-12)))</f>
        <v/>
      </c>
      <c r="K445">
        <f>IF(A445="","",ROUND(1+(LOG10(A445)-LOG10('入力・概要'!$B$38))*('入力・概要'!$B$40-1)/(LOG10('入力・概要'!$B$39)-LOG10('入力・概要'!$B$38)),0)+3)</f>
        <v/>
      </c>
      <c r="L445">
        <f>IF(K445="","",INDEX('同相3導体'!$B:$B,K445))</f>
        <v/>
      </c>
      <c r="M445">
        <f>IF(A445="","",IF(ABS(L445/A445-1)&lt;0.01,"周波数差&lt;1%","周波数差あり"))</f>
        <v/>
      </c>
    </row>
    <row r="446">
      <c r="A446" s="197" t="n"/>
      <c r="B446" s="198" t="n"/>
      <c r="C446" s="198" t="n"/>
      <c r="D446" s="195">
        <f>IF(K446="","",INDEX('同相3導体'!$AB:$AB,K446))</f>
        <v/>
      </c>
      <c r="E446" s="195">
        <f>IF(K446="","",INDEX('同相3導体'!$AC:$AC,K446))</f>
        <v/>
      </c>
      <c r="F446" s="195">
        <f>IF(OR(A446="",B446=""),"",100*(D446-B446)/MAX(B446,1E-12))</f>
        <v/>
      </c>
      <c r="G446" s="195">
        <f>IF(OR(A446="",C446=""),"",E446-C446)</f>
        <v/>
      </c>
      <c r="H446" s="195">
        <f>IF(A446="","",LOG10(A446))</f>
        <v/>
      </c>
      <c r="I446" s="195">
        <f>IF(B446="","",LOG10(MAX(B446,1E-12)))</f>
        <v/>
      </c>
      <c r="J446" s="195">
        <f>IF(D446="","",LOG10(MAX(D446,1E-12)))</f>
        <v/>
      </c>
      <c r="K446">
        <f>IF(A446="","",ROUND(1+(LOG10(A446)-LOG10('入力・概要'!$B$38))*('入力・概要'!$B$40-1)/(LOG10('入力・概要'!$B$39)-LOG10('入力・概要'!$B$38)),0)+3)</f>
        <v/>
      </c>
      <c r="L446">
        <f>IF(K446="","",INDEX('同相3導体'!$B:$B,K446))</f>
        <v/>
      </c>
      <c r="M446">
        <f>IF(A446="","",IF(ABS(L446/A446-1)&lt;0.01,"周波数差&lt;1%","周波数差あり"))</f>
        <v/>
      </c>
    </row>
    <row r="447">
      <c r="A447" s="197" t="n"/>
      <c r="B447" s="198" t="n"/>
      <c r="C447" s="198" t="n"/>
      <c r="D447" s="195">
        <f>IF(K447="","",INDEX('同相3導体'!$AB:$AB,K447))</f>
        <v/>
      </c>
      <c r="E447" s="195">
        <f>IF(K447="","",INDEX('同相3導体'!$AC:$AC,K447))</f>
        <v/>
      </c>
      <c r="F447" s="195">
        <f>IF(OR(A447="",B447=""),"",100*(D447-B447)/MAX(B447,1E-12))</f>
        <v/>
      </c>
      <c r="G447" s="195">
        <f>IF(OR(A447="",C447=""),"",E447-C447)</f>
        <v/>
      </c>
      <c r="H447" s="195">
        <f>IF(A447="","",LOG10(A447))</f>
        <v/>
      </c>
      <c r="I447" s="195">
        <f>IF(B447="","",LOG10(MAX(B447,1E-12)))</f>
        <v/>
      </c>
      <c r="J447" s="195">
        <f>IF(D447="","",LOG10(MAX(D447,1E-12)))</f>
        <v/>
      </c>
      <c r="K447">
        <f>IF(A447="","",ROUND(1+(LOG10(A447)-LOG10('入力・概要'!$B$38))*('入力・概要'!$B$40-1)/(LOG10('入力・概要'!$B$39)-LOG10('入力・概要'!$B$38)),0)+3)</f>
        <v/>
      </c>
      <c r="L447">
        <f>IF(K447="","",INDEX('同相3導体'!$B:$B,K447))</f>
        <v/>
      </c>
      <c r="M447">
        <f>IF(A447="","",IF(ABS(L447/A447-1)&lt;0.01,"周波数差&lt;1%","周波数差あり"))</f>
        <v/>
      </c>
    </row>
    <row r="448">
      <c r="A448" s="197" t="n"/>
      <c r="B448" s="198" t="n"/>
      <c r="C448" s="198" t="n"/>
      <c r="D448" s="195">
        <f>IF(K448="","",INDEX('同相3導体'!$AB:$AB,K448))</f>
        <v/>
      </c>
      <c r="E448" s="195">
        <f>IF(K448="","",INDEX('同相3導体'!$AC:$AC,K448))</f>
        <v/>
      </c>
      <c r="F448" s="195">
        <f>IF(OR(A448="",B448=""),"",100*(D448-B448)/MAX(B448,1E-12))</f>
        <v/>
      </c>
      <c r="G448" s="195">
        <f>IF(OR(A448="",C448=""),"",E448-C448)</f>
        <v/>
      </c>
      <c r="H448" s="195">
        <f>IF(A448="","",LOG10(A448))</f>
        <v/>
      </c>
      <c r="I448" s="195">
        <f>IF(B448="","",LOG10(MAX(B448,1E-12)))</f>
        <v/>
      </c>
      <c r="J448" s="195">
        <f>IF(D448="","",LOG10(MAX(D448,1E-12)))</f>
        <v/>
      </c>
      <c r="K448">
        <f>IF(A448="","",ROUND(1+(LOG10(A448)-LOG10('入力・概要'!$B$38))*('入力・概要'!$B$40-1)/(LOG10('入力・概要'!$B$39)-LOG10('入力・概要'!$B$38)),0)+3)</f>
        <v/>
      </c>
      <c r="L448">
        <f>IF(K448="","",INDEX('同相3導体'!$B:$B,K448))</f>
        <v/>
      </c>
      <c r="M448">
        <f>IF(A448="","",IF(ABS(L448/A448-1)&lt;0.01,"周波数差&lt;1%","周波数差あり"))</f>
        <v/>
      </c>
    </row>
    <row r="449">
      <c r="A449" s="197" t="n"/>
      <c r="B449" s="198" t="n"/>
      <c r="C449" s="198" t="n"/>
      <c r="D449" s="195">
        <f>IF(K449="","",INDEX('同相3導体'!$AB:$AB,K449))</f>
        <v/>
      </c>
      <c r="E449" s="195">
        <f>IF(K449="","",INDEX('同相3導体'!$AC:$AC,K449))</f>
        <v/>
      </c>
      <c r="F449" s="195">
        <f>IF(OR(A449="",B449=""),"",100*(D449-B449)/MAX(B449,1E-12))</f>
        <v/>
      </c>
      <c r="G449" s="195">
        <f>IF(OR(A449="",C449=""),"",E449-C449)</f>
        <v/>
      </c>
      <c r="H449" s="195">
        <f>IF(A449="","",LOG10(A449))</f>
        <v/>
      </c>
      <c r="I449" s="195">
        <f>IF(B449="","",LOG10(MAX(B449,1E-12)))</f>
        <v/>
      </c>
      <c r="J449" s="195">
        <f>IF(D449="","",LOG10(MAX(D449,1E-12)))</f>
        <v/>
      </c>
      <c r="K449">
        <f>IF(A449="","",ROUND(1+(LOG10(A449)-LOG10('入力・概要'!$B$38))*('入力・概要'!$B$40-1)/(LOG10('入力・概要'!$B$39)-LOG10('入力・概要'!$B$38)),0)+3)</f>
        <v/>
      </c>
      <c r="L449">
        <f>IF(K449="","",INDEX('同相3導体'!$B:$B,K449))</f>
        <v/>
      </c>
      <c r="M449">
        <f>IF(A449="","",IF(ABS(L449/A449-1)&lt;0.01,"周波数差&lt;1%","周波数差あり"))</f>
        <v/>
      </c>
    </row>
    <row r="450">
      <c r="A450" s="197" t="n"/>
      <c r="B450" s="198" t="n"/>
      <c r="C450" s="198" t="n"/>
      <c r="D450" s="195">
        <f>IF(K450="","",INDEX('同相3導体'!$AB:$AB,K450))</f>
        <v/>
      </c>
      <c r="E450" s="195">
        <f>IF(K450="","",INDEX('同相3導体'!$AC:$AC,K450))</f>
        <v/>
      </c>
      <c r="F450" s="195">
        <f>IF(OR(A450="",B450=""),"",100*(D450-B450)/MAX(B450,1E-12))</f>
        <v/>
      </c>
      <c r="G450" s="195">
        <f>IF(OR(A450="",C450=""),"",E450-C450)</f>
        <v/>
      </c>
      <c r="H450" s="195">
        <f>IF(A450="","",LOG10(A450))</f>
        <v/>
      </c>
      <c r="I450" s="195">
        <f>IF(B450="","",LOG10(MAX(B450,1E-12)))</f>
        <v/>
      </c>
      <c r="J450" s="195">
        <f>IF(D450="","",LOG10(MAX(D450,1E-12)))</f>
        <v/>
      </c>
      <c r="K450">
        <f>IF(A450="","",ROUND(1+(LOG10(A450)-LOG10('入力・概要'!$B$38))*('入力・概要'!$B$40-1)/(LOG10('入力・概要'!$B$39)-LOG10('入力・概要'!$B$38)),0)+3)</f>
        <v/>
      </c>
      <c r="L450">
        <f>IF(K450="","",INDEX('同相3導体'!$B:$B,K450))</f>
        <v/>
      </c>
      <c r="M450">
        <f>IF(A450="","",IF(ABS(L450/A450-1)&lt;0.01,"周波数差&lt;1%","周波数差あり"))</f>
        <v/>
      </c>
    </row>
    <row r="451">
      <c r="A451" s="197" t="n"/>
      <c r="B451" s="198" t="n"/>
      <c r="C451" s="198" t="n"/>
      <c r="D451" s="195">
        <f>IF(K451="","",INDEX('同相3導体'!$AB:$AB,K451))</f>
        <v/>
      </c>
      <c r="E451" s="195">
        <f>IF(K451="","",INDEX('同相3導体'!$AC:$AC,K451))</f>
        <v/>
      </c>
      <c r="F451" s="195">
        <f>IF(OR(A451="",B451=""),"",100*(D451-B451)/MAX(B451,1E-12))</f>
        <v/>
      </c>
      <c r="G451" s="195">
        <f>IF(OR(A451="",C451=""),"",E451-C451)</f>
        <v/>
      </c>
      <c r="H451" s="195">
        <f>IF(A451="","",LOG10(A451))</f>
        <v/>
      </c>
      <c r="I451" s="195">
        <f>IF(B451="","",LOG10(MAX(B451,1E-12)))</f>
        <v/>
      </c>
      <c r="J451" s="195">
        <f>IF(D451="","",LOG10(MAX(D451,1E-12)))</f>
        <v/>
      </c>
      <c r="K451">
        <f>IF(A451="","",ROUND(1+(LOG10(A451)-LOG10('入力・概要'!$B$38))*('入力・概要'!$B$40-1)/(LOG10('入力・概要'!$B$39)-LOG10('入力・概要'!$B$38)),0)+3)</f>
        <v/>
      </c>
      <c r="L451">
        <f>IF(K451="","",INDEX('同相3導体'!$B:$B,K451))</f>
        <v/>
      </c>
      <c r="M451">
        <f>IF(A451="","",IF(ABS(L451/A451-1)&lt;0.01,"周波数差&lt;1%","周波数差あり"))</f>
        <v/>
      </c>
    </row>
    <row r="452">
      <c r="A452" s="197" t="n"/>
      <c r="B452" s="198" t="n"/>
      <c r="C452" s="198" t="n"/>
      <c r="D452" s="195">
        <f>IF(K452="","",INDEX('同相3導体'!$AB:$AB,K452))</f>
        <v/>
      </c>
      <c r="E452" s="195">
        <f>IF(K452="","",INDEX('同相3導体'!$AC:$AC,K452))</f>
        <v/>
      </c>
      <c r="F452" s="195">
        <f>IF(OR(A452="",B452=""),"",100*(D452-B452)/MAX(B452,1E-12))</f>
        <v/>
      </c>
      <c r="G452" s="195">
        <f>IF(OR(A452="",C452=""),"",E452-C452)</f>
        <v/>
      </c>
      <c r="H452" s="195">
        <f>IF(A452="","",LOG10(A452))</f>
        <v/>
      </c>
      <c r="I452" s="195">
        <f>IF(B452="","",LOG10(MAX(B452,1E-12)))</f>
        <v/>
      </c>
      <c r="J452" s="195">
        <f>IF(D452="","",LOG10(MAX(D452,1E-12)))</f>
        <v/>
      </c>
      <c r="K452">
        <f>IF(A452="","",ROUND(1+(LOG10(A452)-LOG10('入力・概要'!$B$38))*('入力・概要'!$B$40-1)/(LOG10('入力・概要'!$B$39)-LOG10('入力・概要'!$B$38)),0)+3)</f>
        <v/>
      </c>
      <c r="L452">
        <f>IF(K452="","",INDEX('同相3導体'!$B:$B,K452))</f>
        <v/>
      </c>
      <c r="M452">
        <f>IF(A452="","",IF(ABS(L452/A452-1)&lt;0.01,"周波数差&lt;1%","周波数差あり"))</f>
        <v/>
      </c>
    </row>
    <row r="453">
      <c r="A453" s="197" t="n"/>
      <c r="B453" s="198" t="n"/>
      <c r="C453" s="198" t="n"/>
      <c r="D453" s="195">
        <f>IF(K453="","",INDEX('同相3導体'!$AB:$AB,K453))</f>
        <v/>
      </c>
      <c r="E453" s="195">
        <f>IF(K453="","",INDEX('同相3導体'!$AC:$AC,K453))</f>
        <v/>
      </c>
      <c r="F453" s="195">
        <f>IF(OR(A453="",B453=""),"",100*(D453-B453)/MAX(B453,1E-12))</f>
        <v/>
      </c>
      <c r="G453" s="195">
        <f>IF(OR(A453="",C453=""),"",E453-C453)</f>
        <v/>
      </c>
      <c r="H453" s="195">
        <f>IF(A453="","",LOG10(A453))</f>
        <v/>
      </c>
      <c r="I453" s="195">
        <f>IF(B453="","",LOG10(MAX(B453,1E-12)))</f>
        <v/>
      </c>
      <c r="J453" s="195">
        <f>IF(D453="","",LOG10(MAX(D453,1E-12)))</f>
        <v/>
      </c>
      <c r="K453">
        <f>IF(A453="","",ROUND(1+(LOG10(A453)-LOG10('入力・概要'!$B$38))*('入力・概要'!$B$40-1)/(LOG10('入力・概要'!$B$39)-LOG10('入力・概要'!$B$38)),0)+3)</f>
        <v/>
      </c>
      <c r="L453">
        <f>IF(K453="","",INDEX('同相3導体'!$B:$B,K453))</f>
        <v/>
      </c>
      <c r="M453">
        <f>IF(A453="","",IF(ABS(L453/A453-1)&lt;0.01,"周波数差&lt;1%","周波数差あり"))</f>
        <v/>
      </c>
    </row>
    <row r="454">
      <c r="A454" s="197" t="n"/>
      <c r="B454" s="198" t="n"/>
      <c r="C454" s="198" t="n"/>
      <c r="D454" s="195">
        <f>IF(K454="","",INDEX('同相3導体'!$AB:$AB,K454))</f>
        <v/>
      </c>
      <c r="E454" s="195">
        <f>IF(K454="","",INDEX('同相3導体'!$AC:$AC,K454))</f>
        <v/>
      </c>
      <c r="F454" s="195">
        <f>IF(OR(A454="",B454=""),"",100*(D454-B454)/MAX(B454,1E-12))</f>
        <v/>
      </c>
      <c r="G454" s="195">
        <f>IF(OR(A454="",C454=""),"",E454-C454)</f>
        <v/>
      </c>
      <c r="H454" s="195">
        <f>IF(A454="","",LOG10(A454))</f>
        <v/>
      </c>
      <c r="I454" s="195">
        <f>IF(B454="","",LOG10(MAX(B454,1E-12)))</f>
        <v/>
      </c>
      <c r="J454" s="195">
        <f>IF(D454="","",LOG10(MAX(D454,1E-12)))</f>
        <v/>
      </c>
      <c r="K454">
        <f>IF(A454="","",ROUND(1+(LOG10(A454)-LOG10('入力・概要'!$B$38))*('入力・概要'!$B$40-1)/(LOG10('入力・概要'!$B$39)-LOG10('入力・概要'!$B$38)),0)+3)</f>
        <v/>
      </c>
      <c r="L454">
        <f>IF(K454="","",INDEX('同相3導体'!$B:$B,K454))</f>
        <v/>
      </c>
      <c r="M454">
        <f>IF(A454="","",IF(ABS(L454/A454-1)&lt;0.01,"周波数差&lt;1%","周波数差あり"))</f>
        <v/>
      </c>
    </row>
    <row r="455">
      <c r="A455" s="197" t="n"/>
      <c r="B455" s="198" t="n"/>
      <c r="C455" s="198" t="n"/>
      <c r="D455" s="195">
        <f>IF(K455="","",INDEX('同相3導体'!$AB:$AB,K455))</f>
        <v/>
      </c>
      <c r="E455" s="195">
        <f>IF(K455="","",INDEX('同相3導体'!$AC:$AC,K455))</f>
        <v/>
      </c>
      <c r="F455" s="195">
        <f>IF(OR(A455="",B455=""),"",100*(D455-B455)/MAX(B455,1E-12))</f>
        <v/>
      </c>
      <c r="G455" s="195">
        <f>IF(OR(A455="",C455=""),"",E455-C455)</f>
        <v/>
      </c>
      <c r="H455" s="195">
        <f>IF(A455="","",LOG10(A455))</f>
        <v/>
      </c>
      <c r="I455" s="195">
        <f>IF(B455="","",LOG10(MAX(B455,1E-12)))</f>
        <v/>
      </c>
      <c r="J455" s="195">
        <f>IF(D455="","",LOG10(MAX(D455,1E-12)))</f>
        <v/>
      </c>
      <c r="K455">
        <f>IF(A455="","",ROUND(1+(LOG10(A455)-LOG10('入力・概要'!$B$38))*('入力・概要'!$B$40-1)/(LOG10('入力・概要'!$B$39)-LOG10('入力・概要'!$B$38)),0)+3)</f>
        <v/>
      </c>
      <c r="L455">
        <f>IF(K455="","",INDEX('同相3導体'!$B:$B,K455))</f>
        <v/>
      </c>
      <c r="M455">
        <f>IF(A455="","",IF(ABS(L455/A455-1)&lt;0.01,"周波数差&lt;1%","周波数差あり"))</f>
        <v/>
      </c>
    </row>
    <row r="456">
      <c r="A456" s="197" t="n"/>
      <c r="B456" s="198" t="n"/>
      <c r="C456" s="198" t="n"/>
      <c r="D456" s="195">
        <f>IF(K456="","",INDEX('同相3導体'!$AB:$AB,K456))</f>
        <v/>
      </c>
      <c r="E456" s="195">
        <f>IF(K456="","",INDEX('同相3導体'!$AC:$AC,K456))</f>
        <v/>
      </c>
      <c r="F456" s="195">
        <f>IF(OR(A456="",B456=""),"",100*(D456-B456)/MAX(B456,1E-12))</f>
        <v/>
      </c>
      <c r="G456" s="195">
        <f>IF(OR(A456="",C456=""),"",E456-C456)</f>
        <v/>
      </c>
      <c r="H456" s="195">
        <f>IF(A456="","",LOG10(A456))</f>
        <v/>
      </c>
      <c r="I456" s="195">
        <f>IF(B456="","",LOG10(MAX(B456,1E-12)))</f>
        <v/>
      </c>
      <c r="J456" s="195">
        <f>IF(D456="","",LOG10(MAX(D456,1E-12)))</f>
        <v/>
      </c>
      <c r="K456">
        <f>IF(A456="","",ROUND(1+(LOG10(A456)-LOG10('入力・概要'!$B$38))*('入力・概要'!$B$40-1)/(LOG10('入力・概要'!$B$39)-LOG10('入力・概要'!$B$38)),0)+3)</f>
        <v/>
      </c>
      <c r="L456">
        <f>IF(K456="","",INDEX('同相3導体'!$B:$B,K456))</f>
        <v/>
      </c>
      <c r="M456">
        <f>IF(A456="","",IF(ABS(L456/A456-1)&lt;0.01,"周波数差&lt;1%","周波数差あり"))</f>
        <v/>
      </c>
    </row>
    <row r="457">
      <c r="A457" s="197" t="n"/>
      <c r="B457" s="198" t="n"/>
      <c r="C457" s="198" t="n"/>
      <c r="D457" s="195">
        <f>IF(K457="","",INDEX('同相3導体'!$AB:$AB,K457))</f>
        <v/>
      </c>
      <c r="E457" s="195">
        <f>IF(K457="","",INDEX('同相3導体'!$AC:$AC,K457))</f>
        <v/>
      </c>
      <c r="F457" s="195">
        <f>IF(OR(A457="",B457=""),"",100*(D457-B457)/MAX(B457,1E-12))</f>
        <v/>
      </c>
      <c r="G457" s="195">
        <f>IF(OR(A457="",C457=""),"",E457-C457)</f>
        <v/>
      </c>
      <c r="H457" s="195">
        <f>IF(A457="","",LOG10(A457))</f>
        <v/>
      </c>
      <c r="I457" s="195">
        <f>IF(B457="","",LOG10(MAX(B457,1E-12)))</f>
        <v/>
      </c>
      <c r="J457" s="195">
        <f>IF(D457="","",LOG10(MAX(D457,1E-12)))</f>
        <v/>
      </c>
      <c r="K457">
        <f>IF(A457="","",ROUND(1+(LOG10(A457)-LOG10('入力・概要'!$B$38))*('入力・概要'!$B$40-1)/(LOG10('入力・概要'!$B$39)-LOG10('入力・概要'!$B$38)),0)+3)</f>
        <v/>
      </c>
      <c r="L457">
        <f>IF(K457="","",INDEX('同相3導体'!$B:$B,K457))</f>
        <v/>
      </c>
      <c r="M457">
        <f>IF(A457="","",IF(ABS(L457/A457-1)&lt;0.01,"周波数差&lt;1%","周波数差あり"))</f>
        <v/>
      </c>
    </row>
    <row r="458">
      <c r="A458" s="197" t="n"/>
      <c r="B458" s="198" t="n"/>
      <c r="C458" s="198" t="n"/>
      <c r="D458" s="195">
        <f>IF(K458="","",INDEX('同相3導体'!$AB:$AB,K458))</f>
        <v/>
      </c>
      <c r="E458" s="195">
        <f>IF(K458="","",INDEX('同相3導体'!$AC:$AC,K458))</f>
        <v/>
      </c>
      <c r="F458" s="195">
        <f>IF(OR(A458="",B458=""),"",100*(D458-B458)/MAX(B458,1E-12))</f>
        <v/>
      </c>
      <c r="G458" s="195">
        <f>IF(OR(A458="",C458=""),"",E458-C458)</f>
        <v/>
      </c>
      <c r="H458" s="195">
        <f>IF(A458="","",LOG10(A458))</f>
        <v/>
      </c>
      <c r="I458" s="195">
        <f>IF(B458="","",LOG10(MAX(B458,1E-12)))</f>
        <v/>
      </c>
      <c r="J458" s="195">
        <f>IF(D458="","",LOG10(MAX(D458,1E-12)))</f>
        <v/>
      </c>
      <c r="K458">
        <f>IF(A458="","",ROUND(1+(LOG10(A458)-LOG10('入力・概要'!$B$38))*('入力・概要'!$B$40-1)/(LOG10('入力・概要'!$B$39)-LOG10('入力・概要'!$B$38)),0)+3)</f>
        <v/>
      </c>
      <c r="L458">
        <f>IF(K458="","",INDEX('同相3導体'!$B:$B,K458))</f>
        <v/>
      </c>
      <c r="M458">
        <f>IF(A458="","",IF(ABS(L458/A458-1)&lt;0.01,"周波数差&lt;1%","周波数差あり"))</f>
        <v/>
      </c>
    </row>
    <row r="459">
      <c r="A459" s="197" t="n"/>
      <c r="B459" s="198" t="n"/>
      <c r="C459" s="198" t="n"/>
      <c r="D459" s="195">
        <f>IF(K459="","",INDEX('同相3導体'!$AB:$AB,K459))</f>
        <v/>
      </c>
      <c r="E459" s="195">
        <f>IF(K459="","",INDEX('同相3導体'!$AC:$AC,K459))</f>
        <v/>
      </c>
      <c r="F459" s="195">
        <f>IF(OR(A459="",B459=""),"",100*(D459-B459)/MAX(B459,1E-12))</f>
        <v/>
      </c>
      <c r="G459" s="195">
        <f>IF(OR(A459="",C459=""),"",E459-C459)</f>
        <v/>
      </c>
      <c r="H459" s="195">
        <f>IF(A459="","",LOG10(A459))</f>
        <v/>
      </c>
      <c r="I459" s="195">
        <f>IF(B459="","",LOG10(MAX(B459,1E-12)))</f>
        <v/>
      </c>
      <c r="J459" s="195">
        <f>IF(D459="","",LOG10(MAX(D459,1E-12)))</f>
        <v/>
      </c>
      <c r="K459">
        <f>IF(A459="","",ROUND(1+(LOG10(A459)-LOG10('入力・概要'!$B$38))*('入力・概要'!$B$40-1)/(LOG10('入力・概要'!$B$39)-LOG10('入力・概要'!$B$38)),0)+3)</f>
        <v/>
      </c>
      <c r="L459">
        <f>IF(K459="","",INDEX('同相3導体'!$B:$B,K459))</f>
        <v/>
      </c>
      <c r="M459">
        <f>IF(A459="","",IF(ABS(L459/A459-1)&lt;0.01,"周波数差&lt;1%","周波数差あり"))</f>
        <v/>
      </c>
    </row>
    <row r="460">
      <c r="A460" s="197" t="n"/>
      <c r="B460" s="198" t="n"/>
      <c r="C460" s="198" t="n"/>
      <c r="D460" s="195">
        <f>IF(K460="","",INDEX('同相3導体'!$AB:$AB,K460))</f>
        <v/>
      </c>
      <c r="E460" s="195">
        <f>IF(K460="","",INDEX('同相3導体'!$AC:$AC,K460))</f>
        <v/>
      </c>
      <c r="F460" s="195">
        <f>IF(OR(A460="",B460=""),"",100*(D460-B460)/MAX(B460,1E-12))</f>
        <v/>
      </c>
      <c r="G460" s="195">
        <f>IF(OR(A460="",C460=""),"",E460-C460)</f>
        <v/>
      </c>
      <c r="H460" s="195">
        <f>IF(A460="","",LOG10(A460))</f>
        <v/>
      </c>
      <c r="I460" s="195">
        <f>IF(B460="","",LOG10(MAX(B460,1E-12)))</f>
        <v/>
      </c>
      <c r="J460" s="195">
        <f>IF(D460="","",LOG10(MAX(D460,1E-12)))</f>
        <v/>
      </c>
      <c r="K460">
        <f>IF(A460="","",ROUND(1+(LOG10(A460)-LOG10('入力・概要'!$B$38))*('入力・概要'!$B$40-1)/(LOG10('入力・概要'!$B$39)-LOG10('入力・概要'!$B$38)),0)+3)</f>
        <v/>
      </c>
      <c r="L460">
        <f>IF(K460="","",INDEX('同相3導体'!$B:$B,K460))</f>
        <v/>
      </c>
      <c r="M460">
        <f>IF(A460="","",IF(ABS(L460/A460-1)&lt;0.01,"周波数差&lt;1%","周波数差あり"))</f>
        <v/>
      </c>
    </row>
    <row r="461">
      <c r="A461" s="197" t="n"/>
      <c r="B461" s="198" t="n"/>
      <c r="C461" s="198" t="n"/>
      <c r="D461" s="195">
        <f>IF(K461="","",INDEX('同相3導体'!$AB:$AB,K461))</f>
        <v/>
      </c>
      <c r="E461" s="195">
        <f>IF(K461="","",INDEX('同相3導体'!$AC:$AC,K461))</f>
        <v/>
      </c>
      <c r="F461" s="195">
        <f>IF(OR(A461="",B461=""),"",100*(D461-B461)/MAX(B461,1E-12))</f>
        <v/>
      </c>
      <c r="G461" s="195">
        <f>IF(OR(A461="",C461=""),"",E461-C461)</f>
        <v/>
      </c>
      <c r="H461" s="195">
        <f>IF(A461="","",LOG10(A461))</f>
        <v/>
      </c>
      <c r="I461" s="195">
        <f>IF(B461="","",LOG10(MAX(B461,1E-12)))</f>
        <v/>
      </c>
      <c r="J461" s="195">
        <f>IF(D461="","",LOG10(MAX(D461,1E-12)))</f>
        <v/>
      </c>
      <c r="K461">
        <f>IF(A461="","",ROUND(1+(LOG10(A461)-LOG10('入力・概要'!$B$38))*('入力・概要'!$B$40-1)/(LOG10('入力・概要'!$B$39)-LOG10('入力・概要'!$B$38)),0)+3)</f>
        <v/>
      </c>
      <c r="L461">
        <f>IF(K461="","",INDEX('同相3導体'!$B:$B,K461))</f>
        <v/>
      </c>
      <c r="M461">
        <f>IF(A461="","",IF(ABS(L461/A461-1)&lt;0.01,"周波数差&lt;1%","周波数差あり"))</f>
        <v/>
      </c>
    </row>
    <row r="462">
      <c r="A462" s="197" t="n"/>
      <c r="B462" s="198" t="n"/>
      <c r="C462" s="198" t="n"/>
      <c r="D462" s="195">
        <f>IF(K462="","",INDEX('同相3導体'!$AB:$AB,K462))</f>
        <v/>
      </c>
      <c r="E462" s="195">
        <f>IF(K462="","",INDEX('同相3導体'!$AC:$AC,K462))</f>
        <v/>
      </c>
      <c r="F462" s="195">
        <f>IF(OR(A462="",B462=""),"",100*(D462-B462)/MAX(B462,1E-12))</f>
        <v/>
      </c>
      <c r="G462" s="195">
        <f>IF(OR(A462="",C462=""),"",E462-C462)</f>
        <v/>
      </c>
      <c r="H462" s="195">
        <f>IF(A462="","",LOG10(A462))</f>
        <v/>
      </c>
      <c r="I462" s="195">
        <f>IF(B462="","",LOG10(MAX(B462,1E-12)))</f>
        <v/>
      </c>
      <c r="J462" s="195">
        <f>IF(D462="","",LOG10(MAX(D462,1E-12)))</f>
        <v/>
      </c>
      <c r="K462">
        <f>IF(A462="","",ROUND(1+(LOG10(A462)-LOG10('入力・概要'!$B$38))*('入力・概要'!$B$40-1)/(LOG10('入力・概要'!$B$39)-LOG10('入力・概要'!$B$38)),0)+3)</f>
        <v/>
      </c>
      <c r="L462">
        <f>IF(K462="","",INDEX('同相3導体'!$B:$B,K462))</f>
        <v/>
      </c>
      <c r="M462">
        <f>IF(A462="","",IF(ABS(L462/A462-1)&lt;0.01,"周波数差&lt;1%","周波数差あり"))</f>
        <v/>
      </c>
    </row>
    <row r="463">
      <c r="A463" s="197" t="n"/>
      <c r="B463" s="198" t="n"/>
      <c r="C463" s="198" t="n"/>
      <c r="D463" s="195">
        <f>IF(K463="","",INDEX('同相3導体'!$AB:$AB,K463))</f>
        <v/>
      </c>
      <c r="E463" s="195">
        <f>IF(K463="","",INDEX('同相3導体'!$AC:$AC,K463))</f>
        <v/>
      </c>
      <c r="F463" s="195">
        <f>IF(OR(A463="",B463=""),"",100*(D463-B463)/MAX(B463,1E-12))</f>
        <v/>
      </c>
      <c r="G463" s="195">
        <f>IF(OR(A463="",C463=""),"",E463-C463)</f>
        <v/>
      </c>
      <c r="H463" s="195">
        <f>IF(A463="","",LOG10(A463))</f>
        <v/>
      </c>
      <c r="I463" s="195">
        <f>IF(B463="","",LOG10(MAX(B463,1E-12)))</f>
        <v/>
      </c>
      <c r="J463" s="195">
        <f>IF(D463="","",LOG10(MAX(D463,1E-12)))</f>
        <v/>
      </c>
      <c r="K463">
        <f>IF(A463="","",ROUND(1+(LOG10(A463)-LOG10('入力・概要'!$B$38))*('入力・概要'!$B$40-1)/(LOG10('入力・概要'!$B$39)-LOG10('入力・概要'!$B$38)),0)+3)</f>
        <v/>
      </c>
      <c r="L463">
        <f>IF(K463="","",INDEX('同相3導体'!$B:$B,K463))</f>
        <v/>
      </c>
      <c r="M463">
        <f>IF(A463="","",IF(ABS(L463/A463-1)&lt;0.01,"周波数差&lt;1%","周波数差あり"))</f>
        <v/>
      </c>
    </row>
    <row r="464">
      <c r="A464" s="197" t="n"/>
      <c r="B464" s="198" t="n"/>
      <c r="C464" s="198" t="n"/>
      <c r="D464" s="195">
        <f>IF(K464="","",INDEX('同相3導体'!$AB:$AB,K464))</f>
        <v/>
      </c>
      <c r="E464" s="195">
        <f>IF(K464="","",INDEX('同相3導体'!$AC:$AC,K464))</f>
        <v/>
      </c>
      <c r="F464" s="195">
        <f>IF(OR(A464="",B464=""),"",100*(D464-B464)/MAX(B464,1E-12))</f>
        <v/>
      </c>
      <c r="G464" s="195">
        <f>IF(OR(A464="",C464=""),"",E464-C464)</f>
        <v/>
      </c>
      <c r="H464" s="195">
        <f>IF(A464="","",LOG10(A464))</f>
        <v/>
      </c>
      <c r="I464" s="195">
        <f>IF(B464="","",LOG10(MAX(B464,1E-12)))</f>
        <v/>
      </c>
      <c r="J464" s="195">
        <f>IF(D464="","",LOG10(MAX(D464,1E-12)))</f>
        <v/>
      </c>
      <c r="K464">
        <f>IF(A464="","",ROUND(1+(LOG10(A464)-LOG10('入力・概要'!$B$38))*('入力・概要'!$B$40-1)/(LOG10('入力・概要'!$B$39)-LOG10('入力・概要'!$B$38)),0)+3)</f>
        <v/>
      </c>
      <c r="L464">
        <f>IF(K464="","",INDEX('同相3導体'!$B:$B,K464))</f>
        <v/>
      </c>
      <c r="M464">
        <f>IF(A464="","",IF(ABS(L464/A464-1)&lt;0.01,"周波数差&lt;1%","周波数差あり"))</f>
        <v/>
      </c>
    </row>
    <row r="465">
      <c r="A465" s="197" t="n"/>
      <c r="B465" s="198" t="n"/>
      <c r="C465" s="198" t="n"/>
      <c r="D465" s="195">
        <f>IF(K465="","",INDEX('同相3導体'!$AB:$AB,K465))</f>
        <v/>
      </c>
      <c r="E465" s="195">
        <f>IF(K465="","",INDEX('同相3導体'!$AC:$AC,K465))</f>
        <v/>
      </c>
      <c r="F465" s="195">
        <f>IF(OR(A465="",B465=""),"",100*(D465-B465)/MAX(B465,1E-12))</f>
        <v/>
      </c>
      <c r="G465" s="195">
        <f>IF(OR(A465="",C465=""),"",E465-C465)</f>
        <v/>
      </c>
      <c r="H465" s="195">
        <f>IF(A465="","",LOG10(A465))</f>
        <v/>
      </c>
      <c r="I465" s="195">
        <f>IF(B465="","",LOG10(MAX(B465,1E-12)))</f>
        <v/>
      </c>
      <c r="J465" s="195">
        <f>IF(D465="","",LOG10(MAX(D465,1E-12)))</f>
        <v/>
      </c>
      <c r="K465">
        <f>IF(A465="","",ROUND(1+(LOG10(A465)-LOG10('入力・概要'!$B$38))*('入力・概要'!$B$40-1)/(LOG10('入力・概要'!$B$39)-LOG10('入力・概要'!$B$38)),0)+3)</f>
        <v/>
      </c>
      <c r="L465">
        <f>IF(K465="","",INDEX('同相3導体'!$B:$B,K465))</f>
        <v/>
      </c>
      <c r="M465">
        <f>IF(A465="","",IF(ABS(L465/A465-1)&lt;0.01,"周波数差&lt;1%","周波数差あり"))</f>
        <v/>
      </c>
    </row>
    <row r="466">
      <c r="A466" s="197" t="n"/>
      <c r="B466" s="198" t="n"/>
      <c r="C466" s="198" t="n"/>
      <c r="D466" s="195">
        <f>IF(K466="","",INDEX('同相3導体'!$AB:$AB,K466))</f>
        <v/>
      </c>
      <c r="E466" s="195">
        <f>IF(K466="","",INDEX('同相3導体'!$AC:$AC,K466))</f>
        <v/>
      </c>
      <c r="F466" s="195">
        <f>IF(OR(A466="",B466=""),"",100*(D466-B466)/MAX(B466,1E-12))</f>
        <v/>
      </c>
      <c r="G466" s="195">
        <f>IF(OR(A466="",C466=""),"",E466-C466)</f>
        <v/>
      </c>
      <c r="H466" s="195">
        <f>IF(A466="","",LOG10(A466))</f>
        <v/>
      </c>
      <c r="I466" s="195">
        <f>IF(B466="","",LOG10(MAX(B466,1E-12)))</f>
        <v/>
      </c>
      <c r="J466" s="195">
        <f>IF(D466="","",LOG10(MAX(D466,1E-12)))</f>
        <v/>
      </c>
      <c r="K466">
        <f>IF(A466="","",ROUND(1+(LOG10(A466)-LOG10('入力・概要'!$B$38))*('入力・概要'!$B$40-1)/(LOG10('入力・概要'!$B$39)-LOG10('入力・概要'!$B$38)),0)+3)</f>
        <v/>
      </c>
      <c r="L466">
        <f>IF(K466="","",INDEX('同相3導体'!$B:$B,K466))</f>
        <v/>
      </c>
      <c r="M466">
        <f>IF(A466="","",IF(ABS(L466/A466-1)&lt;0.01,"周波数差&lt;1%","周波数差あり"))</f>
        <v/>
      </c>
    </row>
    <row r="467">
      <c r="A467" s="197" t="n"/>
      <c r="B467" s="198" t="n"/>
      <c r="C467" s="198" t="n"/>
      <c r="D467" s="195">
        <f>IF(K467="","",INDEX('同相3導体'!$AB:$AB,K467))</f>
        <v/>
      </c>
      <c r="E467" s="195">
        <f>IF(K467="","",INDEX('同相3導体'!$AC:$AC,K467))</f>
        <v/>
      </c>
      <c r="F467" s="195">
        <f>IF(OR(A467="",B467=""),"",100*(D467-B467)/MAX(B467,1E-12))</f>
        <v/>
      </c>
      <c r="G467" s="195">
        <f>IF(OR(A467="",C467=""),"",E467-C467)</f>
        <v/>
      </c>
      <c r="H467" s="195">
        <f>IF(A467="","",LOG10(A467))</f>
        <v/>
      </c>
      <c r="I467" s="195">
        <f>IF(B467="","",LOG10(MAX(B467,1E-12)))</f>
        <v/>
      </c>
      <c r="J467" s="195">
        <f>IF(D467="","",LOG10(MAX(D467,1E-12)))</f>
        <v/>
      </c>
      <c r="K467">
        <f>IF(A467="","",ROUND(1+(LOG10(A467)-LOG10('入力・概要'!$B$38))*('入力・概要'!$B$40-1)/(LOG10('入力・概要'!$B$39)-LOG10('入力・概要'!$B$38)),0)+3)</f>
        <v/>
      </c>
      <c r="L467">
        <f>IF(K467="","",INDEX('同相3導体'!$B:$B,K467))</f>
        <v/>
      </c>
      <c r="M467">
        <f>IF(A467="","",IF(ABS(L467/A467-1)&lt;0.01,"周波数差&lt;1%","周波数差あり"))</f>
        <v/>
      </c>
    </row>
    <row r="468">
      <c r="A468" s="197" t="n"/>
      <c r="B468" s="198" t="n"/>
      <c r="C468" s="198" t="n"/>
      <c r="D468" s="195">
        <f>IF(K468="","",INDEX('同相3導体'!$AB:$AB,K468))</f>
        <v/>
      </c>
      <c r="E468" s="195">
        <f>IF(K468="","",INDEX('同相3導体'!$AC:$AC,K468))</f>
        <v/>
      </c>
      <c r="F468" s="195">
        <f>IF(OR(A468="",B468=""),"",100*(D468-B468)/MAX(B468,1E-12))</f>
        <v/>
      </c>
      <c r="G468" s="195">
        <f>IF(OR(A468="",C468=""),"",E468-C468)</f>
        <v/>
      </c>
      <c r="H468" s="195">
        <f>IF(A468="","",LOG10(A468))</f>
        <v/>
      </c>
      <c r="I468" s="195">
        <f>IF(B468="","",LOG10(MAX(B468,1E-12)))</f>
        <v/>
      </c>
      <c r="J468" s="195">
        <f>IF(D468="","",LOG10(MAX(D468,1E-12)))</f>
        <v/>
      </c>
      <c r="K468">
        <f>IF(A468="","",ROUND(1+(LOG10(A468)-LOG10('入力・概要'!$B$38))*('入力・概要'!$B$40-1)/(LOG10('入力・概要'!$B$39)-LOG10('入力・概要'!$B$38)),0)+3)</f>
        <v/>
      </c>
      <c r="L468">
        <f>IF(K468="","",INDEX('同相3導体'!$B:$B,K468))</f>
        <v/>
      </c>
      <c r="M468">
        <f>IF(A468="","",IF(ABS(L468/A468-1)&lt;0.01,"周波数差&lt;1%","周波数差あり"))</f>
        <v/>
      </c>
    </row>
    <row r="469">
      <c r="A469" s="197" t="n"/>
      <c r="B469" s="198" t="n"/>
      <c r="C469" s="198" t="n"/>
      <c r="D469" s="195">
        <f>IF(K469="","",INDEX('同相3導体'!$AB:$AB,K469))</f>
        <v/>
      </c>
      <c r="E469" s="195">
        <f>IF(K469="","",INDEX('同相3導体'!$AC:$AC,K469))</f>
        <v/>
      </c>
      <c r="F469" s="195">
        <f>IF(OR(A469="",B469=""),"",100*(D469-B469)/MAX(B469,1E-12))</f>
        <v/>
      </c>
      <c r="G469" s="195">
        <f>IF(OR(A469="",C469=""),"",E469-C469)</f>
        <v/>
      </c>
      <c r="H469" s="195">
        <f>IF(A469="","",LOG10(A469))</f>
        <v/>
      </c>
      <c r="I469" s="195">
        <f>IF(B469="","",LOG10(MAX(B469,1E-12)))</f>
        <v/>
      </c>
      <c r="J469" s="195">
        <f>IF(D469="","",LOG10(MAX(D469,1E-12)))</f>
        <v/>
      </c>
      <c r="K469">
        <f>IF(A469="","",ROUND(1+(LOG10(A469)-LOG10('入力・概要'!$B$38))*('入力・概要'!$B$40-1)/(LOG10('入力・概要'!$B$39)-LOG10('入力・概要'!$B$38)),0)+3)</f>
        <v/>
      </c>
      <c r="L469">
        <f>IF(K469="","",INDEX('同相3導体'!$B:$B,K469))</f>
        <v/>
      </c>
      <c r="M469">
        <f>IF(A469="","",IF(ABS(L469/A469-1)&lt;0.01,"周波数差&lt;1%","周波数差あり"))</f>
        <v/>
      </c>
    </row>
    <row r="470">
      <c r="A470" s="197" t="n"/>
      <c r="B470" s="198" t="n"/>
      <c r="C470" s="198" t="n"/>
      <c r="D470" s="195">
        <f>IF(K470="","",INDEX('同相3導体'!$AB:$AB,K470))</f>
        <v/>
      </c>
      <c r="E470" s="195">
        <f>IF(K470="","",INDEX('同相3導体'!$AC:$AC,K470))</f>
        <v/>
      </c>
      <c r="F470" s="195">
        <f>IF(OR(A470="",B470=""),"",100*(D470-B470)/MAX(B470,1E-12))</f>
        <v/>
      </c>
      <c r="G470" s="195">
        <f>IF(OR(A470="",C470=""),"",E470-C470)</f>
        <v/>
      </c>
      <c r="H470" s="195">
        <f>IF(A470="","",LOG10(A470))</f>
        <v/>
      </c>
      <c r="I470" s="195">
        <f>IF(B470="","",LOG10(MAX(B470,1E-12)))</f>
        <v/>
      </c>
      <c r="J470" s="195">
        <f>IF(D470="","",LOG10(MAX(D470,1E-12)))</f>
        <v/>
      </c>
      <c r="K470">
        <f>IF(A470="","",ROUND(1+(LOG10(A470)-LOG10('入力・概要'!$B$38))*('入力・概要'!$B$40-1)/(LOG10('入力・概要'!$B$39)-LOG10('入力・概要'!$B$38)),0)+3)</f>
        <v/>
      </c>
      <c r="L470">
        <f>IF(K470="","",INDEX('同相3導体'!$B:$B,K470))</f>
        <v/>
      </c>
      <c r="M470">
        <f>IF(A470="","",IF(ABS(L470/A470-1)&lt;0.01,"周波数差&lt;1%","周波数差あり"))</f>
        <v/>
      </c>
    </row>
    <row r="471">
      <c r="A471" s="197" t="n"/>
      <c r="B471" s="198" t="n"/>
      <c r="C471" s="198" t="n"/>
      <c r="D471" s="195">
        <f>IF(K471="","",INDEX('同相3導体'!$AB:$AB,K471))</f>
        <v/>
      </c>
      <c r="E471" s="195">
        <f>IF(K471="","",INDEX('同相3導体'!$AC:$AC,K471))</f>
        <v/>
      </c>
      <c r="F471" s="195">
        <f>IF(OR(A471="",B471=""),"",100*(D471-B471)/MAX(B471,1E-12))</f>
        <v/>
      </c>
      <c r="G471" s="195">
        <f>IF(OR(A471="",C471=""),"",E471-C471)</f>
        <v/>
      </c>
      <c r="H471" s="195">
        <f>IF(A471="","",LOG10(A471))</f>
        <v/>
      </c>
      <c r="I471" s="195">
        <f>IF(B471="","",LOG10(MAX(B471,1E-12)))</f>
        <v/>
      </c>
      <c r="J471" s="195">
        <f>IF(D471="","",LOG10(MAX(D471,1E-12)))</f>
        <v/>
      </c>
      <c r="K471">
        <f>IF(A471="","",ROUND(1+(LOG10(A471)-LOG10('入力・概要'!$B$38))*('入力・概要'!$B$40-1)/(LOG10('入力・概要'!$B$39)-LOG10('入力・概要'!$B$38)),0)+3)</f>
        <v/>
      </c>
      <c r="L471">
        <f>IF(K471="","",INDEX('同相3導体'!$B:$B,K471))</f>
        <v/>
      </c>
      <c r="M471">
        <f>IF(A471="","",IF(ABS(L471/A471-1)&lt;0.01,"周波数差&lt;1%","周波数差あり"))</f>
        <v/>
      </c>
    </row>
    <row r="472">
      <c r="A472" s="197" t="n"/>
      <c r="B472" s="198" t="n"/>
      <c r="C472" s="198" t="n"/>
      <c r="D472" s="195">
        <f>IF(K472="","",INDEX('同相3導体'!$AB:$AB,K472))</f>
        <v/>
      </c>
      <c r="E472" s="195">
        <f>IF(K472="","",INDEX('同相3導体'!$AC:$AC,K472))</f>
        <v/>
      </c>
      <c r="F472" s="195">
        <f>IF(OR(A472="",B472=""),"",100*(D472-B472)/MAX(B472,1E-12))</f>
        <v/>
      </c>
      <c r="G472" s="195">
        <f>IF(OR(A472="",C472=""),"",E472-C472)</f>
        <v/>
      </c>
      <c r="H472" s="195">
        <f>IF(A472="","",LOG10(A472))</f>
        <v/>
      </c>
      <c r="I472" s="195">
        <f>IF(B472="","",LOG10(MAX(B472,1E-12)))</f>
        <v/>
      </c>
      <c r="J472" s="195">
        <f>IF(D472="","",LOG10(MAX(D472,1E-12)))</f>
        <v/>
      </c>
      <c r="K472">
        <f>IF(A472="","",ROUND(1+(LOG10(A472)-LOG10('入力・概要'!$B$38))*('入力・概要'!$B$40-1)/(LOG10('入力・概要'!$B$39)-LOG10('入力・概要'!$B$38)),0)+3)</f>
        <v/>
      </c>
      <c r="L472">
        <f>IF(K472="","",INDEX('同相3導体'!$B:$B,K472))</f>
        <v/>
      </c>
      <c r="M472">
        <f>IF(A472="","",IF(ABS(L472/A472-1)&lt;0.01,"周波数差&lt;1%","周波数差あり"))</f>
        <v/>
      </c>
    </row>
    <row r="473">
      <c r="A473" s="197" t="n"/>
      <c r="B473" s="198" t="n"/>
      <c r="C473" s="198" t="n"/>
      <c r="D473" s="195">
        <f>IF(K473="","",INDEX('同相3導体'!$AB:$AB,K473))</f>
        <v/>
      </c>
      <c r="E473" s="195">
        <f>IF(K473="","",INDEX('同相3導体'!$AC:$AC,K473))</f>
        <v/>
      </c>
      <c r="F473" s="195">
        <f>IF(OR(A473="",B473=""),"",100*(D473-B473)/MAX(B473,1E-12))</f>
        <v/>
      </c>
      <c r="G473" s="195">
        <f>IF(OR(A473="",C473=""),"",E473-C473)</f>
        <v/>
      </c>
      <c r="H473" s="195">
        <f>IF(A473="","",LOG10(A473))</f>
        <v/>
      </c>
      <c r="I473" s="195">
        <f>IF(B473="","",LOG10(MAX(B473,1E-12)))</f>
        <v/>
      </c>
      <c r="J473" s="195">
        <f>IF(D473="","",LOG10(MAX(D473,1E-12)))</f>
        <v/>
      </c>
      <c r="K473">
        <f>IF(A473="","",ROUND(1+(LOG10(A473)-LOG10('入力・概要'!$B$38))*('入力・概要'!$B$40-1)/(LOG10('入力・概要'!$B$39)-LOG10('入力・概要'!$B$38)),0)+3)</f>
        <v/>
      </c>
      <c r="L473">
        <f>IF(K473="","",INDEX('同相3導体'!$B:$B,K473))</f>
        <v/>
      </c>
      <c r="M473">
        <f>IF(A473="","",IF(ABS(L473/A473-1)&lt;0.01,"周波数差&lt;1%","周波数差あり"))</f>
        <v/>
      </c>
    </row>
    <row r="474">
      <c r="A474" s="197" t="n"/>
      <c r="B474" s="198" t="n"/>
      <c r="C474" s="198" t="n"/>
      <c r="D474" s="195">
        <f>IF(K474="","",INDEX('同相3導体'!$AB:$AB,K474))</f>
        <v/>
      </c>
      <c r="E474" s="195">
        <f>IF(K474="","",INDEX('同相3導体'!$AC:$AC,K474))</f>
        <v/>
      </c>
      <c r="F474" s="195">
        <f>IF(OR(A474="",B474=""),"",100*(D474-B474)/MAX(B474,1E-12))</f>
        <v/>
      </c>
      <c r="G474" s="195">
        <f>IF(OR(A474="",C474=""),"",E474-C474)</f>
        <v/>
      </c>
      <c r="H474" s="195">
        <f>IF(A474="","",LOG10(A474))</f>
        <v/>
      </c>
      <c r="I474" s="195">
        <f>IF(B474="","",LOG10(MAX(B474,1E-12)))</f>
        <v/>
      </c>
      <c r="J474" s="195">
        <f>IF(D474="","",LOG10(MAX(D474,1E-12)))</f>
        <v/>
      </c>
      <c r="K474">
        <f>IF(A474="","",ROUND(1+(LOG10(A474)-LOG10('入力・概要'!$B$38))*('入力・概要'!$B$40-1)/(LOG10('入力・概要'!$B$39)-LOG10('入力・概要'!$B$38)),0)+3)</f>
        <v/>
      </c>
      <c r="L474">
        <f>IF(K474="","",INDEX('同相3導体'!$B:$B,K474))</f>
        <v/>
      </c>
      <c r="M474">
        <f>IF(A474="","",IF(ABS(L474/A474-1)&lt;0.01,"周波数差&lt;1%","周波数差あり"))</f>
        <v/>
      </c>
    </row>
    <row r="475">
      <c r="A475" s="197" t="n"/>
      <c r="B475" s="198" t="n"/>
      <c r="C475" s="198" t="n"/>
      <c r="D475" s="195">
        <f>IF(K475="","",INDEX('同相3導体'!$AB:$AB,K475))</f>
        <v/>
      </c>
      <c r="E475" s="195">
        <f>IF(K475="","",INDEX('同相3導体'!$AC:$AC,K475))</f>
        <v/>
      </c>
      <c r="F475" s="195">
        <f>IF(OR(A475="",B475=""),"",100*(D475-B475)/MAX(B475,1E-12))</f>
        <v/>
      </c>
      <c r="G475" s="195">
        <f>IF(OR(A475="",C475=""),"",E475-C475)</f>
        <v/>
      </c>
      <c r="H475" s="195">
        <f>IF(A475="","",LOG10(A475))</f>
        <v/>
      </c>
      <c r="I475" s="195">
        <f>IF(B475="","",LOG10(MAX(B475,1E-12)))</f>
        <v/>
      </c>
      <c r="J475" s="195">
        <f>IF(D475="","",LOG10(MAX(D475,1E-12)))</f>
        <v/>
      </c>
      <c r="K475">
        <f>IF(A475="","",ROUND(1+(LOG10(A475)-LOG10('入力・概要'!$B$38))*('入力・概要'!$B$40-1)/(LOG10('入力・概要'!$B$39)-LOG10('入力・概要'!$B$38)),0)+3)</f>
        <v/>
      </c>
      <c r="L475">
        <f>IF(K475="","",INDEX('同相3導体'!$B:$B,K475))</f>
        <v/>
      </c>
      <c r="M475">
        <f>IF(A475="","",IF(ABS(L475/A475-1)&lt;0.01,"周波数差&lt;1%","周波数差あり"))</f>
        <v/>
      </c>
    </row>
    <row r="476">
      <c r="A476" s="197" t="n"/>
      <c r="B476" s="198" t="n"/>
      <c r="C476" s="198" t="n"/>
      <c r="D476" s="195">
        <f>IF(K476="","",INDEX('同相3導体'!$AB:$AB,K476))</f>
        <v/>
      </c>
      <c r="E476" s="195">
        <f>IF(K476="","",INDEX('同相3導体'!$AC:$AC,K476))</f>
        <v/>
      </c>
      <c r="F476" s="195">
        <f>IF(OR(A476="",B476=""),"",100*(D476-B476)/MAX(B476,1E-12))</f>
        <v/>
      </c>
      <c r="G476" s="195">
        <f>IF(OR(A476="",C476=""),"",E476-C476)</f>
        <v/>
      </c>
      <c r="H476" s="195">
        <f>IF(A476="","",LOG10(A476))</f>
        <v/>
      </c>
      <c r="I476" s="195">
        <f>IF(B476="","",LOG10(MAX(B476,1E-12)))</f>
        <v/>
      </c>
      <c r="J476" s="195">
        <f>IF(D476="","",LOG10(MAX(D476,1E-12)))</f>
        <v/>
      </c>
      <c r="K476">
        <f>IF(A476="","",ROUND(1+(LOG10(A476)-LOG10('入力・概要'!$B$38))*('入力・概要'!$B$40-1)/(LOG10('入力・概要'!$B$39)-LOG10('入力・概要'!$B$38)),0)+3)</f>
        <v/>
      </c>
      <c r="L476">
        <f>IF(K476="","",INDEX('同相3導体'!$B:$B,K476))</f>
        <v/>
      </c>
      <c r="M476">
        <f>IF(A476="","",IF(ABS(L476/A476-1)&lt;0.01,"周波数差&lt;1%","周波数差あり"))</f>
        <v/>
      </c>
    </row>
    <row r="477">
      <c r="A477" s="197" t="n"/>
      <c r="B477" s="198" t="n"/>
      <c r="C477" s="198" t="n"/>
      <c r="D477" s="195">
        <f>IF(K477="","",INDEX('同相3導体'!$AB:$AB,K477))</f>
        <v/>
      </c>
      <c r="E477" s="195">
        <f>IF(K477="","",INDEX('同相3導体'!$AC:$AC,K477))</f>
        <v/>
      </c>
      <c r="F477" s="195">
        <f>IF(OR(A477="",B477=""),"",100*(D477-B477)/MAX(B477,1E-12))</f>
        <v/>
      </c>
      <c r="G477" s="195">
        <f>IF(OR(A477="",C477=""),"",E477-C477)</f>
        <v/>
      </c>
      <c r="H477" s="195">
        <f>IF(A477="","",LOG10(A477))</f>
        <v/>
      </c>
      <c r="I477" s="195">
        <f>IF(B477="","",LOG10(MAX(B477,1E-12)))</f>
        <v/>
      </c>
      <c r="J477" s="195">
        <f>IF(D477="","",LOG10(MAX(D477,1E-12)))</f>
        <v/>
      </c>
      <c r="K477">
        <f>IF(A477="","",ROUND(1+(LOG10(A477)-LOG10('入力・概要'!$B$38))*('入力・概要'!$B$40-1)/(LOG10('入力・概要'!$B$39)-LOG10('入力・概要'!$B$38)),0)+3)</f>
        <v/>
      </c>
      <c r="L477">
        <f>IF(K477="","",INDEX('同相3導体'!$B:$B,K477))</f>
        <v/>
      </c>
      <c r="M477">
        <f>IF(A477="","",IF(ABS(L477/A477-1)&lt;0.01,"周波数差&lt;1%","周波数差あり"))</f>
        <v/>
      </c>
    </row>
    <row r="478">
      <c r="A478" s="197" t="n"/>
      <c r="B478" s="198" t="n"/>
      <c r="C478" s="198" t="n"/>
      <c r="D478" s="195">
        <f>IF(K478="","",INDEX('同相3導体'!$AB:$AB,K478))</f>
        <v/>
      </c>
      <c r="E478" s="195">
        <f>IF(K478="","",INDEX('同相3導体'!$AC:$AC,K478))</f>
        <v/>
      </c>
      <c r="F478" s="195">
        <f>IF(OR(A478="",B478=""),"",100*(D478-B478)/MAX(B478,1E-12))</f>
        <v/>
      </c>
      <c r="G478" s="195">
        <f>IF(OR(A478="",C478=""),"",E478-C478)</f>
        <v/>
      </c>
      <c r="H478" s="195">
        <f>IF(A478="","",LOG10(A478))</f>
        <v/>
      </c>
      <c r="I478" s="195">
        <f>IF(B478="","",LOG10(MAX(B478,1E-12)))</f>
        <v/>
      </c>
      <c r="J478" s="195">
        <f>IF(D478="","",LOG10(MAX(D478,1E-12)))</f>
        <v/>
      </c>
      <c r="K478">
        <f>IF(A478="","",ROUND(1+(LOG10(A478)-LOG10('入力・概要'!$B$38))*('入力・概要'!$B$40-1)/(LOG10('入力・概要'!$B$39)-LOG10('入力・概要'!$B$38)),0)+3)</f>
        <v/>
      </c>
      <c r="L478">
        <f>IF(K478="","",INDEX('同相3導体'!$B:$B,K478))</f>
        <v/>
      </c>
      <c r="M478">
        <f>IF(A478="","",IF(ABS(L478/A478-1)&lt;0.01,"周波数差&lt;1%","周波数差あり"))</f>
        <v/>
      </c>
    </row>
    <row r="479">
      <c r="A479" s="197" t="n"/>
      <c r="B479" s="198" t="n"/>
      <c r="C479" s="198" t="n"/>
      <c r="D479" s="195">
        <f>IF(K479="","",INDEX('同相3導体'!$AB:$AB,K479))</f>
        <v/>
      </c>
      <c r="E479" s="195">
        <f>IF(K479="","",INDEX('同相3導体'!$AC:$AC,K479))</f>
        <v/>
      </c>
      <c r="F479" s="195">
        <f>IF(OR(A479="",B479=""),"",100*(D479-B479)/MAX(B479,1E-12))</f>
        <v/>
      </c>
      <c r="G479" s="195">
        <f>IF(OR(A479="",C479=""),"",E479-C479)</f>
        <v/>
      </c>
      <c r="H479" s="195">
        <f>IF(A479="","",LOG10(A479))</f>
        <v/>
      </c>
      <c r="I479" s="195">
        <f>IF(B479="","",LOG10(MAX(B479,1E-12)))</f>
        <v/>
      </c>
      <c r="J479" s="195">
        <f>IF(D479="","",LOG10(MAX(D479,1E-12)))</f>
        <v/>
      </c>
      <c r="K479">
        <f>IF(A479="","",ROUND(1+(LOG10(A479)-LOG10('入力・概要'!$B$38))*('入力・概要'!$B$40-1)/(LOG10('入力・概要'!$B$39)-LOG10('入力・概要'!$B$38)),0)+3)</f>
        <v/>
      </c>
      <c r="L479">
        <f>IF(K479="","",INDEX('同相3導体'!$B:$B,K479))</f>
        <v/>
      </c>
      <c r="M479">
        <f>IF(A479="","",IF(ABS(L479/A479-1)&lt;0.01,"周波数差&lt;1%","周波数差あり"))</f>
        <v/>
      </c>
    </row>
    <row r="480">
      <c r="A480" s="197" t="n"/>
      <c r="B480" s="198" t="n"/>
      <c r="C480" s="198" t="n"/>
      <c r="D480" s="195">
        <f>IF(K480="","",INDEX('同相3導体'!$AB:$AB,K480))</f>
        <v/>
      </c>
      <c r="E480" s="195">
        <f>IF(K480="","",INDEX('同相3導体'!$AC:$AC,K480))</f>
        <v/>
      </c>
      <c r="F480" s="195">
        <f>IF(OR(A480="",B480=""),"",100*(D480-B480)/MAX(B480,1E-12))</f>
        <v/>
      </c>
      <c r="G480" s="195">
        <f>IF(OR(A480="",C480=""),"",E480-C480)</f>
        <v/>
      </c>
      <c r="H480" s="195">
        <f>IF(A480="","",LOG10(A480))</f>
        <v/>
      </c>
      <c r="I480" s="195">
        <f>IF(B480="","",LOG10(MAX(B480,1E-12)))</f>
        <v/>
      </c>
      <c r="J480" s="195">
        <f>IF(D480="","",LOG10(MAX(D480,1E-12)))</f>
        <v/>
      </c>
      <c r="K480">
        <f>IF(A480="","",ROUND(1+(LOG10(A480)-LOG10('入力・概要'!$B$38))*('入力・概要'!$B$40-1)/(LOG10('入力・概要'!$B$39)-LOG10('入力・概要'!$B$38)),0)+3)</f>
        <v/>
      </c>
      <c r="L480">
        <f>IF(K480="","",INDEX('同相3導体'!$B:$B,K480))</f>
        <v/>
      </c>
      <c r="M480">
        <f>IF(A480="","",IF(ABS(L480/A480-1)&lt;0.01,"周波数差&lt;1%","周波数差あり"))</f>
        <v/>
      </c>
    </row>
    <row r="481">
      <c r="A481" s="197" t="n"/>
      <c r="B481" s="198" t="n"/>
      <c r="C481" s="198" t="n"/>
      <c r="D481" s="195">
        <f>IF(K481="","",INDEX('同相3導体'!$AB:$AB,K481))</f>
        <v/>
      </c>
      <c r="E481" s="195">
        <f>IF(K481="","",INDEX('同相3導体'!$AC:$AC,K481))</f>
        <v/>
      </c>
      <c r="F481" s="195">
        <f>IF(OR(A481="",B481=""),"",100*(D481-B481)/MAX(B481,1E-12))</f>
        <v/>
      </c>
      <c r="G481" s="195">
        <f>IF(OR(A481="",C481=""),"",E481-C481)</f>
        <v/>
      </c>
      <c r="H481" s="195">
        <f>IF(A481="","",LOG10(A481))</f>
        <v/>
      </c>
      <c r="I481" s="195">
        <f>IF(B481="","",LOG10(MAX(B481,1E-12)))</f>
        <v/>
      </c>
      <c r="J481" s="195">
        <f>IF(D481="","",LOG10(MAX(D481,1E-12)))</f>
        <v/>
      </c>
      <c r="K481">
        <f>IF(A481="","",ROUND(1+(LOG10(A481)-LOG10('入力・概要'!$B$38))*('入力・概要'!$B$40-1)/(LOG10('入力・概要'!$B$39)-LOG10('入力・概要'!$B$38)),0)+3)</f>
        <v/>
      </c>
      <c r="L481">
        <f>IF(K481="","",INDEX('同相3導体'!$B:$B,K481))</f>
        <v/>
      </c>
      <c r="M481">
        <f>IF(A481="","",IF(ABS(L481/A481-1)&lt;0.01,"周波数差&lt;1%","周波数差あり"))</f>
        <v/>
      </c>
    </row>
    <row r="482">
      <c r="A482" s="197" t="n"/>
      <c r="B482" s="198" t="n"/>
      <c r="C482" s="198" t="n"/>
      <c r="D482" s="195">
        <f>IF(K482="","",INDEX('同相3導体'!$AB:$AB,K482))</f>
        <v/>
      </c>
      <c r="E482" s="195">
        <f>IF(K482="","",INDEX('同相3導体'!$AC:$AC,K482))</f>
        <v/>
      </c>
      <c r="F482" s="195">
        <f>IF(OR(A482="",B482=""),"",100*(D482-B482)/MAX(B482,1E-12))</f>
        <v/>
      </c>
      <c r="G482" s="195">
        <f>IF(OR(A482="",C482=""),"",E482-C482)</f>
        <v/>
      </c>
      <c r="H482" s="195">
        <f>IF(A482="","",LOG10(A482))</f>
        <v/>
      </c>
      <c r="I482" s="195">
        <f>IF(B482="","",LOG10(MAX(B482,1E-12)))</f>
        <v/>
      </c>
      <c r="J482" s="195">
        <f>IF(D482="","",LOG10(MAX(D482,1E-12)))</f>
        <v/>
      </c>
      <c r="K482">
        <f>IF(A482="","",ROUND(1+(LOG10(A482)-LOG10('入力・概要'!$B$38))*('入力・概要'!$B$40-1)/(LOG10('入力・概要'!$B$39)-LOG10('入力・概要'!$B$38)),0)+3)</f>
        <v/>
      </c>
      <c r="L482">
        <f>IF(K482="","",INDEX('同相3導体'!$B:$B,K482))</f>
        <v/>
      </c>
      <c r="M482">
        <f>IF(A482="","",IF(ABS(L482/A482-1)&lt;0.01,"周波数差&lt;1%","周波数差あり"))</f>
        <v/>
      </c>
    </row>
    <row r="483">
      <c r="A483" s="197" t="n"/>
      <c r="B483" s="198" t="n"/>
      <c r="C483" s="198" t="n"/>
      <c r="D483" s="195">
        <f>IF(K483="","",INDEX('同相3導体'!$AB:$AB,K483))</f>
        <v/>
      </c>
      <c r="E483" s="195">
        <f>IF(K483="","",INDEX('同相3導体'!$AC:$AC,K483))</f>
        <v/>
      </c>
      <c r="F483" s="195">
        <f>IF(OR(A483="",B483=""),"",100*(D483-B483)/MAX(B483,1E-12))</f>
        <v/>
      </c>
      <c r="G483" s="195">
        <f>IF(OR(A483="",C483=""),"",E483-C483)</f>
        <v/>
      </c>
      <c r="H483" s="195">
        <f>IF(A483="","",LOG10(A483))</f>
        <v/>
      </c>
      <c r="I483" s="195">
        <f>IF(B483="","",LOG10(MAX(B483,1E-12)))</f>
        <v/>
      </c>
      <c r="J483" s="195">
        <f>IF(D483="","",LOG10(MAX(D483,1E-12)))</f>
        <v/>
      </c>
      <c r="K483">
        <f>IF(A483="","",ROUND(1+(LOG10(A483)-LOG10('入力・概要'!$B$38))*('入力・概要'!$B$40-1)/(LOG10('入力・概要'!$B$39)-LOG10('入力・概要'!$B$38)),0)+3)</f>
        <v/>
      </c>
      <c r="L483">
        <f>IF(K483="","",INDEX('同相3導体'!$B:$B,K483))</f>
        <v/>
      </c>
      <c r="M483">
        <f>IF(A483="","",IF(ABS(L483/A483-1)&lt;0.01,"周波数差&lt;1%","周波数差あり"))</f>
        <v/>
      </c>
    </row>
    <row r="484">
      <c r="A484" s="197" t="n"/>
      <c r="B484" s="198" t="n"/>
      <c r="C484" s="198" t="n"/>
      <c r="D484" s="195">
        <f>IF(K484="","",INDEX('同相3導体'!$AB:$AB,K484))</f>
        <v/>
      </c>
      <c r="E484" s="195">
        <f>IF(K484="","",INDEX('同相3導体'!$AC:$AC,K484))</f>
        <v/>
      </c>
      <c r="F484" s="195">
        <f>IF(OR(A484="",B484=""),"",100*(D484-B484)/MAX(B484,1E-12))</f>
        <v/>
      </c>
      <c r="G484" s="195">
        <f>IF(OR(A484="",C484=""),"",E484-C484)</f>
        <v/>
      </c>
      <c r="H484" s="195">
        <f>IF(A484="","",LOG10(A484))</f>
        <v/>
      </c>
      <c r="I484" s="195">
        <f>IF(B484="","",LOG10(MAX(B484,1E-12)))</f>
        <v/>
      </c>
      <c r="J484" s="195">
        <f>IF(D484="","",LOG10(MAX(D484,1E-12)))</f>
        <v/>
      </c>
      <c r="K484">
        <f>IF(A484="","",ROUND(1+(LOG10(A484)-LOG10('入力・概要'!$B$38))*('入力・概要'!$B$40-1)/(LOG10('入力・概要'!$B$39)-LOG10('入力・概要'!$B$38)),0)+3)</f>
        <v/>
      </c>
      <c r="L484">
        <f>IF(K484="","",INDEX('同相3導体'!$B:$B,K484))</f>
        <v/>
      </c>
      <c r="M484">
        <f>IF(A484="","",IF(ABS(L484/A484-1)&lt;0.01,"周波数差&lt;1%","周波数差あり"))</f>
        <v/>
      </c>
    </row>
    <row r="485">
      <c r="A485" s="197" t="n"/>
      <c r="B485" s="198" t="n"/>
      <c r="C485" s="198" t="n"/>
      <c r="D485" s="195">
        <f>IF(K485="","",INDEX('同相3導体'!$AB:$AB,K485))</f>
        <v/>
      </c>
      <c r="E485" s="195">
        <f>IF(K485="","",INDEX('同相3導体'!$AC:$AC,K485))</f>
        <v/>
      </c>
      <c r="F485" s="195">
        <f>IF(OR(A485="",B485=""),"",100*(D485-B485)/MAX(B485,1E-12))</f>
        <v/>
      </c>
      <c r="G485" s="195">
        <f>IF(OR(A485="",C485=""),"",E485-C485)</f>
        <v/>
      </c>
      <c r="H485" s="195">
        <f>IF(A485="","",LOG10(A485))</f>
        <v/>
      </c>
      <c r="I485" s="195">
        <f>IF(B485="","",LOG10(MAX(B485,1E-12)))</f>
        <v/>
      </c>
      <c r="J485" s="195">
        <f>IF(D485="","",LOG10(MAX(D485,1E-12)))</f>
        <v/>
      </c>
      <c r="K485">
        <f>IF(A485="","",ROUND(1+(LOG10(A485)-LOG10('入力・概要'!$B$38))*('入力・概要'!$B$40-1)/(LOG10('入力・概要'!$B$39)-LOG10('入力・概要'!$B$38)),0)+3)</f>
        <v/>
      </c>
      <c r="L485">
        <f>IF(K485="","",INDEX('同相3導体'!$B:$B,K485))</f>
        <v/>
      </c>
      <c r="M485">
        <f>IF(A485="","",IF(ABS(L485/A485-1)&lt;0.01,"周波数差&lt;1%","周波数差あり"))</f>
        <v/>
      </c>
    </row>
    <row r="486">
      <c r="A486" s="197" t="n"/>
      <c r="B486" s="198" t="n"/>
      <c r="C486" s="198" t="n"/>
      <c r="D486" s="195">
        <f>IF(K486="","",INDEX('同相3導体'!$AB:$AB,K486))</f>
        <v/>
      </c>
      <c r="E486" s="195">
        <f>IF(K486="","",INDEX('同相3導体'!$AC:$AC,K486))</f>
        <v/>
      </c>
      <c r="F486" s="195">
        <f>IF(OR(A486="",B486=""),"",100*(D486-B486)/MAX(B486,1E-12))</f>
        <v/>
      </c>
      <c r="G486" s="195">
        <f>IF(OR(A486="",C486=""),"",E486-C486)</f>
        <v/>
      </c>
      <c r="H486" s="195">
        <f>IF(A486="","",LOG10(A486))</f>
        <v/>
      </c>
      <c r="I486" s="195">
        <f>IF(B486="","",LOG10(MAX(B486,1E-12)))</f>
        <v/>
      </c>
      <c r="J486" s="195">
        <f>IF(D486="","",LOG10(MAX(D486,1E-12)))</f>
        <v/>
      </c>
      <c r="K486">
        <f>IF(A486="","",ROUND(1+(LOG10(A486)-LOG10('入力・概要'!$B$38))*('入力・概要'!$B$40-1)/(LOG10('入力・概要'!$B$39)-LOG10('入力・概要'!$B$38)),0)+3)</f>
        <v/>
      </c>
      <c r="L486">
        <f>IF(K486="","",INDEX('同相3導体'!$B:$B,K486))</f>
        <v/>
      </c>
      <c r="M486">
        <f>IF(A486="","",IF(ABS(L486/A486-1)&lt;0.01,"周波数差&lt;1%","周波数差あり"))</f>
        <v/>
      </c>
    </row>
    <row r="487">
      <c r="A487" s="197" t="n"/>
      <c r="B487" s="198" t="n"/>
      <c r="C487" s="198" t="n"/>
      <c r="D487" s="195">
        <f>IF(K487="","",INDEX('同相3導体'!$AB:$AB,K487))</f>
        <v/>
      </c>
      <c r="E487" s="195">
        <f>IF(K487="","",INDEX('同相3導体'!$AC:$AC,K487))</f>
        <v/>
      </c>
      <c r="F487" s="195">
        <f>IF(OR(A487="",B487=""),"",100*(D487-B487)/MAX(B487,1E-12))</f>
        <v/>
      </c>
      <c r="G487" s="195">
        <f>IF(OR(A487="",C487=""),"",E487-C487)</f>
        <v/>
      </c>
      <c r="H487" s="195">
        <f>IF(A487="","",LOG10(A487))</f>
        <v/>
      </c>
      <c r="I487" s="195">
        <f>IF(B487="","",LOG10(MAX(B487,1E-12)))</f>
        <v/>
      </c>
      <c r="J487" s="195">
        <f>IF(D487="","",LOG10(MAX(D487,1E-12)))</f>
        <v/>
      </c>
      <c r="K487">
        <f>IF(A487="","",ROUND(1+(LOG10(A487)-LOG10('入力・概要'!$B$38))*('入力・概要'!$B$40-1)/(LOG10('入力・概要'!$B$39)-LOG10('入力・概要'!$B$38)),0)+3)</f>
        <v/>
      </c>
      <c r="L487">
        <f>IF(K487="","",INDEX('同相3導体'!$B:$B,K487))</f>
        <v/>
      </c>
      <c r="M487">
        <f>IF(A487="","",IF(ABS(L487/A487-1)&lt;0.01,"周波数差&lt;1%","周波数差あり"))</f>
        <v/>
      </c>
    </row>
    <row r="488">
      <c r="A488" s="197" t="n"/>
      <c r="B488" s="198" t="n"/>
      <c r="C488" s="198" t="n"/>
      <c r="D488" s="195">
        <f>IF(K488="","",INDEX('同相3導体'!$AB:$AB,K488))</f>
        <v/>
      </c>
      <c r="E488" s="195">
        <f>IF(K488="","",INDEX('同相3導体'!$AC:$AC,K488))</f>
        <v/>
      </c>
      <c r="F488" s="195">
        <f>IF(OR(A488="",B488=""),"",100*(D488-B488)/MAX(B488,1E-12))</f>
        <v/>
      </c>
      <c r="G488" s="195">
        <f>IF(OR(A488="",C488=""),"",E488-C488)</f>
        <v/>
      </c>
      <c r="H488" s="195">
        <f>IF(A488="","",LOG10(A488))</f>
        <v/>
      </c>
      <c r="I488" s="195">
        <f>IF(B488="","",LOG10(MAX(B488,1E-12)))</f>
        <v/>
      </c>
      <c r="J488" s="195">
        <f>IF(D488="","",LOG10(MAX(D488,1E-12)))</f>
        <v/>
      </c>
      <c r="K488">
        <f>IF(A488="","",ROUND(1+(LOG10(A488)-LOG10('入力・概要'!$B$38))*('入力・概要'!$B$40-1)/(LOG10('入力・概要'!$B$39)-LOG10('入力・概要'!$B$38)),0)+3)</f>
        <v/>
      </c>
      <c r="L488">
        <f>IF(K488="","",INDEX('同相3導体'!$B:$B,K488))</f>
        <v/>
      </c>
      <c r="M488">
        <f>IF(A488="","",IF(ABS(L488/A488-1)&lt;0.01,"周波数差&lt;1%","周波数差あり"))</f>
        <v/>
      </c>
    </row>
    <row r="489">
      <c r="A489" s="197" t="n"/>
      <c r="B489" s="198" t="n"/>
      <c r="C489" s="198" t="n"/>
      <c r="D489" s="195">
        <f>IF(K489="","",INDEX('同相3導体'!$AB:$AB,K489))</f>
        <v/>
      </c>
      <c r="E489" s="195">
        <f>IF(K489="","",INDEX('同相3導体'!$AC:$AC,K489))</f>
        <v/>
      </c>
      <c r="F489" s="195">
        <f>IF(OR(A489="",B489=""),"",100*(D489-B489)/MAX(B489,1E-12))</f>
        <v/>
      </c>
      <c r="G489" s="195">
        <f>IF(OR(A489="",C489=""),"",E489-C489)</f>
        <v/>
      </c>
      <c r="H489" s="195">
        <f>IF(A489="","",LOG10(A489))</f>
        <v/>
      </c>
      <c r="I489" s="195">
        <f>IF(B489="","",LOG10(MAX(B489,1E-12)))</f>
        <v/>
      </c>
      <c r="J489" s="195">
        <f>IF(D489="","",LOG10(MAX(D489,1E-12)))</f>
        <v/>
      </c>
      <c r="K489">
        <f>IF(A489="","",ROUND(1+(LOG10(A489)-LOG10('入力・概要'!$B$38))*('入力・概要'!$B$40-1)/(LOG10('入力・概要'!$B$39)-LOG10('入力・概要'!$B$38)),0)+3)</f>
        <v/>
      </c>
      <c r="L489">
        <f>IF(K489="","",INDEX('同相3導体'!$B:$B,K489))</f>
        <v/>
      </c>
      <c r="M489">
        <f>IF(A489="","",IF(ABS(L489/A489-1)&lt;0.01,"周波数差&lt;1%","周波数差あり"))</f>
        <v/>
      </c>
    </row>
    <row r="490">
      <c r="A490" s="197" t="n"/>
      <c r="B490" s="198" t="n"/>
      <c r="C490" s="198" t="n"/>
      <c r="D490" s="195">
        <f>IF(K490="","",INDEX('同相3導体'!$AB:$AB,K490))</f>
        <v/>
      </c>
      <c r="E490" s="195">
        <f>IF(K490="","",INDEX('同相3導体'!$AC:$AC,K490))</f>
        <v/>
      </c>
      <c r="F490" s="195">
        <f>IF(OR(A490="",B490=""),"",100*(D490-B490)/MAX(B490,1E-12))</f>
        <v/>
      </c>
      <c r="G490" s="195">
        <f>IF(OR(A490="",C490=""),"",E490-C490)</f>
        <v/>
      </c>
      <c r="H490" s="195">
        <f>IF(A490="","",LOG10(A490))</f>
        <v/>
      </c>
      <c r="I490" s="195">
        <f>IF(B490="","",LOG10(MAX(B490,1E-12)))</f>
        <v/>
      </c>
      <c r="J490" s="195">
        <f>IF(D490="","",LOG10(MAX(D490,1E-12)))</f>
        <v/>
      </c>
      <c r="K490">
        <f>IF(A490="","",ROUND(1+(LOG10(A490)-LOG10('入力・概要'!$B$38))*('入力・概要'!$B$40-1)/(LOG10('入力・概要'!$B$39)-LOG10('入力・概要'!$B$38)),0)+3)</f>
        <v/>
      </c>
      <c r="L490">
        <f>IF(K490="","",INDEX('同相3導体'!$B:$B,K490))</f>
        <v/>
      </c>
      <c r="M490">
        <f>IF(A490="","",IF(ABS(L490/A490-1)&lt;0.01,"周波数差&lt;1%","周波数差あり"))</f>
        <v/>
      </c>
    </row>
    <row r="491">
      <c r="A491" s="197" t="n"/>
      <c r="B491" s="198" t="n"/>
      <c r="C491" s="198" t="n"/>
      <c r="D491" s="195">
        <f>IF(K491="","",INDEX('同相3導体'!$AB:$AB,K491))</f>
        <v/>
      </c>
      <c r="E491" s="195">
        <f>IF(K491="","",INDEX('同相3導体'!$AC:$AC,K491))</f>
        <v/>
      </c>
      <c r="F491" s="195">
        <f>IF(OR(A491="",B491=""),"",100*(D491-B491)/MAX(B491,1E-12))</f>
        <v/>
      </c>
      <c r="G491" s="195">
        <f>IF(OR(A491="",C491=""),"",E491-C491)</f>
        <v/>
      </c>
      <c r="H491" s="195">
        <f>IF(A491="","",LOG10(A491))</f>
        <v/>
      </c>
      <c r="I491" s="195">
        <f>IF(B491="","",LOG10(MAX(B491,1E-12)))</f>
        <v/>
      </c>
      <c r="J491" s="195">
        <f>IF(D491="","",LOG10(MAX(D491,1E-12)))</f>
        <v/>
      </c>
      <c r="K491">
        <f>IF(A491="","",ROUND(1+(LOG10(A491)-LOG10('入力・概要'!$B$38))*('入力・概要'!$B$40-1)/(LOG10('入力・概要'!$B$39)-LOG10('入力・概要'!$B$38)),0)+3)</f>
        <v/>
      </c>
      <c r="L491">
        <f>IF(K491="","",INDEX('同相3導体'!$B:$B,K491))</f>
        <v/>
      </c>
      <c r="M491">
        <f>IF(A491="","",IF(ABS(L491/A491-1)&lt;0.01,"周波数差&lt;1%","周波数差あり"))</f>
        <v/>
      </c>
    </row>
    <row r="492">
      <c r="A492" s="197" t="n"/>
      <c r="B492" s="198" t="n"/>
      <c r="C492" s="198" t="n"/>
      <c r="D492" s="195">
        <f>IF(K492="","",INDEX('同相3導体'!$AB:$AB,K492))</f>
        <v/>
      </c>
      <c r="E492" s="195">
        <f>IF(K492="","",INDEX('同相3導体'!$AC:$AC,K492))</f>
        <v/>
      </c>
      <c r="F492" s="195">
        <f>IF(OR(A492="",B492=""),"",100*(D492-B492)/MAX(B492,1E-12))</f>
        <v/>
      </c>
      <c r="G492" s="195">
        <f>IF(OR(A492="",C492=""),"",E492-C492)</f>
        <v/>
      </c>
      <c r="H492" s="195">
        <f>IF(A492="","",LOG10(A492))</f>
        <v/>
      </c>
      <c r="I492" s="195">
        <f>IF(B492="","",LOG10(MAX(B492,1E-12)))</f>
        <v/>
      </c>
      <c r="J492" s="195">
        <f>IF(D492="","",LOG10(MAX(D492,1E-12)))</f>
        <v/>
      </c>
      <c r="K492">
        <f>IF(A492="","",ROUND(1+(LOG10(A492)-LOG10('入力・概要'!$B$38))*('入力・概要'!$B$40-1)/(LOG10('入力・概要'!$B$39)-LOG10('入力・概要'!$B$38)),0)+3)</f>
        <v/>
      </c>
      <c r="L492">
        <f>IF(K492="","",INDEX('同相3導体'!$B:$B,K492))</f>
        <v/>
      </c>
      <c r="M492">
        <f>IF(A492="","",IF(ABS(L492/A492-1)&lt;0.01,"周波数差&lt;1%","周波数差あり"))</f>
        <v/>
      </c>
    </row>
    <row r="493">
      <c r="A493" s="197" t="n"/>
      <c r="B493" s="198" t="n"/>
      <c r="C493" s="198" t="n"/>
      <c r="D493" s="195">
        <f>IF(K493="","",INDEX('同相3導体'!$AB:$AB,K493))</f>
        <v/>
      </c>
      <c r="E493" s="195">
        <f>IF(K493="","",INDEX('同相3導体'!$AC:$AC,K493))</f>
        <v/>
      </c>
      <c r="F493" s="195">
        <f>IF(OR(A493="",B493=""),"",100*(D493-B493)/MAX(B493,1E-12))</f>
        <v/>
      </c>
      <c r="G493" s="195">
        <f>IF(OR(A493="",C493=""),"",E493-C493)</f>
        <v/>
      </c>
      <c r="H493" s="195">
        <f>IF(A493="","",LOG10(A493))</f>
        <v/>
      </c>
      <c r="I493" s="195">
        <f>IF(B493="","",LOG10(MAX(B493,1E-12)))</f>
        <v/>
      </c>
      <c r="J493" s="195">
        <f>IF(D493="","",LOG10(MAX(D493,1E-12)))</f>
        <v/>
      </c>
      <c r="K493">
        <f>IF(A493="","",ROUND(1+(LOG10(A493)-LOG10('入力・概要'!$B$38))*('入力・概要'!$B$40-1)/(LOG10('入力・概要'!$B$39)-LOG10('入力・概要'!$B$38)),0)+3)</f>
        <v/>
      </c>
      <c r="L493">
        <f>IF(K493="","",INDEX('同相3導体'!$B:$B,K493))</f>
        <v/>
      </c>
      <c r="M493">
        <f>IF(A493="","",IF(ABS(L493/A493-1)&lt;0.01,"周波数差&lt;1%","周波数差あり"))</f>
        <v/>
      </c>
    </row>
    <row r="494">
      <c r="A494" s="197" t="n"/>
      <c r="B494" s="198" t="n"/>
      <c r="C494" s="198" t="n"/>
      <c r="D494" s="195">
        <f>IF(K494="","",INDEX('同相3導体'!$AB:$AB,K494))</f>
        <v/>
      </c>
      <c r="E494" s="195">
        <f>IF(K494="","",INDEX('同相3導体'!$AC:$AC,K494))</f>
        <v/>
      </c>
      <c r="F494" s="195">
        <f>IF(OR(A494="",B494=""),"",100*(D494-B494)/MAX(B494,1E-12))</f>
        <v/>
      </c>
      <c r="G494" s="195">
        <f>IF(OR(A494="",C494=""),"",E494-C494)</f>
        <v/>
      </c>
      <c r="H494" s="195">
        <f>IF(A494="","",LOG10(A494))</f>
        <v/>
      </c>
      <c r="I494" s="195">
        <f>IF(B494="","",LOG10(MAX(B494,1E-12)))</f>
        <v/>
      </c>
      <c r="J494" s="195">
        <f>IF(D494="","",LOG10(MAX(D494,1E-12)))</f>
        <v/>
      </c>
      <c r="K494">
        <f>IF(A494="","",ROUND(1+(LOG10(A494)-LOG10('入力・概要'!$B$38))*('入力・概要'!$B$40-1)/(LOG10('入力・概要'!$B$39)-LOG10('入力・概要'!$B$38)),0)+3)</f>
        <v/>
      </c>
      <c r="L494">
        <f>IF(K494="","",INDEX('同相3導体'!$B:$B,K494))</f>
        <v/>
      </c>
      <c r="M494">
        <f>IF(A494="","",IF(ABS(L494/A494-1)&lt;0.01,"周波数差&lt;1%","周波数差あり"))</f>
        <v/>
      </c>
    </row>
    <row r="495">
      <c r="A495" s="197" t="n"/>
      <c r="B495" s="198" t="n"/>
      <c r="C495" s="198" t="n"/>
      <c r="D495" s="195">
        <f>IF(K495="","",INDEX('同相3導体'!$AB:$AB,K495))</f>
        <v/>
      </c>
      <c r="E495" s="195">
        <f>IF(K495="","",INDEX('同相3導体'!$AC:$AC,K495))</f>
        <v/>
      </c>
      <c r="F495" s="195">
        <f>IF(OR(A495="",B495=""),"",100*(D495-B495)/MAX(B495,1E-12))</f>
        <v/>
      </c>
      <c r="G495" s="195">
        <f>IF(OR(A495="",C495=""),"",E495-C495)</f>
        <v/>
      </c>
      <c r="H495" s="195">
        <f>IF(A495="","",LOG10(A495))</f>
        <v/>
      </c>
      <c r="I495" s="195">
        <f>IF(B495="","",LOG10(MAX(B495,1E-12)))</f>
        <v/>
      </c>
      <c r="J495" s="195">
        <f>IF(D495="","",LOG10(MAX(D495,1E-12)))</f>
        <v/>
      </c>
      <c r="K495">
        <f>IF(A495="","",ROUND(1+(LOG10(A495)-LOG10('入力・概要'!$B$38))*('入力・概要'!$B$40-1)/(LOG10('入力・概要'!$B$39)-LOG10('入力・概要'!$B$38)),0)+3)</f>
        <v/>
      </c>
      <c r="L495">
        <f>IF(K495="","",INDEX('同相3導体'!$B:$B,K495))</f>
        <v/>
      </c>
      <c r="M495">
        <f>IF(A495="","",IF(ABS(L495/A495-1)&lt;0.01,"周波数差&lt;1%","周波数差あり"))</f>
        <v/>
      </c>
    </row>
    <row r="496">
      <c r="A496" s="197" t="n"/>
      <c r="B496" s="198" t="n"/>
      <c r="C496" s="198" t="n"/>
      <c r="D496" s="195">
        <f>IF(K496="","",INDEX('同相3導体'!$AB:$AB,K496))</f>
        <v/>
      </c>
      <c r="E496" s="195">
        <f>IF(K496="","",INDEX('同相3導体'!$AC:$AC,K496))</f>
        <v/>
      </c>
      <c r="F496" s="195">
        <f>IF(OR(A496="",B496=""),"",100*(D496-B496)/MAX(B496,1E-12))</f>
        <v/>
      </c>
      <c r="G496" s="195">
        <f>IF(OR(A496="",C496=""),"",E496-C496)</f>
        <v/>
      </c>
      <c r="H496" s="195">
        <f>IF(A496="","",LOG10(A496))</f>
        <v/>
      </c>
      <c r="I496" s="195">
        <f>IF(B496="","",LOG10(MAX(B496,1E-12)))</f>
        <v/>
      </c>
      <c r="J496" s="195">
        <f>IF(D496="","",LOG10(MAX(D496,1E-12)))</f>
        <v/>
      </c>
      <c r="K496">
        <f>IF(A496="","",ROUND(1+(LOG10(A496)-LOG10('入力・概要'!$B$38))*('入力・概要'!$B$40-1)/(LOG10('入力・概要'!$B$39)-LOG10('入力・概要'!$B$38)),0)+3)</f>
        <v/>
      </c>
      <c r="L496">
        <f>IF(K496="","",INDEX('同相3導体'!$B:$B,K496))</f>
        <v/>
      </c>
      <c r="M496">
        <f>IF(A496="","",IF(ABS(L496/A496-1)&lt;0.01,"周波数差&lt;1%","周波数差あり"))</f>
        <v/>
      </c>
    </row>
    <row r="497">
      <c r="A497" s="197" t="n"/>
      <c r="B497" s="198" t="n"/>
      <c r="C497" s="198" t="n"/>
      <c r="D497" s="195">
        <f>IF(K497="","",INDEX('同相3導体'!$AB:$AB,K497))</f>
        <v/>
      </c>
      <c r="E497" s="195">
        <f>IF(K497="","",INDEX('同相3導体'!$AC:$AC,K497))</f>
        <v/>
      </c>
      <c r="F497" s="195">
        <f>IF(OR(A497="",B497=""),"",100*(D497-B497)/MAX(B497,1E-12))</f>
        <v/>
      </c>
      <c r="G497" s="195">
        <f>IF(OR(A497="",C497=""),"",E497-C497)</f>
        <v/>
      </c>
      <c r="H497" s="195">
        <f>IF(A497="","",LOG10(A497))</f>
        <v/>
      </c>
      <c r="I497" s="195">
        <f>IF(B497="","",LOG10(MAX(B497,1E-12)))</f>
        <v/>
      </c>
      <c r="J497" s="195">
        <f>IF(D497="","",LOG10(MAX(D497,1E-12)))</f>
        <v/>
      </c>
      <c r="K497">
        <f>IF(A497="","",ROUND(1+(LOG10(A497)-LOG10('入力・概要'!$B$38))*('入力・概要'!$B$40-1)/(LOG10('入力・概要'!$B$39)-LOG10('入力・概要'!$B$38)),0)+3)</f>
        <v/>
      </c>
      <c r="L497">
        <f>IF(K497="","",INDEX('同相3導体'!$B:$B,K497))</f>
        <v/>
      </c>
      <c r="M497">
        <f>IF(A497="","",IF(ABS(L497/A497-1)&lt;0.01,"周波数差&lt;1%","周波数差あり"))</f>
        <v/>
      </c>
    </row>
    <row r="498">
      <c r="A498" s="197" t="n"/>
      <c r="B498" s="198" t="n"/>
      <c r="C498" s="198" t="n"/>
      <c r="D498" s="195">
        <f>IF(K498="","",INDEX('同相3導体'!$AB:$AB,K498))</f>
        <v/>
      </c>
      <c r="E498" s="195">
        <f>IF(K498="","",INDEX('同相3導体'!$AC:$AC,K498))</f>
        <v/>
      </c>
      <c r="F498" s="195">
        <f>IF(OR(A498="",B498=""),"",100*(D498-B498)/MAX(B498,1E-12))</f>
        <v/>
      </c>
      <c r="G498" s="195">
        <f>IF(OR(A498="",C498=""),"",E498-C498)</f>
        <v/>
      </c>
      <c r="H498" s="195">
        <f>IF(A498="","",LOG10(A498))</f>
        <v/>
      </c>
      <c r="I498" s="195">
        <f>IF(B498="","",LOG10(MAX(B498,1E-12)))</f>
        <v/>
      </c>
      <c r="J498" s="195">
        <f>IF(D498="","",LOG10(MAX(D498,1E-12)))</f>
        <v/>
      </c>
      <c r="K498">
        <f>IF(A498="","",ROUND(1+(LOG10(A498)-LOG10('入力・概要'!$B$38))*('入力・概要'!$B$40-1)/(LOG10('入力・概要'!$B$39)-LOG10('入力・概要'!$B$38)),0)+3)</f>
        <v/>
      </c>
      <c r="L498">
        <f>IF(K498="","",INDEX('同相3導体'!$B:$B,K498))</f>
        <v/>
      </c>
      <c r="M498">
        <f>IF(A498="","",IF(ABS(L498/A498-1)&lt;0.01,"周波数差&lt;1%","周波数差あり"))</f>
        <v/>
      </c>
    </row>
    <row r="499">
      <c r="A499" s="197" t="n"/>
      <c r="B499" s="198" t="n"/>
      <c r="C499" s="198" t="n"/>
      <c r="D499" s="195">
        <f>IF(K499="","",INDEX('同相3導体'!$AB:$AB,K499))</f>
        <v/>
      </c>
      <c r="E499" s="195">
        <f>IF(K499="","",INDEX('同相3導体'!$AC:$AC,K499))</f>
        <v/>
      </c>
      <c r="F499" s="195">
        <f>IF(OR(A499="",B499=""),"",100*(D499-B499)/MAX(B499,1E-12))</f>
        <v/>
      </c>
      <c r="G499" s="195">
        <f>IF(OR(A499="",C499=""),"",E499-C499)</f>
        <v/>
      </c>
      <c r="H499" s="195">
        <f>IF(A499="","",LOG10(A499))</f>
        <v/>
      </c>
      <c r="I499" s="195">
        <f>IF(B499="","",LOG10(MAX(B499,1E-12)))</f>
        <v/>
      </c>
      <c r="J499" s="195">
        <f>IF(D499="","",LOG10(MAX(D499,1E-12)))</f>
        <v/>
      </c>
      <c r="K499">
        <f>IF(A499="","",ROUND(1+(LOG10(A499)-LOG10('入力・概要'!$B$38))*('入力・概要'!$B$40-1)/(LOG10('入力・概要'!$B$39)-LOG10('入力・概要'!$B$38)),0)+3)</f>
        <v/>
      </c>
      <c r="L499">
        <f>IF(K499="","",INDEX('同相3導体'!$B:$B,K499))</f>
        <v/>
      </c>
      <c r="M499">
        <f>IF(A499="","",IF(ABS(L499/A499-1)&lt;0.01,"周波数差&lt;1%","周波数差あり"))</f>
        <v/>
      </c>
    </row>
    <row r="500">
      <c r="A500" s="197" t="n"/>
      <c r="B500" s="198" t="n"/>
      <c r="C500" s="198" t="n"/>
      <c r="D500" s="195">
        <f>IF(K500="","",INDEX('同相3導体'!$AB:$AB,K500))</f>
        <v/>
      </c>
      <c r="E500" s="195">
        <f>IF(K500="","",INDEX('同相3導体'!$AC:$AC,K500))</f>
        <v/>
      </c>
      <c r="F500" s="195">
        <f>IF(OR(A500="",B500=""),"",100*(D500-B500)/MAX(B500,1E-12))</f>
        <v/>
      </c>
      <c r="G500" s="195">
        <f>IF(OR(A500="",C500=""),"",E500-C500)</f>
        <v/>
      </c>
      <c r="H500" s="195">
        <f>IF(A500="","",LOG10(A500))</f>
        <v/>
      </c>
      <c r="I500" s="195">
        <f>IF(B500="","",LOG10(MAX(B500,1E-12)))</f>
        <v/>
      </c>
      <c r="J500" s="195">
        <f>IF(D500="","",LOG10(MAX(D500,1E-12)))</f>
        <v/>
      </c>
      <c r="K500">
        <f>IF(A500="","",ROUND(1+(LOG10(A500)-LOG10('入力・概要'!$B$38))*('入力・概要'!$B$40-1)/(LOG10('入力・概要'!$B$39)-LOG10('入力・概要'!$B$38)),0)+3)</f>
        <v/>
      </c>
      <c r="L500">
        <f>IF(K500="","",INDEX('同相3導体'!$B:$B,K500))</f>
        <v/>
      </c>
      <c r="M500">
        <f>IF(A500="","",IF(ABS(L500/A500-1)&lt;0.01,"周波数差&lt;1%","周波数差あり"))</f>
        <v/>
      </c>
    </row>
    <row r="501">
      <c r="A501" s="197" t="n"/>
      <c r="B501" s="198" t="n"/>
      <c r="C501" s="198" t="n"/>
      <c r="D501" s="195">
        <f>IF(K501="","",INDEX('同相3導体'!$AB:$AB,K501))</f>
        <v/>
      </c>
      <c r="E501" s="195">
        <f>IF(K501="","",INDEX('同相3導体'!$AC:$AC,K501))</f>
        <v/>
      </c>
      <c r="F501" s="195">
        <f>IF(OR(A501="",B501=""),"",100*(D501-B501)/MAX(B501,1E-12))</f>
        <v/>
      </c>
      <c r="G501" s="195">
        <f>IF(OR(A501="",C501=""),"",E501-C501)</f>
        <v/>
      </c>
      <c r="H501" s="195">
        <f>IF(A501="","",LOG10(A501))</f>
        <v/>
      </c>
      <c r="I501" s="195">
        <f>IF(B501="","",LOG10(MAX(B501,1E-12)))</f>
        <v/>
      </c>
      <c r="J501" s="195">
        <f>IF(D501="","",LOG10(MAX(D501,1E-12)))</f>
        <v/>
      </c>
      <c r="K501">
        <f>IF(A501="","",ROUND(1+(LOG10(A501)-LOG10('入力・概要'!$B$38))*('入力・概要'!$B$40-1)/(LOG10('入力・概要'!$B$39)-LOG10('入力・概要'!$B$38)),0)+3)</f>
        <v/>
      </c>
      <c r="L501">
        <f>IF(K501="","",INDEX('同相3導体'!$B:$B,K501))</f>
        <v/>
      </c>
      <c r="M501">
        <f>IF(A501="","",IF(ABS(L501/A501-1)&lt;0.01,"周波数差&lt;1%","周波数差あり"))</f>
        <v/>
      </c>
    </row>
    <row r="502">
      <c r="A502" s="197" t="n"/>
      <c r="B502" s="198" t="n"/>
      <c r="C502" s="198" t="n"/>
      <c r="D502" s="195">
        <f>IF(K502="","",INDEX('同相3導体'!$AB:$AB,K502))</f>
        <v/>
      </c>
      <c r="E502" s="195">
        <f>IF(K502="","",INDEX('同相3導体'!$AC:$AC,K502))</f>
        <v/>
      </c>
      <c r="F502" s="195">
        <f>IF(OR(A502="",B502=""),"",100*(D502-B502)/MAX(B502,1E-12))</f>
        <v/>
      </c>
      <c r="G502" s="195">
        <f>IF(OR(A502="",C502=""),"",E502-C502)</f>
        <v/>
      </c>
      <c r="H502" s="195">
        <f>IF(A502="","",LOG10(A502))</f>
        <v/>
      </c>
      <c r="I502" s="195">
        <f>IF(B502="","",LOG10(MAX(B502,1E-12)))</f>
        <v/>
      </c>
      <c r="J502" s="195">
        <f>IF(D502="","",LOG10(MAX(D502,1E-12)))</f>
        <v/>
      </c>
      <c r="K502">
        <f>IF(A502="","",ROUND(1+(LOG10(A502)-LOG10('入力・概要'!$B$38))*('入力・概要'!$B$40-1)/(LOG10('入力・概要'!$B$39)-LOG10('入力・概要'!$B$38)),0)+3)</f>
        <v/>
      </c>
      <c r="L502">
        <f>IF(K502="","",INDEX('同相3導体'!$B:$B,K502))</f>
        <v/>
      </c>
      <c r="M502">
        <f>IF(A502="","",IF(ABS(L502/A502-1)&lt;0.01,"周波数差&lt;1%","周波数差あり"))</f>
        <v/>
      </c>
    </row>
    <row r="503">
      <c r="A503" s="197" t="n"/>
      <c r="B503" s="198" t="n"/>
      <c r="C503" s="198" t="n"/>
      <c r="D503" s="195">
        <f>IF(K503="","",INDEX('同相3導体'!$AB:$AB,K503))</f>
        <v/>
      </c>
      <c r="E503" s="195">
        <f>IF(K503="","",INDEX('同相3導体'!$AC:$AC,K503))</f>
        <v/>
      </c>
      <c r="F503" s="195">
        <f>IF(OR(A503="",B503=""),"",100*(D503-B503)/MAX(B503,1E-12))</f>
        <v/>
      </c>
      <c r="G503" s="195">
        <f>IF(OR(A503="",C503=""),"",E503-C503)</f>
        <v/>
      </c>
      <c r="H503" s="195">
        <f>IF(A503="","",LOG10(A503))</f>
        <v/>
      </c>
      <c r="I503" s="195">
        <f>IF(B503="","",LOG10(MAX(B503,1E-12)))</f>
        <v/>
      </c>
      <c r="J503" s="195">
        <f>IF(D503="","",LOG10(MAX(D503,1E-12)))</f>
        <v/>
      </c>
      <c r="K503">
        <f>IF(A503="","",ROUND(1+(LOG10(A503)-LOG10('入力・概要'!$B$38))*('入力・概要'!$B$40-1)/(LOG10('入力・概要'!$B$39)-LOG10('入力・概要'!$B$38)),0)+3)</f>
        <v/>
      </c>
      <c r="L503">
        <f>IF(K503="","",INDEX('同相3導体'!$B:$B,K503))</f>
        <v/>
      </c>
      <c r="M503">
        <f>IF(A503="","",IF(ABS(L503/A503-1)&lt;0.01,"周波数差&lt;1%","周波数差あり"))</f>
        <v/>
      </c>
    </row>
    <row r="504">
      <c r="A504" s="197" t="n"/>
      <c r="B504" s="198" t="n"/>
      <c r="C504" s="198" t="n"/>
      <c r="D504" s="195">
        <f>IF(K504="","",INDEX('同相3導体'!$AB:$AB,K504))</f>
        <v/>
      </c>
      <c r="E504" s="195">
        <f>IF(K504="","",INDEX('同相3導体'!$AC:$AC,K504))</f>
        <v/>
      </c>
      <c r="F504" s="195">
        <f>IF(OR(A504="",B504=""),"",100*(D504-B504)/MAX(B504,1E-12))</f>
        <v/>
      </c>
      <c r="G504" s="195">
        <f>IF(OR(A504="",C504=""),"",E504-C504)</f>
        <v/>
      </c>
      <c r="H504" s="195">
        <f>IF(A504="","",LOG10(A504))</f>
        <v/>
      </c>
      <c r="I504" s="195">
        <f>IF(B504="","",LOG10(MAX(B504,1E-12)))</f>
        <v/>
      </c>
      <c r="J504" s="195">
        <f>IF(D504="","",LOG10(MAX(D504,1E-12)))</f>
        <v/>
      </c>
      <c r="K504">
        <f>IF(A504="","",ROUND(1+(LOG10(A504)-LOG10('入力・概要'!$B$38))*('入力・概要'!$B$40-1)/(LOG10('入力・概要'!$B$39)-LOG10('入力・概要'!$B$38)),0)+3)</f>
        <v/>
      </c>
      <c r="L504">
        <f>IF(K504="","",INDEX('同相3導体'!$B:$B,K504))</f>
        <v/>
      </c>
      <c r="M504">
        <f>IF(A504="","",IF(ABS(L504/A504-1)&lt;0.01,"周波数差&lt;1%","周波数差あり"))</f>
        <v/>
      </c>
    </row>
    <row r="505">
      <c r="A505" s="197" t="n"/>
      <c r="B505" s="198" t="n"/>
      <c r="C505" s="198" t="n"/>
      <c r="D505" s="195">
        <f>IF(K505="","",INDEX('同相3導体'!$AB:$AB,K505))</f>
        <v/>
      </c>
      <c r="E505" s="195">
        <f>IF(K505="","",INDEX('同相3導体'!$AC:$AC,K505))</f>
        <v/>
      </c>
      <c r="F505" s="195">
        <f>IF(OR(A505="",B505=""),"",100*(D505-B505)/MAX(B505,1E-12))</f>
        <v/>
      </c>
      <c r="G505" s="195">
        <f>IF(OR(A505="",C505=""),"",E505-C505)</f>
        <v/>
      </c>
      <c r="H505" s="195">
        <f>IF(A505="","",LOG10(A505))</f>
        <v/>
      </c>
      <c r="I505" s="195">
        <f>IF(B505="","",LOG10(MAX(B505,1E-12)))</f>
        <v/>
      </c>
      <c r="J505" s="195">
        <f>IF(D505="","",LOG10(MAX(D505,1E-12)))</f>
        <v/>
      </c>
      <c r="K505">
        <f>IF(A505="","",ROUND(1+(LOG10(A505)-LOG10('入力・概要'!$B$38))*('入力・概要'!$B$40-1)/(LOG10('入力・概要'!$B$39)-LOG10('入力・概要'!$B$38)),0)+3)</f>
        <v/>
      </c>
      <c r="L505">
        <f>IF(K505="","",INDEX('同相3導体'!$B:$B,K505))</f>
        <v/>
      </c>
      <c r="M505">
        <f>IF(A505="","",IF(ABS(L505/A505-1)&lt;0.01,"周波数差&lt;1%","周波数差あり"))</f>
        <v/>
      </c>
    </row>
    <row r="506">
      <c r="A506" s="197" t="n"/>
      <c r="B506" s="198" t="n"/>
      <c r="C506" s="198" t="n"/>
      <c r="D506" s="195">
        <f>IF(K506="","",INDEX('同相3導体'!$AB:$AB,K506))</f>
        <v/>
      </c>
      <c r="E506" s="195">
        <f>IF(K506="","",INDEX('同相3導体'!$AC:$AC,K506))</f>
        <v/>
      </c>
      <c r="F506" s="195">
        <f>IF(OR(A506="",B506=""),"",100*(D506-B506)/MAX(B506,1E-12))</f>
        <v/>
      </c>
      <c r="G506" s="195">
        <f>IF(OR(A506="",C506=""),"",E506-C506)</f>
        <v/>
      </c>
      <c r="H506" s="195">
        <f>IF(A506="","",LOG10(A506))</f>
        <v/>
      </c>
      <c r="I506" s="195">
        <f>IF(B506="","",LOG10(MAX(B506,1E-12)))</f>
        <v/>
      </c>
      <c r="J506" s="195">
        <f>IF(D506="","",LOG10(MAX(D506,1E-12)))</f>
        <v/>
      </c>
      <c r="K506">
        <f>IF(A506="","",ROUND(1+(LOG10(A506)-LOG10('入力・概要'!$B$38))*('入力・概要'!$B$40-1)/(LOG10('入力・概要'!$B$39)-LOG10('入力・概要'!$B$38)),0)+3)</f>
        <v/>
      </c>
      <c r="L506">
        <f>IF(K506="","",INDEX('同相3導体'!$B:$B,K506))</f>
        <v/>
      </c>
      <c r="M506">
        <f>IF(A506="","",IF(ABS(L506/A506-1)&lt;0.01,"周波数差&lt;1%","周波数差あり"))</f>
        <v/>
      </c>
    </row>
    <row r="507">
      <c r="A507" s="197" t="n"/>
      <c r="B507" s="198" t="n"/>
      <c r="C507" s="198" t="n"/>
      <c r="D507" s="195">
        <f>IF(K507="","",INDEX('同相3導体'!$AB:$AB,K507))</f>
        <v/>
      </c>
      <c r="E507" s="195">
        <f>IF(K507="","",INDEX('同相3導体'!$AC:$AC,K507))</f>
        <v/>
      </c>
      <c r="F507" s="195">
        <f>IF(OR(A507="",B507=""),"",100*(D507-B507)/MAX(B507,1E-12))</f>
        <v/>
      </c>
      <c r="G507" s="195">
        <f>IF(OR(A507="",C507=""),"",E507-C507)</f>
        <v/>
      </c>
      <c r="H507" s="195">
        <f>IF(A507="","",LOG10(A507))</f>
        <v/>
      </c>
      <c r="I507" s="195">
        <f>IF(B507="","",LOG10(MAX(B507,1E-12)))</f>
        <v/>
      </c>
      <c r="J507" s="195">
        <f>IF(D507="","",LOG10(MAX(D507,1E-12)))</f>
        <v/>
      </c>
      <c r="K507">
        <f>IF(A507="","",ROUND(1+(LOG10(A507)-LOG10('入力・概要'!$B$38))*('入力・概要'!$B$40-1)/(LOG10('入力・概要'!$B$39)-LOG10('入力・概要'!$B$38)),0)+3)</f>
        <v/>
      </c>
      <c r="L507">
        <f>IF(K507="","",INDEX('同相3導体'!$B:$B,K507))</f>
        <v/>
      </c>
      <c r="M507">
        <f>IF(A507="","",IF(ABS(L507/A507-1)&lt;0.01,"周波数差&lt;1%","周波数差あり"))</f>
        <v/>
      </c>
    </row>
    <row r="508">
      <c r="A508" s="197" t="n"/>
      <c r="B508" s="198" t="n"/>
      <c r="C508" s="198" t="n"/>
      <c r="D508" s="195">
        <f>IF(K508="","",INDEX('同相3導体'!$AB:$AB,K508))</f>
        <v/>
      </c>
      <c r="E508" s="195">
        <f>IF(K508="","",INDEX('同相3導体'!$AC:$AC,K508))</f>
        <v/>
      </c>
      <c r="F508" s="195">
        <f>IF(OR(A508="",B508=""),"",100*(D508-B508)/MAX(B508,1E-12))</f>
        <v/>
      </c>
      <c r="G508" s="195">
        <f>IF(OR(A508="",C508=""),"",E508-C508)</f>
        <v/>
      </c>
      <c r="H508" s="195">
        <f>IF(A508="","",LOG10(A508))</f>
        <v/>
      </c>
      <c r="I508" s="195">
        <f>IF(B508="","",LOG10(MAX(B508,1E-12)))</f>
        <v/>
      </c>
      <c r="J508" s="195">
        <f>IF(D508="","",LOG10(MAX(D508,1E-12)))</f>
        <v/>
      </c>
      <c r="K508">
        <f>IF(A508="","",ROUND(1+(LOG10(A508)-LOG10('入力・概要'!$B$38))*('入力・概要'!$B$40-1)/(LOG10('入力・概要'!$B$39)-LOG10('入力・概要'!$B$38)),0)+3)</f>
        <v/>
      </c>
      <c r="L508">
        <f>IF(K508="","",INDEX('同相3導体'!$B:$B,K508))</f>
        <v/>
      </c>
      <c r="M508">
        <f>IF(A508="","",IF(ABS(L508/A508-1)&lt;0.01,"周波数差&lt;1%","周波数差あり"))</f>
        <v/>
      </c>
    </row>
    <row r="509">
      <c r="A509" s="197" t="n"/>
      <c r="B509" s="198" t="n"/>
      <c r="C509" s="198" t="n"/>
      <c r="D509" s="195">
        <f>IF(K509="","",INDEX('同相3導体'!$AB:$AB,K509))</f>
        <v/>
      </c>
      <c r="E509" s="195">
        <f>IF(K509="","",INDEX('同相3導体'!$AC:$AC,K509))</f>
        <v/>
      </c>
      <c r="F509" s="195">
        <f>IF(OR(A509="",B509=""),"",100*(D509-B509)/MAX(B509,1E-12))</f>
        <v/>
      </c>
      <c r="G509" s="195">
        <f>IF(OR(A509="",C509=""),"",E509-C509)</f>
        <v/>
      </c>
      <c r="H509" s="195">
        <f>IF(A509="","",LOG10(A509))</f>
        <v/>
      </c>
      <c r="I509" s="195">
        <f>IF(B509="","",LOG10(MAX(B509,1E-12)))</f>
        <v/>
      </c>
      <c r="J509" s="195">
        <f>IF(D509="","",LOG10(MAX(D509,1E-12)))</f>
        <v/>
      </c>
      <c r="K509">
        <f>IF(A509="","",ROUND(1+(LOG10(A509)-LOG10('入力・概要'!$B$38))*('入力・概要'!$B$40-1)/(LOG10('入力・概要'!$B$39)-LOG10('入力・概要'!$B$38)),0)+3)</f>
        <v/>
      </c>
      <c r="L509">
        <f>IF(K509="","",INDEX('同相3導体'!$B:$B,K509))</f>
        <v/>
      </c>
      <c r="M509">
        <f>IF(A509="","",IF(ABS(L509/A509-1)&lt;0.01,"周波数差&lt;1%","周波数差あり"))</f>
        <v/>
      </c>
    </row>
    <row r="510">
      <c r="A510" s="197" t="n"/>
      <c r="B510" s="198" t="n"/>
      <c r="C510" s="198" t="n"/>
      <c r="D510" s="195">
        <f>IF(K510="","",INDEX('同相3導体'!$AB:$AB,K510))</f>
        <v/>
      </c>
      <c r="E510" s="195">
        <f>IF(K510="","",INDEX('同相3導体'!$AC:$AC,K510))</f>
        <v/>
      </c>
      <c r="F510" s="195">
        <f>IF(OR(A510="",B510=""),"",100*(D510-B510)/MAX(B510,1E-12))</f>
        <v/>
      </c>
      <c r="G510" s="195">
        <f>IF(OR(A510="",C510=""),"",E510-C510)</f>
        <v/>
      </c>
      <c r="H510" s="195">
        <f>IF(A510="","",LOG10(A510))</f>
        <v/>
      </c>
      <c r="I510" s="195">
        <f>IF(B510="","",LOG10(MAX(B510,1E-12)))</f>
        <v/>
      </c>
      <c r="J510" s="195">
        <f>IF(D510="","",LOG10(MAX(D510,1E-12)))</f>
        <v/>
      </c>
      <c r="K510">
        <f>IF(A510="","",ROUND(1+(LOG10(A510)-LOG10('入力・概要'!$B$38))*('入力・概要'!$B$40-1)/(LOG10('入力・概要'!$B$39)-LOG10('入力・概要'!$B$38)),0)+3)</f>
        <v/>
      </c>
      <c r="L510">
        <f>IF(K510="","",INDEX('同相3導体'!$B:$B,K510))</f>
        <v/>
      </c>
      <c r="M510">
        <f>IF(A510="","",IF(ABS(L510/A510-1)&lt;0.01,"周波数差&lt;1%","周波数差あり"))</f>
        <v/>
      </c>
    </row>
    <row r="511">
      <c r="A511" s="197" t="n"/>
      <c r="B511" s="198" t="n"/>
      <c r="C511" s="198" t="n"/>
      <c r="D511" s="195">
        <f>IF(K511="","",INDEX('同相3導体'!$AB:$AB,K511))</f>
        <v/>
      </c>
      <c r="E511" s="195">
        <f>IF(K511="","",INDEX('同相3導体'!$AC:$AC,K511))</f>
        <v/>
      </c>
      <c r="F511" s="195">
        <f>IF(OR(A511="",B511=""),"",100*(D511-B511)/MAX(B511,1E-12))</f>
        <v/>
      </c>
      <c r="G511" s="195">
        <f>IF(OR(A511="",C511=""),"",E511-C511)</f>
        <v/>
      </c>
      <c r="H511" s="195">
        <f>IF(A511="","",LOG10(A511))</f>
        <v/>
      </c>
      <c r="I511" s="195">
        <f>IF(B511="","",LOG10(MAX(B511,1E-12)))</f>
        <v/>
      </c>
      <c r="J511" s="195">
        <f>IF(D511="","",LOG10(MAX(D511,1E-12)))</f>
        <v/>
      </c>
      <c r="K511">
        <f>IF(A511="","",ROUND(1+(LOG10(A511)-LOG10('入力・概要'!$B$38))*('入力・概要'!$B$40-1)/(LOG10('入力・概要'!$B$39)-LOG10('入力・概要'!$B$38)),0)+3)</f>
        <v/>
      </c>
      <c r="L511">
        <f>IF(K511="","",INDEX('同相3導体'!$B:$B,K511))</f>
        <v/>
      </c>
      <c r="M511">
        <f>IF(A511="","",IF(ABS(L511/A511-1)&lt;0.01,"周波数差&lt;1%","周波数差あり"))</f>
        <v/>
      </c>
    </row>
    <row r="512">
      <c r="A512" s="197" t="n"/>
      <c r="B512" s="198" t="n"/>
      <c r="C512" s="198" t="n"/>
      <c r="D512" s="195">
        <f>IF(K512="","",INDEX('同相3導体'!$AB:$AB,K512))</f>
        <v/>
      </c>
      <c r="E512" s="195">
        <f>IF(K512="","",INDEX('同相3導体'!$AC:$AC,K512))</f>
        <v/>
      </c>
      <c r="F512" s="195">
        <f>IF(OR(A512="",B512=""),"",100*(D512-B512)/MAX(B512,1E-12))</f>
        <v/>
      </c>
      <c r="G512" s="195">
        <f>IF(OR(A512="",C512=""),"",E512-C512)</f>
        <v/>
      </c>
      <c r="H512" s="195">
        <f>IF(A512="","",LOG10(A512))</f>
        <v/>
      </c>
      <c r="I512" s="195">
        <f>IF(B512="","",LOG10(MAX(B512,1E-12)))</f>
        <v/>
      </c>
      <c r="J512" s="195">
        <f>IF(D512="","",LOG10(MAX(D512,1E-12)))</f>
        <v/>
      </c>
      <c r="K512">
        <f>IF(A512="","",ROUND(1+(LOG10(A512)-LOG10('入力・概要'!$B$38))*('入力・概要'!$B$40-1)/(LOG10('入力・概要'!$B$39)-LOG10('入力・概要'!$B$38)),0)+3)</f>
        <v/>
      </c>
      <c r="L512">
        <f>IF(K512="","",INDEX('同相3導体'!$B:$B,K512))</f>
        <v/>
      </c>
      <c r="M512">
        <f>IF(A512="","",IF(ABS(L512/A512-1)&lt;0.01,"周波数差&lt;1%","周波数差あり"))</f>
        <v/>
      </c>
    </row>
    <row r="513">
      <c r="A513" s="197" t="n"/>
      <c r="B513" s="198" t="n"/>
      <c r="C513" s="198" t="n"/>
      <c r="D513" s="195">
        <f>IF(K513="","",INDEX('同相3導体'!$AB:$AB,K513))</f>
        <v/>
      </c>
      <c r="E513" s="195">
        <f>IF(K513="","",INDEX('同相3導体'!$AC:$AC,K513))</f>
        <v/>
      </c>
      <c r="F513" s="195">
        <f>IF(OR(A513="",B513=""),"",100*(D513-B513)/MAX(B513,1E-12))</f>
        <v/>
      </c>
      <c r="G513" s="195">
        <f>IF(OR(A513="",C513=""),"",E513-C513)</f>
        <v/>
      </c>
      <c r="H513" s="195">
        <f>IF(A513="","",LOG10(A513))</f>
        <v/>
      </c>
      <c r="I513" s="195">
        <f>IF(B513="","",LOG10(MAX(B513,1E-12)))</f>
        <v/>
      </c>
      <c r="J513" s="195">
        <f>IF(D513="","",LOG10(MAX(D513,1E-12)))</f>
        <v/>
      </c>
      <c r="K513">
        <f>IF(A513="","",ROUND(1+(LOG10(A513)-LOG10('入力・概要'!$B$38))*('入力・概要'!$B$40-1)/(LOG10('入力・概要'!$B$39)-LOG10('入力・概要'!$B$38)),0)+3)</f>
        <v/>
      </c>
      <c r="L513">
        <f>IF(K513="","",INDEX('同相3導体'!$B:$B,K513))</f>
        <v/>
      </c>
      <c r="M513">
        <f>IF(A513="","",IF(ABS(L513/A513-1)&lt;0.01,"周波数差&lt;1%","周波数差あり"))</f>
        <v/>
      </c>
    </row>
    <row r="514">
      <c r="A514" s="197" t="n"/>
      <c r="B514" s="198" t="n"/>
      <c r="C514" s="198" t="n"/>
      <c r="D514" s="195">
        <f>IF(K514="","",INDEX('同相3導体'!$AB:$AB,K514))</f>
        <v/>
      </c>
      <c r="E514" s="195">
        <f>IF(K514="","",INDEX('同相3導体'!$AC:$AC,K514))</f>
        <v/>
      </c>
      <c r="F514" s="195">
        <f>IF(OR(A514="",B514=""),"",100*(D514-B514)/MAX(B514,1E-12))</f>
        <v/>
      </c>
      <c r="G514" s="195">
        <f>IF(OR(A514="",C514=""),"",E514-C514)</f>
        <v/>
      </c>
      <c r="H514" s="195">
        <f>IF(A514="","",LOG10(A514))</f>
        <v/>
      </c>
      <c r="I514" s="195">
        <f>IF(B514="","",LOG10(MAX(B514,1E-12)))</f>
        <v/>
      </c>
      <c r="J514" s="195">
        <f>IF(D514="","",LOG10(MAX(D514,1E-12)))</f>
        <v/>
      </c>
      <c r="K514">
        <f>IF(A514="","",ROUND(1+(LOG10(A514)-LOG10('入力・概要'!$B$38))*('入力・概要'!$B$40-1)/(LOG10('入力・概要'!$B$39)-LOG10('入力・概要'!$B$38)),0)+3)</f>
        <v/>
      </c>
      <c r="L514">
        <f>IF(K514="","",INDEX('同相3導体'!$B:$B,K514))</f>
        <v/>
      </c>
      <c r="M514">
        <f>IF(A514="","",IF(ABS(L514/A514-1)&lt;0.01,"周波数差&lt;1%","周波数差あり"))</f>
        <v/>
      </c>
    </row>
    <row r="515">
      <c r="A515" s="197" t="n"/>
      <c r="B515" s="198" t="n"/>
      <c r="C515" s="198" t="n"/>
      <c r="D515" s="195">
        <f>IF(K515="","",INDEX('同相3導体'!$AB:$AB,K515))</f>
        <v/>
      </c>
      <c r="E515" s="195">
        <f>IF(K515="","",INDEX('同相3導体'!$AC:$AC,K515))</f>
        <v/>
      </c>
      <c r="F515" s="195">
        <f>IF(OR(A515="",B515=""),"",100*(D515-B515)/MAX(B515,1E-12))</f>
        <v/>
      </c>
      <c r="G515" s="195">
        <f>IF(OR(A515="",C515=""),"",E515-C515)</f>
        <v/>
      </c>
      <c r="H515" s="195">
        <f>IF(A515="","",LOG10(A515))</f>
        <v/>
      </c>
      <c r="I515" s="195">
        <f>IF(B515="","",LOG10(MAX(B515,1E-12)))</f>
        <v/>
      </c>
      <c r="J515" s="195">
        <f>IF(D515="","",LOG10(MAX(D515,1E-12)))</f>
        <v/>
      </c>
      <c r="K515">
        <f>IF(A515="","",ROUND(1+(LOG10(A515)-LOG10('入力・概要'!$B$38))*('入力・概要'!$B$40-1)/(LOG10('入力・概要'!$B$39)-LOG10('入力・概要'!$B$38)),0)+3)</f>
        <v/>
      </c>
      <c r="L515">
        <f>IF(K515="","",INDEX('同相3導体'!$B:$B,K515))</f>
        <v/>
      </c>
      <c r="M515">
        <f>IF(A515="","",IF(ABS(L515/A515-1)&lt;0.01,"周波数差&lt;1%","周波数差あり"))</f>
        <v/>
      </c>
    </row>
    <row r="516">
      <c r="A516" s="197" t="n"/>
      <c r="B516" s="198" t="n"/>
      <c r="C516" s="198" t="n"/>
      <c r="D516" s="195">
        <f>IF(K516="","",INDEX('同相3導体'!$AB:$AB,K516))</f>
        <v/>
      </c>
      <c r="E516" s="195">
        <f>IF(K516="","",INDEX('同相3導体'!$AC:$AC,K516))</f>
        <v/>
      </c>
      <c r="F516" s="195">
        <f>IF(OR(A516="",B516=""),"",100*(D516-B516)/MAX(B516,1E-12))</f>
        <v/>
      </c>
      <c r="G516" s="195">
        <f>IF(OR(A516="",C516=""),"",E516-C516)</f>
        <v/>
      </c>
      <c r="H516" s="195">
        <f>IF(A516="","",LOG10(A516))</f>
        <v/>
      </c>
      <c r="I516" s="195">
        <f>IF(B516="","",LOG10(MAX(B516,1E-12)))</f>
        <v/>
      </c>
      <c r="J516" s="195">
        <f>IF(D516="","",LOG10(MAX(D516,1E-12)))</f>
        <v/>
      </c>
      <c r="K516">
        <f>IF(A516="","",ROUND(1+(LOG10(A516)-LOG10('入力・概要'!$B$38))*('入力・概要'!$B$40-1)/(LOG10('入力・概要'!$B$39)-LOG10('入力・概要'!$B$38)),0)+3)</f>
        <v/>
      </c>
      <c r="L516">
        <f>IF(K516="","",INDEX('同相3導体'!$B:$B,K516))</f>
        <v/>
      </c>
      <c r="M516">
        <f>IF(A516="","",IF(ABS(L516/A516-1)&lt;0.01,"周波数差&lt;1%","周波数差あり"))</f>
        <v/>
      </c>
    </row>
    <row r="517">
      <c r="A517" s="197" t="n"/>
      <c r="B517" s="198" t="n"/>
      <c r="C517" s="198" t="n"/>
      <c r="D517" s="195">
        <f>IF(K517="","",INDEX('同相3導体'!$AB:$AB,K517))</f>
        <v/>
      </c>
      <c r="E517" s="195">
        <f>IF(K517="","",INDEX('同相3導体'!$AC:$AC,K517))</f>
        <v/>
      </c>
      <c r="F517" s="195">
        <f>IF(OR(A517="",B517=""),"",100*(D517-B517)/MAX(B517,1E-12))</f>
        <v/>
      </c>
      <c r="G517" s="195">
        <f>IF(OR(A517="",C517=""),"",E517-C517)</f>
        <v/>
      </c>
      <c r="H517" s="195">
        <f>IF(A517="","",LOG10(A517))</f>
        <v/>
      </c>
      <c r="I517" s="195">
        <f>IF(B517="","",LOG10(MAX(B517,1E-12)))</f>
        <v/>
      </c>
      <c r="J517" s="195">
        <f>IF(D517="","",LOG10(MAX(D517,1E-12)))</f>
        <v/>
      </c>
      <c r="K517">
        <f>IF(A517="","",ROUND(1+(LOG10(A517)-LOG10('入力・概要'!$B$38))*('入力・概要'!$B$40-1)/(LOG10('入力・概要'!$B$39)-LOG10('入力・概要'!$B$38)),0)+3)</f>
        <v/>
      </c>
      <c r="L517">
        <f>IF(K517="","",INDEX('同相3導体'!$B:$B,K517))</f>
        <v/>
      </c>
      <c r="M517">
        <f>IF(A517="","",IF(ABS(L517/A517-1)&lt;0.01,"周波数差&lt;1%","周波数差あり"))</f>
        <v/>
      </c>
    </row>
    <row r="518">
      <c r="A518" s="197" t="n"/>
      <c r="B518" s="198" t="n"/>
      <c r="C518" s="198" t="n"/>
      <c r="D518" s="195">
        <f>IF(K518="","",INDEX('同相3導体'!$AB:$AB,K518))</f>
        <v/>
      </c>
      <c r="E518" s="195">
        <f>IF(K518="","",INDEX('同相3導体'!$AC:$AC,K518))</f>
        <v/>
      </c>
      <c r="F518" s="195">
        <f>IF(OR(A518="",B518=""),"",100*(D518-B518)/MAX(B518,1E-12))</f>
        <v/>
      </c>
      <c r="G518" s="195">
        <f>IF(OR(A518="",C518=""),"",E518-C518)</f>
        <v/>
      </c>
      <c r="H518" s="195">
        <f>IF(A518="","",LOG10(A518))</f>
        <v/>
      </c>
      <c r="I518" s="195">
        <f>IF(B518="","",LOG10(MAX(B518,1E-12)))</f>
        <v/>
      </c>
      <c r="J518" s="195">
        <f>IF(D518="","",LOG10(MAX(D518,1E-12)))</f>
        <v/>
      </c>
      <c r="K518">
        <f>IF(A518="","",ROUND(1+(LOG10(A518)-LOG10('入力・概要'!$B$38))*('入力・概要'!$B$40-1)/(LOG10('入力・概要'!$B$39)-LOG10('入力・概要'!$B$38)),0)+3)</f>
        <v/>
      </c>
      <c r="L518">
        <f>IF(K518="","",INDEX('同相3導体'!$B:$B,K518))</f>
        <v/>
      </c>
      <c r="M518">
        <f>IF(A518="","",IF(ABS(L518/A518-1)&lt;0.01,"周波数差&lt;1%","周波数差あり"))</f>
        <v/>
      </c>
    </row>
    <row r="519">
      <c r="A519" s="197" t="n"/>
      <c r="B519" s="198" t="n"/>
      <c r="C519" s="198" t="n"/>
      <c r="D519" s="195">
        <f>IF(K519="","",INDEX('同相3導体'!$AB:$AB,K519))</f>
        <v/>
      </c>
      <c r="E519" s="195">
        <f>IF(K519="","",INDEX('同相3導体'!$AC:$AC,K519))</f>
        <v/>
      </c>
      <c r="F519" s="195">
        <f>IF(OR(A519="",B519=""),"",100*(D519-B519)/MAX(B519,1E-12))</f>
        <v/>
      </c>
      <c r="G519" s="195">
        <f>IF(OR(A519="",C519=""),"",E519-C519)</f>
        <v/>
      </c>
      <c r="H519" s="195">
        <f>IF(A519="","",LOG10(A519))</f>
        <v/>
      </c>
      <c r="I519" s="195">
        <f>IF(B519="","",LOG10(MAX(B519,1E-12)))</f>
        <v/>
      </c>
      <c r="J519" s="195">
        <f>IF(D519="","",LOG10(MAX(D519,1E-12)))</f>
        <v/>
      </c>
      <c r="K519">
        <f>IF(A519="","",ROUND(1+(LOG10(A519)-LOG10('入力・概要'!$B$38))*('入力・概要'!$B$40-1)/(LOG10('入力・概要'!$B$39)-LOG10('入力・概要'!$B$38)),0)+3)</f>
        <v/>
      </c>
      <c r="L519">
        <f>IF(K519="","",INDEX('同相3導体'!$B:$B,K519))</f>
        <v/>
      </c>
      <c r="M519">
        <f>IF(A519="","",IF(ABS(L519/A519-1)&lt;0.01,"周波数差&lt;1%","周波数差あり"))</f>
        <v/>
      </c>
    </row>
    <row r="520">
      <c r="A520" s="197" t="n"/>
      <c r="B520" s="198" t="n"/>
      <c r="C520" s="198" t="n"/>
      <c r="D520" s="195">
        <f>IF(K520="","",INDEX('同相3導体'!$AB:$AB,K520))</f>
        <v/>
      </c>
      <c r="E520" s="195">
        <f>IF(K520="","",INDEX('同相3導体'!$AC:$AC,K520))</f>
        <v/>
      </c>
      <c r="F520" s="195">
        <f>IF(OR(A520="",B520=""),"",100*(D520-B520)/MAX(B520,1E-12))</f>
        <v/>
      </c>
      <c r="G520" s="195">
        <f>IF(OR(A520="",C520=""),"",E520-C520)</f>
        <v/>
      </c>
      <c r="H520" s="195">
        <f>IF(A520="","",LOG10(A520))</f>
        <v/>
      </c>
      <c r="I520" s="195">
        <f>IF(B520="","",LOG10(MAX(B520,1E-12)))</f>
        <v/>
      </c>
      <c r="J520" s="195">
        <f>IF(D520="","",LOG10(MAX(D520,1E-12)))</f>
        <v/>
      </c>
      <c r="K520">
        <f>IF(A520="","",ROUND(1+(LOG10(A520)-LOG10('入力・概要'!$B$38))*('入力・概要'!$B$40-1)/(LOG10('入力・概要'!$B$39)-LOG10('入力・概要'!$B$38)),0)+3)</f>
        <v/>
      </c>
      <c r="L520">
        <f>IF(K520="","",INDEX('同相3導体'!$B:$B,K520))</f>
        <v/>
      </c>
      <c r="M520">
        <f>IF(A520="","",IF(ABS(L520/A520-1)&lt;0.01,"周波数差&lt;1%","周波数差あり"))</f>
        <v/>
      </c>
    </row>
    <row r="521">
      <c r="A521" s="197" t="n"/>
      <c r="B521" s="198" t="n"/>
      <c r="C521" s="198" t="n"/>
      <c r="D521" s="195">
        <f>IF(K521="","",INDEX('同相3導体'!$AB:$AB,K521))</f>
        <v/>
      </c>
      <c r="E521" s="195">
        <f>IF(K521="","",INDEX('同相3導体'!$AC:$AC,K521))</f>
        <v/>
      </c>
      <c r="F521" s="195">
        <f>IF(OR(A521="",B521=""),"",100*(D521-B521)/MAX(B521,1E-12))</f>
        <v/>
      </c>
      <c r="G521" s="195">
        <f>IF(OR(A521="",C521=""),"",E521-C521)</f>
        <v/>
      </c>
      <c r="H521" s="195">
        <f>IF(A521="","",LOG10(A521))</f>
        <v/>
      </c>
      <c r="I521" s="195">
        <f>IF(B521="","",LOG10(MAX(B521,1E-12)))</f>
        <v/>
      </c>
      <c r="J521" s="195">
        <f>IF(D521="","",LOG10(MAX(D521,1E-12)))</f>
        <v/>
      </c>
      <c r="K521">
        <f>IF(A521="","",ROUND(1+(LOG10(A521)-LOG10('入力・概要'!$B$38))*('入力・概要'!$B$40-1)/(LOG10('入力・概要'!$B$39)-LOG10('入力・概要'!$B$38)),0)+3)</f>
        <v/>
      </c>
      <c r="L521">
        <f>IF(K521="","",INDEX('同相3導体'!$B:$B,K521))</f>
        <v/>
      </c>
      <c r="M521">
        <f>IF(A521="","",IF(ABS(L521/A521-1)&lt;0.01,"周波数差&lt;1%","周波数差あり"))</f>
        <v/>
      </c>
    </row>
    <row r="522">
      <c r="A522" s="197" t="n"/>
      <c r="B522" s="198" t="n"/>
      <c r="C522" s="198" t="n"/>
      <c r="D522" s="195">
        <f>IF(K522="","",INDEX('同相3導体'!$AB:$AB,K522))</f>
        <v/>
      </c>
      <c r="E522" s="195">
        <f>IF(K522="","",INDEX('同相3導体'!$AC:$AC,K522))</f>
        <v/>
      </c>
      <c r="F522" s="195">
        <f>IF(OR(A522="",B522=""),"",100*(D522-B522)/MAX(B522,1E-12))</f>
        <v/>
      </c>
      <c r="G522" s="195">
        <f>IF(OR(A522="",C522=""),"",E522-C522)</f>
        <v/>
      </c>
      <c r="H522" s="195">
        <f>IF(A522="","",LOG10(A522))</f>
        <v/>
      </c>
      <c r="I522" s="195">
        <f>IF(B522="","",LOG10(MAX(B522,1E-12)))</f>
        <v/>
      </c>
      <c r="J522" s="195">
        <f>IF(D522="","",LOG10(MAX(D522,1E-12)))</f>
        <v/>
      </c>
      <c r="K522">
        <f>IF(A522="","",ROUND(1+(LOG10(A522)-LOG10('入力・概要'!$B$38))*('入力・概要'!$B$40-1)/(LOG10('入力・概要'!$B$39)-LOG10('入力・概要'!$B$38)),0)+3)</f>
        <v/>
      </c>
      <c r="L522">
        <f>IF(K522="","",INDEX('同相3導体'!$B:$B,K522))</f>
        <v/>
      </c>
      <c r="M522">
        <f>IF(A522="","",IF(ABS(L522/A522-1)&lt;0.01,"周波数差&lt;1%","周波数差あり"))</f>
        <v/>
      </c>
    </row>
    <row r="523">
      <c r="A523" s="197" t="n"/>
      <c r="B523" s="198" t="n"/>
      <c r="C523" s="198" t="n"/>
      <c r="D523" s="195">
        <f>IF(K523="","",INDEX('同相3導体'!$AB:$AB,K523))</f>
        <v/>
      </c>
      <c r="E523" s="195">
        <f>IF(K523="","",INDEX('同相3導体'!$AC:$AC,K523))</f>
        <v/>
      </c>
      <c r="F523" s="195">
        <f>IF(OR(A523="",B523=""),"",100*(D523-B523)/MAX(B523,1E-12))</f>
        <v/>
      </c>
      <c r="G523" s="195">
        <f>IF(OR(A523="",C523=""),"",E523-C523)</f>
        <v/>
      </c>
      <c r="H523" s="195">
        <f>IF(A523="","",LOG10(A523))</f>
        <v/>
      </c>
      <c r="I523" s="195">
        <f>IF(B523="","",LOG10(MAX(B523,1E-12)))</f>
        <v/>
      </c>
      <c r="J523" s="195">
        <f>IF(D523="","",LOG10(MAX(D523,1E-12)))</f>
        <v/>
      </c>
      <c r="K523">
        <f>IF(A523="","",ROUND(1+(LOG10(A523)-LOG10('入力・概要'!$B$38))*('入力・概要'!$B$40-1)/(LOG10('入力・概要'!$B$39)-LOG10('入力・概要'!$B$38)),0)+3)</f>
        <v/>
      </c>
      <c r="L523">
        <f>IF(K523="","",INDEX('同相3導体'!$B:$B,K523))</f>
        <v/>
      </c>
      <c r="M523">
        <f>IF(A523="","",IF(ABS(L523/A523-1)&lt;0.01,"周波数差&lt;1%","周波数差あり"))</f>
        <v/>
      </c>
    </row>
    <row r="524">
      <c r="A524" s="197" t="n"/>
      <c r="B524" s="198" t="n"/>
      <c r="C524" s="198" t="n"/>
      <c r="D524" s="195">
        <f>IF(K524="","",INDEX('同相3導体'!$AB:$AB,K524))</f>
        <v/>
      </c>
      <c r="E524" s="195">
        <f>IF(K524="","",INDEX('同相3導体'!$AC:$AC,K524))</f>
        <v/>
      </c>
      <c r="F524" s="195">
        <f>IF(OR(A524="",B524=""),"",100*(D524-B524)/MAX(B524,1E-12))</f>
        <v/>
      </c>
      <c r="G524" s="195">
        <f>IF(OR(A524="",C524=""),"",E524-C524)</f>
        <v/>
      </c>
      <c r="H524" s="195">
        <f>IF(A524="","",LOG10(A524))</f>
        <v/>
      </c>
      <c r="I524" s="195">
        <f>IF(B524="","",LOG10(MAX(B524,1E-12)))</f>
        <v/>
      </c>
      <c r="J524" s="195">
        <f>IF(D524="","",LOG10(MAX(D524,1E-12)))</f>
        <v/>
      </c>
      <c r="K524">
        <f>IF(A524="","",ROUND(1+(LOG10(A524)-LOG10('入力・概要'!$B$38))*('入力・概要'!$B$40-1)/(LOG10('入力・概要'!$B$39)-LOG10('入力・概要'!$B$38)),0)+3)</f>
        <v/>
      </c>
      <c r="L524">
        <f>IF(K524="","",INDEX('同相3導体'!$B:$B,K524))</f>
        <v/>
      </c>
      <c r="M524">
        <f>IF(A524="","",IF(ABS(L524/A524-1)&lt;0.01,"周波数差&lt;1%","周波数差あり"))</f>
        <v/>
      </c>
    </row>
    <row r="525">
      <c r="A525" s="197" t="n"/>
      <c r="B525" s="198" t="n"/>
      <c r="C525" s="198" t="n"/>
      <c r="D525" s="195">
        <f>IF(K525="","",INDEX('同相3導体'!$AB:$AB,K525))</f>
        <v/>
      </c>
      <c r="E525" s="195">
        <f>IF(K525="","",INDEX('同相3導体'!$AC:$AC,K525))</f>
        <v/>
      </c>
      <c r="F525" s="195">
        <f>IF(OR(A525="",B525=""),"",100*(D525-B525)/MAX(B525,1E-12))</f>
        <v/>
      </c>
      <c r="G525" s="195">
        <f>IF(OR(A525="",C525=""),"",E525-C525)</f>
        <v/>
      </c>
      <c r="H525" s="195">
        <f>IF(A525="","",LOG10(A525))</f>
        <v/>
      </c>
      <c r="I525" s="195">
        <f>IF(B525="","",LOG10(MAX(B525,1E-12)))</f>
        <v/>
      </c>
      <c r="J525" s="195">
        <f>IF(D525="","",LOG10(MAX(D525,1E-12)))</f>
        <v/>
      </c>
      <c r="K525">
        <f>IF(A525="","",ROUND(1+(LOG10(A525)-LOG10('入力・概要'!$B$38))*('入力・概要'!$B$40-1)/(LOG10('入力・概要'!$B$39)-LOG10('入力・概要'!$B$38)),0)+3)</f>
        <v/>
      </c>
      <c r="L525">
        <f>IF(K525="","",INDEX('同相3導体'!$B:$B,K525))</f>
        <v/>
      </c>
      <c r="M525">
        <f>IF(A525="","",IF(ABS(L525/A525-1)&lt;0.01,"周波数差&lt;1%","周波数差あり"))</f>
        <v/>
      </c>
    </row>
    <row r="526">
      <c r="A526" s="197" t="n"/>
      <c r="B526" s="198" t="n"/>
      <c r="C526" s="198" t="n"/>
      <c r="D526" s="195">
        <f>IF(K526="","",INDEX('同相3導体'!$AB:$AB,K526))</f>
        <v/>
      </c>
      <c r="E526" s="195">
        <f>IF(K526="","",INDEX('同相3導体'!$AC:$AC,K526))</f>
        <v/>
      </c>
      <c r="F526" s="195">
        <f>IF(OR(A526="",B526=""),"",100*(D526-B526)/MAX(B526,1E-12))</f>
        <v/>
      </c>
      <c r="G526" s="195">
        <f>IF(OR(A526="",C526=""),"",E526-C526)</f>
        <v/>
      </c>
      <c r="H526" s="195">
        <f>IF(A526="","",LOG10(A526))</f>
        <v/>
      </c>
      <c r="I526" s="195">
        <f>IF(B526="","",LOG10(MAX(B526,1E-12)))</f>
        <v/>
      </c>
      <c r="J526" s="195">
        <f>IF(D526="","",LOG10(MAX(D526,1E-12)))</f>
        <v/>
      </c>
      <c r="K526">
        <f>IF(A526="","",ROUND(1+(LOG10(A526)-LOG10('入力・概要'!$B$38))*('入力・概要'!$B$40-1)/(LOG10('入力・概要'!$B$39)-LOG10('入力・概要'!$B$38)),0)+3)</f>
        <v/>
      </c>
      <c r="L526">
        <f>IF(K526="","",INDEX('同相3導体'!$B:$B,K526))</f>
        <v/>
      </c>
      <c r="M526">
        <f>IF(A526="","",IF(ABS(L526/A526-1)&lt;0.01,"周波数差&lt;1%","周波数差あり"))</f>
        <v/>
      </c>
    </row>
    <row r="527">
      <c r="A527" s="197" t="n"/>
      <c r="B527" s="198" t="n"/>
      <c r="C527" s="198" t="n"/>
      <c r="D527" s="195">
        <f>IF(K527="","",INDEX('同相3導体'!$AB:$AB,K527))</f>
        <v/>
      </c>
      <c r="E527" s="195">
        <f>IF(K527="","",INDEX('同相3導体'!$AC:$AC,K527))</f>
        <v/>
      </c>
      <c r="F527" s="195">
        <f>IF(OR(A527="",B527=""),"",100*(D527-B527)/MAX(B527,1E-12))</f>
        <v/>
      </c>
      <c r="G527" s="195">
        <f>IF(OR(A527="",C527=""),"",E527-C527)</f>
        <v/>
      </c>
      <c r="H527" s="195">
        <f>IF(A527="","",LOG10(A527))</f>
        <v/>
      </c>
      <c r="I527" s="195">
        <f>IF(B527="","",LOG10(MAX(B527,1E-12)))</f>
        <v/>
      </c>
      <c r="J527" s="195">
        <f>IF(D527="","",LOG10(MAX(D527,1E-12)))</f>
        <v/>
      </c>
      <c r="K527">
        <f>IF(A527="","",ROUND(1+(LOG10(A527)-LOG10('入力・概要'!$B$38))*('入力・概要'!$B$40-1)/(LOG10('入力・概要'!$B$39)-LOG10('入力・概要'!$B$38)),0)+3)</f>
        <v/>
      </c>
      <c r="L527">
        <f>IF(K527="","",INDEX('同相3導体'!$B:$B,K527))</f>
        <v/>
      </c>
      <c r="M527">
        <f>IF(A527="","",IF(ABS(L527/A527-1)&lt;0.01,"周波数差&lt;1%","周波数差あり"))</f>
        <v/>
      </c>
    </row>
    <row r="528">
      <c r="A528" s="197" t="n"/>
      <c r="B528" s="198" t="n"/>
      <c r="C528" s="198" t="n"/>
      <c r="D528" s="195">
        <f>IF(K528="","",INDEX('同相3導体'!$AB:$AB,K528))</f>
        <v/>
      </c>
      <c r="E528" s="195">
        <f>IF(K528="","",INDEX('同相3導体'!$AC:$AC,K528))</f>
        <v/>
      </c>
      <c r="F528" s="195">
        <f>IF(OR(A528="",B528=""),"",100*(D528-B528)/MAX(B528,1E-12))</f>
        <v/>
      </c>
      <c r="G528" s="195">
        <f>IF(OR(A528="",C528=""),"",E528-C528)</f>
        <v/>
      </c>
      <c r="H528" s="195">
        <f>IF(A528="","",LOG10(A528))</f>
        <v/>
      </c>
      <c r="I528" s="195">
        <f>IF(B528="","",LOG10(MAX(B528,1E-12)))</f>
        <v/>
      </c>
      <c r="J528" s="195">
        <f>IF(D528="","",LOG10(MAX(D528,1E-12)))</f>
        <v/>
      </c>
      <c r="K528">
        <f>IF(A528="","",ROUND(1+(LOG10(A528)-LOG10('入力・概要'!$B$38))*('入力・概要'!$B$40-1)/(LOG10('入力・概要'!$B$39)-LOG10('入力・概要'!$B$38)),0)+3)</f>
        <v/>
      </c>
      <c r="L528">
        <f>IF(K528="","",INDEX('同相3導体'!$B:$B,K528))</f>
        <v/>
      </c>
      <c r="M528">
        <f>IF(A528="","",IF(ABS(L528/A528-1)&lt;0.01,"周波数差&lt;1%","周波数差あり"))</f>
        <v/>
      </c>
    </row>
    <row r="529">
      <c r="A529" s="197" t="n"/>
      <c r="B529" s="198" t="n"/>
      <c r="C529" s="198" t="n"/>
      <c r="D529" s="195">
        <f>IF(K529="","",INDEX('同相3導体'!$AB:$AB,K529))</f>
        <v/>
      </c>
      <c r="E529" s="195">
        <f>IF(K529="","",INDEX('同相3導体'!$AC:$AC,K529))</f>
        <v/>
      </c>
      <c r="F529" s="195">
        <f>IF(OR(A529="",B529=""),"",100*(D529-B529)/MAX(B529,1E-12))</f>
        <v/>
      </c>
      <c r="G529" s="195">
        <f>IF(OR(A529="",C529=""),"",E529-C529)</f>
        <v/>
      </c>
      <c r="H529" s="195">
        <f>IF(A529="","",LOG10(A529))</f>
        <v/>
      </c>
      <c r="I529" s="195">
        <f>IF(B529="","",LOG10(MAX(B529,1E-12)))</f>
        <v/>
      </c>
      <c r="J529" s="195">
        <f>IF(D529="","",LOG10(MAX(D529,1E-12)))</f>
        <v/>
      </c>
      <c r="K529">
        <f>IF(A529="","",ROUND(1+(LOG10(A529)-LOG10('入力・概要'!$B$38))*('入力・概要'!$B$40-1)/(LOG10('入力・概要'!$B$39)-LOG10('入力・概要'!$B$38)),0)+3)</f>
        <v/>
      </c>
      <c r="L529">
        <f>IF(K529="","",INDEX('同相3導体'!$B:$B,K529))</f>
        <v/>
      </c>
      <c r="M529">
        <f>IF(A529="","",IF(ABS(L529/A529-1)&lt;0.01,"周波数差&lt;1%","周波数差あり"))</f>
        <v/>
      </c>
    </row>
    <row r="530">
      <c r="A530" s="197" t="n"/>
      <c r="B530" s="198" t="n"/>
      <c r="C530" s="198" t="n"/>
      <c r="D530" s="195">
        <f>IF(K530="","",INDEX('同相3導体'!$AB:$AB,K530))</f>
        <v/>
      </c>
      <c r="E530" s="195">
        <f>IF(K530="","",INDEX('同相3導体'!$AC:$AC,K530))</f>
        <v/>
      </c>
      <c r="F530" s="195">
        <f>IF(OR(A530="",B530=""),"",100*(D530-B530)/MAX(B530,1E-12))</f>
        <v/>
      </c>
      <c r="G530" s="195">
        <f>IF(OR(A530="",C530=""),"",E530-C530)</f>
        <v/>
      </c>
      <c r="H530" s="195">
        <f>IF(A530="","",LOG10(A530))</f>
        <v/>
      </c>
      <c r="I530" s="195">
        <f>IF(B530="","",LOG10(MAX(B530,1E-12)))</f>
        <v/>
      </c>
      <c r="J530" s="195">
        <f>IF(D530="","",LOG10(MAX(D530,1E-12)))</f>
        <v/>
      </c>
      <c r="K530">
        <f>IF(A530="","",ROUND(1+(LOG10(A530)-LOG10('入力・概要'!$B$38))*('入力・概要'!$B$40-1)/(LOG10('入力・概要'!$B$39)-LOG10('入力・概要'!$B$38)),0)+3)</f>
        <v/>
      </c>
      <c r="L530">
        <f>IF(K530="","",INDEX('同相3導体'!$B:$B,K530))</f>
        <v/>
      </c>
      <c r="M530">
        <f>IF(A530="","",IF(ABS(L530/A530-1)&lt;0.01,"周波数差&lt;1%","周波数差あり"))</f>
        <v/>
      </c>
    </row>
    <row r="531">
      <c r="A531" s="197" t="n"/>
      <c r="B531" s="198" t="n"/>
      <c r="C531" s="198" t="n"/>
      <c r="D531" s="195">
        <f>IF(K531="","",INDEX('同相3導体'!$AB:$AB,K531))</f>
        <v/>
      </c>
      <c r="E531" s="195">
        <f>IF(K531="","",INDEX('同相3導体'!$AC:$AC,K531))</f>
        <v/>
      </c>
      <c r="F531" s="195">
        <f>IF(OR(A531="",B531=""),"",100*(D531-B531)/MAX(B531,1E-12))</f>
        <v/>
      </c>
      <c r="G531" s="195">
        <f>IF(OR(A531="",C531=""),"",E531-C531)</f>
        <v/>
      </c>
      <c r="H531" s="195">
        <f>IF(A531="","",LOG10(A531))</f>
        <v/>
      </c>
      <c r="I531" s="195">
        <f>IF(B531="","",LOG10(MAX(B531,1E-12)))</f>
        <v/>
      </c>
      <c r="J531" s="195">
        <f>IF(D531="","",LOG10(MAX(D531,1E-12)))</f>
        <v/>
      </c>
      <c r="K531">
        <f>IF(A531="","",ROUND(1+(LOG10(A531)-LOG10('入力・概要'!$B$38))*('入力・概要'!$B$40-1)/(LOG10('入力・概要'!$B$39)-LOG10('入力・概要'!$B$38)),0)+3)</f>
        <v/>
      </c>
      <c r="L531">
        <f>IF(K531="","",INDEX('同相3導体'!$B:$B,K531))</f>
        <v/>
      </c>
      <c r="M531">
        <f>IF(A531="","",IF(ABS(L531/A531-1)&lt;0.01,"周波数差&lt;1%","周波数差あり"))</f>
        <v/>
      </c>
    </row>
    <row r="532">
      <c r="A532" s="197" t="n"/>
      <c r="B532" s="198" t="n"/>
      <c r="C532" s="198" t="n"/>
      <c r="D532" s="195">
        <f>IF(K532="","",INDEX('同相3導体'!$AB:$AB,K532))</f>
        <v/>
      </c>
      <c r="E532" s="195">
        <f>IF(K532="","",INDEX('同相3導体'!$AC:$AC,K532))</f>
        <v/>
      </c>
      <c r="F532" s="195">
        <f>IF(OR(A532="",B532=""),"",100*(D532-B532)/MAX(B532,1E-12))</f>
        <v/>
      </c>
      <c r="G532" s="195">
        <f>IF(OR(A532="",C532=""),"",E532-C532)</f>
        <v/>
      </c>
      <c r="H532" s="195">
        <f>IF(A532="","",LOG10(A532))</f>
        <v/>
      </c>
      <c r="I532" s="195">
        <f>IF(B532="","",LOG10(MAX(B532,1E-12)))</f>
        <v/>
      </c>
      <c r="J532" s="195">
        <f>IF(D532="","",LOG10(MAX(D532,1E-12)))</f>
        <v/>
      </c>
      <c r="K532">
        <f>IF(A532="","",ROUND(1+(LOG10(A532)-LOG10('入力・概要'!$B$38))*('入力・概要'!$B$40-1)/(LOG10('入力・概要'!$B$39)-LOG10('入力・概要'!$B$38)),0)+3)</f>
        <v/>
      </c>
      <c r="L532">
        <f>IF(K532="","",INDEX('同相3導体'!$B:$B,K532))</f>
        <v/>
      </c>
      <c r="M532">
        <f>IF(A532="","",IF(ABS(L532/A532-1)&lt;0.01,"周波数差&lt;1%","周波数差あり"))</f>
        <v/>
      </c>
    </row>
    <row r="533">
      <c r="A533" s="197" t="n"/>
      <c r="B533" s="198" t="n"/>
      <c r="C533" s="198" t="n"/>
      <c r="D533" s="195">
        <f>IF(K533="","",INDEX('同相3導体'!$AB:$AB,K533))</f>
        <v/>
      </c>
      <c r="E533" s="195">
        <f>IF(K533="","",INDEX('同相3導体'!$AC:$AC,K533))</f>
        <v/>
      </c>
      <c r="F533" s="195">
        <f>IF(OR(A533="",B533=""),"",100*(D533-B533)/MAX(B533,1E-12))</f>
        <v/>
      </c>
      <c r="G533" s="195">
        <f>IF(OR(A533="",C533=""),"",E533-C533)</f>
        <v/>
      </c>
      <c r="H533" s="195">
        <f>IF(A533="","",LOG10(A533))</f>
        <v/>
      </c>
      <c r="I533" s="195">
        <f>IF(B533="","",LOG10(MAX(B533,1E-12)))</f>
        <v/>
      </c>
      <c r="J533" s="195">
        <f>IF(D533="","",LOG10(MAX(D533,1E-12)))</f>
        <v/>
      </c>
      <c r="K533">
        <f>IF(A533="","",ROUND(1+(LOG10(A533)-LOG10('入力・概要'!$B$38))*('入力・概要'!$B$40-1)/(LOG10('入力・概要'!$B$39)-LOG10('入力・概要'!$B$38)),0)+3)</f>
        <v/>
      </c>
      <c r="L533">
        <f>IF(K533="","",INDEX('同相3導体'!$B:$B,K533))</f>
        <v/>
      </c>
      <c r="M533">
        <f>IF(A533="","",IF(ABS(L533/A533-1)&lt;0.01,"周波数差&lt;1%","周波数差あり"))</f>
        <v/>
      </c>
    </row>
    <row r="534">
      <c r="A534" s="197" t="n"/>
      <c r="B534" s="198" t="n"/>
      <c r="C534" s="198" t="n"/>
      <c r="D534" s="195">
        <f>IF(K534="","",INDEX('同相3導体'!$AB:$AB,K534))</f>
        <v/>
      </c>
      <c r="E534" s="195">
        <f>IF(K534="","",INDEX('同相3導体'!$AC:$AC,K534))</f>
        <v/>
      </c>
      <c r="F534" s="195">
        <f>IF(OR(A534="",B534=""),"",100*(D534-B534)/MAX(B534,1E-12))</f>
        <v/>
      </c>
      <c r="G534" s="195">
        <f>IF(OR(A534="",C534=""),"",E534-C534)</f>
        <v/>
      </c>
      <c r="H534" s="195">
        <f>IF(A534="","",LOG10(A534))</f>
        <v/>
      </c>
      <c r="I534" s="195">
        <f>IF(B534="","",LOG10(MAX(B534,1E-12)))</f>
        <v/>
      </c>
      <c r="J534" s="195">
        <f>IF(D534="","",LOG10(MAX(D534,1E-12)))</f>
        <v/>
      </c>
      <c r="K534">
        <f>IF(A534="","",ROUND(1+(LOG10(A534)-LOG10('入力・概要'!$B$38))*('入力・概要'!$B$40-1)/(LOG10('入力・概要'!$B$39)-LOG10('入力・概要'!$B$38)),0)+3)</f>
        <v/>
      </c>
      <c r="L534">
        <f>IF(K534="","",INDEX('同相3導体'!$B:$B,K534))</f>
        <v/>
      </c>
      <c r="M534">
        <f>IF(A534="","",IF(ABS(L534/A534-1)&lt;0.01,"周波数差&lt;1%","周波数差あり"))</f>
        <v/>
      </c>
    </row>
    <row r="535">
      <c r="A535" s="197" t="n"/>
      <c r="B535" s="198" t="n"/>
      <c r="C535" s="198" t="n"/>
      <c r="D535" s="195">
        <f>IF(K535="","",INDEX('同相3導体'!$AB:$AB,K535))</f>
        <v/>
      </c>
      <c r="E535" s="195">
        <f>IF(K535="","",INDEX('同相3導体'!$AC:$AC,K535))</f>
        <v/>
      </c>
      <c r="F535" s="195">
        <f>IF(OR(A535="",B535=""),"",100*(D535-B535)/MAX(B535,1E-12))</f>
        <v/>
      </c>
      <c r="G535" s="195">
        <f>IF(OR(A535="",C535=""),"",E535-C535)</f>
        <v/>
      </c>
      <c r="H535" s="195">
        <f>IF(A535="","",LOG10(A535))</f>
        <v/>
      </c>
      <c r="I535" s="195">
        <f>IF(B535="","",LOG10(MAX(B535,1E-12)))</f>
        <v/>
      </c>
      <c r="J535" s="195">
        <f>IF(D535="","",LOG10(MAX(D535,1E-12)))</f>
        <v/>
      </c>
      <c r="K535">
        <f>IF(A535="","",ROUND(1+(LOG10(A535)-LOG10('入力・概要'!$B$38))*('入力・概要'!$B$40-1)/(LOG10('入力・概要'!$B$39)-LOG10('入力・概要'!$B$38)),0)+3)</f>
        <v/>
      </c>
      <c r="L535">
        <f>IF(K535="","",INDEX('同相3導体'!$B:$B,K535))</f>
        <v/>
      </c>
      <c r="M535">
        <f>IF(A535="","",IF(ABS(L535/A535-1)&lt;0.01,"周波数差&lt;1%","周波数差あり"))</f>
        <v/>
      </c>
    </row>
    <row r="536">
      <c r="A536" s="197" t="n"/>
      <c r="B536" s="198" t="n"/>
      <c r="C536" s="198" t="n"/>
      <c r="D536" s="195">
        <f>IF(K536="","",INDEX('同相3導体'!$AB:$AB,K536))</f>
        <v/>
      </c>
      <c r="E536" s="195">
        <f>IF(K536="","",INDEX('同相3導体'!$AC:$AC,K536))</f>
        <v/>
      </c>
      <c r="F536" s="195">
        <f>IF(OR(A536="",B536=""),"",100*(D536-B536)/MAX(B536,1E-12))</f>
        <v/>
      </c>
      <c r="G536" s="195">
        <f>IF(OR(A536="",C536=""),"",E536-C536)</f>
        <v/>
      </c>
      <c r="H536" s="195">
        <f>IF(A536="","",LOG10(A536))</f>
        <v/>
      </c>
      <c r="I536" s="195">
        <f>IF(B536="","",LOG10(MAX(B536,1E-12)))</f>
        <v/>
      </c>
      <c r="J536" s="195">
        <f>IF(D536="","",LOG10(MAX(D536,1E-12)))</f>
        <v/>
      </c>
      <c r="K536">
        <f>IF(A536="","",ROUND(1+(LOG10(A536)-LOG10('入力・概要'!$B$38))*('入力・概要'!$B$40-1)/(LOG10('入力・概要'!$B$39)-LOG10('入力・概要'!$B$38)),0)+3)</f>
        <v/>
      </c>
      <c r="L536">
        <f>IF(K536="","",INDEX('同相3導体'!$B:$B,K536))</f>
        <v/>
      </c>
      <c r="M536">
        <f>IF(A536="","",IF(ABS(L536/A536-1)&lt;0.01,"周波数差&lt;1%","周波数差あり"))</f>
        <v/>
      </c>
    </row>
    <row r="537">
      <c r="A537" s="197" t="n"/>
      <c r="B537" s="198" t="n"/>
      <c r="C537" s="198" t="n"/>
      <c r="D537" s="195">
        <f>IF(K537="","",INDEX('同相3導体'!$AB:$AB,K537))</f>
        <v/>
      </c>
      <c r="E537" s="195">
        <f>IF(K537="","",INDEX('同相3導体'!$AC:$AC,K537))</f>
        <v/>
      </c>
      <c r="F537" s="195">
        <f>IF(OR(A537="",B537=""),"",100*(D537-B537)/MAX(B537,1E-12))</f>
        <v/>
      </c>
      <c r="G537" s="195">
        <f>IF(OR(A537="",C537=""),"",E537-C537)</f>
        <v/>
      </c>
      <c r="H537" s="195">
        <f>IF(A537="","",LOG10(A537))</f>
        <v/>
      </c>
      <c r="I537" s="195">
        <f>IF(B537="","",LOG10(MAX(B537,1E-12)))</f>
        <v/>
      </c>
      <c r="J537" s="195">
        <f>IF(D537="","",LOG10(MAX(D537,1E-12)))</f>
        <v/>
      </c>
      <c r="K537">
        <f>IF(A537="","",ROUND(1+(LOG10(A537)-LOG10('入力・概要'!$B$38))*('入力・概要'!$B$40-1)/(LOG10('入力・概要'!$B$39)-LOG10('入力・概要'!$B$38)),0)+3)</f>
        <v/>
      </c>
      <c r="L537">
        <f>IF(K537="","",INDEX('同相3導体'!$B:$B,K537))</f>
        <v/>
      </c>
      <c r="M537">
        <f>IF(A537="","",IF(ABS(L537/A537-1)&lt;0.01,"周波数差&lt;1%","周波数差あり"))</f>
        <v/>
      </c>
    </row>
    <row r="538">
      <c r="A538" s="197" t="n"/>
      <c r="B538" s="198" t="n"/>
      <c r="C538" s="198" t="n"/>
      <c r="D538" s="195">
        <f>IF(K538="","",INDEX('同相3導体'!$AB:$AB,K538))</f>
        <v/>
      </c>
      <c r="E538" s="195">
        <f>IF(K538="","",INDEX('同相3導体'!$AC:$AC,K538))</f>
        <v/>
      </c>
      <c r="F538" s="195">
        <f>IF(OR(A538="",B538=""),"",100*(D538-B538)/MAX(B538,1E-12))</f>
        <v/>
      </c>
      <c r="G538" s="195">
        <f>IF(OR(A538="",C538=""),"",E538-C538)</f>
        <v/>
      </c>
      <c r="H538" s="195">
        <f>IF(A538="","",LOG10(A538))</f>
        <v/>
      </c>
      <c r="I538" s="195">
        <f>IF(B538="","",LOG10(MAX(B538,1E-12)))</f>
        <v/>
      </c>
      <c r="J538" s="195">
        <f>IF(D538="","",LOG10(MAX(D538,1E-12)))</f>
        <v/>
      </c>
      <c r="K538">
        <f>IF(A538="","",ROUND(1+(LOG10(A538)-LOG10('入力・概要'!$B$38))*('入力・概要'!$B$40-1)/(LOG10('入力・概要'!$B$39)-LOG10('入力・概要'!$B$38)),0)+3)</f>
        <v/>
      </c>
      <c r="L538">
        <f>IF(K538="","",INDEX('同相3導体'!$B:$B,K538))</f>
        <v/>
      </c>
      <c r="M538">
        <f>IF(A538="","",IF(ABS(L538/A538-1)&lt;0.01,"周波数差&lt;1%","周波数差あり"))</f>
        <v/>
      </c>
    </row>
    <row r="539">
      <c r="A539" s="197" t="n"/>
      <c r="B539" s="198" t="n"/>
      <c r="C539" s="198" t="n"/>
      <c r="D539" s="195">
        <f>IF(K539="","",INDEX('同相3導体'!$AB:$AB,K539))</f>
        <v/>
      </c>
      <c r="E539" s="195">
        <f>IF(K539="","",INDEX('同相3導体'!$AC:$AC,K539))</f>
        <v/>
      </c>
      <c r="F539" s="195">
        <f>IF(OR(A539="",B539=""),"",100*(D539-B539)/MAX(B539,1E-12))</f>
        <v/>
      </c>
      <c r="G539" s="195">
        <f>IF(OR(A539="",C539=""),"",E539-C539)</f>
        <v/>
      </c>
      <c r="H539" s="195">
        <f>IF(A539="","",LOG10(A539))</f>
        <v/>
      </c>
      <c r="I539" s="195">
        <f>IF(B539="","",LOG10(MAX(B539,1E-12)))</f>
        <v/>
      </c>
      <c r="J539" s="195">
        <f>IF(D539="","",LOG10(MAX(D539,1E-12)))</f>
        <v/>
      </c>
      <c r="K539">
        <f>IF(A539="","",ROUND(1+(LOG10(A539)-LOG10('入力・概要'!$B$38))*('入力・概要'!$B$40-1)/(LOG10('入力・概要'!$B$39)-LOG10('入力・概要'!$B$38)),0)+3)</f>
        <v/>
      </c>
      <c r="L539">
        <f>IF(K539="","",INDEX('同相3導体'!$B:$B,K539))</f>
        <v/>
      </c>
      <c r="M539">
        <f>IF(A539="","",IF(ABS(L539/A539-1)&lt;0.01,"周波数差&lt;1%","周波数差あり"))</f>
        <v/>
      </c>
    </row>
    <row r="540">
      <c r="A540" s="197" t="n"/>
      <c r="B540" s="198" t="n"/>
      <c r="C540" s="198" t="n"/>
      <c r="D540" s="195">
        <f>IF(K540="","",INDEX('同相3導体'!$AB:$AB,K540))</f>
        <v/>
      </c>
      <c r="E540" s="195">
        <f>IF(K540="","",INDEX('同相3導体'!$AC:$AC,K540))</f>
        <v/>
      </c>
      <c r="F540" s="195">
        <f>IF(OR(A540="",B540=""),"",100*(D540-B540)/MAX(B540,1E-12))</f>
        <v/>
      </c>
      <c r="G540" s="195">
        <f>IF(OR(A540="",C540=""),"",E540-C540)</f>
        <v/>
      </c>
      <c r="H540" s="195">
        <f>IF(A540="","",LOG10(A540))</f>
        <v/>
      </c>
      <c r="I540" s="195">
        <f>IF(B540="","",LOG10(MAX(B540,1E-12)))</f>
        <v/>
      </c>
      <c r="J540" s="195">
        <f>IF(D540="","",LOG10(MAX(D540,1E-12)))</f>
        <v/>
      </c>
      <c r="K540">
        <f>IF(A540="","",ROUND(1+(LOG10(A540)-LOG10('入力・概要'!$B$38))*('入力・概要'!$B$40-1)/(LOG10('入力・概要'!$B$39)-LOG10('入力・概要'!$B$38)),0)+3)</f>
        <v/>
      </c>
      <c r="L540">
        <f>IF(K540="","",INDEX('同相3導体'!$B:$B,K540))</f>
        <v/>
      </c>
      <c r="M540">
        <f>IF(A540="","",IF(ABS(L540/A540-1)&lt;0.01,"周波数差&lt;1%","周波数差あり"))</f>
        <v/>
      </c>
    </row>
    <row r="541">
      <c r="A541" s="197" t="n"/>
      <c r="B541" s="198" t="n"/>
      <c r="C541" s="198" t="n"/>
      <c r="D541" s="195">
        <f>IF(K541="","",INDEX('同相3導体'!$AB:$AB,K541))</f>
        <v/>
      </c>
      <c r="E541" s="195">
        <f>IF(K541="","",INDEX('同相3導体'!$AC:$AC,K541))</f>
        <v/>
      </c>
      <c r="F541" s="195">
        <f>IF(OR(A541="",B541=""),"",100*(D541-B541)/MAX(B541,1E-12))</f>
        <v/>
      </c>
      <c r="G541" s="195">
        <f>IF(OR(A541="",C541=""),"",E541-C541)</f>
        <v/>
      </c>
      <c r="H541" s="195">
        <f>IF(A541="","",LOG10(A541))</f>
        <v/>
      </c>
      <c r="I541" s="195">
        <f>IF(B541="","",LOG10(MAX(B541,1E-12)))</f>
        <v/>
      </c>
      <c r="J541" s="195">
        <f>IF(D541="","",LOG10(MAX(D541,1E-12)))</f>
        <v/>
      </c>
      <c r="K541">
        <f>IF(A541="","",ROUND(1+(LOG10(A541)-LOG10('入力・概要'!$B$38))*('入力・概要'!$B$40-1)/(LOG10('入力・概要'!$B$39)-LOG10('入力・概要'!$B$38)),0)+3)</f>
        <v/>
      </c>
      <c r="L541">
        <f>IF(K541="","",INDEX('同相3導体'!$B:$B,K541))</f>
        <v/>
      </c>
      <c r="M541">
        <f>IF(A541="","",IF(ABS(L541/A541-1)&lt;0.01,"周波数差&lt;1%","周波数差あり"))</f>
        <v/>
      </c>
    </row>
    <row r="542">
      <c r="A542" s="197" t="n"/>
      <c r="B542" s="198" t="n"/>
      <c r="C542" s="198" t="n"/>
      <c r="D542" s="195">
        <f>IF(K542="","",INDEX('同相3導体'!$AB:$AB,K542))</f>
        <v/>
      </c>
      <c r="E542" s="195">
        <f>IF(K542="","",INDEX('同相3導体'!$AC:$AC,K542))</f>
        <v/>
      </c>
      <c r="F542" s="195">
        <f>IF(OR(A542="",B542=""),"",100*(D542-B542)/MAX(B542,1E-12))</f>
        <v/>
      </c>
      <c r="G542" s="195">
        <f>IF(OR(A542="",C542=""),"",E542-C542)</f>
        <v/>
      </c>
      <c r="H542" s="195">
        <f>IF(A542="","",LOG10(A542))</f>
        <v/>
      </c>
      <c r="I542" s="195">
        <f>IF(B542="","",LOG10(MAX(B542,1E-12)))</f>
        <v/>
      </c>
      <c r="J542" s="195">
        <f>IF(D542="","",LOG10(MAX(D542,1E-12)))</f>
        <v/>
      </c>
      <c r="K542">
        <f>IF(A542="","",ROUND(1+(LOG10(A542)-LOG10('入力・概要'!$B$38))*('入力・概要'!$B$40-1)/(LOG10('入力・概要'!$B$39)-LOG10('入力・概要'!$B$38)),0)+3)</f>
        <v/>
      </c>
      <c r="L542">
        <f>IF(K542="","",INDEX('同相3導体'!$B:$B,K542))</f>
        <v/>
      </c>
      <c r="M542">
        <f>IF(A542="","",IF(ABS(L542/A542-1)&lt;0.01,"周波数差&lt;1%","周波数差あり"))</f>
        <v/>
      </c>
    </row>
    <row r="543">
      <c r="A543" s="197" t="n"/>
      <c r="B543" s="198" t="n"/>
      <c r="C543" s="198" t="n"/>
      <c r="D543" s="195">
        <f>IF(K543="","",INDEX('同相3導体'!$AB:$AB,K543))</f>
        <v/>
      </c>
      <c r="E543" s="195">
        <f>IF(K543="","",INDEX('同相3導体'!$AC:$AC,K543))</f>
        <v/>
      </c>
      <c r="F543" s="195">
        <f>IF(OR(A543="",B543=""),"",100*(D543-B543)/MAX(B543,1E-12))</f>
        <v/>
      </c>
      <c r="G543" s="195">
        <f>IF(OR(A543="",C543=""),"",E543-C543)</f>
        <v/>
      </c>
      <c r="H543" s="195">
        <f>IF(A543="","",LOG10(A543))</f>
        <v/>
      </c>
      <c r="I543" s="195">
        <f>IF(B543="","",LOG10(MAX(B543,1E-12)))</f>
        <v/>
      </c>
      <c r="J543" s="195">
        <f>IF(D543="","",LOG10(MAX(D543,1E-12)))</f>
        <v/>
      </c>
      <c r="K543">
        <f>IF(A543="","",ROUND(1+(LOG10(A543)-LOG10('入力・概要'!$B$38))*('入力・概要'!$B$40-1)/(LOG10('入力・概要'!$B$39)-LOG10('入力・概要'!$B$38)),0)+3)</f>
        <v/>
      </c>
      <c r="L543">
        <f>IF(K543="","",INDEX('同相3導体'!$B:$B,K543))</f>
        <v/>
      </c>
      <c r="M543">
        <f>IF(A543="","",IF(ABS(L543/A543-1)&lt;0.01,"周波数差&lt;1%","周波数差あり"))</f>
        <v/>
      </c>
    </row>
    <row r="544">
      <c r="A544" s="197" t="n"/>
      <c r="B544" s="198" t="n"/>
      <c r="C544" s="198" t="n"/>
      <c r="D544" s="195">
        <f>IF(K544="","",INDEX('同相3導体'!$AB:$AB,K544))</f>
        <v/>
      </c>
      <c r="E544" s="195">
        <f>IF(K544="","",INDEX('同相3導体'!$AC:$AC,K544))</f>
        <v/>
      </c>
      <c r="F544" s="195">
        <f>IF(OR(A544="",B544=""),"",100*(D544-B544)/MAX(B544,1E-12))</f>
        <v/>
      </c>
      <c r="G544" s="195">
        <f>IF(OR(A544="",C544=""),"",E544-C544)</f>
        <v/>
      </c>
      <c r="H544" s="195">
        <f>IF(A544="","",LOG10(A544))</f>
        <v/>
      </c>
      <c r="I544" s="195">
        <f>IF(B544="","",LOG10(MAX(B544,1E-12)))</f>
        <v/>
      </c>
      <c r="J544" s="195">
        <f>IF(D544="","",LOG10(MAX(D544,1E-12)))</f>
        <v/>
      </c>
      <c r="K544">
        <f>IF(A544="","",ROUND(1+(LOG10(A544)-LOG10('入力・概要'!$B$38))*('入力・概要'!$B$40-1)/(LOG10('入力・概要'!$B$39)-LOG10('入力・概要'!$B$38)),0)+3)</f>
        <v/>
      </c>
      <c r="L544">
        <f>IF(K544="","",INDEX('同相3導体'!$B:$B,K544))</f>
        <v/>
      </c>
      <c r="M544">
        <f>IF(A544="","",IF(ABS(L544/A544-1)&lt;0.01,"周波数差&lt;1%","周波数差あり"))</f>
        <v/>
      </c>
    </row>
    <row r="545">
      <c r="A545" s="197" t="n"/>
      <c r="B545" s="198" t="n"/>
      <c r="C545" s="198" t="n"/>
      <c r="D545" s="195">
        <f>IF(K545="","",INDEX('同相3導体'!$AB:$AB,K545))</f>
        <v/>
      </c>
      <c r="E545" s="195">
        <f>IF(K545="","",INDEX('同相3導体'!$AC:$AC,K545))</f>
        <v/>
      </c>
      <c r="F545" s="195">
        <f>IF(OR(A545="",B545=""),"",100*(D545-B545)/MAX(B545,1E-12))</f>
        <v/>
      </c>
      <c r="G545" s="195">
        <f>IF(OR(A545="",C545=""),"",E545-C545)</f>
        <v/>
      </c>
      <c r="H545" s="195">
        <f>IF(A545="","",LOG10(A545))</f>
        <v/>
      </c>
      <c r="I545" s="195">
        <f>IF(B545="","",LOG10(MAX(B545,1E-12)))</f>
        <v/>
      </c>
      <c r="J545" s="195">
        <f>IF(D545="","",LOG10(MAX(D545,1E-12)))</f>
        <v/>
      </c>
      <c r="K545">
        <f>IF(A545="","",ROUND(1+(LOG10(A545)-LOG10('入力・概要'!$B$38))*('入力・概要'!$B$40-1)/(LOG10('入力・概要'!$B$39)-LOG10('入力・概要'!$B$38)),0)+3)</f>
        <v/>
      </c>
      <c r="L545">
        <f>IF(K545="","",INDEX('同相3導体'!$B:$B,K545))</f>
        <v/>
      </c>
      <c r="M545">
        <f>IF(A545="","",IF(ABS(L545/A545-1)&lt;0.01,"周波数差&lt;1%","周波数差あり"))</f>
        <v/>
      </c>
    </row>
    <row r="546">
      <c r="A546" s="197" t="n"/>
      <c r="B546" s="198" t="n"/>
      <c r="C546" s="198" t="n"/>
      <c r="D546" s="195">
        <f>IF(K546="","",INDEX('同相3導体'!$AB:$AB,K546))</f>
        <v/>
      </c>
      <c r="E546" s="195">
        <f>IF(K546="","",INDEX('同相3導体'!$AC:$AC,K546))</f>
        <v/>
      </c>
      <c r="F546" s="195">
        <f>IF(OR(A546="",B546=""),"",100*(D546-B546)/MAX(B546,1E-12))</f>
        <v/>
      </c>
      <c r="G546" s="195">
        <f>IF(OR(A546="",C546=""),"",E546-C546)</f>
        <v/>
      </c>
      <c r="H546" s="195">
        <f>IF(A546="","",LOG10(A546))</f>
        <v/>
      </c>
      <c r="I546" s="195">
        <f>IF(B546="","",LOG10(MAX(B546,1E-12)))</f>
        <v/>
      </c>
      <c r="J546" s="195">
        <f>IF(D546="","",LOG10(MAX(D546,1E-12)))</f>
        <v/>
      </c>
      <c r="K546">
        <f>IF(A546="","",ROUND(1+(LOG10(A546)-LOG10('入力・概要'!$B$38))*('入力・概要'!$B$40-1)/(LOG10('入力・概要'!$B$39)-LOG10('入力・概要'!$B$38)),0)+3)</f>
        <v/>
      </c>
      <c r="L546">
        <f>IF(K546="","",INDEX('同相3導体'!$B:$B,K546))</f>
        <v/>
      </c>
      <c r="M546">
        <f>IF(A546="","",IF(ABS(L546/A546-1)&lt;0.01,"周波数差&lt;1%","周波数差あり"))</f>
        <v/>
      </c>
    </row>
    <row r="547">
      <c r="A547" s="197" t="n"/>
      <c r="B547" s="198" t="n"/>
      <c r="C547" s="198" t="n"/>
      <c r="D547" s="195">
        <f>IF(K547="","",INDEX('同相3導体'!$AB:$AB,K547))</f>
        <v/>
      </c>
      <c r="E547" s="195">
        <f>IF(K547="","",INDEX('同相3導体'!$AC:$AC,K547))</f>
        <v/>
      </c>
      <c r="F547" s="195">
        <f>IF(OR(A547="",B547=""),"",100*(D547-B547)/MAX(B547,1E-12))</f>
        <v/>
      </c>
      <c r="G547" s="195">
        <f>IF(OR(A547="",C547=""),"",E547-C547)</f>
        <v/>
      </c>
      <c r="H547" s="195">
        <f>IF(A547="","",LOG10(A547))</f>
        <v/>
      </c>
      <c r="I547" s="195">
        <f>IF(B547="","",LOG10(MAX(B547,1E-12)))</f>
        <v/>
      </c>
      <c r="J547" s="195">
        <f>IF(D547="","",LOG10(MAX(D547,1E-12)))</f>
        <v/>
      </c>
      <c r="K547">
        <f>IF(A547="","",ROUND(1+(LOG10(A547)-LOG10('入力・概要'!$B$38))*('入力・概要'!$B$40-1)/(LOG10('入力・概要'!$B$39)-LOG10('入力・概要'!$B$38)),0)+3)</f>
        <v/>
      </c>
      <c r="L547">
        <f>IF(K547="","",INDEX('同相3導体'!$B:$B,K547))</f>
        <v/>
      </c>
      <c r="M547">
        <f>IF(A547="","",IF(ABS(L547/A547-1)&lt;0.01,"周波数差&lt;1%","周波数差あり"))</f>
        <v/>
      </c>
    </row>
    <row r="548">
      <c r="A548" s="197" t="n"/>
      <c r="B548" s="198" t="n"/>
      <c r="C548" s="198" t="n"/>
      <c r="D548" s="195">
        <f>IF(K548="","",INDEX('同相3導体'!$AB:$AB,K548))</f>
        <v/>
      </c>
      <c r="E548" s="195">
        <f>IF(K548="","",INDEX('同相3導体'!$AC:$AC,K548))</f>
        <v/>
      </c>
      <c r="F548" s="195">
        <f>IF(OR(A548="",B548=""),"",100*(D548-B548)/MAX(B548,1E-12))</f>
        <v/>
      </c>
      <c r="G548" s="195">
        <f>IF(OR(A548="",C548=""),"",E548-C548)</f>
        <v/>
      </c>
      <c r="H548" s="195">
        <f>IF(A548="","",LOG10(A548))</f>
        <v/>
      </c>
      <c r="I548" s="195">
        <f>IF(B548="","",LOG10(MAX(B548,1E-12)))</f>
        <v/>
      </c>
      <c r="J548" s="195">
        <f>IF(D548="","",LOG10(MAX(D548,1E-12)))</f>
        <v/>
      </c>
      <c r="K548">
        <f>IF(A548="","",ROUND(1+(LOG10(A548)-LOG10('入力・概要'!$B$38))*('入力・概要'!$B$40-1)/(LOG10('入力・概要'!$B$39)-LOG10('入力・概要'!$B$38)),0)+3)</f>
        <v/>
      </c>
      <c r="L548">
        <f>IF(K548="","",INDEX('同相3導体'!$B:$B,K548))</f>
        <v/>
      </c>
      <c r="M548">
        <f>IF(A548="","",IF(ABS(L548/A548-1)&lt;0.01,"周波数差&lt;1%","周波数差あり"))</f>
        <v/>
      </c>
    </row>
    <row r="549">
      <c r="A549" s="197" t="n"/>
      <c r="B549" s="198" t="n"/>
      <c r="C549" s="198" t="n"/>
      <c r="D549" s="195">
        <f>IF(K549="","",INDEX('同相3導体'!$AB:$AB,K549))</f>
        <v/>
      </c>
      <c r="E549" s="195">
        <f>IF(K549="","",INDEX('同相3導体'!$AC:$AC,K549))</f>
        <v/>
      </c>
      <c r="F549" s="195">
        <f>IF(OR(A549="",B549=""),"",100*(D549-B549)/MAX(B549,1E-12))</f>
        <v/>
      </c>
      <c r="G549" s="195">
        <f>IF(OR(A549="",C549=""),"",E549-C549)</f>
        <v/>
      </c>
      <c r="H549" s="195">
        <f>IF(A549="","",LOG10(A549))</f>
        <v/>
      </c>
      <c r="I549" s="195">
        <f>IF(B549="","",LOG10(MAX(B549,1E-12)))</f>
        <v/>
      </c>
      <c r="J549" s="195">
        <f>IF(D549="","",LOG10(MAX(D549,1E-12)))</f>
        <v/>
      </c>
      <c r="K549">
        <f>IF(A549="","",ROUND(1+(LOG10(A549)-LOG10('入力・概要'!$B$38))*('入力・概要'!$B$40-1)/(LOG10('入力・概要'!$B$39)-LOG10('入力・概要'!$B$38)),0)+3)</f>
        <v/>
      </c>
      <c r="L549">
        <f>IF(K549="","",INDEX('同相3導体'!$B:$B,K549))</f>
        <v/>
      </c>
      <c r="M549">
        <f>IF(A549="","",IF(ABS(L549/A549-1)&lt;0.01,"周波数差&lt;1%","周波数差あり"))</f>
        <v/>
      </c>
    </row>
    <row r="550">
      <c r="A550" s="197" t="n"/>
      <c r="B550" s="198" t="n"/>
      <c r="C550" s="198" t="n"/>
      <c r="D550" s="195">
        <f>IF(K550="","",INDEX('同相3導体'!$AB:$AB,K550))</f>
        <v/>
      </c>
      <c r="E550" s="195">
        <f>IF(K550="","",INDEX('同相3導体'!$AC:$AC,K550))</f>
        <v/>
      </c>
      <c r="F550" s="195">
        <f>IF(OR(A550="",B550=""),"",100*(D550-B550)/MAX(B550,1E-12))</f>
        <v/>
      </c>
      <c r="G550" s="195">
        <f>IF(OR(A550="",C550=""),"",E550-C550)</f>
        <v/>
      </c>
      <c r="H550" s="195">
        <f>IF(A550="","",LOG10(A550))</f>
        <v/>
      </c>
      <c r="I550" s="195">
        <f>IF(B550="","",LOG10(MAX(B550,1E-12)))</f>
        <v/>
      </c>
      <c r="J550" s="195">
        <f>IF(D550="","",LOG10(MAX(D550,1E-12)))</f>
        <v/>
      </c>
      <c r="K550">
        <f>IF(A550="","",ROUND(1+(LOG10(A550)-LOG10('入力・概要'!$B$38))*('入力・概要'!$B$40-1)/(LOG10('入力・概要'!$B$39)-LOG10('入力・概要'!$B$38)),0)+3)</f>
        <v/>
      </c>
      <c r="L550">
        <f>IF(K550="","",INDEX('同相3導体'!$B:$B,K550))</f>
        <v/>
      </c>
      <c r="M550">
        <f>IF(A550="","",IF(ABS(L550/A550-1)&lt;0.01,"周波数差&lt;1%","周波数差あり"))</f>
        <v/>
      </c>
    </row>
    <row r="551">
      <c r="A551" s="197" t="n"/>
      <c r="B551" s="198" t="n"/>
      <c r="C551" s="198" t="n"/>
      <c r="D551" s="195">
        <f>IF(K551="","",INDEX('同相3導体'!$AB:$AB,K551))</f>
        <v/>
      </c>
      <c r="E551" s="195">
        <f>IF(K551="","",INDEX('同相3導体'!$AC:$AC,K551))</f>
        <v/>
      </c>
      <c r="F551" s="195">
        <f>IF(OR(A551="",B551=""),"",100*(D551-B551)/MAX(B551,1E-12))</f>
        <v/>
      </c>
      <c r="G551" s="195">
        <f>IF(OR(A551="",C551=""),"",E551-C551)</f>
        <v/>
      </c>
      <c r="H551" s="195">
        <f>IF(A551="","",LOG10(A551))</f>
        <v/>
      </c>
      <c r="I551" s="195">
        <f>IF(B551="","",LOG10(MAX(B551,1E-12)))</f>
        <v/>
      </c>
      <c r="J551" s="195">
        <f>IF(D551="","",LOG10(MAX(D551,1E-12)))</f>
        <v/>
      </c>
      <c r="K551">
        <f>IF(A551="","",ROUND(1+(LOG10(A551)-LOG10('入力・概要'!$B$38))*('入力・概要'!$B$40-1)/(LOG10('入力・概要'!$B$39)-LOG10('入力・概要'!$B$38)),0)+3)</f>
        <v/>
      </c>
      <c r="L551">
        <f>IF(K551="","",INDEX('同相3導体'!$B:$B,K551))</f>
        <v/>
      </c>
      <c r="M551">
        <f>IF(A551="","",IF(ABS(L551/A551-1)&lt;0.01,"周波数差&lt;1%","周波数差あり"))</f>
        <v/>
      </c>
    </row>
    <row r="552">
      <c r="A552" s="197" t="n"/>
      <c r="B552" s="198" t="n"/>
      <c r="C552" s="198" t="n"/>
      <c r="D552" s="195">
        <f>IF(K552="","",INDEX('同相3導体'!$AB:$AB,K552))</f>
        <v/>
      </c>
      <c r="E552" s="195">
        <f>IF(K552="","",INDEX('同相3導体'!$AC:$AC,K552))</f>
        <v/>
      </c>
      <c r="F552" s="195">
        <f>IF(OR(A552="",B552=""),"",100*(D552-B552)/MAX(B552,1E-12))</f>
        <v/>
      </c>
      <c r="G552" s="195">
        <f>IF(OR(A552="",C552=""),"",E552-C552)</f>
        <v/>
      </c>
      <c r="H552" s="195">
        <f>IF(A552="","",LOG10(A552))</f>
        <v/>
      </c>
      <c r="I552" s="195">
        <f>IF(B552="","",LOG10(MAX(B552,1E-12)))</f>
        <v/>
      </c>
      <c r="J552" s="195">
        <f>IF(D552="","",LOG10(MAX(D552,1E-12)))</f>
        <v/>
      </c>
      <c r="K552">
        <f>IF(A552="","",ROUND(1+(LOG10(A552)-LOG10('入力・概要'!$B$38))*('入力・概要'!$B$40-1)/(LOG10('入力・概要'!$B$39)-LOG10('入力・概要'!$B$38)),0)+3)</f>
        <v/>
      </c>
      <c r="L552">
        <f>IF(K552="","",INDEX('同相3導体'!$B:$B,K552))</f>
        <v/>
      </c>
      <c r="M552">
        <f>IF(A552="","",IF(ABS(L552/A552-1)&lt;0.01,"周波数差&lt;1%","周波数差あり"))</f>
        <v/>
      </c>
    </row>
    <row r="553">
      <c r="A553" s="197" t="n"/>
      <c r="B553" s="198" t="n"/>
      <c r="C553" s="198" t="n"/>
      <c r="D553" s="195">
        <f>IF(K553="","",INDEX('同相3導体'!$AB:$AB,K553))</f>
        <v/>
      </c>
      <c r="E553" s="195">
        <f>IF(K553="","",INDEX('同相3導体'!$AC:$AC,K553))</f>
        <v/>
      </c>
      <c r="F553" s="195">
        <f>IF(OR(A553="",B553=""),"",100*(D553-B553)/MAX(B553,1E-12))</f>
        <v/>
      </c>
      <c r="G553" s="195">
        <f>IF(OR(A553="",C553=""),"",E553-C553)</f>
        <v/>
      </c>
      <c r="H553" s="195">
        <f>IF(A553="","",LOG10(A553))</f>
        <v/>
      </c>
      <c r="I553" s="195">
        <f>IF(B553="","",LOG10(MAX(B553,1E-12)))</f>
        <v/>
      </c>
      <c r="J553" s="195">
        <f>IF(D553="","",LOG10(MAX(D553,1E-12)))</f>
        <v/>
      </c>
      <c r="K553">
        <f>IF(A553="","",ROUND(1+(LOG10(A553)-LOG10('入力・概要'!$B$38))*('入力・概要'!$B$40-1)/(LOG10('入力・概要'!$B$39)-LOG10('入力・概要'!$B$38)),0)+3)</f>
        <v/>
      </c>
      <c r="L553">
        <f>IF(K553="","",INDEX('同相3導体'!$B:$B,K553))</f>
        <v/>
      </c>
      <c r="M553">
        <f>IF(A553="","",IF(ABS(L553/A553-1)&lt;0.01,"周波数差&lt;1%","周波数差あり"))</f>
        <v/>
      </c>
    </row>
    <row r="554">
      <c r="A554" s="197" t="n"/>
      <c r="B554" s="198" t="n"/>
      <c r="C554" s="198" t="n"/>
      <c r="D554" s="195">
        <f>IF(K554="","",INDEX('同相3導体'!$AB:$AB,K554))</f>
        <v/>
      </c>
      <c r="E554" s="195">
        <f>IF(K554="","",INDEX('同相3導体'!$AC:$AC,K554))</f>
        <v/>
      </c>
      <c r="F554" s="195">
        <f>IF(OR(A554="",B554=""),"",100*(D554-B554)/MAX(B554,1E-12))</f>
        <v/>
      </c>
      <c r="G554" s="195">
        <f>IF(OR(A554="",C554=""),"",E554-C554)</f>
        <v/>
      </c>
      <c r="H554" s="195">
        <f>IF(A554="","",LOG10(A554))</f>
        <v/>
      </c>
      <c r="I554" s="195">
        <f>IF(B554="","",LOG10(MAX(B554,1E-12)))</f>
        <v/>
      </c>
      <c r="J554" s="195">
        <f>IF(D554="","",LOG10(MAX(D554,1E-12)))</f>
        <v/>
      </c>
      <c r="K554">
        <f>IF(A554="","",ROUND(1+(LOG10(A554)-LOG10('入力・概要'!$B$38))*('入力・概要'!$B$40-1)/(LOG10('入力・概要'!$B$39)-LOG10('入力・概要'!$B$38)),0)+3)</f>
        <v/>
      </c>
      <c r="L554">
        <f>IF(K554="","",INDEX('同相3導体'!$B:$B,K554))</f>
        <v/>
      </c>
      <c r="M554">
        <f>IF(A554="","",IF(ABS(L554/A554-1)&lt;0.01,"周波数差&lt;1%","周波数差あり"))</f>
        <v/>
      </c>
    </row>
    <row r="555">
      <c r="A555" s="197" t="n"/>
      <c r="B555" s="198" t="n"/>
      <c r="C555" s="198" t="n"/>
      <c r="D555" s="195">
        <f>IF(K555="","",INDEX('同相3導体'!$AB:$AB,K555))</f>
        <v/>
      </c>
      <c r="E555" s="195">
        <f>IF(K555="","",INDEX('同相3導体'!$AC:$AC,K555))</f>
        <v/>
      </c>
      <c r="F555" s="195">
        <f>IF(OR(A555="",B555=""),"",100*(D555-B555)/MAX(B555,1E-12))</f>
        <v/>
      </c>
      <c r="G555" s="195">
        <f>IF(OR(A555="",C555=""),"",E555-C555)</f>
        <v/>
      </c>
      <c r="H555" s="195">
        <f>IF(A555="","",LOG10(A555))</f>
        <v/>
      </c>
      <c r="I555" s="195">
        <f>IF(B555="","",LOG10(MAX(B555,1E-12)))</f>
        <v/>
      </c>
      <c r="J555" s="195">
        <f>IF(D555="","",LOG10(MAX(D555,1E-12)))</f>
        <v/>
      </c>
      <c r="K555">
        <f>IF(A555="","",ROUND(1+(LOG10(A555)-LOG10('入力・概要'!$B$38))*('入力・概要'!$B$40-1)/(LOG10('入力・概要'!$B$39)-LOG10('入力・概要'!$B$38)),0)+3)</f>
        <v/>
      </c>
      <c r="L555">
        <f>IF(K555="","",INDEX('同相3導体'!$B:$B,K555))</f>
        <v/>
      </c>
      <c r="M555">
        <f>IF(A555="","",IF(ABS(L555/A555-1)&lt;0.01,"周波数差&lt;1%","周波数差あり"))</f>
        <v/>
      </c>
    </row>
    <row r="556">
      <c r="A556" s="197" t="n"/>
      <c r="B556" s="198" t="n"/>
      <c r="C556" s="198" t="n"/>
      <c r="D556" s="195">
        <f>IF(K556="","",INDEX('同相3導体'!$AB:$AB,K556))</f>
        <v/>
      </c>
      <c r="E556" s="195">
        <f>IF(K556="","",INDEX('同相3導体'!$AC:$AC,K556))</f>
        <v/>
      </c>
      <c r="F556" s="195">
        <f>IF(OR(A556="",B556=""),"",100*(D556-B556)/MAX(B556,1E-12))</f>
        <v/>
      </c>
      <c r="G556" s="195">
        <f>IF(OR(A556="",C556=""),"",E556-C556)</f>
        <v/>
      </c>
      <c r="H556" s="195">
        <f>IF(A556="","",LOG10(A556))</f>
        <v/>
      </c>
      <c r="I556" s="195">
        <f>IF(B556="","",LOG10(MAX(B556,1E-12)))</f>
        <v/>
      </c>
      <c r="J556" s="195">
        <f>IF(D556="","",LOG10(MAX(D556,1E-12)))</f>
        <v/>
      </c>
      <c r="K556">
        <f>IF(A556="","",ROUND(1+(LOG10(A556)-LOG10('入力・概要'!$B$38))*('入力・概要'!$B$40-1)/(LOG10('入力・概要'!$B$39)-LOG10('入力・概要'!$B$38)),0)+3)</f>
        <v/>
      </c>
      <c r="L556">
        <f>IF(K556="","",INDEX('同相3導体'!$B:$B,K556))</f>
        <v/>
      </c>
      <c r="M556">
        <f>IF(A556="","",IF(ABS(L556/A556-1)&lt;0.01,"周波数差&lt;1%","周波数差あり"))</f>
        <v/>
      </c>
    </row>
    <row r="557">
      <c r="A557" s="197" t="n"/>
      <c r="B557" s="198" t="n"/>
      <c r="C557" s="198" t="n"/>
      <c r="D557" s="195">
        <f>IF(K557="","",INDEX('同相3導体'!$AB:$AB,K557))</f>
        <v/>
      </c>
      <c r="E557" s="195">
        <f>IF(K557="","",INDEX('同相3導体'!$AC:$AC,K557))</f>
        <v/>
      </c>
      <c r="F557" s="195">
        <f>IF(OR(A557="",B557=""),"",100*(D557-B557)/MAX(B557,1E-12))</f>
        <v/>
      </c>
      <c r="G557" s="195">
        <f>IF(OR(A557="",C557=""),"",E557-C557)</f>
        <v/>
      </c>
      <c r="H557" s="195">
        <f>IF(A557="","",LOG10(A557))</f>
        <v/>
      </c>
      <c r="I557" s="195">
        <f>IF(B557="","",LOG10(MAX(B557,1E-12)))</f>
        <v/>
      </c>
      <c r="J557" s="195">
        <f>IF(D557="","",LOG10(MAX(D557,1E-12)))</f>
        <v/>
      </c>
      <c r="K557">
        <f>IF(A557="","",ROUND(1+(LOG10(A557)-LOG10('入力・概要'!$B$38))*('入力・概要'!$B$40-1)/(LOG10('入力・概要'!$B$39)-LOG10('入力・概要'!$B$38)),0)+3)</f>
        <v/>
      </c>
      <c r="L557">
        <f>IF(K557="","",INDEX('同相3導体'!$B:$B,K557))</f>
        <v/>
      </c>
      <c r="M557">
        <f>IF(A557="","",IF(ABS(L557/A557-1)&lt;0.01,"周波数差&lt;1%","周波数差あり"))</f>
        <v/>
      </c>
    </row>
    <row r="558">
      <c r="A558" s="197" t="n"/>
      <c r="B558" s="198" t="n"/>
      <c r="C558" s="198" t="n"/>
      <c r="D558" s="195">
        <f>IF(K558="","",INDEX('同相3導体'!$AB:$AB,K558))</f>
        <v/>
      </c>
      <c r="E558" s="195">
        <f>IF(K558="","",INDEX('同相3導体'!$AC:$AC,K558))</f>
        <v/>
      </c>
      <c r="F558" s="195">
        <f>IF(OR(A558="",B558=""),"",100*(D558-B558)/MAX(B558,1E-12))</f>
        <v/>
      </c>
      <c r="G558" s="195">
        <f>IF(OR(A558="",C558=""),"",E558-C558)</f>
        <v/>
      </c>
      <c r="H558" s="195">
        <f>IF(A558="","",LOG10(A558))</f>
        <v/>
      </c>
      <c r="I558" s="195">
        <f>IF(B558="","",LOG10(MAX(B558,1E-12)))</f>
        <v/>
      </c>
      <c r="J558" s="195">
        <f>IF(D558="","",LOG10(MAX(D558,1E-12)))</f>
        <v/>
      </c>
      <c r="K558">
        <f>IF(A558="","",ROUND(1+(LOG10(A558)-LOG10('入力・概要'!$B$38))*('入力・概要'!$B$40-1)/(LOG10('入力・概要'!$B$39)-LOG10('入力・概要'!$B$38)),0)+3)</f>
        <v/>
      </c>
      <c r="L558">
        <f>IF(K558="","",INDEX('同相3導体'!$B:$B,K558))</f>
        <v/>
      </c>
      <c r="M558">
        <f>IF(A558="","",IF(ABS(L558/A558-1)&lt;0.01,"周波数差&lt;1%","周波数差あり"))</f>
        <v/>
      </c>
    </row>
    <row r="559">
      <c r="A559" s="197" t="n"/>
      <c r="B559" s="198" t="n"/>
      <c r="C559" s="198" t="n"/>
      <c r="D559" s="195">
        <f>IF(K559="","",INDEX('同相3導体'!$AB:$AB,K559))</f>
        <v/>
      </c>
      <c r="E559" s="195">
        <f>IF(K559="","",INDEX('同相3導体'!$AC:$AC,K559))</f>
        <v/>
      </c>
      <c r="F559" s="195">
        <f>IF(OR(A559="",B559=""),"",100*(D559-B559)/MAX(B559,1E-12))</f>
        <v/>
      </c>
      <c r="G559" s="195">
        <f>IF(OR(A559="",C559=""),"",E559-C559)</f>
        <v/>
      </c>
      <c r="H559" s="195">
        <f>IF(A559="","",LOG10(A559))</f>
        <v/>
      </c>
      <c r="I559" s="195">
        <f>IF(B559="","",LOG10(MAX(B559,1E-12)))</f>
        <v/>
      </c>
      <c r="J559" s="195">
        <f>IF(D559="","",LOG10(MAX(D559,1E-12)))</f>
        <v/>
      </c>
      <c r="K559">
        <f>IF(A559="","",ROUND(1+(LOG10(A559)-LOG10('入力・概要'!$B$38))*('入力・概要'!$B$40-1)/(LOG10('入力・概要'!$B$39)-LOG10('入力・概要'!$B$38)),0)+3)</f>
        <v/>
      </c>
      <c r="L559">
        <f>IF(K559="","",INDEX('同相3導体'!$B:$B,K559))</f>
        <v/>
      </c>
      <c r="M559">
        <f>IF(A559="","",IF(ABS(L559/A559-1)&lt;0.01,"周波数差&lt;1%","周波数差あり"))</f>
        <v/>
      </c>
    </row>
    <row r="560">
      <c r="A560" s="197" t="n"/>
      <c r="B560" s="198" t="n"/>
      <c r="C560" s="198" t="n"/>
      <c r="D560" s="195">
        <f>IF(K560="","",INDEX('同相3導体'!$AB:$AB,K560))</f>
        <v/>
      </c>
      <c r="E560" s="195">
        <f>IF(K560="","",INDEX('同相3導体'!$AC:$AC,K560))</f>
        <v/>
      </c>
      <c r="F560" s="195">
        <f>IF(OR(A560="",B560=""),"",100*(D560-B560)/MAX(B560,1E-12))</f>
        <v/>
      </c>
      <c r="G560" s="195">
        <f>IF(OR(A560="",C560=""),"",E560-C560)</f>
        <v/>
      </c>
      <c r="H560" s="195">
        <f>IF(A560="","",LOG10(A560))</f>
        <v/>
      </c>
      <c r="I560" s="195">
        <f>IF(B560="","",LOG10(MAX(B560,1E-12)))</f>
        <v/>
      </c>
      <c r="J560" s="195">
        <f>IF(D560="","",LOG10(MAX(D560,1E-12)))</f>
        <v/>
      </c>
      <c r="K560">
        <f>IF(A560="","",ROUND(1+(LOG10(A560)-LOG10('入力・概要'!$B$38))*('入力・概要'!$B$40-1)/(LOG10('入力・概要'!$B$39)-LOG10('入力・概要'!$B$38)),0)+3)</f>
        <v/>
      </c>
      <c r="L560">
        <f>IF(K560="","",INDEX('同相3導体'!$B:$B,K560))</f>
        <v/>
      </c>
      <c r="M560">
        <f>IF(A560="","",IF(ABS(L560/A560-1)&lt;0.01,"周波数差&lt;1%","周波数差あり"))</f>
        <v/>
      </c>
    </row>
    <row r="561">
      <c r="A561" s="197" t="n"/>
      <c r="B561" s="198" t="n"/>
      <c r="C561" s="198" t="n"/>
      <c r="D561" s="195">
        <f>IF(K561="","",INDEX('同相3導体'!$AB:$AB,K561))</f>
        <v/>
      </c>
      <c r="E561" s="195">
        <f>IF(K561="","",INDEX('同相3導体'!$AC:$AC,K561))</f>
        <v/>
      </c>
      <c r="F561" s="195">
        <f>IF(OR(A561="",B561=""),"",100*(D561-B561)/MAX(B561,1E-12))</f>
        <v/>
      </c>
      <c r="G561" s="195">
        <f>IF(OR(A561="",C561=""),"",E561-C561)</f>
        <v/>
      </c>
      <c r="H561" s="195">
        <f>IF(A561="","",LOG10(A561))</f>
        <v/>
      </c>
      <c r="I561" s="195">
        <f>IF(B561="","",LOG10(MAX(B561,1E-12)))</f>
        <v/>
      </c>
      <c r="J561" s="195">
        <f>IF(D561="","",LOG10(MAX(D561,1E-12)))</f>
        <v/>
      </c>
      <c r="K561">
        <f>IF(A561="","",ROUND(1+(LOG10(A561)-LOG10('入力・概要'!$B$38))*('入力・概要'!$B$40-1)/(LOG10('入力・概要'!$B$39)-LOG10('入力・概要'!$B$38)),0)+3)</f>
        <v/>
      </c>
      <c r="L561">
        <f>IF(K561="","",INDEX('同相3導体'!$B:$B,K561))</f>
        <v/>
      </c>
      <c r="M561">
        <f>IF(A561="","",IF(ABS(L561/A561-1)&lt;0.01,"周波数差&lt;1%","周波数差あり"))</f>
        <v/>
      </c>
    </row>
    <row r="562">
      <c r="A562" s="197" t="n"/>
      <c r="B562" s="198" t="n"/>
      <c r="C562" s="198" t="n"/>
      <c r="D562" s="195">
        <f>IF(K562="","",INDEX('同相3導体'!$AB:$AB,K562))</f>
        <v/>
      </c>
      <c r="E562" s="195">
        <f>IF(K562="","",INDEX('同相3導体'!$AC:$AC,K562))</f>
        <v/>
      </c>
      <c r="F562" s="195">
        <f>IF(OR(A562="",B562=""),"",100*(D562-B562)/MAX(B562,1E-12))</f>
        <v/>
      </c>
      <c r="G562" s="195">
        <f>IF(OR(A562="",C562=""),"",E562-C562)</f>
        <v/>
      </c>
      <c r="H562" s="195">
        <f>IF(A562="","",LOG10(A562))</f>
        <v/>
      </c>
      <c r="I562" s="195">
        <f>IF(B562="","",LOG10(MAX(B562,1E-12)))</f>
        <v/>
      </c>
      <c r="J562" s="195">
        <f>IF(D562="","",LOG10(MAX(D562,1E-12)))</f>
        <v/>
      </c>
      <c r="K562">
        <f>IF(A562="","",ROUND(1+(LOG10(A562)-LOG10('入力・概要'!$B$38))*('入力・概要'!$B$40-1)/(LOG10('入力・概要'!$B$39)-LOG10('入力・概要'!$B$38)),0)+3)</f>
        <v/>
      </c>
      <c r="L562">
        <f>IF(K562="","",INDEX('同相3導体'!$B:$B,K562))</f>
        <v/>
      </c>
      <c r="M562">
        <f>IF(A562="","",IF(ABS(L562/A562-1)&lt;0.01,"周波数差&lt;1%","周波数差あり"))</f>
        <v/>
      </c>
    </row>
    <row r="563">
      <c r="A563" s="197" t="n"/>
      <c r="B563" s="198" t="n"/>
      <c r="C563" s="198" t="n"/>
      <c r="D563" s="195">
        <f>IF(K563="","",INDEX('同相3導体'!$AB:$AB,K563))</f>
        <v/>
      </c>
      <c r="E563" s="195">
        <f>IF(K563="","",INDEX('同相3導体'!$AC:$AC,K563))</f>
        <v/>
      </c>
      <c r="F563" s="195">
        <f>IF(OR(A563="",B563=""),"",100*(D563-B563)/MAX(B563,1E-12))</f>
        <v/>
      </c>
      <c r="G563" s="195">
        <f>IF(OR(A563="",C563=""),"",E563-C563)</f>
        <v/>
      </c>
      <c r="H563" s="195">
        <f>IF(A563="","",LOG10(A563))</f>
        <v/>
      </c>
      <c r="I563" s="195">
        <f>IF(B563="","",LOG10(MAX(B563,1E-12)))</f>
        <v/>
      </c>
      <c r="J563" s="195">
        <f>IF(D563="","",LOG10(MAX(D563,1E-12)))</f>
        <v/>
      </c>
      <c r="K563">
        <f>IF(A563="","",ROUND(1+(LOG10(A563)-LOG10('入力・概要'!$B$38))*('入力・概要'!$B$40-1)/(LOG10('入力・概要'!$B$39)-LOG10('入力・概要'!$B$38)),0)+3)</f>
        <v/>
      </c>
      <c r="L563">
        <f>IF(K563="","",INDEX('同相3導体'!$B:$B,K563))</f>
        <v/>
      </c>
      <c r="M563">
        <f>IF(A563="","",IF(ABS(L563/A563-1)&lt;0.01,"周波数差&lt;1%","周波数差あり"))</f>
        <v/>
      </c>
    </row>
    <row r="564">
      <c r="A564" s="197" t="n"/>
      <c r="B564" s="198" t="n"/>
      <c r="C564" s="198" t="n"/>
      <c r="D564" s="195">
        <f>IF(K564="","",INDEX('同相3導体'!$AB:$AB,K564))</f>
        <v/>
      </c>
      <c r="E564" s="195">
        <f>IF(K564="","",INDEX('同相3導体'!$AC:$AC,K564))</f>
        <v/>
      </c>
      <c r="F564" s="195">
        <f>IF(OR(A564="",B564=""),"",100*(D564-B564)/MAX(B564,1E-12))</f>
        <v/>
      </c>
      <c r="G564" s="195">
        <f>IF(OR(A564="",C564=""),"",E564-C564)</f>
        <v/>
      </c>
      <c r="H564" s="195">
        <f>IF(A564="","",LOG10(A564))</f>
        <v/>
      </c>
      <c r="I564" s="195">
        <f>IF(B564="","",LOG10(MAX(B564,1E-12)))</f>
        <v/>
      </c>
      <c r="J564" s="195">
        <f>IF(D564="","",LOG10(MAX(D564,1E-12)))</f>
        <v/>
      </c>
      <c r="K564">
        <f>IF(A564="","",ROUND(1+(LOG10(A564)-LOG10('入力・概要'!$B$38))*('入力・概要'!$B$40-1)/(LOG10('入力・概要'!$B$39)-LOG10('入力・概要'!$B$38)),0)+3)</f>
        <v/>
      </c>
      <c r="L564">
        <f>IF(K564="","",INDEX('同相3導体'!$B:$B,K564))</f>
        <v/>
      </c>
      <c r="M564">
        <f>IF(A564="","",IF(ABS(L564/A564-1)&lt;0.01,"周波数差&lt;1%","周波数差あり"))</f>
        <v/>
      </c>
    </row>
    <row r="565">
      <c r="A565" s="197" t="n"/>
      <c r="B565" s="198" t="n"/>
      <c r="C565" s="198" t="n"/>
      <c r="D565" s="195">
        <f>IF(K565="","",INDEX('同相3導体'!$AB:$AB,K565))</f>
        <v/>
      </c>
      <c r="E565" s="195">
        <f>IF(K565="","",INDEX('同相3導体'!$AC:$AC,K565))</f>
        <v/>
      </c>
      <c r="F565" s="195">
        <f>IF(OR(A565="",B565=""),"",100*(D565-B565)/MAX(B565,1E-12))</f>
        <v/>
      </c>
      <c r="G565" s="195">
        <f>IF(OR(A565="",C565=""),"",E565-C565)</f>
        <v/>
      </c>
      <c r="H565" s="195">
        <f>IF(A565="","",LOG10(A565))</f>
        <v/>
      </c>
      <c r="I565" s="195">
        <f>IF(B565="","",LOG10(MAX(B565,1E-12)))</f>
        <v/>
      </c>
      <c r="J565" s="195">
        <f>IF(D565="","",LOG10(MAX(D565,1E-12)))</f>
        <v/>
      </c>
      <c r="K565">
        <f>IF(A565="","",ROUND(1+(LOG10(A565)-LOG10('入力・概要'!$B$38))*('入力・概要'!$B$40-1)/(LOG10('入力・概要'!$B$39)-LOG10('入力・概要'!$B$38)),0)+3)</f>
        <v/>
      </c>
      <c r="L565">
        <f>IF(K565="","",INDEX('同相3導体'!$B:$B,K565))</f>
        <v/>
      </c>
      <c r="M565">
        <f>IF(A565="","",IF(ABS(L565/A565-1)&lt;0.01,"周波数差&lt;1%","周波数差あり"))</f>
        <v/>
      </c>
    </row>
    <row r="566">
      <c r="A566" s="197" t="n"/>
      <c r="B566" s="198" t="n"/>
      <c r="C566" s="198" t="n"/>
      <c r="D566" s="195">
        <f>IF(K566="","",INDEX('同相3導体'!$AB:$AB,K566))</f>
        <v/>
      </c>
      <c r="E566" s="195">
        <f>IF(K566="","",INDEX('同相3導体'!$AC:$AC,K566))</f>
        <v/>
      </c>
      <c r="F566" s="195">
        <f>IF(OR(A566="",B566=""),"",100*(D566-B566)/MAX(B566,1E-12))</f>
        <v/>
      </c>
      <c r="G566" s="195">
        <f>IF(OR(A566="",C566=""),"",E566-C566)</f>
        <v/>
      </c>
      <c r="H566" s="195">
        <f>IF(A566="","",LOG10(A566))</f>
        <v/>
      </c>
      <c r="I566" s="195">
        <f>IF(B566="","",LOG10(MAX(B566,1E-12)))</f>
        <v/>
      </c>
      <c r="J566" s="195">
        <f>IF(D566="","",LOG10(MAX(D566,1E-12)))</f>
        <v/>
      </c>
      <c r="K566">
        <f>IF(A566="","",ROUND(1+(LOG10(A566)-LOG10('入力・概要'!$B$38))*('入力・概要'!$B$40-1)/(LOG10('入力・概要'!$B$39)-LOG10('入力・概要'!$B$38)),0)+3)</f>
        <v/>
      </c>
      <c r="L566">
        <f>IF(K566="","",INDEX('同相3導体'!$B:$B,K566))</f>
        <v/>
      </c>
      <c r="M566">
        <f>IF(A566="","",IF(ABS(L566/A566-1)&lt;0.01,"周波数差&lt;1%","周波数差あり"))</f>
        <v/>
      </c>
    </row>
    <row r="567">
      <c r="A567" s="197" t="n"/>
      <c r="B567" s="198" t="n"/>
      <c r="C567" s="198" t="n"/>
      <c r="D567" s="195">
        <f>IF(K567="","",INDEX('同相3導体'!$AB:$AB,K567))</f>
        <v/>
      </c>
      <c r="E567" s="195">
        <f>IF(K567="","",INDEX('同相3導体'!$AC:$AC,K567))</f>
        <v/>
      </c>
      <c r="F567" s="195">
        <f>IF(OR(A567="",B567=""),"",100*(D567-B567)/MAX(B567,1E-12))</f>
        <v/>
      </c>
      <c r="G567" s="195">
        <f>IF(OR(A567="",C567=""),"",E567-C567)</f>
        <v/>
      </c>
      <c r="H567" s="195">
        <f>IF(A567="","",LOG10(A567))</f>
        <v/>
      </c>
      <c r="I567" s="195">
        <f>IF(B567="","",LOG10(MAX(B567,1E-12)))</f>
        <v/>
      </c>
      <c r="J567" s="195">
        <f>IF(D567="","",LOG10(MAX(D567,1E-12)))</f>
        <v/>
      </c>
      <c r="K567">
        <f>IF(A567="","",ROUND(1+(LOG10(A567)-LOG10('入力・概要'!$B$38))*('入力・概要'!$B$40-1)/(LOG10('入力・概要'!$B$39)-LOG10('入力・概要'!$B$38)),0)+3)</f>
        <v/>
      </c>
      <c r="L567">
        <f>IF(K567="","",INDEX('同相3導体'!$B:$B,K567))</f>
        <v/>
      </c>
      <c r="M567">
        <f>IF(A567="","",IF(ABS(L567/A567-1)&lt;0.01,"周波数差&lt;1%","周波数差あり"))</f>
        <v/>
      </c>
    </row>
    <row r="568">
      <c r="A568" s="197" t="n"/>
      <c r="B568" s="198" t="n"/>
      <c r="C568" s="198" t="n"/>
      <c r="D568" s="195">
        <f>IF(K568="","",INDEX('同相3導体'!$AB:$AB,K568))</f>
        <v/>
      </c>
      <c r="E568" s="195">
        <f>IF(K568="","",INDEX('同相3導体'!$AC:$AC,K568))</f>
        <v/>
      </c>
      <c r="F568" s="195">
        <f>IF(OR(A568="",B568=""),"",100*(D568-B568)/MAX(B568,1E-12))</f>
        <v/>
      </c>
      <c r="G568" s="195">
        <f>IF(OR(A568="",C568=""),"",E568-C568)</f>
        <v/>
      </c>
      <c r="H568" s="195">
        <f>IF(A568="","",LOG10(A568))</f>
        <v/>
      </c>
      <c r="I568" s="195">
        <f>IF(B568="","",LOG10(MAX(B568,1E-12)))</f>
        <v/>
      </c>
      <c r="J568" s="195">
        <f>IF(D568="","",LOG10(MAX(D568,1E-12)))</f>
        <v/>
      </c>
      <c r="K568">
        <f>IF(A568="","",ROUND(1+(LOG10(A568)-LOG10('入力・概要'!$B$38))*('入力・概要'!$B$40-1)/(LOG10('入力・概要'!$B$39)-LOG10('入力・概要'!$B$38)),0)+3)</f>
        <v/>
      </c>
      <c r="L568">
        <f>IF(K568="","",INDEX('同相3導体'!$B:$B,K568))</f>
        <v/>
      </c>
      <c r="M568">
        <f>IF(A568="","",IF(ABS(L568/A568-1)&lt;0.01,"周波数差&lt;1%","周波数差あり"))</f>
        <v/>
      </c>
    </row>
    <row r="569">
      <c r="A569" s="197" t="n"/>
      <c r="B569" s="198" t="n"/>
      <c r="C569" s="198" t="n"/>
      <c r="D569" s="195">
        <f>IF(K569="","",INDEX('同相3導体'!$AB:$AB,K569))</f>
        <v/>
      </c>
      <c r="E569" s="195">
        <f>IF(K569="","",INDEX('同相3導体'!$AC:$AC,K569))</f>
        <v/>
      </c>
      <c r="F569" s="195">
        <f>IF(OR(A569="",B569=""),"",100*(D569-B569)/MAX(B569,1E-12))</f>
        <v/>
      </c>
      <c r="G569" s="195">
        <f>IF(OR(A569="",C569=""),"",E569-C569)</f>
        <v/>
      </c>
      <c r="H569" s="195">
        <f>IF(A569="","",LOG10(A569))</f>
        <v/>
      </c>
      <c r="I569" s="195">
        <f>IF(B569="","",LOG10(MAX(B569,1E-12)))</f>
        <v/>
      </c>
      <c r="J569" s="195">
        <f>IF(D569="","",LOG10(MAX(D569,1E-12)))</f>
        <v/>
      </c>
      <c r="K569">
        <f>IF(A569="","",ROUND(1+(LOG10(A569)-LOG10('入力・概要'!$B$38))*('入力・概要'!$B$40-1)/(LOG10('入力・概要'!$B$39)-LOG10('入力・概要'!$B$38)),0)+3)</f>
        <v/>
      </c>
      <c r="L569">
        <f>IF(K569="","",INDEX('同相3導体'!$B:$B,K569))</f>
        <v/>
      </c>
      <c r="M569">
        <f>IF(A569="","",IF(ABS(L569/A569-1)&lt;0.01,"周波数差&lt;1%","周波数差あり"))</f>
        <v/>
      </c>
    </row>
    <row r="570">
      <c r="A570" s="197" t="n"/>
      <c r="B570" s="198" t="n"/>
      <c r="C570" s="198" t="n"/>
      <c r="D570" s="195">
        <f>IF(K570="","",INDEX('同相3導体'!$AB:$AB,K570))</f>
        <v/>
      </c>
      <c r="E570" s="195">
        <f>IF(K570="","",INDEX('同相3導体'!$AC:$AC,K570))</f>
        <v/>
      </c>
      <c r="F570" s="195">
        <f>IF(OR(A570="",B570=""),"",100*(D570-B570)/MAX(B570,1E-12))</f>
        <v/>
      </c>
      <c r="G570" s="195">
        <f>IF(OR(A570="",C570=""),"",E570-C570)</f>
        <v/>
      </c>
      <c r="H570" s="195">
        <f>IF(A570="","",LOG10(A570))</f>
        <v/>
      </c>
      <c r="I570" s="195">
        <f>IF(B570="","",LOG10(MAX(B570,1E-12)))</f>
        <v/>
      </c>
      <c r="J570" s="195">
        <f>IF(D570="","",LOG10(MAX(D570,1E-12)))</f>
        <v/>
      </c>
      <c r="K570">
        <f>IF(A570="","",ROUND(1+(LOG10(A570)-LOG10('入力・概要'!$B$38))*('入力・概要'!$B$40-1)/(LOG10('入力・概要'!$B$39)-LOG10('入力・概要'!$B$38)),0)+3)</f>
        <v/>
      </c>
      <c r="L570">
        <f>IF(K570="","",INDEX('同相3導体'!$B:$B,K570))</f>
        <v/>
      </c>
      <c r="M570">
        <f>IF(A570="","",IF(ABS(L570/A570-1)&lt;0.01,"周波数差&lt;1%","周波数差あり"))</f>
        <v/>
      </c>
    </row>
    <row r="571">
      <c r="A571" s="197" t="n"/>
      <c r="B571" s="198" t="n"/>
      <c r="C571" s="198" t="n"/>
      <c r="D571" s="195">
        <f>IF(K571="","",INDEX('同相3導体'!$AB:$AB,K571))</f>
        <v/>
      </c>
      <c r="E571" s="195">
        <f>IF(K571="","",INDEX('同相3導体'!$AC:$AC,K571))</f>
        <v/>
      </c>
      <c r="F571" s="195">
        <f>IF(OR(A571="",B571=""),"",100*(D571-B571)/MAX(B571,1E-12))</f>
        <v/>
      </c>
      <c r="G571" s="195">
        <f>IF(OR(A571="",C571=""),"",E571-C571)</f>
        <v/>
      </c>
      <c r="H571" s="195">
        <f>IF(A571="","",LOG10(A571))</f>
        <v/>
      </c>
      <c r="I571" s="195">
        <f>IF(B571="","",LOG10(MAX(B571,1E-12)))</f>
        <v/>
      </c>
      <c r="J571" s="195">
        <f>IF(D571="","",LOG10(MAX(D571,1E-12)))</f>
        <v/>
      </c>
      <c r="K571">
        <f>IF(A571="","",ROUND(1+(LOG10(A571)-LOG10('入力・概要'!$B$38))*('入力・概要'!$B$40-1)/(LOG10('入力・概要'!$B$39)-LOG10('入力・概要'!$B$38)),0)+3)</f>
        <v/>
      </c>
      <c r="L571">
        <f>IF(K571="","",INDEX('同相3導体'!$B:$B,K571))</f>
        <v/>
      </c>
      <c r="M571">
        <f>IF(A571="","",IF(ABS(L571/A571-1)&lt;0.01,"周波数差&lt;1%","周波数差あり"))</f>
        <v/>
      </c>
    </row>
    <row r="572">
      <c r="A572" s="197" t="n"/>
      <c r="B572" s="198" t="n"/>
      <c r="C572" s="198" t="n"/>
      <c r="D572" s="195">
        <f>IF(K572="","",INDEX('同相3導体'!$AB:$AB,K572))</f>
        <v/>
      </c>
      <c r="E572" s="195">
        <f>IF(K572="","",INDEX('同相3導体'!$AC:$AC,K572))</f>
        <v/>
      </c>
      <c r="F572" s="195">
        <f>IF(OR(A572="",B572=""),"",100*(D572-B572)/MAX(B572,1E-12))</f>
        <v/>
      </c>
      <c r="G572" s="195">
        <f>IF(OR(A572="",C572=""),"",E572-C572)</f>
        <v/>
      </c>
      <c r="H572" s="195">
        <f>IF(A572="","",LOG10(A572))</f>
        <v/>
      </c>
      <c r="I572" s="195">
        <f>IF(B572="","",LOG10(MAX(B572,1E-12)))</f>
        <v/>
      </c>
      <c r="J572" s="195">
        <f>IF(D572="","",LOG10(MAX(D572,1E-12)))</f>
        <v/>
      </c>
      <c r="K572">
        <f>IF(A572="","",ROUND(1+(LOG10(A572)-LOG10('入力・概要'!$B$38))*('入力・概要'!$B$40-1)/(LOG10('入力・概要'!$B$39)-LOG10('入力・概要'!$B$38)),0)+3)</f>
        <v/>
      </c>
      <c r="L572">
        <f>IF(K572="","",INDEX('同相3導体'!$B:$B,K572))</f>
        <v/>
      </c>
      <c r="M572">
        <f>IF(A572="","",IF(ABS(L572/A572-1)&lt;0.01,"周波数差&lt;1%","周波数差あり"))</f>
        <v/>
      </c>
    </row>
    <row r="573">
      <c r="A573" s="197" t="n"/>
      <c r="B573" s="198" t="n"/>
      <c r="C573" s="198" t="n"/>
      <c r="D573" s="195">
        <f>IF(K573="","",INDEX('同相3導体'!$AB:$AB,K573))</f>
        <v/>
      </c>
      <c r="E573" s="195">
        <f>IF(K573="","",INDEX('同相3導体'!$AC:$AC,K573))</f>
        <v/>
      </c>
      <c r="F573" s="195">
        <f>IF(OR(A573="",B573=""),"",100*(D573-B573)/MAX(B573,1E-12))</f>
        <v/>
      </c>
      <c r="G573" s="195">
        <f>IF(OR(A573="",C573=""),"",E573-C573)</f>
        <v/>
      </c>
      <c r="H573" s="195">
        <f>IF(A573="","",LOG10(A573))</f>
        <v/>
      </c>
      <c r="I573" s="195">
        <f>IF(B573="","",LOG10(MAX(B573,1E-12)))</f>
        <v/>
      </c>
      <c r="J573" s="195">
        <f>IF(D573="","",LOG10(MAX(D573,1E-12)))</f>
        <v/>
      </c>
      <c r="K573">
        <f>IF(A573="","",ROUND(1+(LOG10(A573)-LOG10('入力・概要'!$B$38))*('入力・概要'!$B$40-1)/(LOG10('入力・概要'!$B$39)-LOG10('入力・概要'!$B$38)),0)+3)</f>
        <v/>
      </c>
      <c r="L573">
        <f>IF(K573="","",INDEX('同相3導体'!$B:$B,K573))</f>
        <v/>
      </c>
      <c r="M573">
        <f>IF(A573="","",IF(ABS(L573/A573-1)&lt;0.01,"周波数差&lt;1%","周波数差あり"))</f>
        <v/>
      </c>
    </row>
    <row r="574">
      <c r="A574" s="197" t="n"/>
      <c r="B574" s="198" t="n"/>
      <c r="C574" s="198" t="n"/>
      <c r="D574" s="195">
        <f>IF(K574="","",INDEX('同相3導体'!$AB:$AB,K574))</f>
        <v/>
      </c>
      <c r="E574" s="195">
        <f>IF(K574="","",INDEX('同相3導体'!$AC:$AC,K574))</f>
        <v/>
      </c>
      <c r="F574" s="195">
        <f>IF(OR(A574="",B574=""),"",100*(D574-B574)/MAX(B574,1E-12))</f>
        <v/>
      </c>
      <c r="G574" s="195">
        <f>IF(OR(A574="",C574=""),"",E574-C574)</f>
        <v/>
      </c>
      <c r="H574" s="195">
        <f>IF(A574="","",LOG10(A574))</f>
        <v/>
      </c>
      <c r="I574" s="195">
        <f>IF(B574="","",LOG10(MAX(B574,1E-12)))</f>
        <v/>
      </c>
      <c r="J574" s="195">
        <f>IF(D574="","",LOG10(MAX(D574,1E-12)))</f>
        <v/>
      </c>
      <c r="K574">
        <f>IF(A574="","",ROUND(1+(LOG10(A574)-LOG10('入力・概要'!$B$38))*('入力・概要'!$B$40-1)/(LOG10('入力・概要'!$B$39)-LOG10('入力・概要'!$B$38)),0)+3)</f>
        <v/>
      </c>
      <c r="L574">
        <f>IF(K574="","",INDEX('同相3導体'!$B:$B,K574))</f>
        <v/>
      </c>
      <c r="M574">
        <f>IF(A574="","",IF(ABS(L574/A574-1)&lt;0.01,"周波数差&lt;1%","周波数差あり"))</f>
        <v/>
      </c>
    </row>
    <row r="575">
      <c r="A575" s="197" t="n"/>
      <c r="B575" s="198" t="n"/>
      <c r="C575" s="198" t="n"/>
      <c r="D575" s="195">
        <f>IF(K575="","",INDEX('同相3導体'!$AB:$AB,K575))</f>
        <v/>
      </c>
      <c r="E575" s="195">
        <f>IF(K575="","",INDEX('同相3導体'!$AC:$AC,K575))</f>
        <v/>
      </c>
      <c r="F575" s="195">
        <f>IF(OR(A575="",B575=""),"",100*(D575-B575)/MAX(B575,1E-12))</f>
        <v/>
      </c>
      <c r="G575" s="195">
        <f>IF(OR(A575="",C575=""),"",E575-C575)</f>
        <v/>
      </c>
      <c r="H575" s="195">
        <f>IF(A575="","",LOG10(A575))</f>
        <v/>
      </c>
      <c r="I575" s="195">
        <f>IF(B575="","",LOG10(MAX(B575,1E-12)))</f>
        <v/>
      </c>
      <c r="J575" s="195">
        <f>IF(D575="","",LOG10(MAX(D575,1E-12)))</f>
        <v/>
      </c>
      <c r="K575">
        <f>IF(A575="","",ROUND(1+(LOG10(A575)-LOG10('入力・概要'!$B$38))*('入力・概要'!$B$40-1)/(LOG10('入力・概要'!$B$39)-LOG10('入力・概要'!$B$38)),0)+3)</f>
        <v/>
      </c>
      <c r="L575">
        <f>IF(K575="","",INDEX('同相3導体'!$B:$B,K575))</f>
        <v/>
      </c>
      <c r="M575">
        <f>IF(A575="","",IF(ABS(L575/A575-1)&lt;0.01,"周波数差&lt;1%","周波数差あり"))</f>
        <v/>
      </c>
    </row>
    <row r="576">
      <c r="A576" s="197" t="n"/>
      <c r="B576" s="198" t="n"/>
      <c r="C576" s="198" t="n"/>
      <c r="D576" s="195">
        <f>IF(K576="","",INDEX('同相3導体'!$AB:$AB,K576))</f>
        <v/>
      </c>
      <c r="E576" s="195">
        <f>IF(K576="","",INDEX('同相3導体'!$AC:$AC,K576))</f>
        <v/>
      </c>
      <c r="F576" s="195">
        <f>IF(OR(A576="",B576=""),"",100*(D576-B576)/MAX(B576,1E-12))</f>
        <v/>
      </c>
      <c r="G576" s="195">
        <f>IF(OR(A576="",C576=""),"",E576-C576)</f>
        <v/>
      </c>
      <c r="H576" s="195">
        <f>IF(A576="","",LOG10(A576))</f>
        <v/>
      </c>
      <c r="I576" s="195">
        <f>IF(B576="","",LOG10(MAX(B576,1E-12)))</f>
        <v/>
      </c>
      <c r="J576" s="195">
        <f>IF(D576="","",LOG10(MAX(D576,1E-12)))</f>
        <v/>
      </c>
      <c r="K576">
        <f>IF(A576="","",ROUND(1+(LOG10(A576)-LOG10('入力・概要'!$B$38))*('入力・概要'!$B$40-1)/(LOG10('入力・概要'!$B$39)-LOG10('入力・概要'!$B$38)),0)+3)</f>
        <v/>
      </c>
      <c r="L576">
        <f>IF(K576="","",INDEX('同相3導体'!$B:$B,K576))</f>
        <v/>
      </c>
      <c r="M576">
        <f>IF(A576="","",IF(ABS(L576/A576-1)&lt;0.01,"周波数差&lt;1%","周波数差あり"))</f>
        <v/>
      </c>
    </row>
    <row r="577">
      <c r="A577" s="197" t="n"/>
      <c r="B577" s="198" t="n"/>
      <c r="C577" s="198" t="n"/>
      <c r="D577" s="195">
        <f>IF(K577="","",INDEX('同相3導体'!$AB:$AB,K577))</f>
        <v/>
      </c>
      <c r="E577" s="195">
        <f>IF(K577="","",INDEX('同相3導体'!$AC:$AC,K577))</f>
        <v/>
      </c>
      <c r="F577" s="195">
        <f>IF(OR(A577="",B577=""),"",100*(D577-B577)/MAX(B577,1E-12))</f>
        <v/>
      </c>
      <c r="G577" s="195">
        <f>IF(OR(A577="",C577=""),"",E577-C577)</f>
        <v/>
      </c>
      <c r="H577" s="195">
        <f>IF(A577="","",LOG10(A577))</f>
        <v/>
      </c>
      <c r="I577" s="195">
        <f>IF(B577="","",LOG10(MAX(B577,1E-12)))</f>
        <v/>
      </c>
      <c r="J577" s="195">
        <f>IF(D577="","",LOG10(MAX(D577,1E-12)))</f>
        <v/>
      </c>
      <c r="K577">
        <f>IF(A577="","",ROUND(1+(LOG10(A577)-LOG10('入力・概要'!$B$38))*('入力・概要'!$B$40-1)/(LOG10('入力・概要'!$B$39)-LOG10('入力・概要'!$B$38)),0)+3)</f>
        <v/>
      </c>
      <c r="L577">
        <f>IF(K577="","",INDEX('同相3導体'!$B:$B,K577))</f>
        <v/>
      </c>
      <c r="M577">
        <f>IF(A577="","",IF(ABS(L577/A577-1)&lt;0.01,"周波数差&lt;1%","周波数差あり"))</f>
        <v/>
      </c>
    </row>
    <row r="578">
      <c r="A578" s="197" t="n"/>
      <c r="B578" s="198" t="n"/>
      <c r="C578" s="198" t="n"/>
      <c r="D578" s="195">
        <f>IF(K578="","",INDEX('同相3導体'!$AB:$AB,K578))</f>
        <v/>
      </c>
      <c r="E578" s="195">
        <f>IF(K578="","",INDEX('同相3導体'!$AC:$AC,K578))</f>
        <v/>
      </c>
      <c r="F578" s="195">
        <f>IF(OR(A578="",B578=""),"",100*(D578-B578)/MAX(B578,1E-12))</f>
        <v/>
      </c>
      <c r="G578" s="195">
        <f>IF(OR(A578="",C578=""),"",E578-C578)</f>
        <v/>
      </c>
      <c r="H578" s="195">
        <f>IF(A578="","",LOG10(A578))</f>
        <v/>
      </c>
      <c r="I578" s="195">
        <f>IF(B578="","",LOG10(MAX(B578,1E-12)))</f>
        <v/>
      </c>
      <c r="J578" s="195">
        <f>IF(D578="","",LOG10(MAX(D578,1E-12)))</f>
        <v/>
      </c>
      <c r="K578">
        <f>IF(A578="","",ROUND(1+(LOG10(A578)-LOG10('入力・概要'!$B$38))*('入力・概要'!$B$40-1)/(LOG10('入力・概要'!$B$39)-LOG10('入力・概要'!$B$38)),0)+3)</f>
        <v/>
      </c>
      <c r="L578">
        <f>IF(K578="","",INDEX('同相3導体'!$B:$B,K578))</f>
        <v/>
      </c>
      <c r="M578">
        <f>IF(A578="","",IF(ABS(L578/A578-1)&lt;0.01,"周波数差&lt;1%","周波数差あり"))</f>
        <v/>
      </c>
    </row>
    <row r="579">
      <c r="A579" s="197" t="n"/>
      <c r="B579" s="198" t="n"/>
      <c r="C579" s="198" t="n"/>
      <c r="D579" s="195">
        <f>IF(K579="","",INDEX('同相3導体'!$AB:$AB,K579))</f>
        <v/>
      </c>
      <c r="E579" s="195">
        <f>IF(K579="","",INDEX('同相3導体'!$AC:$AC,K579))</f>
        <v/>
      </c>
      <c r="F579" s="195">
        <f>IF(OR(A579="",B579=""),"",100*(D579-B579)/MAX(B579,1E-12))</f>
        <v/>
      </c>
      <c r="G579" s="195">
        <f>IF(OR(A579="",C579=""),"",E579-C579)</f>
        <v/>
      </c>
      <c r="H579" s="195">
        <f>IF(A579="","",LOG10(A579))</f>
        <v/>
      </c>
      <c r="I579" s="195">
        <f>IF(B579="","",LOG10(MAX(B579,1E-12)))</f>
        <v/>
      </c>
      <c r="J579" s="195">
        <f>IF(D579="","",LOG10(MAX(D579,1E-12)))</f>
        <v/>
      </c>
      <c r="K579">
        <f>IF(A579="","",ROUND(1+(LOG10(A579)-LOG10('入力・概要'!$B$38))*('入力・概要'!$B$40-1)/(LOG10('入力・概要'!$B$39)-LOG10('入力・概要'!$B$38)),0)+3)</f>
        <v/>
      </c>
      <c r="L579">
        <f>IF(K579="","",INDEX('同相3導体'!$B:$B,K579))</f>
        <v/>
      </c>
      <c r="M579">
        <f>IF(A579="","",IF(ABS(L579/A579-1)&lt;0.01,"周波数差&lt;1%","周波数差あり"))</f>
        <v/>
      </c>
    </row>
    <row r="580">
      <c r="A580" s="197" t="n"/>
      <c r="B580" s="198" t="n"/>
      <c r="C580" s="198" t="n"/>
      <c r="D580" s="195">
        <f>IF(K580="","",INDEX('同相3導体'!$AB:$AB,K580))</f>
        <v/>
      </c>
      <c r="E580" s="195">
        <f>IF(K580="","",INDEX('同相3導体'!$AC:$AC,K580))</f>
        <v/>
      </c>
      <c r="F580" s="195">
        <f>IF(OR(A580="",B580=""),"",100*(D580-B580)/MAX(B580,1E-12))</f>
        <v/>
      </c>
      <c r="G580" s="195">
        <f>IF(OR(A580="",C580=""),"",E580-C580)</f>
        <v/>
      </c>
      <c r="H580" s="195">
        <f>IF(A580="","",LOG10(A580))</f>
        <v/>
      </c>
      <c r="I580" s="195">
        <f>IF(B580="","",LOG10(MAX(B580,1E-12)))</f>
        <v/>
      </c>
      <c r="J580" s="195">
        <f>IF(D580="","",LOG10(MAX(D580,1E-12)))</f>
        <v/>
      </c>
      <c r="K580">
        <f>IF(A580="","",ROUND(1+(LOG10(A580)-LOG10('入力・概要'!$B$38))*('入力・概要'!$B$40-1)/(LOG10('入力・概要'!$B$39)-LOG10('入力・概要'!$B$38)),0)+3)</f>
        <v/>
      </c>
      <c r="L580">
        <f>IF(K580="","",INDEX('同相3導体'!$B:$B,K580))</f>
        <v/>
      </c>
      <c r="M580">
        <f>IF(A580="","",IF(ABS(L580/A580-1)&lt;0.01,"周波数差&lt;1%","周波数差あり"))</f>
        <v/>
      </c>
    </row>
    <row r="581">
      <c r="A581" s="197" t="n"/>
      <c r="B581" s="198" t="n"/>
      <c r="C581" s="198" t="n"/>
      <c r="D581" s="195">
        <f>IF(K581="","",INDEX('同相3導体'!$AB:$AB,K581))</f>
        <v/>
      </c>
      <c r="E581" s="195">
        <f>IF(K581="","",INDEX('同相3導体'!$AC:$AC,K581))</f>
        <v/>
      </c>
      <c r="F581" s="195">
        <f>IF(OR(A581="",B581=""),"",100*(D581-B581)/MAX(B581,1E-12))</f>
        <v/>
      </c>
      <c r="G581" s="195">
        <f>IF(OR(A581="",C581=""),"",E581-C581)</f>
        <v/>
      </c>
      <c r="H581" s="195">
        <f>IF(A581="","",LOG10(A581))</f>
        <v/>
      </c>
      <c r="I581" s="195">
        <f>IF(B581="","",LOG10(MAX(B581,1E-12)))</f>
        <v/>
      </c>
      <c r="J581" s="195">
        <f>IF(D581="","",LOG10(MAX(D581,1E-12)))</f>
        <v/>
      </c>
      <c r="K581">
        <f>IF(A581="","",ROUND(1+(LOG10(A581)-LOG10('入力・概要'!$B$38))*('入力・概要'!$B$40-1)/(LOG10('入力・概要'!$B$39)-LOG10('入力・概要'!$B$38)),0)+3)</f>
        <v/>
      </c>
      <c r="L581">
        <f>IF(K581="","",INDEX('同相3導体'!$B:$B,K581))</f>
        <v/>
      </c>
      <c r="M581">
        <f>IF(A581="","",IF(ABS(L581/A581-1)&lt;0.01,"周波数差&lt;1%","周波数差あり"))</f>
        <v/>
      </c>
    </row>
    <row r="582">
      <c r="A582" s="197" t="n"/>
      <c r="B582" s="198" t="n"/>
      <c r="C582" s="198" t="n"/>
      <c r="D582" s="195">
        <f>IF(K582="","",INDEX('同相3導体'!$AB:$AB,K582))</f>
        <v/>
      </c>
      <c r="E582" s="195">
        <f>IF(K582="","",INDEX('同相3導体'!$AC:$AC,K582))</f>
        <v/>
      </c>
      <c r="F582" s="195">
        <f>IF(OR(A582="",B582=""),"",100*(D582-B582)/MAX(B582,1E-12))</f>
        <v/>
      </c>
      <c r="G582" s="195">
        <f>IF(OR(A582="",C582=""),"",E582-C582)</f>
        <v/>
      </c>
      <c r="H582" s="195">
        <f>IF(A582="","",LOG10(A582))</f>
        <v/>
      </c>
      <c r="I582" s="195">
        <f>IF(B582="","",LOG10(MAX(B582,1E-12)))</f>
        <v/>
      </c>
      <c r="J582" s="195">
        <f>IF(D582="","",LOG10(MAX(D582,1E-12)))</f>
        <v/>
      </c>
      <c r="K582">
        <f>IF(A582="","",ROUND(1+(LOG10(A582)-LOG10('入力・概要'!$B$38))*('入力・概要'!$B$40-1)/(LOG10('入力・概要'!$B$39)-LOG10('入力・概要'!$B$38)),0)+3)</f>
        <v/>
      </c>
      <c r="L582">
        <f>IF(K582="","",INDEX('同相3導体'!$B:$B,K582))</f>
        <v/>
      </c>
      <c r="M582">
        <f>IF(A582="","",IF(ABS(L582/A582-1)&lt;0.01,"周波数差&lt;1%","周波数差あり"))</f>
        <v/>
      </c>
    </row>
    <row r="583">
      <c r="A583" s="197" t="n"/>
      <c r="B583" s="198" t="n"/>
      <c r="C583" s="198" t="n"/>
      <c r="D583" s="195">
        <f>IF(K583="","",INDEX('同相3導体'!$AB:$AB,K583))</f>
        <v/>
      </c>
      <c r="E583" s="195">
        <f>IF(K583="","",INDEX('同相3導体'!$AC:$AC,K583))</f>
        <v/>
      </c>
      <c r="F583" s="195">
        <f>IF(OR(A583="",B583=""),"",100*(D583-B583)/MAX(B583,1E-12))</f>
        <v/>
      </c>
      <c r="G583" s="195">
        <f>IF(OR(A583="",C583=""),"",E583-C583)</f>
        <v/>
      </c>
      <c r="H583" s="195">
        <f>IF(A583="","",LOG10(A583))</f>
        <v/>
      </c>
      <c r="I583" s="195">
        <f>IF(B583="","",LOG10(MAX(B583,1E-12)))</f>
        <v/>
      </c>
      <c r="J583" s="195">
        <f>IF(D583="","",LOG10(MAX(D583,1E-12)))</f>
        <v/>
      </c>
      <c r="K583">
        <f>IF(A583="","",ROUND(1+(LOG10(A583)-LOG10('入力・概要'!$B$38))*('入力・概要'!$B$40-1)/(LOG10('入力・概要'!$B$39)-LOG10('入力・概要'!$B$38)),0)+3)</f>
        <v/>
      </c>
      <c r="L583">
        <f>IF(K583="","",INDEX('同相3導体'!$B:$B,K583))</f>
        <v/>
      </c>
      <c r="M583">
        <f>IF(A583="","",IF(ABS(L583/A583-1)&lt;0.01,"周波数差&lt;1%","周波数差あり"))</f>
        <v/>
      </c>
    </row>
    <row r="584">
      <c r="A584" s="197" t="n"/>
      <c r="B584" s="198" t="n"/>
      <c r="C584" s="198" t="n"/>
      <c r="D584" s="195">
        <f>IF(K584="","",INDEX('同相3導体'!$AB:$AB,K584))</f>
        <v/>
      </c>
      <c r="E584" s="195">
        <f>IF(K584="","",INDEX('同相3導体'!$AC:$AC,K584))</f>
        <v/>
      </c>
      <c r="F584" s="195">
        <f>IF(OR(A584="",B584=""),"",100*(D584-B584)/MAX(B584,1E-12))</f>
        <v/>
      </c>
      <c r="G584" s="195">
        <f>IF(OR(A584="",C584=""),"",E584-C584)</f>
        <v/>
      </c>
      <c r="H584" s="195">
        <f>IF(A584="","",LOG10(A584))</f>
        <v/>
      </c>
      <c r="I584" s="195">
        <f>IF(B584="","",LOG10(MAX(B584,1E-12)))</f>
        <v/>
      </c>
      <c r="J584" s="195">
        <f>IF(D584="","",LOG10(MAX(D584,1E-12)))</f>
        <v/>
      </c>
      <c r="K584">
        <f>IF(A584="","",ROUND(1+(LOG10(A584)-LOG10('入力・概要'!$B$38))*('入力・概要'!$B$40-1)/(LOG10('入力・概要'!$B$39)-LOG10('入力・概要'!$B$38)),0)+3)</f>
        <v/>
      </c>
      <c r="L584">
        <f>IF(K584="","",INDEX('同相3導体'!$B:$B,K584))</f>
        <v/>
      </c>
      <c r="M584">
        <f>IF(A584="","",IF(ABS(L584/A584-1)&lt;0.01,"周波数差&lt;1%","周波数差あり"))</f>
        <v/>
      </c>
    </row>
    <row r="585">
      <c r="A585" s="197" t="n"/>
      <c r="B585" s="198" t="n"/>
      <c r="C585" s="198" t="n"/>
      <c r="D585" s="195">
        <f>IF(K585="","",INDEX('同相3導体'!$AB:$AB,K585))</f>
        <v/>
      </c>
      <c r="E585" s="195">
        <f>IF(K585="","",INDEX('同相3導体'!$AC:$AC,K585))</f>
        <v/>
      </c>
      <c r="F585" s="195">
        <f>IF(OR(A585="",B585=""),"",100*(D585-B585)/MAX(B585,1E-12))</f>
        <v/>
      </c>
      <c r="G585" s="195">
        <f>IF(OR(A585="",C585=""),"",E585-C585)</f>
        <v/>
      </c>
      <c r="H585" s="195">
        <f>IF(A585="","",LOG10(A585))</f>
        <v/>
      </c>
      <c r="I585" s="195">
        <f>IF(B585="","",LOG10(MAX(B585,1E-12)))</f>
        <v/>
      </c>
      <c r="J585" s="195">
        <f>IF(D585="","",LOG10(MAX(D585,1E-12)))</f>
        <v/>
      </c>
      <c r="K585">
        <f>IF(A585="","",ROUND(1+(LOG10(A585)-LOG10('入力・概要'!$B$38))*('入力・概要'!$B$40-1)/(LOG10('入力・概要'!$B$39)-LOG10('入力・概要'!$B$38)),0)+3)</f>
        <v/>
      </c>
      <c r="L585">
        <f>IF(K585="","",INDEX('同相3導体'!$B:$B,K585))</f>
        <v/>
      </c>
      <c r="M585">
        <f>IF(A585="","",IF(ABS(L585/A585-1)&lt;0.01,"周波数差&lt;1%","周波数差あり"))</f>
        <v/>
      </c>
    </row>
    <row r="586">
      <c r="A586" s="197" t="n"/>
      <c r="B586" s="198" t="n"/>
      <c r="C586" s="198" t="n"/>
      <c r="D586" s="195">
        <f>IF(K586="","",INDEX('同相3導体'!$AB:$AB,K586))</f>
        <v/>
      </c>
      <c r="E586" s="195">
        <f>IF(K586="","",INDEX('同相3導体'!$AC:$AC,K586))</f>
        <v/>
      </c>
      <c r="F586" s="195">
        <f>IF(OR(A586="",B586=""),"",100*(D586-B586)/MAX(B586,1E-12))</f>
        <v/>
      </c>
      <c r="G586" s="195">
        <f>IF(OR(A586="",C586=""),"",E586-C586)</f>
        <v/>
      </c>
      <c r="H586" s="195">
        <f>IF(A586="","",LOG10(A586))</f>
        <v/>
      </c>
      <c r="I586" s="195">
        <f>IF(B586="","",LOG10(MAX(B586,1E-12)))</f>
        <v/>
      </c>
      <c r="J586" s="195">
        <f>IF(D586="","",LOG10(MAX(D586,1E-12)))</f>
        <v/>
      </c>
      <c r="K586">
        <f>IF(A586="","",ROUND(1+(LOG10(A586)-LOG10('入力・概要'!$B$38))*('入力・概要'!$B$40-1)/(LOG10('入力・概要'!$B$39)-LOG10('入力・概要'!$B$38)),0)+3)</f>
        <v/>
      </c>
      <c r="L586">
        <f>IF(K586="","",INDEX('同相3導体'!$B:$B,K586))</f>
        <v/>
      </c>
      <c r="M586">
        <f>IF(A586="","",IF(ABS(L586/A586-1)&lt;0.01,"周波数差&lt;1%","周波数差あり"))</f>
        <v/>
      </c>
    </row>
    <row r="587">
      <c r="A587" s="197" t="n"/>
      <c r="B587" s="198" t="n"/>
      <c r="C587" s="198" t="n"/>
      <c r="D587" s="195">
        <f>IF(K587="","",INDEX('同相3導体'!$AB:$AB,K587))</f>
        <v/>
      </c>
      <c r="E587" s="195">
        <f>IF(K587="","",INDEX('同相3導体'!$AC:$AC,K587))</f>
        <v/>
      </c>
      <c r="F587" s="195">
        <f>IF(OR(A587="",B587=""),"",100*(D587-B587)/MAX(B587,1E-12))</f>
        <v/>
      </c>
      <c r="G587" s="195">
        <f>IF(OR(A587="",C587=""),"",E587-C587)</f>
        <v/>
      </c>
      <c r="H587" s="195">
        <f>IF(A587="","",LOG10(A587))</f>
        <v/>
      </c>
      <c r="I587" s="195">
        <f>IF(B587="","",LOG10(MAX(B587,1E-12)))</f>
        <v/>
      </c>
      <c r="J587" s="195">
        <f>IF(D587="","",LOG10(MAX(D587,1E-12)))</f>
        <v/>
      </c>
      <c r="K587">
        <f>IF(A587="","",ROUND(1+(LOG10(A587)-LOG10('入力・概要'!$B$38))*('入力・概要'!$B$40-1)/(LOG10('入力・概要'!$B$39)-LOG10('入力・概要'!$B$38)),0)+3)</f>
        <v/>
      </c>
      <c r="L587">
        <f>IF(K587="","",INDEX('同相3導体'!$B:$B,K587))</f>
        <v/>
      </c>
      <c r="M587">
        <f>IF(A587="","",IF(ABS(L587/A587-1)&lt;0.01,"周波数差&lt;1%","周波数差あり"))</f>
        <v/>
      </c>
    </row>
    <row r="588">
      <c r="A588" s="197" t="n"/>
      <c r="B588" s="198" t="n"/>
      <c r="C588" s="198" t="n"/>
      <c r="D588" s="195">
        <f>IF(K588="","",INDEX('同相3導体'!$AB:$AB,K588))</f>
        <v/>
      </c>
      <c r="E588" s="195">
        <f>IF(K588="","",INDEX('同相3導体'!$AC:$AC,K588))</f>
        <v/>
      </c>
      <c r="F588" s="195">
        <f>IF(OR(A588="",B588=""),"",100*(D588-B588)/MAX(B588,1E-12))</f>
        <v/>
      </c>
      <c r="G588" s="195">
        <f>IF(OR(A588="",C588=""),"",E588-C588)</f>
        <v/>
      </c>
      <c r="H588" s="195">
        <f>IF(A588="","",LOG10(A588))</f>
        <v/>
      </c>
      <c r="I588" s="195">
        <f>IF(B588="","",LOG10(MAX(B588,1E-12)))</f>
        <v/>
      </c>
      <c r="J588" s="195">
        <f>IF(D588="","",LOG10(MAX(D588,1E-12)))</f>
        <v/>
      </c>
      <c r="K588">
        <f>IF(A588="","",ROUND(1+(LOG10(A588)-LOG10('入力・概要'!$B$38))*('入力・概要'!$B$40-1)/(LOG10('入力・概要'!$B$39)-LOG10('入力・概要'!$B$38)),0)+3)</f>
        <v/>
      </c>
      <c r="L588">
        <f>IF(K588="","",INDEX('同相3導体'!$B:$B,K588))</f>
        <v/>
      </c>
      <c r="M588">
        <f>IF(A588="","",IF(ABS(L588/A588-1)&lt;0.01,"周波数差&lt;1%","周波数差あり"))</f>
        <v/>
      </c>
    </row>
    <row r="589">
      <c r="A589" s="197" t="n"/>
      <c r="B589" s="198" t="n"/>
      <c r="C589" s="198" t="n"/>
      <c r="D589" s="195">
        <f>IF(K589="","",INDEX('同相3導体'!$AB:$AB,K589))</f>
        <v/>
      </c>
      <c r="E589" s="195">
        <f>IF(K589="","",INDEX('同相3導体'!$AC:$AC,K589))</f>
        <v/>
      </c>
      <c r="F589" s="195">
        <f>IF(OR(A589="",B589=""),"",100*(D589-B589)/MAX(B589,1E-12))</f>
        <v/>
      </c>
      <c r="G589" s="195">
        <f>IF(OR(A589="",C589=""),"",E589-C589)</f>
        <v/>
      </c>
      <c r="H589" s="195">
        <f>IF(A589="","",LOG10(A589))</f>
        <v/>
      </c>
      <c r="I589" s="195">
        <f>IF(B589="","",LOG10(MAX(B589,1E-12)))</f>
        <v/>
      </c>
      <c r="J589" s="195">
        <f>IF(D589="","",LOG10(MAX(D589,1E-12)))</f>
        <v/>
      </c>
      <c r="K589">
        <f>IF(A589="","",ROUND(1+(LOG10(A589)-LOG10('入力・概要'!$B$38))*('入力・概要'!$B$40-1)/(LOG10('入力・概要'!$B$39)-LOG10('入力・概要'!$B$38)),0)+3)</f>
        <v/>
      </c>
      <c r="L589">
        <f>IF(K589="","",INDEX('同相3導体'!$B:$B,K589))</f>
        <v/>
      </c>
      <c r="M589">
        <f>IF(A589="","",IF(ABS(L589/A589-1)&lt;0.01,"周波数差&lt;1%","周波数差あり"))</f>
        <v/>
      </c>
    </row>
    <row r="590">
      <c r="A590" s="197" t="n"/>
      <c r="B590" s="198" t="n"/>
      <c r="C590" s="198" t="n"/>
      <c r="D590" s="195">
        <f>IF(K590="","",INDEX('同相3導体'!$AB:$AB,K590))</f>
        <v/>
      </c>
      <c r="E590" s="195">
        <f>IF(K590="","",INDEX('同相3導体'!$AC:$AC,K590))</f>
        <v/>
      </c>
      <c r="F590" s="195">
        <f>IF(OR(A590="",B590=""),"",100*(D590-B590)/MAX(B590,1E-12))</f>
        <v/>
      </c>
      <c r="G590" s="195">
        <f>IF(OR(A590="",C590=""),"",E590-C590)</f>
        <v/>
      </c>
      <c r="H590" s="195">
        <f>IF(A590="","",LOG10(A590))</f>
        <v/>
      </c>
      <c r="I590" s="195">
        <f>IF(B590="","",LOG10(MAX(B590,1E-12)))</f>
        <v/>
      </c>
      <c r="J590" s="195">
        <f>IF(D590="","",LOG10(MAX(D590,1E-12)))</f>
        <v/>
      </c>
      <c r="K590">
        <f>IF(A590="","",ROUND(1+(LOG10(A590)-LOG10('入力・概要'!$B$38))*('入力・概要'!$B$40-1)/(LOG10('入力・概要'!$B$39)-LOG10('入力・概要'!$B$38)),0)+3)</f>
        <v/>
      </c>
      <c r="L590">
        <f>IF(K590="","",INDEX('同相3導体'!$B:$B,K590))</f>
        <v/>
      </c>
      <c r="M590">
        <f>IF(A590="","",IF(ABS(L590/A590-1)&lt;0.01,"周波数差&lt;1%","周波数差あり"))</f>
        <v/>
      </c>
    </row>
    <row r="591">
      <c r="A591" s="197" t="n"/>
      <c r="B591" s="198" t="n"/>
      <c r="C591" s="198" t="n"/>
      <c r="D591" s="195">
        <f>IF(K591="","",INDEX('同相3導体'!$AB:$AB,K591))</f>
        <v/>
      </c>
      <c r="E591" s="195">
        <f>IF(K591="","",INDEX('同相3導体'!$AC:$AC,K591))</f>
        <v/>
      </c>
      <c r="F591" s="195">
        <f>IF(OR(A591="",B591=""),"",100*(D591-B591)/MAX(B591,1E-12))</f>
        <v/>
      </c>
      <c r="G591" s="195">
        <f>IF(OR(A591="",C591=""),"",E591-C591)</f>
        <v/>
      </c>
      <c r="H591" s="195">
        <f>IF(A591="","",LOG10(A591))</f>
        <v/>
      </c>
      <c r="I591" s="195">
        <f>IF(B591="","",LOG10(MAX(B591,1E-12)))</f>
        <v/>
      </c>
      <c r="J591" s="195">
        <f>IF(D591="","",LOG10(MAX(D591,1E-12)))</f>
        <v/>
      </c>
      <c r="K591">
        <f>IF(A591="","",ROUND(1+(LOG10(A591)-LOG10('入力・概要'!$B$38))*('入力・概要'!$B$40-1)/(LOG10('入力・概要'!$B$39)-LOG10('入力・概要'!$B$38)),0)+3)</f>
        <v/>
      </c>
      <c r="L591">
        <f>IF(K591="","",INDEX('同相3導体'!$B:$B,K591))</f>
        <v/>
      </c>
      <c r="M591">
        <f>IF(A591="","",IF(ABS(L591/A591-1)&lt;0.01,"周波数差&lt;1%","周波数差あり"))</f>
        <v/>
      </c>
    </row>
    <row r="592">
      <c r="A592" s="197" t="n"/>
      <c r="B592" s="198" t="n"/>
      <c r="C592" s="198" t="n"/>
      <c r="D592" s="195">
        <f>IF(K592="","",INDEX('同相3導体'!$AB:$AB,K592))</f>
        <v/>
      </c>
      <c r="E592" s="195">
        <f>IF(K592="","",INDEX('同相3導体'!$AC:$AC,K592))</f>
        <v/>
      </c>
      <c r="F592" s="195">
        <f>IF(OR(A592="",B592=""),"",100*(D592-B592)/MAX(B592,1E-12))</f>
        <v/>
      </c>
      <c r="G592" s="195">
        <f>IF(OR(A592="",C592=""),"",E592-C592)</f>
        <v/>
      </c>
      <c r="H592" s="195">
        <f>IF(A592="","",LOG10(A592))</f>
        <v/>
      </c>
      <c r="I592" s="195">
        <f>IF(B592="","",LOG10(MAX(B592,1E-12)))</f>
        <v/>
      </c>
      <c r="J592" s="195">
        <f>IF(D592="","",LOG10(MAX(D592,1E-12)))</f>
        <v/>
      </c>
      <c r="K592">
        <f>IF(A592="","",ROUND(1+(LOG10(A592)-LOG10('入力・概要'!$B$38))*('入力・概要'!$B$40-1)/(LOG10('入力・概要'!$B$39)-LOG10('入力・概要'!$B$38)),0)+3)</f>
        <v/>
      </c>
      <c r="L592">
        <f>IF(K592="","",INDEX('同相3導体'!$B:$B,K592))</f>
        <v/>
      </c>
      <c r="M592">
        <f>IF(A592="","",IF(ABS(L592/A592-1)&lt;0.01,"周波数差&lt;1%","周波数差あり"))</f>
        <v/>
      </c>
    </row>
    <row r="593">
      <c r="A593" s="197" t="n"/>
      <c r="B593" s="198" t="n"/>
      <c r="C593" s="198" t="n"/>
      <c r="D593" s="195">
        <f>IF(K593="","",INDEX('同相3導体'!$AB:$AB,K593))</f>
        <v/>
      </c>
      <c r="E593" s="195">
        <f>IF(K593="","",INDEX('同相3導体'!$AC:$AC,K593))</f>
        <v/>
      </c>
      <c r="F593" s="195">
        <f>IF(OR(A593="",B593=""),"",100*(D593-B593)/MAX(B593,1E-12))</f>
        <v/>
      </c>
      <c r="G593" s="195">
        <f>IF(OR(A593="",C593=""),"",E593-C593)</f>
        <v/>
      </c>
      <c r="H593" s="195">
        <f>IF(A593="","",LOG10(A593))</f>
        <v/>
      </c>
      <c r="I593" s="195">
        <f>IF(B593="","",LOG10(MAX(B593,1E-12)))</f>
        <v/>
      </c>
      <c r="J593" s="195">
        <f>IF(D593="","",LOG10(MAX(D593,1E-12)))</f>
        <v/>
      </c>
      <c r="K593">
        <f>IF(A593="","",ROUND(1+(LOG10(A593)-LOG10('入力・概要'!$B$38))*('入力・概要'!$B$40-1)/(LOG10('入力・概要'!$B$39)-LOG10('入力・概要'!$B$38)),0)+3)</f>
        <v/>
      </c>
      <c r="L593">
        <f>IF(K593="","",INDEX('同相3導体'!$B:$B,K593))</f>
        <v/>
      </c>
      <c r="M593">
        <f>IF(A593="","",IF(ABS(L593/A593-1)&lt;0.01,"周波数差&lt;1%","周波数差あり"))</f>
        <v/>
      </c>
    </row>
    <row r="594">
      <c r="A594" s="197" t="n"/>
      <c r="B594" s="198" t="n"/>
      <c r="C594" s="198" t="n"/>
      <c r="D594" s="195">
        <f>IF(K594="","",INDEX('同相3導体'!$AB:$AB,K594))</f>
        <v/>
      </c>
      <c r="E594" s="195">
        <f>IF(K594="","",INDEX('同相3導体'!$AC:$AC,K594))</f>
        <v/>
      </c>
      <c r="F594" s="195">
        <f>IF(OR(A594="",B594=""),"",100*(D594-B594)/MAX(B594,1E-12))</f>
        <v/>
      </c>
      <c r="G594" s="195">
        <f>IF(OR(A594="",C594=""),"",E594-C594)</f>
        <v/>
      </c>
      <c r="H594" s="195">
        <f>IF(A594="","",LOG10(A594))</f>
        <v/>
      </c>
      <c r="I594" s="195">
        <f>IF(B594="","",LOG10(MAX(B594,1E-12)))</f>
        <v/>
      </c>
      <c r="J594" s="195">
        <f>IF(D594="","",LOG10(MAX(D594,1E-12)))</f>
        <v/>
      </c>
      <c r="K594">
        <f>IF(A594="","",ROUND(1+(LOG10(A594)-LOG10('入力・概要'!$B$38))*('入力・概要'!$B$40-1)/(LOG10('入力・概要'!$B$39)-LOG10('入力・概要'!$B$38)),0)+3)</f>
        <v/>
      </c>
      <c r="L594">
        <f>IF(K594="","",INDEX('同相3導体'!$B:$B,K594))</f>
        <v/>
      </c>
      <c r="M594">
        <f>IF(A594="","",IF(ABS(L594/A594-1)&lt;0.01,"周波数差&lt;1%","周波数差あり"))</f>
        <v/>
      </c>
    </row>
    <row r="595">
      <c r="A595" s="197" t="n"/>
      <c r="B595" s="198" t="n"/>
      <c r="C595" s="198" t="n"/>
      <c r="D595" s="195">
        <f>IF(K595="","",INDEX('同相3導体'!$AB:$AB,K595))</f>
        <v/>
      </c>
      <c r="E595" s="195">
        <f>IF(K595="","",INDEX('同相3導体'!$AC:$AC,K595))</f>
        <v/>
      </c>
      <c r="F595" s="195">
        <f>IF(OR(A595="",B595=""),"",100*(D595-B595)/MAX(B595,1E-12))</f>
        <v/>
      </c>
      <c r="G595" s="195">
        <f>IF(OR(A595="",C595=""),"",E595-C595)</f>
        <v/>
      </c>
      <c r="H595" s="195">
        <f>IF(A595="","",LOG10(A595))</f>
        <v/>
      </c>
      <c r="I595" s="195">
        <f>IF(B595="","",LOG10(MAX(B595,1E-12)))</f>
        <v/>
      </c>
      <c r="J595" s="195">
        <f>IF(D595="","",LOG10(MAX(D595,1E-12)))</f>
        <v/>
      </c>
      <c r="K595">
        <f>IF(A595="","",ROUND(1+(LOG10(A595)-LOG10('入力・概要'!$B$38))*('入力・概要'!$B$40-1)/(LOG10('入力・概要'!$B$39)-LOG10('入力・概要'!$B$38)),0)+3)</f>
        <v/>
      </c>
      <c r="L595">
        <f>IF(K595="","",INDEX('同相3導体'!$B:$B,K595))</f>
        <v/>
      </c>
      <c r="M595">
        <f>IF(A595="","",IF(ABS(L595/A595-1)&lt;0.01,"周波数差&lt;1%","周波数差あり"))</f>
        <v/>
      </c>
    </row>
    <row r="596">
      <c r="A596" s="197" t="n"/>
      <c r="B596" s="198" t="n"/>
      <c r="C596" s="198" t="n"/>
      <c r="D596" s="195">
        <f>IF(K596="","",INDEX('同相3導体'!$AB:$AB,K596))</f>
        <v/>
      </c>
      <c r="E596" s="195">
        <f>IF(K596="","",INDEX('同相3導体'!$AC:$AC,K596))</f>
        <v/>
      </c>
      <c r="F596" s="195">
        <f>IF(OR(A596="",B596=""),"",100*(D596-B596)/MAX(B596,1E-12))</f>
        <v/>
      </c>
      <c r="G596" s="195">
        <f>IF(OR(A596="",C596=""),"",E596-C596)</f>
        <v/>
      </c>
      <c r="H596" s="195">
        <f>IF(A596="","",LOG10(A596))</f>
        <v/>
      </c>
      <c r="I596" s="195">
        <f>IF(B596="","",LOG10(MAX(B596,1E-12)))</f>
        <v/>
      </c>
      <c r="J596" s="195">
        <f>IF(D596="","",LOG10(MAX(D596,1E-12)))</f>
        <v/>
      </c>
      <c r="K596">
        <f>IF(A596="","",ROUND(1+(LOG10(A596)-LOG10('入力・概要'!$B$38))*('入力・概要'!$B$40-1)/(LOG10('入力・概要'!$B$39)-LOG10('入力・概要'!$B$38)),0)+3)</f>
        <v/>
      </c>
      <c r="L596">
        <f>IF(K596="","",INDEX('同相3導体'!$B:$B,K596))</f>
        <v/>
      </c>
      <c r="M596">
        <f>IF(A596="","",IF(ABS(L596/A596-1)&lt;0.01,"周波数差&lt;1%","周波数差あり"))</f>
        <v/>
      </c>
    </row>
    <row r="597">
      <c r="A597" s="197" t="n"/>
      <c r="B597" s="198" t="n"/>
      <c r="C597" s="198" t="n"/>
      <c r="D597" s="195">
        <f>IF(K597="","",INDEX('同相3導体'!$AB:$AB,K597))</f>
        <v/>
      </c>
      <c r="E597" s="195">
        <f>IF(K597="","",INDEX('同相3導体'!$AC:$AC,K597))</f>
        <v/>
      </c>
      <c r="F597" s="195">
        <f>IF(OR(A597="",B597=""),"",100*(D597-B597)/MAX(B597,1E-12))</f>
        <v/>
      </c>
      <c r="G597" s="195">
        <f>IF(OR(A597="",C597=""),"",E597-C597)</f>
        <v/>
      </c>
      <c r="H597" s="195">
        <f>IF(A597="","",LOG10(A597))</f>
        <v/>
      </c>
      <c r="I597" s="195">
        <f>IF(B597="","",LOG10(MAX(B597,1E-12)))</f>
        <v/>
      </c>
      <c r="J597" s="195">
        <f>IF(D597="","",LOG10(MAX(D597,1E-12)))</f>
        <v/>
      </c>
      <c r="K597">
        <f>IF(A597="","",ROUND(1+(LOG10(A597)-LOG10('入力・概要'!$B$38))*('入力・概要'!$B$40-1)/(LOG10('入力・概要'!$B$39)-LOG10('入力・概要'!$B$38)),0)+3)</f>
        <v/>
      </c>
      <c r="L597">
        <f>IF(K597="","",INDEX('同相3導体'!$B:$B,K597))</f>
        <v/>
      </c>
      <c r="M597">
        <f>IF(A597="","",IF(ABS(L597/A597-1)&lt;0.01,"周波数差&lt;1%","周波数差あり"))</f>
        <v/>
      </c>
    </row>
    <row r="598">
      <c r="A598" s="197" t="n"/>
      <c r="B598" s="198" t="n"/>
      <c r="C598" s="198" t="n"/>
      <c r="D598" s="195">
        <f>IF(K598="","",INDEX('同相3導体'!$AB:$AB,K598))</f>
        <v/>
      </c>
      <c r="E598" s="195">
        <f>IF(K598="","",INDEX('同相3導体'!$AC:$AC,K598))</f>
        <v/>
      </c>
      <c r="F598" s="195">
        <f>IF(OR(A598="",B598=""),"",100*(D598-B598)/MAX(B598,1E-12))</f>
        <v/>
      </c>
      <c r="G598" s="195">
        <f>IF(OR(A598="",C598=""),"",E598-C598)</f>
        <v/>
      </c>
      <c r="H598" s="195">
        <f>IF(A598="","",LOG10(A598))</f>
        <v/>
      </c>
      <c r="I598" s="195">
        <f>IF(B598="","",LOG10(MAX(B598,1E-12)))</f>
        <v/>
      </c>
      <c r="J598" s="195">
        <f>IF(D598="","",LOG10(MAX(D598,1E-12)))</f>
        <v/>
      </c>
      <c r="K598">
        <f>IF(A598="","",ROUND(1+(LOG10(A598)-LOG10('入力・概要'!$B$38))*('入力・概要'!$B$40-1)/(LOG10('入力・概要'!$B$39)-LOG10('入力・概要'!$B$38)),0)+3)</f>
        <v/>
      </c>
      <c r="L598">
        <f>IF(K598="","",INDEX('同相3導体'!$B:$B,K598))</f>
        <v/>
      </c>
      <c r="M598">
        <f>IF(A598="","",IF(ABS(L598/A598-1)&lt;0.01,"周波数差&lt;1%","周波数差あり"))</f>
        <v/>
      </c>
    </row>
    <row r="599">
      <c r="A599" s="197" t="n"/>
      <c r="B599" s="198" t="n"/>
      <c r="C599" s="198" t="n"/>
      <c r="D599" s="195">
        <f>IF(K599="","",INDEX('同相3導体'!$AB:$AB,K599))</f>
        <v/>
      </c>
      <c r="E599" s="195">
        <f>IF(K599="","",INDEX('同相3導体'!$AC:$AC,K599))</f>
        <v/>
      </c>
      <c r="F599" s="195">
        <f>IF(OR(A599="",B599=""),"",100*(D599-B599)/MAX(B599,1E-12))</f>
        <v/>
      </c>
      <c r="G599" s="195">
        <f>IF(OR(A599="",C599=""),"",E599-C599)</f>
        <v/>
      </c>
      <c r="H599" s="195">
        <f>IF(A599="","",LOG10(A599))</f>
        <v/>
      </c>
      <c r="I599" s="195">
        <f>IF(B599="","",LOG10(MAX(B599,1E-12)))</f>
        <v/>
      </c>
      <c r="J599" s="195">
        <f>IF(D599="","",LOG10(MAX(D599,1E-12)))</f>
        <v/>
      </c>
      <c r="K599">
        <f>IF(A599="","",ROUND(1+(LOG10(A599)-LOG10('入力・概要'!$B$38))*('入力・概要'!$B$40-1)/(LOG10('入力・概要'!$B$39)-LOG10('入力・概要'!$B$38)),0)+3)</f>
        <v/>
      </c>
      <c r="L599">
        <f>IF(K599="","",INDEX('同相3導体'!$B:$B,K599))</f>
        <v/>
      </c>
      <c r="M599">
        <f>IF(A599="","",IF(ABS(L599/A599-1)&lt;0.01,"周波数差&lt;1%","周波数差あり"))</f>
        <v/>
      </c>
    </row>
    <row r="600">
      <c r="A600" s="197" t="n"/>
      <c r="B600" s="198" t="n"/>
      <c r="C600" s="198" t="n"/>
      <c r="D600" s="195">
        <f>IF(K600="","",INDEX('同相3導体'!$AB:$AB,K600))</f>
        <v/>
      </c>
      <c r="E600" s="195">
        <f>IF(K600="","",INDEX('同相3導体'!$AC:$AC,K600))</f>
        <v/>
      </c>
      <c r="F600" s="195">
        <f>IF(OR(A600="",B600=""),"",100*(D600-B600)/MAX(B600,1E-12))</f>
        <v/>
      </c>
      <c r="G600" s="195">
        <f>IF(OR(A600="",C600=""),"",E600-C600)</f>
        <v/>
      </c>
      <c r="H600" s="195">
        <f>IF(A600="","",LOG10(A600))</f>
        <v/>
      </c>
      <c r="I600" s="195">
        <f>IF(B600="","",LOG10(MAX(B600,1E-12)))</f>
        <v/>
      </c>
      <c r="J600" s="195">
        <f>IF(D600="","",LOG10(MAX(D600,1E-12)))</f>
        <v/>
      </c>
      <c r="K600">
        <f>IF(A600="","",ROUND(1+(LOG10(A600)-LOG10('入力・概要'!$B$38))*('入力・概要'!$B$40-1)/(LOG10('入力・概要'!$B$39)-LOG10('入力・概要'!$B$38)),0)+3)</f>
        <v/>
      </c>
      <c r="L600">
        <f>IF(K600="","",INDEX('同相3導体'!$B:$B,K600))</f>
        <v/>
      </c>
      <c r="M600">
        <f>IF(A600="","",IF(ABS(L600/A600-1)&lt;0.01,"周波数差&lt;1%","周波数差あり"))</f>
        <v/>
      </c>
    </row>
    <row r="601">
      <c r="A601" s="197" t="n"/>
      <c r="B601" s="198" t="n"/>
      <c r="C601" s="198" t="n"/>
      <c r="D601" s="195">
        <f>IF(K601="","",INDEX('同相3導体'!$AB:$AB,K601))</f>
        <v/>
      </c>
      <c r="E601" s="195">
        <f>IF(K601="","",INDEX('同相3導体'!$AC:$AC,K601))</f>
        <v/>
      </c>
      <c r="F601" s="195">
        <f>IF(OR(A601="",B601=""),"",100*(D601-B601)/MAX(B601,1E-12))</f>
        <v/>
      </c>
      <c r="G601" s="195">
        <f>IF(OR(A601="",C601=""),"",E601-C601)</f>
        <v/>
      </c>
      <c r="H601" s="195">
        <f>IF(A601="","",LOG10(A601))</f>
        <v/>
      </c>
      <c r="I601" s="195">
        <f>IF(B601="","",LOG10(MAX(B601,1E-12)))</f>
        <v/>
      </c>
      <c r="J601" s="195">
        <f>IF(D601="","",LOG10(MAX(D601,1E-12)))</f>
        <v/>
      </c>
      <c r="K601">
        <f>IF(A601="","",ROUND(1+(LOG10(A601)-LOG10('入力・概要'!$B$38))*('入力・概要'!$B$40-1)/(LOG10('入力・概要'!$B$39)-LOG10('入力・概要'!$B$38)),0)+3)</f>
        <v/>
      </c>
      <c r="L601">
        <f>IF(K601="","",INDEX('同相3導体'!$B:$B,K601))</f>
        <v/>
      </c>
      <c r="M601">
        <f>IF(A601="","",IF(ABS(L601/A601-1)&lt;0.01,"周波数差&lt;1%","周波数差あり"))</f>
        <v/>
      </c>
    </row>
    <row r="602">
      <c r="A602" s="197" t="n"/>
      <c r="B602" s="198" t="n"/>
      <c r="C602" s="198" t="n"/>
      <c r="D602" s="195">
        <f>IF(K602="","",INDEX('同相3導体'!$AB:$AB,K602))</f>
        <v/>
      </c>
      <c r="E602" s="195">
        <f>IF(K602="","",INDEX('同相3導体'!$AC:$AC,K602))</f>
        <v/>
      </c>
      <c r="F602" s="195">
        <f>IF(OR(A602="",B602=""),"",100*(D602-B602)/MAX(B602,1E-12))</f>
        <v/>
      </c>
      <c r="G602" s="195">
        <f>IF(OR(A602="",C602=""),"",E602-C602)</f>
        <v/>
      </c>
      <c r="H602" s="195">
        <f>IF(A602="","",LOG10(A602))</f>
        <v/>
      </c>
      <c r="I602" s="195">
        <f>IF(B602="","",LOG10(MAX(B602,1E-12)))</f>
        <v/>
      </c>
      <c r="J602" s="195">
        <f>IF(D602="","",LOG10(MAX(D602,1E-12)))</f>
        <v/>
      </c>
      <c r="K602">
        <f>IF(A602="","",ROUND(1+(LOG10(A602)-LOG10('入力・概要'!$B$38))*('入力・概要'!$B$40-1)/(LOG10('入力・概要'!$B$39)-LOG10('入力・概要'!$B$38)),0)+3)</f>
        <v/>
      </c>
      <c r="L602">
        <f>IF(K602="","",INDEX('同相3導体'!$B:$B,K602))</f>
        <v/>
      </c>
      <c r="M602">
        <f>IF(A602="","",IF(ABS(L602/A602-1)&lt;0.01,"周波数差&lt;1%","周波数差あり"))</f>
        <v/>
      </c>
    </row>
    <row r="603">
      <c r="A603" s="197" t="n"/>
      <c r="B603" s="198" t="n"/>
      <c r="C603" s="198" t="n"/>
      <c r="D603" s="195">
        <f>IF(K603="","",INDEX('同相3導体'!$AB:$AB,K603))</f>
        <v/>
      </c>
      <c r="E603" s="195">
        <f>IF(K603="","",INDEX('同相3導体'!$AC:$AC,K603))</f>
        <v/>
      </c>
      <c r="F603" s="195">
        <f>IF(OR(A603="",B603=""),"",100*(D603-B603)/MAX(B603,1E-12))</f>
        <v/>
      </c>
      <c r="G603" s="195">
        <f>IF(OR(A603="",C603=""),"",E603-C603)</f>
        <v/>
      </c>
      <c r="H603" s="195">
        <f>IF(A603="","",LOG10(A603))</f>
        <v/>
      </c>
      <c r="I603" s="195">
        <f>IF(B603="","",LOG10(MAX(B603,1E-12)))</f>
        <v/>
      </c>
      <c r="J603" s="195">
        <f>IF(D603="","",LOG10(MAX(D603,1E-12)))</f>
        <v/>
      </c>
      <c r="K603">
        <f>IF(A603="","",ROUND(1+(LOG10(A603)-LOG10('入力・概要'!$B$38))*('入力・概要'!$B$40-1)/(LOG10('入力・概要'!$B$39)-LOG10('入力・概要'!$B$38)),0)+3)</f>
        <v/>
      </c>
      <c r="L603">
        <f>IF(K603="","",INDEX('同相3導体'!$B:$B,K603))</f>
        <v/>
      </c>
      <c r="M603">
        <f>IF(A603="","",IF(ABS(L603/A603-1)&lt;0.01,"周波数差&lt;1%","周波数差あり"))</f>
        <v/>
      </c>
    </row>
    <row r="604">
      <c r="A604" s="197" t="n"/>
      <c r="B604" s="198" t="n"/>
      <c r="C604" s="198" t="n"/>
      <c r="D604" s="195">
        <f>IF(K604="","",INDEX('同相3導体'!$AB:$AB,K604))</f>
        <v/>
      </c>
      <c r="E604" s="195">
        <f>IF(K604="","",INDEX('同相3導体'!$AC:$AC,K604))</f>
        <v/>
      </c>
      <c r="F604" s="195">
        <f>IF(OR(A604="",B604=""),"",100*(D604-B604)/MAX(B604,1E-12))</f>
        <v/>
      </c>
      <c r="G604" s="195">
        <f>IF(OR(A604="",C604=""),"",E604-C604)</f>
        <v/>
      </c>
      <c r="H604" s="195">
        <f>IF(A604="","",LOG10(A604))</f>
        <v/>
      </c>
      <c r="I604" s="195">
        <f>IF(B604="","",LOG10(MAX(B604,1E-12)))</f>
        <v/>
      </c>
      <c r="J604" s="195">
        <f>IF(D604="","",LOG10(MAX(D604,1E-12)))</f>
        <v/>
      </c>
      <c r="K604">
        <f>IF(A604="","",ROUND(1+(LOG10(A604)-LOG10('入力・概要'!$B$38))*('入力・概要'!$B$40-1)/(LOG10('入力・概要'!$B$39)-LOG10('入力・概要'!$B$38)),0)+3)</f>
        <v/>
      </c>
      <c r="L604">
        <f>IF(K604="","",INDEX('同相3導体'!$B:$B,K604))</f>
        <v/>
      </c>
      <c r="M604">
        <f>IF(A604="","",IF(ABS(L604/A604-1)&lt;0.01,"周波数差&lt;1%","周波数差あり"))</f>
        <v/>
      </c>
    </row>
    <row r="605">
      <c r="A605" s="197" t="n"/>
      <c r="B605" s="198" t="n"/>
      <c r="C605" s="198" t="n"/>
      <c r="D605" s="195">
        <f>IF(K605="","",INDEX('同相3導体'!$AB:$AB,K605))</f>
        <v/>
      </c>
      <c r="E605" s="195">
        <f>IF(K605="","",INDEX('同相3導体'!$AC:$AC,K605))</f>
        <v/>
      </c>
      <c r="F605" s="195">
        <f>IF(OR(A605="",B605=""),"",100*(D605-B605)/MAX(B605,1E-12))</f>
        <v/>
      </c>
      <c r="G605" s="195">
        <f>IF(OR(A605="",C605=""),"",E605-C605)</f>
        <v/>
      </c>
      <c r="H605" s="195">
        <f>IF(A605="","",LOG10(A605))</f>
        <v/>
      </c>
      <c r="I605" s="195">
        <f>IF(B605="","",LOG10(MAX(B605,1E-12)))</f>
        <v/>
      </c>
      <c r="J605" s="195">
        <f>IF(D605="","",LOG10(MAX(D605,1E-12)))</f>
        <v/>
      </c>
      <c r="K605">
        <f>IF(A605="","",ROUND(1+(LOG10(A605)-LOG10('入力・概要'!$B$38))*('入力・概要'!$B$40-1)/(LOG10('入力・概要'!$B$39)-LOG10('入力・概要'!$B$38)),0)+3)</f>
        <v/>
      </c>
      <c r="L605">
        <f>IF(K605="","",INDEX('同相3導体'!$B:$B,K605))</f>
        <v/>
      </c>
      <c r="M605">
        <f>IF(A605="","",IF(ABS(L605/A605-1)&lt;0.01,"周波数差&lt;1%","周波数差あり"))</f>
        <v/>
      </c>
    </row>
    <row r="606">
      <c r="A606" s="197" t="n"/>
      <c r="B606" s="198" t="n"/>
      <c r="C606" s="198" t="n"/>
      <c r="D606" s="195">
        <f>IF(K606="","",INDEX('同相3導体'!$AB:$AB,K606))</f>
        <v/>
      </c>
      <c r="E606" s="195">
        <f>IF(K606="","",INDEX('同相3導体'!$AC:$AC,K606))</f>
        <v/>
      </c>
      <c r="F606" s="195">
        <f>IF(OR(A606="",B606=""),"",100*(D606-B606)/MAX(B606,1E-12))</f>
        <v/>
      </c>
      <c r="G606" s="195">
        <f>IF(OR(A606="",C606=""),"",E606-C606)</f>
        <v/>
      </c>
      <c r="H606" s="195">
        <f>IF(A606="","",LOG10(A606))</f>
        <v/>
      </c>
      <c r="I606" s="195">
        <f>IF(B606="","",LOG10(MAX(B606,1E-12)))</f>
        <v/>
      </c>
      <c r="J606" s="195">
        <f>IF(D606="","",LOG10(MAX(D606,1E-12)))</f>
        <v/>
      </c>
      <c r="K606">
        <f>IF(A606="","",ROUND(1+(LOG10(A606)-LOG10('入力・概要'!$B$38))*('入力・概要'!$B$40-1)/(LOG10('入力・概要'!$B$39)-LOG10('入力・概要'!$B$38)),0)+3)</f>
        <v/>
      </c>
      <c r="L606">
        <f>IF(K606="","",INDEX('同相3導体'!$B:$B,K606))</f>
        <v/>
      </c>
      <c r="M606">
        <f>IF(A606="","",IF(ABS(L606/A606-1)&lt;0.01,"周波数差&lt;1%","周波数差あり"))</f>
        <v/>
      </c>
    </row>
    <row r="607">
      <c r="A607" s="197" t="n"/>
      <c r="B607" s="198" t="n"/>
      <c r="C607" s="198" t="n"/>
      <c r="D607" s="195">
        <f>IF(K607="","",INDEX('同相3導体'!$AB:$AB,K607))</f>
        <v/>
      </c>
      <c r="E607" s="195">
        <f>IF(K607="","",INDEX('同相3導体'!$AC:$AC,K607))</f>
        <v/>
      </c>
      <c r="F607" s="195">
        <f>IF(OR(A607="",B607=""),"",100*(D607-B607)/MAX(B607,1E-12))</f>
        <v/>
      </c>
      <c r="G607" s="195">
        <f>IF(OR(A607="",C607=""),"",E607-C607)</f>
        <v/>
      </c>
      <c r="H607" s="195">
        <f>IF(A607="","",LOG10(A607))</f>
        <v/>
      </c>
      <c r="I607" s="195">
        <f>IF(B607="","",LOG10(MAX(B607,1E-12)))</f>
        <v/>
      </c>
      <c r="J607" s="195">
        <f>IF(D607="","",LOG10(MAX(D607,1E-12)))</f>
        <v/>
      </c>
      <c r="K607">
        <f>IF(A607="","",ROUND(1+(LOG10(A607)-LOG10('入力・概要'!$B$38))*('入力・概要'!$B$40-1)/(LOG10('入力・概要'!$B$39)-LOG10('入力・概要'!$B$38)),0)+3)</f>
        <v/>
      </c>
      <c r="L607">
        <f>IF(K607="","",INDEX('同相3導体'!$B:$B,K607))</f>
        <v/>
      </c>
      <c r="M607">
        <f>IF(A607="","",IF(ABS(L607/A607-1)&lt;0.01,"周波数差&lt;1%","周波数差あり"))</f>
        <v/>
      </c>
    </row>
    <row r="608">
      <c r="A608" s="197" t="n"/>
      <c r="B608" s="198" t="n"/>
      <c r="C608" s="198" t="n"/>
      <c r="D608" s="195">
        <f>IF(K608="","",INDEX('同相3導体'!$AB:$AB,K608))</f>
        <v/>
      </c>
      <c r="E608" s="195">
        <f>IF(K608="","",INDEX('同相3導体'!$AC:$AC,K608))</f>
        <v/>
      </c>
      <c r="F608" s="195">
        <f>IF(OR(A608="",B608=""),"",100*(D608-B608)/MAX(B608,1E-12))</f>
        <v/>
      </c>
      <c r="G608" s="195">
        <f>IF(OR(A608="",C608=""),"",E608-C608)</f>
        <v/>
      </c>
      <c r="H608" s="195">
        <f>IF(A608="","",LOG10(A608))</f>
        <v/>
      </c>
      <c r="I608" s="195">
        <f>IF(B608="","",LOG10(MAX(B608,1E-12)))</f>
        <v/>
      </c>
      <c r="J608" s="195">
        <f>IF(D608="","",LOG10(MAX(D608,1E-12)))</f>
        <v/>
      </c>
      <c r="K608">
        <f>IF(A608="","",ROUND(1+(LOG10(A608)-LOG10('入力・概要'!$B$38))*('入力・概要'!$B$40-1)/(LOG10('入力・概要'!$B$39)-LOG10('入力・概要'!$B$38)),0)+3)</f>
        <v/>
      </c>
      <c r="L608">
        <f>IF(K608="","",INDEX('同相3導体'!$B:$B,K608))</f>
        <v/>
      </c>
      <c r="M608">
        <f>IF(A608="","",IF(ABS(L608/A608-1)&lt;0.01,"周波数差&lt;1%","周波数差あり"))</f>
        <v/>
      </c>
    </row>
    <row r="609">
      <c r="A609" s="197" t="n"/>
      <c r="B609" s="198" t="n"/>
      <c r="C609" s="198" t="n"/>
      <c r="D609" s="195">
        <f>IF(K609="","",INDEX('同相3導体'!$AB:$AB,K609))</f>
        <v/>
      </c>
      <c r="E609" s="195">
        <f>IF(K609="","",INDEX('同相3導体'!$AC:$AC,K609))</f>
        <v/>
      </c>
      <c r="F609" s="195">
        <f>IF(OR(A609="",B609=""),"",100*(D609-B609)/MAX(B609,1E-12))</f>
        <v/>
      </c>
      <c r="G609" s="195">
        <f>IF(OR(A609="",C609=""),"",E609-C609)</f>
        <v/>
      </c>
      <c r="H609" s="195">
        <f>IF(A609="","",LOG10(A609))</f>
        <v/>
      </c>
      <c r="I609" s="195">
        <f>IF(B609="","",LOG10(MAX(B609,1E-12)))</f>
        <v/>
      </c>
      <c r="J609" s="195">
        <f>IF(D609="","",LOG10(MAX(D609,1E-12)))</f>
        <v/>
      </c>
      <c r="K609">
        <f>IF(A609="","",ROUND(1+(LOG10(A609)-LOG10('入力・概要'!$B$38))*('入力・概要'!$B$40-1)/(LOG10('入力・概要'!$B$39)-LOG10('入力・概要'!$B$38)),0)+3)</f>
        <v/>
      </c>
      <c r="L609">
        <f>IF(K609="","",INDEX('同相3導体'!$B:$B,K609))</f>
        <v/>
      </c>
      <c r="M609">
        <f>IF(A609="","",IF(ABS(L609/A609-1)&lt;0.01,"周波数差&lt;1%","周波数差あり"))</f>
        <v/>
      </c>
    </row>
    <row r="610">
      <c r="A610" s="197" t="n"/>
      <c r="B610" s="198" t="n"/>
      <c r="C610" s="198" t="n"/>
      <c r="D610" s="195">
        <f>IF(K610="","",INDEX('同相3導体'!$AB:$AB,K610))</f>
        <v/>
      </c>
      <c r="E610" s="195">
        <f>IF(K610="","",INDEX('同相3導体'!$AC:$AC,K610))</f>
        <v/>
      </c>
      <c r="F610" s="195">
        <f>IF(OR(A610="",B610=""),"",100*(D610-B610)/MAX(B610,1E-12))</f>
        <v/>
      </c>
      <c r="G610" s="195">
        <f>IF(OR(A610="",C610=""),"",E610-C610)</f>
        <v/>
      </c>
      <c r="H610" s="195">
        <f>IF(A610="","",LOG10(A610))</f>
        <v/>
      </c>
      <c r="I610" s="195">
        <f>IF(B610="","",LOG10(MAX(B610,1E-12)))</f>
        <v/>
      </c>
      <c r="J610" s="195">
        <f>IF(D610="","",LOG10(MAX(D610,1E-12)))</f>
        <v/>
      </c>
      <c r="K610">
        <f>IF(A610="","",ROUND(1+(LOG10(A610)-LOG10('入力・概要'!$B$38))*('入力・概要'!$B$40-1)/(LOG10('入力・概要'!$B$39)-LOG10('入力・概要'!$B$38)),0)+3)</f>
        <v/>
      </c>
      <c r="L610">
        <f>IF(K610="","",INDEX('同相3導体'!$B:$B,K610))</f>
        <v/>
      </c>
      <c r="M610">
        <f>IF(A610="","",IF(ABS(L610/A610-1)&lt;0.01,"周波数差&lt;1%","周波数差あり"))</f>
        <v/>
      </c>
    </row>
    <row r="611">
      <c r="A611" s="197" t="n"/>
      <c r="B611" s="198" t="n"/>
      <c r="C611" s="198" t="n"/>
      <c r="D611" s="195">
        <f>IF(K611="","",INDEX('同相3導体'!$AB:$AB,K611))</f>
        <v/>
      </c>
      <c r="E611" s="195">
        <f>IF(K611="","",INDEX('同相3導体'!$AC:$AC,K611))</f>
        <v/>
      </c>
      <c r="F611" s="195">
        <f>IF(OR(A611="",B611=""),"",100*(D611-B611)/MAX(B611,1E-12))</f>
        <v/>
      </c>
      <c r="G611" s="195">
        <f>IF(OR(A611="",C611=""),"",E611-C611)</f>
        <v/>
      </c>
      <c r="H611" s="195">
        <f>IF(A611="","",LOG10(A611))</f>
        <v/>
      </c>
      <c r="I611" s="195">
        <f>IF(B611="","",LOG10(MAX(B611,1E-12)))</f>
        <v/>
      </c>
      <c r="J611" s="195">
        <f>IF(D611="","",LOG10(MAX(D611,1E-12)))</f>
        <v/>
      </c>
      <c r="K611">
        <f>IF(A611="","",ROUND(1+(LOG10(A611)-LOG10('入力・概要'!$B$38))*('入力・概要'!$B$40-1)/(LOG10('入力・概要'!$B$39)-LOG10('入力・概要'!$B$38)),0)+3)</f>
        <v/>
      </c>
      <c r="L611">
        <f>IF(K611="","",INDEX('同相3導体'!$B:$B,K611))</f>
        <v/>
      </c>
      <c r="M611">
        <f>IF(A611="","",IF(ABS(L611/A611-1)&lt;0.01,"周波数差&lt;1%","周波数差あり"))</f>
        <v/>
      </c>
    </row>
    <row r="612">
      <c r="A612" s="197" t="n"/>
      <c r="B612" s="198" t="n"/>
      <c r="C612" s="198" t="n"/>
      <c r="D612" s="195">
        <f>IF(K612="","",INDEX('同相3導体'!$AB:$AB,K612))</f>
        <v/>
      </c>
      <c r="E612" s="195">
        <f>IF(K612="","",INDEX('同相3導体'!$AC:$AC,K612))</f>
        <v/>
      </c>
      <c r="F612" s="195">
        <f>IF(OR(A612="",B612=""),"",100*(D612-B612)/MAX(B612,1E-12))</f>
        <v/>
      </c>
      <c r="G612" s="195">
        <f>IF(OR(A612="",C612=""),"",E612-C612)</f>
        <v/>
      </c>
      <c r="H612" s="195">
        <f>IF(A612="","",LOG10(A612))</f>
        <v/>
      </c>
      <c r="I612" s="195">
        <f>IF(B612="","",LOG10(MAX(B612,1E-12)))</f>
        <v/>
      </c>
      <c r="J612" s="195">
        <f>IF(D612="","",LOG10(MAX(D612,1E-12)))</f>
        <v/>
      </c>
      <c r="K612">
        <f>IF(A612="","",ROUND(1+(LOG10(A612)-LOG10('入力・概要'!$B$38))*('入力・概要'!$B$40-1)/(LOG10('入力・概要'!$B$39)-LOG10('入力・概要'!$B$38)),0)+3)</f>
        <v/>
      </c>
      <c r="L612">
        <f>IF(K612="","",INDEX('同相3導体'!$B:$B,K612))</f>
        <v/>
      </c>
      <c r="M612">
        <f>IF(A612="","",IF(ABS(L612/A612-1)&lt;0.01,"周波数差&lt;1%","周波数差あり"))</f>
        <v/>
      </c>
    </row>
    <row r="613">
      <c r="A613" s="197" t="n"/>
      <c r="B613" s="198" t="n"/>
      <c r="C613" s="198" t="n"/>
      <c r="D613" s="195">
        <f>IF(K613="","",INDEX('同相3導体'!$AB:$AB,K613))</f>
        <v/>
      </c>
      <c r="E613" s="195">
        <f>IF(K613="","",INDEX('同相3導体'!$AC:$AC,K613))</f>
        <v/>
      </c>
      <c r="F613" s="195">
        <f>IF(OR(A613="",B613=""),"",100*(D613-B613)/MAX(B613,1E-12))</f>
        <v/>
      </c>
      <c r="G613" s="195">
        <f>IF(OR(A613="",C613=""),"",E613-C613)</f>
        <v/>
      </c>
      <c r="H613" s="195">
        <f>IF(A613="","",LOG10(A613))</f>
        <v/>
      </c>
      <c r="I613" s="195">
        <f>IF(B613="","",LOG10(MAX(B613,1E-12)))</f>
        <v/>
      </c>
      <c r="J613" s="195">
        <f>IF(D613="","",LOG10(MAX(D613,1E-12)))</f>
        <v/>
      </c>
      <c r="K613">
        <f>IF(A613="","",ROUND(1+(LOG10(A613)-LOG10('入力・概要'!$B$38))*('入力・概要'!$B$40-1)/(LOG10('入力・概要'!$B$39)-LOG10('入力・概要'!$B$38)),0)+3)</f>
        <v/>
      </c>
      <c r="L613">
        <f>IF(K613="","",INDEX('同相3導体'!$B:$B,K613))</f>
        <v/>
      </c>
      <c r="M613">
        <f>IF(A613="","",IF(ABS(L613/A613-1)&lt;0.01,"周波数差&lt;1%","周波数差あり"))</f>
        <v/>
      </c>
    </row>
    <row r="614">
      <c r="A614" s="197" t="n"/>
      <c r="B614" s="198" t="n"/>
      <c r="C614" s="198" t="n"/>
      <c r="D614" s="195">
        <f>IF(K614="","",INDEX('同相3導体'!$AB:$AB,K614))</f>
        <v/>
      </c>
      <c r="E614" s="195">
        <f>IF(K614="","",INDEX('同相3導体'!$AC:$AC,K614))</f>
        <v/>
      </c>
      <c r="F614" s="195">
        <f>IF(OR(A614="",B614=""),"",100*(D614-B614)/MAX(B614,1E-12))</f>
        <v/>
      </c>
      <c r="G614" s="195">
        <f>IF(OR(A614="",C614=""),"",E614-C614)</f>
        <v/>
      </c>
      <c r="H614" s="195">
        <f>IF(A614="","",LOG10(A614))</f>
        <v/>
      </c>
      <c r="I614" s="195">
        <f>IF(B614="","",LOG10(MAX(B614,1E-12)))</f>
        <v/>
      </c>
      <c r="J614" s="195">
        <f>IF(D614="","",LOG10(MAX(D614,1E-12)))</f>
        <v/>
      </c>
      <c r="K614">
        <f>IF(A614="","",ROUND(1+(LOG10(A614)-LOG10('入力・概要'!$B$38))*('入力・概要'!$B$40-1)/(LOG10('入力・概要'!$B$39)-LOG10('入力・概要'!$B$38)),0)+3)</f>
        <v/>
      </c>
      <c r="L614">
        <f>IF(K614="","",INDEX('同相3導体'!$B:$B,K614))</f>
        <v/>
      </c>
      <c r="M614">
        <f>IF(A614="","",IF(ABS(L614/A614-1)&lt;0.01,"周波数差&lt;1%","周波数差あり"))</f>
        <v/>
      </c>
    </row>
    <row r="615">
      <c r="A615" s="197" t="n"/>
      <c r="B615" s="198" t="n"/>
      <c r="C615" s="198" t="n"/>
      <c r="D615" s="195">
        <f>IF(K615="","",INDEX('同相3導体'!$AB:$AB,K615))</f>
        <v/>
      </c>
      <c r="E615" s="195">
        <f>IF(K615="","",INDEX('同相3導体'!$AC:$AC,K615))</f>
        <v/>
      </c>
      <c r="F615" s="195">
        <f>IF(OR(A615="",B615=""),"",100*(D615-B615)/MAX(B615,1E-12))</f>
        <v/>
      </c>
      <c r="G615" s="195">
        <f>IF(OR(A615="",C615=""),"",E615-C615)</f>
        <v/>
      </c>
      <c r="H615" s="195">
        <f>IF(A615="","",LOG10(A615))</f>
        <v/>
      </c>
      <c r="I615" s="195">
        <f>IF(B615="","",LOG10(MAX(B615,1E-12)))</f>
        <v/>
      </c>
      <c r="J615" s="195">
        <f>IF(D615="","",LOG10(MAX(D615,1E-12)))</f>
        <v/>
      </c>
      <c r="K615">
        <f>IF(A615="","",ROUND(1+(LOG10(A615)-LOG10('入力・概要'!$B$38))*('入力・概要'!$B$40-1)/(LOG10('入力・概要'!$B$39)-LOG10('入力・概要'!$B$38)),0)+3)</f>
        <v/>
      </c>
      <c r="L615">
        <f>IF(K615="","",INDEX('同相3導体'!$B:$B,K615))</f>
        <v/>
      </c>
      <c r="M615">
        <f>IF(A615="","",IF(ABS(L615/A615-1)&lt;0.01,"周波数差&lt;1%","周波数差あり"))</f>
        <v/>
      </c>
    </row>
    <row r="616">
      <c r="A616" s="197" t="n"/>
      <c r="B616" s="198" t="n"/>
      <c r="C616" s="198" t="n"/>
      <c r="D616" s="195">
        <f>IF(K616="","",INDEX('同相3導体'!$AB:$AB,K616))</f>
        <v/>
      </c>
      <c r="E616" s="195">
        <f>IF(K616="","",INDEX('同相3導体'!$AC:$AC,K616))</f>
        <v/>
      </c>
      <c r="F616" s="195">
        <f>IF(OR(A616="",B616=""),"",100*(D616-B616)/MAX(B616,1E-12))</f>
        <v/>
      </c>
      <c r="G616" s="195">
        <f>IF(OR(A616="",C616=""),"",E616-C616)</f>
        <v/>
      </c>
      <c r="H616" s="195">
        <f>IF(A616="","",LOG10(A616))</f>
        <v/>
      </c>
      <c r="I616" s="195">
        <f>IF(B616="","",LOG10(MAX(B616,1E-12)))</f>
        <v/>
      </c>
      <c r="J616" s="195">
        <f>IF(D616="","",LOG10(MAX(D616,1E-12)))</f>
        <v/>
      </c>
      <c r="K616">
        <f>IF(A616="","",ROUND(1+(LOG10(A616)-LOG10('入力・概要'!$B$38))*('入力・概要'!$B$40-1)/(LOG10('入力・概要'!$B$39)-LOG10('入力・概要'!$B$38)),0)+3)</f>
        <v/>
      </c>
      <c r="L616">
        <f>IF(K616="","",INDEX('同相3導体'!$B:$B,K616))</f>
        <v/>
      </c>
      <c r="M616">
        <f>IF(A616="","",IF(ABS(L616/A616-1)&lt;0.01,"周波数差&lt;1%","周波数差あり"))</f>
        <v/>
      </c>
    </row>
    <row r="617">
      <c r="A617" s="197" t="n"/>
      <c r="B617" s="198" t="n"/>
      <c r="C617" s="198" t="n"/>
      <c r="D617" s="195">
        <f>IF(K617="","",INDEX('同相3導体'!$AB:$AB,K617))</f>
        <v/>
      </c>
      <c r="E617" s="195">
        <f>IF(K617="","",INDEX('同相3導体'!$AC:$AC,K617))</f>
        <v/>
      </c>
      <c r="F617" s="195">
        <f>IF(OR(A617="",B617=""),"",100*(D617-B617)/MAX(B617,1E-12))</f>
        <v/>
      </c>
      <c r="G617" s="195">
        <f>IF(OR(A617="",C617=""),"",E617-C617)</f>
        <v/>
      </c>
      <c r="H617" s="195">
        <f>IF(A617="","",LOG10(A617))</f>
        <v/>
      </c>
      <c r="I617" s="195">
        <f>IF(B617="","",LOG10(MAX(B617,1E-12)))</f>
        <v/>
      </c>
      <c r="J617" s="195">
        <f>IF(D617="","",LOG10(MAX(D617,1E-12)))</f>
        <v/>
      </c>
      <c r="K617">
        <f>IF(A617="","",ROUND(1+(LOG10(A617)-LOG10('入力・概要'!$B$38))*('入力・概要'!$B$40-1)/(LOG10('入力・概要'!$B$39)-LOG10('入力・概要'!$B$38)),0)+3)</f>
        <v/>
      </c>
      <c r="L617">
        <f>IF(K617="","",INDEX('同相3導体'!$B:$B,K617))</f>
        <v/>
      </c>
      <c r="M617">
        <f>IF(A617="","",IF(ABS(L617/A617-1)&lt;0.01,"周波数差&lt;1%","周波数差あり"))</f>
        <v/>
      </c>
    </row>
    <row r="618">
      <c r="A618" s="197" t="n"/>
      <c r="B618" s="198" t="n"/>
      <c r="C618" s="198" t="n"/>
      <c r="D618" s="195">
        <f>IF(K618="","",INDEX('同相3導体'!$AB:$AB,K618))</f>
        <v/>
      </c>
      <c r="E618" s="195">
        <f>IF(K618="","",INDEX('同相3導体'!$AC:$AC,K618))</f>
        <v/>
      </c>
      <c r="F618" s="195">
        <f>IF(OR(A618="",B618=""),"",100*(D618-B618)/MAX(B618,1E-12))</f>
        <v/>
      </c>
      <c r="G618" s="195">
        <f>IF(OR(A618="",C618=""),"",E618-C618)</f>
        <v/>
      </c>
      <c r="H618" s="195">
        <f>IF(A618="","",LOG10(A618))</f>
        <v/>
      </c>
      <c r="I618" s="195">
        <f>IF(B618="","",LOG10(MAX(B618,1E-12)))</f>
        <v/>
      </c>
      <c r="J618" s="195">
        <f>IF(D618="","",LOG10(MAX(D618,1E-12)))</f>
        <v/>
      </c>
      <c r="K618">
        <f>IF(A618="","",ROUND(1+(LOG10(A618)-LOG10('入力・概要'!$B$38))*('入力・概要'!$B$40-1)/(LOG10('入力・概要'!$B$39)-LOG10('入力・概要'!$B$38)),0)+3)</f>
        <v/>
      </c>
      <c r="L618">
        <f>IF(K618="","",INDEX('同相3導体'!$B:$B,K618))</f>
        <v/>
      </c>
      <c r="M618">
        <f>IF(A618="","",IF(ABS(L618/A618-1)&lt;0.01,"周波数差&lt;1%","周波数差あり"))</f>
        <v/>
      </c>
    </row>
    <row r="619">
      <c r="A619" s="197" t="n"/>
      <c r="B619" s="198" t="n"/>
      <c r="C619" s="198" t="n"/>
      <c r="D619" s="195">
        <f>IF(K619="","",INDEX('同相3導体'!$AB:$AB,K619))</f>
        <v/>
      </c>
      <c r="E619" s="195">
        <f>IF(K619="","",INDEX('同相3導体'!$AC:$AC,K619))</f>
        <v/>
      </c>
      <c r="F619" s="195">
        <f>IF(OR(A619="",B619=""),"",100*(D619-B619)/MAX(B619,1E-12))</f>
        <v/>
      </c>
      <c r="G619" s="195">
        <f>IF(OR(A619="",C619=""),"",E619-C619)</f>
        <v/>
      </c>
      <c r="H619" s="195">
        <f>IF(A619="","",LOG10(A619))</f>
        <v/>
      </c>
      <c r="I619" s="195">
        <f>IF(B619="","",LOG10(MAX(B619,1E-12)))</f>
        <v/>
      </c>
      <c r="J619" s="195">
        <f>IF(D619="","",LOG10(MAX(D619,1E-12)))</f>
        <v/>
      </c>
      <c r="K619">
        <f>IF(A619="","",ROUND(1+(LOG10(A619)-LOG10('入力・概要'!$B$38))*('入力・概要'!$B$40-1)/(LOG10('入力・概要'!$B$39)-LOG10('入力・概要'!$B$38)),0)+3)</f>
        <v/>
      </c>
      <c r="L619">
        <f>IF(K619="","",INDEX('同相3導体'!$B:$B,K619))</f>
        <v/>
      </c>
      <c r="M619">
        <f>IF(A619="","",IF(ABS(L619/A619-1)&lt;0.01,"周波数差&lt;1%","周波数差あり"))</f>
        <v/>
      </c>
    </row>
    <row r="620">
      <c r="A620" s="197" t="n"/>
      <c r="B620" s="198" t="n"/>
      <c r="C620" s="198" t="n"/>
      <c r="D620" s="195">
        <f>IF(K620="","",INDEX('同相3導体'!$AB:$AB,K620))</f>
        <v/>
      </c>
      <c r="E620" s="195">
        <f>IF(K620="","",INDEX('同相3導体'!$AC:$AC,K620))</f>
        <v/>
      </c>
      <c r="F620" s="195">
        <f>IF(OR(A620="",B620=""),"",100*(D620-B620)/MAX(B620,1E-12))</f>
        <v/>
      </c>
      <c r="G620" s="195">
        <f>IF(OR(A620="",C620=""),"",E620-C620)</f>
        <v/>
      </c>
      <c r="H620" s="195">
        <f>IF(A620="","",LOG10(A620))</f>
        <v/>
      </c>
      <c r="I620" s="195">
        <f>IF(B620="","",LOG10(MAX(B620,1E-12)))</f>
        <v/>
      </c>
      <c r="J620" s="195">
        <f>IF(D620="","",LOG10(MAX(D620,1E-12)))</f>
        <v/>
      </c>
      <c r="K620">
        <f>IF(A620="","",ROUND(1+(LOG10(A620)-LOG10('入力・概要'!$B$38))*('入力・概要'!$B$40-1)/(LOG10('入力・概要'!$B$39)-LOG10('入力・概要'!$B$38)),0)+3)</f>
        <v/>
      </c>
      <c r="L620">
        <f>IF(K620="","",INDEX('同相3導体'!$B:$B,K620))</f>
        <v/>
      </c>
      <c r="M620">
        <f>IF(A620="","",IF(ABS(L620/A620-1)&lt;0.01,"周波数差&lt;1%","周波数差あり"))</f>
        <v/>
      </c>
    </row>
    <row r="621">
      <c r="A621" s="197" t="n"/>
      <c r="B621" s="198" t="n"/>
      <c r="C621" s="198" t="n"/>
      <c r="D621" s="195">
        <f>IF(K621="","",INDEX('同相3導体'!$AB:$AB,K621))</f>
        <v/>
      </c>
      <c r="E621" s="195">
        <f>IF(K621="","",INDEX('同相3導体'!$AC:$AC,K621))</f>
        <v/>
      </c>
      <c r="F621" s="195">
        <f>IF(OR(A621="",B621=""),"",100*(D621-B621)/MAX(B621,1E-12))</f>
        <v/>
      </c>
      <c r="G621" s="195">
        <f>IF(OR(A621="",C621=""),"",E621-C621)</f>
        <v/>
      </c>
      <c r="H621" s="195">
        <f>IF(A621="","",LOG10(A621))</f>
        <v/>
      </c>
      <c r="I621" s="195">
        <f>IF(B621="","",LOG10(MAX(B621,1E-12)))</f>
        <v/>
      </c>
      <c r="J621" s="195">
        <f>IF(D621="","",LOG10(MAX(D621,1E-12)))</f>
        <v/>
      </c>
      <c r="K621">
        <f>IF(A621="","",ROUND(1+(LOG10(A621)-LOG10('入力・概要'!$B$38))*('入力・概要'!$B$40-1)/(LOG10('入力・概要'!$B$39)-LOG10('入力・概要'!$B$38)),0)+3)</f>
        <v/>
      </c>
      <c r="L621">
        <f>IF(K621="","",INDEX('同相3導体'!$B:$B,K621))</f>
        <v/>
      </c>
      <c r="M621">
        <f>IF(A621="","",IF(ABS(L621/A621-1)&lt;0.01,"周波数差&lt;1%","周波数差あり"))</f>
        <v/>
      </c>
    </row>
    <row r="622">
      <c r="A622" s="197" t="n"/>
      <c r="B622" s="198" t="n"/>
      <c r="C622" s="198" t="n"/>
      <c r="D622" s="195">
        <f>IF(K622="","",INDEX('同相3導体'!$AB:$AB,K622))</f>
        <v/>
      </c>
      <c r="E622" s="195">
        <f>IF(K622="","",INDEX('同相3導体'!$AC:$AC,K622))</f>
        <v/>
      </c>
      <c r="F622" s="195">
        <f>IF(OR(A622="",B622=""),"",100*(D622-B622)/MAX(B622,1E-12))</f>
        <v/>
      </c>
      <c r="G622" s="195">
        <f>IF(OR(A622="",C622=""),"",E622-C622)</f>
        <v/>
      </c>
      <c r="H622" s="195">
        <f>IF(A622="","",LOG10(A622))</f>
        <v/>
      </c>
      <c r="I622" s="195">
        <f>IF(B622="","",LOG10(MAX(B622,1E-12)))</f>
        <v/>
      </c>
      <c r="J622" s="195">
        <f>IF(D622="","",LOG10(MAX(D622,1E-12)))</f>
        <v/>
      </c>
      <c r="K622">
        <f>IF(A622="","",ROUND(1+(LOG10(A622)-LOG10('入力・概要'!$B$38))*('入力・概要'!$B$40-1)/(LOG10('入力・概要'!$B$39)-LOG10('入力・概要'!$B$38)),0)+3)</f>
        <v/>
      </c>
      <c r="L622">
        <f>IF(K622="","",INDEX('同相3導体'!$B:$B,K622))</f>
        <v/>
      </c>
      <c r="M622">
        <f>IF(A622="","",IF(ABS(L622/A622-1)&lt;0.01,"周波数差&lt;1%","周波数差あり"))</f>
        <v/>
      </c>
    </row>
    <row r="623">
      <c r="A623" s="197" t="n"/>
      <c r="B623" s="198" t="n"/>
      <c r="C623" s="198" t="n"/>
      <c r="D623" s="195">
        <f>IF(K623="","",INDEX('同相3導体'!$AB:$AB,K623))</f>
        <v/>
      </c>
      <c r="E623" s="195">
        <f>IF(K623="","",INDEX('同相3導体'!$AC:$AC,K623))</f>
        <v/>
      </c>
      <c r="F623" s="195">
        <f>IF(OR(A623="",B623=""),"",100*(D623-B623)/MAX(B623,1E-12))</f>
        <v/>
      </c>
      <c r="G623" s="195">
        <f>IF(OR(A623="",C623=""),"",E623-C623)</f>
        <v/>
      </c>
      <c r="H623" s="195">
        <f>IF(A623="","",LOG10(A623))</f>
        <v/>
      </c>
      <c r="I623" s="195">
        <f>IF(B623="","",LOG10(MAX(B623,1E-12)))</f>
        <v/>
      </c>
      <c r="J623" s="195">
        <f>IF(D623="","",LOG10(MAX(D623,1E-12)))</f>
        <v/>
      </c>
      <c r="K623">
        <f>IF(A623="","",ROUND(1+(LOG10(A623)-LOG10('入力・概要'!$B$38))*('入力・概要'!$B$40-1)/(LOG10('入力・概要'!$B$39)-LOG10('入力・概要'!$B$38)),0)+3)</f>
        <v/>
      </c>
      <c r="L623">
        <f>IF(K623="","",INDEX('同相3導体'!$B:$B,K623))</f>
        <v/>
      </c>
      <c r="M623">
        <f>IF(A623="","",IF(ABS(L623/A623-1)&lt;0.01,"周波数差&lt;1%","周波数差あり"))</f>
        <v/>
      </c>
    </row>
    <row r="624">
      <c r="A624" s="197" t="n"/>
      <c r="B624" s="198" t="n"/>
      <c r="C624" s="198" t="n"/>
      <c r="D624" s="195">
        <f>IF(K624="","",INDEX('同相3導体'!$AB:$AB,K624))</f>
        <v/>
      </c>
      <c r="E624" s="195">
        <f>IF(K624="","",INDEX('同相3導体'!$AC:$AC,K624))</f>
        <v/>
      </c>
      <c r="F624" s="195">
        <f>IF(OR(A624="",B624=""),"",100*(D624-B624)/MAX(B624,1E-12))</f>
        <v/>
      </c>
      <c r="G624" s="195">
        <f>IF(OR(A624="",C624=""),"",E624-C624)</f>
        <v/>
      </c>
      <c r="H624" s="195">
        <f>IF(A624="","",LOG10(A624))</f>
        <v/>
      </c>
      <c r="I624" s="195">
        <f>IF(B624="","",LOG10(MAX(B624,1E-12)))</f>
        <v/>
      </c>
      <c r="J624" s="195">
        <f>IF(D624="","",LOG10(MAX(D624,1E-12)))</f>
        <v/>
      </c>
      <c r="K624">
        <f>IF(A624="","",ROUND(1+(LOG10(A624)-LOG10('入力・概要'!$B$38))*('入力・概要'!$B$40-1)/(LOG10('入力・概要'!$B$39)-LOG10('入力・概要'!$B$38)),0)+3)</f>
        <v/>
      </c>
      <c r="L624">
        <f>IF(K624="","",INDEX('同相3導体'!$B:$B,K624))</f>
        <v/>
      </c>
      <c r="M624">
        <f>IF(A624="","",IF(ABS(L624/A624-1)&lt;0.01,"周波数差&lt;1%","周波数差あり"))</f>
        <v/>
      </c>
    </row>
    <row r="625">
      <c r="A625" s="197" t="n"/>
      <c r="B625" s="198" t="n"/>
      <c r="C625" s="198" t="n"/>
      <c r="D625" s="195">
        <f>IF(K625="","",INDEX('同相3導体'!$AB:$AB,K625))</f>
        <v/>
      </c>
      <c r="E625" s="195">
        <f>IF(K625="","",INDEX('同相3導体'!$AC:$AC,K625))</f>
        <v/>
      </c>
      <c r="F625" s="195">
        <f>IF(OR(A625="",B625=""),"",100*(D625-B625)/MAX(B625,1E-12))</f>
        <v/>
      </c>
      <c r="G625" s="195">
        <f>IF(OR(A625="",C625=""),"",E625-C625)</f>
        <v/>
      </c>
      <c r="H625" s="195">
        <f>IF(A625="","",LOG10(A625))</f>
        <v/>
      </c>
      <c r="I625" s="195">
        <f>IF(B625="","",LOG10(MAX(B625,1E-12)))</f>
        <v/>
      </c>
      <c r="J625" s="195">
        <f>IF(D625="","",LOG10(MAX(D625,1E-12)))</f>
        <v/>
      </c>
      <c r="K625">
        <f>IF(A625="","",ROUND(1+(LOG10(A625)-LOG10('入力・概要'!$B$38))*('入力・概要'!$B$40-1)/(LOG10('入力・概要'!$B$39)-LOG10('入力・概要'!$B$38)),0)+3)</f>
        <v/>
      </c>
      <c r="L625">
        <f>IF(K625="","",INDEX('同相3導体'!$B:$B,K625))</f>
        <v/>
      </c>
      <c r="M625">
        <f>IF(A625="","",IF(ABS(L625/A625-1)&lt;0.01,"周波数差&lt;1%","周波数差あり"))</f>
        <v/>
      </c>
    </row>
    <row r="626">
      <c r="A626" s="197" t="n"/>
      <c r="B626" s="198" t="n"/>
      <c r="C626" s="198" t="n"/>
      <c r="D626" s="195">
        <f>IF(K626="","",INDEX('同相3導体'!$AB:$AB,K626))</f>
        <v/>
      </c>
      <c r="E626" s="195">
        <f>IF(K626="","",INDEX('同相3導体'!$AC:$AC,K626))</f>
        <v/>
      </c>
      <c r="F626" s="195">
        <f>IF(OR(A626="",B626=""),"",100*(D626-B626)/MAX(B626,1E-12))</f>
        <v/>
      </c>
      <c r="G626" s="195">
        <f>IF(OR(A626="",C626=""),"",E626-C626)</f>
        <v/>
      </c>
      <c r="H626" s="195">
        <f>IF(A626="","",LOG10(A626))</f>
        <v/>
      </c>
      <c r="I626" s="195">
        <f>IF(B626="","",LOG10(MAX(B626,1E-12)))</f>
        <v/>
      </c>
      <c r="J626" s="195">
        <f>IF(D626="","",LOG10(MAX(D626,1E-12)))</f>
        <v/>
      </c>
      <c r="K626">
        <f>IF(A626="","",ROUND(1+(LOG10(A626)-LOG10('入力・概要'!$B$38))*('入力・概要'!$B$40-1)/(LOG10('入力・概要'!$B$39)-LOG10('入力・概要'!$B$38)),0)+3)</f>
        <v/>
      </c>
      <c r="L626">
        <f>IF(K626="","",INDEX('同相3導体'!$B:$B,K626))</f>
        <v/>
      </c>
      <c r="M626">
        <f>IF(A626="","",IF(ABS(L626/A626-1)&lt;0.01,"周波数差&lt;1%","周波数差あり"))</f>
        <v/>
      </c>
    </row>
    <row r="627">
      <c r="A627" s="197" t="n"/>
      <c r="B627" s="198" t="n"/>
      <c r="C627" s="198" t="n"/>
      <c r="D627" s="195">
        <f>IF(K627="","",INDEX('同相3導体'!$AB:$AB,K627))</f>
        <v/>
      </c>
      <c r="E627" s="195">
        <f>IF(K627="","",INDEX('同相3導体'!$AC:$AC,K627))</f>
        <v/>
      </c>
      <c r="F627" s="195">
        <f>IF(OR(A627="",B627=""),"",100*(D627-B627)/MAX(B627,1E-12))</f>
        <v/>
      </c>
      <c r="G627" s="195">
        <f>IF(OR(A627="",C627=""),"",E627-C627)</f>
        <v/>
      </c>
      <c r="H627" s="195">
        <f>IF(A627="","",LOG10(A627))</f>
        <v/>
      </c>
      <c r="I627" s="195">
        <f>IF(B627="","",LOG10(MAX(B627,1E-12)))</f>
        <v/>
      </c>
      <c r="J627" s="195">
        <f>IF(D627="","",LOG10(MAX(D627,1E-12)))</f>
        <v/>
      </c>
      <c r="K627">
        <f>IF(A627="","",ROUND(1+(LOG10(A627)-LOG10('入力・概要'!$B$38))*('入力・概要'!$B$40-1)/(LOG10('入力・概要'!$B$39)-LOG10('入力・概要'!$B$38)),0)+3)</f>
        <v/>
      </c>
      <c r="L627">
        <f>IF(K627="","",INDEX('同相3導体'!$B:$B,K627))</f>
        <v/>
      </c>
      <c r="M627">
        <f>IF(A627="","",IF(ABS(L627/A627-1)&lt;0.01,"周波数差&lt;1%","周波数差あり"))</f>
        <v/>
      </c>
    </row>
    <row r="628">
      <c r="A628" s="197" t="n"/>
      <c r="B628" s="198" t="n"/>
      <c r="C628" s="198" t="n"/>
      <c r="D628" s="195">
        <f>IF(K628="","",INDEX('同相3導体'!$AB:$AB,K628))</f>
        <v/>
      </c>
      <c r="E628" s="195">
        <f>IF(K628="","",INDEX('同相3導体'!$AC:$AC,K628))</f>
        <v/>
      </c>
      <c r="F628" s="195">
        <f>IF(OR(A628="",B628=""),"",100*(D628-B628)/MAX(B628,1E-12))</f>
        <v/>
      </c>
      <c r="G628" s="195">
        <f>IF(OR(A628="",C628=""),"",E628-C628)</f>
        <v/>
      </c>
      <c r="H628" s="195">
        <f>IF(A628="","",LOG10(A628))</f>
        <v/>
      </c>
      <c r="I628" s="195">
        <f>IF(B628="","",LOG10(MAX(B628,1E-12)))</f>
        <v/>
      </c>
      <c r="J628" s="195">
        <f>IF(D628="","",LOG10(MAX(D628,1E-12)))</f>
        <v/>
      </c>
      <c r="K628">
        <f>IF(A628="","",ROUND(1+(LOG10(A628)-LOG10('入力・概要'!$B$38))*('入力・概要'!$B$40-1)/(LOG10('入力・概要'!$B$39)-LOG10('入力・概要'!$B$38)),0)+3)</f>
        <v/>
      </c>
      <c r="L628">
        <f>IF(K628="","",INDEX('同相3導体'!$B:$B,K628))</f>
        <v/>
      </c>
      <c r="M628">
        <f>IF(A628="","",IF(ABS(L628/A628-1)&lt;0.01,"周波数差&lt;1%","周波数差あり"))</f>
        <v/>
      </c>
    </row>
    <row r="629">
      <c r="A629" s="197" t="n"/>
      <c r="B629" s="198" t="n"/>
      <c r="C629" s="198" t="n"/>
      <c r="D629" s="195">
        <f>IF(K629="","",INDEX('同相3導体'!$AB:$AB,K629))</f>
        <v/>
      </c>
      <c r="E629" s="195">
        <f>IF(K629="","",INDEX('同相3導体'!$AC:$AC,K629))</f>
        <v/>
      </c>
      <c r="F629" s="195">
        <f>IF(OR(A629="",B629=""),"",100*(D629-B629)/MAX(B629,1E-12))</f>
        <v/>
      </c>
      <c r="G629" s="195">
        <f>IF(OR(A629="",C629=""),"",E629-C629)</f>
        <v/>
      </c>
      <c r="H629" s="195">
        <f>IF(A629="","",LOG10(A629))</f>
        <v/>
      </c>
      <c r="I629" s="195">
        <f>IF(B629="","",LOG10(MAX(B629,1E-12)))</f>
        <v/>
      </c>
      <c r="J629" s="195">
        <f>IF(D629="","",LOG10(MAX(D629,1E-12)))</f>
        <v/>
      </c>
      <c r="K629">
        <f>IF(A629="","",ROUND(1+(LOG10(A629)-LOG10('入力・概要'!$B$38))*('入力・概要'!$B$40-1)/(LOG10('入力・概要'!$B$39)-LOG10('入力・概要'!$B$38)),0)+3)</f>
        <v/>
      </c>
      <c r="L629">
        <f>IF(K629="","",INDEX('同相3導体'!$B:$B,K629))</f>
        <v/>
      </c>
      <c r="M629">
        <f>IF(A629="","",IF(ABS(L629/A629-1)&lt;0.01,"周波数差&lt;1%","周波数差あり"))</f>
        <v/>
      </c>
    </row>
    <row r="630">
      <c r="A630" s="197" t="n"/>
      <c r="B630" s="198" t="n"/>
      <c r="C630" s="198" t="n"/>
      <c r="D630" s="195">
        <f>IF(K630="","",INDEX('同相3導体'!$AB:$AB,K630))</f>
        <v/>
      </c>
      <c r="E630" s="195">
        <f>IF(K630="","",INDEX('同相3導体'!$AC:$AC,K630))</f>
        <v/>
      </c>
      <c r="F630" s="195">
        <f>IF(OR(A630="",B630=""),"",100*(D630-B630)/MAX(B630,1E-12))</f>
        <v/>
      </c>
      <c r="G630" s="195">
        <f>IF(OR(A630="",C630=""),"",E630-C630)</f>
        <v/>
      </c>
      <c r="H630" s="195">
        <f>IF(A630="","",LOG10(A630))</f>
        <v/>
      </c>
      <c r="I630" s="195">
        <f>IF(B630="","",LOG10(MAX(B630,1E-12)))</f>
        <v/>
      </c>
      <c r="J630" s="195">
        <f>IF(D630="","",LOG10(MAX(D630,1E-12)))</f>
        <v/>
      </c>
      <c r="K630">
        <f>IF(A630="","",ROUND(1+(LOG10(A630)-LOG10('入力・概要'!$B$38))*('入力・概要'!$B$40-1)/(LOG10('入力・概要'!$B$39)-LOG10('入力・概要'!$B$38)),0)+3)</f>
        <v/>
      </c>
      <c r="L630">
        <f>IF(K630="","",INDEX('同相3導体'!$B:$B,K630))</f>
        <v/>
      </c>
      <c r="M630">
        <f>IF(A630="","",IF(ABS(L630/A630-1)&lt;0.01,"周波数差&lt;1%","周波数差あり"))</f>
        <v/>
      </c>
    </row>
    <row r="631">
      <c r="A631" s="197" t="n"/>
      <c r="B631" s="198" t="n"/>
      <c r="C631" s="198" t="n"/>
      <c r="D631" s="195">
        <f>IF(K631="","",INDEX('同相3導体'!$AB:$AB,K631))</f>
        <v/>
      </c>
      <c r="E631" s="195">
        <f>IF(K631="","",INDEX('同相3導体'!$AC:$AC,K631))</f>
        <v/>
      </c>
      <c r="F631" s="195">
        <f>IF(OR(A631="",B631=""),"",100*(D631-B631)/MAX(B631,1E-12))</f>
        <v/>
      </c>
      <c r="G631" s="195">
        <f>IF(OR(A631="",C631=""),"",E631-C631)</f>
        <v/>
      </c>
      <c r="H631" s="195">
        <f>IF(A631="","",LOG10(A631))</f>
        <v/>
      </c>
      <c r="I631" s="195">
        <f>IF(B631="","",LOG10(MAX(B631,1E-12)))</f>
        <v/>
      </c>
      <c r="J631" s="195">
        <f>IF(D631="","",LOG10(MAX(D631,1E-12)))</f>
        <v/>
      </c>
      <c r="K631">
        <f>IF(A631="","",ROUND(1+(LOG10(A631)-LOG10('入力・概要'!$B$38))*('入力・概要'!$B$40-1)/(LOG10('入力・概要'!$B$39)-LOG10('入力・概要'!$B$38)),0)+3)</f>
        <v/>
      </c>
      <c r="L631">
        <f>IF(K631="","",INDEX('同相3導体'!$B:$B,K631))</f>
        <v/>
      </c>
      <c r="M631">
        <f>IF(A631="","",IF(ABS(L631/A631-1)&lt;0.01,"周波数差&lt;1%","周波数差あり"))</f>
        <v/>
      </c>
    </row>
    <row r="632">
      <c r="A632" s="197" t="n"/>
      <c r="B632" s="198" t="n"/>
      <c r="C632" s="198" t="n"/>
      <c r="D632" s="195">
        <f>IF(K632="","",INDEX('同相3導体'!$AB:$AB,K632))</f>
        <v/>
      </c>
      <c r="E632" s="195">
        <f>IF(K632="","",INDEX('同相3導体'!$AC:$AC,K632))</f>
        <v/>
      </c>
      <c r="F632" s="195">
        <f>IF(OR(A632="",B632=""),"",100*(D632-B632)/MAX(B632,1E-12))</f>
        <v/>
      </c>
      <c r="G632" s="195">
        <f>IF(OR(A632="",C632=""),"",E632-C632)</f>
        <v/>
      </c>
      <c r="H632" s="195">
        <f>IF(A632="","",LOG10(A632))</f>
        <v/>
      </c>
      <c r="I632" s="195">
        <f>IF(B632="","",LOG10(MAX(B632,1E-12)))</f>
        <v/>
      </c>
      <c r="J632" s="195">
        <f>IF(D632="","",LOG10(MAX(D632,1E-12)))</f>
        <v/>
      </c>
      <c r="K632">
        <f>IF(A632="","",ROUND(1+(LOG10(A632)-LOG10('入力・概要'!$B$38))*('入力・概要'!$B$40-1)/(LOG10('入力・概要'!$B$39)-LOG10('入力・概要'!$B$38)),0)+3)</f>
        <v/>
      </c>
      <c r="L632">
        <f>IF(K632="","",INDEX('同相3導体'!$B:$B,K632))</f>
        <v/>
      </c>
      <c r="M632">
        <f>IF(A632="","",IF(ABS(L632/A632-1)&lt;0.01,"周波数差&lt;1%","周波数差あり"))</f>
        <v/>
      </c>
    </row>
    <row r="633">
      <c r="A633" s="197" t="n"/>
      <c r="B633" s="198" t="n"/>
      <c r="C633" s="198" t="n"/>
      <c r="D633" s="195">
        <f>IF(K633="","",INDEX('同相3導体'!$AB:$AB,K633))</f>
        <v/>
      </c>
      <c r="E633" s="195">
        <f>IF(K633="","",INDEX('同相3導体'!$AC:$AC,K633))</f>
        <v/>
      </c>
      <c r="F633" s="195">
        <f>IF(OR(A633="",B633=""),"",100*(D633-B633)/MAX(B633,1E-12))</f>
        <v/>
      </c>
      <c r="G633" s="195">
        <f>IF(OR(A633="",C633=""),"",E633-C633)</f>
        <v/>
      </c>
      <c r="H633" s="195">
        <f>IF(A633="","",LOG10(A633))</f>
        <v/>
      </c>
      <c r="I633" s="195">
        <f>IF(B633="","",LOG10(MAX(B633,1E-12)))</f>
        <v/>
      </c>
      <c r="J633" s="195">
        <f>IF(D633="","",LOG10(MAX(D633,1E-12)))</f>
        <v/>
      </c>
      <c r="K633">
        <f>IF(A633="","",ROUND(1+(LOG10(A633)-LOG10('入力・概要'!$B$38))*('入力・概要'!$B$40-1)/(LOG10('入力・概要'!$B$39)-LOG10('入力・概要'!$B$38)),0)+3)</f>
        <v/>
      </c>
      <c r="L633">
        <f>IF(K633="","",INDEX('同相3導体'!$B:$B,K633))</f>
        <v/>
      </c>
      <c r="M633">
        <f>IF(A633="","",IF(ABS(L633/A633-1)&lt;0.01,"周波数差&lt;1%","周波数差あり"))</f>
        <v/>
      </c>
    </row>
    <row r="634">
      <c r="A634" s="197" t="n"/>
      <c r="B634" s="198" t="n"/>
      <c r="C634" s="198" t="n"/>
      <c r="D634" s="195">
        <f>IF(K634="","",INDEX('同相3導体'!$AB:$AB,K634))</f>
        <v/>
      </c>
      <c r="E634" s="195">
        <f>IF(K634="","",INDEX('同相3導体'!$AC:$AC,K634))</f>
        <v/>
      </c>
      <c r="F634" s="195">
        <f>IF(OR(A634="",B634=""),"",100*(D634-B634)/MAX(B634,1E-12))</f>
        <v/>
      </c>
      <c r="G634" s="195">
        <f>IF(OR(A634="",C634=""),"",E634-C634)</f>
        <v/>
      </c>
      <c r="H634" s="195">
        <f>IF(A634="","",LOG10(A634))</f>
        <v/>
      </c>
      <c r="I634" s="195">
        <f>IF(B634="","",LOG10(MAX(B634,1E-12)))</f>
        <v/>
      </c>
      <c r="J634" s="195">
        <f>IF(D634="","",LOG10(MAX(D634,1E-12)))</f>
        <v/>
      </c>
      <c r="K634">
        <f>IF(A634="","",ROUND(1+(LOG10(A634)-LOG10('入力・概要'!$B$38))*('入力・概要'!$B$40-1)/(LOG10('入力・概要'!$B$39)-LOG10('入力・概要'!$B$38)),0)+3)</f>
        <v/>
      </c>
      <c r="L634">
        <f>IF(K634="","",INDEX('同相3導体'!$B:$B,K634))</f>
        <v/>
      </c>
      <c r="M634">
        <f>IF(A634="","",IF(ABS(L634/A634-1)&lt;0.01,"周波数差&lt;1%","周波数差あり"))</f>
        <v/>
      </c>
    </row>
    <row r="635">
      <c r="A635" s="197" t="n"/>
      <c r="B635" s="198" t="n"/>
      <c r="C635" s="198" t="n"/>
      <c r="D635" s="195">
        <f>IF(K635="","",INDEX('同相3導体'!$AB:$AB,K635))</f>
        <v/>
      </c>
      <c r="E635" s="195">
        <f>IF(K635="","",INDEX('同相3導体'!$AC:$AC,K635))</f>
        <v/>
      </c>
      <c r="F635" s="195">
        <f>IF(OR(A635="",B635=""),"",100*(D635-B635)/MAX(B635,1E-12))</f>
        <v/>
      </c>
      <c r="G635" s="195">
        <f>IF(OR(A635="",C635=""),"",E635-C635)</f>
        <v/>
      </c>
      <c r="H635" s="195">
        <f>IF(A635="","",LOG10(A635))</f>
        <v/>
      </c>
      <c r="I635" s="195">
        <f>IF(B635="","",LOG10(MAX(B635,1E-12)))</f>
        <v/>
      </c>
      <c r="J635" s="195">
        <f>IF(D635="","",LOG10(MAX(D635,1E-12)))</f>
        <v/>
      </c>
      <c r="K635">
        <f>IF(A635="","",ROUND(1+(LOG10(A635)-LOG10('入力・概要'!$B$38))*('入力・概要'!$B$40-1)/(LOG10('入力・概要'!$B$39)-LOG10('入力・概要'!$B$38)),0)+3)</f>
        <v/>
      </c>
      <c r="L635">
        <f>IF(K635="","",INDEX('同相3導体'!$B:$B,K635))</f>
        <v/>
      </c>
      <c r="M635">
        <f>IF(A635="","",IF(ABS(L635/A635-1)&lt;0.01,"周波数差&lt;1%","周波数差あり"))</f>
        <v/>
      </c>
    </row>
    <row r="636">
      <c r="A636" s="197" t="n"/>
      <c r="B636" s="198" t="n"/>
      <c r="C636" s="198" t="n"/>
      <c r="D636" s="195">
        <f>IF(K636="","",INDEX('同相3導体'!$AB:$AB,K636))</f>
        <v/>
      </c>
      <c r="E636" s="195">
        <f>IF(K636="","",INDEX('同相3導体'!$AC:$AC,K636))</f>
        <v/>
      </c>
      <c r="F636" s="195">
        <f>IF(OR(A636="",B636=""),"",100*(D636-B636)/MAX(B636,1E-12))</f>
        <v/>
      </c>
      <c r="G636" s="195">
        <f>IF(OR(A636="",C636=""),"",E636-C636)</f>
        <v/>
      </c>
      <c r="H636" s="195">
        <f>IF(A636="","",LOG10(A636))</f>
        <v/>
      </c>
      <c r="I636" s="195">
        <f>IF(B636="","",LOG10(MAX(B636,1E-12)))</f>
        <v/>
      </c>
      <c r="J636" s="195">
        <f>IF(D636="","",LOG10(MAX(D636,1E-12)))</f>
        <v/>
      </c>
      <c r="K636">
        <f>IF(A636="","",ROUND(1+(LOG10(A636)-LOG10('入力・概要'!$B$38))*('入力・概要'!$B$40-1)/(LOG10('入力・概要'!$B$39)-LOG10('入力・概要'!$B$38)),0)+3)</f>
        <v/>
      </c>
      <c r="L636">
        <f>IF(K636="","",INDEX('同相3導体'!$B:$B,K636))</f>
        <v/>
      </c>
      <c r="M636">
        <f>IF(A636="","",IF(ABS(L636/A636-1)&lt;0.01,"周波数差&lt;1%","周波数差あり"))</f>
        <v/>
      </c>
    </row>
    <row r="637">
      <c r="A637" s="197" t="n"/>
      <c r="B637" s="198" t="n"/>
      <c r="C637" s="198" t="n"/>
      <c r="D637" s="195">
        <f>IF(K637="","",INDEX('同相3導体'!$AB:$AB,K637))</f>
        <v/>
      </c>
      <c r="E637" s="195">
        <f>IF(K637="","",INDEX('同相3導体'!$AC:$AC,K637))</f>
        <v/>
      </c>
      <c r="F637" s="195">
        <f>IF(OR(A637="",B637=""),"",100*(D637-B637)/MAX(B637,1E-12))</f>
        <v/>
      </c>
      <c r="G637" s="195">
        <f>IF(OR(A637="",C637=""),"",E637-C637)</f>
        <v/>
      </c>
      <c r="H637" s="195">
        <f>IF(A637="","",LOG10(A637))</f>
        <v/>
      </c>
      <c r="I637" s="195">
        <f>IF(B637="","",LOG10(MAX(B637,1E-12)))</f>
        <v/>
      </c>
      <c r="J637" s="195">
        <f>IF(D637="","",LOG10(MAX(D637,1E-12)))</f>
        <v/>
      </c>
      <c r="K637">
        <f>IF(A637="","",ROUND(1+(LOG10(A637)-LOG10('入力・概要'!$B$38))*('入力・概要'!$B$40-1)/(LOG10('入力・概要'!$B$39)-LOG10('入力・概要'!$B$38)),0)+3)</f>
        <v/>
      </c>
      <c r="L637">
        <f>IF(K637="","",INDEX('同相3導体'!$B:$B,K637))</f>
        <v/>
      </c>
      <c r="M637">
        <f>IF(A637="","",IF(ABS(L637/A637-1)&lt;0.01,"周波数差&lt;1%","周波数差あり"))</f>
        <v/>
      </c>
    </row>
    <row r="638">
      <c r="A638" s="197" t="n"/>
      <c r="B638" s="198" t="n"/>
      <c r="C638" s="198" t="n"/>
      <c r="D638" s="195">
        <f>IF(K638="","",INDEX('同相3導体'!$AB:$AB,K638))</f>
        <v/>
      </c>
      <c r="E638" s="195">
        <f>IF(K638="","",INDEX('同相3導体'!$AC:$AC,K638))</f>
        <v/>
      </c>
      <c r="F638" s="195">
        <f>IF(OR(A638="",B638=""),"",100*(D638-B638)/MAX(B638,1E-12))</f>
        <v/>
      </c>
      <c r="G638" s="195">
        <f>IF(OR(A638="",C638=""),"",E638-C638)</f>
        <v/>
      </c>
      <c r="H638" s="195">
        <f>IF(A638="","",LOG10(A638))</f>
        <v/>
      </c>
      <c r="I638" s="195">
        <f>IF(B638="","",LOG10(MAX(B638,1E-12)))</f>
        <v/>
      </c>
      <c r="J638" s="195">
        <f>IF(D638="","",LOG10(MAX(D638,1E-12)))</f>
        <v/>
      </c>
      <c r="K638">
        <f>IF(A638="","",ROUND(1+(LOG10(A638)-LOG10('入力・概要'!$B$38))*('入力・概要'!$B$40-1)/(LOG10('入力・概要'!$B$39)-LOG10('入力・概要'!$B$38)),0)+3)</f>
        <v/>
      </c>
      <c r="L638">
        <f>IF(K638="","",INDEX('同相3導体'!$B:$B,K638))</f>
        <v/>
      </c>
      <c r="M638">
        <f>IF(A638="","",IF(ABS(L638/A638-1)&lt;0.01,"周波数差&lt;1%","周波数差あり"))</f>
        <v/>
      </c>
    </row>
    <row r="639">
      <c r="A639" s="197" t="n"/>
      <c r="B639" s="198" t="n"/>
      <c r="C639" s="198" t="n"/>
      <c r="D639" s="195">
        <f>IF(K639="","",INDEX('同相3導体'!$AB:$AB,K639))</f>
        <v/>
      </c>
      <c r="E639" s="195">
        <f>IF(K639="","",INDEX('同相3導体'!$AC:$AC,K639))</f>
        <v/>
      </c>
      <c r="F639" s="195">
        <f>IF(OR(A639="",B639=""),"",100*(D639-B639)/MAX(B639,1E-12))</f>
        <v/>
      </c>
      <c r="G639" s="195">
        <f>IF(OR(A639="",C639=""),"",E639-C639)</f>
        <v/>
      </c>
      <c r="H639" s="195">
        <f>IF(A639="","",LOG10(A639))</f>
        <v/>
      </c>
      <c r="I639" s="195">
        <f>IF(B639="","",LOG10(MAX(B639,1E-12)))</f>
        <v/>
      </c>
      <c r="J639" s="195">
        <f>IF(D639="","",LOG10(MAX(D639,1E-12)))</f>
        <v/>
      </c>
      <c r="K639">
        <f>IF(A639="","",ROUND(1+(LOG10(A639)-LOG10('入力・概要'!$B$38))*('入力・概要'!$B$40-1)/(LOG10('入力・概要'!$B$39)-LOG10('入力・概要'!$B$38)),0)+3)</f>
        <v/>
      </c>
      <c r="L639">
        <f>IF(K639="","",INDEX('同相3導体'!$B:$B,K639))</f>
        <v/>
      </c>
      <c r="M639">
        <f>IF(A639="","",IF(ABS(L639/A639-1)&lt;0.01,"周波数差&lt;1%","周波数差あり"))</f>
        <v/>
      </c>
    </row>
    <row r="640">
      <c r="A640" s="197" t="n"/>
      <c r="B640" s="198" t="n"/>
      <c r="C640" s="198" t="n"/>
      <c r="D640" s="195">
        <f>IF(K640="","",INDEX('同相3導体'!$AB:$AB,K640))</f>
        <v/>
      </c>
      <c r="E640" s="195">
        <f>IF(K640="","",INDEX('同相3導体'!$AC:$AC,K640))</f>
        <v/>
      </c>
      <c r="F640" s="195">
        <f>IF(OR(A640="",B640=""),"",100*(D640-B640)/MAX(B640,1E-12))</f>
        <v/>
      </c>
      <c r="G640" s="195">
        <f>IF(OR(A640="",C640=""),"",E640-C640)</f>
        <v/>
      </c>
      <c r="H640" s="195">
        <f>IF(A640="","",LOG10(A640))</f>
        <v/>
      </c>
      <c r="I640" s="195">
        <f>IF(B640="","",LOG10(MAX(B640,1E-12)))</f>
        <v/>
      </c>
      <c r="J640" s="195">
        <f>IF(D640="","",LOG10(MAX(D640,1E-12)))</f>
        <v/>
      </c>
      <c r="K640">
        <f>IF(A640="","",ROUND(1+(LOG10(A640)-LOG10('入力・概要'!$B$38))*('入力・概要'!$B$40-1)/(LOG10('入力・概要'!$B$39)-LOG10('入力・概要'!$B$38)),0)+3)</f>
        <v/>
      </c>
      <c r="L640">
        <f>IF(K640="","",INDEX('同相3導体'!$B:$B,K640))</f>
        <v/>
      </c>
      <c r="M640">
        <f>IF(A640="","",IF(ABS(L640/A640-1)&lt;0.01,"周波数差&lt;1%","周波数差あり"))</f>
        <v/>
      </c>
    </row>
    <row r="641">
      <c r="A641" s="197" t="n"/>
      <c r="B641" s="198" t="n"/>
      <c r="C641" s="198" t="n"/>
      <c r="D641" s="195">
        <f>IF(K641="","",INDEX('同相3導体'!$AB:$AB,K641))</f>
        <v/>
      </c>
      <c r="E641" s="195">
        <f>IF(K641="","",INDEX('同相3導体'!$AC:$AC,K641))</f>
        <v/>
      </c>
      <c r="F641" s="195">
        <f>IF(OR(A641="",B641=""),"",100*(D641-B641)/MAX(B641,1E-12))</f>
        <v/>
      </c>
      <c r="G641" s="195">
        <f>IF(OR(A641="",C641=""),"",E641-C641)</f>
        <v/>
      </c>
      <c r="H641" s="195">
        <f>IF(A641="","",LOG10(A641))</f>
        <v/>
      </c>
      <c r="I641" s="195">
        <f>IF(B641="","",LOG10(MAX(B641,1E-12)))</f>
        <v/>
      </c>
      <c r="J641" s="195">
        <f>IF(D641="","",LOG10(MAX(D641,1E-12)))</f>
        <v/>
      </c>
      <c r="K641">
        <f>IF(A641="","",ROUND(1+(LOG10(A641)-LOG10('入力・概要'!$B$38))*('入力・概要'!$B$40-1)/(LOG10('入力・概要'!$B$39)-LOG10('入力・概要'!$B$38)),0)+3)</f>
        <v/>
      </c>
      <c r="L641">
        <f>IF(K641="","",INDEX('同相3導体'!$B:$B,K641))</f>
        <v/>
      </c>
      <c r="M641">
        <f>IF(A641="","",IF(ABS(L641/A641-1)&lt;0.01,"周波数差&lt;1%","周波数差あり"))</f>
        <v/>
      </c>
    </row>
    <row r="642">
      <c r="A642" s="197" t="n"/>
      <c r="B642" s="198" t="n"/>
      <c r="C642" s="198" t="n"/>
      <c r="D642" s="195">
        <f>IF(K642="","",INDEX('同相3導体'!$AB:$AB,K642))</f>
        <v/>
      </c>
      <c r="E642" s="195">
        <f>IF(K642="","",INDEX('同相3導体'!$AC:$AC,K642))</f>
        <v/>
      </c>
      <c r="F642" s="195">
        <f>IF(OR(A642="",B642=""),"",100*(D642-B642)/MAX(B642,1E-12))</f>
        <v/>
      </c>
      <c r="G642" s="195">
        <f>IF(OR(A642="",C642=""),"",E642-C642)</f>
        <v/>
      </c>
      <c r="H642" s="195">
        <f>IF(A642="","",LOG10(A642))</f>
        <v/>
      </c>
      <c r="I642" s="195">
        <f>IF(B642="","",LOG10(MAX(B642,1E-12)))</f>
        <v/>
      </c>
      <c r="J642" s="195">
        <f>IF(D642="","",LOG10(MAX(D642,1E-12)))</f>
        <v/>
      </c>
      <c r="K642">
        <f>IF(A642="","",ROUND(1+(LOG10(A642)-LOG10('入力・概要'!$B$38))*('入力・概要'!$B$40-1)/(LOG10('入力・概要'!$B$39)-LOG10('入力・概要'!$B$38)),0)+3)</f>
        <v/>
      </c>
      <c r="L642">
        <f>IF(K642="","",INDEX('同相3導体'!$B:$B,K642))</f>
        <v/>
      </c>
      <c r="M642">
        <f>IF(A642="","",IF(ABS(L642/A642-1)&lt;0.01,"周波数差&lt;1%","周波数差あり"))</f>
        <v/>
      </c>
    </row>
    <row r="643">
      <c r="A643" s="197" t="n"/>
      <c r="B643" s="198" t="n"/>
      <c r="C643" s="198" t="n"/>
      <c r="D643" s="195">
        <f>IF(K643="","",INDEX('同相3導体'!$AB:$AB,K643))</f>
        <v/>
      </c>
      <c r="E643" s="195">
        <f>IF(K643="","",INDEX('同相3導体'!$AC:$AC,K643))</f>
        <v/>
      </c>
      <c r="F643" s="195">
        <f>IF(OR(A643="",B643=""),"",100*(D643-B643)/MAX(B643,1E-12))</f>
        <v/>
      </c>
      <c r="G643" s="195">
        <f>IF(OR(A643="",C643=""),"",E643-C643)</f>
        <v/>
      </c>
      <c r="H643" s="195">
        <f>IF(A643="","",LOG10(A643))</f>
        <v/>
      </c>
      <c r="I643" s="195">
        <f>IF(B643="","",LOG10(MAX(B643,1E-12)))</f>
        <v/>
      </c>
      <c r="J643" s="195">
        <f>IF(D643="","",LOG10(MAX(D643,1E-12)))</f>
        <v/>
      </c>
      <c r="K643">
        <f>IF(A643="","",ROUND(1+(LOG10(A643)-LOG10('入力・概要'!$B$38))*('入力・概要'!$B$40-1)/(LOG10('入力・概要'!$B$39)-LOG10('入力・概要'!$B$38)),0)+3)</f>
        <v/>
      </c>
      <c r="L643">
        <f>IF(K643="","",INDEX('同相3導体'!$B:$B,K643))</f>
        <v/>
      </c>
      <c r="M643">
        <f>IF(A643="","",IF(ABS(L643/A643-1)&lt;0.01,"周波数差&lt;1%","周波数差あり"))</f>
        <v/>
      </c>
    </row>
    <row r="644">
      <c r="A644" s="197" t="n"/>
      <c r="B644" s="198" t="n"/>
      <c r="C644" s="198" t="n"/>
      <c r="D644" s="195">
        <f>IF(K644="","",INDEX('同相3導体'!$AB:$AB,K644))</f>
        <v/>
      </c>
      <c r="E644" s="195">
        <f>IF(K644="","",INDEX('同相3導体'!$AC:$AC,K644))</f>
        <v/>
      </c>
      <c r="F644" s="195">
        <f>IF(OR(A644="",B644=""),"",100*(D644-B644)/MAX(B644,1E-12))</f>
        <v/>
      </c>
      <c r="G644" s="195">
        <f>IF(OR(A644="",C644=""),"",E644-C644)</f>
        <v/>
      </c>
      <c r="H644" s="195">
        <f>IF(A644="","",LOG10(A644))</f>
        <v/>
      </c>
      <c r="I644" s="195">
        <f>IF(B644="","",LOG10(MAX(B644,1E-12)))</f>
        <v/>
      </c>
      <c r="J644" s="195">
        <f>IF(D644="","",LOG10(MAX(D644,1E-12)))</f>
        <v/>
      </c>
      <c r="K644">
        <f>IF(A644="","",ROUND(1+(LOG10(A644)-LOG10('入力・概要'!$B$38))*('入力・概要'!$B$40-1)/(LOG10('入力・概要'!$B$39)-LOG10('入力・概要'!$B$38)),0)+3)</f>
        <v/>
      </c>
      <c r="L644">
        <f>IF(K644="","",INDEX('同相3導体'!$B:$B,K644))</f>
        <v/>
      </c>
      <c r="M644">
        <f>IF(A644="","",IF(ABS(L644/A644-1)&lt;0.01,"周波数差&lt;1%","周波数差あり"))</f>
        <v/>
      </c>
    </row>
    <row r="645">
      <c r="A645" s="197" t="n"/>
      <c r="B645" s="198" t="n"/>
      <c r="C645" s="198" t="n"/>
      <c r="D645" s="195">
        <f>IF(K645="","",INDEX('同相3導体'!$AB:$AB,K645))</f>
        <v/>
      </c>
      <c r="E645" s="195">
        <f>IF(K645="","",INDEX('同相3導体'!$AC:$AC,K645))</f>
        <v/>
      </c>
      <c r="F645" s="195">
        <f>IF(OR(A645="",B645=""),"",100*(D645-B645)/MAX(B645,1E-12))</f>
        <v/>
      </c>
      <c r="G645" s="195">
        <f>IF(OR(A645="",C645=""),"",E645-C645)</f>
        <v/>
      </c>
      <c r="H645" s="195">
        <f>IF(A645="","",LOG10(A645))</f>
        <v/>
      </c>
      <c r="I645" s="195">
        <f>IF(B645="","",LOG10(MAX(B645,1E-12)))</f>
        <v/>
      </c>
      <c r="J645" s="195">
        <f>IF(D645="","",LOG10(MAX(D645,1E-12)))</f>
        <v/>
      </c>
      <c r="K645">
        <f>IF(A645="","",ROUND(1+(LOG10(A645)-LOG10('入力・概要'!$B$38))*('入力・概要'!$B$40-1)/(LOG10('入力・概要'!$B$39)-LOG10('入力・概要'!$B$38)),0)+3)</f>
        <v/>
      </c>
      <c r="L645">
        <f>IF(K645="","",INDEX('同相3導体'!$B:$B,K645))</f>
        <v/>
      </c>
      <c r="M645">
        <f>IF(A645="","",IF(ABS(L645/A645-1)&lt;0.01,"周波数差&lt;1%","周波数差あり"))</f>
        <v/>
      </c>
    </row>
    <row r="646">
      <c r="A646" s="197" t="n"/>
      <c r="B646" s="198" t="n"/>
      <c r="C646" s="198" t="n"/>
      <c r="D646" s="195">
        <f>IF(K646="","",INDEX('同相3導体'!$AB:$AB,K646))</f>
        <v/>
      </c>
      <c r="E646" s="195">
        <f>IF(K646="","",INDEX('同相3導体'!$AC:$AC,K646))</f>
        <v/>
      </c>
      <c r="F646" s="195">
        <f>IF(OR(A646="",B646=""),"",100*(D646-B646)/MAX(B646,1E-12))</f>
        <v/>
      </c>
      <c r="G646" s="195">
        <f>IF(OR(A646="",C646=""),"",E646-C646)</f>
        <v/>
      </c>
      <c r="H646" s="195">
        <f>IF(A646="","",LOG10(A646))</f>
        <v/>
      </c>
      <c r="I646" s="195">
        <f>IF(B646="","",LOG10(MAX(B646,1E-12)))</f>
        <v/>
      </c>
      <c r="J646" s="195">
        <f>IF(D646="","",LOG10(MAX(D646,1E-12)))</f>
        <v/>
      </c>
      <c r="K646">
        <f>IF(A646="","",ROUND(1+(LOG10(A646)-LOG10('入力・概要'!$B$38))*('入力・概要'!$B$40-1)/(LOG10('入力・概要'!$B$39)-LOG10('入力・概要'!$B$38)),0)+3)</f>
        <v/>
      </c>
      <c r="L646">
        <f>IF(K646="","",INDEX('同相3導体'!$B:$B,K646))</f>
        <v/>
      </c>
      <c r="M646">
        <f>IF(A646="","",IF(ABS(L646/A646-1)&lt;0.01,"周波数差&lt;1%","周波数差あり"))</f>
        <v/>
      </c>
    </row>
    <row r="647">
      <c r="A647" s="197" t="n"/>
      <c r="B647" s="198" t="n"/>
      <c r="C647" s="198" t="n"/>
      <c r="D647" s="195">
        <f>IF(K647="","",INDEX('同相3導体'!$AB:$AB,K647))</f>
        <v/>
      </c>
      <c r="E647" s="195">
        <f>IF(K647="","",INDEX('同相3導体'!$AC:$AC,K647))</f>
        <v/>
      </c>
      <c r="F647" s="195">
        <f>IF(OR(A647="",B647=""),"",100*(D647-B647)/MAX(B647,1E-12))</f>
        <v/>
      </c>
      <c r="G647" s="195">
        <f>IF(OR(A647="",C647=""),"",E647-C647)</f>
        <v/>
      </c>
      <c r="H647" s="195">
        <f>IF(A647="","",LOG10(A647))</f>
        <v/>
      </c>
      <c r="I647" s="195">
        <f>IF(B647="","",LOG10(MAX(B647,1E-12)))</f>
        <v/>
      </c>
      <c r="J647" s="195">
        <f>IF(D647="","",LOG10(MAX(D647,1E-12)))</f>
        <v/>
      </c>
      <c r="K647">
        <f>IF(A647="","",ROUND(1+(LOG10(A647)-LOG10('入力・概要'!$B$38))*('入力・概要'!$B$40-1)/(LOG10('入力・概要'!$B$39)-LOG10('入力・概要'!$B$38)),0)+3)</f>
        <v/>
      </c>
      <c r="L647">
        <f>IF(K647="","",INDEX('同相3導体'!$B:$B,K647))</f>
        <v/>
      </c>
      <c r="M647">
        <f>IF(A647="","",IF(ABS(L647/A647-1)&lt;0.01,"周波数差&lt;1%","周波数差あり"))</f>
        <v/>
      </c>
    </row>
    <row r="648">
      <c r="A648" s="197" t="n"/>
      <c r="B648" s="198" t="n"/>
      <c r="C648" s="198" t="n"/>
      <c r="D648" s="195">
        <f>IF(K648="","",INDEX('同相3導体'!$AB:$AB,K648))</f>
        <v/>
      </c>
      <c r="E648" s="195">
        <f>IF(K648="","",INDEX('同相3導体'!$AC:$AC,K648))</f>
        <v/>
      </c>
      <c r="F648" s="195">
        <f>IF(OR(A648="",B648=""),"",100*(D648-B648)/MAX(B648,1E-12))</f>
        <v/>
      </c>
      <c r="G648" s="195">
        <f>IF(OR(A648="",C648=""),"",E648-C648)</f>
        <v/>
      </c>
      <c r="H648" s="195">
        <f>IF(A648="","",LOG10(A648))</f>
        <v/>
      </c>
      <c r="I648" s="195">
        <f>IF(B648="","",LOG10(MAX(B648,1E-12)))</f>
        <v/>
      </c>
      <c r="J648" s="195">
        <f>IF(D648="","",LOG10(MAX(D648,1E-12)))</f>
        <v/>
      </c>
      <c r="K648">
        <f>IF(A648="","",ROUND(1+(LOG10(A648)-LOG10('入力・概要'!$B$38))*('入力・概要'!$B$40-1)/(LOG10('入力・概要'!$B$39)-LOG10('入力・概要'!$B$38)),0)+3)</f>
        <v/>
      </c>
      <c r="L648">
        <f>IF(K648="","",INDEX('同相3導体'!$B:$B,K648))</f>
        <v/>
      </c>
      <c r="M648">
        <f>IF(A648="","",IF(ABS(L648/A648-1)&lt;0.01,"周波数差&lt;1%","周波数差あり"))</f>
        <v/>
      </c>
    </row>
    <row r="649">
      <c r="A649" s="197" t="n"/>
      <c r="B649" s="198" t="n"/>
      <c r="C649" s="198" t="n"/>
      <c r="D649" s="195">
        <f>IF(K649="","",INDEX('同相3導体'!$AB:$AB,K649))</f>
        <v/>
      </c>
      <c r="E649" s="195">
        <f>IF(K649="","",INDEX('同相3導体'!$AC:$AC,K649))</f>
        <v/>
      </c>
      <c r="F649" s="195">
        <f>IF(OR(A649="",B649=""),"",100*(D649-B649)/MAX(B649,1E-12))</f>
        <v/>
      </c>
      <c r="G649" s="195">
        <f>IF(OR(A649="",C649=""),"",E649-C649)</f>
        <v/>
      </c>
      <c r="H649" s="195">
        <f>IF(A649="","",LOG10(A649))</f>
        <v/>
      </c>
      <c r="I649" s="195">
        <f>IF(B649="","",LOG10(MAX(B649,1E-12)))</f>
        <v/>
      </c>
      <c r="J649" s="195">
        <f>IF(D649="","",LOG10(MAX(D649,1E-12)))</f>
        <v/>
      </c>
      <c r="K649">
        <f>IF(A649="","",ROUND(1+(LOG10(A649)-LOG10('入力・概要'!$B$38))*('入力・概要'!$B$40-1)/(LOG10('入力・概要'!$B$39)-LOG10('入力・概要'!$B$38)),0)+3)</f>
        <v/>
      </c>
      <c r="L649">
        <f>IF(K649="","",INDEX('同相3導体'!$B:$B,K649))</f>
        <v/>
      </c>
      <c r="M649">
        <f>IF(A649="","",IF(ABS(L649/A649-1)&lt;0.01,"周波数差&lt;1%","周波数差あり"))</f>
        <v/>
      </c>
    </row>
    <row r="650">
      <c r="A650" s="197" t="n"/>
      <c r="B650" s="198" t="n"/>
      <c r="C650" s="198" t="n"/>
      <c r="D650" s="195">
        <f>IF(K650="","",INDEX('同相3導体'!$AB:$AB,K650))</f>
        <v/>
      </c>
      <c r="E650" s="195">
        <f>IF(K650="","",INDEX('同相3導体'!$AC:$AC,K650))</f>
        <v/>
      </c>
      <c r="F650" s="195">
        <f>IF(OR(A650="",B650=""),"",100*(D650-B650)/MAX(B650,1E-12))</f>
        <v/>
      </c>
      <c r="G650" s="195">
        <f>IF(OR(A650="",C650=""),"",E650-C650)</f>
        <v/>
      </c>
      <c r="H650" s="195">
        <f>IF(A650="","",LOG10(A650))</f>
        <v/>
      </c>
      <c r="I650" s="195">
        <f>IF(B650="","",LOG10(MAX(B650,1E-12)))</f>
        <v/>
      </c>
      <c r="J650" s="195">
        <f>IF(D650="","",LOG10(MAX(D650,1E-12)))</f>
        <v/>
      </c>
      <c r="K650">
        <f>IF(A650="","",ROUND(1+(LOG10(A650)-LOG10('入力・概要'!$B$38))*('入力・概要'!$B$40-1)/(LOG10('入力・概要'!$B$39)-LOG10('入力・概要'!$B$38)),0)+3)</f>
        <v/>
      </c>
      <c r="L650">
        <f>IF(K650="","",INDEX('同相3導体'!$B:$B,K650))</f>
        <v/>
      </c>
      <c r="M650">
        <f>IF(A650="","",IF(ABS(L650/A650-1)&lt;0.01,"周波数差&lt;1%","周波数差あり"))</f>
        <v/>
      </c>
    </row>
    <row r="651">
      <c r="A651" s="197" t="n"/>
      <c r="B651" s="198" t="n"/>
      <c r="C651" s="198" t="n"/>
      <c r="D651" s="195">
        <f>IF(K651="","",INDEX('同相3導体'!$AB:$AB,K651))</f>
        <v/>
      </c>
      <c r="E651" s="195">
        <f>IF(K651="","",INDEX('同相3導体'!$AC:$AC,K651))</f>
        <v/>
      </c>
      <c r="F651" s="195">
        <f>IF(OR(A651="",B651=""),"",100*(D651-B651)/MAX(B651,1E-12))</f>
        <v/>
      </c>
      <c r="G651" s="195">
        <f>IF(OR(A651="",C651=""),"",E651-C651)</f>
        <v/>
      </c>
      <c r="H651" s="195">
        <f>IF(A651="","",LOG10(A651))</f>
        <v/>
      </c>
      <c r="I651" s="195">
        <f>IF(B651="","",LOG10(MAX(B651,1E-12)))</f>
        <v/>
      </c>
      <c r="J651" s="195">
        <f>IF(D651="","",LOG10(MAX(D651,1E-12)))</f>
        <v/>
      </c>
      <c r="K651">
        <f>IF(A651="","",ROUND(1+(LOG10(A651)-LOG10('入力・概要'!$B$38))*('入力・概要'!$B$40-1)/(LOG10('入力・概要'!$B$39)-LOG10('入力・概要'!$B$38)),0)+3)</f>
        <v/>
      </c>
      <c r="L651">
        <f>IF(K651="","",INDEX('同相3導体'!$B:$B,K651))</f>
        <v/>
      </c>
      <c r="M651">
        <f>IF(A651="","",IF(ABS(L651/A651-1)&lt;0.01,"周波数差&lt;1%","周波数差あり"))</f>
        <v/>
      </c>
    </row>
    <row r="652">
      <c r="A652" s="197" t="n"/>
      <c r="B652" s="198" t="n"/>
      <c r="C652" s="198" t="n"/>
      <c r="D652" s="195">
        <f>IF(K652="","",INDEX('同相3導体'!$AB:$AB,K652))</f>
        <v/>
      </c>
      <c r="E652" s="195">
        <f>IF(K652="","",INDEX('同相3導体'!$AC:$AC,K652))</f>
        <v/>
      </c>
      <c r="F652" s="195">
        <f>IF(OR(A652="",B652=""),"",100*(D652-B652)/MAX(B652,1E-12))</f>
        <v/>
      </c>
      <c r="G652" s="195">
        <f>IF(OR(A652="",C652=""),"",E652-C652)</f>
        <v/>
      </c>
      <c r="H652" s="195">
        <f>IF(A652="","",LOG10(A652))</f>
        <v/>
      </c>
      <c r="I652" s="195">
        <f>IF(B652="","",LOG10(MAX(B652,1E-12)))</f>
        <v/>
      </c>
      <c r="J652" s="195">
        <f>IF(D652="","",LOG10(MAX(D652,1E-12)))</f>
        <v/>
      </c>
      <c r="K652">
        <f>IF(A652="","",ROUND(1+(LOG10(A652)-LOG10('入力・概要'!$B$38))*('入力・概要'!$B$40-1)/(LOG10('入力・概要'!$B$39)-LOG10('入力・概要'!$B$38)),0)+3)</f>
        <v/>
      </c>
      <c r="L652">
        <f>IF(K652="","",INDEX('同相3導体'!$B:$B,K652))</f>
        <v/>
      </c>
      <c r="M652">
        <f>IF(A652="","",IF(ABS(L652/A652-1)&lt;0.01,"周波数差&lt;1%","周波数差あり"))</f>
        <v/>
      </c>
    </row>
    <row r="653">
      <c r="A653" s="197" t="n"/>
      <c r="B653" s="198" t="n"/>
      <c r="C653" s="198" t="n"/>
      <c r="D653" s="195">
        <f>IF(K653="","",INDEX('同相3導体'!$AB:$AB,K653))</f>
        <v/>
      </c>
      <c r="E653" s="195">
        <f>IF(K653="","",INDEX('同相3導体'!$AC:$AC,K653))</f>
        <v/>
      </c>
      <c r="F653" s="195">
        <f>IF(OR(A653="",B653=""),"",100*(D653-B653)/MAX(B653,1E-12))</f>
        <v/>
      </c>
      <c r="G653" s="195">
        <f>IF(OR(A653="",C653=""),"",E653-C653)</f>
        <v/>
      </c>
      <c r="H653" s="195">
        <f>IF(A653="","",LOG10(A653))</f>
        <v/>
      </c>
      <c r="I653" s="195">
        <f>IF(B653="","",LOG10(MAX(B653,1E-12)))</f>
        <v/>
      </c>
      <c r="J653" s="195">
        <f>IF(D653="","",LOG10(MAX(D653,1E-12)))</f>
        <v/>
      </c>
      <c r="K653">
        <f>IF(A653="","",ROUND(1+(LOG10(A653)-LOG10('入力・概要'!$B$38))*('入力・概要'!$B$40-1)/(LOG10('入力・概要'!$B$39)-LOG10('入力・概要'!$B$38)),0)+3)</f>
        <v/>
      </c>
      <c r="L653">
        <f>IF(K653="","",INDEX('同相3導体'!$B:$B,K653))</f>
        <v/>
      </c>
      <c r="M653">
        <f>IF(A653="","",IF(ABS(L653/A653-1)&lt;0.01,"周波数差&lt;1%","周波数差あり"))</f>
        <v/>
      </c>
    </row>
    <row r="654">
      <c r="A654" s="197" t="n"/>
      <c r="B654" s="198" t="n"/>
      <c r="C654" s="198" t="n"/>
      <c r="D654" s="195">
        <f>IF(K654="","",INDEX('同相3導体'!$AB:$AB,K654))</f>
        <v/>
      </c>
      <c r="E654" s="195">
        <f>IF(K654="","",INDEX('同相3導体'!$AC:$AC,K654))</f>
        <v/>
      </c>
      <c r="F654" s="195">
        <f>IF(OR(A654="",B654=""),"",100*(D654-B654)/MAX(B654,1E-12))</f>
        <v/>
      </c>
      <c r="G654" s="195">
        <f>IF(OR(A654="",C654=""),"",E654-C654)</f>
        <v/>
      </c>
      <c r="H654" s="195">
        <f>IF(A654="","",LOG10(A654))</f>
        <v/>
      </c>
      <c r="I654" s="195">
        <f>IF(B654="","",LOG10(MAX(B654,1E-12)))</f>
        <v/>
      </c>
      <c r="J654" s="195">
        <f>IF(D654="","",LOG10(MAX(D654,1E-12)))</f>
        <v/>
      </c>
      <c r="K654">
        <f>IF(A654="","",ROUND(1+(LOG10(A654)-LOG10('入力・概要'!$B$38))*('入力・概要'!$B$40-1)/(LOG10('入力・概要'!$B$39)-LOG10('入力・概要'!$B$38)),0)+3)</f>
        <v/>
      </c>
      <c r="L654">
        <f>IF(K654="","",INDEX('同相3導体'!$B:$B,K654))</f>
        <v/>
      </c>
      <c r="M654">
        <f>IF(A654="","",IF(ABS(L654/A654-1)&lt;0.01,"周波数差&lt;1%","周波数差あり"))</f>
        <v/>
      </c>
    </row>
    <row r="655">
      <c r="A655" s="197" t="n"/>
      <c r="B655" s="198" t="n"/>
      <c r="C655" s="198" t="n"/>
      <c r="D655" s="195">
        <f>IF(K655="","",INDEX('同相3導体'!$AB:$AB,K655))</f>
        <v/>
      </c>
      <c r="E655" s="195">
        <f>IF(K655="","",INDEX('同相3導体'!$AC:$AC,K655))</f>
        <v/>
      </c>
      <c r="F655" s="195">
        <f>IF(OR(A655="",B655=""),"",100*(D655-B655)/MAX(B655,1E-12))</f>
        <v/>
      </c>
      <c r="G655" s="195">
        <f>IF(OR(A655="",C655=""),"",E655-C655)</f>
        <v/>
      </c>
      <c r="H655" s="195">
        <f>IF(A655="","",LOG10(A655))</f>
        <v/>
      </c>
      <c r="I655" s="195">
        <f>IF(B655="","",LOG10(MAX(B655,1E-12)))</f>
        <v/>
      </c>
      <c r="J655" s="195">
        <f>IF(D655="","",LOG10(MAX(D655,1E-12)))</f>
        <v/>
      </c>
      <c r="K655">
        <f>IF(A655="","",ROUND(1+(LOG10(A655)-LOG10('入力・概要'!$B$38))*('入力・概要'!$B$40-1)/(LOG10('入力・概要'!$B$39)-LOG10('入力・概要'!$B$38)),0)+3)</f>
        <v/>
      </c>
      <c r="L655">
        <f>IF(K655="","",INDEX('同相3導体'!$B:$B,K655))</f>
        <v/>
      </c>
      <c r="M655">
        <f>IF(A655="","",IF(ABS(L655/A655-1)&lt;0.01,"周波数差&lt;1%","周波数差あり"))</f>
        <v/>
      </c>
    </row>
    <row r="656">
      <c r="A656" s="197" t="n"/>
      <c r="B656" s="198" t="n"/>
      <c r="C656" s="198" t="n"/>
      <c r="D656" s="195">
        <f>IF(K656="","",INDEX('同相3導体'!$AB:$AB,K656))</f>
        <v/>
      </c>
      <c r="E656" s="195">
        <f>IF(K656="","",INDEX('同相3導体'!$AC:$AC,K656))</f>
        <v/>
      </c>
      <c r="F656" s="195">
        <f>IF(OR(A656="",B656=""),"",100*(D656-B656)/MAX(B656,1E-12))</f>
        <v/>
      </c>
      <c r="G656" s="195">
        <f>IF(OR(A656="",C656=""),"",E656-C656)</f>
        <v/>
      </c>
      <c r="H656" s="195">
        <f>IF(A656="","",LOG10(A656))</f>
        <v/>
      </c>
      <c r="I656" s="195">
        <f>IF(B656="","",LOG10(MAX(B656,1E-12)))</f>
        <v/>
      </c>
      <c r="J656" s="195">
        <f>IF(D656="","",LOG10(MAX(D656,1E-12)))</f>
        <v/>
      </c>
      <c r="K656">
        <f>IF(A656="","",ROUND(1+(LOG10(A656)-LOG10('入力・概要'!$B$38))*('入力・概要'!$B$40-1)/(LOG10('入力・概要'!$B$39)-LOG10('入力・概要'!$B$38)),0)+3)</f>
        <v/>
      </c>
      <c r="L656">
        <f>IF(K656="","",INDEX('同相3導体'!$B:$B,K656))</f>
        <v/>
      </c>
      <c r="M656">
        <f>IF(A656="","",IF(ABS(L656/A656-1)&lt;0.01,"周波数差&lt;1%","周波数差あり"))</f>
        <v/>
      </c>
    </row>
    <row r="657">
      <c r="A657" s="197" t="n"/>
      <c r="B657" s="198" t="n"/>
      <c r="C657" s="198" t="n"/>
      <c r="D657" s="195">
        <f>IF(K657="","",INDEX('同相3導体'!$AB:$AB,K657))</f>
        <v/>
      </c>
      <c r="E657" s="195">
        <f>IF(K657="","",INDEX('同相3導体'!$AC:$AC,K657))</f>
        <v/>
      </c>
      <c r="F657" s="195">
        <f>IF(OR(A657="",B657=""),"",100*(D657-B657)/MAX(B657,1E-12))</f>
        <v/>
      </c>
      <c r="G657" s="195">
        <f>IF(OR(A657="",C657=""),"",E657-C657)</f>
        <v/>
      </c>
      <c r="H657" s="195">
        <f>IF(A657="","",LOG10(A657))</f>
        <v/>
      </c>
      <c r="I657" s="195">
        <f>IF(B657="","",LOG10(MAX(B657,1E-12)))</f>
        <v/>
      </c>
      <c r="J657" s="195">
        <f>IF(D657="","",LOG10(MAX(D657,1E-12)))</f>
        <v/>
      </c>
      <c r="K657">
        <f>IF(A657="","",ROUND(1+(LOG10(A657)-LOG10('入力・概要'!$B$38))*('入力・概要'!$B$40-1)/(LOG10('入力・概要'!$B$39)-LOG10('入力・概要'!$B$38)),0)+3)</f>
        <v/>
      </c>
      <c r="L657">
        <f>IF(K657="","",INDEX('同相3導体'!$B:$B,K657))</f>
        <v/>
      </c>
      <c r="M657">
        <f>IF(A657="","",IF(ABS(L657/A657-1)&lt;0.01,"周波数差&lt;1%","周波数差あり"))</f>
        <v/>
      </c>
    </row>
    <row r="658">
      <c r="A658" s="197" t="n"/>
      <c r="B658" s="198" t="n"/>
      <c r="C658" s="198" t="n"/>
      <c r="D658" s="195">
        <f>IF(K658="","",INDEX('同相3導体'!$AB:$AB,K658))</f>
        <v/>
      </c>
      <c r="E658" s="195">
        <f>IF(K658="","",INDEX('同相3導体'!$AC:$AC,K658))</f>
        <v/>
      </c>
      <c r="F658" s="195">
        <f>IF(OR(A658="",B658=""),"",100*(D658-B658)/MAX(B658,1E-12))</f>
        <v/>
      </c>
      <c r="G658" s="195">
        <f>IF(OR(A658="",C658=""),"",E658-C658)</f>
        <v/>
      </c>
      <c r="H658" s="195">
        <f>IF(A658="","",LOG10(A658))</f>
        <v/>
      </c>
      <c r="I658" s="195">
        <f>IF(B658="","",LOG10(MAX(B658,1E-12)))</f>
        <v/>
      </c>
      <c r="J658" s="195">
        <f>IF(D658="","",LOG10(MAX(D658,1E-12)))</f>
        <v/>
      </c>
      <c r="K658">
        <f>IF(A658="","",ROUND(1+(LOG10(A658)-LOG10('入力・概要'!$B$38))*('入力・概要'!$B$40-1)/(LOG10('入力・概要'!$B$39)-LOG10('入力・概要'!$B$38)),0)+3)</f>
        <v/>
      </c>
      <c r="L658">
        <f>IF(K658="","",INDEX('同相3導体'!$B:$B,K658))</f>
        <v/>
      </c>
      <c r="M658">
        <f>IF(A658="","",IF(ABS(L658/A658-1)&lt;0.01,"周波数差&lt;1%","周波数差あり"))</f>
        <v/>
      </c>
    </row>
    <row r="659">
      <c r="A659" s="197" t="n"/>
      <c r="B659" s="198" t="n"/>
      <c r="C659" s="198" t="n"/>
      <c r="D659" s="195">
        <f>IF(K659="","",INDEX('同相3導体'!$AB:$AB,K659))</f>
        <v/>
      </c>
      <c r="E659" s="195">
        <f>IF(K659="","",INDEX('同相3導体'!$AC:$AC,K659))</f>
        <v/>
      </c>
      <c r="F659" s="195">
        <f>IF(OR(A659="",B659=""),"",100*(D659-B659)/MAX(B659,1E-12))</f>
        <v/>
      </c>
      <c r="G659" s="195">
        <f>IF(OR(A659="",C659=""),"",E659-C659)</f>
        <v/>
      </c>
      <c r="H659" s="195">
        <f>IF(A659="","",LOG10(A659))</f>
        <v/>
      </c>
      <c r="I659" s="195">
        <f>IF(B659="","",LOG10(MAX(B659,1E-12)))</f>
        <v/>
      </c>
      <c r="J659" s="195">
        <f>IF(D659="","",LOG10(MAX(D659,1E-12)))</f>
        <v/>
      </c>
      <c r="K659">
        <f>IF(A659="","",ROUND(1+(LOG10(A659)-LOG10('入力・概要'!$B$38))*('入力・概要'!$B$40-1)/(LOG10('入力・概要'!$B$39)-LOG10('入力・概要'!$B$38)),0)+3)</f>
        <v/>
      </c>
      <c r="L659">
        <f>IF(K659="","",INDEX('同相3導体'!$B:$B,K659))</f>
        <v/>
      </c>
      <c r="M659">
        <f>IF(A659="","",IF(ABS(L659/A659-1)&lt;0.01,"周波数差&lt;1%","周波数差あり"))</f>
        <v/>
      </c>
    </row>
    <row r="660">
      <c r="A660" s="197" t="n"/>
      <c r="B660" s="198" t="n"/>
      <c r="C660" s="198" t="n"/>
      <c r="D660" s="195">
        <f>IF(K660="","",INDEX('同相3導体'!$AB:$AB,K660))</f>
        <v/>
      </c>
      <c r="E660" s="195">
        <f>IF(K660="","",INDEX('同相3導体'!$AC:$AC,K660))</f>
        <v/>
      </c>
      <c r="F660" s="195">
        <f>IF(OR(A660="",B660=""),"",100*(D660-B660)/MAX(B660,1E-12))</f>
        <v/>
      </c>
      <c r="G660" s="195">
        <f>IF(OR(A660="",C660=""),"",E660-C660)</f>
        <v/>
      </c>
      <c r="H660" s="195">
        <f>IF(A660="","",LOG10(A660))</f>
        <v/>
      </c>
      <c r="I660" s="195">
        <f>IF(B660="","",LOG10(MAX(B660,1E-12)))</f>
        <v/>
      </c>
      <c r="J660" s="195">
        <f>IF(D660="","",LOG10(MAX(D660,1E-12)))</f>
        <v/>
      </c>
      <c r="K660">
        <f>IF(A660="","",ROUND(1+(LOG10(A660)-LOG10('入力・概要'!$B$38))*('入力・概要'!$B$40-1)/(LOG10('入力・概要'!$B$39)-LOG10('入力・概要'!$B$38)),0)+3)</f>
        <v/>
      </c>
      <c r="L660">
        <f>IF(K660="","",INDEX('同相3導体'!$B:$B,K660))</f>
        <v/>
      </c>
      <c r="M660">
        <f>IF(A660="","",IF(ABS(L660/A660-1)&lt;0.01,"周波数差&lt;1%","周波数差あり"))</f>
        <v/>
      </c>
    </row>
    <row r="661">
      <c r="A661" s="197" t="n"/>
      <c r="B661" s="198" t="n"/>
      <c r="C661" s="198" t="n"/>
      <c r="D661" s="195">
        <f>IF(K661="","",INDEX('同相3導体'!$AB:$AB,K661))</f>
        <v/>
      </c>
      <c r="E661" s="195">
        <f>IF(K661="","",INDEX('同相3導体'!$AC:$AC,K661))</f>
        <v/>
      </c>
      <c r="F661" s="195">
        <f>IF(OR(A661="",B661=""),"",100*(D661-B661)/MAX(B661,1E-12))</f>
        <v/>
      </c>
      <c r="G661" s="195">
        <f>IF(OR(A661="",C661=""),"",E661-C661)</f>
        <v/>
      </c>
      <c r="H661" s="195">
        <f>IF(A661="","",LOG10(A661))</f>
        <v/>
      </c>
      <c r="I661" s="195">
        <f>IF(B661="","",LOG10(MAX(B661,1E-12)))</f>
        <v/>
      </c>
      <c r="J661" s="195">
        <f>IF(D661="","",LOG10(MAX(D661,1E-12)))</f>
        <v/>
      </c>
      <c r="K661">
        <f>IF(A661="","",ROUND(1+(LOG10(A661)-LOG10('入力・概要'!$B$38))*('入力・概要'!$B$40-1)/(LOG10('入力・概要'!$B$39)-LOG10('入力・概要'!$B$38)),0)+3)</f>
        <v/>
      </c>
      <c r="L661">
        <f>IF(K661="","",INDEX('同相3導体'!$B:$B,K661))</f>
        <v/>
      </c>
      <c r="M661">
        <f>IF(A661="","",IF(ABS(L661/A661-1)&lt;0.01,"周波数差&lt;1%","周波数差あり"))</f>
        <v/>
      </c>
    </row>
    <row r="662">
      <c r="A662" s="197" t="n"/>
      <c r="B662" s="198" t="n"/>
      <c r="C662" s="198" t="n"/>
      <c r="D662" s="195">
        <f>IF(K662="","",INDEX('同相3導体'!$AB:$AB,K662))</f>
        <v/>
      </c>
      <c r="E662" s="195">
        <f>IF(K662="","",INDEX('同相3導体'!$AC:$AC,K662))</f>
        <v/>
      </c>
      <c r="F662" s="195">
        <f>IF(OR(A662="",B662=""),"",100*(D662-B662)/MAX(B662,1E-12))</f>
        <v/>
      </c>
      <c r="G662" s="195">
        <f>IF(OR(A662="",C662=""),"",E662-C662)</f>
        <v/>
      </c>
      <c r="H662" s="195">
        <f>IF(A662="","",LOG10(A662))</f>
        <v/>
      </c>
      <c r="I662" s="195">
        <f>IF(B662="","",LOG10(MAX(B662,1E-12)))</f>
        <v/>
      </c>
      <c r="J662" s="195">
        <f>IF(D662="","",LOG10(MAX(D662,1E-12)))</f>
        <v/>
      </c>
      <c r="K662">
        <f>IF(A662="","",ROUND(1+(LOG10(A662)-LOG10('入力・概要'!$B$38))*('入力・概要'!$B$40-1)/(LOG10('入力・概要'!$B$39)-LOG10('入力・概要'!$B$38)),0)+3)</f>
        <v/>
      </c>
      <c r="L662">
        <f>IF(K662="","",INDEX('同相3導体'!$B:$B,K662))</f>
        <v/>
      </c>
      <c r="M662">
        <f>IF(A662="","",IF(ABS(L662/A662-1)&lt;0.01,"周波数差&lt;1%","周波数差あり"))</f>
        <v/>
      </c>
    </row>
    <row r="663">
      <c r="A663" s="197" t="n"/>
      <c r="B663" s="198" t="n"/>
      <c r="C663" s="198" t="n"/>
      <c r="D663" s="195">
        <f>IF(K663="","",INDEX('同相3導体'!$AB:$AB,K663))</f>
        <v/>
      </c>
      <c r="E663" s="195">
        <f>IF(K663="","",INDEX('同相3導体'!$AC:$AC,K663))</f>
        <v/>
      </c>
      <c r="F663" s="195">
        <f>IF(OR(A663="",B663=""),"",100*(D663-B663)/MAX(B663,1E-12))</f>
        <v/>
      </c>
      <c r="G663" s="195">
        <f>IF(OR(A663="",C663=""),"",E663-C663)</f>
        <v/>
      </c>
      <c r="H663" s="195">
        <f>IF(A663="","",LOG10(A663))</f>
        <v/>
      </c>
      <c r="I663" s="195">
        <f>IF(B663="","",LOG10(MAX(B663,1E-12)))</f>
        <v/>
      </c>
      <c r="J663" s="195">
        <f>IF(D663="","",LOG10(MAX(D663,1E-12)))</f>
        <v/>
      </c>
      <c r="K663">
        <f>IF(A663="","",ROUND(1+(LOG10(A663)-LOG10('入力・概要'!$B$38))*('入力・概要'!$B$40-1)/(LOG10('入力・概要'!$B$39)-LOG10('入力・概要'!$B$38)),0)+3)</f>
        <v/>
      </c>
      <c r="L663">
        <f>IF(K663="","",INDEX('同相3導体'!$B:$B,K663))</f>
        <v/>
      </c>
      <c r="M663">
        <f>IF(A663="","",IF(ABS(L663/A663-1)&lt;0.01,"周波数差&lt;1%","周波数差あり"))</f>
        <v/>
      </c>
    </row>
    <row r="664">
      <c r="A664" s="197" t="n"/>
      <c r="B664" s="198" t="n"/>
      <c r="C664" s="198" t="n"/>
      <c r="D664" s="195">
        <f>IF(K664="","",INDEX('同相3導体'!$AB:$AB,K664))</f>
        <v/>
      </c>
      <c r="E664" s="195">
        <f>IF(K664="","",INDEX('同相3導体'!$AC:$AC,K664))</f>
        <v/>
      </c>
      <c r="F664" s="195">
        <f>IF(OR(A664="",B664=""),"",100*(D664-B664)/MAX(B664,1E-12))</f>
        <v/>
      </c>
      <c r="G664" s="195">
        <f>IF(OR(A664="",C664=""),"",E664-C664)</f>
        <v/>
      </c>
      <c r="H664" s="195">
        <f>IF(A664="","",LOG10(A664))</f>
        <v/>
      </c>
      <c r="I664" s="195">
        <f>IF(B664="","",LOG10(MAX(B664,1E-12)))</f>
        <v/>
      </c>
      <c r="J664" s="195">
        <f>IF(D664="","",LOG10(MAX(D664,1E-12)))</f>
        <v/>
      </c>
      <c r="K664">
        <f>IF(A664="","",ROUND(1+(LOG10(A664)-LOG10('入力・概要'!$B$38))*('入力・概要'!$B$40-1)/(LOG10('入力・概要'!$B$39)-LOG10('入力・概要'!$B$38)),0)+3)</f>
        <v/>
      </c>
      <c r="L664">
        <f>IF(K664="","",INDEX('同相3導体'!$B:$B,K664))</f>
        <v/>
      </c>
      <c r="M664">
        <f>IF(A664="","",IF(ABS(L664/A664-1)&lt;0.01,"周波数差&lt;1%","周波数差あり"))</f>
        <v/>
      </c>
    </row>
    <row r="665">
      <c r="A665" s="197" t="n"/>
      <c r="B665" s="198" t="n"/>
      <c r="C665" s="198" t="n"/>
      <c r="D665" s="195">
        <f>IF(K665="","",INDEX('同相3導体'!$AB:$AB,K665))</f>
        <v/>
      </c>
      <c r="E665" s="195">
        <f>IF(K665="","",INDEX('同相3導体'!$AC:$AC,K665))</f>
        <v/>
      </c>
      <c r="F665" s="195">
        <f>IF(OR(A665="",B665=""),"",100*(D665-B665)/MAX(B665,1E-12))</f>
        <v/>
      </c>
      <c r="G665" s="195">
        <f>IF(OR(A665="",C665=""),"",E665-C665)</f>
        <v/>
      </c>
      <c r="H665" s="195">
        <f>IF(A665="","",LOG10(A665))</f>
        <v/>
      </c>
      <c r="I665" s="195">
        <f>IF(B665="","",LOG10(MAX(B665,1E-12)))</f>
        <v/>
      </c>
      <c r="J665" s="195">
        <f>IF(D665="","",LOG10(MAX(D665,1E-12)))</f>
        <v/>
      </c>
      <c r="K665">
        <f>IF(A665="","",ROUND(1+(LOG10(A665)-LOG10('入力・概要'!$B$38))*('入力・概要'!$B$40-1)/(LOG10('入力・概要'!$B$39)-LOG10('入力・概要'!$B$38)),0)+3)</f>
        <v/>
      </c>
      <c r="L665">
        <f>IF(K665="","",INDEX('同相3導体'!$B:$B,K665))</f>
        <v/>
      </c>
      <c r="M665">
        <f>IF(A665="","",IF(ABS(L665/A665-1)&lt;0.01,"周波数差&lt;1%","周波数差あり"))</f>
        <v/>
      </c>
    </row>
    <row r="666">
      <c r="A666" s="197" t="n"/>
      <c r="B666" s="198" t="n"/>
      <c r="C666" s="198" t="n"/>
      <c r="D666" s="195">
        <f>IF(K666="","",INDEX('同相3導体'!$AB:$AB,K666))</f>
        <v/>
      </c>
      <c r="E666" s="195">
        <f>IF(K666="","",INDEX('同相3導体'!$AC:$AC,K666))</f>
        <v/>
      </c>
      <c r="F666" s="195">
        <f>IF(OR(A666="",B666=""),"",100*(D666-B666)/MAX(B666,1E-12))</f>
        <v/>
      </c>
      <c r="G666" s="195">
        <f>IF(OR(A666="",C666=""),"",E666-C666)</f>
        <v/>
      </c>
      <c r="H666" s="195">
        <f>IF(A666="","",LOG10(A666))</f>
        <v/>
      </c>
      <c r="I666" s="195">
        <f>IF(B666="","",LOG10(MAX(B666,1E-12)))</f>
        <v/>
      </c>
      <c r="J666" s="195">
        <f>IF(D666="","",LOG10(MAX(D666,1E-12)))</f>
        <v/>
      </c>
      <c r="K666">
        <f>IF(A666="","",ROUND(1+(LOG10(A666)-LOG10('入力・概要'!$B$38))*('入力・概要'!$B$40-1)/(LOG10('入力・概要'!$B$39)-LOG10('入力・概要'!$B$38)),0)+3)</f>
        <v/>
      </c>
      <c r="L666">
        <f>IF(K666="","",INDEX('同相3導体'!$B:$B,K666))</f>
        <v/>
      </c>
      <c r="M666">
        <f>IF(A666="","",IF(ABS(L666/A666-1)&lt;0.01,"周波数差&lt;1%","周波数差あり"))</f>
        <v/>
      </c>
    </row>
    <row r="667">
      <c r="A667" s="197" t="n"/>
      <c r="B667" s="198" t="n"/>
      <c r="C667" s="198" t="n"/>
      <c r="D667" s="195">
        <f>IF(K667="","",INDEX('同相3導体'!$AB:$AB,K667))</f>
        <v/>
      </c>
      <c r="E667" s="195">
        <f>IF(K667="","",INDEX('同相3導体'!$AC:$AC,K667))</f>
        <v/>
      </c>
      <c r="F667" s="195">
        <f>IF(OR(A667="",B667=""),"",100*(D667-B667)/MAX(B667,1E-12))</f>
        <v/>
      </c>
      <c r="G667" s="195">
        <f>IF(OR(A667="",C667=""),"",E667-C667)</f>
        <v/>
      </c>
      <c r="H667" s="195">
        <f>IF(A667="","",LOG10(A667))</f>
        <v/>
      </c>
      <c r="I667" s="195">
        <f>IF(B667="","",LOG10(MAX(B667,1E-12)))</f>
        <v/>
      </c>
      <c r="J667" s="195">
        <f>IF(D667="","",LOG10(MAX(D667,1E-12)))</f>
        <v/>
      </c>
      <c r="K667">
        <f>IF(A667="","",ROUND(1+(LOG10(A667)-LOG10('入力・概要'!$B$38))*('入力・概要'!$B$40-1)/(LOG10('入力・概要'!$B$39)-LOG10('入力・概要'!$B$38)),0)+3)</f>
        <v/>
      </c>
      <c r="L667">
        <f>IF(K667="","",INDEX('同相3導体'!$B:$B,K667))</f>
        <v/>
      </c>
      <c r="M667">
        <f>IF(A667="","",IF(ABS(L667/A667-1)&lt;0.01,"周波数差&lt;1%","周波数差あり"))</f>
        <v/>
      </c>
    </row>
    <row r="668">
      <c r="A668" s="197" t="n"/>
      <c r="B668" s="198" t="n"/>
      <c r="C668" s="198" t="n"/>
      <c r="D668" s="195">
        <f>IF(K668="","",INDEX('同相3導体'!$AB:$AB,K668))</f>
        <v/>
      </c>
      <c r="E668" s="195">
        <f>IF(K668="","",INDEX('同相3導体'!$AC:$AC,K668))</f>
        <v/>
      </c>
      <c r="F668" s="195">
        <f>IF(OR(A668="",B668=""),"",100*(D668-B668)/MAX(B668,1E-12))</f>
        <v/>
      </c>
      <c r="G668" s="195">
        <f>IF(OR(A668="",C668=""),"",E668-C668)</f>
        <v/>
      </c>
      <c r="H668" s="195">
        <f>IF(A668="","",LOG10(A668))</f>
        <v/>
      </c>
      <c r="I668" s="195">
        <f>IF(B668="","",LOG10(MAX(B668,1E-12)))</f>
        <v/>
      </c>
      <c r="J668" s="195">
        <f>IF(D668="","",LOG10(MAX(D668,1E-12)))</f>
        <v/>
      </c>
      <c r="K668">
        <f>IF(A668="","",ROUND(1+(LOG10(A668)-LOG10('入力・概要'!$B$38))*('入力・概要'!$B$40-1)/(LOG10('入力・概要'!$B$39)-LOG10('入力・概要'!$B$38)),0)+3)</f>
        <v/>
      </c>
      <c r="L668">
        <f>IF(K668="","",INDEX('同相3導体'!$B:$B,K668))</f>
        <v/>
      </c>
      <c r="M668">
        <f>IF(A668="","",IF(ABS(L668/A668-1)&lt;0.01,"周波数差&lt;1%","周波数差あり"))</f>
        <v/>
      </c>
    </row>
    <row r="669">
      <c r="A669" s="197" t="n"/>
      <c r="B669" s="198" t="n"/>
      <c r="C669" s="198" t="n"/>
      <c r="D669" s="195">
        <f>IF(K669="","",INDEX('同相3導体'!$AB:$AB,K669))</f>
        <v/>
      </c>
      <c r="E669" s="195">
        <f>IF(K669="","",INDEX('同相3導体'!$AC:$AC,K669))</f>
        <v/>
      </c>
      <c r="F669" s="195">
        <f>IF(OR(A669="",B669=""),"",100*(D669-B669)/MAX(B669,1E-12))</f>
        <v/>
      </c>
      <c r="G669" s="195">
        <f>IF(OR(A669="",C669=""),"",E669-C669)</f>
        <v/>
      </c>
      <c r="H669" s="195">
        <f>IF(A669="","",LOG10(A669))</f>
        <v/>
      </c>
      <c r="I669" s="195">
        <f>IF(B669="","",LOG10(MAX(B669,1E-12)))</f>
        <v/>
      </c>
      <c r="J669" s="195">
        <f>IF(D669="","",LOG10(MAX(D669,1E-12)))</f>
        <v/>
      </c>
      <c r="K669">
        <f>IF(A669="","",ROUND(1+(LOG10(A669)-LOG10('入力・概要'!$B$38))*('入力・概要'!$B$40-1)/(LOG10('入力・概要'!$B$39)-LOG10('入力・概要'!$B$38)),0)+3)</f>
        <v/>
      </c>
      <c r="L669">
        <f>IF(K669="","",INDEX('同相3導体'!$B:$B,K669))</f>
        <v/>
      </c>
      <c r="M669">
        <f>IF(A669="","",IF(ABS(L669/A669-1)&lt;0.01,"周波数差&lt;1%","周波数差あり"))</f>
        <v/>
      </c>
    </row>
    <row r="670">
      <c r="A670" s="197" t="n"/>
      <c r="B670" s="198" t="n"/>
      <c r="C670" s="198" t="n"/>
      <c r="D670" s="195">
        <f>IF(K670="","",INDEX('同相3導体'!$AB:$AB,K670))</f>
        <v/>
      </c>
      <c r="E670" s="195">
        <f>IF(K670="","",INDEX('同相3導体'!$AC:$AC,K670))</f>
        <v/>
      </c>
      <c r="F670" s="195">
        <f>IF(OR(A670="",B670=""),"",100*(D670-B670)/MAX(B670,1E-12))</f>
        <v/>
      </c>
      <c r="G670" s="195">
        <f>IF(OR(A670="",C670=""),"",E670-C670)</f>
        <v/>
      </c>
      <c r="H670" s="195">
        <f>IF(A670="","",LOG10(A670))</f>
        <v/>
      </c>
      <c r="I670" s="195">
        <f>IF(B670="","",LOG10(MAX(B670,1E-12)))</f>
        <v/>
      </c>
      <c r="J670" s="195">
        <f>IF(D670="","",LOG10(MAX(D670,1E-12)))</f>
        <v/>
      </c>
      <c r="K670">
        <f>IF(A670="","",ROUND(1+(LOG10(A670)-LOG10('入力・概要'!$B$38))*('入力・概要'!$B$40-1)/(LOG10('入力・概要'!$B$39)-LOG10('入力・概要'!$B$38)),0)+3)</f>
        <v/>
      </c>
      <c r="L670">
        <f>IF(K670="","",INDEX('同相3導体'!$B:$B,K670))</f>
        <v/>
      </c>
      <c r="M670">
        <f>IF(A670="","",IF(ABS(L670/A670-1)&lt;0.01,"周波数差&lt;1%","周波数差あり"))</f>
        <v/>
      </c>
    </row>
    <row r="671">
      <c r="A671" s="197" t="n"/>
      <c r="B671" s="198" t="n"/>
      <c r="C671" s="198" t="n"/>
      <c r="D671" s="195">
        <f>IF(K671="","",INDEX('同相3導体'!$AB:$AB,K671))</f>
        <v/>
      </c>
      <c r="E671" s="195">
        <f>IF(K671="","",INDEX('同相3導体'!$AC:$AC,K671))</f>
        <v/>
      </c>
      <c r="F671" s="195">
        <f>IF(OR(A671="",B671=""),"",100*(D671-B671)/MAX(B671,1E-12))</f>
        <v/>
      </c>
      <c r="G671" s="195">
        <f>IF(OR(A671="",C671=""),"",E671-C671)</f>
        <v/>
      </c>
      <c r="H671" s="195">
        <f>IF(A671="","",LOG10(A671))</f>
        <v/>
      </c>
      <c r="I671" s="195">
        <f>IF(B671="","",LOG10(MAX(B671,1E-12)))</f>
        <v/>
      </c>
      <c r="J671" s="195">
        <f>IF(D671="","",LOG10(MAX(D671,1E-12)))</f>
        <v/>
      </c>
      <c r="K671">
        <f>IF(A671="","",ROUND(1+(LOG10(A671)-LOG10('入力・概要'!$B$38))*('入力・概要'!$B$40-1)/(LOG10('入力・概要'!$B$39)-LOG10('入力・概要'!$B$38)),0)+3)</f>
        <v/>
      </c>
      <c r="L671">
        <f>IF(K671="","",INDEX('同相3導体'!$B:$B,K671))</f>
        <v/>
      </c>
      <c r="M671">
        <f>IF(A671="","",IF(ABS(L671/A671-1)&lt;0.01,"周波数差&lt;1%","周波数差あり"))</f>
        <v/>
      </c>
    </row>
    <row r="672">
      <c r="A672" s="197" t="n"/>
      <c r="B672" s="198" t="n"/>
      <c r="C672" s="198" t="n"/>
      <c r="D672" s="195">
        <f>IF(K672="","",INDEX('同相3導体'!$AB:$AB,K672))</f>
        <v/>
      </c>
      <c r="E672" s="195">
        <f>IF(K672="","",INDEX('同相3導体'!$AC:$AC,K672))</f>
        <v/>
      </c>
      <c r="F672" s="195">
        <f>IF(OR(A672="",B672=""),"",100*(D672-B672)/MAX(B672,1E-12))</f>
        <v/>
      </c>
      <c r="G672" s="195">
        <f>IF(OR(A672="",C672=""),"",E672-C672)</f>
        <v/>
      </c>
      <c r="H672" s="195">
        <f>IF(A672="","",LOG10(A672))</f>
        <v/>
      </c>
      <c r="I672" s="195">
        <f>IF(B672="","",LOG10(MAX(B672,1E-12)))</f>
        <v/>
      </c>
      <c r="J672" s="195">
        <f>IF(D672="","",LOG10(MAX(D672,1E-12)))</f>
        <v/>
      </c>
      <c r="K672">
        <f>IF(A672="","",ROUND(1+(LOG10(A672)-LOG10('入力・概要'!$B$38))*('入力・概要'!$B$40-1)/(LOG10('入力・概要'!$B$39)-LOG10('入力・概要'!$B$38)),0)+3)</f>
        <v/>
      </c>
      <c r="L672">
        <f>IF(K672="","",INDEX('同相3導体'!$B:$B,K672))</f>
        <v/>
      </c>
      <c r="M672">
        <f>IF(A672="","",IF(ABS(L672/A672-1)&lt;0.01,"周波数差&lt;1%","周波数差あり"))</f>
        <v/>
      </c>
    </row>
    <row r="673">
      <c r="A673" s="197" t="n"/>
      <c r="B673" s="198" t="n"/>
      <c r="C673" s="198" t="n"/>
      <c r="D673" s="195">
        <f>IF(K673="","",INDEX('同相3導体'!$AB:$AB,K673))</f>
        <v/>
      </c>
      <c r="E673" s="195">
        <f>IF(K673="","",INDEX('同相3導体'!$AC:$AC,K673))</f>
        <v/>
      </c>
      <c r="F673" s="195">
        <f>IF(OR(A673="",B673=""),"",100*(D673-B673)/MAX(B673,1E-12))</f>
        <v/>
      </c>
      <c r="G673" s="195">
        <f>IF(OR(A673="",C673=""),"",E673-C673)</f>
        <v/>
      </c>
      <c r="H673" s="195">
        <f>IF(A673="","",LOG10(A673))</f>
        <v/>
      </c>
      <c r="I673" s="195">
        <f>IF(B673="","",LOG10(MAX(B673,1E-12)))</f>
        <v/>
      </c>
      <c r="J673" s="195">
        <f>IF(D673="","",LOG10(MAX(D673,1E-12)))</f>
        <v/>
      </c>
      <c r="K673">
        <f>IF(A673="","",ROUND(1+(LOG10(A673)-LOG10('入力・概要'!$B$38))*('入力・概要'!$B$40-1)/(LOG10('入力・概要'!$B$39)-LOG10('入力・概要'!$B$38)),0)+3)</f>
        <v/>
      </c>
      <c r="L673">
        <f>IF(K673="","",INDEX('同相3導体'!$B:$B,K673))</f>
        <v/>
      </c>
      <c r="M673">
        <f>IF(A673="","",IF(ABS(L673/A673-1)&lt;0.01,"周波数差&lt;1%","周波数差あり"))</f>
        <v/>
      </c>
    </row>
    <row r="674">
      <c r="A674" s="197" t="n"/>
      <c r="B674" s="198" t="n"/>
      <c r="C674" s="198" t="n"/>
      <c r="D674" s="195">
        <f>IF(K674="","",INDEX('同相3導体'!$AB:$AB,K674))</f>
        <v/>
      </c>
      <c r="E674" s="195">
        <f>IF(K674="","",INDEX('同相3導体'!$AC:$AC,K674))</f>
        <v/>
      </c>
      <c r="F674" s="195">
        <f>IF(OR(A674="",B674=""),"",100*(D674-B674)/MAX(B674,1E-12))</f>
        <v/>
      </c>
      <c r="G674" s="195">
        <f>IF(OR(A674="",C674=""),"",E674-C674)</f>
        <v/>
      </c>
      <c r="H674" s="195">
        <f>IF(A674="","",LOG10(A674))</f>
        <v/>
      </c>
      <c r="I674" s="195">
        <f>IF(B674="","",LOG10(MAX(B674,1E-12)))</f>
        <v/>
      </c>
      <c r="J674" s="195">
        <f>IF(D674="","",LOG10(MAX(D674,1E-12)))</f>
        <v/>
      </c>
      <c r="K674">
        <f>IF(A674="","",ROUND(1+(LOG10(A674)-LOG10('入力・概要'!$B$38))*('入力・概要'!$B$40-1)/(LOG10('入力・概要'!$B$39)-LOG10('入力・概要'!$B$38)),0)+3)</f>
        <v/>
      </c>
      <c r="L674">
        <f>IF(K674="","",INDEX('同相3導体'!$B:$B,K674))</f>
        <v/>
      </c>
      <c r="M674">
        <f>IF(A674="","",IF(ABS(L674/A674-1)&lt;0.01,"周波数差&lt;1%","周波数差あり"))</f>
        <v/>
      </c>
    </row>
    <row r="675">
      <c r="A675" s="197" t="n"/>
      <c r="B675" s="198" t="n"/>
      <c r="C675" s="198" t="n"/>
      <c r="D675" s="195">
        <f>IF(K675="","",INDEX('同相3導体'!$AB:$AB,K675))</f>
        <v/>
      </c>
      <c r="E675" s="195">
        <f>IF(K675="","",INDEX('同相3導体'!$AC:$AC,K675))</f>
        <v/>
      </c>
      <c r="F675" s="195">
        <f>IF(OR(A675="",B675=""),"",100*(D675-B675)/MAX(B675,1E-12))</f>
        <v/>
      </c>
      <c r="G675" s="195">
        <f>IF(OR(A675="",C675=""),"",E675-C675)</f>
        <v/>
      </c>
      <c r="H675" s="195">
        <f>IF(A675="","",LOG10(A675))</f>
        <v/>
      </c>
      <c r="I675" s="195">
        <f>IF(B675="","",LOG10(MAX(B675,1E-12)))</f>
        <v/>
      </c>
      <c r="J675" s="195">
        <f>IF(D675="","",LOG10(MAX(D675,1E-12)))</f>
        <v/>
      </c>
      <c r="K675">
        <f>IF(A675="","",ROUND(1+(LOG10(A675)-LOG10('入力・概要'!$B$38))*('入力・概要'!$B$40-1)/(LOG10('入力・概要'!$B$39)-LOG10('入力・概要'!$B$38)),0)+3)</f>
        <v/>
      </c>
      <c r="L675">
        <f>IF(K675="","",INDEX('同相3導体'!$B:$B,K675))</f>
        <v/>
      </c>
      <c r="M675">
        <f>IF(A675="","",IF(ABS(L675/A675-1)&lt;0.01,"周波数差&lt;1%","周波数差あり"))</f>
        <v/>
      </c>
    </row>
    <row r="676">
      <c r="A676" s="197" t="n"/>
      <c r="B676" s="198" t="n"/>
      <c r="C676" s="198" t="n"/>
      <c r="D676" s="195">
        <f>IF(K676="","",INDEX('同相3導体'!$AB:$AB,K676))</f>
        <v/>
      </c>
      <c r="E676" s="195">
        <f>IF(K676="","",INDEX('同相3導体'!$AC:$AC,K676))</f>
        <v/>
      </c>
      <c r="F676" s="195">
        <f>IF(OR(A676="",B676=""),"",100*(D676-B676)/MAX(B676,1E-12))</f>
        <v/>
      </c>
      <c r="G676" s="195">
        <f>IF(OR(A676="",C676=""),"",E676-C676)</f>
        <v/>
      </c>
      <c r="H676" s="195">
        <f>IF(A676="","",LOG10(A676))</f>
        <v/>
      </c>
      <c r="I676" s="195">
        <f>IF(B676="","",LOG10(MAX(B676,1E-12)))</f>
        <v/>
      </c>
      <c r="J676" s="195">
        <f>IF(D676="","",LOG10(MAX(D676,1E-12)))</f>
        <v/>
      </c>
      <c r="K676">
        <f>IF(A676="","",ROUND(1+(LOG10(A676)-LOG10('入力・概要'!$B$38))*('入力・概要'!$B$40-1)/(LOG10('入力・概要'!$B$39)-LOG10('入力・概要'!$B$38)),0)+3)</f>
        <v/>
      </c>
      <c r="L676">
        <f>IF(K676="","",INDEX('同相3導体'!$B:$B,K676))</f>
        <v/>
      </c>
      <c r="M676">
        <f>IF(A676="","",IF(ABS(L676/A676-1)&lt;0.01,"周波数差&lt;1%","周波数差あり"))</f>
        <v/>
      </c>
    </row>
    <row r="677">
      <c r="A677" s="197" t="n"/>
      <c r="B677" s="198" t="n"/>
      <c r="C677" s="198" t="n"/>
      <c r="D677" s="195">
        <f>IF(K677="","",INDEX('同相3導体'!$AB:$AB,K677))</f>
        <v/>
      </c>
      <c r="E677" s="195">
        <f>IF(K677="","",INDEX('同相3導体'!$AC:$AC,K677))</f>
        <v/>
      </c>
      <c r="F677" s="195">
        <f>IF(OR(A677="",B677=""),"",100*(D677-B677)/MAX(B677,1E-12))</f>
        <v/>
      </c>
      <c r="G677" s="195">
        <f>IF(OR(A677="",C677=""),"",E677-C677)</f>
        <v/>
      </c>
      <c r="H677" s="195">
        <f>IF(A677="","",LOG10(A677))</f>
        <v/>
      </c>
      <c r="I677" s="195">
        <f>IF(B677="","",LOG10(MAX(B677,1E-12)))</f>
        <v/>
      </c>
      <c r="J677" s="195">
        <f>IF(D677="","",LOG10(MAX(D677,1E-12)))</f>
        <v/>
      </c>
      <c r="K677">
        <f>IF(A677="","",ROUND(1+(LOG10(A677)-LOG10('入力・概要'!$B$38))*('入力・概要'!$B$40-1)/(LOG10('入力・概要'!$B$39)-LOG10('入力・概要'!$B$38)),0)+3)</f>
        <v/>
      </c>
      <c r="L677">
        <f>IF(K677="","",INDEX('同相3導体'!$B:$B,K677))</f>
        <v/>
      </c>
      <c r="M677">
        <f>IF(A677="","",IF(ABS(L677/A677-1)&lt;0.01,"周波数差&lt;1%","周波数差あり"))</f>
        <v/>
      </c>
    </row>
    <row r="678">
      <c r="A678" s="197" t="n"/>
      <c r="B678" s="198" t="n"/>
      <c r="C678" s="198" t="n"/>
      <c r="D678" s="195">
        <f>IF(K678="","",INDEX('同相3導体'!$AB:$AB,K678))</f>
        <v/>
      </c>
      <c r="E678" s="195">
        <f>IF(K678="","",INDEX('同相3導体'!$AC:$AC,K678))</f>
        <v/>
      </c>
      <c r="F678" s="195">
        <f>IF(OR(A678="",B678=""),"",100*(D678-B678)/MAX(B678,1E-12))</f>
        <v/>
      </c>
      <c r="G678" s="195">
        <f>IF(OR(A678="",C678=""),"",E678-C678)</f>
        <v/>
      </c>
      <c r="H678" s="195">
        <f>IF(A678="","",LOG10(A678))</f>
        <v/>
      </c>
      <c r="I678" s="195">
        <f>IF(B678="","",LOG10(MAX(B678,1E-12)))</f>
        <v/>
      </c>
      <c r="J678" s="195">
        <f>IF(D678="","",LOG10(MAX(D678,1E-12)))</f>
        <v/>
      </c>
      <c r="K678">
        <f>IF(A678="","",ROUND(1+(LOG10(A678)-LOG10('入力・概要'!$B$38))*('入力・概要'!$B$40-1)/(LOG10('入力・概要'!$B$39)-LOG10('入力・概要'!$B$38)),0)+3)</f>
        <v/>
      </c>
      <c r="L678">
        <f>IF(K678="","",INDEX('同相3導体'!$B:$B,K678))</f>
        <v/>
      </c>
      <c r="M678">
        <f>IF(A678="","",IF(ABS(L678/A678-1)&lt;0.01,"周波数差&lt;1%","周波数差あり"))</f>
        <v/>
      </c>
    </row>
    <row r="679">
      <c r="A679" s="197" t="n"/>
      <c r="B679" s="198" t="n"/>
      <c r="C679" s="198" t="n"/>
      <c r="D679" s="195">
        <f>IF(K679="","",INDEX('同相3導体'!$AB:$AB,K679))</f>
        <v/>
      </c>
      <c r="E679" s="195">
        <f>IF(K679="","",INDEX('同相3導体'!$AC:$AC,K679))</f>
        <v/>
      </c>
      <c r="F679" s="195">
        <f>IF(OR(A679="",B679=""),"",100*(D679-B679)/MAX(B679,1E-12))</f>
        <v/>
      </c>
      <c r="G679" s="195">
        <f>IF(OR(A679="",C679=""),"",E679-C679)</f>
        <v/>
      </c>
      <c r="H679" s="195">
        <f>IF(A679="","",LOG10(A679))</f>
        <v/>
      </c>
      <c r="I679" s="195">
        <f>IF(B679="","",LOG10(MAX(B679,1E-12)))</f>
        <v/>
      </c>
      <c r="J679" s="195">
        <f>IF(D679="","",LOG10(MAX(D679,1E-12)))</f>
        <v/>
      </c>
      <c r="K679">
        <f>IF(A679="","",ROUND(1+(LOG10(A679)-LOG10('入力・概要'!$B$38))*('入力・概要'!$B$40-1)/(LOG10('入力・概要'!$B$39)-LOG10('入力・概要'!$B$38)),0)+3)</f>
        <v/>
      </c>
      <c r="L679">
        <f>IF(K679="","",INDEX('同相3導体'!$B:$B,K679))</f>
        <v/>
      </c>
      <c r="M679">
        <f>IF(A679="","",IF(ABS(L679/A679-1)&lt;0.01,"周波数差&lt;1%","周波数差あり"))</f>
        <v/>
      </c>
    </row>
    <row r="680">
      <c r="A680" s="197" t="n"/>
      <c r="B680" s="198" t="n"/>
      <c r="C680" s="198" t="n"/>
      <c r="D680" s="195">
        <f>IF(K680="","",INDEX('同相3導体'!$AB:$AB,K680))</f>
        <v/>
      </c>
      <c r="E680" s="195">
        <f>IF(K680="","",INDEX('同相3導体'!$AC:$AC,K680))</f>
        <v/>
      </c>
      <c r="F680" s="195">
        <f>IF(OR(A680="",B680=""),"",100*(D680-B680)/MAX(B680,1E-12))</f>
        <v/>
      </c>
      <c r="G680" s="195">
        <f>IF(OR(A680="",C680=""),"",E680-C680)</f>
        <v/>
      </c>
      <c r="H680" s="195">
        <f>IF(A680="","",LOG10(A680))</f>
        <v/>
      </c>
      <c r="I680" s="195">
        <f>IF(B680="","",LOG10(MAX(B680,1E-12)))</f>
        <v/>
      </c>
      <c r="J680" s="195">
        <f>IF(D680="","",LOG10(MAX(D680,1E-12)))</f>
        <v/>
      </c>
      <c r="K680">
        <f>IF(A680="","",ROUND(1+(LOG10(A680)-LOG10('入力・概要'!$B$38))*('入力・概要'!$B$40-1)/(LOG10('入力・概要'!$B$39)-LOG10('入力・概要'!$B$38)),0)+3)</f>
        <v/>
      </c>
      <c r="L680">
        <f>IF(K680="","",INDEX('同相3導体'!$B:$B,K680))</f>
        <v/>
      </c>
      <c r="M680">
        <f>IF(A680="","",IF(ABS(L680/A680-1)&lt;0.01,"周波数差&lt;1%","周波数差あり"))</f>
        <v/>
      </c>
    </row>
    <row r="681">
      <c r="A681" s="197" t="n"/>
      <c r="B681" s="198" t="n"/>
      <c r="C681" s="198" t="n"/>
      <c r="D681" s="195">
        <f>IF(K681="","",INDEX('同相3導体'!$AB:$AB,K681))</f>
        <v/>
      </c>
      <c r="E681" s="195">
        <f>IF(K681="","",INDEX('同相3導体'!$AC:$AC,K681))</f>
        <v/>
      </c>
      <c r="F681" s="195">
        <f>IF(OR(A681="",B681=""),"",100*(D681-B681)/MAX(B681,1E-12))</f>
        <v/>
      </c>
      <c r="G681" s="195">
        <f>IF(OR(A681="",C681=""),"",E681-C681)</f>
        <v/>
      </c>
      <c r="H681" s="195">
        <f>IF(A681="","",LOG10(A681))</f>
        <v/>
      </c>
      <c r="I681" s="195">
        <f>IF(B681="","",LOG10(MAX(B681,1E-12)))</f>
        <v/>
      </c>
      <c r="J681" s="195">
        <f>IF(D681="","",LOG10(MAX(D681,1E-12)))</f>
        <v/>
      </c>
      <c r="K681">
        <f>IF(A681="","",ROUND(1+(LOG10(A681)-LOG10('入力・概要'!$B$38))*('入力・概要'!$B$40-1)/(LOG10('入力・概要'!$B$39)-LOG10('入力・概要'!$B$38)),0)+3)</f>
        <v/>
      </c>
      <c r="L681">
        <f>IF(K681="","",INDEX('同相3導体'!$B:$B,K681))</f>
        <v/>
      </c>
      <c r="M681">
        <f>IF(A681="","",IF(ABS(L681/A681-1)&lt;0.01,"周波数差&lt;1%","周波数差あり"))</f>
        <v/>
      </c>
    </row>
    <row r="682">
      <c r="A682" s="197" t="n"/>
      <c r="B682" s="198" t="n"/>
      <c r="C682" s="198" t="n"/>
      <c r="D682" s="195">
        <f>IF(K682="","",INDEX('同相3導体'!$AB:$AB,K682))</f>
        <v/>
      </c>
      <c r="E682" s="195">
        <f>IF(K682="","",INDEX('同相3導体'!$AC:$AC,K682))</f>
        <v/>
      </c>
      <c r="F682" s="195">
        <f>IF(OR(A682="",B682=""),"",100*(D682-B682)/MAX(B682,1E-12))</f>
        <v/>
      </c>
      <c r="G682" s="195">
        <f>IF(OR(A682="",C682=""),"",E682-C682)</f>
        <v/>
      </c>
      <c r="H682" s="195">
        <f>IF(A682="","",LOG10(A682))</f>
        <v/>
      </c>
      <c r="I682" s="195">
        <f>IF(B682="","",LOG10(MAX(B682,1E-12)))</f>
        <v/>
      </c>
      <c r="J682" s="195">
        <f>IF(D682="","",LOG10(MAX(D682,1E-12)))</f>
        <v/>
      </c>
      <c r="K682">
        <f>IF(A682="","",ROUND(1+(LOG10(A682)-LOG10('入力・概要'!$B$38))*('入力・概要'!$B$40-1)/(LOG10('入力・概要'!$B$39)-LOG10('入力・概要'!$B$38)),0)+3)</f>
        <v/>
      </c>
      <c r="L682">
        <f>IF(K682="","",INDEX('同相3導体'!$B:$B,K682))</f>
        <v/>
      </c>
      <c r="M682">
        <f>IF(A682="","",IF(ABS(L682/A682-1)&lt;0.01,"周波数差&lt;1%","周波数差あり"))</f>
        <v/>
      </c>
    </row>
    <row r="683">
      <c r="A683" s="197" t="n"/>
      <c r="B683" s="198" t="n"/>
      <c r="C683" s="198" t="n"/>
      <c r="D683" s="195">
        <f>IF(K683="","",INDEX('同相3導体'!$AB:$AB,K683))</f>
        <v/>
      </c>
      <c r="E683" s="195">
        <f>IF(K683="","",INDEX('同相3導体'!$AC:$AC,K683))</f>
        <v/>
      </c>
      <c r="F683" s="195">
        <f>IF(OR(A683="",B683=""),"",100*(D683-B683)/MAX(B683,1E-12))</f>
        <v/>
      </c>
      <c r="G683" s="195">
        <f>IF(OR(A683="",C683=""),"",E683-C683)</f>
        <v/>
      </c>
      <c r="H683" s="195">
        <f>IF(A683="","",LOG10(A683))</f>
        <v/>
      </c>
      <c r="I683" s="195">
        <f>IF(B683="","",LOG10(MAX(B683,1E-12)))</f>
        <v/>
      </c>
      <c r="J683" s="195">
        <f>IF(D683="","",LOG10(MAX(D683,1E-12)))</f>
        <v/>
      </c>
      <c r="K683">
        <f>IF(A683="","",ROUND(1+(LOG10(A683)-LOG10('入力・概要'!$B$38))*('入力・概要'!$B$40-1)/(LOG10('入力・概要'!$B$39)-LOG10('入力・概要'!$B$38)),0)+3)</f>
        <v/>
      </c>
      <c r="L683">
        <f>IF(K683="","",INDEX('同相3導体'!$B:$B,K683))</f>
        <v/>
      </c>
      <c r="M683">
        <f>IF(A683="","",IF(ABS(L683/A683-1)&lt;0.01,"周波数差&lt;1%","周波数差あり"))</f>
        <v/>
      </c>
    </row>
    <row r="684">
      <c r="A684" s="197" t="n"/>
      <c r="B684" s="198" t="n"/>
      <c r="C684" s="198" t="n"/>
      <c r="D684" s="195">
        <f>IF(K684="","",INDEX('同相3導体'!$AB:$AB,K684))</f>
        <v/>
      </c>
      <c r="E684" s="195">
        <f>IF(K684="","",INDEX('同相3導体'!$AC:$AC,K684))</f>
        <v/>
      </c>
      <c r="F684" s="195">
        <f>IF(OR(A684="",B684=""),"",100*(D684-B684)/MAX(B684,1E-12))</f>
        <v/>
      </c>
      <c r="G684" s="195">
        <f>IF(OR(A684="",C684=""),"",E684-C684)</f>
        <v/>
      </c>
      <c r="H684" s="195">
        <f>IF(A684="","",LOG10(A684))</f>
        <v/>
      </c>
      <c r="I684" s="195">
        <f>IF(B684="","",LOG10(MAX(B684,1E-12)))</f>
        <v/>
      </c>
      <c r="J684" s="195">
        <f>IF(D684="","",LOG10(MAX(D684,1E-12)))</f>
        <v/>
      </c>
      <c r="K684">
        <f>IF(A684="","",ROUND(1+(LOG10(A684)-LOG10('入力・概要'!$B$38))*('入力・概要'!$B$40-1)/(LOG10('入力・概要'!$B$39)-LOG10('入力・概要'!$B$38)),0)+3)</f>
        <v/>
      </c>
      <c r="L684">
        <f>IF(K684="","",INDEX('同相3導体'!$B:$B,K684))</f>
        <v/>
      </c>
      <c r="M684">
        <f>IF(A684="","",IF(ABS(L684/A684-1)&lt;0.01,"周波数差&lt;1%","周波数差あり"))</f>
        <v/>
      </c>
    </row>
    <row r="685">
      <c r="A685" s="197" t="n"/>
      <c r="B685" s="198" t="n"/>
      <c r="C685" s="198" t="n"/>
      <c r="D685" s="195">
        <f>IF(K685="","",INDEX('同相3導体'!$AB:$AB,K685))</f>
        <v/>
      </c>
      <c r="E685" s="195">
        <f>IF(K685="","",INDEX('同相3導体'!$AC:$AC,K685))</f>
        <v/>
      </c>
      <c r="F685" s="195">
        <f>IF(OR(A685="",B685=""),"",100*(D685-B685)/MAX(B685,1E-12))</f>
        <v/>
      </c>
      <c r="G685" s="195">
        <f>IF(OR(A685="",C685=""),"",E685-C685)</f>
        <v/>
      </c>
      <c r="H685" s="195">
        <f>IF(A685="","",LOG10(A685))</f>
        <v/>
      </c>
      <c r="I685" s="195">
        <f>IF(B685="","",LOG10(MAX(B685,1E-12)))</f>
        <v/>
      </c>
      <c r="J685" s="195">
        <f>IF(D685="","",LOG10(MAX(D685,1E-12)))</f>
        <v/>
      </c>
      <c r="K685">
        <f>IF(A685="","",ROUND(1+(LOG10(A685)-LOG10('入力・概要'!$B$38))*('入力・概要'!$B$40-1)/(LOG10('入力・概要'!$B$39)-LOG10('入力・概要'!$B$38)),0)+3)</f>
        <v/>
      </c>
      <c r="L685">
        <f>IF(K685="","",INDEX('同相3導体'!$B:$B,K685))</f>
        <v/>
      </c>
      <c r="M685">
        <f>IF(A685="","",IF(ABS(L685/A685-1)&lt;0.01,"周波数差&lt;1%","周波数差あり"))</f>
        <v/>
      </c>
    </row>
    <row r="686">
      <c r="A686" s="197" t="n"/>
      <c r="B686" s="198" t="n"/>
      <c r="C686" s="198" t="n"/>
      <c r="D686" s="195">
        <f>IF(K686="","",INDEX('同相3導体'!$AB:$AB,K686))</f>
        <v/>
      </c>
      <c r="E686" s="195">
        <f>IF(K686="","",INDEX('同相3導体'!$AC:$AC,K686))</f>
        <v/>
      </c>
      <c r="F686" s="195">
        <f>IF(OR(A686="",B686=""),"",100*(D686-B686)/MAX(B686,1E-12))</f>
        <v/>
      </c>
      <c r="G686" s="195">
        <f>IF(OR(A686="",C686=""),"",E686-C686)</f>
        <v/>
      </c>
      <c r="H686" s="195">
        <f>IF(A686="","",LOG10(A686))</f>
        <v/>
      </c>
      <c r="I686" s="195">
        <f>IF(B686="","",LOG10(MAX(B686,1E-12)))</f>
        <v/>
      </c>
      <c r="J686" s="195">
        <f>IF(D686="","",LOG10(MAX(D686,1E-12)))</f>
        <v/>
      </c>
      <c r="K686">
        <f>IF(A686="","",ROUND(1+(LOG10(A686)-LOG10('入力・概要'!$B$38))*('入力・概要'!$B$40-1)/(LOG10('入力・概要'!$B$39)-LOG10('入力・概要'!$B$38)),0)+3)</f>
        <v/>
      </c>
      <c r="L686">
        <f>IF(K686="","",INDEX('同相3導体'!$B:$B,K686))</f>
        <v/>
      </c>
      <c r="M686">
        <f>IF(A686="","",IF(ABS(L686/A686-1)&lt;0.01,"周波数差&lt;1%","周波数差あり"))</f>
        <v/>
      </c>
    </row>
    <row r="687">
      <c r="A687" s="197" t="n"/>
      <c r="B687" s="198" t="n"/>
      <c r="C687" s="198" t="n"/>
      <c r="D687" s="195">
        <f>IF(K687="","",INDEX('同相3導体'!$AB:$AB,K687))</f>
        <v/>
      </c>
      <c r="E687" s="195">
        <f>IF(K687="","",INDEX('同相3導体'!$AC:$AC,K687))</f>
        <v/>
      </c>
      <c r="F687" s="195">
        <f>IF(OR(A687="",B687=""),"",100*(D687-B687)/MAX(B687,1E-12))</f>
        <v/>
      </c>
      <c r="G687" s="195">
        <f>IF(OR(A687="",C687=""),"",E687-C687)</f>
        <v/>
      </c>
      <c r="H687" s="195">
        <f>IF(A687="","",LOG10(A687))</f>
        <v/>
      </c>
      <c r="I687" s="195">
        <f>IF(B687="","",LOG10(MAX(B687,1E-12)))</f>
        <v/>
      </c>
      <c r="J687" s="195">
        <f>IF(D687="","",LOG10(MAX(D687,1E-12)))</f>
        <v/>
      </c>
      <c r="K687">
        <f>IF(A687="","",ROUND(1+(LOG10(A687)-LOG10('入力・概要'!$B$38))*('入力・概要'!$B$40-1)/(LOG10('入力・概要'!$B$39)-LOG10('入力・概要'!$B$38)),0)+3)</f>
        <v/>
      </c>
      <c r="L687">
        <f>IF(K687="","",INDEX('同相3導体'!$B:$B,K687))</f>
        <v/>
      </c>
      <c r="M687">
        <f>IF(A687="","",IF(ABS(L687/A687-1)&lt;0.01,"周波数差&lt;1%","周波数差あり"))</f>
        <v/>
      </c>
    </row>
    <row r="688">
      <c r="A688" s="197" t="n"/>
      <c r="B688" s="198" t="n"/>
      <c r="C688" s="198" t="n"/>
      <c r="D688" s="195">
        <f>IF(K688="","",INDEX('同相3導体'!$AB:$AB,K688))</f>
        <v/>
      </c>
      <c r="E688" s="195">
        <f>IF(K688="","",INDEX('同相3導体'!$AC:$AC,K688))</f>
        <v/>
      </c>
      <c r="F688" s="195">
        <f>IF(OR(A688="",B688=""),"",100*(D688-B688)/MAX(B688,1E-12))</f>
        <v/>
      </c>
      <c r="G688" s="195">
        <f>IF(OR(A688="",C688=""),"",E688-C688)</f>
        <v/>
      </c>
      <c r="H688" s="195">
        <f>IF(A688="","",LOG10(A688))</f>
        <v/>
      </c>
      <c r="I688" s="195">
        <f>IF(B688="","",LOG10(MAX(B688,1E-12)))</f>
        <v/>
      </c>
      <c r="J688" s="195">
        <f>IF(D688="","",LOG10(MAX(D688,1E-12)))</f>
        <v/>
      </c>
      <c r="K688">
        <f>IF(A688="","",ROUND(1+(LOG10(A688)-LOG10('入力・概要'!$B$38))*('入力・概要'!$B$40-1)/(LOG10('入力・概要'!$B$39)-LOG10('入力・概要'!$B$38)),0)+3)</f>
        <v/>
      </c>
      <c r="L688">
        <f>IF(K688="","",INDEX('同相3導体'!$B:$B,K688))</f>
        <v/>
      </c>
      <c r="M688">
        <f>IF(A688="","",IF(ABS(L688/A688-1)&lt;0.01,"周波数差&lt;1%","周波数差あり"))</f>
        <v/>
      </c>
    </row>
    <row r="689">
      <c r="A689" s="197" t="n"/>
      <c r="B689" s="198" t="n"/>
      <c r="C689" s="198" t="n"/>
      <c r="D689" s="195">
        <f>IF(K689="","",INDEX('同相3導体'!$AB:$AB,K689))</f>
        <v/>
      </c>
      <c r="E689" s="195">
        <f>IF(K689="","",INDEX('同相3導体'!$AC:$AC,K689))</f>
        <v/>
      </c>
      <c r="F689" s="195">
        <f>IF(OR(A689="",B689=""),"",100*(D689-B689)/MAX(B689,1E-12))</f>
        <v/>
      </c>
      <c r="G689" s="195">
        <f>IF(OR(A689="",C689=""),"",E689-C689)</f>
        <v/>
      </c>
      <c r="H689" s="195">
        <f>IF(A689="","",LOG10(A689))</f>
        <v/>
      </c>
      <c r="I689" s="195">
        <f>IF(B689="","",LOG10(MAX(B689,1E-12)))</f>
        <v/>
      </c>
      <c r="J689" s="195">
        <f>IF(D689="","",LOG10(MAX(D689,1E-12)))</f>
        <v/>
      </c>
      <c r="K689">
        <f>IF(A689="","",ROUND(1+(LOG10(A689)-LOG10('入力・概要'!$B$38))*('入力・概要'!$B$40-1)/(LOG10('入力・概要'!$B$39)-LOG10('入力・概要'!$B$38)),0)+3)</f>
        <v/>
      </c>
      <c r="L689">
        <f>IF(K689="","",INDEX('同相3導体'!$B:$B,K689))</f>
        <v/>
      </c>
      <c r="M689">
        <f>IF(A689="","",IF(ABS(L689/A689-1)&lt;0.01,"周波数差&lt;1%","周波数差あり"))</f>
        <v/>
      </c>
    </row>
    <row r="690">
      <c r="A690" s="197" t="n"/>
      <c r="B690" s="198" t="n"/>
      <c r="C690" s="198" t="n"/>
      <c r="D690" s="195">
        <f>IF(K690="","",INDEX('同相3導体'!$AB:$AB,K690))</f>
        <v/>
      </c>
      <c r="E690" s="195">
        <f>IF(K690="","",INDEX('同相3導体'!$AC:$AC,K690))</f>
        <v/>
      </c>
      <c r="F690" s="195">
        <f>IF(OR(A690="",B690=""),"",100*(D690-B690)/MAX(B690,1E-12))</f>
        <v/>
      </c>
      <c r="G690" s="195">
        <f>IF(OR(A690="",C690=""),"",E690-C690)</f>
        <v/>
      </c>
      <c r="H690" s="195">
        <f>IF(A690="","",LOG10(A690))</f>
        <v/>
      </c>
      <c r="I690" s="195">
        <f>IF(B690="","",LOG10(MAX(B690,1E-12)))</f>
        <v/>
      </c>
      <c r="J690" s="195">
        <f>IF(D690="","",LOG10(MAX(D690,1E-12)))</f>
        <v/>
      </c>
      <c r="K690">
        <f>IF(A690="","",ROUND(1+(LOG10(A690)-LOG10('入力・概要'!$B$38))*('入力・概要'!$B$40-1)/(LOG10('入力・概要'!$B$39)-LOG10('入力・概要'!$B$38)),0)+3)</f>
        <v/>
      </c>
      <c r="L690">
        <f>IF(K690="","",INDEX('同相3導体'!$B:$B,K690))</f>
        <v/>
      </c>
      <c r="M690">
        <f>IF(A690="","",IF(ABS(L690/A690-1)&lt;0.01,"周波数差&lt;1%","周波数差あり"))</f>
        <v/>
      </c>
    </row>
    <row r="691">
      <c r="A691" s="197" t="n"/>
      <c r="B691" s="198" t="n"/>
      <c r="C691" s="198" t="n"/>
      <c r="D691" s="195">
        <f>IF(K691="","",INDEX('同相3導体'!$AB:$AB,K691))</f>
        <v/>
      </c>
      <c r="E691" s="195">
        <f>IF(K691="","",INDEX('同相3導体'!$AC:$AC,K691))</f>
        <v/>
      </c>
      <c r="F691" s="195">
        <f>IF(OR(A691="",B691=""),"",100*(D691-B691)/MAX(B691,1E-12))</f>
        <v/>
      </c>
      <c r="G691" s="195">
        <f>IF(OR(A691="",C691=""),"",E691-C691)</f>
        <v/>
      </c>
      <c r="H691" s="195">
        <f>IF(A691="","",LOG10(A691))</f>
        <v/>
      </c>
      <c r="I691" s="195">
        <f>IF(B691="","",LOG10(MAX(B691,1E-12)))</f>
        <v/>
      </c>
      <c r="J691" s="195">
        <f>IF(D691="","",LOG10(MAX(D691,1E-12)))</f>
        <v/>
      </c>
      <c r="K691">
        <f>IF(A691="","",ROUND(1+(LOG10(A691)-LOG10('入力・概要'!$B$38))*('入力・概要'!$B$40-1)/(LOG10('入力・概要'!$B$39)-LOG10('入力・概要'!$B$38)),0)+3)</f>
        <v/>
      </c>
      <c r="L691">
        <f>IF(K691="","",INDEX('同相3導体'!$B:$B,K691))</f>
        <v/>
      </c>
      <c r="M691">
        <f>IF(A691="","",IF(ABS(L691/A691-1)&lt;0.01,"周波数差&lt;1%","周波数差あり"))</f>
        <v/>
      </c>
    </row>
    <row r="692">
      <c r="A692" s="197" t="n"/>
      <c r="B692" s="198" t="n"/>
      <c r="C692" s="198" t="n"/>
      <c r="D692" s="195">
        <f>IF(K692="","",INDEX('同相3導体'!$AB:$AB,K692))</f>
        <v/>
      </c>
      <c r="E692" s="195">
        <f>IF(K692="","",INDEX('同相3導体'!$AC:$AC,K692))</f>
        <v/>
      </c>
      <c r="F692" s="195">
        <f>IF(OR(A692="",B692=""),"",100*(D692-B692)/MAX(B692,1E-12))</f>
        <v/>
      </c>
      <c r="G692" s="195">
        <f>IF(OR(A692="",C692=""),"",E692-C692)</f>
        <v/>
      </c>
      <c r="H692" s="195">
        <f>IF(A692="","",LOG10(A692))</f>
        <v/>
      </c>
      <c r="I692" s="195">
        <f>IF(B692="","",LOG10(MAX(B692,1E-12)))</f>
        <v/>
      </c>
      <c r="J692" s="195">
        <f>IF(D692="","",LOG10(MAX(D692,1E-12)))</f>
        <v/>
      </c>
      <c r="K692">
        <f>IF(A692="","",ROUND(1+(LOG10(A692)-LOG10('入力・概要'!$B$38))*('入力・概要'!$B$40-1)/(LOG10('入力・概要'!$B$39)-LOG10('入力・概要'!$B$38)),0)+3)</f>
        <v/>
      </c>
      <c r="L692">
        <f>IF(K692="","",INDEX('同相3導体'!$B:$B,K692))</f>
        <v/>
      </c>
      <c r="M692">
        <f>IF(A692="","",IF(ABS(L692/A692-1)&lt;0.01,"周波数差&lt;1%","周波数差あり"))</f>
        <v/>
      </c>
    </row>
    <row r="693">
      <c r="A693" s="197" t="n"/>
      <c r="B693" s="198" t="n"/>
      <c r="C693" s="198" t="n"/>
      <c r="D693" s="195">
        <f>IF(K693="","",INDEX('同相3導体'!$AB:$AB,K693))</f>
        <v/>
      </c>
      <c r="E693" s="195">
        <f>IF(K693="","",INDEX('同相3導体'!$AC:$AC,K693))</f>
        <v/>
      </c>
      <c r="F693" s="195">
        <f>IF(OR(A693="",B693=""),"",100*(D693-B693)/MAX(B693,1E-12))</f>
        <v/>
      </c>
      <c r="G693" s="195">
        <f>IF(OR(A693="",C693=""),"",E693-C693)</f>
        <v/>
      </c>
      <c r="H693" s="195">
        <f>IF(A693="","",LOG10(A693))</f>
        <v/>
      </c>
      <c r="I693" s="195">
        <f>IF(B693="","",LOG10(MAX(B693,1E-12)))</f>
        <v/>
      </c>
      <c r="J693" s="195">
        <f>IF(D693="","",LOG10(MAX(D693,1E-12)))</f>
        <v/>
      </c>
      <c r="K693">
        <f>IF(A693="","",ROUND(1+(LOG10(A693)-LOG10('入力・概要'!$B$38))*('入力・概要'!$B$40-1)/(LOG10('入力・概要'!$B$39)-LOG10('入力・概要'!$B$38)),0)+3)</f>
        <v/>
      </c>
      <c r="L693">
        <f>IF(K693="","",INDEX('同相3導体'!$B:$B,K693))</f>
        <v/>
      </c>
      <c r="M693">
        <f>IF(A693="","",IF(ABS(L693/A693-1)&lt;0.01,"周波数差&lt;1%","周波数差あり"))</f>
        <v/>
      </c>
    </row>
    <row r="694">
      <c r="A694" s="197" t="n"/>
      <c r="B694" s="198" t="n"/>
      <c r="C694" s="198" t="n"/>
      <c r="D694" s="195">
        <f>IF(K694="","",INDEX('同相3導体'!$AB:$AB,K694))</f>
        <v/>
      </c>
      <c r="E694" s="195">
        <f>IF(K694="","",INDEX('同相3導体'!$AC:$AC,K694))</f>
        <v/>
      </c>
      <c r="F694" s="195">
        <f>IF(OR(A694="",B694=""),"",100*(D694-B694)/MAX(B694,1E-12))</f>
        <v/>
      </c>
      <c r="G694" s="195">
        <f>IF(OR(A694="",C694=""),"",E694-C694)</f>
        <v/>
      </c>
      <c r="H694" s="195">
        <f>IF(A694="","",LOG10(A694))</f>
        <v/>
      </c>
      <c r="I694" s="195">
        <f>IF(B694="","",LOG10(MAX(B694,1E-12)))</f>
        <v/>
      </c>
      <c r="J694" s="195">
        <f>IF(D694="","",LOG10(MAX(D694,1E-12)))</f>
        <v/>
      </c>
      <c r="K694">
        <f>IF(A694="","",ROUND(1+(LOG10(A694)-LOG10('入力・概要'!$B$38))*('入力・概要'!$B$40-1)/(LOG10('入力・概要'!$B$39)-LOG10('入力・概要'!$B$38)),0)+3)</f>
        <v/>
      </c>
      <c r="L694">
        <f>IF(K694="","",INDEX('同相3導体'!$B:$B,K694))</f>
        <v/>
      </c>
      <c r="M694">
        <f>IF(A694="","",IF(ABS(L694/A694-1)&lt;0.01,"周波数差&lt;1%","周波数差あり"))</f>
        <v/>
      </c>
    </row>
    <row r="695">
      <c r="A695" s="197" t="n"/>
      <c r="B695" s="198" t="n"/>
      <c r="C695" s="198" t="n"/>
      <c r="D695" s="195">
        <f>IF(K695="","",INDEX('同相3導体'!$AB:$AB,K695))</f>
        <v/>
      </c>
      <c r="E695" s="195">
        <f>IF(K695="","",INDEX('同相3導体'!$AC:$AC,K695))</f>
        <v/>
      </c>
      <c r="F695" s="195">
        <f>IF(OR(A695="",B695=""),"",100*(D695-B695)/MAX(B695,1E-12))</f>
        <v/>
      </c>
      <c r="G695" s="195">
        <f>IF(OR(A695="",C695=""),"",E695-C695)</f>
        <v/>
      </c>
      <c r="H695" s="195">
        <f>IF(A695="","",LOG10(A695))</f>
        <v/>
      </c>
      <c r="I695" s="195">
        <f>IF(B695="","",LOG10(MAX(B695,1E-12)))</f>
        <v/>
      </c>
      <c r="J695" s="195">
        <f>IF(D695="","",LOG10(MAX(D695,1E-12)))</f>
        <v/>
      </c>
      <c r="K695">
        <f>IF(A695="","",ROUND(1+(LOG10(A695)-LOG10('入力・概要'!$B$38))*('入力・概要'!$B$40-1)/(LOG10('入力・概要'!$B$39)-LOG10('入力・概要'!$B$38)),0)+3)</f>
        <v/>
      </c>
      <c r="L695">
        <f>IF(K695="","",INDEX('同相3導体'!$B:$B,K695))</f>
        <v/>
      </c>
      <c r="M695">
        <f>IF(A695="","",IF(ABS(L695/A695-1)&lt;0.01,"周波数差&lt;1%","周波数差あり"))</f>
        <v/>
      </c>
    </row>
    <row r="696">
      <c r="A696" s="197" t="n"/>
      <c r="B696" s="198" t="n"/>
      <c r="C696" s="198" t="n"/>
      <c r="D696" s="195">
        <f>IF(K696="","",INDEX('同相3導体'!$AB:$AB,K696))</f>
        <v/>
      </c>
      <c r="E696" s="195">
        <f>IF(K696="","",INDEX('同相3導体'!$AC:$AC,K696))</f>
        <v/>
      </c>
      <c r="F696" s="195">
        <f>IF(OR(A696="",B696=""),"",100*(D696-B696)/MAX(B696,1E-12))</f>
        <v/>
      </c>
      <c r="G696" s="195">
        <f>IF(OR(A696="",C696=""),"",E696-C696)</f>
        <v/>
      </c>
      <c r="H696" s="195">
        <f>IF(A696="","",LOG10(A696))</f>
        <v/>
      </c>
      <c r="I696" s="195">
        <f>IF(B696="","",LOG10(MAX(B696,1E-12)))</f>
        <v/>
      </c>
      <c r="J696" s="195">
        <f>IF(D696="","",LOG10(MAX(D696,1E-12)))</f>
        <v/>
      </c>
      <c r="K696">
        <f>IF(A696="","",ROUND(1+(LOG10(A696)-LOG10('入力・概要'!$B$38))*('入力・概要'!$B$40-1)/(LOG10('入力・概要'!$B$39)-LOG10('入力・概要'!$B$38)),0)+3)</f>
        <v/>
      </c>
      <c r="L696">
        <f>IF(K696="","",INDEX('同相3導体'!$B:$B,K696))</f>
        <v/>
      </c>
      <c r="M696">
        <f>IF(A696="","",IF(ABS(L696/A696-1)&lt;0.01,"周波数差&lt;1%","周波数差あり"))</f>
        <v/>
      </c>
    </row>
    <row r="697">
      <c r="A697" s="197" t="n"/>
      <c r="B697" s="198" t="n"/>
      <c r="C697" s="198" t="n"/>
      <c r="D697" s="195">
        <f>IF(K697="","",INDEX('同相3導体'!$AB:$AB,K697))</f>
        <v/>
      </c>
      <c r="E697" s="195">
        <f>IF(K697="","",INDEX('同相3導体'!$AC:$AC,K697))</f>
        <v/>
      </c>
      <c r="F697" s="195">
        <f>IF(OR(A697="",B697=""),"",100*(D697-B697)/MAX(B697,1E-12))</f>
        <v/>
      </c>
      <c r="G697" s="195">
        <f>IF(OR(A697="",C697=""),"",E697-C697)</f>
        <v/>
      </c>
      <c r="H697" s="195">
        <f>IF(A697="","",LOG10(A697))</f>
        <v/>
      </c>
      <c r="I697" s="195">
        <f>IF(B697="","",LOG10(MAX(B697,1E-12)))</f>
        <v/>
      </c>
      <c r="J697" s="195">
        <f>IF(D697="","",LOG10(MAX(D697,1E-12)))</f>
        <v/>
      </c>
      <c r="K697">
        <f>IF(A697="","",ROUND(1+(LOG10(A697)-LOG10('入力・概要'!$B$38))*('入力・概要'!$B$40-1)/(LOG10('入力・概要'!$B$39)-LOG10('入力・概要'!$B$38)),0)+3)</f>
        <v/>
      </c>
      <c r="L697">
        <f>IF(K697="","",INDEX('同相3導体'!$B:$B,K697))</f>
        <v/>
      </c>
      <c r="M697">
        <f>IF(A697="","",IF(ABS(L697/A697-1)&lt;0.01,"周波数差&lt;1%","周波数差あり"))</f>
        <v/>
      </c>
    </row>
    <row r="698">
      <c r="A698" s="197" t="n"/>
      <c r="B698" s="198" t="n"/>
      <c r="C698" s="198" t="n"/>
      <c r="D698" s="195">
        <f>IF(K698="","",INDEX('同相3導体'!$AB:$AB,K698))</f>
        <v/>
      </c>
      <c r="E698" s="195">
        <f>IF(K698="","",INDEX('同相3導体'!$AC:$AC,K698))</f>
        <v/>
      </c>
      <c r="F698" s="195">
        <f>IF(OR(A698="",B698=""),"",100*(D698-B698)/MAX(B698,1E-12))</f>
        <v/>
      </c>
      <c r="G698" s="195">
        <f>IF(OR(A698="",C698=""),"",E698-C698)</f>
        <v/>
      </c>
      <c r="H698" s="195">
        <f>IF(A698="","",LOG10(A698))</f>
        <v/>
      </c>
      <c r="I698" s="195">
        <f>IF(B698="","",LOG10(MAX(B698,1E-12)))</f>
        <v/>
      </c>
      <c r="J698" s="195">
        <f>IF(D698="","",LOG10(MAX(D698,1E-12)))</f>
        <v/>
      </c>
      <c r="K698">
        <f>IF(A698="","",ROUND(1+(LOG10(A698)-LOG10('入力・概要'!$B$38))*('入力・概要'!$B$40-1)/(LOG10('入力・概要'!$B$39)-LOG10('入力・概要'!$B$38)),0)+3)</f>
        <v/>
      </c>
      <c r="L698">
        <f>IF(K698="","",INDEX('同相3導体'!$B:$B,K698))</f>
        <v/>
      </c>
      <c r="M698">
        <f>IF(A698="","",IF(ABS(L698/A698-1)&lt;0.01,"周波数差&lt;1%","周波数差あり"))</f>
        <v/>
      </c>
    </row>
    <row r="699">
      <c r="A699" s="197" t="n"/>
      <c r="B699" s="198" t="n"/>
      <c r="C699" s="198" t="n"/>
      <c r="D699" s="195">
        <f>IF(K699="","",INDEX('同相3導体'!$AB:$AB,K699))</f>
        <v/>
      </c>
      <c r="E699" s="195">
        <f>IF(K699="","",INDEX('同相3導体'!$AC:$AC,K699))</f>
        <v/>
      </c>
      <c r="F699" s="195">
        <f>IF(OR(A699="",B699=""),"",100*(D699-B699)/MAX(B699,1E-12))</f>
        <v/>
      </c>
      <c r="G699" s="195">
        <f>IF(OR(A699="",C699=""),"",E699-C699)</f>
        <v/>
      </c>
      <c r="H699" s="195">
        <f>IF(A699="","",LOG10(A699))</f>
        <v/>
      </c>
      <c r="I699" s="195">
        <f>IF(B699="","",LOG10(MAX(B699,1E-12)))</f>
        <v/>
      </c>
      <c r="J699" s="195">
        <f>IF(D699="","",LOG10(MAX(D699,1E-12)))</f>
        <v/>
      </c>
      <c r="K699">
        <f>IF(A699="","",ROUND(1+(LOG10(A699)-LOG10('入力・概要'!$B$38))*('入力・概要'!$B$40-1)/(LOG10('入力・概要'!$B$39)-LOG10('入力・概要'!$B$38)),0)+3)</f>
        <v/>
      </c>
      <c r="L699">
        <f>IF(K699="","",INDEX('同相3導体'!$B:$B,K699))</f>
        <v/>
      </c>
      <c r="M699">
        <f>IF(A699="","",IF(ABS(L699/A699-1)&lt;0.01,"周波数差&lt;1%","周波数差あり"))</f>
        <v/>
      </c>
    </row>
    <row r="700">
      <c r="A700" s="197" t="n"/>
      <c r="B700" s="198" t="n"/>
      <c r="C700" s="198" t="n"/>
      <c r="D700" s="195">
        <f>IF(K700="","",INDEX('同相3導体'!$AB:$AB,K700))</f>
        <v/>
      </c>
      <c r="E700" s="195">
        <f>IF(K700="","",INDEX('同相3導体'!$AC:$AC,K700))</f>
        <v/>
      </c>
      <c r="F700" s="195">
        <f>IF(OR(A700="",B700=""),"",100*(D700-B700)/MAX(B700,1E-12))</f>
        <v/>
      </c>
      <c r="G700" s="195">
        <f>IF(OR(A700="",C700=""),"",E700-C700)</f>
        <v/>
      </c>
      <c r="H700" s="195">
        <f>IF(A700="","",LOG10(A700))</f>
        <v/>
      </c>
      <c r="I700" s="195">
        <f>IF(B700="","",LOG10(MAX(B700,1E-12)))</f>
        <v/>
      </c>
      <c r="J700" s="195">
        <f>IF(D700="","",LOG10(MAX(D700,1E-12)))</f>
        <v/>
      </c>
      <c r="K700">
        <f>IF(A700="","",ROUND(1+(LOG10(A700)-LOG10('入力・概要'!$B$38))*('入力・概要'!$B$40-1)/(LOG10('入力・概要'!$B$39)-LOG10('入力・概要'!$B$38)),0)+3)</f>
        <v/>
      </c>
      <c r="L700">
        <f>IF(K700="","",INDEX('同相3導体'!$B:$B,K700))</f>
        <v/>
      </c>
      <c r="M700">
        <f>IF(A700="","",IF(ABS(L700/A700-1)&lt;0.01,"周波数差&lt;1%","周波数差あり"))</f>
        <v/>
      </c>
    </row>
    <row r="701">
      <c r="A701" s="197" t="n"/>
      <c r="B701" s="198" t="n"/>
      <c r="C701" s="198" t="n"/>
      <c r="D701" s="195">
        <f>IF(K701="","",INDEX('同相3導体'!$AB:$AB,K701))</f>
        <v/>
      </c>
      <c r="E701" s="195">
        <f>IF(K701="","",INDEX('同相3導体'!$AC:$AC,K701))</f>
        <v/>
      </c>
      <c r="F701" s="195">
        <f>IF(OR(A701="",B701=""),"",100*(D701-B701)/MAX(B701,1E-12))</f>
        <v/>
      </c>
      <c r="G701" s="195">
        <f>IF(OR(A701="",C701=""),"",E701-C701)</f>
        <v/>
      </c>
      <c r="H701" s="195">
        <f>IF(A701="","",LOG10(A701))</f>
        <v/>
      </c>
      <c r="I701" s="195">
        <f>IF(B701="","",LOG10(MAX(B701,1E-12)))</f>
        <v/>
      </c>
      <c r="J701" s="195">
        <f>IF(D701="","",LOG10(MAX(D701,1E-12)))</f>
        <v/>
      </c>
      <c r="K701">
        <f>IF(A701="","",ROUND(1+(LOG10(A701)-LOG10('入力・概要'!$B$38))*('入力・概要'!$B$40-1)/(LOG10('入力・概要'!$B$39)-LOG10('入力・概要'!$B$38)),0)+3)</f>
        <v/>
      </c>
      <c r="L701">
        <f>IF(K701="","",INDEX('同相3導体'!$B:$B,K701))</f>
        <v/>
      </c>
      <c r="M701">
        <f>IF(A701="","",IF(ABS(L701/A701-1)&lt;0.01,"周波数差&lt;1%","周波数差あり"))</f>
        <v/>
      </c>
    </row>
    <row r="702">
      <c r="A702" s="197" t="n"/>
      <c r="B702" s="198" t="n"/>
      <c r="C702" s="198" t="n"/>
      <c r="D702" s="195">
        <f>IF(K702="","",INDEX('同相3導体'!$AB:$AB,K702))</f>
        <v/>
      </c>
      <c r="E702" s="195">
        <f>IF(K702="","",INDEX('同相3導体'!$AC:$AC,K702))</f>
        <v/>
      </c>
      <c r="F702" s="195">
        <f>IF(OR(A702="",B702=""),"",100*(D702-B702)/MAX(B702,1E-12))</f>
        <v/>
      </c>
      <c r="G702" s="195">
        <f>IF(OR(A702="",C702=""),"",E702-C702)</f>
        <v/>
      </c>
      <c r="H702" s="195">
        <f>IF(A702="","",LOG10(A702))</f>
        <v/>
      </c>
      <c r="I702" s="195">
        <f>IF(B702="","",LOG10(MAX(B702,1E-12)))</f>
        <v/>
      </c>
      <c r="J702" s="195">
        <f>IF(D702="","",LOG10(MAX(D702,1E-12)))</f>
        <v/>
      </c>
      <c r="K702">
        <f>IF(A702="","",ROUND(1+(LOG10(A702)-LOG10('入力・概要'!$B$38))*('入力・概要'!$B$40-1)/(LOG10('入力・概要'!$B$39)-LOG10('入力・概要'!$B$38)),0)+3)</f>
        <v/>
      </c>
      <c r="L702">
        <f>IF(K702="","",INDEX('同相3導体'!$B:$B,K702))</f>
        <v/>
      </c>
      <c r="M702">
        <f>IF(A702="","",IF(ABS(L702/A702-1)&lt;0.01,"周波数差&lt;1%","周波数差あり"))</f>
        <v/>
      </c>
    </row>
    <row r="703">
      <c r="A703" s="197" t="n"/>
      <c r="B703" s="198" t="n"/>
      <c r="C703" s="198" t="n"/>
      <c r="D703" s="195">
        <f>IF(K703="","",INDEX('同相3導体'!$AB:$AB,K703))</f>
        <v/>
      </c>
      <c r="E703" s="195">
        <f>IF(K703="","",INDEX('同相3導体'!$AC:$AC,K703))</f>
        <v/>
      </c>
      <c r="F703" s="195">
        <f>IF(OR(A703="",B703=""),"",100*(D703-B703)/MAX(B703,1E-12))</f>
        <v/>
      </c>
      <c r="G703" s="195">
        <f>IF(OR(A703="",C703=""),"",E703-C703)</f>
        <v/>
      </c>
      <c r="H703" s="195">
        <f>IF(A703="","",LOG10(A703))</f>
        <v/>
      </c>
      <c r="I703" s="195">
        <f>IF(B703="","",LOG10(MAX(B703,1E-12)))</f>
        <v/>
      </c>
      <c r="J703" s="195">
        <f>IF(D703="","",LOG10(MAX(D703,1E-12)))</f>
        <v/>
      </c>
      <c r="K703">
        <f>IF(A703="","",ROUND(1+(LOG10(A703)-LOG10('入力・概要'!$B$38))*('入力・概要'!$B$40-1)/(LOG10('入力・概要'!$B$39)-LOG10('入力・概要'!$B$38)),0)+3)</f>
        <v/>
      </c>
      <c r="L703">
        <f>IF(K703="","",INDEX('同相3導体'!$B:$B,K703))</f>
        <v/>
      </c>
      <c r="M703">
        <f>IF(A703="","",IF(ABS(L703/A703-1)&lt;0.01,"周波数差&lt;1%","周波数差あり"))</f>
        <v/>
      </c>
    </row>
    <row r="704">
      <c r="A704" s="197" t="n"/>
      <c r="B704" s="198" t="n"/>
      <c r="C704" s="198" t="n"/>
      <c r="D704" s="195">
        <f>IF(K704="","",INDEX('同相3導体'!$AB:$AB,K704))</f>
        <v/>
      </c>
      <c r="E704" s="195">
        <f>IF(K704="","",INDEX('同相3導体'!$AC:$AC,K704))</f>
        <v/>
      </c>
      <c r="F704" s="195">
        <f>IF(OR(A704="",B704=""),"",100*(D704-B704)/MAX(B704,1E-12))</f>
        <v/>
      </c>
      <c r="G704" s="195">
        <f>IF(OR(A704="",C704=""),"",E704-C704)</f>
        <v/>
      </c>
      <c r="H704" s="195">
        <f>IF(A704="","",LOG10(A704))</f>
        <v/>
      </c>
      <c r="I704" s="195">
        <f>IF(B704="","",LOG10(MAX(B704,1E-12)))</f>
        <v/>
      </c>
      <c r="J704" s="195">
        <f>IF(D704="","",LOG10(MAX(D704,1E-12)))</f>
        <v/>
      </c>
      <c r="K704">
        <f>IF(A704="","",ROUND(1+(LOG10(A704)-LOG10('入力・概要'!$B$38))*('入力・概要'!$B$40-1)/(LOG10('入力・概要'!$B$39)-LOG10('入力・概要'!$B$38)),0)+3)</f>
        <v/>
      </c>
      <c r="L704">
        <f>IF(K704="","",INDEX('同相3導体'!$B:$B,K704))</f>
        <v/>
      </c>
      <c r="M704">
        <f>IF(A704="","",IF(ABS(L704/A704-1)&lt;0.01,"周波数差&lt;1%","周波数差あり"))</f>
        <v/>
      </c>
    </row>
    <row r="705">
      <c r="A705" s="197" t="n"/>
      <c r="B705" s="198" t="n"/>
      <c r="C705" s="198" t="n"/>
      <c r="D705" s="195">
        <f>IF(K705="","",INDEX('同相3導体'!$AB:$AB,K705))</f>
        <v/>
      </c>
      <c r="E705" s="195">
        <f>IF(K705="","",INDEX('同相3導体'!$AC:$AC,K705))</f>
        <v/>
      </c>
      <c r="F705" s="195">
        <f>IF(OR(A705="",B705=""),"",100*(D705-B705)/MAX(B705,1E-12))</f>
        <v/>
      </c>
      <c r="G705" s="195">
        <f>IF(OR(A705="",C705=""),"",E705-C705)</f>
        <v/>
      </c>
      <c r="H705" s="195">
        <f>IF(A705="","",LOG10(A705))</f>
        <v/>
      </c>
      <c r="I705" s="195">
        <f>IF(B705="","",LOG10(MAX(B705,1E-12)))</f>
        <v/>
      </c>
      <c r="J705" s="195">
        <f>IF(D705="","",LOG10(MAX(D705,1E-12)))</f>
        <v/>
      </c>
      <c r="K705">
        <f>IF(A705="","",ROUND(1+(LOG10(A705)-LOG10('入力・概要'!$B$38))*('入力・概要'!$B$40-1)/(LOG10('入力・概要'!$B$39)-LOG10('入力・概要'!$B$38)),0)+3)</f>
        <v/>
      </c>
      <c r="L705">
        <f>IF(K705="","",INDEX('同相3導体'!$B:$B,K705))</f>
        <v/>
      </c>
      <c r="M705">
        <f>IF(A705="","",IF(ABS(L705/A705-1)&lt;0.01,"周波数差&lt;1%","周波数差あり"))</f>
        <v/>
      </c>
    </row>
    <row r="706">
      <c r="A706" s="197" t="n"/>
      <c r="B706" s="198" t="n"/>
      <c r="C706" s="198" t="n"/>
      <c r="D706" s="195">
        <f>IF(K706="","",INDEX('同相3導体'!$AB:$AB,K706))</f>
        <v/>
      </c>
      <c r="E706" s="195">
        <f>IF(K706="","",INDEX('同相3導体'!$AC:$AC,K706))</f>
        <v/>
      </c>
      <c r="F706" s="195">
        <f>IF(OR(A706="",B706=""),"",100*(D706-B706)/MAX(B706,1E-12))</f>
        <v/>
      </c>
      <c r="G706" s="195">
        <f>IF(OR(A706="",C706=""),"",E706-C706)</f>
        <v/>
      </c>
      <c r="H706" s="195">
        <f>IF(A706="","",LOG10(A706))</f>
        <v/>
      </c>
      <c r="I706" s="195">
        <f>IF(B706="","",LOG10(MAX(B706,1E-12)))</f>
        <v/>
      </c>
      <c r="J706" s="195">
        <f>IF(D706="","",LOG10(MAX(D706,1E-12)))</f>
        <v/>
      </c>
      <c r="K706">
        <f>IF(A706="","",ROUND(1+(LOG10(A706)-LOG10('入力・概要'!$B$38))*('入力・概要'!$B$40-1)/(LOG10('入力・概要'!$B$39)-LOG10('入力・概要'!$B$38)),0)+3)</f>
        <v/>
      </c>
      <c r="L706">
        <f>IF(K706="","",INDEX('同相3導体'!$B:$B,K706))</f>
        <v/>
      </c>
      <c r="M706">
        <f>IF(A706="","",IF(ABS(L706/A706-1)&lt;0.01,"周波数差&lt;1%","周波数差あり"))</f>
        <v/>
      </c>
    </row>
    <row r="707">
      <c r="A707" s="197" t="n"/>
      <c r="B707" s="198" t="n"/>
      <c r="C707" s="198" t="n"/>
      <c r="D707" s="195">
        <f>IF(K707="","",INDEX('同相3導体'!$AB:$AB,K707))</f>
        <v/>
      </c>
      <c r="E707" s="195">
        <f>IF(K707="","",INDEX('同相3導体'!$AC:$AC,K707))</f>
        <v/>
      </c>
      <c r="F707" s="195">
        <f>IF(OR(A707="",B707=""),"",100*(D707-B707)/MAX(B707,1E-12))</f>
        <v/>
      </c>
      <c r="G707" s="195">
        <f>IF(OR(A707="",C707=""),"",E707-C707)</f>
        <v/>
      </c>
      <c r="H707" s="195">
        <f>IF(A707="","",LOG10(A707))</f>
        <v/>
      </c>
      <c r="I707" s="195">
        <f>IF(B707="","",LOG10(MAX(B707,1E-12)))</f>
        <v/>
      </c>
      <c r="J707" s="195">
        <f>IF(D707="","",LOG10(MAX(D707,1E-12)))</f>
        <v/>
      </c>
      <c r="K707">
        <f>IF(A707="","",ROUND(1+(LOG10(A707)-LOG10('入力・概要'!$B$38))*('入力・概要'!$B$40-1)/(LOG10('入力・概要'!$B$39)-LOG10('入力・概要'!$B$38)),0)+3)</f>
        <v/>
      </c>
      <c r="L707">
        <f>IF(K707="","",INDEX('同相3導体'!$B:$B,K707))</f>
        <v/>
      </c>
      <c r="M707">
        <f>IF(A707="","",IF(ABS(L707/A707-1)&lt;0.01,"周波数差&lt;1%","周波数差あり"))</f>
        <v/>
      </c>
    </row>
    <row r="708">
      <c r="A708" s="197" t="n"/>
      <c r="B708" s="198" t="n"/>
      <c r="C708" s="198" t="n"/>
      <c r="D708" s="195">
        <f>IF(K708="","",INDEX('同相3導体'!$AB:$AB,K708))</f>
        <v/>
      </c>
      <c r="E708" s="195">
        <f>IF(K708="","",INDEX('同相3導体'!$AC:$AC,K708))</f>
        <v/>
      </c>
      <c r="F708" s="195">
        <f>IF(OR(A708="",B708=""),"",100*(D708-B708)/MAX(B708,1E-12))</f>
        <v/>
      </c>
      <c r="G708" s="195">
        <f>IF(OR(A708="",C708=""),"",E708-C708)</f>
        <v/>
      </c>
      <c r="H708" s="195">
        <f>IF(A708="","",LOG10(A708))</f>
        <v/>
      </c>
      <c r="I708" s="195">
        <f>IF(B708="","",LOG10(MAX(B708,1E-12)))</f>
        <v/>
      </c>
      <c r="J708" s="195">
        <f>IF(D708="","",LOG10(MAX(D708,1E-12)))</f>
        <v/>
      </c>
      <c r="K708">
        <f>IF(A708="","",ROUND(1+(LOG10(A708)-LOG10('入力・概要'!$B$38))*('入力・概要'!$B$40-1)/(LOG10('入力・概要'!$B$39)-LOG10('入力・概要'!$B$38)),0)+3)</f>
        <v/>
      </c>
      <c r="L708">
        <f>IF(K708="","",INDEX('同相3導体'!$B:$B,K708))</f>
        <v/>
      </c>
      <c r="M708">
        <f>IF(A708="","",IF(ABS(L708/A708-1)&lt;0.01,"周波数差&lt;1%","周波数差あり"))</f>
        <v/>
      </c>
    </row>
    <row r="709">
      <c r="A709" s="197" t="n"/>
      <c r="B709" s="198" t="n"/>
      <c r="C709" s="198" t="n"/>
      <c r="D709" s="195">
        <f>IF(K709="","",INDEX('同相3導体'!$AB:$AB,K709))</f>
        <v/>
      </c>
      <c r="E709" s="195">
        <f>IF(K709="","",INDEX('同相3導体'!$AC:$AC,K709))</f>
        <v/>
      </c>
      <c r="F709" s="195">
        <f>IF(OR(A709="",B709=""),"",100*(D709-B709)/MAX(B709,1E-12))</f>
        <v/>
      </c>
      <c r="G709" s="195">
        <f>IF(OR(A709="",C709=""),"",E709-C709)</f>
        <v/>
      </c>
      <c r="H709" s="195">
        <f>IF(A709="","",LOG10(A709))</f>
        <v/>
      </c>
      <c r="I709" s="195">
        <f>IF(B709="","",LOG10(MAX(B709,1E-12)))</f>
        <v/>
      </c>
      <c r="J709" s="195">
        <f>IF(D709="","",LOG10(MAX(D709,1E-12)))</f>
        <v/>
      </c>
      <c r="K709">
        <f>IF(A709="","",ROUND(1+(LOG10(A709)-LOG10('入力・概要'!$B$38))*('入力・概要'!$B$40-1)/(LOG10('入力・概要'!$B$39)-LOG10('入力・概要'!$B$38)),0)+3)</f>
        <v/>
      </c>
      <c r="L709">
        <f>IF(K709="","",INDEX('同相3導体'!$B:$B,K709))</f>
        <v/>
      </c>
      <c r="M709">
        <f>IF(A709="","",IF(ABS(L709/A709-1)&lt;0.01,"周波数差&lt;1%","周波数差あり"))</f>
        <v/>
      </c>
    </row>
    <row r="710">
      <c r="A710" s="197" t="n"/>
      <c r="B710" s="198" t="n"/>
      <c r="C710" s="198" t="n"/>
      <c r="D710" s="195">
        <f>IF(K710="","",INDEX('同相3導体'!$AB:$AB,K710))</f>
        <v/>
      </c>
      <c r="E710" s="195">
        <f>IF(K710="","",INDEX('同相3導体'!$AC:$AC,K710))</f>
        <v/>
      </c>
      <c r="F710" s="195">
        <f>IF(OR(A710="",B710=""),"",100*(D710-B710)/MAX(B710,1E-12))</f>
        <v/>
      </c>
      <c r="G710" s="195">
        <f>IF(OR(A710="",C710=""),"",E710-C710)</f>
        <v/>
      </c>
      <c r="H710" s="195">
        <f>IF(A710="","",LOG10(A710))</f>
        <v/>
      </c>
      <c r="I710" s="195">
        <f>IF(B710="","",LOG10(MAX(B710,1E-12)))</f>
        <v/>
      </c>
      <c r="J710" s="195">
        <f>IF(D710="","",LOG10(MAX(D710,1E-12)))</f>
        <v/>
      </c>
      <c r="K710">
        <f>IF(A710="","",ROUND(1+(LOG10(A710)-LOG10('入力・概要'!$B$38))*('入力・概要'!$B$40-1)/(LOG10('入力・概要'!$B$39)-LOG10('入力・概要'!$B$38)),0)+3)</f>
        <v/>
      </c>
      <c r="L710">
        <f>IF(K710="","",INDEX('同相3導体'!$B:$B,K710))</f>
        <v/>
      </c>
      <c r="M710">
        <f>IF(A710="","",IF(ABS(L710/A710-1)&lt;0.01,"周波数差&lt;1%","周波数差あり"))</f>
        <v/>
      </c>
    </row>
    <row r="711">
      <c r="A711" s="197" t="n"/>
      <c r="B711" s="198" t="n"/>
      <c r="C711" s="198" t="n"/>
      <c r="D711" s="195">
        <f>IF(K711="","",INDEX('同相3導体'!$AB:$AB,K711))</f>
        <v/>
      </c>
      <c r="E711" s="195">
        <f>IF(K711="","",INDEX('同相3導体'!$AC:$AC,K711))</f>
        <v/>
      </c>
      <c r="F711" s="195">
        <f>IF(OR(A711="",B711=""),"",100*(D711-B711)/MAX(B711,1E-12))</f>
        <v/>
      </c>
      <c r="G711" s="195">
        <f>IF(OR(A711="",C711=""),"",E711-C711)</f>
        <v/>
      </c>
      <c r="H711" s="195">
        <f>IF(A711="","",LOG10(A711))</f>
        <v/>
      </c>
      <c r="I711" s="195">
        <f>IF(B711="","",LOG10(MAX(B711,1E-12)))</f>
        <v/>
      </c>
      <c r="J711" s="195">
        <f>IF(D711="","",LOG10(MAX(D711,1E-12)))</f>
        <v/>
      </c>
      <c r="K711">
        <f>IF(A711="","",ROUND(1+(LOG10(A711)-LOG10('入力・概要'!$B$38))*('入力・概要'!$B$40-1)/(LOG10('入力・概要'!$B$39)-LOG10('入力・概要'!$B$38)),0)+3)</f>
        <v/>
      </c>
      <c r="L711">
        <f>IF(K711="","",INDEX('同相3導体'!$B:$B,K711))</f>
        <v/>
      </c>
      <c r="M711">
        <f>IF(A711="","",IF(ABS(L711/A711-1)&lt;0.01,"周波数差&lt;1%","周波数差あり"))</f>
        <v/>
      </c>
    </row>
    <row r="712">
      <c r="A712" s="197" t="n"/>
      <c r="B712" s="198" t="n"/>
      <c r="C712" s="198" t="n"/>
      <c r="D712" s="195">
        <f>IF(K712="","",INDEX('同相3導体'!$AB:$AB,K712))</f>
        <v/>
      </c>
      <c r="E712" s="195">
        <f>IF(K712="","",INDEX('同相3導体'!$AC:$AC,K712))</f>
        <v/>
      </c>
      <c r="F712" s="195">
        <f>IF(OR(A712="",B712=""),"",100*(D712-B712)/MAX(B712,1E-12))</f>
        <v/>
      </c>
      <c r="G712" s="195">
        <f>IF(OR(A712="",C712=""),"",E712-C712)</f>
        <v/>
      </c>
      <c r="H712" s="195">
        <f>IF(A712="","",LOG10(A712))</f>
        <v/>
      </c>
      <c r="I712" s="195">
        <f>IF(B712="","",LOG10(MAX(B712,1E-12)))</f>
        <v/>
      </c>
      <c r="J712" s="195">
        <f>IF(D712="","",LOG10(MAX(D712,1E-12)))</f>
        <v/>
      </c>
      <c r="K712">
        <f>IF(A712="","",ROUND(1+(LOG10(A712)-LOG10('入力・概要'!$B$38))*('入力・概要'!$B$40-1)/(LOG10('入力・概要'!$B$39)-LOG10('入力・概要'!$B$38)),0)+3)</f>
        <v/>
      </c>
      <c r="L712">
        <f>IF(K712="","",INDEX('同相3導体'!$B:$B,K712))</f>
        <v/>
      </c>
      <c r="M712">
        <f>IF(A712="","",IF(ABS(L712/A712-1)&lt;0.01,"周波数差&lt;1%","周波数差あり"))</f>
        <v/>
      </c>
    </row>
    <row r="713">
      <c r="A713" s="197" t="n"/>
      <c r="B713" s="198" t="n"/>
      <c r="C713" s="198" t="n"/>
      <c r="D713" s="195">
        <f>IF(K713="","",INDEX('同相3導体'!$AB:$AB,K713))</f>
        <v/>
      </c>
      <c r="E713" s="195">
        <f>IF(K713="","",INDEX('同相3導体'!$AC:$AC,K713))</f>
        <v/>
      </c>
      <c r="F713" s="195">
        <f>IF(OR(A713="",B713=""),"",100*(D713-B713)/MAX(B713,1E-12))</f>
        <v/>
      </c>
      <c r="G713" s="195">
        <f>IF(OR(A713="",C713=""),"",E713-C713)</f>
        <v/>
      </c>
      <c r="H713" s="195">
        <f>IF(A713="","",LOG10(A713))</f>
        <v/>
      </c>
      <c r="I713" s="195">
        <f>IF(B713="","",LOG10(MAX(B713,1E-12)))</f>
        <v/>
      </c>
      <c r="J713" s="195">
        <f>IF(D713="","",LOG10(MAX(D713,1E-12)))</f>
        <v/>
      </c>
      <c r="K713">
        <f>IF(A713="","",ROUND(1+(LOG10(A713)-LOG10('入力・概要'!$B$38))*('入力・概要'!$B$40-1)/(LOG10('入力・概要'!$B$39)-LOG10('入力・概要'!$B$38)),0)+3)</f>
        <v/>
      </c>
      <c r="L713">
        <f>IF(K713="","",INDEX('同相3導体'!$B:$B,K713))</f>
        <v/>
      </c>
      <c r="M713">
        <f>IF(A713="","",IF(ABS(L713/A713-1)&lt;0.01,"周波数差&lt;1%","周波数差あり"))</f>
        <v/>
      </c>
    </row>
    <row r="714">
      <c r="A714" s="197" t="n"/>
      <c r="B714" s="198" t="n"/>
      <c r="C714" s="198" t="n"/>
      <c r="D714" s="195">
        <f>IF(K714="","",INDEX('同相3導体'!$AB:$AB,K714))</f>
        <v/>
      </c>
      <c r="E714" s="195">
        <f>IF(K714="","",INDEX('同相3導体'!$AC:$AC,K714))</f>
        <v/>
      </c>
      <c r="F714" s="195">
        <f>IF(OR(A714="",B714=""),"",100*(D714-B714)/MAX(B714,1E-12))</f>
        <v/>
      </c>
      <c r="G714" s="195">
        <f>IF(OR(A714="",C714=""),"",E714-C714)</f>
        <v/>
      </c>
      <c r="H714" s="195">
        <f>IF(A714="","",LOG10(A714))</f>
        <v/>
      </c>
      <c r="I714" s="195">
        <f>IF(B714="","",LOG10(MAX(B714,1E-12)))</f>
        <v/>
      </c>
      <c r="J714" s="195">
        <f>IF(D714="","",LOG10(MAX(D714,1E-12)))</f>
        <v/>
      </c>
      <c r="K714">
        <f>IF(A714="","",ROUND(1+(LOG10(A714)-LOG10('入力・概要'!$B$38))*('入力・概要'!$B$40-1)/(LOG10('入力・概要'!$B$39)-LOG10('入力・概要'!$B$38)),0)+3)</f>
        <v/>
      </c>
      <c r="L714">
        <f>IF(K714="","",INDEX('同相3導体'!$B:$B,K714))</f>
        <v/>
      </c>
      <c r="M714">
        <f>IF(A714="","",IF(ABS(L714/A714-1)&lt;0.01,"周波数差&lt;1%","周波数差あり"))</f>
        <v/>
      </c>
    </row>
    <row r="715">
      <c r="A715" s="197" t="n"/>
      <c r="B715" s="198" t="n"/>
      <c r="C715" s="198" t="n"/>
      <c r="D715" s="195">
        <f>IF(K715="","",INDEX('同相3導体'!$AB:$AB,K715))</f>
        <v/>
      </c>
      <c r="E715" s="195">
        <f>IF(K715="","",INDEX('同相3導体'!$AC:$AC,K715))</f>
        <v/>
      </c>
      <c r="F715" s="195">
        <f>IF(OR(A715="",B715=""),"",100*(D715-B715)/MAX(B715,1E-12))</f>
        <v/>
      </c>
      <c r="G715" s="195">
        <f>IF(OR(A715="",C715=""),"",E715-C715)</f>
        <v/>
      </c>
      <c r="H715" s="195">
        <f>IF(A715="","",LOG10(A715))</f>
        <v/>
      </c>
      <c r="I715" s="195">
        <f>IF(B715="","",LOG10(MAX(B715,1E-12)))</f>
        <v/>
      </c>
      <c r="J715" s="195">
        <f>IF(D715="","",LOG10(MAX(D715,1E-12)))</f>
        <v/>
      </c>
      <c r="K715">
        <f>IF(A715="","",ROUND(1+(LOG10(A715)-LOG10('入力・概要'!$B$38))*('入力・概要'!$B$40-1)/(LOG10('入力・概要'!$B$39)-LOG10('入力・概要'!$B$38)),0)+3)</f>
        <v/>
      </c>
      <c r="L715">
        <f>IF(K715="","",INDEX('同相3導体'!$B:$B,K715))</f>
        <v/>
      </c>
      <c r="M715">
        <f>IF(A715="","",IF(ABS(L715/A715-1)&lt;0.01,"周波数差&lt;1%","周波数差あり"))</f>
        <v/>
      </c>
    </row>
    <row r="716">
      <c r="A716" s="197" t="n"/>
      <c r="B716" s="198" t="n"/>
      <c r="C716" s="198" t="n"/>
      <c r="D716" s="195">
        <f>IF(K716="","",INDEX('同相3導体'!$AB:$AB,K716))</f>
        <v/>
      </c>
      <c r="E716" s="195">
        <f>IF(K716="","",INDEX('同相3導体'!$AC:$AC,K716))</f>
        <v/>
      </c>
      <c r="F716" s="195">
        <f>IF(OR(A716="",B716=""),"",100*(D716-B716)/MAX(B716,1E-12))</f>
        <v/>
      </c>
      <c r="G716" s="195">
        <f>IF(OR(A716="",C716=""),"",E716-C716)</f>
        <v/>
      </c>
      <c r="H716" s="195">
        <f>IF(A716="","",LOG10(A716))</f>
        <v/>
      </c>
      <c r="I716" s="195">
        <f>IF(B716="","",LOG10(MAX(B716,1E-12)))</f>
        <v/>
      </c>
      <c r="J716" s="195">
        <f>IF(D716="","",LOG10(MAX(D716,1E-12)))</f>
        <v/>
      </c>
      <c r="K716">
        <f>IF(A716="","",ROUND(1+(LOG10(A716)-LOG10('入力・概要'!$B$38))*('入力・概要'!$B$40-1)/(LOG10('入力・概要'!$B$39)-LOG10('入力・概要'!$B$38)),0)+3)</f>
        <v/>
      </c>
      <c r="L716">
        <f>IF(K716="","",INDEX('同相3導体'!$B:$B,K716))</f>
        <v/>
      </c>
      <c r="M716">
        <f>IF(A716="","",IF(ABS(L716/A716-1)&lt;0.01,"周波数差&lt;1%","周波数差あり"))</f>
        <v/>
      </c>
    </row>
    <row r="717">
      <c r="A717" s="197" t="n"/>
      <c r="B717" s="198" t="n"/>
      <c r="C717" s="198" t="n"/>
      <c r="D717" s="195">
        <f>IF(K717="","",INDEX('同相3導体'!$AB:$AB,K717))</f>
        <v/>
      </c>
      <c r="E717" s="195">
        <f>IF(K717="","",INDEX('同相3導体'!$AC:$AC,K717))</f>
        <v/>
      </c>
      <c r="F717" s="195">
        <f>IF(OR(A717="",B717=""),"",100*(D717-B717)/MAX(B717,1E-12))</f>
        <v/>
      </c>
      <c r="G717" s="195">
        <f>IF(OR(A717="",C717=""),"",E717-C717)</f>
        <v/>
      </c>
      <c r="H717" s="195">
        <f>IF(A717="","",LOG10(A717))</f>
        <v/>
      </c>
      <c r="I717" s="195">
        <f>IF(B717="","",LOG10(MAX(B717,1E-12)))</f>
        <v/>
      </c>
      <c r="J717" s="195">
        <f>IF(D717="","",LOG10(MAX(D717,1E-12)))</f>
        <v/>
      </c>
      <c r="K717">
        <f>IF(A717="","",ROUND(1+(LOG10(A717)-LOG10('入力・概要'!$B$38))*('入力・概要'!$B$40-1)/(LOG10('入力・概要'!$B$39)-LOG10('入力・概要'!$B$38)),0)+3)</f>
        <v/>
      </c>
      <c r="L717">
        <f>IF(K717="","",INDEX('同相3導体'!$B:$B,K717))</f>
        <v/>
      </c>
      <c r="M717">
        <f>IF(A717="","",IF(ABS(L717/A717-1)&lt;0.01,"周波数差&lt;1%","周波数差あり"))</f>
        <v/>
      </c>
    </row>
    <row r="718">
      <c r="A718" s="197" t="n"/>
      <c r="B718" s="198" t="n"/>
      <c r="C718" s="198" t="n"/>
      <c r="D718" s="195">
        <f>IF(K718="","",INDEX('同相3導体'!$AB:$AB,K718))</f>
        <v/>
      </c>
      <c r="E718" s="195">
        <f>IF(K718="","",INDEX('同相3導体'!$AC:$AC,K718))</f>
        <v/>
      </c>
      <c r="F718" s="195">
        <f>IF(OR(A718="",B718=""),"",100*(D718-B718)/MAX(B718,1E-12))</f>
        <v/>
      </c>
      <c r="G718" s="195">
        <f>IF(OR(A718="",C718=""),"",E718-C718)</f>
        <v/>
      </c>
      <c r="H718" s="195">
        <f>IF(A718="","",LOG10(A718))</f>
        <v/>
      </c>
      <c r="I718" s="195">
        <f>IF(B718="","",LOG10(MAX(B718,1E-12)))</f>
        <v/>
      </c>
      <c r="J718" s="195">
        <f>IF(D718="","",LOG10(MAX(D718,1E-12)))</f>
        <v/>
      </c>
      <c r="K718">
        <f>IF(A718="","",ROUND(1+(LOG10(A718)-LOG10('入力・概要'!$B$38))*('入力・概要'!$B$40-1)/(LOG10('入力・概要'!$B$39)-LOG10('入力・概要'!$B$38)),0)+3)</f>
        <v/>
      </c>
      <c r="L718">
        <f>IF(K718="","",INDEX('同相3導体'!$B:$B,K718))</f>
        <v/>
      </c>
      <c r="M718">
        <f>IF(A718="","",IF(ABS(L718/A718-1)&lt;0.01,"周波数差&lt;1%","周波数差あり"))</f>
        <v/>
      </c>
    </row>
    <row r="719">
      <c r="A719" s="197" t="n"/>
      <c r="B719" s="198" t="n"/>
      <c r="C719" s="198" t="n"/>
      <c r="D719" s="195">
        <f>IF(K719="","",INDEX('同相3導体'!$AB:$AB,K719))</f>
        <v/>
      </c>
      <c r="E719" s="195">
        <f>IF(K719="","",INDEX('同相3導体'!$AC:$AC,K719))</f>
        <v/>
      </c>
      <c r="F719" s="195">
        <f>IF(OR(A719="",B719=""),"",100*(D719-B719)/MAX(B719,1E-12))</f>
        <v/>
      </c>
      <c r="G719" s="195">
        <f>IF(OR(A719="",C719=""),"",E719-C719)</f>
        <v/>
      </c>
      <c r="H719" s="195">
        <f>IF(A719="","",LOG10(A719))</f>
        <v/>
      </c>
      <c r="I719" s="195">
        <f>IF(B719="","",LOG10(MAX(B719,1E-12)))</f>
        <v/>
      </c>
      <c r="J719" s="195">
        <f>IF(D719="","",LOG10(MAX(D719,1E-12)))</f>
        <v/>
      </c>
      <c r="K719">
        <f>IF(A719="","",ROUND(1+(LOG10(A719)-LOG10('入力・概要'!$B$38))*('入力・概要'!$B$40-1)/(LOG10('入力・概要'!$B$39)-LOG10('入力・概要'!$B$38)),0)+3)</f>
        <v/>
      </c>
      <c r="L719">
        <f>IF(K719="","",INDEX('同相3導体'!$B:$B,K719))</f>
        <v/>
      </c>
      <c r="M719">
        <f>IF(A719="","",IF(ABS(L719/A719-1)&lt;0.01,"周波数差&lt;1%","周波数差あり"))</f>
        <v/>
      </c>
    </row>
    <row r="720">
      <c r="A720" s="197" t="n"/>
      <c r="B720" s="198" t="n"/>
      <c r="C720" s="198" t="n"/>
      <c r="D720" s="195">
        <f>IF(K720="","",INDEX('同相3導体'!$AB:$AB,K720))</f>
        <v/>
      </c>
      <c r="E720" s="195">
        <f>IF(K720="","",INDEX('同相3導体'!$AC:$AC,K720))</f>
        <v/>
      </c>
      <c r="F720" s="195">
        <f>IF(OR(A720="",B720=""),"",100*(D720-B720)/MAX(B720,1E-12))</f>
        <v/>
      </c>
      <c r="G720" s="195">
        <f>IF(OR(A720="",C720=""),"",E720-C720)</f>
        <v/>
      </c>
      <c r="H720" s="195">
        <f>IF(A720="","",LOG10(A720))</f>
        <v/>
      </c>
      <c r="I720" s="195">
        <f>IF(B720="","",LOG10(MAX(B720,1E-12)))</f>
        <v/>
      </c>
      <c r="J720" s="195">
        <f>IF(D720="","",LOG10(MAX(D720,1E-12)))</f>
        <v/>
      </c>
      <c r="K720">
        <f>IF(A720="","",ROUND(1+(LOG10(A720)-LOG10('入力・概要'!$B$38))*('入力・概要'!$B$40-1)/(LOG10('入力・概要'!$B$39)-LOG10('入力・概要'!$B$38)),0)+3)</f>
        <v/>
      </c>
      <c r="L720">
        <f>IF(K720="","",INDEX('同相3導体'!$B:$B,K720))</f>
        <v/>
      </c>
      <c r="M720">
        <f>IF(A720="","",IF(ABS(L720/A720-1)&lt;0.01,"周波数差&lt;1%","周波数差あり"))</f>
        <v/>
      </c>
    </row>
    <row r="721">
      <c r="A721" s="197" t="n"/>
      <c r="B721" s="198" t="n"/>
      <c r="C721" s="198" t="n"/>
      <c r="D721" s="195">
        <f>IF(K721="","",INDEX('同相3導体'!$AB:$AB,K721))</f>
        <v/>
      </c>
      <c r="E721" s="195">
        <f>IF(K721="","",INDEX('同相3導体'!$AC:$AC,K721))</f>
        <v/>
      </c>
      <c r="F721" s="195">
        <f>IF(OR(A721="",B721=""),"",100*(D721-B721)/MAX(B721,1E-12))</f>
        <v/>
      </c>
      <c r="G721" s="195">
        <f>IF(OR(A721="",C721=""),"",E721-C721)</f>
        <v/>
      </c>
      <c r="H721" s="195">
        <f>IF(A721="","",LOG10(A721))</f>
        <v/>
      </c>
      <c r="I721" s="195">
        <f>IF(B721="","",LOG10(MAX(B721,1E-12)))</f>
        <v/>
      </c>
      <c r="J721" s="195">
        <f>IF(D721="","",LOG10(MAX(D721,1E-12)))</f>
        <v/>
      </c>
      <c r="K721">
        <f>IF(A721="","",ROUND(1+(LOG10(A721)-LOG10('入力・概要'!$B$38))*('入力・概要'!$B$40-1)/(LOG10('入力・概要'!$B$39)-LOG10('入力・概要'!$B$38)),0)+3)</f>
        <v/>
      </c>
      <c r="L721">
        <f>IF(K721="","",INDEX('同相3導体'!$B:$B,K721))</f>
        <v/>
      </c>
      <c r="M721">
        <f>IF(A721="","",IF(ABS(L721/A721-1)&lt;0.01,"周波数差&lt;1%","周波数差あり"))</f>
        <v/>
      </c>
    </row>
    <row r="722">
      <c r="A722" s="197" t="n"/>
      <c r="B722" s="198" t="n"/>
      <c r="C722" s="198" t="n"/>
      <c r="D722" s="195">
        <f>IF(K722="","",INDEX('同相3導体'!$AB:$AB,K722))</f>
        <v/>
      </c>
      <c r="E722" s="195">
        <f>IF(K722="","",INDEX('同相3導体'!$AC:$AC,K722))</f>
        <v/>
      </c>
      <c r="F722" s="195">
        <f>IF(OR(A722="",B722=""),"",100*(D722-B722)/MAX(B722,1E-12))</f>
        <v/>
      </c>
      <c r="G722" s="195">
        <f>IF(OR(A722="",C722=""),"",E722-C722)</f>
        <v/>
      </c>
      <c r="H722" s="195">
        <f>IF(A722="","",LOG10(A722))</f>
        <v/>
      </c>
      <c r="I722" s="195">
        <f>IF(B722="","",LOG10(MAX(B722,1E-12)))</f>
        <v/>
      </c>
      <c r="J722" s="195">
        <f>IF(D722="","",LOG10(MAX(D722,1E-12)))</f>
        <v/>
      </c>
      <c r="K722">
        <f>IF(A722="","",ROUND(1+(LOG10(A722)-LOG10('入力・概要'!$B$38))*('入力・概要'!$B$40-1)/(LOG10('入力・概要'!$B$39)-LOG10('入力・概要'!$B$38)),0)+3)</f>
        <v/>
      </c>
      <c r="L722">
        <f>IF(K722="","",INDEX('同相3導体'!$B:$B,K722))</f>
        <v/>
      </c>
      <c r="M722">
        <f>IF(A722="","",IF(ABS(L722/A722-1)&lt;0.01,"周波数差&lt;1%","周波数差あり"))</f>
        <v/>
      </c>
    </row>
    <row r="723">
      <c r="A723" s="197" t="n"/>
      <c r="B723" s="198" t="n"/>
      <c r="C723" s="198" t="n"/>
      <c r="D723" s="195">
        <f>IF(K723="","",INDEX('同相3導体'!$AB:$AB,K723))</f>
        <v/>
      </c>
      <c r="E723" s="195">
        <f>IF(K723="","",INDEX('同相3導体'!$AC:$AC,K723))</f>
        <v/>
      </c>
      <c r="F723" s="195">
        <f>IF(OR(A723="",B723=""),"",100*(D723-B723)/MAX(B723,1E-12))</f>
        <v/>
      </c>
      <c r="G723" s="195">
        <f>IF(OR(A723="",C723=""),"",E723-C723)</f>
        <v/>
      </c>
      <c r="H723" s="195">
        <f>IF(A723="","",LOG10(A723))</f>
        <v/>
      </c>
      <c r="I723" s="195">
        <f>IF(B723="","",LOG10(MAX(B723,1E-12)))</f>
        <v/>
      </c>
      <c r="J723" s="195">
        <f>IF(D723="","",LOG10(MAX(D723,1E-12)))</f>
        <v/>
      </c>
      <c r="K723">
        <f>IF(A723="","",ROUND(1+(LOG10(A723)-LOG10('入力・概要'!$B$38))*('入力・概要'!$B$40-1)/(LOG10('入力・概要'!$B$39)-LOG10('入力・概要'!$B$38)),0)+3)</f>
        <v/>
      </c>
      <c r="L723">
        <f>IF(K723="","",INDEX('同相3導体'!$B:$B,K723))</f>
        <v/>
      </c>
      <c r="M723">
        <f>IF(A723="","",IF(ABS(L723/A723-1)&lt;0.01,"周波数差&lt;1%","周波数差あり"))</f>
        <v/>
      </c>
    </row>
    <row r="724">
      <c r="A724" s="197" t="n"/>
      <c r="B724" s="198" t="n"/>
      <c r="C724" s="198" t="n"/>
      <c r="D724" s="195">
        <f>IF(K724="","",INDEX('同相3導体'!$AB:$AB,K724))</f>
        <v/>
      </c>
      <c r="E724" s="195">
        <f>IF(K724="","",INDEX('同相3導体'!$AC:$AC,K724))</f>
        <v/>
      </c>
      <c r="F724" s="195">
        <f>IF(OR(A724="",B724=""),"",100*(D724-B724)/MAX(B724,1E-12))</f>
        <v/>
      </c>
      <c r="G724" s="195">
        <f>IF(OR(A724="",C724=""),"",E724-C724)</f>
        <v/>
      </c>
      <c r="H724" s="195">
        <f>IF(A724="","",LOG10(A724))</f>
        <v/>
      </c>
      <c r="I724" s="195">
        <f>IF(B724="","",LOG10(MAX(B724,1E-12)))</f>
        <v/>
      </c>
      <c r="J724" s="195">
        <f>IF(D724="","",LOG10(MAX(D724,1E-12)))</f>
        <v/>
      </c>
      <c r="K724">
        <f>IF(A724="","",ROUND(1+(LOG10(A724)-LOG10('入力・概要'!$B$38))*('入力・概要'!$B$40-1)/(LOG10('入力・概要'!$B$39)-LOG10('入力・概要'!$B$38)),0)+3)</f>
        <v/>
      </c>
      <c r="L724">
        <f>IF(K724="","",INDEX('同相3導体'!$B:$B,K724))</f>
        <v/>
      </c>
      <c r="M724">
        <f>IF(A724="","",IF(ABS(L724/A724-1)&lt;0.01,"周波数差&lt;1%","周波数差あり"))</f>
        <v/>
      </c>
    </row>
    <row r="725">
      <c r="A725" s="197" t="n"/>
      <c r="B725" s="198" t="n"/>
      <c r="C725" s="198" t="n"/>
      <c r="D725" s="195">
        <f>IF(K725="","",INDEX('同相3導体'!$AB:$AB,K725))</f>
        <v/>
      </c>
      <c r="E725" s="195">
        <f>IF(K725="","",INDEX('同相3導体'!$AC:$AC,K725))</f>
        <v/>
      </c>
      <c r="F725" s="195">
        <f>IF(OR(A725="",B725=""),"",100*(D725-B725)/MAX(B725,1E-12))</f>
        <v/>
      </c>
      <c r="G725" s="195">
        <f>IF(OR(A725="",C725=""),"",E725-C725)</f>
        <v/>
      </c>
      <c r="H725" s="195">
        <f>IF(A725="","",LOG10(A725))</f>
        <v/>
      </c>
      <c r="I725" s="195">
        <f>IF(B725="","",LOG10(MAX(B725,1E-12)))</f>
        <v/>
      </c>
      <c r="J725" s="195">
        <f>IF(D725="","",LOG10(MAX(D725,1E-12)))</f>
        <v/>
      </c>
      <c r="K725">
        <f>IF(A725="","",ROUND(1+(LOG10(A725)-LOG10('入力・概要'!$B$38))*('入力・概要'!$B$40-1)/(LOG10('入力・概要'!$B$39)-LOG10('入力・概要'!$B$38)),0)+3)</f>
        <v/>
      </c>
      <c r="L725">
        <f>IF(K725="","",INDEX('同相3導体'!$B:$B,K725))</f>
        <v/>
      </c>
      <c r="M725">
        <f>IF(A725="","",IF(ABS(L725/A725-1)&lt;0.01,"周波数差&lt;1%","周波数差あり"))</f>
        <v/>
      </c>
    </row>
    <row r="726">
      <c r="A726" s="197" t="n"/>
      <c r="B726" s="198" t="n"/>
      <c r="C726" s="198" t="n"/>
      <c r="D726" s="195">
        <f>IF(K726="","",INDEX('同相3導体'!$AB:$AB,K726))</f>
        <v/>
      </c>
      <c r="E726" s="195">
        <f>IF(K726="","",INDEX('同相3導体'!$AC:$AC,K726))</f>
        <v/>
      </c>
      <c r="F726" s="195">
        <f>IF(OR(A726="",B726=""),"",100*(D726-B726)/MAX(B726,1E-12))</f>
        <v/>
      </c>
      <c r="G726" s="195">
        <f>IF(OR(A726="",C726=""),"",E726-C726)</f>
        <v/>
      </c>
      <c r="H726" s="195">
        <f>IF(A726="","",LOG10(A726))</f>
        <v/>
      </c>
      <c r="I726" s="195">
        <f>IF(B726="","",LOG10(MAX(B726,1E-12)))</f>
        <v/>
      </c>
      <c r="J726" s="195">
        <f>IF(D726="","",LOG10(MAX(D726,1E-12)))</f>
        <v/>
      </c>
      <c r="K726">
        <f>IF(A726="","",ROUND(1+(LOG10(A726)-LOG10('入力・概要'!$B$38))*('入力・概要'!$B$40-1)/(LOG10('入力・概要'!$B$39)-LOG10('入力・概要'!$B$38)),0)+3)</f>
        <v/>
      </c>
      <c r="L726">
        <f>IF(K726="","",INDEX('同相3導体'!$B:$B,K726))</f>
        <v/>
      </c>
      <c r="M726">
        <f>IF(A726="","",IF(ABS(L726/A726-1)&lt;0.01,"周波数差&lt;1%","周波数差あり"))</f>
        <v/>
      </c>
    </row>
    <row r="727">
      <c r="A727" s="197" t="n"/>
      <c r="B727" s="198" t="n"/>
      <c r="C727" s="198" t="n"/>
      <c r="D727" s="195">
        <f>IF(K727="","",INDEX('同相3導体'!$AB:$AB,K727))</f>
        <v/>
      </c>
      <c r="E727" s="195">
        <f>IF(K727="","",INDEX('同相3導体'!$AC:$AC,K727))</f>
        <v/>
      </c>
      <c r="F727" s="195">
        <f>IF(OR(A727="",B727=""),"",100*(D727-B727)/MAX(B727,1E-12))</f>
        <v/>
      </c>
      <c r="G727" s="195">
        <f>IF(OR(A727="",C727=""),"",E727-C727)</f>
        <v/>
      </c>
      <c r="H727" s="195">
        <f>IF(A727="","",LOG10(A727))</f>
        <v/>
      </c>
      <c r="I727" s="195">
        <f>IF(B727="","",LOG10(MAX(B727,1E-12)))</f>
        <v/>
      </c>
      <c r="J727" s="195">
        <f>IF(D727="","",LOG10(MAX(D727,1E-12)))</f>
        <v/>
      </c>
      <c r="K727">
        <f>IF(A727="","",ROUND(1+(LOG10(A727)-LOG10('入力・概要'!$B$38))*('入力・概要'!$B$40-1)/(LOG10('入力・概要'!$B$39)-LOG10('入力・概要'!$B$38)),0)+3)</f>
        <v/>
      </c>
      <c r="L727">
        <f>IF(K727="","",INDEX('同相3導体'!$B:$B,K727))</f>
        <v/>
      </c>
      <c r="M727">
        <f>IF(A727="","",IF(ABS(L727/A727-1)&lt;0.01,"周波数差&lt;1%","周波数差あり"))</f>
        <v/>
      </c>
    </row>
    <row r="728">
      <c r="A728" s="197" t="n"/>
      <c r="B728" s="198" t="n"/>
      <c r="C728" s="198" t="n"/>
      <c r="D728" s="195">
        <f>IF(K728="","",INDEX('同相3導体'!$AB:$AB,K728))</f>
        <v/>
      </c>
      <c r="E728" s="195">
        <f>IF(K728="","",INDEX('同相3導体'!$AC:$AC,K728))</f>
        <v/>
      </c>
      <c r="F728" s="195">
        <f>IF(OR(A728="",B728=""),"",100*(D728-B728)/MAX(B728,1E-12))</f>
        <v/>
      </c>
      <c r="G728" s="195">
        <f>IF(OR(A728="",C728=""),"",E728-C728)</f>
        <v/>
      </c>
      <c r="H728" s="195">
        <f>IF(A728="","",LOG10(A728))</f>
        <v/>
      </c>
      <c r="I728" s="195">
        <f>IF(B728="","",LOG10(MAX(B728,1E-12)))</f>
        <v/>
      </c>
      <c r="J728" s="195">
        <f>IF(D728="","",LOG10(MAX(D728,1E-12)))</f>
        <v/>
      </c>
      <c r="K728">
        <f>IF(A728="","",ROUND(1+(LOG10(A728)-LOG10('入力・概要'!$B$38))*('入力・概要'!$B$40-1)/(LOG10('入力・概要'!$B$39)-LOG10('入力・概要'!$B$38)),0)+3)</f>
        <v/>
      </c>
      <c r="L728">
        <f>IF(K728="","",INDEX('同相3導体'!$B:$B,K728))</f>
        <v/>
      </c>
      <c r="M728">
        <f>IF(A728="","",IF(ABS(L728/A728-1)&lt;0.01,"周波数差&lt;1%","周波数差あり"))</f>
        <v/>
      </c>
    </row>
    <row r="729">
      <c r="A729" s="197" t="n"/>
      <c r="B729" s="198" t="n"/>
      <c r="C729" s="198" t="n"/>
      <c r="D729" s="195">
        <f>IF(K729="","",INDEX('同相3導体'!$AB:$AB,K729))</f>
        <v/>
      </c>
      <c r="E729" s="195">
        <f>IF(K729="","",INDEX('同相3導体'!$AC:$AC,K729))</f>
        <v/>
      </c>
      <c r="F729" s="195">
        <f>IF(OR(A729="",B729=""),"",100*(D729-B729)/MAX(B729,1E-12))</f>
        <v/>
      </c>
      <c r="G729" s="195">
        <f>IF(OR(A729="",C729=""),"",E729-C729)</f>
        <v/>
      </c>
      <c r="H729" s="195">
        <f>IF(A729="","",LOG10(A729))</f>
        <v/>
      </c>
      <c r="I729" s="195">
        <f>IF(B729="","",LOG10(MAX(B729,1E-12)))</f>
        <v/>
      </c>
      <c r="J729" s="195">
        <f>IF(D729="","",LOG10(MAX(D729,1E-12)))</f>
        <v/>
      </c>
      <c r="K729">
        <f>IF(A729="","",ROUND(1+(LOG10(A729)-LOG10('入力・概要'!$B$38))*('入力・概要'!$B$40-1)/(LOG10('入力・概要'!$B$39)-LOG10('入力・概要'!$B$38)),0)+3)</f>
        <v/>
      </c>
      <c r="L729">
        <f>IF(K729="","",INDEX('同相3導体'!$B:$B,K729))</f>
        <v/>
      </c>
      <c r="M729">
        <f>IF(A729="","",IF(ABS(L729/A729-1)&lt;0.01,"周波数差&lt;1%","周波数差あり"))</f>
        <v/>
      </c>
    </row>
    <row r="730">
      <c r="A730" s="197" t="n"/>
      <c r="B730" s="198" t="n"/>
      <c r="C730" s="198" t="n"/>
      <c r="D730" s="195">
        <f>IF(K730="","",INDEX('同相3導体'!$AB:$AB,K730))</f>
        <v/>
      </c>
      <c r="E730" s="195">
        <f>IF(K730="","",INDEX('同相3導体'!$AC:$AC,K730))</f>
        <v/>
      </c>
      <c r="F730" s="195">
        <f>IF(OR(A730="",B730=""),"",100*(D730-B730)/MAX(B730,1E-12))</f>
        <v/>
      </c>
      <c r="G730" s="195">
        <f>IF(OR(A730="",C730=""),"",E730-C730)</f>
        <v/>
      </c>
      <c r="H730" s="195">
        <f>IF(A730="","",LOG10(A730))</f>
        <v/>
      </c>
      <c r="I730" s="195">
        <f>IF(B730="","",LOG10(MAX(B730,1E-12)))</f>
        <v/>
      </c>
      <c r="J730" s="195">
        <f>IF(D730="","",LOG10(MAX(D730,1E-12)))</f>
        <v/>
      </c>
      <c r="K730">
        <f>IF(A730="","",ROUND(1+(LOG10(A730)-LOG10('入力・概要'!$B$38))*('入力・概要'!$B$40-1)/(LOG10('入力・概要'!$B$39)-LOG10('入力・概要'!$B$38)),0)+3)</f>
        <v/>
      </c>
      <c r="L730">
        <f>IF(K730="","",INDEX('同相3導体'!$B:$B,K730))</f>
        <v/>
      </c>
      <c r="M730">
        <f>IF(A730="","",IF(ABS(L730/A730-1)&lt;0.01,"周波数差&lt;1%","周波数差あり"))</f>
        <v/>
      </c>
    </row>
    <row r="731">
      <c r="A731" s="197" t="n"/>
      <c r="B731" s="198" t="n"/>
      <c r="C731" s="198" t="n"/>
      <c r="D731" s="195">
        <f>IF(K731="","",INDEX('同相3導体'!$AB:$AB,K731))</f>
        <v/>
      </c>
      <c r="E731" s="195">
        <f>IF(K731="","",INDEX('同相3導体'!$AC:$AC,K731))</f>
        <v/>
      </c>
      <c r="F731" s="195">
        <f>IF(OR(A731="",B731=""),"",100*(D731-B731)/MAX(B731,1E-12))</f>
        <v/>
      </c>
      <c r="G731" s="195">
        <f>IF(OR(A731="",C731=""),"",E731-C731)</f>
        <v/>
      </c>
      <c r="H731" s="195">
        <f>IF(A731="","",LOG10(A731))</f>
        <v/>
      </c>
      <c r="I731" s="195">
        <f>IF(B731="","",LOG10(MAX(B731,1E-12)))</f>
        <v/>
      </c>
      <c r="J731" s="195">
        <f>IF(D731="","",LOG10(MAX(D731,1E-12)))</f>
        <v/>
      </c>
      <c r="K731">
        <f>IF(A731="","",ROUND(1+(LOG10(A731)-LOG10('入力・概要'!$B$38))*('入力・概要'!$B$40-1)/(LOG10('入力・概要'!$B$39)-LOG10('入力・概要'!$B$38)),0)+3)</f>
        <v/>
      </c>
      <c r="L731">
        <f>IF(K731="","",INDEX('同相3導体'!$B:$B,K731))</f>
        <v/>
      </c>
      <c r="M731">
        <f>IF(A731="","",IF(ABS(L731/A731-1)&lt;0.01,"周波数差&lt;1%","周波数差あり"))</f>
        <v/>
      </c>
    </row>
    <row r="732">
      <c r="A732" s="197" t="n"/>
      <c r="B732" s="198" t="n"/>
      <c r="C732" s="198" t="n"/>
      <c r="D732" s="195">
        <f>IF(K732="","",INDEX('同相3導体'!$AB:$AB,K732))</f>
        <v/>
      </c>
      <c r="E732" s="195">
        <f>IF(K732="","",INDEX('同相3導体'!$AC:$AC,K732))</f>
        <v/>
      </c>
      <c r="F732" s="195">
        <f>IF(OR(A732="",B732=""),"",100*(D732-B732)/MAX(B732,1E-12))</f>
        <v/>
      </c>
      <c r="G732" s="195">
        <f>IF(OR(A732="",C732=""),"",E732-C732)</f>
        <v/>
      </c>
      <c r="H732" s="195">
        <f>IF(A732="","",LOG10(A732))</f>
        <v/>
      </c>
      <c r="I732" s="195">
        <f>IF(B732="","",LOG10(MAX(B732,1E-12)))</f>
        <v/>
      </c>
      <c r="J732" s="195">
        <f>IF(D732="","",LOG10(MAX(D732,1E-12)))</f>
        <v/>
      </c>
      <c r="K732">
        <f>IF(A732="","",ROUND(1+(LOG10(A732)-LOG10('入力・概要'!$B$38))*('入力・概要'!$B$40-1)/(LOG10('入力・概要'!$B$39)-LOG10('入力・概要'!$B$38)),0)+3)</f>
        <v/>
      </c>
      <c r="L732">
        <f>IF(K732="","",INDEX('同相3導体'!$B:$B,K732))</f>
        <v/>
      </c>
      <c r="M732">
        <f>IF(A732="","",IF(ABS(L732/A732-1)&lt;0.01,"周波数差&lt;1%","周波数差あり"))</f>
        <v/>
      </c>
    </row>
    <row r="733">
      <c r="A733" s="197" t="n"/>
      <c r="B733" s="198" t="n"/>
      <c r="C733" s="198" t="n"/>
      <c r="D733" s="195">
        <f>IF(K733="","",INDEX('同相3導体'!$AB:$AB,K733))</f>
        <v/>
      </c>
      <c r="E733" s="195">
        <f>IF(K733="","",INDEX('同相3導体'!$AC:$AC,K733))</f>
        <v/>
      </c>
      <c r="F733" s="195">
        <f>IF(OR(A733="",B733=""),"",100*(D733-B733)/MAX(B733,1E-12))</f>
        <v/>
      </c>
      <c r="G733" s="195">
        <f>IF(OR(A733="",C733=""),"",E733-C733)</f>
        <v/>
      </c>
      <c r="H733" s="195">
        <f>IF(A733="","",LOG10(A733))</f>
        <v/>
      </c>
      <c r="I733" s="195">
        <f>IF(B733="","",LOG10(MAX(B733,1E-12)))</f>
        <v/>
      </c>
      <c r="J733" s="195">
        <f>IF(D733="","",LOG10(MAX(D733,1E-12)))</f>
        <v/>
      </c>
      <c r="K733">
        <f>IF(A733="","",ROUND(1+(LOG10(A733)-LOG10('入力・概要'!$B$38))*('入力・概要'!$B$40-1)/(LOG10('入力・概要'!$B$39)-LOG10('入力・概要'!$B$38)),0)+3)</f>
        <v/>
      </c>
      <c r="L733">
        <f>IF(K733="","",INDEX('同相3導体'!$B:$B,K733))</f>
        <v/>
      </c>
      <c r="M733">
        <f>IF(A733="","",IF(ABS(L733/A733-1)&lt;0.01,"周波数差&lt;1%","周波数差あり"))</f>
        <v/>
      </c>
    </row>
    <row r="734">
      <c r="A734" s="197" t="n"/>
      <c r="B734" s="198" t="n"/>
      <c r="C734" s="198" t="n"/>
      <c r="D734" s="195">
        <f>IF(K734="","",INDEX('同相3導体'!$AB:$AB,K734))</f>
        <v/>
      </c>
      <c r="E734" s="195">
        <f>IF(K734="","",INDEX('同相3導体'!$AC:$AC,K734))</f>
        <v/>
      </c>
      <c r="F734" s="195">
        <f>IF(OR(A734="",B734=""),"",100*(D734-B734)/MAX(B734,1E-12))</f>
        <v/>
      </c>
      <c r="G734" s="195">
        <f>IF(OR(A734="",C734=""),"",E734-C734)</f>
        <v/>
      </c>
      <c r="H734" s="195">
        <f>IF(A734="","",LOG10(A734))</f>
        <v/>
      </c>
      <c r="I734" s="195">
        <f>IF(B734="","",LOG10(MAX(B734,1E-12)))</f>
        <v/>
      </c>
      <c r="J734" s="195">
        <f>IF(D734="","",LOG10(MAX(D734,1E-12)))</f>
        <v/>
      </c>
      <c r="K734">
        <f>IF(A734="","",ROUND(1+(LOG10(A734)-LOG10('入力・概要'!$B$38))*('入力・概要'!$B$40-1)/(LOG10('入力・概要'!$B$39)-LOG10('入力・概要'!$B$38)),0)+3)</f>
        <v/>
      </c>
      <c r="L734">
        <f>IF(K734="","",INDEX('同相3導体'!$B:$B,K734))</f>
        <v/>
      </c>
      <c r="M734">
        <f>IF(A734="","",IF(ABS(L734/A734-1)&lt;0.01,"周波数差&lt;1%","周波数差あり"))</f>
        <v/>
      </c>
    </row>
    <row r="735">
      <c r="A735" s="197" t="n"/>
      <c r="B735" s="198" t="n"/>
      <c r="C735" s="198" t="n"/>
      <c r="D735" s="195">
        <f>IF(K735="","",INDEX('同相3導体'!$AB:$AB,K735))</f>
        <v/>
      </c>
      <c r="E735" s="195">
        <f>IF(K735="","",INDEX('同相3導体'!$AC:$AC,K735))</f>
        <v/>
      </c>
      <c r="F735" s="195">
        <f>IF(OR(A735="",B735=""),"",100*(D735-B735)/MAX(B735,1E-12))</f>
        <v/>
      </c>
      <c r="G735" s="195">
        <f>IF(OR(A735="",C735=""),"",E735-C735)</f>
        <v/>
      </c>
      <c r="H735" s="195">
        <f>IF(A735="","",LOG10(A735))</f>
        <v/>
      </c>
      <c r="I735" s="195">
        <f>IF(B735="","",LOG10(MAX(B735,1E-12)))</f>
        <v/>
      </c>
      <c r="J735" s="195">
        <f>IF(D735="","",LOG10(MAX(D735,1E-12)))</f>
        <v/>
      </c>
      <c r="K735">
        <f>IF(A735="","",ROUND(1+(LOG10(A735)-LOG10('入力・概要'!$B$38))*('入力・概要'!$B$40-1)/(LOG10('入力・概要'!$B$39)-LOG10('入力・概要'!$B$38)),0)+3)</f>
        <v/>
      </c>
      <c r="L735">
        <f>IF(K735="","",INDEX('同相3導体'!$B:$B,K735))</f>
        <v/>
      </c>
      <c r="M735">
        <f>IF(A735="","",IF(ABS(L735/A735-1)&lt;0.01,"周波数差&lt;1%","周波数差あり"))</f>
        <v/>
      </c>
    </row>
    <row r="736">
      <c r="A736" s="197" t="n"/>
      <c r="B736" s="198" t="n"/>
      <c r="C736" s="198" t="n"/>
      <c r="D736" s="195">
        <f>IF(K736="","",INDEX('同相3導体'!$AB:$AB,K736))</f>
        <v/>
      </c>
      <c r="E736" s="195">
        <f>IF(K736="","",INDEX('同相3導体'!$AC:$AC,K736))</f>
        <v/>
      </c>
      <c r="F736" s="195">
        <f>IF(OR(A736="",B736=""),"",100*(D736-B736)/MAX(B736,1E-12))</f>
        <v/>
      </c>
      <c r="G736" s="195">
        <f>IF(OR(A736="",C736=""),"",E736-C736)</f>
        <v/>
      </c>
      <c r="H736" s="195">
        <f>IF(A736="","",LOG10(A736))</f>
        <v/>
      </c>
      <c r="I736" s="195">
        <f>IF(B736="","",LOG10(MAX(B736,1E-12)))</f>
        <v/>
      </c>
      <c r="J736" s="195">
        <f>IF(D736="","",LOG10(MAX(D736,1E-12)))</f>
        <v/>
      </c>
      <c r="K736">
        <f>IF(A736="","",ROUND(1+(LOG10(A736)-LOG10('入力・概要'!$B$38))*('入力・概要'!$B$40-1)/(LOG10('入力・概要'!$B$39)-LOG10('入力・概要'!$B$38)),0)+3)</f>
        <v/>
      </c>
      <c r="L736">
        <f>IF(K736="","",INDEX('同相3導体'!$B:$B,K736))</f>
        <v/>
      </c>
      <c r="M736">
        <f>IF(A736="","",IF(ABS(L736/A736-1)&lt;0.01,"周波数差&lt;1%","周波数差あり"))</f>
        <v/>
      </c>
    </row>
    <row r="737">
      <c r="A737" s="197" t="n"/>
      <c r="B737" s="198" t="n"/>
      <c r="C737" s="198" t="n"/>
      <c r="D737" s="195">
        <f>IF(K737="","",INDEX('同相3導体'!$AB:$AB,K737))</f>
        <v/>
      </c>
      <c r="E737" s="195">
        <f>IF(K737="","",INDEX('同相3導体'!$AC:$AC,K737))</f>
        <v/>
      </c>
      <c r="F737" s="195">
        <f>IF(OR(A737="",B737=""),"",100*(D737-B737)/MAX(B737,1E-12))</f>
        <v/>
      </c>
      <c r="G737" s="195">
        <f>IF(OR(A737="",C737=""),"",E737-C737)</f>
        <v/>
      </c>
      <c r="H737" s="195">
        <f>IF(A737="","",LOG10(A737))</f>
        <v/>
      </c>
      <c r="I737" s="195">
        <f>IF(B737="","",LOG10(MAX(B737,1E-12)))</f>
        <v/>
      </c>
      <c r="J737" s="195">
        <f>IF(D737="","",LOG10(MAX(D737,1E-12)))</f>
        <v/>
      </c>
      <c r="K737">
        <f>IF(A737="","",ROUND(1+(LOG10(A737)-LOG10('入力・概要'!$B$38))*('入力・概要'!$B$40-1)/(LOG10('入力・概要'!$B$39)-LOG10('入力・概要'!$B$38)),0)+3)</f>
        <v/>
      </c>
      <c r="L737">
        <f>IF(K737="","",INDEX('同相3導体'!$B:$B,K737))</f>
        <v/>
      </c>
      <c r="M737">
        <f>IF(A737="","",IF(ABS(L737/A737-1)&lt;0.01,"周波数差&lt;1%","周波数差あり"))</f>
        <v/>
      </c>
    </row>
    <row r="738">
      <c r="A738" s="197" t="n"/>
      <c r="B738" s="198" t="n"/>
      <c r="C738" s="198" t="n"/>
      <c r="D738" s="195">
        <f>IF(K738="","",INDEX('同相3導体'!$AB:$AB,K738))</f>
        <v/>
      </c>
      <c r="E738" s="195">
        <f>IF(K738="","",INDEX('同相3導体'!$AC:$AC,K738))</f>
        <v/>
      </c>
      <c r="F738" s="195">
        <f>IF(OR(A738="",B738=""),"",100*(D738-B738)/MAX(B738,1E-12))</f>
        <v/>
      </c>
      <c r="G738" s="195">
        <f>IF(OR(A738="",C738=""),"",E738-C738)</f>
        <v/>
      </c>
      <c r="H738" s="195">
        <f>IF(A738="","",LOG10(A738))</f>
        <v/>
      </c>
      <c r="I738" s="195">
        <f>IF(B738="","",LOG10(MAX(B738,1E-12)))</f>
        <v/>
      </c>
      <c r="J738" s="195">
        <f>IF(D738="","",LOG10(MAX(D738,1E-12)))</f>
        <v/>
      </c>
      <c r="K738">
        <f>IF(A738="","",ROUND(1+(LOG10(A738)-LOG10('入力・概要'!$B$38))*('入力・概要'!$B$40-1)/(LOG10('入力・概要'!$B$39)-LOG10('入力・概要'!$B$38)),0)+3)</f>
        <v/>
      </c>
      <c r="L738">
        <f>IF(K738="","",INDEX('同相3導体'!$B:$B,K738))</f>
        <v/>
      </c>
      <c r="M738">
        <f>IF(A738="","",IF(ABS(L738/A738-1)&lt;0.01,"周波数差&lt;1%","周波数差あり"))</f>
        <v/>
      </c>
    </row>
    <row r="739">
      <c r="A739" s="197" t="n"/>
      <c r="B739" s="198" t="n"/>
      <c r="C739" s="198" t="n"/>
      <c r="D739" s="195">
        <f>IF(K739="","",INDEX('同相3導体'!$AB:$AB,K739))</f>
        <v/>
      </c>
      <c r="E739" s="195">
        <f>IF(K739="","",INDEX('同相3導体'!$AC:$AC,K739))</f>
        <v/>
      </c>
      <c r="F739" s="195">
        <f>IF(OR(A739="",B739=""),"",100*(D739-B739)/MAX(B739,1E-12))</f>
        <v/>
      </c>
      <c r="G739" s="195">
        <f>IF(OR(A739="",C739=""),"",E739-C739)</f>
        <v/>
      </c>
      <c r="H739" s="195">
        <f>IF(A739="","",LOG10(A739))</f>
        <v/>
      </c>
      <c r="I739" s="195">
        <f>IF(B739="","",LOG10(MAX(B739,1E-12)))</f>
        <v/>
      </c>
      <c r="J739" s="195">
        <f>IF(D739="","",LOG10(MAX(D739,1E-12)))</f>
        <v/>
      </c>
      <c r="K739">
        <f>IF(A739="","",ROUND(1+(LOG10(A739)-LOG10('入力・概要'!$B$38))*('入力・概要'!$B$40-1)/(LOG10('入力・概要'!$B$39)-LOG10('入力・概要'!$B$38)),0)+3)</f>
        <v/>
      </c>
      <c r="L739">
        <f>IF(K739="","",INDEX('同相3導体'!$B:$B,K739))</f>
        <v/>
      </c>
      <c r="M739">
        <f>IF(A739="","",IF(ABS(L739/A739-1)&lt;0.01,"周波数差&lt;1%","周波数差あり"))</f>
        <v/>
      </c>
    </row>
    <row r="740">
      <c r="A740" s="197" t="n"/>
      <c r="B740" s="198" t="n"/>
      <c r="C740" s="198" t="n"/>
      <c r="D740" s="195">
        <f>IF(K740="","",INDEX('同相3導体'!$AB:$AB,K740))</f>
        <v/>
      </c>
      <c r="E740" s="195">
        <f>IF(K740="","",INDEX('同相3導体'!$AC:$AC,K740))</f>
        <v/>
      </c>
      <c r="F740" s="195">
        <f>IF(OR(A740="",B740=""),"",100*(D740-B740)/MAX(B740,1E-12))</f>
        <v/>
      </c>
      <c r="G740" s="195">
        <f>IF(OR(A740="",C740=""),"",E740-C740)</f>
        <v/>
      </c>
      <c r="H740" s="195">
        <f>IF(A740="","",LOG10(A740))</f>
        <v/>
      </c>
      <c r="I740" s="195">
        <f>IF(B740="","",LOG10(MAX(B740,1E-12)))</f>
        <v/>
      </c>
      <c r="J740" s="195">
        <f>IF(D740="","",LOG10(MAX(D740,1E-12)))</f>
        <v/>
      </c>
      <c r="K740">
        <f>IF(A740="","",ROUND(1+(LOG10(A740)-LOG10('入力・概要'!$B$38))*('入力・概要'!$B$40-1)/(LOG10('入力・概要'!$B$39)-LOG10('入力・概要'!$B$38)),0)+3)</f>
        <v/>
      </c>
      <c r="L740">
        <f>IF(K740="","",INDEX('同相3導体'!$B:$B,K740))</f>
        <v/>
      </c>
      <c r="M740">
        <f>IF(A740="","",IF(ABS(L740/A740-1)&lt;0.01,"周波数差&lt;1%","周波数差あり"))</f>
        <v/>
      </c>
    </row>
    <row r="741">
      <c r="A741" s="197" t="n"/>
      <c r="B741" s="198" t="n"/>
      <c r="C741" s="198" t="n"/>
      <c r="D741" s="195">
        <f>IF(K741="","",INDEX('同相3導体'!$AB:$AB,K741))</f>
        <v/>
      </c>
      <c r="E741" s="195">
        <f>IF(K741="","",INDEX('同相3導体'!$AC:$AC,K741))</f>
        <v/>
      </c>
      <c r="F741" s="195">
        <f>IF(OR(A741="",B741=""),"",100*(D741-B741)/MAX(B741,1E-12))</f>
        <v/>
      </c>
      <c r="G741" s="195">
        <f>IF(OR(A741="",C741=""),"",E741-C741)</f>
        <v/>
      </c>
      <c r="H741" s="195">
        <f>IF(A741="","",LOG10(A741))</f>
        <v/>
      </c>
      <c r="I741" s="195">
        <f>IF(B741="","",LOG10(MAX(B741,1E-12)))</f>
        <v/>
      </c>
      <c r="J741" s="195">
        <f>IF(D741="","",LOG10(MAX(D741,1E-12)))</f>
        <v/>
      </c>
      <c r="K741">
        <f>IF(A741="","",ROUND(1+(LOG10(A741)-LOG10('入力・概要'!$B$38))*('入力・概要'!$B$40-1)/(LOG10('入力・概要'!$B$39)-LOG10('入力・概要'!$B$38)),0)+3)</f>
        <v/>
      </c>
      <c r="L741">
        <f>IF(K741="","",INDEX('同相3導体'!$B:$B,K741))</f>
        <v/>
      </c>
      <c r="M741">
        <f>IF(A741="","",IF(ABS(L741/A741-1)&lt;0.01,"周波数差&lt;1%","周波数差あり"))</f>
        <v/>
      </c>
    </row>
    <row r="742">
      <c r="A742" s="197" t="n"/>
      <c r="B742" s="198" t="n"/>
      <c r="C742" s="198" t="n"/>
      <c r="D742" s="195">
        <f>IF(K742="","",INDEX('同相3導体'!$AB:$AB,K742))</f>
        <v/>
      </c>
      <c r="E742" s="195">
        <f>IF(K742="","",INDEX('同相3導体'!$AC:$AC,K742))</f>
        <v/>
      </c>
      <c r="F742" s="195">
        <f>IF(OR(A742="",B742=""),"",100*(D742-B742)/MAX(B742,1E-12))</f>
        <v/>
      </c>
      <c r="G742" s="195">
        <f>IF(OR(A742="",C742=""),"",E742-C742)</f>
        <v/>
      </c>
      <c r="H742" s="195">
        <f>IF(A742="","",LOG10(A742))</f>
        <v/>
      </c>
      <c r="I742" s="195">
        <f>IF(B742="","",LOG10(MAX(B742,1E-12)))</f>
        <v/>
      </c>
      <c r="J742" s="195">
        <f>IF(D742="","",LOG10(MAX(D742,1E-12)))</f>
        <v/>
      </c>
      <c r="K742">
        <f>IF(A742="","",ROUND(1+(LOG10(A742)-LOG10('入力・概要'!$B$38))*('入力・概要'!$B$40-1)/(LOG10('入力・概要'!$B$39)-LOG10('入力・概要'!$B$38)),0)+3)</f>
        <v/>
      </c>
      <c r="L742">
        <f>IF(K742="","",INDEX('同相3導体'!$B:$B,K742))</f>
        <v/>
      </c>
      <c r="M742">
        <f>IF(A742="","",IF(ABS(L742/A742-1)&lt;0.01,"周波数差&lt;1%","周波数差あり"))</f>
        <v/>
      </c>
    </row>
    <row r="743">
      <c r="A743" s="197" t="n"/>
      <c r="B743" s="198" t="n"/>
      <c r="C743" s="198" t="n"/>
      <c r="D743" s="195">
        <f>IF(K743="","",INDEX('同相3導体'!$AB:$AB,K743))</f>
        <v/>
      </c>
      <c r="E743" s="195">
        <f>IF(K743="","",INDEX('同相3導体'!$AC:$AC,K743))</f>
        <v/>
      </c>
      <c r="F743" s="195">
        <f>IF(OR(A743="",B743=""),"",100*(D743-B743)/MAX(B743,1E-12))</f>
        <v/>
      </c>
      <c r="G743" s="195">
        <f>IF(OR(A743="",C743=""),"",E743-C743)</f>
        <v/>
      </c>
      <c r="H743" s="195">
        <f>IF(A743="","",LOG10(A743))</f>
        <v/>
      </c>
      <c r="I743" s="195">
        <f>IF(B743="","",LOG10(MAX(B743,1E-12)))</f>
        <v/>
      </c>
      <c r="J743" s="195">
        <f>IF(D743="","",LOG10(MAX(D743,1E-12)))</f>
        <v/>
      </c>
      <c r="K743">
        <f>IF(A743="","",ROUND(1+(LOG10(A743)-LOG10('入力・概要'!$B$38))*('入力・概要'!$B$40-1)/(LOG10('入力・概要'!$B$39)-LOG10('入力・概要'!$B$38)),0)+3)</f>
        <v/>
      </c>
      <c r="L743">
        <f>IF(K743="","",INDEX('同相3導体'!$B:$B,K743))</f>
        <v/>
      </c>
      <c r="M743">
        <f>IF(A743="","",IF(ABS(L743/A743-1)&lt;0.01,"周波数差&lt;1%","周波数差あり"))</f>
        <v/>
      </c>
    </row>
    <row r="744">
      <c r="A744" s="197" t="n"/>
      <c r="B744" s="198" t="n"/>
      <c r="C744" s="198" t="n"/>
      <c r="D744" s="195">
        <f>IF(K744="","",INDEX('同相3導体'!$AB:$AB,K744))</f>
        <v/>
      </c>
      <c r="E744" s="195">
        <f>IF(K744="","",INDEX('同相3導体'!$AC:$AC,K744))</f>
        <v/>
      </c>
      <c r="F744" s="195">
        <f>IF(OR(A744="",B744=""),"",100*(D744-B744)/MAX(B744,1E-12))</f>
        <v/>
      </c>
      <c r="G744" s="195">
        <f>IF(OR(A744="",C744=""),"",E744-C744)</f>
        <v/>
      </c>
      <c r="H744" s="195">
        <f>IF(A744="","",LOG10(A744))</f>
        <v/>
      </c>
      <c r="I744" s="195">
        <f>IF(B744="","",LOG10(MAX(B744,1E-12)))</f>
        <v/>
      </c>
      <c r="J744" s="195">
        <f>IF(D744="","",LOG10(MAX(D744,1E-12)))</f>
        <v/>
      </c>
      <c r="K744">
        <f>IF(A744="","",ROUND(1+(LOG10(A744)-LOG10('入力・概要'!$B$38))*('入力・概要'!$B$40-1)/(LOG10('入力・概要'!$B$39)-LOG10('入力・概要'!$B$38)),0)+3)</f>
        <v/>
      </c>
      <c r="L744">
        <f>IF(K744="","",INDEX('同相3導体'!$B:$B,K744))</f>
        <v/>
      </c>
      <c r="M744">
        <f>IF(A744="","",IF(ABS(L744/A744-1)&lt;0.01,"周波数差&lt;1%","周波数差あり"))</f>
        <v/>
      </c>
    </row>
    <row r="745">
      <c r="A745" s="197" t="n"/>
      <c r="B745" s="198" t="n"/>
      <c r="C745" s="198" t="n"/>
      <c r="D745" s="195">
        <f>IF(K745="","",INDEX('同相3導体'!$AB:$AB,K745))</f>
        <v/>
      </c>
      <c r="E745" s="195">
        <f>IF(K745="","",INDEX('同相3導体'!$AC:$AC,K745))</f>
        <v/>
      </c>
      <c r="F745" s="195">
        <f>IF(OR(A745="",B745=""),"",100*(D745-B745)/MAX(B745,1E-12))</f>
        <v/>
      </c>
      <c r="G745" s="195">
        <f>IF(OR(A745="",C745=""),"",E745-C745)</f>
        <v/>
      </c>
      <c r="H745" s="195">
        <f>IF(A745="","",LOG10(A745))</f>
        <v/>
      </c>
      <c r="I745" s="195">
        <f>IF(B745="","",LOG10(MAX(B745,1E-12)))</f>
        <v/>
      </c>
      <c r="J745" s="195">
        <f>IF(D745="","",LOG10(MAX(D745,1E-12)))</f>
        <v/>
      </c>
      <c r="K745">
        <f>IF(A745="","",ROUND(1+(LOG10(A745)-LOG10('入力・概要'!$B$38))*('入力・概要'!$B$40-1)/(LOG10('入力・概要'!$B$39)-LOG10('入力・概要'!$B$38)),0)+3)</f>
        <v/>
      </c>
      <c r="L745">
        <f>IF(K745="","",INDEX('同相3導体'!$B:$B,K745))</f>
        <v/>
      </c>
      <c r="M745">
        <f>IF(A745="","",IF(ABS(L745/A745-1)&lt;0.01,"周波数差&lt;1%","周波数差あり"))</f>
        <v/>
      </c>
    </row>
    <row r="746">
      <c r="A746" s="197" t="n"/>
      <c r="B746" s="198" t="n"/>
      <c r="C746" s="198" t="n"/>
      <c r="D746" s="195">
        <f>IF(K746="","",INDEX('同相3導体'!$AB:$AB,K746))</f>
        <v/>
      </c>
      <c r="E746" s="195">
        <f>IF(K746="","",INDEX('同相3導体'!$AC:$AC,K746))</f>
        <v/>
      </c>
      <c r="F746" s="195">
        <f>IF(OR(A746="",B746=""),"",100*(D746-B746)/MAX(B746,1E-12))</f>
        <v/>
      </c>
      <c r="G746" s="195">
        <f>IF(OR(A746="",C746=""),"",E746-C746)</f>
        <v/>
      </c>
      <c r="H746" s="195">
        <f>IF(A746="","",LOG10(A746))</f>
        <v/>
      </c>
      <c r="I746" s="195">
        <f>IF(B746="","",LOG10(MAX(B746,1E-12)))</f>
        <v/>
      </c>
      <c r="J746" s="195">
        <f>IF(D746="","",LOG10(MAX(D746,1E-12)))</f>
        <v/>
      </c>
      <c r="K746">
        <f>IF(A746="","",ROUND(1+(LOG10(A746)-LOG10('入力・概要'!$B$38))*('入力・概要'!$B$40-1)/(LOG10('入力・概要'!$B$39)-LOG10('入力・概要'!$B$38)),0)+3)</f>
        <v/>
      </c>
      <c r="L746">
        <f>IF(K746="","",INDEX('同相3導体'!$B:$B,K746))</f>
        <v/>
      </c>
      <c r="M746">
        <f>IF(A746="","",IF(ABS(L746/A746-1)&lt;0.01,"周波数差&lt;1%","周波数差あり"))</f>
        <v/>
      </c>
    </row>
    <row r="747">
      <c r="A747" s="197" t="n"/>
      <c r="B747" s="198" t="n"/>
      <c r="C747" s="198" t="n"/>
      <c r="D747" s="195">
        <f>IF(K747="","",INDEX('同相3導体'!$AB:$AB,K747))</f>
        <v/>
      </c>
      <c r="E747" s="195">
        <f>IF(K747="","",INDEX('同相3導体'!$AC:$AC,K747))</f>
        <v/>
      </c>
      <c r="F747" s="195">
        <f>IF(OR(A747="",B747=""),"",100*(D747-B747)/MAX(B747,1E-12))</f>
        <v/>
      </c>
      <c r="G747" s="195">
        <f>IF(OR(A747="",C747=""),"",E747-C747)</f>
        <v/>
      </c>
      <c r="H747" s="195">
        <f>IF(A747="","",LOG10(A747))</f>
        <v/>
      </c>
      <c r="I747" s="195">
        <f>IF(B747="","",LOG10(MAX(B747,1E-12)))</f>
        <v/>
      </c>
      <c r="J747" s="195">
        <f>IF(D747="","",LOG10(MAX(D747,1E-12)))</f>
        <v/>
      </c>
      <c r="K747">
        <f>IF(A747="","",ROUND(1+(LOG10(A747)-LOG10('入力・概要'!$B$38))*('入力・概要'!$B$40-1)/(LOG10('入力・概要'!$B$39)-LOG10('入力・概要'!$B$38)),0)+3)</f>
        <v/>
      </c>
      <c r="L747">
        <f>IF(K747="","",INDEX('同相3導体'!$B:$B,K747))</f>
        <v/>
      </c>
      <c r="M747">
        <f>IF(A747="","",IF(ABS(L747/A747-1)&lt;0.01,"周波数差&lt;1%","周波数差あり"))</f>
        <v/>
      </c>
    </row>
    <row r="748">
      <c r="A748" s="197" t="n"/>
      <c r="B748" s="198" t="n"/>
      <c r="C748" s="198" t="n"/>
      <c r="D748" s="195">
        <f>IF(K748="","",INDEX('同相3導体'!$AB:$AB,K748))</f>
        <v/>
      </c>
      <c r="E748" s="195">
        <f>IF(K748="","",INDEX('同相3導体'!$AC:$AC,K748))</f>
        <v/>
      </c>
      <c r="F748" s="195">
        <f>IF(OR(A748="",B748=""),"",100*(D748-B748)/MAX(B748,1E-12))</f>
        <v/>
      </c>
      <c r="G748" s="195">
        <f>IF(OR(A748="",C748=""),"",E748-C748)</f>
        <v/>
      </c>
      <c r="H748" s="195">
        <f>IF(A748="","",LOG10(A748))</f>
        <v/>
      </c>
      <c r="I748" s="195">
        <f>IF(B748="","",LOG10(MAX(B748,1E-12)))</f>
        <v/>
      </c>
      <c r="J748" s="195">
        <f>IF(D748="","",LOG10(MAX(D748,1E-12)))</f>
        <v/>
      </c>
      <c r="K748">
        <f>IF(A748="","",ROUND(1+(LOG10(A748)-LOG10('入力・概要'!$B$38))*('入力・概要'!$B$40-1)/(LOG10('入力・概要'!$B$39)-LOG10('入力・概要'!$B$38)),0)+3)</f>
        <v/>
      </c>
      <c r="L748">
        <f>IF(K748="","",INDEX('同相3導体'!$B:$B,K748))</f>
        <v/>
      </c>
      <c r="M748">
        <f>IF(A748="","",IF(ABS(L748/A748-1)&lt;0.01,"周波数差&lt;1%","周波数差あり"))</f>
        <v/>
      </c>
    </row>
    <row r="749">
      <c r="A749" s="197" t="n"/>
      <c r="B749" s="198" t="n"/>
      <c r="C749" s="198" t="n"/>
      <c r="D749" s="195">
        <f>IF(K749="","",INDEX('同相3導体'!$AB:$AB,K749))</f>
        <v/>
      </c>
      <c r="E749" s="195">
        <f>IF(K749="","",INDEX('同相3導体'!$AC:$AC,K749))</f>
        <v/>
      </c>
      <c r="F749" s="195">
        <f>IF(OR(A749="",B749=""),"",100*(D749-B749)/MAX(B749,1E-12))</f>
        <v/>
      </c>
      <c r="G749" s="195">
        <f>IF(OR(A749="",C749=""),"",E749-C749)</f>
        <v/>
      </c>
      <c r="H749" s="195">
        <f>IF(A749="","",LOG10(A749))</f>
        <v/>
      </c>
      <c r="I749" s="195">
        <f>IF(B749="","",LOG10(MAX(B749,1E-12)))</f>
        <v/>
      </c>
      <c r="J749" s="195">
        <f>IF(D749="","",LOG10(MAX(D749,1E-12)))</f>
        <v/>
      </c>
      <c r="K749">
        <f>IF(A749="","",ROUND(1+(LOG10(A749)-LOG10('入力・概要'!$B$38))*('入力・概要'!$B$40-1)/(LOG10('入力・概要'!$B$39)-LOG10('入力・概要'!$B$38)),0)+3)</f>
        <v/>
      </c>
      <c r="L749">
        <f>IF(K749="","",INDEX('同相3導体'!$B:$B,K749))</f>
        <v/>
      </c>
      <c r="M749">
        <f>IF(A749="","",IF(ABS(L749/A749-1)&lt;0.01,"周波数差&lt;1%","周波数差あり"))</f>
        <v/>
      </c>
    </row>
    <row r="750">
      <c r="A750" s="197" t="n"/>
      <c r="B750" s="198" t="n"/>
      <c r="C750" s="198" t="n"/>
      <c r="D750" s="195">
        <f>IF(K750="","",INDEX('同相3導体'!$AB:$AB,K750))</f>
        <v/>
      </c>
      <c r="E750" s="195">
        <f>IF(K750="","",INDEX('同相3導体'!$AC:$AC,K750))</f>
        <v/>
      </c>
      <c r="F750" s="195">
        <f>IF(OR(A750="",B750=""),"",100*(D750-B750)/MAX(B750,1E-12))</f>
        <v/>
      </c>
      <c r="G750" s="195">
        <f>IF(OR(A750="",C750=""),"",E750-C750)</f>
        <v/>
      </c>
      <c r="H750" s="195">
        <f>IF(A750="","",LOG10(A750))</f>
        <v/>
      </c>
      <c r="I750" s="195">
        <f>IF(B750="","",LOG10(MAX(B750,1E-12)))</f>
        <v/>
      </c>
      <c r="J750" s="195">
        <f>IF(D750="","",LOG10(MAX(D750,1E-12)))</f>
        <v/>
      </c>
      <c r="K750">
        <f>IF(A750="","",ROUND(1+(LOG10(A750)-LOG10('入力・概要'!$B$38))*('入力・概要'!$B$40-1)/(LOG10('入力・概要'!$B$39)-LOG10('入力・概要'!$B$38)),0)+3)</f>
        <v/>
      </c>
      <c r="L750">
        <f>IF(K750="","",INDEX('同相3導体'!$B:$B,K750))</f>
        <v/>
      </c>
      <c r="M750">
        <f>IF(A750="","",IF(ABS(L750/A750-1)&lt;0.01,"周波数差&lt;1%","周波数差あり"))</f>
        <v/>
      </c>
    </row>
    <row r="751">
      <c r="A751" s="197" t="n"/>
      <c r="B751" s="198" t="n"/>
      <c r="C751" s="198" t="n"/>
      <c r="D751" s="195">
        <f>IF(K751="","",INDEX('同相3導体'!$AB:$AB,K751))</f>
        <v/>
      </c>
      <c r="E751" s="195">
        <f>IF(K751="","",INDEX('同相3導体'!$AC:$AC,K751))</f>
        <v/>
      </c>
      <c r="F751" s="195">
        <f>IF(OR(A751="",B751=""),"",100*(D751-B751)/MAX(B751,1E-12))</f>
        <v/>
      </c>
      <c r="G751" s="195">
        <f>IF(OR(A751="",C751=""),"",E751-C751)</f>
        <v/>
      </c>
      <c r="H751" s="195">
        <f>IF(A751="","",LOG10(A751))</f>
        <v/>
      </c>
      <c r="I751" s="195">
        <f>IF(B751="","",LOG10(MAX(B751,1E-12)))</f>
        <v/>
      </c>
      <c r="J751" s="195">
        <f>IF(D751="","",LOG10(MAX(D751,1E-12)))</f>
        <v/>
      </c>
      <c r="K751">
        <f>IF(A751="","",ROUND(1+(LOG10(A751)-LOG10('入力・概要'!$B$38))*('入力・概要'!$B$40-1)/(LOG10('入力・概要'!$B$39)-LOG10('入力・概要'!$B$38)),0)+3)</f>
        <v/>
      </c>
      <c r="L751">
        <f>IF(K751="","",INDEX('同相3導体'!$B:$B,K751))</f>
        <v/>
      </c>
      <c r="M751">
        <f>IF(A751="","",IF(ABS(L751/A751-1)&lt;0.01,"周波数差&lt;1%","周波数差あり"))</f>
        <v/>
      </c>
    </row>
    <row r="752">
      <c r="A752" s="197" t="n"/>
      <c r="B752" s="198" t="n"/>
      <c r="C752" s="198" t="n"/>
      <c r="D752" s="195">
        <f>IF(K752="","",INDEX('同相3導体'!$AB:$AB,K752))</f>
        <v/>
      </c>
      <c r="E752" s="195">
        <f>IF(K752="","",INDEX('同相3導体'!$AC:$AC,K752))</f>
        <v/>
      </c>
      <c r="F752" s="195">
        <f>IF(OR(A752="",B752=""),"",100*(D752-B752)/MAX(B752,1E-12))</f>
        <v/>
      </c>
      <c r="G752" s="195">
        <f>IF(OR(A752="",C752=""),"",E752-C752)</f>
        <v/>
      </c>
      <c r="H752" s="195">
        <f>IF(A752="","",LOG10(A752))</f>
        <v/>
      </c>
      <c r="I752" s="195">
        <f>IF(B752="","",LOG10(MAX(B752,1E-12)))</f>
        <v/>
      </c>
      <c r="J752" s="195">
        <f>IF(D752="","",LOG10(MAX(D752,1E-12)))</f>
        <v/>
      </c>
      <c r="K752">
        <f>IF(A752="","",ROUND(1+(LOG10(A752)-LOG10('入力・概要'!$B$38))*('入力・概要'!$B$40-1)/(LOG10('入力・概要'!$B$39)-LOG10('入力・概要'!$B$38)),0)+3)</f>
        <v/>
      </c>
      <c r="L752">
        <f>IF(K752="","",INDEX('同相3導体'!$B:$B,K752))</f>
        <v/>
      </c>
      <c r="M752">
        <f>IF(A752="","",IF(ABS(L752/A752-1)&lt;0.01,"周波数差&lt;1%","周波数差あり"))</f>
        <v/>
      </c>
    </row>
    <row r="753">
      <c r="A753" s="197" t="n"/>
      <c r="B753" s="198" t="n"/>
      <c r="C753" s="198" t="n"/>
      <c r="D753" s="195">
        <f>IF(K753="","",INDEX('同相3導体'!$AB:$AB,K753))</f>
        <v/>
      </c>
      <c r="E753" s="195">
        <f>IF(K753="","",INDEX('同相3導体'!$AC:$AC,K753))</f>
        <v/>
      </c>
      <c r="F753" s="195">
        <f>IF(OR(A753="",B753=""),"",100*(D753-B753)/MAX(B753,1E-12))</f>
        <v/>
      </c>
      <c r="G753" s="195">
        <f>IF(OR(A753="",C753=""),"",E753-C753)</f>
        <v/>
      </c>
      <c r="H753" s="195">
        <f>IF(A753="","",LOG10(A753))</f>
        <v/>
      </c>
      <c r="I753" s="195">
        <f>IF(B753="","",LOG10(MAX(B753,1E-12)))</f>
        <v/>
      </c>
      <c r="J753" s="195">
        <f>IF(D753="","",LOG10(MAX(D753,1E-12)))</f>
        <v/>
      </c>
      <c r="K753">
        <f>IF(A753="","",ROUND(1+(LOG10(A753)-LOG10('入力・概要'!$B$38))*('入力・概要'!$B$40-1)/(LOG10('入力・概要'!$B$39)-LOG10('入力・概要'!$B$38)),0)+3)</f>
        <v/>
      </c>
      <c r="L753">
        <f>IF(K753="","",INDEX('同相3導体'!$B:$B,K753))</f>
        <v/>
      </c>
      <c r="M753">
        <f>IF(A753="","",IF(ABS(L753/A753-1)&lt;0.01,"周波数差&lt;1%","周波数差あり"))</f>
        <v/>
      </c>
    </row>
    <row r="754">
      <c r="A754" s="197" t="n"/>
      <c r="B754" s="198" t="n"/>
      <c r="C754" s="198" t="n"/>
      <c r="D754" s="195">
        <f>IF(K754="","",INDEX('同相3導体'!$AB:$AB,K754))</f>
        <v/>
      </c>
      <c r="E754" s="195">
        <f>IF(K754="","",INDEX('同相3導体'!$AC:$AC,K754))</f>
        <v/>
      </c>
      <c r="F754" s="195">
        <f>IF(OR(A754="",B754=""),"",100*(D754-B754)/MAX(B754,1E-12))</f>
        <v/>
      </c>
      <c r="G754" s="195">
        <f>IF(OR(A754="",C754=""),"",E754-C754)</f>
        <v/>
      </c>
      <c r="H754" s="195">
        <f>IF(A754="","",LOG10(A754))</f>
        <v/>
      </c>
      <c r="I754" s="195">
        <f>IF(B754="","",LOG10(MAX(B754,1E-12)))</f>
        <v/>
      </c>
      <c r="J754" s="195">
        <f>IF(D754="","",LOG10(MAX(D754,1E-12)))</f>
        <v/>
      </c>
      <c r="K754">
        <f>IF(A754="","",ROUND(1+(LOG10(A754)-LOG10('入力・概要'!$B$38))*('入力・概要'!$B$40-1)/(LOG10('入力・概要'!$B$39)-LOG10('入力・概要'!$B$38)),0)+3)</f>
        <v/>
      </c>
      <c r="L754">
        <f>IF(K754="","",INDEX('同相3導体'!$B:$B,K754))</f>
        <v/>
      </c>
      <c r="M754">
        <f>IF(A754="","",IF(ABS(L754/A754-1)&lt;0.01,"周波数差&lt;1%","周波数差あり"))</f>
        <v/>
      </c>
    </row>
    <row r="755">
      <c r="A755" s="197" t="n"/>
      <c r="B755" s="198" t="n"/>
      <c r="C755" s="198" t="n"/>
      <c r="D755" s="195">
        <f>IF(K755="","",INDEX('同相3導体'!$AB:$AB,K755))</f>
        <v/>
      </c>
      <c r="E755" s="195">
        <f>IF(K755="","",INDEX('同相3導体'!$AC:$AC,K755))</f>
        <v/>
      </c>
      <c r="F755" s="195">
        <f>IF(OR(A755="",B755=""),"",100*(D755-B755)/MAX(B755,1E-12))</f>
        <v/>
      </c>
      <c r="G755" s="195">
        <f>IF(OR(A755="",C755=""),"",E755-C755)</f>
        <v/>
      </c>
      <c r="H755" s="195">
        <f>IF(A755="","",LOG10(A755))</f>
        <v/>
      </c>
      <c r="I755" s="195">
        <f>IF(B755="","",LOG10(MAX(B755,1E-12)))</f>
        <v/>
      </c>
      <c r="J755" s="195">
        <f>IF(D755="","",LOG10(MAX(D755,1E-12)))</f>
        <v/>
      </c>
      <c r="K755">
        <f>IF(A755="","",ROUND(1+(LOG10(A755)-LOG10('入力・概要'!$B$38))*('入力・概要'!$B$40-1)/(LOG10('入力・概要'!$B$39)-LOG10('入力・概要'!$B$38)),0)+3)</f>
        <v/>
      </c>
      <c r="L755">
        <f>IF(K755="","",INDEX('同相3導体'!$B:$B,K755))</f>
        <v/>
      </c>
      <c r="M755">
        <f>IF(A755="","",IF(ABS(L755/A755-1)&lt;0.01,"周波数差&lt;1%","周波数差あり"))</f>
        <v/>
      </c>
    </row>
    <row r="756">
      <c r="A756" s="197" t="n"/>
      <c r="B756" s="198" t="n"/>
      <c r="C756" s="198" t="n"/>
      <c r="D756" s="195">
        <f>IF(K756="","",INDEX('同相3導体'!$AB:$AB,K756))</f>
        <v/>
      </c>
      <c r="E756" s="195">
        <f>IF(K756="","",INDEX('同相3導体'!$AC:$AC,K756))</f>
        <v/>
      </c>
      <c r="F756" s="195">
        <f>IF(OR(A756="",B756=""),"",100*(D756-B756)/MAX(B756,1E-12))</f>
        <v/>
      </c>
      <c r="G756" s="195">
        <f>IF(OR(A756="",C756=""),"",E756-C756)</f>
        <v/>
      </c>
      <c r="H756" s="195">
        <f>IF(A756="","",LOG10(A756))</f>
        <v/>
      </c>
      <c r="I756" s="195">
        <f>IF(B756="","",LOG10(MAX(B756,1E-12)))</f>
        <v/>
      </c>
      <c r="J756" s="195">
        <f>IF(D756="","",LOG10(MAX(D756,1E-12)))</f>
        <v/>
      </c>
      <c r="K756">
        <f>IF(A756="","",ROUND(1+(LOG10(A756)-LOG10('入力・概要'!$B$38))*('入力・概要'!$B$40-1)/(LOG10('入力・概要'!$B$39)-LOG10('入力・概要'!$B$38)),0)+3)</f>
        <v/>
      </c>
      <c r="L756">
        <f>IF(K756="","",INDEX('同相3導体'!$B:$B,K756))</f>
        <v/>
      </c>
      <c r="M756">
        <f>IF(A756="","",IF(ABS(L756/A756-1)&lt;0.01,"周波数差&lt;1%","周波数差あり"))</f>
        <v/>
      </c>
    </row>
    <row r="757">
      <c r="A757" s="197" t="n"/>
      <c r="B757" s="198" t="n"/>
      <c r="C757" s="198" t="n"/>
      <c r="D757" s="195">
        <f>IF(K757="","",INDEX('同相3導体'!$AB:$AB,K757))</f>
        <v/>
      </c>
      <c r="E757" s="195">
        <f>IF(K757="","",INDEX('同相3導体'!$AC:$AC,K757))</f>
        <v/>
      </c>
      <c r="F757" s="195">
        <f>IF(OR(A757="",B757=""),"",100*(D757-B757)/MAX(B757,1E-12))</f>
        <v/>
      </c>
      <c r="G757" s="195">
        <f>IF(OR(A757="",C757=""),"",E757-C757)</f>
        <v/>
      </c>
      <c r="H757" s="195">
        <f>IF(A757="","",LOG10(A757))</f>
        <v/>
      </c>
      <c r="I757" s="195">
        <f>IF(B757="","",LOG10(MAX(B757,1E-12)))</f>
        <v/>
      </c>
      <c r="J757" s="195">
        <f>IF(D757="","",LOG10(MAX(D757,1E-12)))</f>
        <v/>
      </c>
      <c r="K757">
        <f>IF(A757="","",ROUND(1+(LOG10(A757)-LOG10('入力・概要'!$B$38))*('入力・概要'!$B$40-1)/(LOG10('入力・概要'!$B$39)-LOG10('入力・概要'!$B$38)),0)+3)</f>
        <v/>
      </c>
      <c r="L757">
        <f>IF(K757="","",INDEX('同相3導体'!$B:$B,K757))</f>
        <v/>
      </c>
      <c r="M757">
        <f>IF(A757="","",IF(ABS(L757/A757-1)&lt;0.01,"周波数差&lt;1%","周波数差あり"))</f>
        <v/>
      </c>
    </row>
    <row r="758">
      <c r="A758" s="197" t="n"/>
      <c r="B758" s="198" t="n"/>
      <c r="C758" s="198" t="n"/>
      <c r="D758" s="195">
        <f>IF(K758="","",INDEX('同相3導体'!$AB:$AB,K758))</f>
        <v/>
      </c>
      <c r="E758" s="195">
        <f>IF(K758="","",INDEX('同相3導体'!$AC:$AC,K758))</f>
        <v/>
      </c>
      <c r="F758" s="195">
        <f>IF(OR(A758="",B758=""),"",100*(D758-B758)/MAX(B758,1E-12))</f>
        <v/>
      </c>
      <c r="G758" s="195">
        <f>IF(OR(A758="",C758=""),"",E758-C758)</f>
        <v/>
      </c>
      <c r="H758" s="195">
        <f>IF(A758="","",LOG10(A758))</f>
        <v/>
      </c>
      <c r="I758" s="195">
        <f>IF(B758="","",LOG10(MAX(B758,1E-12)))</f>
        <v/>
      </c>
      <c r="J758" s="195">
        <f>IF(D758="","",LOG10(MAX(D758,1E-12)))</f>
        <v/>
      </c>
      <c r="K758">
        <f>IF(A758="","",ROUND(1+(LOG10(A758)-LOG10('入力・概要'!$B$38))*('入力・概要'!$B$40-1)/(LOG10('入力・概要'!$B$39)-LOG10('入力・概要'!$B$38)),0)+3)</f>
        <v/>
      </c>
      <c r="L758">
        <f>IF(K758="","",INDEX('同相3導体'!$B:$B,K758))</f>
        <v/>
      </c>
      <c r="M758">
        <f>IF(A758="","",IF(ABS(L758/A758-1)&lt;0.01,"周波数差&lt;1%","周波数差あり"))</f>
        <v/>
      </c>
    </row>
    <row r="759">
      <c r="A759" s="197" t="n"/>
      <c r="B759" s="198" t="n"/>
      <c r="C759" s="198" t="n"/>
      <c r="D759" s="195">
        <f>IF(K759="","",INDEX('同相3導体'!$AB:$AB,K759))</f>
        <v/>
      </c>
      <c r="E759" s="195">
        <f>IF(K759="","",INDEX('同相3導体'!$AC:$AC,K759))</f>
        <v/>
      </c>
      <c r="F759" s="195">
        <f>IF(OR(A759="",B759=""),"",100*(D759-B759)/MAX(B759,1E-12))</f>
        <v/>
      </c>
      <c r="G759" s="195">
        <f>IF(OR(A759="",C759=""),"",E759-C759)</f>
        <v/>
      </c>
      <c r="H759" s="195">
        <f>IF(A759="","",LOG10(A759))</f>
        <v/>
      </c>
      <c r="I759" s="195">
        <f>IF(B759="","",LOG10(MAX(B759,1E-12)))</f>
        <v/>
      </c>
      <c r="J759" s="195">
        <f>IF(D759="","",LOG10(MAX(D759,1E-12)))</f>
        <v/>
      </c>
      <c r="K759">
        <f>IF(A759="","",ROUND(1+(LOG10(A759)-LOG10('入力・概要'!$B$38))*('入力・概要'!$B$40-1)/(LOG10('入力・概要'!$B$39)-LOG10('入力・概要'!$B$38)),0)+3)</f>
        <v/>
      </c>
      <c r="L759">
        <f>IF(K759="","",INDEX('同相3導体'!$B:$B,K759))</f>
        <v/>
      </c>
      <c r="M759">
        <f>IF(A759="","",IF(ABS(L759/A759-1)&lt;0.01,"周波数差&lt;1%","周波数差あり"))</f>
        <v/>
      </c>
    </row>
    <row r="760">
      <c r="A760" s="197" t="n"/>
      <c r="B760" s="198" t="n"/>
      <c r="C760" s="198" t="n"/>
      <c r="D760" s="195">
        <f>IF(K760="","",INDEX('同相3導体'!$AB:$AB,K760))</f>
        <v/>
      </c>
      <c r="E760" s="195">
        <f>IF(K760="","",INDEX('同相3導体'!$AC:$AC,K760))</f>
        <v/>
      </c>
      <c r="F760" s="195">
        <f>IF(OR(A760="",B760=""),"",100*(D760-B760)/MAX(B760,1E-12))</f>
        <v/>
      </c>
      <c r="G760" s="195">
        <f>IF(OR(A760="",C760=""),"",E760-C760)</f>
        <v/>
      </c>
      <c r="H760" s="195">
        <f>IF(A760="","",LOG10(A760))</f>
        <v/>
      </c>
      <c r="I760" s="195">
        <f>IF(B760="","",LOG10(MAX(B760,1E-12)))</f>
        <v/>
      </c>
      <c r="J760" s="195">
        <f>IF(D760="","",LOG10(MAX(D760,1E-12)))</f>
        <v/>
      </c>
      <c r="K760">
        <f>IF(A760="","",ROUND(1+(LOG10(A760)-LOG10('入力・概要'!$B$38))*('入力・概要'!$B$40-1)/(LOG10('入力・概要'!$B$39)-LOG10('入力・概要'!$B$38)),0)+3)</f>
        <v/>
      </c>
      <c r="L760">
        <f>IF(K760="","",INDEX('同相3導体'!$B:$B,K760))</f>
        <v/>
      </c>
      <c r="M760">
        <f>IF(A760="","",IF(ABS(L760/A760-1)&lt;0.01,"周波数差&lt;1%","周波数差あり"))</f>
        <v/>
      </c>
    </row>
    <row r="761">
      <c r="A761" s="197" t="n"/>
      <c r="B761" s="198" t="n"/>
      <c r="C761" s="198" t="n"/>
      <c r="D761" s="195">
        <f>IF(K761="","",INDEX('同相3導体'!$AB:$AB,K761))</f>
        <v/>
      </c>
      <c r="E761" s="195">
        <f>IF(K761="","",INDEX('同相3導体'!$AC:$AC,K761))</f>
        <v/>
      </c>
      <c r="F761" s="195">
        <f>IF(OR(A761="",B761=""),"",100*(D761-B761)/MAX(B761,1E-12))</f>
        <v/>
      </c>
      <c r="G761" s="195">
        <f>IF(OR(A761="",C761=""),"",E761-C761)</f>
        <v/>
      </c>
      <c r="H761" s="195">
        <f>IF(A761="","",LOG10(A761))</f>
        <v/>
      </c>
      <c r="I761" s="195">
        <f>IF(B761="","",LOG10(MAX(B761,1E-12)))</f>
        <v/>
      </c>
      <c r="J761" s="195">
        <f>IF(D761="","",LOG10(MAX(D761,1E-12)))</f>
        <v/>
      </c>
      <c r="K761">
        <f>IF(A761="","",ROUND(1+(LOG10(A761)-LOG10('入力・概要'!$B$38))*('入力・概要'!$B$40-1)/(LOG10('入力・概要'!$B$39)-LOG10('入力・概要'!$B$38)),0)+3)</f>
        <v/>
      </c>
      <c r="L761">
        <f>IF(K761="","",INDEX('同相3導体'!$B:$B,K761))</f>
        <v/>
      </c>
      <c r="M761">
        <f>IF(A761="","",IF(ABS(L761/A761-1)&lt;0.01,"周波数差&lt;1%","周波数差あり"))</f>
        <v/>
      </c>
    </row>
    <row r="762">
      <c r="A762" s="197" t="n"/>
      <c r="B762" s="198" t="n"/>
      <c r="C762" s="198" t="n"/>
      <c r="D762" s="195">
        <f>IF(K762="","",INDEX('同相3導体'!$AB:$AB,K762))</f>
        <v/>
      </c>
      <c r="E762" s="195">
        <f>IF(K762="","",INDEX('同相3導体'!$AC:$AC,K762))</f>
        <v/>
      </c>
      <c r="F762" s="195">
        <f>IF(OR(A762="",B762=""),"",100*(D762-B762)/MAX(B762,1E-12))</f>
        <v/>
      </c>
      <c r="G762" s="195">
        <f>IF(OR(A762="",C762=""),"",E762-C762)</f>
        <v/>
      </c>
      <c r="H762" s="195">
        <f>IF(A762="","",LOG10(A762))</f>
        <v/>
      </c>
      <c r="I762" s="195">
        <f>IF(B762="","",LOG10(MAX(B762,1E-12)))</f>
        <v/>
      </c>
      <c r="J762" s="195">
        <f>IF(D762="","",LOG10(MAX(D762,1E-12)))</f>
        <v/>
      </c>
      <c r="K762">
        <f>IF(A762="","",ROUND(1+(LOG10(A762)-LOG10('入力・概要'!$B$38))*('入力・概要'!$B$40-1)/(LOG10('入力・概要'!$B$39)-LOG10('入力・概要'!$B$38)),0)+3)</f>
        <v/>
      </c>
      <c r="L762">
        <f>IF(K762="","",INDEX('同相3導体'!$B:$B,K762))</f>
        <v/>
      </c>
      <c r="M762">
        <f>IF(A762="","",IF(ABS(L762/A762-1)&lt;0.01,"周波数差&lt;1%","周波数差あり"))</f>
        <v/>
      </c>
    </row>
    <row r="763">
      <c r="A763" s="197" t="n"/>
      <c r="B763" s="198" t="n"/>
      <c r="C763" s="198" t="n"/>
      <c r="D763" s="195">
        <f>IF(K763="","",INDEX('同相3導体'!$AB:$AB,K763))</f>
        <v/>
      </c>
      <c r="E763" s="195">
        <f>IF(K763="","",INDEX('同相3導体'!$AC:$AC,K763))</f>
        <v/>
      </c>
      <c r="F763" s="195">
        <f>IF(OR(A763="",B763=""),"",100*(D763-B763)/MAX(B763,1E-12))</f>
        <v/>
      </c>
      <c r="G763" s="195">
        <f>IF(OR(A763="",C763=""),"",E763-C763)</f>
        <v/>
      </c>
      <c r="H763" s="195">
        <f>IF(A763="","",LOG10(A763))</f>
        <v/>
      </c>
      <c r="I763" s="195">
        <f>IF(B763="","",LOG10(MAX(B763,1E-12)))</f>
        <v/>
      </c>
      <c r="J763" s="195">
        <f>IF(D763="","",LOG10(MAX(D763,1E-12)))</f>
        <v/>
      </c>
      <c r="K763">
        <f>IF(A763="","",ROUND(1+(LOG10(A763)-LOG10('入力・概要'!$B$38))*('入力・概要'!$B$40-1)/(LOG10('入力・概要'!$B$39)-LOG10('入力・概要'!$B$38)),0)+3)</f>
        <v/>
      </c>
      <c r="L763">
        <f>IF(K763="","",INDEX('同相3導体'!$B:$B,K763))</f>
        <v/>
      </c>
      <c r="M763">
        <f>IF(A763="","",IF(ABS(L763/A763-1)&lt;0.01,"周波数差&lt;1%","周波数差あり"))</f>
        <v/>
      </c>
    </row>
    <row r="764">
      <c r="A764" s="197" t="n"/>
      <c r="B764" s="198" t="n"/>
      <c r="C764" s="198" t="n"/>
      <c r="D764" s="195">
        <f>IF(K764="","",INDEX('同相3導体'!$AB:$AB,K764))</f>
        <v/>
      </c>
      <c r="E764" s="195">
        <f>IF(K764="","",INDEX('同相3導体'!$AC:$AC,K764))</f>
        <v/>
      </c>
      <c r="F764" s="195">
        <f>IF(OR(A764="",B764=""),"",100*(D764-B764)/MAX(B764,1E-12))</f>
        <v/>
      </c>
      <c r="G764" s="195">
        <f>IF(OR(A764="",C764=""),"",E764-C764)</f>
        <v/>
      </c>
      <c r="H764" s="195">
        <f>IF(A764="","",LOG10(A764))</f>
        <v/>
      </c>
      <c r="I764" s="195">
        <f>IF(B764="","",LOG10(MAX(B764,1E-12)))</f>
        <v/>
      </c>
      <c r="J764" s="195">
        <f>IF(D764="","",LOG10(MAX(D764,1E-12)))</f>
        <v/>
      </c>
      <c r="K764">
        <f>IF(A764="","",ROUND(1+(LOG10(A764)-LOG10('入力・概要'!$B$38))*('入力・概要'!$B$40-1)/(LOG10('入力・概要'!$B$39)-LOG10('入力・概要'!$B$38)),0)+3)</f>
        <v/>
      </c>
      <c r="L764">
        <f>IF(K764="","",INDEX('同相3導体'!$B:$B,K764))</f>
        <v/>
      </c>
      <c r="M764">
        <f>IF(A764="","",IF(ABS(L764/A764-1)&lt;0.01,"周波数差&lt;1%","周波数差あり"))</f>
        <v/>
      </c>
    </row>
    <row r="765">
      <c r="A765" s="197" t="n"/>
      <c r="B765" s="198" t="n"/>
      <c r="C765" s="198" t="n"/>
      <c r="D765" s="195">
        <f>IF(K765="","",INDEX('同相3導体'!$AB:$AB,K765))</f>
        <v/>
      </c>
      <c r="E765" s="195">
        <f>IF(K765="","",INDEX('同相3導体'!$AC:$AC,K765))</f>
        <v/>
      </c>
      <c r="F765" s="195">
        <f>IF(OR(A765="",B765=""),"",100*(D765-B765)/MAX(B765,1E-12))</f>
        <v/>
      </c>
      <c r="G765" s="195">
        <f>IF(OR(A765="",C765=""),"",E765-C765)</f>
        <v/>
      </c>
      <c r="H765" s="195">
        <f>IF(A765="","",LOG10(A765))</f>
        <v/>
      </c>
      <c r="I765" s="195">
        <f>IF(B765="","",LOG10(MAX(B765,1E-12)))</f>
        <v/>
      </c>
      <c r="J765" s="195">
        <f>IF(D765="","",LOG10(MAX(D765,1E-12)))</f>
        <v/>
      </c>
      <c r="K765">
        <f>IF(A765="","",ROUND(1+(LOG10(A765)-LOG10('入力・概要'!$B$38))*('入力・概要'!$B$40-1)/(LOG10('入力・概要'!$B$39)-LOG10('入力・概要'!$B$38)),0)+3)</f>
        <v/>
      </c>
      <c r="L765">
        <f>IF(K765="","",INDEX('同相3導体'!$B:$B,K765))</f>
        <v/>
      </c>
      <c r="M765">
        <f>IF(A765="","",IF(ABS(L765/A765-1)&lt;0.01,"周波数差&lt;1%","周波数差あり"))</f>
        <v/>
      </c>
    </row>
    <row r="766">
      <c r="A766" s="197" t="n"/>
      <c r="B766" s="198" t="n"/>
      <c r="C766" s="198" t="n"/>
      <c r="D766" s="195">
        <f>IF(K766="","",INDEX('同相3導体'!$AB:$AB,K766))</f>
        <v/>
      </c>
      <c r="E766" s="195">
        <f>IF(K766="","",INDEX('同相3導体'!$AC:$AC,K766))</f>
        <v/>
      </c>
      <c r="F766" s="195">
        <f>IF(OR(A766="",B766=""),"",100*(D766-B766)/MAX(B766,1E-12))</f>
        <v/>
      </c>
      <c r="G766" s="195">
        <f>IF(OR(A766="",C766=""),"",E766-C766)</f>
        <v/>
      </c>
      <c r="H766" s="195">
        <f>IF(A766="","",LOG10(A766))</f>
        <v/>
      </c>
      <c r="I766" s="195">
        <f>IF(B766="","",LOG10(MAX(B766,1E-12)))</f>
        <v/>
      </c>
      <c r="J766" s="195">
        <f>IF(D766="","",LOG10(MAX(D766,1E-12)))</f>
        <v/>
      </c>
      <c r="K766">
        <f>IF(A766="","",ROUND(1+(LOG10(A766)-LOG10('入力・概要'!$B$38))*('入力・概要'!$B$40-1)/(LOG10('入力・概要'!$B$39)-LOG10('入力・概要'!$B$38)),0)+3)</f>
        <v/>
      </c>
      <c r="L766">
        <f>IF(K766="","",INDEX('同相3導体'!$B:$B,K766))</f>
        <v/>
      </c>
      <c r="M766">
        <f>IF(A766="","",IF(ABS(L766/A766-1)&lt;0.01,"周波数差&lt;1%","周波数差あり"))</f>
        <v/>
      </c>
    </row>
    <row r="767">
      <c r="A767" s="197" t="n"/>
      <c r="B767" s="198" t="n"/>
      <c r="C767" s="198" t="n"/>
      <c r="D767" s="195">
        <f>IF(K767="","",INDEX('同相3導体'!$AB:$AB,K767))</f>
        <v/>
      </c>
      <c r="E767" s="195">
        <f>IF(K767="","",INDEX('同相3導体'!$AC:$AC,K767))</f>
        <v/>
      </c>
      <c r="F767" s="195">
        <f>IF(OR(A767="",B767=""),"",100*(D767-B767)/MAX(B767,1E-12))</f>
        <v/>
      </c>
      <c r="G767" s="195">
        <f>IF(OR(A767="",C767=""),"",E767-C767)</f>
        <v/>
      </c>
      <c r="H767" s="195">
        <f>IF(A767="","",LOG10(A767))</f>
        <v/>
      </c>
      <c r="I767" s="195">
        <f>IF(B767="","",LOG10(MAX(B767,1E-12)))</f>
        <v/>
      </c>
      <c r="J767" s="195">
        <f>IF(D767="","",LOG10(MAX(D767,1E-12)))</f>
        <v/>
      </c>
      <c r="K767">
        <f>IF(A767="","",ROUND(1+(LOG10(A767)-LOG10('入力・概要'!$B$38))*('入力・概要'!$B$40-1)/(LOG10('入力・概要'!$B$39)-LOG10('入力・概要'!$B$38)),0)+3)</f>
        <v/>
      </c>
      <c r="L767">
        <f>IF(K767="","",INDEX('同相3導体'!$B:$B,K767))</f>
        <v/>
      </c>
      <c r="M767">
        <f>IF(A767="","",IF(ABS(L767/A767-1)&lt;0.01,"周波数差&lt;1%","周波数差あり"))</f>
        <v/>
      </c>
    </row>
    <row r="768">
      <c r="A768" s="197" t="n"/>
      <c r="B768" s="198" t="n"/>
      <c r="C768" s="198" t="n"/>
      <c r="D768" s="195">
        <f>IF(K768="","",INDEX('同相3導体'!$AB:$AB,K768))</f>
        <v/>
      </c>
      <c r="E768" s="195">
        <f>IF(K768="","",INDEX('同相3導体'!$AC:$AC,K768))</f>
        <v/>
      </c>
      <c r="F768" s="195">
        <f>IF(OR(A768="",B768=""),"",100*(D768-B768)/MAX(B768,1E-12))</f>
        <v/>
      </c>
      <c r="G768" s="195">
        <f>IF(OR(A768="",C768=""),"",E768-C768)</f>
        <v/>
      </c>
      <c r="H768" s="195">
        <f>IF(A768="","",LOG10(A768))</f>
        <v/>
      </c>
      <c r="I768" s="195">
        <f>IF(B768="","",LOG10(MAX(B768,1E-12)))</f>
        <v/>
      </c>
      <c r="J768" s="195">
        <f>IF(D768="","",LOG10(MAX(D768,1E-12)))</f>
        <v/>
      </c>
      <c r="K768">
        <f>IF(A768="","",ROUND(1+(LOG10(A768)-LOG10('入力・概要'!$B$38))*('入力・概要'!$B$40-1)/(LOG10('入力・概要'!$B$39)-LOG10('入力・概要'!$B$38)),0)+3)</f>
        <v/>
      </c>
      <c r="L768">
        <f>IF(K768="","",INDEX('同相3導体'!$B:$B,K768))</f>
        <v/>
      </c>
      <c r="M768">
        <f>IF(A768="","",IF(ABS(L768/A768-1)&lt;0.01,"周波数差&lt;1%","周波数差あり"))</f>
        <v/>
      </c>
    </row>
    <row r="769">
      <c r="A769" s="197" t="n"/>
      <c r="B769" s="198" t="n"/>
      <c r="C769" s="198" t="n"/>
      <c r="D769" s="195">
        <f>IF(K769="","",INDEX('同相3導体'!$AB:$AB,K769))</f>
        <v/>
      </c>
      <c r="E769" s="195">
        <f>IF(K769="","",INDEX('同相3導体'!$AC:$AC,K769))</f>
        <v/>
      </c>
      <c r="F769" s="195">
        <f>IF(OR(A769="",B769=""),"",100*(D769-B769)/MAX(B769,1E-12))</f>
        <v/>
      </c>
      <c r="G769" s="195">
        <f>IF(OR(A769="",C769=""),"",E769-C769)</f>
        <v/>
      </c>
      <c r="H769" s="195">
        <f>IF(A769="","",LOG10(A769))</f>
        <v/>
      </c>
      <c r="I769" s="195">
        <f>IF(B769="","",LOG10(MAX(B769,1E-12)))</f>
        <v/>
      </c>
      <c r="J769" s="195">
        <f>IF(D769="","",LOG10(MAX(D769,1E-12)))</f>
        <v/>
      </c>
      <c r="K769">
        <f>IF(A769="","",ROUND(1+(LOG10(A769)-LOG10('入力・概要'!$B$38))*('入力・概要'!$B$40-1)/(LOG10('入力・概要'!$B$39)-LOG10('入力・概要'!$B$38)),0)+3)</f>
        <v/>
      </c>
      <c r="L769">
        <f>IF(K769="","",INDEX('同相3導体'!$B:$B,K769))</f>
        <v/>
      </c>
      <c r="M769">
        <f>IF(A769="","",IF(ABS(L769/A769-1)&lt;0.01,"周波数差&lt;1%","周波数差あり"))</f>
        <v/>
      </c>
    </row>
    <row r="770">
      <c r="A770" s="197" t="n"/>
      <c r="B770" s="198" t="n"/>
      <c r="C770" s="198" t="n"/>
      <c r="D770" s="195">
        <f>IF(K770="","",INDEX('同相3導体'!$AB:$AB,K770))</f>
        <v/>
      </c>
      <c r="E770" s="195">
        <f>IF(K770="","",INDEX('同相3導体'!$AC:$AC,K770))</f>
        <v/>
      </c>
      <c r="F770" s="195">
        <f>IF(OR(A770="",B770=""),"",100*(D770-B770)/MAX(B770,1E-12))</f>
        <v/>
      </c>
      <c r="G770" s="195">
        <f>IF(OR(A770="",C770=""),"",E770-C770)</f>
        <v/>
      </c>
      <c r="H770" s="195">
        <f>IF(A770="","",LOG10(A770))</f>
        <v/>
      </c>
      <c r="I770" s="195">
        <f>IF(B770="","",LOG10(MAX(B770,1E-12)))</f>
        <v/>
      </c>
      <c r="J770" s="195">
        <f>IF(D770="","",LOG10(MAX(D770,1E-12)))</f>
        <v/>
      </c>
      <c r="K770">
        <f>IF(A770="","",ROUND(1+(LOG10(A770)-LOG10('入力・概要'!$B$38))*('入力・概要'!$B$40-1)/(LOG10('入力・概要'!$B$39)-LOG10('入力・概要'!$B$38)),0)+3)</f>
        <v/>
      </c>
      <c r="L770">
        <f>IF(K770="","",INDEX('同相3導体'!$B:$B,K770))</f>
        <v/>
      </c>
      <c r="M770">
        <f>IF(A770="","",IF(ABS(L770/A770-1)&lt;0.01,"周波数差&lt;1%","周波数差あり"))</f>
        <v/>
      </c>
    </row>
    <row r="771">
      <c r="A771" s="197" t="n"/>
      <c r="B771" s="198" t="n"/>
      <c r="C771" s="198" t="n"/>
      <c r="D771" s="195">
        <f>IF(K771="","",INDEX('同相3導体'!$AB:$AB,K771))</f>
        <v/>
      </c>
      <c r="E771" s="195">
        <f>IF(K771="","",INDEX('同相3導体'!$AC:$AC,K771))</f>
        <v/>
      </c>
      <c r="F771" s="195">
        <f>IF(OR(A771="",B771=""),"",100*(D771-B771)/MAX(B771,1E-12))</f>
        <v/>
      </c>
      <c r="G771" s="195">
        <f>IF(OR(A771="",C771=""),"",E771-C771)</f>
        <v/>
      </c>
      <c r="H771" s="195">
        <f>IF(A771="","",LOG10(A771))</f>
        <v/>
      </c>
      <c r="I771" s="195">
        <f>IF(B771="","",LOG10(MAX(B771,1E-12)))</f>
        <v/>
      </c>
      <c r="J771" s="195">
        <f>IF(D771="","",LOG10(MAX(D771,1E-12)))</f>
        <v/>
      </c>
      <c r="K771">
        <f>IF(A771="","",ROUND(1+(LOG10(A771)-LOG10('入力・概要'!$B$38))*('入力・概要'!$B$40-1)/(LOG10('入力・概要'!$B$39)-LOG10('入力・概要'!$B$38)),0)+3)</f>
        <v/>
      </c>
      <c r="L771">
        <f>IF(K771="","",INDEX('同相3導体'!$B:$B,K771))</f>
        <v/>
      </c>
      <c r="M771">
        <f>IF(A771="","",IF(ABS(L771/A771-1)&lt;0.01,"周波数差&lt;1%","周波数差あり"))</f>
        <v/>
      </c>
    </row>
    <row r="772">
      <c r="A772" s="197" t="n"/>
      <c r="B772" s="198" t="n"/>
      <c r="C772" s="198" t="n"/>
      <c r="D772" s="195">
        <f>IF(K772="","",INDEX('同相3導体'!$AB:$AB,K772))</f>
        <v/>
      </c>
      <c r="E772" s="195">
        <f>IF(K772="","",INDEX('同相3導体'!$AC:$AC,K772))</f>
        <v/>
      </c>
      <c r="F772" s="195">
        <f>IF(OR(A772="",B772=""),"",100*(D772-B772)/MAX(B772,1E-12))</f>
        <v/>
      </c>
      <c r="G772" s="195">
        <f>IF(OR(A772="",C772=""),"",E772-C772)</f>
        <v/>
      </c>
      <c r="H772" s="195">
        <f>IF(A772="","",LOG10(A772))</f>
        <v/>
      </c>
      <c r="I772" s="195">
        <f>IF(B772="","",LOG10(MAX(B772,1E-12)))</f>
        <v/>
      </c>
      <c r="J772" s="195">
        <f>IF(D772="","",LOG10(MAX(D772,1E-12)))</f>
        <v/>
      </c>
      <c r="K772">
        <f>IF(A772="","",ROUND(1+(LOG10(A772)-LOG10('入力・概要'!$B$38))*('入力・概要'!$B$40-1)/(LOG10('入力・概要'!$B$39)-LOG10('入力・概要'!$B$38)),0)+3)</f>
        <v/>
      </c>
      <c r="L772">
        <f>IF(K772="","",INDEX('同相3導体'!$B:$B,K772))</f>
        <v/>
      </c>
      <c r="M772">
        <f>IF(A772="","",IF(ABS(L772/A772-1)&lt;0.01,"周波数差&lt;1%","周波数差あり"))</f>
        <v/>
      </c>
    </row>
    <row r="773">
      <c r="A773" s="197" t="n"/>
      <c r="B773" s="198" t="n"/>
      <c r="C773" s="198" t="n"/>
      <c r="D773" s="195">
        <f>IF(K773="","",INDEX('同相3導体'!$AB:$AB,K773))</f>
        <v/>
      </c>
      <c r="E773" s="195">
        <f>IF(K773="","",INDEX('同相3導体'!$AC:$AC,K773))</f>
        <v/>
      </c>
      <c r="F773" s="195">
        <f>IF(OR(A773="",B773=""),"",100*(D773-B773)/MAX(B773,1E-12))</f>
        <v/>
      </c>
      <c r="G773" s="195">
        <f>IF(OR(A773="",C773=""),"",E773-C773)</f>
        <v/>
      </c>
      <c r="H773" s="195">
        <f>IF(A773="","",LOG10(A773))</f>
        <v/>
      </c>
      <c r="I773" s="195">
        <f>IF(B773="","",LOG10(MAX(B773,1E-12)))</f>
        <v/>
      </c>
      <c r="J773" s="195">
        <f>IF(D773="","",LOG10(MAX(D773,1E-12)))</f>
        <v/>
      </c>
      <c r="K773">
        <f>IF(A773="","",ROUND(1+(LOG10(A773)-LOG10('入力・概要'!$B$38))*('入力・概要'!$B$40-1)/(LOG10('入力・概要'!$B$39)-LOG10('入力・概要'!$B$38)),0)+3)</f>
        <v/>
      </c>
      <c r="L773">
        <f>IF(K773="","",INDEX('同相3導体'!$B:$B,K773))</f>
        <v/>
      </c>
      <c r="M773">
        <f>IF(A773="","",IF(ABS(L773/A773-1)&lt;0.01,"周波数差&lt;1%","周波数差あり"))</f>
        <v/>
      </c>
    </row>
    <row r="774">
      <c r="A774" s="197" t="n"/>
      <c r="B774" s="198" t="n"/>
      <c r="C774" s="198" t="n"/>
      <c r="D774" s="195">
        <f>IF(K774="","",INDEX('同相3導体'!$AB:$AB,K774))</f>
        <v/>
      </c>
      <c r="E774" s="195">
        <f>IF(K774="","",INDEX('同相3導体'!$AC:$AC,K774))</f>
        <v/>
      </c>
      <c r="F774" s="195">
        <f>IF(OR(A774="",B774=""),"",100*(D774-B774)/MAX(B774,1E-12))</f>
        <v/>
      </c>
      <c r="G774" s="195">
        <f>IF(OR(A774="",C774=""),"",E774-C774)</f>
        <v/>
      </c>
      <c r="H774" s="195">
        <f>IF(A774="","",LOG10(A774))</f>
        <v/>
      </c>
      <c r="I774" s="195">
        <f>IF(B774="","",LOG10(MAX(B774,1E-12)))</f>
        <v/>
      </c>
      <c r="J774" s="195">
        <f>IF(D774="","",LOG10(MAX(D774,1E-12)))</f>
        <v/>
      </c>
      <c r="K774">
        <f>IF(A774="","",ROUND(1+(LOG10(A774)-LOG10('入力・概要'!$B$38))*('入力・概要'!$B$40-1)/(LOG10('入力・概要'!$B$39)-LOG10('入力・概要'!$B$38)),0)+3)</f>
        <v/>
      </c>
      <c r="L774">
        <f>IF(K774="","",INDEX('同相3導体'!$B:$B,K774))</f>
        <v/>
      </c>
      <c r="M774">
        <f>IF(A774="","",IF(ABS(L774/A774-1)&lt;0.01,"周波数差&lt;1%","周波数差あり"))</f>
        <v/>
      </c>
    </row>
    <row r="775">
      <c r="A775" s="197" t="n"/>
      <c r="B775" s="198" t="n"/>
      <c r="C775" s="198" t="n"/>
      <c r="D775" s="195">
        <f>IF(K775="","",INDEX('同相3導体'!$AB:$AB,K775))</f>
        <v/>
      </c>
      <c r="E775" s="195">
        <f>IF(K775="","",INDEX('同相3導体'!$AC:$AC,K775))</f>
        <v/>
      </c>
      <c r="F775" s="195">
        <f>IF(OR(A775="",B775=""),"",100*(D775-B775)/MAX(B775,1E-12))</f>
        <v/>
      </c>
      <c r="G775" s="195">
        <f>IF(OR(A775="",C775=""),"",E775-C775)</f>
        <v/>
      </c>
      <c r="H775" s="195">
        <f>IF(A775="","",LOG10(A775))</f>
        <v/>
      </c>
      <c r="I775" s="195">
        <f>IF(B775="","",LOG10(MAX(B775,1E-12)))</f>
        <v/>
      </c>
      <c r="J775" s="195">
        <f>IF(D775="","",LOG10(MAX(D775,1E-12)))</f>
        <v/>
      </c>
      <c r="K775">
        <f>IF(A775="","",ROUND(1+(LOG10(A775)-LOG10('入力・概要'!$B$38))*('入力・概要'!$B$40-1)/(LOG10('入力・概要'!$B$39)-LOG10('入力・概要'!$B$38)),0)+3)</f>
        <v/>
      </c>
      <c r="L775">
        <f>IF(K775="","",INDEX('同相3導体'!$B:$B,K775))</f>
        <v/>
      </c>
      <c r="M775">
        <f>IF(A775="","",IF(ABS(L775/A775-1)&lt;0.01,"周波数差&lt;1%","周波数差あり"))</f>
        <v/>
      </c>
    </row>
    <row r="776">
      <c r="A776" s="197" t="n"/>
      <c r="B776" s="198" t="n"/>
      <c r="C776" s="198" t="n"/>
      <c r="D776" s="195">
        <f>IF(K776="","",INDEX('同相3導体'!$AB:$AB,K776))</f>
        <v/>
      </c>
      <c r="E776" s="195">
        <f>IF(K776="","",INDEX('同相3導体'!$AC:$AC,K776))</f>
        <v/>
      </c>
      <c r="F776" s="195">
        <f>IF(OR(A776="",B776=""),"",100*(D776-B776)/MAX(B776,1E-12))</f>
        <v/>
      </c>
      <c r="G776" s="195">
        <f>IF(OR(A776="",C776=""),"",E776-C776)</f>
        <v/>
      </c>
      <c r="H776" s="195">
        <f>IF(A776="","",LOG10(A776))</f>
        <v/>
      </c>
      <c r="I776" s="195">
        <f>IF(B776="","",LOG10(MAX(B776,1E-12)))</f>
        <v/>
      </c>
      <c r="J776" s="195">
        <f>IF(D776="","",LOG10(MAX(D776,1E-12)))</f>
        <v/>
      </c>
      <c r="K776">
        <f>IF(A776="","",ROUND(1+(LOG10(A776)-LOG10('入力・概要'!$B$38))*('入力・概要'!$B$40-1)/(LOG10('入力・概要'!$B$39)-LOG10('入力・概要'!$B$38)),0)+3)</f>
        <v/>
      </c>
      <c r="L776">
        <f>IF(K776="","",INDEX('同相3導体'!$B:$B,K776))</f>
        <v/>
      </c>
      <c r="M776">
        <f>IF(A776="","",IF(ABS(L776/A776-1)&lt;0.01,"周波数差&lt;1%","周波数差あり"))</f>
        <v/>
      </c>
    </row>
    <row r="777">
      <c r="A777" s="197" t="n"/>
      <c r="B777" s="198" t="n"/>
      <c r="C777" s="198" t="n"/>
      <c r="D777" s="195">
        <f>IF(K777="","",INDEX('同相3導体'!$AB:$AB,K777))</f>
        <v/>
      </c>
      <c r="E777" s="195">
        <f>IF(K777="","",INDEX('同相3導体'!$AC:$AC,K777))</f>
        <v/>
      </c>
      <c r="F777" s="195">
        <f>IF(OR(A777="",B777=""),"",100*(D777-B777)/MAX(B777,1E-12))</f>
        <v/>
      </c>
      <c r="G777" s="195">
        <f>IF(OR(A777="",C777=""),"",E777-C777)</f>
        <v/>
      </c>
      <c r="H777" s="195">
        <f>IF(A777="","",LOG10(A777))</f>
        <v/>
      </c>
      <c r="I777" s="195">
        <f>IF(B777="","",LOG10(MAX(B777,1E-12)))</f>
        <v/>
      </c>
      <c r="J777" s="195">
        <f>IF(D777="","",LOG10(MAX(D777,1E-12)))</f>
        <v/>
      </c>
      <c r="K777">
        <f>IF(A777="","",ROUND(1+(LOG10(A777)-LOG10('入力・概要'!$B$38))*('入力・概要'!$B$40-1)/(LOG10('入力・概要'!$B$39)-LOG10('入力・概要'!$B$38)),0)+3)</f>
        <v/>
      </c>
      <c r="L777">
        <f>IF(K777="","",INDEX('同相3導体'!$B:$B,K777))</f>
        <v/>
      </c>
      <c r="M777">
        <f>IF(A777="","",IF(ABS(L777/A777-1)&lt;0.01,"周波数差&lt;1%","周波数差あり"))</f>
        <v/>
      </c>
    </row>
    <row r="778">
      <c r="A778" s="197" t="n"/>
      <c r="B778" s="198" t="n"/>
      <c r="C778" s="198" t="n"/>
      <c r="D778" s="195">
        <f>IF(K778="","",INDEX('同相3導体'!$AB:$AB,K778))</f>
        <v/>
      </c>
      <c r="E778" s="195">
        <f>IF(K778="","",INDEX('同相3導体'!$AC:$AC,K778))</f>
        <v/>
      </c>
      <c r="F778" s="195">
        <f>IF(OR(A778="",B778=""),"",100*(D778-B778)/MAX(B778,1E-12))</f>
        <v/>
      </c>
      <c r="G778" s="195">
        <f>IF(OR(A778="",C778=""),"",E778-C778)</f>
        <v/>
      </c>
      <c r="H778" s="195">
        <f>IF(A778="","",LOG10(A778))</f>
        <v/>
      </c>
      <c r="I778" s="195">
        <f>IF(B778="","",LOG10(MAX(B778,1E-12)))</f>
        <v/>
      </c>
      <c r="J778" s="195">
        <f>IF(D778="","",LOG10(MAX(D778,1E-12)))</f>
        <v/>
      </c>
      <c r="K778">
        <f>IF(A778="","",ROUND(1+(LOG10(A778)-LOG10('入力・概要'!$B$38))*('入力・概要'!$B$40-1)/(LOG10('入力・概要'!$B$39)-LOG10('入力・概要'!$B$38)),0)+3)</f>
        <v/>
      </c>
      <c r="L778">
        <f>IF(K778="","",INDEX('同相3導体'!$B:$B,K778))</f>
        <v/>
      </c>
      <c r="M778">
        <f>IF(A778="","",IF(ABS(L778/A778-1)&lt;0.01,"周波数差&lt;1%","周波数差あり"))</f>
        <v/>
      </c>
    </row>
    <row r="779">
      <c r="A779" s="197" t="n"/>
      <c r="B779" s="198" t="n"/>
      <c r="C779" s="198" t="n"/>
      <c r="D779" s="195">
        <f>IF(K779="","",INDEX('同相3導体'!$AB:$AB,K779))</f>
        <v/>
      </c>
      <c r="E779" s="195">
        <f>IF(K779="","",INDEX('同相3導体'!$AC:$AC,K779))</f>
        <v/>
      </c>
      <c r="F779" s="195">
        <f>IF(OR(A779="",B779=""),"",100*(D779-B779)/MAX(B779,1E-12))</f>
        <v/>
      </c>
      <c r="G779" s="195">
        <f>IF(OR(A779="",C779=""),"",E779-C779)</f>
        <v/>
      </c>
      <c r="H779" s="195">
        <f>IF(A779="","",LOG10(A779))</f>
        <v/>
      </c>
      <c r="I779" s="195">
        <f>IF(B779="","",LOG10(MAX(B779,1E-12)))</f>
        <v/>
      </c>
      <c r="J779" s="195">
        <f>IF(D779="","",LOG10(MAX(D779,1E-12)))</f>
        <v/>
      </c>
      <c r="K779">
        <f>IF(A779="","",ROUND(1+(LOG10(A779)-LOG10('入力・概要'!$B$38))*('入力・概要'!$B$40-1)/(LOG10('入力・概要'!$B$39)-LOG10('入力・概要'!$B$38)),0)+3)</f>
        <v/>
      </c>
      <c r="L779">
        <f>IF(K779="","",INDEX('同相3導体'!$B:$B,K779))</f>
        <v/>
      </c>
      <c r="M779">
        <f>IF(A779="","",IF(ABS(L779/A779-1)&lt;0.01,"周波数差&lt;1%","周波数差あり"))</f>
        <v/>
      </c>
    </row>
    <row r="780">
      <c r="A780" s="197" t="n"/>
      <c r="B780" s="198" t="n"/>
      <c r="C780" s="198" t="n"/>
      <c r="D780" s="195">
        <f>IF(K780="","",INDEX('同相3導体'!$AB:$AB,K780))</f>
        <v/>
      </c>
      <c r="E780" s="195">
        <f>IF(K780="","",INDEX('同相3導体'!$AC:$AC,K780))</f>
        <v/>
      </c>
      <c r="F780" s="195">
        <f>IF(OR(A780="",B780=""),"",100*(D780-B780)/MAX(B780,1E-12))</f>
        <v/>
      </c>
      <c r="G780" s="195">
        <f>IF(OR(A780="",C780=""),"",E780-C780)</f>
        <v/>
      </c>
      <c r="H780" s="195">
        <f>IF(A780="","",LOG10(A780))</f>
        <v/>
      </c>
      <c r="I780" s="195">
        <f>IF(B780="","",LOG10(MAX(B780,1E-12)))</f>
        <v/>
      </c>
      <c r="J780" s="195">
        <f>IF(D780="","",LOG10(MAX(D780,1E-12)))</f>
        <v/>
      </c>
      <c r="K780">
        <f>IF(A780="","",ROUND(1+(LOG10(A780)-LOG10('入力・概要'!$B$38))*('入力・概要'!$B$40-1)/(LOG10('入力・概要'!$B$39)-LOG10('入力・概要'!$B$38)),0)+3)</f>
        <v/>
      </c>
      <c r="L780">
        <f>IF(K780="","",INDEX('同相3導体'!$B:$B,K780))</f>
        <v/>
      </c>
      <c r="M780">
        <f>IF(A780="","",IF(ABS(L780/A780-1)&lt;0.01,"周波数差&lt;1%","周波数差あり"))</f>
        <v/>
      </c>
    </row>
    <row r="781">
      <c r="A781" s="197" t="n"/>
      <c r="B781" s="198" t="n"/>
      <c r="C781" s="198" t="n"/>
      <c r="D781" s="195">
        <f>IF(K781="","",INDEX('同相3導体'!$AB:$AB,K781))</f>
        <v/>
      </c>
      <c r="E781" s="195">
        <f>IF(K781="","",INDEX('同相3導体'!$AC:$AC,K781))</f>
        <v/>
      </c>
      <c r="F781" s="195">
        <f>IF(OR(A781="",B781=""),"",100*(D781-B781)/MAX(B781,1E-12))</f>
        <v/>
      </c>
      <c r="G781" s="195">
        <f>IF(OR(A781="",C781=""),"",E781-C781)</f>
        <v/>
      </c>
      <c r="H781" s="195">
        <f>IF(A781="","",LOG10(A781))</f>
        <v/>
      </c>
      <c r="I781" s="195">
        <f>IF(B781="","",LOG10(MAX(B781,1E-12)))</f>
        <v/>
      </c>
      <c r="J781" s="195">
        <f>IF(D781="","",LOG10(MAX(D781,1E-12)))</f>
        <v/>
      </c>
      <c r="K781">
        <f>IF(A781="","",ROUND(1+(LOG10(A781)-LOG10('入力・概要'!$B$38))*('入力・概要'!$B$40-1)/(LOG10('入力・概要'!$B$39)-LOG10('入力・概要'!$B$38)),0)+3)</f>
        <v/>
      </c>
      <c r="L781">
        <f>IF(K781="","",INDEX('同相3導体'!$B:$B,K781))</f>
        <v/>
      </c>
      <c r="M781">
        <f>IF(A781="","",IF(ABS(L781/A781-1)&lt;0.01,"周波数差&lt;1%","周波数差あり"))</f>
        <v/>
      </c>
    </row>
    <row r="782">
      <c r="A782" s="197" t="n"/>
      <c r="B782" s="198" t="n"/>
      <c r="C782" s="198" t="n"/>
      <c r="D782" s="195">
        <f>IF(K782="","",INDEX('同相3導体'!$AB:$AB,K782))</f>
        <v/>
      </c>
      <c r="E782" s="195">
        <f>IF(K782="","",INDEX('同相3導体'!$AC:$AC,K782))</f>
        <v/>
      </c>
      <c r="F782" s="195">
        <f>IF(OR(A782="",B782=""),"",100*(D782-B782)/MAX(B782,1E-12))</f>
        <v/>
      </c>
      <c r="G782" s="195">
        <f>IF(OR(A782="",C782=""),"",E782-C782)</f>
        <v/>
      </c>
      <c r="H782" s="195">
        <f>IF(A782="","",LOG10(A782))</f>
        <v/>
      </c>
      <c r="I782" s="195">
        <f>IF(B782="","",LOG10(MAX(B782,1E-12)))</f>
        <v/>
      </c>
      <c r="J782" s="195">
        <f>IF(D782="","",LOG10(MAX(D782,1E-12)))</f>
        <v/>
      </c>
      <c r="K782">
        <f>IF(A782="","",ROUND(1+(LOG10(A782)-LOG10('入力・概要'!$B$38))*('入力・概要'!$B$40-1)/(LOG10('入力・概要'!$B$39)-LOG10('入力・概要'!$B$38)),0)+3)</f>
        <v/>
      </c>
      <c r="L782">
        <f>IF(K782="","",INDEX('同相3導体'!$B:$B,K782))</f>
        <v/>
      </c>
      <c r="M782">
        <f>IF(A782="","",IF(ABS(L782/A782-1)&lt;0.01,"周波数差&lt;1%","周波数差あり"))</f>
        <v/>
      </c>
    </row>
    <row r="783">
      <c r="A783" s="197" t="n"/>
      <c r="B783" s="198" t="n"/>
      <c r="C783" s="198" t="n"/>
      <c r="D783" s="195">
        <f>IF(K783="","",INDEX('同相3導体'!$AB:$AB,K783))</f>
        <v/>
      </c>
      <c r="E783" s="195">
        <f>IF(K783="","",INDEX('同相3導体'!$AC:$AC,K783))</f>
        <v/>
      </c>
      <c r="F783" s="195">
        <f>IF(OR(A783="",B783=""),"",100*(D783-B783)/MAX(B783,1E-12))</f>
        <v/>
      </c>
      <c r="G783" s="195">
        <f>IF(OR(A783="",C783=""),"",E783-C783)</f>
        <v/>
      </c>
      <c r="H783" s="195">
        <f>IF(A783="","",LOG10(A783))</f>
        <v/>
      </c>
      <c r="I783" s="195">
        <f>IF(B783="","",LOG10(MAX(B783,1E-12)))</f>
        <v/>
      </c>
      <c r="J783" s="195">
        <f>IF(D783="","",LOG10(MAX(D783,1E-12)))</f>
        <v/>
      </c>
      <c r="K783">
        <f>IF(A783="","",ROUND(1+(LOG10(A783)-LOG10('入力・概要'!$B$38))*('入力・概要'!$B$40-1)/(LOG10('入力・概要'!$B$39)-LOG10('入力・概要'!$B$38)),0)+3)</f>
        <v/>
      </c>
      <c r="L783">
        <f>IF(K783="","",INDEX('同相3導体'!$B:$B,K783))</f>
        <v/>
      </c>
      <c r="M783">
        <f>IF(A783="","",IF(ABS(L783/A783-1)&lt;0.01,"周波数差&lt;1%","周波数差あり"))</f>
        <v/>
      </c>
    </row>
    <row r="784">
      <c r="A784" s="197" t="n"/>
      <c r="B784" s="198" t="n"/>
      <c r="C784" s="198" t="n"/>
      <c r="D784" s="195">
        <f>IF(K784="","",INDEX('同相3導体'!$AB:$AB,K784))</f>
        <v/>
      </c>
      <c r="E784" s="195">
        <f>IF(K784="","",INDEX('同相3導体'!$AC:$AC,K784))</f>
        <v/>
      </c>
      <c r="F784" s="195">
        <f>IF(OR(A784="",B784=""),"",100*(D784-B784)/MAX(B784,1E-12))</f>
        <v/>
      </c>
      <c r="G784" s="195">
        <f>IF(OR(A784="",C784=""),"",E784-C784)</f>
        <v/>
      </c>
      <c r="H784" s="195">
        <f>IF(A784="","",LOG10(A784))</f>
        <v/>
      </c>
      <c r="I784" s="195">
        <f>IF(B784="","",LOG10(MAX(B784,1E-12)))</f>
        <v/>
      </c>
      <c r="J784" s="195">
        <f>IF(D784="","",LOG10(MAX(D784,1E-12)))</f>
        <v/>
      </c>
      <c r="K784">
        <f>IF(A784="","",ROUND(1+(LOG10(A784)-LOG10('入力・概要'!$B$38))*('入力・概要'!$B$40-1)/(LOG10('入力・概要'!$B$39)-LOG10('入力・概要'!$B$38)),0)+3)</f>
        <v/>
      </c>
      <c r="L784">
        <f>IF(K784="","",INDEX('同相3導体'!$B:$B,K784))</f>
        <v/>
      </c>
      <c r="M784">
        <f>IF(A784="","",IF(ABS(L784/A784-1)&lt;0.01,"周波数差&lt;1%","周波数差あり"))</f>
        <v/>
      </c>
    </row>
    <row r="785">
      <c r="A785" s="197" t="n"/>
      <c r="B785" s="198" t="n"/>
      <c r="C785" s="198" t="n"/>
      <c r="D785" s="195">
        <f>IF(K785="","",INDEX('同相3導体'!$AB:$AB,K785))</f>
        <v/>
      </c>
      <c r="E785" s="195">
        <f>IF(K785="","",INDEX('同相3導体'!$AC:$AC,K785))</f>
        <v/>
      </c>
      <c r="F785" s="195">
        <f>IF(OR(A785="",B785=""),"",100*(D785-B785)/MAX(B785,1E-12))</f>
        <v/>
      </c>
      <c r="G785" s="195">
        <f>IF(OR(A785="",C785=""),"",E785-C785)</f>
        <v/>
      </c>
      <c r="H785" s="195">
        <f>IF(A785="","",LOG10(A785))</f>
        <v/>
      </c>
      <c r="I785" s="195">
        <f>IF(B785="","",LOG10(MAX(B785,1E-12)))</f>
        <v/>
      </c>
      <c r="J785" s="195">
        <f>IF(D785="","",LOG10(MAX(D785,1E-12)))</f>
        <v/>
      </c>
      <c r="K785">
        <f>IF(A785="","",ROUND(1+(LOG10(A785)-LOG10('入力・概要'!$B$38))*('入力・概要'!$B$40-1)/(LOG10('入力・概要'!$B$39)-LOG10('入力・概要'!$B$38)),0)+3)</f>
        <v/>
      </c>
      <c r="L785">
        <f>IF(K785="","",INDEX('同相3導体'!$B:$B,K785))</f>
        <v/>
      </c>
      <c r="M785">
        <f>IF(A785="","",IF(ABS(L785/A785-1)&lt;0.01,"周波数差&lt;1%","周波数差あり"))</f>
        <v/>
      </c>
    </row>
    <row r="786">
      <c r="A786" s="197" t="n"/>
      <c r="B786" s="198" t="n"/>
      <c r="C786" s="198" t="n"/>
      <c r="D786" s="195">
        <f>IF(K786="","",INDEX('同相3導体'!$AB:$AB,K786))</f>
        <v/>
      </c>
      <c r="E786" s="195">
        <f>IF(K786="","",INDEX('同相3導体'!$AC:$AC,K786))</f>
        <v/>
      </c>
      <c r="F786" s="195">
        <f>IF(OR(A786="",B786=""),"",100*(D786-B786)/MAX(B786,1E-12))</f>
        <v/>
      </c>
      <c r="G786" s="195">
        <f>IF(OR(A786="",C786=""),"",E786-C786)</f>
        <v/>
      </c>
      <c r="H786" s="195">
        <f>IF(A786="","",LOG10(A786))</f>
        <v/>
      </c>
      <c r="I786" s="195">
        <f>IF(B786="","",LOG10(MAX(B786,1E-12)))</f>
        <v/>
      </c>
      <c r="J786" s="195">
        <f>IF(D786="","",LOG10(MAX(D786,1E-12)))</f>
        <v/>
      </c>
      <c r="K786">
        <f>IF(A786="","",ROUND(1+(LOG10(A786)-LOG10('入力・概要'!$B$38))*('入力・概要'!$B$40-1)/(LOG10('入力・概要'!$B$39)-LOG10('入力・概要'!$B$38)),0)+3)</f>
        <v/>
      </c>
      <c r="L786">
        <f>IF(K786="","",INDEX('同相3導体'!$B:$B,K786))</f>
        <v/>
      </c>
      <c r="M786">
        <f>IF(A786="","",IF(ABS(L786/A786-1)&lt;0.01,"周波数差&lt;1%","周波数差あり"))</f>
        <v/>
      </c>
    </row>
    <row r="787">
      <c r="A787" s="197" t="n"/>
      <c r="B787" s="198" t="n"/>
      <c r="C787" s="198" t="n"/>
      <c r="D787" s="195">
        <f>IF(K787="","",INDEX('同相3導体'!$AB:$AB,K787))</f>
        <v/>
      </c>
      <c r="E787" s="195">
        <f>IF(K787="","",INDEX('同相3導体'!$AC:$AC,K787))</f>
        <v/>
      </c>
      <c r="F787" s="195">
        <f>IF(OR(A787="",B787=""),"",100*(D787-B787)/MAX(B787,1E-12))</f>
        <v/>
      </c>
      <c r="G787" s="195">
        <f>IF(OR(A787="",C787=""),"",E787-C787)</f>
        <v/>
      </c>
      <c r="H787" s="195">
        <f>IF(A787="","",LOG10(A787))</f>
        <v/>
      </c>
      <c r="I787" s="195">
        <f>IF(B787="","",LOG10(MAX(B787,1E-12)))</f>
        <v/>
      </c>
      <c r="J787" s="195">
        <f>IF(D787="","",LOG10(MAX(D787,1E-12)))</f>
        <v/>
      </c>
      <c r="K787">
        <f>IF(A787="","",ROUND(1+(LOG10(A787)-LOG10('入力・概要'!$B$38))*('入力・概要'!$B$40-1)/(LOG10('入力・概要'!$B$39)-LOG10('入力・概要'!$B$38)),0)+3)</f>
        <v/>
      </c>
      <c r="L787">
        <f>IF(K787="","",INDEX('同相3導体'!$B:$B,K787))</f>
        <v/>
      </c>
      <c r="M787">
        <f>IF(A787="","",IF(ABS(L787/A787-1)&lt;0.01,"周波数差&lt;1%","周波数差あり"))</f>
        <v/>
      </c>
    </row>
    <row r="788">
      <c r="A788" s="197" t="n"/>
      <c r="B788" s="198" t="n"/>
      <c r="C788" s="198" t="n"/>
      <c r="D788" s="195">
        <f>IF(K788="","",INDEX('同相3導体'!$AB:$AB,K788))</f>
        <v/>
      </c>
      <c r="E788" s="195">
        <f>IF(K788="","",INDEX('同相3導体'!$AC:$AC,K788))</f>
        <v/>
      </c>
      <c r="F788" s="195">
        <f>IF(OR(A788="",B788=""),"",100*(D788-B788)/MAX(B788,1E-12))</f>
        <v/>
      </c>
      <c r="G788" s="195">
        <f>IF(OR(A788="",C788=""),"",E788-C788)</f>
        <v/>
      </c>
      <c r="H788" s="195">
        <f>IF(A788="","",LOG10(A788))</f>
        <v/>
      </c>
      <c r="I788" s="195">
        <f>IF(B788="","",LOG10(MAX(B788,1E-12)))</f>
        <v/>
      </c>
      <c r="J788" s="195">
        <f>IF(D788="","",LOG10(MAX(D788,1E-12)))</f>
        <v/>
      </c>
      <c r="K788">
        <f>IF(A788="","",ROUND(1+(LOG10(A788)-LOG10('入力・概要'!$B$38))*('入力・概要'!$B$40-1)/(LOG10('入力・概要'!$B$39)-LOG10('入力・概要'!$B$38)),0)+3)</f>
        <v/>
      </c>
      <c r="L788">
        <f>IF(K788="","",INDEX('同相3導体'!$B:$B,K788))</f>
        <v/>
      </c>
      <c r="M788">
        <f>IF(A788="","",IF(ABS(L788/A788-1)&lt;0.01,"周波数差&lt;1%","周波数差あり"))</f>
        <v/>
      </c>
    </row>
    <row r="789">
      <c r="A789" s="197" t="n"/>
      <c r="B789" s="198" t="n"/>
      <c r="C789" s="198" t="n"/>
      <c r="D789" s="195">
        <f>IF(K789="","",INDEX('同相3導体'!$AB:$AB,K789))</f>
        <v/>
      </c>
      <c r="E789" s="195">
        <f>IF(K789="","",INDEX('同相3導体'!$AC:$AC,K789))</f>
        <v/>
      </c>
      <c r="F789" s="195">
        <f>IF(OR(A789="",B789=""),"",100*(D789-B789)/MAX(B789,1E-12))</f>
        <v/>
      </c>
      <c r="G789" s="195">
        <f>IF(OR(A789="",C789=""),"",E789-C789)</f>
        <v/>
      </c>
      <c r="H789" s="195">
        <f>IF(A789="","",LOG10(A789))</f>
        <v/>
      </c>
      <c r="I789" s="195">
        <f>IF(B789="","",LOG10(MAX(B789,1E-12)))</f>
        <v/>
      </c>
      <c r="J789" s="195">
        <f>IF(D789="","",LOG10(MAX(D789,1E-12)))</f>
        <v/>
      </c>
      <c r="K789">
        <f>IF(A789="","",ROUND(1+(LOG10(A789)-LOG10('入力・概要'!$B$38))*('入力・概要'!$B$40-1)/(LOG10('入力・概要'!$B$39)-LOG10('入力・概要'!$B$38)),0)+3)</f>
        <v/>
      </c>
      <c r="L789">
        <f>IF(K789="","",INDEX('同相3導体'!$B:$B,K789))</f>
        <v/>
      </c>
      <c r="M789">
        <f>IF(A789="","",IF(ABS(L789/A789-1)&lt;0.01,"周波数差&lt;1%","周波数差あり"))</f>
        <v/>
      </c>
    </row>
    <row r="790">
      <c r="A790" s="197" t="n"/>
      <c r="B790" s="198" t="n"/>
      <c r="C790" s="198" t="n"/>
      <c r="D790" s="195">
        <f>IF(K790="","",INDEX('同相3導体'!$AB:$AB,K790))</f>
        <v/>
      </c>
      <c r="E790" s="195">
        <f>IF(K790="","",INDEX('同相3導体'!$AC:$AC,K790))</f>
        <v/>
      </c>
      <c r="F790" s="195">
        <f>IF(OR(A790="",B790=""),"",100*(D790-B790)/MAX(B790,1E-12))</f>
        <v/>
      </c>
      <c r="G790" s="195">
        <f>IF(OR(A790="",C790=""),"",E790-C790)</f>
        <v/>
      </c>
      <c r="H790" s="195">
        <f>IF(A790="","",LOG10(A790))</f>
        <v/>
      </c>
      <c r="I790" s="195">
        <f>IF(B790="","",LOG10(MAX(B790,1E-12)))</f>
        <v/>
      </c>
      <c r="J790" s="195">
        <f>IF(D790="","",LOG10(MAX(D790,1E-12)))</f>
        <v/>
      </c>
      <c r="K790">
        <f>IF(A790="","",ROUND(1+(LOG10(A790)-LOG10('入力・概要'!$B$38))*('入力・概要'!$B$40-1)/(LOG10('入力・概要'!$B$39)-LOG10('入力・概要'!$B$38)),0)+3)</f>
        <v/>
      </c>
      <c r="L790">
        <f>IF(K790="","",INDEX('同相3導体'!$B:$B,K790))</f>
        <v/>
      </c>
      <c r="M790">
        <f>IF(A790="","",IF(ABS(L790/A790-1)&lt;0.01,"周波数差&lt;1%","周波数差あり"))</f>
        <v/>
      </c>
    </row>
    <row r="791">
      <c r="A791" s="197" t="n"/>
      <c r="B791" s="198" t="n"/>
      <c r="C791" s="198" t="n"/>
      <c r="D791" s="195">
        <f>IF(K791="","",INDEX('同相3導体'!$AB:$AB,K791))</f>
        <v/>
      </c>
      <c r="E791" s="195">
        <f>IF(K791="","",INDEX('同相3導体'!$AC:$AC,K791))</f>
        <v/>
      </c>
      <c r="F791" s="195">
        <f>IF(OR(A791="",B791=""),"",100*(D791-B791)/MAX(B791,1E-12))</f>
        <v/>
      </c>
      <c r="G791" s="195">
        <f>IF(OR(A791="",C791=""),"",E791-C791)</f>
        <v/>
      </c>
      <c r="H791" s="195">
        <f>IF(A791="","",LOG10(A791))</f>
        <v/>
      </c>
      <c r="I791" s="195">
        <f>IF(B791="","",LOG10(MAX(B791,1E-12)))</f>
        <v/>
      </c>
      <c r="J791" s="195">
        <f>IF(D791="","",LOG10(MAX(D791,1E-12)))</f>
        <v/>
      </c>
      <c r="K791">
        <f>IF(A791="","",ROUND(1+(LOG10(A791)-LOG10('入力・概要'!$B$38))*('入力・概要'!$B$40-1)/(LOG10('入力・概要'!$B$39)-LOG10('入力・概要'!$B$38)),0)+3)</f>
        <v/>
      </c>
      <c r="L791">
        <f>IF(K791="","",INDEX('同相3導体'!$B:$B,K791))</f>
        <v/>
      </c>
      <c r="M791">
        <f>IF(A791="","",IF(ABS(L791/A791-1)&lt;0.01,"周波数差&lt;1%","周波数差あり"))</f>
        <v/>
      </c>
    </row>
    <row r="792">
      <c r="A792" s="197" t="n"/>
      <c r="B792" s="198" t="n"/>
      <c r="C792" s="198" t="n"/>
      <c r="D792" s="195">
        <f>IF(K792="","",INDEX('同相3導体'!$AB:$AB,K792))</f>
        <v/>
      </c>
      <c r="E792" s="195">
        <f>IF(K792="","",INDEX('同相3導体'!$AC:$AC,K792))</f>
        <v/>
      </c>
      <c r="F792" s="195">
        <f>IF(OR(A792="",B792=""),"",100*(D792-B792)/MAX(B792,1E-12))</f>
        <v/>
      </c>
      <c r="G792" s="195">
        <f>IF(OR(A792="",C792=""),"",E792-C792)</f>
        <v/>
      </c>
      <c r="H792" s="195">
        <f>IF(A792="","",LOG10(A792))</f>
        <v/>
      </c>
      <c r="I792" s="195">
        <f>IF(B792="","",LOG10(MAX(B792,1E-12)))</f>
        <v/>
      </c>
      <c r="J792" s="195">
        <f>IF(D792="","",LOG10(MAX(D792,1E-12)))</f>
        <v/>
      </c>
      <c r="K792">
        <f>IF(A792="","",ROUND(1+(LOG10(A792)-LOG10('入力・概要'!$B$38))*('入力・概要'!$B$40-1)/(LOG10('入力・概要'!$B$39)-LOG10('入力・概要'!$B$38)),0)+3)</f>
        <v/>
      </c>
      <c r="L792">
        <f>IF(K792="","",INDEX('同相3導体'!$B:$B,K792))</f>
        <v/>
      </c>
      <c r="M792">
        <f>IF(A792="","",IF(ABS(L792/A792-1)&lt;0.01,"周波数差&lt;1%","周波数差あり"))</f>
        <v/>
      </c>
    </row>
    <row r="793">
      <c r="A793" s="197" t="n"/>
      <c r="B793" s="198" t="n"/>
      <c r="C793" s="198" t="n"/>
      <c r="D793" s="195">
        <f>IF(K793="","",INDEX('同相3導体'!$AB:$AB,K793))</f>
        <v/>
      </c>
      <c r="E793" s="195">
        <f>IF(K793="","",INDEX('同相3導体'!$AC:$AC,K793))</f>
        <v/>
      </c>
      <c r="F793" s="195">
        <f>IF(OR(A793="",B793=""),"",100*(D793-B793)/MAX(B793,1E-12))</f>
        <v/>
      </c>
      <c r="G793" s="195">
        <f>IF(OR(A793="",C793=""),"",E793-C793)</f>
        <v/>
      </c>
      <c r="H793" s="195">
        <f>IF(A793="","",LOG10(A793))</f>
        <v/>
      </c>
      <c r="I793" s="195">
        <f>IF(B793="","",LOG10(MAX(B793,1E-12)))</f>
        <v/>
      </c>
      <c r="J793" s="195">
        <f>IF(D793="","",LOG10(MAX(D793,1E-12)))</f>
        <v/>
      </c>
      <c r="K793">
        <f>IF(A793="","",ROUND(1+(LOG10(A793)-LOG10('入力・概要'!$B$38))*('入力・概要'!$B$40-1)/(LOG10('入力・概要'!$B$39)-LOG10('入力・概要'!$B$38)),0)+3)</f>
        <v/>
      </c>
      <c r="L793">
        <f>IF(K793="","",INDEX('同相3導体'!$B:$B,K793))</f>
        <v/>
      </c>
      <c r="M793">
        <f>IF(A793="","",IF(ABS(L793/A793-1)&lt;0.01,"周波数差&lt;1%","周波数差あり"))</f>
        <v/>
      </c>
    </row>
    <row r="794">
      <c r="A794" s="197" t="n"/>
      <c r="B794" s="198" t="n"/>
      <c r="C794" s="198" t="n"/>
      <c r="D794" s="195">
        <f>IF(K794="","",INDEX('同相3導体'!$AB:$AB,K794))</f>
        <v/>
      </c>
      <c r="E794" s="195">
        <f>IF(K794="","",INDEX('同相3導体'!$AC:$AC,K794))</f>
        <v/>
      </c>
      <c r="F794" s="195">
        <f>IF(OR(A794="",B794=""),"",100*(D794-B794)/MAX(B794,1E-12))</f>
        <v/>
      </c>
      <c r="G794" s="195">
        <f>IF(OR(A794="",C794=""),"",E794-C794)</f>
        <v/>
      </c>
      <c r="H794" s="195">
        <f>IF(A794="","",LOG10(A794))</f>
        <v/>
      </c>
      <c r="I794" s="195">
        <f>IF(B794="","",LOG10(MAX(B794,1E-12)))</f>
        <v/>
      </c>
      <c r="J794" s="195">
        <f>IF(D794="","",LOG10(MAX(D794,1E-12)))</f>
        <v/>
      </c>
      <c r="K794">
        <f>IF(A794="","",ROUND(1+(LOG10(A794)-LOG10('入力・概要'!$B$38))*('入力・概要'!$B$40-1)/(LOG10('入力・概要'!$B$39)-LOG10('入力・概要'!$B$38)),0)+3)</f>
        <v/>
      </c>
      <c r="L794">
        <f>IF(K794="","",INDEX('同相3導体'!$B:$B,K794))</f>
        <v/>
      </c>
      <c r="M794">
        <f>IF(A794="","",IF(ABS(L794/A794-1)&lt;0.01,"周波数差&lt;1%","周波数差あり"))</f>
        <v/>
      </c>
    </row>
    <row r="795">
      <c r="A795" s="197" t="n"/>
      <c r="B795" s="198" t="n"/>
      <c r="C795" s="198" t="n"/>
      <c r="D795" s="195">
        <f>IF(K795="","",INDEX('同相3導体'!$AB:$AB,K795))</f>
        <v/>
      </c>
      <c r="E795" s="195">
        <f>IF(K795="","",INDEX('同相3導体'!$AC:$AC,K795))</f>
        <v/>
      </c>
      <c r="F795" s="195">
        <f>IF(OR(A795="",B795=""),"",100*(D795-B795)/MAX(B795,1E-12))</f>
        <v/>
      </c>
      <c r="G795" s="195">
        <f>IF(OR(A795="",C795=""),"",E795-C795)</f>
        <v/>
      </c>
      <c r="H795" s="195">
        <f>IF(A795="","",LOG10(A795))</f>
        <v/>
      </c>
      <c r="I795" s="195">
        <f>IF(B795="","",LOG10(MAX(B795,1E-12)))</f>
        <v/>
      </c>
      <c r="J795" s="195">
        <f>IF(D795="","",LOG10(MAX(D795,1E-12)))</f>
        <v/>
      </c>
      <c r="K795">
        <f>IF(A795="","",ROUND(1+(LOG10(A795)-LOG10('入力・概要'!$B$38))*('入力・概要'!$B$40-1)/(LOG10('入力・概要'!$B$39)-LOG10('入力・概要'!$B$38)),0)+3)</f>
        <v/>
      </c>
      <c r="L795">
        <f>IF(K795="","",INDEX('同相3導体'!$B:$B,K795))</f>
        <v/>
      </c>
      <c r="M795">
        <f>IF(A795="","",IF(ABS(L795/A795-1)&lt;0.01,"周波数差&lt;1%","周波数差あり"))</f>
        <v/>
      </c>
    </row>
    <row r="796">
      <c r="A796" s="197" t="n"/>
      <c r="B796" s="198" t="n"/>
      <c r="C796" s="198" t="n"/>
      <c r="D796" s="195">
        <f>IF(K796="","",INDEX('同相3導体'!$AB:$AB,K796))</f>
        <v/>
      </c>
      <c r="E796" s="195">
        <f>IF(K796="","",INDEX('同相3導体'!$AC:$AC,K796))</f>
        <v/>
      </c>
      <c r="F796" s="195">
        <f>IF(OR(A796="",B796=""),"",100*(D796-B796)/MAX(B796,1E-12))</f>
        <v/>
      </c>
      <c r="G796" s="195">
        <f>IF(OR(A796="",C796=""),"",E796-C796)</f>
        <v/>
      </c>
      <c r="H796" s="195">
        <f>IF(A796="","",LOG10(A796))</f>
        <v/>
      </c>
      <c r="I796" s="195">
        <f>IF(B796="","",LOG10(MAX(B796,1E-12)))</f>
        <v/>
      </c>
      <c r="J796" s="195">
        <f>IF(D796="","",LOG10(MAX(D796,1E-12)))</f>
        <v/>
      </c>
      <c r="K796">
        <f>IF(A796="","",ROUND(1+(LOG10(A796)-LOG10('入力・概要'!$B$38))*('入力・概要'!$B$40-1)/(LOG10('入力・概要'!$B$39)-LOG10('入力・概要'!$B$38)),0)+3)</f>
        <v/>
      </c>
      <c r="L796">
        <f>IF(K796="","",INDEX('同相3導体'!$B:$B,K796))</f>
        <v/>
      </c>
      <c r="M796">
        <f>IF(A796="","",IF(ABS(L796/A796-1)&lt;0.01,"周波数差&lt;1%","周波数差あり"))</f>
        <v/>
      </c>
    </row>
    <row r="797">
      <c r="A797" s="197" t="n"/>
      <c r="B797" s="198" t="n"/>
      <c r="C797" s="198" t="n"/>
      <c r="D797" s="195">
        <f>IF(K797="","",INDEX('同相3導体'!$AB:$AB,K797))</f>
        <v/>
      </c>
      <c r="E797" s="195">
        <f>IF(K797="","",INDEX('同相3導体'!$AC:$AC,K797))</f>
        <v/>
      </c>
      <c r="F797" s="195">
        <f>IF(OR(A797="",B797=""),"",100*(D797-B797)/MAX(B797,1E-12))</f>
        <v/>
      </c>
      <c r="G797" s="195">
        <f>IF(OR(A797="",C797=""),"",E797-C797)</f>
        <v/>
      </c>
      <c r="H797" s="195">
        <f>IF(A797="","",LOG10(A797))</f>
        <v/>
      </c>
      <c r="I797" s="195">
        <f>IF(B797="","",LOG10(MAX(B797,1E-12)))</f>
        <v/>
      </c>
      <c r="J797" s="195">
        <f>IF(D797="","",LOG10(MAX(D797,1E-12)))</f>
        <v/>
      </c>
      <c r="K797">
        <f>IF(A797="","",ROUND(1+(LOG10(A797)-LOG10('入力・概要'!$B$38))*('入力・概要'!$B$40-1)/(LOG10('入力・概要'!$B$39)-LOG10('入力・概要'!$B$38)),0)+3)</f>
        <v/>
      </c>
      <c r="L797">
        <f>IF(K797="","",INDEX('同相3導体'!$B:$B,K797))</f>
        <v/>
      </c>
      <c r="M797">
        <f>IF(A797="","",IF(ABS(L797/A797-1)&lt;0.01,"周波数差&lt;1%","周波数差あり"))</f>
        <v/>
      </c>
    </row>
    <row r="798">
      <c r="A798" s="197" t="n"/>
      <c r="B798" s="198" t="n"/>
      <c r="C798" s="198" t="n"/>
      <c r="D798" s="195">
        <f>IF(K798="","",INDEX('同相3導体'!$AB:$AB,K798))</f>
        <v/>
      </c>
      <c r="E798" s="195">
        <f>IF(K798="","",INDEX('同相3導体'!$AC:$AC,K798))</f>
        <v/>
      </c>
      <c r="F798" s="195">
        <f>IF(OR(A798="",B798=""),"",100*(D798-B798)/MAX(B798,1E-12))</f>
        <v/>
      </c>
      <c r="G798" s="195">
        <f>IF(OR(A798="",C798=""),"",E798-C798)</f>
        <v/>
      </c>
      <c r="H798" s="195">
        <f>IF(A798="","",LOG10(A798))</f>
        <v/>
      </c>
      <c r="I798" s="195">
        <f>IF(B798="","",LOG10(MAX(B798,1E-12)))</f>
        <v/>
      </c>
      <c r="J798" s="195">
        <f>IF(D798="","",LOG10(MAX(D798,1E-12)))</f>
        <v/>
      </c>
      <c r="K798">
        <f>IF(A798="","",ROUND(1+(LOG10(A798)-LOG10('入力・概要'!$B$38))*('入力・概要'!$B$40-1)/(LOG10('入力・概要'!$B$39)-LOG10('入力・概要'!$B$38)),0)+3)</f>
        <v/>
      </c>
      <c r="L798">
        <f>IF(K798="","",INDEX('同相3導体'!$B:$B,K798))</f>
        <v/>
      </c>
      <c r="M798">
        <f>IF(A798="","",IF(ABS(L798/A798-1)&lt;0.01,"周波数差&lt;1%","周波数差あり"))</f>
        <v/>
      </c>
    </row>
    <row r="799">
      <c r="A799" s="197" t="n"/>
      <c r="B799" s="198" t="n"/>
      <c r="C799" s="198" t="n"/>
      <c r="D799" s="195">
        <f>IF(K799="","",INDEX('同相3導体'!$AB:$AB,K799))</f>
        <v/>
      </c>
      <c r="E799" s="195">
        <f>IF(K799="","",INDEX('同相3導体'!$AC:$AC,K799))</f>
        <v/>
      </c>
      <c r="F799" s="195">
        <f>IF(OR(A799="",B799=""),"",100*(D799-B799)/MAX(B799,1E-12))</f>
        <v/>
      </c>
      <c r="G799" s="195">
        <f>IF(OR(A799="",C799=""),"",E799-C799)</f>
        <v/>
      </c>
      <c r="H799" s="195">
        <f>IF(A799="","",LOG10(A799))</f>
        <v/>
      </c>
      <c r="I799" s="195">
        <f>IF(B799="","",LOG10(MAX(B799,1E-12)))</f>
        <v/>
      </c>
      <c r="J799" s="195">
        <f>IF(D799="","",LOG10(MAX(D799,1E-12)))</f>
        <v/>
      </c>
      <c r="K799">
        <f>IF(A799="","",ROUND(1+(LOG10(A799)-LOG10('入力・概要'!$B$38))*('入力・概要'!$B$40-1)/(LOG10('入力・概要'!$B$39)-LOG10('入力・概要'!$B$38)),0)+3)</f>
        <v/>
      </c>
      <c r="L799">
        <f>IF(K799="","",INDEX('同相3導体'!$B:$B,K799))</f>
        <v/>
      </c>
      <c r="M799">
        <f>IF(A799="","",IF(ABS(L799/A799-1)&lt;0.01,"周波数差&lt;1%","周波数差あり"))</f>
        <v/>
      </c>
    </row>
    <row r="800">
      <c r="A800" s="197" t="n"/>
      <c r="B800" s="198" t="n"/>
      <c r="C800" s="198" t="n"/>
      <c r="D800" s="195">
        <f>IF(K800="","",INDEX('同相3導体'!$AB:$AB,K800))</f>
        <v/>
      </c>
      <c r="E800" s="195">
        <f>IF(K800="","",INDEX('同相3導体'!$AC:$AC,K800))</f>
        <v/>
      </c>
      <c r="F800" s="195">
        <f>IF(OR(A800="",B800=""),"",100*(D800-B800)/MAX(B800,1E-12))</f>
        <v/>
      </c>
      <c r="G800" s="195">
        <f>IF(OR(A800="",C800=""),"",E800-C800)</f>
        <v/>
      </c>
      <c r="H800" s="195">
        <f>IF(A800="","",LOG10(A800))</f>
        <v/>
      </c>
      <c r="I800" s="195">
        <f>IF(B800="","",LOG10(MAX(B800,1E-12)))</f>
        <v/>
      </c>
      <c r="J800" s="195">
        <f>IF(D800="","",LOG10(MAX(D800,1E-12)))</f>
        <v/>
      </c>
      <c r="K800">
        <f>IF(A800="","",ROUND(1+(LOG10(A800)-LOG10('入力・概要'!$B$38))*('入力・概要'!$B$40-1)/(LOG10('入力・概要'!$B$39)-LOG10('入力・概要'!$B$38)),0)+3)</f>
        <v/>
      </c>
      <c r="L800">
        <f>IF(K800="","",INDEX('同相3導体'!$B:$B,K800))</f>
        <v/>
      </c>
      <c r="M800">
        <f>IF(A800="","",IF(ABS(L800/A800-1)&lt;0.01,"周波数差&lt;1%","周波数差あり"))</f>
        <v/>
      </c>
    </row>
    <row r="801">
      <c r="A801" s="197" t="n"/>
      <c r="B801" s="198" t="n"/>
      <c r="C801" s="198" t="n"/>
      <c r="D801" s="195">
        <f>IF(K801="","",INDEX('同相3導体'!$AB:$AB,K801))</f>
        <v/>
      </c>
      <c r="E801" s="195">
        <f>IF(K801="","",INDEX('同相3導体'!$AC:$AC,K801))</f>
        <v/>
      </c>
      <c r="F801" s="195">
        <f>IF(OR(A801="",B801=""),"",100*(D801-B801)/MAX(B801,1E-12))</f>
        <v/>
      </c>
      <c r="G801" s="195">
        <f>IF(OR(A801="",C801=""),"",E801-C801)</f>
        <v/>
      </c>
      <c r="H801" s="195">
        <f>IF(A801="","",LOG10(A801))</f>
        <v/>
      </c>
      <c r="I801" s="195">
        <f>IF(B801="","",LOG10(MAX(B801,1E-12)))</f>
        <v/>
      </c>
      <c r="J801" s="195">
        <f>IF(D801="","",LOG10(MAX(D801,1E-12)))</f>
        <v/>
      </c>
      <c r="K801">
        <f>IF(A801="","",ROUND(1+(LOG10(A801)-LOG10('入力・概要'!$B$38))*('入力・概要'!$B$40-1)/(LOG10('入力・概要'!$B$39)-LOG10('入力・概要'!$B$38)),0)+3)</f>
        <v/>
      </c>
      <c r="L801">
        <f>IF(K801="","",INDEX('同相3導体'!$B:$B,K801))</f>
        <v/>
      </c>
      <c r="M801">
        <f>IF(A801="","",IF(ABS(L801/A801-1)&lt;0.01,"周波数差&lt;1%","周波数差あり"))</f>
        <v/>
      </c>
    </row>
    <row r="802">
      <c r="A802" s="197" t="n"/>
      <c r="B802" s="198" t="n"/>
      <c r="C802" s="198" t="n"/>
      <c r="D802" s="195">
        <f>IF(K802="","",INDEX('同相3導体'!$AB:$AB,K802))</f>
        <v/>
      </c>
      <c r="E802" s="195">
        <f>IF(K802="","",INDEX('同相3導体'!$AC:$AC,K802))</f>
        <v/>
      </c>
      <c r="F802" s="195">
        <f>IF(OR(A802="",B802=""),"",100*(D802-B802)/MAX(B802,1E-12))</f>
        <v/>
      </c>
      <c r="G802" s="195">
        <f>IF(OR(A802="",C802=""),"",E802-C802)</f>
        <v/>
      </c>
      <c r="H802" s="195">
        <f>IF(A802="","",LOG10(A802))</f>
        <v/>
      </c>
      <c r="I802" s="195">
        <f>IF(B802="","",LOG10(MAX(B802,1E-12)))</f>
        <v/>
      </c>
      <c r="J802" s="195">
        <f>IF(D802="","",LOG10(MAX(D802,1E-12)))</f>
        <v/>
      </c>
      <c r="K802">
        <f>IF(A802="","",ROUND(1+(LOG10(A802)-LOG10('入力・概要'!$B$38))*('入力・概要'!$B$40-1)/(LOG10('入力・概要'!$B$39)-LOG10('入力・概要'!$B$38)),0)+3)</f>
        <v/>
      </c>
      <c r="L802">
        <f>IF(K802="","",INDEX('同相3導体'!$B:$B,K802))</f>
        <v/>
      </c>
      <c r="M802">
        <f>IF(A802="","",IF(ABS(L802/A802-1)&lt;0.01,"周波数差&lt;1%","周波数差あり"))</f>
        <v/>
      </c>
    </row>
    <row r="803">
      <c r="A803" s="197" t="n"/>
      <c r="B803" s="198" t="n"/>
      <c r="C803" s="198" t="n"/>
      <c r="D803" s="195">
        <f>IF(K803="","",INDEX('同相3導体'!$AB:$AB,K803))</f>
        <v/>
      </c>
      <c r="E803" s="195">
        <f>IF(K803="","",INDEX('同相3導体'!$AC:$AC,K803))</f>
        <v/>
      </c>
      <c r="F803" s="195">
        <f>IF(OR(A803="",B803=""),"",100*(D803-B803)/MAX(B803,1E-12))</f>
        <v/>
      </c>
      <c r="G803" s="195">
        <f>IF(OR(A803="",C803=""),"",E803-C803)</f>
        <v/>
      </c>
      <c r="H803" s="195">
        <f>IF(A803="","",LOG10(A803))</f>
        <v/>
      </c>
      <c r="I803" s="195">
        <f>IF(B803="","",LOG10(MAX(B803,1E-12)))</f>
        <v/>
      </c>
      <c r="J803" s="195">
        <f>IF(D803="","",LOG10(MAX(D803,1E-12)))</f>
        <v/>
      </c>
      <c r="K803">
        <f>IF(A803="","",ROUND(1+(LOG10(A803)-LOG10('入力・概要'!$B$38))*('入力・概要'!$B$40-1)/(LOG10('入力・概要'!$B$39)-LOG10('入力・概要'!$B$38)),0)+3)</f>
        <v/>
      </c>
      <c r="L803">
        <f>IF(K803="","",INDEX('同相3導体'!$B:$B,K803))</f>
        <v/>
      </c>
      <c r="M803">
        <f>IF(A803="","",IF(ABS(L803/A803-1)&lt;0.01,"周波数差&lt;1%","周波数差あり"))</f>
        <v/>
      </c>
    </row>
    <row r="804">
      <c r="A804" s="197" t="n"/>
      <c r="B804" s="198" t="n"/>
      <c r="C804" s="198" t="n"/>
      <c r="D804" s="195">
        <f>IF(K804="","",INDEX('同相3導体'!$AB:$AB,K804))</f>
        <v/>
      </c>
      <c r="E804" s="195">
        <f>IF(K804="","",INDEX('同相3導体'!$AC:$AC,K804))</f>
        <v/>
      </c>
      <c r="F804" s="195">
        <f>IF(OR(A804="",B804=""),"",100*(D804-B804)/MAX(B804,1E-12))</f>
        <v/>
      </c>
      <c r="G804" s="195">
        <f>IF(OR(A804="",C804=""),"",E804-C804)</f>
        <v/>
      </c>
      <c r="H804" s="195">
        <f>IF(A804="","",LOG10(A804))</f>
        <v/>
      </c>
      <c r="I804" s="195">
        <f>IF(B804="","",LOG10(MAX(B804,1E-12)))</f>
        <v/>
      </c>
      <c r="J804" s="195">
        <f>IF(D804="","",LOG10(MAX(D804,1E-12)))</f>
        <v/>
      </c>
      <c r="K804">
        <f>IF(A804="","",ROUND(1+(LOG10(A804)-LOG10('入力・概要'!$B$38))*('入力・概要'!$B$40-1)/(LOG10('入力・概要'!$B$39)-LOG10('入力・概要'!$B$38)),0)+3)</f>
        <v/>
      </c>
      <c r="L804">
        <f>IF(K804="","",INDEX('同相3導体'!$B:$B,K804))</f>
        <v/>
      </c>
      <c r="M804">
        <f>IF(A804="","",IF(ABS(L804/A804-1)&lt;0.01,"周波数差&lt;1%","周波数差あり"))</f>
        <v/>
      </c>
    </row>
    <row r="805">
      <c r="A805" s="197" t="n"/>
      <c r="B805" s="198" t="n"/>
      <c r="C805" s="198" t="n"/>
      <c r="D805" s="195">
        <f>IF(K805="","",INDEX('同相3導体'!$AB:$AB,K805))</f>
        <v/>
      </c>
      <c r="E805" s="195">
        <f>IF(K805="","",INDEX('同相3導体'!$AC:$AC,K805))</f>
        <v/>
      </c>
      <c r="F805" s="195">
        <f>IF(OR(A805="",B805=""),"",100*(D805-B805)/MAX(B805,1E-12))</f>
        <v/>
      </c>
      <c r="G805" s="195">
        <f>IF(OR(A805="",C805=""),"",E805-C805)</f>
        <v/>
      </c>
      <c r="H805" s="195">
        <f>IF(A805="","",LOG10(A805))</f>
        <v/>
      </c>
      <c r="I805" s="195">
        <f>IF(B805="","",LOG10(MAX(B805,1E-12)))</f>
        <v/>
      </c>
      <c r="J805" s="195">
        <f>IF(D805="","",LOG10(MAX(D805,1E-12)))</f>
        <v/>
      </c>
      <c r="K805">
        <f>IF(A805="","",ROUND(1+(LOG10(A805)-LOG10('入力・概要'!$B$38))*('入力・概要'!$B$40-1)/(LOG10('入力・概要'!$B$39)-LOG10('入力・概要'!$B$38)),0)+3)</f>
        <v/>
      </c>
      <c r="L805">
        <f>IF(K805="","",INDEX('同相3導体'!$B:$B,K805))</f>
        <v/>
      </c>
      <c r="M805">
        <f>IF(A805="","",IF(ABS(L805/A805-1)&lt;0.01,"周波数差&lt;1%","周波数差あり"))</f>
        <v/>
      </c>
    </row>
    <row r="806">
      <c r="A806" s="197" t="n"/>
      <c r="B806" s="198" t="n"/>
      <c r="C806" s="198" t="n"/>
      <c r="D806" s="195">
        <f>IF(K806="","",INDEX('同相3導体'!$AB:$AB,K806))</f>
        <v/>
      </c>
      <c r="E806" s="195">
        <f>IF(K806="","",INDEX('同相3導体'!$AC:$AC,K806))</f>
        <v/>
      </c>
      <c r="F806" s="195">
        <f>IF(OR(A806="",B806=""),"",100*(D806-B806)/MAX(B806,1E-12))</f>
        <v/>
      </c>
      <c r="G806" s="195">
        <f>IF(OR(A806="",C806=""),"",E806-C806)</f>
        <v/>
      </c>
      <c r="H806" s="195">
        <f>IF(A806="","",LOG10(A806))</f>
        <v/>
      </c>
      <c r="I806" s="195">
        <f>IF(B806="","",LOG10(MAX(B806,1E-12)))</f>
        <v/>
      </c>
      <c r="J806" s="195">
        <f>IF(D806="","",LOG10(MAX(D806,1E-12)))</f>
        <v/>
      </c>
      <c r="K806">
        <f>IF(A806="","",ROUND(1+(LOG10(A806)-LOG10('入力・概要'!$B$38))*('入力・概要'!$B$40-1)/(LOG10('入力・概要'!$B$39)-LOG10('入力・概要'!$B$38)),0)+3)</f>
        <v/>
      </c>
      <c r="L806">
        <f>IF(K806="","",INDEX('同相3導体'!$B:$B,K806))</f>
        <v/>
      </c>
      <c r="M806">
        <f>IF(A806="","",IF(ABS(L806/A806-1)&lt;0.01,"周波数差&lt;1%","周波数差あり"))</f>
        <v/>
      </c>
    </row>
    <row r="807">
      <c r="A807" s="197" t="n"/>
      <c r="B807" s="198" t="n"/>
      <c r="C807" s="198" t="n"/>
      <c r="D807" s="195">
        <f>IF(K807="","",INDEX('同相3導体'!$AB:$AB,K807))</f>
        <v/>
      </c>
      <c r="E807" s="195">
        <f>IF(K807="","",INDEX('同相3導体'!$AC:$AC,K807))</f>
        <v/>
      </c>
      <c r="F807" s="195">
        <f>IF(OR(A807="",B807=""),"",100*(D807-B807)/MAX(B807,1E-12))</f>
        <v/>
      </c>
      <c r="G807" s="195">
        <f>IF(OR(A807="",C807=""),"",E807-C807)</f>
        <v/>
      </c>
      <c r="H807" s="195">
        <f>IF(A807="","",LOG10(A807))</f>
        <v/>
      </c>
      <c r="I807" s="195">
        <f>IF(B807="","",LOG10(MAX(B807,1E-12)))</f>
        <v/>
      </c>
      <c r="J807" s="195">
        <f>IF(D807="","",LOG10(MAX(D807,1E-12)))</f>
        <v/>
      </c>
      <c r="K807">
        <f>IF(A807="","",ROUND(1+(LOG10(A807)-LOG10('入力・概要'!$B$38))*('入力・概要'!$B$40-1)/(LOG10('入力・概要'!$B$39)-LOG10('入力・概要'!$B$38)),0)+3)</f>
        <v/>
      </c>
      <c r="L807">
        <f>IF(K807="","",INDEX('同相3導体'!$B:$B,K807))</f>
        <v/>
      </c>
      <c r="M807">
        <f>IF(A807="","",IF(ABS(L807/A807-1)&lt;0.01,"周波数差&lt;1%","周波数差あり"))</f>
        <v/>
      </c>
    </row>
    <row r="808">
      <c r="A808" s="197" t="n"/>
      <c r="B808" s="198" t="n"/>
      <c r="C808" s="198" t="n"/>
      <c r="D808" s="195">
        <f>IF(K808="","",INDEX('同相3導体'!$AB:$AB,K808))</f>
        <v/>
      </c>
      <c r="E808" s="195">
        <f>IF(K808="","",INDEX('同相3導体'!$AC:$AC,K808))</f>
        <v/>
      </c>
      <c r="F808" s="195">
        <f>IF(OR(A808="",B808=""),"",100*(D808-B808)/MAX(B808,1E-12))</f>
        <v/>
      </c>
      <c r="G808" s="195">
        <f>IF(OR(A808="",C808=""),"",E808-C808)</f>
        <v/>
      </c>
      <c r="H808" s="195">
        <f>IF(A808="","",LOG10(A808))</f>
        <v/>
      </c>
      <c r="I808" s="195">
        <f>IF(B808="","",LOG10(MAX(B808,1E-12)))</f>
        <v/>
      </c>
      <c r="J808" s="195">
        <f>IF(D808="","",LOG10(MAX(D808,1E-12)))</f>
        <v/>
      </c>
      <c r="K808">
        <f>IF(A808="","",ROUND(1+(LOG10(A808)-LOG10('入力・概要'!$B$38))*('入力・概要'!$B$40-1)/(LOG10('入力・概要'!$B$39)-LOG10('入力・概要'!$B$38)),0)+3)</f>
        <v/>
      </c>
      <c r="L808">
        <f>IF(K808="","",INDEX('同相3導体'!$B:$B,K808))</f>
        <v/>
      </c>
      <c r="M808">
        <f>IF(A808="","",IF(ABS(L808/A808-1)&lt;0.01,"周波数差&lt;1%","周波数差あり"))</f>
        <v/>
      </c>
    </row>
    <row r="809">
      <c r="A809" s="197" t="n"/>
      <c r="B809" s="198" t="n"/>
      <c r="C809" s="198" t="n"/>
      <c r="D809" s="195">
        <f>IF(K809="","",INDEX('同相3導体'!$AB:$AB,K809))</f>
        <v/>
      </c>
      <c r="E809" s="195">
        <f>IF(K809="","",INDEX('同相3導体'!$AC:$AC,K809))</f>
        <v/>
      </c>
      <c r="F809" s="195">
        <f>IF(OR(A809="",B809=""),"",100*(D809-B809)/MAX(B809,1E-12))</f>
        <v/>
      </c>
      <c r="G809" s="195">
        <f>IF(OR(A809="",C809=""),"",E809-C809)</f>
        <v/>
      </c>
      <c r="H809" s="195">
        <f>IF(A809="","",LOG10(A809))</f>
        <v/>
      </c>
      <c r="I809" s="195">
        <f>IF(B809="","",LOG10(MAX(B809,1E-12)))</f>
        <v/>
      </c>
      <c r="J809" s="195">
        <f>IF(D809="","",LOG10(MAX(D809,1E-12)))</f>
        <v/>
      </c>
      <c r="K809">
        <f>IF(A809="","",ROUND(1+(LOG10(A809)-LOG10('入力・概要'!$B$38))*('入力・概要'!$B$40-1)/(LOG10('入力・概要'!$B$39)-LOG10('入力・概要'!$B$38)),0)+3)</f>
        <v/>
      </c>
      <c r="L809">
        <f>IF(K809="","",INDEX('同相3導体'!$B:$B,K809))</f>
        <v/>
      </c>
      <c r="M809">
        <f>IF(A809="","",IF(ABS(L809/A809-1)&lt;0.01,"周波数差&lt;1%","周波数差あり"))</f>
        <v/>
      </c>
    </row>
    <row r="810">
      <c r="A810" s="197" t="n"/>
      <c r="B810" s="198" t="n"/>
      <c r="C810" s="198" t="n"/>
      <c r="D810" s="195">
        <f>IF(K810="","",INDEX('同相3導体'!$AB:$AB,K810))</f>
        <v/>
      </c>
      <c r="E810" s="195">
        <f>IF(K810="","",INDEX('同相3導体'!$AC:$AC,K810))</f>
        <v/>
      </c>
      <c r="F810" s="195">
        <f>IF(OR(A810="",B810=""),"",100*(D810-B810)/MAX(B810,1E-12))</f>
        <v/>
      </c>
      <c r="G810" s="195">
        <f>IF(OR(A810="",C810=""),"",E810-C810)</f>
        <v/>
      </c>
      <c r="H810" s="195">
        <f>IF(A810="","",LOG10(A810))</f>
        <v/>
      </c>
      <c r="I810" s="195">
        <f>IF(B810="","",LOG10(MAX(B810,1E-12)))</f>
        <v/>
      </c>
      <c r="J810" s="195">
        <f>IF(D810="","",LOG10(MAX(D810,1E-12)))</f>
        <v/>
      </c>
      <c r="K810">
        <f>IF(A810="","",ROUND(1+(LOG10(A810)-LOG10('入力・概要'!$B$38))*('入力・概要'!$B$40-1)/(LOG10('入力・概要'!$B$39)-LOG10('入力・概要'!$B$38)),0)+3)</f>
        <v/>
      </c>
      <c r="L810">
        <f>IF(K810="","",INDEX('同相3導体'!$B:$B,K810))</f>
        <v/>
      </c>
      <c r="M810">
        <f>IF(A810="","",IF(ABS(L810/A810-1)&lt;0.01,"周波数差&lt;1%","周波数差あり"))</f>
        <v/>
      </c>
    </row>
    <row r="811">
      <c r="A811" s="197" t="n"/>
      <c r="B811" s="198" t="n"/>
      <c r="C811" s="198" t="n"/>
      <c r="D811" s="195">
        <f>IF(K811="","",INDEX('同相3導体'!$AB:$AB,K811))</f>
        <v/>
      </c>
      <c r="E811" s="195">
        <f>IF(K811="","",INDEX('同相3導体'!$AC:$AC,K811))</f>
        <v/>
      </c>
      <c r="F811" s="195">
        <f>IF(OR(A811="",B811=""),"",100*(D811-B811)/MAX(B811,1E-12))</f>
        <v/>
      </c>
      <c r="G811" s="195">
        <f>IF(OR(A811="",C811=""),"",E811-C811)</f>
        <v/>
      </c>
      <c r="H811" s="195">
        <f>IF(A811="","",LOG10(A811))</f>
        <v/>
      </c>
      <c r="I811" s="195">
        <f>IF(B811="","",LOG10(MAX(B811,1E-12)))</f>
        <v/>
      </c>
      <c r="J811" s="195">
        <f>IF(D811="","",LOG10(MAX(D811,1E-12)))</f>
        <v/>
      </c>
      <c r="K811">
        <f>IF(A811="","",ROUND(1+(LOG10(A811)-LOG10('入力・概要'!$B$38))*('入力・概要'!$B$40-1)/(LOG10('入力・概要'!$B$39)-LOG10('入力・概要'!$B$38)),0)+3)</f>
        <v/>
      </c>
      <c r="L811">
        <f>IF(K811="","",INDEX('同相3導体'!$B:$B,K811))</f>
        <v/>
      </c>
      <c r="M811">
        <f>IF(A811="","",IF(ABS(L811/A811-1)&lt;0.01,"周波数差&lt;1%","周波数差あり"))</f>
        <v/>
      </c>
    </row>
    <row r="812">
      <c r="A812" s="197" t="n"/>
      <c r="B812" s="198" t="n"/>
      <c r="C812" s="198" t="n"/>
      <c r="D812" s="195">
        <f>IF(K812="","",INDEX('同相3導体'!$AB:$AB,K812))</f>
        <v/>
      </c>
      <c r="E812" s="195">
        <f>IF(K812="","",INDEX('同相3導体'!$AC:$AC,K812))</f>
        <v/>
      </c>
      <c r="F812" s="195">
        <f>IF(OR(A812="",B812=""),"",100*(D812-B812)/MAX(B812,1E-12))</f>
        <v/>
      </c>
      <c r="G812" s="195">
        <f>IF(OR(A812="",C812=""),"",E812-C812)</f>
        <v/>
      </c>
      <c r="H812" s="195">
        <f>IF(A812="","",LOG10(A812))</f>
        <v/>
      </c>
      <c r="I812" s="195">
        <f>IF(B812="","",LOG10(MAX(B812,1E-12)))</f>
        <v/>
      </c>
      <c r="J812" s="195">
        <f>IF(D812="","",LOG10(MAX(D812,1E-12)))</f>
        <v/>
      </c>
      <c r="K812">
        <f>IF(A812="","",ROUND(1+(LOG10(A812)-LOG10('入力・概要'!$B$38))*('入力・概要'!$B$40-1)/(LOG10('入力・概要'!$B$39)-LOG10('入力・概要'!$B$38)),0)+3)</f>
        <v/>
      </c>
      <c r="L812">
        <f>IF(K812="","",INDEX('同相3導体'!$B:$B,K812))</f>
        <v/>
      </c>
      <c r="M812">
        <f>IF(A812="","",IF(ABS(L812/A812-1)&lt;0.01,"周波数差&lt;1%","周波数差あり"))</f>
        <v/>
      </c>
    </row>
    <row r="813">
      <c r="A813" s="197" t="n"/>
      <c r="B813" s="198" t="n"/>
      <c r="C813" s="198" t="n"/>
      <c r="D813" s="195">
        <f>IF(K813="","",INDEX('同相3導体'!$AB:$AB,K813))</f>
        <v/>
      </c>
      <c r="E813" s="195">
        <f>IF(K813="","",INDEX('同相3導体'!$AC:$AC,K813))</f>
        <v/>
      </c>
      <c r="F813" s="195">
        <f>IF(OR(A813="",B813=""),"",100*(D813-B813)/MAX(B813,1E-12))</f>
        <v/>
      </c>
      <c r="G813" s="195">
        <f>IF(OR(A813="",C813=""),"",E813-C813)</f>
        <v/>
      </c>
      <c r="H813" s="195">
        <f>IF(A813="","",LOG10(A813))</f>
        <v/>
      </c>
      <c r="I813" s="195">
        <f>IF(B813="","",LOG10(MAX(B813,1E-12)))</f>
        <v/>
      </c>
      <c r="J813" s="195">
        <f>IF(D813="","",LOG10(MAX(D813,1E-12)))</f>
        <v/>
      </c>
      <c r="K813">
        <f>IF(A813="","",ROUND(1+(LOG10(A813)-LOG10('入力・概要'!$B$38))*('入力・概要'!$B$40-1)/(LOG10('入力・概要'!$B$39)-LOG10('入力・概要'!$B$38)),0)+3)</f>
        <v/>
      </c>
      <c r="L813">
        <f>IF(K813="","",INDEX('同相3導体'!$B:$B,K813))</f>
        <v/>
      </c>
      <c r="M813">
        <f>IF(A813="","",IF(ABS(L813/A813-1)&lt;0.01,"周波数差&lt;1%","周波数差あり"))</f>
        <v/>
      </c>
    </row>
    <row r="814">
      <c r="A814" s="197" t="n"/>
      <c r="B814" s="198" t="n"/>
      <c r="C814" s="198" t="n"/>
      <c r="D814" s="195">
        <f>IF(K814="","",INDEX('同相3導体'!$AB:$AB,K814))</f>
        <v/>
      </c>
      <c r="E814" s="195">
        <f>IF(K814="","",INDEX('同相3導体'!$AC:$AC,K814))</f>
        <v/>
      </c>
      <c r="F814" s="195">
        <f>IF(OR(A814="",B814=""),"",100*(D814-B814)/MAX(B814,1E-12))</f>
        <v/>
      </c>
      <c r="G814" s="195">
        <f>IF(OR(A814="",C814=""),"",E814-C814)</f>
        <v/>
      </c>
      <c r="H814" s="195">
        <f>IF(A814="","",LOG10(A814))</f>
        <v/>
      </c>
      <c r="I814" s="195">
        <f>IF(B814="","",LOG10(MAX(B814,1E-12)))</f>
        <v/>
      </c>
      <c r="J814" s="195">
        <f>IF(D814="","",LOG10(MAX(D814,1E-12)))</f>
        <v/>
      </c>
      <c r="K814">
        <f>IF(A814="","",ROUND(1+(LOG10(A814)-LOG10('入力・概要'!$B$38))*('入力・概要'!$B$40-1)/(LOG10('入力・概要'!$B$39)-LOG10('入力・概要'!$B$38)),0)+3)</f>
        <v/>
      </c>
      <c r="L814">
        <f>IF(K814="","",INDEX('同相3導体'!$B:$B,K814))</f>
        <v/>
      </c>
      <c r="M814">
        <f>IF(A814="","",IF(ABS(L814/A814-1)&lt;0.01,"周波数差&lt;1%","周波数差あり"))</f>
        <v/>
      </c>
    </row>
    <row r="815">
      <c r="A815" s="197" t="n"/>
      <c r="B815" s="198" t="n"/>
      <c r="C815" s="198" t="n"/>
      <c r="D815" s="195">
        <f>IF(K815="","",INDEX('同相3導体'!$AB:$AB,K815))</f>
        <v/>
      </c>
      <c r="E815" s="195">
        <f>IF(K815="","",INDEX('同相3導体'!$AC:$AC,K815))</f>
        <v/>
      </c>
      <c r="F815" s="195">
        <f>IF(OR(A815="",B815=""),"",100*(D815-B815)/MAX(B815,1E-12))</f>
        <v/>
      </c>
      <c r="G815" s="195">
        <f>IF(OR(A815="",C815=""),"",E815-C815)</f>
        <v/>
      </c>
      <c r="H815" s="195">
        <f>IF(A815="","",LOG10(A815))</f>
        <v/>
      </c>
      <c r="I815" s="195">
        <f>IF(B815="","",LOG10(MAX(B815,1E-12)))</f>
        <v/>
      </c>
      <c r="J815" s="195">
        <f>IF(D815="","",LOG10(MAX(D815,1E-12)))</f>
        <v/>
      </c>
      <c r="K815">
        <f>IF(A815="","",ROUND(1+(LOG10(A815)-LOG10('入力・概要'!$B$38))*('入力・概要'!$B$40-1)/(LOG10('入力・概要'!$B$39)-LOG10('入力・概要'!$B$38)),0)+3)</f>
        <v/>
      </c>
      <c r="L815">
        <f>IF(K815="","",INDEX('同相3導体'!$B:$B,K815))</f>
        <v/>
      </c>
      <c r="M815">
        <f>IF(A815="","",IF(ABS(L815/A815-1)&lt;0.01,"周波数差&lt;1%","周波数差あり"))</f>
        <v/>
      </c>
    </row>
    <row r="816">
      <c r="A816" s="197" t="n"/>
      <c r="B816" s="198" t="n"/>
      <c r="C816" s="198" t="n"/>
      <c r="D816" s="195">
        <f>IF(K816="","",INDEX('同相3導体'!$AB:$AB,K816))</f>
        <v/>
      </c>
      <c r="E816" s="195">
        <f>IF(K816="","",INDEX('同相3導体'!$AC:$AC,K816))</f>
        <v/>
      </c>
      <c r="F816" s="195">
        <f>IF(OR(A816="",B816=""),"",100*(D816-B816)/MAX(B816,1E-12))</f>
        <v/>
      </c>
      <c r="G816" s="195">
        <f>IF(OR(A816="",C816=""),"",E816-C816)</f>
        <v/>
      </c>
      <c r="H816" s="195">
        <f>IF(A816="","",LOG10(A816))</f>
        <v/>
      </c>
      <c r="I816" s="195">
        <f>IF(B816="","",LOG10(MAX(B816,1E-12)))</f>
        <v/>
      </c>
      <c r="J816" s="195">
        <f>IF(D816="","",LOG10(MAX(D816,1E-12)))</f>
        <v/>
      </c>
      <c r="K816">
        <f>IF(A816="","",ROUND(1+(LOG10(A816)-LOG10('入力・概要'!$B$38))*('入力・概要'!$B$40-1)/(LOG10('入力・概要'!$B$39)-LOG10('入力・概要'!$B$38)),0)+3)</f>
        <v/>
      </c>
      <c r="L816">
        <f>IF(K816="","",INDEX('同相3導体'!$B:$B,K816))</f>
        <v/>
      </c>
      <c r="M816">
        <f>IF(A816="","",IF(ABS(L816/A816-1)&lt;0.01,"周波数差&lt;1%","周波数差あり"))</f>
        <v/>
      </c>
    </row>
    <row r="817">
      <c r="A817" s="197" t="n"/>
      <c r="B817" s="198" t="n"/>
      <c r="C817" s="198" t="n"/>
      <c r="D817" s="195">
        <f>IF(K817="","",INDEX('同相3導体'!$AB:$AB,K817))</f>
        <v/>
      </c>
      <c r="E817" s="195">
        <f>IF(K817="","",INDEX('同相3導体'!$AC:$AC,K817))</f>
        <v/>
      </c>
      <c r="F817" s="195">
        <f>IF(OR(A817="",B817=""),"",100*(D817-B817)/MAX(B817,1E-12))</f>
        <v/>
      </c>
      <c r="G817" s="195">
        <f>IF(OR(A817="",C817=""),"",E817-C817)</f>
        <v/>
      </c>
      <c r="H817" s="195">
        <f>IF(A817="","",LOG10(A817))</f>
        <v/>
      </c>
      <c r="I817" s="195">
        <f>IF(B817="","",LOG10(MAX(B817,1E-12)))</f>
        <v/>
      </c>
      <c r="J817" s="195">
        <f>IF(D817="","",LOG10(MAX(D817,1E-12)))</f>
        <v/>
      </c>
      <c r="K817">
        <f>IF(A817="","",ROUND(1+(LOG10(A817)-LOG10('入力・概要'!$B$38))*('入力・概要'!$B$40-1)/(LOG10('入力・概要'!$B$39)-LOG10('入力・概要'!$B$38)),0)+3)</f>
        <v/>
      </c>
      <c r="L817">
        <f>IF(K817="","",INDEX('同相3導体'!$B:$B,K817))</f>
        <v/>
      </c>
      <c r="M817">
        <f>IF(A817="","",IF(ABS(L817/A817-1)&lt;0.01,"周波数差&lt;1%","周波数差あり"))</f>
        <v/>
      </c>
    </row>
    <row r="818">
      <c r="A818" s="197" t="n"/>
      <c r="B818" s="198" t="n"/>
      <c r="C818" s="198" t="n"/>
      <c r="D818" s="195">
        <f>IF(K818="","",INDEX('同相3導体'!$AB:$AB,K818))</f>
        <v/>
      </c>
      <c r="E818" s="195">
        <f>IF(K818="","",INDEX('同相3導体'!$AC:$AC,K818))</f>
        <v/>
      </c>
      <c r="F818" s="195">
        <f>IF(OR(A818="",B818=""),"",100*(D818-B818)/MAX(B818,1E-12))</f>
        <v/>
      </c>
      <c r="G818" s="195">
        <f>IF(OR(A818="",C818=""),"",E818-C818)</f>
        <v/>
      </c>
      <c r="H818" s="195">
        <f>IF(A818="","",LOG10(A818))</f>
        <v/>
      </c>
      <c r="I818" s="195">
        <f>IF(B818="","",LOG10(MAX(B818,1E-12)))</f>
        <v/>
      </c>
      <c r="J818" s="195">
        <f>IF(D818="","",LOG10(MAX(D818,1E-12)))</f>
        <v/>
      </c>
      <c r="K818">
        <f>IF(A818="","",ROUND(1+(LOG10(A818)-LOG10('入力・概要'!$B$38))*('入力・概要'!$B$40-1)/(LOG10('入力・概要'!$B$39)-LOG10('入力・概要'!$B$38)),0)+3)</f>
        <v/>
      </c>
      <c r="L818">
        <f>IF(K818="","",INDEX('同相3導体'!$B:$B,K818))</f>
        <v/>
      </c>
      <c r="M818">
        <f>IF(A818="","",IF(ABS(L818/A818-1)&lt;0.01,"周波数差&lt;1%","周波数差あり"))</f>
        <v/>
      </c>
    </row>
    <row r="819">
      <c r="A819" s="197" t="n"/>
      <c r="B819" s="198" t="n"/>
      <c r="C819" s="198" t="n"/>
      <c r="D819" s="195">
        <f>IF(K819="","",INDEX('同相3導体'!$AB:$AB,K819))</f>
        <v/>
      </c>
      <c r="E819" s="195">
        <f>IF(K819="","",INDEX('同相3導体'!$AC:$AC,K819))</f>
        <v/>
      </c>
      <c r="F819" s="195">
        <f>IF(OR(A819="",B819=""),"",100*(D819-B819)/MAX(B819,1E-12))</f>
        <v/>
      </c>
      <c r="G819" s="195">
        <f>IF(OR(A819="",C819=""),"",E819-C819)</f>
        <v/>
      </c>
      <c r="H819" s="195">
        <f>IF(A819="","",LOG10(A819))</f>
        <v/>
      </c>
      <c r="I819" s="195">
        <f>IF(B819="","",LOG10(MAX(B819,1E-12)))</f>
        <v/>
      </c>
      <c r="J819" s="195">
        <f>IF(D819="","",LOG10(MAX(D819,1E-12)))</f>
        <v/>
      </c>
      <c r="K819">
        <f>IF(A819="","",ROUND(1+(LOG10(A819)-LOG10('入力・概要'!$B$38))*('入力・概要'!$B$40-1)/(LOG10('入力・概要'!$B$39)-LOG10('入力・概要'!$B$38)),0)+3)</f>
        <v/>
      </c>
      <c r="L819">
        <f>IF(K819="","",INDEX('同相3導体'!$B:$B,K819))</f>
        <v/>
      </c>
      <c r="M819">
        <f>IF(A819="","",IF(ABS(L819/A819-1)&lt;0.01,"周波数差&lt;1%","周波数差あり"))</f>
        <v/>
      </c>
    </row>
    <row r="820">
      <c r="A820" s="197" t="n"/>
      <c r="B820" s="198" t="n"/>
      <c r="C820" s="198" t="n"/>
      <c r="D820" s="195">
        <f>IF(K820="","",INDEX('同相3導体'!$AB:$AB,K820))</f>
        <v/>
      </c>
      <c r="E820" s="195">
        <f>IF(K820="","",INDEX('同相3導体'!$AC:$AC,K820))</f>
        <v/>
      </c>
      <c r="F820" s="195">
        <f>IF(OR(A820="",B820=""),"",100*(D820-B820)/MAX(B820,1E-12))</f>
        <v/>
      </c>
      <c r="G820" s="195">
        <f>IF(OR(A820="",C820=""),"",E820-C820)</f>
        <v/>
      </c>
      <c r="H820" s="195">
        <f>IF(A820="","",LOG10(A820))</f>
        <v/>
      </c>
      <c r="I820" s="195">
        <f>IF(B820="","",LOG10(MAX(B820,1E-12)))</f>
        <v/>
      </c>
      <c r="J820" s="195">
        <f>IF(D820="","",LOG10(MAX(D820,1E-12)))</f>
        <v/>
      </c>
      <c r="K820">
        <f>IF(A820="","",ROUND(1+(LOG10(A820)-LOG10('入力・概要'!$B$38))*('入力・概要'!$B$40-1)/(LOG10('入力・概要'!$B$39)-LOG10('入力・概要'!$B$38)),0)+3)</f>
        <v/>
      </c>
      <c r="L820">
        <f>IF(K820="","",INDEX('同相3導体'!$B:$B,K820))</f>
        <v/>
      </c>
      <c r="M820">
        <f>IF(A820="","",IF(ABS(L820/A820-1)&lt;0.01,"周波数差&lt;1%","周波数差あり"))</f>
        <v/>
      </c>
    </row>
    <row r="821">
      <c r="A821" s="197" t="n"/>
      <c r="B821" s="198" t="n"/>
      <c r="C821" s="198" t="n"/>
      <c r="D821" s="195">
        <f>IF(K821="","",INDEX('同相3導体'!$AB:$AB,K821))</f>
        <v/>
      </c>
      <c r="E821" s="195">
        <f>IF(K821="","",INDEX('同相3導体'!$AC:$AC,K821))</f>
        <v/>
      </c>
      <c r="F821" s="195">
        <f>IF(OR(A821="",B821=""),"",100*(D821-B821)/MAX(B821,1E-12))</f>
        <v/>
      </c>
      <c r="G821" s="195">
        <f>IF(OR(A821="",C821=""),"",E821-C821)</f>
        <v/>
      </c>
      <c r="H821" s="195">
        <f>IF(A821="","",LOG10(A821))</f>
        <v/>
      </c>
      <c r="I821" s="195">
        <f>IF(B821="","",LOG10(MAX(B821,1E-12)))</f>
        <v/>
      </c>
      <c r="J821" s="195">
        <f>IF(D821="","",LOG10(MAX(D821,1E-12)))</f>
        <v/>
      </c>
      <c r="K821">
        <f>IF(A821="","",ROUND(1+(LOG10(A821)-LOG10('入力・概要'!$B$38))*('入力・概要'!$B$40-1)/(LOG10('入力・概要'!$B$39)-LOG10('入力・概要'!$B$38)),0)+3)</f>
        <v/>
      </c>
      <c r="L821">
        <f>IF(K821="","",INDEX('同相3導体'!$B:$B,K821))</f>
        <v/>
      </c>
      <c r="M821">
        <f>IF(A821="","",IF(ABS(L821/A821-1)&lt;0.01,"周波数差&lt;1%","周波数差あり"))</f>
        <v/>
      </c>
    </row>
    <row r="822">
      <c r="A822" s="197" t="n"/>
      <c r="B822" s="198" t="n"/>
      <c r="C822" s="198" t="n"/>
      <c r="D822" s="195">
        <f>IF(K822="","",INDEX('同相3導体'!$AB:$AB,K822))</f>
        <v/>
      </c>
      <c r="E822" s="195">
        <f>IF(K822="","",INDEX('同相3導体'!$AC:$AC,K822))</f>
        <v/>
      </c>
      <c r="F822" s="195">
        <f>IF(OR(A822="",B822=""),"",100*(D822-B822)/MAX(B822,1E-12))</f>
        <v/>
      </c>
      <c r="G822" s="195">
        <f>IF(OR(A822="",C822=""),"",E822-C822)</f>
        <v/>
      </c>
      <c r="H822" s="195">
        <f>IF(A822="","",LOG10(A822))</f>
        <v/>
      </c>
      <c r="I822" s="195">
        <f>IF(B822="","",LOG10(MAX(B822,1E-12)))</f>
        <v/>
      </c>
      <c r="J822" s="195">
        <f>IF(D822="","",LOG10(MAX(D822,1E-12)))</f>
        <v/>
      </c>
      <c r="K822">
        <f>IF(A822="","",ROUND(1+(LOG10(A822)-LOG10('入力・概要'!$B$38))*('入力・概要'!$B$40-1)/(LOG10('入力・概要'!$B$39)-LOG10('入力・概要'!$B$38)),0)+3)</f>
        <v/>
      </c>
      <c r="L822">
        <f>IF(K822="","",INDEX('同相3導体'!$B:$B,K822))</f>
        <v/>
      </c>
      <c r="M822">
        <f>IF(A822="","",IF(ABS(L822/A822-1)&lt;0.01,"周波数差&lt;1%","周波数差あり"))</f>
        <v/>
      </c>
    </row>
    <row r="823">
      <c r="A823" s="197" t="n"/>
      <c r="B823" s="198" t="n"/>
      <c r="C823" s="198" t="n"/>
      <c r="D823" s="195">
        <f>IF(K823="","",INDEX('同相3導体'!$AB:$AB,K823))</f>
        <v/>
      </c>
      <c r="E823" s="195">
        <f>IF(K823="","",INDEX('同相3導体'!$AC:$AC,K823))</f>
        <v/>
      </c>
      <c r="F823" s="195">
        <f>IF(OR(A823="",B823=""),"",100*(D823-B823)/MAX(B823,1E-12))</f>
        <v/>
      </c>
      <c r="G823" s="195">
        <f>IF(OR(A823="",C823=""),"",E823-C823)</f>
        <v/>
      </c>
      <c r="H823" s="195">
        <f>IF(A823="","",LOG10(A823))</f>
        <v/>
      </c>
      <c r="I823" s="195">
        <f>IF(B823="","",LOG10(MAX(B823,1E-12)))</f>
        <v/>
      </c>
      <c r="J823" s="195">
        <f>IF(D823="","",LOG10(MAX(D823,1E-12)))</f>
        <v/>
      </c>
      <c r="K823">
        <f>IF(A823="","",ROUND(1+(LOG10(A823)-LOG10('入力・概要'!$B$38))*('入力・概要'!$B$40-1)/(LOG10('入力・概要'!$B$39)-LOG10('入力・概要'!$B$38)),0)+3)</f>
        <v/>
      </c>
      <c r="L823">
        <f>IF(K823="","",INDEX('同相3導体'!$B:$B,K823))</f>
        <v/>
      </c>
      <c r="M823">
        <f>IF(A823="","",IF(ABS(L823/A823-1)&lt;0.01,"周波数差&lt;1%","周波数差あり"))</f>
        <v/>
      </c>
    </row>
    <row r="824">
      <c r="A824" s="197" t="n"/>
      <c r="B824" s="198" t="n"/>
      <c r="C824" s="198" t="n"/>
      <c r="D824" s="195">
        <f>IF(K824="","",INDEX('同相3導体'!$AB:$AB,K824))</f>
        <v/>
      </c>
      <c r="E824" s="195">
        <f>IF(K824="","",INDEX('同相3導体'!$AC:$AC,K824))</f>
        <v/>
      </c>
      <c r="F824" s="195">
        <f>IF(OR(A824="",B824=""),"",100*(D824-B824)/MAX(B824,1E-12))</f>
        <v/>
      </c>
      <c r="G824" s="195">
        <f>IF(OR(A824="",C824=""),"",E824-C824)</f>
        <v/>
      </c>
      <c r="H824" s="195">
        <f>IF(A824="","",LOG10(A824))</f>
        <v/>
      </c>
      <c r="I824" s="195">
        <f>IF(B824="","",LOG10(MAX(B824,1E-12)))</f>
        <v/>
      </c>
      <c r="J824" s="195">
        <f>IF(D824="","",LOG10(MAX(D824,1E-12)))</f>
        <v/>
      </c>
      <c r="K824">
        <f>IF(A824="","",ROUND(1+(LOG10(A824)-LOG10('入力・概要'!$B$38))*('入力・概要'!$B$40-1)/(LOG10('入力・概要'!$B$39)-LOG10('入力・概要'!$B$38)),0)+3)</f>
        <v/>
      </c>
      <c r="L824">
        <f>IF(K824="","",INDEX('同相3導体'!$B:$B,K824))</f>
        <v/>
      </c>
      <c r="M824">
        <f>IF(A824="","",IF(ABS(L824/A824-1)&lt;0.01,"周波数差&lt;1%","周波数差あり"))</f>
        <v/>
      </c>
    </row>
    <row r="825">
      <c r="A825" s="197" t="n"/>
      <c r="B825" s="198" t="n"/>
      <c r="C825" s="198" t="n"/>
      <c r="D825" s="195">
        <f>IF(K825="","",INDEX('同相3導体'!$AB:$AB,K825))</f>
        <v/>
      </c>
      <c r="E825" s="195">
        <f>IF(K825="","",INDEX('同相3導体'!$AC:$AC,K825))</f>
        <v/>
      </c>
      <c r="F825" s="195">
        <f>IF(OR(A825="",B825=""),"",100*(D825-B825)/MAX(B825,1E-12))</f>
        <v/>
      </c>
      <c r="G825" s="195">
        <f>IF(OR(A825="",C825=""),"",E825-C825)</f>
        <v/>
      </c>
      <c r="H825" s="195">
        <f>IF(A825="","",LOG10(A825))</f>
        <v/>
      </c>
      <c r="I825" s="195">
        <f>IF(B825="","",LOG10(MAX(B825,1E-12)))</f>
        <v/>
      </c>
      <c r="J825" s="195">
        <f>IF(D825="","",LOG10(MAX(D825,1E-12)))</f>
        <v/>
      </c>
      <c r="K825">
        <f>IF(A825="","",ROUND(1+(LOG10(A825)-LOG10('入力・概要'!$B$38))*('入力・概要'!$B$40-1)/(LOG10('入力・概要'!$B$39)-LOG10('入力・概要'!$B$38)),0)+3)</f>
        <v/>
      </c>
      <c r="L825">
        <f>IF(K825="","",INDEX('同相3導体'!$B:$B,K825))</f>
        <v/>
      </c>
      <c r="M825">
        <f>IF(A825="","",IF(ABS(L825/A825-1)&lt;0.01,"周波数差&lt;1%","周波数差あり"))</f>
        <v/>
      </c>
    </row>
    <row r="826">
      <c r="A826" s="197" t="n"/>
      <c r="B826" s="198" t="n"/>
      <c r="C826" s="198" t="n"/>
      <c r="D826" s="195">
        <f>IF(K826="","",INDEX('同相3導体'!$AB:$AB,K826))</f>
        <v/>
      </c>
      <c r="E826" s="195">
        <f>IF(K826="","",INDEX('同相3導体'!$AC:$AC,K826))</f>
        <v/>
      </c>
      <c r="F826" s="195">
        <f>IF(OR(A826="",B826=""),"",100*(D826-B826)/MAX(B826,1E-12))</f>
        <v/>
      </c>
      <c r="G826" s="195">
        <f>IF(OR(A826="",C826=""),"",E826-C826)</f>
        <v/>
      </c>
      <c r="H826" s="195">
        <f>IF(A826="","",LOG10(A826))</f>
        <v/>
      </c>
      <c r="I826" s="195">
        <f>IF(B826="","",LOG10(MAX(B826,1E-12)))</f>
        <v/>
      </c>
      <c r="J826" s="195">
        <f>IF(D826="","",LOG10(MAX(D826,1E-12)))</f>
        <v/>
      </c>
      <c r="K826">
        <f>IF(A826="","",ROUND(1+(LOG10(A826)-LOG10('入力・概要'!$B$38))*('入力・概要'!$B$40-1)/(LOG10('入力・概要'!$B$39)-LOG10('入力・概要'!$B$38)),0)+3)</f>
        <v/>
      </c>
      <c r="L826">
        <f>IF(K826="","",INDEX('同相3導体'!$B:$B,K826))</f>
        <v/>
      </c>
      <c r="M826">
        <f>IF(A826="","",IF(ABS(L826/A826-1)&lt;0.01,"周波数差&lt;1%","周波数差あり"))</f>
        <v/>
      </c>
    </row>
    <row r="827">
      <c r="A827" s="197" t="n"/>
      <c r="B827" s="198" t="n"/>
      <c r="C827" s="198" t="n"/>
      <c r="D827" s="195">
        <f>IF(K827="","",INDEX('同相3導体'!$AB:$AB,K827))</f>
        <v/>
      </c>
      <c r="E827" s="195">
        <f>IF(K827="","",INDEX('同相3導体'!$AC:$AC,K827))</f>
        <v/>
      </c>
      <c r="F827" s="195">
        <f>IF(OR(A827="",B827=""),"",100*(D827-B827)/MAX(B827,1E-12))</f>
        <v/>
      </c>
      <c r="G827" s="195">
        <f>IF(OR(A827="",C827=""),"",E827-C827)</f>
        <v/>
      </c>
      <c r="H827" s="195">
        <f>IF(A827="","",LOG10(A827))</f>
        <v/>
      </c>
      <c r="I827" s="195">
        <f>IF(B827="","",LOG10(MAX(B827,1E-12)))</f>
        <v/>
      </c>
      <c r="J827" s="195">
        <f>IF(D827="","",LOG10(MAX(D827,1E-12)))</f>
        <v/>
      </c>
      <c r="K827">
        <f>IF(A827="","",ROUND(1+(LOG10(A827)-LOG10('入力・概要'!$B$38))*('入力・概要'!$B$40-1)/(LOG10('入力・概要'!$B$39)-LOG10('入力・概要'!$B$38)),0)+3)</f>
        <v/>
      </c>
      <c r="L827">
        <f>IF(K827="","",INDEX('同相3導体'!$B:$B,K827))</f>
        <v/>
      </c>
      <c r="M827">
        <f>IF(A827="","",IF(ABS(L827/A827-1)&lt;0.01,"周波数差&lt;1%","周波数差あり"))</f>
        <v/>
      </c>
    </row>
    <row r="828">
      <c r="A828" s="197" t="n"/>
      <c r="B828" s="198" t="n"/>
      <c r="C828" s="198" t="n"/>
      <c r="D828" s="195">
        <f>IF(K828="","",INDEX('同相3導体'!$AB:$AB,K828))</f>
        <v/>
      </c>
      <c r="E828" s="195">
        <f>IF(K828="","",INDEX('同相3導体'!$AC:$AC,K828))</f>
        <v/>
      </c>
      <c r="F828" s="195">
        <f>IF(OR(A828="",B828=""),"",100*(D828-B828)/MAX(B828,1E-12))</f>
        <v/>
      </c>
      <c r="G828" s="195">
        <f>IF(OR(A828="",C828=""),"",E828-C828)</f>
        <v/>
      </c>
      <c r="H828" s="195">
        <f>IF(A828="","",LOG10(A828))</f>
        <v/>
      </c>
      <c r="I828" s="195">
        <f>IF(B828="","",LOG10(MAX(B828,1E-12)))</f>
        <v/>
      </c>
      <c r="J828" s="195">
        <f>IF(D828="","",LOG10(MAX(D828,1E-12)))</f>
        <v/>
      </c>
      <c r="K828">
        <f>IF(A828="","",ROUND(1+(LOG10(A828)-LOG10('入力・概要'!$B$38))*('入力・概要'!$B$40-1)/(LOG10('入力・概要'!$B$39)-LOG10('入力・概要'!$B$38)),0)+3)</f>
        <v/>
      </c>
      <c r="L828">
        <f>IF(K828="","",INDEX('同相3導体'!$B:$B,K828))</f>
        <v/>
      </c>
      <c r="M828">
        <f>IF(A828="","",IF(ABS(L828/A828-1)&lt;0.01,"周波数差&lt;1%","周波数差あり"))</f>
        <v/>
      </c>
    </row>
    <row r="829">
      <c r="A829" s="197" t="n"/>
      <c r="B829" s="198" t="n"/>
      <c r="C829" s="198" t="n"/>
      <c r="D829" s="195">
        <f>IF(K829="","",INDEX('同相3導体'!$AB:$AB,K829))</f>
        <v/>
      </c>
      <c r="E829" s="195">
        <f>IF(K829="","",INDEX('同相3導体'!$AC:$AC,K829))</f>
        <v/>
      </c>
      <c r="F829" s="195">
        <f>IF(OR(A829="",B829=""),"",100*(D829-B829)/MAX(B829,1E-12))</f>
        <v/>
      </c>
      <c r="G829" s="195">
        <f>IF(OR(A829="",C829=""),"",E829-C829)</f>
        <v/>
      </c>
      <c r="H829" s="195">
        <f>IF(A829="","",LOG10(A829))</f>
        <v/>
      </c>
      <c r="I829" s="195">
        <f>IF(B829="","",LOG10(MAX(B829,1E-12)))</f>
        <v/>
      </c>
      <c r="J829" s="195">
        <f>IF(D829="","",LOG10(MAX(D829,1E-12)))</f>
        <v/>
      </c>
      <c r="K829">
        <f>IF(A829="","",ROUND(1+(LOG10(A829)-LOG10('入力・概要'!$B$38))*('入力・概要'!$B$40-1)/(LOG10('入力・概要'!$B$39)-LOG10('入力・概要'!$B$38)),0)+3)</f>
        <v/>
      </c>
      <c r="L829">
        <f>IF(K829="","",INDEX('同相3導体'!$B:$B,K829))</f>
        <v/>
      </c>
      <c r="M829">
        <f>IF(A829="","",IF(ABS(L829/A829-1)&lt;0.01,"周波数差&lt;1%","周波数差あり"))</f>
        <v/>
      </c>
    </row>
    <row r="830">
      <c r="A830" s="197" t="n"/>
      <c r="B830" s="198" t="n"/>
      <c r="C830" s="198" t="n"/>
      <c r="D830" s="195">
        <f>IF(K830="","",INDEX('同相3導体'!$AB:$AB,K830))</f>
        <v/>
      </c>
      <c r="E830" s="195">
        <f>IF(K830="","",INDEX('同相3導体'!$AC:$AC,K830))</f>
        <v/>
      </c>
      <c r="F830" s="195">
        <f>IF(OR(A830="",B830=""),"",100*(D830-B830)/MAX(B830,1E-12))</f>
        <v/>
      </c>
      <c r="G830" s="195">
        <f>IF(OR(A830="",C830=""),"",E830-C830)</f>
        <v/>
      </c>
      <c r="H830" s="195">
        <f>IF(A830="","",LOG10(A830))</f>
        <v/>
      </c>
      <c r="I830" s="195">
        <f>IF(B830="","",LOG10(MAX(B830,1E-12)))</f>
        <v/>
      </c>
      <c r="J830" s="195">
        <f>IF(D830="","",LOG10(MAX(D830,1E-12)))</f>
        <v/>
      </c>
      <c r="K830">
        <f>IF(A830="","",ROUND(1+(LOG10(A830)-LOG10('入力・概要'!$B$38))*('入力・概要'!$B$40-1)/(LOG10('入力・概要'!$B$39)-LOG10('入力・概要'!$B$38)),0)+3)</f>
        <v/>
      </c>
      <c r="L830">
        <f>IF(K830="","",INDEX('同相3導体'!$B:$B,K830))</f>
        <v/>
      </c>
      <c r="M830">
        <f>IF(A830="","",IF(ABS(L830/A830-1)&lt;0.01,"周波数差&lt;1%","周波数差あり"))</f>
        <v/>
      </c>
    </row>
    <row r="831">
      <c r="A831" s="197" t="n"/>
      <c r="B831" s="198" t="n"/>
      <c r="C831" s="198" t="n"/>
      <c r="D831" s="195">
        <f>IF(K831="","",INDEX('同相3導体'!$AB:$AB,K831))</f>
        <v/>
      </c>
      <c r="E831" s="195">
        <f>IF(K831="","",INDEX('同相3導体'!$AC:$AC,K831))</f>
        <v/>
      </c>
      <c r="F831" s="195">
        <f>IF(OR(A831="",B831=""),"",100*(D831-B831)/MAX(B831,1E-12))</f>
        <v/>
      </c>
      <c r="G831" s="195">
        <f>IF(OR(A831="",C831=""),"",E831-C831)</f>
        <v/>
      </c>
      <c r="H831" s="195">
        <f>IF(A831="","",LOG10(A831))</f>
        <v/>
      </c>
      <c r="I831" s="195">
        <f>IF(B831="","",LOG10(MAX(B831,1E-12)))</f>
        <v/>
      </c>
      <c r="J831" s="195">
        <f>IF(D831="","",LOG10(MAX(D831,1E-12)))</f>
        <v/>
      </c>
      <c r="K831">
        <f>IF(A831="","",ROUND(1+(LOG10(A831)-LOG10('入力・概要'!$B$38))*('入力・概要'!$B$40-1)/(LOG10('入力・概要'!$B$39)-LOG10('入力・概要'!$B$38)),0)+3)</f>
        <v/>
      </c>
      <c r="L831">
        <f>IF(K831="","",INDEX('同相3導体'!$B:$B,K831))</f>
        <v/>
      </c>
      <c r="M831">
        <f>IF(A831="","",IF(ABS(L831/A831-1)&lt;0.01,"周波数差&lt;1%","周波数差あり"))</f>
        <v/>
      </c>
    </row>
    <row r="832">
      <c r="A832" s="197" t="n"/>
      <c r="B832" s="198" t="n"/>
      <c r="C832" s="198" t="n"/>
      <c r="D832" s="195">
        <f>IF(K832="","",INDEX('同相3導体'!$AB:$AB,K832))</f>
        <v/>
      </c>
      <c r="E832" s="195">
        <f>IF(K832="","",INDEX('同相3導体'!$AC:$AC,K832))</f>
        <v/>
      </c>
      <c r="F832" s="195">
        <f>IF(OR(A832="",B832=""),"",100*(D832-B832)/MAX(B832,1E-12))</f>
        <v/>
      </c>
      <c r="G832" s="195">
        <f>IF(OR(A832="",C832=""),"",E832-C832)</f>
        <v/>
      </c>
      <c r="H832" s="195">
        <f>IF(A832="","",LOG10(A832))</f>
        <v/>
      </c>
      <c r="I832" s="195">
        <f>IF(B832="","",LOG10(MAX(B832,1E-12)))</f>
        <v/>
      </c>
      <c r="J832" s="195">
        <f>IF(D832="","",LOG10(MAX(D832,1E-12)))</f>
        <v/>
      </c>
      <c r="K832">
        <f>IF(A832="","",ROUND(1+(LOG10(A832)-LOG10('入力・概要'!$B$38))*('入力・概要'!$B$40-1)/(LOG10('入力・概要'!$B$39)-LOG10('入力・概要'!$B$38)),0)+3)</f>
        <v/>
      </c>
      <c r="L832">
        <f>IF(K832="","",INDEX('同相3導体'!$B:$B,K832))</f>
        <v/>
      </c>
      <c r="M832">
        <f>IF(A832="","",IF(ABS(L832/A832-1)&lt;0.01,"周波数差&lt;1%","周波数差あり"))</f>
        <v/>
      </c>
    </row>
    <row r="833">
      <c r="A833" s="197" t="n"/>
      <c r="B833" s="198" t="n"/>
      <c r="C833" s="198" t="n"/>
      <c r="D833" s="195">
        <f>IF(K833="","",INDEX('同相3導体'!$AB:$AB,K833))</f>
        <v/>
      </c>
      <c r="E833" s="195">
        <f>IF(K833="","",INDEX('同相3導体'!$AC:$AC,K833))</f>
        <v/>
      </c>
      <c r="F833" s="195">
        <f>IF(OR(A833="",B833=""),"",100*(D833-B833)/MAX(B833,1E-12))</f>
        <v/>
      </c>
      <c r="G833" s="195">
        <f>IF(OR(A833="",C833=""),"",E833-C833)</f>
        <v/>
      </c>
      <c r="H833" s="195">
        <f>IF(A833="","",LOG10(A833))</f>
        <v/>
      </c>
      <c r="I833" s="195">
        <f>IF(B833="","",LOG10(MAX(B833,1E-12)))</f>
        <v/>
      </c>
      <c r="J833" s="195">
        <f>IF(D833="","",LOG10(MAX(D833,1E-12)))</f>
        <v/>
      </c>
      <c r="K833">
        <f>IF(A833="","",ROUND(1+(LOG10(A833)-LOG10('入力・概要'!$B$38))*('入力・概要'!$B$40-1)/(LOG10('入力・概要'!$B$39)-LOG10('入力・概要'!$B$38)),0)+3)</f>
        <v/>
      </c>
      <c r="L833">
        <f>IF(K833="","",INDEX('同相3導体'!$B:$B,K833))</f>
        <v/>
      </c>
      <c r="M833">
        <f>IF(A833="","",IF(ABS(L833/A833-1)&lt;0.01,"周波数差&lt;1%","周波数差あり"))</f>
        <v/>
      </c>
    </row>
    <row r="834">
      <c r="A834" s="197" t="n"/>
      <c r="B834" s="198" t="n"/>
      <c r="C834" s="198" t="n"/>
      <c r="D834" s="195">
        <f>IF(K834="","",INDEX('同相3導体'!$AB:$AB,K834))</f>
        <v/>
      </c>
      <c r="E834" s="195">
        <f>IF(K834="","",INDEX('同相3導体'!$AC:$AC,K834))</f>
        <v/>
      </c>
      <c r="F834" s="195">
        <f>IF(OR(A834="",B834=""),"",100*(D834-B834)/MAX(B834,1E-12))</f>
        <v/>
      </c>
      <c r="G834" s="195">
        <f>IF(OR(A834="",C834=""),"",E834-C834)</f>
        <v/>
      </c>
      <c r="H834" s="195">
        <f>IF(A834="","",LOG10(A834))</f>
        <v/>
      </c>
      <c r="I834" s="195">
        <f>IF(B834="","",LOG10(MAX(B834,1E-12)))</f>
        <v/>
      </c>
      <c r="J834" s="195">
        <f>IF(D834="","",LOG10(MAX(D834,1E-12)))</f>
        <v/>
      </c>
      <c r="K834">
        <f>IF(A834="","",ROUND(1+(LOG10(A834)-LOG10('入力・概要'!$B$38))*('入力・概要'!$B$40-1)/(LOG10('入力・概要'!$B$39)-LOG10('入力・概要'!$B$38)),0)+3)</f>
        <v/>
      </c>
      <c r="L834">
        <f>IF(K834="","",INDEX('同相3導体'!$B:$B,K834))</f>
        <v/>
      </c>
      <c r="M834">
        <f>IF(A834="","",IF(ABS(L834/A834-1)&lt;0.01,"周波数差&lt;1%","周波数差あり"))</f>
        <v/>
      </c>
    </row>
    <row r="835">
      <c r="A835" s="197" t="n"/>
      <c r="B835" s="198" t="n"/>
      <c r="C835" s="198" t="n"/>
      <c r="D835" s="195">
        <f>IF(K835="","",INDEX('同相3導体'!$AB:$AB,K835))</f>
        <v/>
      </c>
      <c r="E835" s="195">
        <f>IF(K835="","",INDEX('同相3導体'!$AC:$AC,K835))</f>
        <v/>
      </c>
      <c r="F835" s="195">
        <f>IF(OR(A835="",B835=""),"",100*(D835-B835)/MAX(B835,1E-12))</f>
        <v/>
      </c>
      <c r="G835" s="195">
        <f>IF(OR(A835="",C835=""),"",E835-C835)</f>
        <v/>
      </c>
      <c r="H835" s="195">
        <f>IF(A835="","",LOG10(A835))</f>
        <v/>
      </c>
      <c r="I835" s="195">
        <f>IF(B835="","",LOG10(MAX(B835,1E-12)))</f>
        <v/>
      </c>
      <c r="J835" s="195">
        <f>IF(D835="","",LOG10(MAX(D835,1E-12)))</f>
        <v/>
      </c>
      <c r="K835">
        <f>IF(A835="","",ROUND(1+(LOG10(A835)-LOG10('入力・概要'!$B$38))*('入力・概要'!$B$40-1)/(LOG10('入力・概要'!$B$39)-LOG10('入力・概要'!$B$38)),0)+3)</f>
        <v/>
      </c>
      <c r="L835">
        <f>IF(K835="","",INDEX('同相3導体'!$B:$B,K835))</f>
        <v/>
      </c>
      <c r="M835">
        <f>IF(A835="","",IF(ABS(L835/A835-1)&lt;0.01,"周波数差&lt;1%","周波数差あり"))</f>
        <v/>
      </c>
    </row>
    <row r="836">
      <c r="A836" s="197" t="n"/>
      <c r="B836" s="198" t="n"/>
      <c r="C836" s="198" t="n"/>
      <c r="D836" s="195">
        <f>IF(K836="","",INDEX('同相3導体'!$AB:$AB,K836))</f>
        <v/>
      </c>
      <c r="E836" s="195">
        <f>IF(K836="","",INDEX('同相3導体'!$AC:$AC,K836))</f>
        <v/>
      </c>
      <c r="F836" s="195">
        <f>IF(OR(A836="",B836=""),"",100*(D836-B836)/MAX(B836,1E-12))</f>
        <v/>
      </c>
      <c r="G836" s="195">
        <f>IF(OR(A836="",C836=""),"",E836-C836)</f>
        <v/>
      </c>
      <c r="H836" s="195">
        <f>IF(A836="","",LOG10(A836))</f>
        <v/>
      </c>
      <c r="I836" s="195">
        <f>IF(B836="","",LOG10(MAX(B836,1E-12)))</f>
        <v/>
      </c>
      <c r="J836" s="195">
        <f>IF(D836="","",LOG10(MAX(D836,1E-12)))</f>
        <v/>
      </c>
      <c r="K836">
        <f>IF(A836="","",ROUND(1+(LOG10(A836)-LOG10('入力・概要'!$B$38))*('入力・概要'!$B$40-1)/(LOG10('入力・概要'!$B$39)-LOG10('入力・概要'!$B$38)),0)+3)</f>
        <v/>
      </c>
      <c r="L836">
        <f>IF(K836="","",INDEX('同相3導体'!$B:$B,K836))</f>
        <v/>
      </c>
      <c r="M836">
        <f>IF(A836="","",IF(ABS(L836/A836-1)&lt;0.01,"周波数差&lt;1%","周波数差あり"))</f>
        <v/>
      </c>
    </row>
    <row r="837">
      <c r="A837" s="197" t="n"/>
      <c r="B837" s="198" t="n"/>
      <c r="C837" s="198" t="n"/>
      <c r="D837" s="195">
        <f>IF(K837="","",INDEX('同相3導体'!$AB:$AB,K837))</f>
        <v/>
      </c>
      <c r="E837" s="195">
        <f>IF(K837="","",INDEX('同相3導体'!$AC:$AC,K837))</f>
        <v/>
      </c>
      <c r="F837" s="195">
        <f>IF(OR(A837="",B837=""),"",100*(D837-B837)/MAX(B837,1E-12))</f>
        <v/>
      </c>
      <c r="G837" s="195">
        <f>IF(OR(A837="",C837=""),"",E837-C837)</f>
        <v/>
      </c>
      <c r="H837" s="195">
        <f>IF(A837="","",LOG10(A837))</f>
        <v/>
      </c>
      <c r="I837" s="195">
        <f>IF(B837="","",LOG10(MAX(B837,1E-12)))</f>
        <v/>
      </c>
      <c r="J837" s="195">
        <f>IF(D837="","",LOG10(MAX(D837,1E-12)))</f>
        <v/>
      </c>
      <c r="K837">
        <f>IF(A837="","",ROUND(1+(LOG10(A837)-LOG10('入力・概要'!$B$38))*('入力・概要'!$B$40-1)/(LOG10('入力・概要'!$B$39)-LOG10('入力・概要'!$B$38)),0)+3)</f>
        <v/>
      </c>
      <c r="L837">
        <f>IF(K837="","",INDEX('同相3導体'!$B:$B,K837))</f>
        <v/>
      </c>
      <c r="M837">
        <f>IF(A837="","",IF(ABS(L837/A837-1)&lt;0.01,"周波数差&lt;1%","周波数差あり"))</f>
        <v/>
      </c>
    </row>
    <row r="838">
      <c r="A838" s="197" t="n"/>
      <c r="B838" s="198" t="n"/>
      <c r="C838" s="198" t="n"/>
      <c r="D838" s="195">
        <f>IF(K838="","",INDEX('同相3導体'!$AB:$AB,K838))</f>
        <v/>
      </c>
      <c r="E838" s="195">
        <f>IF(K838="","",INDEX('同相3導体'!$AC:$AC,K838))</f>
        <v/>
      </c>
      <c r="F838" s="195">
        <f>IF(OR(A838="",B838=""),"",100*(D838-B838)/MAX(B838,1E-12))</f>
        <v/>
      </c>
      <c r="G838" s="195">
        <f>IF(OR(A838="",C838=""),"",E838-C838)</f>
        <v/>
      </c>
      <c r="H838" s="195">
        <f>IF(A838="","",LOG10(A838))</f>
        <v/>
      </c>
      <c r="I838" s="195">
        <f>IF(B838="","",LOG10(MAX(B838,1E-12)))</f>
        <v/>
      </c>
      <c r="J838" s="195">
        <f>IF(D838="","",LOG10(MAX(D838,1E-12)))</f>
        <v/>
      </c>
      <c r="K838">
        <f>IF(A838="","",ROUND(1+(LOG10(A838)-LOG10('入力・概要'!$B$38))*('入力・概要'!$B$40-1)/(LOG10('入力・概要'!$B$39)-LOG10('入力・概要'!$B$38)),0)+3)</f>
        <v/>
      </c>
      <c r="L838">
        <f>IF(K838="","",INDEX('同相3導体'!$B:$B,K838))</f>
        <v/>
      </c>
      <c r="M838">
        <f>IF(A838="","",IF(ABS(L838/A838-1)&lt;0.01,"周波数差&lt;1%","周波数差あり"))</f>
        <v/>
      </c>
    </row>
    <row r="839">
      <c r="A839" s="197" t="n"/>
      <c r="B839" s="198" t="n"/>
      <c r="C839" s="198" t="n"/>
      <c r="D839" s="195">
        <f>IF(K839="","",INDEX('同相3導体'!$AB:$AB,K839))</f>
        <v/>
      </c>
      <c r="E839" s="195">
        <f>IF(K839="","",INDEX('同相3導体'!$AC:$AC,K839))</f>
        <v/>
      </c>
      <c r="F839" s="195">
        <f>IF(OR(A839="",B839=""),"",100*(D839-B839)/MAX(B839,1E-12))</f>
        <v/>
      </c>
      <c r="G839" s="195">
        <f>IF(OR(A839="",C839=""),"",E839-C839)</f>
        <v/>
      </c>
      <c r="H839" s="195">
        <f>IF(A839="","",LOG10(A839))</f>
        <v/>
      </c>
      <c r="I839" s="195">
        <f>IF(B839="","",LOG10(MAX(B839,1E-12)))</f>
        <v/>
      </c>
      <c r="J839" s="195">
        <f>IF(D839="","",LOG10(MAX(D839,1E-12)))</f>
        <v/>
      </c>
      <c r="K839">
        <f>IF(A839="","",ROUND(1+(LOG10(A839)-LOG10('入力・概要'!$B$38))*('入力・概要'!$B$40-1)/(LOG10('入力・概要'!$B$39)-LOG10('入力・概要'!$B$38)),0)+3)</f>
        <v/>
      </c>
      <c r="L839">
        <f>IF(K839="","",INDEX('同相3導体'!$B:$B,K839))</f>
        <v/>
      </c>
      <c r="M839">
        <f>IF(A839="","",IF(ABS(L839/A839-1)&lt;0.01,"周波数差&lt;1%","周波数差あり"))</f>
        <v/>
      </c>
    </row>
    <row r="840">
      <c r="A840" s="197" t="n"/>
      <c r="B840" s="198" t="n"/>
      <c r="C840" s="198" t="n"/>
      <c r="D840" s="195">
        <f>IF(K840="","",INDEX('同相3導体'!$AB:$AB,K840))</f>
        <v/>
      </c>
      <c r="E840" s="195">
        <f>IF(K840="","",INDEX('同相3導体'!$AC:$AC,K840))</f>
        <v/>
      </c>
      <c r="F840" s="195">
        <f>IF(OR(A840="",B840=""),"",100*(D840-B840)/MAX(B840,1E-12))</f>
        <v/>
      </c>
      <c r="G840" s="195">
        <f>IF(OR(A840="",C840=""),"",E840-C840)</f>
        <v/>
      </c>
      <c r="H840" s="195">
        <f>IF(A840="","",LOG10(A840))</f>
        <v/>
      </c>
      <c r="I840" s="195">
        <f>IF(B840="","",LOG10(MAX(B840,1E-12)))</f>
        <v/>
      </c>
      <c r="J840" s="195">
        <f>IF(D840="","",LOG10(MAX(D840,1E-12)))</f>
        <v/>
      </c>
      <c r="K840">
        <f>IF(A840="","",ROUND(1+(LOG10(A840)-LOG10('入力・概要'!$B$38))*('入力・概要'!$B$40-1)/(LOG10('入力・概要'!$B$39)-LOG10('入力・概要'!$B$38)),0)+3)</f>
        <v/>
      </c>
      <c r="L840">
        <f>IF(K840="","",INDEX('同相3導体'!$B:$B,K840))</f>
        <v/>
      </c>
      <c r="M840">
        <f>IF(A840="","",IF(ABS(L840/A840-1)&lt;0.01,"周波数差&lt;1%","周波数差あり"))</f>
        <v/>
      </c>
    </row>
    <row r="841">
      <c r="A841" s="197" t="n"/>
      <c r="B841" s="198" t="n"/>
      <c r="C841" s="198" t="n"/>
      <c r="D841" s="195">
        <f>IF(K841="","",INDEX('同相3導体'!$AB:$AB,K841))</f>
        <v/>
      </c>
      <c r="E841" s="195">
        <f>IF(K841="","",INDEX('同相3導体'!$AC:$AC,K841))</f>
        <v/>
      </c>
      <c r="F841" s="195">
        <f>IF(OR(A841="",B841=""),"",100*(D841-B841)/MAX(B841,1E-12))</f>
        <v/>
      </c>
      <c r="G841" s="195">
        <f>IF(OR(A841="",C841=""),"",E841-C841)</f>
        <v/>
      </c>
      <c r="H841" s="195">
        <f>IF(A841="","",LOG10(A841))</f>
        <v/>
      </c>
      <c r="I841" s="195">
        <f>IF(B841="","",LOG10(MAX(B841,1E-12)))</f>
        <v/>
      </c>
      <c r="J841" s="195">
        <f>IF(D841="","",LOG10(MAX(D841,1E-12)))</f>
        <v/>
      </c>
      <c r="K841">
        <f>IF(A841="","",ROUND(1+(LOG10(A841)-LOG10('入力・概要'!$B$38))*('入力・概要'!$B$40-1)/(LOG10('入力・概要'!$B$39)-LOG10('入力・概要'!$B$38)),0)+3)</f>
        <v/>
      </c>
      <c r="L841">
        <f>IF(K841="","",INDEX('同相3導体'!$B:$B,K841))</f>
        <v/>
      </c>
      <c r="M841">
        <f>IF(A841="","",IF(ABS(L841/A841-1)&lt;0.01,"周波数差&lt;1%","周波数差あり"))</f>
        <v/>
      </c>
    </row>
    <row r="842">
      <c r="A842" s="197" t="n"/>
      <c r="B842" s="198" t="n"/>
      <c r="C842" s="198" t="n"/>
      <c r="D842" s="195">
        <f>IF(K842="","",INDEX('同相3導体'!$AB:$AB,K842))</f>
        <v/>
      </c>
      <c r="E842" s="195">
        <f>IF(K842="","",INDEX('同相3導体'!$AC:$AC,K842))</f>
        <v/>
      </c>
      <c r="F842" s="195">
        <f>IF(OR(A842="",B842=""),"",100*(D842-B842)/MAX(B842,1E-12))</f>
        <v/>
      </c>
      <c r="G842" s="195">
        <f>IF(OR(A842="",C842=""),"",E842-C842)</f>
        <v/>
      </c>
      <c r="H842" s="195">
        <f>IF(A842="","",LOG10(A842))</f>
        <v/>
      </c>
      <c r="I842" s="195">
        <f>IF(B842="","",LOG10(MAX(B842,1E-12)))</f>
        <v/>
      </c>
      <c r="J842" s="195">
        <f>IF(D842="","",LOG10(MAX(D842,1E-12)))</f>
        <v/>
      </c>
      <c r="K842">
        <f>IF(A842="","",ROUND(1+(LOG10(A842)-LOG10('入力・概要'!$B$38))*('入力・概要'!$B$40-1)/(LOG10('入力・概要'!$B$39)-LOG10('入力・概要'!$B$38)),0)+3)</f>
        <v/>
      </c>
      <c r="L842">
        <f>IF(K842="","",INDEX('同相3導体'!$B:$B,K842))</f>
        <v/>
      </c>
      <c r="M842">
        <f>IF(A842="","",IF(ABS(L842/A842-1)&lt;0.01,"周波数差&lt;1%","周波数差あり"))</f>
        <v/>
      </c>
    </row>
    <row r="843">
      <c r="A843" s="197" t="n"/>
      <c r="B843" s="198" t="n"/>
      <c r="C843" s="198" t="n"/>
      <c r="D843" s="195">
        <f>IF(K843="","",INDEX('同相3導体'!$AB:$AB,K843))</f>
        <v/>
      </c>
      <c r="E843" s="195">
        <f>IF(K843="","",INDEX('同相3導体'!$AC:$AC,K843))</f>
        <v/>
      </c>
      <c r="F843" s="195">
        <f>IF(OR(A843="",B843=""),"",100*(D843-B843)/MAX(B843,1E-12))</f>
        <v/>
      </c>
      <c r="G843" s="195">
        <f>IF(OR(A843="",C843=""),"",E843-C843)</f>
        <v/>
      </c>
      <c r="H843" s="195">
        <f>IF(A843="","",LOG10(A843))</f>
        <v/>
      </c>
      <c r="I843" s="195">
        <f>IF(B843="","",LOG10(MAX(B843,1E-12)))</f>
        <v/>
      </c>
      <c r="J843" s="195">
        <f>IF(D843="","",LOG10(MAX(D843,1E-12)))</f>
        <v/>
      </c>
      <c r="K843">
        <f>IF(A843="","",ROUND(1+(LOG10(A843)-LOG10('入力・概要'!$B$38))*('入力・概要'!$B$40-1)/(LOG10('入力・概要'!$B$39)-LOG10('入力・概要'!$B$38)),0)+3)</f>
        <v/>
      </c>
      <c r="L843">
        <f>IF(K843="","",INDEX('同相3導体'!$B:$B,K843))</f>
        <v/>
      </c>
      <c r="M843">
        <f>IF(A843="","",IF(ABS(L843/A843-1)&lt;0.01,"周波数差&lt;1%","周波数差あり"))</f>
        <v/>
      </c>
    </row>
    <row r="844">
      <c r="A844" s="197" t="n"/>
      <c r="B844" s="198" t="n"/>
      <c r="C844" s="198" t="n"/>
      <c r="D844" s="195">
        <f>IF(K844="","",INDEX('同相3導体'!$AB:$AB,K844))</f>
        <v/>
      </c>
      <c r="E844" s="195">
        <f>IF(K844="","",INDEX('同相3導体'!$AC:$AC,K844))</f>
        <v/>
      </c>
      <c r="F844" s="195">
        <f>IF(OR(A844="",B844=""),"",100*(D844-B844)/MAX(B844,1E-12))</f>
        <v/>
      </c>
      <c r="G844" s="195">
        <f>IF(OR(A844="",C844=""),"",E844-C844)</f>
        <v/>
      </c>
      <c r="H844" s="195">
        <f>IF(A844="","",LOG10(A844))</f>
        <v/>
      </c>
      <c r="I844" s="195">
        <f>IF(B844="","",LOG10(MAX(B844,1E-12)))</f>
        <v/>
      </c>
      <c r="J844" s="195">
        <f>IF(D844="","",LOG10(MAX(D844,1E-12)))</f>
        <v/>
      </c>
      <c r="K844">
        <f>IF(A844="","",ROUND(1+(LOG10(A844)-LOG10('入力・概要'!$B$38))*('入力・概要'!$B$40-1)/(LOG10('入力・概要'!$B$39)-LOG10('入力・概要'!$B$38)),0)+3)</f>
        <v/>
      </c>
      <c r="L844">
        <f>IF(K844="","",INDEX('同相3導体'!$B:$B,K844))</f>
        <v/>
      </c>
      <c r="M844">
        <f>IF(A844="","",IF(ABS(L844/A844-1)&lt;0.01,"周波数差&lt;1%","周波数差あり"))</f>
        <v/>
      </c>
    </row>
    <row r="845">
      <c r="A845" s="197" t="n"/>
      <c r="B845" s="198" t="n"/>
      <c r="C845" s="198" t="n"/>
      <c r="D845" s="195">
        <f>IF(K845="","",INDEX('同相3導体'!$AB:$AB,K845))</f>
        <v/>
      </c>
      <c r="E845" s="195">
        <f>IF(K845="","",INDEX('同相3導体'!$AC:$AC,K845))</f>
        <v/>
      </c>
      <c r="F845" s="195">
        <f>IF(OR(A845="",B845=""),"",100*(D845-B845)/MAX(B845,1E-12))</f>
        <v/>
      </c>
      <c r="G845" s="195">
        <f>IF(OR(A845="",C845=""),"",E845-C845)</f>
        <v/>
      </c>
      <c r="H845" s="195">
        <f>IF(A845="","",LOG10(A845))</f>
        <v/>
      </c>
      <c r="I845" s="195">
        <f>IF(B845="","",LOG10(MAX(B845,1E-12)))</f>
        <v/>
      </c>
      <c r="J845" s="195">
        <f>IF(D845="","",LOG10(MAX(D845,1E-12)))</f>
        <v/>
      </c>
      <c r="K845">
        <f>IF(A845="","",ROUND(1+(LOG10(A845)-LOG10('入力・概要'!$B$38))*('入力・概要'!$B$40-1)/(LOG10('入力・概要'!$B$39)-LOG10('入力・概要'!$B$38)),0)+3)</f>
        <v/>
      </c>
      <c r="L845">
        <f>IF(K845="","",INDEX('同相3導体'!$B:$B,K845))</f>
        <v/>
      </c>
      <c r="M845">
        <f>IF(A845="","",IF(ABS(L845/A845-1)&lt;0.01,"周波数差&lt;1%","周波数差あり"))</f>
        <v/>
      </c>
    </row>
    <row r="846">
      <c r="A846" s="197" t="n"/>
      <c r="B846" s="198" t="n"/>
      <c r="C846" s="198" t="n"/>
      <c r="D846" s="195">
        <f>IF(K846="","",INDEX('同相3導体'!$AB:$AB,K846))</f>
        <v/>
      </c>
      <c r="E846" s="195">
        <f>IF(K846="","",INDEX('同相3導体'!$AC:$AC,K846))</f>
        <v/>
      </c>
      <c r="F846" s="195">
        <f>IF(OR(A846="",B846=""),"",100*(D846-B846)/MAX(B846,1E-12))</f>
        <v/>
      </c>
      <c r="G846" s="195">
        <f>IF(OR(A846="",C846=""),"",E846-C846)</f>
        <v/>
      </c>
      <c r="H846" s="195">
        <f>IF(A846="","",LOG10(A846))</f>
        <v/>
      </c>
      <c r="I846" s="195">
        <f>IF(B846="","",LOG10(MAX(B846,1E-12)))</f>
        <v/>
      </c>
      <c r="J846" s="195">
        <f>IF(D846="","",LOG10(MAX(D846,1E-12)))</f>
        <v/>
      </c>
      <c r="K846">
        <f>IF(A846="","",ROUND(1+(LOG10(A846)-LOG10('入力・概要'!$B$38))*('入力・概要'!$B$40-1)/(LOG10('入力・概要'!$B$39)-LOG10('入力・概要'!$B$38)),0)+3)</f>
        <v/>
      </c>
      <c r="L846">
        <f>IF(K846="","",INDEX('同相3導体'!$B:$B,K846))</f>
        <v/>
      </c>
      <c r="M846">
        <f>IF(A846="","",IF(ABS(L846/A846-1)&lt;0.01,"周波数差&lt;1%","周波数差あり"))</f>
        <v/>
      </c>
    </row>
    <row r="847">
      <c r="A847" s="197" t="n"/>
      <c r="B847" s="198" t="n"/>
      <c r="C847" s="198" t="n"/>
      <c r="D847" s="195">
        <f>IF(K847="","",INDEX('同相3導体'!$AB:$AB,K847))</f>
        <v/>
      </c>
      <c r="E847" s="195">
        <f>IF(K847="","",INDEX('同相3導体'!$AC:$AC,K847))</f>
        <v/>
      </c>
      <c r="F847" s="195">
        <f>IF(OR(A847="",B847=""),"",100*(D847-B847)/MAX(B847,1E-12))</f>
        <v/>
      </c>
      <c r="G847" s="195">
        <f>IF(OR(A847="",C847=""),"",E847-C847)</f>
        <v/>
      </c>
      <c r="H847" s="195">
        <f>IF(A847="","",LOG10(A847))</f>
        <v/>
      </c>
      <c r="I847" s="195">
        <f>IF(B847="","",LOG10(MAX(B847,1E-12)))</f>
        <v/>
      </c>
      <c r="J847" s="195">
        <f>IF(D847="","",LOG10(MAX(D847,1E-12)))</f>
        <v/>
      </c>
      <c r="K847">
        <f>IF(A847="","",ROUND(1+(LOG10(A847)-LOG10('入力・概要'!$B$38))*('入力・概要'!$B$40-1)/(LOG10('入力・概要'!$B$39)-LOG10('入力・概要'!$B$38)),0)+3)</f>
        <v/>
      </c>
      <c r="L847">
        <f>IF(K847="","",INDEX('同相3導体'!$B:$B,K847))</f>
        <v/>
      </c>
      <c r="M847">
        <f>IF(A847="","",IF(ABS(L847/A847-1)&lt;0.01,"周波数差&lt;1%","周波数差あり"))</f>
        <v/>
      </c>
    </row>
    <row r="848">
      <c r="A848" s="197" t="n"/>
      <c r="B848" s="198" t="n"/>
      <c r="C848" s="198" t="n"/>
      <c r="D848" s="195">
        <f>IF(K848="","",INDEX('同相3導体'!$AB:$AB,K848))</f>
        <v/>
      </c>
      <c r="E848" s="195">
        <f>IF(K848="","",INDEX('同相3導体'!$AC:$AC,K848))</f>
        <v/>
      </c>
      <c r="F848" s="195">
        <f>IF(OR(A848="",B848=""),"",100*(D848-B848)/MAX(B848,1E-12))</f>
        <v/>
      </c>
      <c r="G848" s="195">
        <f>IF(OR(A848="",C848=""),"",E848-C848)</f>
        <v/>
      </c>
      <c r="H848" s="195">
        <f>IF(A848="","",LOG10(A848))</f>
        <v/>
      </c>
      <c r="I848" s="195">
        <f>IF(B848="","",LOG10(MAX(B848,1E-12)))</f>
        <v/>
      </c>
      <c r="J848" s="195">
        <f>IF(D848="","",LOG10(MAX(D848,1E-12)))</f>
        <v/>
      </c>
      <c r="K848">
        <f>IF(A848="","",ROUND(1+(LOG10(A848)-LOG10('入力・概要'!$B$38))*('入力・概要'!$B$40-1)/(LOG10('入力・概要'!$B$39)-LOG10('入力・概要'!$B$38)),0)+3)</f>
        <v/>
      </c>
      <c r="L848">
        <f>IF(K848="","",INDEX('同相3導体'!$B:$B,K848))</f>
        <v/>
      </c>
      <c r="M848">
        <f>IF(A848="","",IF(ABS(L848/A848-1)&lt;0.01,"周波数差&lt;1%","周波数差あり"))</f>
        <v/>
      </c>
    </row>
    <row r="849">
      <c r="A849" s="197" t="n"/>
      <c r="B849" s="198" t="n"/>
      <c r="C849" s="198" t="n"/>
      <c r="D849" s="195">
        <f>IF(K849="","",INDEX('同相3導体'!$AB:$AB,K849))</f>
        <v/>
      </c>
      <c r="E849" s="195">
        <f>IF(K849="","",INDEX('同相3導体'!$AC:$AC,K849))</f>
        <v/>
      </c>
      <c r="F849" s="195">
        <f>IF(OR(A849="",B849=""),"",100*(D849-B849)/MAX(B849,1E-12))</f>
        <v/>
      </c>
      <c r="G849" s="195">
        <f>IF(OR(A849="",C849=""),"",E849-C849)</f>
        <v/>
      </c>
      <c r="H849" s="195">
        <f>IF(A849="","",LOG10(A849))</f>
        <v/>
      </c>
      <c r="I849" s="195">
        <f>IF(B849="","",LOG10(MAX(B849,1E-12)))</f>
        <v/>
      </c>
      <c r="J849" s="195">
        <f>IF(D849="","",LOG10(MAX(D849,1E-12)))</f>
        <v/>
      </c>
      <c r="K849">
        <f>IF(A849="","",ROUND(1+(LOG10(A849)-LOG10('入力・概要'!$B$38))*('入力・概要'!$B$40-1)/(LOG10('入力・概要'!$B$39)-LOG10('入力・概要'!$B$38)),0)+3)</f>
        <v/>
      </c>
      <c r="L849">
        <f>IF(K849="","",INDEX('同相3導体'!$B:$B,K849))</f>
        <v/>
      </c>
      <c r="M849">
        <f>IF(A849="","",IF(ABS(L849/A849-1)&lt;0.01,"周波数差&lt;1%","周波数差あり"))</f>
        <v/>
      </c>
    </row>
    <row r="850">
      <c r="A850" s="197" t="n"/>
      <c r="B850" s="198" t="n"/>
      <c r="C850" s="198" t="n"/>
      <c r="D850" s="195">
        <f>IF(K850="","",INDEX('同相3導体'!$AB:$AB,K850))</f>
        <v/>
      </c>
      <c r="E850" s="195">
        <f>IF(K850="","",INDEX('同相3導体'!$AC:$AC,K850))</f>
        <v/>
      </c>
      <c r="F850" s="195">
        <f>IF(OR(A850="",B850=""),"",100*(D850-B850)/MAX(B850,1E-12))</f>
        <v/>
      </c>
      <c r="G850" s="195">
        <f>IF(OR(A850="",C850=""),"",E850-C850)</f>
        <v/>
      </c>
      <c r="H850" s="195">
        <f>IF(A850="","",LOG10(A850))</f>
        <v/>
      </c>
      <c r="I850" s="195">
        <f>IF(B850="","",LOG10(MAX(B850,1E-12)))</f>
        <v/>
      </c>
      <c r="J850" s="195">
        <f>IF(D850="","",LOG10(MAX(D850,1E-12)))</f>
        <v/>
      </c>
      <c r="K850">
        <f>IF(A850="","",ROUND(1+(LOG10(A850)-LOG10('入力・概要'!$B$38))*('入力・概要'!$B$40-1)/(LOG10('入力・概要'!$B$39)-LOG10('入力・概要'!$B$38)),0)+3)</f>
        <v/>
      </c>
      <c r="L850">
        <f>IF(K850="","",INDEX('同相3導体'!$B:$B,K850))</f>
        <v/>
      </c>
      <c r="M850">
        <f>IF(A850="","",IF(ABS(L850/A850-1)&lt;0.01,"周波数差&lt;1%","周波数差あり"))</f>
        <v/>
      </c>
    </row>
    <row r="851">
      <c r="A851" s="197" t="n"/>
      <c r="B851" s="198" t="n"/>
      <c r="C851" s="198" t="n"/>
      <c r="D851" s="195">
        <f>IF(K851="","",INDEX('同相3導体'!$AB:$AB,K851))</f>
        <v/>
      </c>
      <c r="E851" s="195">
        <f>IF(K851="","",INDEX('同相3導体'!$AC:$AC,K851))</f>
        <v/>
      </c>
      <c r="F851" s="195">
        <f>IF(OR(A851="",B851=""),"",100*(D851-B851)/MAX(B851,1E-12))</f>
        <v/>
      </c>
      <c r="G851" s="195">
        <f>IF(OR(A851="",C851=""),"",E851-C851)</f>
        <v/>
      </c>
      <c r="H851" s="195">
        <f>IF(A851="","",LOG10(A851))</f>
        <v/>
      </c>
      <c r="I851" s="195">
        <f>IF(B851="","",LOG10(MAX(B851,1E-12)))</f>
        <v/>
      </c>
      <c r="J851" s="195">
        <f>IF(D851="","",LOG10(MAX(D851,1E-12)))</f>
        <v/>
      </c>
      <c r="K851">
        <f>IF(A851="","",ROUND(1+(LOG10(A851)-LOG10('入力・概要'!$B$38))*('入力・概要'!$B$40-1)/(LOG10('入力・概要'!$B$39)-LOG10('入力・概要'!$B$38)),0)+3)</f>
        <v/>
      </c>
      <c r="L851">
        <f>IF(K851="","",INDEX('同相3導体'!$B:$B,K851))</f>
        <v/>
      </c>
      <c r="M851">
        <f>IF(A851="","",IF(ABS(L851/A851-1)&lt;0.01,"周波数差&lt;1%","周波数差あり"))</f>
        <v/>
      </c>
    </row>
    <row r="852">
      <c r="A852" s="197" t="n"/>
      <c r="B852" s="198" t="n"/>
      <c r="C852" s="198" t="n"/>
      <c r="D852" s="195">
        <f>IF(K852="","",INDEX('同相3導体'!$AB:$AB,K852))</f>
        <v/>
      </c>
      <c r="E852" s="195">
        <f>IF(K852="","",INDEX('同相3導体'!$AC:$AC,K852))</f>
        <v/>
      </c>
      <c r="F852" s="195">
        <f>IF(OR(A852="",B852=""),"",100*(D852-B852)/MAX(B852,1E-12))</f>
        <v/>
      </c>
      <c r="G852" s="195">
        <f>IF(OR(A852="",C852=""),"",E852-C852)</f>
        <v/>
      </c>
      <c r="H852" s="195">
        <f>IF(A852="","",LOG10(A852))</f>
        <v/>
      </c>
      <c r="I852" s="195">
        <f>IF(B852="","",LOG10(MAX(B852,1E-12)))</f>
        <v/>
      </c>
      <c r="J852" s="195">
        <f>IF(D852="","",LOG10(MAX(D852,1E-12)))</f>
        <v/>
      </c>
      <c r="K852">
        <f>IF(A852="","",ROUND(1+(LOG10(A852)-LOG10('入力・概要'!$B$38))*('入力・概要'!$B$40-1)/(LOG10('入力・概要'!$B$39)-LOG10('入力・概要'!$B$38)),0)+3)</f>
        <v/>
      </c>
      <c r="L852">
        <f>IF(K852="","",INDEX('同相3導体'!$B:$B,K852))</f>
        <v/>
      </c>
      <c r="M852">
        <f>IF(A852="","",IF(ABS(L852/A852-1)&lt;0.01,"周波数差&lt;1%","周波数差あり"))</f>
        <v/>
      </c>
    </row>
    <row r="853">
      <c r="A853" s="197" t="n"/>
      <c r="B853" s="198" t="n"/>
      <c r="C853" s="198" t="n"/>
      <c r="D853" s="195">
        <f>IF(K853="","",INDEX('同相3導体'!$AB:$AB,K853))</f>
        <v/>
      </c>
      <c r="E853" s="195">
        <f>IF(K853="","",INDEX('同相3導体'!$AC:$AC,K853))</f>
        <v/>
      </c>
      <c r="F853" s="195">
        <f>IF(OR(A853="",B853=""),"",100*(D853-B853)/MAX(B853,1E-12))</f>
        <v/>
      </c>
      <c r="G853" s="195">
        <f>IF(OR(A853="",C853=""),"",E853-C853)</f>
        <v/>
      </c>
      <c r="H853" s="195">
        <f>IF(A853="","",LOG10(A853))</f>
        <v/>
      </c>
      <c r="I853" s="195">
        <f>IF(B853="","",LOG10(MAX(B853,1E-12)))</f>
        <v/>
      </c>
      <c r="J853" s="195">
        <f>IF(D853="","",LOG10(MAX(D853,1E-12)))</f>
        <v/>
      </c>
      <c r="K853">
        <f>IF(A853="","",ROUND(1+(LOG10(A853)-LOG10('入力・概要'!$B$38))*('入力・概要'!$B$40-1)/(LOG10('入力・概要'!$B$39)-LOG10('入力・概要'!$B$38)),0)+3)</f>
        <v/>
      </c>
      <c r="L853">
        <f>IF(K853="","",INDEX('同相3導体'!$B:$B,K853))</f>
        <v/>
      </c>
      <c r="M853">
        <f>IF(A853="","",IF(ABS(L853/A853-1)&lt;0.01,"周波数差&lt;1%","周波数差あり"))</f>
        <v/>
      </c>
    </row>
    <row r="854">
      <c r="A854" s="197" t="n"/>
      <c r="B854" s="198" t="n"/>
      <c r="C854" s="198" t="n"/>
      <c r="D854" s="195">
        <f>IF(K854="","",INDEX('同相3導体'!$AB:$AB,K854))</f>
        <v/>
      </c>
      <c r="E854" s="195">
        <f>IF(K854="","",INDEX('同相3導体'!$AC:$AC,K854))</f>
        <v/>
      </c>
      <c r="F854" s="195">
        <f>IF(OR(A854="",B854=""),"",100*(D854-B854)/MAX(B854,1E-12))</f>
        <v/>
      </c>
      <c r="G854" s="195">
        <f>IF(OR(A854="",C854=""),"",E854-C854)</f>
        <v/>
      </c>
      <c r="H854" s="195">
        <f>IF(A854="","",LOG10(A854))</f>
        <v/>
      </c>
      <c r="I854" s="195">
        <f>IF(B854="","",LOG10(MAX(B854,1E-12)))</f>
        <v/>
      </c>
      <c r="J854" s="195">
        <f>IF(D854="","",LOG10(MAX(D854,1E-12)))</f>
        <v/>
      </c>
      <c r="K854">
        <f>IF(A854="","",ROUND(1+(LOG10(A854)-LOG10('入力・概要'!$B$38))*('入力・概要'!$B$40-1)/(LOG10('入力・概要'!$B$39)-LOG10('入力・概要'!$B$38)),0)+3)</f>
        <v/>
      </c>
      <c r="L854">
        <f>IF(K854="","",INDEX('同相3導体'!$B:$B,K854))</f>
        <v/>
      </c>
      <c r="M854">
        <f>IF(A854="","",IF(ABS(L854/A854-1)&lt;0.01,"周波数差&lt;1%","周波数差あり"))</f>
        <v/>
      </c>
    </row>
    <row r="855">
      <c r="A855" s="197" t="n"/>
      <c r="B855" s="198" t="n"/>
      <c r="C855" s="198" t="n"/>
      <c r="D855" s="195">
        <f>IF(K855="","",INDEX('同相3導体'!$AB:$AB,K855))</f>
        <v/>
      </c>
      <c r="E855" s="195">
        <f>IF(K855="","",INDEX('同相3導体'!$AC:$AC,K855))</f>
        <v/>
      </c>
      <c r="F855" s="195">
        <f>IF(OR(A855="",B855=""),"",100*(D855-B855)/MAX(B855,1E-12))</f>
        <v/>
      </c>
      <c r="G855" s="195">
        <f>IF(OR(A855="",C855=""),"",E855-C855)</f>
        <v/>
      </c>
      <c r="H855" s="195">
        <f>IF(A855="","",LOG10(A855))</f>
        <v/>
      </c>
      <c r="I855" s="195">
        <f>IF(B855="","",LOG10(MAX(B855,1E-12)))</f>
        <v/>
      </c>
      <c r="J855" s="195">
        <f>IF(D855="","",LOG10(MAX(D855,1E-12)))</f>
        <v/>
      </c>
      <c r="K855">
        <f>IF(A855="","",ROUND(1+(LOG10(A855)-LOG10('入力・概要'!$B$38))*('入力・概要'!$B$40-1)/(LOG10('入力・概要'!$B$39)-LOG10('入力・概要'!$B$38)),0)+3)</f>
        <v/>
      </c>
      <c r="L855">
        <f>IF(K855="","",INDEX('同相3導体'!$B:$B,K855))</f>
        <v/>
      </c>
      <c r="M855">
        <f>IF(A855="","",IF(ABS(L855/A855-1)&lt;0.01,"周波数差&lt;1%","周波数差あり"))</f>
        <v/>
      </c>
    </row>
    <row r="856">
      <c r="A856" s="197" t="n"/>
      <c r="B856" s="198" t="n"/>
      <c r="C856" s="198" t="n"/>
      <c r="D856" s="195">
        <f>IF(K856="","",INDEX('同相3導体'!$AB:$AB,K856))</f>
        <v/>
      </c>
      <c r="E856" s="195">
        <f>IF(K856="","",INDEX('同相3導体'!$AC:$AC,K856))</f>
        <v/>
      </c>
      <c r="F856" s="195">
        <f>IF(OR(A856="",B856=""),"",100*(D856-B856)/MAX(B856,1E-12))</f>
        <v/>
      </c>
      <c r="G856" s="195">
        <f>IF(OR(A856="",C856=""),"",E856-C856)</f>
        <v/>
      </c>
      <c r="H856" s="195">
        <f>IF(A856="","",LOG10(A856))</f>
        <v/>
      </c>
      <c r="I856" s="195">
        <f>IF(B856="","",LOG10(MAX(B856,1E-12)))</f>
        <v/>
      </c>
      <c r="J856" s="195">
        <f>IF(D856="","",LOG10(MAX(D856,1E-12)))</f>
        <v/>
      </c>
      <c r="K856">
        <f>IF(A856="","",ROUND(1+(LOG10(A856)-LOG10('入力・概要'!$B$38))*('入力・概要'!$B$40-1)/(LOG10('入力・概要'!$B$39)-LOG10('入力・概要'!$B$38)),0)+3)</f>
        <v/>
      </c>
      <c r="L856">
        <f>IF(K856="","",INDEX('同相3導体'!$B:$B,K856))</f>
        <v/>
      </c>
      <c r="M856">
        <f>IF(A856="","",IF(ABS(L856/A856-1)&lt;0.01,"周波数差&lt;1%","周波数差あり"))</f>
        <v/>
      </c>
    </row>
    <row r="857">
      <c r="A857" s="197" t="n"/>
      <c r="B857" s="198" t="n"/>
      <c r="C857" s="198" t="n"/>
      <c r="D857" s="195">
        <f>IF(K857="","",INDEX('同相3導体'!$AB:$AB,K857))</f>
        <v/>
      </c>
      <c r="E857" s="195">
        <f>IF(K857="","",INDEX('同相3導体'!$AC:$AC,K857))</f>
        <v/>
      </c>
      <c r="F857" s="195">
        <f>IF(OR(A857="",B857=""),"",100*(D857-B857)/MAX(B857,1E-12))</f>
        <v/>
      </c>
      <c r="G857" s="195">
        <f>IF(OR(A857="",C857=""),"",E857-C857)</f>
        <v/>
      </c>
      <c r="H857" s="195">
        <f>IF(A857="","",LOG10(A857))</f>
        <v/>
      </c>
      <c r="I857" s="195">
        <f>IF(B857="","",LOG10(MAX(B857,1E-12)))</f>
        <v/>
      </c>
      <c r="J857" s="195">
        <f>IF(D857="","",LOG10(MAX(D857,1E-12)))</f>
        <v/>
      </c>
      <c r="K857">
        <f>IF(A857="","",ROUND(1+(LOG10(A857)-LOG10('入力・概要'!$B$38))*('入力・概要'!$B$40-1)/(LOG10('入力・概要'!$B$39)-LOG10('入力・概要'!$B$38)),0)+3)</f>
        <v/>
      </c>
      <c r="L857">
        <f>IF(K857="","",INDEX('同相3導体'!$B:$B,K857))</f>
        <v/>
      </c>
      <c r="M857">
        <f>IF(A857="","",IF(ABS(L857/A857-1)&lt;0.01,"周波数差&lt;1%","周波数差あり"))</f>
        <v/>
      </c>
    </row>
    <row r="858">
      <c r="A858" s="197" t="n"/>
      <c r="B858" s="198" t="n"/>
      <c r="C858" s="198" t="n"/>
      <c r="D858" s="195">
        <f>IF(K858="","",INDEX('同相3導体'!$AB:$AB,K858))</f>
        <v/>
      </c>
      <c r="E858" s="195">
        <f>IF(K858="","",INDEX('同相3導体'!$AC:$AC,K858))</f>
        <v/>
      </c>
      <c r="F858" s="195">
        <f>IF(OR(A858="",B858=""),"",100*(D858-B858)/MAX(B858,1E-12))</f>
        <v/>
      </c>
      <c r="G858" s="195">
        <f>IF(OR(A858="",C858=""),"",E858-C858)</f>
        <v/>
      </c>
      <c r="H858" s="195">
        <f>IF(A858="","",LOG10(A858))</f>
        <v/>
      </c>
      <c r="I858" s="195">
        <f>IF(B858="","",LOG10(MAX(B858,1E-12)))</f>
        <v/>
      </c>
      <c r="J858" s="195">
        <f>IF(D858="","",LOG10(MAX(D858,1E-12)))</f>
        <v/>
      </c>
      <c r="K858">
        <f>IF(A858="","",ROUND(1+(LOG10(A858)-LOG10('入力・概要'!$B$38))*('入力・概要'!$B$40-1)/(LOG10('入力・概要'!$B$39)-LOG10('入力・概要'!$B$38)),0)+3)</f>
        <v/>
      </c>
      <c r="L858">
        <f>IF(K858="","",INDEX('同相3導体'!$B:$B,K858))</f>
        <v/>
      </c>
      <c r="M858">
        <f>IF(A858="","",IF(ABS(L858/A858-1)&lt;0.01,"周波数差&lt;1%","周波数差あり"))</f>
        <v/>
      </c>
    </row>
    <row r="859">
      <c r="A859" s="197" t="n"/>
      <c r="B859" s="198" t="n"/>
      <c r="C859" s="198" t="n"/>
      <c r="D859" s="195">
        <f>IF(K859="","",INDEX('同相3導体'!$AB:$AB,K859))</f>
        <v/>
      </c>
      <c r="E859" s="195">
        <f>IF(K859="","",INDEX('同相3導体'!$AC:$AC,K859))</f>
        <v/>
      </c>
      <c r="F859" s="195">
        <f>IF(OR(A859="",B859=""),"",100*(D859-B859)/MAX(B859,1E-12))</f>
        <v/>
      </c>
      <c r="G859" s="195">
        <f>IF(OR(A859="",C859=""),"",E859-C859)</f>
        <v/>
      </c>
      <c r="H859" s="195">
        <f>IF(A859="","",LOG10(A859))</f>
        <v/>
      </c>
      <c r="I859" s="195">
        <f>IF(B859="","",LOG10(MAX(B859,1E-12)))</f>
        <v/>
      </c>
      <c r="J859" s="195">
        <f>IF(D859="","",LOG10(MAX(D859,1E-12)))</f>
        <v/>
      </c>
      <c r="K859">
        <f>IF(A859="","",ROUND(1+(LOG10(A859)-LOG10('入力・概要'!$B$38))*('入力・概要'!$B$40-1)/(LOG10('入力・概要'!$B$39)-LOG10('入力・概要'!$B$38)),0)+3)</f>
        <v/>
      </c>
      <c r="L859">
        <f>IF(K859="","",INDEX('同相3導体'!$B:$B,K859))</f>
        <v/>
      </c>
      <c r="M859">
        <f>IF(A859="","",IF(ABS(L859/A859-1)&lt;0.01,"周波数差&lt;1%","周波数差あり"))</f>
        <v/>
      </c>
    </row>
    <row r="860">
      <c r="A860" s="197" t="n"/>
      <c r="B860" s="198" t="n"/>
      <c r="C860" s="198" t="n"/>
      <c r="D860" s="195">
        <f>IF(K860="","",INDEX('同相3導体'!$AB:$AB,K860))</f>
        <v/>
      </c>
      <c r="E860" s="195">
        <f>IF(K860="","",INDEX('同相3導体'!$AC:$AC,K860))</f>
        <v/>
      </c>
      <c r="F860" s="195">
        <f>IF(OR(A860="",B860=""),"",100*(D860-B860)/MAX(B860,1E-12))</f>
        <v/>
      </c>
      <c r="G860" s="195">
        <f>IF(OR(A860="",C860=""),"",E860-C860)</f>
        <v/>
      </c>
      <c r="H860" s="195">
        <f>IF(A860="","",LOG10(A860))</f>
        <v/>
      </c>
      <c r="I860" s="195">
        <f>IF(B860="","",LOG10(MAX(B860,1E-12)))</f>
        <v/>
      </c>
      <c r="J860" s="195">
        <f>IF(D860="","",LOG10(MAX(D860,1E-12)))</f>
        <v/>
      </c>
      <c r="K860">
        <f>IF(A860="","",ROUND(1+(LOG10(A860)-LOG10('入力・概要'!$B$38))*('入力・概要'!$B$40-1)/(LOG10('入力・概要'!$B$39)-LOG10('入力・概要'!$B$38)),0)+3)</f>
        <v/>
      </c>
      <c r="L860">
        <f>IF(K860="","",INDEX('同相3導体'!$B:$B,K860))</f>
        <v/>
      </c>
      <c r="M860">
        <f>IF(A860="","",IF(ABS(L860/A860-1)&lt;0.01,"周波数差&lt;1%","周波数差あり"))</f>
        <v/>
      </c>
    </row>
    <row r="861">
      <c r="A861" s="197" t="n"/>
      <c r="B861" s="198" t="n"/>
      <c r="C861" s="198" t="n"/>
      <c r="D861" s="195">
        <f>IF(K861="","",INDEX('同相3導体'!$AB:$AB,K861))</f>
        <v/>
      </c>
      <c r="E861" s="195">
        <f>IF(K861="","",INDEX('同相3導体'!$AC:$AC,K861))</f>
        <v/>
      </c>
      <c r="F861" s="195">
        <f>IF(OR(A861="",B861=""),"",100*(D861-B861)/MAX(B861,1E-12))</f>
        <v/>
      </c>
      <c r="G861" s="195">
        <f>IF(OR(A861="",C861=""),"",E861-C861)</f>
        <v/>
      </c>
      <c r="H861" s="195">
        <f>IF(A861="","",LOG10(A861))</f>
        <v/>
      </c>
      <c r="I861" s="195">
        <f>IF(B861="","",LOG10(MAX(B861,1E-12)))</f>
        <v/>
      </c>
      <c r="J861" s="195">
        <f>IF(D861="","",LOG10(MAX(D861,1E-12)))</f>
        <v/>
      </c>
      <c r="K861">
        <f>IF(A861="","",ROUND(1+(LOG10(A861)-LOG10('入力・概要'!$B$38))*('入力・概要'!$B$40-1)/(LOG10('入力・概要'!$B$39)-LOG10('入力・概要'!$B$38)),0)+3)</f>
        <v/>
      </c>
      <c r="L861">
        <f>IF(K861="","",INDEX('同相3導体'!$B:$B,K861))</f>
        <v/>
      </c>
      <c r="M861">
        <f>IF(A861="","",IF(ABS(L861/A861-1)&lt;0.01,"周波数差&lt;1%","周波数差あり"))</f>
        <v/>
      </c>
    </row>
    <row r="862">
      <c r="A862" s="197" t="n"/>
      <c r="B862" s="198" t="n"/>
      <c r="C862" s="198" t="n"/>
      <c r="D862" s="195">
        <f>IF(K862="","",INDEX('同相3導体'!$AB:$AB,K862))</f>
        <v/>
      </c>
      <c r="E862" s="195">
        <f>IF(K862="","",INDEX('同相3導体'!$AC:$AC,K862))</f>
        <v/>
      </c>
      <c r="F862" s="195">
        <f>IF(OR(A862="",B862=""),"",100*(D862-B862)/MAX(B862,1E-12))</f>
        <v/>
      </c>
      <c r="G862" s="195">
        <f>IF(OR(A862="",C862=""),"",E862-C862)</f>
        <v/>
      </c>
      <c r="H862" s="195">
        <f>IF(A862="","",LOG10(A862))</f>
        <v/>
      </c>
      <c r="I862" s="195">
        <f>IF(B862="","",LOG10(MAX(B862,1E-12)))</f>
        <v/>
      </c>
      <c r="J862" s="195">
        <f>IF(D862="","",LOG10(MAX(D862,1E-12)))</f>
        <v/>
      </c>
      <c r="K862">
        <f>IF(A862="","",ROUND(1+(LOG10(A862)-LOG10('入力・概要'!$B$38))*('入力・概要'!$B$40-1)/(LOG10('入力・概要'!$B$39)-LOG10('入力・概要'!$B$38)),0)+3)</f>
        <v/>
      </c>
      <c r="L862">
        <f>IF(K862="","",INDEX('同相3導体'!$B:$B,K862))</f>
        <v/>
      </c>
      <c r="M862">
        <f>IF(A862="","",IF(ABS(L862/A862-1)&lt;0.01,"周波数差&lt;1%","周波数差あり"))</f>
        <v/>
      </c>
    </row>
    <row r="863">
      <c r="A863" s="197" t="n"/>
      <c r="B863" s="198" t="n"/>
      <c r="C863" s="198" t="n"/>
      <c r="D863" s="195">
        <f>IF(K863="","",INDEX('同相3導体'!$AB:$AB,K863))</f>
        <v/>
      </c>
      <c r="E863" s="195">
        <f>IF(K863="","",INDEX('同相3導体'!$AC:$AC,K863))</f>
        <v/>
      </c>
      <c r="F863" s="195">
        <f>IF(OR(A863="",B863=""),"",100*(D863-B863)/MAX(B863,1E-12))</f>
        <v/>
      </c>
      <c r="G863" s="195">
        <f>IF(OR(A863="",C863=""),"",E863-C863)</f>
        <v/>
      </c>
      <c r="H863" s="195">
        <f>IF(A863="","",LOG10(A863))</f>
        <v/>
      </c>
      <c r="I863" s="195">
        <f>IF(B863="","",LOG10(MAX(B863,1E-12)))</f>
        <v/>
      </c>
      <c r="J863" s="195">
        <f>IF(D863="","",LOG10(MAX(D863,1E-12)))</f>
        <v/>
      </c>
      <c r="K863">
        <f>IF(A863="","",ROUND(1+(LOG10(A863)-LOG10('入力・概要'!$B$38))*('入力・概要'!$B$40-1)/(LOG10('入力・概要'!$B$39)-LOG10('入力・概要'!$B$38)),0)+3)</f>
        <v/>
      </c>
      <c r="L863">
        <f>IF(K863="","",INDEX('同相3導体'!$B:$B,K863))</f>
        <v/>
      </c>
      <c r="M863">
        <f>IF(A863="","",IF(ABS(L863/A863-1)&lt;0.01,"周波数差&lt;1%","周波数差あり"))</f>
        <v/>
      </c>
    </row>
    <row r="864">
      <c r="A864" s="197" t="n"/>
      <c r="B864" s="198" t="n"/>
      <c r="C864" s="198" t="n"/>
      <c r="D864" s="195">
        <f>IF(K864="","",INDEX('同相3導体'!$AB:$AB,K864))</f>
        <v/>
      </c>
      <c r="E864" s="195">
        <f>IF(K864="","",INDEX('同相3導体'!$AC:$AC,K864))</f>
        <v/>
      </c>
      <c r="F864" s="195">
        <f>IF(OR(A864="",B864=""),"",100*(D864-B864)/MAX(B864,1E-12))</f>
        <v/>
      </c>
      <c r="G864" s="195">
        <f>IF(OR(A864="",C864=""),"",E864-C864)</f>
        <v/>
      </c>
      <c r="H864" s="195">
        <f>IF(A864="","",LOG10(A864))</f>
        <v/>
      </c>
      <c r="I864" s="195">
        <f>IF(B864="","",LOG10(MAX(B864,1E-12)))</f>
        <v/>
      </c>
      <c r="J864" s="195">
        <f>IF(D864="","",LOG10(MAX(D864,1E-12)))</f>
        <v/>
      </c>
      <c r="K864">
        <f>IF(A864="","",ROUND(1+(LOG10(A864)-LOG10('入力・概要'!$B$38))*('入力・概要'!$B$40-1)/(LOG10('入力・概要'!$B$39)-LOG10('入力・概要'!$B$38)),0)+3)</f>
        <v/>
      </c>
      <c r="L864">
        <f>IF(K864="","",INDEX('同相3導体'!$B:$B,K864))</f>
        <v/>
      </c>
      <c r="M864">
        <f>IF(A864="","",IF(ABS(L864/A864-1)&lt;0.01,"周波数差&lt;1%","周波数差あり"))</f>
        <v/>
      </c>
    </row>
    <row r="865">
      <c r="A865" s="197" t="n"/>
      <c r="B865" s="198" t="n"/>
      <c r="C865" s="198" t="n"/>
      <c r="D865" s="195">
        <f>IF(K865="","",INDEX('同相3導体'!$AB:$AB,K865))</f>
        <v/>
      </c>
      <c r="E865" s="195">
        <f>IF(K865="","",INDEX('同相3導体'!$AC:$AC,K865))</f>
        <v/>
      </c>
      <c r="F865" s="195">
        <f>IF(OR(A865="",B865=""),"",100*(D865-B865)/MAX(B865,1E-12))</f>
        <v/>
      </c>
      <c r="G865" s="195">
        <f>IF(OR(A865="",C865=""),"",E865-C865)</f>
        <v/>
      </c>
      <c r="H865" s="195">
        <f>IF(A865="","",LOG10(A865))</f>
        <v/>
      </c>
      <c r="I865" s="195">
        <f>IF(B865="","",LOG10(MAX(B865,1E-12)))</f>
        <v/>
      </c>
      <c r="J865" s="195">
        <f>IF(D865="","",LOG10(MAX(D865,1E-12)))</f>
        <v/>
      </c>
      <c r="K865">
        <f>IF(A865="","",ROUND(1+(LOG10(A865)-LOG10('入力・概要'!$B$38))*('入力・概要'!$B$40-1)/(LOG10('入力・概要'!$B$39)-LOG10('入力・概要'!$B$38)),0)+3)</f>
        <v/>
      </c>
      <c r="L865">
        <f>IF(K865="","",INDEX('同相3導体'!$B:$B,K865))</f>
        <v/>
      </c>
      <c r="M865">
        <f>IF(A865="","",IF(ABS(L865/A865-1)&lt;0.01,"周波数差&lt;1%","周波数差あり"))</f>
        <v/>
      </c>
    </row>
    <row r="866">
      <c r="A866" s="197" t="n"/>
      <c r="B866" s="198" t="n"/>
      <c r="C866" s="198" t="n"/>
      <c r="D866" s="195">
        <f>IF(K866="","",INDEX('同相3導体'!$AB:$AB,K866))</f>
        <v/>
      </c>
      <c r="E866" s="195">
        <f>IF(K866="","",INDEX('同相3導体'!$AC:$AC,K866))</f>
        <v/>
      </c>
      <c r="F866" s="195">
        <f>IF(OR(A866="",B866=""),"",100*(D866-B866)/MAX(B866,1E-12))</f>
        <v/>
      </c>
      <c r="G866" s="195">
        <f>IF(OR(A866="",C866=""),"",E866-C866)</f>
        <v/>
      </c>
      <c r="H866" s="195">
        <f>IF(A866="","",LOG10(A866))</f>
        <v/>
      </c>
      <c r="I866" s="195">
        <f>IF(B866="","",LOG10(MAX(B866,1E-12)))</f>
        <v/>
      </c>
      <c r="J866" s="195">
        <f>IF(D866="","",LOG10(MAX(D866,1E-12)))</f>
        <v/>
      </c>
      <c r="K866">
        <f>IF(A866="","",ROUND(1+(LOG10(A866)-LOG10('入力・概要'!$B$38))*('入力・概要'!$B$40-1)/(LOG10('入力・概要'!$B$39)-LOG10('入力・概要'!$B$38)),0)+3)</f>
        <v/>
      </c>
      <c r="L866">
        <f>IF(K866="","",INDEX('同相3導体'!$B:$B,K866))</f>
        <v/>
      </c>
      <c r="M866">
        <f>IF(A866="","",IF(ABS(L866/A866-1)&lt;0.01,"周波数差&lt;1%","周波数差あり"))</f>
        <v/>
      </c>
    </row>
    <row r="867">
      <c r="A867" s="197" t="n"/>
      <c r="B867" s="198" t="n"/>
      <c r="C867" s="198" t="n"/>
      <c r="D867" s="195">
        <f>IF(K867="","",INDEX('同相3導体'!$AB:$AB,K867))</f>
        <v/>
      </c>
      <c r="E867" s="195">
        <f>IF(K867="","",INDEX('同相3導体'!$AC:$AC,K867))</f>
        <v/>
      </c>
      <c r="F867" s="195">
        <f>IF(OR(A867="",B867=""),"",100*(D867-B867)/MAX(B867,1E-12))</f>
        <v/>
      </c>
      <c r="G867" s="195">
        <f>IF(OR(A867="",C867=""),"",E867-C867)</f>
        <v/>
      </c>
      <c r="H867" s="195">
        <f>IF(A867="","",LOG10(A867))</f>
        <v/>
      </c>
      <c r="I867" s="195">
        <f>IF(B867="","",LOG10(MAX(B867,1E-12)))</f>
        <v/>
      </c>
      <c r="J867" s="195">
        <f>IF(D867="","",LOG10(MAX(D867,1E-12)))</f>
        <v/>
      </c>
      <c r="K867">
        <f>IF(A867="","",ROUND(1+(LOG10(A867)-LOG10('入力・概要'!$B$38))*('入力・概要'!$B$40-1)/(LOG10('入力・概要'!$B$39)-LOG10('入力・概要'!$B$38)),0)+3)</f>
        <v/>
      </c>
      <c r="L867">
        <f>IF(K867="","",INDEX('同相3導体'!$B:$B,K867))</f>
        <v/>
      </c>
      <c r="M867">
        <f>IF(A867="","",IF(ABS(L867/A867-1)&lt;0.01,"周波数差&lt;1%","周波数差あり"))</f>
        <v/>
      </c>
    </row>
    <row r="868">
      <c r="A868" s="197" t="n"/>
      <c r="B868" s="198" t="n"/>
      <c r="C868" s="198" t="n"/>
      <c r="D868" s="195">
        <f>IF(K868="","",INDEX('同相3導体'!$AB:$AB,K868))</f>
        <v/>
      </c>
      <c r="E868" s="195">
        <f>IF(K868="","",INDEX('同相3導体'!$AC:$AC,K868))</f>
        <v/>
      </c>
      <c r="F868" s="195">
        <f>IF(OR(A868="",B868=""),"",100*(D868-B868)/MAX(B868,1E-12))</f>
        <v/>
      </c>
      <c r="G868" s="195">
        <f>IF(OR(A868="",C868=""),"",E868-C868)</f>
        <v/>
      </c>
      <c r="H868" s="195">
        <f>IF(A868="","",LOG10(A868))</f>
        <v/>
      </c>
      <c r="I868" s="195">
        <f>IF(B868="","",LOG10(MAX(B868,1E-12)))</f>
        <v/>
      </c>
      <c r="J868" s="195">
        <f>IF(D868="","",LOG10(MAX(D868,1E-12)))</f>
        <v/>
      </c>
      <c r="K868">
        <f>IF(A868="","",ROUND(1+(LOG10(A868)-LOG10('入力・概要'!$B$38))*('入力・概要'!$B$40-1)/(LOG10('入力・概要'!$B$39)-LOG10('入力・概要'!$B$38)),0)+3)</f>
        <v/>
      </c>
      <c r="L868">
        <f>IF(K868="","",INDEX('同相3導体'!$B:$B,K868))</f>
        <v/>
      </c>
      <c r="M868">
        <f>IF(A868="","",IF(ABS(L868/A868-1)&lt;0.01,"周波数差&lt;1%","周波数差あり"))</f>
        <v/>
      </c>
    </row>
    <row r="869">
      <c r="A869" s="197" t="n"/>
      <c r="B869" s="198" t="n"/>
      <c r="C869" s="198" t="n"/>
      <c r="D869" s="195">
        <f>IF(K869="","",INDEX('同相3導体'!$AB:$AB,K869))</f>
        <v/>
      </c>
      <c r="E869" s="195">
        <f>IF(K869="","",INDEX('同相3導体'!$AC:$AC,K869))</f>
        <v/>
      </c>
      <c r="F869" s="195">
        <f>IF(OR(A869="",B869=""),"",100*(D869-B869)/MAX(B869,1E-12))</f>
        <v/>
      </c>
      <c r="G869" s="195">
        <f>IF(OR(A869="",C869=""),"",E869-C869)</f>
        <v/>
      </c>
      <c r="H869" s="195">
        <f>IF(A869="","",LOG10(A869))</f>
        <v/>
      </c>
      <c r="I869" s="195">
        <f>IF(B869="","",LOG10(MAX(B869,1E-12)))</f>
        <v/>
      </c>
      <c r="J869" s="195">
        <f>IF(D869="","",LOG10(MAX(D869,1E-12)))</f>
        <v/>
      </c>
      <c r="K869">
        <f>IF(A869="","",ROUND(1+(LOG10(A869)-LOG10('入力・概要'!$B$38))*('入力・概要'!$B$40-1)/(LOG10('入力・概要'!$B$39)-LOG10('入力・概要'!$B$38)),0)+3)</f>
        <v/>
      </c>
      <c r="L869">
        <f>IF(K869="","",INDEX('同相3導体'!$B:$B,K869))</f>
        <v/>
      </c>
      <c r="M869">
        <f>IF(A869="","",IF(ABS(L869/A869-1)&lt;0.01,"周波数差&lt;1%","周波数差あり"))</f>
        <v/>
      </c>
    </row>
    <row r="870">
      <c r="A870" s="197" t="n"/>
      <c r="B870" s="198" t="n"/>
      <c r="C870" s="198" t="n"/>
      <c r="D870" s="195">
        <f>IF(K870="","",INDEX('同相3導体'!$AB:$AB,K870))</f>
        <v/>
      </c>
      <c r="E870" s="195">
        <f>IF(K870="","",INDEX('同相3導体'!$AC:$AC,K870))</f>
        <v/>
      </c>
      <c r="F870" s="195">
        <f>IF(OR(A870="",B870=""),"",100*(D870-B870)/MAX(B870,1E-12))</f>
        <v/>
      </c>
      <c r="G870" s="195">
        <f>IF(OR(A870="",C870=""),"",E870-C870)</f>
        <v/>
      </c>
      <c r="H870" s="195">
        <f>IF(A870="","",LOG10(A870))</f>
        <v/>
      </c>
      <c r="I870" s="195">
        <f>IF(B870="","",LOG10(MAX(B870,1E-12)))</f>
        <v/>
      </c>
      <c r="J870" s="195">
        <f>IF(D870="","",LOG10(MAX(D870,1E-12)))</f>
        <v/>
      </c>
      <c r="K870">
        <f>IF(A870="","",ROUND(1+(LOG10(A870)-LOG10('入力・概要'!$B$38))*('入力・概要'!$B$40-1)/(LOG10('入力・概要'!$B$39)-LOG10('入力・概要'!$B$38)),0)+3)</f>
        <v/>
      </c>
      <c r="L870">
        <f>IF(K870="","",INDEX('同相3導体'!$B:$B,K870))</f>
        <v/>
      </c>
      <c r="M870">
        <f>IF(A870="","",IF(ABS(L870/A870-1)&lt;0.01,"周波数差&lt;1%","周波数差あり"))</f>
        <v/>
      </c>
    </row>
    <row r="871">
      <c r="A871" s="197" t="n"/>
      <c r="B871" s="198" t="n"/>
      <c r="C871" s="198" t="n"/>
      <c r="D871" s="195">
        <f>IF(K871="","",INDEX('同相3導体'!$AB:$AB,K871))</f>
        <v/>
      </c>
      <c r="E871" s="195">
        <f>IF(K871="","",INDEX('同相3導体'!$AC:$AC,K871))</f>
        <v/>
      </c>
      <c r="F871" s="195">
        <f>IF(OR(A871="",B871=""),"",100*(D871-B871)/MAX(B871,1E-12))</f>
        <v/>
      </c>
      <c r="G871" s="195">
        <f>IF(OR(A871="",C871=""),"",E871-C871)</f>
        <v/>
      </c>
      <c r="H871" s="195">
        <f>IF(A871="","",LOG10(A871))</f>
        <v/>
      </c>
      <c r="I871" s="195">
        <f>IF(B871="","",LOG10(MAX(B871,1E-12)))</f>
        <v/>
      </c>
      <c r="J871" s="195">
        <f>IF(D871="","",LOG10(MAX(D871,1E-12)))</f>
        <v/>
      </c>
      <c r="K871">
        <f>IF(A871="","",ROUND(1+(LOG10(A871)-LOG10('入力・概要'!$B$38))*('入力・概要'!$B$40-1)/(LOG10('入力・概要'!$B$39)-LOG10('入力・概要'!$B$38)),0)+3)</f>
        <v/>
      </c>
      <c r="L871">
        <f>IF(K871="","",INDEX('同相3導体'!$B:$B,K871))</f>
        <v/>
      </c>
      <c r="M871">
        <f>IF(A871="","",IF(ABS(L871/A871-1)&lt;0.01,"周波数差&lt;1%","周波数差あり"))</f>
        <v/>
      </c>
    </row>
    <row r="872">
      <c r="A872" s="197" t="n"/>
      <c r="B872" s="198" t="n"/>
      <c r="C872" s="198" t="n"/>
      <c r="D872" s="195">
        <f>IF(K872="","",INDEX('同相3導体'!$AB:$AB,K872))</f>
        <v/>
      </c>
      <c r="E872" s="195">
        <f>IF(K872="","",INDEX('同相3導体'!$AC:$AC,K872))</f>
        <v/>
      </c>
      <c r="F872" s="195">
        <f>IF(OR(A872="",B872=""),"",100*(D872-B872)/MAX(B872,1E-12))</f>
        <v/>
      </c>
      <c r="G872" s="195">
        <f>IF(OR(A872="",C872=""),"",E872-C872)</f>
        <v/>
      </c>
      <c r="H872" s="195">
        <f>IF(A872="","",LOG10(A872))</f>
        <v/>
      </c>
      <c r="I872" s="195">
        <f>IF(B872="","",LOG10(MAX(B872,1E-12)))</f>
        <v/>
      </c>
      <c r="J872" s="195">
        <f>IF(D872="","",LOG10(MAX(D872,1E-12)))</f>
        <v/>
      </c>
      <c r="K872">
        <f>IF(A872="","",ROUND(1+(LOG10(A872)-LOG10('入力・概要'!$B$38))*('入力・概要'!$B$40-1)/(LOG10('入力・概要'!$B$39)-LOG10('入力・概要'!$B$38)),0)+3)</f>
        <v/>
      </c>
      <c r="L872">
        <f>IF(K872="","",INDEX('同相3導体'!$B:$B,K872))</f>
        <v/>
      </c>
      <c r="M872">
        <f>IF(A872="","",IF(ABS(L872/A872-1)&lt;0.01,"周波数差&lt;1%","周波数差あり"))</f>
        <v/>
      </c>
    </row>
    <row r="873">
      <c r="A873" s="197" t="n"/>
      <c r="B873" s="198" t="n"/>
      <c r="C873" s="198" t="n"/>
      <c r="D873" s="195">
        <f>IF(K873="","",INDEX('同相3導体'!$AB:$AB,K873))</f>
        <v/>
      </c>
      <c r="E873" s="195">
        <f>IF(K873="","",INDEX('同相3導体'!$AC:$AC,K873))</f>
        <v/>
      </c>
      <c r="F873" s="195">
        <f>IF(OR(A873="",B873=""),"",100*(D873-B873)/MAX(B873,1E-12))</f>
        <v/>
      </c>
      <c r="G873" s="195">
        <f>IF(OR(A873="",C873=""),"",E873-C873)</f>
        <v/>
      </c>
      <c r="H873" s="195">
        <f>IF(A873="","",LOG10(A873))</f>
        <v/>
      </c>
      <c r="I873" s="195">
        <f>IF(B873="","",LOG10(MAX(B873,1E-12)))</f>
        <v/>
      </c>
      <c r="J873" s="195">
        <f>IF(D873="","",LOG10(MAX(D873,1E-12)))</f>
        <v/>
      </c>
      <c r="K873">
        <f>IF(A873="","",ROUND(1+(LOG10(A873)-LOG10('入力・概要'!$B$38))*('入力・概要'!$B$40-1)/(LOG10('入力・概要'!$B$39)-LOG10('入力・概要'!$B$38)),0)+3)</f>
        <v/>
      </c>
      <c r="L873">
        <f>IF(K873="","",INDEX('同相3導体'!$B:$B,K873))</f>
        <v/>
      </c>
      <c r="M873">
        <f>IF(A873="","",IF(ABS(L873/A873-1)&lt;0.01,"周波数差&lt;1%","周波数差あり"))</f>
        <v/>
      </c>
    </row>
    <row r="874">
      <c r="A874" s="197" t="n"/>
      <c r="B874" s="198" t="n"/>
      <c r="C874" s="198" t="n"/>
      <c r="D874" s="195">
        <f>IF(K874="","",INDEX('同相3導体'!$AB:$AB,K874))</f>
        <v/>
      </c>
      <c r="E874" s="195">
        <f>IF(K874="","",INDEX('同相3導体'!$AC:$AC,K874))</f>
        <v/>
      </c>
      <c r="F874" s="195">
        <f>IF(OR(A874="",B874=""),"",100*(D874-B874)/MAX(B874,1E-12))</f>
        <v/>
      </c>
      <c r="G874" s="195">
        <f>IF(OR(A874="",C874=""),"",E874-C874)</f>
        <v/>
      </c>
      <c r="H874" s="195">
        <f>IF(A874="","",LOG10(A874))</f>
        <v/>
      </c>
      <c r="I874" s="195">
        <f>IF(B874="","",LOG10(MAX(B874,1E-12)))</f>
        <v/>
      </c>
      <c r="J874" s="195">
        <f>IF(D874="","",LOG10(MAX(D874,1E-12)))</f>
        <v/>
      </c>
      <c r="K874">
        <f>IF(A874="","",ROUND(1+(LOG10(A874)-LOG10('入力・概要'!$B$38))*('入力・概要'!$B$40-1)/(LOG10('入力・概要'!$B$39)-LOG10('入力・概要'!$B$38)),0)+3)</f>
        <v/>
      </c>
      <c r="L874">
        <f>IF(K874="","",INDEX('同相3導体'!$B:$B,K874))</f>
        <v/>
      </c>
      <c r="M874">
        <f>IF(A874="","",IF(ABS(L874/A874-1)&lt;0.01,"周波数差&lt;1%","周波数差あり"))</f>
        <v/>
      </c>
    </row>
    <row r="875">
      <c r="A875" s="197" t="n"/>
      <c r="B875" s="198" t="n"/>
      <c r="C875" s="198" t="n"/>
      <c r="D875" s="195">
        <f>IF(K875="","",INDEX('同相3導体'!$AB:$AB,K875))</f>
        <v/>
      </c>
      <c r="E875" s="195">
        <f>IF(K875="","",INDEX('同相3導体'!$AC:$AC,K875))</f>
        <v/>
      </c>
      <c r="F875" s="195">
        <f>IF(OR(A875="",B875=""),"",100*(D875-B875)/MAX(B875,1E-12))</f>
        <v/>
      </c>
      <c r="G875" s="195">
        <f>IF(OR(A875="",C875=""),"",E875-C875)</f>
        <v/>
      </c>
      <c r="H875" s="195">
        <f>IF(A875="","",LOG10(A875))</f>
        <v/>
      </c>
      <c r="I875" s="195">
        <f>IF(B875="","",LOG10(MAX(B875,1E-12)))</f>
        <v/>
      </c>
      <c r="J875" s="195">
        <f>IF(D875="","",LOG10(MAX(D875,1E-12)))</f>
        <v/>
      </c>
      <c r="K875">
        <f>IF(A875="","",ROUND(1+(LOG10(A875)-LOG10('入力・概要'!$B$38))*('入力・概要'!$B$40-1)/(LOG10('入力・概要'!$B$39)-LOG10('入力・概要'!$B$38)),0)+3)</f>
        <v/>
      </c>
      <c r="L875">
        <f>IF(K875="","",INDEX('同相3導体'!$B:$B,K875))</f>
        <v/>
      </c>
      <c r="M875">
        <f>IF(A875="","",IF(ABS(L875/A875-1)&lt;0.01,"周波数差&lt;1%","周波数差あり"))</f>
        <v/>
      </c>
    </row>
    <row r="876">
      <c r="A876" s="197" t="n"/>
      <c r="B876" s="198" t="n"/>
      <c r="C876" s="198" t="n"/>
      <c r="D876" s="195">
        <f>IF(K876="","",INDEX('同相3導体'!$AB:$AB,K876))</f>
        <v/>
      </c>
      <c r="E876" s="195">
        <f>IF(K876="","",INDEX('同相3導体'!$AC:$AC,K876))</f>
        <v/>
      </c>
      <c r="F876" s="195">
        <f>IF(OR(A876="",B876=""),"",100*(D876-B876)/MAX(B876,1E-12))</f>
        <v/>
      </c>
      <c r="G876" s="195">
        <f>IF(OR(A876="",C876=""),"",E876-C876)</f>
        <v/>
      </c>
      <c r="H876" s="195">
        <f>IF(A876="","",LOG10(A876))</f>
        <v/>
      </c>
      <c r="I876" s="195">
        <f>IF(B876="","",LOG10(MAX(B876,1E-12)))</f>
        <v/>
      </c>
      <c r="J876" s="195">
        <f>IF(D876="","",LOG10(MAX(D876,1E-12)))</f>
        <v/>
      </c>
      <c r="K876">
        <f>IF(A876="","",ROUND(1+(LOG10(A876)-LOG10('入力・概要'!$B$38))*('入力・概要'!$B$40-1)/(LOG10('入力・概要'!$B$39)-LOG10('入力・概要'!$B$38)),0)+3)</f>
        <v/>
      </c>
      <c r="L876">
        <f>IF(K876="","",INDEX('同相3導体'!$B:$B,K876))</f>
        <v/>
      </c>
      <c r="M876">
        <f>IF(A876="","",IF(ABS(L876/A876-1)&lt;0.01,"周波数差&lt;1%","周波数差あり"))</f>
        <v/>
      </c>
    </row>
    <row r="877">
      <c r="A877" s="197" t="n"/>
      <c r="B877" s="198" t="n"/>
      <c r="C877" s="198" t="n"/>
      <c r="D877" s="195">
        <f>IF(K877="","",INDEX('同相3導体'!$AB:$AB,K877))</f>
        <v/>
      </c>
      <c r="E877" s="195">
        <f>IF(K877="","",INDEX('同相3導体'!$AC:$AC,K877))</f>
        <v/>
      </c>
      <c r="F877" s="195">
        <f>IF(OR(A877="",B877=""),"",100*(D877-B877)/MAX(B877,1E-12))</f>
        <v/>
      </c>
      <c r="G877" s="195">
        <f>IF(OR(A877="",C877=""),"",E877-C877)</f>
        <v/>
      </c>
      <c r="H877" s="195">
        <f>IF(A877="","",LOG10(A877))</f>
        <v/>
      </c>
      <c r="I877" s="195">
        <f>IF(B877="","",LOG10(MAX(B877,1E-12)))</f>
        <v/>
      </c>
      <c r="J877" s="195">
        <f>IF(D877="","",LOG10(MAX(D877,1E-12)))</f>
        <v/>
      </c>
      <c r="K877">
        <f>IF(A877="","",ROUND(1+(LOG10(A877)-LOG10('入力・概要'!$B$38))*('入力・概要'!$B$40-1)/(LOG10('入力・概要'!$B$39)-LOG10('入力・概要'!$B$38)),0)+3)</f>
        <v/>
      </c>
      <c r="L877">
        <f>IF(K877="","",INDEX('同相3導体'!$B:$B,K877))</f>
        <v/>
      </c>
      <c r="M877">
        <f>IF(A877="","",IF(ABS(L877/A877-1)&lt;0.01,"周波数差&lt;1%","周波数差あり"))</f>
        <v/>
      </c>
    </row>
    <row r="878">
      <c r="A878" s="197" t="n"/>
      <c r="B878" s="198" t="n"/>
      <c r="C878" s="198" t="n"/>
      <c r="D878" s="195">
        <f>IF(K878="","",INDEX('同相3導体'!$AB:$AB,K878))</f>
        <v/>
      </c>
      <c r="E878" s="195">
        <f>IF(K878="","",INDEX('同相3導体'!$AC:$AC,K878))</f>
        <v/>
      </c>
      <c r="F878" s="195">
        <f>IF(OR(A878="",B878=""),"",100*(D878-B878)/MAX(B878,1E-12))</f>
        <v/>
      </c>
      <c r="G878" s="195">
        <f>IF(OR(A878="",C878=""),"",E878-C878)</f>
        <v/>
      </c>
      <c r="H878" s="195">
        <f>IF(A878="","",LOG10(A878))</f>
        <v/>
      </c>
      <c r="I878" s="195">
        <f>IF(B878="","",LOG10(MAX(B878,1E-12)))</f>
        <v/>
      </c>
      <c r="J878" s="195">
        <f>IF(D878="","",LOG10(MAX(D878,1E-12)))</f>
        <v/>
      </c>
      <c r="K878">
        <f>IF(A878="","",ROUND(1+(LOG10(A878)-LOG10('入力・概要'!$B$38))*('入力・概要'!$B$40-1)/(LOG10('入力・概要'!$B$39)-LOG10('入力・概要'!$B$38)),0)+3)</f>
        <v/>
      </c>
      <c r="L878">
        <f>IF(K878="","",INDEX('同相3導体'!$B:$B,K878))</f>
        <v/>
      </c>
      <c r="M878">
        <f>IF(A878="","",IF(ABS(L878/A878-1)&lt;0.01,"周波数差&lt;1%","周波数差あり"))</f>
        <v/>
      </c>
    </row>
    <row r="879">
      <c r="A879" s="197" t="n"/>
      <c r="B879" s="198" t="n"/>
      <c r="C879" s="198" t="n"/>
      <c r="D879" s="195">
        <f>IF(K879="","",INDEX('同相3導体'!$AB:$AB,K879))</f>
        <v/>
      </c>
      <c r="E879" s="195">
        <f>IF(K879="","",INDEX('同相3導体'!$AC:$AC,K879))</f>
        <v/>
      </c>
      <c r="F879" s="195">
        <f>IF(OR(A879="",B879=""),"",100*(D879-B879)/MAX(B879,1E-12))</f>
        <v/>
      </c>
      <c r="G879" s="195">
        <f>IF(OR(A879="",C879=""),"",E879-C879)</f>
        <v/>
      </c>
      <c r="H879" s="195">
        <f>IF(A879="","",LOG10(A879))</f>
        <v/>
      </c>
      <c r="I879" s="195">
        <f>IF(B879="","",LOG10(MAX(B879,1E-12)))</f>
        <v/>
      </c>
      <c r="J879" s="195">
        <f>IF(D879="","",LOG10(MAX(D879,1E-12)))</f>
        <v/>
      </c>
      <c r="K879">
        <f>IF(A879="","",ROUND(1+(LOG10(A879)-LOG10('入力・概要'!$B$38))*('入力・概要'!$B$40-1)/(LOG10('入力・概要'!$B$39)-LOG10('入力・概要'!$B$38)),0)+3)</f>
        <v/>
      </c>
      <c r="L879">
        <f>IF(K879="","",INDEX('同相3導体'!$B:$B,K879))</f>
        <v/>
      </c>
      <c r="M879">
        <f>IF(A879="","",IF(ABS(L879/A879-1)&lt;0.01,"周波数差&lt;1%","周波数差あり"))</f>
        <v/>
      </c>
    </row>
    <row r="880">
      <c r="A880" s="197" t="n"/>
      <c r="B880" s="198" t="n"/>
      <c r="C880" s="198" t="n"/>
      <c r="D880" s="195">
        <f>IF(K880="","",INDEX('同相3導体'!$AB:$AB,K880))</f>
        <v/>
      </c>
      <c r="E880" s="195">
        <f>IF(K880="","",INDEX('同相3導体'!$AC:$AC,K880))</f>
        <v/>
      </c>
      <c r="F880" s="195">
        <f>IF(OR(A880="",B880=""),"",100*(D880-B880)/MAX(B880,1E-12))</f>
        <v/>
      </c>
      <c r="G880" s="195">
        <f>IF(OR(A880="",C880=""),"",E880-C880)</f>
        <v/>
      </c>
      <c r="H880" s="195">
        <f>IF(A880="","",LOG10(A880))</f>
        <v/>
      </c>
      <c r="I880" s="195">
        <f>IF(B880="","",LOG10(MAX(B880,1E-12)))</f>
        <v/>
      </c>
      <c r="J880" s="195">
        <f>IF(D880="","",LOG10(MAX(D880,1E-12)))</f>
        <v/>
      </c>
      <c r="K880">
        <f>IF(A880="","",ROUND(1+(LOG10(A880)-LOG10('入力・概要'!$B$38))*('入力・概要'!$B$40-1)/(LOG10('入力・概要'!$B$39)-LOG10('入力・概要'!$B$38)),0)+3)</f>
        <v/>
      </c>
      <c r="L880">
        <f>IF(K880="","",INDEX('同相3導体'!$B:$B,K880))</f>
        <v/>
      </c>
      <c r="M880">
        <f>IF(A880="","",IF(ABS(L880/A880-1)&lt;0.01,"周波数差&lt;1%","周波数差あり"))</f>
        <v/>
      </c>
    </row>
    <row r="881">
      <c r="A881" s="197" t="n"/>
      <c r="B881" s="198" t="n"/>
      <c r="C881" s="198" t="n"/>
      <c r="D881" s="195">
        <f>IF(K881="","",INDEX('同相3導体'!$AB:$AB,K881))</f>
        <v/>
      </c>
      <c r="E881" s="195">
        <f>IF(K881="","",INDEX('同相3導体'!$AC:$AC,K881))</f>
        <v/>
      </c>
      <c r="F881" s="195">
        <f>IF(OR(A881="",B881=""),"",100*(D881-B881)/MAX(B881,1E-12))</f>
        <v/>
      </c>
      <c r="G881" s="195">
        <f>IF(OR(A881="",C881=""),"",E881-C881)</f>
        <v/>
      </c>
      <c r="H881" s="195">
        <f>IF(A881="","",LOG10(A881))</f>
        <v/>
      </c>
      <c r="I881" s="195">
        <f>IF(B881="","",LOG10(MAX(B881,1E-12)))</f>
        <v/>
      </c>
      <c r="J881" s="195">
        <f>IF(D881="","",LOG10(MAX(D881,1E-12)))</f>
        <v/>
      </c>
      <c r="K881">
        <f>IF(A881="","",ROUND(1+(LOG10(A881)-LOG10('入力・概要'!$B$38))*('入力・概要'!$B$40-1)/(LOG10('入力・概要'!$B$39)-LOG10('入力・概要'!$B$38)),0)+3)</f>
        <v/>
      </c>
      <c r="L881">
        <f>IF(K881="","",INDEX('同相3導体'!$B:$B,K881))</f>
        <v/>
      </c>
      <c r="M881">
        <f>IF(A881="","",IF(ABS(L881/A881-1)&lt;0.01,"周波数差&lt;1%","周波数差あり"))</f>
        <v/>
      </c>
    </row>
    <row r="882">
      <c r="A882" s="197" t="n"/>
      <c r="B882" s="198" t="n"/>
      <c r="C882" s="198" t="n"/>
      <c r="D882" s="195">
        <f>IF(K882="","",INDEX('同相3導体'!$AB:$AB,K882))</f>
        <v/>
      </c>
      <c r="E882" s="195">
        <f>IF(K882="","",INDEX('同相3導体'!$AC:$AC,K882))</f>
        <v/>
      </c>
      <c r="F882" s="195">
        <f>IF(OR(A882="",B882=""),"",100*(D882-B882)/MAX(B882,1E-12))</f>
        <v/>
      </c>
      <c r="G882" s="195">
        <f>IF(OR(A882="",C882=""),"",E882-C882)</f>
        <v/>
      </c>
      <c r="H882" s="195">
        <f>IF(A882="","",LOG10(A882))</f>
        <v/>
      </c>
      <c r="I882" s="195">
        <f>IF(B882="","",LOG10(MAX(B882,1E-12)))</f>
        <v/>
      </c>
      <c r="J882" s="195">
        <f>IF(D882="","",LOG10(MAX(D882,1E-12)))</f>
        <v/>
      </c>
      <c r="K882">
        <f>IF(A882="","",ROUND(1+(LOG10(A882)-LOG10('入力・概要'!$B$38))*('入力・概要'!$B$40-1)/(LOG10('入力・概要'!$B$39)-LOG10('入力・概要'!$B$38)),0)+3)</f>
        <v/>
      </c>
      <c r="L882">
        <f>IF(K882="","",INDEX('同相3導体'!$B:$B,K882))</f>
        <v/>
      </c>
      <c r="M882">
        <f>IF(A882="","",IF(ABS(L882/A882-1)&lt;0.01,"周波数差&lt;1%","周波数差あり"))</f>
        <v/>
      </c>
    </row>
    <row r="883">
      <c r="A883" s="197" t="n"/>
      <c r="B883" s="198" t="n"/>
      <c r="C883" s="198" t="n"/>
      <c r="D883" s="195">
        <f>IF(K883="","",INDEX('同相3導体'!$AB:$AB,K883))</f>
        <v/>
      </c>
      <c r="E883" s="195">
        <f>IF(K883="","",INDEX('同相3導体'!$AC:$AC,K883))</f>
        <v/>
      </c>
      <c r="F883" s="195">
        <f>IF(OR(A883="",B883=""),"",100*(D883-B883)/MAX(B883,1E-12))</f>
        <v/>
      </c>
      <c r="G883" s="195">
        <f>IF(OR(A883="",C883=""),"",E883-C883)</f>
        <v/>
      </c>
      <c r="H883" s="195">
        <f>IF(A883="","",LOG10(A883))</f>
        <v/>
      </c>
      <c r="I883" s="195">
        <f>IF(B883="","",LOG10(MAX(B883,1E-12)))</f>
        <v/>
      </c>
      <c r="J883" s="195">
        <f>IF(D883="","",LOG10(MAX(D883,1E-12)))</f>
        <v/>
      </c>
      <c r="K883">
        <f>IF(A883="","",ROUND(1+(LOG10(A883)-LOG10('入力・概要'!$B$38))*('入力・概要'!$B$40-1)/(LOG10('入力・概要'!$B$39)-LOG10('入力・概要'!$B$38)),0)+3)</f>
        <v/>
      </c>
      <c r="L883">
        <f>IF(K883="","",INDEX('同相3導体'!$B:$B,K883))</f>
        <v/>
      </c>
      <c r="M883">
        <f>IF(A883="","",IF(ABS(L883/A883-1)&lt;0.01,"周波数差&lt;1%","周波数差あり"))</f>
        <v/>
      </c>
    </row>
    <row r="884">
      <c r="A884" s="197" t="n"/>
      <c r="B884" s="198" t="n"/>
      <c r="C884" s="198" t="n"/>
      <c r="D884" s="195">
        <f>IF(K884="","",INDEX('同相3導体'!$AB:$AB,K884))</f>
        <v/>
      </c>
      <c r="E884" s="195">
        <f>IF(K884="","",INDEX('同相3導体'!$AC:$AC,K884))</f>
        <v/>
      </c>
      <c r="F884" s="195">
        <f>IF(OR(A884="",B884=""),"",100*(D884-B884)/MAX(B884,1E-12))</f>
        <v/>
      </c>
      <c r="G884" s="195">
        <f>IF(OR(A884="",C884=""),"",E884-C884)</f>
        <v/>
      </c>
      <c r="H884" s="195">
        <f>IF(A884="","",LOG10(A884))</f>
        <v/>
      </c>
      <c r="I884" s="195">
        <f>IF(B884="","",LOG10(MAX(B884,1E-12)))</f>
        <v/>
      </c>
      <c r="J884" s="195">
        <f>IF(D884="","",LOG10(MAX(D884,1E-12)))</f>
        <v/>
      </c>
      <c r="K884">
        <f>IF(A884="","",ROUND(1+(LOG10(A884)-LOG10('入力・概要'!$B$38))*('入力・概要'!$B$40-1)/(LOG10('入力・概要'!$B$39)-LOG10('入力・概要'!$B$38)),0)+3)</f>
        <v/>
      </c>
      <c r="L884">
        <f>IF(K884="","",INDEX('同相3導体'!$B:$B,K884))</f>
        <v/>
      </c>
      <c r="M884">
        <f>IF(A884="","",IF(ABS(L884/A884-1)&lt;0.01,"周波数差&lt;1%","周波数差あり"))</f>
        <v/>
      </c>
    </row>
    <row r="885">
      <c r="A885" s="197" t="n"/>
      <c r="B885" s="198" t="n"/>
      <c r="C885" s="198" t="n"/>
      <c r="D885" s="195">
        <f>IF(K885="","",INDEX('同相3導体'!$AB:$AB,K885))</f>
        <v/>
      </c>
      <c r="E885" s="195">
        <f>IF(K885="","",INDEX('同相3導体'!$AC:$AC,K885))</f>
        <v/>
      </c>
      <c r="F885" s="195">
        <f>IF(OR(A885="",B885=""),"",100*(D885-B885)/MAX(B885,1E-12))</f>
        <v/>
      </c>
      <c r="G885" s="195">
        <f>IF(OR(A885="",C885=""),"",E885-C885)</f>
        <v/>
      </c>
      <c r="H885" s="195">
        <f>IF(A885="","",LOG10(A885))</f>
        <v/>
      </c>
      <c r="I885" s="195">
        <f>IF(B885="","",LOG10(MAX(B885,1E-12)))</f>
        <v/>
      </c>
      <c r="J885" s="195">
        <f>IF(D885="","",LOG10(MAX(D885,1E-12)))</f>
        <v/>
      </c>
      <c r="K885">
        <f>IF(A885="","",ROUND(1+(LOG10(A885)-LOG10('入力・概要'!$B$38))*('入力・概要'!$B$40-1)/(LOG10('入力・概要'!$B$39)-LOG10('入力・概要'!$B$38)),0)+3)</f>
        <v/>
      </c>
      <c r="L885">
        <f>IF(K885="","",INDEX('同相3導体'!$B:$B,K885))</f>
        <v/>
      </c>
      <c r="M885">
        <f>IF(A885="","",IF(ABS(L885/A885-1)&lt;0.01,"周波数差&lt;1%","周波数差あり"))</f>
        <v/>
      </c>
    </row>
    <row r="886">
      <c r="A886" s="197" t="n"/>
      <c r="B886" s="198" t="n"/>
      <c r="C886" s="198" t="n"/>
      <c r="D886" s="195">
        <f>IF(K886="","",INDEX('同相3導体'!$AB:$AB,K886))</f>
        <v/>
      </c>
      <c r="E886" s="195">
        <f>IF(K886="","",INDEX('同相3導体'!$AC:$AC,K886))</f>
        <v/>
      </c>
      <c r="F886" s="195">
        <f>IF(OR(A886="",B886=""),"",100*(D886-B886)/MAX(B886,1E-12))</f>
        <v/>
      </c>
      <c r="G886" s="195">
        <f>IF(OR(A886="",C886=""),"",E886-C886)</f>
        <v/>
      </c>
      <c r="H886" s="195">
        <f>IF(A886="","",LOG10(A886))</f>
        <v/>
      </c>
      <c r="I886" s="195">
        <f>IF(B886="","",LOG10(MAX(B886,1E-12)))</f>
        <v/>
      </c>
      <c r="J886" s="195">
        <f>IF(D886="","",LOG10(MAX(D886,1E-12)))</f>
        <v/>
      </c>
      <c r="K886">
        <f>IF(A886="","",ROUND(1+(LOG10(A886)-LOG10('入力・概要'!$B$38))*('入力・概要'!$B$40-1)/(LOG10('入力・概要'!$B$39)-LOG10('入力・概要'!$B$38)),0)+3)</f>
        <v/>
      </c>
      <c r="L886">
        <f>IF(K886="","",INDEX('同相3導体'!$B:$B,K886))</f>
        <v/>
      </c>
      <c r="M886">
        <f>IF(A886="","",IF(ABS(L886/A886-1)&lt;0.01,"周波数差&lt;1%","周波数差あり"))</f>
        <v/>
      </c>
    </row>
    <row r="887">
      <c r="A887" s="197" t="n"/>
      <c r="B887" s="198" t="n"/>
      <c r="C887" s="198" t="n"/>
      <c r="D887" s="195">
        <f>IF(K887="","",INDEX('同相3導体'!$AB:$AB,K887))</f>
        <v/>
      </c>
      <c r="E887" s="195">
        <f>IF(K887="","",INDEX('同相3導体'!$AC:$AC,K887))</f>
        <v/>
      </c>
      <c r="F887" s="195">
        <f>IF(OR(A887="",B887=""),"",100*(D887-B887)/MAX(B887,1E-12))</f>
        <v/>
      </c>
      <c r="G887" s="195">
        <f>IF(OR(A887="",C887=""),"",E887-C887)</f>
        <v/>
      </c>
      <c r="H887" s="195">
        <f>IF(A887="","",LOG10(A887))</f>
        <v/>
      </c>
      <c r="I887" s="195">
        <f>IF(B887="","",LOG10(MAX(B887,1E-12)))</f>
        <v/>
      </c>
      <c r="J887" s="195">
        <f>IF(D887="","",LOG10(MAX(D887,1E-12)))</f>
        <v/>
      </c>
      <c r="K887">
        <f>IF(A887="","",ROUND(1+(LOG10(A887)-LOG10('入力・概要'!$B$38))*('入力・概要'!$B$40-1)/(LOG10('入力・概要'!$B$39)-LOG10('入力・概要'!$B$38)),0)+3)</f>
        <v/>
      </c>
      <c r="L887">
        <f>IF(K887="","",INDEX('同相3導体'!$B:$B,K887))</f>
        <v/>
      </c>
      <c r="M887">
        <f>IF(A887="","",IF(ABS(L887/A887-1)&lt;0.01,"周波数差&lt;1%","周波数差あり"))</f>
        <v/>
      </c>
    </row>
    <row r="888">
      <c r="A888" s="197" t="n"/>
      <c r="B888" s="198" t="n"/>
      <c r="C888" s="198" t="n"/>
      <c r="D888" s="195">
        <f>IF(K888="","",INDEX('同相3導体'!$AB:$AB,K888))</f>
        <v/>
      </c>
      <c r="E888" s="195">
        <f>IF(K888="","",INDEX('同相3導体'!$AC:$AC,K888))</f>
        <v/>
      </c>
      <c r="F888" s="195">
        <f>IF(OR(A888="",B888=""),"",100*(D888-B888)/MAX(B888,1E-12))</f>
        <v/>
      </c>
      <c r="G888" s="195">
        <f>IF(OR(A888="",C888=""),"",E888-C888)</f>
        <v/>
      </c>
      <c r="H888" s="195">
        <f>IF(A888="","",LOG10(A888))</f>
        <v/>
      </c>
      <c r="I888" s="195">
        <f>IF(B888="","",LOG10(MAX(B888,1E-12)))</f>
        <v/>
      </c>
      <c r="J888" s="195">
        <f>IF(D888="","",LOG10(MAX(D888,1E-12)))</f>
        <v/>
      </c>
      <c r="K888">
        <f>IF(A888="","",ROUND(1+(LOG10(A888)-LOG10('入力・概要'!$B$38))*('入力・概要'!$B$40-1)/(LOG10('入力・概要'!$B$39)-LOG10('入力・概要'!$B$38)),0)+3)</f>
        <v/>
      </c>
      <c r="L888">
        <f>IF(K888="","",INDEX('同相3導体'!$B:$B,K888))</f>
        <v/>
      </c>
      <c r="M888">
        <f>IF(A888="","",IF(ABS(L888/A888-1)&lt;0.01,"周波数差&lt;1%","周波数差あり"))</f>
        <v/>
      </c>
    </row>
    <row r="889">
      <c r="A889" s="197" t="n"/>
      <c r="B889" s="198" t="n"/>
      <c r="C889" s="198" t="n"/>
      <c r="D889" s="195">
        <f>IF(K889="","",INDEX('同相3導体'!$AB:$AB,K889))</f>
        <v/>
      </c>
      <c r="E889" s="195">
        <f>IF(K889="","",INDEX('同相3導体'!$AC:$AC,K889))</f>
        <v/>
      </c>
      <c r="F889" s="195">
        <f>IF(OR(A889="",B889=""),"",100*(D889-B889)/MAX(B889,1E-12))</f>
        <v/>
      </c>
      <c r="G889" s="195">
        <f>IF(OR(A889="",C889=""),"",E889-C889)</f>
        <v/>
      </c>
      <c r="H889" s="195">
        <f>IF(A889="","",LOG10(A889))</f>
        <v/>
      </c>
      <c r="I889" s="195">
        <f>IF(B889="","",LOG10(MAX(B889,1E-12)))</f>
        <v/>
      </c>
      <c r="J889" s="195">
        <f>IF(D889="","",LOG10(MAX(D889,1E-12)))</f>
        <v/>
      </c>
      <c r="K889">
        <f>IF(A889="","",ROUND(1+(LOG10(A889)-LOG10('入力・概要'!$B$38))*('入力・概要'!$B$40-1)/(LOG10('入力・概要'!$B$39)-LOG10('入力・概要'!$B$38)),0)+3)</f>
        <v/>
      </c>
      <c r="L889">
        <f>IF(K889="","",INDEX('同相3導体'!$B:$B,K889))</f>
        <v/>
      </c>
      <c r="M889">
        <f>IF(A889="","",IF(ABS(L889/A889-1)&lt;0.01,"周波数差&lt;1%","周波数差あり"))</f>
        <v/>
      </c>
    </row>
    <row r="890">
      <c r="A890" s="197" t="n"/>
      <c r="B890" s="198" t="n"/>
      <c r="C890" s="198" t="n"/>
      <c r="D890" s="195">
        <f>IF(K890="","",INDEX('同相3導体'!$AB:$AB,K890))</f>
        <v/>
      </c>
      <c r="E890" s="195">
        <f>IF(K890="","",INDEX('同相3導体'!$AC:$AC,K890))</f>
        <v/>
      </c>
      <c r="F890" s="195">
        <f>IF(OR(A890="",B890=""),"",100*(D890-B890)/MAX(B890,1E-12))</f>
        <v/>
      </c>
      <c r="G890" s="195">
        <f>IF(OR(A890="",C890=""),"",E890-C890)</f>
        <v/>
      </c>
      <c r="H890" s="195">
        <f>IF(A890="","",LOG10(A890))</f>
        <v/>
      </c>
      <c r="I890" s="195">
        <f>IF(B890="","",LOG10(MAX(B890,1E-12)))</f>
        <v/>
      </c>
      <c r="J890" s="195">
        <f>IF(D890="","",LOG10(MAX(D890,1E-12)))</f>
        <v/>
      </c>
      <c r="K890">
        <f>IF(A890="","",ROUND(1+(LOG10(A890)-LOG10('入力・概要'!$B$38))*('入力・概要'!$B$40-1)/(LOG10('入力・概要'!$B$39)-LOG10('入力・概要'!$B$38)),0)+3)</f>
        <v/>
      </c>
      <c r="L890">
        <f>IF(K890="","",INDEX('同相3導体'!$B:$B,K890))</f>
        <v/>
      </c>
      <c r="M890">
        <f>IF(A890="","",IF(ABS(L890/A890-1)&lt;0.01,"周波数差&lt;1%","周波数差あり"))</f>
        <v/>
      </c>
    </row>
    <row r="891">
      <c r="A891" s="197" t="n"/>
      <c r="B891" s="198" t="n"/>
      <c r="C891" s="198" t="n"/>
      <c r="D891" s="195">
        <f>IF(K891="","",INDEX('同相3導体'!$AB:$AB,K891))</f>
        <v/>
      </c>
      <c r="E891" s="195">
        <f>IF(K891="","",INDEX('同相3導体'!$AC:$AC,K891))</f>
        <v/>
      </c>
      <c r="F891" s="195">
        <f>IF(OR(A891="",B891=""),"",100*(D891-B891)/MAX(B891,1E-12))</f>
        <v/>
      </c>
      <c r="G891" s="195">
        <f>IF(OR(A891="",C891=""),"",E891-C891)</f>
        <v/>
      </c>
      <c r="H891" s="195">
        <f>IF(A891="","",LOG10(A891))</f>
        <v/>
      </c>
      <c r="I891" s="195">
        <f>IF(B891="","",LOG10(MAX(B891,1E-12)))</f>
        <v/>
      </c>
      <c r="J891" s="195">
        <f>IF(D891="","",LOG10(MAX(D891,1E-12)))</f>
        <v/>
      </c>
      <c r="K891">
        <f>IF(A891="","",ROUND(1+(LOG10(A891)-LOG10('入力・概要'!$B$38))*('入力・概要'!$B$40-1)/(LOG10('入力・概要'!$B$39)-LOG10('入力・概要'!$B$38)),0)+3)</f>
        <v/>
      </c>
      <c r="L891">
        <f>IF(K891="","",INDEX('同相3導体'!$B:$B,K891))</f>
        <v/>
      </c>
      <c r="M891">
        <f>IF(A891="","",IF(ABS(L891/A891-1)&lt;0.01,"周波数差&lt;1%","周波数差あり"))</f>
        <v/>
      </c>
    </row>
    <row r="892">
      <c r="A892" s="197" t="n"/>
      <c r="B892" s="198" t="n"/>
      <c r="C892" s="198" t="n"/>
      <c r="D892" s="195">
        <f>IF(K892="","",INDEX('同相3導体'!$AB:$AB,K892))</f>
        <v/>
      </c>
      <c r="E892" s="195">
        <f>IF(K892="","",INDEX('同相3導体'!$AC:$AC,K892))</f>
        <v/>
      </c>
      <c r="F892" s="195">
        <f>IF(OR(A892="",B892=""),"",100*(D892-B892)/MAX(B892,1E-12))</f>
        <v/>
      </c>
      <c r="G892" s="195">
        <f>IF(OR(A892="",C892=""),"",E892-C892)</f>
        <v/>
      </c>
      <c r="H892" s="195">
        <f>IF(A892="","",LOG10(A892))</f>
        <v/>
      </c>
      <c r="I892" s="195">
        <f>IF(B892="","",LOG10(MAX(B892,1E-12)))</f>
        <v/>
      </c>
      <c r="J892" s="195">
        <f>IF(D892="","",LOG10(MAX(D892,1E-12)))</f>
        <v/>
      </c>
      <c r="K892">
        <f>IF(A892="","",ROUND(1+(LOG10(A892)-LOG10('入力・概要'!$B$38))*('入力・概要'!$B$40-1)/(LOG10('入力・概要'!$B$39)-LOG10('入力・概要'!$B$38)),0)+3)</f>
        <v/>
      </c>
      <c r="L892">
        <f>IF(K892="","",INDEX('同相3導体'!$B:$B,K892))</f>
        <v/>
      </c>
      <c r="M892">
        <f>IF(A892="","",IF(ABS(L892/A892-1)&lt;0.01,"周波数差&lt;1%","周波数差あり"))</f>
        <v/>
      </c>
    </row>
    <row r="893">
      <c r="A893" s="197" t="n"/>
      <c r="B893" s="198" t="n"/>
      <c r="C893" s="198" t="n"/>
      <c r="D893" s="195">
        <f>IF(K893="","",INDEX('同相3導体'!$AB:$AB,K893))</f>
        <v/>
      </c>
      <c r="E893" s="195">
        <f>IF(K893="","",INDEX('同相3導体'!$AC:$AC,K893))</f>
        <v/>
      </c>
      <c r="F893" s="195">
        <f>IF(OR(A893="",B893=""),"",100*(D893-B893)/MAX(B893,1E-12))</f>
        <v/>
      </c>
      <c r="G893" s="195">
        <f>IF(OR(A893="",C893=""),"",E893-C893)</f>
        <v/>
      </c>
      <c r="H893" s="195">
        <f>IF(A893="","",LOG10(A893))</f>
        <v/>
      </c>
      <c r="I893" s="195">
        <f>IF(B893="","",LOG10(MAX(B893,1E-12)))</f>
        <v/>
      </c>
      <c r="J893" s="195">
        <f>IF(D893="","",LOG10(MAX(D893,1E-12)))</f>
        <v/>
      </c>
      <c r="K893">
        <f>IF(A893="","",ROUND(1+(LOG10(A893)-LOG10('入力・概要'!$B$38))*('入力・概要'!$B$40-1)/(LOG10('入力・概要'!$B$39)-LOG10('入力・概要'!$B$38)),0)+3)</f>
        <v/>
      </c>
      <c r="L893">
        <f>IF(K893="","",INDEX('同相3導体'!$B:$B,K893))</f>
        <v/>
      </c>
      <c r="M893">
        <f>IF(A893="","",IF(ABS(L893/A893-1)&lt;0.01,"周波数差&lt;1%","周波数差あり"))</f>
        <v/>
      </c>
    </row>
    <row r="894">
      <c r="A894" s="197" t="n"/>
      <c r="B894" s="198" t="n"/>
      <c r="C894" s="198" t="n"/>
      <c r="D894" s="195">
        <f>IF(K894="","",INDEX('同相3導体'!$AB:$AB,K894))</f>
        <v/>
      </c>
      <c r="E894" s="195">
        <f>IF(K894="","",INDEX('同相3導体'!$AC:$AC,K894))</f>
        <v/>
      </c>
      <c r="F894" s="195">
        <f>IF(OR(A894="",B894=""),"",100*(D894-B894)/MAX(B894,1E-12))</f>
        <v/>
      </c>
      <c r="G894" s="195">
        <f>IF(OR(A894="",C894=""),"",E894-C894)</f>
        <v/>
      </c>
      <c r="H894" s="195">
        <f>IF(A894="","",LOG10(A894))</f>
        <v/>
      </c>
      <c r="I894" s="195">
        <f>IF(B894="","",LOG10(MAX(B894,1E-12)))</f>
        <v/>
      </c>
      <c r="J894" s="195">
        <f>IF(D894="","",LOG10(MAX(D894,1E-12)))</f>
        <v/>
      </c>
      <c r="K894">
        <f>IF(A894="","",ROUND(1+(LOG10(A894)-LOG10('入力・概要'!$B$38))*('入力・概要'!$B$40-1)/(LOG10('入力・概要'!$B$39)-LOG10('入力・概要'!$B$38)),0)+3)</f>
        <v/>
      </c>
      <c r="L894">
        <f>IF(K894="","",INDEX('同相3導体'!$B:$B,K894))</f>
        <v/>
      </c>
      <c r="M894">
        <f>IF(A894="","",IF(ABS(L894/A894-1)&lt;0.01,"周波数差&lt;1%","周波数差あり"))</f>
        <v/>
      </c>
    </row>
    <row r="895">
      <c r="A895" s="197" t="n"/>
      <c r="B895" s="198" t="n"/>
      <c r="C895" s="198" t="n"/>
      <c r="D895" s="195">
        <f>IF(K895="","",INDEX('同相3導体'!$AB:$AB,K895))</f>
        <v/>
      </c>
      <c r="E895" s="195">
        <f>IF(K895="","",INDEX('同相3導体'!$AC:$AC,K895))</f>
        <v/>
      </c>
      <c r="F895" s="195">
        <f>IF(OR(A895="",B895=""),"",100*(D895-B895)/MAX(B895,1E-12))</f>
        <v/>
      </c>
      <c r="G895" s="195">
        <f>IF(OR(A895="",C895=""),"",E895-C895)</f>
        <v/>
      </c>
      <c r="H895" s="195">
        <f>IF(A895="","",LOG10(A895))</f>
        <v/>
      </c>
      <c r="I895" s="195">
        <f>IF(B895="","",LOG10(MAX(B895,1E-12)))</f>
        <v/>
      </c>
      <c r="J895" s="195">
        <f>IF(D895="","",LOG10(MAX(D895,1E-12)))</f>
        <v/>
      </c>
      <c r="K895">
        <f>IF(A895="","",ROUND(1+(LOG10(A895)-LOG10('入力・概要'!$B$38))*('入力・概要'!$B$40-1)/(LOG10('入力・概要'!$B$39)-LOG10('入力・概要'!$B$38)),0)+3)</f>
        <v/>
      </c>
      <c r="L895">
        <f>IF(K895="","",INDEX('同相3導体'!$B:$B,K895))</f>
        <v/>
      </c>
      <c r="M895">
        <f>IF(A895="","",IF(ABS(L895/A895-1)&lt;0.01,"周波数差&lt;1%","周波数差あり"))</f>
        <v/>
      </c>
    </row>
    <row r="896">
      <c r="A896" s="197" t="n"/>
      <c r="B896" s="198" t="n"/>
      <c r="C896" s="198" t="n"/>
      <c r="D896" s="195">
        <f>IF(K896="","",INDEX('同相3導体'!$AB:$AB,K896))</f>
        <v/>
      </c>
      <c r="E896" s="195">
        <f>IF(K896="","",INDEX('同相3導体'!$AC:$AC,K896))</f>
        <v/>
      </c>
      <c r="F896" s="195">
        <f>IF(OR(A896="",B896=""),"",100*(D896-B896)/MAX(B896,1E-12))</f>
        <v/>
      </c>
      <c r="G896" s="195">
        <f>IF(OR(A896="",C896=""),"",E896-C896)</f>
        <v/>
      </c>
      <c r="H896" s="195">
        <f>IF(A896="","",LOG10(A896))</f>
        <v/>
      </c>
      <c r="I896" s="195">
        <f>IF(B896="","",LOG10(MAX(B896,1E-12)))</f>
        <v/>
      </c>
      <c r="J896" s="195">
        <f>IF(D896="","",LOG10(MAX(D896,1E-12)))</f>
        <v/>
      </c>
      <c r="K896">
        <f>IF(A896="","",ROUND(1+(LOG10(A896)-LOG10('入力・概要'!$B$38))*('入力・概要'!$B$40-1)/(LOG10('入力・概要'!$B$39)-LOG10('入力・概要'!$B$38)),0)+3)</f>
        <v/>
      </c>
      <c r="L896">
        <f>IF(K896="","",INDEX('同相3導体'!$B:$B,K896))</f>
        <v/>
      </c>
      <c r="M896">
        <f>IF(A896="","",IF(ABS(L896/A896-1)&lt;0.01,"周波数差&lt;1%","周波数差あり"))</f>
        <v/>
      </c>
    </row>
    <row r="897">
      <c r="A897" s="197" t="n"/>
      <c r="B897" s="198" t="n"/>
      <c r="C897" s="198" t="n"/>
      <c r="D897" s="195">
        <f>IF(K897="","",INDEX('同相3導体'!$AB:$AB,K897))</f>
        <v/>
      </c>
      <c r="E897" s="195">
        <f>IF(K897="","",INDEX('同相3導体'!$AC:$AC,K897))</f>
        <v/>
      </c>
      <c r="F897" s="195">
        <f>IF(OR(A897="",B897=""),"",100*(D897-B897)/MAX(B897,1E-12))</f>
        <v/>
      </c>
      <c r="G897" s="195">
        <f>IF(OR(A897="",C897=""),"",E897-C897)</f>
        <v/>
      </c>
      <c r="H897" s="195">
        <f>IF(A897="","",LOG10(A897))</f>
        <v/>
      </c>
      <c r="I897" s="195">
        <f>IF(B897="","",LOG10(MAX(B897,1E-12)))</f>
        <v/>
      </c>
      <c r="J897" s="195">
        <f>IF(D897="","",LOG10(MAX(D897,1E-12)))</f>
        <v/>
      </c>
      <c r="K897">
        <f>IF(A897="","",ROUND(1+(LOG10(A897)-LOG10('入力・概要'!$B$38))*('入力・概要'!$B$40-1)/(LOG10('入力・概要'!$B$39)-LOG10('入力・概要'!$B$38)),0)+3)</f>
        <v/>
      </c>
      <c r="L897">
        <f>IF(K897="","",INDEX('同相3導体'!$B:$B,K897))</f>
        <v/>
      </c>
      <c r="M897">
        <f>IF(A897="","",IF(ABS(L897/A897-1)&lt;0.01,"周波数差&lt;1%","周波数差あり"))</f>
        <v/>
      </c>
    </row>
    <row r="898">
      <c r="A898" s="197" t="n"/>
      <c r="B898" s="198" t="n"/>
      <c r="C898" s="198" t="n"/>
      <c r="D898" s="195">
        <f>IF(K898="","",INDEX('同相3導体'!$AB:$AB,K898))</f>
        <v/>
      </c>
      <c r="E898" s="195">
        <f>IF(K898="","",INDEX('同相3導体'!$AC:$AC,K898))</f>
        <v/>
      </c>
      <c r="F898" s="195">
        <f>IF(OR(A898="",B898=""),"",100*(D898-B898)/MAX(B898,1E-12))</f>
        <v/>
      </c>
      <c r="G898" s="195">
        <f>IF(OR(A898="",C898=""),"",E898-C898)</f>
        <v/>
      </c>
      <c r="H898" s="195">
        <f>IF(A898="","",LOG10(A898))</f>
        <v/>
      </c>
      <c r="I898" s="195">
        <f>IF(B898="","",LOG10(MAX(B898,1E-12)))</f>
        <v/>
      </c>
      <c r="J898" s="195">
        <f>IF(D898="","",LOG10(MAX(D898,1E-12)))</f>
        <v/>
      </c>
      <c r="K898">
        <f>IF(A898="","",ROUND(1+(LOG10(A898)-LOG10('入力・概要'!$B$38))*('入力・概要'!$B$40-1)/(LOG10('入力・概要'!$B$39)-LOG10('入力・概要'!$B$38)),0)+3)</f>
        <v/>
      </c>
      <c r="L898">
        <f>IF(K898="","",INDEX('同相3導体'!$B:$B,K898))</f>
        <v/>
      </c>
      <c r="M898">
        <f>IF(A898="","",IF(ABS(L898/A898-1)&lt;0.01,"周波数差&lt;1%","周波数差あり"))</f>
        <v/>
      </c>
    </row>
    <row r="899">
      <c r="A899" s="197" t="n"/>
      <c r="B899" s="198" t="n"/>
      <c r="C899" s="198" t="n"/>
      <c r="D899" s="195">
        <f>IF(K899="","",INDEX('同相3導体'!$AB:$AB,K899))</f>
        <v/>
      </c>
      <c r="E899" s="195">
        <f>IF(K899="","",INDEX('同相3導体'!$AC:$AC,K899))</f>
        <v/>
      </c>
      <c r="F899" s="195">
        <f>IF(OR(A899="",B899=""),"",100*(D899-B899)/MAX(B899,1E-12))</f>
        <v/>
      </c>
      <c r="G899" s="195">
        <f>IF(OR(A899="",C899=""),"",E899-C899)</f>
        <v/>
      </c>
      <c r="H899" s="195">
        <f>IF(A899="","",LOG10(A899))</f>
        <v/>
      </c>
      <c r="I899" s="195">
        <f>IF(B899="","",LOG10(MAX(B899,1E-12)))</f>
        <v/>
      </c>
      <c r="J899" s="195">
        <f>IF(D899="","",LOG10(MAX(D899,1E-12)))</f>
        <v/>
      </c>
      <c r="K899">
        <f>IF(A899="","",ROUND(1+(LOG10(A899)-LOG10('入力・概要'!$B$38))*('入力・概要'!$B$40-1)/(LOG10('入力・概要'!$B$39)-LOG10('入力・概要'!$B$38)),0)+3)</f>
        <v/>
      </c>
      <c r="L899">
        <f>IF(K899="","",INDEX('同相3導体'!$B:$B,K899))</f>
        <v/>
      </c>
      <c r="M899">
        <f>IF(A899="","",IF(ABS(L899/A899-1)&lt;0.01,"周波数差&lt;1%","周波数差あり"))</f>
        <v/>
      </c>
    </row>
    <row r="900">
      <c r="A900" s="197" t="n"/>
      <c r="B900" s="198" t="n"/>
      <c r="C900" s="198" t="n"/>
      <c r="D900" s="195">
        <f>IF(K900="","",INDEX('同相3導体'!$AB:$AB,K900))</f>
        <v/>
      </c>
      <c r="E900" s="195">
        <f>IF(K900="","",INDEX('同相3導体'!$AC:$AC,K900))</f>
        <v/>
      </c>
      <c r="F900" s="195">
        <f>IF(OR(A900="",B900=""),"",100*(D900-B900)/MAX(B900,1E-12))</f>
        <v/>
      </c>
      <c r="G900" s="195">
        <f>IF(OR(A900="",C900=""),"",E900-C900)</f>
        <v/>
      </c>
      <c r="H900" s="195">
        <f>IF(A900="","",LOG10(A900))</f>
        <v/>
      </c>
      <c r="I900" s="195">
        <f>IF(B900="","",LOG10(MAX(B900,1E-12)))</f>
        <v/>
      </c>
      <c r="J900" s="195">
        <f>IF(D900="","",LOG10(MAX(D900,1E-12)))</f>
        <v/>
      </c>
      <c r="K900">
        <f>IF(A900="","",ROUND(1+(LOG10(A900)-LOG10('入力・概要'!$B$38))*('入力・概要'!$B$40-1)/(LOG10('入力・概要'!$B$39)-LOG10('入力・概要'!$B$38)),0)+3)</f>
        <v/>
      </c>
      <c r="L900">
        <f>IF(K900="","",INDEX('同相3導体'!$B:$B,K900))</f>
        <v/>
      </c>
      <c r="M900">
        <f>IF(A900="","",IF(ABS(L900/A900-1)&lt;0.01,"周波数差&lt;1%","周波数差あり"))</f>
        <v/>
      </c>
    </row>
    <row r="901">
      <c r="A901" s="197" t="n"/>
      <c r="B901" s="198" t="n"/>
      <c r="C901" s="198" t="n"/>
      <c r="D901" s="195">
        <f>IF(K901="","",INDEX('同相3導体'!$AB:$AB,K901))</f>
        <v/>
      </c>
      <c r="E901" s="195">
        <f>IF(K901="","",INDEX('同相3導体'!$AC:$AC,K901))</f>
        <v/>
      </c>
      <c r="F901" s="195">
        <f>IF(OR(A901="",B901=""),"",100*(D901-B901)/MAX(B901,1E-12))</f>
        <v/>
      </c>
      <c r="G901" s="195">
        <f>IF(OR(A901="",C901=""),"",E901-C901)</f>
        <v/>
      </c>
      <c r="H901" s="195">
        <f>IF(A901="","",LOG10(A901))</f>
        <v/>
      </c>
      <c r="I901" s="195">
        <f>IF(B901="","",LOG10(MAX(B901,1E-12)))</f>
        <v/>
      </c>
      <c r="J901" s="195">
        <f>IF(D901="","",LOG10(MAX(D901,1E-12)))</f>
        <v/>
      </c>
      <c r="K901">
        <f>IF(A901="","",ROUND(1+(LOG10(A901)-LOG10('入力・概要'!$B$38))*('入力・概要'!$B$40-1)/(LOG10('入力・概要'!$B$39)-LOG10('入力・概要'!$B$38)),0)+3)</f>
        <v/>
      </c>
      <c r="L901">
        <f>IF(K901="","",INDEX('同相3導体'!$B:$B,K901))</f>
        <v/>
      </c>
      <c r="M901">
        <f>IF(A901="","",IF(ABS(L901/A901-1)&lt;0.01,"周波数差&lt;1%","周波数差あり"))</f>
        <v/>
      </c>
    </row>
    <row r="902">
      <c r="A902" s="197" t="n"/>
      <c r="B902" s="198" t="n"/>
      <c r="C902" s="198" t="n"/>
      <c r="D902" s="195">
        <f>IF(K902="","",INDEX('同相3導体'!$AB:$AB,K902))</f>
        <v/>
      </c>
      <c r="E902" s="195">
        <f>IF(K902="","",INDEX('同相3導体'!$AC:$AC,K902))</f>
        <v/>
      </c>
      <c r="F902" s="195">
        <f>IF(OR(A902="",B902=""),"",100*(D902-B902)/MAX(B902,1E-12))</f>
        <v/>
      </c>
      <c r="G902" s="195">
        <f>IF(OR(A902="",C902=""),"",E902-C902)</f>
        <v/>
      </c>
      <c r="H902" s="195">
        <f>IF(A902="","",LOG10(A902))</f>
        <v/>
      </c>
      <c r="I902" s="195">
        <f>IF(B902="","",LOG10(MAX(B902,1E-12)))</f>
        <v/>
      </c>
      <c r="J902" s="195">
        <f>IF(D902="","",LOG10(MAX(D902,1E-12)))</f>
        <v/>
      </c>
      <c r="K902">
        <f>IF(A902="","",ROUND(1+(LOG10(A902)-LOG10('入力・概要'!$B$38))*('入力・概要'!$B$40-1)/(LOG10('入力・概要'!$B$39)-LOG10('入力・概要'!$B$38)),0)+3)</f>
        <v/>
      </c>
      <c r="L902">
        <f>IF(K902="","",INDEX('同相3導体'!$B:$B,K902))</f>
        <v/>
      </c>
      <c r="M902">
        <f>IF(A902="","",IF(ABS(L902/A902-1)&lt;0.01,"周波数差&lt;1%","周波数差あり"))</f>
        <v/>
      </c>
    </row>
    <row r="903">
      <c r="A903" s="197" t="n"/>
      <c r="B903" s="198" t="n"/>
      <c r="C903" s="198" t="n"/>
      <c r="D903" s="195">
        <f>IF(K903="","",INDEX('同相3導体'!$AB:$AB,K903))</f>
        <v/>
      </c>
      <c r="E903" s="195">
        <f>IF(K903="","",INDEX('同相3導体'!$AC:$AC,K903))</f>
        <v/>
      </c>
      <c r="F903" s="195">
        <f>IF(OR(A903="",B903=""),"",100*(D903-B903)/MAX(B903,1E-12))</f>
        <v/>
      </c>
      <c r="G903" s="195">
        <f>IF(OR(A903="",C903=""),"",E903-C903)</f>
        <v/>
      </c>
      <c r="H903" s="195">
        <f>IF(A903="","",LOG10(A903))</f>
        <v/>
      </c>
      <c r="I903" s="195">
        <f>IF(B903="","",LOG10(MAX(B903,1E-12)))</f>
        <v/>
      </c>
      <c r="J903" s="195">
        <f>IF(D903="","",LOG10(MAX(D903,1E-12)))</f>
        <v/>
      </c>
      <c r="K903">
        <f>IF(A903="","",ROUND(1+(LOG10(A903)-LOG10('入力・概要'!$B$38))*('入力・概要'!$B$40-1)/(LOG10('入力・概要'!$B$39)-LOG10('入力・概要'!$B$38)),0)+3)</f>
        <v/>
      </c>
      <c r="L903">
        <f>IF(K903="","",INDEX('同相3導体'!$B:$B,K903))</f>
        <v/>
      </c>
      <c r="M903">
        <f>IF(A903="","",IF(ABS(L903/A903-1)&lt;0.01,"周波数差&lt;1%","周波数差あり"))</f>
        <v/>
      </c>
    </row>
    <row r="904">
      <c r="A904" s="197" t="n"/>
      <c r="B904" s="198" t="n"/>
      <c r="C904" s="198" t="n"/>
      <c r="D904" s="195">
        <f>IF(K904="","",INDEX('同相3導体'!$AB:$AB,K904))</f>
        <v/>
      </c>
      <c r="E904" s="195">
        <f>IF(K904="","",INDEX('同相3導体'!$AC:$AC,K904))</f>
        <v/>
      </c>
      <c r="F904" s="195">
        <f>IF(OR(A904="",B904=""),"",100*(D904-B904)/MAX(B904,1E-12))</f>
        <v/>
      </c>
      <c r="G904" s="195">
        <f>IF(OR(A904="",C904=""),"",E904-C904)</f>
        <v/>
      </c>
      <c r="H904" s="195">
        <f>IF(A904="","",LOG10(A904))</f>
        <v/>
      </c>
      <c r="I904" s="195">
        <f>IF(B904="","",LOG10(MAX(B904,1E-12)))</f>
        <v/>
      </c>
      <c r="J904" s="195">
        <f>IF(D904="","",LOG10(MAX(D904,1E-12)))</f>
        <v/>
      </c>
      <c r="K904">
        <f>IF(A904="","",ROUND(1+(LOG10(A904)-LOG10('入力・概要'!$B$38))*('入力・概要'!$B$40-1)/(LOG10('入力・概要'!$B$39)-LOG10('入力・概要'!$B$38)),0)+3)</f>
        <v/>
      </c>
      <c r="L904">
        <f>IF(K904="","",INDEX('同相3導体'!$B:$B,K904))</f>
        <v/>
      </c>
      <c r="M904">
        <f>IF(A904="","",IF(ABS(L904/A904-1)&lt;0.01,"周波数差&lt;1%","周波数差あり"))</f>
        <v/>
      </c>
    </row>
    <row r="905">
      <c r="A905" s="197" t="n"/>
      <c r="B905" s="198" t="n"/>
      <c r="C905" s="198" t="n"/>
      <c r="D905" s="195">
        <f>IF(K905="","",INDEX('同相3導体'!$AB:$AB,K905))</f>
        <v/>
      </c>
      <c r="E905" s="195">
        <f>IF(K905="","",INDEX('同相3導体'!$AC:$AC,K905))</f>
        <v/>
      </c>
      <c r="F905" s="195">
        <f>IF(OR(A905="",B905=""),"",100*(D905-B905)/MAX(B905,1E-12))</f>
        <v/>
      </c>
      <c r="G905" s="195">
        <f>IF(OR(A905="",C905=""),"",E905-C905)</f>
        <v/>
      </c>
      <c r="H905" s="195">
        <f>IF(A905="","",LOG10(A905))</f>
        <v/>
      </c>
      <c r="I905" s="195">
        <f>IF(B905="","",LOG10(MAX(B905,1E-12)))</f>
        <v/>
      </c>
      <c r="J905" s="195">
        <f>IF(D905="","",LOG10(MAX(D905,1E-12)))</f>
        <v/>
      </c>
      <c r="K905">
        <f>IF(A905="","",ROUND(1+(LOG10(A905)-LOG10('入力・概要'!$B$38))*('入力・概要'!$B$40-1)/(LOG10('入力・概要'!$B$39)-LOG10('入力・概要'!$B$38)),0)+3)</f>
        <v/>
      </c>
      <c r="L905">
        <f>IF(K905="","",INDEX('同相3導体'!$B:$B,K905))</f>
        <v/>
      </c>
      <c r="M905">
        <f>IF(A905="","",IF(ABS(L905/A905-1)&lt;0.01,"周波数差&lt;1%","周波数差あり"))</f>
        <v/>
      </c>
    </row>
    <row r="906">
      <c r="A906" s="197" t="n"/>
      <c r="B906" s="198" t="n"/>
      <c r="C906" s="198" t="n"/>
      <c r="D906" s="195">
        <f>IF(K906="","",INDEX('同相3導体'!$AB:$AB,K906))</f>
        <v/>
      </c>
      <c r="E906" s="195">
        <f>IF(K906="","",INDEX('同相3導体'!$AC:$AC,K906))</f>
        <v/>
      </c>
      <c r="F906" s="195">
        <f>IF(OR(A906="",B906=""),"",100*(D906-B906)/MAX(B906,1E-12))</f>
        <v/>
      </c>
      <c r="G906" s="195">
        <f>IF(OR(A906="",C906=""),"",E906-C906)</f>
        <v/>
      </c>
      <c r="H906" s="195">
        <f>IF(A906="","",LOG10(A906))</f>
        <v/>
      </c>
      <c r="I906" s="195">
        <f>IF(B906="","",LOG10(MAX(B906,1E-12)))</f>
        <v/>
      </c>
      <c r="J906" s="195">
        <f>IF(D906="","",LOG10(MAX(D906,1E-12)))</f>
        <v/>
      </c>
      <c r="K906">
        <f>IF(A906="","",ROUND(1+(LOG10(A906)-LOG10('入力・概要'!$B$38))*('入力・概要'!$B$40-1)/(LOG10('入力・概要'!$B$39)-LOG10('入力・概要'!$B$38)),0)+3)</f>
        <v/>
      </c>
      <c r="L906">
        <f>IF(K906="","",INDEX('同相3導体'!$B:$B,K906))</f>
        <v/>
      </c>
      <c r="M906">
        <f>IF(A906="","",IF(ABS(L906/A906-1)&lt;0.01,"周波数差&lt;1%","周波数差あり"))</f>
        <v/>
      </c>
    </row>
    <row r="907">
      <c r="A907" s="197" t="n"/>
      <c r="B907" s="198" t="n"/>
      <c r="C907" s="198" t="n"/>
      <c r="D907" s="195">
        <f>IF(K907="","",INDEX('同相3導体'!$AB:$AB,K907))</f>
        <v/>
      </c>
      <c r="E907" s="195">
        <f>IF(K907="","",INDEX('同相3導体'!$AC:$AC,K907))</f>
        <v/>
      </c>
      <c r="F907" s="195">
        <f>IF(OR(A907="",B907=""),"",100*(D907-B907)/MAX(B907,1E-12))</f>
        <v/>
      </c>
      <c r="G907" s="195">
        <f>IF(OR(A907="",C907=""),"",E907-C907)</f>
        <v/>
      </c>
      <c r="H907" s="195">
        <f>IF(A907="","",LOG10(A907))</f>
        <v/>
      </c>
      <c r="I907" s="195">
        <f>IF(B907="","",LOG10(MAX(B907,1E-12)))</f>
        <v/>
      </c>
      <c r="J907" s="195">
        <f>IF(D907="","",LOG10(MAX(D907,1E-12)))</f>
        <v/>
      </c>
      <c r="K907">
        <f>IF(A907="","",ROUND(1+(LOG10(A907)-LOG10('入力・概要'!$B$38))*('入力・概要'!$B$40-1)/(LOG10('入力・概要'!$B$39)-LOG10('入力・概要'!$B$38)),0)+3)</f>
        <v/>
      </c>
      <c r="L907">
        <f>IF(K907="","",INDEX('同相3導体'!$B:$B,K907))</f>
        <v/>
      </c>
      <c r="M907">
        <f>IF(A907="","",IF(ABS(L907/A907-1)&lt;0.01,"周波数差&lt;1%","周波数差あり"))</f>
        <v/>
      </c>
    </row>
    <row r="908">
      <c r="A908" s="197" t="n"/>
      <c r="B908" s="198" t="n"/>
      <c r="C908" s="198" t="n"/>
      <c r="D908" s="195">
        <f>IF(K908="","",INDEX('同相3導体'!$AB:$AB,K908))</f>
        <v/>
      </c>
      <c r="E908" s="195">
        <f>IF(K908="","",INDEX('同相3導体'!$AC:$AC,K908))</f>
        <v/>
      </c>
      <c r="F908" s="195">
        <f>IF(OR(A908="",B908=""),"",100*(D908-B908)/MAX(B908,1E-12))</f>
        <v/>
      </c>
      <c r="G908" s="195">
        <f>IF(OR(A908="",C908=""),"",E908-C908)</f>
        <v/>
      </c>
      <c r="H908" s="195">
        <f>IF(A908="","",LOG10(A908))</f>
        <v/>
      </c>
      <c r="I908" s="195">
        <f>IF(B908="","",LOG10(MAX(B908,1E-12)))</f>
        <v/>
      </c>
      <c r="J908" s="195">
        <f>IF(D908="","",LOG10(MAX(D908,1E-12)))</f>
        <v/>
      </c>
      <c r="K908">
        <f>IF(A908="","",ROUND(1+(LOG10(A908)-LOG10('入力・概要'!$B$38))*('入力・概要'!$B$40-1)/(LOG10('入力・概要'!$B$39)-LOG10('入力・概要'!$B$38)),0)+3)</f>
        <v/>
      </c>
      <c r="L908">
        <f>IF(K908="","",INDEX('同相3導体'!$B:$B,K908))</f>
        <v/>
      </c>
      <c r="M908">
        <f>IF(A908="","",IF(ABS(L908/A908-1)&lt;0.01,"周波数差&lt;1%","周波数差あり"))</f>
        <v/>
      </c>
    </row>
    <row r="909">
      <c r="A909" s="197" t="n"/>
      <c r="B909" s="198" t="n"/>
      <c r="C909" s="198" t="n"/>
      <c r="D909" s="195">
        <f>IF(K909="","",INDEX('同相3導体'!$AB:$AB,K909))</f>
        <v/>
      </c>
      <c r="E909" s="195">
        <f>IF(K909="","",INDEX('同相3導体'!$AC:$AC,K909))</f>
        <v/>
      </c>
      <c r="F909" s="195">
        <f>IF(OR(A909="",B909=""),"",100*(D909-B909)/MAX(B909,1E-12))</f>
        <v/>
      </c>
      <c r="G909" s="195">
        <f>IF(OR(A909="",C909=""),"",E909-C909)</f>
        <v/>
      </c>
      <c r="H909" s="195">
        <f>IF(A909="","",LOG10(A909))</f>
        <v/>
      </c>
      <c r="I909" s="195">
        <f>IF(B909="","",LOG10(MAX(B909,1E-12)))</f>
        <v/>
      </c>
      <c r="J909" s="195">
        <f>IF(D909="","",LOG10(MAX(D909,1E-12)))</f>
        <v/>
      </c>
      <c r="K909">
        <f>IF(A909="","",ROUND(1+(LOG10(A909)-LOG10('入力・概要'!$B$38))*('入力・概要'!$B$40-1)/(LOG10('入力・概要'!$B$39)-LOG10('入力・概要'!$B$38)),0)+3)</f>
        <v/>
      </c>
      <c r="L909">
        <f>IF(K909="","",INDEX('同相3導体'!$B:$B,K909))</f>
        <v/>
      </c>
      <c r="M909">
        <f>IF(A909="","",IF(ABS(L909/A909-1)&lt;0.01,"周波数差&lt;1%","周波数差あり"))</f>
        <v/>
      </c>
    </row>
    <row r="910">
      <c r="A910" s="197" t="n"/>
      <c r="B910" s="198" t="n"/>
      <c r="C910" s="198" t="n"/>
      <c r="D910" s="195">
        <f>IF(K910="","",INDEX('同相3導体'!$AB:$AB,K910))</f>
        <v/>
      </c>
      <c r="E910" s="195">
        <f>IF(K910="","",INDEX('同相3導体'!$AC:$AC,K910))</f>
        <v/>
      </c>
      <c r="F910" s="195">
        <f>IF(OR(A910="",B910=""),"",100*(D910-B910)/MAX(B910,1E-12))</f>
        <v/>
      </c>
      <c r="G910" s="195">
        <f>IF(OR(A910="",C910=""),"",E910-C910)</f>
        <v/>
      </c>
      <c r="H910" s="195">
        <f>IF(A910="","",LOG10(A910))</f>
        <v/>
      </c>
      <c r="I910" s="195">
        <f>IF(B910="","",LOG10(MAX(B910,1E-12)))</f>
        <v/>
      </c>
      <c r="J910" s="195">
        <f>IF(D910="","",LOG10(MAX(D910,1E-12)))</f>
        <v/>
      </c>
      <c r="K910">
        <f>IF(A910="","",ROUND(1+(LOG10(A910)-LOG10('入力・概要'!$B$38))*('入力・概要'!$B$40-1)/(LOG10('入力・概要'!$B$39)-LOG10('入力・概要'!$B$38)),0)+3)</f>
        <v/>
      </c>
      <c r="L910">
        <f>IF(K910="","",INDEX('同相3導体'!$B:$B,K910))</f>
        <v/>
      </c>
      <c r="M910">
        <f>IF(A910="","",IF(ABS(L910/A910-1)&lt;0.01,"周波数差&lt;1%","周波数差あり"))</f>
        <v/>
      </c>
    </row>
    <row r="911">
      <c r="A911" s="197" t="n"/>
      <c r="B911" s="198" t="n"/>
      <c r="C911" s="198" t="n"/>
      <c r="D911" s="195">
        <f>IF(K911="","",INDEX('同相3導体'!$AB:$AB,K911))</f>
        <v/>
      </c>
      <c r="E911" s="195">
        <f>IF(K911="","",INDEX('同相3導体'!$AC:$AC,K911))</f>
        <v/>
      </c>
      <c r="F911" s="195">
        <f>IF(OR(A911="",B911=""),"",100*(D911-B911)/MAX(B911,1E-12))</f>
        <v/>
      </c>
      <c r="G911" s="195">
        <f>IF(OR(A911="",C911=""),"",E911-C911)</f>
        <v/>
      </c>
      <c r="H911" s="195">
        <f>IF(A911="","",LOG10(A911))</f>
        <v/>
      </c>
      <c r="I911" s="195">
        <f>IF(B911="","",LOG10(MAX(B911,1E-12)))</f>
        <v/>
      </c>
      <c r="J911" s="195">
        <f>IF(D911="","",LOG10(MAX(D911,1E-12)))</f>
        <v/>
      </c>
      <c r="K911">
        <f>IF(A911="","",ROUND(1+(LOG10(A911)-LOG10('入力・概要'!$B$38))*('入力・概要'!$B$40-1)/(LOG10('入力・概要'!$B$39)-LOG10('入力・概要'!$B$38)),0)+3)</f>
        <v/>
      </c>
      <c r="L911">
        <f>IF(K911="","",INDEX('同相3導体'!$B:$B,K911))</f>
        <v/>
      </c>
      <c r="M911">
        <f>IF(A911="","",IF(ABS(L911/A911-1)&lt;0.01,"周波数差&lt;1%","周波数差あり"))</f>
        <v/>
      </c>
    </row>
    <row r="912">
      <c r="A912" s="197" t="n"/>
      <c r="B912" s="198" t="n"/>
      <c r="C912" s="198" t="n"/>
      <c r="D912" s="195">
        <f>IF(K912="","",INDEX('同相3導体'!$AB:$AB,K912))</f>
        <v/>
      </c>
      <c r="E912" s="195">
        <f>IF(K912="","",INDEX('同相3導体'!$AC:$AC,K912))</f>
        <v/>
      </c>
      <c r="F912" s="195">
        <f>IF(OR(A912="",B912=""),"",100*(D912-B912)/MAX(B912,1E-12))</f>
        <v/>
      </c>
      <c r="G912" s="195">
        <f>IF(OR(A912="",C912=""),"",E912-C912)</f>
        <v/>
      </c>
      <c r="H912" s="195">
        <f>IF(A912="","",LOG10(A912))</f>
        <v/>
      </c>
      <c r="I912" s="195">
        <f>IF(B912="","",LOG10(MAX(B912,1E-12)))</f>
        <v/>
      </c>
      <c r="J912" s="195">
        <f>IF(D912="","",LOG10(MAX(D912,1E-12)))</f>
        <v/>
      </c>
      <c r="K912">
        <f>IF(A912="","",ROUND(1+(LOG10(A912)-LOG10('入力・概要'!$B$38))*('入力・概要'!$B$40-1)/(LOG10('入力・概要'!$B$39)-LOG10('入力・概要'!$B$38)),0)+3)</f>
        <v/>
      </c>
      <c r="L912">
        <f>IF(K912="","",INDEX('同相3導体'!$B:$B,K912))</f>
        <v/>
      </c>
      <c r="M912">
        <f>IF(A912="","",IF(ABS(L912/A912-1)&lt;0.01,"周波数差&lt;1%","周波数差あり"))</f>
        <v/>
      </c>
    </row>
    <row r="913">
      <c r="A913" s="197" t="n"/>
      <c r="B913" s="198" t="n"/>
      <c r="C913" s="198" t="n"/>
      <c r="D913" s="195">
        <f>IF(K913="","",INDEX('同相3導体'!$AB:$AB,K913))</f>
        <v/>
      </c>
      <c r="E913" s="195">
        <f>IF(K913="","",INDEX('同相3導体'!$AC:$AC,K913))</f>
        <v/>
      </c>
      <c r="F913" s="195">
        <f>IF(OR(A913="",B913=""),"",100*(D913-B913)/MAX(B913,1E-12))</f>
        <v/>
      </c>
      <c r="G913" s="195">
        <f>IF(OR(A913="",C913=""),"",E913-C913)</f>
        <v/>
      </c>
      <c r="H913" s="195">
        <f>IF(A913="","",LOG10(A913))</f>
        <v/>
      </c>
      <c r="I913" s="195">
        <f>IF(B913="","",LOG10(MAX(B913,1E-12)))</f>
        <v/>
      </c>
      <c r="J913" s="195">
        <f>IF(D913="","",LOG10(MAX(D913,1E-12)))</f>
        <v/>
      </c>
      <c r="K913">
        <f>IF(A913="","",ROUND(1+(LOG10(A913)-LOG10('入力・概要'!$B$38))*('入力・概要'!$B$40-1)/(LOG10('入力・概要'!$B$39)-LOG10('入力・概要'!$B$38)),0)+3)</f>
        <v/>
      </c>
      <c r="L913">
        <f>IF(K913="","",INDEX('同相3導体'!$B:$B,K913))</f>
        <v/>
      </c>
      <c r="M913">
        <f>IF(A913="","",IF(ABS(L913/A913-1)&lt;0.01,"周波数差&lt;1%","周波数差あり"))</f>
        <v/>
      </c>
    </row>
    <row r="914">
      <c r="A914" s="197" t="n"/>
      <c r="B914" s="198" t="n"/>
      <c r="C914" s="198" t="n"/>
      <c r="D914" s="195">
        <f>IF(K914="","",INDEX('同相3導体'!$AB:$AB,K914))</f>
        <v/>
      </c>
      <c r="E914" s="195">
        <f>IF(K914="","",INDEX('同相3導体'!$AC:$AC,K914))</f>
        <v/>
      </c>
      <c r="F914" s="195">
        <f>IF(OR(A914="",B914=""),"",100*(D914-B914)/MAX(B914,1E-12))</f>
        <v/>
      </c>
      <c r="G914" s="195">
        <f>IF(OR(A914="",C914=""),"",E914-C914)</f>
        <v/>
      </c>
      <c r="H914" s="195">
        <f>IF(A914="","",LOG10(A914))</f>
        <v/>
      </c>
      <c r="I914" s="195">
        <f>IF(B914="","",LOG10(MAX(B914,1E-12)))</f>
        <v/>
      </c>
      <c r="J914" s="195">
        <f>IF(D914="","",LOG10(MAX(D914,1E-12)))</f>
        <v/>
      </c>
      <c r="K914">
        <f>IF(A914="","",ROUND(1+(LOG10(A914)-LOG10('入力・概要'!$B$38))*('入力・概要'!$B$40-1)/(LOG10('入力・概要'!$B$39)-LOG10('入力・概要'!$B$38)),0)+3)</f>
        <v/>
      </c>
      <c r="L914">
        <f>IF(K914="","",INDEX('同相3導体'!$B:$B,K914))</f>
        <v/>
      </c>
      <c r="M914">
        <f>IF(A914="","",IF(ABS(L914/A914-1)&lt;0.01,"周波数差&lt;1%","周波数差あり"))</f>
        <v/>
      </c>
    </row>
    <row r="915">
      <c r="A915" s="197" t="n"/>
      <c r="B915" s="198" t="n"/>
      <c r="C915" s="198" t="n"/>
      <c r="D915" s="195">
        <f>IF(K915="","",INDEX('同相3導体'!$AB:$AB,K915))</f>
        <v/>
      </c>
      <c r="E915" s="195">
        <f>IF(K915="","",INDEX('同相3導体'!$AC:$AC,K915))</f>
        <v/>
      </c>
      <c r="F915" s="195">
        <f>IF(OR(A915="",B915=""),"",100*(D915-B915)/MAX(B915,1E-12))</f>
        <v/>
      </c>
      <c r="G915" s="195">
        <f>IF(OR(A915="",C915=""),"",E915-C915)</f>
        <v/>
      </c>
      <c r="H915" s="195">
        <f>IF(A915="","",LOG10(A915))</f>
        <v/>
      </c>
      <c r="I915" s="195">
        <f>IF(B915="","",LOG10(MAX(B915,1E-12)))</f>
        <v/>
      </c>
      <c r="J915" s="195">
        <f>IF(D915="","",LOG10(MAX(D915,1E-12)))</f>
        <v/>
      </c>
      <c r="K915">
        <f>IF(A915="","",ROUND(1+(LOG10(A915)-LOG10('入力・概要'!$B$38))*('入力・概要'!$B$40-1)/(LOG10('入力・概要'!$B$39)-LOG10('入力・概要'!$B$38)),0)+3)</f>
        <v/>
      </c>
      <c r="L915">
        <f>IF(K915="","",INDEX('同相3導体'!$B:$B,K915))</f>
        <v/>
      </c>
      <c r="M915">
        <f>IF(A915="","",IF(ABS(L915/A915-1)&lt;0.01,"周波数差&lt;1%","周波数差あり"))</f>
        <v/>
      </c>
    </row>
    <row r="916">
      <c r="A916" s="197" t="n"/>
      <c r="B916" s="198" t="n"/>
      <c r="C916" s="198" t="n"/>
      <c r="D916" s="195">
        <f>IF(K916="","",INDEX('同相3導体'!$AB:$AB,K916))</f>
        <v/>
      </c>
      <c r="E916" s="195">
        <f>IF(K916="","",INDEX('同相3導体'!$AC:$AC,K916))</f>
        <v/>
      </c>
      <c r="F916" s="195">
        <f>IF(OR(A916="",B916=""),"",100*(D916-B916)/MAX(B916,1E-12))</f>
        <v/>
      </c>
      <c r="G916" s="195">
        <f>IF(OR(A916="",C916=""),"",E916-C916)</f>
        <v/>
      </c>
      <c r="H916" s="195">
        <f>IF(A916="","",LOG10(A916))</f>
        <v/>
      </c>
      <c r="I916" s="195">
        <f>IF(B916="","",LOG10(MAX(B916,1E-12)))</f>
        <v/>
      </c>
      <c r="J916" s="195">
        <f>IF(D916="","",LOG10(MAX(D916,1E-12)))</f>
        <v/>
      </c>
      <c r="K916">
        <f>IF(A916="","",ROUND(1+(LOG10(A916)-LOG10('入力・概要'!$B$38))*('入力・概要'!$B$40-1)/(LOG10('入力・概要'!$B$39)-LOG10('入力・概要'!$B$38)),0)+3)</f>
        <v/>
      </c>
      <c r="L916">
        <f>IF(K916="","",INDEX('同相3導体'!$B:$B,K916))</f>
        <v/>
      </c>
      <c r="M916">
        <f>IF(A916="","",IF(ABS(L916/A916-1)&lt;0.01,"周波数差&lt;1%","周波数差あり"))</f>
        <v/>
      </c>
    </row>
    <row r="917">
      <c r="A917" s="197" t="n"/>
      <c r="B917" s="198" t="n"/>
      <c r="C917" s="198" t="n"/>
      <c r="D917" s="195">
        <f>IF(K917="","",INDEX('同相3導体'!$AB:$AB,K917))</f>
        <v/>
      </c>
      <c r="E917" s="195">
        <f>IF(K917="","",INDEX('同相3導体'!$AC:$AC,K917))</f>
        <v/>
      </c>
      <c r="F917" s="195">
        <f>IF(OR(A917="",B917=""),"",100*(D917-B917)/MAX(B917,1E-12))</f>
        <v/>
      </c>
      <c r="G917" s="195">
        <f>IF(OR(A917="",C917=""),"",E917-C917)</f>
        <v/>
      </c>
      <c r="H917" s="195">
        <f>IF(A917="","",LOG10(A917))</f>
        <v/>
      </c>
      <c r="I917" s="195">
        <f>IF(B917="","",LOG10(MAX(B917,1E-12)))</f>
        <v/>
      </c>
      <c r="J917" s="195">
        <f>IF(D917="","",LOG10(MAX(D917,1E-12)))</f>
        <v/>
      </c>
      <c r="K917">
        <f>IF(A917="","",ROUND(1+(LOG10(A917)-LOG10('入力・概要'!$B$38))*('入力・概要'!$B$40-1)/(LOG10('入力・概要'!$B$39)-LOG10('入力・概要'!$B$38)),0)+3)</f>
        <v/>
      </c>
      <c r="L917">
        <f>IF(K917="","",INDEX('同相3導体'!$B:$B,K917))</f>
        <v/>
      </c>
      <c r="M917">
        <f>IF(A917="","",IF(ABS(L917/A917-1)&lt;0.01,"周波数差&lt;1%","周波数差あり"))</f>
        <v/>
      </c>
    </row>
    <row r="918">
      <c r="A918" s="197" t="n"/>
      <c r="B918" s="198" t="n"/>
      <c r="C918" s="198" t="n"/>
      <c r="D918" s="195">
        <f>IF(K918="","",INDEX('同相3導体'!$AB:$AB,K918))</f>
        <v/>
      </c>
      <c r="E918" s="195">
        <f>IF(K918="","",INDEX('同相3導体'!$AC:$AC,K918))</f>
        <v/>
      </c>
      <c r="F918" s="195">
        <f>IF(OR(A918="",B918=""),"",100*(D918-B918)/MAX(B918,1E-12))</f>
        <v/>
      </c>
      <c r="G918" s="195">
        <f>IF(OR(A918="",C918=""),"",E918-C918)</f>
        <v/>
      </c>
      <c r="H918" s="195">
        <f>IF(A918="","",LOG10(A918))</f>
        <v/>
      </c>
      <c r="I918" s="195">
        <f>IF(B918="","",LOG10(MAX(B918,1E-12)))</f>
        <v/>
      </c>
      <c r="J918" s="195">
        <f>IF(D918="","",LOG10(MAX(D918,1E-12)))</f>
        <v/>
      </c>
      <c r="K918">
        <f>IF(A918="","",ROUND(1+(LOG10(A918)-LOG10('入力・概要'!$B$38))*('入力・概要'!$B$40-1)/(LOG10('入力・概要'!$B$39)-LOG10('入力・概要'!$B$38)),0)+3)</f>
        <v/>
      </c>
      <c r="L918">
        <f>IF(K918="","",INDEX('同相3導体'!$B:$B,K918))</f>
        <v/>
      </c>
      <c r="M918">
        <f>IF(A918="","",IF(ABS(L918/A918-1)&lt;0.01,"周波数差&lt;1%","周波数差あり"))</f>
        <v/>
      </c>
    </row>
    <row r="919">
      <c r="A919" s="197" t="n"/>
      <c r="B919" s="198" t="n"/>
      <c r="C919" s="198" t="n"/>
      <c r="D919" s="195">
        <f>IF(K919="","",INDEX('同相3導体'!$AB:$AB,K919))</f>
        <v/>
      </c>
      <c r="E919" s="195">
        <f>IF(K919="","",INDEX('同相3導体'!$AC:$AC,K919))</f>
        <v/>
      </c>
      <c r="F919" s="195">
        <f>IF(OR(A919="",B919=""),"",100*(D919-B919)/MAX(B919,1E-12))</f>
        <v/>
      </c>
      <c r="G919" s="195">
        <f>IF(OR(A919="",C919=""),"",E919-C919)</f>
        <v/>
      </c>
      <c r="H919" s="195">
        <f>IF(A919="","",LOG10(A919))</f>
        <v/>
      </c>
      <c r="I919" s="195">
        <f>IF(B919="","",LOG10(MAX(B919,1E-12)))</f>
        <v/>
      </c>
      <c r="J919" s="195">
        <f>IF(D919="","",LOG10(MAX(D919,1E-12)))</f>
        <v/>
      </c>
      <c r="K919">
        <f>IF(A919="","",ROUND(1+(LOG10(A919)-LOG10('入力・概要'!$B$38))*('入力・概要'!$B$40-1)/(LOG10('入力・概要'!$B$39)-LOG10('入力・概要'!$B$38)),0)+3)</f>
        <v/>
      </c>
      <c r="L919">
        <f>IF(K919="","",INDEX('同相3導体'!$B:$B,K919))</f>
        <v/>
      </c>
      <c r="M919">
        <f>IF(A919="","",IF(ABS(L919/A919-1)&lt;0.01,"周波数差&lt;1%","周波数差あり"))</f>
        <v/>
      </c>
    </row>
    <row r="920">
      <c r="A920" s="197" t="n"/>
      <c r="B920" s="198" t="n"/>
      <c r="C920" s="198" t="n"/>
      <c r="D920" s="195">
        <f>IF(K920="","",INDEX('同相3導体'!$AB:$AB,K920))</f>
        <v/>
      </c>
      <c r="E920" s="195">
        <f>IF(K920="","",INDEX('同相3導体'!$AC:$AC,K920))</f>
        <v/>
      </c>
      <c r="F920" s="195">
        <f>IF(OR(A920="",B920=""),"",100*(D920-B920)/MAX(B920,1E-12))</f>
        <v/>
      </c>
      <c r="G920" s="195">
        <f>IF(OR(A920="",C920=""),"",E920-C920)</f>
        <v/>
      </c>
      <c r="H920" s="195">
        <f>IF(A920="","",LOG10(A920))</f>
        <v/>
      </c>
      <c r="I920" s="195">
        <f>IF(B920="","",LOG10(MAX(B920,1E-12)))</f>
        <v/>
      </c>
      <c r="J920" s="195">
        <f>IF(D920="","",LOG10(MAX(D920,1E-12)))</f>
        <v/>
      </c>
      <c r="K920">
        <f>IF(A920="","",ROUND(1+(LOG10(A920)-LOG10('入力・概要'!$B$38))*('入力・概要'!$B$40-1)/(LOG10('入力・概要'!$B$39)-LOG10('入力・概要'!$B$38)),0)+3)</f>
        <v/>
      </c>
      <c r="L920">
        <f>IF(K920="","",INDEX('同相3導体'!$B:$B,K920))</f>
        <v/>
      </c>
      <c r="M920">
        <f>IF(A920="","",IF(ABS(L920/A920-1)&lt;0.01,"周波数差&lt;1%","周波数差あり"))</f>
        <v/>
      </c>
    </row>
    <row r="921">
      <c r="A921" s="197" t="n"/>
      <c r="B921" s="198" t="n"/>
      <c r="C921" s="198" t="n"/>
      <c r="D921" s="195">
        <f>IF(K921="","",INDEX('同相3導体'!$AB:$AB,K921))</f>
        <v/>
      </c>
      <c r="E921" s="195">
        <f>IF(K921="","",INDEX('同相3導体'!$AC:$AC,K921))</f>
        <v/>
      </c>
      <c r="F921" s="195">
        <f>IF(OR(A921="",B921=""),"",100*(D921-B921)/MAX(B921,1E-12))</f>
        <v/>
      </c>
      <c r="G921" s="195">
        <f>IF(OR(A921="",C921=""),"",E921-C921)</f>
        <v/>
      </c>
      <c r="H921" s="195">
        <f>IF(A921="","",LOG10(A921))</f>
        <v/>
      </c>
      <c r="I921" s="195">
        <f>IF(B921="","",LOG10(MAX(B921,1E-12)))</f>
        <v/>
      </c>
      <c r="J921" s="195">
        <f>IF(D921="","",LOG10(MAX(D921,1E-12)))</f>
        <v/>
      </c>
      <c r="K921">
        <f>IF(A921="","",ROUND(1+(LOG10(A921)-LOG10('入力・概要'!$B$38))*('入力・概要'!$B$40-1)/(LOG10('入力・概要'!$B$39)-LOG10('入力・概要'!$B$38)),0)+3)</f>
        <v/>
      </c>
      <c r="L921">
        <f>IF(K921="","",INDEX('同相3導体'!$B:$B,K921))</f>
        <v/>
      </c>
      <c r="M921">
        <f>IF(A921="","",IF(ABS(L921/A921-1)&lt;0.01,"周波数差&lt;1%","周波数差あり"))</f>
        <v/>
      </c>
    </row>
    <row r="922">
      <c r="A922" s="197" t="n"/>
      <c r="B922" s="198" t="n"/>
      <c r="C922" s="198" t="n"/>
      <c r="D922" s="195">
        <f>IF(K922="","",INDEX('同相3導体'!$AB:$AB,K922))</f>
        <v/>
      </c>
      <c r="E922" s="195">
        <f>IF(K922="","",INDEX('同相3導体'!$AC:$AC,K922))</f>
        <v/>
      </c>
      <c r="F922" s="195">
        <f>IF(OR(A922="",B922=""),"",100*(D922-B922)/MAX(B922,1E-12))</f>
        <v/>
      </c>
      <c r="G922" s="195">
        <f>IF(OR(A922="",C922=""),"",E922-C922)</f>
        <v/>
      </c>
      <c r="H922" s="195">
        <f>IF(A922="","",LOG10(A922))</f>
        <v/>
      </c>
      <c r="I922" s="195">
        <f>IF(B922="","",LOG10(MAX(B922,1E-12)))</f>
        <v/>
      </c>
      <c r="J922" s="195">
        <f>IF(D922="","",LOG10(MAX(D922,1E-12)))</f>
        <v/>
      </c>
      <c r="K922">
        <f>IF(A922="","",ROUND(1+(LOG10(A922)-LOG10('入力・概要'!$B$38))*('入力・概要'!$B$40-1)/(LOG10('入力・概要'!$B$39)-LOG10('入力・概要'!$B$38)),0)+3)</f>
        <v/>
      </c>
      <c r="L922">
        <f>IF(K922="","",INDEX('同相3導体'!$B:$B,K922))</f>
        <v/>
      </c>
      <c r="M922">
        <f>IF(A922="","",IF(ABS(L922/A922-1)&lt;0.01,"周波数差&lt;1%","周波数差あり"))</f>
        <v/>
      </c>
    </row>
    <row r="923">
      <c r="A923" s="197" t="n"/>
      <c r="B923" s="198" t="n"/>
      <c r="C923" s="198" t="n"/>
      <c r="D923" s="195">
        <f>IF(K923="","",INDEX('同相3導体'!$AB:$AB,K923))</f>
        <v/>
      </c>
      <c r="E923" s="195">
        <f>IF(K923="","",INDEX('同相3導体'!$AC:$AC,K923))</f>
        <v/>
      </c>
      <c r="F923" s="195">
        <f>IF(OR(A923="",B923=""),"",100*(D923-B923)/MAX(B923,1E-12))</f>
        <v/>
      </c>
      <c r="G923" s="195">
        <f>IF(OR(A923="",C923=""),"",E923-C923)</f>
        <v/>
      </c>
      <c r="H923" s="195">
        <f>IF(A923="","",LOG10(A923))</f>
        <v/>
      </c>
      <c r="I923" s="195">
        <f>IF(B923="","",LOG10(MAX(B923,1E-12)))</f>
        <v/>
      </c>
      <c r="J923" s="195">
        <f>IF(D923="","",LOG10(MAX(D923,1E-12)))</f>
        <v/>
      </c>
      <c r="K923">
        <f>IF(A923="","",ROUND(1+(LOG10(A923)-LOG10('入力・概要'!$B$38))*('入力・概要'!$B$40-1)/(LOG10('入力・概要'!$B$39)-LOG10('入力・概要'!$B$38)),0)+3)</f>
        <v/>
      </c>
      <c r="L923">
        <f>IF(K923="","",INDEX('同相3導体'!$B:$B,K923))</f>
        <v/>
      </c>
      <c r="M923">
        <f>IF(A923="","",IF(ABS(L923/A923-1)&lt;0.01,"周波数差&lt;1%","周波数差あり"))</f>
        <v/>
      </c>
    </row>
    <row r="924">
      <c r="A924" s="197" t="n"/>
      <c r="B924" s="198" t="n"/>
      <c r="C924" s="198" t="n"/>
      <c r="D924" s="195">
        <f>IF(K924="","",INDEX('同相3導体'!$AB:$AB,K924))</f>
        <v/>
      </c>
      <c r="E924" s="195">
        <f>IF(K924="","",INDEX('同相3導体'!$AC:$AC,K924))</f>
        <v/>
      </c>
      <c r="F924" s="195">
        <f>IF(OR(A924="",B924=""),"",100*(D924-B924)/MAX(B924,1E-12))</f>
        <v/>
      </c>
      <c r="G924" s="195">
        <f>IF(OR(A924="",C924=""),"",E924-C924)</f>
        <v/>
      </c>
      <c r="H924" s="195">
        <f>IF(A924="","",LOG10(A924))</f>
        <v/>
      </c>
      <c r="I924" s="195">
        <f>IF(B924="","",LOG10(MAX(B924,1E-12)))</f>
        <v/>
      </c>
      <c r="J924" s="195">
        <f>IF(D924="","",LOG10(MAX(D924,1E-12)))</f>
        <v/>
      </c>
      <c r="K924">
        <f>IF(A924="","",ROUND(1+(LOG10(A924)-LOG10('入力・概要'!$B$38))*('入力・概要'!$B$40-1)/(LOG10('入力・概要'!$B$39)-LOG10('入力・概要'!$B$38)),0)+3)</f>
        <v/>
      </c>
      <c r="L924">
        <f>IF(K924="","",INDEX('同相3導体'!$B:$B,K924))</f>
        <v/>
      </c>
      <c r="M924">
        <f>IF(A924="","",IF(ABS(L924/A924-1)&lt;0.01,"周波数差&lt;1%","周波数差あり"))</f>
        <v/>
      </c>
    </row>
    <row r="925">
      <c r="A925" s="197" t="n"/>
      <c r="B925" s="198" t="n"/>
      <c r="C925" s="198" t="n"/>
      <c r="D925" s="195">
        <f>IF(K925="","",INDEX('同相3導体'!$AB:$AB,K925))</f>
        <v/>
      </c>
      <c r="E925" s="195">
        <f>IF(K925="","",INDEX('同相3導体'!$AC:$AC,K925))</f>
        <v/>
      </c>
      <c r="F925" s="195">
        <f>IF(OR(A925="",B925=""),"",100*(D925-B925)/MAX(B925,1E-12))</f>
        <v/>
      </c>
      <c r="G925" s="195">
        <f>IF(OR(A925="",C925=""),"",E925-C925)</f>
        <v/>
      </c>
      <c r="H925" s="195">
        <f>IF(A925="","",LOG10(A925))</f>
        <v/>
      </c>
      <c r="I925" s="195">
        <f>IF(B925="","",LOG10(MAX(B925,1E-12)))</f>
        <v/>
      </c>
      <c r="J925" s="195">
        <f>IF(D925="","",LOG10(MAX(D925,1E-12)))</f>
        <v/>
      </c>
      <c r="K925">
        <f>IF(A925="","",ROUND(1+(LOG10(A925)-LOG10('入力・概要'!$B$38))*('入力・概要'!$B$40-1)/(LOG10('入力・概要'!$B$39)-LOG10('入力・概要'!$B$38)),0)+3)</f>
        <v/>
      </c>
      <c r="L925">
        <f>IF(K925="","",INDEX('同相3導体'!$B:$B,K925))</f>
        <v/>
      </c>
      <c r="M925">
        <f>IF(A925="","",IF(ABS(L925/A925-1)&lt;0.01,"周波数差&lt;1%","周波数差あり"))</f>
        <v/>
      </c>
    </row>
    <row r="926">
      <c r="A926" s="197" t="n"/>
      <c r="B926" s="198" t="n"/>
      <c r="C926" s="198" t="n"/>
      <c r="D926" s="195">
        <f>IF(K926="","",INDEX('同相3導体'!$AB:$AB,K926))</f>
        <v/>
      </c>
      <c r="E926" s="195">
        <f>IF(K926="","",INDEX('同相3導体'!$AC:$AC,K926))</f>
        <v/>
      </c>
      <c r="F926" s="195">
        <f>IF(OR(A926="",B926=""),"",100*(D926-B926)/MAX(B926,1E-12))</f>
        <v/>
      </c>
      <c r="G926" s="195">
        <f>IF(OR(A926="",C926=""),"",E926-C926)</f>
        <v/>
      </c>
      <c r="H926" s="195">
        <f>IF(A926="","",LOG10(A926))</f>
        <v/>
      </c>
      <c r="I926" s="195">
        <f>IF(B926="","",LOG10(MAX(B926,1E-12)))</f>
        <v/>
      </c>
      <c r="J926" s="195">
        <f>IF(D926="","",LOG10(MAX(D926,1E-12)))</f>
        <v/>
      </c>
      <c r="K926">
        <f>IF(A926="","",ROUND(1+(LOG10(A926)-LOG10('入力・概要'!$B$38))*('入力・概要'!$B$40-1)/(LOG10('入力・概要'!$B$39)-LOG10('入力・概要'!$B$38)),0)+3)</f>
        <v/>
      </c>
      <c r="L926">
        <f>IF(K926="","",INDEX('同相3導体'!$B:$B,K926))</f>
        <v/>
      </c>
      <c r="M926">
        <f>IF(A926="","",IF(ABS(L926/A926-1)&lt;0.01,"周波数差&lt;1%","周波数差あり"))</f>
        <v/>
      </c>
    </row>
    <row r="927">
      <c r="A927" s="197" t="n"/>
      <c r="B927" s="198" t="n"/>
      <c r="C927" s="198" t="n"/>
      <c r="D927" s="195">
        <f>IF(K927="","",INDEX('同相3導体'!$AB:$AB,K927))</f>
        <v/>
      </c>
      <c r="E927" s="195">
        <f>IF(K927="","",INDEX('同相3導体'!$AC:$AC,K927))</f>
        <v/>
      </c>
      <c r="F927" s="195">
        <f>IF(OR(A927="",B927=""),"",100*(D927-B927)/MAX(B927,1E-12))</f>
        <v/>
      </c>
      <c r="G927" s="195">
        <f>IF(OR(A927="",C927=""),"",E927-C927)</f>
        <v/>
      </c>
      <c r="H927" s="195">
        <f>IF(A927="","",LOG10(A927))</f>
        <v/>
      </c>
      <c r="I927" s="195">
        <f>IF(B927="","",LOG10(MAX(B927,1E-12)))</f>
        <v/>
      </c>
      <c r="J927" s="195">
        <f>IF(D927="","",LOG10(MAX(D927,1E-12)))</f>
        <v/>
      </c>
      <c r="K927">
        <f>IF(A927="","",ROUND(1+(LOG10(A927)-LOG10('入力・概要'!$B$38))*('入力・概要'!$B$40-1)/(LOG10('入力・概要'!$B$39)-LOG10('入力・概要'!$B$38)),0)+3)</f>
        <v/>
      </c>
      <c r="L927">
        <f>IF(K927="","",INDEX('同相3導体'!$B:$B,K927))</f>
        <v/>
      </c>
      <c r="M927">
        <f>IF(A927="","",IF(ABS(L927/A927-1)&lt;0.01,"周波数差&lt;1%","周波数差あり"))</f>
        <v/>
      </c>
    </row>
    <row r="928">
      <c r="A928" s="197" t="n"/>
      <c r="B928" s="198" t="n"/>
      <c r="C928" s="198" t="n"/>
      <c r="D928" s="195">
        <f>IF(K928="","",INDEX('同相3導体'!$AB:$AB,K928))</f>
        <v/>
      </c>
      <c r="E928" s="195">
        <f>IF(K928="","",INDEX('同相3導体'!$AC:$AC,K928))</f>
        <v/>
      </c>
      <c r="F928" s="195">
        <f>IF(OR(A928="",B928=""),"",100*(D928-B928)/MAX(B928,1E-12))</f>
        <v/>
      </c>
      <c r="G928" s="195">
        <f>IF(OR(A928="",C928=""),"",E928-C928)</f>
        <v/>
      </c>
      <c r="H928" s="195">
        <f>IF(A928="","",LOG10(A928))</f>
        <v/>
      </c>
      <c r="I928" s="195">
        <f>IF(B928="","",LOG10(MAX(B928,1E-12)))</f>
        <v/>
      </c>
      <c r="J928" s="195">
        <f>IF(D928="","",LOG10(MAX(D928,1E-12)))</f>
        <v/>
      </c>
      <c r="K928">
        <f>IF(A928="","",ROUND(1+(LOG10(A928)-LOG10('入力・概要'!$B$38))*('入力・概要'!$B$40-1)/(LOG10('入力・概要'!$B$39)-LOG10('入力・概要'!$B$38)),0)+3)</f>
        <v/>
      </c>
      <c r="L928">
        <f>IF(K928="","",INDEX('同相3導体'!$B:$B,K928))</f>
        <v/>
      </c>
      <c r="M928">
        <f>IF(A928="","",IF(ABS(L928/A928-1)&lt;0.01,"周波数差&lt;1%","周波数差あり"))</f>
        <v/>
      </c>
    </row>
    <row r="929">
      <c r="A929" s="197" t="n"/>
      <c r="B929" s="198" t="n"/>
      <c r="C929" s="198" t="n"/>
      <c r="D929" s="195">
        <f>IF(K929="","",INDEX('同相3導体'!$AB:$AB,K929))</f>
        <v/>
      </c>
      <c r="E929" s="195">
        <f>IF(K929="","",INDEX('同相3導体'!$AC:$AC,K929))</f>
        <v/>
      </c>
      <c r="F929" s="195">
        <f>IF(OR(A929="",B929=""),"",100*(D929-B929)/MAX(B929,1E-12))</f>
        <v/>
      </c>
      <c r="G929" s="195">
        <f>IF(OR(A929="",C929=""),"",E929-C929)</f>
        <v/>
      </c>
      <c r="H929" s="195">
        <f>IF(A929="","",LOG10(A929))</f>
        <v/>
      </c>
      <c r="I929" s="195">
        <f>IF(B929="","",LOG10(MAX(B929,1E-12)))</f>
        <v/>
      </c>
      <c r="J929" s="195">
        <f>IF(D929="","",LOG10(MAX(D929,1E-12)))</f>
        <v/>
      </c>
      <c r="K929">
        <f>IF(A929="","",ROUND(1+(LOG10(A929)-LOG10('入力・概要'!$B$38))*('入力・概要'!$B$40-1)/(LOG10('入力・概要'!$B$39)-LOG10('入力・概要'!$B$38)),0)+3)</f>
        <v/>
      </c>
      <c r="L929">
        <f>IF(K929="","",INDEX('同相3導体'!$B:$B,K929))</f>
        <v/>
      </c>
      <c r="M929">
        <f>IF(A929="","",IF(ABS(L929/A929-1)&lt;0.01,"周波数差&lt;1%","周波数差あり"))</f>
        <v/>
      </c>
    </row>
    <row r="930">
      <c r="A930" s="197" t="n"/>
      <c r="B930" s="198" t="n"/>
      <c r="C930" s="198" t="n"/>
      <c r="D930" s="195">
        <f>IF(K930="","",INDEX('同相3導体'!$AB:$AB,K930))</f>
        <v/>
      </c>
      <c r="E930" s="195">
        <f>IF(K930="","",INDEX('同相3導体'!$AC:$AC,K930))</f>
        <v/>
      </c>
      <c r="F930" s="195">
        <f>IF(OR(A930="",B930=""),"",100*(D930-B930)/MAX(B930,1E-12))</f>
        <v/>
      </c>
      <c r="G930" s="195">
        <f>IF(OR(A930="",C930=""),"",E930-C930)</f>
        <v/>
      </c>
      <c r="H930" s="195">
        <f>IF(A930="","",LOG10(A930))</f>
        <v/>
      </c>
      <c r="I930" s="195">
        <f>IF(B930="","",LOG10(MAX(B930,1E-12)))</f>
        <v/>
      </c>
      <c r="J930" s="195">
        <f>IF(D930="","",LOG10(MAX(D930,1E-12)))</f>
        <v/>
      </c>
      <c r="K930">
        <f>IF(A930="","",ROUND(1+(LOG10(A930)-LOG10('入力・概要'!$B$38))*('入力・概要'!$B$40-1)/(LOG10('入力・概要'!$B$39)-LOG10('入力・概要'!$B$38)),0)+3)</f>
        <v/>
      </c>
      <c r="L930">
        <f>IF(K930="","",INDEX('同相3導体'!$B:$B,K930))</f>
        <v/>
      </c>
      <c r="M930">
        <f>IF(A930="","",IF(ABS(L930/A930-1)&lt;0.01,"周波数差&lt;1%","周波数差あり"))</f>
        <v/>
      </c>
    </row>
    <row r="931">
      <c r="A931" s="197" t="n"/>
      <c r="B931" s="198" t="n"/>
      <c r="C931" s="198" t="n"/>
      <c r="D931" s="195">
        <f>IF(K931="","",INDEX('同相3導体'!$AB:$AB,K931))</f>
        <v/>
      </c>
      <c r="E931" s="195">
        <f>IF(K931="","",INDEX('同相3導体'!$AC:$AC,K931))</f>
        <v/>
      </c>
      <c r="F931" s="195">
        <f>IF(OR(A931="",B931=""),"",100*(D931-B931)/MAX(B931,1E-12))</f>
        <v/>
      </c>
      <c r="G931" s="195">
        <f>IF(OR(A931="",C931=""),"",E931-C931)</f>
        <v/>
      </c>
      <c r="H931" s="195">
        <f>IF(A931="","",LOG10(A931))</f>
        <v/>
      </c>
      <c r="I931" s="195">
        <f>IF(B931="","",LOG10(MAX(B931,1E-12)))</f>
        <v/>
      </c>
      <c r="J931" s="195">
        <f>IF(D931="","",LOG10(MAX(D931,1E-12)))</f>
        <v/>
      </c>
      <c r="K931">
        <f>IF(A931="","",ROUND(1+(LOG10(A931)-LOG10('入力・概要'!$B$38))*('入力・概要'!$B$40-1)/(LOG10('入力・概要'!$B$39)-LOG10('入力・概要'!$B$38)),0)+3)</f>
        <v/>
      </c>
      <c r="L931">
        <f>IF(K931="","",INDEX('同相3導体'!$B:$B,K931))</f>
        <v/>
      </c>
      <c r="M931">
        <f>IF(A931="","",IF(ABS(L931/A931-1)&lt;0.01,"周波数差&lt;1%","周波数差あり"))</f>
        <v/>
      </c>
    </row>
    <row r="932">
      <c r="A932" s="197" t="n"/>
      <c r="B932" s="198" t="n"/>
      <c r="C932" s="198" t="n"/>
      <c r="D932" s="195">
        <f>IF(K932="","",INDEX('同相3導体'!$AB:$AB,K932))</f>
        <v/>
      </c>
      <c r="E932" s="195">
        <f>IF(K932="","",INDEX('同相3導体'!$AC:$AC,K932))</f>
        <v/>
      </c>
      <c r="F932" s="195">
        <f>IF(OR(A932="",B932=""),"",100*(D932-B932)/MAX(B932,1E-12))</f>
        <v/>
      </c>
      <c r="G932" s="195">
        <f>IF(OR(A932="",C932=""),"",E932-C932)</f>
        <v/>
      </c>
      <c r="H932" s="195">
        <f>IF(A932="","",LOG10(A932))</f>
        <v/>
      </c>
      <c r="I932" s="195">
        <f>IF(B932="","",LOG10(MAX(B932,1E-12)))</f>
        <v/>
      </c>
      <c r="J932" s="195">
        <f>IF(D932="","",LOG10(MAX(D932,1E-12)))</f>
        <v/>
      </c>
      <c r="K932">
        <f>IF(A932="","",ROUND(1+(LOG10(A932)-LOG10('入力・概要'!$B$38))*('入力・概要'!$B$40-1)/(LOG10('入力・概要'!$B$39)-LOG10('入力・概要'!$B$38)),0)+3)</f>
        <v/>
      </c>
      <c r="L932">
        <f>IF(K932="","",INDEX('同相3導体'!$B:$B,K932))</f>
        <v/>
      </c>
      <c r="M932">
        <f>IF(A932="","",IF(ABS(L932/A932-1)&lt;0.01,"周波数差&lt;1%","周波数差あり"))</f>
        <v/>
      </c>
    </row>
    <row r="933">
      <c r="A933" s="197" t="n"/>
      <c r="B933" s="198" t="n"/>
      <c r="C933" s="198" t="n"/>
      <c r="D933" s="195">
        <f>IF(K933="","",INDEX('同相3導体'!$AB:$AB,K933))</f>
        <v/>
      </c>
      <c r="E933" s="195">
        <f>IF(K933="","",INDEX('同相3導体'!$AC:$AC,K933))</f>
        <v/>
      </c>
      <c r="F933" s="195">
        <f>IF(OR(A933="",B933=""),"",100*(D933-B933)/MAX(B933,1E-12))</f>
        <v/>
      </c>
      <c r="G933" s="195">
        <f>IF(OR(A933="",C933=""),"",E933-C933)</f>
        <v/>
      </c>
      <c r="H933" s="195">
        <f>IF(A933="","",LOG10(A933))</f>
        <v/>
      </c>
      <c r="I933" s="195">
        <f>IF(B933="","",LOG10(MAX(B933,1E-12)))</f>
        <v/>
      </c>
      <c r="J933" s="195">
        <f>IF(D933="","",LOG10(MAX(D933,1E-12)))</f>
        <v/>
      </c>
      <c r="K933">
        <f>IF(A933="","",ROUND(1+(LOG10(A933)-LOG10('入力・概要'!$B$38))*('入力・概要'!$B$40-1)/(LOG10('入力・概要'!$B$39)-LOG10('入力・概要'!$B$38)),0)+3)</f>
        <v/>
      </c>
      <c r="L933">
        <f>IF(K933="","",INDEX('同相3導体'!$B:$B,K933))</f>
        <v/>
      </c>
      <c r="M933">
        <f>IF(A933="","",IF(ABS(L933/A933-1)&lt;0.01,"周波数差&lt;1%","周波数差あり"))</f>
        <v/>
      </c>
    </row>
    <row r="934">
      <c r="A934" s="197" t="n"/>
      <c r="B934" s="198" t="n"/>
      <c r="C934" s="198" t="n"/>
      <c r="D934" s="195">
        <f>IF(K934="","",INDEX('同相3導体'!$AB:$AB,K934))</f>
        <v/>
      </c>
      <c r="E934" s="195">
        <f>IF(K934="","",INDEX('同相3導体'!$AC:$AC,K934))</f>
        <v/>
      </c>
      <c r="F934" s="195">
        <f>IF(OR(A934="",B934=""),"",100*(D934-B934)/MAX(B934,1E-12))</f>
        <v/>
      </c>
      <c r="G934" s="195">
        <f>IF(OR(A934="",C934=""),"",E934-C934)</f>
        <v/>
      </c>
      <c r="H934" s="195">
        <f>IF(A934="","",LOG10(A934))</f>
        <v/>
      </c>
      <c r="I934" s="195">
        <f>IF(B934="","",LOG10(MAX(B934,1E-12)))</f>
        <v/>
      </c>
      <c r="J934" s="195">
        <f>IF(D934="","",LOG10(MAX(D934,1E-12)))</f>
        <v/>
      </c>
      <c r="K934">
        <f>IF(A934="","",ROUND(1+(LOG10(A934)-LOG10('入力・概要'!$B$38))*('入力・概要'!$B$40-1)/(LOG10('入力・概要'!$B$39)-LOG10('入力・概要'!$B$38)),0)+3)</f>
        <v/>
      </c>
      <c r="L934">
        <f>IF(K934="","",INDEX('同相3導体'!$B:$B,K934))</f>
        <v/>
      </c>
      <c r="M934">
        <f>IF(A934="","",IF(ABS(L934/A934-1)&lt;0.01,"周波数差&lt;1%","周波数差あり"))</f>
        <v/>
      </c>
    </row>
    <row r="935">
      <c r="A935" s="197" t="n"/>
      <c r="B935" s="198" t="n"/>
      <c r="C935" s="198" t="n"/>
      <c r="D935" s="195">
        <f>IF(K935="","",INDEX('同相3導体'!$AB:$AB,K935))</f>
        <v/>
      </c>
      <c r="E935" s="195">
        <f>IF(K935="","",INDEX('同相3導体'!$AC:$AC,K935))</f>
        <v/>
      </c>
      <c r="F935" s="195">
        <f>IF(OR(A935="",B935=""),"",100*(D935-B935)/MAX(B935,1E-12))</f>
        <v/>
      </c>
      <c r="G935" s="195">
        <f>IF(OR(A935="",C935=""),"",E935-C935)</f>
        <v/>
      </c>
      <c r="H935" s="195">
        <f>IF(A935="","",LOG10(A935))</f>
        <v/>
      </c>
      <c r="I935" s="195">
        <f>IF(B935="","",LOG10(MAX(B935,1E-12)))</f>
        <v/>
      </c>
      <c r="J935" s="195">
        <f>IF(D935="","",LOG10(MAX(D935,1E-12)))</f>
        <v/>
      </c>
      <c r="K935">
        <f>IF(A935="","",ROUND(1+(LOG10(A935)-LOG10('入力・概要'!$B$38))*('入力・概要'!$B$40-1)/(LOG10('入力・概要'!$B$39)-LOG10('入力・概要'!$B$38)),0)+3)</f>
        <v/>
      </c>
      <c r="L935">
        <f>IF(K935="","",INDEX('同相3導体'!$B:$B,K935))</f>
        <v/>
      </c>
      <c r="M935">
        <f>IF(A935="","",IF(ABS(L935/A935-1)&lt;0.01,"周波数差&lt;1%","周波数差あり"))</f>
        <v/>
      </c>
    </row>
    <row r="936">
      <c r="A936" s="197" t="n"/>
      <c r="B936" s="198" t="n"/>
      <c r="C936" s="198" t="n"/>
      <c r="D936" s="195">
        <f>IF(K936="","",INDEX('同相3導体'!$AB:$AB,K936))</f>
        <v/>
      </c>
      <c r="E936" s="195">
        <f>IF(K936="","",INDEX('同相3導体'!$AC:$AC,K936))</f>
        <v/>
      </c>
      <c r="F936" s="195">
        <f>IF(OR(A936="",B936=""),"",100*(D936-B936)/MAX(B936,1E-12))</f>
        <v/>
      </c>
      <c r="G936" s="195">
        <f>IF(OR(A936="",C936=""),"",E936-C936)</f>
        <v/>
      </c>
      <c r="H936" s="195">
        <f>IF(A936="","",LOG10(A936))</f>
        <v/>
      </c>
      <c r="I936" s="195">
        <f>IF(B936="","",LOG10(MAX(B936,1E-12)))</f>
        <v/>
      </c>
      <c r="J936" s="195">
        <f>IF(D936="","",LOG10(MAX(D936,1E-12)))</f>
        <v/>
      </c>
      <c r="K936">
        <f>IF(A936="","",ROUND(1+(LOG10(A936)-LOG10('入力・概要'!$B$38))*('入力・概要'!$B$40-1)/(LOG10('入力・概要'!$B$39)-LOG10('入力・概要'!$B$38)),0)+3)</f>
        <v/>
      </c>
      <c r="L936">
        <f>IF(K936="","",INDEX('同相3導体'!$B:$B,K936))</f>
        <v/>
      </c>
      <c r="M936">
        <f>IF(A936="","",IF(ABS(L936/A936-1)&lt;0.01,"周波数差&lt;1%","周波数差あり"))</f>
        <v/>
      </c>
    </row>
    <row r="937">
      <c r="A937" s="197" t="n"/>
      <c r="B937" s="198" t="n"/>
      <c r="C937" s="198" t="n"/>
      <c r="D937" s="195">
        <f>IF(K937="","",INDEX('同相3導体'!$AB:$AB,K937))</f>
        <v/>
      </c>
      <c r="E937" s="195">
        <f>IF(K937="","",INDEX('同相3導体'!$AC:$AC,K937))</f>
        <v/>
      </c>
      <c r="F937" s="195">
        <f>IF(OR(A937="",B937=""),"",100*(D937-B937)/MAX(B937,1E-12))</f>
        <v/>
      </c>
      <c r="G937" s="195">
        <f>IF(OR(A937="",C937=""),"",E937-C937)</f>
        <v/>
      </c>
      <c r="H937" s="195">
        <f>IF(A937="","",LOG10(A937))</f>
        <v/>
      </c>
      <c r="I937" s="195">
        <f>IF(B937="","",LOG10(MAX(B937,1E-12)))</f>
        <v/>
      </c>
      <c r="J937" s="195">
        <f>IF(D937="","",LOG10(MAX(D937,1E-12)))</f>
        <v/>
      </c>
      <c r="K937">
        <f>IF(A937="","",ROUND(1+(LOG10(A937)-LOG10('入力・概要'!$B$38))*('入力・概要'!$B$40-1)/(LOG10('入力・概要'!$B$39)-LOG10('入力・概要'!$B$38)),0)+3)</f>
        <v/>
      </c>
      <c r="L937">
        <f>IF(K937="","",INDEX('同相3導体'!$B:$B,K937))</f>
        <v/>
      </c>
      <c r="M937">
        <f>IF(A937="","",IF(ABS(L937/A937-1)&lt;0.01,"周波数差&lt;1%","周波数差あり"))</f>
        <v/>
      </c>
    </row>
    <row r="938">
      <c r="A938" s="197" t="n"/>
      <c r="B938" s="198" t="n"/>
      <c r="C938" s="198" t="n"/>
      <c r="D938" s="195">
        <f>IF(K938="","",INDEX('同相3導体'!$AB:$AB,K938))</f>
        <v/>
      </c>
      <c r="E938" s="195">
        <f>IF(K938="","",INDEX('同相3導体'!$AC:$AC,K938))</f>
        <v/>
      </c>
      <c r="F938" s="195">
        <f>IF(OR(A938="",B938=""),"",100*(D938-B938)/MAX(B938,1E-12))</f>
        <v/>
      </c>
      <c r="G938" s="195">
        <f>IF(OR(A938="",C938=""),"",E938-C938)</f>
        <v/>
      </c>
      <c r="H938" s="195">
        <f>IF(A938="","",LOG10(A938))</f>
        <v/>
      </c>
      <c r="I938" s="195">
        <f>IF(B938="","",LOG10(MAX(B938,1E-12)))</f>
        <v/>
      </c>
      <c r="J938" s="195">
        <f>IF(D938="","",LOG10(MAX(D938,1E-12)))</f>
        <v/>
      </c>
      <c r="K938">
        <f>IF(A938="","",ROUND(1+(LOG10(A938)-LOG10('入力・概要'!$B$38))*('入力・概要'!$B$40-1)/(LOG10('入力・概要'!$B$39)-LOG10('入力・概要'!$B$38)),0)+3)</f>
        <v/>
      </c>
      <c r="L938">
        <f>IF(K938="","",INDEX('同相3導体'!$B:$B,K938))</f>
        <v/>
      </c>
      <c r="M938">
        <f>IF(A938="","",IF(ABS(L938/A938-1)&lt;0.01,"周波数差&lt;1%","周波数差あり"))</f>
        <v/>
      </c>
    </row>
    <row r="939">
      <c r="A939" s="197" t="n"/>
      <c r="B939" s="198" t="n"/>
      <c r="C939" s="198" t="n"/>
      <c r="D939" s="195">
        <f>IF(K939="","",INDEX('同相3導体'!$AB:$AB,K939))</f>
        <v/>
      </c>
      <c r="E939" s="195">
        <f>IF(K939="","",INDEX('同相3導体'!$AC:$AC,K939))</f>
        <v/>
      </c>
      <c r="F939" s="195">
        <f>IF(OR(A939="",B939=""),"",100*(D939-B939)/MAX(B939,1E-12))</f>
        <v/>
      </c>
      <c r="G939" s="195">
        <f>IF(OR(A939="",C939=""),"",E939-C939)</f>
        <v/>
      </c>
      <c r="H939" s="195">
        <f>IF(A939="","",LOG10(A939))</f>
        <v/>
      </c>
      <c r="I939" s="195">
        <f>IF(B939="","",LOG10(MAX(B939,1E-12)))</f>
        <v/>
      </c>
      <c r="J939" s="195">
        <f>IF(D939="","",LOG10(MAX(D939,1E-12)))</f>
        <v/>
      </c>
      <c r="K939">
        <f>IF(A939="","",ROUND(1+(LOG10(A939)-LOG10('入力・概要'!$B$38))*('入力・概要'!$B$40-1)/(LOG10('入力・概要'!$B$39)-LOG10('入力・概要'!$B$38)),0)+3)</f>
        <v/>
      </c>
      <c r="L939">
        <f>IF(K939="","",INDEX('同相3導体'!$B:$B,K939))</f>
        <v/>
      </c>
      <c r="M939">
        <f>IF(A939="","",IF(ABS(L939/A939-1)&lt;0.01,"周波数差&lt;1%","周波数差あり"))</f>
        <v/>
      </c>
    </row>
    <row r="940">
      <c r="A940" s="197" t="n"/>
      <c r="B940" s="198" t="n"/>
      <c r="C940" s="198" t="n"/>
      <c r="D940" s="195">
        <f>IF(K940="","",INDEX('同相3導体'!$AB:$AB,K940))</f>
        <v/>
      </c>
      <c r="E940" s="195">
        <f>IF(K940="","",INDEX('同相3導体'!$AC:$AC,K940))</f>
        <v/>
      </c>
      <c r="F940" s="195">
        <f>IF(OR(A940="",B940=""),"",100*(D940-B940)/MAX(B940,1E-12))</f>
        <v/>
      </c>
      <c r="G940" s="195">
        <f>IF(OR(A940="",C940=""),"",E940-C940)</f>
        <v/>
      </c>
      <c r="H940" s="195">
        <f>IF(A940="","",LOG10(A940))</f>
        <v/>
      </c>
      <c r="I940" s="195">
        <f>IF(B940="","",LOG10(MAX(B940,1E-12)))</f>
        <v/>
      </c>
      <c r="J940" s="195">
        <f>IF(D940="","",LOG10(MAX(D940,1E-12)))</f>
        <v/>
      </c>
      <c r="K940">
        <f>IF(A940="","",ROUND(1+(LOG10(A940)-LOG10('入力・概要'!$B$38))*('入力・概要'!$B$40-1)/(LOG10('入力・概要'!$B$39)-LOG10('入力・概要'!$B$38)),0)+3)</f>
        <v/>
      </c>
      <c r="L940">
        <f>IF(K940="","",INDEX('同相3導体'!$B:$B,K940))</f>
        <v/>
      </c>
      <c r="M940">
        <f>IF(A940="","",IF(ABS(L940/A940-1)&lt;0.01,"周波数差&lt;1%","周波数差あり"))</f>
        <v/>
      </c>
    </row>
    <row r="941">
      <c r="A941" s="197" t="n"/>
      <c r="B941" s="198" t="n"/>
      <c r="C941" s="198" t="n"/>
      <c r="D941" s="195">
        <f>IF(K941="","",INDEX('同相3導体'!$AB:$AB,K941))</f>
        <v/>
      </c>
      <c r="E941" s="195">
        <f>IF(K941="","",INDEX('同相3導体'!$AC:$AC,K941))</f>
        <v/>
      </c>
      <c r="F941" s="195">
        <f>IF(OR(A941="",B941=""),"",100*(D941-B941)/MAX(B941,1E-12))</f>
        <v/>
      </c>
      <c r="G941" s="195">
        <f>IF(OR(A941="",C941=""),"",E941-C941)</f>
        <v/>
      </c>
      <c r="H941" s="195">
        <f>IF(A941="","",LOG10(A941))</f>
        <v/>
      </c>
      <c r="I941" s="195">
        <f>IF(B941="","",LOG10(MAX(B941,1E-12)))</f>
        <v/>
      </c>
      <c r="J941" s="195">
        <f>IF(D941="","",LOG10(MAX(D941,1E-12)))</f>
        <v/>
      </c>
      <c r="K941">
        <f>IF(A941="","",ROUND(1+(LOG10(A941)-LOG10('入力・概要'!$B$38))*('入力・概要'!$B$40-1)/(LOG10('入力・概要'!$B$39)-LOG10('入力・概要'!$B$38)),0)+3)</f>
        <v/>
      </c>
      <c r="L941">
        <f>IF(K941="","",INDEX('同相3導体'!$B:$B,K941))</f>
        <v/>
      </c>
      <c r="M941">
        <f>IF(A941="","",IF(ABS(L941/A941-1)&lt;0.01,"周波数差&lt;1%","周波数差あり"))</f>
        <v/>
      </c>
    </row>
    <row r="942">
      <c r="A942" s="197" t="n"/>
      <c r="B942" s="198" t="n"/>
      <c r="C942" s="198" t="n"/>
      <c r="D942" s="195">
        <f>IF(K942="","",INDEX('同相3導体'!$AB:$AB,K942))</f>
        <v/>
      </c>
      <c r="E942" s="195">
        <f>IF(K942="","",INDEX('同相3導体'!$AC:$AC,K942))</f>
        <v/>
      </c>
      <c r="F942" s="195">
        <f>IF(OR(A942="",B942=""),"",100*(D942-B942)/MAX(B942,1E-12))</f>
        <v/>
      </c>
      <c r="G942" s="195">
        <f>IF(OR(A942="",C942=""),"",E942-C942)</f>
        <v/>
      </c>
      <c r="H942" s="195">
        <f>IF(A942="","",LOG10(A942))</f>
        <v/>
      </c>
      <c r="I942" s="195">
        <f>IF(B942="","",LOG10(MAX(B942,1E-12)))</f>
        <v/>
      </c>
      <c r="J942" s="195">
        <f>IF(D942="","",LOG10(MAX(D942,1E-12)))</f>
        <v/>
      </c>
      <c r="K942">
        <f>IF(A942="","",ROUND(1+(LOG10(A942)-LOG10('入力・概要'!$B$38))*('入力・概要'!$B$40-1)/(LOG10('入力・概要'!$B$39)-LOG10('入力・概要'!$B$38)),0)+3)</f>
        <v/>
      </c>
      <c r="L942">
        <f>IF(K942="","",INDEX('同相3導体'!$B:$B,K942))</f>
        <v/>
      </c>
      <c r="M942">
        <f>IF(A942="","",IF(ABS(L942/A942-1)&lt;0.01,"周波数差&lt;1%","周波数差あり"))</f>
        <v/>
      </c>
    </row>
    <row r="943">
      <c r="A943" s="197" t="n"/>
      <c r="B943" s="198" t="n"/>
      <c r="C943" s="198" t="n"/>
      <c r="D943" s="195">
        <f>IF(K943="","",INDEX('同相3導体'!$AB:$AB,K943))</f>
        <v/>
      </c>
      <c r="E943" s="195">
        <f>IF(K943="","",INDEX('同相3導体'!$AC:$AC,K943))</f>
        <v/>
      </c>
      <c r="F943" s="195">
        <f>IF(OR(A943="",B943=""),"",100*(D943-B943)/MAX(B943,1E-12))</f>
        <v/>
      </c>
      <c r="G943" s="195">
        <f>IF(OR(A943="",C943=""),"",E943-C943)</f>
        <v/>
      </c>
      <c r="H943" s="195">
        <f>IF(A943="","",LOG10(A943))</f>
        <v/>
      </c>
      <c r="I943" s="195">
        <f>IF(B943="","",LOG10(MAX(B943,1E-12)))</f>
        <v/>
      </c>
      <c r="J943" s="195">
        <f>IF(D943="","",LOG10(MAX(D943,1E-12)))</f>
        <v/>
      </c>
      <c r="K943">
        <f>IF(A943="","",ROUND(1+(LOG10(A943)-LOG10('入力・概要'!$B$38))*('入力・概要'!$B$40-1)/(LOG10('入力・概要'!$B$39)-LOG10('入力・概要'!$B$38)),0)+3)</f>
        <v/>
      </c>
      <c r="L943">
        <f>IF(K943="","",INDEX('同相3導体'!$B:$B,K943))</f>
        <v/>
      </c>
      <c r="M943">
        <f>IF(A943="","",IF(ABS(L943/A943-1)&lt;0.01,"周波数差&lt;1%","周波数差あり"))</f>
        <v/>
      </c>
    </row>
    <row r="944">
      <c r="A944" s="197" t="n"/>
      <c r="B944" s="198" t="n"/>
      <c r="C944" s="198" t="n"/>
      <c r="D944" s="195">
        <f>IF(K944="","",INDEX('同相3導体'!$AB:$AB,K944))</f>
        <v/>
      </c>
      <c r="E944" s="195">
        <f>IF(K944="","",INDEX('同相3導体'!$AC:$AC,K944))</f>
        <v/>
      </c>
      <c r="F944" s="195">
        <f>IF(OR(A944="",B944=""),"",100*(D944-B944)/MAX(B944,1E-12))</f>
        <v/>
      </c>
      <c r="G944" s="195">
        <f>IF(OR(A944="",C944=""),"",E944-C944)</f>
        <v/>
      </c>
      <c r="H944" s="195">
        <f>IF(A944="","",LOG10(A944))</f>
        <v/>
      </c>
      <c r="I944" s="195">
        <f>IF(B944="","",LOG10(MAX(B944,1E-12)))</f>
        <v/>
      </c>
      <c r="J944" s="195">
        <f>IF(D944="","",LOG10(MAX(D944,1E-12)))</f>
        <v/>
      </c>
      <c r="K944">
        <f>IF(A944="","",ROUND(1+(LOG10(A944)-LOG10('入力・概要'!$B$38))*('入力・概要'!$B$40-1)/(LOG10('入力・概要'!$B$39)-LOG10('入力・概要'!$B$38)),0)+3)</f>
        <v/>
      </c>
      <c r="L944">
        <f>IF(K944="","",INDEX('同相3導体'!$B:$B,K944))</f>
        <v/>
      </c>
      <c r="M944">
        <f>IF(A944="","",IF(ABS(L944/A944-1)&lt;0.01,"周波数差&lt;1%","周波数差あり"))</f>
        <v/>
      </c>
    </row>
    <row r="945">
      <c r="A945" s="197" t="n"/>
      <c r="B945" s="198" t="n"/>
      <c r="C945" s="198" t="n"/>
      <c r="D945" s="195">
        <f>IF(K945="","",INDEX('同相3導体'!$AB:$AB,K945))</f>
        <v/>
      </c>
      <c r="E945" s="195">
        <f>IF(K945="","",INDEX('同相3導体'!$AC:$AC,K945))</f>
        <v/>
      </c>
      <c r="F945" s="195">
        <f>IF(OR(A945="",B945=""),"",100*(D945-B945)/MAX(B945,1E-12))</f>
        <v/>
      </c>
      <c r="G945" s="195">
        <f>IF(OR(A945="",C945=""),"",E945-C945)</f>
        <v/>
      </c>
      <c r="H945" s="195">
        <f>IF(A945="","",LOG10(A945))</f>
        <v/>
      </c>
      <c r="I945" s="195">
        <f>IF(B945="","",LOG10(MAX(B945,1E-12)))</f>
        <v/>
      </c>
      <c r="J945" s="195">
        <f>IF(D945="","",LOG10(MAX(D945,1E-12)))</f>
        <v/>
      </c>
      <c r="K945">
        <f>IF(A945="","",ROUND(1+(LOG10(A945)-LOG10('入力・概要'!$B$38))*('入力・概要'!$B$40-1)/(LOG10('入力・概要'!$B$39)-LOG10('入力・概要'!$B$38)),0)+3)</f>
        <v/>
      </c>
      <c r="L945">
        <f>IF(K945="","",INDEX('同相3導体'!$B:$B,K945))</f>
        <v/>
      </c>
      <c r="M945">
        <f>IF(A945="","",IF(ABS(L945/A945-1)&lt;0.01,"周波数差&lt;1%","周波数差あり"))</f>
        <v/>
      </c>
    </row>
    <row r="946">
      <c r="A946" s="197" t="n"/>
      <c r="B946" s="198" t="n"/>
      <c r="C946" s="198" t="n"/>
      <c r="D946" s="195">
        <f>IF(K946="","",INDEX('同相3導体'!$AB:$AB,K946))</f>
        <v/>
      </c>
      <c r="E946" s="195">
        <f>IF(K946="","",INDEX('同相3導体'!$AC:$AC,K946))</f>
        <v/>
      </c>
      <c r="F946" s="195">
        <f>IF(OR(A946="",B946=""),"",100*(D946-B946)/MAX(B946,1E-12))</f>
        <v/>
      </c>
      <c r="G946" s="195">
        <f>IF(OR(A946="",C946=""),"",E946-C946)</f>
        <v/>
      </c>
      <c r="H946" s="195">
        <f>IF(A946="","",LOG10(A946))</f>
        <v/>
      </c>
      <c r="I946" s="195">
        <f>IF(B946="","",LOG10(MAX(B946,1E-12)))</f>
        <v/>
      </c>
      <c r="J946" s="195">
        <f>IF(D946="","",LOG10(MAX(D946,1E-12)))</f>
        <v/>
      </c>
      <c r="K946">
        <f>IF(A946="","",ROUND(1+(LOG10(A946)-LOG10('入力・概要'!$B$38))*('入力・概要'!$B$40-1)/(LOG10('入力・概要'!$B$39)-LOG10('入力・概要'!$B$38)),0)+3)</f>
        <v/>
      </c>
      <c r="L946">
        <f>IF(K946="","",INDEX('同相3導体'!$B:$B,K946))</f>
        <v/>
      </c>
      <c r="M946">
        <f>IF(A946="","",IF(ABS(L946/A946-1)&lt;0.01,"周波数差&lt;1%","周波数差あり"))</f>
        <v/>
      </c>
    </row>
    <row r="947">
      <c r="A947" s="197" t="n"/>
      <c r="B947" s="198" t="n"/>
      <c r="C947" s="198" t="n"/>
      <c r="D947" s="195">
        <f>IF(K947="","",INDEX('同相3導体'!$AB:$AB,K947))</f>
        <v/>
      </c>
      <c r="E947" s="195">
        <f>IF(K947="","",INDEX('同相3導体'!$AC:$AC,K947))</f>
        <v/>
      </c>
      <c r="F947" s="195">
        <f>IF(OR(A947="",B947=""),"",100*(D947-B947)/MAX(B947,1E-12))</f>
        <v/>
      </c>
      <c r="G947" s="195">
        <f>IF(OR(A947="",C947=""),"",E947-C947)</f>
        <v/>
      </c>
      <c r="H947" s="195">
        <f>IF(A947="","",LOG10(A947))</f>
        <v/>
      </c>
      <c r="I947" s="195">
        <f>IF(B947="","",LOG10(MAX(B947,1E-12)))</f>
        <v/>
      </c>
      <c r="J947" s="195">
        <f>IF(D947="","",LOG10(MAX(D947,1E-12)))</f>
        <v/>
      </c>
      <c r="K947">
        <f>IF(A947="","",ROUND(1+(LOG10(A947)-LOG10('入力・概要'!$B$38))*('入力・概要'!$B$40-1)/(LOG10('入力・概要'!$B$39)-LOG10('入力・概要'!$B$38)),0)+3)</f>
        <v/>
      </c>
      <c r="L947">
        <f>IF(K947="","",INDEX('同相3導体'!$B:$B,K947))</f>
        <v/>
      </c>
      <c r="M947">
        <f>IF(A947="","",IF(ABS(L947/A947-1)&lt;0.01,"周波数差&lt;1%","周波数差あり"))</f>
        <v/>
      </c>
    </row>
    <row r="948">
      <c r="A948" s="197" t="n"/>
      <c r="B948" s="198" t="n"/>
      <c r="C948" s="198" t="n"/>
      <c r="D948" s="195">
        <f>IF(K948="","",INDEX('同相3導体'!$AB:$AB,K948))</f>
        <v/>
      </c>
      <c r="E948" s="195">
        <f>IF(K948="","",INDEX('同相3導体'!$AC:$AC,K948))</f>
        <v/>
      </c>
      <c r="F948" s="195">
        <f>IF(OR(A948="",B948=""),"",100*(D948-B948)/MAX(B948,1E-12))</f>
        <v/>
      </c>
      <c r="G948" s="195">
        <f>IF(OR(A948="",C948=""),"",E948-C948)</f>
        <v/>
      </c>
      <c r="H948" s="195">
        <f>IF(A948="","",LOG10(A948))</f>
        <v/>
      </c>
      <c r="I948" s="195">
        <f>IF(B948="","",LOG10(MAX(B948,1E-12)))</f>
        <v/>
      </c>
      <c r="J948" s="195">
        <f>IF(D948="","",LOG10(MAX(D948,1E-12)))</f>
        <v/>
      </c>
      <c r="K948">
        <f>IF(A948="","",ROUND(1+(LOG10(A948)-LOG10('入力・概要'!$B$38))*('入力・概要'!$B$40-1)/(LOG10('入力・概要'!$B$39)-LOG10('入力・概要'!$B$38)),0)+3)</f>
        <v/>
      </c>
      <c r="L948">
        <f>IF(K948="","",INDEX('同相3導体'!$B:$B,K948))</f>
        <v/>
      </c>
      <c r="M948">
        <f>IF(A948="","",IF(ABS(L948/A948-1)&lt;0.01,"周波数差&lt;1%","周波数差あり"))</f>
        <v/>
      </c>
    </row>
    <row r="949">
      <c r="A949" s="197" t="n"/>
      <c r="B949" s="198" t="n"/>
      <c r="C949" s="198" t="n"/>
      <c r="D949" s="195">
        <f>IF(K949="","",INDEX('同相3導体'!$AB:$AB,K949))</f>
        <v/>
      </c>
      <c r="E949" s="195">
        <f>IF(K949="","",INDEX('同相3導体'!$AC:$AC,K949))</f>
        <v/>
      </c>
      <c r="F949" s="195">
        <f>IF(OR(A949="",B949=""),"",100*(D949-B949)/MAX(B949,1E-12))</f>
        <v/>
      </c>
      <c r="G949" s="195">
        <f>IF(OR(A949="",C949=""),"",E949-C949)</f>
        <v/>
      </c>
      <c r="H949" s="195">
        <f>IF(A949="","",LOG10(A949))</f>
        <v/>
      </c>
      <c r="I949" s="195">
        <f>IF(B949="","",LOG10(MAX(B949,1E-12)))</f>
        <v/>
      </c>
      <c r="J949" s="195">
        <f>IF(D949="","",LOG10(MAX(D949,1E-12)))</f>
        <v/>
      </c>
      <c r="K949">
        <f>IF(A949="","",ROUND(1+(LOG10(A949)-LOG10('入力・概要'!$B$38))*('入力・概要'!$B$40-1)/(LOG10('入力・概要'!$B$39)-LOG10('入力・概要'!$B$38)),0)+3)</f>
        <v/>
      </c>
      <c r="L949">
        <f>IF(K949="","",INDEX('同相3導体'!$B:$B,K949))</f>
        <v/>
      </c>
      <c r="M949">
        <f>IF(A949="","",IF(ABS(L949/A949-1)&lt;0.01,"周波数差&lt;1%","周波数差あり"))</f>
        <v/>
      </c>
    </row>
    <row r="950">
      <c r="A950" s="197" t="n"/>
      <c r="B950" s="198" t="n"/>
      <c r="C950" s="198" t="n"/>
      <c r="D950" s="195">
        <f>IF(K950="","",INDEX('同相3導体'!$AB:$AB,K950))</f>
        <v/>
      </c>
      <c r="E950" s="195">
        <f>IF(K950="","",INDEX('同相3導体'!$AC:$AC,K950))</f>
        <v/>
      </c>
      <c r="F950" s="195">
        <f>IF(OR(A950="",B950=""),"",100*(D950-B950)/MAX(B950,1E-12))</f>
        <v/>
      </c>
      <c r="G950" s="195">
        <f>IF(OR(A950="",C950=""),"",E950-C950)</f>
        <v/>
      </c>
      <c r="H950" s="195">
        <f>IF(A950="","",LOG10(A950))</f>
        <v/>
      </c>
      <c r="I950" s="195">
        <f>IF(B950="","",LOG10(MAX(B950,1E-12)))</f>
        <v/>
      </c>
      <c r="J950" s="195">
        <f>IF(D950="","",LOG10(MAX(D950,1E-12)))</f>
        <v/>
      </c>
      <c r="K950">
        <f>IF(A950="","",ROUND(1+(LOG10(A950)-LOG10('入力・概要'!$B$38))*('入力・概要'!$B$40-1)/(LOG10('入力・概要'!$B$39)-LOG10('入力・概要'!$B$38)),0)+3)</f>
        <v/>
      </c>
      <c r="L950">
        <f>IF(K950="","",INDEX('同相3導体'!$B:$B,K950))</f>
        <v/>
      </c>
      <c r="M950">
        <f>IF(A950="","",IF(ABS(L950/A950-1)&lt;0.01,"周波数差&lt;1%","周波数差あり"))</f>
        <v/>
      </c>
    </row>
    <row r="951">
      <c r="A951" s="197" t="n"/>
      <c r="B951" s="198" t="n"/>
      <c r="C951" s="198" t="n"/>
      <c r="D951" s="195">
        <f>IF(K951="","",INDEX('同相3導体'!$AB:$AB,K951))</f>
        <v/>
      </c>
      <c r="E951" s="195">
        <f>IF(K951="","",INDEX('同相3導体'!$AC:$AC,K951))</f>
        <v/>
      </c>
      <c r="F951" s="195">
        <f>IF(OR(A951="",B951=""),"",100*(D951-B951)/MAX(B951,1E-12))</f>
        <v/>
      </c>
      <c r="G951" s="195">
        <f>IF(OR(A951="",C951=""),"",E951-C951)</f>
        <v/>
      </c>
      <c r="H951" s="195">
        <f>IF(A951="","",LOG10(A951))</f>
        <v/>
      </c>
      <c r="I951" s="195">
        <f>IF(B951="","",LOG10(MAX(B951,1E-12)))</f>
        <v/>
      </c>
      <c r="J951" s="195">
        <f>IF(D951="","",LOG10(MAX(D951,1E-12)))</f>
        <v/>
      </c>
      <c r="K951">
        <f>IF(A951="","",ROUND(1+(LOG10(A951)-LOG10('入力・概要'!$B$38))*('入力・概要'!$B$40-1)/(LOG10('入力・概要'!$B$39)-LOG10('入力・概要'!$B$38)),0)+3)</f>
        <v/>
      </c>
      <c r="L951">
        <f>IF(K951="","",INDEX('同相3導体'!$B:$B,K951))</f>
        <v/>
      </c>
      <c r="M951">
        <f>IF(A951="","",IF(ABS(L951/A951-1)&lt;0.01,"周波数差&lt;1%","周波数差あり"))</f>
        <v/>
      </c>
    </row>
    <row r="952">
      <c r="A952" s="197" t="n"/>
      <c r="B952" s="198" t="n"/>
      <c r="C952" s="198" t="n"/>
      <c r="D952" s="195">
        <f>IF(K952="","",INDEX('同相3導体'!$AB:$AB,K952))</f>
        <v/>
      </c>
      <c r="E952" s="195">
        <f>IF(K952="","",INDEX('同相3導体'!$AC:$AC,K952))</f>
        <v/>
      </c>
      <c r="F952" s="195">
        <f>IF(OR(A952="",B952=""),"",100*(D952-B952)/MAX(B952,1E-12))</f>
        <v/>
      </c>
      <c r="G952" s="195">
        <f>IF(OR(A952="",C952=""),"",E952-C952)</f>
        <v/>
      </c>
      <c r="H952" s="195">
        <f>IF(A952="","",LOG10(A952))</f>
        <v/>
      </c>
      <c r="I952" s="195">
        <f>IF(B952="","",LOG10(MAX(B952,1E-12)))</f>
        <v/>
      </c>
      <c r="J952" s="195">
        <f>IF(D952="","",LOG10(MAX(D952,1E-12)))</f>
        <v/>
      </c>
      <c r="K952">
        <f>IF(A952="","",ROUND(1+(LOG10(A952)-LOG10('入力・概要'!$B$38))*('入力・概要'!$B$40-1)/(LOG10('入力・概要'!$B$39)-LOG10('入力・概要'!$B$38)),0)+3)</f>
        <v/>
      </c>
      <c r="L952">
        <f>IF(K952="","",INDEX('同相3導体'!$B:$B,K952))</f>
        <v/>
      </c>
      <c r="M952">
        <f>IF(A952="","",IF(ABS(L952/A952-1)&lt;0.01,"周波数差&lt;1%","周波数差あり"))</f>
        <v/>
      </c>
    </row>
    <row r="953">
      <c r="A953" s="197" t="n"/>
      <c r="B953" s="198" t="n"/>
      <c r="C953" s="198" t="n"/>
      <c r="D953" s="195">
        <f>IF(K953="","",INDEX('同相3導体'!$AB:$AB,K953))</f>
        <v/>
      </c>
      <c r="E953" s="195">
        <f>IF(K953="","",INDEX('同相3導体'!$AC:$AC,K953))</f>
        <v/>
      </c>
      <c r="F953" s="195">
        <f>IF(OR(A953="",B953=""),"",100*(D953-B953)/MAX(B953,1E-12))</f>
        <v/>
      </c>
      <c r="G953" s="195">
        <f>IF(OR(A953="",C953=""),"",E953-C953)</f>
        <v/>
      </c>
      <c r="H953" s="195">
        <f>IF(A953="","",LOG10(A953))</f>
        <v/>
      </c>
      <c r="I953" s="195">
        <f>IF(B953="","",LOG10(MAX(B953,1E-12)))</f>
        <v/>
      </c>
      <c r="J953" s="195">
        <f>IF(D953="","",LOG10(MAX(D953,1E-12)))</f>
        <v/>
      </c>
      <c r="K953">
        <f>IF(A953="","",ROUND(1+(LOG10(A953)-LOG10('入力・概要'!$B$38))*('入力・概要'!$B$40-1)/(LOG10('入力・概要'!$B$39)-LOG10('入力・概要'!$B$38)),0)+3)</f>
        <v/>
      </c>
      <c r="L953">
        <f>IF(K953="","",INDEX('同相3導体'!$B:$B,K953))</f>
        <v/>
      </c>
      <c r="M953">
        <f>IF(A953="","",IF(ABS(L953/A953-1)&lt;0.01,"周波数差&lt;1%","周波数差あり"))</f>
        <v/>
      </c>
    </row>
    <row r="954">
      <c r="A954" s="197" t="n"/>
      <c r="B954" s="198" t="n"/>
      <c r="C954" s="198" t="n"/>
      <c r="D954" s="195">
        <f>IF(K954="","",INDEX('同相3導体'!$AB:$AB,K954))</f>
        <v/>
      </c>
      <c r="E954" s="195">
        <f>IF(K954="","",INDEX('同相3導体'!$AC:$AC,K954))</f>
        <v/>
      </c>
      <c r="F954" s="195">
        <f>IF(OR(A954="",B954=""),"",100*(D954-B954)/MAX(B954,1E-12))</f>
        <v/>
      </c>
      <c r="G954" s="195">
        <f>IF(OR(A954="",C954=""),"",E954-C954)</f>
        <v/>
      </c>
      <c r="H954" s="195">
        <f>IF(A954="","",LOG10(A954))</f>
        <v/>
      </c>
      <c r="I954" s="195">
        <f>IF(B954="","",LOG10(MAX(B954,1E-12)))</f>
        <v/>
      </c>
      <c r="J954" s="195">
        <f>IF(D954="","",LOG10(MAX(D954,1E-12)))</f>
        <v/>
      </c>
      <c r="K954">
        <f>IF(A954="","",ROUND(1+(LOG10(A954)-LOG10('入力・概要'!$B$38))*('入力・概要'!$B$40-1)/(LOG10('入力・概要'!$B$39)-LOG10('入力・概要'!$B$38)),0)+3)</f>
        <v/>
      </c>
      <c r="L954">
        <f>IF(K954="","",INDEX('同相3導体'!$B:$B,K954))</f>
        <v/>
      </c>
      <c r="M954">
        <f>IF(A954="","",IF(ABS(L954/A954-1)&lt;0.01,"周波数差&lt;1%","周波数差あり"))</f>
        <v/>
      </c>
    </row>
    <row r="955">
      <c r="A955" s="197" t="n"/>
      <c r="B955" s="198" t="n"/>
      <c r="C955" s="198" t="n"/>
      <c r="D955" s="195">
        <f>IF(K955="","",INDEX('同相3導体'!$AB:$AB,K955))</f>
        <v/>
      </c>
      <c r="E955" s="195">
        <f>IF(K955="","",INDEX('同相3導体'!$AC:$AC,K955))</f>
        <v/>
      </c>
      <c r="F955" s="195">
        <f>IF(OR(A955="",B955=""),"",100*(D955-B955)/MAX(B955,1E-12))</f>
        <v/>
      </c>
      <c r="G955" s="195">
        <f>IF(OR(A955="",C955=""),"",E955-C955)</f>
        <v/>
      </c>
      <c r="H955" s="195">
        <f>IF(A955="","",LOG10(A955))</f>
        <v/>
      </c>
      <c r="I955" s="195">
        <f>IF(B955="","",LOG10(MAX(B955,1E-12)))</f>
        <v/>
      </c>
      <c r="J955" s="195">
        <f>IF(D955="","",LOG10(MAX(D955,1E-12)))</f>
        <v/>
      </c>
      <c r="K955">
        <f>IF(A955="","",ROUND(1+(LOG10(A955)-LOG10('入力・概要'!$B$38))*('入力・概要'!$B$40-1)/(LOG10('入力・概要'!$B$39)-LOG10('入力・概要'!$B$38)),0)+3)</f>
        <v/>
      </c>
      <c r="L955">
        <f>IF(K955="","",INDEX('同相3導体'!$B:$B,K955))</f>
        <v/>
      </c>
      <c r="M955">
        <f>IF(A955="","",IF(ABS(L955/A955-1)&lt;0.01,"周波数差&lt;1%","周波数差あり"))</f>
        <v/>
      </c>
    </row>
    <row r="956">
      <c r="A956" s="197" t="n"/>
      <c r="B956" s="198" t="n"/>
      <c r="C956" s="198" t="n"/>
      <c r="D956" s="195">
        <f>IF(K956="","",INDEX('同相3導体'!$AB:$AB,K956))</f>
        <v/>
      </c>
      <c r="E956" s="195">
        <f>IF(K956="","",INDEX('同相3導体'!$AC:$AC,K956))</f>
        <v/>
      </c>
      <c r="F956" s="195">
        <f>IF(OR(A956="",B956=""),"",100*(D956-B956)/MAX(B956,1E-12))</f>
        <v/>
      </c>
      <c r="G956" s="195">
        <f>IF(OR(A956="",C956=""),"",E956-C956)</f>
        <v/>
      </c>
      <c r="H956" s="195">
        <f>IF(A956="","",LOG10(A956))</f>
        <v/>
      </c>
      <c r="I956" s="195">
        <f>IF(B956="","",LOG10(MAX(B956,1E-12)))</f>
        <v/>
      </c>
      <c r="J956" s="195">
        <f>IF(D956="","",LOG10(MAX(D956,1E-12)))</f>
        <v/>
      </c>
      <c r="K956">
        <f>IF(A956="","",ROUND(1+(LOG10(A956)-LOG10('入力・概要'!$B$38))*('入力・概要'!$B$40-1)/(LOG10('入力・概要'!$B$39)-LOG10('入力・概要'!$B$38)),0)+3)</f>
        <v/>
      </c>
      <c r="L956">
        <f>IF(K956="","",INDEX('同相3導体'!$B:$B,K956))</f>
        <v/>
      </c>
      <c r="M956">
        <f>IF(A956="","",IF(ABS(L956/A956-1)&lt;0.01,"周波数差&lt;1%","周波数差あり"))</f>
        <v/>
      </c>
    </row>
    <row r="957">
      <c r="A957" s="197" t="n"/>
      <c r="B957" s="198" t="n"/>
      <c r="C957" s="198" t="n"/>
      <c r="D957" s="195">
        <f>IF(K957="","",INDEX('同相3導体'!$AB:$AB,K957))</f>
        <v/>
      </c>
      <c r="E957" s="195">
        <f>IF(K957="","",INDEX('同相3導体'!$AC:$AC,K957))</f>
        <v/>
      </c>
      <c r="F957" s="195">
        <f>IF(OR(A957="",B957=""),"",100*(D957-B957)/MAX(B957,1E-12))</f>
        <v/>
      </c>
      <c r="G957" s="195">
        <f>IF(OR(A957="",C957=""),"",E957-C957)</f>
        <v/>
      </c>
      <c r="H957" s="195">
        <f>IF(A957="","",LOG10(A957))</f>
        <v/>
      </c>
      <c r="I957" s="195">
        <f>IF(B957="","",LOG10(MAX(B957,1E-12)))</f>
        <v/>
      </c>
      <c r="J957" s="195">
        <f>IF(D957="","",LOG10(MAX(D957,1E-12)))</f>
        <v/>
      </c>
      <c r="K957">
        <f>IF(A957="","",ROUND(1+(LOG10(A957)-LOG10('入力・概要'!$B$38))*('入力・概要'!$B$40-1)/(LOG10('入力・概要'!$B$39)-LOG10('入力・概要'!$B$38)),0)+3)</f>
        <v/>
      </c>
      <c r="L957">
        <f>IF(K957="","",INDEX('同相3導体'!$B:$B,K957))</f>
        <v/>
      </c>
      <c r="M957">
        <f>IF(A957="","",IF(ABS(L957/A957-1)&lt;0.01,"周波数差&lt;1%","周波数差あり"))</f>
        <v/>
      </c>
    </row>
    <row r="958">
      <c r="A958" s="197" t="n"/>
      <c r="B958" s="198" t="n"/>
      <c r="C958" s="198" t="n"/>
      <c r="D958" s="195">
        <f>IF(K958="","",INDEX('同相3導体'!$AB:$AB,K958))</f>
        <v/>
      </c>
      <c r="E958" s="195">
        <f>IF(K958="","",INDEX('同相3導体'!$AC:$AC,K958))</f>
        <v/>
      </c>
      <c r="F958" s="195">
        <f>IF(OR(A958="",B958=""),"",100*(D958-B958)/MAX(B958,1E-12))</f>
        <v/>
      </c>
      <c r="G958" s="195">
        <f>IF(OR(A958="",C958=""),"",E958-C958)</f>
        <v/>
      </c>
      <c r="H958" s="195">
        <f>IF(A958="","",LOG10(A958))</f>
        <v/>
      </c>
      <c r="I958" s="195">
        <f>IF(B958="","",LOG10(MAX(B958,1E-12)))</f>
        <v/>
      </c>
      <c r="J958" s="195">
        <f>IF(D958="","",LOG10(MAX(D958,1E-12)))</f>
        <v/>
      </c>
      <c r="K958">
        <f>IF(A958="","",ROUND(1+(LOG10(A958)-LOG10('入力・概要'!$B$38))*('入力・概要'!$B$40-1)/(LOG10('入力・概要'!$B$39)-LOG10('入力・概要'!$B$38)),0)+3)</f>
        <v/>
      </c>
      <c r="L958">
        <f>IF(K958="","",INDEX('同相3導体'!$B:$B,K958))</f>
        <v/>
      </c>
      <c r="M958">
        <f>IF(A958="","",IF(ABS(L958/A958-1)&lt;0.01,"周波数差&lt;1%","周波数差あり"))</f>
        <v/>
      </c>
    </row>
    <row r="959">
      <c r="A959" s="197" t="n"/>
      <c r="B959" s="198" t="n"/>
      <c r="C959" s="198" t="n"/>
      <c r="D959" s="195">
        <f>IF(K959="","",INDEX('同相3導体'!$AB:$AB,K959))</f>
        <v/>
      </c>
      <c r="E959" s="195">
        <f>IF(K959="","",INDEX('同相3導体'!$AC:$AC,K959))</f>
        <v/>
      </c>
      <c r="F959" s="195">
        <f>IF(OR(A959="",B959=""),"",100*(D959-B959)/MAX(B959,1E-12))</f>
        <v/>
      </c>
      <c r="G959" s="195">
        <f>IF(OR(A959="",C959=""),"",E959-C959)</f>
        <v/>
      </c>
      <c r="H959" s="195">
        <f>IF(A959="","",LOG10(A959))</f>
        <v/>
      </c>
      <c r="I959" s="195">
        <f>IF(B959="","",LOG10(MAX(B959,1E-12)))</f>
        <v/>
      </c>
      <c r="J959" s="195">
        <f>IF(D959="","",LOG10(MAX(D959,1E-12)))</f>
        <v/>
      </c>
      <c r="K959">
        <f>IF(A959="","",ROUND(1+(LOG10(A959)-LOG10('入力・概要'!$B$38))*('入力・概要'!$B$40-1)/(LOG10('入力・概要'!$B$39)-LOG10('入力・概要'!$B$38)),0)+3)</f>
        <v/>
      </c>
      <c r="L959">
        <f>IF(K959="","",INDEX('同相3導体'!$B:$B,K959))</f>
        <v/>
      </c>
      <c r="M959">
        <f>IF(A959="","",IF(ABS(L959/A959-1)&lt;0.01,"周波数差&lt;1%","周波数差あり"))</f>
        <v/>
      </c>
    </row>
    <row r="960">
      <c r="A960" s="197" t="n"/>
      <c r="B960" s="198" t="n"/>
      <c r="C960" s="198" t="n"/>
      <c r="D960" s="195">
        <f>IF(K960="","",INDEX('同相3導体'!$AB:$AB,K960))</f>
        <v/>
      </c>
      <c r="E960" s="195">
        <f>IF(K960="","",INDEX('同相3導体'!$AC:$AC,K960))</f>
        <v/>
      </c>
      <c r="F960" s="195">
        <f>IF(OR(A960="",B960=""),"",100*(D960-B960)/MAX(B960,1E-12))</f>
        <v/>
      </c>
      <c r="G960" s="195">
        <f>IF(OR(A960="",C960=""),"",E960-C960)</f>
        <v/>
      </c>
      <c r="H960" s="195">
        <f>IF(A960="","",LOG10(A960))</f>
        <v/>
      </c>
      <c r="I960" s="195">
        <f>IF(B960="","",LOG10(MAX(B960,1E-12)))</f>
        <v/>
      </c>
      <c r="J960" s="195">
        <f>IF(D960="","",LOG10(MAX(D960,1E-12)))</f>
        <v/>
      </c>
      <c r="K960">
        <f>IF(A960="","",ROUND(1+(LOG10(A960)-LOG10('入力・概要'!$B$38))*('入力・概要'!$B$40-1)/(LOG10('入力・概要'!$B$39)-LOG10('入力・概要'!$B$38)),0)+3)</f>
        <v/>
      </c>
      <c r="L960">
        <f>IF(K960="","",INDEX('同相3導体'!$B:$B,K960))</f>
        <v/>
      </c>
      <c r="M960">
        <f>IF(A960="","",IF(ABS(L960/A960-1)&lt;0.01,"周波数差&lt;1%","周波数差あり"))</f>
        <v/>
      </c>
    </row>
    <row r="961">
      <c r="A961" s="197" t="n"/>
      <c r="B961" s="198" t="n"/>
      <c r="C961" s="198" t="n"/>
      <c r="D961" s="195">
        <f>IF(K961="","",INDEX('同相3導体'!$AB:$AB,K961))</f>
        <v/>
      </c>
      <c r="E961" s="195">
        <f>IF(K961="","",INDEX('同相3導体'!$AC:$AC,K961))</f>
        <v/>
      </c>
      <c r="F961" s="195">
        <f>IF(OR(A961="",B961=""),"",100*(D961-B961)/MAX(B961,1E-12))</f>
        <v/>
      </c>
      <c r="G961" s="195">
        <f>IF(OR(A961="",C961=""),"",E961-C961)</f>
        <v/>
      </c>
      <c r="H961" s="195">
        <f>IF(A961="","",LOG10(A961))</f>
        <v/>
      </c>
      <c r="I961" s="195">
        <f>IF(B961="","",LOG10(MAX(B961,1E-12)))</f>
        <v/>
      </c>
      <c r="J961" s="195">
        <f>IF(D961="","",LOG10(MAX(D961,1E-12)))</f>
        <v/>
      </c>
      <c r="K961">
        <f>IF(A961="","",ROUND(1+(LOG10(A961)-LOG10('入力・概要'!$B$38))*('入力・概要'!$B$40-1)/(LOG10('入力・概要'!$B$39)-LOG10('入力・概要'!$B$38)),0)+3)</f>
        <v/>
      </c>
      <c r="L961">
        <f>IF(K961="","",INDEX('同相3導体'!$B:$B,K961))</f>
        <v/>
      </c>
      <c r="M961">
        <f>IF(A961="","",IF(ABS(L961/A961-1)&lt;0.01,"周波数差&lt;1%","周波数差あり"))</f>
        <v/>
      </c>
    </row>
    <row r="962">
      <c r="A962" s="197" t="n"/>
      <c r="B962" s="198" t="n"/>
      <c r="C962" s="198" t="n"/>
      <c r="D962" s="195">
        <f>IF(K962="","",INDEX('同相3導体'!$AB:$AB,K962))</f>
        <v/>
      </c>
      <c r="E962" s="195">
        <f>IF(K962="","",INDEX('同相3導体'!$AC:$AC,K962))</f>
        <v/>
      </c>
      <c r="F962" s="195">
        <f>IF(OR(A962="",B962=""),"",100*(D962-B962)/MAX(B962,1E-12))</f>
        <v/>
      </c>
      <c r="G962" s="195">
        <f>IF(OR(A962="",C962=""),"",E962-C962)</f>
        <v/>
      </c>
      <c r="H962" s="195">
        <f>IF(A962="","",LOG10(A962))</f>
        <v/>
      </c>
      <c r="I962" s="195">
        <f>IF(B962="","",LOG10(MAX(B962,1E-12)))</f>
        <v/>
      </c>
      <c r="J962" s="195">
        <f>IF(D962="","",LOG10(MAX(D962,1E-12)))</f>
        <v/>
      </c>
      <c r="K962">
        <f>IF(A962="","",ROUND(1+(LOG10(A962)-LOG10('入力・概要'!$B$38))*('入力・概要'!$B$40-1)/(LOG10('入力・概要'!$B$39)-LOG10('入力・概要'!$B$38)),0)+3)</f>
        <v/>
      </c>
      <c r="L962">
        <f>IF(K962="","",INDEX('同相3導体'!$B:$B,K962))</f>
        <v/>
      </c>
      <c r="M962">
        <f>IF(A962="","",IF(ABS(L962/A962-1)&lt;0.01,"周波数差&lt;1%","周波数差あり"))</f>
        <v/>
      </c>
    </row>
    <row r="963">
      <c r="A963" s="197" t="n"/>
      <c r="B963" s="198" t="n"/>
      <c r="C963" s="198" t="n"/>
      <c r="D963" s="195">
        <f>IF(K963="","",INDEX('同相3導体'!$AB:$AB,K963))</f>
        <v/>
      </c>
      <c r="E963" s="195">
        <f>IF(K963="","",INDEX('同相3導体'!$AC:$AC,K963))</f>
        <v/>
      </c>
      <c r="F963" s="195">
        <f>IF(OR(A963="",B963=""),"",100*(D963-B963)/MAX(B963,1E-12))</f>
        <v/>
      </c>
      <c r="G963" s="195">
        <f>IF(OR(A963="",C963=""),"",E963-C963)</f>
        <v/>
      </c>
      <c r="H963" s="195">
        <f>IF(A963="","",LOG10(A963))</f>
        <v/>
      </c>
      <c r="I963" s="195">
        <f>IF(B963="","",LOG10(MAX(B963,1E-12)))</f>
        <v/>
      </c>
      <c r="J963" s="195">
        <f>IF(D963="","",LOG10(MAX(D963,1E-12)))</f>
        <v/>
      </c>
      <c r="K963">
        <f>IF(A963="","",ROUND(1+(LOG10(A963)-LOG10('入力・概要'!$B$38))*('入力・概要'!$B$40-1)/(LOG10('入力・概要'!$B$39)-LOG10('入力・概要'!$B$38)),0)+3)</f>
        <v/>
      </c>
      <c r="L963">
        <f>IF(K963="","",INDEX('同相3導体'!$B:$B,K963))</f>
        <v/>
      </c>
      <c r="M963">
        <f>IF(A963="","",IF(ABS(L963/A963-1)&lt;0.01,"周波数差&lt;1%","周波数差あり"))</f>
        <v/>
      </c>
    </row>
    <row r="964">
      <c r="A964" s="197" t="n"/>
      <c r="B964" s="198" t="n"/>
      <c r="C964" s="198" t="n"/>
      <c r="D964" s="195">
        <f>IF(K964="","",INDEX('同相3導体'!$AB:$AB,K964))</f>
        <v/>
      </c>
      <c r="E964" s="195">
        <f>IF(K964="","",INDEX('同相3導体'!$AC:$AC,K964))</f>
        <v/>
      </c>
      <c r="F964" s="195">
        <f>IF(OR(A964="",B964=""),"",100*(D964-B964)/MAX(B964,1E-12))</f>
        <v/>
      </c>
      <c r="G964" s="195">
        <f>IF(OR(A964="",C964=""),"",E964-C964)</f>
        <v/>
      </c>
      <c r="H964" s="195">
        <f>IF(A964="","",LOG10(A964))</f>
        <v/>
      </c>
      <c r="I964" s="195">
        <f>IF(B964="","",LOG10(MAX(B964,1E-12)))</f>
        <v/>
      </c>
      <c r="J964" s="195">
        <f>IF(D964="","",LOG10(MAX(D964,1E-12)))</f>
        <v/>
      </c>
      <c r="K964">
        <f>IF(A964="","",ROUND(1+(LOG10(A964)-LOG10('入力・概要'!$B$38))*('入力・概要'!$B$40-1)/(LOG10('入力・概要'!$B$39)-LOG10('入力・概要'!$B$38)),0)+3)</f>
        <v/>
      </c>
      <c r="L964">
        <f>IF(K964="","",INDEX('同相3導体'!$B:$B,K964))</f>
        <v/>
      </c>
      <c r="M964">
        <f>IF(A964="","",IF(ABS(L964/A964-1)&lt;0.01,"周波数差&lt;1%","周波数差あり"))</f>
        <v/>
      </c>
    </row>
    <row r="965">
      <c r="A965" s="197" t="n"/>
      <c r="B965" s="198" t="n"/>
      <c r="C965" s="198" t="n"/>
      <c r="D965" s="195">
        <f>IF(K965="","",INDEX('同相3導体'!$AB:$AB,K965))</f>
        <v/>
      </c>
      <c r="E965" s="195">
        <f>IF(K965="","",INDEX('同相3導体'!$AC:$AC,K965))</f>
        <v/>
      </c>
      <c r="F965" s="195">
        <f>IF(OR(A965="",B965=""),"",100*(D965-B965)/MAX(B965,1E-12))</f>
        <v/>
      </c>
      <c r="G965" s="195">
        <f>IF(OR(A965="",C965=""),"",E965-C965)</f>
        <v/>
      </c>
      <c r="H965" s="195">
        <f>IF(A965="","",LOG10(A965))</f>
        <v/>
      </c>
      <c r="I965" s="195">
        <f>IF(B965="","",LOG10(MAX(B965,1E-12)))</f>
        <v/>
      </c>
      <c r="J965" s="195">
        <f>IF(D965="","",LOG10(MAX(D965,1E-12)))</f>
        <v/>
      </c>
      <c r="K965">
        <f>IF(A965="","",ROUND(1+(LOG10(A965)-LOG10('入力・概要'!$B$38))*('入力・概要'!$B$40-1)/(LOG10('入力・概要'!$B$39)-LOG10('入力・概要'!$B$38)),0)+3)</f>
        <v/>
      </c>
      <c r="L965">
        <f>IF(K965="","",INDEX('同相3導体'!$B:$B,K965))</f>
        <v/>
      </c>
      <c r="M965">
        <f>IF(A965="","",IF(ABS(L965/A965-1)&lt;0.01,"周波数差&lt;1%","周波数差あり"))</f>
        <v/>
      </c>
    </row>
    <row r="966">
      <c r="A966" s="197" t="n"/>
      <c r="B966" s="198" t="n"/>
      <c r="C966" s="198" t="n"/>
      <c r="D966" s="195">
        <f>IF(K966="","",INDEX('同相3導体'!$AB:$AB,K966))</f>
        <v/>
      </c>
      <c r="E966" s="195">
        <f>IF(K966="","",INDEX('同相3導体'!$AC:$AC,K966))</f>
        <v/>
      </c>
      <c r="F966" s="195">
        <f>IF(OR(A966="",B966=""),"",100*(D966-B966)/MAX(B966,1E-12))</f>
        <v/>
      </c>
      <c r="G966" s="195">
        <f>IF(OR(A966="",C966=""),"",E966-C966)</f>
        <v/>
      </c>
      <c r="H966" s="195">
        <f>IF(A966="","",LOG10(A966))</f>
        <v/>
      </c>
      <c r="I966" s="195">
        <f>IF(B966="","",LOG10(MAX(B966,1E-12)))</f>
        <v/>
      </c>
      <c r="J966" s="195">
        <f>IF(D966="","",LOG10(MAX(D966,1E-12)))</f>
        <v/>
      </c>
      <c r="K966">
        <f>IF(A966="","",ROUND(1+(LOG10(A966)-LOG10('入力・概要'!$B$38))*('入力・概要'!$B$40-1)/(LOG10('入力・概要'!$B$39)-LOG10('入力・概要'!$B$38)),0)+3)</f>
        <v/>
      </c>
      <c r="L966">
        <f>IF(K966="","",INDEX('同相3導体'!$B:$B,K966))</f>
        <v/>
      </c>
      <c r="M966">
        <f>IF(A966="","",IF(ABS(L966/A966-1)&lt;0.01,"周波数差&lt;1%","周波数差あり"))</f>
        <v/>
      </c>
    </row>
    <row r="967">
      <c r="A967" s="197" t="n"/>
      <c r="B967" s="198" t="n"/>
      <c r="C967" s="198" t="n"/>
      <c r="D967" s="195">
        <f>IF(K967="","",INDEX('同相3導体'!$AB:$AB,K967))</f>
        <v/>
      </c>
      <c r="E967" s="195">
        <f>IF(K967="","",INDEX('同相3導体'!$AC:$AC,K967))</f>
        <v/>
      </c>
      <c r="F967" s="195">
        <f>IF(OR(A967="",B967=""),"",100*(D967-B967)/MAX(B967,1E-12))</f>
        <v/>
      </c>
      <c r="G967" s="195">
        <f>IF(OR(A967="",C967=""),"",E967-C967)</f>
        <v/>
      </c>
      <c r="H967" s="195">
        <f>IF(A967="","",LOG10(A967))</f>
        <v/>
      </c>
      <c r="I967" s="195">
        <f>IF(B967="","",LOG10(MAX(B967,1E-12)))</f>
        <v/>
      </c>
      <c r="J967" s="195">
        <f>IF(D967="","",LOG10(MAX(D967,1E-12)))</f>
        <v/>
      </c>
      <c r="K967">
        <f>IF(A967="","",ROUND(1+(LOG10(A967)-LOG10('入力・概要'!$B$38))*('入力・概要'!$B$40-1)/(LOG10('入力・概要'!$B$39)-LOG10('入力・概要'!$B$38)),0)+3)</f>
        <v/>
      </c>
      <c r="L967">
        <f>IF(K967="","",INDEX('同相3導体'!$B:$B,K967))</f>
        <v/>
      </c>
      <c r="M967">
        <f>IF(A967="","",IF(ABS(L967/A967-1)&lt;0.01,"周波数差&lt;1%","周波数差あり"))</f>
        <v/>
      </c>
    </row>
    <row r="968">
      <c r="A968" s="197" t="n"/>
      <c r="B968" s="198" t="n"/>
      <c r="C968" s="198" t="n"/>
      <c r="D968" s="195">
        <f>IF(K968="","",INDEX('同相3導体'!$AB:$AB,K968))</f>
        <v/>
      </c>
      <c r="E968" s="195">
        <f>IF(K968="","",INDEX('同相3導体'!$AC:$AC,K968))</f>
        <v/>
      </c>
      <c r="F968" s="195">
        <f>IF(OR(A968="",B968=""),"",100*(D968-B968)/MAX(B968,1E-12))</f>
        <v/>
      </c>
      <c r="G968" s="195">
        <f>IF(OR(A968="",C968=""),"",E968-C968)</f>
        <v/>
      </c>
      <c r="H968" s="195">
        <f>IF(A968="","",LOG10(A968))</f>
        <v/>
      </c>
      <c r="I968" s="195">
        <f>IF(B968="","",LOG10(MAX(B968,1E-12)))</f>
        <v/>
      </c>
      <c r="J968" s="195">
        <f>IF(D968="","",LOG10(MAX(D968,1E-12)))</f>
        <v/>
      </c>
      <c r="K968">
        <f>IF(A968="","",ROUND(1+(LOG10(A968)-LOG10('入力・概要'!$B$38))*('入力・概要'!$B$40-1)/(LOG10('入力・概要'!$B$39)-LOG10('入力・概要'!$B$38)),0)+3)</f>
        <v/>
      </c>
      <c r="L968">
        <f>IF(K968="","",INDEX('同相3導体'!$B:$B,K968))</f>
        <v/>
      </c>
      <c r="M968">
        <f>IF(A968="","",IF(ABS(L968/A968-1)&lt;0.01,"周波数差&lt;1%","周波数差あり"))</f>
        <v/>
      </c>
    </row>
    <row r="969">
      <c r="A969" s="197" t="n"/>
      <c r="B969" s="198" t="n"/>
      <c r="C969" s="198" t="n"/>
      <c r="D969" s="195">
        <f>IF(K969="","",INDEX('同相3導体'!$AB:$AB,K969))</f>
        <v/>
      </c>
      <c r="E969" s="195">
        <f>IF(K969="","",INDEX('同相3導体'!$AC:$AC,K969))</f>
        <v/>
      </c>
      <c r="F969" s="195">
        <f>IF(OR(A969="",B969=""),"",100*(D969-B969)/MAX(B969,1E-12))</f>
        <v/>
      </c>
      <c r="G969" s="195">
        <f>IF(OR(A969="",C969=""),"",E969-C969)</f>
        <v/>
      </c>
      <c r="H969" s="195">
        <f>IF(A969="","",LOG10(A969))</f>
        <v/>
      </c>
      <c r="I969" s="195">
        <f>IF(B969="","",LOG10(MAX(B969,1E-12)))</f>
        <v/>
      </c>
      <c r="J969" s="195">
        <f>IF(D969="","",LOG10(MAX(D969,1E-12)))</f>
        <v/>
      </c>
      <c r="K969">
        <f>IF(A969="","",ROUND(1+(LOG10(A969)-LOG10('入力・概要'!$B$38))*('入力・概要'!$B$40-1)/(LOG10('入力・概要'!$B$39)-LOG10('入力・概要'!$B$38)),0)+3)</f>
        <v/>
      </c>
      <c r="L969">
        <f>IF(K969="","",INDEX('同相3導体'!$B:$B,K969))</f>
        <v/>
      </c>
      <c r="M969">
        <f>IF(A969="","",IF(ABS(L969/A969-1)&lt;0.01,"周波数差&lt;1%","周波数差あり"))</f>
        <v/>
      </c>
    </row>
    <row r="970">
      <c r="A970" s="197" t="n"/>
      <c r="B970" s="198" t="n"/>
      <c r="C970" s="198" t="n"/>
      <c r="D970" s="195">
        <f>IF(K970="","",INDEX('同相3導体'!$AB:$AB,K970))</f>
        <v/>
      </c>
      <c r="E970" s="195">
        <f>IF(K970="","",INDEX('同相3導体'!$AC:$AC,K970))</f>
        <v/>
      </c>
      <c r="F970" s="195">
        <f>IF(OR(A970="",B970=""),"",100*(D970-B970)/MAX(B970,1E-12))</f>
        <v/>
      </c>
      <c r="G970" s="195">
        <f>IF(OR(A970="",C970=""),"",E970-C970)</f>
        <v/>
      </c>
      <c r="H970" s="195">
        <f>IF(A970="","",LOG10(A970))</f>
        <v/>
      </c>
      <c r="I970" s="195">
        <f>IF(B970="","",LOG10(MAX(B970,1E-12)))</f>
        <v/>
      </c>
      <c r="J970" s="195">
        <f>IF(D970="","",LOG10(MAX(D970,1E-12)))</f>
        <v/>
      </c>
      <c r="K970">
        <f>IF(A970="","",ROUND(1+(LOG10(A970)-LOG10('入力・概要'!$B$38))*('入力・概要'!$B$40-1)/(LOG10('入力・概要'!$B$39)-LOG10('入力・概要'!$B$38)),0)+3)</f>
        <v/>
      </c>
      <c r="L970">
        <f>IF(K970="","",INDEX('同相3導体'!$B:$B,K970))</f>
        <v/>
      </c>
      <c r="M970">
        <f>IF(A970="","",IF(ABS(L970/A970-1)&lt;0.01,"周波数差&lt;1%","周波数差あり"))</f>
        <v/>
      </c>
    </row>
    <row r="971">
      <c r="A971" s="197" t="n"/>
      <c r="B971" s="198" t="n"/>
      <c r="C971" s="198" t="n"/>
      <c r="D971" s="195">
        <f>IF(K971="","",INDEX('同相3導体'!$AB:$AB,K971))</f>
        <v/>
      </c>
      <c r="E971" s="195">
        <f>IF(K971="","",INDEX('同相3導体'!$AC:$AC,K971))</f>
        <v/>
      </c>
      <c r="F971" s="195">
        <f>IF(OR(A971="",B971=""),"",100*(D971-B971)/MAX(B971,1E-12))</f>
        <v/>
      </c>
      <c r="G971" s="195">
        <f>IF(OR(A971="",C971=""),"",E971-C971)</f>
        <v/>
      </c>
      <c r="H971" s="195">
        <f>IF(A971="","",LOG10(A971))</f>
        <v/>
      </c>
      <c r="I971" s="195">
        <f>IF(B971="","",LOG10(MAX(B971,1E-12)))</f>
        <v/>
      </c>
      <c r="J971" s="195">
        <f>IF(D971="","",LOG10(MAX(D971,1E-12)))</f>
        <v/>
      </c>
      <c r="K971">
        <f>IF(A971="","",ROUND(1+(LOG10(A971)-LOG10('入力・概要'!$B$38))*('入力・概要'!$B$40-1)/(LOG10('入力・概要'!$B$39)-LOG10('入力・概要'!$B$38)),0)+3)</f>
        <v/>
      </c>
      <c r="L971">
        <f>IF(K971="","",INDEX('同相3導体'!$B:$B,K971))</f>
        <v/>
      </c>
      <c r="M971">
        <f>IF(A971="","",IF(ABS(L971/A971-1)&lt;0.01,"周波数差&lt;1%","周波数差あり"))</f>
        <v/>
      </c>
    </row>
    <row r="972">
      <c r="A972" s="197" t="n"/>
      <c r="B972" s="198" t="n"/>
      <c r="C972" s="198" t="n"/>
      <c r="D972" s="195">
        <f>IF(K972="","",INDEX('同相3導体'!$AB:$AB,K972))</f>
        <v/>
      </c>
      <c r="E972" s="195">
        <f>IF(K972="","",INDEX('同相3導体'!$AC:$AC,K972))</f>
        <v/>
      </c>
      <c r="F972" s="195">
        <f>IF(OR(A972="",B972=""),"",100*(D972-B972)/MAX(B972,1E-12))</f>
        <v/>
      </c>
      <c r="G972" s="195">
        <f>IF(OR(A972="",C972=""),"",E972-C972)</f>
        <v/>
      </c>
      <c r="H972" s="195">
        <f>IF(A972="","",LOG10(A972))</f>
        <v/>
      </c>
      <c r="I972" s="195">
        <f>IF(B972="","",LOG10(MAX(B972,1E-12)))</f>
        <v/>
      </c>
      <c r="J972" s="195">
        <f>IF(D972="","",LOG10(MAX(D972,1E-12)))</f>
        <v/>
      </c>
      <c r="K972">
        <f>IF(A972="","",ROUND(1+(LOG10(A972)-LOG10('入力・概要'!$B$38))*('入力・概要'!$B$40-1)/(LOG10('入力・概要'!$B$39)-LOG10('入力・概要'!$B$38)),0)+3)</f>
        <v/>
      </c>
      <c r="L972">
        <f>IF(K972="","",INDEX('同相3導体'!$B:$B,K972))</f>
        <v/>
      </c>
      <c r="M972">
        <f>IF(A972="","",IF(ABS(L972/A972-1)&lt;0.01,"周波数差&lt;1%","周波数差あり"))</f>
        <v/>
      </c>
    </row>
    <row r="973">
      <c r="A973" s="197" t="n"/>
      <c r="B973" s="198" t="n"/>
      <c r="C973" s="198" t="n"/>
      <c r="D973" s="195">
        <f>IF(K973="","",INDEX('同相3導体'!$AB:$AB,K973))</f>
        <v/>
      </c>
      <c r="E973" s="195">
        <f>IF(K973="","",INDEX('同相3導体'!$AC:$AC,K973))</f>
        <v/>
      </c>
      <c r="F973" s="195">
        <f>IF(OR(A973="",B973=""),"",100*(D973-B973)/MAX(B973,1E-12))</f>
        <v/>
      </c>
      <c r="G973" s="195">
        <f>IF(OR(A973="",C973=""),"",E973-C973)</f>
        <v/>
      </c>
      <c r="H973" s="195">
        <f>IF(A973="","",LOG10(A973))</f>
        <v/>
      </c>
      <c r="I973" s="195">
        <f>IF(B973="","",LOG10(MAX(B973,1E-12)))</f>
        <v/>
      </c>
      <c r="J973" s="195">
        <f>IF(D973="","",LOG10(MAX(D973,1E-12)))</f>
        <v/>
      </c>
      <c r="K973">
        <f>IF(A973="","",ROUND(1+(LOG10(A973)-LOG10('入力・概要'!$B$38))*('入力・概要'!$B$40-1)/(LOG10('入力・概要'!$B$39)-LOG10('入力・概要'!$B$38)),0)+3)</f>
        <v/>
      </c>
      <c r="L973">
        <f>IF(K973="","",INDEX('同相3導体'!$B:$B,K973))</f>
        <v/>
      </c>
      <c r="M973">
        <f>IF(A973="","",IF(ABS(L973/A973-1)&lt;0.01,"周波数差&lt;1%","周波数差あり"))</f>
        <v/>
      </c>
    </row>
    <row r="974">
      <c r="A974" s="197" t="n"/>
      <c r="B974" s="198" t="n"/>
      <c r="C974" s="198" t="n"/>
      <c r="D974" s="195">
        <f>IF(K974="","",INDEX('同相3導体'!$AB:$AB,K974))</f>
        <v/>
      </c>
      <c r="E974" s="195">
        <f>IF(K974="","",INDEX('同相3導体'!$AC:$AC,K974))</f>
        <v/>
      </c>
      <c r="F974" s="195">
        <f>IF(OR(A974="",B974=""),"",100*(D974-B974)/MAX(B974,1E-12))</f>
        <v/>
      </c>
      <c r="G974" s="195">
        <f>IF(OR(A974="",C974=""),"",E974-C974)</f>
        <v/>
      </c>
      <c r="H974" s="195">
        <f>IF(A974="","",LOG10(A974))</f>
        <v/>
      </c>
      <c r="I974" s="195">
        <f>IF(B974="","",LOG10(MAX(B974,1E-12)))</f>
        <v/>
      </c>
      <c r="J974" s="195">
        <f>IF(D974="","",LOG10(MAX(D974,1E-12)))</f>
        <v/>
      </c>
      <c r="K974">
        <f>IF(A974="","",ROUND(1+(LOG10(A974)-LOG10('入力・概要'!$B$38))*('入力・概要'!$B$40-1)/(LOG10('入力・概要'!$B$39)-LOG10('入力・概要'!$B$38)),0)+3)</f>
        <v/>
      </c>
      <c r="L974">
        <f>IF(K974="","",INDEX('同相3導体'!$B:$B,K974))</f>
        <v/>
      </c>
      <c r="M974">
        <f>IF(A974="","",IF(ABS(L974/A974-1)&lt;0.01,"周波数差&lt;1%","周波数差あり"))</f>
        <v/>
      </c>
    </row>
    <row r="975">
      <c r="A975" s="197" t="n"/>
      <c r="B975" s="198" t="n"/>
      <c r="C975" s="198" t="n"/>
      <c r="D975" s="195">
        <f>IF(K975="","",INDEX('同相3導体'!$AB:$AB,K975))</f>
        <v/>
      </c>
      <c r="E975" s="195">
        <f>IF(K975="","",INDEX('同相3導体'!$AC:$AC,K975))</f>
        <v/>
      </c>
      <c r="F975" s="195">
        <f>IF(OR(A975="",B975=""),"",100*(D975-B975)/MAX(B975,1E-12))</f>
        <v/>
      </c>
      <c r="G975" s="195">
        <f>IF(OR(A975="",C975=""),"",E975-C975)</f>
        <v/>
      </c>
      <c r="H975" s="195">
        <f>IF(A975="","",LOG10(A975))</f>
        <v/>
      </c>
      <c r="I975" s="195">
        <f>IF(B975="","",LOG10(MAX(B975,1E-12)))</f>
        <v/>
      </c>
      <c r="J975" s="195">
        <f>IF(D975="","",LOG10(MAX(D975,1E-12)))</f>
        <v/>
      </c>
      <c r="K975">
        <f>IF(A975="","",ROUND(1+(LOG10(A975)-LOG10('入力・概要'!$B$38))*('入力・概要'!$B$40-1)/(LOG10('入力・概要'!$B$39)-LOG10('入力・概要'!$B$38)),0)+3)</f>
        <v/>
      </c>
      <c r="L975">
        <f>IF(K975="","",INDEX('同相3導体'!$B:$B,K975))</f>
        <v/>
      </c>
      <c r="M975">
        <f>IF(A975="","",IF(ABS(L975/A975-1)&lt;0.01,"周波数差&lt;1%","周波数差あり"))</f>
        <v/>
      </c>
    </row>
    <row r="976">
      <c r="A976" s="197" t="n"/>
      <c r="B976" s="198" t="n"/>
      <c r="C976" s="198" t="n"/>
      <c r="D976" s="195">
        <f>IF(K976="","",INDEX('同相3導体'!$AB:$AB,K976))</f>
        <v/>
      </c>
      <c r="E976" s="195">
        <f>IF(K976="","",INDEX('同相3導体'!$AC:$AC,K976))</f>
        <v/>
      </c>
      <c r="F976" s="195">
        <f>IF(OR(A976="",B976=""),"",100*(D976-B976)/MAX(B976,1E-12))</f>
        <v/>
      </c>
      <c r="G976" s="195">
        <f>IF(OR(A976="",C976=""),"",E976-C976)</f>
        <v/>
      </c>
      <c r="H976" s="195">
        <f>IF(A976="","",LOG10(A976))</f>
        <v/>
      </c>
      <c r="I976" s="195">
        <f>IF(B976="","",LOG10(MAX(B976,1E-12)))</f>
        <v/>
      </c>
      <c r="J976" s="195">
        <f>IF(D976="","",LOG10(MAX(D976,1E-12)))</f>
        <v/>
      </c>
      <c r="K976">
        <f>IF(A976="","",ROUND(1+(LOG10(A976)-LOG10('入力・概要'!$B$38))*('入力・概要'!$B$40-1)/(LOG10('入力・概要'!$B$39)-LOG10('入力・概要'!$B$38)),0)+3)</f>
        <v/>
      </c>
      <c r="L976">
        <f>IF(K976="","",INDEX('同相3導体'!$B:$B,K976))</f>
        <v/>
      </c>
      <c r="M976">
        <f>IF(A976="","",IF(ABS(L976/A976-1)&lt;0.01,"周波数差&lt;1%","周波数差あり"))</f>
        <v/>
      </c>
    </row>
    <row r="977">
      <c r="A977" s="197" t="n"/>
      <c r="B977" s="198" t="n"/>
      <c r="C977" s="198" t="n"/>
      <c r="D977" s="195">
        <f>IF(K977="","",INDEX('同相3導体'!$AB:$AB,K977))</f>
        <v/>
      </c>
      <c r="E977" s="195">
        <f>IF(K977="","",INDEX('同相3導体'!$AC:$AC,K977))</f>
        <v/>
      </c>
      <c r="F977" s="195">
        <f>IF(OR(A977="",B977=""),"",100*(D977-B977)/MAX(B977,1E-12))</f>
        <v/>
      </c>
      <c r="G977" s="195">
        <f>IF(OR(A977="",C977=""),"",E977-C977)</f>
        <v/>
      </c>
      <c r="H977" s="195">
        <f>IF(A977="","",LOG10(A977))</f>
        <v/>
      </c>
      <c r="I977" s="195">
        <f>IF(B977="","",LOG10(MAX(B977,1E-12)))</f>
        <v/>
      </c>
      <c r="J977" s="195">
        <f>IF(D977="","",LOG10(MAX(D977,1E-12)))</f>
        <v/>
      </c>
      <c r="K977">
        <f>IF(A977="","",ROUND(1+(LOG10(A977)-LOG10('入力・概要'!$B$38))*('入力・概要'!$B$40-1)/(LOG10('入力・概要'!$B$39)-LOG10('入力・概要'!$B$38)),0)+3)</f>
        <v/>
      </c>
      <c r="L977">
        <f>IF(K977="","",INDEX('同相3導体'!$B:$B,K977))</f>
        <v/>
      </c>
      <c r="M977">
        <f>IF(A977="","",IF(ABS(L977/A977-1)&lt;0.01,"周波数差&lt;1%","周波数差あり"))</f>
        <v/>
      </c>
    </row>
    <row r="978">
      <c r="A978" s="197" t="n"/>
      <c r="B978" s="198" t="n"/>
      <c r="C978" s="198" t="n"/>
      <c r="D978" s="195">
        <f>IF(K978="","",INDEX('同相3導体'!$AB:$AB,K978))</f>
        <v/>
      </c>
      <c r="E978" s="195">
        <f>IF(K978="","",INDEX('同相3導体'!$AC:$AC,K978))</f>
        <v/>
      </c>
      <c r="F978" s="195">
        <f>IF(OR(A978="",B978=""),"",100*(D978-B978)/MAX(B978,1E-12))</f>
        <v/>
      </c>
      <c r="G978" s="195">
        <f>IF(OR(A978="",C978=""),"",E978-C978)</f>
        <v/>
      </c>
      <c r="H978" s="195">
        <f>IF(A978="","",LOG10(A978))</f>
        <v/>
      </c>
      <c r="I978" s="195">
        <f>IF(B978="","",LOG10(MAX(B978,1E-12)))</f>
        <v/>
      </c>
      <c r="J978" s="195">
        <f>IF(D978="","",LOG10(MAX(D978,1E-12)))</f>
        <v/>
      </c>
      <c r="K978">
        <f>IF(A978="","",ROUND(1+(LOG10(A978)-LOG10('入力・概要'!$B$38))*('入力・概要'!$B$40-1)/(LOG10('入力・概要'!$B$39)-LOG10('入力・概要'!$B$38)),0)+3)</f>
        <v/>
      </c>
      <c r="L978">
        <f>IF(K978="","",INDEX('同相3導体'!$B:$B,K978))</f>
        <v/>
      </c>
      <c r="M978">
        <f>IF(A978="","",IF(ABS(L978/A978-1)&lt;0.01,"周波数差&lt;1%","周波数差あり"))</f>
        <v/>
      </c>
    </row>
    <row r="979">
      <c r="A979" s="197" t="n"/>
      <c r="B979" s="198" t="n"/>
      <c r="C979" s="198" t="n"/>
      <c r="D979" s="195">
        <f>IF(K979="","",INDEX('同相3導体'!$AB:$AB,K979))</f>
        <v/>
      </c>
      <c r="E979" s="195">
        <f>IF(K979="","",INDEX('同相3導体'!$AC:$AC,K979))</f>
        <v/>
      </c>
      <c r="F979" s="195">
        <f>IF(OR(A979="",B979=""),"",100*(D979-B979)/MAX(B979,1E-12))</f>
        <v/>
      </c>
      <c r="G979" s="195">
        <f>IF(OR(A979="",C979=""),"",E979-C979)</f>
        <v/>
      </c>
      <c r="H979" s="195">
        <f>IF(A979="","",LOG10(A979))</f>
        <v/>
      </c>
      <c r="I979" s="195">
        <f>IF(B979="","",LOG10(MAX(B979,1E-12)))</f>
        <v/>
      </c>
      <c r="J979" s="195">
        <f>IF(D979="","",LOG10(MAX(D979,1E-12)))</f>
        <v/>
      </c>
      <c r="K979">
        <f>IF(A979="","",ROUND(1+(LOG10(A979)-LOG10('入力・概要'!$B$38))*('入力・概要'!$B$40-1)/(LOG10('入力・概要'!$B$39)-LOG10('入力・概要'!$B$38)),0)+3)</f>
        <v/>
      </c>
      <c r="L979">
        <f>IF(K979="","",INDEX('同相3導体'!$B:$B,K979))</f>
        <v/>
      </c>
      <c r="M979">
        <f>IF(A979="","",IF(ABS(L979/A979-1)&lt;0.01,"周波数差&lt;1%","周波数差あり"))</f>
        <v/>
      </c>
    </row>
    <row r="980">
      <c r="A980" s="197" t="n"/>
      <c r="B980" s="198" t="n"/>
      <c r="C980" s="198" t="n"/>
      <c r="D980" s="195">
        <f>IF(K980="","",INDEX('同相3導体'!$AB:$AB,K980))</f>
        <v/>
      </c>
      <c r="E980" s="195">
        <f>IF(K980="","",INDEX('同相3導体'!$AC:$AC,K980))</f>
        <v/>
      </c>
      <c r="F980" s="195">
        <f>IF(OR(A980="",B980=""),"",100*(D980-B980)/MAX(B980,1E-12))</f>
        <v/>
      </c>
      <c r="G980" s="195">
        <f>IF(OR(A980="",C980=""),"",E980-C980)</f>
        <v/>
      </c>
      <c r="H980" s="195">
        <f>IF(A980="","",LOG10(A980))</f>
        <v/>
      </c>
      <c r="I980" s="195">
        <f>IF(B980="","",LOG10(MAX(B980,1E-12)))</f>
        <v/>
      </c>
      <c r="J980" s="195">
        <f>IF(D980="","",LOG10(MAX(D980,1E-12)))</f>
        <v/>
      </c>
      <c r="K980">
        <f>IF(A980="","",ROUND(1+(LOG10(A980)-LOG10('入力・概要'!$B$38))*('入力・概要'!$B$40-1)/(LOG10('入力・概要'!$B$39)-LOG10('入力・概要'!$B$38)),0)+3)</f>
        <v/>
      </c>
      <c r="L980">
        <f>IF(K980="","",INDEX('同相3導体'!$B:$B,K980))</f>
        <v/>
      </c>
      <c r="M980">
        <f>IF(A980="","",IF(ABS(L980/A980-1)&lt;0.01,"周波数差&lt;1%","周波数差あり"))</f>
        <v/>
      </c>
    </row>
    <row r="981">
      <c r="A981" s="197" t="n"/>
      <c r="B981" s="198" t="n"/>
      <c r="C981" s="198" t="n"/>
      <c r="D981" s="195">
        <f>IF(K981="","",INDEX('同相3導体'!$AB:$AB,K981))</f>
        <v/>
      </c>
      <c r="E981" s="195">
        <f>IF(K981="","",INDEX('同相3導体'!$AC:$AC,K981))</f>
        <v/>
      </c>
      <c r="F981" s="195">
        <f>IF(OR(A981="",B981=""),"",100*(D981-B981)/MAX(B981,1E-12))</f>
        <v/>
      </c>
      <c r="G981" s="195">
        <f>IF(OR(A981="",C981=""),"",E981-C981)</f>
        <v/>
      </c>
      <c r="H981" s="195">
        <f>IF(A981="","",LOG10(A981))</f>
        <v/>
      </c>
      <c r="I981" s="195">
        <f>IF(B981="","",LOG10(MAX(B981,1E-12)))</f>
        <v/>
      </c>
      <c r="J981" s="195">
        <f>IF(D981="","",LOG10(MAX(D981,1E-12)))</f>
        <v/>
      </c>
      <c r="K981">
        <f>IF(A981="","",ROUND(1+(LOG10(A981)-LOG10('入力・概要'!$B$38))*('入力・概要'!$B$40-1)/(LOG10('入力・概要'!$B$39)-LOG10('入力・概要'!$B$38)),0)+3)</f>
        <v/>
      </c>
      <c r="L981">
        <f>IF(K981="","",INDEX('同相3導体'!$B:$B,K981))</f>
        <v/>
      </c>
      <c r="M981">
        <f>IF(A981="","",IF(ABS(L981/A981-1)&lt;0.01,"周波数差&lt;1%","周波数差あり"))</f>
        <v/>
      </c>
    </row>
    <row r="982">
      <c r="A982" s="197" t="n"/>
      <c r="B982" s="198" t="n"/>
      <c r="C982" s="198" t="n"/>
      <c r="D982" s="195">
        <f>IF(K982="","",INDEX('同相3導体'!$AB:$AB,K982))</f>
        <v/>
      </c>
      <c r="E982" s="195">
        <f>IF(K982="","",INDEX('同相3導体'!$AC:$AC,K982))</f>
        <v/>
      </c>
      <c r="F982" s="195">
        <f>IF(OR(A982="",B982=""),"",100*(D982-B982)/MAX(B982,1E-12))</f>
        <v/>
      </c>
      <c r="G982" s="195">
        <f>IF(OR(A982="",C982=""),"",E982-C982)</f>
        <v/>
      </c>
      <c r="H982" s="195">
        <f>IF(A982="","",LOG10(A982))</f>
        <v/>
      </c>
      <c r="I982" s="195">
        <f>IF(B982="","",LOG10(MAX(B982,1E-12)))</f>
        <v/>
      </c>
      <c r="J982" s="195">
        <f>IF(D982="","",LOG10(MAX(D982,1E-12)))</f>
        <v/>
      </c>
      <c r="K982">
        <f>IF(A982="","",ROUND(1+(LOG10(A982)-LOG10('入力・概要'!$B$38))*('入力・概要'!$B$40-1)/(LOG10('入力・概要'!$B$39)-LOG10('入力・概要'!$B$38)),0)+3)</f>
        <v/>
      </c>
      <c r="L982">
        <f>IF(K982="","",INDEX('同相3導体'!$B:$B,K982))</f>
        <v/>
      </c>
      <c r="M982">
        <f>IF(A982="","",IF(ABS(L982/A982-1)&lt;0.01,"周波数差&lt;1%","周波数差あり"))</f>
        <v/>
      </c>
    </row>
    <row r="983">
      <c r="A983" s="197" t="n"/>
      <c r="B983" s="198" t="n"/>
      <c r="C983" s="198" t="n"/>
      <c r="D983" s="195">
        <f>IF(K983="","",INDEX('同相3導体'!$AB:$AB,K983))</f>
        <v/>
      </c>
      <c r="E983" s="195">
        <f>IF(K983="","",INDEX('同相3導体'!$AC:$AC,K983))</f>
        <v/>
      </c>
      <c r="F983" s="195">
        <f>IF(OR(A983="",B983=""),"",100*(D983-B983)/MAX(B983,1E-12))</f>
        <v/>
      </c>
      <c r="G983" s="195">
        <f>IF(OR(A983="",C983=""),"",E983-C983)</f>
        <v/>
      </c>
      <c r="H983" s="195">
        <f>IF(A983="","",LOG10(A983))</f>
        <v/>
      </c>
      <c r="I983" s="195">
        <f>IF(B983="","",LOG10(MAX(B983,1E-12)))</f>
        <v/>
      </c>
      <c r="J983" s="195">
        <f>IF(D983="","",LOG10(MAX(D983,1E-12)))</f>
        <v/>
      </c>
      <c r="K983">
        <f>IF(A983="","",ROUND(1+(LOG10(A983)-LOG10('入力・概要'!$B$38))*('入力・概要'!$B$40-1)/(LOG10('入力・概要'!$B$39)-LOG10('入力・概要'!$B$38)),0)+3)</f>
        <v/>
      </c>
      <c r="L983">
        <f>IF(K983="","",INDEX('同相3導体'!$B:$B,K983))</f>
        <v/>
      </c>
      <c r="M983">
        <f>IF(A983="","",IF(ABS(L983/A983-1)&lt;0.01,"周波数差&lt;1%","周波数差あり"))</f>
        <v/>
      </c>
    </row>
    <row r="984">
      <c r="A984" s="197" t="n"/>
      <c r="B984" s="198" t="n"/>
      <c r="C984" s="198" t="n"/>
      <c r="D984" s="195">
        <f>IF(K984="","",INDEX('同相3導体'!$AB:$AB,K984))</f>
        <v/>
      </c>
      <c r="E984" s="195">
        <f>IF(K984="","",INDEX('同相3導体'!$AC:$AC,K984))</f>
        <v/>
      </c>
      <c r="F984" s="195">
        <f>IF(OR(A984="",B984=""),"",100*(D984-B984)/MAX(B984,1E-12))</f>
        <v/>
      </c>
      <c r="G984" s="195">
        <f>IF(OR(A984="",C984=""),"",E984-C984)</f>
        <v/>
      </c>
      <c r="H984" s="195">
        <f>IF(A984="","",LOG10(A984))</f>
        <v/>
      </c>
      <c r="I984" s="195">
        <f>IF(B984="","",LOG10(MAX(B984,1E-12)))</f>
        <v/>
      </c>
      <c r="J984" s="195">
        <f>IF(D984="","",LOG10(MAX(D984,1E-12)))</f>
        <v/>
      </c>
      <c r="K984">
        <f>IF(A984="","",ROUND(1+(LOG10(A984)-LOG10('入力・概要'!$B$38))*('入力・概要'!$B$40-1)/(LOG10('入力・概要'!$B$39)-LOG10('入力・概要'!$B$38)),0)+3)</f>
        <v/>
      </c>
      <c r="L984">
        <f>IF(K984="","",INDEX('同相3導体'!$B:$B,K984))</f>
        <v/>
      </c>
      <c r="M984">
        <f>IF(A984="","",IF(ABS(L984/A984-1)&lt;0.01,"周波数差&lt;1%","周波数差あり"))</f>
        <v/>
      </c>
    </row>
    <row r="985">
      <c r="A985" s="197" t="n"/>
      <c r="B985" s="198" t="n"/>
      <c r="C985" s="198" t="n"/>
      <c r="D985" s="195">
        <f>IF(K985="","",INDEX('同相3導体'!$AB:$AB,K985))</f>
        <v/>
      </c>
      <c r="E985" s="195">
        <f>IF(K985="","",INDEX('同相3導体'!$AC:$AC,K985))</f>
        <v/>
      </c>
      <c r="F985" s="195">
        <f>IF(OR(A985="",B985=""),"",100*(D985-B985)/MAX(B985,1E-12))</f>
        <v/>
      </c>
      <c r="G985" s="195">
        <f>IF(OR(A985="",C985=""),"",E985-C985)</f>
        <v/>
      </c>
      <c r="H985" s="195">
        <f>IF(A985="","",LOG10(A985))</f>
        <v/>
      </c>
      <c r="I985" s="195">
        <f>IF(B985="","",LOG10(MAX(B985,1E-12)))</f>
        <v/>
      </c>
      <c r="J985" s="195">
        <f>IF(D985="","",LOG10(MAX(D985,1E-12)))</f>
        <v/>
      </c>
      <c r="K985">
        <f>IF(A985="","",ROUND(1+(LOG10(A985)-LOG10('入力・概要'!$B$38))*('入力・概要'!$B$40-1)/(LOG10('入力・概要'!$B$39)-LOG10('入力・概要'!$B$38)),0)+3)</f>
        <v/>
      </c>
      <c r="L985">
        <f>IF(K985="","",INDEX('同相3導体'!$B:$B,K985))</f>
        <v/>
      </c>
      <c r="M985">
        <f>IF(A985="","",IF(ABS(L985/A985-1)&lt;0.01,"周波数差&lt;1%","周波数差あり"))</f>
        <v/>
      </c>
    </row>
    <row r="986">
      <c r="A986" s="197" t="n"/>
      <c r="B986" s="198" t="n"/>
      <c r="C986" s="198" t="n"/>
      <c r="D986" s="195">
        <f>IF(K986="","",INDEX('同相3導体'!$AB:$AB,K986))</f>
        <v/>
      </c>
      <c r="E986" s="195">
        <f>IF(K986="","",INDEX('同相3導体'!$AC:$AC,K986))</f>
        <v/>
      </c>
      <c r="F986" s="195">
        <f>IF(OR(A986="",B986=""),"",100*(D986-B986)/MAX(B986,1E-12))</f>
        <v/>
      </c>
      <c r="G986" s="195">
        <f>IF(OR(A986="",C986=""),"",E986-C986)</f>
        <v/>
      </c>
      <c r="H986" s="195">
        <f>IF(A986="","",LOG10(A986))</f>
        <v/>
      </c>
      <c r="I986" s="195">
        <f>IF(B986="","",LOG10(MAX(B986,1E-12)))</f>
        <v/>
      </c>
      <c r="J986" s="195">
        <f>IF(D986="","",LOG10(MAX(D986,1E-12)))</f>
        <v/>
      </c>
      <c r="K986">
        <f>IF(A986="","",ROUND(1+(LOG10(A986)-LOG10('入力・概要'!$B$38))*('入力・概要'!$B$40-1)/(LOG10('入力・概要'!$B$39)-LOG10('入力・概要'!$B$38)),0)+3)</f>
        <v/>
      </c>
      <c r="L986">
        <f>IF(K986="","",INDEX('同相3導体'!$B:$B,K986))</f>
        <v/>
      </c>
      <c r="M986">
        <f>IF(A986="","",IF(ABS(L986/A986-1)&lt;0.01,"周波数差&lt;1%","周波数差あり"))</f>
        <v/>
      </c>
    </row>
    <row r="987">
      <c r="A987" s="197" t="n"/>
      <c r="B987" s="198" t="n"/>
      <c r="C987" s="198" t="n"/>
      <c r="D987" s="195">
        <f>IF(K987="","",INDEX('同相3導体'!$AB:$AB,K987))</f>
        <v/>
      </c>
      <c r="E987" s="195">
        <f>IF(K987="","",INDEX('同相3導体'!$AC:$AC,K987))</f>
        <v/>
      </c>
      <c r="F987" s="195">
        <f>IF(OR(A987="",B987=""),"",100*(D987-B987)/MAX(B987,1E-12))</f>
        <v/>
      </c>
      <c r="G987" s="195">
        <f>IF(OR(A987="",C987=""),"",E987-C987)</f>
        <v/>
      </c>
      <c r="H987" s="195">
        <f>IF(A987="","",LOG10(A987))</f>
        <v/>
      </c>
      <c r="I987" s="195">
        <f>IF(B987="","",LOG10(MAX(B987,1E-12)))</f>
        <v/>
      </c>
      <c r="J987" s="195">
        <f>IF(D987="","",LOG10(MAX(D987,1E-12)))</f>
        <v/>
      </c>
      <c r="K987">
        <f>IF(A987="","",ROUND(1+(LOG10(A987)-LOG10('入力・概要'!$B$38))*('入力・概要'!$B$40-1)/(LOG10('入力・概要'!$B$39)-LOG10('入力・概要'!$B$38)),0)+3)</f>
        <v/>
      </c>
      <c r="L987">
        <f>IF(K987="","",INDEX('同相3導体'!$B:$B,K987))</f>
        <v/>
      </c>
      <c r="M987">
        <f>IF(A987="","",IF(ABS(L987/A987-1)&lt;0.01,"周波数差&lt;1%","周波数差あり"))</f>
        <v/>
      </c>
    </row>
    <row r="988">
      <c r="A988" s="197" t="n"/>
      <c r="B988" s="198" t="n"/>
      <c r="C988" s="198" t="n"/>
      <c r="D988" s="195">
        <f>IF(K988="","",INDEX('同相3導体'!$AB:$AB,K988))</f>
        <v/>
      </c>
      <c r="E988" s="195">
        <f>IF(K988="","",INDEX('同相3導体'!$AC:$AC,K988))</f>
        <v/>
      </c>
      <c r="F988" s="195">
        <f>IF(OR(A988="",B988=""),"",100*(D988-B988)/MAX(B988,1E-12))</f>
        <v/>
      </c>
      <c r="G988" s="195">
        <f>IF(OR(A988="",C988=""),"",E988-C988)</f>
        <v/>
      </c>
      <c r="H988" s="195">
        <f>IF(A988="","",LOG10(A988))</f>
        <v/>
      </c>
      <c r="I988" s="195">
        <f>IF(B988="","",LOG10(MAX(B988,1E-12)))</f>
        <v/>
      </c>
      <c r="J988" s="195">
        <f>IF(D988="","",LOG10(MAX(D988,1E-12)))</f>
        <v/>
      </c>
      <c r="K988">
        <f>IF(A988="","",ROUND(1+(LOG10(A988)-LOG10('入力・概要'!$B$38))*('入力・概要'!$B$40-1)/(LOG10('入力・概要'!$B$39)-LOG10('入力・概要'!$B$38)),0)+3)</f>
        <v/>
      </c>
      <c r="L988">
        <f>IF(K988="","",INDEX('同相3導体'!$B:$B,K988))</f>
        <v/>
      </c>
      <c r="M988">
        <f>IF(A988="","",IF(ABS(L988/A988-1)&lt;0.01,"周波数差&lt;1%","周波数差あり"))</f>
        <v/>
      </c>
    </row>
    <row r="989">
      <c r="A989" s="197" t="n"/>
      <c r="B989" s="198" t="n"/>
      <c r="C989" s="198" t="n"/>
      <c r="D989" s="195">
        <f>IF(K989="","",INDEX('同相3導体'!$AB:$AB,K989))</f>
        <v/>
      </c>
      <c r="E989" s="195">
        <f>IF(K989="","",INDEX('同相3導体'!$AC:$AC,K989))</f>
        <v/>
      </c>
      <c r="F989" s="195">
        <f>IF(OR(A989="",B989=""),"",100*(D989-B989)/MAX(B989,1E-12))</f>
        <v/>
      </c>
      <c r="G989" s="195">
        <f>IF(OR(A989="",C989=""),"",E989-C989)</f>
        <v/>
      </c>
      <c r="H989" s="195">
        <f>IF(A989="","",LOG10(A989))</f>
        <v/>
      </c>
      <c r="I989" s="195">
        <f>IF(B989="","",LOG10(MAX(B989,1E-12)))</f>
        <v/>
      </c>
      <c r="J989" s="195">
        <f>IF(D989="","",LOG10(MAX(D989,1E-12)))</f>
        <v/>
      </c>
      <c r="K989">
        <f>IF(A989="","",ROUND(1+(LOG10(A989)-LOG10('入力・概要'!$B$38))*('入力・概要'!$B$40-1)/(LOG10('入力・概要'!$B$39)-LOG10('入力・概要'!$B$38)),0)+3)</f>
        <v/>
      </c>
      <c r="L989">
        <f>IF(K989="","",INDEX('同相3導体'!$B:$B,K989))</f>
        <v/>
      </c>
      <c r="M989">
        <f>IF(A989="","",IF(ABS(L989/A989-1)&lt;0.01,"周波数差&lt;1%","周波数差あり"))</f>
        <v/>
      </c>
    </row>
    <row r="990">
      <c r="A990" s="197" t="n"/>
      <c r="B990" s="198" t="n"/>
      <c r="C990" s="198" t="n"/>
      <c r="D990" s="195">
        <f>IF(K990="","",INDEX('同相3導体'!$AB:$AB,K990))</f>
        <v/>
      </c>
      <c r="E990" s="195">
        <f>IF(K990="","",INDEX('同相3導体'!$AC:$AC,K990))</f>
        <v/>
      </c>
      <c r="F990" s="195">
        <f>IF(OR(A990="",B990=""),"",100*(D990-B990)/MAX(B990,1E-12))</f>
        <v/>
      </c>
      <c r="G990" s="195">
        <f>IF(OR(A990="",C990=""),"",E990-C990)</f>
        <v/>
      </c>
      <c r="H990" s="195">
        <f>IF(A990="","",LOG10(A990))</f>
        <v/>
      </c>
      <c r="I990" s="195">
        <f>IF(B990="","",LOG10(MAX(B990,1E-12)))</f>
        <v/>
      </c>
      <c r="J990" s="195">
        <f>IF(D990="","",LOG10(MAX(D990,1E-12)))</f>
        <v/>
      </c>
      <c r="K990">
        <f>IF(A990="","",ROUND(1+(LOG10(A990)-LOG10('入力・概要'!$B$38))*('入力・概要'!$B$40-1)/(LOG10('入力・概要'!$B$39)-LOG10('入力・概要'!$B$38)),0)+3)</f>
        <v/>
      </c>
      <c r="L990">
        <f>IF(K990="","",INDEX('同相3導体'!$B:$B,K990))</f>
        <v/>
      </c>
      <c r="M990">
        <f>IF(A990="","",IF(ABS(L990/A990-1)&lt;0.01,"周波数差&lt;1%","周波数差あり"))</f>
        <v/>
      </c>
    </row>
    <row r="991">
      <c r="A991" s="197" t="n"/>
      <c r="B991" s="198" t="n"/>
      <c r="C991" s="198" t="n"/>
      <c r="D991" s="195">
        <f>IF(K991="","",INDEX('同相3導体'!$AB:$AB,K991))</f>
        <v/>
      </c>
      <c r="E991" s="195">
        <f>IF(K991="","",INDEX('同相3導体'!$AC:$AC,K991))</f>
        <v/>
      </c>
      <c r="F991" s="195">
        <f>IF(OR(A991="",B991=""),"",100*(D991-B991)/MAX(B991,1E-12))</f>
        <v/>
      </c>
      <c r="G991" s="195">
        <f>IF(OR(A991="",C991=""),"",E991-C991)</f>
        <v/>
      </c>
      <c r="H991" s="195">
        <f>IF(A991="","",LOG10(A991))</f>
        <v/>
      </c>
      <c r="I991" s="195">
        <f>IF(B991="","",LOG10(MAX(B991,1E-12)))</f>
        <v/>
      </c>
      <c r="J991" s="195">
        <f>IF(D991="","",LOG10(MAX(D991,1E-12)))</f>
        <v/>
      </c>
      <c r="K991">
        <f>IF(A991="","",ROUND(1+(LOG10(A991)-LOG10('入力・概要'!$B$38))*('入力・概要'!$B$40-1)/(LOG10('入力・概要'!$B$39)-LOG10('入力・概要'!$B$38)),0)+3)</f>
        <v/>
      </c>
      <c r="L991">
        <f>IF(K991="","",INDEX('同相3導体'!$B:$B,K991))</f>
        <v/>
      </c>
      <c r="M991">
        <f>IF(A991="","",IF(ABS(L991/A991-1)&lt;0.01,"周波数差&lt;1%","周波数差あり"))</f>
        <v/>
      </c>
    </row>
    <row r="992">
      <c r="A992" s="197" t="n"/>
      <c r="B992" s="198" t="n"/>
      <c r="C992" s="198" t="n"/>
      <c r="D992" s="195">
        <f>IF(K992="","",INDEX('同相3導体'!$AB:$AB,K992))</f>
        <v/>
      </c>
      <c r="E992" s="195">
        <f>IF(K992="","",INDEX('同相3導体'!$AC:$AC,K992))</f>
        <v/>
      </c>
      <c r="F992" s="195">
        <f>IF(OR(A992="",B992=""),"",100*(D992-B992)/MAX(B992,1E-12))</f>
        <v/>
      </c>
      <c r="G992" s="195">
        <f>IF(OR(A992="",C992=""),"",E992-C992)</f>
        <v/>
      </c>
      <c r="H992" s="195">
        <f>IF(A992="","",LOG10(A992))</f>
        <v/>
      </c>
      <c r="I992" s="195">
        <f>IF(B992="","",LOG10(MAX(B992,1E-12)))</f>
        <v/>
      </c>
      <c r="J992" s="195">
        <f>IF(D992="","",LOG10(MAX(D992,1E-12)))</f>
        <v/>
      </c>
      <c r="K992">
        <f>IF(A992="","",ROUND(1+(LOG10(A992)-LOG10('入力・概要'!$B$38))*('入力・概要'!$B$40-1)/(LOG10('入力・概要'!$B$39)-LOG10('入力・概要'!$B$38)),0)+3)</f>
        <v/>
      </c>
      <c r="L992">
        <f>IF(K992="","",INDEX('同相3導体'!$B:$B,K992))</f>
        <v/>
      </c>
      <c r="M992">
        <f>IF(A992="","",IF(ABS(L992/A992-1)&lt;0.01,"周波数差&lt;1%","周波数差あり"))</f>
        <v/>
      </c>
    </row>
    <row r="993">
      <c r="A993" s="197" t="n"/>
      <c r="B993" s="198" t="n"/>
      <c r="C993" s="198" t="n"/>
      <c r="D993" s="195">
        <f>IF(K993="","",INDEX('同相3導体'!$AB:$AB,K993))</f>
        <v/>
      </c>
      <c r="E993" s="195">
        <f>IF(K993="","",INDEX('同相3導体'!$AC:$AC,K993))</f>
        <v/>
      </c>
      <c r="F993" s="195">
        <f>IF(OR(A993="",B993=""),"",100*(D993-B993)/MAX(B993,1E-12))</f>
        <v/>
      </c>
      <c r="G993" s="195">
        <f>IF(OR(A993="",C993=""),"",E993-C993)</f>
        <v/>
      </c>
      <c r="H993" s="195">
        <f>IF(A993="","",LOG10(A993))</f>
        <v/>
      </c>
      <c r="I993" s="195">
        <f>IF(B993="","",LOG10(MAX(B993,1E-12)))</f>
        <v/>
      </c>
      <c r="J993" s="195">
        <f>IF(D993="","",LOG10(MAX(D993,1E-12)))</f>
        <v/>
      </c>
      <c r="K993">
        <f>IF(A993="","",ROUND(1+(LOG10(A993)-LOG10('入力・概要'!$B$38))*('入力・概要'!$B$40-1)/(LOG10('入力・概要'!$B$39)-LOG10('入力・概要'!$B$38)),0)+3)</f>
        <v/>
      </c>
      <c r="L993">
        <f>IF(K993="","",INDEX('同相3導体'!$B:$B,K993))</f>
        <v/>
      </c>
      <c r="M993">
        <f>IF(A993="","",IF(ABS(L993/A993-1)&lt;0.01,"周波数差&lt;1%","周波数差あり"))</f>
        <v/>
      </c>
    </row>
    <row r="994">
      <c r="A994" s="197" t="n"/>
      <c r="B994" s="198" t="n"/>
      <c r="C994" s="198" t="n"/>
      <c r="D994" s="195">
        <f>IF(K994="","",INDEX('同相3導体'!$AB:$AB,K994))</f>
        <v/>
      </c>
      <c r="E994" s="195">
        <f>IF(K994="","",INDEX('同相3導体'!$AC:$AC,K994))</f>
        <v/>
      </c>
      <c r="F994" s="195">
        <f>IF(OR(A994="",B994=""),"",100*(D994-B994)/MAX(B994,1E-12))</f>
        <v/>
      </c>
      <c r="G994" s="195">
        <f>IF(OR(A994="",C994=""),"",E994-C994)</f>
        <v/>
      </c>
      <c r="H994" s="195">
        <f>IF(A994="","",LOG10(A994))</f>
        <v/>
      </c>
      <c r="I994" s="195">
        <f>IF(B994="","",LOG10(MAX(B994,1E-12)))</f>
        <v/>
      </c>
      <c r="J994" s="195">
        <f>IF(D994="","",LOG10(MAX(D994,1E-12)))</f>
        <v/>
      </c>
      <c r="K994">
        <f>IF(A994="","",ROUND(1+(LOG10(A994)-LOG10('入力・概要'!$B$38))*('入力・概要'!$B$40-1)/(LOG10('入力・概要'!$B$39)-LOG10('入力・概要'!$B$38)),0)+3)</f>
        <v/>
      </c>
      <c r="L994">
        <f>IF(K994="","",INDEX('同相3導体'!$B:$B,K994))</f>
        <v/>
      </c>
      <c r="M994">
        <f>IF(A994="","",IF(ABS(L994/A994-1)&lt;0.01,"周波数差&lt;1%","周波数差あり"))</f>
        <v/>
      </c>
    </row>
    <row r="995">
      <c r="A995" s="197" t="n"/>
      <c r="B995" s="198" t="n"/>
      <c r="C995" s="198" t="n"/>
      <c r="D995" s="195">
        <f>IF(K995="","",INDEX('同相3導体'!$AB:$AB,K995))</f>
        <v/>
      </c>
      <c r="E995" s="195">
        <f>IF(K995="","",INDEX('同相3導体'!$AC:$AC,K995))</f>
        <v/>
      </c>
      <c r="F995" s="195">
        <f>IF(OR(A995="",B995=""),"",100*(D995-B995)/MAX(B995,1E-12))</f>
        <v/>
      </c>
      <c r="G995" s="195">
        <f>IF(OR(A995="",C995=""),"",E995-C995)</f>
        <v/>
      </c>
      <c r="H995" s="195">
        <f>IF(A995="","",LOG10(A995))</f>
        <v/>
      </c>
      <c r="I995" s="195">
        <f>IF(B995="","",LOG10(MAX(B995,1E-12)))</f>
        <v/>
      </c>
      <c r="J995" s="195">
        <f>IF(D995="","",LOG10(MAX(D995,1E-12)))</f>
        <v/>
      </c>
      <c r="K995">
        <f>IF(A995="","",ROUND(1+(LOG10(A995)-LOG10('入力・概要'!$B$38))*('入力・概要'!$B$40-1)/(LOG10('入力・概要'!$B$39)-LOG10('入力・概要'!$B$38)),0)+3)</f>
        <v/>
      </c>
      <c r="L995">
        <f>IF(K995="","",INDEX('同相3導体'!$B:$B,K995))</f>
        <v/>
      </c>
      <c r="M995">
        <f>IF(A995="","",IF(ABS(L995/A995-1)&lt;0.01,"周波数差&lt;1%","周波数差あり"))</f>
        <v/>
      </c>
    </row>
    <row r="996">
      <c r="A996" s="197" t="n"/>
      <c r="B996" s="198" t="n"/>
      <c r="C996" s="198" t="n"/>
      <c r="D996" s="195">
        <f>IF(K996="","",INDEX('同相3導体'!$AB:$AB,K996))</f>
        <v/>
      </c>
      <c r="E996" s="195">
        <f>IF(K996="","",INDEX('同相3導体'!$AC:$AC,K996))</f>
        <v/>
      </c>
      <c r="F996" s="195">
        <f>IF(OR(A996="",B996=""),"",100*(D996-B996)/MAX(B996,1E-12))</f>
        <v/>
      </c>
      <c r="G996" s="195">
        <f>IF(OR(A996="",C996=""),"",E996-C996)</f>
        <v/>
      </c>
      <c r="H996" s="195">
        <f>IF(A996="","",LOG10(A996))</f>
        <v/>
      </c>
      <c r="I996" s="195">
        <f>IF(B996="","",LOG10(MAX(B996,1E-12)))</f>
        <v/>
      </c>
      <c r="J996" s="195">
        <f>IF(D996="","",LOG10(MAX(D996,1E-12)))</f>
        <v/>
      </c>
      <c r="K996">
        <f>IF(A996="","",ROUND(1+(LOG10(A996)-LOG10('入力・概要'!$B$38))*('入力・概要'!$B$40-1)/(LOG10('入力・概要'!$B$39)-LOG10('入力・概要'!$B$38)),0)+3)</f>
        <v/>
      </c>
      <c r="L996">
        <f>IF(K996="","",INDEX('同相3導体'!$B:$B,K996))</f>
        <v/>
      </c>
      <c r="M996">
        <f>IF(A996="","",IF(ABS(L996/A996-1)&lt;0.01,"周波数差&lt;1%","周波数差あり"))</f>
        <v/>
      </c>
    </row>
    <row r="997">
      <c r="A997" s="197" t="n"/>
      <c r="B997" s="198" t="n"/>
      <c r="C997" s="198" t="n"/>
      <c r="D997" s="195">
        <f>IF(K997="","",INDEX('同相3導体'!$AB:$AB,K997))</f>
        <v/>
      </c>
      <c r="E997" s="195">
        <f>IF(K997="","",INDEX('同相3導体'!$AC:$AC,K997))</f>
        <v/>
      </c>
      <c r="F997" s="195">
        <f>IF(OR(A997="",B997=""),"",100*(D997-B997)/MAX(B997,1E-12))</f>
        <v/>
      </c>
      <c r="G997" s="195">
        <f>IF(OR(A997="",C997=""),"",E997-C997)</f>
        <v/>
      </c>
      <c r="H997" s="195">
        <f>IF(A997="","",LOG10(A997))</f>
        <v/>
      </c>
      <c r="I997" s="195">
        <f>IF(B997="","",LOG10(MAX(B997,1E-12)))</f>
        <v/>
      </c>
      <c r="J997" s="195">
        <f>IF(D997="","",LOG10(MAX(D997,1E-12)))</f>
        <v/>
      </c>
      <c r="K997">
        <f>IF(A997="","",ROUND(1+(LOG10(A997)-LOG10('入力・概要'!$B$38))*('入力・概要'!$B$40-1)/(LOG10('入力・概要'!$B$39)-LOG10('入力・概要'!$B$38)),0)+3)</f>
        <v/>
      </c>
      <c r="L997">
        <f>IF(K997="","",INDEX('同相3導体'!$B:$B,K997))</f>
        <v/>
      </c>
      <c r="M997">
        <f>IF(A997="","",IF(ABS(L997/A997-1)&lt;0.01,"周波数差&lt;1%","周波数差あり"))</f>
        <v/>
      </c>
    </row>
    <row r="998">
      <c r="A998" s="197" t="n"/>
      <c r="B998" s="198" t="n"/>
      <c r="C998" s="198" t="n"/>
      <c r="D998" s="195">
        <f>IF(K998="","",INDEX('同相3導体'!$AB:$AB,K998))</f>
        <v/>
      </c>
      <c r="E998" s="195">
        <f>IF(K998="","",INDEX('同相3導体'!$AC:$AC,K998))</f>
        <v/>
      </c>
      <c r="F998" s="195">
        <f>IF(OR(A998="",B998=""),"",100*(D998-B998)/MAX(B998,1E-12))</f>
        <v/>
      </c>
      <c r="G998" s="195">
        <f>IF(OR(A998="",C998=""),"",E998-C998)</f>
        <v/>
      </c>
      <c r="H998" s="195">
        <f>IF(A998="","",LOG10(A998))</f>
        <v/>
      </c>
      <c r="I998" s="195">
        <f>IF(B998="","",LOG10(MAX(B998,1E-12)))</f>
        <v/>
      </c>
      <c r="J998" s="195">
        <f>IF(D998="","",LOG10(MAX(D998,1E-12)))</f>
        <v/>
      </c>
      <c r="K998">
        <f>IF(A998="","",ROUND(1+(LOG10(A998)-LOG10('入力・概要'!$B$38))*('入力・概要'!$B$40-1)/(LOG10('入力・概要'!$B$39)-LOG10('入力・概要'!$B$38)),0)+3)</f>
        <v/>
      </c>
      <c r="L998">
        <f>IF(K998="","",INDEX('同相3導体'!$B:$B,K998))</f>
        <v/>
      </c>
      <c r="M998">
        <f>IF(A998="","",IF(ABS(L998/A998-1)&lt;0.01,"周波数差&lt;1%","周波数差あり"))</f>
        <v/>
      </c>
    </row>
    <row r="999">
      <c r="A999" s="197" t="n"/>
      <c r="B999" s="198" t="n"/>
      <c r="C999" s="198" t="n"/>
      <c r="D999" s="195">
        <f>IF(K999="","",INDEX('同相3導体'!$AB:$AB,K999))</f>
        <v/>
      </c>
      <c r="E999" s="195">
        <f>IF(K999="","",INDEX('同相3導体'!$AC:$AC,K999))</f>
        <v/>
      </c>
      <c r="F999" s="195">
        <f>IF(OR(A999="",B999=""),"",100*(D999-B999)/MAX(B999,1E-12))</f>
        <v/>
      </c>
      <c r="G999" s="195">
        <f>IF(OR(A999="",C999=""),"",E999-C999)</f>
        <v/>
      </c>
      <c r="H999" s="195">
        <f>IF(A999="","",LOG10(A999))</f>
        <v/>
      </c>
      <c r="I999" s="195">
        <f>IF(B999="","",LOG10(MAX(B999,1E-12)))</f>
        <v/>
      </c>
      <c r="J999" s="195">
        <f>IF(D999="","",LOG10(MAX(D999,1E-12)))</f>
        <v/>
      </c>
      <c r="K999">
        <f>IF(A999="","",ROUND(1+(LOG10(A999)-LOG10('入力・概要'!$B$38))*('入力・概要'!$B$40-1)/(LOG10('入力・概要'!$B$39)-LOG10('入力・概要'!$B$38)),0)+3)</f>
        <v/>
      </c>
      <c r="L999">
        <f>IF(K999="","",INDEX('同相3導体'!$B:$B,K999))</f>
        <v/>
      </c>
      <c r="M999">
        <f>IF(A999="","",IF(ABS(L999/A999-1)&lt;0.01,"周波数差&lt;1%","周波数差あり"))</f>
        <v/>
      </c>
    </row>
    <row r="1000">
      <c r="A1000" s="197" t="n"/>
      <c r="B1000" s="198" t="n"/>
      <c r="C1000" s="198" t="n"/>
      <c r="D1000" s="195">
        <f>IF(K1000="","",INDEX('同相3導体'!$AB:$AB,K1000))</f>
        <v/>
      </c>
      <c r="E1000" s="195">
        <f>IF(K1000="","",INDEX('同相3導体'!$AC:$AC,K1000))</f>
        <v/>
      </c>
      <c r="F1000" s="195">
        <f>IF(OR(A1000="",B1000=""),"",100*(D1000-B1000)/MAX(B1000,1E-12))</f>
        <v/>
      </c>
      <c r="G1000" s="195">
        <f>IF(OR(A1000="",C1000=""),"",E1000-C1000)</f>
        <v/>
      </c>
      <c r="H1000" s="195">
        <f>IF(A1000="","",LOG10(A1000))</f>
        <v/>
      </c>
      <c r="I1000" s="195">
        <f>IF(B1000="","",LOG10(MAX(B1000,1E-12)))</f>
        <v/>
      </c>
      <c r="J1000" s="195">
        <f>IF(D1000="","",LOG10(MAX(D1000,1E-12)))</f>
        <v/>
      </c>
      <c r="K1000">
        <f>IF(A1000="","",ROUND(1+(LOG10(A1000)-LOG10('入力・概要'!$B$38))*('入力・概要'!$B$40-1)/(LOG10('入力・概要'!$B$39)-LOG10('入力・概要'!$B$38)),0)+3)</f>
        <v/>
      </c>
      <c r="L1000">
        <f>IF(K1000="","",INDEX('同相3導体'!$B:$B,K1000))</f>
        <v/>
      </c>
      <c r="M1000">
        <f>IF(A1000="","",IF(ABS(L1000/A1000-1)&lt;0.01,"周波数差&lt;1%","周波数差あり"))</f>
        <v/>
      </c>
    </row>
    <row r="1001">
      <c r="A1001" s="197" t="n"/>
      <c r="B1001" s="198" t="n"/>
      <c r="C1001" s="198" t="n"/>
      <c r="D1001" s="195">
        <f>IF(K1001="","",INDEX('同相3導体'!$AB:$AB,K1001))</f>
        <v/>
      </c>
      <c r="E1001" s="195">
        <f>IF(K1001="","",INDEX('同相3導体'!$AC:$AC,K1001))</f>
        <v/>
      </c>
      <c r="F1001" s="195">
        <f>IF(OR(A1001="",B1001=""),"",100*(D1001-B1001)/MAX(B1001,1E-12))</f>
        <v/>
      </c>
      <c r="G1001" s="195">
        <f>IF(OR(A1001="",C1001=""),"",E1001-C1001)</f>
        <v/>
      </c>
      <c r="H1001" s="195">
        <f>IF(A1001="","",LOG10(A1001))</f>
        <v/>
      </c>
      <c r="I1001" s="195">
        <f>IF(B1001="","",LOG10(MAX(B1001,1E-12)))</f>
        <v/>
      </c>
      <c r="J1001" s="195">
        <f>IF(D1001="","",LOG10(MAX(D1001,1E-12)))</f>
        <v/>
      </c>
      <c r="K1001">
        <f>IF(A1001="","",ROUND(1+(LOG10(A1001)-LOG10('入力・概要'!$B$38))*('入力・概要'!$B$40-1)/(LOG10('入力・概要'!$B$39)-LOG10('入力・概要'!$B$38)),0)+3)</f>
        <v/>
      </c>
      <c r="L1001">
        <f>IF(K1001="","",INDEX('同相3導体'!$B:$B,K1001))</f>
        <v/>
      </c>
      <c r="M1001">
        <f>IF(A1001="","",IF(ABS(L1001/A1001-1)&lt;0.01,"周波数差&lt;1%","周波数差あり"))</f>
        <v/>
      </c>
    </row>
    <row r="1002">
      <c r="A1002" s="197" t="n"/>
      <c r="B1002" s="198" t="n"/>
      <c r="C1002" s="198" t="n"/>
      <c r="D1002" s="195">
        <f>IF(K1002="","",INDEX('同相3導体'!$AB:$AB,K1002))</f>
        <v/>
      </c>
      <c r="E1002" s="195">
        <f>IF(K1002="","",INDEX('同相3導体'!$AC:$AC,K1002))</f>
        <v/>
      </c>
      <c r="F1002" s="195">
        <f>IF(OR(A1002="",B1002=""),"",100*(D1002-B1002)/MAX(B1002,1E-12))</f>
        <v/>
      </c>
      <c r="G1002" s="195">
        <f>IF(OR(A1002="",C1002=""),"",E1002-C1002)</f>
        <v/>
      </c>
      <c r="H1002" s="195">
        <f>IF(A1002="","",LOG10(A1002))</f>
        <v/>
      </c>
      <c r="I1002" s="195">
        <f>IF(B1002="","",LOG10(MAX(B1002,1E-12)))</f>
        <v/>
      </c>
      <c r="J1002" s="195">
        <f>IF(D1002="","",LOG10(MAX(D1002,1E-12)))</f>
        <v/>
      </c>
      <c r="K1002">
        <f>IF(A1002="","",ROUND(1+(LOG10(A1002)-LOG10('入力・概要'!$B$38))*('入力・概要'!$B$40-1)/(LOG10('入力・概要'!$B$39)-LOG10('入力・概要'!$B$38)),0)+3)</f>
        <v/>
      </c>
      <c r="L1002">
        <f>IF(K1002="","",INDEX('同相3導体'!$B:$B,K1002))</f>
        <v/>
      </c>
      <c r="M1002">
        <f>IF(A1002="","",IF(ABS(L1002/A1002-1)&lt;0.01,"周波数差&lt;1%","周波数差あり"))</f>
        <v/>
      </c>
    </row>
    <row r="1003">
      <c r="A1003" s="197" t="n"/>
      <c r="B1003" s="198" t="n"/>
      <c r="C1003" s="198" t="n"/>
      <c r="D1003" s="195">
        <f>IF(K1003="","",INDEX('同相3導体'!$AB:$AB,K1003))</f>
        <v/>
      </c>
      <c r="E1003" s="195">
        <f>IF(K1003="","",INDEX('同相3導体'!$AC:$AC,K1003))</f>
        <v/>
      </c>
      <c r="F1003" s="195">
        <f>IF(OR(A1003="",B1003=""),"",100*(D1003-B1003)/MAX(B1003,1E-12))</f>
        <v/>
      </c>
      <c r="G1003" s="195">
        <f>IF(OR(A1003="",C1003=""),"",E1003-C1003)</f>
        <v/>
      </c>
      <c r="H1003" s="195">
        <f>IF(A1003="","",LOG10(A1003))</f>
        <v/>
      </c>
      <c r="I1003" s="195">
        <f>IF(B1003="","",LOG10(MAX(B1003,1E-12)))</f>
        <v/>
      </c>
      <c r="J1003" s="195">
        <f>IF(D1003="","",LOG10(MAX(D1003,1E-12)))</f>
        <v/>
      </c>
      <c r="K1003">
        <f>IF(A1003="","",ROUND(1+(LOG10(A1003)-LOG10('入力・概要'!$B$38))*('入力・概要'!$B$40-1)/(LOG10('入力・概要'!$B$39)-LOG10('入力・概要'!$B$38)),0)+3)</f>
        <v/>
      </c>
      <c r="L1003">
        <f>IF(K1003="","",INDEX('同相3導体'!$B:$B,K1003))</f>
        <v/>
      </c>
      <c r="M1003">
        <f>IF(A1003="","",IF(ABS(L1003/A1003-1)&lt;0.01,"周波数差&lt;1%","周波数差あり"))</f>
        <v/>
      </c>
    </row>
    <row r="1004">
      <c r="A1004" s="197" t="n"/>
      <c r="B1004" s="198" t="n"/>
      <c r="C1004" s="198" t="n"/>
      <c r="D1004" s="195">
        <f>IF(K1004="","",INDEX('同相3導体'!$AB:$AB,K1004))</f>
        <v/>
      </c>
      <c r="E1004" s="195">
        <f>IF(K1004="","",INDEX('同相3導体'!$AC:$AC,K1004))</f>
        <v/>
      </c>
      <c r="F1004" s="195">
        <f>IF(OR(A1004="",B1004=""),"",100*(D1004-B1004)/MAX(B1004,1E-12))</f>
        <v/>
      </c>
      <c r="G1004" s="195">
        <f>IF(OR(A1004="",C1004=""),"",E1004-C1004)</f>
        <v/>
      </c>
      <c r="H1004" s="195">
        <f>IF(A1004="","",LOG10(A1004))</f>
        <v/>
      </c>
      <c r="I1004" s="195">
        <f>IF(B1004="","",LOG10(MAX(B1004,1E-12)))</f>
        <v/>
      </c>
      <c r="J1004" s="195">
        <f>IF(D1004="","",LOG10(MAX(D1004,1E-12)))</f>
        <v/>
      </c>
      <c r="K1004">
        <f>IF(A1004="","",ROUND(1+(LOG10(A1004)-LOG10('入力・概要'!$B$38))*('入力・概要'!$B$40-1)/(LOG10('入力・概要'!$B$39)-LOG10('入力・概要'!$B$38)),0)+3)</f>
        <v/>
      </c>
      <c r="L1004">
        <f>IF(K1004="","",INDEX('同相3導体'!$B:$B,K1004))</f>
        <v/>
      </c>
      <c r="M1004">
        <f>IF(A1004="","",IF(ABS(L1004/A1004-1)&lt;0.01,"周波数差&lt;1%","周波数差あり"))</f>
        <v/>
      </c>
    </row>
  </sheetData>
  <mergeCells count="2">
    <mergeCell ref="A2:M2"/>
    <mergeCell ref="A1:M1"/>
  </mergeCells>
  <conditionalFormatting sqref="F5:G10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04"/>
  <sheetViews>
    <sheetView workbookViewId="0">
      <selection activeCell="A1" sqref="A1"/>
    </sheetView>
  </sheetViews>
  <sheetFormatPr baseColWidth="8" defaultRowHeight="15"/>
  <cols>
    <col width="11" customWidth="1" style="165" min="1" max="1"/>
    <col width="11" customWidth="1" style="165" min="2" max="2"/>
    <col width="11" customWidth="1" style="165" min="3" max="3"/>
    <col width="11" customWidth="1" style="165" min="4" max="4"/>
    <col width="11" customWidth="1" style="165" min="5" max="5"/>
    <col width="11" customWidth="1" style="165" min="6" max="6"/>
    <col width="11" customWidth="1" style="165" min="7" max="7"/>
    <col width="11" customWidth="1" style="165" min="8" max="8"/>
    <col width="11" customWidth="1" style="165" min="9" max="9"/>
    <col width="11" customWidth="1" style="165" min="10" max="10"/>
    <col width="11" customWidth="1" style="165" min="11" max="11"/>
    <col width="11" customWidth="1" style="165" min="12" max="12"/>
    <col width="11" customWidth="1" style="165" min="13" max="13"/>
    <col width="11" customWidth="1" style="165" min="14" max="14"/>
    <col width="3" customWidth="1" style="165" min="16" max="16"/>
    <col width="3" customWidth="1" style="165" min="17" max="17"/>
  </cols>
  <sheetData>
    <row r="1">
      <c r="A1" s="227" t="inlineStr">
        <is>
          <t>差動／同相3導体インピーダンス周波数特性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</row>
    <row r="2">
      <c r="A2" s="231" t="n"/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</row>
    <row r="3">
      <c r="A3" s="202" t="n"/>
      <c r="B3" s="202" t="n"/>
      <c r="C3" s="202" t="n"/>
      <c r="D3" s="202" t="n"/>
      <c r="E3" s="202" t="n"/>
      <c r="F3" s="202" t="n"/>
      <c r="G3" s="202" t="n"/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inlineStr">
        <is>
          <t>差動ラベル</t>
        </is>
      </c>
      <c r="Q3" s="202" t="inlineStr">
        <is>
          <t>同相ラベル</t>
        </is>
      </c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  <c r="AA3" s="202" t="n"/>
      <c r="AB3" s="202" t="n"/>
      <c r="AC3" s="202" t="n"/>
      <c r="AD3" s="202" t="n"/>
      <c r="AE3" s="202" t="n"/>
      <c r="AF3" s="202" t="n"/>
      <c r="AG3" s="202" t="n"/>
    </row>
    <row r="4">
      <c r="A4" s="202" t="n"/>
      <c r="B4" s="202" t="n"/>
      <c r="C4" s="202" t="n"/>
      <c r="D4" s="202" t="n"/>
      <c r="E4" s="202" t="n"/>
      <c r="F4" s="202" t="n"/>
      <c r="G4" s="202" t="n"/>
      <c r="H4" s="202" t="n"/>
      <c r="I4" s="202" t="n"/>
      <c r="J4" s="202" t="n"/>
      <c r="K4" s="202" t="n"/>
      <c r="L4" s="202" t="n"/>
      <c r="M4" s="202" t="n"/>
      <c r="N4" s="202" t="n"/>
      <c r="O4" s="202" t="n"/>
      <c r="P4" s="202" t="inlineStr">
        <is>
          <t>1k</t>
        </is>
      </c>
      <c r="Q4" s="202" t="inlineStr">
        <is>
          <t>1k</t>
        </is>
      </c>
      <c r="R4" s="202" t="n"/>
      <c r="S4" s="202" t="n"/>
      <c r="T4" s="202" t="n"/>
      <c r="U4" s="202" t="n"/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>
      <c r="A5" s="202" t="n"/>
      <c r="B5" s="202" t="n"/>
      <c r="C5" s="202" t="n"/>
      <c r="D5" s="202" t="n"/>
      <c r="E5" s="202" t="n"/>
      <c r="F5" s="202" t="n"/>
      <c r="G5" s="202" t="n"/>
      <c r="H5" s="202" t="n"/>
      <c r="I5" s="202" t="n"/>
      <c r="J5" s="202" t="n"/>
      <c r="K5" s="202" t="n"/>
      <c r="L5" s="202" t="n"/>
      <c r="M5" s="202" t="n"/>
      <c r="N5" s="202" t="n"/>
      <c r="O5" s="202" t="n"/>
      <c r="P5" s="202" t="inlineStr">
        <is>
          <t>1.02k</t>
        </is>
      </c>
      <c r="Q5" s="202" t="inlineStr">
        <is>
          <t>1.02k</t>
        </is>
      </c>
      <c r="R5" s="202" t="n"/>
      <c r="S5" s="202" t="n"/>
      <c r="T5" s="202" t="n"/>
      <c r="U5" s="202" t="n"/>
      <c r="V5" s="202" t="n"/>
      <c r="W5" s="202" t="n"/>
      <c r="X5" s="202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</row>
    <row r="6">
      <c r="A6" s="202" t="n"/>
      <c r="B6" s="202" t="n"/>
      <c r="C6" s="202" t="n"/>
      <c r="D6" s="202" t="n"/>
      <c r="E6" s="202" t="n"/>
      <c r="F6" s="202" t="n"/>
      <c r="G6" s="202" t="n"/>
      <c r="H6" s="202" t="n"/>
      <c r="I6" s="202" t="n"/>
      <c r="J6" s="202" t="n"/>
      <c r="K6" s="202" t="n"/>
      <c r="L6" s="202" t="n"/>
      <c r="M6" s="202" t="n"/>
      <c r="N6" s="202" t="n"/>
      <c r="O6" s="202" t="n"/>
      <c r="P6" s="202" t="inlineStr">
        <is>
          <t>1.04k</t>
        </is>
      </c>
      <c r="Q6" s="202" t="inlineStr">
        <is>
          <t>1.04k</t>
        </is>
      </c>
      <c r="R6" s="202" t="n"/>
      <c r="S6" s="202" t="n"/>
      <c r="T6" s="202" t="n"/>
      <c r="U6" s="202" t="n"/>
      <c r="V6" s="202" t="n"/>
      <c r="W6" s="202" t="n"/>
      <c r="X6" s="202" t="n"/>
      <c r="Y6" s="202" t="n"/>
      <c r="Z6" s="202" t="n"/>
      <c r="AA6" s="202" t="n"/>
      <c r="AB6" s="202" t="n"/>
      <c r="AC6" s="202" t="n"/>
      <c r="AD6" s="202" t="n"/>
      <c r="AE6" s="202" t="n"/>
      <c r="AF6" s="202" t="n"/>
      <c r="AG6" s="202" t="n"/>
    </row>
    <row r="7">
      <c r="A7" s="202" t="n"/>
      <c r="B7" s="202" t="n"/>
      <c r="C7" s="202" t="n"/>
      <c r="D7" s="202" t="n"/>
      <c r="E7" s="202" t="n"/>
      <c r="F7" s="202" t="n"/>
      <c r="G7" s="202" t="n"/>
      <c r="H7" s="202" t="n"/>
      <c r="I7" s="202" t="n"/>
      <c r="J7" s="202" t="n"/>
      <c r="K7" s="202" t="n"/>
      <c r="L7" s="202" t="n"/>
      <c r="M7" s="202" t="n"/>
      <c r="N7" s="202" t="n"/>
      <c r="O7" s="202" t="n"/>
      <c r="P7" s="202" t="inlineStr">
        <is>
          <t>1.06k</t>
        </is>
      </c>
      <c r="Q7" s="202" t="inlineStr">
        <is>
          <t>1.06k</t>
        </is>
      </c>
      <c r="R7" s="202" t="n"/>
      <c r="S7" s="202" t="n"/>
      <c r="T7" s="202" t="n"/>
      <c r="U7" s="202" t="n"/>
      <c r="V7" s="202" t="n"/>
      <c r="W7" s="202" t="n"/>
      <c r="X7" s="202" t="n"/>
      <c r="Y7" s="202" t="n"/>
      <c r="Z7" s="202" t="n"/>
      <c r="AA7" s="202" t="n"/>
      <c r="AB7" s="202" t="n"/>
      <c r="AC7" s="202" t="n"/>
      <c r="AD7" s="202" t="n"/>
      <c r="AE7" s="202" t="n"/>
      <c r="AF7" s="202" t="n"/>
      <c r="AG7" s="202" t="n"/>
    </row>
    <row r="8">
      <c r="A8" s="202" t="n"/>
      <c r="B8" s="202" t="n"/>
      <c r="C8" s="202" t="n"/>
      <c r="D8" s="202" t="n"/>
      <c r="E8" s="202" t="n"/>
      <c r="F8" s="202" t="n"/>
      <c r="G8" s="202" t="n"/>
      <c r="H8" s="202" t="n"/>
      <c r="I8" s="202" t="n"/>
      <c r="J8" s="202" t="n"/>
      <c r="K8" s="202" t="n"/>
      <c r="L8" s="202" t="n"/>
      <c r="M8" s="202" t="n"/>
      <c r="N8" s="202" t="n"/>
      <c r="O8" s="202" t="n"/>
      <c r="P8" s="202" t="inlineStr">
        <is>
          <t>1.08k</t>
        </is>
      </c>
      <c r="Q8" s="202" t="inlineStr">
        <is>
          <t>1.08k</t>
        </is>
      </c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2" t="n"/>
      <c r="AF8" s="202" t="n"/>
      <c r="AG8" s="202" t="n"/>
    </row>
    <row r="9">
      <c r="A9" s="202" t="n"/>
      <c r="B9" s="202" t="n"/>
      <c r="C9" s="202" t="n"/>
      <c r="D9" s="202" t="n"/>
      <c r="E9" s="202" t="n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inlineStr">
        <is>
          <t>1.11k</t>
        </is>
      </c>
      <c r="Q9" s="202" t="inlineStr">
        <is>
          <t>1.11k</t>
        </is>
      </c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</row>
    <row r="10">
      <c r="A10" s="202" t="n"/>
      <c r="B10" s="202" t="n"/>
      <c r="C10" s="202" t="n"/>
      <c r="D10" s="202" t="n"/>
      <c r="E10" s="202" t="n"/>
      <c r="F10" s="202" t="n"/>
      <c r="G10" s="202" t="n"/>
      <c r="H10" s="202" t="n"/>
      <c r="I10" s="202" t="n"/>
      <c r="J10" s="202" t="n"/>
      <c r="K10" s="202" t="n"/>
      <c r="L10" s="202" t="n"/>
      <c r="M10" s="202" t="n"/>
      <c r="N10" s="202" t="n"/>
      <c r="O10" s="202" t="n"/>
      <c r="P10" s="202" t="inlineStr">
        <is>
          <t>1.13k</t>
        </is>
      </c>
      <c r="Q10" s="202" t="inlineStr">
        <is>
          <t>1.13k</t>
        </is>
      </c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202" t="n"/>
      <c r="AF10" s="202" t="n"/>
      <c r="AG10" s="202" t="n"/>
    </row>
    <row r="11">
      <c r="A11" s="202" t="n"/>
      <c r="B11" s="202" t="n"/>
      <c r="C11" s="202" t="n"/>
      <c r="D11" s="202" t="n"/>
      <c r="E11" s="202" t="n"/>
      <c r="F11" s="202" t="n"/>
      <c r="G11" s="202" t="n"/>
      <c r="H11" s="202" t="n"/>
      <c r="I11" s="202" t="n"/>
      <c r="J11" s="202" t="n"/>
      <c r="K11" s="202" t="n"/>
      <c r="L11" s="202" t="n"/>
      <c r="M11" s="202" t="n"/>
      <c r="N11" s="202" t="n"/>
      <c r="O11" s="202" t="n"/>
      <c r="P11" s="202" t="inlineStr">
        <is>
          <t>1.15k</t>
        </is>
      </c>
      <c r="Q11" s="202" t="inlineStr">
        <is>
          <t>1.15k</t>
        </is>
      </c>
      <c r="R11" s="202" t="n"/>
      <c r="S11" s="202" t="n"/>
      <c r="T11" s="202" t="n"/>
      <c r="U11" s="202" t="n"/>
      <c r="V11" s="202" t="n"/>
      <c r="W11" s="202" t="n"/>
      <c r="X11" s="202" t="n"/>
      <c r="Y11" s="202" t="n"/>
      <c r="Z11" s="202" t="n"/>
      <c r="AA11" s="202" t="n"/>
      <c r="AB11" s="202" t="n"/>
      <c r="AC11" s="202" t="n"/>
      <c r="AD11" s="202" t="n"/>
      <c r="AE11" s="202" t="n"/>
      <c r="AF11" s="202" t="n"/>
      <c r="AG11" s="202" t="n"/>
    </row>
    <row r="12">
      <c r="A12" s="202" t="n"/>
      <c r="B12" s="202" t="n"/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2" t="n"/>
      <c r="L12" s="202" t="n"/>
      <c r="M12" s="202" t="n"/>
      <c r="N12" s="202" t="n"/>
      <c r="O12" s="202" t="n"/>
      <c r="P12" s="202" t="inlineStr">
        <is>
          <t>1.18k</t>
        </is>
      </c>
      <c r="Q12" s="202" t="inlineStr">
        <is>
          <t>1.18k</t>
        </is>
      </c>
      <c r="R12" s="202" t="n"/>
      <c r="S12" s="202" t="n"/>
      <c r="T12" s="202" t="n"/>
      <c r="U12" s="202" t="n"/>
      <c r="V12" s="202" t="n"/>
      <c r="W12" s="202" t="n"/>
      <c r="X12" s="202" t="n"/>
      <c r="Y12" s="202" t="n"/>
      <c r="Z12" s="202" t="n"/>
      <c r="AA12" s="202" t="n"/>
      <c r="AB12" s="202" t="n"/>
      <c r="AC12" s="202" t="n"/>
      <c r="AD12" s="202" t="n"/>
      <c r="AE12" s="202" t="n"/>
      <c r="AF12" s="202" t="n"/>
      <c r="AG12" s="202" t="n"/>
    </row>
    <row r="13">
      <c r="A13" s="202" t="n"/>
      <c r="B13" s="202" t="n"/>
      <c r="C13" s="202" t="n"/>
      <c r="D13" s="202" t="n"/>
      <c r="E13" s="202" t="n"/>
      <c r="F13" s="202" t="n"/>
      <c r="G13" s="202" t="n"/>
      <c r="H13" s="202" t="n"/>
      <c r="I13" s="202" t="n"/>
      <c r="J13" s="202" t="n"/>
      <c r="K13" s="202" t="n"/>
      <c r="L13" s="202" t="n"/>
      <c r="M13" s="202" t="n"/>
      <c r="N13" s="202" t="n"/>
      <c r="O13" s="202" t="n"/>
      <c r="P13" s="202" t="inlineStr">
        <is>
          <t>1.2k</t>
        </is>
      </c>
      <c r="Q13" s="202" t="inlineStr">
        <is>
          <t>1.2k</t>
        </is>
      </c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02" t="n"/>
      <c r="AB13" s="202" t="n"/>
      <c r="AC13" s="202" t="n"/>
      <c r="AD13" s="202" t="n"/>
      <c r="AE13" s="202" t="n"/>
      <c r="AF13" s="202" t="n"/>
      <c r="AG13" s="202" t="n"/>
    </row>
    <row r="14">
      <c r="A14" s="202" t="n"/>
      <c r="B14" s="202" t="n"/>
      <c r="C14" s="202" t="n"/>
      <c r="D14" s="202" t="n"/>
      <c r="E14" s="202" t="n"/>
      <c r="F14" s="202" t="n"/>
      <c r="G14" s="202" t="n"/>
      <c r="H14" s="202" t="n"/>
      <c r="I14" s="202" t="n"/>
      <c r="J14" s="202" t="n"/>
      <c r="K14" s="202" t="n"/>
      <c r="L14" s="202" t="n"/>
      <c r="M14" s="202" t="n"/>
      <c r="N14" s="202" t="n"/>
      <c r="O14" s="202" t="n"/>
      <c r="P14" s="202" t="inlineStr">
        <is>
          <t>1.22k</t>
        </is>
      </c>
      <c r="Q14" s="202" t="inlineStr">
        <is>
          <t>1.22k</t>
        </is>
      </c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  <c r="AE14" s="202" t="n"/>
      <c r="AF14" s="202" t="n"/>
      <c r="AG14" s="202" t="n"/>
    </row>
    <row r="15">
      <c r="A15" s="202" t="n"/>
      <c r="B15" s="202" t="n"/>
      <c r="C15" s="202" t="n"/>
      <c r="D15" s="202" t="n"/>
      <c r="E15" s="202" t="n"/>
      <c r="F15" s="202" t="n"/>
      <c r="G15" s="202" t="n"/>
      <c r="H15" s="202" t="n"/>
      <c r="I15" s="202" t="n"/>
      <c r="J15" s="202" t="n"/>
      <c r="K15" s="202" t="n"/>
      <c r="L15" s="202" t="n"/>
      <c r="M15" s="202" t="n"/>
      <c r="N15" s="202" t="n"/>
      <c r="O15" s="202" t="n"/>
      <c r="P15" s="202" t="inlineStr">
        <is>
          <t>1.25k</t>
        </is>
      </c>
      <c r="Q15" s="202" t="inlineStr">
        <is>
          <t>1.25k</t>
        </is>
      </c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</row>
    <row r="16">
      <c r="A16" s="202" t="n"/>
      <c r="B16" s="202" t="n"/>
      <c r="C16" s="202" t="n"/>
      <c r="D16" s="202" t="n"/>
      <c r="E16" s="202" t="n"/>
      <c r="F16" s="202" t="n"/>
      <c r="G16" s="202" t="n"/>
      <c r="H16" s="202" t="n"/>
      <c r="I16" s="202" t="n"/>
      <c r="J16" s="202" t="n"/>
      <c r="K16" s="202" t="n"/>
      <c r="L16" s="202" t="n"/>
      <c r="M16" s="202" t="n"/>
      <c r="N16" s="202" t="n"/>
      <c r="O16" s="202" t="n"/>
      <c r="P16" s="202" t="inlineStr">
        <is>
          <t>1.28k</t>
        </is>
      </c>
      <c r="Q16" s="202" t="inlineStr">
        <is>
          <t>1.28k</t>
        </is>
      </c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</row>
    <row r="17">
      <c r="A17" s="202" t="n"/>
      <c r="B17" s="202" t="n"/>
      <c r="C17" s="202" t="n"/>
      <c r="D17" s="202" t="n"/>
      <c r="E17" s="202" t="n"/>
      <c r="F17" s="202" t="n"/>
      <c r="G17" s="202" t="n"/>
      <c r="H17" s="202" t="n"/>
      <c r="I17" s="202" t="n"/>
      <c r="J17" s="202" t="n"/>
      <c r="K17" s="202" t="n"/>
      <c r="L17" s="202" t="n"/>
      <c r="M17" s="202" t="n"/>
      <c r="N17" s="202" t="n"/>
      <c r="O17" s="202" t="n"/>
      <c r="P17" s="202" t="inlineStr">
        <is>
          <t>1.3k</t>
        </is>
      </c>
      <c r="Q17" s="202" t="inlineStr">
        <is>
          <t>1.3k</t>
        </is>
      </c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</row>
    <row r="18">
      <c r="A18" s="202" t="n"/>
      <c r="B18" s="202" t="n"/>
      <c r="C18" s="202" t="n"/>
      <c r="D18" s="202" t="n"/>
      <c r="E18" s="202" t="n"/>
      <c r="F18" s="202" t="n"/>
      <c r="G18" s="202" t="n"/>
      <c r="H18" s="202" t="n"/>
      <c r="I18" s="202" t="n"/>
      <c r="J18" s="202" t="n"/>
      <c r="K18" s="202" t="n"/>
      <c r="L18" s="202" t="n"/>
      <c r="M18" s="202" t="n"/>
      <c r="N18" s="202" t="n"/>
      <c r="O18" s="202" t="n"/>
      <c r="P18" s="202" t="inlineStr">
        <is>
          <t>1.33k</t>
        </is>
      </c>
      <c r="Q18" s="202" t="inlineStr">
        <is>
          <t>1.33k</t>
        </is>
      </c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</row>
    <row r="19">
      <c r="A19" s="202" t="n"/>
      <c r="B19" s="202" t="n"/>
      <c r="C19" s="202" t="n"/>
      <c r="D19" s="202" t="n"/>
      <c r="E19" s="202" t="n"/>
      <c r="F19" s="202" t="n"/>
      <c r="G19" s="202" t="n"/>
      <c r="H19" s="202" t="n"/>
      <c r="I19" s="202" t="n"/>
      <c r="J19" s="202" t="n"/>
      <c r="K19" s="202" t="n"/>
      <c r="L19" s="202" t="n"/>
      <c r="M19" s="202" t="n"/>
      <c r="N19" s="202" t="n"/>
      <c r="O19" s="202" t="n"/>
      <c r="P19" s="202" t="inlineStr">
        <is>
          <t>1.35k</t>
        </is>
      </c>
      <c r="Q19" s="202" t="inlineStr">
        <is>
          <t>1.35k</t>
        </is>
      </c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</row>
    <row r="20">
      <c r="A20" s="202" t="n"/>
      <c r="B20" s="202" t="n"/>
      <c r="C20" s="202" t="n"/>
      <c r="D20" s="202" t="n"/>
      <c r="E20" s="202" t="n"/>
      <c r="F20" s="202" t="n"/>
      <c r="G20" s="202" t="n"/>
      <c r="H20" s="202" t="n"/>
      <c r="I20" s="202" t="n"/>
      <c r="J20" s="202" t="n"/>
      <c r="K20" s="202" t="n"/>
      <c r="L20" s="202" t="n"/>
      <c r="M20" s="202" t="n"/>
      <c r="N20" s="202" t="n"/>
      <c r="O20" s="202" t="n"/>
      <c r="P20" s="202" t="inlineStr">
        <is>
          <t>1.38k</t>
        </is>
      </c>
      <c r="Q20" s="202" t="inlineStr">
        <is>
          <t>1.38k</t>
        </is>
      </c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</row>
    <row r="21">
      <c r="A21" s="202" t="n"/>
      <c r="B21" s="202" t="n"/>
      <c r="C21" s="202" t="n"/>
      <c r="D21" s="202" t="n"/>
      <c r="E21" s="202" t="n"/>
      <c r="F21" s="202" t="n"/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inlineStr">
        <is>
          <t>1.41k</t>
        </is>
      </c>
      <c r="Q21" s="202" t="inlineStr">
        <is>
          <t>1.41k</t>
        </is>
      </c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</row>
    <row r="22">
      <c r="A22" s="202" t="n"/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inlineStr">
        <is>
          <t>1.44k</t>
        </is>
      </c>
      <c r="Q22" s="202" t="inlineStr">
        <is>
          <t>1.44k</t>
        </is>
      </c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</row>
    <row r="23">
      <c r="A23" s="202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inlineStr">
        <is>
          <t>1.47k</t>
        </is>
      </c>
      <c r="Q23" s="202" t="inlineStr">
        <is>
          <t>1.47k</t>
        </is>
      </c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</row>
    <row r="24">
      <c r="A24" s="202" t="n"/>
      <c r="B24" s="202" t="n"/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inlineStr">
        <is>
          <t>1.5k</t>
        </is>
      </c>
      <c r="Q24" s="202" t="inlineStr">
        <is>
          <t>1.5k</t>
        </is>
      </c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</row>
    <row r="25">
      <c r="A25" s="202" t="n"/>
      <c r="B25" s="202" t="n"/>
      <c r="C25" s="202" t="n"/>
      <c r="D25" s="202" t="n"/>
      <c r="E25" s="202" t="n"/>
      <c r="F25" s="202" t="n"/>
      <c r="G25" s="202" t="n"/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inlineStr">
        <is>
          <t>1.53k</t>
        </is>
      </c>
      <c r="Q25" s="202" t="inlineStr">
        <is>
          <t>1.53k</t>
        </is>
      </c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</row>
    <row r="26">
      <c r="A26" s="202" t="n"/>
      <c r="B26" s="202" t="n"/>
      <c r="C26" s="202" t="n"/>
      <c r="D26" s="202" t="n"/>
      <c r="E26" s="202" t="n"/>
      <c r="F26" s="202" t="n"/>
      <c r="G26" s="202" t="n"/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inlineStr">
        <is>
          <t>1.56k</t>
        </is>
      </c>
      <c r="Q26" s="202" t="inlineStr">
        <is>
          <t>1.56k</t>
        </is>
      </c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</row>
    <row r="27">
      <c r="A27" s="202" t="n"/>
      <c r="B27" s="202" t="n"/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inlineStr">
        <is>
          <t>1.59k</t>
        </is>
      </c>
      <c r="Q27" s="202" t="inlineStr">
        <is>
          <t>1.59k</t>
        </is>
      </c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</row>
    <row r="28">
      <c r="A28" s="202" t="n"/>
      <c r="B28" s="202" t="n"/>
      <c r="C28" s="202" t="n"/>
      <c r="D28" s="202" t="n"/>
      <c r="E28" s="202" t="n"/>
      <c r="F28" s="202" t="n"/>
      <c r="G28" s="202" t="n"/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inlineStr">
        <is>
          <t>1.63k</t>
        </is>
      </c>
      <c r="Q28" s="202" t="inlineStr">
        <is>
          <t>1.63k</t>
        </is>
      </c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</row>
    <row r="29">
      <c r="A29" s="202" t="n"/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inlineStr">
        <is>
          <t>1.66k</t>
        </is>
      </c>
      <c r="Q29" s="202" t="inlineStr">
        <is>
          <t>1.66k</t>
        </is>
      </c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</row>
    <row r="30">
      <c r="A30" s="202" t="n"/>
      <c r="B30" s="202" t="n"/>
      <c r="C30" s="202" t="n"/>
      <c r="D30" s="202" t="n"/>
      <c r="E30" s="202" t="n"/>
      <c r="F30" s="202" t="n"/>
      <c r="G30" s="202" t="n"/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inlineStr">
        <is>
          <t>1.69k</t>
        </is>
      </c>
      <c r="Q30" s="202" t="inlineStr">
        <is>
          <t>1.69k</t>
        </is>
      </c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</row>
    <row r="31">
      <c r="A31" s="202" t="n"/>
      <c r="B31" s="202" t="n"/>
      <c r="C31" s="202" t="n"/>
      <c r="D31" s="202" t="n"/>
      <c r="E31" s="202" t="n"/>
      <c r="F31" s="202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inlineStr">
        <is>
          <t>1.73k</t>
        </is>
      </c>
      <c r="Q31" s="202" t="inlineStr">
        <is>
          <t>1.73k</t>
        </is>
      </c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</row>
    <row r="32">
      <c r="A32" s="202" t="n"/>
      <c r="B32" s="202" t="n"/>
      <c r="C32" s="202" t="n"/>
      <c r="D32" s="202" t="n"/>
      <c r="E32" s="202" t="n"/>
      <c r="F32" s="202" t="n"/>
      <c r="G32" s="202" t="n"/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inlineStr">
        <is>
          <t>1.76k</t>
        </is>
      </c>
      <c r="Q32" s="202" t="inlineStr">
        <is>
          <t>1.76k</t>
        </is>
      </c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</row>
    <row r="33">
      <c r="A33" s="202" t="n"/>
      <c r="B33" s="202" t="n"/>
      <c r="C33" s="202" t="n"/>
      <c r="D33" s="202" t="n"/>
      <c r="E33" s="202" t="n"/>
      <c r="F33" s="202" t="n"/>
      <c r="G33" s="202" t="n"/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inlineStr">
        <is>
          <t>1.8k</t>
        </is>
      </c>
      <c r="Q33" s="202" t="inlineStr">
        <is>
          <t>1.8k</t>
        </is>
      </c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</row>
    <row r="34">
      <c r="A34" s="202" t="n"/>
      <c r="B34" s="202" t="n"/>
      <c r="C34" s="202" t="n"/>
      <c r="D34" s="202" t="n"/>
      <c r="E34" s="202" t="n"/>
      <c r="F34" s="202" t="n"/>
      <c r="G34" s="202" t="n"/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inlineStr">
        <is>
          <t>1.84k</t>
        </is>
      </c>
      <c r="Q34" s="202" t="inlineStr">
        <is>
          <t>1.84k</t>
        </is>
      </c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</row>
    <row r="35">
      <c r="A35" s="202" t="n"/>
      <c r="B35" s="202" t="n"/>
      <c r="C35" s="202" t="n"/>
      <c r="D35" s="202" t="n"/>
      <c r="E35" s="202" t="n"/>
      <c r="F35" s="202" t="n"/>
      <c r="G35" s="202" t="n"/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inlineStr">
        <is>
          <t>1.87k</t>
        </is>
      </c>
      <c r="Q35" s="202" t="inlineStr">
        <is>
          <t>1.87k</t>
        </is>
      </c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</row>
    <row r="36">
      <c r="A36" s="202" t="n"/>
      <c r="B36" s="202" t="n"/>
      <c r="C36" s="202" t="n"/>
      <c r="D36" s="202" t="n"/>
      <c r="E36" s="202" t="n"/>
      <c r="F36" s="202" t="n"/>
      <c r="G36" s="202" t="n"/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inlineStr">
        <is>
          <t>1.91k</t>
        </is>
      </c>
      <c r="Q36" s="202" t="inlineStr">
        <is>
          <t>1.91k</t>
        </is>
      </c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</row>
    <row r="37">
      <c r="A37" s="202" t="n"/>
      <c r="B37" s="202" t="n"/>
      <c r="C37" s="202" t="n"/>
      <c r="D37" s="202" t="n"/>
      <c r="E37" s="202" t="n"/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inlineStr">
        <is>
          <t>1.95k</t>
        </is>
      </c>
      <c r="Q37" s="202" t="inlineStr">
        <is>
          <t>1.95k</t>
        </is>
      </c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</row>
    <row r="38">
      <c r="A38" s="202" t="n"/>
      <c r="B38" s="202" t="n"/>
      <c r="C38" s="202" t="n"/>
      <c r="D38" s="202" t="n"/>
      <c r="E38" s="202" t="n"/>
      <c r="F38" s="202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inlineStr">
        <is>
          <t>1.99k</t>
        </is>
      </c>
      <c r="Q38" s="202" t="inlineStr">
        <is>
          <t>1.99k</t>
        </is>
      </c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</row>
    <row r="39">
      <c r="A39" s="202" t="n"/>
      <c r="B39" s="202" t="n"/>
      <c r="C39" s="202" t="n"/>
      <c r="D39" s="202" t="n"/>
      <c r="E39" s="202" t="n"/>
      <c r="F39" s="202" t="n"/>
      <c r="G39" s="202" t="n"/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inlineStr">
        <is>
          <t>2.03k</t>
        </is>
      </c>
      <c r="Q39" s="202" t="inlineStr">
        <is>
          <t>2.03k</t>
        </is>
      </c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</row>
    <row r="40">
      <c r="A40" s="202" t="n"/>
      <c r="B40" s="202" t="n"/>
      <c r="C40" s="202" t="n"/>
      <c r="D40" s="202" t="n"/>
      <c r="E40" s="202" t="n"/>
      <c r="F40" s="202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inlineStr">
        <is>
          <t>2.07k</t>
        </is>
      </c>
      <c r="Q40" s="202" t="inlineStr">
        <is>
          <t>2.07k</t>
        </is>
      </c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</row>
    <row r="41">
      <c r="A41" s="202" t="n"/>
      <c r="B41" s="202" t="n"/>
      <c r="C41" s="202" t="n"/>
      <c r="D41" s="202" t="n"/>
      <c r="E41" s="202" t="n"/>
      <c r="F41" s="202" t="n"/>
      <c r="G41" s="202" t="n"/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inlineStr">
        <is>
          <t>2.12k</t>
        </is>
      </c>
      <c r="Q41" s="202" t="inlineStr">
        <is>
          <t>2.12k</t>
        </is>
      </c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</row>
    <row r="42">
      <c r="A42" s="202" t="n"/>
      <c r="B42" s="202" t="n"/>
      <c r="C42" s="202" t="n"/>
      <c r="D42" s="202" t="n"/>
      <c r="E42" s="202" t="n"/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inlineStr">
        <is>
          <t>2.16k</t>
        </is>
      </c>
      <c r="Q42" s="202" t="inlineStr">
        <is>
          <t>2.16k</t>
        </is>
      </c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</row>
    <row r="43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inlineStr">
        <is>
          <t>2.2k</t>
        </is>
      </c>
      <c r="Q43" s="202" t="inlineStr">
        <is>
          <t>2.2k</t>
        </is>
      </c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</row>
    <row r="44">
      <c r="A44" s="202" t="n"/>
      <c r="B44" s="202" t="n"/>
      <c r="C44" s="202" t="n"/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inlineStr">
        <is>
          <t>2.25k</t>
        </is>
      </c>
      <c r="Q44" s="202" t="inlineStr">
        <is>
          <t>2.25k</t>
        </is>
      </c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</row>
    <row r="45">
      <c r="A45" s="202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inlineStr">
        <is>
          <t>2.29k</t>
        </is>
      </c>
      <c r="Q45" s="202" t="inlineStr">
        <is>
          <t>2.29k</t>
        </is>
      </c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</row>
    <row r="46">
      <c r="A46" s="202" t="n"/>
      <c r="B46" s="202" t="n"/>
      <c r="C46" s="202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inlineStr">
        <is>
          <t>2.34k</t>
        </is>
      </c>
      <c r="Q46" s="202" t="inlineStr">
        <is>
          <t>2.34k</t>
        </is>
      </c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</row>
    <row r="47">
      <c r="A47" s="202" t="n"/>
      <c r="B47" s="202" t="n"/>
      <c r="C47" s="202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inlineStr">
        <is>
          <t>2.39k</t>
        </is>
      </c>
      <c r="Q47" s="202" t="inlineStr">
        <is>
          <t>2.39k</t>
        </is>
      </c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</row>
    <row r="48">
      <c r="A48" s="202" t="n"/>
      <c r="B48" s="202" t="n"/>
      <c r="C48" s="202" t="n"/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inlineStr">
        <is>
          <t>2.44k</t>
        </is>
      </c>
      <c r="Q48" s="202" t="inlineStr">
        <is>
          <t>2.44k</t>
        </is>
      </c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</row>
    <row r="49">
      <c r="A49" s="202" t="n"/>
      <c r="B49" s="202" t="n"/>
      <c r="C49" s="202" t="n"/>
      <c r="D49" s="202" t="n"/>
      <c r="E49" s="202" t="n"/>
      <c r="F49" s="202" t="n"/>
      <c r="G49" s="202" t="n"/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inlineStr">
        <is>
          <t>2.49k</t>
        </is>
      </c>
      <c r="Q49" s="202" t="inlineStr">
        <is>
          <t>2.49k</t>
        </is>
      </c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</row>
    <row r="50">
      <c r="A50" s="202" t="n"/>
      <c r="B50" s="202" t="n"/>
      <c r="C50" s="202" t="n"/>
      <c r="D50" s="202" t="n"/>
      <c r="E50" s="202" t="n"/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inlineStr">
        <is>
          <t>2.54k</t>
        </is>
      </c>
      <c r="Q50" s="202" t="inlineStr">
        <is>
          <t>2.54k</t>
        </is>
      </c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</row>
    <row r="51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inlineStr">
        <is>
          <t>2.59k</t>
        </is>
      </c>
      <c r="Q51" s="202" t="inlineStr">
        <is>
          <t>2.59k</t>
        </is>
      </c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</row>
    <row r="52">
      <c r="A52" s="202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inlineStr">
        <is>
          <t>2.64k</t>
        </is>
      </c>
      <c r="Q52" s="202" t="inlineStr">
        <is>
          <t>2.64k</t>
        </is>
      </c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</row>
    <row r="53">
      <c r="A53" s="202" t="n"/>
      <c r="B53" s="202" t="n"/>
      <c r="C53" s="202" t="n"/>
      <c r="D53" s="202" t="n"/>
      <c r="E53" s="202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inlineStr">
        <is>
          <t>2.7k</t>
        </is>
      </c>
      <c r="Q53" s="202" t="inlineStr">
        <is>
          <t>2.7k</t>
        </is>
      </c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</row>
    <row r="54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inlineStr">
        <is>
          <t>2.75k</t>
        </is>
      </c>
      <c r="Q54" s="202" t="inlineStr">
        <is>
          <t>2.75k</t>
        </is>
      </c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</row>
    <row r="55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inlineStr">
        <is>
          <t>2.81k</t>
        </is>
      </c>
      <c r="Q55" s="202" t="inlineStr">
        <is>
          <t>2.81k</t>
        </is>
      </c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</row>
    <row r="56">
      <c r="A56" s="202" t="n"/>
      <c r="B56" s="202" t="n"/>
      <c r="C56" s="202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inlineStr">
        <is>
          <t>2.87k</t>
        </is>
      </c>
      <c r="Q56" s="202" t="inlineStr">
        <is>
          <t>2.87k</t>
        </is>
      </c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</row>
    <row r="57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inlineStr">
        <is>
          <t>2.93k</t>
        </is>
      </c>
      <c r="Q57" s="202" t="inlineStr">
        <is>
          <t>2.93k</t>
        </is>
      </c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</row>
    <row r="58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inlineStr">
        <is>
          <t>2.99k</t>
        </is>
      </c>
      <c r="Q58" s="202" t="inlineStr">
        <is>
          <t>2.99k</t>
        </is>
      </c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</row>
    <row r="59">
      <c r="A59" s="202" t="n"/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inlineStr">
        <is>
          <t>3.05k</t>
        </is>
      </c>
      <c r="Q59" s="202" t="inlineStr">
        <is>
          <t>3.05k</t>
        </is>
      </c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</row>
    <row r="60">
      <c r="A60" s="202" t="n"/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inlineStr">
        <is>
          <t>3.11k</t>
        </is>
      </c>
      <c r="Q60" s="202" t="inlineStr">
        <is>
          <t>3.11k</t>
        </is>
      </c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</row>
    <row r="61">
      <c r="P61" t="inlineStr">
        <is>
          <t>3.17k</t>
        </is>
      </c>
      <c r="Q61" t="inlineStr">
        <is>
          <t>3.17k</t>
        </is>
      </c>
    </row>
    <row r="62">
      <c r="P62" t="inlineStr">
        <is>
          <t>3.24k</t>
        </is>
      </c>
      <c r="Q62" t="inlineStr">
        <is>
          <t>3.24k</t>
        </is>
      </c>
    </row>
    <row r="63">
      <c r="P63" t="inlineStr">
        <is>
          <t>3.3k</t>
        </is>
      </c>
      <c r="Q63" t="inlineStr">
        <is>
          <t>3.3k</t>
        </is>
      </c>
    </row>
    <row r="64">
      <c r="P64" t="inlineStr">
        <is>
          <t>3.37k</t>
        </is>
      </c>
      <c r="Q64" t="inlineStr">
        <is>
          <t>3.37k</t>
        </is>
      </c>
    </row>
    <row r="65">
      <c r="P65" t="inlineStr">
        <is>
          <t>3.44k</t>
        </is>
      </c>
      <c r="Q65" t="inlineStr">
        <is>
          <t>3.44k</t>
        </is>
      </c>
    </row>
    <row r="66">
      <c r="P66" t="inlineStr">
        <is>
          <t>3.51k</t>
        </is>
      </c>
      <c r="Q66" t="inlineStr">
        <is>
          <t>3.51k</t>
        </is>
      </c>
    </row>
    <row r="67">
      <c r="P67" t="inlineStr">
        <is>
          <t>3.58k</t>
        </is>
      </c>
      <c r="Q67" t="inlineStr">
        <is>
          <t>3.58k</t>
        </is>
      </c>
    </row>
    <row r="68">
      <c r="P68" t="inlineStr">
        <is>
          <t>3.66k</t>
        </is>
      </c>
      <c r="Q68" t="inlineStr">
        <is>
          <t>3.66k</t>
        </is>
      </c>
    </row>
    <row r="69">
      <c r="P69" t="inlineStr">
        <is>
          <t>3.73k</t>
        </is>
      </c>
      <c r="Q69" t="inlineStr">
        <is>
          <t>3.73k</t>
        </is>
      </c>
    </row>
    <row r="70">
      <c r="P70" t="inlineStr">
        <is>
          <t>3.81k</t>
        </is>
      </c>
      <c r="Q70" t="inlineStr">
        <is>
          <t>3.81k</t>
        </is>
      </c>
    </row>
    <row r="71">
      <c r="P71" t="inlineStr">
        <is>
          <t>3.88k</t>
        </is>
      </c>
      <c r="Q71" t="inlineStr">
        <is>
          <t>3.88k</t>
        </is>
      </c>
    </row>
    <row r="72">
      <c r="P72" t="inlineStr">
        <is>
          <t>3.96k</t>
        </is>
      </c>
      <c r="Q72" t="inlineStr">
        <is>
          <t>3.96k</t>
        </is>
      </c>
    </row>
    <row r="73">
      <c r="P73" t="inlineStr">
        <is>
          <t>4.04k</t>
        </is>
      </c>
      <c r="Q73" t="inlineStr">
        <is>
          <t>4.04k</t>
        </is>
      </c>
    </row>
    <row r="74">
      <c r="P74" t="inlineStr">
        <is>
          <t>4.13k</t>
        </is>
      </c>
      <c r="Q74" t="inlineStr">
        <is>
          <t>4.13k</t>
        </is>
      </c>
    </row>
    <row r="75">
      <c r="P75" t="inlineStr">
        <is>
          <t>4.21k</t>
        </is>
      </c>
      <c r="Q75" t="inlineStr">
        <is>
          <t>4.21k</t>
        </is>
      </c>
    </row>
    <row r="76">
      <c r="P76" t="inlineStr">
        <is>
          <t>4.3k</t>
        </is>
      </c>
      <c r="Q76" t="inlineStr">
        <is>
          <t>4.3k</t>
        </is>
      </c>
    </row>
    <row r="77">
      <c r="P77" t="inlineStr">
        <is>
          <t>4.39k</t>
        </is>
      </c>
      <c r="Q77" t="inlineStr">
        <is>
          <t>4.39k</t>
        </is>
      </c>
    </row>
    <row r="78">
      <c r="P78" t="inlineStr">
        <is>
          <t>4.48k</t>
        </is>
      </c>
      <c r="Q78" t="inlineStr">
        <is>
          <t>4.48k</t>
        </is>
      </c>
    </row>
    <row r="79">
      <c r="P79" t="inlineStr">
        <is>
          <t>4.57k</t>
        </is>
      </c>
      <c r="Q79" t="inlineStr">
        <is>
          <t>4.57k</t>
        </is>
      </c>
    </row>
    <row r="80">
      <c r="P80" t="inlineStr">
        <is>
          <t>4.66k</t>
        </is>
      </c>
      <c r="Q80" t="inlineStr">
        <is>
          <t>4.66k</t>
        </is>
      </c>
    </row>
    <row r="81">
      <c r="P81" t="inlineStr">
        <is>
          <t>4.76k</t>
        </is>
      </c>
      <c r="Q81" t="inlineStr">
        <is>
          <t>4.76k</t>
        </is>
      </c>
    </row>
    <row r="82">
      <c r="P82" t="inlineStr">
        <is>
          <t>4.85k</t>
        </is>
      </c>
      <c r="Q82" t="inlineStr">
        <is>
          <t>4.85k</t>
        </is>
      </c>
    </row>
    <row r="83">
      <c r="P83" t="inlineStr">
        <is>
          <t>4.95k</t>
        </is>
      </c>
      <c r="Q83" t="inlineStr">
        <is>
          <t>4.95k</t>
        </is>
      </c>
    </row>
    <row r="84">
      <c r="P84" t="inlineStr">
        <is>
          <t>5.05k</t>
        </is>
      </c>
      <c r="Q84" t="inlineStr">
        <is>
          <t>5.05k</t>
        </is>
      </c>
    </row>
    <row r="85">
      <c r="P85" t="inlineStr">
        <is>
          <t>5.16k</t>
        </is>
      </c>
      <c r="Q85" t="inlineStr">
        <is>
          <t>5.16k</t>
        </is>
      </c>
    </row>
    <row r="86">
      <c r="P86" t="inlineStr">
        <is>
          <t>5.26k</t>
        </is>
      </c>
      <c r="Q86" t="inlineStr">
        <is>
          <t>5.26k</t>
        </is>
      </c>
    </row>
    <row r="87">
      <c r="P87" t="inlineStr">
        <is>
          <t>5.37k</t>
        </is>
      </c>
      <c r="Q87" t="inlineStr">
        <is>
          <t>5.37k</t>
        </is>
      </c>
    </row>
    <row r="88">
      <c r="P88" t="inlineStr">
        <is>
          <t>5.48k</t>
        </is>
      </c>
      <c r="Q88" t="inlineStr">
        <is>
          <t>5.48k</t>
        </is>
      </c>
    </row>
    <row r="89">
      <c r="P89" t="inlineStr">
        <is>
          <t>5.59k</t>
        </is>
      </c>
      <c r="Q89" t="inlineStr">
        <is>
          <t>5.59k</t>
        </is>
      </c>
    </row>
    <row r="90">
      <c r="P90" t="inlineStr">
        <is>
          <t>5.71k</t>
        </is>
      </c>
      <c r="Q90" t="inlineStr">
        <is>
          <t>5.71k</t>
        </is>
      </c>
    </row>
    <row r="91">
      <c r="P91" t="inlineStr">
        <is>
          <t>5.82k</t>
        </is>
      </c>
      <c r="Q91" t="inlineStr">
        <is>
          <t>5.82k</t>
        </is>
      </c>
    </row>
    <row r="92">
      <c r="P92" t="inlineStr">
        <is>
          <t>5.94k</t>
        </is>
      </c>
      <c r="Q92" t="inlineStr">
        <is>
          <t>5.94k</t>
        </is>
      </c>
    </row>
    <row r="93">
      <c r="P93" t="inlineStr">
        <is>
          <t>6.07k</t>
        </is>
      </c>
      <c r="Q93" t="inlineStr">
        <is>
          <t>6.07k</t>
        </is>
      </c>
    </row>
    <row r="94">
      <c r="P94" t="inlineStr">
        <is>
          <t>6.19k</t>
        </is>
      </c>
      <c r="Q94" t="inlineStr">
        <is>
          <t>6.19k</t>
        </is>
      </c>
    </row>
    <row r="95">
      <c r="P95" t="inlineStr">
        <is>
          <t>6.32k</t>
        </is>
      </c>
      <c r="Q95" t="inlineStr">
        <is>
          <t>6.32k</t>
        </is>
      </c>
    </row>
    <row r="96">
      <c r="P96" t="inlineStr">
        <is>
          <t>6.44k</t>
        </is>
      </c>
      <c r="Q96" t="inlineStr">
        <is>
          <t>6.44k</t>
        </is>
      </c>
    </row>
    <row r="97">
      <c r="P97" t="inlineStr">
        <is>
          <t>6.58k</t>
        </is>
      </c>
      <c r="Q97" t="inlineStr">
        <is>
          <t>6.58k</t>
        </is>
      </c>
    </row>
    <row r="98">
      <c r="P98" t="inlineStr">
        <is>
          <t>6.71k</t>
        </is>
      </c>
      <c r="Q98" t="inlineStr">
        <is>
          <t>6.71k</t>
        </is>
      </c>
    </row>
    <row r="99">
      <c r="P99" t="inlineStr">
        <is>
          <t>6.85k</t>
        </is>
      </c>
      <c r="Q99" t="inlineStr">
        <is>
          <t>6.85k</t>
        </is>
      </c>
    </row>
    <row r="100">
      <c r="P100" t="inlineStr">
        <is>
          <t>6.99k</t>
        </is>
      </c>
      <c r="Q100" t="inlineStr">
        <is>
          <t>6.99k</t>
        </is>
      </c>
    </row>
    <row r="101">
      <c r="P101" t="inlineStr">
        <is>
          <t>7.13k</t>
        </is>
      </c>
      <c r="Q101" t="inlineStr">
        <is>
          <t>7.13k</t>
        </is>
      </c>
    </row>
    <row r="102">
      <c r="P102" t="inlineStr">
        <is>
          <t>7.28k</t>
        </is>
      </c>
      <c r="Q102" t="inlineStr">
        <is>
          <t>7.28k</t>
        </is>
      </c>
    </row>
    <row r="103">
      <c r="P103" t="inlineStr">
        <is>
          <t>7.43k</t>
        </is>
      </c>
      <c r="Q103" t="inlineStr">
        <is>
          <t>7.43k</t>
        </is>
      </c>
    </row>
    <row r="104">
      <c r="P104" t="inlineStr">
        <is>
          <t>7.58k</t>
        </is>
      </c>
      <c r="Q104" t="inlineStr">
        <is>
          <t>7.58k</t>
        </is>
      </c>
    </row>
    <row r="105">
      <c r="P105" t="inlineStr">
        <is>
          <t>7.73k</t>
        </is>
      </c>
      <c r="Q105" t="inlineStr">
        <is>
          <t>7.73k</t>
        </is>
      </c>
    </row>
    <row r="106">
      <c r="P106" t="inlineStr">
        <is>
          <t>7.89k</t>
        </is>
      </c>
      <c r="Q106" t="inlineStr">
        <is>
          <t>7.89k</t>
        </is>
      </c>
    </row>
    <row r="107">
      <c r="P107" t="inlineStr">
        <is>
          <t>8.05k</t>
        </is>
      </c>
      <c r="Q107" t="inlineStr">
        <is>
          <t>8.05k</t>
        </is>
      </c>
    </row>
    <row r="108">
      <c r="P108" t="inlineStr">
        <is>
          <t>8.22k</t>
        </is>
      </c>
      <c r="Q108" t="inlineStr">
        <is>
          <t>8.22k</t>
        </is>
      </c>
    </row>
    <row r="109">
      <c r="P109" t="inlineStr">
        <is>
          <t>8.39k</t>
        </is>
      </c>
      <c r="Q109" t="inlineStr">
        <is>
          <t>8.39k</t>
        </is>
      </c>
    </row>
    <row r="110">
      <c r="P110" t="inlineStr">
        <is>
          <t>8.56k</t>
        </is>
      </c>
      <c r="Q110" t="inlineStr">
        <is>
          <t>8.56k</t>
        </is>
      </c>
    </row>
    <row r="111">
      <c r="P111" t="inlineStr">
        <is>
          <t>8.73k</t>
        </is>
      </c>
      <c r="Q111" t="inlineStr">
        <is>
          <t>8.73k</t>
        </is>
      </c>
    </row>
    <row r="112">
      <c r="P112" t="inlineStr">
        <is>
          <t>8.91k</t>
        </is>
      </c>
      <c r="Q112" t="inlineStr">
        <is>
          <t>8.91k</t>
        </is>
      </c>
    </row>
    <row r="113">
      <c r="P113" t="inlineStr">
        <is>
          <t>9.09k</t>
        </is>
      </c>
      <c r="Q113" t="inlineStr">
        <is>
          <t>9.09k</t>
        </is>
      </c>
    </row>
    <row r="114">
      <c r="P114" t="inlineStr">
        <is>
          <t>9.28k</t>
        </is>
      </c>
      <c r="Q114" t="inlineStr">
        <is>
          <t>9.28k</t>
        </is>
      </c>
    </row>
    <row r="115">
      <c r="P115" t="inlineStr">
        <is>
          <t>9.47k</t>
        </is>
      </c>
      <c r="Q115" t="inlineStr">
        <is>
          <t>9.47k</t>
        </is>
      </c>
    </row>
    <row r="116">
      <c r="P116" t="inlineStr">
        <is>
          <t>9.66k</t>
        </is>
      </c>
      <c r="Q116" t="inlineStr">
        <is>
          <t>9.66k</t>
        </is>
      </c>
    </row>
    <row r="117">
      <c r="P117" t="inlineStr">
        <is>
          <t>9.86k</t>
        </is>
      </c>
      <c r="Q117" t="inlineStr">
        <is>
          <t>9.86k</t>
        </is>
      </c>
    </row>
    <row r="118">
      <c r="P118" t="inlineStr">
        <is>
          <t>10k</t>
        </is>
      </c>
      <c r="Q118" t="inlineStr">
        <is>
          <t>10k</t>
        </is>
      </c>
    </row>
    <row r="119">
      <c r="P119" t="inlineStr">
        <is>
          <t>10.3k</t>
        </is>
      </c>
      <c r="Q119" t="inlineStr">
        <is>
          <t>10.3k</t>
        </is>
      </c>
    </row>
    <row r="120">
      <c r="P120" t="inlineStr">
        <is>
          <t>10.5k</t>
        </is>
      </c>
      <c r="Q120" t="inlineStr">
        <is>
          <t>10.5k</t>
        </is>
      </c>
    </row>
    <row r="121">
      <c r="P121" t="inlineStr">
        <is>
          <t>10.7k</t>
        </is>
      </c>
      <c r="Q121" t="inlineStr">
        <is>
          <t>10.7k</t>
        </is>
      </c>
    </row>
    <row r="122">
      <c r="P122" t="inlineStr">
        <is>
          <t>10.9k</t>
        </is>
      </c>
      <c r="Q122" t="inlineStr">
        <is>
          <t>10.9k</t>
        </is>
      </c>
    </row>
    <row r="123">
      <c r="P123" t="inlineStr">
        <is>
          <t>11.1k</t>
        </is>
      </c>
      <c r="Q123" t="inlineStr">
        <is>
          <t>11.1k</t>
        </is>
      </c>
    </row>
    <row r="124">
      <c r="P124" t="inlineStr">
        <is>
          <t>11.4k</t>
        </is>
      </c>
      <c r="Q124" t="inlineStr">
        <is>
          <t>11.4k</t>
        </is>
      </c>
    </row>
    <row r="125">
      <c r="P125" t="inlineStr">
        <is>
          <t>11.6k</t>
        </is>
      </c>
      <c r="Q125" t="inlineStr">
        <is>
          <t>11.6k</t>
        </is>
      </c>
    </row>
    <row r="126">
      <c r="P126" t="inlineStr">
        <is>
          <t>11.8k</t>
        </is>
      </c>
      <c r="Q126" t="inlineStr">
        <is>
          <t>11.8k</t>
        </is>
      </c>
    </row>
    <row r="127">
      <c r="P127" t="inlineStr">
        <is>
          <t>12.1k</t>
        </is>
      </c>
      <c r="Q127" t="inlineStr">
        <is>
          <t>12.1k</t>
        </is>
      </c>
    </row>
    <row r="128">
      <c r="P128" t="inlineStr">
        <is>
          <t>12.3k</t>
        </is>
      </c>
      <c r="Q128" t="inlineStr">
        <is>
          <t>12.3k</t>
        </is>
      </c>
    </row>
    <row r="129">
      <c r="P129" t="inlineStr">
        <is>
          <t>12.6k</t>
        </is>
      </c>
      <c r="Q129" t="inlineStr">
        <is>
          <t>12.6k</t>
        </is>
      </c>
    </row>
    <row r="130">
      <c r="P130" t="inlineStr">
        <is>
          <t>12.8k</t>
        </is>
      </c>
      <c r="Q130" t="inlineStr">
        <is>
          <t>12.8k</t>
        </is>
      </c>
    </row>
    <row r="131">
      <c r="P131" t="inlineStr">
        <is>
          <t>13.1k</t>
        </is>
      </c>
      <c r="Q131" t="inlineStr">
        <is>
          <t>13.1k</t>
        </is>
      </c>
    </row>
    <row r="132">
      <c r="P132" t="inlineStr">
        <is>
          <t>13.4k</t>
        </is>
      </c>
      <c r="Q132" t="inlineStr">
        <is>
          <t>13.4k</t>
        </is>
      </c>
    </row>
    <row r="133">
      <c r="P133" t="inlineStr">
        <is>
          <t>13.6k</t>
        </is>
      </c>
      <c r="Q133" t="inlineStr">
        <is>
          <t>13.6k</t>
        </is>
      </c>
    </row>
    <row r="134">
      <c r="P134" t="inlineStr">
        <is>
          <t>13.9k</t>
        </is>
      </c>
      <c r="Q134" t="inlineStr">
        <is>
          <t>13.9k</t>
        </is>
      </c>
    </row>
    <row r="135">
      <c r="P135" t="inlineStr">
        <is>
          <t>14.2k</t>
        </is>
      </c>
      <c r="Q135" t="inlineStr">
        <is>
          <t>14.2k</t>
        </is>
      </c>
    </row>
    <row r="136">
      <c r="P136" t="inlineStr">
        <is>
          <t>14.5k</t>
        </is>
      </c>
      <c r="Q136" t="inlineStr">
        <is>
          <t>14.5k</t>
        </is>
      </c>
    </row>
    <row r="137">
      <c r="P137" t="inlineStr">
        <is>
          <t>14.8k</t>
        </is>
      </c>
      <c r="Q137" t="inlineStr">
        <is>
          <t>14.8k</t>
        </is>
      </c>
    </row>
    <row r="138">
      <c r="P138" t="inlineStr">
        <is>
          <t>15.1k</t>
        </is>
      </c>
      <c r="Q138" t="inlineStr">
        <is>
          <t>15.1k</t>
        </is>
      </c>
    </row>
    <row r="139">
      <c r="P139" t="inlineStr">
        <is>
          <t>15.4k</t>
        </is>
      </c>
      <c r="Q139" t="inlineStr">
        <is>
          <t>15.4k</t>
        </is>
      </c>
    </row>
    <row r="140">
      <c r="P140" t="inlineStr">
        <is>
          <t>15.7k</t>
        </is>
      </c>
      <c r="Q140" t="inlineStr">
        <is>
          <t>15.7k</t>
        </is>
      </c>
    </row>
    <row r="141">
      <c r="P141" t="inlineStr">
        <is>
          <t>16k</t>
        </is>
      </c>
      <c r="Q141" t="inlineStr">
        <is>
          <t>16k</t>
        </is>
      </c>
    </row>
    <row r="142">
      <c r="P142" t="inlineStr">
        <is>
          <t>16.4k</t>
        </is>
      </c>
      <c r="Q142" t="inlineStr">
        <is>
          <t>16.4k</t>
        </is>
      </c>
    </row>
    <row r="143">
      <c r="P143" t="inlineStr">
        <is>
          <t>16.7k</t>
        </is>
      </c>
      <c r="Q143" t="inlineStr">
        <is>
          <t>16.7k</t>
        </is>
      </c>
    </row>
    <row r="144">
      <c r="P144" t="inlineStr">
        <is>
          <t>17k</t>
        </is>
      </c>
      <c r="Q144" t="inlineStr">
        <is>
          <t>17k</t>
        </is>
      </c>
    </row>
    <row r="145">
      <c r="P145" t="inlineStr">
        <is>
          <t>17.4k</t>
        </is>
      </c>
      <c r="Q145" t="inlineStr">
        <is>
          <t>17.4k</t>
        </is>
      </c>
    </row>
    <row r="146">
      <c r="P146" t="inlineStr">
        <is>
          <t>17.7k</t>
        </is>
      </c>
      <c r="Q146" t="inlineStr">
        <is>
          <t>17.7k</t>
        </is>
      </c>
    </row>
    <row r="147">
      <c r="P147" t="inlineStr">
        <is>
          <t>18.1k</t>
        </is>
      </c>
      <c r="Q147" t="inlineStr">
        <is>
          <t>18.1k</t>
        </is>
      </c>
    </row>
    <row r="148">
      <c r="P148" t="inlineStr">
        <is>
          <t>18.5k</t>
        </is>
      </c>
      <c r="Q148" t="inlineStr">
        <is>
          <t>18.5k</t>
        </is>
      </c>
    </row>
    <row r="149">
      <c r="P149" t="inlineStr">
        <is>
          <t>18.9k</t>
        </is>
      </c>
      <c r="Q149" t="inlineStr">
        <is>
          <t>18.9k</t>
        </is>
      </c>
    </row>
    <row r="150">
      <c r="P150" t="inlineStr">
        <is>
          <t>19.2k</t>
        </is>
      </c>
      <c r="Q150" t="inlineStr">
        <is>
          <t>19.2k</t>
        </is>
      </c>
    </row>
    <row r="151">
      <c r="P151" t="inlineStr">
        <is>
          <t>19.6k</t>
        </is>
      </c>
      <c r="Q151" t="inlineStr">
        <is>
          <t>19.6k</t>
        </is>
      </c>
    </row>
    <row r="152">
      <c r="P152" t="inlineStr">
        <is>
          <t>20k</t>
        </is>
      </c>
      <c r="Q152" t="inlineStr">
        <is>
          <t>20k</t>
        </is>
      </c>
    </row>
    <row r="153">
      <c r="P153" t="inlineStr">
        <is>
          <t>20.4k</t>
        </is>
      </c>
      <c r="Q153" t="inlineStr">
        <is>
          <t>20.4k</t>
        </is>
      </c>
    </row>
    <row r="154">
      <c r="P154" t="inlineStr">
        <is>
          <t>20.9k</t>
        </is>
      </c>
      <c r="Q154" t="inlineStr">
        <is>
          <t>20.9k</t>
        </is>
      </c>
    </row>
    <row r="155">
      <c r="P155" t="inlineStr">
        <is>
          <t>21.3k</t>
        </is>
      </c>
      <c r="Q155" t="inlineStr">
        <is>
          <t>21.3k</t>
        </is>
      </c>
    </row>
    <row r="156">
      <c r="P156" t="inlineStr">
        <is>
          <t>21.7k</t>
        </is>
      </c>
      <c r="Q156" t="inlineStr">
        <is>
          <t>21.7k</t>
        </is>
      </c>
    </row>
    <row r="157">
      <c r="P157" t="inlineStr">
        <is>
          <t>22.2k</t>
        </is>
      </c>
      <c r="Q157" t="inlineStr">
        <is>
          <t>22.2k</t>
        </is>
      </c>
    </row>
    <row r="158">
      <c r="P158" t="inlineStr">
        <is>
          <t>22.6k</t>
        </is>
      </c>
      <c r="Q158" t="inlineStr">
        <is>
          <t>22.6k</t>
        </is>
      </c>
    </row>
    <row r="159">
      <c r="P159" t="inlineStr">
        <is>
          <t>23.1k</t>
        </is>
      </c>
      <c r="Q159" t="inlineStr">
        <is>
          <t>23.1k</t>
        </is>
      </c>
    </row>
    <row r="160">
      <c r="P160" t="inlineStr">
        <is>
          <t>23.6k</t>
        </is>
      </c>
      <c r="Q160" t="inlineStr">
        <is>
          <t>23.6k</t>
        </is>
      </c>
    </row>
    <row r="161">
      <c r="P161" t="inlineStr">
        <is>
          <t>24k</t>
        </is>
      </c>
      <c r="Q161" t="inlineStr">
        <is>
          <t>24k</t>
        </is>
      </c>
    </row>
    <row r="162">
      <c r="P162" t="inlineStr">
        <is>
          <t>24.5k</t>
        </is>
      </c>
      <c r="Q162" t="inlineStr">
        <is>
          <t>24.5k</t>
        </is>
      </c>
    </row>
    <row r="163">
      <c r="P163" t="inlineStr">
        <is>
          <t>25k</t>
        </is>
      </c>
      <c r="Q163" t="inlineStr">
        <is>
          <t>25k</t>
        </is>
      </c>
    </row>
    <row r="164">
      <c r="P164" t="inlineStr">
        <is>
          <t>25.5k</t>
        </is>
      </c>
      <c r="Q164" t="inlineStr">
        <is>
          <t>25.5k</t>
        </is>
      </c>
    </row>
    <row r="165">
      <c r="P165" t="inlineStr">
        <is>
          <t>26.1k</t>
        </is>
      </c>
      <c r="Q165" t="inlineStr">
        <is>
          <t>26.1k</t>
        </is>
      </c>
    </row>
    <row r="166">
      <c r="P166" t="inlineStr">
        <is>
          <t>26.6k</t>
        </is>
      </c>
      <c r="Q166" t="inlineStr">
        <is>
          <t>26.6k</t>
        </is>
      </c>
    </row>
    <row r="167">
      <c r="P167" t="inlineStr">
        <is>
          <t>27.1k</t>
        </is>
      </c>
      <c r="Q167" t="inlineStr">
        <is>
          <t>27.1k</t>
        </is>
      </c>
    </row>
    <row r="168">
      <c r="P168" t="inlineStr">
        <is>
          <t>27.7k</t>
        </is>
      </c>
      <c r="Q168" t="inlineStr">
        <is>
          <t>27.7k</t>
        </is>
      </c>
    </row>
    <row r="169">
      <c r="P169" t="inlineStr">
        <is>
          <t>28.3k</t>
        </is>
      </c>
      <c r="Q169" t="inlineStr">
        <is>
          <t>28.3k</t>
        </is>
      </c>
    </row>
    <row r="170">
      <c r="P170" t="inlineStr">
        <is>
          <t>28.8k</t>
        </is>
      </c>
      <c r="Q170" t="inlineStr">
        <is>
          <t>28.8k</t>
        </is>
      </c>
    </row>
    <row r="171">
      <c r="P171" t="inlineStr">
        <is>
          <t>29.4k</t>
        </is>
      </c>
      <c r="Q171" t="inlineStr">
        <is>
          <t>29.4k</t>
        </is>
      </c>
    </row>
    <row r="172">
      <c r="P172" t="inlineStr">
        <is>
          <t>30k</t>
        </is>
      </c>
      <c r="Q172" t="inlineStr">
        <is>
          <t>30k</t>
        </is>
      </c>
    </row>
    <row r="173">
      <c r="P173" t="inlineStr">
        <is>
          <t>30.7k</t>
        </is>
      </c>
      <c r="Q173" t="inlineStr">
        <is>
          <t>30.7k</t>
        </is>
      </c>
    </row>
    <row r="174">
      <c r="P174" t="inlineStr">
        <is>
          <t>31.3k</t>
        </is>
      </c>
      <c r="Q174" t="inlineStr">
        <is>
          <t>31.3k</t>
        </is>
      </c>
    </row>
    <row r="175">
      <c r="P175" t="inlineStr">
        <is>
          <t>31.9k</t>
        </is>
      </c>
      <c r="Q175" t="inlineStr">
        <is>
          <t>31.9k</t>
        </is>
      </c>
    </row>
    <row r="176">
      <c r="P176" t="inlineStr">
        <is>
          <t>32.6k</t>
        </is>
      </c>
      <c r="Q176" t="inlineStr">
        <is>
          <t>32.6k</t>
        </is>
      </c>
    </row>
    <row r="177">
      <c r="P177" t="inlineStr">
        <is>
          <t>33.2k</t>
        </is>
      </c>
      <c r="Q177" t="inlineStr">
        <is>
          <t>33.2k</t>
        </is>
      </c>
    </row>
    <row r="178">
      <c r="P178" t="inlineStr">
        <is>
          <t>33.9k</t>
        </is>
      </c>
      <c r="Q178" t="inlineStr">
        <is>
          <t>33.9k</t>
        </is>
      </c>
    </row>
    <row r="179">
      <c r="P179" t="inlineStr">
        <is>
          <t>34.6k</t>
        </is>
      </c>
      <c r="Q179" t="inlineStr">
        <is>
          <t>34.6k</t>
        </is>
      </c>
    </row>
    <row r="180">
      <c r="P180" t="inlineStr">
        <is>
          <t>35.3k</t>
        </is>
      </c>
      <c r="Q180" t="inlineStr">
        <is>
          <t>35.3k</t>
        </is>
      </c>
    </row>
    <row r="181">
      <c r="P181" t="inlineStr">
        <is>
          <t>36k</t>
        </is>
      </c>
      <c r="Q181" t="inlineStr">
        <is>
          <t>36k</t>
        </is>
      </c>
    </row>
    <row r="182">
      <c r="P182" t="inlineStr">
        <is>
          <t>36.8k</t>
        </is>
      </c>
      <c r="Q182" t="inlineStr">
        <is>
          <t>36.8k</t>
        </is>
      </c>
    </row>
    <row r="183">
      <c r="P183" t="inlineStr">
        <is>
          <t>37.5k</t>
        </is>
      </c>
      <c r="Q183" t="inlineStr">
        <is>
          <t>37.5k</t>
        </is>
      </c>
    </row>
    <row r="184">
      <c r="P184" t="inlineStr">
        <is>
          <t>38.3k</t>
        </is>
      </c>
      <c r="Q184" t="inlineStr">
        <is>
          <t>38.3k</t>
        </is>
      </c>
    </row>
    <row r="185">
      <c r="P185" t="inlineStr">
        <is>
          <t>39.1k</t>
        </is>
      </c>
      <c r="Q185" t="inlineStr">
        <is>
          <t>39.1k</t>
        </is>
      </c>
    </row>
    <row r="186">
      <c r="P186" t="inlineStr">
        <is>
          <t>39.9k</t>
        </is>
      </c>
      <c r="Q186" t="inlineStr">
        <is>
          <t>39.9k</t>
        </is>
      </c>
    </row>
    <row r="187">
      <c r="P187" t="inlineStr">
        <is>
          <t>40.7k</t>
        </is>
      </c>
      <c r="Q187" t="inlineStr">
        <is>
          <t>40.7k</t>
        </is>
      </c>
    </row>
    <row r="188">
      <c r="P188" t="inlineStr">
        <is>
          <t>41.5k</t>
        </is>
      </c>
      <c r="Q188" t="inlineStr">
        <is>
          <t>41.5k</t>
        </is>
      </c>
    </row>
    <row r="189">
      <c r="P189" t="inlineStr">
        <is>
          <t>42.4k</t>
        </is>
      </c>
      <c r="Q189" t="inlineStr">
        <is>
          <t>42.4k</t>
        </is>
      </c>
    </row>
    <row r="190">
      <c r="P190" t="inlineStr">
        <is>
          <t>43.3k</t>
        </is>
      </c>
      <c r="Q190" t="inlineStr">
        <is>
          <t>43.3k</t>
        </is>
      </c>
    </row>
    <row r="191">
      <c r="P191" t="inlineStr">
        <is>
          <t>44.1k</t>
        </is>
      </c>
      <c r="Q191" t="inlineStr">
        <is>
          <t>44.1k</t>
        </is>
      </c>
    </row>
    <row r="192">
      <c r="P192" t="inlineStr">
        <is>
          <t>45k</t>
        </is>
      </c>
      <c r="Q192" t="inlineStr">
        <is>
          <t>45k</t>
        </is>
      </c>
    </row>
    <row r="193">
      <c r="P193" t="inlineStr">
        <is>
          <t>46k</t>
        </is>
      </c>
      <c r="Q193" t="inlineStr">
        <is>
          <t>46k</t>
        </is>
      </c>
    </row>
    <row r="194">
      <c r="P194" t="inlineStr">
        <is>
          <t>46.9k</t>
        </is>
      </c>
      <c r="Q194" t="inlineStr">
        <is>
          <t>46.9k</t>
        </is>
      </c>
    </row>
    <row r="195">
      <c r="P195" t="inlineStr">
        <is>
          <t>47.9k</t>
        </is>
      </c>
      <c r="Q195" t="inlineStr">
        <is>
          <t>47.9k</t>
        </is>
      </c>
    </row>
    <row r="196">
      <c r="P196" t="inlineStr">
        <is>
          <t>48.8k</t>
        </is>
      </c>
      <c r="Q196" t="inlineStr">
        <is>
          <t>48.8k</t>
        </is>
      </c>
    </row>
    <row r="197">
      <c r="P197" t="inlineStr">
        <is>
          <t>49.8k</t>
        </is>
      </c>
      <c r="Q197" t="inlineStr">
        <is>
          <t>49.8k</t>
        </is>
      </c>
    </row>
    <row r="198">
      <c r="P198" t="inlineStr">
        <is>
          <t>50.9k</t>
        </is>
      </c>
      <c r="Q198" t="inlineStr">
        <is>
          <t>50.9k</t>
        </is>
      </c>
    </row>
    <row r="199">
      <c r="P199" t="inlineStr">
        <is>
          <t>51.9k</t>
        </is>
      </c>
      <c r="Q199" t="inlineStr">
        <is>
          <t>51.9k</t>
        </is>
      </c>
    </row>
    <row r="200">
      <c r="P200" t="inlineStr">
        <is>
          <t>53k</t>
        </is>
      </c>
      <c r="Q200" t="inlineStr">
        <is>
          <t>53k</t>
        </is>
      </c>
    </row>
    <row r="201">
      <c r="P201" t="inlineStr">
        <is>
          <t>54k</t>
        </is>
      </c>
      <c r="Q201" t="inlineStr">
        <is>
          <t>54k</t>
        </is>
      </c>
    </row>
    <row r="202">
      <c r="P202" t="inlineStr">
        <is>
          <t>55.2k</t>
        </is>
      </c>
      <c r="Q202" t="inlineStr">
        <is>
          <t>55.2k</t>
        </is>
      </c>
    </row>
    <row r="203">
      <c r="P203" t="inlineStr">
        <is>
          <t>56.3k</t>
        </is>
      </c>
      <c r="Q203" t="inlineStr">
        <is>
          <t>56.3k</t>
        </is>
      </c>
    </row>
    <row r="204">
      <c r="P204" t="inlineStr">
        <is>
          <t>57.4k</t>
        </is>
      </c>
      <c r="Q204" t="inlineStr">
        <is>
          <t>57.4k</t>
        </is>
      </c>
    </row>
    <row r="205">
      <c r="P205" t="inlineStr">
        <is>
          <t>58.6k</t>
        </is>
      </c>
      <c r="Q205" t="inlineStr">
        <is>
          <t>58.6k</t>
        </is>
      </c>
    </row>
    <row r="206">
      <c r="P206" t="inlineStr">
        <is>
          <t>59.8k</t>
        </is>
      </c>
      <c r="Q206" t="inlineStr">
        <is>
          <t>59.8k</t>
        </is>
      </c>
    </row>
    <row r="207">
      <c r="P207" t="inlineStr">
        <is>
          <t>61k</t>
        </is>
      </c>
      <c r="Q207" t="inlineStr">
        <is>
          <t>61k</t>
        </is>
      </c>
    </row>
    <row r="208">
      <c r="P208" t="inlineStr">
        <is>
          <t>62.3k</t>
        </is>
      </c>
      <c r="Q208" t="inlineStr">
        <is>
          <t>62.3k</t>
        </is>
      </c>
    </row>
    <row r="209">
      <c r="P209" t="inlineStr">
        <is>
          <t>63.6k</t>
        </is>
      </c>
      <c r="Q209" t="inlineStr">
        <is>
          <t>63.6k</t>
        </is>
      </c>
    </row>
    <row r="210">
      <c r="P210" t="inlineStr">
        <is>
          <t>64.9k</t>
        </is>
      </c>
      <c r="Q210" t="inlineStr">
        <is>
          <t>64.9k</t>
        </is>
      </c>
    </row>
    <row r="211">
      <c r="P211" t="inlineStr">
        <is>
          <t>66.2k</t>
        </is>
      </c>
      <c r="Q211" t="inlineStr">
        <is>
          <t>66.2k</t>
        </is>
      </c>
    </row>
    <row r="212">
      <c r="P212" t="inlineStr">
        <is>
          <t>67.5k</t>
        </is>
      </c>
      <c r="Q212" t="inlineStr">
        <is>
          <t>67.5k</t>
        </is>
      </c>
    </row>
    <row r="213">
      <c r="P213" t="inlineStr">
        <is>
          <t>68.9k</t>
        </is>
      </c>
      <c r="Q213" t="inlineStr">
        <is>
          <t>68.9k</t>
        </is>
      </c>
    </row>
    <row r="214">
      <c r="P214" t="inlineStr">
        <is>
          <t>70.3k</t>
        </is>
      </c>
      <c r="Q214" t="inlineStr">
        <is>
          <t>70.3k</t>
        </is>
      </c>
    </row>
    <row r="215">
      <c r="P215" t="inlineStr">
        <is>
          <t>71.8k</t>
        </is>
      </c>
      <c r="Q215" t="inlineStr">
        <is>
          <t>71.8k</t>
        </is>
      </c>
    </row>
    <row r="216">
      <c r="P216" t="inlineStr">
        <is>
          <t>73.2k</t>
        </is>
      </c>
      <c r="Q216" t="inlineStr">
        <is>
          <t>73.2k</t>
        </is>
      </c>
    </row>
    <row r="217">
      <c r="P217" t="inlineStr">
        <is>
          <t>74.7k</t>
        </is>
      </c>
      <c r="Q217" t="inlineStr">
        <is>
          <t>74.7k</t>
        </is>
      </c>
    </row>
    <row r="218">
      <c r="P218" t="inlineStr">
        <is>
          <t>76.3k</t>
        </is>
      </c>
      <c r="Q218" t="inlineStr">
        <is>
          <t>76.3k</t>
        </is>
      </c>
    </row>
    <row r="219">
      <c r="P219" t="inlineStr">
        <is>
          <t>77.8k</t>
        </is>
      </c>
      <c r="Q219" t="inlineStr">
        <is>
          <t>77.8k</t>
        </is>
      </c>
    </row>
    <row r="220">
      <c r="P220" t="inlineStr">
        <is>
          <t>79.4k</t>
        </is>
      </c>
      <c r="Q220" t="inlineStr">
        <is>
          <t>79.4k</t>
        </is>
      </c>
    </row>
    <row r="221">
      <c r="P221" t="inlineStr">
        <is>
          <t>81k</t>
        </is>
      </c>
      <c r="Q221" t="inlineStr">
        <is>
          <t>81k</t>
        </is>
      </c>
    </row>
    <row r="222">
      <c r="P222" t="inlineStr">
        <is>
          <t>82.7k</t>
        </is>
      </c>
      <c r="Q222" t="inlineStr">
        <is>
          <t>82.7k</t>
        </is>
      </c>
    </row>
    <row r="223">
      <c r="P223" t="inlineStr">
        <is>
          <t>84.4k</t>
        </is>
      </c>
      <c r="Q223" t="inlineStr">
        <is>
          <t>84.4k</t>
        </is>
      </c>
    </row>
    <row r="224">
      <c r="P224" t="inlineStr">
        <is>
          <t>86.1k</t>
        </is>
      </c>
      <c r="Q224" t="inlineStr">
        <is>
          <t>86.1k</t>
        </is>
      </c>
    </row>
    <row r="225">
      <c r="P225" t="inlineStr">
        <is>
          <t>87.9k</t>
        </is>
      </c>
      <c r="Q225" t="inlineStr">
        <is>
          <t>87.9k</t>
        </is>
      </c>
    </row>
    <row r="226">
      <c r="P226" t="inlineStr">
        <is>
          <t>89.7k</t>
        </is>
      </c>
      <c r="Q226" t="inlineStr">
        <is>
          <t>89.7k</t>
        </is>
      </c>
    </row>
    <row r="227">
      <c r="P227" t="inlineStr">
        <is>
          <t>91.5k</t>
        </is>
      </c>
      <c r="Q227" t="inlineStr">
        <is>
          <t>91.5k</t>
        </is>
      </c>
    </row>
    <row r="228">
      <c r="P228" t="inlineStr">
        <is>
          <t>93.4k</t>
        </is>
      </c>
      <c r="Q228" t="inlineStr">
        <is>
          <t>93.4k</t>
        </is>
      </c>
    </row>
    <row r="229">
      <c r="P229" t="inlineStr">
        <is>
          <t>95.3k</t>
        </is>
      </c>
      <c r="Q229" t="inlineStr">
        <is>
          <t>95.3k</t>
        </is>
      </c>
    </row>
    <row r="230">
      <c r="P230" t="inlineStr">
        <is>
          <t>97.2k</t>
        </is>
      </c>
      <c r="Q230" t="inlineStr">
        <is>
          <t>97.2k</t>
        </is>
      </c>
    </row>
    <row r="231">
      <c r="P231" t="inlineStr">
        <is>
          <t>99.2k</t>
        </is>
      </c>
      <c r="Q231" t="inlineStr">
        <is>
          <t>99.2k</t>
        </is>
      </c>
    </row>
    <row r="232">
      <c r="P232" t="inlineStr">
        <is>
          <t>100k</t>
        </is>
      </c>
      <c r="Q232" t="inlineStr">
        <is>
          <t>100k</t>
        </is>
      </c>
    </row>
    <row r="233">
      <c r="P233" t="inlineStr">
        <is>
          <t>103k</t>
        </is>
      </c>
      <c r="Q233" t="inlineStr">
        <is>
          <t>103k</t>
        </is>
      </c>
    </row>
    <row r="234">
      <c r="P234" t="inlineStr">
        <is>
          <t>105k</t>
        </is>
      </c>
      <c r="Q234" t="inlineStr">
        <is>
          <t>105k</t>
        </is>
      </c>
    </row>
    <row r="235">
      <c r="P235" t="inlineStr">
        <is>
          <t>108k</t>
        </is>
      </c>
      <c r="Q235" t="inlineStr">
        <is>
          <t>108k</t>
        </is>
      </c>
    </row>
    <row r="236">
      <c r="P236" t="inlineStr">
        <is>
          <t>110k</t>
        </is>
      </c>
      <c r="Q236" t="inlineStr">
        <is>
          <t>110k</t>
        </is>
      </c>
    </row>
    <row r="237">
      <c r="P237" t="inlineStr">
        <is>
          <t>112k</t>
        </is>
      </c>
      <c r="Q237" t="inlineStr">
        <is>
          <t>112k</t>
        </is>
      </c>
    </row>
    <row r="238">
      <c r="P238" t="inlineStr">
        <is>
          <t>114k</t>
        </is>
      </c>
      <c r="Q238" t="inlineStr">
        <is>
          <t>114k</t>
        </is>
      </c>
    </row>
    <row r="239">
      <c r="P239" t="inlineStr">
        <is>
          <t>117k</t>
        </is>
      </c>
      <c r="Q239" t="inlineStr">
        <is>
          <t>117k</t>
        </is>
      </c>
    </row>
    <row r="240">
      <c r="P240" t="inlineStr">
        <is>
          <t>119k</t>
        </is>
      </c>
      <c r="Q240" t="inlineStr">
        <is>
          <t>119k</t>
        </is>
      </c>
    </row>
    <row r="241">
      <c r="P241" t="inlineStr">
        <is>
          <t>122k</t>
        </is>
      </c>
      <c r="Q241" t="inlineStr">
        <is>
          <t>122k</t>
        </is>
      </c>
    </row>
    <row r="242">
      <c r="P242" t="inlineStr">
        <is>
          <t>124k</t>
        </is>
      </c>
      <c r="Q242" t="inlineStr">
        <is>
          <t>124k</t>
        </is>
      </c>
    </row>
    <row r="243">
      <c r="P243" t="inlineStr">
        <is>
          <t>127k</t>
        </is>
      </c>
      <c r="Q243" t="inlineStr">
        <is>
          <t>127k</t>
        </is>
      </c>
    </row>
    <row r="244">
      <c r="P244" t="inlineStr">
        <is>
          <t>129k</t>
        </is>
      </c>
      <c r="Q244" t="inlineStr">
        <is>
          <t>129k</t>
        </is>
      </c>
    </row>
    <row r="245">
      <c r="P245" t="inlineStr">
        <is>
          <t>132k</t>
        </is>
      </c>
      <c r="Q245" t="inlineStr">
        <is>
          <t>132k</t>
        </is>
      </c>
    </row>
    <row r="246">
      <c r="P246" t="inlineStr">
        <is>
          <t>134k</t>
        </is>
      </c>
      <c r="Q246" t="inlineStr">
        <is>
          <t>134k</t>
        </is>
      </c>
    </row>
    <row r="247">
      <c r="P247" t="inlineStr">
        <is>
          <t>137k</t>
        </is>
      </c>
      <c r="Q247" t="inlineStr">
        <is>
          <t>137k</t>
        </is>
      </c>
    </row>
    <row r="248">
      <c r="P248" t="inlineStr">
        <is>
          <t>140k</t>
        </is>
      </c>
      <c r="Q248" t="inlineStr">
        <is>
          <t>140k</t>
        </is>
      </c>
    </row>
    <row r="249">
      <c r="P249" t="inlineStr">
        <is>
          <t>143k</t>
        </is>
      </c>
      <c r="Q249" t="inlineStr">
        <is>
          <t>143k</t>
        </is>
      </c>
    </row>
    <row r="250">
      <c r="P250" t="inlineStr">
        <is>
          <t>146k</t>
        </is>
      </c>
      <c r="Q250" t="inlineStr">
        <is>
          <t>146k</t>
        </is>
      </c>
    </row>
    <row r="251">
      <c r="P251" t="inlineStr">
        <is>
          <t>149k</t>
        </is>
      </c>
      <c r="Q251" t="inlineStr">
        <is>
          <t>149k</t>
        </is>
      </c>
    </row>
    <row r="252">
      <c r="P252" t="inlineStr">
        <is>
          <t>152k</t>
        </is>
      </c>
      <c r="Q252" t="inlineStr">
        <is>
          <t>152k</t>
        </is>
      </c>
    </row>
    <row r="253">
      <c r="P253" t="inlineStr">
        <is>
          <t>155k</t>
        </is>
      </c>
      <c r="Q253" t="inlineStr">
        <is>
          <t>155k</t>
        </is>
      </c>
    </row>
    <row r="254">
      <c r="P254" t="inlineStr">
        <is>
          <t>158k</t>
        </is>
      </c>
      <c r="Q254" t="inlineStr">
        <is>
          <t>158k</t>
        </is>
      </c>
    </row>
    <row r="255">
      <c r="P255" t="inlineStr">
        <is>
          <t>161k</t>
        </is>
      </c>
      <c r="Q255" t="inlineStr">
        <is>
          <t>161k</t>
        </is>
      </c>
    </row>
    <row r="256">
      <c r="P256" t="inlineStr">
        <is>
          <t>165k</t>
        </is>
      </c>
      <c r="Q256" t="inlineStr">
        <is>
          <t>165k</t>
        </is>
      </c>
    </row>
    <row r="257">
      <c r="P257" t="inlineStr">
        <is>
          <t>168k</t>
        </is>
      </c>
      <c r="Q257" t="inlineStr">
        <is>
          <t>168k</t>
        </is>
      </c>
    </row>
    <row r="258">
      <c r="P258" t="inlineStr">
        <is>
          <t>171k</t>
        </is>
      </c>
      <c r="Q258" t="inlineStr">
        <is>
          <t>171k</t>
        </is>
      </c>
    </row>
    <row r="259">
      <c r="P259" t="inlineStr">
        <is>
          <t>175k</t>
        </is>
      </c>
      <c r="Q259" t="inlineStr">
        <is>
          <t>175k</t>
        </is>
      </c>
    </row>
    <row r="260">
      <c r="P260" t="inlineStr">
        <is>
          <t>179k</t>
        </is>
      </c>
      <c r="Q260" t="inlineStr">
        <is>
          <t>179k</t>
        </is>
      </c>
    </row>
    <row r="261">
      <c r="P261" t="inlineStr">
        <is>
          <t>182k</t>
        </is>
      </c>
      <c r="Q261" t="inlineStr">
        <is>
          <t>182k</t>
        </is>
      </c>
    </row>
    <row r="262">
      <c r="P262" t="inlineStr">
        <is>
          <t>186k</t>
        </is>
      </c>
      <c r="Q262" t="inlineStr">
        <is>
          <t>186k</t>
        </is>
      </c>
    </row>
    <row r="263">
      <c r="P263" t="inlineStr">
        <is>
          <t>190k</t>
        </is>
      </c>
      <c r="Q263" t="inlineStr">
        <is>
          <t>190k</t>
        </is>
      </c>
    </row>
    <row r="264">
      <c r="P264" t="inlineStr">
        <is>
          <t>194k</t>
        </is>
      </c>
      <c r="Q264" t="inlineStr">
        <is>
          <t>194k</t>
        </is>
      </c>
    </row>
    <row r="265">
      <c r="P265" t="inlineStr">
        <is>
          <t>198k</t>
        </is>
      </c>
      <c r="Q265" t="inlineStr">
        <is>
          <t>198k</t>
        </is>
      </c>
    </row>
    <row r="266">
      <c r="P266" t="inlineStr">
        <is>
          <t>202k</t>
        </is>
      </c>
      <c r="Q266" t="inlineStr">
        <is>
          <t>202k</t>
        </is>
      </c>
    </row>
    <row r="267">
      <c r="P267" t="inlineStr">
        <is>
          <t>206k</t>
        </is>
      </c>
      <c r="Q267" t="inlineStr">
        <is>
          <t>206k</t>
        </is>
      </c>
    </row>
    <row r="268">
      <c r="P268" t="inlineStr">
        <is>
          <t>210k</t>
        </is>
      </c>
      <c r="Q268" t="inlineStr">
        <is>
          <t>210k</t>
        </is>
      </c>
    </row>
    <row r="269">
      <c r="P269" t="inlineStr">
        <is>
          <t>214k</t>
        </is>
      </c>
      <c r="Q269" t="inlineStr">
        <is>
          <t>214k</t>
        </is>
      </c>
    </row>
    <row r="270">
      <c r="P270" t="inlineStr">
        <is>
          <t>219k</t>
        </is>
      </c>
      <c r="Q270" t="inlineStr">
        <is>
          <t>219k</t>
        </is>
      </c>
    </row>
    <row r="271">
      <c r="P271" t="inlineStr">
        <is>
          <t>223k</t>
        </is>
      </c>
      <c r="Q271" t="inlineStr">
        <is>
          <t>223k</t>
        </is>
      </c>
    </row>
    <row r="272">
      <c r="P272" t="inlineStr">
        <is>
          <t>228k</t>
        </is>
      </c>
      <c r="Q272" t="inlineStr">
        <is>
          <t>228k</t>
        </is>
      </c>
    </row>
    <row r="273">
      <c r="P273" t="inlineStr">
        <is>
          <t>232k</t>
        </is>
      </c>
      <c r="Q273" t="inlineStr">
        <is>
          <t>232k</t>
        </is>
      </c>
    </row>
    <row r="274">
      <c r="P274" t="inlineStr">
        <is>
          <t>237k</t>
        </is>
      </c>
      <c r="Q274" t="inlineStr">
        <is>
          <t>237k</t>
        </is>
      </c>
    </row>
    <row r="275">
      <c r="P275" t="inlineStr">
        <is>
          <t>242k</t>
        </is>
      </c>
      <c r="Q275" t="inlineStr">
        <is>
          <t>242k</t>
        </is>
      </c>
    </row>
    <row r="276">
      <c r="P276" t="inlineStr">
        <is>
          <t>247k</t>
        </is>
      </c>
      <c r="Q276" t="inlineStr">
        <is>
          <t>247k</t>
        </is>
      </c>
    </row>
    <row r="277">
      <c r="P277" t="inlineStr">
        <is>
          <t>252k</t>
        </is>
      </c>
      <c r="Q277" t="inlineStr">
        <is>
          <t>252k</t>
        </is>
      </c>
    </row>
    <row r="278">
      <c r="P278" t="inlineStr">
        <is>
          <t>257k</t>
        </is>
      </c>
      <c r="Q278" t="inlineStr">
        <is>
          <t>257k</t>
        </is>
      </c>
    </row>
    <row r="279">
      <c r="P279" t="inlineStr">
        <is>
          <t>262k</t>
        </is>
      </c>
      <c r="Q279" t="inlineStr">
        <is>
          <t>262k</t>
        </is>
      </c>
    </row>
    <row r="280">
      <c r="P280" t="inlineStr">
        <is>
          <t>268k</t>
        </is>
      </c>
      <c r="Q280" t="inlineStr">
        <is>
          <t>268k</t>
        </is>
      </c>
    </row>
    <row r="281">
      <c r="P281" t="inlineStr">
        <is>
          <t>273k</t>
        </is>
      </c>
      <c r="Q281" t="inlineStr">
        <is>
          <t>273k</t>
        </is>
      </c>
    </row>
    <row r="282">
      <c r="P282" t="inlineStr">
        <is>
          <t>279k</t>
        </is>
      </c>
      <c r="Q282" t="inlineStr">
        <is>
          <t>279k</t>
        </is>
      </c>
    </row>
    <row r="283">
      <c r="P283" t="inlineStr">
        <is>
          <t>284k</t>
        </is>
      </c>
      <c r="Q283" t="inlineStr">
        <is>
          <t>284k</t>
        </is>
      </c>
    </row>
    <row r="284">
      <c r="P284" t="inlineStr">
        <is>
          <t>290k</t>
        </is>
      </c>
      <c r="Q284" t="inlineStr">
        <is>
          <t>290k</t>
        </is>
      </c>
    </row>
    <row r="285">
      <c r="P285" t="inlineStr">
        <is>
          <t>296k</t>
        </is>
      </c>
      <c r="Q285" t="inlineStr">
        <is>
          <t>296k</t>
        </is>
      </c>
    </row>
    <row r="286">
      <c r="P286" t="inlineStr">
        <is>
          <t>302k</t>
        </is>
      </c>
      <c r="Q286" t="inlineStr">
        <is>
          <t>302k</t>
        </is>
      </c>
    </row>
    <row r="287">
      <c r="P287" t="inlineStr">
        <is>
          <t>308k</t>
        </is>
      </c>
      <c r="Q287" t="inlineStr">
        <is>
          <t>308k</t>
        </is>
      </c>
    </row>
    <row r="288">
      <c r="P288" t="inlineStr">
        <is>
          <t>315k</t>
        </is>
      </c>
      <c r="Q288" t="inlineStr">
        <is>
          <t>315k</t>
        </is>
      </c>
    </row>
    <row r="289">
      <c r="P289" t="inlineStr">
        <is>
          <t>321k</t>
        </is>
      </c>
      <c r="Q289" t="inlineStr">
        <is>
          <t>321k</t>
        </is>
      </c>
    </row>
    <row r="290">
      <c r="P290" t="inlineStr">
        <is>
          <t>328k</t>
        </is>
      </c>
      <c r="Q290" t="inlineStr">
        <is>
          <t>328k</t>
        </is>
      </c>
    </row>
    <row r="291">
      <c r="P291" t="inlineStr">
        <is>
          <t>335k</t>
        </is>
      </c>
      <c r="Q291" t="inlineStr">
        <is>
          <t>335k</t>
        </is>
      </c>
    </row>
    <row r="292">
      <c r="P292" t="inlineStr">
        <is>
          <t>341k</t>
        </is>
      </c>
      <c r="Q292" t="inlineStr">
        <is>
          <t>341k</t>
        </is>
      </c>
    </row>
    <row r="293">
      <c r="P293" t="inlineStr">
        <is>
          <t>348k</t>
        </is>
      </c>
      <c r="Q293" t="inlineStr">
        <is>
          <t>348k</t>
        </is>
      </c>
    </row>
    <row r="294">
      <c r="P294" t="inlineStr">
        <is>
          <t>355k</t>
        </is>
      </c>
      <c r="Q294" t="inlineStr">
        <is>
          <t>355k</t>
        </is>
      </c>
    </row>
    <row r="295">
      <c r="P295" t="inlineStr">
        <is>
          <t>363k</t>
        </is>
      </c>
      <c r="Q295" t="inlineStr">
        <is>
          <t>363k</t>
        </is>
      </c>
    </row>
    <row r="296">
      <c r="P296" t="inlineStr">
        <is>
          <t>370k</t>
        </is>
      </c>
      <c r="Q296" t="inlineStr">
        <is>
          <t>370k</t>
        </is>
      </c>
    </row>
    <row r="297">
      <c r="P297" t="inlineStr">
        <is>
          <t>378k</t>
        </is>
      </c>
      <c r="Q297" t="inlineStr">
        <is>
          <t>378k</t>
        </is>
      </c>
    </row>
    <row r="298">
      <c r="P298" t="inlineStr">
        <is>
          <t>385k</t>
        </is>
      </c>
      <c r="Q298" t="inlineStr">
        <is>
          <t>385k</t>
        </is>
      </c>
    </row>
    <row r="299">
      <c r="P299" t="inlineStr">
        <is>
          <t>393k</t>
        </is>
      </c>
      <c r="Q299" t="inlineStr">
        <is>
          <t>393k</t>
        </is>
      </c>
    </row>
    <row r="300">
      <c r="P300" t="inlineStr">
        <is>
          <t>401k</t>
        </is>
      </c>
      <c r="Q300" t="inlineStr">
        <is>
          <t>401k</t>
        </is>
      </c>
    </row>
    <row r="301">
      <c r="P301" t="inlineStr">
        <is>
          <t>410k</t>
        </is>
      </c>
      <c r="Q301" t="inlineStr">
        <is>
          <t>410k</t>
        </is>
      </c>
    </row>
    <row r="302">
      <c r="P302" t="inlineStr">
        <is>
          <t>418k</t>
        </is>
      </c>
      <c r="Q302" t="inlineStr">
        <is>
          <t>418k</t>
        </is>
      </c>
    </row>
    <row r="303">
      <c r="P303" t="inlineStr">
        <is>
          <t>427k</t>
        </is>
      </c>
      <c r="Q303" t="inlineStr">
        <is>
          <t>427k</t>
        </is>
      </c>
    </row>
    <row r="304">
      <c r="P304" t="inlineStr">
        <is>
          <t>435k</t>
        </is>
      </c>
      <c r="Q304" t="inlineStr">
        <is>
          <t>435k</t>
        </is>
      </c>
    </row>
    <row r="305">
      <c r="P305" t="inlineStr">
        <is>
          <t>444k</t>
        </is>
      </c>
      <c r="Q305" t="inlineStr">
        <is>
          <t>444k</t>
        </is>
      </c>
    </row>
    <row r="306">
      <c r="P306" t="inlineStr">
        <is>
          <t>453k</t>
        </is>
      </c>
      <c r="Q306" t="inlineStr">
        <is>
          <t>453k</t>
        </is>
      </c>
    </row>
    <row r="307">
      <c r="P307" t="inlineStr">
        <is>
          <t>463k</t>
        </is>
      </c>
      <c r="Q307" t="inlineStr">
        <is>
          <t>463k</t>
        </is>
      </c>
    </row>
    <row r="308">
      <c r="P308" t="inlineStr">
        <is>
          <t>472k</t>
        </is>
      </c>
      <c r="Q308" t="inlineStr">
        <is>
          <t>472k</t>
        </is>
      </c>
    </row>
    <row r="309">
      <c r="P309" t="inlineStr">
        <is>
          <t>482k</t>
        </is>
      </c>
      <c r="Q309" t="inlineStr">
        <is>
          <t>482k</t>
        </is>
      </c>
    </row>
    <row r="310">
      <c r="P310" t="inlineStr">
        <is>
          <t>492k</t>
        </is>
      </c>
      <c r="Q310" t="inlineStr">
        <is>
          <t>492k</t>
        </is>
      </c>
    </row>
    <row r="311">
      <c r="P311" t="inlineStr">
        <is>
          <t>502k</t>
        </is>
      </c>
      <c r="Q311" t="inlineStr">
        <is>
          <t>502k</t>
        </is>
      </c>
    </row>
    <row r="312">
      <c r="P312" t="inlineStr">
        <is>
          <t>512k</t>
        </is>
      </c>
      <c r="Q312" t="inlineStr">
        <is>
          <t>512k</t>
        </is>
      </c>
    </row>
    <row r="313">
      <c r="P313" t="inlineStr">
        <is>
          <t>522k</t>
        </is>
      </c>
      <c r="Q313" t="inlineStr">
        <is>
          <t>522k</t>
        </is>
      </c>
    </row>
    <row r="314">
      <c r="P314" t="inlineStr">
        <is>
          <t>533k</t>
        </is>
      </c>
      <c r="Q314" t="inlineStr">
        <is>
          <t>533k</t>
        </is>
      </c>
    </row>
    <row r="315">
      <c r="P315" t="inlineStr">
        <is>
          <t>544k</t>
        </is>
      </c>
      <c r="Q315" t="inlineStr">
        <is>
          <t>544k</t>
        </is>
      </c>
    </row>
    <row r="316">
      <c r="P316" t="inlineStr">
        <is>
          <t>555k</t>
        </is>
      </c>
      <c r="Q316" t="inlineStr">
        <is>
          <t>555k</t>
        </is>
      </c>
    </row>
    <row r="317">
      <c r="P317" t="inlineStr">
        <is>
          <t>566k</t>
        </is>
      </c>
      <c r="Q317" t="inlineStr">
        <is>
          <t>566k</t>
        </is>
      </c>
    </row>
    <row r="318">
      <c r="P318" t="inlineStr">
        <is>
          <t>578k</t>
        </is>
      </c>
      <c r="Q318" t="inlineStr">
        <is>
          <t>578k</t>
        </is>
      </c>
    </row>
    <row r="319">
      <c r="P319" t="inlineStr">
        <is>
          <t>590k</t>
        </is>
      </c>
      <c r="Q319" t="inlineStr">
        <is>
          <t>590k</t>
        </is>
      </c>
    </row>
    <row r="320">
      <c r="P320" t="inlineStr">
        <is>
          <t>602k</t>
        </is>
      </c>
      <c r="Q320" t="inlineStr">
        <is>
          <t>602k</t>
        </is>
      </c>
    </row>
    <row r="321">
      <c r="P321" t="inlineStr">
        <is>
          <t>614k</t>
        </is>
      </c>
      <c r="Q321" t="inlineStr">
        <is>
          <t>614k</t>
        </is>
      </c>
    </row>
    <row r="322">
      <c r="P322" t="inlineStr">
        <is>
          <t>627k</t>
        </is>
      </c>
      <c r="Q322" t="inlineStr">
        <is>
          <t>627k</t>
        </is>
      </c>
    </row>
    <row r="323">
      <c r="P323" t="inlineStr">
        <is>
          <t>640k</t>
        </is>
      </c>
      <c r="Q323" t="inlineStr">
        <is>
          <t>640k</t>
        </is>
      </c>
    </row>
    <row r="324">
      <c r="P324" t="inlineStr">
        <is>
          <t>653k</t>
        </is>
      </c>
      <c r="Q324" t="inlineStr">
        <is>
          <t>653k</t>
        </is>
      </c>
    </row>
    <row r="325">
      <c r="P325" t="inlineStr">
        <is>
          <t>666k</t>
        </is>
      </c>
      <c r="Q325" t="inlineStr">
        <is>
          <t>666k</t>
        </is>
      </c>
    </row>
    <row r="326">
      <c r="P326" t="inlineStr">
        <is>
          <t>680k</t>
        </is>
      </c>
      <c r="Q326" t="inlineStr">
        <is>
          <t>680k</t>
        </is>
      </c>
    </row>
    <row r="327">
      <c r="P327" t="inlineStr">
        <is>
          <t>694k</t>
        </is>
      </c>
      <c r="Q327" t="inlineStr">
        <is>
          <t>694k</t>
        </is>
      </c>
    </row>
    <row r="328">
      <c r="P328" t="inlineStr">
        <is>
          <t>708k</t>
        </is>
      </c>
      <c r="Q328" t="inlineStr">
        <is>
          <t>708k</t>
        </is>
      </c>
    </row>
    <row r="329">
      <c r="P329" t="inlineStr">
        <is>
          <t>722k</t>
        </is>
      </c>
      <c r="Q329" t="inlineStr">
        <is>
          <t>722k</t>
        </is>
      </c>
    </row>
    <row r="330">
      <c r="P330" t="inlineStr">
        <is>
          <t>737k</t>
        </is>
      </c>
      <c r="Q330" t="inlineStr">
        <is>
          <t>737k</t>
        </is>
      </c>
    </row>
    <row r="331">
      <c r="P331" t="inlineStr">
        <is>
          <t>752k</t>
        </is>
      </c>
      <c r="Q331" t="inlineStr">
        <is>
          <t>752k</t>
        </is>
      </c>
    </row>
    <row r="332">
      <c r="P332" t="inlineStr">
        <is>
          <t>767k</t>
        </is>
      </c>
      <c r="Q332" t="inlineStr">
        <is>
          <t>767k</t>
        </is>
      </c>
    </row>
    <row r="333">
      <c r="P333" t="inlineStr">
        <is>
          <t>783k</t>
        </is>
      </c>
      <c r="Q333" t="inlineStr">
        <is>
          <t>783k</t>
        </is>
      </c>
    </row>
    <row r="334">
      <c r="P334" t="inlineStr">
        <is>
          <t>799k</t>
        </is>
      </c>
      <c r="Q334" t="inlineStr">
        <is>
          <t>799k</t>
        </is>
      </c>
    </row>
    <row r="335">
      <c r="P335" t="inlineStr">
        <is>
          <t>816k</t>
        </is>
      </c>
      <c r="Q335" t="inlineStr">
        <is>
          <t>816k</t>
        </is>
      </c>
    </row>
    <row r="336">
      <c r="P336" t="inlineStr">
        <is>
          <t>832k</t>
        </is>
      </c>
      <c r="Q336" t="inlineStr">
        <is>
          <t>832k</t>
        </is>
      </c>
    </row>
    <row r="337">
      <c r="P337" t="inlineStr">
        <is>
          <t>849k</t>
        </is>
      </c>
      <c r="Q337" t="inlineStr">
        <is>
          <t>849k</t>
        </is>
      </c>
    </row>
    <row r="338">
      <c r="P338" t="inlineStr">
        <is>
          <t>867k</t>
        </is>
      </c>
      <c r="Q338" t="inlineStr">
        <is>
          <t>867k</t>
        </is>
      </c>
    </row>
    <row r="339">
      <c r="P339" t="inlineStr">
        <is>
          <t>884k</t>
        </is>
      </c>
      <c r="Q339" t="inlineStr">
        <is>
          <t>884k</t>
        </is>
      </c>
    </row>
    <row r="340">
      <c r="P340" t="inlineStr">
        <is>
          <t>902k</t>
        </is>
      </c>
      <c r="Q340" t="inlineStr">
        <is>
          <t>902k</t>
        </is>
      </c>
    </row>
    <row r="341">
      <c r="P341" t="inlineStr">
        <is>
          <t>921k</t>
        </is>
      </c>
      <c r="Q341" t="inlineStr">
        <is>
          <t>921k</t>
        </is>
      </c>
    </row>
    <row r="342">
      <c r="P342" t="inlineStr">
        <is>
          <t>940k</t>
        </is>
      </c>
      <c r="Q342" t="inlineStr">
        <is>
          <t>940k</t>
        </is>
      </c>
    </row>
    <row r="343">
      <c r="P343" t="inlineStr">
        <is>
          <t>959k</t>
        </is>
      </c>
      <c r="Q343" t="inlineStr">
        <is>
          <t>959k</t>
        </is>
      </c>
    </row>
    <row r="344">
      <c r="P344" t="inlineStr">
        <is>
          <t>979k</t>
        </is>
      </c>
      <c r="Q344" t="inlineStr">
        <is>
          <t>979k</t>
        </is>
      </c>
    </row>
    <row r="345">
      <c r="P345" t="inlineStr">
        <is>
          <t>999k</t>
        </is>
      </c>
      <c r="Q345" t="inlineStr">
        <is>
          <t>999k</t>
        </is>
      </c>
    </row>
    <row r="346">
      <c r="P346" t="inlineStr">
        <is>
          <t>1M</t>
        </is>
      </c>
      <c r="Q346" t="inlineStr">
        <is>
          <t>1M</t>
        </is>
      </c>
    </row>
    <row r="347">
      <c r="P347" t="inlineStr">
        <is>
          <t>1.04M</t>
        </is>
      </c>
      <c r="Q347" t="inlineStr">
        <is>
          <t>1.04M</t>
        </is>
      </c>
    </row>
    <row r="348">
      <c r="P348" t="inlineStr">
        <is>
          <t>1.06M</t>
        </is>
      </c>
      <c r="Q348" t="inlineStr">
        <is>
          <t>1.06M</t>
        </is>
      </c>
    </row>
    <row r="349">
      <c r="P349" t="inlineStr">
        <is>
          <t>1.08M</t>
        </is>
      </c>
      <c r="Q349" t="inlineStr">
        <is>
          <t>1.08M</t>
        </is>
      </c>
    </row>
    <row r="350">
      <c r="P350" t="inlineStr">
        <is>
          <t>1.11M</t>
        </is>
      </c>
      <c r="Q350" t="inlineStr">
        <is>
          <t>1.11M</t>
        </is>
      </c>
    </row>
    <row r="351">
      <c r="P351" t="inlineStr">
        <is>
          <t>1.13M</t>
        </is>
      </c>
      <c r="Q351" t="inlineStr">
        <is>
          <t>1.13M</t>
        </is>
      </c>
    </row>
    <row r="352">
      <c r="P352" t="inlineStr">
        <is>
          <t>1.15M</t>
        </is>
      </c>
      <c r="Q352" t="inlineStr">
        <is>
          <t>1.15M</t>
        </is>
      </c>
    </row>
    <row r="353">
      <c r="P353" t="inlineStr">
        <is>
          <t>1.17M</t>
        </is>
      </c>
      <c r="Q353" t="inlineStr">
        <is>
          <t>1.17M</t>
        </is>
      </c>
    </row>
    <row r="354">
      <c r="P354" t="inlineStr">
        <is>
          <t>1.2M</t>
        </is>
      </c>
      <c r="Q354" t="inlineStr">
        <is>
          <t>1.2M</t>
        </is>
      </c>
    </row>
    <row r="355">
      <c r="P355" t="inlineStr">
        <is>
          <t>1.22M</t>
        </is>
      </c>
      <c r="Q355" t="inlineStr">
        <is>
          <t>1.22M</t>
        </is>
      </c>
    </row>
    <row r="356">
      <c r="P356" t="inlineStr">
        <is>
          <t>1.25M</t>
        </is>
      </c>
      <c r="Q356" t="inlineStr">
        <is>
          <t>1.25M</t>
        </is>
      </c>
    </row>
    <row r="357">
      <c r="P357" t="inlineStr">
        <is>
          <t>1.27M</t>
        </is>
      </c>
      <c r="Q357" t="inlineStr">
        <is>
          <t>1.27M</t>
        </is>
      </c>
    </row>
    <row r="358">
      <c r="P358" t="inlineStr">
        <is>
          <t>1.3M</t>
        </is>
      </c>
      <c r="Q358" t="inlineStr">
        <is>
          <t>1.3M</t>
        </is>
      </c>
    </row>
    <row r="359">
      <c r="P359" t="inlineStr">
        <is>
          <t>1.33M</t>
        </is>
      </c>
      <c r="Q359" t="inlineStr">
        <is>
          <t>1.33M</t>
        </is>
      </c>
    </row>
    <row r="360">
      <c r="P360" t="inlineStr">
        <is>
          <t>1.35M</t>
        </is>
      </c>
      <c r="Q360" t="inlineStr">
        <is>
          <t>1.35M</t>
        </is>
      </c>
    </row>
    <row r="361">
      <c r="P361" t="inlineStr">
        <is>
          <t>1.38M</t>
        </is>
      </c>
      <c r="Q361" t="inlineStr">
        <is>
          <t>1.38M</t>
        </is>
      </c>
    </row>
    <row r="362">
      <c r="P362" t="inlineStr">
        <is>
          <t>1.41M</t>
        </is>
      </c>
      <c r="Q362" t="inlineStr">
        <is>
          <t>1.41M</t>
        </is>
      </c>
    </row>
    <row r="363">
      <c r="P363" t="inlineStr">
        <is>
          <t>1.44M</t>
        </is>
      </c>
      <c r="Q363" t="inlineStr">
        <is>
          <t>1.44M</t>
        </is>
      </c>
    </row>
    <row r="364">
      <c r="P364" t="inlineStr">
        <is>
          <t>1.47M</t>
        </is>
      </c>
      <c r="Q364" t="inlineStr">
        <is>
          <t>1.47M</t>
        </is>
      </c>
    </row>
    <row r="365">
      <c r="P365" t="inlineStr">
        <is>
          <t>1.5M</t>
        </is>
      </c>
      <c r="Q365" t="inlineStr">
        <is>
          <t>1.5M</t>
        </is>
      </c>
    </row>
    <row r="366">
      <c r="P366" t="inlineStr">
        <is>
          <t>1.53M</t>
        </is>
      </c>
      <c r="Q366" t="inlineStr">
        <is>
          <t>1.53M</t>
        </is>
      </c>
    </row>
    <row r="367">
      <c r="P367" t="inlineStr">
        <is>
          <t>1.56M</t>
        </is>
      </c>
      <c r="Q367" t="inlineStr">
        <is>
          <t>1.56M</t>
        </is>
      </c>
    </row>
    <row r="368">
      <c r="P368" t="inlineStr">
        <is>
          <t>1.59M</t>
        </is>
      </c>
      <c r="Q368" t="inlineStr">
        <is>
          <t>1.59M</t>
        </is>
      </c>
    </row>
    <row r="369">
      <c r="P369" t="inlineStr">
        <is>
          <t>1.62M</t>
        </is>
      </c>
      <c r="Q369" t="inlineStr">
        <is>
          <t>1.62M</t>
        </is>
      </c>
    </row>
    <row r="370">
      <c r="P370" t="inlineStr">
        <is>
          <t>1.66M</t>
        </is>
      </c>
      <c r="Q370" t="inlineStr">
        <is>
          <t>1.66M</t>
        </is>
      </c>
    </row>
    <row r="371">
      <c r="P371" t="inlineStr">
        <is>
          <t>1.69M</t>
        </is>
      </c>
      <c r="Q371" t="inlineStr">
        <is>
          <t>1.69M</t>
        </is>
      </c>
    </row>
    <row r="372">
      <c r="P372" t="inlineStr">
        <is>
          <t>1.73M</t>
        </is>
      </c>
      <c r="Q372" t="inlineStr">
        <is>
          <t>1.73M</t>
        </is>
      </c>
    </row>
    <row r="373">
      <c r="P373" t="inlineStr">
        <is>
          <t>1.76M</t>
        </is>
      </c>
      <c r="Q373" t="inlineStr">
        <is>
          <t>1.76M</t>
        </is>
      </c>
    </row>
    <row r="374">
      <c r="P374" t="inlineStr">
        <is>
          <t>1.8M</t>
        </is>
      </c>
      <c r="Q374" t="inlineStr">
        <is>
          <t>1.8M</t>
        </is>
      </c>
    </row>
    <row r="375">
      <c r="P375" t="inlineStr">
        <is>
          <t>1.83M</t>
        </is>
      </c>
      <c r="Q375" t="inlineStr">
        <is>
          <t>1.83M</t>
        </is>
      </c>
    </row>
    <row r="376">
      <c r="P376" t="inlineStr">
        <is>
          <t>1.87M</t>
        </is>
      </c>
      <c r="Q376" t="inlineStr">
        <is>
          <t>1.87M</t>
        </is>
      </c>
    </row>
    <row r="377">
      <c r="P377" t="inlineStr">
        <is>
          <t>1.91M</t>
        </is>
      </c>
      <c r="Q377" t="inlineStr">
        <is>
          <t>1.91M</t>
        </is>
      </c>
    </row>
    <row r="378">
      <c r="P378" t="inlineStr">
        <is>
          <t>1.95M</t>
        </is>
      </c>
      <c r="Q378" t="inlineStr">
        <is>
          <t>1.95M</t>
        </is>
      </c>
    </row>
    <row r="379">
      <c r="P379" t="inlineStr">
        <is>
          <t>1.99M</t>
        </is>
      </c>
      <c r="Q379" t="inlineStr">
        <is>
          <t>1.99M</t>
        </is>
      </c>
    </row>
    <row r="380">
      <c r="P380" t="inlineStr">
        <is>
          <t>2.03M</t>
        </is>
      </c>
      <c r="Q380" t="inlineStr">
        <is>
          <t>2.03M</t>
        </is>
      </c>
    </row>
    <row r="381">
      <c r="P381" t="inlineStr">
        <is>
          <t>2.07M</t>
        </is>
      </c>
      <c r="Q381" t="inlineStr">
        <is>
          <t>2.07M</t>
        </is>
      </c>
    </row>
    <row r="382">
      <c r="P382" t="inlineStr">
        <is>
          <t>2.11M</t>
        </is>
      </c>
      <c r="Q382" t="inlineStr">
        <is>
          <t>2.11M</t>
        </is>
      </c>
    </row>
    <row r="383">
      <c r="P383" t="inlineStr">
        <is>
          <t>2.16M</t>
        </is>
      </c>
      <c r="Q383" t="inlineStr">
        <is>
          <t>2.16M</t>
        </is>
      </c>
    </row>
    <row r="384">
      <c r="P384" t="inlineStr">
        <is>
          <t>2.2M</t>
        </is>
      </c>
      <c r="Q384" t="inlineStr">
        <is>
          <t>2.2M</t>
        </is>
      </c>
    </row>
    <row r="385">
      <c r="P385" t="inlineStr">
        <is>
          <t>2.25M</t>
        </is>
      </c>
      <c r="Q385" t="inlineStr">
        <is>
          <t>2.25M</t>
        </is>
      </c>
    </row>
    <row r="386">
      <c r="P386" t="inlineStr">
        <is>
          <t>2.29M</t>
        </is>
      </c>
      <c r="Q386" t="inlineStr">
        <is>
          <t>2.29M</t>
        </is>
      </c>
    </row>
    <row r="387">
      <c r="P387" t="inlineStr">
        <is>
          <t>2.34M</t>
        </is>
      </c>
      <c r="Q387" t="inlineStr">
        <is>
          <t>2.34M</t>
        </is>
      </c>
    </row>
    <row r="388">
      <c r="P388" t="inlineStr">
        <is>
          <t>2.39M</t>
        </is>
      </c>
      <c r="Q388" t="inlineStr">
        <is>
          <t>2.39M</t>
        </is>
      </c>
    </row>
    <row r="389">
      <c r="P389" t="inlineStr">
        <is>
          <t>2.43M</t>
        </is>
      </c>
      <c r="Q389" t="inlineStr">
        <is>
          <t>2.43M</t>
        </is>
      </c>
    </row>
    <row r="390">
      <c r="P390" t="inlineStr">
        <is>
          <t>2.48M</t>
        </is>
      </c>
      <c r="Q390" t="inlineStr">
        <is>
          <t>2.48M</t>
        </is>
      </c>
    </row>
    <row r="391">
      <c r="P391" t="inlineStr">
        <is>
          <t>2.54M</t>
        </is>
      </c>
      <c r="Q391" t="inlineStr">
        <is>
          <t>2.54M</t>
        </is>
      </c>
    </row>
    <row r="392">
      <c r="P392" t="inlineStr">
        <is>
          <t>2.59M</t>
        </is>
      </c>
      <c r="Q392" t="inlineStr">
        <is>
          <t>2.59M</t>
        </is>
      </c>
    </row>
    <row r="393">
      <c r="P393" t="inlineStr">
        <is>
          <t>2.64M</t>
        </is>
      </c>
      <c r="Q393" t="inlineStr">
        <is>
          <t>2.64M</t>
        </is>
      </c>
    </row>
    <row r="394">
      <c r="P394" t="inlineStr">
        <is>
          <t>2.69M</t>
        </is>
      </c>
      <c r="Q394" t="inlineStr">
        <is>
          <t>2.69M</t>
        </is>
      </c>
    </row>
    <row r="395">
      <c r="P395" t="inlineStr">
        <is>
          <t>2.75M</t>
        </is>
      </c>
      <c r="Q395" t="inlineStr">
        <is>
          <t>2.75M</t>
        </is>
      </c>
    </row>
    <row r="396">
      <c r="P396" t="inlineStr">
        <is>
          <t>2.81M</t>
        </is>
      </c>
      <c r="Q396" t="inlineStr">
        <is>
          <t>2.81M</t>
        </is>
      </c>
    </row>
    <row r="397">
      <c r="P397" t="inlineStr">
        <is>
          <t>2.86M</t>
        </is>
      </c>
      <c r="Q397" t="inlineStr">
        <is>
          <t>2.86M</t>
        </is>
      </c>
    </row>
    <row r="398">
      <c r="P398" t="inlineStr">
        <is>
          <t>2.92M</t>
        </is>
      </c>
      <c r="Q398" t="inlineStr">
        <is>
          <t>2.92M</t>
        </is>
      </c>
    </row>
    <row r="399">
      <c r="P399" t="inlineStr">
        <is>
          <t>2.98M</t>
        </is>
      </c>
      <c r="Q399" t="inlineStr">
        <is>
          <t>2.98M</t>
        </is>
      </c>
    </row>
    <row r="400">
      <c r="P400" t="inlineStr">
        <is>
          <t>3.04M</t>
        </is>
      </c>
      <c r="Q400" t="inlineStr">
        <is>
          <t>3.04M</t>
        </is>
      </c>
    </row>
    <row r="401">
      <c r="P401" t="inlineStr">
        <is>
          <t>3.1M</t>
        </is>
      </c>
      <c r="Q401" t="inlineStr">
        <is>
          <t>3.1M</t>
        </is>
      </c>
    </row>
    <row r="402">
      <c r="P402" t="inlineStr">
        <is>
          <t>3.17M</t>
        </is>
      </c>
      <c r="Q402" t="inlineStr">
        <is>
          <t>3.17M</t>
        </is>
      </c>
    </row>
    <row r="403">
      <c r="P403" t="inlineStr">
        <is>
          <t>3.23M</t>
        </is>
      </c>
      <c r="Q403" t="inlineStr">
        <is>
          <t>3.23M</t>
        </is>
      </c>
    </row>
    <row r="404">
      <c r="P404" t="inlineStr">
        <is>
          <t>3.3M</t>
        </is>
      </c>
      <c r="Q404" t="inlineStr">
        <is>
          <t>3.3M</t>
        </is>
      </c>
    </row>
    <row r="405">
      <c r="P405" t="inlineStr">
        <is>
          <t>3.37M</t>
        </is>
      </c>
      <c r="Q405" t="inlineStr">
        <is>
          <t>3.37M</t>
        </is>
      </c>
    </row>
    <row r="406">
      <c r="P406" t="inlineStr">
        <is>
          <t>3.44M</t>
        </is>
      </c>
      <c r="Q406" t="inlineStr">
        <is>
          <t>3.44M</t>
        </is>
      </c>
    </row>
    <row r="407">
      <c r="P407" t="inlineStr">
        <is>
          <t>3.51M</t>
        </is>
      </c>
      <c r="Q407" t="inlineStr">
        <is>
          <t>3.51M</t>
        </is>
      </c>
    </row>
    <row r="408">
      <c r="P408" t="inlineStr">
        <is>
          <t>3.58M</t>
        </is>
      </c>
      <c r="Q408" t="inlineStr">
        <is>
          <t>3.58M</t>
        </is>
      </c>
    </row>
    <row r="409">
      <c r="P409" t="inlineStr">
        <is>
          <t>3.65M</t>
        </is>
      </c>
      <c r="Q409" t="inlineStr">
        <is>
          <t>3.65M</t>
        </is>
      </c>
    </row>
    <row r="410">
      <c r="P410" t="inlineStr">
        <is>
          <t>3.73M</t>
        </is>
      </c>
      <c r="Q410" t="inlineStr">
        <is>
          <t>3.73M</t>
        </is>
      </c>
    </row>
    <row r="411">
      <c r="P411" t="inlineStr">
        <is>
          <t>3.8M</t>
        </is>
      </c>
      <c r="Q411" t="inlineStr">
        <is>
          <t>3.8M</t>
        </is>
      </c>
    </row>
    <row r="412">
      <c r="P412" t="inlineStr">
        <is>
          <t>3.88M</t>
        </is>
      </c>
      <c r="Q412" t="inlineStr">
        <is>
          <t>3.88M</t>
        </is>
      </c>
    </row>
    <row r="413">
      <c r="P413" t="inlineStr">
        <is>
          <t>3.96M</t>
        </is>
      </c>
      <c r="Q413" t="inlineStr">
        <is>
          <t>3.96M</t>
        </is>
      </c>
    </row>
    <row r="414">
      <c r="P414" t="inlineStr">
        <is>
          <t>4.04M</t>
        </is>
      </c>
      <c r="Q414" t="inlineStr">
        <is>
          <t>4.04M</t>
        </is>
      </c>
    </row>
    <row r="415">
      <c r="P415" t="inlineStr">
        <is>
          <t>4.12M</t>
        </is>
      </c>
      <c r="Q415" t="inlineStr">
        <is>
          <t>4.12M</t>
        </is>
      </c>
    </row>
    <row r="416">
      <c r="P416" t="inlineStr">
        <is>
          <t>4.21M</t>
        </is>
      </c>
      <c r="Q416" t="inlineStr">
        <is>
          <t>4.21M</t>
        </is>
      </c>
    </row>
    <row r="417">
      <c r="P417" t="inlineStr">
        <is>
          <t>4.29M</t>
        </is>
      </c>
      <c r="Q417" t="inlineStr">
        <is>
          <t>4.29M</t>
        </is>
      </c>
    </row>
    <row r="418">
      <c r="P418" t="inlineStr">
        <is>
          <t>4.38M</t>
        </is>
      </c>
      <c r="Q418" t="inlineStr">
        <is>
          <t>4.38M</t>
        </is>
      </c>
    </row>
    <row r="419">
      <c r="P419" t="inlineStr">
        <is>
          <t>4.47M</t>
        </is>
      </c>
      <c r="Q419" t="inlineStr">
        <is>
          <t>4.47M</t>
        </is>
      </c>
    </row>
    <row r="420">
      <c r="P420" t="inlineStr">
        <is>
          <t>4.56M</t>
        </is>
      </c>
      <c r="Q420" t="inlineStr">
        <is>
          <t>4.56M</t>
        </is>
      </c>
    </row>
    <row r="421">
      <c r="P421" t="inlineStr">
        <is>
          <t>4.65M</t>
        </is>
      </c>
      <c r="Q421" t="inlineStr">
        <is>
          <t>4.65M</t>
        </is>
      </c>
    </row>
    <row r="422">
      <c r="P422" t="inlineStr">
        <is>
          <t>4.75M</t>
        </is>
      </c>
      <c r="Q422" t="inlineStr">
        <is>
          <t>4.75M</t>
        </is>
      </c>
    </row>
    <row r="423">
      <c r="P423" t="inlineStr">
        <is>
          <t>4.85M</t>
        </is>
      </c>
      <c r="Q423" t="inlineStr">
        <is>
          <t>4.85M</t>
        </is>
      </c>
    </row>
    <row r="424">
      <c r="P424" t="inlineStr">
        <is>
          <t>4.95M</t>
        </is>
      </c>
      <c r="Q424" t="inlineStr">
        <is>
          <t>4.95M</t>
        </is>
      </c>
    </row>
    <row r="425">
      <c r="P425" t="inlineStr">
        <is>
          <t>5.05M</t>
        </is>
      </c>
      <c r="Q425" t="inlineStr">
        <is>
          <t>5.05M</t>
        </is>
      </c>
    </row>
    <row r="426">
      <c r="P426" t="inlineStr">
        <is>
          <t>5.15M</t>
        </is>
      </c>
      <c r="Q426" t="inlineStr">
        <is>
          <t>5.15M</t>
        </is>
      </c>
    </row>
    <row r="427">
      <c r="P427" t="inlineStr">
        <is>
          <t>5.26M</t>
        </is>
      </c>
      <c r="Q427" t="inlineStr">
        <is>
          <t>5.26M</t>
        </is>
      </c>
    </row>
    <row r="428">
      <c r="P428" t="inlineStr">
        <is>
          <t>5.36M</t>
        </is>
      </c>
      <c r="Q428" t="inlineStr">
        <is>
          <t>5.36M</t>
        </is>
      </c>
    </row>
    <row r="429">
      <c r="P429" t="inlineStr">
        <is>
          <t>5.47M</t>
        </is>
      </c>
      <c r="Q429" t="inlineStr">
        <is>
          <t>5.47M</t>
        </is>
      </c>
    </row>
    <row r="430">
      <c r="P430" t="inlineStr">
        <is>
          <t>5.59M</t>
        </is>
      </c>
      <c r="Q430" t="inlineStr">
        <is>
          <t>5.59M</t>
        </is>
      </c>
    </row>
    <row r="431">
      <c r="P431" t="inlineStr">
        <is>
          <t>5.7M</t>
        </is>
      </c>
      <c r="Q431" t="inlineStr">
        <is>
          <t>5.7M</t>
        </is>
      </c>
    </row>
    <row r="432">
      <c r="P432" t="inlineStr">
        <is>
          <t>5.82M</t>
        </is>
      </c>
      <c r="Q432" t="inlineStr">
        <is>
          <t>5.82M</t>
        </is>
      </c>
    </row>
    <row r="433">
      <c r="P433" t="inlineStr">
        <is>
          <t>5.94M</t>
        </is>
      </c>
      <c r="Q433" t="inlineStr">
        <is>
          <t>5.94M</t>
        </is>
      </c>
    </row>
    <row r="434">
      <c r="P434" t="inlineStr">
        <is>
          <t>6.06M</t>
        </is>
      </c>
      <c r="Q434" t="inlineStr">
        <is>
          <t>6.06M</t>
        </is>
      </c>
    </row>
    <row r="435">
      <c r="P435" t="inlineStr">
        <is>
          <t>6.18M</t>
        </is>
      </c>
      <c r="Q435" t="inlineStr">
        <is>
          <t>6.18M</t>
        </is>
      </c>
    </row>
    <row r="436">
      <c r="P436" t="inlineStr">
        <is>
          <t>6.31M</t>
        </is>
      </c>
      <c r="Q436" t="inlineStr">
        <is>
          <t>6.31M</t>
        </is>
      </c>
    </row>
    <row r="437">
      <c r="P437" t="inlineStr">
        <is>
          <t>6.44M</t>
        </is>
      </c>
      <c r="Q437" t="inlineStr">
        <is>
          <t>6.44M</t>
        </is>
      </c>
    </row>
    <row r="438">
      <c r="P438" t="inlineStr">
        <is>
          <t>6.57M</t>
        </is>
      </c>
      <c r="Q438" t="inlineStr">
        <is>
          <t>6.57M</t>
        </is>
      </c>
    </row>
    <row r="439">
      <c r="P439" t="inlineStr">
        <is>
          <t>6.7M</t>
        </is>
      </c>
      <c r="Q439" t="inlineStr">
        <is>
          <t>6.7M</t>
        </is>
      </c>
    </row>
    <row r="440">
      <c r="P440" t="inlineStr">
        <is>
          <t>6.84M</t>
        </is>
      </c>
      <c r="Q440" t="inlineStr">
        <is>
          <t>6.84M</t>
        </is>
      </c>
    </row>
    <row r="441">
      <c r="P441" t="inlineStr">
        <is>
          <t>6.98M</t>
        </is>
      </c>
      <c r="Q441" t="inlineStr">
        <is>
          <t>6.98M</t>
        </is>
      </c>
    </row>
    <row r="442">
      <c r="P442" t="inlineStr">
        <is>
          <t>7.12M</t>
        </is>
      </c>
      <c r="Q442" t="inlineStr">
        <is>
          <t>7.12M</t>
        </is>
      </c>
    </row>
    <row r="443">
      <c r="P443" t="inlineStr">
        <is>
          <t>7.27M</t>
        </is>
      </c>
      <c r="Q443" t="inlineStr">
        <is>
          <t>7.27M</t>
        </is>
      </c>
    </row>
    <row r="444">
      <c r="P444" t="inlineStr">
        <is>
          <t>7.42M</t>
        </is>
      </c>
      <c r="Q444" t="inlineStr">
        <is>
          <t>7.42M</t>
        </is>
      </c>
    </row>
    <row r="445">
      <c r="P445" t="inlineStr">
        <is>
          <t>7.57M</t>
        </is>
      </c>
      <c r="Q445" t="inlineStr">
        <is>
          <t>7.57M</t>
        </is>
      </c>
    </row>
    <row r="446">
      <c r="P446" t="inlineStr">
        <is>
          <t>7.72M</t>
        </is>
      </c>
      <c r="Q446" t="inlineStr">
        <is>
          <t>7.72M</t>
        </is>
      </c>
    </row>
    <row r="447">
      <c r="P447" t="inlineStr">
        <is>
          <t>7.88M</t>
        </is>
      </c>
      <c r="Q447" t="inlineStr">
        <is>
          <t>7.88M</t>
        </is>
      </c>
    </row>
    <row r="448">
      <c r="P448" t="inlineStr">
        <is>
          <t>8.04M</t>
        </is>
      </c>
      <c r="Q448" t="inlineStr">
        <is>
          <t>8.04M</t>
        </is>
      </c>
    </row>
    <row r="449">
      <c r="P449" t="inlineStr">
        <is>
          <t>8.21M</t>
        </is>
      </c>
      <c r="Q449" t="inlineStr">
        <is>
          <t>8.21M</t>
        </is>
      </c>
    </row>
    <row r="450">
      <c r="P450" t="inlineStr">
        <is>
          <t>8.37M</t>
        </is>
      </c>
      <c r="Q450" t="inlineStr">
        <is>
          <t>8.37M</t>
        </is>
      </c>
    </row>
    <row r="451">
      <c r="P451" t="inlineStr">
        <is>
          <t>8.55M</t>
        </is>
      </c>
      <c r="Q451" t="inlineStr">
        <is>
          <t>8.55M</t>
        </is>
      </c>
    </row>
    <row r="452">
      <c r="P452" t="inlineStr">
        <is>
          <t>8.72M</t>
        </is>
      </c>
      <c r="Q452" t="inlineStr">
        <is>
          <t>8.72M</t>
        </is>
      </c>
    </row>
    <row r="453">
      <c r="P453" t="inlineStr">
        <is>
          <t>8.9M</t>
        </is>
      </c>
      <c r="Q453" t="inlineStr">
        <is>
          <t>8.9M</t>
        </is>
      </c>
    </row>
    <row r="454">
      <c r="P454" t="inlineStr">
        <is>
          <t>9.08M</t>
        </is>
      </c>
      <c r="Q454" t="inlineStr">
        <is>
          <t>9.08M</t>
        </is>
      </c>
    </row>
    <row r="455">
      <c r="P455" t="inlineStr">
        <is>
          <t>9.27M</t>
        </is>
      </c>
      <c r="Q455" t="inlineStr">
        <is>
          <t>9.27M</t>
        </is>
      </c>
    </row>
    <row r="456">
      <c r="P456" t="inlineStr">
        <is>
          <t>9.46M</t>
        </is>
      </c>
      <c r="Q456" t="inlineStr">
        <is>
          <t>9.46M</t>
        </is>
      </c>
    </row>
    <row r="457">
      <c r="P457" t="inlineStr">
        <is>
          <t>9.65M</t>
        </is>
      </c>
      <c r="Q457" t="inlineStr">
        <is>
          <t>9.65M</t>
        </is>
      </c>
    </row>
    <row r="458">
      <c r="P458" t="inlineStr">
        <is>
          <t>9.85M</t>
        </is>
      </c>
      <c r="Q458" t="inlineStr">
        <is>
          <t>9.85M</t>
        </is>
      </c>
    </row>
    <row r="459">
      <c r="P459" t="inlineStr">
        <is>
          <t>10M</t>
        </is>
      </c>
      <c r="Q459" t="inlineStr">
        <is>
          <t>10M</t>
        </is>
      </c>
    </row>
    <row r="460">
      <c r="P460" t="inlineStr">
        <is>
          <t>10M</t>
        </is>
      </c>
      <c r="Q460" t="inlineStr">
        <is>
          <t>10M</t>
        </is>
      </c>
    </row>
    <row r="461">
      <c r="P461" t="inlineStr">
        <is>
          <t>10.5M</t>
        </is>
      </c>
      <c r="Q461" t="inlineStr">
        <is>
          <t>10.5M</t>
        </is>
      </c>
    </row>
    <row r="462">
      <c r="P462" t="inlineStr">
        <is>
          <t>10.7M</t>
        </is>
      </c>
      <c r="Q462" t="inlineStr">
        <is>
          <t>10.7M</t>
        </is>
      </c>
    </row>
    <row r="463">
      <c r="P463" t="inlineStr">
        <is>
          <t>10.9M</t>
        </is>
      </c>
      <c r="Q463" t="inlineStr">
        <is>
          <t>10.9M</t>
        </is>
      </c>
    </row>
    <row r="464">
      <c r="P464" t="inlineStr">
        <is>
          <t>11.1M</t>
        </is>
      </c>
      <c r="Q464" t="inlineStr">
        <is>
          <t>11.1M</t>
        </is>
      </c>
    </row>
    <row r="465">
      <c r="P465" t="inlineStr">
        <is>
          <t>11.3M</t>
        </is>
      </c>
      <c r="Q465" t="inlineStr">
        <is>
          <t>11.3M</t>
        </is>
      </c>
    </row>
    <row r="466">
      <c r="P466" t="inlineStr">
        <is>
          <t>11.6M</t>
        </is>
      </c>
      <c r="Q466" t="inlineStr">
        <is>
          <t>11.6M</t>
        </is>
      </c>
    </row>
    <row r="467">
      <c r="P467" t="inlineStr">
        <is>
          <t>11.8M</t>
        </is>
      </c>
      <c r="Q467" t="inlineStr">
        <is>
          <t>11.8M</t>
        </is>
      </c>
    </row>
    <row r="468">
      <c r="P468" t="inlineStr">
        <is>
          <t>12.1M</t>
        </is>
      </c>
      <c r="Q468" t="inlineStr">
        <is>
          <t>12.1M</t>
        </is>
      </c>
    </row>
    <row r="469">
      <c r="P469" t="inlineStr">
        <is>
          <t>12.3M</t>
        </is>
      </c>
      <c r="Q469" t="inlineStr">
        <is>
          <t>12.3M</t>
        </is>
      </c>
    </row>
    <row r="470">
      <c r="P470" t="inlineStr">
        <is>
          <t>12.6M</t>
        </is>
      </c>
      <c r="Q470" t="inlineStr">
        <is>
          <t>12.6M</t>
        </is>
      </c>
    </row>
    <row r="471">
      <c r="P471" t="inlineStr">
        <is>
          <t>12.8M</t>
        </is>
      </c>
      <c r="Q471" t="inlineStr">
        <is>
          <t>12.8M</t>
        </is>
      </c>
    </row>
    <row r="472">
      <c r="P472" t="inlineStr">
        <is>
          <t>13.1M</t>
        </is>
      </c>
      <c r="Q472" t="inlineStr">
        <is>
          <t>13.1M</t>
        </is>
      </c>
    </row>
    <row r="473">
      <c r="P473" t="inlineStr">
        <is>
          <t>13.3M</t>
        </is>
      </c>
      <c r="Q473" t="inlineStr">
        <is>
          <t>13.3M</t>
        </is>
      </c>
    </row>
    <row r="474">
      <c r="P474" t="inlineStr">
        <is>
          <t>13.6M</t>
        </is>
      </c>
      <c r="Q474" t="inlineStr">
        <is>
          <t>13.6M</t>
        </is>
      </c>
    </row>
    <row r="475">
      <c r="P475" t="inlineStr">
        <is>
          <t>13.9M</t>
        </is>
      </c>
      <c r="Q475" t="inlineStr">
        <is>
          <t>13.9M</t>
        </is>
      </c>
    </row>
    <row r="476">
      <c r="P476" t="inlineStr">
        <is>
          <t>14.2M</t>
        </is>
      </c>
      <c r="Q476" t="inlineStr">
        <is>
          <t>14.2M</t>
        </is>
      </c>
    </row>
    <row r="477">
      <c r="P477" t="inlineStr">
        <is>
          <t>14.5M</t>
        </is>
      </c>
      <c r="Q477" t="inlineStr">
        <is>
          <t>14.5M</t>
        </is>
      </c>
    </row>
    <row r="478">
      <c r="P478" t="inlineStr">
        <is>
          <t>14.8M</t>
        </is>
      </c>
      <c r="Q478" t="inlineStr">
        <is>
          <t>14.8M</t>
        </is>
      </c>
    </row>
    <row r="479">
      <c r="P479" t="inlineStr">
        <is>
          <t>15.1M</t>
        </is>
      </c>
      <c r="Q479" t="inlineStr">
        <is>
          <t>15.1M</t>
        </is>
      </c>
    </row>
    <row r="480">
      <c r="P480" t="inlineStr">
        <is>
          <t>15.4M</t>
        </is>
      </c>
      <c r="Q480" t="inlineStr">
        <is>
          <t>15.4M</t>
        </is>
      </c>
    </row>
    <row r="481">
      <c r="P481" t="inlineStr">
        <is>
          <t>15.7M</t>
        </is>
      </c>
      <c r="Q481" t="inlineStr">
        <is>
          <t>15.7M</t>
        </is>
      </c>
    </row>
    <row r="482">
      <c r="P482" t="inlineStr">
        <is>
          <t>16M</t>
        </is>
      </c>
      <c r="Q482" t="inlineStr">
        <is>
          <t>16M</t>
        </is>
      </c>
    </row>
    <row r="483">
      <c r="P483" t="inlineStr">
        <is>
          <t>16.3M</t>
        </is>
      </c>
      <c r="Q483" t="inlineStr">
        <is>
          <t>16.3M</t>
        </is>
      </c>
    </row>
    <row r="484">
      <c r="P484" t="inlineStr">
        <is>
          <t>16.7M</t>
        </is>
      </c>
      <c r="Q484" t="inlineStr">
        <is>
          <t>16.7M</t>
        </is>
      </c>
    </row>
    <row r="485">
      <c r="P485" t="inlineStr">
        <is>
          <t>17M</t>
        </is>
      </c>
      <c r="Q485" t="inlineStr">
        <is>
          <t>17M</t>
        </is>
      </c>
    </row>
    <row r="486">
      <c r="P486" t="inlineStr">
        <is>
          <t>17.4M</t>
        </is>
      </c>
      <c r="Q486" t="inlineStr">
        <is>
          <t>17.4M</t>
        </is>
      </c>
    </row>
    <row r="487">
      <c r="P487" t="inlineStr">
        <is>
          <t>17.7M</t>
        </is>
      </c>
      <c r="Q487" t="inlineStr">
        <is>
          <t>17.7M</t>
        </is>
      </c>
    </row>
    <row r="488">
      <c r="P488" t="inlineStr">
        <is>
          <t>18.1M</t>
        </is>
      </c>
      <c r="Q488" t="inlineStr">
        <is>
          <t>18.1M</t>
        </is>
      </c>
    </row>
    <row r="489">
      <c r="P489" t="inlineStr">
        <is>
          <t>18.5M</t>
        </is>
      </c>
      <c r="Q489" t="inlineStr">
        <is>
          <t>18.5M</t>
        </is>
      </c>
    </row>
    <row r="490">
      <c r="P490" t="inlineStr">
        <is>
          <t>18.8M</t>
        </is>
      </c>
      <c r="Q490" t="inlineStr">
        <is>
          <t>18.8M</t>
        </is>
      </c>
    </row>
    <row r="491">
      <c r="P491" t="inlineStr">
        <is>
          <t>19.2M</t>
        </is>
      </c>
      <c r="Q491" t="inlineStr">
        <is>
          <t>19.2M</t>
        </is>
      </c>
    </row>
    <row r="492">
      <c r="P492" t="inlineStr">
        <is>
          <t>19.6M</t>
        </is>
      </c>
      <c r="Q492" t="inlineStr">
        <is>
          <t>19.6M</t>
        </is>
      </c>
    </row>
    <row r="493">
      <c r="P493" t="inlineStr">
        <is>
          <t>20M</t>
        </is>
      </c>
      <c r="Q493" t="inlineStr">
        <is>
          <t>20M</t>
        </is>
      </c>
    </row>
    <row r="494">
      <c r="P494" t="inlineStr">
        <is>
          <t>20.4M</t>
        </is>
      </c>
      <c r="Q494" t="inlineStr">
        <is>
          <t>20.4M</t>
        </is>
      </c>
    </row>
    <row r="495">
      <c r="P495" t="inlineStr">
        <is>
          <t>20.8M</t>
        </is>
      </c>
      <c r="Q495" t="inlineStr">
        <is>
          <t>20.8M</t>
        </is>
      </c>
    </row>
    <row r="496">
      <c r="P496" t="inlineStr">
        <is>
          <t>21.3M</t>
        </is>
      </c>
      <c r="Q496" t="inlineStr">
        <is>
          <t>21.3M</t>
        </is>
      </c>
    </row>
    <row r="497">
      <c r="P497" t="inlineStr">
        <is>
          <t>21.7M</t>
        </is>
      </c>
      <c r="Q497" t="inlineStr">
        <is>
          <t>21.7M</t>
        </is>
      </c>
    </row>
    <row r="498">
      <c r="P498" t="inlineStr">
        <is>
          <t>22.1M</t>
        </is>
      </c>
      <c r="Q498" t="inlineStr">
        <is>
          <t>22.1M</t>
        </is>
      </c>
    </row>
    <row r="499">
      <c r="P499" t="inlineStr">
        <is>
          <t>22.6M</t>
        </is>
      </c>
      <c r="Q499" t="inlineStr">
        <is>
          <t>22.6M</t>
        </is>
      </c>
    </row>
    <row r="500">
      <c r="P500" t="inlineStr">
        <is>
          <t>23.1M</t>
        </is>
      </c>
      <c r="Q500" t="inlineStr">
        <is>
          <t>23.1M</t>
        </is>
      </c>
    </row>
    <row r="501">
      <c r="P501" t="inlineStr">
        <is>
          <t>23.5M</t>
        </is>
      </c>
      <c r="Q501" t="inlineStr">
        <is>
          <t>23.5M</t>
        </is>
      </c>
    </row>
    <row r="502">
      <c r="P502" t="inlineStr">
        <is>
          <t>24M</t>
        </is>
      </c>
      <c r="Q502" t="inlineStr">
        <is>
          <t>24M</t>
        </is>
      </c>
    </row>
    <row r="503">
      <c r="P503" t="inlineStr">
        <is>
          <t>24.5M</t>
        </is>
      </c>
      <c r="Q503" t="inlineStr">
        <is>
          <t>24.5M</t>
        </is>
      </c>
    </row>
    <row r="504">
      <c r="P504" t="inlineStr">
        <is>
          <t>25M</t>
        </is>
      </c>
      <c r="Q504" t="inlineStr">
        <is>
          <t>25M</t>
        </is>
      </c>
    </row>
  </sheetData>
  <mergeCells count="2">
    <mergeCell ref="A2:N2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style="165" min="1" max="1"/>
    <col width="14" customWidth="1" style="165" min="2" max="2"/>
    <col width="14" customWidth="1" style="165" min="3" max="3"/>
    <col width="14" customWidth="1" style="165" min="4" max="4"/>
    <col width="14" customWidth="1" style="165" min="5" max="5"/>
    <col width="14" customWidth="1" style="165" min="6" max="6"/>
    <col width="14" customWidth="1" style="165" min="7" max="7"/>
    <col width="14" customWidth="1" style="165" min="8" max="8"/>
    <col width="14" customWidth="1" style="165" min="9" max="9"/>
    <col width="14" customWidth="1" style="165" min="10" max="10"/>
  </cols>
  <sheetData>
    <row r="1" ht="24" customHeight="1" s="165">
      <c r="A1" s="232" t="inlineStr">
        <is>
          <t>解析対象の回路図</t>
        </is>
      </c>
      <c r="B1" s="228" t="n"/>
      <c r="C1" s="228" t="n"/>
      <c r="D1" s="228" t="n"/>
      <c r="E1" s="228" t="n"/>
      <c r="F1" s="228" t="n"/>
      <c r="G1" s="228" t="n"/>
      <c r="H1" s="228" t="n"/>
      <c r="I1" s="228" t="n"/>
      <c r="J1" s="228" t="n"/>
    </row>
    <row r="2">
      <c r="A2" s="233" t="inlineStr">
        <is>
          <t>FG2とAC115VN用コンデンサの接続点を閉じ、10 µF の表示を上へ移動しました。</t>
        </is>
      </c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</row>
    <row r="3">
      <c r="A3" s="228" t="n"/>
      <c r="B3" s="228" t="n"/>
      <c r="C3" s="228" t="n"/>
      <c r="D3" s="228" t="n"/>
      <c r="E3" s="228" t="n"/>
      <c r="F3" s="228" t="n"/>
      <c r="G3" s="228" t="n"/>
      <c r="H3" s="228" t="n"/>
      <c r="I3" s="228" t="n"/>
      <c r="J3" s="228" t="n"/>
    </row>
    <row r="5" ht="22" customHeight="1" s="165"/>
    <row r="6" ht="22" customHeight="1" s="165"/>
    <row r="7" ht="22" customHeight="1" s="165"/>
    <row r="8" ht="22" customHeight="1" s="165"/>
    <row r="9" ht="22" customHeight="1" s="165"/>
    <row r="10" ht="22" customHeight="1" s="165"/>
    <row r="11" ht="22" customHeight="1" s="165"/>
    <row r="12" ht="22" customHeight="1" s="165"/>
    <row r="13" ht="22" customHeight="1" s="165"/>
    <row r="14" ht="22" customHeight="1" s="165"/>
    <row r="15" ht="22" customHeight="1" s="165"/>
    <row r="16" ht="22" customHeight="1" s="165"/>
    <row r="17" ht="22" customHeight="1" s="165"/>
    <row r="18" ht="22" customHeight="1" s="165"/>
    <row r="19" ht="22" customHeight="1" s="165"/>
    <row r="20" ht="22" customHeight="1" s="165"/>
    <row r="21" ht="22" customHeight="1" s="165"/>
    <row r="22" ht="22" customHeight="1" s="165"/>
    <row r="23" ht="22" customHeight="1" s="165"/>
    <row r="24" ht="22" customHeight="1" s="165"/>
    <row r="25" ht="22" customHeight="1" s="165"/>
    <row r="26" ht="22" customHeight="1" s="165"/>
    <row r="27" ht="22" customHeight="1" s="165"/>
    <row r="28" ht="22" customHeight="1" s="165"/>
    <row r="29" ht="22" customHeight="1" s="165"/>
    <row r="30" ht="22" customHeight="1" s="165"/>
    <row r="31" ht="22" customHeight="1" s="165"/>
    <row r="32" ht="22" customHeight="1" s="165"/>
    <row r="33" ht="22" customHeight="1" s="165"/>
    <row r="34" ht="22" customHeight="1" s="165"/>
    <row r="35" ht="22" customHeight="1" s="165"/>
    <row r="36" ht="22" customHeight="1" s="165"/>
    <row r="37" ht="22" customHeight="1" s="165"/>
    <row r="38" ht="22" customHeight="1" s="165"/>
    <row r="39" ht="22" customHeight="1" s="165"/>
    <row r="40" ht="22" customHeight="1" s="165"/>
    <row r="41" ht="22" customHeight="1" s="165"/>
    <row r="42" ht="22" customHeight="1" s="165"/>
    <row r="43" ht="22" customHeight="1" s="165"/>
    <row r="44" ht="22" customHeight="1" s="165"/>
    <row r="45" ht="22" customHeight="1" s="165"/>
    <row r="46" ht="22" customHeight="1" s="165"/>
    <row r="47" ht="22" customHeight="1" s="165"/>
    <row r="48" ht="22" customHeight="1" s="165"/>
    <row r="49" ht="22" customHeight="1" s="165"/>
  </sheetData>
  <mergeCells count="2">
    <mergeCell ref="A1:J1"/>
    <mergeCell ref="A2:J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8" customWidth="1" style="165" min="1" max="1"/>
    <col width="18" customWidth="1" style="165" min="2" max="2"/>
    <col width="18" customWidth="1" style="165" min="3" max="3"/>
    <col width="18" customWidth="1" style="165" min="4" max="4"/>
    <col width="18" customWidth="1" style="165" min="5" max="5"/>
    <col width="18" customWidth="1" style="165" min="6" max="6"/>
    <col width="18" customWidth="1" style="165" min="7" max="7"/>
    <col width="18" customWidth="1" style="165" min="8" max="8"/>
  </cols>
  <sheetData>
    <row r="1">
      <c r="A1" s="234" t="inlineStr">
        <is>
          <t>技術報告書：解析方法・数式・シート対応</t>
        </is>
      </c>
      <c r="B1" s="228" t="n"/>
      <c r="C1" s="228" t="n"/>
      <c r="D1" s="228" t="n"/>
      <c r="E1" s="228" t="n"/>
      <c r="F1" s="228" t="n"/>
      <c r="G1" s="228" t="n"/>
      <c r="H1" s="228" t="n"/>
    </row>
    <row r="3">
      <c r="A3" s="235" t="inlineStr">
        <is>
          <t>1. 目的</t>
        </is>
      </c>
      <c r="B3" s="228" t="n"/>
      <c r="C3" s="228" t="n"/>
      <c r="D3" s="228" t="n"/>
      <c r="E3" s="228" t="n"/>
      <c r="F3" s="228" t="n"/>
      <c r="G3" s="228" t="n"/>
      <c r="H3" s="228" t="n"/>
    </row>
    <row r="4">
      <c r="A4" s="236" t="inlineStr">
        <is>
          <t>本報告書は、MVVS 0.5sq 2芯シールドケーブル 6 m と UL1007 AWG20 GND 線 6 m から構成される回路について、差動モードおよび同相モードの入力インピーダンスを 1 kHz〜25 MHz で解析する手順と数式を整理したものである。</t>
        </is>
      </c>
      <c r="B4" s="228" t="n"/>
      <c r="C4" s="228" t="n"/>
      <c r="D4" s="228" t="n"/>
      <c r="E4" s="228" t="n"/>
      <c r="F4" s="228" t="n"/>
      <c r="G4" s="228" t="n"/>
      <c r="H4" s="228" t="n"/>
    </row>
    <row r="5">
      <c r="A5" s="228" t="n"/>
      <c r="H5" s="228" t="n"/>
    </row>
    <row r="6">
      <c r="A6" s="228" t="n"/>
      <c r="B6" s="228" t="n"/>
      <c r="C6" s="228" t="n"/>
      <c r="D6" s="228" t="n"/>
      <c r="E6" s="228" t="n"/>
      <c r="F6" s="228" t="n"/>
      <c r="G6" s="228" t="n"/>
      <c r="H6" s="228" t="n"/>
    </row>
    <row r="8">
      <c r="A8" s="235" t="inlineStr">
        <is>
          <t>2. 対象回路</t>
        </is>
      </c>
      <c r="B8" s="228" t="n"/>
      <c r="C8" s="228" t="n"/>
      <c r="D8" s="228" t="n"/>
      <c r="E8" s="228" t="n"/>
      <c r="F8" s="228" t="n"/>
      <c r="G8" s="228" t="n"/>
      <c r="H8" s="228" t="n"/>
    </row>
    <row r="9">
      <c r="A9" s="236" t="inlineStr">
        <is>
          <t>対象回路は『回路図』シートに示す。遠端では 2 芯を短絡し、各芯から 10 µF コンデンサで FG2 に接続する。シールドは近端 FG1 に接続し、遠端開放とする。GND 線は FG1 と FG2 を接続する。</t>
        </is>
      </c>
      <c r="B9" s="228" t="n"/>
      <c r="C9" s="228" t="n"/>
      <c r="D9" s="228" t="n"/>
      <c r="E9" s="228" t="n"/>
      <c r="F9" s="228" t="n"/>
      <c r="G9" s="228" t="n"/>
      <c r="H9" s="228" t="n"/>
    </row>
    <row r="10">
      <c r="A10" s="228" t="n"/>
      <c r="H10" s="228" t="n"/>
    </row>
    <row r="11">
      <c r="A11" s="228" t="n"/>
      <c r="B11" s="228" t="n"/>
      <c r="C11" s="228" t="n"/>
      <c r="D11" s="228" t="n"/>
      <c r="E11" s="228" t="n"/>
      <c r="F11" s="228" t="n"/>
      <c r="G11" s="228" t="n"/>
      <c r="H11" s="228" t="n"/>
    </row>
    <row r="13">
      <c r="A13" s="235" t="inlineStr">
        <is>
          <t>3. 解析項目</t>
        </is>
      </c>
      <c r="B13" s="228" t="n"/>
      <c r="C13" s="228" t="n"/>
      <c r="D13" s="228" t="n"/>
      <c r="E13" s="228" t="n"/>
      <c r="F13" s="228" t="n"/>
      <c r="G13" s="228" t="n"/>
      <c r="H13" s="228" t="n"/>
    </row>
    <row r="14">
      <c r="A14" s="236" t="inlineStr">
        <is>
          <t>（1）差動モード： AC115VU と AC115VN 間の入力インピーダンス ZDM を求める。
（2）同相モード： 近端で AC115VU と AC115VN を一括した導体束 P と FG1 の間の入力インピーダンス ZCM を求める。</t>
        </is>
      </c>
      <c r="B14" s="228" t="n"/>
      <c r="C14" s="228" t="n"/>
      <c r="D14" s="228" t="n"/>
      <c r="E14" s="228" t="n"/>
      <c r="F14" s="228" t="n"/>
      <c r="G14" s="228" t="n"/>
      <c r="H14" s="228" t="n"/>
    </row>
    <row r="15">
      <c r="A15" s="228" t="n"/>
      <c r="H15" s="228" t="n"/>
    </row>
    <row r="16">
      <c r="A16" s="228" t="n"/>
      <c r="B16" s="228" t="n"/>
      <c r="C16" s="228" t="n"/>
      <c r="D16" s="228" t="n"/>
      <c r="E16" s="228" t="n"/>
      <c r="F16" s="228" t="n"/>
      <c r="G16" s="228" t="n"/>
      <c r="H16" s="228" t="n"/>
    </row>
    <row r="18">
      <c r="A18" s="235" t="inlineStr">
        <is>
          <t>4. 使用シートと役割</t>
        </is>
      </c>
      <c r="B18" s="228" t="n"/>
      <c r="C18" s="228" t="n"/>
      <c r="D18" s="228" t="n"/>
      <c r="E18" s="228" t="n"/>
      <c r="F18" s="228" t="n"/>
      <c r="G18" s="228" t="n"/>
      <c r="H18" s="228" t="n"/>
    </row>
    <row r="19">
      <c r="A19" s="236" t="inlineStr">
        <is>
          <t>『入力・概要』：形状、損失、コンデンサ、掃引条件などの入力。
『3導体RLGC』：3導体系の R, L, G, C 行列。
『差動モデル』：差動モードの周波数ごとの計算。
『同相3導体』：3導体同相モデルの周波数ごとの計算。
『グラフ』：振幅・位相のグラフ。
『実測比較_差動』『実測比較_同相』：実測値との比較。</t>
        </is>
      </c>
      <c r="B19" s="228" t="n"/>
      <c r="C19" s="228" t="n"/>
      <c r="D19" s="228" t="n"/>
      <c r="E19" s="228" t="n"/>
      <c r="F19" s="228" t="n"/>
      <c r="G19" s="228" t="n"/>
      <c r="H19" s="228" t="n"/>
    </row>
    <row r="20">
      <c r="A20" s="228" t="n"/>
      <c r="H20" s="228" t="n"/>
    </row>
    <row r="21">
      <c r="A21" s="228" t="n"/>
      <c r="H21" s="228" t="n"/>
    </row>
    <row r="22">
      <c r="A22" s="228" t="n"/>
      <c r="H22" s="228" t="n"/>
    </row>
    <row r="23">
      <c r="A23" s="228" t="n"/>
      <c r="H23" s="228" t="n"/>
    </row>
    <row r="24">
      <c r="A24" s="228" t="n"/>
      <c r="H24" s="228" t="n"/>
    </row>
    <row r="25">
      <c r="A25" s="228" t="n"/>
      <c r="B25" s="228" t="n"/>
      <c r="C25" s="228" t="n"/>
      <c r="D25" s="228" t="n"/>
      <c r="E25" s="228" t="n"/>
      <c r="F25" s="228" t="n"/>
      <c r="G25" s="228" t="n"/>
      <c r="H25" s="228" t="n"/>
    </row>
    <row r="27">
      <c r="A27" s="235" t="inlineStr">
        <is>
          <t>5. 差動モードの仮定</t>
        </is>
      </c>
      <c r="B27" s="228" t="n"/>
      <c r="C27" s="228" t="n"/>
      <c r="D27" s="228" t="n"/>
      <c r="E27" s="228" t="n"/>
      <c r="F27" s="228" t="n"/>
      <c r="G27" s="228" t="n"/>
      <c r="H27" s="228" t="n"/>
    </row>
    <row r="28">
      <c r="A28" s="236" t="inlineStr">
        <is>
          <t>差動モードでは 2 芯のみが主に寄与し、シールドや GND 線への同相成分は小さいと仮定する。したがって AC115VU−AC115VN の 2 導体損失線路として扱う。遠端の 2 芯短絡は寄生抵抗 Rshort と寄生インダクタンス Lshort を持つ終端負荷とする。</t>
        </is>
      </c>
      <c r="B28" s="228" t="n"/>
      <c r="C28" s="228" t="n"/>
      <c r="D28" s="228" t="n"/>
      <c r="E28" s="228" t="n"/>
      <c r="F28" s="228" t="n"/>
      <c r="G28" s="228" t="n"/>
      <c r="H28" s="228" t="n"/>
    </row>
    <row r="29">
      <c r="A29" s="228" t="n"/>
      <c r="H29" s="228" t="n"/>
    </row>
    <row r="30">
      <c r="A30" s="228" t="n"/>
      <c r="B30" s="228" t="n"/>
      <c r="C30" s="228" t="n"/>
      <c r="D30" s="228" t="n"/>
      <c r="E30" s="228" t="n"/>
      <c r="F30" s="228" t="n"/>
      <c r="G30" s="228" t="n"/>
      <c r="H30" s="228" t="n"/>
    </row>
    <row r="32">
      <c r="A32" s="235" t="inlineStr">
        <is>
          <t>6. 差動モードの基本式</t>
        </is>
      </c>
      <c r="B32" s="228" t="n"/>
      <c r="C32" s="228" t="n"/>
      <c r="D32" s="228" t="n"/>
      <c r="E32" s="228" t="n"/>
      <c r="F32" s="228" t="n"/>
      <c r="G32" s="228" t="n"/>
      <c r="H32" s="228" t="n"/>
    </row>
    <row r="33">
      <c r="A33" s="236" t="inlineStr">
        <is>
          <t>差動モードの入力インピーダンスは
Zin,DM = Z0d × (ZL,DM + Z0d·tanh(γd·l)) / (Z0d + ZL,DM·tanh(γd·l))
で計算する。ここで ZL,DM = Rshort + jωLshort、γd·l = Ad + jθd である。θd = 2πfTd、Td = l / (VFd·c) である。</t>
        </is>
      </c>
      <c r="B33" s="228" t="n"/>
      <c r="C33" s="228" t="n"/>
      <c r="D33" s="228" t="n"/>
      <c r="E33" s="228" t="n"/>
      <c r="F33" s="228" t="n"/>
      <c r="G33" s="228" t="n"/>
      <c r="H33" s="228" t="n"/>
    </row>
    <row r="34">
      <c r="A34" s="228" t="n"/>
      <c r="H34" s="228" t="n"/>
    </row>
    <row r="35">
      <c r="A35" s="228" t="n"/>
      <c r="H35" s="228" t="n"/>
    </row>
    <row r="36">
      <c r="A36" s="228" t="n"/>
      <c r="H36" s="228" t="n"/>
    </row>
    <row r="37">
      <c r="A37" s="228" t="n"/>
      <c r="B37" s="228" t="n"/>
      <c r="C37" s="228" t="n"/>
      <c r="D37" s="228" t="n"/>
      <c r="E37" s="228" t="n"/>
      <c r="F37" s="228" t="n"/>
      <c r="G37" s="228" t="n"/>
      <c r="H37" s="228" t="n"/>
    </row>
    <row r="39">
      <c r="A39" s="235" t="inlineStr">
        <is>
          <t>7. 差動モードの損失</t>
        </is>
      </c>
      <c r="B39" s="228" t="n"/>
      <c r="C39" s="228" t="n"/>
      <c r="D39" s="228" t="n"/>
      <c r="E39" s="228" t="n"/>
      <c r="F39" s="228" t="n"/>
      <c r="G39" s="228" t="n"/>
      <c r="H39" s="228" t="n"/>
    </row>
    <row r="40">
      <c r="A40" s="236" t="inlineStr">
        <is>
          <t>差動モードの減衰 Ad は、導体抵抗および誘電損失を簡略化して
Ad = A0d + k√f,d·√(f/MHz) + (tanδd/2)·θd
で表す。A0d は低周波直流抵抗に相当する固定成分で、入力・概要の差動特性インピーダンス Z0d と直流ループ抵抗から近似的に与える。
この計算は『差動モデル』シートの D〜E 列で行っている。</t>
        </is>
      </c>
      <c r="B40" s="228" t="n"/>
      <c r="C40" s="228" t="n"/>
      <c r="D40" s="228" t="n"/>
      <c r="E40" s="228" t="n"/>
      <c r="F40" s="228" t="n"/>
      <c r="G40" s="228" t="n"/>
      <c r="H40" s="228" t="n"/>
    </row>
    <row r="41">
      <c r="A41" s="228" t="n"/>
      <c r="H41" s="228" t="n"/>
    </row>
    <row r="42">
      <c r="A42" s="228" t="n"/>
      <c r="H42" s="228" t="n"/>
    </row>
    <row r="43">
      <c r="A43" s="228" t="n"/>
      <c r="H43" s="228" t="n"/>
    </row>
    <row r="44">
      <c r="A44" s="228" t="n"/>
      <c r="H44" s="228" t="n"/>
    </row>
    <row r="45">
      <c r="A45" s="228" t="n"/>
      <c r="B45" s="228" t="n"/>
      <c r="C45" s="228" t="n"/>
      <c r="D45" s="228" t="n"/>
      <c r="E45" s="228" t="n"/>
      <c r="F45" s="228" t="n"/>
      <c r="G45" s="228" t="n"/>
      <c r="H45" s="228" t="n"/>
    </row>
    <row r="47">
      <c r="A47" s="235" t="inlineStr">
        <is>
          <t>8. 同相 3導体モデルの導体定義</t>
        </is>
      </c>
      <c r="B47" s="228" t="n"/>
      <c r="C47" s="228" t="n"/>
      <c r="D47" s="228" t="n"/>
      <c r="E47" s="228" t="n"/>
      <c r="F47" s="228" t="n"/>
      <c r="G47" s="228" t="n"/>
      <c r="H47" s="228" t="n"/>
    </row>
    <row r="48">
      <c r="A48" s="236" t="inlineStr">
        <is>
          <t>同相モードでは、P = 2 芯束、S = 編組シールド、G = GND 線の 3 物理導体を扱う。G を基準導体としたときの導体系電圧と電流は
V = [VP−VG, VS−VG]^T,  I = [IP, IS]^T
である。</t>
        </is>
      </c>
      <c r="B48" s="228" t="n"/>
      <c r="C48" s="228" t="n"/>
      <c r="D48" s="228" t="n"/>
      <c r="E48" s="228" t="n"/>
      <c r="F48" s="228" t="n"/>
      <c r="G48" s="228" t="n"/>
      <c r="H48" s="228" t="n"/>
    </row>
    <row r="49">
      <c r="A49" s="228" t="n"/>
      <c r="H49" s="228" t="n"/>
    </row>
    <row r="50">
      <c r="A50" s="228" t="n"/>
      <c r="H50" s="228" t="n"/>
    </row>
    <row r="51">
      <c r="A51" s="228" t="n"/>
      <c r="B51" s="228" t="n"/>
      <c r="C51" s="228" t="n"/>
      <c r="D51" s="228" t="n"/>
      <c r="E51" s="228" t="n"/>
      <c r="F51" s="228" t="n"/>
      <c r="G51" s="228" t="n"/>
      <c r="H51" s="228" t="n"/>
    </row>
    <row r="53">
      <c r="A53" s="235" t="inlineStr">
        <is>
          <t>9. モード変換</t>
        </is>
      </c>
      <c r="B53" s="228" t="n"/>
      <c r="C53" s="228" t="n"/>
      <c r="D53" s="228" t="n"/>
      <c r="E53" s="228" t="n"/>
      <c r="F53" s="228" t="n"/>
      <c r="G53" s="228" t="n"/>
      <c r="H53" s="228" t="n"/>
    </row>
    <row r="54">
      <c r="A54" s="236" t="inlineStr">
        <is>
          <t>理想シールド近似により、3 導体問題を次の 2 つの固有モードへ分解する。
内部モード：  v1 = VP−VS,   i1 = IP
外部モード：  v2 = VS−VG,   i2 = IP + IS = −IG
内部モードは P-S 間、外部モードは S-G 間の損失線路として扱える。</t>
        </is>
      </c>
      <c r="B54" s="228" t="n"/>
      <c r="C54" s="228" t="n"/>
      <c r="D54" s="228" t="n"/>
      <c r="E54" s="228" t="n"/>
      <c r="F54" s="228" t="n"/>
      <c r="G54" s="228" t="n"/>
      <c r="H54" s="228" t="n"/>
    </row>
    <row r="55">
      <c r="A55" s="228" t="n"/>
      <c r="H55" s="228" t="n"/>
    </row>
    <row r="56">
      <c r="A56" s="228" t="n"/>
      <c r="H56" s="228" t="n"/>
    </row>
    <row r="57">
      <c r="A57" s="228" t="n"/>
      <c r="H57" s="228" t="n"/>
    </row>
    <row r="58">
      <c r="A58" s="228" t="n"/>
      <c r="B58" s="228" t="n"/>
      <c r="C58" s="228" t="n"/>
      <c r="D58" s="228" t="n"/>
      <c r="E58" s="228" t="n"/>
      <c r="F58" s="228" t="n"/>
      <c r="G58" s="228" t="n"/>
      <c r="H58" s="228" t="n"/>
    </row>
    <row r="60">
      <c r="A60" s="235" t="inlineStr">
        <is>
          <t>10. 内部モード定数</t>
        </is>
      </c>
      <c r="B60" s="228" t="n"/>
      <c r="C60" s="228" t="n"/>
      <c r="D60" s="228" t="n"/>
      <c r="E60" s="228" t="n"/>
      <c r="F60" s="228" t="n"/>
      <c r="G60" s="228" t="n"/>
      <c r="H60" s="228" t="n"/>
    </row>
    <row r="61">
      <c r="A61" s="236" t="inlineStr">
        <is>
          <t>内部モードの代表値は『入力・概要』の C(P-S), 速度係数, tanδ, 追加損失から定義する。
Z01 = 1 / (c·VF1·C1)
L1 = Z01 / (c·VF1)
Td1 = l / (VF1·c)
これらは『入力・概要』派生値の内部モード Z01, L1, 片道遅延, 1/4波長として表示される。</t>
        </is>
      </c>
      <c r="B61" s="228" t="n"/>
      <c r="C61" s="228" t="n"/>
      <c r="D61" s="228" t="n"/>
      <c r="E61" s="228" t="n"/>
      <c r="F61" s="228" t="n"/>
      <c r="G61" s="228" t="n"/>
      <c r="H61" s="228" t="n"/>
    </row>
    <row r="62">
      <c r="A62" s="228" t="n"/>
      <c r="H62" s="228" t="n"/>
    </row>
    <row r="63">
      <c r="A63" s="228" t="n"/>
      <c r="H63" s="228" t="n"/>
    </row>
    <row r="64">
      <c r="A64" s="228" t="n"/>
      <c r="H64" s="228" t="n"/>
    </row>
    <row r="65">
      <c r="A65" s="228" t="n"/>
      <c r="H65" s="228" t="n"/>
    </row>
    <row r="66">
      <c r="A66" s="228" t="n"/>
      <c r="B66" s="228" t="n"/>
      <c r="C66" s="228" t="n"/>
      <c r="D66" s="228" t="n"/>
      <c r="E66" s="228" t="n"/>
      <c r="F66" s="228" t="n"/>
      <c r="G66" s="228" t="n"/>
      <c r="H66" s="228" t="n"/>
    </row>
    <row r="68">
      <c r="A68" s="235" t="inlineStr">
        <is>
          <t>11. 外部モード定数</t>
        </is>
      </c>
      <c r="B68" s="228" t="n"/>
      <c r="C68" s="228" t="n"/>
      <c r="D68" s="228" t="n"/>
      <c r="E68" s="228" t="n"/>
      <c r="F68" s="228" t="n"/>
      <c r="G68" s="228" t="n"/>
      <c r="H68" s="228" t="n"/>
    </row>
    <row r="69">
      <c r="A69" s="236" t="inlineStr">
        <is>
          <t>外部モードは、シールドと GND 線を 2 本平行導体として近似する。
中心間距離を d、シールド外半径を a、GND 導体外半径を b とすると、
χ = acosh((d^2 − a^2 − b^2)/(2ab))
C2 = 2π·ε0·εeff / χ
L2 = μ0·χ / (2π)
Z02 = √(L2/C2)
VF2 = 1/√εeff
で与える。これらは『入力・概要』派生値の外部モード C2, L2, Z02, 速度係数, 片道遅延に対応する。</t>
        </is>
      </c>
      <c r="B69" s="228" t="n"/>
      <c r="C69" s="228" t="n"/>
      <c r="D69" s="228" t="n"/>
      <c r="E69" s="228" t="n"/>
      <c r="F69" s="228" t="n"/>
      <c r="G69" s="228" t="n"/>
      <c r="H69" s="228" t="n"/>
    </row>
    <row r="70">
      <c r="A70" s="228" t="n"/>
      <c r="H70" s="228" t="n"/>
    </row>
    <row r="71">
      <c r="A71" s="228" t="n"/>
      <c r="H71" s="228" t="n"/>
    </row>
    <row r="72">
      <c r="A72" s="228" t="n"/>
      <c r="H72" s="228" t="n"/>
    </row>
    <row r="73">
      <c r="A73" s="228" t="n"/>
      <c r="H73" s="228" t="n"/>
    </row>
    <row r="74">
      <c r="A74" s="228" t="n"/>
      <c r="H74" s="228" t="n"/>
    </row>
    <row r="75">
      <c r="A75" s="228" t="n"/>
      <c r="H75" s="228" t="n"/>
    </row>
    <row r="76">
      <c r="A76" s="228" t="n"/>
      <c r="H76" s="228" t="n"/>
    </row>
    <row r="77">
      <c r="A77" s="228" t="n"/>
      <c r="H77" s="228" t="n"/>
    </row>
    <row r="78">
      <c r="A78" s="228" t="n"/>
      <c r="B78" s="228" t="n"/>
      <c r="C78" s="228" t="n"/>
      <c r="D78" s="228" t="n"/>
      <c r="E78" s="228" t="n"/>
      <c r="F78" s="228" t="n"/>
      <c r="G78" s="228" t="n"/>
      <c r="H78" s="228" t="n"/>
    </row>
    <row r="80">
      <c r="A80" s="235" t="inlineStr">
        <is>
          <t>12. 3導体 RLGC 行列</t>
        </is>
      </c>
      <c r="B80" s="228" t="n"/>
      <c r="C80" s="228" t="n"/>
      <c r="D80" s="228" t="n"/>
      <c r="E80" s="228" t="n"/>
      <c r="F80" s="228" t="n"/>
      <c r="G80" s="228" t="n"/>
      <c r="H80" s="228" t="n"/>
    </row>
    <row r="81">
      <c r="A81" s="236" t="inlineStr">
        <is>
          <t>導体系座標での L 行列と C 行列は、内部モード定数 L1, C1 と外部モード定数 L2, C2 から次式で求める。
L = [[L1+L2, L2], [L2, L2]]
C = [[C1, −C1], [−C1, C1+C2]]
同様に、R 行列は内部モード直列抵抗 r1 と外部モード直列抵抗 r2 を用いて
R = [[r1+r2, r2], [r2, r2]]
とし、G 行列は tanδ による漏れコンダクタンスから近似する。
これらを『3導体RLGC』シートに整理してある。</t>
        </is>
      </c>
      <c r="B81" s="228" t="n"/>
      <c r="C81" s="228" t="n"/>
      <c r="D81" s="228" t="n"/>
      <c r="E81" s="228" t="n"/>
      <c r="F81" s="228" t="n"/>
      <c r="G81" s="228" t="n"/>
      <c r="H81" s="228" t="n"/>
    </row>
    <row r="82">
      <c r="A82" s="228" t="n"/>
      <c r="H82" s="228" t="n"/>
    </row>
    <row r="83">
      <c r="A83" s="228" t="n"/>
      <c r="H83" s="228" t="n"/>
    </row>
    <row r="84">
      <c r="A84" s="228" t="n"/>
      <c r="H84" s="228" t="n"/>
    </row>
    <row r="85">
      <c r="A85" s="228" t="n"/>
      <c r="H85" s="228" t="n"/>
    </row>
    <row r="86">
      <c r="A86" s="228" t="n"/>
      <c r="H86" s="228" t="n"/>
    </row>
    <row r="87">
      <c r="A87" s="228" t="n"/>
      <c r="H87" s="228" t="n"/>
    </row>
    <row r="88">
      <c r="A88" s="228" t="n"/>
      <c r="H88" s="228" t="n"/>
    </row>
    <row r="89">
      <c r="A89" s="228" t="n"/>
      <c r="B89" s="228" t="n"/>
      <c r="C89" s="228" t="n"/>
      <c r="D89" s="228" t="n"/>
      <c r="E89" s="228" t="n"/>
      <c r="F89" s="228" t="n"/>
      <c r="G89" s="228" t="n"/>
      <c r="H89" s="228" t="n"/>
    </row>
    <row r="91">
      <c r="A91" s="235" t="inlineStr">
        <is>
          <t>13. 同相モードの境界条件</t>
        </is>
      </c>
      <c r="B91" s="228" t="n"/>
      <c r="C91" s="228" t="n"/>
      <c r="D91" s="228" t="n"/>
      <c r="E91" s="228" t="n"/>
      <c r="F91" s="228" t="n"/>
      <c r="G91" s="228" t="n"/>
      <c r="H91" s="228" t="n"/>
    </row>
    <row r="92">
      <c r="A92" s="236" t="inlineStr">
        <is>
          <t>近端では S と G が FG1 で短絡されるため VSG(0)=0。
遠端ではシールドが開放であるため IS(l)=0。
P は 2 個の 10 µF コンデンサ負荷で G に接続される。
各コンデンサのインピーダンスは
ZC1 = ESR1 + jωESL1 + 1/(jωC1)
ZC2 = ESR2 + jωESL2 + 1/(jωC2)
であり、並列合成負荷は
ZC = ZC1 || ZC2
とする。</t>
        </is>
      </c>
      <c r="B92" s="228" t="n"/>
      <c r="C92" s="228" t="n"/>
      <c r="D92" s="228" t="n"/>
      <c r="E92" s="228" t="n"/>
      <c r="F92" s="228" t="n"/>
      <c r="G92" s="228" t="n"/>
      <c r="H92" s="228" t="n"/>
    </row>
    <row r="93">
      <c r="A93" s="228" t="n"/>
      <c r="H93" s="228" t="n"/>
    </row>
    <row r="94">
      <c r="A94" s="228" t="n"/>
      <c r="H94" s="228" t="n"/>
    </row>
    <row r="95">
      <c r="A95" s="228" t="n"/>
      <c r="H95" s="228" t="n"/>
    </row>
    <row r="96">
      <c r="A96" s="228" t="n"/>
      <c r="H96" s="228" t="n"/>
    </row>
    <row r="97">
      <c r="A97" s="228" t="n"/>
      <c r="H97" s="228" t="n"/>
    </row>
    <row r="98">
      <c r="A98" s="228" t="n"/>
      <c r="H98" s="228" t="n"/>
    </row>
    <row r="99">
      <c r="A99" s="228" t="n"/>
      <c r="H99" s="228" t="n"/>
    </row>
    <row r="100">
      <c r="A100" s="228" t="n"/>
      <c r="H100" s="228" t="n"/>
    </row>
    <row r="101">
      <c r="A101" s="228" t="n"/>
      <c r="H101" s="228" t="n"/>
    </row>
    <row r="102">
      <c r="A102" s="228" t="n"/>
      <c r="B102" s="228" t="n"/>
      <c r="C102" s="228" t="n"/>
      <c r="D102" s="228" t="n"/>
      <c r="E102" s="228" t="n"/>
      <c r="F102" s="228" t="n"/>
      <c r="G102" s="228" t="n"/>
      <c r="H102" s="228" t="n"/>
    </row>
    <row r="104">
      <c r="A104" s="235" t="inlineStr">
        <is>
          <t>14. 外部モードから見た遠端インピーダンス</t>
        </is>
      </c>
      <c r="B104" s="228" t="n"/>
      <c r="C104" s="228" t="n"/>
      <c r="D104" s="228" t="n"/>
      <c r="E104" s="228" t="n"/>
      <c r="F104" s="228" t="n"/>
      <c r="G104" s="228" t="n"/>
      <c r="H104" s="228" t="n"/>
    </row>
    <row r="105">
      <c r="A105" s="236" t="inlineStr">
        <is>
          <t>外部モードは近端短絡・遠端自由の境界を持つ。遠端側から内部モードへ見込まれる外部モードのインピーダンスを
Zext = Z02·tanh(γ2·l)
とする。ここで γ2·l = A2 + jθ2、A2 は外部モードの損失、θ2 = 2πfTd2 である。
この計算は『同相3導体』シートの H〜S 列で行っている。</t>
        </is>
      </c>
      <c r="B105" s="228" t="n"/>
      <c r="C105" s="228" t="n"/>
      <c r="D105" s="228" t="n"/>
      <c r="E105" s="228" t="n"/>
      <c r="F105" s="228" t="n"/>
      <c r="G105" s="228" t="n"/>
      <c r="H105" s="228" t="n"/>
    </row>
    <row r="106">
      <c r="A106" s="228" t="n"/>
      <c r="H106" s="228" t="n"/>
    </row>
    <row r="107">
      <c r="A107" s="228" t="n"/>
      <c r="H107" s="228" t="n"/>
    </row>
    <row r="108">
      <c r="A108" s="228" t="n"/>
      <c r="H108" s="228" t="n"/>
    </row>
    <row r="109">
      <c r="A109" s="228" t="n"/>
      <c r="B109" s="228" t="n"/>
      <c r="C109" s="228" t="n"/>
      <c r="D109" s="228" t="n"/>
      <c r="E109" s="228" t="n"/>
      <c r="F109" s="228" t="n"/>
      <c r="G109" s="228" t="n"/>
      <c r="H109" s="228" t="n"/>
    </row>
    <row r="111">
      <c r="A111" s="235" t="inlineStr">
        <is>
          <t>15. 内部モードの実効終端負荷</t>
        </is>
      </c>
      <c r="B111" s="228" t="n"/>
      <c r="C111" s="228" t="n"/>
      <c r="D111" s="228" t="n"/>
      <c r="E111" s="228" t="n"/>
      <c r="F111" s="228" t="n"/>
      <c r="G111" s="228" t="n"/>
      <c r="H111" s="228" t="n"/>
    </row>
    <row r="112">
      <c r="A112" s="236" t="inlineStr">
        <is>
          <t>内部モードに対する遠端の実効負荷は
ZL,eff = ZC + Zext
で与える。これは、遠端で P から S を経て G に戻る経路を、コンデンサ負荷と外部モードの直列和としてみなすものである。
『同相3導体』シートでは T〜U 列に相当する。</t>
        </is>
      </c>
      <c r="B112" s="228" t="n"/>
      <c r="C112" s="228" t="n"/>
      <c r="D112" s="228" t="n"/>
      <c r="E112" s="228" t="n"/>
      <c r="F112" s="228" t="n"/>
      <c r="G112" s="228" t="n"/>
      <c r="H112" s="228" t="n"/>
    </row>
    <row r="113">
      <c r="A113" s="228" t="n"/>
      <c r="H113" s="228" t="n"/>
    </row>
    <row r="114">
      <c r="A114" s="228" t="n"/>
      <c r="H114" s="228" t="n"/>
    </row>
    <row r="115">
      <c r="A115" s="228" t="n"/>
      <c r="H115" s="228" t="n"/>
    </row>
    <row r="116">
      <c r="A116" s="228" t="n"/>
      <c r="B116" s="228" t="n"/>
      <c r="C116" s="228" t="n"/>
      <c r="D116" s="228" t="n"/>
      <c r="E116" s="228" t="n"/>
      <c r="F116" s="228" t="n"/>
      <c r="G116" s="228" t="n"/>
      <c r="H116" s="228" t="n"/>
    </row>
    <row r="118">
      <c r="A118" s="235" t="inlineStr">
        <is>
          <t>16. 同相入力インピーダンス</t>
        </is>
      </c>
      <c r="B118" s="228" t="n"/>
      <c r="C118" s="228" t="n"/>
      <c r="D118" s="228" t="n"/>
      <c r="E118" s="228" t="n"/>
      <c r="F118" s="228" t="n"/>
      <c r="G118" s="228" t="n"/>
      <c r="H118" s="228" t="n"/>
    </row>
    <row r="119">
      <c r="A119" s="236" t="inlineStr">
        <is>
          <t>最終的な同相入力インピーダンスは、内部モード線路の入力インピーダンスとして
Zin,CM = Z01 × (ZL,eff + Z01·tanh(γ1·l)) / (Z01 + ZL,eff·tanh(γ1·l))
により求める。
『同相3導体』シートでは V〜AB 列で計算し、AB 列が振幅、AC 列が位相である。</t>
        </is>
      </c>
      <c r="B119" s="228" t="n"/>
      <c r="C119" s="228" t="n"/>
      <c r="D119" s="228" t="n"/>
      <c r="E119" s="228" t="n"/>
      <c r="F119" s="228" t="n"/>
      <c r="G119" s="228" t="n"/>
      <c r="H119" s="228" t="n"/>
    </row>
    <row r="120">
      <c r="A120" s="228" t="n"/>
      <c r="H120" s="228" t="n"/>
    </row>
    <row r="121">
      <c r="A121" s="228" t="n"/>
      <c r="H121" s="228" t="n"/>
    </row>
    <row r="122">
      <c r="A122" s="228" t="n"/>
      <c r="H122" s="228" t="n"/>
    </row>
    <row r="123">
      <c r="A123" s="228" t="n"/>
      <c r="B123" s="228" t="n"/>
      <c r="C123" s="228" t="n"/>
      <c r="D123" s="228" t="n"/>
      <c r="E123" s="228" t="n"/>
      <c r="F123" s="228" t="n"/>
      <c r="G123" s="228" t="n"/>
      <c r="H123" s="228" t="n"/>
    </row>
    <row r="125">
      <c r="A125" s="235" t="inlineStr">
        <is>
          <t>17. グラフの見方</t>
        </is>
      </c>
      <c r="B125" s="228" t="n"/>
      <c r="C125" s="228" t="n"/>
      <c r="D125" s="228" t="n"/>
      <c r="E125" s="228" t="n"/>
      <c r="F125" s="228" t="n"/>
      <c r="G125" s="228" t="n"/>
      <c r="H125" s="228" t="n"/>
    </row>
    <row r="126">
      <c r="A126" s="236" t="inlineStr">
        <is>
          <t>『グラフ』シートでは、差動と同相の振幅・位相を表示する。
振幅グラフは横軸・縦軸とも対数相当表示、位相グラフは横軸のみ対数相当表示である。
周波数軸ラベルは 1k, 10k, 100k, 1M, 10M, 25M とし、主目盛線と補助線を表示する。</t>
        </is>
      </c>
      <c r="B126" s="228" t="n"/>
      <c r="C126" s="228" t="n"/>
      <c r="D126" s="228" t="n"/>
      <c r="E126" s="228" t="n"/>
      <c r="F126" s="228" t="n"/>
      <c r="G126" s="228" t="n"/>
      <c r="H126" s="228" t="n"/>
    </row>
    <row r="127">
      <c r="A127" s="228" t="n"/>
      <c r="H127" s="228" t="n"/>
    </row>
    <row r="128">
      <c r="A128" s="228" t="n"/>
      <c r="H128" s="228" t="n"/>
    </row>
    <row r="129">
      <c r="A129" s="228" t="n"/>
      <c r="B129" s="228" t="n"/>
      <c r="C129" s="228" t="n"/>
      <c r="D129" s="228" t="n"/>
      <c r="E129" s="228" t="n"/>
      <c r="F129" s="228" t="n"/>
      <c r="G129" s="228" t="n"/>
      <c r="H129" s="228" t="n"/>
    </row>
    <row r="131">
      <c r="A131" s="235" t="inlineStr">
        <is>
          <t>18. パラメータ調整の指針</t>
        </is>
      </c>
      <c r="B131" s="228" t="n"/>
      <c r="C131" s="228" t="n"/>
      <c r="D131" s="228" t="n"/>
      <c r="E131" s="228" t="n"/>
      <c r="F131" s="228" t="n"/>
      <c r="G131" s="228" t="n"/>
      <c r="H131" s="228" t="n"/>
    </row>
    <row r="132">
      <c r="A132" s="236" t="inlineStr">
        <is>
          <t>差動モードでは、共振周波数や山谷の位置は VFd、山谷の高さは損失係数、低域の値は Rshort・Lshort によって調整する。
同相モードでは、低周波側はコンデンサ容量、ESR、ESL の影響が大きい。
MHz 帯の山谷位置は内部／外部モードの VF と幾何寸法、ピーク高さは損失係数やシールド抵抗の影響を受ける。</t>
        </is>
      </c>
      <c r="B132" s="228" t="n"/>
      <c r="C132" s="228" t="n"/>
      <c r="D132" s="228" t="n"/>
      <c r="E132" s="228" t="n"/>
      <c r="F132" s="228" t="n"/>
      <c r="G132" s="228" t="n"/>
      <c r="H132" s="228" t="n"/>
    </row>
    <row r="133">
      <c r="A133" s="228" t="n"/>
      <c r="H133" s="228" t="n"/>
    </row>
    <row r="134">
      <c r="A134" s="228" t="n"/>
      <c r="H134" s="228" t="n"/>
    </row>
    <row r="135">
      <c r="A135" s="228" t="n"/>
      <c r="H135" s="228" t="n"/>
    </row>
    <row r="136">
      <c r="A136" s="228" t="n"/>
      <c r="B136" s="228" t="n"/>
      <c r="C136" s="228" t="n"/>
      <c r="D136" s="228" t="n"/>
      <c r="E136" s="228" t="n"/>
      <c r="F136" s="228" t="n"/>
      <c r="G136" s="228" t="n"/>
      <c r="H136" s="228" t="n"/>
    </row>
    <row r="138">
      <c r="A138" s="235" t="inlineStr">
        <is>
          <t>19. モデルの限界</t>
        </is>
      </c>
      <c r="B138" s="228" t="n"/>
      <c r="C138" s="228" t="n"/>
      <c r="D138" s="228" t="n"/>
      <c r="E138" s="228" t="n"/>
      <c r="F138" s="228" t="n"/>
      <c r="G138" s="228" t="n"/>
      <c r="H138" s="228" t="n"/>
    </row>
    <row r="139">
      <c r="A139" s="236" t="inlineStr">
        <is>
          <t>本モデルは理想シールド近似に基づく。編組の開口による直接 P-G 結合、移送インピーダンス、治具の寄生成分、ケーブルの曲がりや周辺物体との結合は厳密には含まれない。25 MHz 付近ではこれらの影響が無視できない場合がある。</t>
        </is>
      </c>
      <c r="B139" s="228" t="n"/>
      <c r="C139" s="228" t="n"/>
      <c r="D139" s="228" t="n"/>
      <c r="E139" s="228" t="n"/>
      <c r="F139" s="228" t="n"/>
      <c r="G139" s="228" t="n"/>
      <c r="H139" s="228" t="n"/>
    </row>
    <row r="140">
      <c r="A140" s="228" t="n"/>
      <c r="H140" s="228" t="n"/>
    </row>
    <row r="141">
      <c r="A141" s="228" t="n"/>
      <c r="B141" s="228" t="n"/>
      <c r="C141" s="228" t="n"/>
      <c r="D141" s="228" t="n"/>
      <c r="E141" s="228" t="n"/>
      <c r="F141" s="228" t="n"/>
      <c r="G141" s="228" t="n"/>
      <c r="H141" s="228" t="n"/>
    </row>
    <row r="143">
      <c r="A143" s="235" t="inlineStr">
        <is>
          <t>20. 実測との突き合わせ</t>
        </is>
      </c>
      <c r="B143" s="228" t="n"/>
      <c r="C143" s="228" t="n"/>
      <c r="D143" s="228" t="n"/>
      <c r="E143" s="228" t="n"/>
      <c r="F143" s="228" t="n"/>
      <c r="G143" s="228" t="n"/>
      <c r="H143" s="228" t="n"/>
    </row>
    <row r="144">
      <c r="A144" s="236" t="inlineStr">
        <is>
          <t>『実測比較_差動』『実測比較_同相』に周波数、実測振幅、実測位相を貼り付ければ、モデル値との誤差を確認できる。実測とのずれが大きい場合は、入力・概要の黄色セルを調整して再度グラフを確認する。</t>
        </is>
      </c>
      <c r="B144" s="228" t="n"/>
      <c r="C144" s="228" t="n"/>
      <c r="D144" s="228" t="n"/>
      <c r="E144" s="228" t="n"/>
      <c r="F144" s="228" t="n"/>
      <c r="G144" s="228" t="n"/>
      <c r="H144" s="228" t="n"/>
    </row>
    <row r="145">
      <c r="A145" s="228" t="n"/>
      <c r="H145" s="228" t="n"/>
    </row>
    <row r="146">
      <c r="A146" s="228" t="n"/>
      <c r="B146" s="228" t="n"/>
      <c r="C146" s="228" t="n"/>
      <c r="D146" s="228" t="n"/>
      <c r="E146" s="228" t="n"/>
      <c r="F146" s="228" t="n"/>
      <c r="G146" s="228" t="n"/>
      <c r="H146" s="228" t="n"/>
    </row>
    <row r="148">
      <c r="A148" s="235" t="inlineStr">
        <is>
          <t>21. 数式とシート列の対応（差動モデル）</t>
        </is>
      </c>
      <c r="B148" s="228" t="n"/>
      <c r="C148" s="228" t="n"/>
      <c r="D148" s="228" t="n"/>
      <c r="E148" s="228" t="n"/>
      <c r="F148" s="228" t="n"/>
      <c r="G148" s="228" t="n"/>
      <c r="H148" s="228" t="n"/>
    </row>
    <row r="149">
      <c r="A149" s="236" t="inlineStr">
        <is>
          <t>『差動モデル』シートでは、B列=周波数 f、C列=ω=2πf、D列=減衰 A、E列=電気角 θ、F〜G列=tanh(γl) の実部・虚部、H〜I列=遠端負荷 ZL の実部・虚部、J〜M列=損失線路式の分子・分母を構成する中間量、N〜O列=線路変換後インピーダンス、P〜Q列=測定治具の直列成分加算後の最終実部・虚部、R列=|ZDM|、S列=位相、T列=log10(f)、U列=log10(|ZDM|) である。</t>
        </is>
      </c>
      <c r="B149" s="228" t="n"/>
      <c r="C149" s="228" t="n"/>
      <c r="D149" s="228" t="n"/>
      <c r="E149" s="228" t="n"/>
      <c r="F149" s="228" t="n"/>
      <c r="G149" s="228" t="n"/>
      <c r="H149" s="228" t="n"/>
    </row>
    <row r="150">
      <c r="A150" s="228" t="n"/>
      <c r="H150" s="228" t="n"/>
    </row>
    <row r="151">
      <c r="A151" s="228" t="n"/>
      <c r="H151" s="228" t="n"/>
    </row>
    <row r="152">
      <c r="A152" s="228" t="n"/>
      <c r="B152" s="228" t="n"/>
      <c r="C152" s="228" t="n"/>
      <c r="D152" s="228" t="n"/>
      <c r="E152" s="228" t="n"/>
      <c r="F152" s="228" t="n"/>
      <c r="G152" s="228" t="n"/>
      <c r="H152" s="228" t="n"/>
    </row>
    <row r="154">
      <c r="A154" s="235" t="inlineStr">
        <is>
          <t>22. 数式とシート列の対応（同相3導体）</t>
        </is>
      </c>
      <c r="B154" s="228" t="n"/>
      <c r="C154" s="228" t="n"/>
      <c r="D154" s="228" t="n"/>
      <c r="E154" s="228" t="n"/>
      <c r="F154" s="228" t="n"/>
      <c r="G154" s="228" t="n"/>
      <c r="H154" s="228" t="n"/>
    </row>
    <row r="155">
      <c r="A155" s="236" t="inlineStr">
        <is>
          <t>『同相3導体』シートでは、B列=周波数 f、C列=ω、D〜G列=内部モードの減衰 A1、電気角 θ1、tanh(γ1l) の実部・虚部、H〜K列=外部モードの減衰 A2、電気角 θ2、tanh(γ2l) の実部・虚部、L〜O列=各 10 µF コンデンサの複素インピーダンス、P〜Q列=並列合成負荷 ZC、R〜S列=外部モードから見込まれる Zext、T〜U列=内部モード実効負荷 ZL,eff、V〜Y列=内部モード損失線路式の分子・分母に相当する中間量、Z〜AA列=最終複素インピーダンスの実部・虚部、AB列=|ZCM|、AC列=位相、AD列=log10(f)、AE列=log10(|ZCM|)、AF列=|ZC|、AG列=|Zext| である。</t>
        </is>
      </c>
      <c r="B155" s="228" t="n"/>
      <c r="C155" s="228" t="n"/>
      <c r="D155" s="228" t="n"/>
      <c r="E155" s="228" t="n"/>
      <c r="F155" s="228" t="n"/>
      <c r="G155" s="228" t="n"/>
      <c r="H155" s="228" t="n"/>
    </row>
    <row r="156">
      <c r="A156" s="228" t="n"/>
      <c r="H156" s="228" t="n"/>
    </row>
    <row r="157">
      <c r="A157" s="228" t="n"/>
      <c r="H157" s="228" t="n"/>
    </row>
    <row r="158">
      <c r="A158" s="228" t="n"/>
      <c r="H158" s="228" t="n"/>
    </row>
    <row r="159">
      <c r="A159" s="228" t="n"/>
      <c r="B159" s="228" t="n"/>
      <c r="C159" s="228" t="n"/>
      <c r="D159" s="228" t="n"/>
      <c r="E159" s="228" t="n"/>
      <c r="F159" s="228" t="n"/>
      <c r="G159" s="228" t="n"/>
      <c r="H159" s="228" t="n"/>
    </row>
    <row r="161">
      <c r="A161" s="235" t="inlineStr">
        <is>
          <t>23. 入力セル対応表</t>
        </is>
      </c>
      <c r="B161" s="228" t="n"/>
      <c r="C161" s="228" t="n"/>
      <c r="D161" s="228" t="n"/>
      <c r="E161" s="228" t="n"/>
      <c r="F161" s="228" t="n"/>
      <c r="G161" s="228" t="n"/>
      <c r="H161" s="228" t="n"/>
    </row>
    <row r="162">
      <c r="A162" s="236" t="inlineStr">
        <is>
          <t>主な入力セルは次の通りである。『入力・概要』シート B12=内部モード C(P-S)、B13=内部モード速度係数、B14=外部モード実効比誘電率、B15=内部 tanδ、B16=外部 tanδ、B17=1芯導体抵抗、B18=シールド長手抵抗、B19=GND線導体抵抗、B20=内部追加損失、B21=外部追加損失、B24〜B29=10 µF コンデンサ2個の C/ESR/ESL、B30〜B37=差動モデルの Z0d、VFd、tanδ、追加損失、短絡 R/L、測定治具直列 R/L、B38〜B40=周波数掃引条件である。</t>
        </is>
      </c>
      <c r="B162" s="228" t="n"/>
      <c r="C162" s="228" t="n"/>
      <c r="D162" s="228" t="n"/>
      <c r="E162" s="228" t="n"/>
      <c r="F162" s="228" t="n"/>
      <c r="G162" s="228" t="n"/>
      <c r="H162" s="228" t="n"/>
    </row>
    <row r="163">
      <c r="A163" s="228" t="n"/>
      <c r="H163" s="228" t="n"/>
    </row>
    <row r="164">
      <c r="A164" s="228" t="n"/>
      <c r="H164" s="228" t="n"/>
    </row>
    <row r="165">
      <c r="A165" s="228" t="n"/>
      <c r="B165" s="228" t="n"/>
      <c r="C165" s="228" t="n"/>
      <c r="D165" s="228" t="n"/>
      <c r="E165" s="228" t="n"/>
      <c r="F165" s="228" t="n"/>
      <c r="G165" s="228" t="n"/>
      <c r="H165" s="228" t="n"/>
    </row>
    <row r="167">
      <c r="A167" s="235" t="inlineStr">
        <is>
          <t>24. 追跡手順の例</t>
        </is>
      </c>
      <c r="B167" s="228" t="n"/>
      <c r="C167" s="228" t="n"/>
      <c r="D167" s="228" t="n"/>
      <c r="E167" s="228" t="n"/>
      <c r="F167" s="228" t="n"/>
      <c r="G167" s="228" t="n"/>
      <c r="H167" s="228" t="n"/>
    </row>
    <row r="168">
      <c r="A168" s="236" t="inlineStr">
        <is>
          <t>例えば 1 MHz における同相インピーダンスを追う場合、『同相3導体』で 1 MHz 近傍の行を選び、まず H〜K 列で外部モードの tanh(γ2l) を確認し、R〜S 列で Zext を得る。次に L〜Q 列でコンデンサ並列負荷 ZC を確認し、T〜U 列で ZL,eff = ZC + Zext を得る。最後に V〜AA 列で内部モード線路式を通した入力インピーダンスを計算し、AB 列と AC 列で振幅・位相を読む。差動モードも同様に、H〜I 列の終端負荷から J〜Q 列の線路計算をたどって R, S 列を読む。</t>
        </is>
      </c>
      <c r="B168" s="228" t="n"/>
      <c r="C168" s="228" t="n"/>
      <c r="D168" s="228" t="n"/>
      <c r="E168" s="228" t="n"/>
      <c r="F168" s="228" t="n"/>
      <c r="G168" s="228" t="n"/>
      <c r="H168" s="228" t="n"/>
    </row>
    <row r="169">
      <c r="A169" s="228" t="n"/>
      <c r="H169" s="228" t="n"/>
    </row>
    <row r="170">
      <c r="A170" s="228" t="n"/>
      <c r="H170" s="228" t="n"/>
    </row>
    <row r="171">
      <c r="A171" s="228" t="n"/>
      <c r="B171" s="228" t="n"/>
      <c r="C171" s="228" t="n"/>
      <c r="D171" s="228" t="n"/>
      <c r="E171" s="228" t="n"/>
      <c r="F171" s="228" t="n"/>
      <c r="G171" s="228" t="n"/>
      <c r="H171" s="228" t="n"/>
    </row>
  </sheetData>
  <mergeCells count="49">
    <mergeCell ref="A143:H143"/>
    <mergeCell ref="A39:H39"/>
    <mergeCell ref="A149:H152"/>
    <mergeCell ref="A28:H30"/>
    <mergeCell ref="A148:H148"/>
    <mergeCell ref="A112:H116"/>
    <mergeCell ref="A168:H171"/>
    <mergeCell ref="A69:H78"/>
    <mergeCell ref="A60:H60"/>
    <mergeCell ref="A81:H89"/>
    <mergeCell ref="A155:H159"/>
    <mergeCell ref="A138:H138"/>
    <mergeCell ref="A167:H167"/>
    <mergeCell ref="A1:H1"/>
    <mergeCell ref="A9:H11"/>
    <mergeCell ref="A126:H129"/>
    <mergeCell ref="A132:H136"/>
    <mergeCell ref="A19:H25"/>
    <mergeCell ref="A80:H80"/>
    <mergeCell ref="A118:H118"/>
    <mergeCell ref="A119:H123"/>
    <mergeCell ref="A27:H27"/>
    <mergeCell ref="A54:H58"/>
    <mergeCell ref="A18:H18"/>
    <mergeCell ref="A92:H102"/>
    <mergeCell ref="A3:H3"/>
    <mergeCell ref="A154:H154"/>
    <mergeCell ref="A139:H141"/>
    <mergeCell ref="A104:H104"/>
    <mergeCell ref="A47:H47"/>
    <mergeCell ref="A32:H32"/>
    <mergeCell ref="A8:H8"/>
    <mergeCell ref="A40:H45"/>
    <mergeCell ref="A131:H131"/>
    <mergeCell ref="A105:H109"/>
    <mergeCell ref="A48:H51"/>
    <mergeCell ref="A144:H146"/>
    <mergeCell ref="A53:H53"/>
    <mergeCell ref="A91:H91"/>
    <mergeCell ref="A125:H125"/>
    <mergeCell ref="A162:H165"/>
    <mergeCell ref="A33:H37"/>
    <mergeCell ref="A161:H161"/>
    <mergeCell ref="A14:H16"/>
    <mergeCell ref="A13:H13"/>
    <mergeCell ref="A68:H68"/>
    <mergeCell ref="A111:H111"/>
    <mergeCell ref="A61:H66"/>
    <mergeCell ref="A4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selection activeCell="A1" sqref="A1"/>
    </sheetView>
  </sheetViews>
  <sheetFormatPr baseColWidth="8" defaultRowHeight="15"/>
  <cols>
    <col width="23" customWidth="1" style="165" min="1" max="1"/>
    <col width="24" customWidth="1" style="165" min="2" max="2"/>
    <col width="14" customWidth="1" style="165" min="3" max="3"/>
    <col width="42" customWidth="1" style="165" min="4" max="4"/>
    <col width="58" customWidth="1" style="165" min="5" max="5"/>
  </cols>
  <sheetData>
    <row r="1">
      <c r="A1" s="227" t="inlineStr">
        <is>
          <t>前提・代表値・出典</t>
        </is>
      </c>
      <c r="B1" s="228" t="n"/>
      <c r="C1" s="228" t="n"/>
      <c r="D1" s="228" t="n"/>
      <c r="E1" s="228" t="n"/>
      <c r="F1" s="228" t="n"/>
      <c r="G1" s="228" t="n"/>
      <c r="H1" s="228" t="n"/>
      <c r="I1" s="202" t="n"/>
      <c r="J1" s="202" t="n"/>
      <c r="K1" s="202" t="n"/>
      <c r="L1" s="202" t="n"/>
      <c r="M1" s="202" t="n"/>
      <c r="N1" s="202" t="n"/>
      <c r="O1" s="202" t="n"/>
      <c r="P1" s="202" t="n"/>
      <c r="Q1" s="202" t="n"/>
      <c r="R1" s="202" t="n"/>
      <c r="S1" s="202" t="n"/>
      <c r="T1" s="202" t="n"/>
      <c r="U1" s="202" t="n"/>
      <c r="V1" s="202" t="n"/>
      <c r="W1" s="202" t="n"/>
      <c r="X1" s="202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</row>
    <row r="2">
      <c r="A2" s="202" t="n"/>
      <c r="B2" s="202" t="n"/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  <c r="N2" s="202" t="n"/>
      <c r="O2" s="202" t="n"/>
      <c r="P2" s="202" t="n"/>
      <c r="Q2" s="202" t="n"/>
      <c r="R2" s="202" t="n"/>
      <c r="S2" s="202" t="n"/>
      <c r="T2" s="202" t="n"/>
      <c r="U2" s="202" t="n"/>
      <c r="V2" s="202" t="n"/>
      <c r="W2" s="202" t="n"/>
      <c r="X2" s="202" t="n"/>
      <c r="Y2" s="202" t="n"/>
      <c r="Z2" s="202" t="n"/>
      <c r="AA2" s="202" t="n"/>
      <c r="AB2" s="202" t="n"/>
      <c r="AC2" s="202" t="n"/>
      <c r="AD2" s="202" t="n"/>
      <c r="AE2" s="202" t="n"/>
      <c r="AF2" s="202" t="n"/>
      <c r="AG2" s="202" t="n"/>
    </row>
    <row r="3">
      <c r="A3" s="211" t="inlineStr">
        <is>
          <t>項目</t>
        </is>
      </c>
      <c r="B3" s="211" t="inlineStr">
        <is>
          <t>初期値</t>
        </is>
      </c>
      <c r="C3" s="211" t="inlineStr">
        <is>
          <t>区分</t>
        </is>
      </c>
      <c r="D3" s="211" t="inlineStr">
        <is>
          <t>説明</t>
        </is>
      </c>
      <c r="E3" s="211" t="inlineStr">
        <is>
          <t>出典URL</t>
        </is>
      </c>
      <c r="F3" s="202" t="n"/>
      <c r="G3" s="202" t="n"/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2" t="n"/>
      <c r="U3" s="202" t="n"/>
      <c r="V3" s="202" t="n"/>
      <c r="W3" s="202" t="n"/>
      <c r="X3" s="202" t="n"/>
      <c r="Y3" s="202" t="n"/>
      <c r="Z3" s="202" t="n"/>
      <c r="AA3" s="202" t="n"/>
      <c r="AB3" s="202" t="n"/>
      <c r="AC3" s="202" t="n"/>
      <c r="AD3" s="202" t="n"/>
      <c r="AE3" s="202" t="n"/>
      <c r="AF3" s="202" t="n"/>
      <c r="AG3" s="202" t="n"/>
    </row>
    <row r="4" ht="40" customHeight="1" s="165">
      <c r="A4" s="216" t="inlineStr">
        <is>
          <t>MVVS 0.5sq×2芯</t>
        </is>
      </c>
      <c r="B4" s="216" t="inlineStr">
        <is>
          <t>芯外径1.9 mm、シールド外径約4.3 mm、仕上外径約6.2 mm</t>
        </is>
      </c>
      <c r="C4" s="216" t="inlineStr">
        <is>
          <t>メーカー仕様</t>
        </is>
      </c>
      <c r="D4" s="216" t="inlineStr">
        <is>
          <t>富士電線工業 MVVS仕様書</t>
        </is>
      </c>
      <c r="E4" s="216" t="inlineStr">
        <is>
          <t>https://www.fujiewc.co.jp/wp-content/uploads/2025/02/92-217.pdf</t>
        </is>
      </c>
      <c r="F4" s="202" t="n"/>
      <c r="G4" s="202" t="n"/>
      <c r="H4" s="202" t="n"/>
      <c r="I4" s="202" t="n"/>
      <c r="J4" s="202" t="n"/>
      <c r="K4" s="202" t="n"/>
      <c r="L4" s="202" t="n"/>
      <c r="M4" s="202" t="n"/>
      <c r="N4" s="202" t="n"/>
      <c r="O4" s="202" t="n"/>
      <c r="P4" s="202" t="n"/>
      <c r="Q4" s="202" t="n"/>
      <c r="R4" s="202" t="n"/>
      <c r="S4" s="202" t="n"/>
      <c r="T4" s="202" t="n"/>
      <c r="U4" s="202" t="n"/>
      <c r="V4" s="202" t="n"/>
      <c r="W4" s="202" t="n"/>
      <c r="X4" s="202" t="n"/>
      <c r="Y4" s="202" t="n"/>
      <c r="Z4" s="202" t="n"/>
      <c r="AA4" s="202" t="n"/>
      <c r="AB4" s="202" t="n"/>
      <c r="AC4" s="202" t="n"/>
      <c r="AD4" s="202" t="n"/>
      <c r="AE4" s="202" t="n"/>
      <c r="AF4" s="202" t="n"/>
      <c r="AG4" s="202" t="n"/>
    </row>
    <row r="5" ht="40" customHeight="1" s="165">
      <c r="A5" s="216" t="inlineStr">
        <is>
          <t>UL1007 AWG20</t>
        </is>
      </c>
      <c r="B5" s="216" t="inlineStr">
        <is>
          <t>導体外径0.95 mm、絶縁標準厚0.41 mm、仕上外径約1.8 mm</t>
        </is>
      </c>
      <c r="C5" s="216" t="inlineStr">
        <is>
          <t>メーカー資料</t>
        </is>
      </c>
      <c r="D5" s="216" t="inlineStr">
        <is>
          <t>協和ハーモネット Vol.4</t>
        </is>
      </c>
      <c r="E5" s="216" t="inlineStr">
        <is>
          <t>https://www.harmonet.co.jp/PDF/KYOWAcatalog-vol04.pdf</t>
        </is>
      </c>
      <c r="F5" s="202" t="n"/>
      <c r="G5" s="202" t="n"/>
      <c r="H5" s="202" t="n"/>
      <c r="I5" s="202" t="n"/>
      <c r="J5" s="202" t="n"/>
      <c r="K5" s="202" t="n"/>
      <c r="L5" s="202" t="n"/>
      <c r="M5" s="202" t="n"/>
      <c r="N5" s="202" t="n"/>
      <c r="O5" s="202" t="n"/>
      <c r="P5" s="202" t="n"/>
      <c r="Q5" s="202" t="n"/>
      <c r="R5" s="202" t="n"/>
      <c r="S5" s="202" t="n"/>
      <c r="T5" s="202" t="n"/>
      <c r="U5" s="202" t="n"/>
      <c r="V5" s="202" t="n"/>
      <c r="W5" s="202" t="n"/>
      <c r="X5" s="202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</row>
    <row r="6" ht="40" customHeight="1" s="165">
      <c r="A6" s="216" t="inlineStr">
        <is>
          <t>内部C(P-S)</t>
        </is>
      </c>
      <c r="B6" s="216" t="inlineStr">
        <is>
          <t>200 pF/m</t>
        </is>
      </c>
      <c r="C6" s="216" t="inlineStr">
        <is>
          <t>代表仮定</t>
        </is>
      </c>
      <c r="D6" s="216" t="inlineStr">
        <is>
          <t>2芯を一括したときのシールド間容量。実測後に更新推奨</t>
        </is>
      </c>
      <c r="E6" s="216" t="str"/>
      <c r="F6" s="202" t="n"/>
      <c r="G6" s="202" t="n"/>
      <c r="H6" s="202" t="n"/>
      <c r="I6" s="202" t="n"/>
      <c r="J6" s="202" t="n"/>
      <c r="K6" s="202" t="n"/>
      <c r="L6" s="202" t="n"/>
      <c r="M6" s="202" t="n"/>
      <c r="N6" s="202" t="n"/>
      <c r="O6" s="202" t="n"/>
      <c r="P6" s="202" t="n"/>
      <c r="Q6" s="202" t="n"/>
      <c r="R6" s="202" t="n"/>
      <c r="S6" s="202" t="n"/>
      <c r="T6" s="202" t="n"/>
      <c r="U6" s="202" t="n"/>
      <c r="V6" s="202" t="n"/>
      <c r="W6" s="202" t="n"/>
      <c r="X6" s="202" t="n"/>
      <c r="Y6" s="202" t="n"/>
      <c r="Z6" s="202" t="n"/>
      <c r="AA6" s="202" t="n"/>
      <c r="AB6" s="202" t="n"/>
      <c r="AC6" s="202" t="n"/>
      <c r="AD6" s="202" t="n"/>
      <c r="AE6" s="202" t="n"/>
      <c r="AF6" s="202" t="n"/>
      <c r="AG6" s="202" t="n"/>
    </row>
    <row r="7" ht="40" customHeight="1" s="165">
      <c r="A7" s="216" t="inlineStr">
        <is>
          <t>内部VF</t>
        </is>
      </c>
      <c r="B7" s="216" t="inlineStr">
        <is>
          <t>0.62</t>
        </is>
      </c>
      <c r="C7" s="216" t="inlineStr">
        <is>
          <t>代表仮定</t>
        </is>
      </c>
      <c r="D7" s="216" t="inlineStr">
        <is>
          <t>PVC内部モードの代表値</t>
        </is>
      </c>
      <c r="E7" s="216" t="str"/>
      <c r="F7" s="202" t="n"/>
      <c r="G7" s="202" t="n"/>
      <c r="H7" s="202" t="n"/>
      <c r="I7" s="202" t="n"/>
      <c r="J7" s="202" t="n"/>
      <c r="K7" s="202" t="n"/>
      <c r="L7" s="202" t="n"/>
      <c r="M7" s="202" t="n"/>
      <c r="N7" s="202" t="n"/>
      <c r="O7" s="202" t="n"/>
      <c r="P7" s="202" t="n"/>
      <c r="Q7" s="202" t="n"/>
      <c r="R7" s="202" t="n"/>
      <c r="S7" s="202" t="n"/>
      <c r="T7" s="202" t="n"/>
      <c r="U7" s="202" t="n"/>
      <c r="V7" s="202" t="n"/>
      <c r="W7" s="202" t="n"/>
      <c r="X7" s="202" t="n"/>
      <c r="Y7" s="202" t="n"/>
      <c r="Z7" s="202" t="n"/>
      <c r="AA7" s="202" t="n"/>
      <c r="AB7" s="202" t="n"/>
      <c r="AC7" s="202" t="n"/>
      <c r="AD7" s="202" t="n"/>
      <c r="AE7" s="202" t="n"/>
      <c r="AF7" s="202" t="n"/>
      <c r="AG7" s="202" t="n"/>
    </row>
    <row r="8" ht="40" customHeight="1" s="165">
      <c r="A8" s="216" t="inlineStr">
        <is>
          <t>外部εeff</t>
        </is>
      </c>
      <c r="B8" s="216" t="inlineStr">
        <is>
          <t>2.2</t>
        </is>
      </c>
      <c r="C8" s="216" t="inlineStr">
        <is>
          <t>代表仮定</t>
        </is>
      </c>
      <c r="D8" s="216" t="inlineStr">
        <is>
          <t>PVC被覆と空気が混在する外部電界の実効値</t>
        </is>
      </c>
      <c r="E8" s="216" t="str"/>
      <c r="F8" s="202" t="n"/>
      <c r="G8" s="202" t="n"/>
      <c r="H8" s="202" t="n"/>
      <c r="I8" s="202" t="n"/>
      <c r="J8" s="202" t="n"/>
      <c r="K8" s="202" t="n"/>
      <c r="L8" s="202" t="n"/>
      <c r="M8" s="202" t="n"/>
      <c r="N8" s="202" t="n"/>
      <c r="O8" s="202" t="n"/>
      <c r="P8" s="202" t="n"/>
      <c r="Q8" s="202" t="n"/>
      <c r="R8" s="202" t="n"/>
      <c r="S8" s="202" t="n"/>
      <c r="T8" s="202" t="n"/>
      <c r="U8" s="202" t="n"/>
      <c r="V8" s="202" t="n"/>
      <c r="W8" s="202" t="n"/>
      <c r="X8" s="202" t="n"/>
      <c r="Y8" s="202" t="n"/>
      <c r="Z8" s="202" t="n"/>
      <c r="AA8" s="202" t="n"/>
      <c r="AB8" s="202" t="n"/>
      <c r="AC8" s="202" t="n"/>
      <c r="AD8" s="202" t="n"/>
      <c r="AE8" s="202" t="n"/>
      <c r="AF8" s="202" t="n"/>
      <c r="AG8" s="202" t="n"/>
    </row>
    <row r="9" ht="40" customHeight="1" s="165">
      <c r="A9" s="216" t="inlineStr">
        <is>
          <t>tanδ</t>
        </is>
      </c>
      <c r="B9" s="216" t="inlineStr">
        <is>
          <t>内部0.03、外部0.02</t>
        </is>
      </c>
      <c r="C9" s="216" t="inlineStr">
        <is>
          <t>代表仮定</t>
        </is>
      </c>
      <c r="D9" s="216" t="inlineStr">
        <is>
          <t>MHz帯PVCの損失を表す調整値</t>
        </is>
      </c>
      <c r="E9" s="216" t="str"/>
      <c r="F9" s="202" t="n"/>
      <c r="G9" s="202" t="n"/>
      <c r="H9" s="202" t="n"/>
      <c r="I9" s="202" t="n"/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202" t="n"/>
      <c r="AF9" s="202" t="n"/>
      <c r="AG9" s="202" t="n"/>
    </row>
    <row r="10" ht="40" customHeight="1" s="165">
      <c r="A10" s="216" t="inlineStr">
        <is>
          <t>シールド抵抗</t>
        </is>
      </c>
      <c r="B10" s="216" t="inlineStr">
        <is>
          <t>0.025 Ω/m</t>
        </is>
      </c>
      <c r="C10" s="216" t="inlineStr">
        <is>
          <t>代表仮定</t>
        </is>
      </c>
      <c r="D10" s="216" t="inlineStr">
        <is>
          <t>編組の長手方向抵抗。実測後に更新推奨</t>
        </is>
      </c>
      <c r="E10" s="216" t="str"/>
      <c r="F10" s="202" t="n"/>
      <c r="G10" s="202" t="n"/>
      <c r="H10" s="202" t="n"/>
      <c r="I10" s="202" t="n"/>
      <c r="J10" s="202" t="n"/>
      <c r="K10" s="202" t="n"/>
      <c r="L10" s="202" t="n"/>
      <c r="M10" s="202" t="n"/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202" t="n"/>
      <c r="AF10" s="202" t="n"/>
      <c r="AG10" s="202" t="n"/>
    </row>
    <row r="11" ht="40" customHeight="1" s="165">
      <c r="A11" s="216" t="inlineStr">
        <is>
          <t>GND線抵抗</t>
        </is>
      </c>
      <c r="B11" s="216" t="inlineStr">
        <is>
          <t>0.035 Ω/m</t>
        </is>
      </c>
      <c r="C11" s="216" t="inlineStr">
        <is>
          <t>代表仮定</t>
        </is>
      </c>
      <c r="D11" s="216" t="inlineStr">
        <is>
          <t>AWG20の一般的な値</t>
        </is>
      </c>
      <c r="E11" s="216" t="str"/>
      <c r="F11" s="202" t="n"/>
      <c r="G11" s="202" t="n"/>
      <c r="H11" s="202" t="n"/>
      <c r="I11" s="202" t="n"/>
      <c r="J11" s="202" t="n"/>
      <c r="K11" s="202" t="n"/>
      <c r="L11" s="202" t="n"/>
      <c r="M11" s="202" t="n"/>
      <c r="N11" s="202" t="n"/>
      <c r="O11" s="202" t="n"/>
      <c r="P11" s="202" t="n"/>
      <c r="Q11" s="202" t="n"/>
      <c r="R11" s="202" t="n"/>
      <c r="S11" s="202" t="n"/>
      <c r="T11" s="202" t="n"/>
      <c r="U11" s="202" t="n"/>
      <c r="V11" s="202" t="n"/>
      <c r="W11" s="202" t="n"/>
      <c r="X11" s="202" t="n"/>
      <c r="Y11" s="202" t="n"/>
      <c r="Z11" s="202" t="n"/>
      <c r="AA11" s="202" t="n"/>
      <c r="AB11" s="202" t="n"/>
      <c r="AC11" s="202" t="n"/>
      <c r="AD11" s="202" t="n"/>
      <c r="AE11" s="202" t="n"/>
      <c r="AF11" s="202" t="n"/>
      <c r="AG11" s="202" t="n"/>
    </row>
    <row r="12">
      <c r="A12" s="202" t="n"/>
      <c r="B12" s="202" t="n"/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2" t="n"/>
      <c r="L12" s="202" t="n"/>
      <c r="M12" s="202" t="n"/>
      <c r="N12" s="202" t="n"/>
      <c r="O12" s="202" t="n"/>
      <c r="P12" s="202" t="n"/>
      <c r="Q12" s="202" t="n"/>
      <c r="R12" s="202" t="n"/>
      <c r="S12" s="202" t="n"/>
      <c r="T12" s="202" t="n"/>
      <c r="U12" s="202" t="n"/>
      <c r="V12" s="202" t="n"/>
      <c r="W12" s="202" t="n"/>
      <c r="X12" s="202" t="n"/>
      <c r="Y12" s="202" t="n"/>
      <c r="Z12" s="202" t="n"/>
      <c r="AA12" s="202" t="n"/>
      <c r="AB12" s="202" t="n"/>
      <c r="AC12" s="202" t="n"/>
      <c r="AD12" s="202" t="n"/>
      <c r="AE12" s="202" t="n"/>
      <c r="AF12" s="202" t="n"/>
      <c r="AG12" s="202" t="n"/>
    </row>
    <row r="13">
      <c r="A13" s="202" t="n"/>
      <c r="B13" s="202" t="n"/>
      <c r="C13" s="202" t="n"/>
      <c r="D13" s="202" t="n"/>
      <c r="E13" s="202" t="n"/>
      <c r="F13" s="202" t="n"/>
      <c r="G13" s="202" t="n"/>
      <c r="H13" s="202" t="n"/>
      <c r="I13" s="202" t="n"/>
      <c r="J13" s="202" t="n"/>
      <c r="K13" s="202" t="n"/>
      <c r="L13" s="202" t="n"/>
      <c r="M13" s="202" t="n"/>
      <c r="N13" s="202" t="n"/>
      <c r="O13" s="202" t="n"/>
      <c r="P13" s="202" t="n"/>
      <c r="Q13" s="202" t="n"/>
      <c r="R13" s="202" t="n"/>
      <c r="S13" s="202" t="n"/>
      <c r="T13" s="202" t="n"/>
      <c r="U13" s="202" t="n"/>
      <c r="V13" s="202" t="n"/>
      <c r="W13" s="202" t="n"/>
      <c r="X13" s="202" t="n"/>
      <c r="Y13" s="202" t="n"/>
      <c r="Z13" s="202" t="n"/>
      <c r="AA13" s="202" t="n"/>
      <c r="AB13" s="202" t="n"/>
      <c r="AC13" s="202" t="n"/>
      <c r="AD13" s="202" t="n"/>
      <c r="AE13" s="202" t="n"/>
      <c r="AF13" s="202" t="n"/>
      <c r="AG13" s="202" t="n"/>
    </row>
    <row r="14">
      <c r="A14" s="229" t="inlineStr">
        <is>
          <t>モデルの適用範囲：理想的に閉じたシールドを仮定し、P-S内部モードとS-G外部モードは線路途中では独立です。近端・遠端の境界条件を通して両モードが結合します。MVVSは編組シールドのため、実物では開口による直接P-G結合、移送インピーダンス、GND線との配置ばらつきが存在します。初期解析には有効ですが、25 MHzまでの定量精度には容量・抵抗・共振周波数の実測による更新が必要です。</t>
        </is>
      </c>
      <c r="B14" s="228" t="n"/>
      <c r="C14" s="228" t="n"/>
      <c r="D14" s="228" t="n"/>
      <c r="E14" s="228" t="n"/>
      <c r="F14" s="228" t="n"/>
      <c r="G14" s="228" t="n"/>
      <c r="H14" s="228" t="n"/>
      <c r="I14" s="202" t="n"/>
      <c r="J14" s="202" t="n"/>
      <c r="K14" s="202" t="n"/>
      <c r="L14" s="202" t="n"/>
      <c r="M14" s="202" t="n"/>
      <c r="N14" s="202" t="n"/>
      <c r="O14" s="202" t="n"/>
      <c r="P14" s="202" t="n"/>
      <c r="Q14" s="202" t="n"/>
      <c r="R14" s="202" t="n"/>
      <c r="S14" s="202" t="n"/>
      <c r="T14" s="202" t="n"/>
      <c r="U14" s="202" t="n"/>
      <c r="V14" s="202" t="n"/>
      <c r="W14" s="202" t="n"/>
      <c r="X14" s="202" t="n"/>
      <c r="Y14" s="202" t="n"/>
      <c r="Z14" s="202" t="n"/>
      <c r="AA14" s="202" t="n"/>
      <c r="AB14" s="202" t="n"/>
      <c r="AC14" s="202" t="n"/>
      <c r="AD14" s="202" t="n"/>
      <c r="AE14" s="202" t="n"/>
      <c r="AF14" s="202" t="n"/>
      <c r="AG14" s="202" t="n"/>
    </row>
    <row r="15">
      <c r="A15" s="228" t="n"/>
      <c r="H15" s="228" t="n"/>
      <c r="I15" s="202" t="n"/>
      <c r="J15" s="202" t="n"/>
      <c r="K15" s="202" t="n"/>
      <c r="L15" s="202" t="n"/>
      <c r="M15" s="202" t="n"/>
      <c r="N15" s="202" t="n"/>
      <c r="O15" s="202" t="n"/>
      <c r="P15" s="202" t="n"/>
      <c r="Q15" s="202" t="n"/>
      <c r="R15" s="202" t="n"/>
      <c r="S15" s="202" t="n"/>
      <c r="T15" s="202" t="n"/>
      <c r="U15" s="202" t="n"/>
      <c r="V15" s="202" t="n"/>
      <c r="W15" s="202" t="n"/>
      <c r="X15" s="202" t="n"/>
      <c r="Y15" s="202" t="n"/>
      <c r="Z15" s="202" t="n"/>
      <c r="AA15" s="202" t="n"/>
      <c r="AB15" s="202" t="n"/>
      <c r="AC15" s="202" t="n"/>
      <c r="AD15" s="202" t="n"/>
      <c r="AE15" s="202" t="n"/>
      <c r="AF15" s="202" t="n"/>
      <c r="AG15" s="202" t="n"/>
    </row>
    <row r="16">
      <c r="A16" s="228" t="n"/>
      <c r="H16" s="228" t="n"/>
      <c r="I16" s="202" t="n"/>
      <c r="J16" s="202" t="n"/>
      <c r="K16" s="202" t="n"/>
      <c r="L16" s="202" t="n"/>
      <c r="M16" s="202" t="n"/>
      <c r="N16" s="202" t="n"/>
      <c r="O16" s="202" t="n"/>
      <c r="P16" s="202" t="n"/>
      <c r="Q16" s="202" t="n"/>
      <c r="R16" s="202" t="n"/>
      <c r="S16" s="202" t="n"/>
      <c r="T16" s="202" t="n"/>
      <c r="U16" s="202" t="n"/>
      <c r="V16" s="202" t="n"/>
      <c r="W16" s="202" t="n"/>
      <c r="X16" s="202" t="n"/>
      <c r="Y16" s="202" t="n"/>
      <c r="Z16" s="202" t="n"/>
      <c r="AA16" s="202" t="n"/>
      <c r="AB16" s="202" t="n"/>
      <c r="AC16" s="202" t="n"/>
      <c r="AD16" s="202" t="n"/>
      <c r="AE16" s="202" t="n"/>
      <c r="AF16" s="202" t="n"/>
      <c r="AG16" s="202" t="n"/>
    </row>
    <row r="17">
      <c r="A17" s="228" t="n"/>
      <c r="H17" s="228" t="n"/>
      <c r="I17" s="202" t="n"/>
      <c r="J17" s="202" t="n"/>
      <c r="K17" s="202" t="n"/>
      <c r="L17" s="202" t="n"/>
      <c r="M17" s="202" t="n"/>
      <c r="N17" s="202" t="n"/>
      <c r="O17" s="202" t="n"/>
      <c r="P17" s="202" t="n"/>
      <c r="Q17" s="202" t="n"/>
      <c r="R17" s="202" t="n"/>
      <c r="S17" s="202" t="n"/>
      <c r="T17" s="202" t="n"/>
      <c r="U17" s="202" t="n"/>
      <c r="V17" s="202" t="n"/>
      <c r="W17" s="202" t="n"/>
      <c r="X17" s="202" t="n"/>
      <c r="Y17" s="202" t="n"/>
      <c r="Z17" s="202" t="n"/>
      <c r="AA17" s="202" t="n"/>
      <c r="AB17" s="202" t="n"/>
      <c r="AC17" s="202" t="n"/>
      <c r="AD17" s="202" t="n"/>
      <c r="AE17" s="202" t="n"/>
      <c r="AF17" s="202" t="n"/>
      <c r="AG17" s="202" t="n"/>
    </row>
    <row r="18">
      <c r="A18" s="228" t="n"/>
      <c r="H18" s="228" t="n"/>
      <c r="I18" s="202" t="n"/>
      <c r="J18" s="202" t="n"/>
      <c r="K18" s="202" t="n"/>
      <c r="L18" s="202" t="n"/>
      <c r="M18" s="202" t="n"/>
      <c r="N18" s="202" t="n"/>
      <c r="O18" s="202" t="n"/>
      <c r="P18" s="202" t="n"/>
      <c r="Q18" s="202" t="n"/>
      <c r="R18" s="202" t="n"/>
      <c r="S18" s="202" t="n"/>
      <c r="T18" s="202" t="n"/>
      <c r="U18" s="202" t="n"/>
      <c r="V18" s="202" t="n"/>
      <c r="W18" s="202" t="n"/>
      <c r="X18" s="202" t="n"/>
      <c r="Y18" s="202" t="n"/>
      <c r="Z18" s="202" t="n"/>
      <c r="AA18" s="202" t="n"/>
      <c r="AB18" s="202" t="n"/>
      <c r="AC18" s="202" t="n"/>
      <c r="AD18" s="202" t="n"/>
      <c r="AE18" s="202" t="n"/>
      <c r="AF18" s="202" t="n"/>
      <c r="AG18" s="202" t="n"/>
    </row>
    <row r="19">
      <c r="A19" s="228" t="n"/>
      <c r="H19" s="228" t="n"/>
      <c r="I19" s="202" t="n"/>
      <c r="J19" s="202" t="n"/>
      <c r="K19" s="202" t="n"/>
      <c r="L19" s="202" t="n"/>
      <c r="M19" s="202" t="n"/>
      <c r="N19" s="202" t="n"/>
      <c r="O19" s="202" t="n"/>
      <c r="P19" s="202" t="n"/>
      <c r="Q19" s="202" t="n"/>
      <c r="R19" s="202" t="n"/>
      <c r="S19" s="202" t="n"/>
      <c r="T19" s="202" t="n"/>
      <c r="U19" s="202" t="n"/>
      <c r="V19" s="202" t="n"/>
      <c r="W19" s="202" t="n"/>
      <c r="X19" s="202" t="n"/>
      <c r="Y19" s="202" t="n"/>
      <c r="Z19" s="202" t="n"/>
      <c r="AA19" s="202" t="n"/>
      <c r="AB19" s="202" t="n"/>
      <c r="AC19" s="202" t="n"/>
      <c r="AD19" s="202" t="n"/>
      <c r="AE19" s="202" t="n"/>
      <c r="AF19" s="202" t="n"/>
      <c r="AG19" s="202" t="n"/>
    </row>
    <row r="20">
      <c r="A20" s="228" t="n"/>
      <c r="B20" s="228" t="n"/>
      <c r="C20" s="228" t="n"/>
      <c r="D20" s="228" t="n"/>
      <c r="E20" s="228" t="n"/>
      <c r="F20" s="228" t="n"/>
      <c r="G20" s="228" t="n"/>
      <c r="H20" s="228" t="n"/>
      <c r="I20" s="202" t="n"/>
      <c r="J20" s="202" t="n"/>
      <c r="K20" s="202" t="n"/>
      <c r="L20" s="202" t="n"/>
      <c r="M20" s="202" t="n"/>
      <c r="N20" s="202" t="n"/>
      <c r="O20" s="202" t="n"/>
      <c r="P20" s="202" t="n"/>
      <c r="Q20" s="202" t="n"/>
      <c r="R20" s="202" t="n"/>
      <c r="S20" s="202" t="n"/>
      <c r="T20" s="202" t="n"/>
      <c r="U20" s="202" t="n"/>
      <c r="V20" s="202" t="n"/>
      <c r="W20" s="202" t="n"/>
      <c r="X20" s="202" t="n"/>
      <c r="Y20" s="202" t="n"/>
      <c r="Z20" s="202" t="n"/>
      <c r="AA20" s="202" t="n"/>
      <c r="AB20" s="202" t="n"/>
      <c r="AC20" s="202" t="n"/>
      <c r="AD20" s="202" t="n"/>
      <c r="AE20" s="202" t="n"/>
      <c r="AF20" s="202" t="n"/>
      <c r="AG20" s="202" t="n"/>
    </row>
    <row r="21">
      <c r="A21" s="202" t="n"/>
      <c r="B21" s="202" t="n"/>
      <c r="C21" s="202" t="n"/>
      <c r="D21" s="202" t="n"/>
      <c r="E21" s="202" t="n"/>
      <c r="F21" s="202" t="n"/>
      <c r="G21" s="202" t="n"/>
      <c r="H21" s="202" t="n"/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2" t="n"/>
      <c r="S21" s="202" t="n"/>
      <c r="T21" s="202" t="n"/>
      <c r="U21" s="202" t="n"/>
      <c r="V21" s="202" t="n"/>
      <c r="W21" s="202" t="n"/>
      <c r="X21" s="202" t="n"/>
      <c r="Y21" s="202" t="n"/>
      <c r="Z21" s="202" t="n"/>
      <c r="AA21" s="202" t="n"/>
      <c r="AB21" s="202" t="n"/>
      <c r="AC21" s="202" t="n"/>
      <c r="AD21" s="202" t="n"/>
      <c r="AE21" s="202" t="n"/>
      <c r="AF21" s="202" t="n"/>
      <c r="AG21" s="202" t="n"/>
    </row>
    <row r="22">
      <c r="A22" s="202" t="n"/>
      <c r="B22" s="202" t="n"/>
      <c r="C22" s="202" t="n"/>
      <c r="D22" s="202" t="n"/>
      <c r="E22" s="202" t="n"/>
      <c r="F22" s="202" t="n"/>
      <c r="G22" s="202" t="n"/>
      <c r="H22" s="202" t="n"/>
      <c r="I22" s="202" t="n"/>
      <c r="J22" s="202" t="n"/>
      <c r="K22" s="202" t="n"/>
      <c r="L22" s="202" t="n"/>
      <c r="M22" s="202" t="n"/>
      <c r="N22" s="202" t="n"/>
      <c r="O22" s="202" t="n"/>
      <c r="P22" s="202" t="n"/>
      <c r="Q22" s="202" t="n"/>
      <c r="R22" s="202" t="n"/>
      <c r="S22" s="202" t="n"/>
      <c r="T22" s="202" t="n"/>
      <c r="U22" s="202" t="n"/>
      <c r="V22" s="202" t="n"/>
      <c r="W22" s="202" t="n"/>
      <c r="X22" s="202" t="n"/>
      <c r="Y22" s="202" t="n"/>
      <c r="Z22" s="202" t="n"/>
      <c r="AA22" s="202" t="n"/>
      <c r="AB22" s="202" t="n"/>
      <c r="AC22" s="202" t="n"/>
      <c r="AD22" s="202" t="n"/>
      <c r="AE22" s="202" t="n"/>
      <c r="AF22" s="202" t="n"/>
      <c r="AG22" s="202" t="n"/>
    </row>
    <row r="23">
      <c r="A23" s="202" t="n"/>
      <c r="B23" s="202" t="n"/>
      <c r="C23" s="202" t="n"/>
      <c r="D23" s="202" t="n"/>
      <c r="E23" s="202" t="n"/>
      <c r="F23" s="202" t="n"/>
      <c r="G23" s="202" t="n"/>
      <c r="H23" s="202" t="n"/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2" t="n"/>
      <c r="S23" s="202" t="n"/>
      <c r="T23" s="202" t="n"/>
      <c r="U23" s="202" t="n"/>
      <c r="V23" s="202" t="n"/>
      <c r="W23" s="202" t="n"/>
      <c r="X23" s="202" t="n"/>
      <c r="Y23" s="202" t="n"/>
      <c r="Z23" s="202" t="n"/>
      <c r="AA23" s="202" t="n"/>
      <c r="AB23" s="202" t="n"/>
      <c r="AC23" s="202" t="n"/>
      <c r="AD23" s="202" t="n"/>
      <c r="AE23" s="202" t="n"/>
      <c r="AF23" s="202" t="n"/>
      <c r="AG23" s="202" t="n"/>
    </row>
    <row r="24">
      <c r="A24" s="202" t="n"/>
      <c r="B24" s="202" t="n"/>
      <c r="C24" s="202" t="n"/>
      <c r="D24" s="202" t="n"/>
      <c r="E24" s="202" t="n"/>
      <c r="F24" s="202" t="n"/>
      <c r="G24" s="202" t="n"/>
      <c r="H24" s="202" t="n"/>
      <c r="I24" s="202" t="n"/>
      <c r="J24" s="202" t="n"/>
      <c r="K24" s="202" t="n"/>
      <c r="L24" s="202" t="n"/>
      <c r="M24" s="202" t="n"/>
      <c r="N24" s="202" t="n"/>
      <c r="O24" s="202" t="n"/>
      <c r="P24" s="202" t="n"/>
      <c r="Q24" s="202" t="n"/>
      <c r="R24" s="202" t="n"/>
      <c r="S24" s="202" t="n"/>
      <c r="T24" s="202" t="n"/>
      <c r="U24" s="202" t="n"/>
      <c r="V24" s="202" t="n"/>
      <c r="W24" s="202" t="n"/>
      <c r="X24" s="202" t="n"/>
      <c r="Y24" s="202" t="n"/>
      <c r="Z24" s="202" t="n"/>
      <c r="AA24" s="202" t="n"/>
      <c r="AB24" s="202" t="n"/>
      <c r="AC24" s="202" t="n"/>
      <c r="AD24" s="202" t="n"/>
      <c r="AE24" s="202" t="n"/>
      <c r="AF24" s="202" t="n"/>
      <c r="AG24" s="202" t="n"/>
    </row>
    <row r="25">
      <c r="A25" s="202" t="n"/>
      <c r="B25" s="202" t="n"/>
      <c r="C25" s="202" t="n"/>
      <c r="D25" s="202" t="n"/>
      <c r="E25" s="202" t="n"/>
      <c r="F25" s="202" t="n"/>
      <c r="G25" s="202" t="n"/>
      <c r="H25" s="202" t="n"/>
      <c r="I25" s="202" t="n"/>
      <c r="J25" s="202" t="n"/>
      <c r="K25" s="202" t="n"/>
      <c r="L25" s="202" t="n"/>
      <c r="M25" s="202" t="n"/>
      <c r="N25" s="202" t="n"/>
      <c r="O25" s="202" t="n"/>
      <c r="P25" s="202" t="n"/>
      <c r="Q25" s="202" t="n"/>
      <c r="R25" s="202" t="n"/>
      <c r="S25" s="202" t="n"/>
      <c r="T25" s="202" t="n"/>
      <c r="U25" s="202" t="n"/>
      <c r="V25" s="202" t="n"/>
      <c r="W25" s="202" t="n"/>
      <c r="X25" s="202" t="n"/>
      <c r="Y25" s="202" t="n"/>
      <c r="Z25" s="202" t="n"/>
      <c r="AA25" s="202" t="n"/>
      <c r="AB25" s="202" t="n"/>
      <c r="AC25" s="202" t="n"/>
      <c r="AD25" s="202" t="n"/>
      <c r="AE25" s="202" t="n"/>
      <c r="AF25" s="202" t="n"/>
      <c r="AG25" s="202" t="n"/>
    </row>
    <row r="26">
      <c r="A26" s="202" t="n"/>
      <c r="B26" s="202" t="n"/>
      <c r="C26" s="202" t="n"/>
      <c r="D26" s="202" t="n"/>
      <c r="E26" s="202" t="n"/>
      <c r="F26" s="202" t="n"/>
      <c r="G26" s="202" t="n"/>
      <c r="H26" s="202" t="n"/>
      <c r="I26" s="202" t="n"/>
      <c r="J26" s="202" t="n"/>
      <c r="K26" s="202" t="n"/>
      <c r="L26" s="202" t="n"/>
      <c r="M26" s="202" t="n"/>
      <c r="N26" s="202" t="n"/>
      <c r="O26" s="202" t="n"/>
      <c r="P26" s="202" t="n"/>
      <c r="Q26" s="202" t="n"/>
      <c r="R26" s="202" t="n"/>
      <c r="S26" s="202" t="n"/>
      <c r="T26" s="202" t="n"/>
      <c r="U26" s="202" t="n"/>
      <c r="V26" s="202" t="n"/>
      <c r="W26" s="202" t="n"/>
      <c r="X26" s="202" t="n"/>
      <c r="Y26" s="202" t="n"/>
      <c r="Z26" s="202" t="n"/>
      <c r="AA26" s="202" t="n"/>
      <c r="AB26" s="202" t="n"/>
      <c r="AC26" s="202" t="n"/>
      <c r="AD26" s="202" t="n"/>
      <c r="AE26" s="202" t="n"/>
      <c r="AF26" s="202" t="n"/>
      <c r="AG26" s="202" t="n"/>
    </row>
    <row r="27">
      <c r="A27" s="202" t="n"/>
      <c r="B27" s="202" t="n"/>
      <c r="C27" s="202" t="n"/>
      <c r="D27" s="202" t="n"/>
      <c r="E27" s="202" t="n"/>
      <c r="F27" s="202" t="n"/>
      <c r="G27" s="202" t="n"/>
      <c r="H27" s="202" t="n"/>
      <c r="I27" s="202" t="n"/>
      <c r="J27" s="202" t="n"/>
      <c r="K27" s="202" t="n"/>
      <c r="L27" s="202" t="n"/>
      <c r="M27" s="202" t="n"/>
      <c r="N27" s="202" t="n"/>
      <c r="O27" s="202" t="n"/>
      <c r="P27" s="202" t="n"/>
      <c r="Q27" s="202" t="n"/>
      <c r="R27" s="202" t="n"/>
      <c r="S27" s="202" t="n"/>
      <c r="T27" s="202" t="n"/>
      <c r="U27" s="202" t="n"/>
      <c r="V27" s="202" t="n"/>
      <c r="W27" s="202" t="n"/>
      <c r="X27" s="202" t="n"/>
      <c r="Y27" s="202" t="n"/>
      <c r="Z27" s="202" t="n"/>
      <c r="AA27" s="202" t="n"/>
      <c r="AB27" s="202" t="n"/>
      <c r="AC27" s="202" t="n"/>
      <c r="AD27" s="202" t="n"/>
      <c r="AE27" s="202" t="n"/>
      <c r="AF27" s="202" t="n"/>
      <c r="AG27" s="202" t="n"/>
    </row>
    <row r="28">
      <c r="A28" s="202" t="n"/>
      <c r="B28" s="202" t="n"/>
      <c r="C28" s="202" t="n"/>
      <c r="D28" s="202" t="n"/>
      <c r="E28" s="202" t="n"/>
      <c r="F28" s="202" t="n"/>
      <c r="G28" s="202" t="n"/>
      <c r="H28" s="202" t="n"/>
      <c r="I28" s="202" t="n"/>
      <c r="J28" s="202" t="n"/>
      <c r="K28" s="202" t="n"/>
      <c r="L28" s="202" t="n"/>
      <c r="M28" s="202" t="n"/>
      <c r="N28" s="202" t="n"/>
      <c r="O28" s="202" t="n"/>
      <c r="P28" s="202" t="n"/>
      <c r="Q28" s="202" t="n"/>
      <c r="R28" s="202" t="n"/>
      <c r="S28" s="202" t="n"/>
      <c r="T28" s="202" t="n"/>
      <c r="U28" s="202" t="n"/>
      <c r="V28" s="202" t="n"/>
      <c r="W28" s="202" t="n"/>
      <c r="X28" s="202" t="n"/>
      <c r="Y28" s="202" t="n"/>
      <c r="Z28" s="202" t="n"/>
      <c r="AA28" s="202" t="n"/>
      <c r="AB28" s="202" t="n"/>
      <c r="AC28" s="202" t="n"/>
      <c r="AD28" s="202" t="n"/>
      <c r="AE28" s="202" t="n"/>
      <c r="AF28" s="202" t="n"/>
      <c r="AG28" s="202" t="n"/>
    </row>
    <row r="29">
      <c r="A29" s="202" t="n"/>
      <c r="B29" s="202" t="n"/>
      <c r="C29" s="202" t="n"/>
      <c r="D29" s="202" t="n"/>
      <c r="E29" s="202" t="n"/>
      <c r="F29" s="202" t="n"/>
      <c r="G29" s="202" t="n"/>
      <c r="H29" s="202" t="n"/>
      <c r="I29" s="202" t="n"/>
      <c r="J29" s="202" t="n"/>
      <c r="K29" s="202" t="n"/>
      <c r="L29" s="202" t="n"/>
      <c r="M29" s="202" t="n"/>
      <c r="N29" s="202" t="n"/>
      <c r="O29" s="202" t="n"/>
      <c r="P29" s="202" t="n"/>
      <c r="Q29" s="202" t="n"/>
      <c r="R29" s="202" t="n"/>
      <c r="S29" s="202" t="n"/>
      <c r="T29" s="202" t="n"/>
      <c r="U29" s="202" t="n"/>
      <c r="V29" s="202" t="n"/>
      <c r="W29" s="202" t="n"/>
      <c r="X29" s="202" t="n"/>
      <c r="Y29" s="202" t="n"/>
      <c r="Z29" s="202" t="n"/>
      <c r="AA29" s="202" t="n"/>
      <c r="AB29" s="202" t="n"/>
      <c r="AC29" s="202" t="n"/>
      <c r="AD29" s="202" t="n"/>
      <c r="AE29" s="202" t="n"/>
      <c r="AF29" s="202" t="n"/>
      <c r="AG29" s="202" t="n"/>
    </row>
    <row r="30">
      <c r="A30" s="202" t="n"/>
      <c r="B30" s="202" t="n"/>
      <c r="C30" s="202" t="n"/>
      <c r="D30" s="202" t="n"/>
      <c r="E30" s="202" t="n"/>
      <c r="F30" s="202" t="n"/>
      <c r="G30" s="202" t="n"/>
      <c r="H30" s="202" t="n"/>
      <c r="I30" s="202" t="n"/>
      <c r="J30" s="202" t="n"/>
      <c r="K30" s="202" t="n"/>
      <c r="L30" s="202" t="n"/>
      <c r="M30" s="202" t="n"/>
      <c r="N30" s="202" t="n"/>
      <c r="O30" s="202" t="n"/>
      <c r="P30" s="202" t="n"/>
      <c r="Q30" s="202" t="n"/>
      <c r="R30" s="202" t="n"/>
      <c r="S30" s="202" t="n"/>
      <c r="T30" s="202" t="n"/>
      <c r="U30" s="202" t="n"/>
      <c r="V30" s="202" t="n"/>
      <c r="W30" s="202" t="n"/>
      <c r="X30" s="202" t="n"/>
      <c r="Y30" s="202" t="n"/>
      <c r="Z30" s="202" t="n"/>
      <c r="AA30" s="202" t="n"/>
      <c r="AB30" s="202" t="n"/>
      <c r="AC30" s="202" t="n"/>
      <c r="AD30" s="202" t="n"/>
      <c r="AE30" s="202" t="n"/>
      <c r="AF30" s="202" t="n"/>
      <c r="AG30" s="202" t="n"/>
    </row>
    <row r="31">
      <c r="A31" s="202" t="n"/>
      <c r="B31" s="202" t="n"/>
      <c r="C31" s="202" t="n"/>
      <c r="D31" s="202" t="n"/>
      <c r="E31" s="202" t="n"/>
      <c r="F31" s="202" t="n"/>
      <c r="G31" s="202" t="n"/>
      <c r="H31" s="202" t="n"/>
      <c r="I31" s="202" t="n"/>
      <c r="J31" s="202" t="n"/>
      <c r="K31" s="202" t="n"/>
      <c r="L31" s="202" t="n"/>
      <c r="M31" s="202" t="n"/>
      <c r="N31" s="202" t="n"/>
      <c r="O31" s="202" t="n"/>
      <c r="P31" s="202" t="n"/>
      <c r="Q31" s="202" t="n"/>
      <c r="R31" s="202" t="n"/>
      <c r="S31" s="202" t="n"/>
      <c r="T31" s="202" t="n"/>
      <c r="U31" s="202" t="n"/>
      <c r="V31" s="202" t="n"/>
      <c r="W31" s="202" t="n"/>
      <c r="X31" s="202" t="n"/>
      <c r="Y31" s="202" t="n"/>
      <c r="Z31" s="202" t="n"/>
      <c r="AA31" s="202" t="n"/>
      <c r="AB31" s="202" t="n"/>
      <c r="AC31" s="202" t="n"/>
      <c r="AD31" s="202" t="n"/>
      <c r="AE31" s="202" t="n"/>
      <c r="AF31" s="202" t="n"/>
      <c r="AG31" s="202" t="n"/>
    </row>
    <row r="32">
      <c r="A32" s="202" t="n"/>
      <c r="B32" s="202" t="n"/>
      <c r="C32" s="202" t="n"/>
      <c r="D32" s="202" t="n"/>
      <c r="E32" s="202" t="n"/>
      <c r="F32" s="202" t="n"/>
      <c r="G32" s="202" t="n"/>
      <c r="H32" s="202" t="n"/>
      <c r="I32" s="202" t="n"/>
      <c r="J32" s="202" t="n"/>
      <c r="K32" s="202" t="n"/>
      <c r="L32" s="202" t="n"/>
      <c r="M32" s="202" t="n"/>
      <c r="N32" s="202" t="n"/>
      <c r="O32" s="202" t="n"/>
      <c r="P32" s="202" t="n"/>
      <c r="Q32" s="202" t="n"/>
      <c r="R32" s="202" t="n"/>
      <c r="S32" s="202" t="n"/>
      <c r="T32" s="202" t="n"/>
      <c r="U32" s="202" t="n"/>
      <c r="V32" s="202" t="n"/>
      <c r="W32" s="202" t="n"/>
      <c r="X32" s="202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</row>
    <row r="33">
      <c r="A33" s="202" t="n"/>
      <c r="B33" s="202" t="n"/>
      <c r="C33" s="202" t="n"/>
      <c r="D33" s="202" t="n"/>
      <c r="E33" s="202" t="n"/>
      <c r="F33" s="202" t="n"/>
      <c r="G33" s="202" t="n"/>
      <c r="H33" s="202" t="n"/>
      <c r="I33" s="202" t="n"/>
      <c r="J33" s="202" t="n"/>
      <c r="K33" s="202" t="n"/>
      <c r="L33" s="202" t="n"/>
      <c r="M33" s="202" t="n"/>
      <c r="N33" s="202" t="n"/>
      <c r="O33" s="202" t="n"/>
      <c r="P33" s="202" t="n"/>
      <c r="Q33" s="202" t="n"/>
      <c r="R33" s="202" t="n"/>
      <c r="S33" s="202" t="n"/>
      <c r="T33" s="202" t="n"/>
      <c r="U33" s="202" t="n"/>
      <c r="V33" s="202" t="n"/>
      <c r="W33" s="202" t="n"/>
      <c r="X33" s="202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</row>
    <row r="34">
      <c r="A34" s="202" t="n"/>
      <c r="B34" s="202" t="n"/>
      <c r="C34" s="202" t="n"/>
      <c r="D34" s="202" t="n"/>
      <c r="E34" s="202" t="n"/>
      <c r="F34" s="202" t="n"/>
      <c r="G34" s="202" t="n"/>
      <c r="H34" s="202" t="n"/>
      <c r="I34" s="202" t="n"/>
      <c r="J34" s="202" t="n"/>
      <c r="K34" s="202" t="n"/>
      <c r="L34" s="202" t="n"/>
      <c r="M34" s="202" t="n"/>
      <c r="N34" s="202" t="n"/>
      <c r="O34" s="202" t="n"/>
      <c r="P34" s="202" t="n"/>
      <c r="Q34" s="202" t="n"/>
      <c r="R34" s="202" t="n"/>
      <c r="S34" s="202" t="n"/>
      <c r="T34" s="202" t="n"/>
      <c r="U34" s="202" t="n"/>
      <c r="V34" s="202" t="n"/>
      <c r="W34" s="202" t="n"/>
      <c r="X34" s="202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</row>
    <row r="35">
      <c r="A35" s="202" t="n"/>
      <c r="B35" s="202" t="n"/>
      <c r="C35" s="202" t="n"/>
      <c r="D35" s="202" t="n"/>
      <c r="E35" s="202" t="n"/>
      <c r="F35" s="202" t="n"/>
      <c r="G35" s="202" t="n"/>
      <c r="H35" s="202" t="n"/>
      <c r="I35" s="202" t="n"/>
      <c r="J35" s="202" t="n"/>
      <c r="K35" s="202" t="n"/>
      <c r="L35" s="202" t="n"/>
      <c r="M35" s="202" t="n"/>
      <c r="N35" s="202" t="n"/>
      <c r="O35" s="202" t="n"/>
      <c r="P35" s="202" t="n"/>
      <c r="Q35" s="202" t="n"/>
      <c r="R35" s="202" t="n"/>
      <c r="S35" s="202" t="n"/>
      <c r="T35" s="202" t="n"/>
      <c r="U35" s="202" t="n"/>
      <c r="V35" s="202" t="n"/>
      <c r="W35" s="202" t="n"/>
      <c r="X35" s="202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</row>
    <row r="36">
      <c r="A36" s="202" t="n"/>
      <c r="B36" s="202" t="n"/>
      <c r="C36" s="202" t="n"/>
      <c r="D36" s="202" t="n"/>
      <c r="E36" s="202" t="n"/>
      <c r="F36" s="202" t="n"/>
      <c r="G36" s="202" t="n"/>
      <c r="H36" s="202" t="n"/>
      <c r="I36" s="202" t="n"/>
      <c r="J36" s="202" t="n"/>
      <c r="K36" s="202" t="n"/>
      <c r="L36" s="202" t="n"/>
      <c r="M36" s="202" t="n"/>
      <c r="N36" s="202" t="n"/>
      <c r="O36" s="202" t="n"/>
      <c r="P36" s="202" t="n"/>
      <c r="Q36" s="202" t="n"/>
      <c r="R36" s="202" t="n"/>
      <c r="S36" s="202" t="n"/>
      <c r="T36" s="202" t="n"/>
      <c r="U36" s="202" t="n"/>
      <c r="V36" s="202" t="n"/>
      <c r="W36" s="202" t="n"/>
      <c r="X36" s="202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</row>
    <row r="37">
      <c r="A37" s="202" t="n"/>
      <c r="B37" s="202" t="n"/>
      <c r="C37" s="202" t="n"/>
      <c r="D37" s="202" t="n"/>
      <c r="E37" s="202" t="n"/>
      <c r="F37" s="202" t="n"/>
      <c r="G37" s="202" t="n"/>
      <c r="H37" s="202" t="n"/>
      <c r="I37" s="202" t="n"/>
      <c r="J37" s="202" t="n"/>
      <c r="K37" s="202" t="n"/>
      <c r="L37" s="202" t="n"/>
      <c r="M37" s="202" t="n"/>
      <c r="N37" s="202" t="n"/>
      <c r="O37" s="202" t="n"/>
      <c r="P37" s="202" t="n"/>
      <c r="Q37" s="202" t="n"/>
      <c r="R37" s="202" t="n"/>
      <c r="S37" s="202" t="n"/>
      <c r="T37" s="202" t="n"/>
      <c r="U37" s="202" t="n"/>
      <c r="V37" s="202" t="n"/>
      <c r="W37" s="202" t="n"/>
      <c r="X37" s="202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</row>
    <row r="38">
      <c r="A38" s="202" t="n"/>
      <c r="B38" s="202" t="n"/>
      <c r="C38" s="202" t="n"/>
      <c r="D38" s="202" t="n"/>
      <c r="E38" s="202" t="n"/>
      <c r="F38" s="202" t="n"/>
      <c r="G38" s="202" t="n"/>
      <c r="H38" s="202" t="n"/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2" t="n"/>
      <c r="S38" s="202" t="n"/>
      <c r="T38" s="202" t="n"/>
      <c r="U38" s="202" t="n"/>
      <c r="V38" s="202" t="n"/>
      <c r="W38" s="202" t="n"/>
      <c r="X38" s="202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</row>
    <row r="39">
      <c r="A39" s="202" t="n"/>
      <c r="B39" s="202" t="n"/>
      <c r="C39" s="202" t="n"/>
      <c r="D39" s="202" t="n"/>
      <c r="E39" s="202" t="n"/>
      <c r="F39" s="202" t="n"/>
      <c r="G39" s="202" t="n"/>
      <c r="H39" s="202" t="n"/>
      <c r="I39" s="202" t="n"/>
      <c r="J39" s="202" t="n"/>
      <c r="K39" s="202" t="n"/>
      <c r="L39" s="202" t="n"/>
      <c r="M39" s="202" t="n"/>
      <c r="N39" s="202" t="n"/>
      <c r="O39" s="202" t="n"/>
      <c r="P39" s="202" t="n"/>
      <c r="Q39" s="202" t="n"/>
      <c r="R39" s="202" t="n"/>
      <c r="S39" s="202" t="n"/>
      <c r="T39" s="202" t="n"/>
      <c r="U39" s="202" t="n"/>
      <c r="V39" s="202" t="n"/>
      <c r="W39" s="202" t="n"/>
      <c r="X39" s="202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</row>
    <row r="40">
      <c r="A40" s="202" t="n"/>
      <c r="B40" s="202" t="n"/>
      <c r="C40" s="202" t="n"/>
      <c r="D40" s="202" t="n"/>
      <c r="E40" s="202" t="n"/>
      <c r="F40" s="202" t="n"/>
      <c r="G40" s="202" t="n"/>
      <c r="H40" s="202" t="n"/>
      <c r="I40" s="202" t="n"/>
      <c r="J40" s="202" t="n"/>
      <c r="K40" s="202" t="n"/>
      <c r="L40" s="202" t="n"/>
      <c r="M40" s="202" t="n"/>
      <c r="N40" s="202" t="n"/>
      <c r="O40" s="202" t="n"/>
      <c r="P40" s="202" t="n"/>
      <c r="Q40" s="202" t="n"/>
      <c r="R40" s="202" t="n"/>
      <c r="S40" s="202" t="n"/>
      <c r="T40" s="202" t="n"/>
      <c r="U40" s="202" t="n"/>
      <c r="V40" s="202" t="n"/>
      <c r="W40" s="202" t="n"/>
      <c r="X40" s="202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</row>
    <row r="41">
      <c r="A41" s="202" t="n"/>
      <c r="B41" s="202" t="n"/>
      <c r="C41" s="202" t="n"/>
      <c r="D41" s="202" t="n"/>
      <c r="E41" s="202" t="n"/>
      <c r="F41" s="202" t="n"/>
      <c r="G41" s="202" t="n"/>
      <c r="H41" s="202" t="n"/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2" t="n"/>
      <c r="S41" s="202" t="n"/>
      <c r="T41" s="202" t="n"/>
      <c r="U41" s="202" t="n"/>
      <c r="V41" s="202" t="n"/>
      <c r="W41" s="202" t="n"/>
      <c r="X41" s="202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</row>
    <row r="42">
      <c r="A42" s="202" t="n"/>
      <c r="B42" s="202" t="n"/>
      <c r="C42" s="202" t="n"/>
      <c r="D42" s="202" t="n"/>
      <c r="E42" s="202" t="n"/>
      <c r="F42" s="202" t="n"/>
      <c r="G42" s="202" t="n"/>
      <c r="H42" s="202" t="n"/>
      <c r="I42" s="202" t="n"/>
      <c r="J42" s="202" t="n"/>
      <c r="K42" s="202" t="n"/>
      <c r="L42" s="202" t="n"/>
      <c r="M42" s="202" t="n"/>
      <c r="N42" s="202" t="n"/>
      <c r="O42" s="202" t="n"/>
      <c r="P42" s="202" t="n"/>
      <c r="Q42" s="202" t="n"/>
      <c r="R42" s="202" t="n"/>
      <c r="S42" s="202" t="n"/>
      <c r="T42" s="202" t="n"/>
      <c r="U42" s="202" t="n"/>
      <c r="V42" s="202" t="n"/>
      <c r="W42" s="202" t="n"/>
      <c r="X42" s="202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</row>
    <row r="43">
      <c r="A43" s="202" t="n"/>
      <c r="B43" s="202" t="n"/>
      <c r="C43" s="202" t="n"/>
      <c r="D43" s="202" t="n"/>
      <c r="E43" s="202" t="n"/>
      <c r="F43" s="202" t="n"/>
      <c r="G43" s="202" t="n"/>
      <c r="H43" s="202" t="n"/>
      <c r="I43" s="202" t="n"/>
      <c r="J43" s="202" t="n"/>
      <c r="K43" s="202" t="n"/>
      <c r="L43" s="202" t="n"/>
      <c r="M43" s="202" t="n"/>
      <c r="N43" s="202" t="n"/>
      <c r="O43" s="202" t="n"/>
      <c r="P43" s="202" t="n"/>
      <c r="Q43" s="202" t="n"/>
      <c r="R43" s="202" t="n"/>
      <c r="S43" s="202" t="n"/>
      <c r="T43" s="202" t="n"/>
      <c r="U43" s="202" t="n"/>
      <c r="V43" s="202" t="n"/>
      <c r="W43" s="202" t="n"/>
      <c r="X43" s="202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</row>
    <row r="44">
      <c r="A44" s="202" t="n"/>
      <c r="B44" s="202" t="n"/>
      <c r="C44" s="202" t="n"/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2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</row>
    <row r="45">
      <c r="A45" s="202" t="n"/>
      <c r="B45" s="202" t="n"/>
      <c r="C45" s="202" t="n"/>
      <c r="D45" s="202" t="n"/>
      <c r="E45" s="202" t="n"/>
      <c r="F45" s="202" t="n"/>
      <c r="G45" s="202" t="n"/>
      <c r="H45" s="202" t="n"/>
      <c r="I45" s="202" t="n"/>
      <c r="J45" s="202" t="n"/>
      <c r="K45" s="202" t="n"/>
      <c r="L45" s="202" t="n"/>
      <c r="M45" s="202" t="n"/>
      <c r="N45" s="202" t="n"/>
      <c r="O45" s="202" t="n"/>
      <c r="P45" s="202" t="n"/>
      <c r="Q45" s="202" t="n"/>
      <c r="R45" s="202" t="n"/>
      <c r="S45" s="202" t="n"/>
      <c r="T45" s="202" t="n"/>
      <c r="U45" s="202" t="n"/>
      <c r="V45" s="202" t="n"/>
      <c r="W45" s="202" t="n"/>
      <c r="X45" s="202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</row>
    <row r="46">
      <c r="A46" s="202" t="n"/>
      <c r="B46" s="202" t="n"/>
      <c r="C46" s="202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2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</row>
    <row r="47">
      <c r="A47" s="202" t="n"/>
      <c r="B47" s="202" t="n"/>
      <c r="C47" s="202" t="n"/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2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</row>
    <row r="48">
      <c r="A48" s="202" t="n"/>
      <c r="B48" s="202" t="n"/>
      <c r="C48" s="202" t="n"/>
      <c r="D48" s="202" t="n"/>
      <c r="E48" s="202" t="n"/>
      <c r="F48" s="202" t="n"/>
      <c r="G48" s="202" t="n"/>
      <c r="H48" s="202" t="n"/>
      <c r="I48" s="202" t="n"/>
      <c r="J48" s="202" t="n"/>
      <c r="K48" s="202" t="n"/>
      <c r="L48" s="202" t="n"/>
      <c r="M48" s="202" t="n"/>
      <c r="N48" s="202" t="n"/>
      <c r="O48" s="202" t="n"/>
      <c r="P48" s="202" t="n"/>
      <c r="Q48" s="202" t="n"/>
      <c r="R48" s="202" t="n"/>
      <c r="S48" s="202" t="n"/>
      <c r="T48" s="202" t="n"/>
      <c r="U48" s="202" t="n"/>
      <c r="V48" s="202" t="n"/>
      <c r="W48" s="202" t="n"/>
      <c r="X48" s="202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</row>
    <row r="49">
      <c r="A49" s="202" t="n"/>
      <c r="B49" s="202" t="n"/>
      <c r="C49" s="202" t="n"/>
      <c r="D49" s="202" t="n"/>
      <c r="E49" s="202" t="n"/>
      <c r="F49" s="202" t="n"/>
      <c r="G49" s="202" t="n"/>
      <c r="H49" s="202" t="n"/>
      <c r="I49" s="202" t="n"/>
      <c r="J49" s="202" t="n"/>
      <c r="K49" s="202" t="n"/>
      <c r="L49" s="202" t="n"/>
      <c r="M49" s="202" t="n"/>
      <c r="N49" s="202" t="n"/>
      <c r="O49" s="202" t="n"/>
      <c r="P49" s="202" t="n"/>
      <c r="Q49" s="202" t="n"/>
      <c r="R49" s="202" t="n"/>
      <c r="S49" s="202" t="n"/>
      <c r="T49" s="202" t="n"/>
      <c r="U49" s="202" t="n"/>
      <c r="V49" s="202" t="n"/>
      <c r="W49" s="202" t="n"/>
      <c r="X49" s="202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</row>
    <row r="50">
      <c r="A50" s="202" t="n"/>
      <c r="B50" s="202" t="n"/>
      <c r="C50" s="202" t="n"/>
      <c r="D50" s="202" t="n"/>
      <c r="E50" s="202" t="n"/>
      <c r="F50" s="202" t="n"/>
      <c r="G50" s="202" t="n"/>
      <c r="H50" s="202" t="n"/>
      <c r="I50" s="202" t="n"/>
      <c r="J50" s="202" t="n"/>
      <c r="K50" s="202" t="n"/>
      <c r="L50" s="202" t="n"/>
      <c r="M50" s="202" t="n"/>
      <c r="N50" s="202" t="n"/>
      <c r="O50" s="202" t="n"/>
      <c r="P50" s="202" t="n"/>
      <c r="Q50" s="202" t="n"/>
      <c r="R50" s="202" t="n"/>
      <c r="S50" s="202" t="n"/>
      <c r="T50" s="202" t="n"/>
      <c r="U50" s="202" t="n"/>
      <c r="V50" s="202" t="n"/>
      <c r="W50" s="202" t="n"/>
      <c r="X50" s="202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</row>
    <row r="51">
      <c r="A51" s="202" t="n"/>
      <c r="B51" s="202" t="n"/>
      <c r="C51" s="202" t="n"/>
      <c r="D51" s="202" t="n"/>
      <c r="E51" s="20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2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</row>
    <row r="52">
      <c r="A52" s="202" t="n"/>
      <c r="B52" s="202" t="n"/>
      <c r="C52" s="202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2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</row>
    <row r="53">
      <c r="A53" s="202" t="n"/>
      <c r="B53" s="202" t="n"/>
      <c r="C53" s="202" t="n"/>
      <c r="D53" s="202" t="n"/>
      <c r="E53" s="202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2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</row>
    <row r="54">
      <c r="A54" s="202" t="n"/>
      <c r="B54" s="202" t="n"/>
      <c r="C54" s="202" t="n"/>
      <c r="D54" s="202" t="n"/>
      <c r="E54" s="202" t="n"/>
      <c r="F54" s="202" t="n"/>
      <c r="G54" s="202" t="n"/>
      <c r="H54" s="202" t="n"/>
      <c r="I54" s="202" t="n"/>
      <c r="J54" s="202" t="n"/>
      <c r="K54" s="202" t="n"/>
      <c r="L54" s="202" t="n"/>
      <c r="M54" s="202" t="n"/>
      <c r="N54" s="202" t="n"/>
      <c r="O54" s="202" t="n"/>
      <c r="P54" s="202" t="n"/>
      <c r="Q54" s="202" t="n"/>
      <c r="R54" s="202" t="n"/>
      <c r="S54" s="202" t="n"/>
      <c r="T54" s="202" t="n"/>
      <c r="U54" s="202" t="n"/>
      <c r="V54" s="202" t="n"/>
      <c r="W54" s="202" t="n"/>
      <c r="X54" s="202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</row>
    <row r="55">
      <c r="A55" s="202" t="n"/>
      <c r="B55" s="202" t="n"/>
      <c r="C55" s="202" t="n"/>
      <c r="D55" s="202" t="n"/>
      <c r="E55" s="202" t="n"/>
      <c r="F55" s="202" t="n"/>
      <c r="G55" s="202" t="n"/>
      <c r="H55" s="202" t="n"/>
      <c r="I55" s="202" t="n"/>
      <c r="J55" s="202" t="n"/>
      <c r="K55" s="202" t="n"/>
      <c r="L55" s="202" t="n"/>
      <c r="M55" s="202" t="n"/>
      <c r="N55" s="202" t="n"/>
      <c r="O55" s="202" t="n"/>
      <c r="P55" s="202" t="n"/>
      <c r="Q55" s="202" t="n"/>
      <c r="R55" s="202" t="n"/>
      <c r="S55" s="202" t="n"/>
      <c r="T55" s="202" t="n"/>
      <c r="U55" s="202" t="n"/>
      <c r="V55" s="202" t="n"/>
      <c r="W55" s="202" t="n"/>
      <c r="X55" s="202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</row>
    <row r="56">
      <c r="A56" s="202" t="n"/>
      <c r="B56" s="202" t="n"/>
      <c r="C56" s="202" t="n"/>
      <c r="D56" s="202" t="n"/>
      <c r="E56" s="202" t="n"/>
      <c r="F56" s="202" t="n"/>
      <c r="G56" s="202" t="n"/>
      <c r="H56" s="202" t="n"/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2" t="n"/>
      <c r="S56" s="202" t="n"/>
      <c r="T56" s="202" t="n"/>
      <c r="U56" s="202" t="n"/>
      <c r="V56" s="202" t="n"/>
      <c r="W56" s="202" t="n"/>
      <c r="X56" s="202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</row>
    <row r="57">
      <c r="A57" s="202" t="n"/>
      <c r="B57" s="202" t="n"/>
      <c r="C57" s="202" t="n"/>
      <c r="D57" s="202" t="n"/>
      <c r="E57" s="202" t="n"/>
      <c r="F57" s="202" t="n"/>
      <c r="G57" s="202" t="n"/>
      <c r="H57" s="202" t="n"/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2" t="n"/>
      <c r="S57" s="202" t="n"/>
      <c r="T57" s="202" t="n"/>
      <c r="U57" s="202" t="n"/>
      <c r="V57" s="202" t="n"/>
      <c r="W57" s="202" t="n"/>
      <c r="X57" s="202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</row>
    <row r="58">
      <c r="A58" s="202" t="n"/>
      <c r="B58" s="202" t="n"/>
      <c r="C58" s="202" t="n"/>
      <c r="D58" s="202" t="n"/>
      <c r="E58" s="202" t="n"/>
      <c r="F58" s="202" t="n"/>
      <c r="G58" s="202" t="n"/>
      <c r="H58" s="202" t="n"/>
      <c r="I58" s="202" t="n"/>
      <c r="J58" s="202" t="n"/>
      <c r="K58" s="202" t="n"/>
      <c r="L58" s="202" t="n"/>
      <c r="M58" s="202" t="n"/>
      <c r="N58" s="202" t="n"/>
      <c r="O58" s="202" t="n"/>
      <c r="P58" s="202" t="n"/>
      <c r="Q58" s="202" t="n"/>
      <c r="R58" s="202" t="n"/>
      <c r="S58" s="202" t="n"/>
      <c r="T58" s="202" t="n"/>
      <c r="U58" s="202" t="n"/>
      <c r="V58" s="202" t="n"/>
      <c r="W58" s="202" t="n"/>
      <c r="X58" s="202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</row>
    <row r="59">
      <c r="A59" s="202" t="n"/>
      <c r="B59" s="202" t="n"/>
      <c r="C59" s="202" t="n"/>
      <c r="D59" s="202" t="n"/>
      <c r="E59" s="202" t="n"/>
      <c r="F59" s="202" t="n"/>
      <c r="G59" s="202" t="n"/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</row>
    <row r="60">
      <c r="A60" s="202" t="n"/>
      <c r="B60" s="202" t="n"/>
      <c r="C60" s="202" t="n"/>
      <c r="D60" s="202" t="n"/>
      <c r="E60" s="202" t="n"/>
      <c r="F60" s="202" t="n"/>
      <c r="G60" s="202" t="n"/>
      <c r="H60" s="202" t="n"/>
      <c r="I60" s="202" t="n"/>
      <c r="J60" s="202" t="n"/>
      <c r="K60" s="202" t="n"/>
      <c r="L60" s="202" t="n"/>
      <c r="M60" s="202" t="n"/>
      <c r="N60" s="202" t="n"/>
      <c r="O60" s="202" t="n"/>
      <c r="P60" s="202" t="n"/>
      <c r="Q60" s="202" t="n"/>
      <c r="R60" s="202" t="n"/>
      <c r="S60" s="202" t="n"/>
      <c r="T60" s="202" t="n"/>
      <c r="U60" s="202" t="n"/>
      <c r="V60" s="202" t="n"/>
      <c r="W60" s="202" t="n"/>
      <c r="X60" s="202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</row>
  </sheetData>
  <mergeCells count="2">
    <mergeCell ref="A14:H20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2026-07-12T06:49:39Z</dcterms:created>
  <dcterms:modified xmlns:dcterms="http://purl.org/dc/terms/" xmlns:xsi="http://www.w3.org/2001/XMLSchema-instance" xsi:type="dcterms:W3CDTF">2026-07-12T07:04:09Z</dcterms:modified>
</cp:coreProperties>
</file>