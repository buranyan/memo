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785b34f5b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条件" sheetId="1" r:id="R4c62fe5af4ee4337"/>
    <x:sheet xmlns:r="http://schemas.openxmlformats.org/officeDocument/2006/relationships" name="計算詳細" sheetId="2" r:id="Rc37073c82dfd4525"/>
    <x:sheet xmlns:r="http://schemas.openxmlformats.org/officeDocument/2006/relationships" name="結果概要" sheetId="3" r:id="R64d93e97dd99492c"/>
    <x:sheet xmlns:r="http://schemas.openxmlformats.org/officeDocument/2006/relationships" name="グラフ" sheetId="4" r:id="Rb769d821ab594423"/>
    <x:sheet xmlns:r="http://schemas.openxmlformats.org/officeDocument/2006/relationships" name="導出メモ" sheetId="5" r:id="R8672e07d8913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EEF5FC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201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left" vertical="top" wrapText="1"/>
    </x:xf>
    <x:xf numFmtId="0" fontId="6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21e6544cf425c" /><Relationship Type="http://schemas.openxmlformats.org/officeDocument/2006/relationships/theme" Target="/xl/theme/theme1.xml" Id="R3bf5891459f846e8" /><Relationship Type="http://schemas.openxmlformats.org/officeDocument/2006/relationships/sharedStrings" Target="/xl/sharedStrings.xml" Id="Rb150eb69cc574bf4" /><Relationship Type="http://schemas.openxmlformats.org/officeDocument/2006/relationships/worksheet" Target="/xl/worksheets/sheet1.xml" Id="R4c62fe5af4ee4337" /><Relationship Type="http://schemas.openxmlformats.org/officeDocument/2006/relationships/worksheet" Target="/xl/worksheets/sheet2.xml" Id="Rc37073c82dfd4525" /><Relationship Type="http://schemas.openxmlformats.org/officeDocument/2006/relationships/worksheet" Target="/xl/worksheets/sheet3.xml" Id="R64d93e97dd99492c" /><Relationship Type="http://schemas.openxmlformats.org/officeDocument/2006/relationships/worksheet" Target="/xl/worksheets/sheet4.xml" Id="Rb769d821ab594423" /><Relationship Type="http://schemas.openxmlformats.org/officeDocument/2006/relationships/worksheet" Target="/xl/worksheets/sheet5.xml" Id="R8672e07d891340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1ed76bb6bc440e" /><Relationship Type="http://schemas.openxmlformats.org/officeDocument/2006/relationships/chart" Target="/xl/drawings/charts/chart2.xml" Id="R34eaf64e561c469f" /><Relationship Type="http://schemas.openxmlformats.org/officeDocument/2006/relationships/chart" Target="/xl/drawings/charts/chart3.xml" Id="Rf2c4bdf7550a4a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電流比較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相電流 [Arms]</c:v>
          </c:tx>
          <c:cat>
            <c:strRef>
              <c:f>'グラフ'!$A$4:$A$5</c:f>
              <c:strCache>
                <c:ptCount val="0"/>
              </c:strCache>
            </c:strRef>
          </c:cat>
          <c:val>
            <c:numRef>
              <c:f>'グラフ'!$B$4:$B$5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損失・出力比較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電力 [W]</c:v>
          </c:tx>
          <c:cat>
            <c:strRef>
              <c:f>'グラフ'!$A$10:$A$13</c:f>
              <c:strCache>
                <c:ptCount val="0"/>
              </c:strCache>
            </c:strRef>
          </c:cat>
          <c:val>
            <c:numRef>
              <c:f>'グラフ'!$B$10:$B$13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必要DCバス比較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必要DCバス [V]</c:v>
          </c:tx>
          <c:cat>
            <c:strRef>
              <c:f>'グラフ'!$A$18:$A$20</c:f>
              <c:strCache>
                <c:ptCount val="0"/>
              </c:strCache>
            </c:strRef>
          </c:cat>
          <c:val>
            <c:numRef>
              <c:f>'グラフ'!$B$18:$B$20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1ed76bb6bc440e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eaf64e561c469f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11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c4bdf7550a4a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6cc0df9ac594b9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34" hidden="0" customWidth="1"/>
  </x:cols>
  <x:sheetData>
    <x:row r="1">
      <x:c r="A1" s="3" t="str">
        <x:v>DDモータ計算シート</x:v>
      </x:c>
    </x:row>
    <x:row r="3">
      <x:c r="A3" s="9" t="str">
        <x:v>入力項目</x:v>
      </x:c>
      <x:c r="B3" s="9" t="str">
        <x:v>値</x:v>
      </x:c>
      <x:c r="C3" s="9" t="str">
        <x:v>単位</x:v>
      </x:c>
      <x:c r="D3" s="9" t="str">
        <x:v>備考</x:v>
      </x:c>
    </x:row>
    <x:row r="4">
      <x:c r="A4" s="10" t="str">
        <x:v>1相巻線抵抗 R</x:v>
      </x:c>
      <x:c r="B4" s="13" t="n">
        <x:v>6</x:v>
      </x:c>
      <x:c r="C4" s="11" t="str">
        <x:v>Ω</x:v>
      </x:c>
      <x:c r="D4" s="11" t="str">
        <x:v>Y結線・1相あたり</x:v>
      </x:c>
    </x:row>
    <x:row r="5">
      <x:c r="A5" s="10" t="str">
        <x:v>1相インダクタンス L</x:v>
      </x:c>
      <x:c r="B5" s="13" t="n">
        <x:v>0.02</x:v>
      </x:c>
      <x:c r="C5" s="11" t="str">
        <x:v>H</x:v>
      </x:c>
      <x:c r="D5" s="11" t="str">
        <x:v>20 mH</x:v>
      </x:c>
    </x:row>
    <x:row r="6">
      <x:c r="A6" s="10" t="str">
        <x:v>トルク定数 Kt</x:v>
      </x:c>
      <x:c r="B6" s="13" t="n">
        <x:v>8</x:v>
      </x:c>
      <x:c r="C6" s="11" t="str">
        <x:v>Nm/Arms</x:v>
      </x:c>
      <x:c r="D6" s="11" t="str">
        <x:v>相電流実効値ベース</x:v>
      </x:c>
    </x:row>
    <x:row r="7">
      <x:c r="A7" s="10" t="str">
        <x:v>起動時相電流 I_start</x:v>
      </x:c>
      <x:c r="B7" s="13" t="n">
        <x:v>6</x:v>
      </x:c>
      <x:c r="C7" s="11" t="str">
        <x:v>Arms</x:v>
      </x:c>
      <x:c r="D7" s="11" t="str">
        <x:v>起動中は6 Arms一定</x:v>
      </x:c>
    </x:row>
    <x:row r="8">
      <x:c r="A8" s="10" t="str">
        <x:v>定常時相電流 I_ss</x:v>
      </x:c>
      <x:c r="B8" s="13" t="n">
        <x:v>3</x:v>
      </x:c>
      <x:c r="C8" s="11" t="str">
        <x:v>Arms</x:v>
      </x:c>
      <x:c r="D8" s="11" t="str">
        <x:v>定常状態</x:v>
      </x:c>
    </x:row>
    <x:row r="9">
      <x:c r="A9" s="10" t="str">
        <x:v>定常時回転速度 n_ss</x:v>
      </x:c>
      <x:c r="B9" s="13" t="n">
        <x:v>10</x:v>
      </x:c>
      <x:c r="C9" s="11" t="str">
        <x:v>rpm</x:v>
      </x:c>
      <x:c r="D9" s="11" t="str"/>
    </x:row>
    <x:row r="10">
      <x:c r="A10" s="10" t="str">
        <x:v>加速時間 t_acc</x:v>
      </x:c>
      <x:c r="B10" s="13" t="n">
        <x:v>1</x:v>
      </x:c>
      <x:c r="C10" s="11" t="str">
        <x:v>s</x:v>
      </x:c>
      <x:c r="D10" s="11" t="str">
        <x:v>0 rpm → 10 rpm</x:v>
      </x:c>
    </x:row>
    <x:row r="11">
      <x:c r="A11" s="10" t="str">
        <x:v>極ペア数 p</x:v>
      </x:c>
      <x:c r="B11" s="13" t="n">
        <x:v>20</x:v>
      </x:c>
      <x:c r="C11" s="11" t="str">
        <x:v>-</x:v>
      </x:c>
      <x:c r="D11" s="11" t="str"/>
    </x:row>
    <x:row r="12">
      <x:c r="A12" s="11"/>
      <x:c r="B12" s="11"/>
      <x:c r="C12" s="11"/>
      <x:c r="D12" s="11"/>
    </x:row>
    <x:row r="13">
      <x:c r="A13" s="12" t="str">
        <x:v>計算前提</x:v>
      </x:c>
      <x:c r="B13" s="12" t="str">
        <x:v>内容</x:v>
      </x:c>
      <x:c r="C13" s="12" t="str"/>
      <x:c r="D13" s="12" t="str"/>
    </x:row>
    <x:row r="14">
      <x:c r="A14" s="10" t="str">
        <x:v>モータモデル</x:v>
      </x:c>
      <x:c r="B14" s="11" t="str">
        <x:v>3相PMSM相当</x:v>
      </x:c>
      <x:c r="C14" s="11" t="str"/>
      <x:c r="D14" s="11" t="str"/>
    </x:row>
    <x:row r="15">
      <x:c r="A15" s="10" t="str">
        <x:v>制御前提</x:v>
      </x:c>
      <x:c r="B15" s="11" t="str">
        <x:v>正弦波電流、id = 0制御</x:v>
      </x:c>
      <x:c r="C15" s="11" t="str"/>
      <x:c r="D15" s="11" t="str"/>
    </x:row>
    <x:row r="16">
      <x:c r="A16" s="10" t="str">
        <x:v>インバータ前提</x:v>
      </x:c>
      <x:c r="B16" s="11" t="str">
        <x:v>SVPWM、線形変調領域</x:v>
      </x:c>
      <x:c r="C16" s="11" t="str"/>
      <x:c r="D16" s="11" t="str"/>
    </x:row>
    <x:row r="17">
      <x:c r="A17" s="10" t="str">
        <x:v>発熱の扱い</x:v>
      </x:c>
      <x:c r="B17" s="11" t="str">
        <x:v>巻線の銅損を発熱量として計算</x:v>
      </x:c>
      <x:c r="C17" s="11" t="str"/>
      <x:c r="D17" s="11" t="str"/>
    </x:row>
    <x:row r="18">
      <x:c r="A18" s="10" t="str">
        <x:v>効率の扱い</x:v>
      </x:c>
      <x:c r="B18" s="11" t="str">
        <x:v>機械出力 / (機械出力 + 銅損)</x:v>
      </x:c>
      <x:c r="C18" s="11" t="str"/>
      <x:c r="D1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7" hidden="0" customWidth="1"/>
    <x:col min="3" max="3" width="30" hidden="0" customWidth="1"/>
    <x:col min="4" max="4" width="14" hidden="0" customWidth="1"/>
    <x:col min="5" max="5" width="10" hidden="0" customWidth="1"/>
    <x:col min="6" max="6" width="24" hidden="0" customWidth="1"/>
    <x:col min="7" max="7" width="20" hidden="0" customWidth="1"/>
    <x:col min="8" max="8" width="52" hidden="0" customWidth="1"/>
  </x:cols>
  <x:sheetData>
    <x:row r="1">
      <x:c r="A1" s="32" t="str">
        <x:v>計算詳細（入力値を変更すると再計算されます）</x:v>
      </x:c>
      <x:c r="B1" s="33"/>
      <x:c r="C1" s="33"/>
      <x:c r="D1" s="33"/>
      <x:c r="E1" s="33"/>
      <x:c r="F1" s="31"/>
      <x:c r="G1" s="31"/>
      <x:c r="H1" s="33"/>
    </x:row>
    <x:row r="3">
      <x:c r="A3" s="9" t="str">
        <x:v>項目</x:v>
      </x:c>
      <x:c r="B3" s="9" t="str">
        <x:v>一般式</x:v>
      </x:c>
      <x:c r="C3" s="9" t="str">
        <x:v>Excel式（文字列）</x:v>
      </x:c>
      <x:c r="D3" s="9" t="str">
        <x:v>計算結果</x:v>
      </x:c>
      <x:c r="E3" s="9" t="str">
        <x:v>単位</x:v>
      </x:c>
      <x:c r="F3" s="9" t="str">
        <x:v>式の説明</x:v>
      </x:c>
      <x:c r="G3" s="9" t="str">
        <x:v>補足</x:v>
      </x:c>
      <x:c r="H3" s="30" t="str">
        <x:v>導出メモ</x:v>
      </x:c>
    </x:row>
    <x:row r="4" ht="44" customHeight="1">
      <x:c r="A4" s="10" t="str">
        <x:v>起動時電流ピーク値 I_start,peak</x:v>
      </x:c>
      <x:c r="B4" s="11" t="str">
        <x:v>√2 × I_start</x:v>
      </x:c>
      <x:c r="C4" s="11" t="n">
        <x:f>SQRT(2)*'入力条件'!B7</x:f>
        <x:v>8.485281374238571</x:v>
      </x:c>
      <x:c r="D4" s="18" t="n">
        <x:f>SQRT(2)*'入力条件'!B7</x:f>
        <x:v>8.485281374238571</x:v>
      </x:c>
      <x:c r="E4" s="11" t="str">
        <x:v>Apeak</x:v>
      </x:c>
      <x:c r="F4" s="11" t="str">
        <x:v>相電流実効値をピーク値へ変換し、dq電圧式に使う。</x:v>
      </x:c>
      <x:c r="G4" s="11" t="str">
        <x:v>6 Arms → 8.485 Apeak</x:v>
      </x:c>
      <x:c r="H4" s="31" t="str">
        <x:v>dq電圧式はピーク値系で扱うため、相電流の実効値 I_start を I_peak=√2×I_rms に変換して用いる。Y結線では線電流=相電流なので、そのまま 6 Arms を使える。</x:v>
      </x:c>
    </x:row>
    <x:row r="5" ht="44" customHeight="1">
      <x:c r="A5" s="10" t="str">
        <x:v>定常時電流ピーク値 I_ss,peak</x:v>
      </x:c>
      <x:c r="B5" s="11" t="str">
        <x:v>√2 × I_ss</x:v>
      </x:c>
      <x:c r="C5" s="11" t="n">
        <x:f>SQRT(2)*'入力条件'!B8</x:f>
        <x:v>4.242640687119286</x:v>
      </x:c>
      <x:c r="D5" s="18" t="n">
        <x:f>SQRT(2)*'入力条件'!B8</x:f>
        <x:v>4.242640687119286</x:v>
      </x:c>
      <x:c r="E5" s="11" t="str">
        <x:v>Apeak</x:v>
      </x:c>
      <x:c r="F5" s="11" t="str">
        <x:v>定常時の相電流実効値をピーク値へ変換する。</x:v>
      </x:c>
      <x:c r="G5" s="11" t="str"/>
      <x:c r="H5" s="31" t="str">
        <x:v>同上。定常時も I_ss,peak=√2×I_ss。以後の dq 軸電圧・電力式ではこのピーク値を使う。</x:v>
      </x:c>
    </x:row>
    <x:row r="6" ht="44" customHeight="1">
      <x:c r="A6" s="10" t="str">
        <x:v>定常時機械角速度 ω_m,ss</x:v>
      </x:c>
      <x:c r="B6" s="11" t="str">
        <x:v>n_ss × 2π / 60</x:v>
      </x:c>
      <x:c r="C6" s="11" t="n">
        <x:f>'入力条件'!B9*2*PI()/60</x:f>
        <x:v>1.0471975511965976</x:v>
      </x:c>
      <x:c r="D6" s="18" t="n">
        <x:f>'入力条件'!B9*2*PI()/60</x:f>
        <x:v>1.0471975511965976</x:v>
      </x:c>
      <x:c r="E6" s="11" t="str">
        <x:v>rad/s</x:v>
      </x:c>
      <x:c r="F6" s="11" t="str">
        <x:v>回転速度[rpm]を機械角速度[rad/s]へ変換する。</x:v>
      </x:c>
      <x:c r="G6" s="11" t="str"/>
      <x:c r="H6" s="31" t="str">
        <x:v>回転速度 n[rpm] を機械角速度へ変換する基本式。1回転=2π[rad]、1分=60[s] なので ω_m = n×2π/60。</x:v>
      </x:c>
    </x:row>
    <x:row r="7" ht="44" customHeight="1">
      <x:c r="A7" s="10" t="str">
        <x:v>定常時電気角速度 ω_e,ss</x:v>
      </x:c>
      <x:c r="B7" s="11" t="str">
        <x:v>p × ω_m,ss</x:v>
      </x:c>
      <x:c r="C7" s="11" t="n">
        <x:f>'入力条件'!B11*D6</x:f>
        <x:v>20.94395102393195</x:v>
      </x:c>
      <x:c r="D7" s="18" t="n">
        <x:f>'入力条件'!B11*D6</x:f>
        <x:v>20.94395102393195</x:v>
      </x:c>
      <x:c r="E7" s="11" t="str">
        <x:v>rad/s</x:v>
      </x:c>
      <x:c r="F7" s="11" t="str">
        <x:v>電気角速度は極ペア数倍になる。</x:v>
      </x:c>
      <x:c r="G7" s="11" t="str">
        <x:v>p = 20</x:v>
      </x:c>
      <x:c r="H7" s="31" t="str">
        <x:v>電気角速度は機械角速度の極ペア数倍。したがって ω_e = p×ω_m。極数40極なら極ペア数は20。</x:v>
      </x:c>
    </x:row>
    <x:row r="8" ht="44" customHeight="1">
      <x:c r="A8" s="10" t="str">
        <x:v>磁束鎖交数 λ_m</x:v>
      </x:c>
      <x:c r="B8" s="11" t="str">
        <x:v>Kt / (1.5 × p × √2)</x:v>
      </x:c>
      <x:c r="C8" s="11" t="n">
        <x:f>'入力条件'!B6/(1.5*'入力条件'!B11*SQRT(2))</x:f>
        <x:v>0.18856180831641267</x:v>
      </x:c>
      <x:c r="D8" s="18" t="n">
        <x:f>'入力条件'!B6/(1.5*'入力条件'!B11*SQRT(2))</x:f>
        <x:v>0.18856180831641267</x:v>
      </x:c>
      <x:c r="E8" s="11" t="str">
        <x:v>Wb</x:v>
      </x:c>
      <x:c r="F8" s="11" t="str">
        <x:v>T = 1.5 p λ_m i_q と Kt = T / I_rms から求める。</x:v>
      </x:c>
      <x:c r="G8" s="11" t="str">
        <x:v>1相あたり</x:v>
      </x:c>
      <x:c r="H8" s="31" t="str">
        <x:v>PMSM の電磁トルク T=(3/2)pλ_m i_q（i_q はピーク値）と、与条件 Kt=T/I_rms を等置する。i_q=√2 I_rms を代入すると Kt=(3/2)pλ_m√2 ⇒ λ_m=Kt/(1.5 p √2)。</x:v>
      </x:c>
    </x:row>
    <x:row r="9" ht="44" customHeight="1">
      <x:c r="A9" s="10" t="str">
        <x:v>起動時 d軸電圧 v_d,start</x:v>
      </x:c>
      <x:c r="B9" s="11" t="str">
        <x:v>0</x:v>
      </x:c>
      <x:c r="C9" s="11" t="n">
        <x:f>0</x:f>
        <x:v>0</x:v>
      </x:c>
      <x:c r="D9" s="18" t="n">
        <x:f>0</x:f>
        <x:v>0</x:v>
      </x:c>
      <x:c r="E9" s="11" t="str">
        <x:v>Vpeak</x:v>
      </x:c>
      <x:c r="F9" s="11" t="str">
        <x:v>0 rpmでは ω_e = 0 のため誘導成分は0。</x:v>
      </x:c>
      <x:c r="G9" s="11" t="str"/>
      <x:c r="H9" s="31" t="str">
        <x:v>起動瞬間は 0 rpm とみなすため ω_e=0。よって d軸の誘導項 v_d=-ω_e L i_q は 0 になる。</x:v>
      </x:c>
    </x:row>
    <x:row r="10" ht="44" customHeight="1">
      <x:c r="A10" s="10" t="str">
        <x:v>起動時 q軸電圧 v_q,start</x:v>
      </x:c>
      <x:c r="B10" s="11" t="str">
        <x:v>R × I_start,peak</x:v>
      </x:c>
      <x:c r="C10" s="11" t="n">
        <x:f>'入力条件'!B4*D4</x:f>
        <x:v>50.91168824543143</x:v>
      </x:c>
      <x:c r="D10" s="18" t="n">
        <x:f>'入力条件'!B4*D4</x:f>
        <x:v>50.91168824543143</x:v>
      </x:c>
      <x:c r="E10" s="11" t="str">
        <x:v>Vpeak</x:v>
      </x:c>
      <x:c r="F10" s="11" t="str">
        <x:v>起動瞬間は逆起電力が無く、抵抗降下のみ。</x:v>
      </x:c>
      <x:c r="G10" s="11" t="str"/>
      <x:c r="H10" s="31" t="str">
        <x:v>起動瞬間は逆起電力 ω_e λ_m も 0。したがって q軸電圧は抵抗降下のみで v_q=R i_q。</x:v>
      </x:c>
    </x:row>
    <x:row r="11" ht="44" customHeight="1">
      <x:c r="A11" s="10" t="str">
        <x:v>起動時必要電圧ベクトル V_req,start</x:v>
      </x:c>
      <x:c r="B11" s="11" t="str">
        <x:v>√(v_d² + v_q²)</x:v>
      </x:c>
      <x:c r="C11" s="11" t="n">
        <x:f>SQRT(D9^2+D10^2)</x:f>
        <x:v>50.91168824543143</x:v>
      </x:c>
      <x:c r="D11" s="18" t="n">
        <x:f>SQRT(D9^2+D10^2)</x:f>
        <x:v>50.91168824543143</x:v>
      </x:c>
      <x:c r="E11" s="11" t="str">
        <x:v>Vpeak</x:v>
      </x:c>
      <x:c r="F11" s="11" t="str">
        <x:v>dq軸電圧をベクトル合成した相電圧ピーク値。</x:v>
      </x:c>
      <x:c r="G11" s="11" t="str"/>
      <x:c r="H11" s="31" t="str">
        <x:v>必要な相電圧基本波ピーク値は dq ベクトル合成で V_req=√(v_d²+v_q²)。起動時は v_d=0 のため V_req=v_q。</x:v>
      </x:c>
    </x:row>
    <x:row r="12" ht="44" customHeight="1">
      <x:c r="A12" s="10" t="str">
        <x:v>起動時必要DCバス最低電圧 Vdc_min,start</x:v>
      </x:c>
      <x:c r="B12" s="11" t="str">
        <x:v>√3 × V_req,start</x:v>
      </x:c>
      <x:c r="C12" s="11" t="n">
        <x:f>SQRT(3)*D11</x:f>
        <x:v>88.18163074019442</x:v>
      </x:c>
      <x:c r="D12" s="18" t="n">
        <x:f>SQRT(3)*D11</x:f>
        <x:v>88.18163074019442</x:v>
      </x:c>
      <x:c r="E12" s="11" t="str">
        <x:v>Vdc</x:v>
      </x:c>
      <x:c r="F12" s="11" t="str">
        <x:v>SVPWM線形領域で出せる最大電圧ベクトル Vdc/√3 を使用。</x:v>
      </x:c>
      <x:c r="G12" s="11" t="str"/>
      <x:c r="H12" s="31" t="str">
        <x:v>SVPWM 線形領域で出せる電圧ベクトル最大値は Vdc/√3。したがって必要DCバス最低値は Vdc,min=√3×V_req。</x:v>
      </x:c>
    </x:row>
    <x:row r="13" ht="44" customHeight="1">
      <x:c r="A13" s="10" t="str">
        <x:v>定常時 d軸電圧 v_d,ss</x:v>
      </x:c>
      <x:c r="B13" s="11" t="str">
        <x:v>-ω_e,ss × L × I_ss,peak</x:v>
      </x:c>
      <x:c r="C13" s="11" t="n">
        <x:f>-D7*'入力条件'!B5*D5</x:f>
        <x:v>-1.7771531752633465</x:v>
      </x:c>
      <x:c r="D13" s="18" t="n">
        <x:f>-D7*'入力条件'!B5*D5</x:f>
        <x:v>-1.7771531752633465</x:v>
      </x:c>
      <x:c r="E13" s="11" t="str">
        <x:v>Vpeak</x:v>
      </x:c>
      <x:c r="F13" s="11" t="str">
        <x:v>インダクタンスによる電圧成分。</x:v>
      </x:c>
      <x:c r="G13" s="11" t="str"/>
      <x:c r="H13" s="31" t="str">
        <x:v>定常時の d軸電圧は v_d=-ω_e L i_q。id=0 制御でも q軸電流が流れるとクロス項としてこの成分が必要になる。</x:v>
      </x:c>
    </x:row>
    <x:row r="14" ht="44" customHeight="1">
      <x:c r="A14" s="10" t="str">
        <x:v>定常時 q軸電圧 v_q,ss</x:v>
      </x:c>
      <x:c r="B14" s="11" t="str">
        <x:v>R × I_ss,peak + ω_e,ss × λ_m</x:v>
      </x:c>
      <x:c r="C14" s="11" t="n">
        <x:f>'入力条件'!B4*D5 + D7*D8</x:f>
        <x:v>29.405073401078706</x:v>
      </x:c>
      <x:c r="D14" s="18" t="n">
        <x:f>'入力条件'!B4*D5 + D7*D8</x:f>
        <x:v>29.405073401078706</x:v>
      </x:c>
      <x:c r="E14" s="11" t="str">
        <x:v>Vpeak</x:v>
      </x:c>
      <x:c r="F14" s="11" t="str">
        <x:v>抵抗降下と逆起電力の和。</x:v>
      </x:c>
      <x:c r="G14" s="11" t="str"/>
      <x:c r="H14" s="31" t="str">
        <x:v>定常時の q軸電圧は抵抗降下と逆起電力の和。すなわち v_q=R i_q + ω_e λ_m。低速機でも抵抗項は無視できない。</x:v>
      </x:c>
    </x:row>
    <x:row r="15" ht="44" customHeight="1">
      <x:c r="A15" s="10" t="str">
        <x:v>定常時必要電圧ベクトル V_req,ss</x:v>
      </x:c>
      <x:c r="B15" s="11" t="str">
        <x:v>√(v_d² + v_q²)</x:v>
      </x:c>
      <x:c r="C15" s="11" t="n">
        <x:f>SQRT(D13^2+D14^2)</x:f>
        <x:v>29.45872731689499</x:v>
      </x:c>
      <x:c r="D15" s="18" t="n">
        <x:f>SQRT(D13^2+D14^2)</x:f>
        <x:v>29.45872731689499</x:v>
      </x:c>
      <x:c r="E15" s="11" t="str">
        <x:v>Vpeak</x:v>
      </x:c>
      <x:c r="F15" s="11" t="str">
        <x:v>10 rpm・3 Armsに必要な相電圧ベクトル。</x:v>
      </x:c>
      <x:c r="G15" s="11" t="str"/>
      <x:c r="H15" s="31" t="str">
        <x:v>相電圧基本波ピーク値は dq ベクトルの大きさ。定常時は d軸成分もわずかにあるので V_req=√(v_d²+v_q²) で求める。</x:v>
      </x:c>
    </x:row>
    <x:row r="16" ht="44" customHeight="1">
      <x:c r="A16" s="10" t="str">
        <x:v>定常時必要DCバス最低電圧 Vdc_min,ss</x:v>
      </x:c>
      <x:c r="B16" s="11" t="str">
        <x:v>√3 × V_req,ss</x:v>
      </x:c>
      <x:c r="C16" s="11" t="n">
        <x:f>SQRT(3)*D15</x:f>
        <x:v>51.02401243917931</x:v>
      </x:c>
      <x:c r="D16" s="18" t="n">
        <x:f>SQRT(3)*D15</x:f>
        <x:v>51.02401243917931</x:v>
      </x:c>
      <x:c r="E16" s="11" t="str">
        <x:v>Vdc</x:v>
      </x:c>
      <x:c r="F16" s="11" t="str">
        <x:v>定常運転時のDCバス最低値。</x:v>
      </x:c>
      <x:c r="G16" s="11" t="str"/>
      <x:c r="H16" s="31" t="str">
        <x:v>起動時と同じく、SVPWM 線形領域の条件 V_max=Vdc/√3 から Vdc,min=√3×V_req を用いる。</x:v>
      </x:c>
    </x:row>
    <x:row r="17" ht="44" customHeight="1">
      <x:c r="A17" s="10" t="str">
        <x:v>加速中ワースト d軸電圧 v_d,acc</x:v>
      </x:c>
      <x:c r="B17" s="11" t="str">
        <x:v>-ω_e,ss × L × I_start,peak</x:v>
      </x:c>
      <x:c r="C17" s="11" t="n">
        <x:f>-D7*'入力条件'!B5*D4</x:f>
        <x:v>-3.554306350526693</x:v>
      </x:c>
      <x:c r="D17" s="18" t="n">
        <x:f>-D7*'入力条件'!B5*D4</x:f>
        <x:v>-3.554306350526693</x:v>
      </x:c>
      <x:c r="E17" s="11" t="str">
        <x:v>Vpeak</x:v>
      </x:c>
      <x:c r="F17" s="11" t="str">
        <x:v>起動中も6 Arms一定のまま10 rpmまで上がる最悪条件。</x:v>
      </x:c>
      <x:c r="G17" s="11" t="str"/>
      <x:c r="H17" s="31" t="str">
        <x:v>起動中は 6 Arms 一定という条件で、速度が 10 rpm まで上がった瞬間を最悪点とみなす。v_d は ω_e と i_q の両方に比例するため、定常時 3 Arms より大きくなる。</x:v>
      </x:c>
    </x:row>
    <x:row r="18" ht="44" customHeight="1">
      <x:c r="A18" s="10" t="str">
        <x:v>加速中ワースト q軸電圧 v_q,acc</x:v>
      </x:c>
      <x:c r="B18" s="11" t="str">
        <x:v>R × I_start,peak + ω_e,ss × λ_m</x:v>
      </x:c>
      <x:c r="C18" s="11" t="n">
        <x:f>'入力条件'!B4*D4 + D7*D8</x:f>
        <x:v>54.86091752379442</x:v>
      </x:c>
      <x:c r="D18" s="18" t="n">
        <x:f>'入力条件'!B4*D4 + D7*D8</x:f>
        <x:v>54.86091752379442</x:v>
      </x:c>
      <x:c r="E18" s="11" t="str">
        <x:v>Vpeak</x:v>
      </x:c>
      <x:c r="F18" s="11" t="str">
        <x:v>6 Arms一定なので抵抗降下が大きい。</x:v>
      </x:c>
      <x:c r="G18" s="11" t="str"/>
      <x:c r="H18" s="31" t="str">
        <x:v>加速中ワーストの q軸電圧も v_q=R i_q + ω_e λ_m。6 Arms 一定なので抵抗降下 R i_q が定常時より大きい。</x:v>
      </x:c>
    </x:row>
    <x:row r="19" ht="44" customHeight="1">
      <x:c r="A19" s="10" t="str">
        <x:v>加速中ワースト必要電圧ベクトル V_req,acc</x:v>
      </x:c>
      <x:c r="B19" s="11" t="str">
        <x:v>√(v_d² + v_q²)</x:v>
      </x:c>
      <x:c r="C19" s="11" t="n">
        <x:f>SQRT(D17^2+D18^2)</x:f>
        <x:v>54.97593441848868</x:v>
      </x:c>
      <x:c r="D19" s="18" t="n">
        <x:f>SQRT(D17^2+D18^2)</x:f>
        <x:v>54.97593441848868</x:v>
      </x:c>
      <x:c r="E19" s="11" t="str">
        <x:v>Vpeak</x:v>
      </x:c>
      <x:c r="F19" s="11" t="str">
        <x:v>起動区間全体の電圧設計に使う。</x:v>
      </x:c>
      <x:c r="G19" s="11" t="str"/>
      <x:c r="H19" s="31" t="str">
        <x:v>ワースト時の相電圧ベクトルも同じく V_req=√(v_d²+v_q²)。起動区間全体の電圧設計ではこの行が最重要。</x:v>
      </x:c>
    </x:row>
    <x:row r="20" ht="44" customHeight="1">
      <x:c r="A20" s="10" t="str">
        <x:v>加速中ワースト必要DCバス最低電圧 Vdc_min,acc</x:v>
      </x:c>
      <x:c r="B20" s="11" t="str">
        <x:v>√3 × V_req,acc</x:v>
      </x:c>
      <x:c r="C20" s="11" t="n">
        <x:f>SQRT(3)*D19</x:f>
        <x:v>95.22111160639695</x:v>
      </x:c>
      <x:c r="D20" s="18" t="n">
        <x:f>SQRT(3)*D19</x:f>
        <x:v>95.22111160639695</x:v>
      </x:c>
      <x:c r="E20" s="11" t="str">
        <x:v>Vdc</x:v>
      </x:c>
      <x:c r="F20" s="11" t="str">
        <x:v>0〜10 rpmの起動区間全体で見るとこの値が支配的。</x:v>
      </x:c>
      <x:c r="G20" s="11" t="str"/>
      <x:c r="H20" s="31" t="str">
        <x:v>Vdc,min=√3×V_req。0 rpm の瞬間だけでなく加速中の最高回転点まで見ると、この値が起動区間支配条件になる。</x:v>
      </x:c>
    </x:row>
    <x:row r="21" ht="44" customHeight="1">
      <x:c r="A21" s="10" t="str">
        <x:v>定常時トルク T_ss</x:v>
      </x:c>
      <x:c r="B21" s="11" t="str">
        <x:v>Kt × I_ss</x:v>
      </x:c>
      <x:c r="C21" s="11" t="n">
        <x:f>'入力条件'!B6*'入力条件'!B8</x:f>
        <x:v>24</x:v>
      </x:c>
      <x:c r="D21" s="18" t="n">
        <x:f>'入力条件'!B6*'入力条件'!B8</x:f>
        <x:v>24</x:v>
      </x:c>
      <x:c r="E21" s="11" t="str">
        <x:v>Nm</x:v>
      </x:c>
      <x:c r="F21" s="11" t="str">
        <x:v>トルク定数はNm/Armsなので実効値電流をそのまま掛ける。</x:v>
      </x:c>
      <x:c r="G21" s="11" t="str"/>
      <x:c r="H21" s="31" t="str">
        <x:v>与えられたトルク定数 Kt[Nm/Arms] は実効値電流ベースなので、定常トルクは T_ss=Kt×I_ss と直接計算できる。</x:v>
      </x:c>
    </x:row>
    <x:row r="22" ht="44" customHeight="1">
      <x:c r="A22" s="10" t="str">
        <x:v>定常時機械出力 P_out,ss</x:v>
      </x:c>
      <x:c r="B22" s="11" t="str">
        <x:v>T_ss × ω_m,ss</x:v>
      </x:c>
      <x:c r="C22" s="11" t="n">
        <x:f>D21*D6</x:f>
        <x:v>25.132741228718345</x:v>
      </x:c>
      <x:c r="D22" s="18" t="n">
        <x:f>D21*D6</x:f>
        <x:v>25.132741228718345</x:v>
      </x:c>
      <x:c r="E22" s="11" t="str">
        <x:v>W</x:v>
      </x:c>
      <x:c r="F22" s="11" t="str">
        <x:v>機械出力 = トルク × 機械角速度。</x:v>
      </x:c>
      <x:c r="G22" s="11" t="str"/>
      <x:c r="H22" s="31" t="str">
        <x:v>機械出力の定義 P_out=Tω を使用。ここで ω は機械角速度 ω_m であり、電気角速度ではない点に注意。</x:v>
      </x:c>
    </x:row>
    <x:row r="23" ht="44" customHeight="1">
      <x:c r="A23" s="10" t="str">
        <x:v>定常時銅損 P_cu,ss</x:v>
      </x:c>
      <x:c r="B23" s="11" t="str">
        <x:v>3 × I_ss² × R</x:v>
      </x:c>
      <x:c r="C23" s="11" t="n">
        <x:f>3*'入力条件'!B8^2*'入力条件'!B4</x:f>
        <x:v>162</x:v>
      </x:c>
      <x:c r="D23" s="18" t="n">
        <x:f>3*'入力条件'!B8^2*'入力条件'!B4</x:f>
        <x:v>162</x:v>
      </x:c>
      <x:c r="E23" s="11" t="str">
        <x:v>W</x:v>
      </x:c>
      <x:c r="F23" s="11" t="str">
        <x:v>3相巻線のジュール損。</x:v>
      </x:c>
      <x:c r="G23" s="11" t="str">
        <x:v>定常時発熱量</x:v>
      </x:c>
      <x:c r="H23" s="31" t="str">
        <x:v>3相巻線の銅損は各相の I²R を3相分足して P_cu=3 I_rms² R。インダクタンスは平均発熱には寄与しない。</x:v>
      </x:c>
    </x:row>
    <x:row r="24" ht="44" customHeight="1">
      <x:c r="A24" s="10" t="str">
        <x:v>定常時電気入力 P_in,ss</x:v>
      </x:c>
      <x:c r="B24" s="11" t="str">
        <x:v>P_out,ss + P_cu,ss</x:v>
      </x:c>
      <x:c r="C24" s="11" t="n">
        <x:f>D22+D23</x:f>
        <x:v>187.13274122871834</x:v>
      </x:c>
      <x:c r="D24" s="18" t="n">
        <x:f>D22+D23</x:f>
        <x:v>187.13274122871834</x:v>
      </x:c>
      <x:c r="E24" s="11" t="str">
        <x:v>W</x:v>
      </x:c>
      <x:c r="F24" s="11" t="str">
        <x:v>鉄損などを無視した簡易入力電力。</x:v>
      </x:c>
      <x:c r="G24" s="11" t="str"/>
      <x:c r="H24" s="31" t="str">
        <x:v>ここでは鉄損・機械損・インバータ損を無視し、簡易入力電力を P_in=P_out+P_cu と置いている。</x:v>
      </x:c>
    </x:row>
    <x:row r="25" ht="44" customHeight="1">
      <x:c r="A25" s="10" t="str">
        <x:v>定常時効率 η_ss</x:v>
      </x:c>
      <x:c r="B25" s="11" t="str">
        <x:v>P_out,ss / P_in,ss</x:v>
      </x:c>
      <x:c r="C25" s="11" t="n">
        <x:f>D22/D24</x:f>
        <x:v>0.13430435029004612</x:v>
      </x:c>
      <x:c r="D25" s="19" t="n">
        <x:f>D22/D24</x:f>
        <x:v>0.13430435029004612</x:v>
      </x:c>
      <x:c r="E25" s="11" t="str">
        <x:v>-</x:v>
      </x:c>
      <x:c r="F25" s="11" t="str">
        <x:v>銅損のみ考慮した簡易効率。</x:v>
      </x:c>
      <x:c r="G25" s="11" t="str"/>
      <x:c r="H25" s="31" t="str">
        <x:v>簡易効率は η=P_out/P_in。損失を銅損だけで見た下限評価に近い。Excel表示ではパーセント書式にすると読みやすい。</x:v>
      </x:c>
    </x:row>
    <x:row r="26" ht="44" customHeight="1">
      <x:c r="A26" s="10" t="str">
        <x:v>起動時銅損 P_cu,start</x:v>
      </x:c>
      <x:c r="B26" s="11" t="str">
        <x:v>3 × I_start² × R</x:v>
      </x:c>
      <x:c r="C26" s="11" t="n">
        <x:f>3*'入力条件'!B7^2*'入力条件'!B4</x:f>
        <x:v>648</x:v>
      </x:c>
      <x:c r="D26" s="18" t="n">
        <x:f>3*'入力条件'!B7^2*'入力条件'!B4</x:f>
        <x:v>648</x:v>
      </x:c>
      <x:c r="E26" s="11" t="str">
        <x:v>W</x:v>
      </x:c>
      <x:c r="F26" s="11" t="str">
        <x:v>起動時6 Arms一定の巻線発熱量。</x:v>
      </x:c>
      <x:c r="G26" s="11" t="str"/>
      <x:c r="H26" s="31" t="str">
        <x:v>起動時も同じ 3相銅損式を用い、I_start=6 Arms を代入して P_cu,start=3 I_start² R。</x:v>
      </x:c>
    </x:row>
    <x:row r="27" ht="44" customHeight="1">
      <x:c r="A27" s="10" t="str">
        <x:v>加速中平均発熱 P_heat,avg</x:v>
      </x:c>
      <x:c r="B27" s="11" t="str">
        <x:v>起動中6 Arms一定 → P_cu,start</x:v>
      </x:c>
      <x:c r="C27" s="11" t="n">
        <x:f>D26</x:f>
        <x:v>648</x:v>
      </x:c>
      <x:c r="D27" s="18" t="n">
        <x:f>D26</x:f>
        <x:v>648</x:v>
      </x:c>
      <x:c r="E27" s="11" t="str">
        <x:v>W</x:v>
      </x:c>
      <x:c r="F27" s="11" t="str">
        <x:v>今回の条件では平均発熱 = 起動時銅損。</x:v>
      </x:c>
      <x:c r="G27" s="11" t="str">
        <x:v>1 sの平均値</x:v>
      </x:c>
      <x:c r="H27" s="31" t="str">
        <x:v>起動中は 6 Arms 一定という条件なので、平均発熱は時間平均しても常に同じ値。よって P_heat,avg=P_cu,start。</x:v>
      </x:c>
    </x:row>
    <x:row r="28" ht="44" customHeight="1">
      <x:c r="A28" s="10" t="str">
        <x:v>加速中発熱エネルギー Q_acc</x:v>
      </x:c>
      <x:c r="B28" s="11" t="str">
        <x:v>P_heat,avg × t_acc</x:v>
      </x:c>
      <x:c r="C28" s="11" t="n">
        <x:f>D27*'入力条件'!B10</x:f>
        <x:v>648</x:v>
      </x:c>
      <x:c r="D28" s="18" t="n">
        <x:f>D27*'入力条件'!B10</x:f>
        <x:v>648</x:v>
      </x:c>
      <x:c r="E28" s="11" t="str">
        <x:v>J</x:v>
      </x:c>
      <x:c r="F28" s="11" t="str">
        <x:v>加速中に発生する総熱量。</x:v>
      </x:c>
      <x:c r="G28" s="11" t="str"/>
      <x:c r="H28" s="31" t="str">
        <x:v>発熱エネルギーは Q=P×t。平均発熱が一定なら Q_acc=P_heat,avg×t_acc で 1 秒間の総熱量[J]を求められる。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</x:cols>
  <x:sheetData>
    <x:row r="1">
      <x:c r="A1" s="15" t="str">
        <x:v>結果概要</x:v>
      </x:c>
    </x:row>
    <x:row r="3">
      <x:c r="A3" s="9" t="str">
        <x:v>指標</x:v>
      </x:c>
      <x:c r="B3" s="9" t="str">
        <x:v>値</x:v>
      </x:c>
      <x:c r="C3" s="9" t="str">
        <x:v>単位</x:v>
      </x:c>
      <x:c r="D3" s="9" t="str">
        <x:v>説明</x:v>
      </x:c>
    </x:row>
    <x:row r="4">
      <x:c r="A4" s="10" t="str">
        <x:v>起動時必要DCバス最低電圧</x:v>
      </x:c>
      <x:c r="B4" s="23" t="n">
        <x:f>'計算詳細'!D12</x:f>
        <x:v>88.18163074019442</x:v>
      </x:c>
      <x:c r="C4" s="11" t="str">
        <x:v>V</x:v>
      </x:c>
      <x:c r="D4" s="11" t="str">
        <x:v>0 rpm・6 Arms</x:v>
      </x:c>
    </x:row>
    <x:row r="5">
      <x:c r="A5" s="10" t="str">
        <x:v>定常時必要DCバス最低電圧</x:v>
      </x:c>
      <x:c r="B5" s="23" t="n">
        <x:f>'計算詳細'!D16</x:f>
        <x:v>51.02401243917931</x:v>
      </x:c>
      <x:c r="C5" s="11" t="str">
        <x:v>V</x:v>
      </x:c>
      <x:c r="D5" s="11" t="str">
        <x:v>10 rpm・3 Arms</x:v>
      </x:c>
    </x:row>
    <x:row r="6">
      <x:c r="A6" s="10" t="str">
        <x:v>起動区間を含む推奨最小DCバス</x:v>
      </x:c>
      <x:c r="B6" s="23" t="n">
        <x:f>'計算詳細'!D20</x:f>
        <x:v>95.22111160639695</x:v>
      </x:c>
      <x:c r="C6" s="11" t="str">
        <x:v>V</x:v>
      </x:c>
      <x:c r="D6" s="11" t="str">
        <x:v>6 Arms一定で10 rpmまで加速したワースト条件</x:v>
      </x:c>
    </x:row>
    <x:row r="7">
      <x:c r="A7" s="10" t="str">
        <x:v>定常時機械出力</x:v>
      </x:c>
      <x:c r="B7" s="23" t="n">
        <x:f>'計算詳細'!D22</x:f>
        <x:v>25.132741228718345</x:v>
      </x:c>
      <x:c r="C7" s="11" t="str">
        <x:v>W</x:v>
      </x:c>
      <x:c r="D7" s="11" t="str">
        <x:v>トルク × 角速度</x:v>
      </x:c>
    </x:row>
    <x:row r="8">
      <x:c r="A8" s="10" t="str">
        <x:v>定常時発熱量（銅損）</x:v>
      </x:c>
      <x:c r="B8" s="23" t="n">
        <x:f>'計算詳細'!D23</x:f>
        <x:v>162</x:v>
      </x:c>
      <x:c r="C8" s="11" t="str">
        <x:v>W</x:v>
      </x:c>
      <x:c r="D8" s="11" t="str">
        <x:v>巻線ジュール損</x:v>
      </x:c>
    </x:row>
    <x:row r="9">
      <x:c r="A9" s="10" t="str">
        <x:v>定常時効率</x:v>
      </x:c>
      <x:c r="B9" s="24" t="n">
        <x:f>'計算詳細'!D25</x:f>
        <x:v>0.13430435029004612</x:v>
      </x:c>
      <x:c r="C9" s="11" t="str">
        <x:v>%</x:v>
      </x:c>
      <x:c r="D9" s="11" t="str">
        <x:v>銅損のみ考慮</x:v>
      </x:c>
    </x:row>
    <x:row r="10">
      <x:c r="A10" s="10" t="str">
        <x:v>起動時銅損</x:v>
      </x:c>
      <x:c r="B10" s="23" t="n">
        <x:f>'計算詳細'!D26</x:f>
        <x:v>648</x:v>
      </x:c>
      <x:c r="C10" s="11" t="str">
        <x:v>W</x:v>
      </x:c>
      <x:c r="D10" s="11" t="str">
        <x:v>6 Arms一定</x:v>
      </x:c>
    </x:row>
    <x:row r="11">
      <x:c r="A11" s="10" t="str">
        <x:v>加速中平均発熱</x:v>
      </x:c>
      <x:c r="B11" s="23" t="n">
        <x:f>'計算詳細'!D27</x:f>
        <x:v>648</x:v>
      </x:c>
      <x:c r="C11" s="11" t="str">
        <x:v>W</x:v>
      </x:c>
      <x:c r="D11" s="11" t="str">
        <x:v>起動中は6 Arms一定のため起動時銅損と同じ</x:v>
      </x:c>
    </x:row>
    <x:row r="12">
      <x:c r="A12" s="10" t="str">
        <x:v>加速中発熱エネルギー</x:v>
      </x:c>
      <x:c r="B12" s="23" t="n">
        <x:f>'計算詳細'!D28</x:f>
        <x:v>648</x:v>
      </x:c>
      <x:c r="C12" s="11" t="str">
        <x:v>J</x:v>
      </x:c>
      <x:c r="D12" s="11" t="str">
        <x:v>平均発熱 × 1 s</x:v>
      </x:c>
    </x:row>
    <x:row r="13">
      <x:c r="A13" s="11"/>
      <x:c r="B13" s="11"/>
      <x:c r="C13" s="11"/>
      <x:c r="D13" s="11"/>
    </x:row>
    <x:row r="14">
      <x:c r="A14" s="12" t="str">
        <x:v>補足</x:v>
      </x:c>
      <x:c r="B14" s="12" t="str"/>
      <x:c r="C14" s="12" t="str"/>
      <x:c r="D14" s="12" t="str"/>
    </x:row>
    <x:row r="15">
      <x:c r="A15" s="10" t="str">
        <x:v>1</x:v>
      </x:c>
      <x:c r="B15" s="11" t="str">
        <x:v>発熱量は銅損のみです。</x:v>
      </x:c>
      <x:c r="C15" s="11" t="str"/>
      <x:c r="D15" s="11" t="str"/>
    </x:row>
    <x:row r="16">
      <x:c r="A16" s="10" t="str">
        <x:v>2</x:v>
      </x:c>
      <x:c r="B16" s="11" t="str">
        <x:v>鉄損、機械損、インバータ損、抵抗の温度上昇は含みません。</x:v>
      </x:c>
      <x:c r="C16" s="11" t="str"/>
      <x:c r="D16" s="11" t="str"/>
    </x:row>
    <x:row r="17">
      <x:c r="A17" s="10" t="str">
        <x:v>3</x:v>
      </x:c>
      <x:c r="B17" s="11" t="str">
        <x:v>起動中は6 Arms一定という条件で平均発熱を計算しています。</x:v>
      </x:c>
      <x:c r="C17" s="11" t="str"/>
      <x:c r="D17" s="11" t="str"/>
    </x:row>
    <x:row r="18">
      <x:c r="A18" s="10" t="str">
        <x:v>4</x:v>
      </x:c>
      <x:c r="B18" s="11" t="str">
        <x:v>実設計ではDCバスに10〜20%程度の余裕を持たせるのが一般的です。</x:v>
      </x:c>
      <x:c r="C18" s="11" t="str"/>
      <x:c r="D18" s="11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5" t="str">
        <x:v>グラフ</x:v>
      </x:c>
    </x:row>
    <x:row r="3">
      <x:c r="A3" s="12" t="str">
        <x:v>状態</x:v>
      </x:c>
      <x:c r="B3" s="12" t="str">
        <x:v>相電流 [Arms]</x:v>
      </x:c>
    </x:row>
    <x:row r="4">
      <x:c r="A4" s="10" t="str">
        <x:v>起動時</x:v>
      </x:c>
      <x:c r="B4" s="18" t="n">
        <x:f>'入力条件'!B7</x:f>
        <x:v>6</x:v>
      </x:c>
    </x:row>
    <x:row r="5">
      <x:c r="A5" s="10" t="str">
        <x:v>定常時</x:v>
      </x:c>
      <x:c r="B5" s="18" t="n">
        <x:f>'入力条件'!B8</x:f>
        <x:v>3</x:v>
      </x:c>
    </x:row>
    <x:row r="9">
      <x:c r="A9" s="12" t="str">
        <x:v>項目</x:v>
      </x:c>
      <x:c r="B9" s="12" t="str">
        <x:v>電力 [W]</x:v>
      </x:c>
    </x:row>
    <x:row r="10">
      <x:c r="A10" s="10" t="str">
        <x:v>定常時機械出力</x:v>
      </x:c>
      <x:c r="B10" s="18" t="n">
        <x:f>'計算詳細'!D22</x:f>
        <x:v>25.132741228718345</x:v>
      </x:c>
    </x:row>
    <x:row r="11">
      <x:c r="A11" s="10" t="str">
        <x:v>定常時発熱量</x:v>
      </x:c>
      <x:c r="B11" s="18" t="n">
        <x:f>'計算詳細'!D23</x:f>
        <x:v>162</x:v>
      </x:c>
    </x:row>
    <x:row r="12">
      <x:c r="A12" s="10" t="str">
        <x:v>起動時銅損</x:v>
      </x:c>
      <x:c r="B12" s="18" t="n">
        <x:f>'計算詳細'!D26</x:f>
        <x:v>648</x:v>
      </x:c>
    </x:row>
    <x:row r="13">
      <x:c r="A13" s="10" t="str">
        <x:v>加速中平均発熱</x:v>
      </x:c>
      <x:c r="B13" s="18" t="n">
        <x:f>'計算詳細'!D27</x:f>
        <x:v>648</x:v>
      </x:c>
    </x:row>
    <x:row r="17">
      <x:c r="A17" s="12" t="str">
        <x:v>状態</x:v>
      </x:c>
      <x:c r="B17" s="12" t="str">
        <x:v>必要DCバス [V]</x:v>
      </x:c>
    </x:row>
    <x:row r="18">
      <x:c r="A18" s="10" t="str">
        <x:v>起動時</x:v>
      </x:c>
      <x:c r="B18" s="18" t="n">
        <x:f>'計算詳細'!D12</x:f>
        <x:v>88.18163074019442</x:v>
      </x:c>
    </x:row>
    <x:row r="19">
      <x:c r="A19" s="10" t="str">
        <x:v>定常時</x:v>
      </x:c>
      <x:c r="B19" s="18" t="n">
        <x:f>'計算詳細'!D16</x:f>
        <x:v>51.02401243917931</x:v>
      </x:c>
    </x:row>
    <x:row r="20">
      <x:c r="A20" s="10" t="str">
        <x:v>加速中ワースト</x:v>
      </x:c>
      <x:c r="B20" s="18" t="n">
        <x:f>'計算詳細'!D20</x:f>
        <x:v>95.22111160639695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16cc0df9ac594b9e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8" hidden="0" customWidth="1"/>
    <x:col min="4" max="4" width="8" hidden="0" customWidth="1"/>
    <x:col min="5" max="5" width="8" hidden="0" customWidth="1"/>
    <x:col min="6" max="6" width="50" hidden="0" customWidth="1"/>
  </x:cols>
  <x:sheetData>
    <x:row r="1" ht="24" customHeight="1">
      <x:c r="A1" s="37" t="str">
        <x:v>導出メモ（計算の考え方）</x:v>
      </x:c>
      <x:c r="B1" s="37"/>
      <x:c r="C1" s="37"/>
      <x:c r="D1" s="37"/>
      <x:c r="E1" s="37"/>
      <x:c r="F1" s="37"/>
    </x:row>
    <x:row r="3" ht="28" customHeight="1">
      <x:c r="A3" s="41" t="str">
        <x:v>1. 基本前提</x:v>
      </x:c>
      <x:c r="B3" s="31" t="str"/>
      <x:c r="C3" s="31" t="str"/>
      <x:c r="D3" s="31" t="str"/>
      <x:c r="E3" s="31" t="str"/>
      <x:c r="F3" s="31" t="str"/>
    </x:row>
    <x:row r="4" ht="28" customHeight="1">
      <x:c r="A4" s="31" t="str">
        <x:v>モータモデル</x:v>
      </x:c>
      <x:c r="B4" s="31" t="str">
        <x:v>3相PMSM相当</x:v>
      </x:c>
      <x:c r="C4" s="31" t="str"/>
      <x:c r="D4" s="31" t="str"/>
      <x:c r="E4" s="31" t="str"/>
      <x:c r="F4" s="31" t="str">
        <x:v>正弦波電流、id=0制御を前提とする。</x:v>
      </x:c>
    </x:row>
    <x:row r="5" ht="28" customHeight="1">
      <x:c r="A5" s="31" t="str">
        <x:v>結線</x:v>
      </x:c>
      <x:c r="B5" s="31" t="str">
        <x:v>Y結線</x:v>
      </x:c>
      <x:c r="C5" s="31" t="str"/>
      <x:c r="D5" s="31" t="str"/>
      <x:c r="E5" s="31" t="str"/>
      <x:c r="F5" s="31" t="str">
        <x:v>平衡3相では線電流=相電流。したがって与えられた Arms をそのまま相電流として使える。</x:v>
      </x:c>
    </x:row>
    <x:row r="6" ht="28" customHeight="1">
      <x:c r="A6" s="31" t="str">
        <x:v>インバータ</x:v>
      </x:c>
      <x:c r="B6" s="31" t="str">
        <x:v>SVPWM（線形変調）</x:v>
      </x:c>
      <x:c r="C6" s="31" t="str"/>
      <x:c r="D6" s="31" t="str"/>
      <x:c r="E6" s="31" t="str"/>
      <x:c r="F6" s="31" t="str">
        <x:v>最大電圧ベクトルは Vdc/√3。これを DCバス計算に使う。</x:v>
      </x:c>
    </x:row>
    <x:row r="7" ht="28" customHeight="1">
      <x:c r="A7" s="31" t="str"/>
      <x:c r="B7" s="31" t="str"/>
      <x:c r="C7" s="31" t="str"/>
      <x:c r="D7" s="31" t="str"/>
      <x:c r="E7" s="31" t="str"/>
      <x:c r="F7" s="31" t="str"/>
    </x:row>
    <x:row r="8" ht="28" customHeight="1">
      <x:c r="A8" s="41" t="str">
        <x:v>2. rms値とpeak値の関係</x:v>
      </x:c>
      <x:c r="B8" s="31" t="str"/>
      <x:c r="C8" s="31" t="str"/>
      <x:c r="D8" s="31" t="str"/>
      <x:c r="E8" s="31" t="str"/>
      <x:c r="F8" s="31" t="str"/>
    </x:row>
    <x:row r="9" ht="28" customHeight="1">
      <x:c r="A9" s="31" t="str">
        <x:v>相電流ピーク値</x:v>
      </x:c>
      <x:c r="B9" s="31" t="str">
        <x:v>I_peak = √2 × I_rms</x:v>
      </x:c>
      <x:c r="C9" s="31" t="str"/>
      <x:c r="D9" s="31" t="str"/>
      <x:c r="E9" s="31" t="str"/>
      <x:c r="F9" s="31" t="str">
        <x:v>dq電圧式・トルク式はピーク値系で書くことが多いので、まずここを変換する。</x:v>
      </x:c>
    </x:row>
    <x:row r="10" ht="28" customHeight="1">
      <x:c r="A10" s="31" t="str">
        <x:v>起動時</x:v>
      </x:c>
      <x:c r="B10" s="31" t="n">
        <x:f>SQRT(2)*'入力条件'!B7</x:f>
        <x:v>8.485281374238571</x:v>
      </x:c>
      <x:c r="C10" s="31" t="str"/>
      <x:c r="D10" s="31" t="str"/>
      <x:c r="E10" s="31" t="str"/>
      <x:c r="F10" s="31" t="str">
        <x:v>6 Arms → 8.485 Apeak</x:v>
      </x:c>
    </x:row>
    <x:row r="11" ht="28" customHeight="1">
      <x:c r="A11" s="31" t="str">
        <x:v>定常時</x:v>
      </x:c>
      <x:c r="B11" s="31" t="n">
        <x:f>SQRT(2)*'入力条件'!B8</x:f>
        <x:v>4.242640687119286</x:v>
      </x:c>
      <x:c r="C11" s="31" t="str"/>
      <x:c r="D11" s="31" t="str"/>
      <x:c r="E11" s="31" t="str"/>
      <x:c r="F11" s="31" t="str">
        <x:v>3 Arms → 4.243 Apeak</x:v>
      </x:c>
    </x:row>
    <x:row r="12" ht="28" customHeight="1">
      <x:c r="A12" s="31" t="str"/>
      <x:c r="B12" s="31" t="str"/>
      <x:c r="C12" s="31" t="str"/>
      <x:c r="D12" s="31" t="str"/>
      <x:c r="E12" s="31" t="str"/>
      <x:c r="F12" s="31" t="str"/>
    </x:row>
    <x:row r="13" ht="28" customHeight="1">
      <x:c r="A13" s="41" t="str">
        <x:v>3. 速度の変換</x:v>
      </x:c>
      <x:c r="B13" s="31" t="str"/>
      <x:c r="C13" s="31" t="str"/>
      <x:c r="D13" s="31" t="str"/>
      <x:c r="E13" s="31" t="str"/>
      <x:c r="F13" s="31" t="str"/>
    </x:row>
    <x:row r="14" ht="28" customHeight="1">
      <x:c r="A14" s="31" t="str">
        <x:v>機械角速度</x:v>
      </x:c>
      <x:c r="B14" s="31" t="str">
        <x:v>ω_m = n × 2π / 60</x:v>
      </x:c>
      <x:c r="C14" s="31" t="str"/>
      <x:c r="D14" s="31" t="str"/>
      <x:c r="E14" s="31" t="str"/>
      <x:c r="F14" s="31" t="str">
        <x:v>rpm を rad/s に変換する。</x:v>
      </x:c>
    </x:row>
    <x:row r="15" ht="28" customHeight="1">
      <x:c r="A15" s="31" t="str">
        <x:v>電気角速度</x:v>
      </x:c>
      <x:c r="B15" s="31" t="str">
        <x:v>ω_e = p × ω_m</x:v>
      </x:c>
      <x:c r="C15" s="31" t="str"/>
      <x:c r="D15" s="31" t="str"/>
      <x:c r="E15" s="31" t="str"/>
      <x:c r="F15" s="31" t="str">
        <x:v>極ペア数 p=20 なので、10 rpm でも電気角速度は 20 倍になる。</x:v>
      </x:c>
    </x:row>
    <x:row r="16" ht="28" customHeight="1">
      <x:c r="A16" s="31" t="str"/>
      <x:c r="B16" s="31" t="str"/>
      <x:c r="C16" s="31" t="str"/>
      <x:c r="D16" s="31" t="str"/>
      <x:c r="E16" s="31" t="str"/>
      <x:c r="F16" s="31" t="str"/>
    </x:row>
    <x:row r="17" ht="28" customHeight="1">
      <x:c r="A17" s="41" t="str">
        <x:v>4. トルク定数から磁束鎖交数へ</x:v>
      </x:c>
      <x:c r="B17" s="31" t="str"/>
      <x:c r="C17" s="31" t="str"/>
      <x:c r="D17" s="31" t="str"/>
      <x:c r="E17" s="31" t="str"/>
      <x:c r="F17" s="31" t="str"/>
    </x:row>
    <x:row r="18" ht="28" customHeight="1">
      <x:c r="A18" s="31" t="str">
        <x:v>電磁トルク式</x:v>
      </x:c>
      <x:c r="B18" s="31" t="str">
        <x:v>T = (3/2) p λ_m i_q</x:v>
      </x:c>
      <x:c r="C18" s="31" t="str"/>
      <x:c r="D18" s="31" t="str"/>
      <x:c r="E18" s="31" t="str"/>
      <x:c r="F18" s="31" t="str">
        <x:v>PMSM の id=0 時の基本式。i_q はピーク値。</x:v>
      </x:c>
    </x:row>
    <x:row r="19" ht="28" customHeight="1">
      <x:c r="A19" s="31" t="str">
        <x:v>トルク定数の定義</x:v>
      </x:c>
      <x:c r="B19" s="31" t="str">
        <x:v>T = Kt × I_rms</x:v>
      </x:c>
      <x:c r="C19" s="31" t="str"/>
      <x:c r="D19" s="31" t="str"/>
      <x:c r="E19" s="31" t="str"/>
      <x:c r="F19" s="31" t="str">
        <x:v>今回の Kt は Nm/Arms ベース。</x:v>
      </x:c>
    </x:row>
    <x:row r="20" ht="28" customHeight="1">
      <x:c r="A20" s="31" t="str">
        <x:v>両式を接続</x:v>
      </x:c>
      <x:c r="B20" s="31" t="str">
        <x:v>Kt × I_rms = (3/2)p λ_m (√2 I_rms)</x:v>
      </x:c>
      <x:c r="C20" s="31" t="str"/>
      <x:c r="D20" s="31" t="str"/>
      <x:c r="E20" s="31" t="str"/>
      <x:c r="F20" s="31" t="str">
        <x:v>i_q=√2 I_rms を代入。</x:v>
      </x:c>
    </x:row>
    <x:row r="21" ht="28" customHeight="1">
      <x:c r="A21" s="31" t="str">
        <x:v>磁束鎖交数</x:v>
      </x:c>
      <x:c r="B21" s="31" t="str">
        <x:v>λ_m = Kt / (1.5 p √2)</x:v>
      </x:c>
      <x:c r="C21" s="31" t="str"/>
      <x:c r="D21" s="31" t="str"/>
      <x:c r="E21" s="31" t="str"/>
      <x:c r="F21" s="31" t="str">
        <x:v>この式で 1相あたりの磁束鎖交数を求める。</x:v>
      </x:c>
    </x:row>
    <x:row r="22" ht="28" customHeight="1">
      <x:c r="A22" s="31" t="str"/>
      <x:c r="B22" s="31" t="str"/>
      <x:c r="C22" s="31" t="str"/>
      <x:c r="D22" s="31" t="str"/>
      <x:c r="E22" s="31" t="str"/>
      <x:c r="F22" s="31" t="str"/>
    </x:row>
    <x:row r="23" ht="28" customHeight="1">
      <x:c r="A23" s="41" t="str">
        <x:v>5. dq軸電圧式</x:v>
      </x:c>
      <x:c r="B23" s="31" t="str"/>
      <x:c r="C23" s="31" t="str"/>
      <x:c r="D23" s="31" t="str"/>
      <x:c r="E23" s="31" t="str"/>
      <x:c r="F23" s="31" t="str"/>
    </x:row>
    <x:row r="24" ht="28" customHeight="1">
      <x:c r="A24" s="31" t="str">
        <x:v>d軸</x:v>
      </x:c>
      <x:c r="B24" s="31" t="str">
        <x:v>v_d = -ω_e L i_q</x:v>
      </x:c>
      <x:c r="C24" s="31" t="str"/>
      <x:c r="D24" s="31" t="str"/>
      <x:c r="E24" s="31" t="str"/>
      <x:c r="F24" s="31" t="str">
        <x:v>誘導性のクロス項。0 rpm では ω_e=0 なので 0。</x:v>
      </x:c>
    </x:row>
    <x:row r="25" ht="28" customHeight="1">
      <x:c r="A25" s="31" t="str">
        <x:v>q軸</x:v>
      </x:c>
      <x:c r="B25" s="31" t="str">
        <x:v>v_q = R i_q + ω_e λ_m</x:v>
      </x:c>
      <x:c r="C25" s="31" t="str"/>
      <x:c r="D25" s="31" t="str"/>
      <x:c r="E25" s="31" t="str"/>
      <x:c r="F25" s="31" t="str">
        <x:v>抵抗降下 + 逆起電力。</x:v>
      </x:c>
    </x:row>
    <x:row r="26" ht="28" customHeight="1">
      <x:c r="A26" s="31" t="str">
        <x:v>必要相電圧</x:v>
      </x:c>
      <x:c r="B26" s="31" t="str">
        <x:v>V_req = √(v_d² + v_q²)</x:v>
      </x:c>
      <x:c r="C26" s="31" t="str"/>
      <x:c r="D26" s="31" t="str"/>
      <x:c r="E26" s="31" t="str"/>
      <x:c r="F26" s="31" t="str">
        <x:v>dq ベクトルの大きさ。相電圧基本波のピーク値に相当。</x:v>
      </x:c>
    </x:row>
    <x:row r="27" ht="28" customHeight="1">
      <x:c r="A27" s="31" t="str">
        <x:v>DCバス最低値</x:v>
      </x:c>
      <x:c r="B27" s="31" t="str">
        <x:v>Vdc_min = √3 × V_req</x:v>
      </x:c>
      <x:c r="C27" s="31" t="str"/>
      <x:c r="D27" s="31" t="str"/>
      <x:c r="E27" s="31" t="str"/>
      <x:c r="F27" s="31" t="str">
        <x:v>SVPWM 線形領域の最大ベクトル Vdc/√3 を逆算。</x:v>
      </x:c>
    </x:row>
    <x:row r="28" ht="28" customHeight="1">
      <x:c r="A28" s="31" t="str"/>
      <x:c r="B28" s="31" t="str"/>
      <x:c r="C28" s="31" t="str"/>
      <x:c r="D28" s="31" t="str"/>
      <x:c r="E28" s="31" t="str"/>
      <x:c r="F28" s="31" t="str"/>
    </x:row>
    <x:row r="29" ht="28" customHeight="1">
      <x:c r="A29" s="41" t="str">
        <x:v>6. 出力・発熱・効率</x:v>
      </x:c>
      <x:c r="B29" s="31" t="str"/>
      <x:c r="C29" s="31" t="str"/>
      <x:c r="D29" s="31" t="str"/>
      <x:c r="E29" s="31" t="str"/>
      <x:c r="F29" s="31" t="str"/>
    </x:row>
    <x:row r="30" ht="28" customHeight="1">
      <x:c r="A30" s="31" t="str">
        <x:v>トルク</x:v>
      </x:c>
      <x:c r="B30" s="31" t="str">
        <x:v>T = Kt × I_ss</x:v>
      </x:c>
      <x:c r="C30" s="31" t="str"/>
      <x:c r="D30" s="31" t="str"/>
      <x:c r="E30" s="31" t="str"/>
      <x:c r="F30" s="31" t="str">
        <x:v>定常時の実効値電流で直接求める。</x:v>
      </x:c>
    </x:row>
    <x:row r="31" ht="28" customHeight="1">
      <x:c r="A31" s="31" t="str">
        <x:v>機械出力</x:v>
      </x:c>
      <x:c r="B31" s="31" t="str">
        <x:v>P_out = T × ω_m</x:v>
      </x:c>
      <x:c r="C31" s="31" t="str"/>
      <x:c r="D31" s="31" t="str"/>
      <x:c r="E31" s="31" t="str"/>
      <x:c r="F31" s="31" t="str">
        <x:v>トルクと機械角速度の積。</x:v>
      </x:c>
    </x:row>
    <x:row r="32" ht="28" customHeight="1">
      <x:c r="A32" s="31" t="str">
        <x:v>銅損</x:v>
      </x:c>
      <x:c r="B32" s="31" t="str">
        <x:v>P_cu = 3 I_rms² R</x:v>
      </x:c>
      <x:c r="C32" s="31" t="str"/>
      <x:c r="D32" s="31" t="str"/>
      <x:c r="E32" s="31" t="str"/>
      <x:c r="F32" s="31" t="str">
        <x:v>3相の I²R 損。巻線発熱量として扱う。</x:v>
      </x:c>
    </x:row>
    <x:row r="33" ht="28" customHeight="1">
      <x:c r="A33" s="31" t="str">
        <x:v>簡易入力電力</x:v>
      </x:c>
      <x:c r="B33" s="31" t="str">
        <x:v>P_in = P_out + P_cu</x:v>
      </x:c>
      <x:c r="C33" s="31" t="str"/>
      <x:c r="D33" s="31" t="str"/>
      <x:c r="E33" s="31" t="str"/>
      <x:c r="F33" s="31" t="str">
        <x:v>鉄損・機械損・インバータ損は未考慮。</x:v>
      </x:c>
    </x:row>
    <x:row r="34" ht="28" customHeight="1">
      <x:c r="A34" s="31" t="str">
        <x:v>簡易効率</x:v>
      </x:c>
      <x:c r="B34" s="31" t="str">
        <x:v>η = P_out / P_in</x:v>
      </x:c>
      <x:c r="C34" s="31" t="str"/>
      <x:c r="D34" s="31" t="str"/>
      <x:c r="E34" s="31" t="str"/>
      <x:c r="F34" s="31" t="str">
        <x:v>銅損のみ考慮した効率。</x:v>
      </x:c>
    </x:row>
    <x:row r="35" ht="28" customHeight="1">
      <x:c r="A35" s="41" t="str"/>
      <x:c r="B35" s="31" t="str"/>
      <x:c r="C35" s="31" t="str"/>
      <x:c r="D35" s="31" t="str"/>
      <x:c r="E35" s="31" t="str"/>
      <x:c r="F35" s="31" t="str"/>
    </x:row>
    <x:row r="36" ht="28" customHeight="1">
      <x:c r="A36" s="31" t="str">
        <x:v>7. 起動中平均発熱</x:v>
      </x:c>
      <x:c r="B36" s="31" t="str"/>
      <x:c r="C36" s="31" t="str"/>
      <x:c r="D36" s="31" t="str"/>
      <x:c r="E36" s="31" t="str"/>
      <x:c r="F36" s="31" t="str"/>
    </x:row>
    <x:row r="37" ht="28" customHeight="1">
      <x:c r="A37" s="31" t="str">
        <x:v>今回の条件</x:v>
      </x:c>
      <x:c r="B37" s="31" t="str">
        <x:v>起動中は 6 Arms 一定</x:v>
      </x:c>
      <x:c r="C37" s="31" t="str"/>
      <x:c r="D37" s="31" t="str"/>
      <x:c r="E37" s="31" t="str"/>
      <x:c r="F37" s="31" t="str">
        <x:v>よって時間平均しても銅損は一定。</x:v>
      </x:c>
    </x:row>
    <x:row r="38" ht="28" customHeight="1">
      <x:c r="A38" s="31" t="str">
        <x:v>平均発熱</x:v>
      </x:c>
      <x:c r="B38" s="31" t="str">
        <x:v>P_heat,avg = P_cu,start</x:v>
      </x:c>
      <x:c r="C38" s="31" t="str"/>
      <x:c r="D38" s="31" t="str"/>
      <x:c r="E38" s="31" t="str"/>
      <x:c r="F38" s="31" t="str">
        <x:v>648 W</x:v>
      </x:c>
    </x:row>
    <x:row r="39" ht="28" customHeight="1">
      <x:c r="A39" s="31" t="str">
        <x:v>発熱エネルギー</x:v>
      </x:c>
      <x:c r="B39" s="31" t="str">
        <x:v>Q_acc = P_heat,avg × t_acc</x:v>
      </x:c>
      <x:c r="C39" s="31" t="str"/>
      <x:c r="D39" s="31" t="str"/>
      <x:c r="E39" s="31" t="str"/>
      <x:c r="F39" s="31" t="str">
        <x:v>1秒加速なら 648 J</x:v>
      </x:c>
    </x:row>
  </x:sheetData>
  <x:mergeCells>
    <x:mergeCell ref="A1:F1"/>
    <x:mergeCell ref="A3:F3"/>
    <x:mergeCell ref="A8:F8"/>
    <x:mergeCell ref="A13:F13"/>
    <x:mergeCell ref="A17:F17"/>
    <x:mergeCell ref="A23:F23"/>
    <x:mergeCell ref="A29:F29"/>
    <x:mergeCell ref="A35:F35"/>
  </x:mergeCells>
  <x:pageMargins left="0.7" right="0.7" top="0.75" bottom="0.75" header="0.3" footer="0.3"/>
</x:worksheet>
</file>