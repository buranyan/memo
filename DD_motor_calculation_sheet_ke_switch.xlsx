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54c6c4a87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条件" sheetId="1" r:id="R1c71d0c4d351497f"/>
    <x:sheet xmlns:r="http://schemas.openxmlformats.org/officeDocument/2006/relationships" name="計算詳細" sheetId="2" r:id="Recc35fc5588f4d27"/>
    <x:sheet xmlns:r="http://schemas.openxmlformats.org/officeDocument/2006/relationships" name="結果概要" sheetId="3" r:id="Rb169d525a2834ff2"/>
    <x:sheet xmlns:r="http://schemas.openxmlformats.org/officeDocument/2006/relationships" name="グラフ" sheetId="4" r:id="R5ca05a0abf484ad2"/>
    <x:sheet xmlns:r="http://schemas.openxmlformats.org/officeDocument/2006/relationships" name="導出メモ" sheetId="5" r:id="R880a343e1a064081"/>
    <x:sheet xmlns:r="http://schemas.openxmlformats.org/officeDocument/2006/relationships" name="定義整理" sheetId="6" r:id="Rd5f9141584d6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D9E2F3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horizontal="right"/>
    </x:xf>
    <x:xf numFmtId="201" fontId="0" fillId="5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right" vertical="center" wrapText="1"/>
    </x:xf>
    <x:xf numFmtId="200" fontId="0" fillId="5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f5047aa894ec6" /><Relationship Type="http://schemas.openxmlformats.org/officeDocument/2006/relationships/theme" Target="/xl/theme/theme1.xml" Id="R549ed7982572456d" /><Relationship Type="http://schemas.openxmlformats.org/officeDocument/2006/relationships/sharedStrings" Target="/xl/sharedStrings.xml" Id="R8cc06fd0231f4551" /><Relationship Type="http://schemas.openxmlformats.org/officeDocument/2006/relationships/worksheet" Target="/xl/worksheets/sheet1.xml" Id="R1c71d0c4d351497f" /><Relationship Type="http://schemas.openxmlformats.org/officeDocument/2006/relationships/worksheet" Target="/xl/worksheets/sheet2.xml" Id="Recc35fc5588f4d27" /><Relationship Type="http://schemas.openxmlformats.org/officeDocument/2006/relationships/worksheet" Target="/xl/worksheets/sheet3.xml" Id="Rb169d525a2834ff2" /><Relationship Type="http://schemas.openxmlformats.org/officeDocument/2006/relationships/worksheet" Target="/xl/worksheets/sheet4.xml" Id="R5ca05a0abf484ad2" /><Relationship Type="http://schemas.openxmlformats.org/officeDocument/2006/relationships/worksheet" Target="/xl/worksheets/sheet5.xml" Id="R880a343e1a064081" /><Relationship Type="http://schemas.openxmlformats.org/officeDocument/2006/relationships/worksheet" Target="/xl/worksheets/sheet6.xml" Id="Rd5f9141584d64c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3e197e46f841c8" /><Relationship Type="http://schemas.openxmlformats.org/officeDocument/2006/relationships/chart" Target="/xl/drawings/charts/chart2.xml" Id="R9e18b371e7ee4729" /><Relationship Type="http://schemas.openxmlformats.org/officeDocument/2006/relationships/chart" Target="/xl/drawings/charts/chart3.xml" Id="R30db2e3dcc4c41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電流比較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相電流 [Arms]</c:v>
          </c:tx>
          <c:cat>
            <c:strRef>
              <c:f>'グラフ'!$A$4:$A$5</c:f>
              <c:strCache>
                <c:ptCount val="0"/>
              </c:strCache>
            </c:strRef>
          </c:cat>
          <c:val>
            <c:numRef>
              <c:f>'グラフ'!$B$4:$B$5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損失・出力比較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電力 [W]</c:v>
          </c:tx>
          <c:cat>
            <c:strRef>
              <c:f>'グラフ'!$A$9:$A$12</c:f>
              <c:strCache>
                <c:ptCount val="0"/>
              </c:strCache>
            </c:strRef>
          </c:cat>
          <c:val>
            <c:numRef>
              <c:f>'グラフ'!$B$9:$B$12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必要DCバス比較（選択方式）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必要DCバス [V]</c:v>
          </c:tx>
          <c:cat>
            <c:strRef>
              <c:f>'グラフ'!$A$16:$A$18</c:f>
              <c:strCache>
                <c:ptCount val="0"/>
              </c:strCache>
            </c:strRef>
          </c:cat>
          <c:val>
            <c:numRef>
              <c:f>'グラフ'!$B$16:$B$18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3e197e46f841c8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18b371e7ee4729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db2e3dcc4c41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181170a0562406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38" hidden="0" customWidth="1"/>
  </x:cols>
  <x:sheetData>
    <x:row r="1">
      <x:c r="A1" s="4" t="str">
        <x:v>DDモータ計算シート（Ke基準・SPWM/SVPWM切替対応）</x:v>
      </x:c>
      <x:c r="B1" s="4" t="str">
        <x:v>DDモータ計算シート（Ke基準・SPWM/SVPWM切替対応）</x:v>
      </x:c>
      <x:c r="C1" s="4" t="str">
        <x:v>DDモータ計算シート（Ke基準・SPWM/SVPWM切替対応）</x:v>
      </x:c>
      <x:c r="D1" s="4" t="str">
        <x:v>DDモータ計算シート（Ke基準・SPWM/SVPWM切替対応）</x:v>
      </x:c>
    </x:row>
    <x:row r="3">
      <x:c r="A3" s="8" t="str">
        <x:v>入力項目</x:v>
      </x:c>
      <x:c r="B3" s="8" t="str">
        <x:v>値</x:v>
      </x:c>
      <x:c r="C3" s="8" t="str">
        <x:v>単位</x:v>
      </x:c>
      <x:c r="D3" s="8" t="str">
        <x:v>備考</x:v>
      </x:c>
    </x:row>
    <x:row r="4">
      <x:c r="A4" s="12" t="str">
        <x:v>1相巻線抵抗 R</x:v>
      </x:c>
      <x:c r="B4" s="17" t="n">
        <x:v>6</x:v>
      </x:c>
      <x:c r="C4" s="16" t="str">
        <x:v>Ω</x:v>
      </x:c>
      <x:c r="D4" s="16" t="str">
        <x:v>Y結線・1相あたり</x:v>
      </x:c>
    </x:row>
    <x:row r="5">
      <x:c r="A5" s="12" t="str">
        <x:v>1相インダクタンス L</x:v>
      </x:c>
      <x:c r="B5" s="17" t="n">
        <x:v>0.02</x:v>
      </x:c>
      <x:c r="C5" s="16" t="str">
        <x:v>H</x:v>
      </x:c>
      <x:c r="D5" s="16" t="str">
        <x:v>20 mH</x:v>
      </x:c>
    </x:row>
    <x:row r="6">
      <x:c r="A6" s="12" t="str">
        <x:v>トルク定数 Kt</x:v>
      </x:c>
      <x:c r="B6" s="17" t="n">
        <x:v>8</x:v>
      </x:c>
      <x:c r="C6" s="16" t="str">
        <x:v>Nm/Arms</x:v>
      </x:c>
      <x:c r="D6" s="16" t="str">
        <x:v>相電流実効値ベース</x:v>
      </x:c>
    </x:row>
    <x:row r="7">
      <x:c r="A7" s="12" t="str">
        <x:v>起動時相電流 I_start</x:v>
      </x:c>
      <x:c r="B7" s="17" t="n">
        <x:v>6</x:v>
      </x:c>
      <x:c r="C7" s="16" t="str">
        <x:v>Arms</x:v>
      </x:c>
      <x:c r="D7" s="16" t="str">
        <x:v>起動中は6 Arms一定</x:v>
      </x:c>
    </x:row>
    <x:row r="8">
      <x:c r="A8" s="12" t="str">
        <x:v>定常時相電流 I_ss</x:v>
      </x:c>
      <x:c r="B8" s="17" t="n">
        <x:v>3</x:v>
      </x:c>
      <x:c r="C8" s="16" t="str">
        <x:v>Arms</x:v>
      </x:c>
      <x:c r="D8" s="16" t="str">
        <x:v>定常状態</x:v>
      </x:c>
    </x:row>
    <x:row r="9">
      <x:c r="A9" s="12" t="str">
        <x:v>定常時回転速度 n_ss</x:v>
      </x:c>
      <x:c r="B9" s="17" t="n">
        <x:v>10</x:v>
      </x:c>
      <x:c r="C9" s="16" t="str">
        <x:v>rpm</x:v>
      </x:c>
      <x:c r="D9" s="16" t="str"/>
    </x:row>
    <x:row r="10">
      <x:c r="A10" s="12" t="str">
        <x:v>加速時間 t_acc</x:v>
      </x:c>
      <x:c r="B10" s="17" t="n">
        <x:v>1</x:v>
      </x:c>
      <x:c r="C10" s="16" t="str">
        <x:v>s</x:v>
      </x:c>
      <x:c r="D10" s="16" t="str">
        <x:v>0 rpm → 10 rpm</x:v>
      </x:c>
    </x:row>
    <x:row r="11">
      <x:c r="A11" s="12" t="str">
        <x:v>極ペア数 p</x:v>
      </x:c>
      <x:c r="B11" s="17" t="n">
        <x:v>20</x:v>
      </x:c>
      <x:c r="C11" s="16" t="str">
        <x:v>-</x:v>
      </x:c>
      <x:c r="D11" s="16" t="str"/>
    </x:row>
    <x:row r="12">
      <x:c r="A12"/>
      <x:c r="B12"/>
      <x:c r="C12"/>
      <x:c r="D12"/>
    </x:row>
    <x:row r="13">
      <x:c r="A13" s="8" t="str">
        <x:v>インバータ設計設定</x:v>
      </x:c>
      <x:c r="B13" s="8"/>
      <x:c r="C13" s="8"/>
      <x:c r="D13" s="8"/>
    </x:row>
    <x:row r="14">
      <x:c r="A14" s="12" t="str">
        <x:v>変調方式</x:v>
      </x:c>
      <x:c r="B14" s="14" t="str">
        <x:v>SVPWM</x:v>
      </x:c>
      <x:c r="C14" s="16" t="str">
        <x:v>-</x:v>
      </x:c>
      <x:c r="D14" s="16" t="str">
        <x:v>ここを SPWM / SVPWM で切替</x:v>
      </x:c>
    </x:row>
    <x:row r="15">
      <x:c r="A15" s="12" t="str">
        <x:v>線間基本波rms / Vdc 係数 k_mod</x:v>
      </x:c>
      <x:c r="B15" s="17" t="n">
        <x:f>IF(B14="SVPWM",1/SQRT(2),SQRT(3/8))</x:f>
        <x:v>0.7071067811865475</x:v>
      </x:c>
      <x:c r="C15" s="16" t="str">
        <x:v>-</x:v>
      </x:c>
      <x:c r="D15" s="16" t="str">
        <x:v>SPWM: 0.612, SVPWM: 0.707</x:v>
      </x:c>
    </x:row>
    <x:row r="16">
      <x:c r="A16" s="12" t="str">
        <x:v>相基本波peak / Vdc 係数 k_ph,max</x:v>
      </x:c>
      <x:c r="B16" s="17" t="n">
        <x:f>IF(B14="SVPWM",1/SQRT(3),1/2)</x:f>
        <x:v>0.5773502691896258</x:v>
      </x:c>
      <x:c r="C16" s="16" t="str">
        <x:v>-</x:v>
      </x:c>
      <x:c r="D16" s="16" t="str">
        <x:v>SPWM: 0.500, SVPWM: 0.577</x:v>
      </x:c>
    </x:row>
    <x:row r="17" ht="26" customHeight="1">
      <x:c r="A17" s="12" t="str">
        <x:v>DCバス換算の採用式</x:v>
      </x:c>
      <x:c r="B17" s="14" t="str">
        <x:v>Vdc = Vll,rms / k_mod = Vph,peak / k_ph,max</x:v>
      </x:c>
      <x:c r="C17" s="16" t="str">
        <x:v>-</x:v>
      </x:c>
      <x:c r="D17" s="16" t="str">
        <x:v>相peak基準版と線間rms基準版は同値</x:v>
      </x:c>
    </x:row>
    <x:row r="18">
      <x:c r="A18"/>
      <x:c r="B18"/>
      <x:c r="C18"/>
      <x:c r="D18"/>
    </x:row>
    <x:row r="19">
      <x:c r="A19" s="8" t="str">
        <x:v>計算前提</x:v>
      </x:c>
      <x:c r="B19" s="8" t="str">
        <x:v>内容</x:v>
      </x:c>
      <x:c r="C19" s="8"/>
      <x:c r="D19" s="8"/>
    </x:row>
    <x:row r="20" ht="26" customHeight="1">
      <x:c r="A20" s="12" t="str">
        <x:v>モータモデル</x:v>
      </x:c>
      <x:c r="B20" s="16" t="str">
        <x:v>3相PMSM相当</x:v>
      </x:c>
      <x:c r="C20" s="16"/>
      <x:c r="D20" s="16"/>
    </x:row>
    <x:row r="21" ht="26" customHeight="1">
      <x:c r="A21" s="12" t="str">
        <x:v>制御前提</x:v>
      </x:c>
      <x:c r="B21" s="16" t="str">
        <x:v>正弦波電流、id = 0制御</x:v>
      </x:c>
      <x:c r="C21" s="16"/>
      <x:c r="D21" s="16"/>
    </x:row>
    <x:row r="22" ht="26" customHeight="1">
      <x:c r="A22" s="12" t="str">
        <x:v>発熱の扱い</x:v>
      </x:c>
      <x:c r="B22" s="16" t="str">
        <x:v>巻線の銅損を発熱量として計算</x:v>
      </x:c>
      <x:c r="C22" s="16"/>
      <x:c r="D22" s="16"/>
    </x:row>
    <x:row r="23" ht="26" customHeight="1">
      <x:c r="A23" s="12" t="str">
        <x:v>効率の扱い</x:v>
      </x:c>
      <x:c r="B23" s="16" t="str">
        <x:v>機械出力 / (機械出力 + 銅損)</x:v>
      </x:c>
      <x:c r="C23" s="16"/>
      <x:c r="D23" s="16"/>
    </x:row>
  </x:sheetData>
  <x:mergeCells>
    <x:mergeCell ref="A1:D1"/>
  </x:mergeCells>
  <x:dataValidations count="1">
    <x:dataValidation type="list" sqref="B14">
      <x:formula1>"SVPWM,SPWM"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14" hidden="0" customWidth="1"/>
    <x:col min="5" max="5" width="14" hidden="0" customWidth="1"/>
    <x:col min="6" max="6" width="30" hidden="0" customWidth="1"/>
    <x:col min="7" max="7" width="20" hidden="0" customWidth="1"/>
    <x:col min="8" max="8" width="48" hidden="0" customWidth="1"/>
  </x:cols>
  <x:sheetData>
    <x:row r="1">
      <x:c r="A1" s="4" t="str">
        <x:v>計算詳細（Ke基準・相peak基準 / 線間rms基準を並記、変調方式切替対応）</x:v>
      </x:c>
      <x:c r="B1" s="4" t="str">
        <x:v>計算詳細（Ke基準・相peak基準 / 線間rms基準を並記、変調方式切替対応）</x:v>
      </x:c>
      <x:c r="C1" s="4" t="str">
        <x:v>計算詳細（Ke基準・相peak基準 / 線間rms基準を並記、変調方式切替対応）</x:v>
      </x:c>
      <x:c r="D1" s="4" t="str">
        <x:v>計算詳細（Ke基準・相peak基準 / 線間rms基準を並記、変調方式切替対応）</x:v>
      </x:c>
      <x:c r="E1" s="4" t="str">
        <x:v>計算詳細（Ke基準・相peak基準 / 線間rms基準を並記、変調方式切替対応）</x:v>
      </x:c>
      <x:c r="F1" s="4" t="str">
        <x:v>計算詳細（Ke基準・相peak基準 / 線間rms基準を並記、変調方式切替対応）</x:v>
      </x:c>
      <x:c r="G1" s="4" t="str">
        <x:v>計算詳細（Ke基準・相peak基準 / 線間rms基準を並記、変調方式切替対応）</x:v>
      </x:c>
      <x:c r="H1" s="4" t="str">
        <x:v>計算詳細（Ke基準・相peak基準 / 線間rms基準を並記、変調方式切替対応）</x:v>
      </x:c>
    </x:row>
    <x:row r="3">
      <x:c r="A3" s="8" t="str">
        <x:v>項目</x:v>
      </x:c>
      <x:c r="B3" s="8" t="str">
        <x:v>一般式</x:v>
      </x:c>
      <x:c r="C3" s="8" t="str">
        <x:v>Excel式（文字列）</x:v>
      </x:c>
      <x:c r="D3" s="8" t="str">
        <x:v>計算結果</x:v>
      </x:c>
      <x:c r="E3" s="8" t="str">
        <x:v>単位</x:v>
      </x:c>
      <x:c r="F3" s="8" t="str">
        <x:v>式の説明</x:v>
      </x:c>
      <x:c r="G3" s="8" t="str">
        <x:v>補足</x:v>
      </x:c>
      <x:c r="H3" s="8" t="str">
        <x:v>導出メモ</x:v>
      </x:c>
    </x:row>
    <x:row r="4">
      <x:c r="A4" s="12" t="str">
        <x:v>起動時電流ピーク値 I_start,peak</x:v>
      </x:c>
      <x:c r="B4" s="16" t="str">
        <x:v>√2 × I_start</x:v>
      </x:c>
      <x:c r="C4" s="16" t="str">
        <x:v>SQRT(2)×入力条件!B7</x:v>
      </x:c>
      <x:c r="D4" s="17" t="n">
        <x:f>SQRT(2)*'入力条件'!$B$7</x:f>
        <x:v>8.485281374238571</x:v>
      </x:c>
      <x:c r="E4" s="16" t="str">
        <x:v>Apeak</x:v>
      </x:c>
      <x:c r="F4" s="16" t="str">
        <x:v>相電流実効値をピーク値へ変換。</x:v>
      </x:c>
      <x:c r="G4" s="16" t="str">
        <x:v>dq式・相peak電圧式で使用</x:v>
      </x:c>
      <x:c r="H4" s="16" t="str">
        <x:v>Y結線では線電流=相電流。dq電圧式はピーク値系で扱うので I_peak=√2 I_rms に変換する。</x:v>
      </x:c>
    </x:row>
    <x:row r="5">
      <x:c r="A5" s="12" t="str">
        <x:v>定常時電流ピーク値 I_ss,peak</x:v>
      </x:c>
      <x:c r="B5" s="16" t="str">
        <x:v>√2 × I_ss</x:v>
      </x:c>
      <x:c r="C5" s="16" t="str">
        <x:v>SQRT(2)×入力条件!B8</x:v>
      </x:c>
      <x:c r="D5" s="17" t="n">
        <x:f>SQRT(2)*'入力条件'!$B$8</x:f>
        <x:v>4.242640687119286</x:v>
      </x:c>
      <x:c r="E5" s="16" t="str">
        <x:v>Apeak</x:v>
      </x:c>
      <x:c r="F5" s="16" t="str">
        <x:v>定常時の相電流実効値をピーク値へ変換。</x:v>
      </x:c>
      <x:c r="G5" s="16" t="str"/>
      <x:c r="H5" s="16" t="str">
        <x:v>同上。</x:v>
      </x:c>
    </x:row>
    <x:row r="6">
      <x:c r="A6" s="12" t="str">
        <x:v>定常時機械角速度 ω_m,ss</x:v>
      </x:c>
      <x:c r="B6" s="16" t="str">
        <x:v>n_ss × 2π / 60</x:v>
      </x:c>
      <x:c r="C6" s="16" t="str">
        <x:v>入力条件!B9×2π/60</x:v>
      </x:c>
      <x:c r="D6" s="17" t="n">
        <x:f>'入力条件'!$B$9*2*PI()/60</x:f>
        <x:v>1.0471975511965976</x:v>
      </x:c>
      <x:c r="E6" s="16" t="str">
        <x:v>rad/s</x:v>
      </x:c>
      <x:c r="F6" s="16" t="str">
        <x:v>回転速度[rpm]を機械角速度へ変換。</x:v>
      </x:c>
      <x:c r="G6" s="16" t="str"/>
      <x:c r="H6" s="16" t="str">
        <x:v>ω_m=n×2π/60。</x:v>
      </x:c>
    </x:row>
    <x:row r="7">
      <x:c r="A7" s="12" t="str">
        <x:v>定常時電気角速度 ω_e,ss</x:v>
      </x:c>
      <x:c r="B7" s="16" t="str">
        <x:v>p × ω_m,ss</x:v>
      </x:c>
      <x:c r="C7" s="16" t="str">
        <x:v>入力条件!B11×D6</x:v>
      </x:c>
      <x:c r="D7" s="17" t="n">
        <x:f>'入力条件'!$B$11*D6</x:f>
        <x:v>20.94395102393195</x:v>
      </x:c>
      <x:c r="E7" s="16" t="str">
        <x:v>rad/s</x:v>
      </x:c>
      <x:c r="F7" s="16" t="str">
        <x:v>d軸電圧の誘導項計算に使用。</x:v>
      </x:c>
      <x:c r="G7" s="16" t="str"/>
      <x:c r="H7" s="16" t="str">
        <x:v>ω_e=pω_m。</x:v>
      </x:c>
    </x:row>
    <x:row r="8">
      <x:c r="A8" s="12" t="str">
        <x:v>Ke（線間rms / 機械rad/s）</x:v>
      </x:c>
      <x:c r="B8" s="16" t="str">
        <x:v>Kt / √3</x:v>
      </x:c>
      <x:c r="C8" s="16" t="str">
        <x:v>入力条件!B6/SQRT(3)</x:v>
      </x:c>
      <x:c r="D8" s="17" t="n">
        <x:f>'入力条件'!$B$6/SQRT(3)</x:f>
        <x:v>4.618802153517007</x:v>
      </x:c>
      <x:c r="E8" s="16" t="str">
        <x:v>V/(rad/s)</x:v>
      </x:c>
      <x:c r="F8" s="16" t="str">
        <x:v>Ke を線間rms基準で定義。</x:v>
      </x:c>
      <x:c r="G8" s="16" t="str">
        <x:v>Kt[Nm/Arms] と整合</x:v>
      </x:c>
      <x:c r="H8" s="16" t="str">
        <x:v>Ke=Kt/√3 は Kt:Nm/Arms、Ke:線間rms[V/(rad/s)] のとき成立。</x:v>
      </x:c>
    </x:row>
    <x:row r="9">
      <x:c r="A9" s="12" t="str">
        <x:v>Ke（相peak / 機械rad/s）</x:v>
      </x:c>
      <x:c r="B9" s="16" t="str">
        <x:v>Ke_ll,rms × √(2/3)</x:v>
      </x:c>
      <x:c r="C9" s="16" t="str">
        <x:v>D8×SQRT(2/3)</x:v>
      </x:c>
      <x:c r="D9" s="17" t="n">
        <x:f>D8*SQRT(2/3)</x:f>
        <x:v>3.771236166328254</x:v>
      </x:c>
      <x:c r="E9" s="16" t="str">
        <x:v>V/(rad/s)</x:v>
      </x:c>
      <x:c r="F9" s="16" t="str">
        <x:v>相peak基準へ換算。</x:v>
      </x:c>
      <x:c r="G9" s="16" t="str">
        <x:v>vq の逆起電力項はこちら</x:v>
      </x:c>
      <x:c r="H9" s="16" t="str">
        <x:v>線間rms↔相peak の関係 Vll,rms=√(3/2)Vph,peak より Ke_ph,peak=Ke_ll,rms√(2/3)。</x:v>
      </x:c>
    </x:row>
    <x:row r="10">
      <x:c r="A10" s="12" t="str">
        <x:v>定常時逆起電力 E_ll,rms,ss</x:v>
      </x:c>
      <x:c r="B10" s="16" t="str">
        <x:v>Ke_ll,rms × ω_m,ss</x:v>
      </x:c>
      <x:c r="C10" s="16" t="str">
        <x:v>D8×D6</x:v>
      </x:c>
      <x:c r="D10" s="17" t="n">
        <x:f>D8*D6</x:f>
        <x:v>4.8367983046245815</x:v>
      </x:c>
      <x:c r="E10" s="16" t="str">
        <x:v>Vrms</x:v>
      </x:c>
      <x:c r="F10" s="16" t="str">
        <x:v>線間rms基準の逆起電力。</x:v>
      </x:c>
      <x:c r="G10" s="16" t="str"/>
      <x:c r="H10" s="16" t="str">
        <x:v>設計資料でよく使う Ke 基準。</x:v>
      </x:c>
    </x:row>
    <x:row r="11">
      <x:c r="A11" s="12" t="str">
        <x:v>定常時逆起電力 E_ph,peak,ss</x:v>
      </x:c>
      <x:c r="B11" s="16" t="str">
        <x:v>Ke_ph,peak × ω_m,ss</x:v>
      </x:c>
      <x:c r="C11" s="16" t="str">
        <x:v>D9×D6</x:v>
      </x:c>
      <x:c r="D11" s="17" t="n">
        <x:f>D9*D6</x:f>
        <x:v>3.949229278362992</x:v>
      </x:c>
      <x:c r="E11" s="16" t="str">
        <x:v>Vpeak</x:v>
      </x:c>
      <x:c r="F11" s="16" t="str">
        <x:v>相peak基準の逆起電力。</x:v>
      </x:c>
      <x:c r="G11" s="16" t="str">
        <x:v>q軸電圧式で使用</x:v>
      </x:c>
      <x:c r="H11" s="16" t="str">
        <x:v>q軸式 v_q=R i_q + e では相peak基準の e を使う。</x:v>
      </x:c>
    </x:row>
    <x:row r="12">
      <x:c r="A12" s="12" t="str">
        <x:v>起動時 q軸電圧 v_q,start</x:v>
      </x:c>
      <x:c r="B12" s="16" t="str">
        <x:v>R × I_start,peak</x:v>
      </x:c>
      <x:c r="C12" s="16" t="str">
        <x:v>入力条件!B4×D4</x:v>
      </x:c>
      <x:c r="D12" s="17" t="n">
        <x:f>'入力条件'!$B$4*D4</x:f>
        <x:v>50.91168824543143</x:v>
      </x:c>
      <x:c r="E12" s="16" t="str">
        <x:v>Vpeak</x:v>
      </x:c>
      <x:c r="F12" s="16" t="str">
        <x:v>起動瞬間は逆起電力が無く抵抗降下のみ。</x:v>
      </x:c>
      <x:c r="G12" s="16" t="str"/>
      <x:c r="H12" s="16" t="str">
        <x:v>0 rpmなので e=0。</x:v>
      </x:c>
    </x:row>
    <x:row r="13">
      <x:c r="A13" s="12" t="str">
        <x:v>起動時必要相電圧 V_ph,peak,start</x:v>
      </x:c>
      <x:c r="B13" s="16" t="str">
        <x:v>|v_q,start|</x:v>
      </x:c>
      <x:c r="C13" s="16" t="str">
        <x:v>ABS(D12)</x:v>
      </x:c>
      <x:c r="D13" s="17" t="n">
        <x:f>ABS(D12)</x:f>
        <x:v>50.91168824543143</x:v>
      </x:c>
      <x:c r="E13" s="16" t="str">
        <x:v>Vpeak</x:v>
      </x:c>
      <x:c r="F13" s="16" t="str">
        <x:v>相電圧基本波ピーク基準の必要電圧。</x:v>
      </x:c>
      <x:c r="G13" s="16" t="str"/>
      <x:c r="H13" s="16" t="str">
        <x:v>起動時は d軸成分0。</x:v>
      </x:c>
    </x:row>
    <x:row r="14">
      <x:c r="A14" s="12" t="str">
        <x:v>起動時必要線間電圧 V_ll,rms,start</x:v>
      </x:c>
      <x:c r="B14" s="16" t="str">
        <x:v>√(3/2) × V_ph,peak,start</x:v>
      </x:c>
      <x:c r="C14" s="16" t="str">
        <x:v>SQRT(3/2)×D13</x:v>
      </x:c>
      <x:c r="D14" s="17" t="n">
        <x:f>SQRT(3/2)*D13</x:f>
        <x:v>62.353829072479584</x:v>
      </x:c>
      <x:c r="E14" s="16" t="str">
        <x:v>Vrms</x:v>
      </x:c>
      <x:c r="F14" s="16" t="str">
        <x:v>線間rms基準へ換算。</x:v>
      </x:c>
      <x:c r="G14" s="16" t="str"/>
      <x:c r="H14" s="16" t="str">
        <x:v>Vll,rms=√(3/2)Vph,peak。</x:v>
      </x:c>
    </x:row>
    <x:row r="15">
      <x:c r="A15" s="12" t="str">
        <x:v>起動時必要DCバス（相peak基準）</x:v>
      </x:c>
      <x:c r="B15" s="16" t="str">
        <x:v>V_ph,peak,start / k_ph,max</x:v>
      </x:c>
      <x:c r="C15" s="16" t="str">
        <x:v>D13/入力条件!B16</x:v>
      </x:c>
      <x:c r="D15" s="17" t="n">
        <x:f>D13/'入力条件'!$B$16</x:f>
        <x:v>88.18163074019441</x:v>
      </x:c>
      <x:c r="E15" s="16" t="str">
        <x:v>Vdc</x:v>
      </x:c>
      <x:c r="F15" s="16" t="str">
        <x:v>相peak基準でのDCバス式。</x:v>
      </x:c>
      <x:c r="G15" s="16" t="str">
        <x:v>選択した変調方式で変わる</x:v>
      </x:c>
      <x:c r="H15" s="16" t="str">
        <x:v>SPWMなら Vph,peak,max=0.5Vdc、SVPWMなら Vdc/√3。</x:v>
      </x:c>
    </x:row>
    <x:row r="16">
      <x:c r="A16" s="12" t="str">
        <x:v>起動時必要DCバス（線間rms基準）</x:v>
      </x:c>
      <x:c r="B16" s="16" t="str">
        <x:v>V_ll,rms,start / k_mod</x:v>
      </x:c>
      <x:c r="C16" s="16" t="str">
        <x:v>D14/入力条件!B15</x:v>
      </x:c>
      <x:c r="D16" s="17" t="n">
        <x:f>D14/'入力条件'!$B$15</x:f>
        <x:v>88.18163074019442</x:v>
      </x:c>
      <x:c r="E16" s="16" t="str">
        <x:v>Vdc</x:v>
      </x:c>
      <x:c r="F16" s="16" t="str">
        <x:v>線間rms基準でのDCバス式。</x:v>
      </x:c>
      <x:c r="G16" s="16" t="str">
        <x:v>選択した変調方式で変わる</x:v>
      </x:c>
      <x:c r="H16" s="16" t="str">
        <x:v>SPWMなら Vll,rms,max=0.612Vdc、SVPWMなら 0.707Vdc。</x:v>
      </x:c>
    </x:row>
    <x:row r="17">
      <x:c r="A17" s="12" t="str">
        <x:v>起動時 DCバス差分チェック</x:v>
      </x:c>
      <x:c r="B17" s="16" t="str">
        <x:v>Vdc_ph - Vdc_ll</x:v>
      </x:c>
      <x:c r="C17" s="16" t="str">
        <x:v>D15-D16</x:v>
      </x:c>
      <x:c r="D17" s="17" t="n">
        <x:f>D15-D16</x:f>
        <x:v>-1.4210854715202004e-14</x:v>
      </x:c>
      <x:c r="E17" s="16" t="str">
        <x:v>V</x:v>
      </x:c>
      <x:c r="F17" s="16" t="str">
        <x:v>0に近ければ基準換算が整合</x:v>
      </x:c>
      <x:c r="G17" s="16" t="str"/>
      <x:c r="H17" s="16" t="str">
        <x:v>相peak基準版と線間rms基準版は同値。</x:v>
      </x:c>
    </x:row>
    <x:row r="18">
      <x:c r="A18" s="12" t="str">
        <x:v>定常時 d軸電圧 v_d,ss</x:v>
      </x:c>
      <x:c r="B18" s="16" t="str">
        <x:v>-p × ω_m,ss × L × I_ss,peak</x:v>
      </x:c>
      <x:c r="C18" s="16" t="str">
        <x:v>-D7×入力条件!B5×D5</x:v>
      </x:c>
      <x:c r="D18" s="17" t="n">
        <x:f>-D7*'入力条件'!$B$5*D5</x:f>
        <x:v>-1.7771531752633465</x:v>
      </x:c>
      <x:c r="E18" s="16" t="str">
        <x:v>Vpeak</x:v>
      </x:c>
      <x:c r="F18" s="16" t="str">
        <x:v>インダクタンスによる誘導項。</x:v>
      </x:c>
      <x:c r="G18" s="16" t="str"/>
      <x:c r="H18" s="16" t="str">
        <x:v>ω_e=pω_m を用いて λm を使わず表現。</x:v>
      </x:c>
    </x:row>
    <x:row r="19">
      <x:c r="A19" s="12" t="str">
        <x:v>定常時 q軸電圧 v_q,ss</x:v>
      </x:c>
      <x:c r="B19" s="16" t="str">
        <x:v>R × I_ss,peak + E_ph,peak,ss</x:v>
      </x:c>
      <x:c r="C19" s="16" t="str">
        <x:v>入力条件!B4×D5 + D11</x:v>
      </x:c>
      <x:c r="D19" s="17" t="n">
        <x:f>'入力条件'!$B$4*D5 + D11</x:f>
        <x:v>29.405073401078706</x:v>
      </x:c>
      <x:c r="E19" s="16" t="str">
        <x:v>Vpeak</x:v>
      </x:c>
      <x:c r="F19" s="16" t="str">
        <x:v>抵抗降下と逆起電力の和。</x:v>
      </x:c>
      <x:c r="G19" s="16" t="str"/>
      <x:c r="H19" s="16" t="str">
        <x:v>Ke基準なら逆起電力項は E_ph,peak,ss と書ける。</x:v>
      </x:c>
    </x:row>
    <x:row r="20">
      <x:c r="A20" s="12" t="str">
        <x:v>定常時必要相電圧 V_ph,peak,ss</x:v>
      </x:c>
      <x:c r="B20" s="16" t="str">
        <x:v>√(v_d,ss² + v_q,ss²)</x:v>
      </x:c>
      <x:c r="C20" s="16" t="str">
        <x:v>SQRT(D18^2 + D19^2)</x:v>
      </x:c>
      <x:c r="D20" s="17" t="n">
        <x:f>SQRT(D18^2 + D19^2)</x:f>
        <x:v>29.45872731689499</x:v>
      </x:c>
      <x:c r="E20" s="16" t="str">
        <x:v>Vpeak</x:v>
      </x:c>
      <x:c r="F20" s="16" t="str">
        <x:v>相peak基準の必要電圧。</x:v>
      </x:c>
      <x:c r="G20" s="16" t="str"/>
      <x:c r="H20" s="16" t="str">
        <x:v>dqベクトルの大きさ。</x:v>
      </x:c>
    </x:row>
    <x:row r="21">
      <x:c r="A21" s="12" t="str">
        <x:v>定常時必要線間電圧 V_ll,rms,ss</x:v>
      </x:c>
      <x:c r="B21" s="16" t="str">
        <x:v>√(3/2) × V_ph,peak,ss</x:v>
      </x:c>
      <x:c r="C21" s="16" t="str">
        <x:v>SQRT(3/2)×D20</x:v>
      </x:c>
      <x:c r="D21" s="17" t="n">
        <x:f>SQRT(3/2)*D20</x:f>
        <x:v>36.079425199090444</x:v>
      </x:c>
      <x:c r="E21" s="16" t="str">
        <x:v>Vrms</x:v>
      </x:c>
      <x:c r="F21" s="16" t="str">
        <x:v>線間rms基準へ換算。</x:v>
      </x:c>
      <x:c r="G21" s="16" t="str"/>
      <x:c r="H21" s="16" t="str"/>
    </x:row>
    <x:row r="22">
      <x:c r="A22" s="12" t="str">
        <x:v>定常時必要DCバス（相peak基準）</x:v>
      </x:c>
      <x:c r="B22" s="16" t="str">
        <x:v>V_ph,peak,ss / k_ph,max</x:v>
      </x:c>
      <x:c r="C22" s="16" t="str">
        <x:v>D20/入力条件!B16</x:v>
      </x:c>
      <x:c r="D22" s="17" t="n">
        <x:f>D20/'入力条件'!$B$16</x:f>
        <x:v>51.02401243917931</x:v>
      </x:c>
      <x:c r="E22" s="16" t="str">
        <x:v>Vdc</x:v>
      </x:c>
      <x:c r="F22" s="16" t="str">
        <x:v>相peak基準版。</x:v>
      </x:c>
      <x:c r="G22" s="16" t="str"/>
      <x:c r="H22" s="16" t="str"/>
    </x:row>
    <x:row r="23">
      <x:c r="A23" s="12" t="str">
        <x:v>定常時必要DCバス（線間rms基準）</x:v>
      </x:c>
      <x:c r="B23" s="16" t="str">
        <x:v>V_ll,rms,ss / k_mod</x:v>
      </x:c>
      <x:c r="C23" s="16" t="str">
        <x:v>D21/入力条件!B15</x:v>
      </x:c>
      <x:c r="D23" s="17" t="n">
        <x:f>D21/'入力条件'!$B$15</x:f>
        <x:v>51.024012439179316</x:v>
      </x:c>
      <x:c r="E23" s="16" t="str">
        <x:v>Vdc</x:v>
      </x:c>
      <x:c r="F23" s="16" t="str">
        <x:v>線間rms基準版。</x:v>
      </x:c>
      <x:c r="G23" s="16" t="str"/>
      <x:c r="H23" s="16" t="str"/>
    </x:row>
    <x:row r="24">
      <x:c r="A24" s="12" t="str">
        <x:v>定常時 DCバス差分チェック</x:v>
      </x:c>
      <x:c r="B24" s="16" t="str">
        <x:v>Vdc_ph - Vdc_ll</x:v>
      </x:c>
      <x:c r="C24" s="16" t="str">
        <x:v>D22-D23</x:v>
      </x:c>
      <x:c r="D24" s="17" t="n">
        <x:f>D22-D23</x:f>
        <x:v>-7.105427357601002e-15</x:v>
      </x:c>
      <x:c r="E24" s="16" t="str">
        <x:v>V</x:v>
      </x:c>
      <x:c r="F24" s="16" t="str">
        <x:v>0に近ければ整合。</x:v>
      </x:c>
      <x:c r="G24" s="16" t="str"/>
      <x:c r="H24" s="16" t="str"/>
    </x:row>
    <x:row r="25">
      <x:c r="A25" s="12" t="str">
        <x:v>加速ワースト d軸電圧 v_d,acc</x:v>
      </x:c>
      <x:c r="B25" s="16" t="str">
        <x:v>-p × ω_m,ss × L × I_start,peak</x:v>
      </x:c>
      <x:c r="C25" s="16" t="str">
        <x:v>-D7×入力条件!B5×D4</x:v>
      </x:c>
      <x:c r="D25" s="17" t="n">
        <x:f>-D7*'入力条件'!$B$5*D4</x:f>
        <x:v>-3.554306350526693</x:v>
      </x:c>
      <x:c r="E25" s="16" t="str">
        <x:v>Vpeak</x:v>
      </x:c>
      <x:c r="F25" s="16" t="str">
        <x:v>起動中6 Arms一定のまま10 rpmに達した最悪条件。</x:v>
      </x:c>
      <x:c r="G25" s="16" t="str"/>
      <x:c r="H25" s="16" t="str"/>
    </x:row>
    <x:row r="26">
      <x:c r="A26" s="12" t="str">
        <x:v>加速ワースト q軸電圧 v_q,acc</x:v>
      </x:c>
      <x:c r="B26" s="16" t="str">
        <x:v>R × I_start,peak + E_ph,peak,ss</x:v>
      </x:c>
      <x:c r="C26" s="16" t="str">
        <x:v>入力条件!B4×D4 + D11</x:v>
      </x:c>
      <x:c r="D26" s="17" t="n">
        <x:f>'入力条件'!$B$4*D4 + D11</x:f>
        <x:v>54.86091752379442</x:v>
      </x:c>
      <x:c r="E26" s="16" t="str">
        <x:v>Vpeak</x:v>
      </x:c>
      <x:c r="F26" s="16" t="str">
        <x:v>6 Arms一定なので抵抗降下が大きい。</x:v>
      </x:c>
      <x:c r="G26" s="16" t="str"/>
      <x:c r="H26" s="16" t="str"/>
    </x:row>
    <x:row r="27">
      <x:c r="A27" s="12" t="str">
        <x:v>加速ワースト必要相電圧 V_ph,peak,acc</x:v>
      </x:c>
      <x:c r="B27" s="16" t="str">
        <x:v>√(v_d,acc² + v_q,acc²)</x:v>
      </x:c>
      <x:c r="C27" s="16" t="str">
        <x:v>SQRT(D25^2 + D26^2)</x:v>
      </x:c>
      <x:c r="D27" s="17" t="n">
        <x:f>SQRT(D25^2 + D26^2)</x:f>
        <x:v>54.97593441848868</x:v>
      </x:c>
      <x:c r="E27" s="16" t="str">
        <x:v>Vpeak</x:v>
      </x:c>
      <x:c r="F27" s="16" t="str">
        <x:v>起動区間全体の設計支配条件。</x:v>
      </x:c>
      <x:c r="G27" s="16" t="str"/>
      <x:c r="H27" s="16" t="str"/>
    </x:row>
    <x:row r="28">
      <x:c r="A28" s="12" t="str">
        <x:v>加速ワースト必要線間電圧 V_ll,rms,acc</x:v>
      </x:c>
      <x:c r="B28" s="16" t="str">
        <x:v>√(3/2) × V_ph,peak,acc</x:v>
      </x:c>
      <x:c r="C28" s="16" t="str">
        <x:v>SQRT(3/2)×D27</x:v>
      </x:c>
      <x:c r="D28" s="17" t="n">
        <x:f>SQRT(3/2)*D27</x:f>
        <x:v>67.33149372900434</x:v>
      </x:c>
      <x:c r="E28" s="16" t="str">
        <x:v>Vrms</x:v>
      </x:c>
      <x:c r="F28" s="16" t="str">
        <x:v>線間rms基準へ換算。</x:v>
      </x:c>
      <x:c r="G28" s="16" t="str"/>
      <x:c r="H28" s="16" t="str"/>
    </x:row>
    <x:row r="29">
      <x:c r="A29" s="12" t="str">
        <x:v>加速ワースト必要DCバス（相peak基準）</x:v>
      </x:c>
      <x:c r="B29" s="16" t="str">
        <x:v>V_ph,peak,acc / k_ph,max</x:v>
      </x:c>
      <x:c r="C29" s="16" t="str">
        <x:v>D27/入力条件!B16</x:v>
      </x:c>
      <x:c r="D29" s="17" t="n">
        <x:f>D27/'入力条件'!$B$16</x:f>
        <x:v>95.22111160639693</x:v>
      </x:c>
      <x:c r="E29" s="16" t="str">
        <x:v>Vdc</x:v>
      </x:c>
      <x:c r="F29" s="16" t="str">
        <x:v>相peak基準版。</x:v>
      </x:c>
      <x:c r="G29" s="16" t="str"/>
      <x:c r="H29" s="16" t="str"/>
    </x:row>
    <x:row r="30">
      <x:c r="A30" s="12" t="str">
        <x:v>加速ワースト必要DCバス（線間rms基準）</x:v>
      </x:c>
      <x:c r="B30" s="16" t="str">
        <x:v>V_ll,rms,acc / k_mod</x:v>
      </x:c>
      <x:c r="C30" s="16" t="str">
        <x:v>D28/入力条件!B15</x:v>
      </x:c>
      <x:c r="D30" s="17" t="n">
        <x:f>D28/'入力条件'!$B$15</x:f>
        <x:v>95.22111160639695</x:v>
      </x:c>
      <x:c r="E30" s="16" t="str">
        <x:v>Vdc</x:v>
      </x:c>
      <x:c r="F30" s="16" t="str">
        <x:v>線間rms基準版。</x:v>
      </x:c>
      <x:c r="G30" s="16" t="str"/>
      <x:c r="H30" s="16" t="str"/>
    </x:row>
    <x:row r="31">
      <x:c r="A31" s="12" t="str">
        <x:v>加速ワースト DCバス差分チェック</x:v>
      </x:c>
      <x:c r="B31" s="16" t="str">
        <x:v>Vdc_ph - Vdc_ll</x:v>
      </x:c>
      <x:c r="C31" s="16" t="str">
        <x:v>D29-D30</x:v>
      </x:c>
      <x:c r="D31" s="17" t="n">
        <x:f>D29-D30</x:f>
        <x:v>-1.4210854715202004e-14</x:v>
      </x:c>
      <x:c r="E31" s="16" t="str">
        <x:v>V</x:v>
      </x:c>
      <x:c r="F31" s="16" t="str">
        <x:v>0に近ければ整合。</x:v>
      </x:c>
      <x:c r="G31" s="16" t="str"/>
      <x:c r="H31" s="16" t="str"/>
    </x:row>
    <x:row r="32">
      <x:c r="A32" s="12" t="str">
        <x:v>定常時トルク T_ss</x:v>
      </x:c>
      <x:c r="B32" s="16" t="str">
        <x:v>Kt × I_ss</x:v>
      </x:c>
      <x:c r="C32" s="16" t="str">
        <x:v>入力条件!B6×入力条件!B8</x:v>
      </x:c>
      <x:c r="D32" s="17" t="n">
        <x:f>'入力条件'!$B$6*'入力条件'!$B$8</x:f>
        <x:v>24</x:v>
      </x:c>
      <x:c r="E32" s="16" t="str">
        <x:v>Nm</x:v>
      </x:c>
      <x:c r="F32" s="16" t="str">
        <x:v>Kt が Nm/Arms なので実効値電流をそのまま掛ける。</x:v>
      </x:c>
      <x:c r="G32" s="16" t="str"/>
      <x:c r="H32" s="16" t="str"/>
    </x:row>
    <x:row r="33">
      <x:c r="A33" s="12" t="str">
        <x:v>定常時機械出力 P_out,ss</x:v>
      </x:c>
      <x:c r="B33" s="16" t="str">
        <x:v>T_ss × ω_m,ss</x:v>
      </x:c>
      <x:c r="C33" s="16" t="str">
        <x:v>D32×D6</x:v>
      </x:c>
      <x:c r="D33" s="17" t="n">
        <x:f>D32*D6</x:f>
        <x:v>25.132741228718345</x:v>
      </x:c>
      <x:c r="E33" s="16" t="str">
        <x:v>W</x:v>
      </x:c>
      <x:c r="F33" s="16" t="str">
        <x:v>機械出力 = トルク × 機械角速度。</x:v>
      </x:c>
      <x:c r="G33" s="16" t="str"/>
      <x:c r="H33" s="16" t="str"/>
    </x:row>
    <x:row r="34">
      <x:c r="A34" s="12" t="str">
        <x:v>定常時銅損 P_cu,ss</x:v>
      </x:c>
      <x:c r="B34" s="16" t="str">
        <x:v>3 × I_ss² × R</x:v>
      </x:c>
      <x:c r="C34" s="16" t="str">
        <x:v>3×(入力条件!B8^2)×入力条件!B4</x:v>
      </x:c>
      <x:c r="D34" s="17" t="n">
        <x:f>3*('入力条件'!$B$8^2)*'入力条件'!$B$4</x:f>
        <x:v>162</x:v>
      </x:c>
      <x:c r="E34" s="16" t="str">
        <x:v>W</x:v>
      </x:c>
      <x:c r="F34" s="16" t="str">
        <x:v>3相巻線のジュール損。</x:v>
      </x:c>
      <x:c r="G34" s="16" t="str">
        <x:v>定常時発熱量</x:v>
      </x:c>
      <x:c r="H34" s="16" t="str">
        <x:v>P_cu=3I_rms^2R。</x:v>
      </x:c>
    </x:row>
    <x:row r="35">
      <x:c r="A35" s="12" t="str">
        <x:v>定常時電気入力 P_in,ss</x:v>
      </x:c>
      <x:c r="B35" s="16" t="str">
        <x:v>P_out,ss + P_cu,ss</x:v>
      </x:c>
      <x:c r="C35" s="16" t="str">
        <x:v>D33+D34</x:v>
      </x:c>
      <x:c r="D35" s="17" t="n">
        <x:f>D33+D34</x:f>
        <x:v>187.13274122871834</x:v>
      </x:c>
      <x:c r="E35" s="16" t="str">
        <x:v>W</x:v>
      </x:c>
      <x:c r="F35" s="16" t="str">
        <x:v>銅損のみを考慮した簡易入力電力。</x:v>
      </x:c>
      <x:c r="G35" s="16" t="str"/>
      <x:c r="H35" s="16" t="str"/>
    </x:row>
    <x:row r="36">
      <x:c r="A36" s="12" t="str">
        <x:v>定常時効率 η_ss</x:v>
      </x:c>
      <x:c r="B36" s="16" t="str">
        <x:v>P_out,ss / P_in,ss</x:v>
      </x:c>
      <x:c r="C36" s="16" t="str">
        <x:v>D33/D35</x:v>
      </x:c>
      <x:c r="D36" s="18" t="n">
        <x:f>D33/D35</x:f>
        <x:v>0.13430435029004612</x:v>
      </x:c>
      <x:c r="E36" s="16" t="str">
        <x:v>-</x:v>
      </x:c>
      <x:c r="F36" s="16" t="str">
        <x:v>銅損のみ考慮した簡易効率。</x:v>
      </x:c>
      <x:c r="G36" s="16" t="str"/>
      <x:c r="H36" s="16" t="str"/>
    </x:row>
    <x:row r="37">
      <x:c r="A37" s="12" t="str">
        <x:v>起動時銅損 P_cu,start</x:v>
      </x:c>
      <x:c r="B37" s="16" t="str">
        <x:v>3 × I_start² × R</x:v>
      </x:c>
      <x:c r="C37" s="16" t="str">
        <x:v>3×(入力条件!B7^2)×入力条件!B4</x:v>
      </x:c>
      <x:c r="D37" s="17" t="n">
        <x:f>3*('入力条件'!$B$7^2)*'入力条件'!$B$4</x:f>
        <x:v>648</x:v>
      </x:c>
      <x:c r="E37" s="16" t="str">
        <x:v>W</x:v>
      </x:c>
      <x:c r="F37" s="16" t="str">
        <x:v>起動時6 Arms一定の銅損。</x:v>
      </x:c>
      <x:c r="G37" s="16" t="str"/>
      <x:c r="H37" s="16" t="str"/>
    </x:row>
    <x:row r="38">
      <x:c r="A38" s="12" t="str">
        <x:v>加速中平均発熱 P_heat,avg</x:v>
      </x:c>
      <x:c r="B38" s="16" t="str">
        <x:v>P_cu,start</x:v>
      </x:c>
      <x:c r="C38" s="16" t="str">
        <x:v>D37</x:v>
      </x:c>
      <x:c r="D38" s="17" t="n">
        <x:f>D37</x:f>
        <x:v>648</x:v>
      </x:c>
      <x:c r="E38" s="16" t="str">
        <x:v>W</x:v>
      </x:c>
      <x:c r="F38" s="16" t="str">
        <x:v>起動中は6 Arms一定なので起動時銅損と同じ。</x:v>
      </x:c>
      <x:c r="G38" s="16" t="str"/>
      <x:c r="H38" s="16" t="str"/>
    </x:row>
    <x:row r="39">
      <x:c r="A39" s="12" t="str">
        <x:v>加速中発熱エネルギー Q_acc</x:v>
      </x:c>
      <x:c r="B39" s="16" t="str">
        <x:v>P_heat,avg × t_acc</x:v>
      </x:c>
      <x:c r="C39" s="16" t="str">
        <x:v>D38×入力条件!B10</x:v>
      </x:c>
      <x:c r="D39" s="17" t="n">
        <x:f>D38*'入力条件'!$B$10</x:f>
        <x:v>648</x:v>
      </x:c>
      <x:c r="E39" s="16" t="str">
        <x:v>J</x:v>
      </x:c>
      <x:c r="F39" s="16" t="str">
        <x:v>加速1秒で発生する総熱量。</x:v>
      </x:c>
      <x:c r="G39" s="16" t="str"/>
      <x:c r="H39" s="16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0" hidden="0" customWidth="1"/>
    <x:col min="4" max="4" width="42" hidden="0" customWidth="1"/>
  </x:cols>
  <x:sheetData>
    <x:row r="1">
      <x:c r="A1" s="4" t="str">
        <x:v>結果概要</x:v>
      </x:c>
      <x:c r="B1" s="4" t="str">
        <x:v>結果概要</x:v>
      </x:c>
      <x:c r="C1" s="4" t="str">
        <x:v>結果概要</x:v>
      </x:c>
      <x:c r="D1" s="4" t="str">
        <x:v>結果概要</x:v>
      </x:c>
    </x:row>
    <x:row r="3">
      <x:c r="A3" s="8" t="str">
        <x:v>指標</x:v>
      </x:c>
      <x:c r="B3" s="8" t="str">
        <x:v>値</x:v>
      </x:c>
      <x:c r="C3" s="8" t="str">
        <x:v>単位</x:v>
      </x:c>
      <x:c r="D3" s="8" t="str">
        <x:v>説明</x:v>
      </x:c>
    </x:row>
    <x:row r="4" ht="22" customHeight="1">
      <x:c r="A4" s="12" t="str">
        <x:v>選択中の変調方式</x:v>
      </x:c>
      <x:c r="B4" s="14" t="str">
        <x:f>'入力条件'!$B$14</x:f>
        <x:v>SVPWM</x:v>
      </x:c>
      <x:c r="C4" s="16" t="str">
        <x:v>-</x:v>
      </x:c>
      <x:c r="D4" s="16" t="str">
        <x:v>入力条件シートの切替セルに連動</x:v>
      </x:c>
    </x:row>
    <x:row r="5" ht="22" customHeight="1">
      <x:c r="A5" s="12" t="str">
        <x:v>線間基本波rms / Vdc 係数 k_mod</x:v>
      </x:c>
      <x:c r="B5" s="17" t="n">
        <x:f>'入力条件'!$B$15</x:f>
        <x:v>0.7071067811865475</x:v>
      </x:c>
      <x:c r="C5" s="16" t="str">
        <x:v>-</x:v>
      </x:c>
      <x:c r="D5" s="16" t="str">
        <x:v>SPWM:0.612 / SVPWM:0.707</x:v>
      </x:c>
    </x:row>
    <x:row r="6" ht="22" customHeight="1">
      <x:c r="A6" s="12" t="str">
        <x:v>相基本波peak / Vdc 係数 k_ph,max</x:v>
      </x:c>
      <x:c r="B6" s="17" t="n">
        <x:f>'入力条件'!$B$16</x:f>
        <x:v>0.5773502691896258</x:v>
      </x:c>
      <x:c r="C6" s="16" t="str">
        <x:v>-</x:v>
      </x:c>
      <x:c r="D6" s="16" t="str">
        <x:v>SPWM:0.500 / SVPWM:0.577</x:v>
      </x:c>
    </x:row>
    <x:row r="7" ht="28" customHeight="1">
      <x:c r="A7" s="12" t="str">
        <x:v>起動時必要DCバス最低電圧（選択方式）</x:v>
      </x:c>
      <x:c r="B7" s="17" t="n">
        <x:f>'計算詳細'!D16</x:f>
        <x:v>88.18163074019442</x:v>
      </x:c>
      <x:c r="C7" s="16" t="str">
        <x:v>V</x:v>
      </x:c>
      <x:c r="D7" s="16" t="str">
        <x:v>設計で使う値（相peak/線間rmsどちらでも同値）</x:v>
      </x:c>
    </x:row>
    <x:row r="8" ht="28" customHeight="1">
      <x:c r="A8" s="12" t="str">
        <x:v>定常時必要DCバス最低電圧（選択方式）</x:v>
      </x:c>
      <x:c r="B8" s="17" t="n">
        <x:f>'計算詳細'!D23</x:f>
        <x:v>51.024012439179316</x:v>
      </x:c>
      <x:c r="C8" s="16" t="str">
        <x:v>V</x:v>
      </x:c>
      <x:c r="D8" s="16" t="str">
        <x:v>設計で使う値（相peak/線間rmsどちらでも同値）</x:v>
      </x:c>
    </x:row>
    <x:row r="9" ht="28" customHeight="1">
      <x:c r="A9" s="12" t="str">
        <x:v>起動区間を含む推奨最小DCバス（選択方式）</x:v>
      </x:c>
      <x:c r="B9" s="17" t="n">
        <x:f>'計算詳細'!D30</x:f>
        <x:v>95.22111160639695</x:v>
      </x:c>
      <x:c r="C9" s="16" t="str">
        <x:v>V</x:v>
      </x:c>
      <x:c r="D9" s="16" t="str">
        <x:v>6 Arms一定で10 rpmまで加速したワースト条件</x:v>
      </x:c>
    </x:row>
    <x:row r="10" ht="28" customHeight="1">
      <x:c r="A10" s="12" t="str">
        <x:v>起動時DCバス（相peak基準）</x:v>
      </x:c>
      <x:c r="B10" s="17" t="n">
        <x:f>'計算詳細'!D15</x:f>
        <x:v>88.18163074019441</x:v>
      </x:c>
      <x:c r="C10" s="16" t="str">
        <x:v>V</x:v>
      </x:c>
      <x:c r="D10" s="16" t="str">
        <x:v>Vph,peak / k_ph,max</x:v>
      </x:c>
    </x:row>
    <x:row r="11" ht="28" customHeight="1">
      <x:c r="A11" s="12" t="str">
        <x:v>起動時DCバス（線間rms基準）</x:v>
      </x:c>
      <x:c r="B11" s="17" t="n">
        <x:f>'計算詳細'!D16</x:f>
        <x:v>88.18163074019442</x:v>
      </x:c>
      <x:c r="C11" s="16" t="str">
        <x:v>V</x:v>
      </x:c>
      <x:c r="D11" s="16" t="str">
        <x:v>Vll,rms / k_mod</x:v>
      </x:c>
    </x:row>
    <x:row r="12" ht="28" customHeight="1">
      <x:c r="A12" s="12" t="str">
        <x:v>定常時DCバス（相peak基準）</x:v>
      </x:c>
      <x:c r="B12" s="17" t="n">
        <x:f>'計算詳細'!D22</x:f>
        <x:v>51.02401243917931</x:v>
      </x:c>
      <x:c r="C12" s="16" t="str">
        <x:v>V</x:v>
      </x:c>
      <x:c r="D12" s="16" t="str">
        <x:v>Vph,peak / k_ph,max</x:v>
      </x:c>
    </x:row>
    <x:row r="13" ht="28" customHeight="1">
      <x:c r="A13" s="12" t="str">
        <x:v>定常時DCバス（線間rms基準）</x:v>
      </x:c>
      <x:c r="B13" s="17" t="n">
        <x:f>'計算詳細'!D23</x:f>
        <x:v>51.024012439179316</x:v>
      </x:c>
      <x:c r="C13" s="16" t="str">
        <x:v>V</x:v>
      </x:c>
      <x:c r="D13" s="16" t="str">
        <x:v>Vll,rms / k_mod</x:v>
      </x:c>
    </x:row>
    <x:row r="14" ht="28" customHeight="1">
      <x:c r="A14" s="12" t="str">
        <x:v>加速ワーストDCバス（相peak基準）</x:v>
      </x:c>
      <x:c r="B14" s="17" t="n">
        <x:f>'計算詳細'!D29</x:f>
        <x:v>95.22111160639693</x:v>
      </x:c>
      <x:c r="C14" s="16" t="str">
        <x:v>V</x:v>
      </x:c>
      <x:c r="D14" s="16" t="str">
        <x:v>Vph,peak / k_ph,max</x:v>
      </x:c>
    </x:row>
    <x:row r="15" ht="28" customHeight="1">
      <x:c r="A15" s="12" t="str">
        <x:v>加速ワーストDCバス（線間rms基準）</x:v>
      </x:c>
      <x:c r="B15" s="17" t="n">
        <x:f>'計算詳細'!D30</x:f>
        <x:v>95.22111160639695</x:v>
      </x:c>
      <x:c r="C15" s="16" t="str">
        <x:v>V</x:v>
      </x:c>
      <x:c r="D15" s="16" t="str">
        <x:v>Vll,rms / k_mod</x:v>
      </x:c>
    </x:row>
    <x:row r="16" ht="22" customHeight="1">
      <x:c r="A16" s="12" t="str">
        <x:v>定常時機械出力</x:v>
      </x:c>
      <x:c r="B16" s="17" t="n">
        <x:f>'計算詳細'!D33</x:f>
        <x:v>25.132741228718345</x:v>
      </x:c>
      <x:c r="C16" s="16" t="str">
        <x:v>W</x:v>
      </x:c>
      <x:c r="D16" s="16" t="str">
        <x:v>トルク × 機械角速度</x:v>
      </x:c>
    </x:row>
    <x:row r="17" ht="22" customHeight="1">
      <x:c r="A17" s="12" t="str">
        <x:v>定常時発熱量（銅損）</x:v>
      </x:c>
      <x:c r="B17" s="17" t="n">
        <x:f>'計算詳細'!D34</x:f>
        <x:v>162</x:v>
      </x:c>
      <x:c r="C17" s="16" t="str">
        <x:v>W</x:v>
      </x:c>
      <x:c r="D17" s="16" t="str">
        <x:v>巻線ジュール損</x:v>
      </x:c>
    </x:row>
    <x:row r="18" ht="22" customHeight="1">
      <x:c r="A18" s="12" t="str">
        <x:v>定常時効率</x:v>
      </x:c>
      <x:c r="B18" s="18" t="n">
        <x:f>'計算詳細'!D36</x:f>
        <x:v>0.13430435029004612</x:v>
      </x:c>
      <x:c r="C18" s="16" t="str">
        <x:v>%</x:v>
      </x:c>
      <x:c r="D18" s="16" t="str">
        <x:v>銅損のみ考慮した簡易効率</x:v>
      </x:c>
    </x:row>
    <x:row r="19" ht="22" customHeight="1">
      <x:c r="A19" s="12" t="str">
        <x:v>起動時銅損</x:v>
      </x:c>
      <x:c r="B19" s="17" t="n">
        <x:f>'計算詳細'!D37</x:f>
        <x:v>648</x:v>
      </x:c>
      <x:c r="C19" s="16" t="str">
        <x:v>W</x:v>
      </x:c>
      <x:c r="D19" s="16" t="str">
        <x:v>6 Arms一定</x:v>
      </x:c>
    </x:row>
    <x:row r="20" ht="22" customHeight="1">
      <x:c r="A20" s="12" t="str">
        <x:v>加速中平均発熱</x:v>
      </x:c>
      <x:c r="B20" s="17" t="n">
        <x:f>'計算詳細'!D38</x:f>
        <x:v>648</x:v>
      </x:c>
      <x:c r="C20" s="16" t="str">
        <x:v>W</x:v>
      </x:c>
      <x:c r="D20" s="16" t="str">
        <x:v>起動中は6 Arms一定</x:v>
      </x:c>
    </x:row>
    <x:row r="21" ht="22" customHeight="1">
      <x:c r="A21" s="12" t="str">
        <x:v>加速中発熱エネルギー</x:v>
      </x:c>
      <x:c r="B21" s="17" t="n">
        <x:f>'計算詳細'!D39</x:f>
        <x:v>648</x:v>
      </x:c>
      <x:c r="C21" s="16" t="str">
        <x:v>J</x:v>
      </x:c>
      <x:c r="D21" s="16" t="str">
        <x:v>平均発熱 × 加速時間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4" t="str">
        <x:v>グラフ</x:v>
      </x:c>
      <x:c r="B1" s="4" t="str">
        <x:v>グラフ</x:v>
      </x:c>
      <x:c r="C1" s="4" t="str">
        <x:v>グラフ</x:v>
      </x:c>
      <x:c r="D1" s="4" t="str">
        <x:v>グラフ</x:v>
      </x:c>
    </x:row>
    <x:row r="3">
      <x:c r="A3" s="21" t="str">
        <x:v>状態</x:v>
      </x:c>
      <x:c r="B3" s="21" t="str">
        <x:v>相電流 [Arms]</x:v>
      </x:c>
    </x:row>
    <x:row r="4">
      <x:c r="A4" s="16" t="str">
        <x:v>起動時</x:v>
      </x:c>
      <x:c r="B4" s="22" t="n">
        <x:f>'入力条件'!$B$7</x:f>
        <x:v>6</x:v>
      </x:c>
    </x:row>
    <x:row r="5">
      <x:c r="A5" s="16" t="str">
        <x:v>定常時</x:v>
      </x:c>
      <x:c r="B5" s="22" t="n">
        <x:f>'入力条件'!$B$8</x:f>
        <x:v>3</x:v>
      </x:c>
    </x:row>
    <x:row r="6">
      <x:c r="B6" s="23"/>
    </x:row>
    <x:row r="7">
      <x:c r="B7" s="23"/>
    </x:row>
    <x:row r="8">
      <x:c r="A8" s="21" t="str">
        <x:v>項目</x:v>
      </x:c>
      <x:c r="B8" s="24" t="str">
        <x:v>電力 [W]</x:v>
      </x:c>
    </x:row>
    <x:row r="9">
      <x:c r="A9" s="16" t="str">
        <x:v>定常時機械出力</x:v>
      </x:c>
      <x:c r="B9" s="22" t="n">
        <x:f>'計算詳細'!D33</x:f>
        <x:v>25.132741228718345</x:v>
      </x:c>
    </x:row>
    <x:row r="10">
      <x:c r="A10" s="16" t="str">
        <x:v>定常時発熱量</x:v>
      </x:c>
      <x:c r="B10" s="22" t="n">
        <x:f>'計算詳細'!D34</x:f>
        <x:v>162</x:v>
      </x:c>
    </x:row>
    <x:row r="11">
      <x:c r="A11" s="16" t="str">
        <x:v>起動時銅損</x:v>
      </x:c>
      <x:c r="B11" s="22" t="n">
        <x:f>'計算詳細'!D37</x:f>
        <x:v>648</x:v>
      </x:c>
    </x:row>
    <x:row r="12">
      <x:c r="A12" s="16" t="str">
        <x:v>加速中平均発熱</x:v>
      </x:c>
      <x:c r="B12" s="22" t="n">
        <x:f>'計算詳細'!D38</x:f>
        <x:v>648</x:v>
      </x:c>
    </x:row>
    <x:row r="13">
      <x:c r="B13" s="23"/>
    </x:row>
    <x:row r="14">
      <x:c r="B14" s="23"/>
    </x:row>
    <x:row r="15">
      <x:c r="A15" s="21" t="str">
        <x:v>状態</x:v>
      </x:c>
      <x:c r="B15" s="24" t="str">
        <x:v>必要DCバス [V]</x:v>
      </x:c>
    </x:row>
    <x:row r="16">
      <x:c r="A16" s="16" t="str">
        <x:v>起動時</x:v>
      </x:c>
      <x:c r="B16" s="22" t="n">
        <x:f>'計算詳細'!D16</x:f>
        <x:v>88.18163074019442</x:v>
      </x:c>
    </x:row>
    <x:row r="17">
      <x:c r="A17" s="16" t="str">
        <x:v>定常時</x:v>
      </x:c>
      <x:c r="B17" s="22" t="n">
        <x:f>'計算詳細'!D23</x:f>
        <x:v>51.024012439179316</x:v>
      </x:c>
    </x:row>
    <x:row r="18">
      <x:c r="A18" s="16" t="str">
        <x:v>加速ワースト</x:v>
      </x:c>
      <x:c r="B18" s="22" t="n">
        <x:f>'計算詳細'!D30</x:f>
        <x:v>95.22111160639695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9181170a0562406c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2" hidden="0" customWidth="1"/>
  </x:cols>
  <x:sheetData>
    <x:row r="1">
      <x:c r="A1" s="4" t="str">
        <x:v>導出メモ</x:v>
      </x:c>
      <x:c r="B1" s="4" t="str">
        <x:v>導出メモ</x:v>
      </x:c>
      <x:c r="C1" s="4" t="str">
        <x:v>導出メモ</x:v>
      </x:c>
    </x:row>
    <x:row r="3">
      <x:c r="A3" s="8" t="str">
        <x:v>テーマ</x:v>
      </x:c>
      <x:c r="B3" s="8" t="str">
        <x:v>式 / 要点</x:v>
      </x:c>
      <x:c r="C3" s="8" t="str">
        <x:v>説明</x:v>
      </x:c>
    </x:row>
    <x:row r="4">
      <x:c r="A4" s="12" t="str">
        <x:v>1. Kt と Ke の関係</x:v>
      </x:c>
      <x:c r="B4" s="16"/>
      <x:c r="C4" s="16"/>
    </x:row>
    <x:row r="5">
      <x:c r="A5" s="12" t="str">
        <x:v>線間rms基準の Ke</x:v>
      </x:c>
      <x:c r="B5" s="16" t="str">
        <x:v>Ke_ll,rms = Kt / √3</x:v>
      </x:c>
      <x:c r="C5" s="16" t="str">
        <x:v>Kt を Nm/Arms、Ke を線間rms[V/(rad/s)] と定義したときに成立。</x:v>
      </x:c>
    </x:row>
    <x:row r="6">
      <x:c r="A6" s="12" t="str">
        <x:v>相peak基準の Ke</x:v>
      </x:c>
      <x:c r="B6" s="16" t="str">
        <x:v>Ke_ph,peak = Ke_ll,rms × √(2/3)</x:v>
      </x:c>
      <x:c r="C6" s="16" t="str">
        <x:v>dq の q軸電圧式に入れる逆起電力は相peak基準。</x:v>
      </x:c>
    </x:row>
    <x:row r="7">
      <x:c r="A7" s="12" t="str">
        <x:v>2. 相電圧と線間電圧</x:v>
      </x:c>
      <x:c r="B7" s="16"/>
      <x:c r="C7" s="16"/>
    </x:row>
    <x:row r="8">
      <x:c r="A8" s="12" t="str">
        <x:v>換算式</x:v>
      </x:c>
      <x:c r="B8" s="16" t="str">
        <x:v>Vll,rms = √(3/2) × Vph,peak</x:v>
      </x:c>
      <x:c r="C8" s="16" t="str">
        <x:v>相peak基準版と線間rms基準版はこの式で相互変換できる。</x:v>
      </x:c>
    </x:row>
    <x:row r="9">
      <x:c r="A9" s="12" t="str">
        <x:v>3. 変調方式の係数</x:v>
      </x:c>
      <x:c r="B9" s="16"/>
      <x:c r="C9" s="16"/>
    </x:row>
    <x:row r="10">
      <x:c r="A10" s="12" t="str">
        <x:v>SPWM</x:v>
      </x:c>
      <x:c r="B10" s="16" t="str">
        <x:v>k_mod = 0.612, k_ph,max = 0.500</x:v>
      </x:c>
      <x:c r="C10" s="16" t="str">
        <x:v>Vdc = Vll,rms / 0.612 = Vph,peak / 0.5</x:v>
      </x:c>
    </x:row>
    <x:row r="11">
      <x:c r="A11" s="12" t="str">
        <x:v>SVPWM</x:v>
      </x:c>
      <x:c r="B11" s="16" t="str">
        <x:v>k_mod = 0.707, k_ph,max = 1/√3 ≒ 0.577</x:v>
      </x:c>
      <x:c r="C11" s="16" t="str">
        <x:v>Vdc = Vll,rms / 0.707 = Vph,peak / 0.577</x:v>
      </x:c>
    </x:row>
    <x:row r="12">
      <x:c r="A12" s="12" t="str">
        <x:v>4. q軸電圧式</x:v>
      </x:c>
      <x:c r="B12" s="16"/>
      <x:c r="C12" s="16"/>
    </x:row>
    <x:row r="13">
      <x:c r="A13" s="12" t="str">
        <x:v>起動時</x:v>
      </x:c>
      <x:c r="B13" s="16" t="str">
        <x:v>v_q,start = R I_start,peak</x:v>
      </x:c>
      <x:c r="C13" s="16" t="str">
        <x:v>0 rpm では逆起電力がない。</x:v>
      </x:c>
    </x:row>
    <x:row r="14">
      <x:c r="A14" s="12" t="str">
        <x:v>定常時</x:v>
      </x:c>
      <x:c r="B14" s="16" t="str">
        <x:v>v_q,ss = R I_ss,peak + E_ph,peak,ss</x:v>
      </x:c>
      <x:c r="C14" s="16" t="str">
        <x:v>Ke基準表記で λm を使わずに表せる。</x:v>
      </x:c>
    </x:row>
    <x:row r="15">
      <x:c r="A15" s="12" t="str">
        <x:v>5. d軸電圧式</x:v>
      </x:c>
      <x:c r="B15" s="16"/>
      <x:c r="C15" s="16"/>
    </x:row>
    <x:row r="16">
      <x:c r="A16" s="12" t="str">
        <x:v>定常時 / 加速時</x:v>
      </x:c>
      <x:c r="B16" s="16" t="str">
        <x:v>v_d = -p ω_m L I_peak</x:v>
      </x:c>
      <x:c r="C16" s="16" t="str">
        <x:v>ω_e = pω_m を用いて表す。</x:v>
      </x:c>
    </x:row>
    <x:row r="17">
      <x:c r="A17" s="12" t="str">
        <x:v>6. DCバスの整合チェック</x:v>
      </x:c>
      <x:c r="B17" s="16"/>
      <x:c r="C17" s="16"/>
    </x:row>
    <x:row r="18">
      <x:c r="A18" s="12" t="str">
        <x:v>チェック式</x:v>
      </x:c>
      <x:c r="B18" s="16" t="str">
        <x:v>Vph,peak / k_ph,max － Vll,rms / k_mod</x:v>
      </x:c>
      <x:c r="C18" s="16" t="str">
        <x:v>0に近ければ相peak基準版と線間rms基準版は整合。</x:v>
      </x:c>
    </x:row>
    <x:row r="19">
      <x:c r="A19" s="12" t="str">
        <x:v>7. 出力・損失</x:v>
      </x:c>
      <x:c r="B19" s="16"/>
      <x:c r="C19" s="16"/>
    </x:row>
    <x:row r="20">
      <x:c r="A20" s="12" t="str">
        <x:v>機械出力</x:v>
      </x:c>
      <x:c r="B20" s="16" t="str">
        <x:v>P_out = T ω_m</x:v>
      </x:c>
      <x:c r="C20" s="16" t="str">
        <x:v>機械角速度を使う。</x:v>
      </x:c>
    </x:row>
    <x:row r="21">
      <x:c r="A21" s="12" t="str">
        <x:v>銅損</x:v>
      </x:c>
      <x:c r="B21" s="16" t="str">
        <x:v>P_cu = 3 I_rms^2 R</x:v>
      </x:c>
      <x:c r="C21" s="16" t="str">
        <x:v>相電流実効値ベース。</x:v>
      </x:c>
    </x:row>
    <x:row r="22">
      <x:c r="A22" s="12" t="str">
        <x:v>効率</x:v>
      </x:c>
      <x:c r="B22" s="16" t="str">
        <x:v>η = P_out / (P_out + P_cu)</x:v>
      </x:c>
      <x:c r="C22" s="16" t="str">
        <x:v>今回は銅損のみ考慮。</x:v>
      </x:c>
    </x:row>
    <x:row r="23">
      <x:c r="A23" s="12" t="str">
        <x:v>加速中平均発熱</x:v>
      </x:c>
      <x:c r="B23" s="16" t="str">
        <x:v>起動中6 Arms一定 → P_heat,avg = P_cu,start</x:v>
      </x:c>
      <x:c r="C23" s="16" t="str">
        <x:v>発熱エネルギーは Q=P×t。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12" hidden="0" customWidth="1"/>
    <x:col min="5" max="5" width="24" hidden="0" customWidth="1"/>
    <x:col min="6" max="6" width="18" hidden="0" customWidth="1"/>
  </x:cols>
  <x:sheetData>
    <x:row r="1">
      <x:c r="A1" s="4" t="str">
        <x:v>定義整理・整合チェック</x:v>
      </x:c>
      <x:c r="B1" s="4" t="str">
        <x:v>定義整理・整合チェック</x:v>
      </x:c>
      <x:c r="C1" s="4" t="str">
        <x:v>定義整理・整合チェック</x:v>
      </x:c>
      <x:c r="D1" s="4" t="str">
        <x:v>定義整理・整合チェック</x:v>
      </x:c>
      <x:c r="E1" s="4" t="str">
        <x:v>定義整理・整合チェック</x:v>
      </x:c>
      <x:c r="F1" s="4" t="str">
        <x:v>定義整理・整合チェック</x:v>
      </x:c>
    </x:row>
    <x:row r="3">
      <x:c r="A3" s="8" t="str">
        <x:v>項目</x:v>
      </x:c>
      <x:c r="B3" s="8" t="str">
        <x:v>式</x:v>
      </x:c>
      <x:c r="C3" s="8" t="str">
        <x:v>現在値</x:v>
      </x:c>
      <x:c r="D3" s="8" t="str">
        <x:v>単位</x:v>
      </x:c>
      <x:c r="E3" s="8" t="str">
        <x:v>説明</x:v>
      </x:c>
      <x:c r="F3" s="8" t="str">
        <x:v>備考</x:v>
      </x:c>
    </x:row>
    <x:row r="4">
      <x:c r="A4" s="12" t="str">
        <x:v>選択中の変調方式</x:v>
      </x:c>
      <x:c r="B4" s="16" t="str">
        <x:v>入力条件!B14</x:v>
      </x:c>
      <x:c r="C4" s="26" t="str">
        <x:f>'入力条件'!$B$14</x:f>
        <x:v>SVPWM</x:v>
      </x:c>
      <x:c r="D4" s="16" t="str">
        <x:v>-</x:v>
      </x:c>
      <x:c r="E4" s="16" t="str">
        <x:v>SPWM / SVPWM 切替セル</x:v>
      </x:c>
      <x:c r="F4" s="16" t="str">
        <x:v>設計用</x:v>
      </x:c>
    </x:row>
    <x:row r="5">
      <x:c r="A5" s="12" t="str">
        <x:v>k_mod（線間rms / Vdc）</x:v>
      </x:c>
      <x:c r="B5" s="16" t="str">
        <x:v>IF(mode)</x:v>
      </x:c>
      <x:c r="C5" s="27" t="n">
        <x:f>'入力条件'!$B$15</x:f>
        <x:v>0.7071067811865475</x:v>
      </x:c>
      <x:c r="D5" s="16" t="str">
        <x:v>-</x:v>
      </x:c>
      <x:c r="E5" s="16" t="str">
        <x:v>SPWM:0.612 / SVPWM:0.707</x:v>
      </x:c>
      <x:c r="F5" s="16" t="str">
        <x:v>Vdc = Vll,rms / k_mod</x:v>
      </x:c>
    </x:row>
    <x:row r="6">
      <x:c r="A6" s="12" t="str">
        <x:v>k_ph,max（相peak / Vdc）</x:v>
      </x:c>
      <x:c r="B6" s="16" t="str">
        <x:v>IF(mode)</x:v>
      </x:c>
      <x:c r="C6" s="27" t="n">
        <x:f>'入力条件'!$B$16</x:f>
        <x:v>0.5773502691896258</x:v>
      </x:c>
      <x:c r="D6" s="16" t="str">
        <x:v>-</x:v>
      </x:c>
      <x:c r="E6" s="16" t="str">
        <x:v>SPWM:0.500 / SVPWM:0.577</x:v>
      </x:c>
      <x:c r="F6" s="16" t="str">
        <x:v>Vdc = Vph,peak / k_ph,max</x:v>
      </x:c>
    </x:row>
    <x:row r="7">
      <x:c r="A7" s="12" t="str">
        <x:v>Ke_ll,rms</x:v>
      </x:c>
      <x:c r="B7" s="16" t="str">
        <x:v>Kt / √3</x:v>
      </x:c>
      <x:c r="C7" s="27" t="n">
        <x:f>'計算詳細'!D8</x:f>
        <x:v>4.618802153517007</x:v>
      </x:c>
      <x:c r="D7" s="16" t="str">
        <x:v>V/(rad/s)</x:v>
      </x:c>
      <x:c r="E7" s="16" t="str">
        <x:v>線間rms基準の Ke</x:v>
      </x:c>
      <x:c r="F7" s="16" t="str">
        <x:v>Kt と整合</x:v>
      </x:c>
    </x:row>
    <x:row r="8">
      <x:c r="A8" s="12" t="str">
        <x:v>Ke_ph,peak</x:v>
      </x:c>
      <x:c r="B8" s="16" t="str">
        <x:v>Ke_ll,rms × √(2/3)</x:v>
      </x:c>
      <x:c r="C8" s="27" t="n">
        <x:f>'計算詳細'!D9</x:f>
        <x:v>3.771236166328254</x:v>
      </x:c>
      <x:c r="D8" s="16" t="str">
        <x:v>V/(rad/s)</x:v>
      </x:c>
      <x:c r="E8" s="16" t="str">
        <x:v>相peak基準の Ke</x:v>
      </x:c>
      <x:c r="F8" s="16" t="str">
        <x:v>q軸電圧式で使用</x:v>
      </x:c>
    </x:row>
    <x:row r="9">
      <x:c r="A9" s="12" t="str">
        <x:v>定常時逆起電力 E_ll,rms,ss</x:v>
      </x:c>
      <x:c r="B9" s="16" t="str">
        <x:v>Ke_ll,rms × ω_m,ss</x:v>
      </x:c>
      <x:c r="C9" s="27" t="n">
        <x:f>'計算詳細'!D10</x:f>
        <x:v>4.8367983046245815</x:v>
      </x:c>
      <x:c r="D9" s="16" t="str">
        <x:v>Vrms</x:v>
      </x:c>
      <x:c r="E9" s="16" t="str">
        <x:v>線間rms基準</x:v>
      </x:c>
      <x:c r="F9" s="16" t="str"/>
    </x:row>
    <x:row r="10">
      <x:c r="A10" s="12" t="str">
        <x:v>定常時逆起電力 E_ph,peak,ss</x:v>
      </x:c>
      <x:c r="B10" s="16" t="str">
        <x:v>Ke_ph,peak × ω_m,ss</x:v>
      </x:c>
      <x:c r="C10" s="27" t="n">
        <x:f>'計算詳細'!D11</x:f>
        <x:v>3.949229278362992</x:v>
      </x:c>
      <x:c r="D10" s="16" t="str">
        <x:v>Vpeak</x:v>
      </x:c>
      <x:c r="E10" s="16" t="str">
        <x:v>相peak基準</x:v>
      </x:c>
      <x:c r="F10" s="16" t="str"/>
    </x:row>
    <x:row r="11">
      <x:c r="A11" s="12" t="str">
        <x:v>起動時DCバス差分</x:v>
      </x:c>
      <x:c r="B11" s="16" t="str">
        <x:v>計算詳細!D17</x:v>
      </x:c>
      <x:c r="C11" s="27" t="n">
        <x:f>'計算詳細'!D17</x:f>
        <x:v>-1.4210854715202004e-14</x:v>
      </x:c>
      <x:c r="D11" s="16" t="str">
        <x:v>V</x:v>
      </x:c>
      <x:c r="E11" s="16" t="str">
        <x:v>0に近ければ整合</x:v>
      </x:c>
      <x:c r="F11" s="16" t="str"/>
    </x:row>
    <x:row r="12">
      <x:c r="A12" s="12" t="str">
        <x:v>定常時DCバス差分</x:v>
      </x:c>
      <x:c r="B12" s="16" t="str">
        <x:v>計算詳細!D24</x:v>
      </x:c>
      <x:c r="C12" s="27" t="n">
        <x:f>'計算詳細'!D24</x:f>
        <x:v>-7.105427357601002e-15</x:v>
      </x:c>
      <x:c r="D12" s="16" t="str">
        <x:v>V</x:v>
      </x:c>
      <x:c r="E12" s="16" t="str">
        <x:v>0に近ければ整合</x:v>
      </x:c>
      <x:c r="F12" s="16" t="str"/>
    </x:row>
    <x:row r="13">
      <x:c r="A13" s="12" t="str">
        <x:v>加速ワーストDCバス差分</x:v>
      </x:c>
      <x:c r="B13" s="16" t="str">
        <x:v>計算詳細!D31</x:v>
      </x:c>
      <x:c r="C13" s="27" t="n">
        <x:f>'計算詳細'!D31</x:f>
        <x:v>-1.4210854715202004e-14</x:v>
      </x:c>
      <x:c r="D13" s="16" t="str">
        <x:v>V</x:v>
      </x:c>
      <x:c r="E13" s="16" t="str">
        <x:v>0に近ければ整合</x:v>
      </x:c>
      <x:c r="F13" s="16" t="str"/>
    </x:row>
  </x:sheetData>
  <x:mergeCells>
    <x:mergeCell ref="A1:F1"/>
  </x:mergeCells>
  <x:pageMargins left="0.7" right="0.7" top="0.75" bottom="0.75" header="0.3" footer="0.3"/>
</x:worksheet>
</file>