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27513e180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力条件" sheetId="1" r:id="Ref4ebede6dac49a8"/>
    <x:sheet xmlns:r="http://schemas.openxmlformats.org/officeDocument/2006/relationships" name="計算詳細" sheetId="2" r:id="R63d50d1435394899"/>
    <x:sheet xmlns:r="http://schemas.openxmlformats.org/officeDocument/2006/relationships" name="結果概要" sheetId="3" r:id="R729ab79c071a4cf9"/>
    <x:sheet xmlns:r="http://schemas.openxmlformats.org/officeDocument/2006/relationships" name="グラフ" sheetId="4" r:id="R3e5e051c571f4cab"/>
    <x:sheet xmlns:r="http://schemas.openxmlformats.org/officeDocument/2006/relationships" name="導出メモ" sheetId="5" r:id="Rf7ea2dd26d304aaa"/>
    <x:sheet xmlns:r="http://schemas.openxmlformats.org/officeDocument/2006/relationships" name="定義整理" sheetId="6" r:id="R06d68479724b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%"/>
    <x:numFmt numFmtId="202" formatCode="0.0000"/>
    <x:numFmt numFmtId="203" formatCode="@"/>
  </x:numFmts>
  <x:fonts count="7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2"/>
      <x:color rgb="FFFFFF"/>
      <x:name val="Carlito"/>
    </x:font>
    <x:font>
      <x:sz val="10"/>
      <x:color rgb="404040"/>
      <x:name val="Carlito"/>
    </x:font>
    <x:font>
      <x:b/>
      <x:sz val="10"/>
      <x:color rgb="404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  <x:fill>
      <x:patternFill patternType="solid">
        <x:fgColor rgb="D9E2F3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16">
    <x:border/>
    <x:border>
      <x:left>
        <x:color rgb="D9D9D9"/>
      </x:left>
      <x:top>
        <x:color rgb="D9D9D9"/>
      </x:top>
    </x:border>
    <x:border>
      <x:top>
        <x:color rgb="D9D9D9"/>
      </x:top>
    </x:border>
    <x:border>
      <x:right>
        <x:color rgb="D9D9D9"/>
      </x:right>
      <x:top>
        <x:color rgb="D9D9D9"/>
      </x:top>
    </x:border>
    <x:border>
      <x:left>
        <x:color rgb="D9D9D9"/>
      </x:left>
    </x:border>
    <x:border>
      <x:right>
        <x:color rgb="D9D9D9"/>
      </x:right>
    </x:border>
    <x:border>
      <x:left>
        <x:color rgb="D9D9D9"/>
      </x:left>
      <x:bottom>
        <x:color rgb="D9D9D9"/>
      </x:bottom>
    </x:border>
    <x:border>
      <x:bottom>
        <x:color rgb="D9D9D9"/>
      </x:bottom>
    </x:border>
    <x:border>
      <x:right>
        <x:color rgb="D9D9D9"/>
      </x:right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</x:border>
    <x:border>
      <x:left>
        <x:color rgb="D9D9D9"/>
      </x:left>
      <x:right>
        <x:color rgb="D9D9D9"/>
      </x:right>
    </x:border>
    <x:border>
      <x:left>
        <x:color rgb="D9D9D9"/>
      </x:left>
      <x:right>
        <x:color rgb="D9D9D9"/>
      </x:right>
      <x:bottom>
        <x:color rgb="D9D9D9"/>
      </x:bottom>
    </x:border>
    <x:border>
      <x:left>
        <x:color rgb="D9D9D9"/>
      </x:left>
      <x:top>
        <x:color rgb="D9D9D9"/>
      </x:top>
      <x:bottom>
        <x:color rgb="D9D9D9"/>
      </x:bottom>
    </x:border>
    <x:border>
      <x:right>
        <x:color rgb="D9D9D9"/>
      </x:right>
      <x:top>
        <x:color rgb="D9D9D9"/>
      </x:top>
      <x:bottom>
        <x:color rgb="D9D9D9"/>
      </x:bottom>
    </x:border>
    <x:border>
      <x:left>
        <x:color rgb="D9D9D9"/>
      </x:left>
      <x:right>
        <x:color rgb="D9D9D9"/>
      </x:right>
      <x:top>
        <x:color rgb="D9D9D9"/>
      </x:top>
      <x:bottom>
        <x:color rgb="D9D9D9"/>
      </x:bottom>
    </x:border>
    <x:border>
      <x:top>
        <x:color rgb="D9D9D9"/>
      </x:top>
      <x:bottom>
        <x:color rgb="D9D9D9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horizontal="right"/>
    </x:xf>
    <x:xf numFmtId="201" fontId="0" fillId="5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right" vertical="center" wrapText="1"/>
    </x:xf>
    <x:xf numFmtId="200" fontId="0" fillId="5" borderId="0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xfId="0" applyNumberFormat="1" applyFont="1" applyFill="1" applyBorder="0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2" xfId="0" applyNumberFormat="1" applyFont="1" applyFill="1" applyBorder="1" applyAlignment="1">
      <x:alignment horizontal="center"/>
    </x:xf>
    <x:xf numFmtId="0" fontId="2" fillId="7" borderId="13" xfId="0" applyNumberFormat="1" applyFont="1" applyFill="1" applyBorder="1" applyAlignment="1">
      <x:alignment horizontal="center"/>
    </x:xf>
    <x:xf numFmtId="0" fontId="2" fillId="7" borderId="12" xfId="0" applyNumberFormat="1" applyFont="1" applyFill="1" applyBorder="1" applyAlignment="1">
      <x:alignment horizontal="center" vertical="center"/>
    </x:xf>
    <x:xf numFmtId="0" fontId="2" fillId="7" borderId="13" xfId="0" applyNumberFormat="1" applyFont="1" applyFill="1" applyBorder="1" applyAlignment="1">
      <x:alignment horizontal="center" vertical="center"/>
    </x:xf>
    <x:xf numFmtId="200" fontId="0" fillId="0" borderId="11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horizontal="center" wrapText="1"/>
    </x:xf>
    <x:xf numFmtId="0" fontId="2" fillId="7" borderId="15" xfId="0" applyNumberFormat="1" applyFont="1" applyFill="1" applyBorder="1" applyAlignment="1">
      <x:alignment horizontal="center" wrapText="1"/>
    </x:xf>
    <x:xf numFmtId="0" fontId="2" fillId="7" borderId="13" xfId="0" applyNumberFormat="1" applyFont="1" applyFill="1" applyBorder="1" applyAlignment="1">
      <x:alignment horizontal="center" wrapText="1"/>
    </x:xf>
    <x:xf numFmtId="0" fontId="2" fillId="7" borderId="14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0" fontId="2" fillId="7" borderId="13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/>
    <x:xf numFmtId="0" fontId="2" fillId="7" borderId="15" xfId="0" applyNumberFormat="1" applyFont="1" applyFill="1" applyBorder="1" applyAlignment="1">
      <x:alignment horizontal="center"/>
    </x:xf>
    <x:xf numFmtId="0" fontId="2" fillId="7" borderId="1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006100"/>
      </x:font>
      <x:fill>
        <x:patternFill patternType="solid">
          <x:bgColor rgb="C6EFCE"/>
        </x:patternFill>
      </x:fill>
    </x:dxf>
    <x:dxf>
      <x:font>
        <x:color rgb="006100"/>
      </x:font>
      <x:fill>
        <x:patternFill patternType="solid">
          <x:bgColor rgb="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35597c0c84d28" /><Relationship Type="http://schemas.openxmlformats.org/officeDocument/2006/relationships/theme" Target="/xl/theme/theme1.xml" Id="Rd33e24bfe0c44eb6" /><Relationship Type="http://schemas.openxmlformats.org/officeDocument/2006/relationships/sharedStrings" Target="/xl/sharedStrings.xml" Id="R46ae4eded3a54a31" /><Relationship Type="http://schemas.openxmlformats.org/officeDocument/2006/relationships/worksheet" Target="/xl/worksheets/sheet1.xml" Id="Ref4ebede6dac49a8" /><Relationship Type="http://schemas.openxmlformats.org/officeDocument/2006/relationships/worksheet" Target="/xl/worksheets/sheet2.xml" Id="R63d50d1435394899" /><Relationship Type="http://schemas.openxmlformats.org/officeDocument/2006/relationships/worksheet" Target="/xl/worksheets/sheet3.xml" Id="R729ab79c071a4cf9" /><Relationship Type="http://schemas.openxmlformats.org/officeDocument/2006/relationships/worksheet" Target="/xl/worksheets/sheet4.xml" Id="R3e5e051c571f4cab" /><Relationship Type="http://schemas.openxmlformats.org/officeDocument/2006/relationships/worksheet" Target="/xl/worksheets/sheet5.xml" Id="Rf7ea2dd26d304aaa" /><Relationship Type="http://schemas.openxmlformats.org/officeDocument/2006/relationships/worksheet" Target="/xl/worksheets/sheet6.xml" Id="R06d68479724b4e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2a5c6a4db14b5f" /><Relationship Type="http://schemas.openxmlformats.org/officeDocument/2006/relationships/chart" Target="/xl/drawings/charts/chart2.xml" Id="R110dc8cd5cfd4c3e" /><Relationship Type="http://schemas.openxmlformats.org/officeDocument/2006/relationships/chart" Target="/xl/drawings/charts/chart3.xml" Id="R444ad98dd2274562" /><Relationship Type="http://schemas.openxmlformats.org/officeDocument/2006/relationships/chart" Target="/xl/drawings/charts/chart4.xml" Id="R5893809340e649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電流比較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相電流 [Arms]</c:v>
          </c:tx>
          <c:cat>
            <c:strRef>
              <c:f>'グラフ'!$A$4:$A$5</c:f>
              <c:strCache>
                <c:ptCount val="0"/>
              </c:strCache>
            </c:strRef>
          </c:cat>
          <c:val>
            <c:numRef>
              <c:f>'グラフ'!$B$4:$B$5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損失・出力比較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電力 [W]</c:v>
          </c:tx>
          <c:cat>
            <c:strRef>
              <c:f>'グラフ'!$A$9:$A$12</c:f>
              <c:strCache>
                <c:ptCount val="0"/>
              </c:strCache>
            </c:strRef>
          </c:cat>
          <c:val>
            <c:numRef>
              <c:f>'グラフ'!$B$9:$B$12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必要DCバス比較（選択方式）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必要DCバス [V]</c:v>
          </c:tx>
          <c:cat>
            <c:strRef>
              <c:f>'グラフ'!$A$16:$A$18</c:f>
              <c:strCache>
                <c:ptCount val="0"/>
              </c:strCache>
            </c:strRef>
          </c:cat>
          <c:val>
            <c:numRef>
              <c:f>'グラフ'!$B$16:$B$18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回生時DCバス電圧比較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電圧 [V]</c:v>
          </c:tx>
          <c:cat>
            <c:strRef>
              <c:f>'グラフ'!$A$27:$A$29</c:f>
              <c:strCache>
                <c:ptCount val="0"/>
              </c:strCache>
            </c:strRef>
          </c:cat>
          <c:val>
            <c:numRef>
              <c:f>'グラフ'!$B$27:$B$29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2a5c6a4db14b5f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0dc8cd5cfd4c3e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4ad98dd2274562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93809340e649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ee7489850a8419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42" hidden="0" customWidth="1"/>
  </x:cols>
  <x:sheetData>
    <x:row r="1">
      <x:c r="A1" s="4" t="str">
        <x:v>DDモータ計算シート（Ke基準・SPWM/SVPWM切替対応）</x:v>
      </x:c>
      <x:c r="B1" s="4" t="str">
        <x:v>DDモータ計算シート（Ke基準・SPWM/SVPWM切替対応）</x:v>
      </x:c>
      <x:c r="C1" s="4" t="str">
        <x:v>DDモータ計算シート（Ke基準・SPWM/SVPWM切替対応）</x:v>
      </x:c>
      <x:c r="D1" s="4" t="str">
        <x:v>DDモータ計算シート（Ke基準・SPWM/SVPWM切替対応）</x:v>
      </x:c>
    </x:row>
    <x:row r="3">
      <x:c r="A3" s="8" t="str">
        <x:v>入力項目</x:v>
      </x:c>
      <x:c r="B3" s="8" t="str">
        <x:v>値</x:v>
      </x:c>
      <x:c r="C3" s="8" t="str">
        <x:v>単位</x:v>
      </x:c>
      <x:c r="D3" s="8" t="str">
        <x:v>備考</x:v>
      </x:c>
    </x:row>
    <x:row r="4">
      <x:c r="A4" s="12" t="str">
        <x:v>1相巻線抵抗 R</x:v>
      </x:c>
      <x:c r="B4" s="17" t="n">
        <x:v>6</x:v>
      </x:c>
      <x:c r="C4" s="16" t="str">
        <x:v>Ω</x:v>
      </x:c>
      <x:c r="D4" s="16" t="str">
        <x:v>Y結線・1相あたり</x:v>
      </x:c>
    </x:row>
    <x:row r="5">
      <x:c r="A5" s="12" t="str">
        <x:v>1相インダクタンス L</x:v>
      </x:c>
      <x:c r="B5" s="17" t="n">
        <x:v>0.02</x:v>
      </x:c>
      <x:c r="C5" s="16" t="str">
        <x:v>H</x:v>
      </x:c>
      <x:c r="D5" s="16" t="str">
        <x:v>20 mH</x:v>
      </x:c>
    </x:row>
    <x:row r="6">
      <x:c r="A6" s="12" t="str">
        <x:v>トルク定数 Kt</x:v>
      </x:c>
      <x:c r="B6" s="17" t="n">
        <x:v>8</x:v>
      </x:c>
      <x:c r="C6" s="16" t="str">
        <x:v>Nm/Arms</x:v>
      </x:c>
      <x:c r="D6" s="16" t="str">
        <x:v>相電流実効値ベース</x:v>
      </x:c>
    </x:row>
    <x:row r="7">
      <x:c r="A7" s="12" t="str">
        <x:v>起動時相電流 I_start</x:v>
      </x:c>
      <x:c r="B7" s="17" t="n">
        <x:v>6</x:v>
      </x:c>
      <x:c r="C7" s="16" t="str">
        <x:v>Arms</x:v>
      </x:c>
      <x:c r="D7" s="16" t="str">
        <x:v>起動中は6 Arms一定</x:v>
      </x:c>
    </x:row>
    <x:row r="8">
      <x:c r="A8" s="12" t="str">
        <x:v>定常時相電流 I_ss</x:v>
      </x:c>
      <x:c r="B8" s="17" t="n">
        <x:v>3</x:v>
      </x:c>
      <x:c r="C8" s="16" t="str">
        <x:v>Arms</x:v>
      </x:c>
      <x:c r="D8" s="16" t="str">
        <x:v>定常状態</x:v>
      </x:c>
    </x:row>
    <x:row r="9">
      <x:c r="A9" s="12" t="str">
        <x:v>定常時回転速度 n_ss</x:v>
      </x:c>
      <x:c r="B9" s="17" t="n">
        <x:v>10</x:v>
      </x:c>
      <x:c r="C9" s="16" t="str">
        <x:v>rpm</x:v>
      </x:c>
      <x:c r="D9" s="16" t="str"/>
    </x:row>
    <x:row r="10">
      <x:c r="A10" s="12" t="str">
        <x:v>加速時間 t_acc</x:v>
      </x:c>
      <x:c r="B10" s="17" t="n">
        <x:v>1</x:v>
      </x:c>
      <x:c r="C10" s="16" t="str">
        <x:v>s</x:v>
      </x:c>
      <x:c r="D10" s="16" t="str">
        <x:v>0 rpm → 10 rpm</x:v>
      </x:c>
    </x:row>
    <x:row r="11">
      <x:c r="A11" s="12" t="str">
        <x:v>極ペア数 p</x:v>
      </x:c>
      <x:c r="B11" s="17" t="n">
        <x:v>20</x:v>
      </x:c>
      <x:c r="C11" s="16" t="str">
        <x:v>-</x:v>
      </x:c>
      <x:c r="D11" s="16" t="str"/>
    </x:row>
    <x:row r="12">
      <x:c r="A12"/>
      <x:c r="B12"/>
      <x:c r="C12"/>
      <x:c r="D12"/>
    </x:row>
    <x:row r="13">
      <x:c r="A13" s="8" t="str">
        <x:v>インバータ設計設定</x:v>
      </x:c>
      <x:c r="B13" s="8"/>
      <x:c r="C13" s="8"/>
      <x:c r="D13" s="8"/>
    </x:row>
    <x:row r="14">
      <x:c r="A14" s="12" t="str">
        <x:v>変調方式</x:v>
      </x:c>
      <x:c r="B14" s="14" t="str">
        <x:v>SVPWM</x:v>
      </x:c>
      <x:c r="C14" s="16" t="str">
        <x:v>-</x:v>
      </x:c>
      <x:c r="D14" s="16" t="str">
        <x:v>ここを SPWM / SVPWM で切替</x:v>
      </x:c>
    </x:row>
    <x:row r="15">
      <x:c r="A15" s="12" t="str">
        <x:v>線間基本波rms / Vdc 係数 k_mod</x:v>
      </x:c>
      <x:c r="B15" s="17" t="n">
        <x:f>IF(B14="SVPWM",1/SQRT(2),SQRT(3/8))</x:f>
        <x:v>0.7071067811865475</x:v>
      </x:c>
      <x:c r="C15" s="16" t="str">
        <x:v>-</x:v>
      </x:c>
      <x:c r="D15" s="16" t="str">
        <x:v>SPWM: 0.612, SVPWM: 0.707</x:v>
      </x:c>
    </x:row>
    <x:row r="16">
      <x:c r="A16" s="12" t="str">
        <x:v>相基本波peak / Vdc 係数 k_ph,max</x:v>
      </x:c>
      <x:c r="B16" s="17" t="n">
        <x:f>IF(B14="SVPWM",1/SQRT(3),1/2)</x:f>
        <x:v>0.5773502691896258</x:v>
      </x:c>
      <x:c r="C16" s="16" t="str">
        <x:v>-</x:v>
      </x:c>
      <x:c r="D16" s="16" t="str">
        <x:v>SPWM: 0.500, SVPWM: 0.577</x:v>
      </x:c>
    </x:row>
    <x:row r="17" ht="26" customHeight="1">
      <x:c r="A17" s="12" t="str">
        <x:v>DCバス換算の採用式</x:v>
      </x:c>
      <x:c r="B17" s="14" t="str">
        <x:v>Vdc = Vll,rms / k_mod = Vph,peak / k_ph,max</x:v>
      </x:c>
      <x:c r="C17" s="16" t="str">
        <x:v>-</x:v>
      </x:c>
      <x:c r="D17" s="16" t="str">
        <x:v>相peak基準版と線間rms基準版は同値</x:v>
      </x:c>
    </x:row>
    <x:row r="18">
      <x:c r="A18"/>
      <x:c r="B18"/>
      <x:c r="C18"/>
      <x:c r="D18"/>
    </x:row>
    <x:row r="19">
      <x:c r="A19" s="8" t="str">
        <x:v>計算前提</x:v>
      </x:c>
      <x:c r="B19" s="8" t="str">
        <x:v>内容</x:v>
      </x:c>
      <x:c r="C19" s="8"/>
      <x:c r="D19" s="8"/>
    </x:row>
    <x:row r="20" ht="26" customHeight="1">
      <x:c r="A20" s="12" t="str">
        <x:v>モータモデル</x:v>
      </x:c>
      <x:c r="B20" s="16" t="str">
        <x:v>3相PMSM相当</x:v>
      </x:c>
      <x:c r="C20" s="16"/>
      <x:c r="D20" s="16"/>
    </x:row>
    <x:row r="21" ht="26" customHeight="1">
      <x:c r="A21" s="12" t="str">
        <x:v>制御前提</x:v>
      </x:c>
      <x:c r="B21" s="16" t="str">
        <x:v>正弦波電流、id = 0制御</x:v>
      </x:c>
      <x:c r="C21" s="16"/>
      <x:c r="D21" s="16"/>
    </x:row>
    <x:row r="22" ht="26" customHeight="1">
      <x:c r="A22" s="12" t="str">
        <x:v>発熱の扱い</x:v>
      </x:c>
      <x:c r="B22" s="16" t="str">
        <x:v>巻線の銅損を発熱量として計算</x:v>
      </x:c>
      <x:c r="C22" s="16"/>
      <x:c r="D22" s="16"/>
    </x:row>
    <x:row r="23" ht="26" customHeight="1">
      <x:c r="A23" s="12" t="str">
        <x:v>効率の扱い</x:v>
      </x:c>
      <x:c r="B23" s="16" t="str">
        <x:v>機械出力 / (機械出力 + 銅損)</x:v>
      </x:c>
      <x:c r="C23" s="16"/>
      <x:c r="D23" s="16"/>
    </x:row>
    <x:row r="25" ht="17.08984375" hidden="0" customHeight="1">
      <x:c r="A25" s="31" t="str">
        <x:v>回生制動（停止時）入力</x:v>
      </x:c>
      <x:c r="B25" s="31"/>
      <x:c r="C25" s="31"/>
      <x:c r="D25" s="31"/>
    </x:row>
    <x:row r="26" ht="17.08984375" hidden="0" customHeight="1">
      <x:c r="A26" s="53" t="str">
        <x:v>慣性モーメント J</x:v>
      </x:c>
      <x:c r="B26" s="68" t="n">
        <x:v>3</x:v>
      </x:c>
      <x:c r="C26" s="65" t="str">
        <x:v>kg·m²</x:v>
      </x:c>
      <x:c r="D26" s="62" t="str">
        <x:v>停止前の等価慣性モーメント</x:v>
      </x:c>
    </x:row>
    <x:row r="27" ht="17.08984375" hidden="0" customHeight="1">
      <x:c r="A27" s="54" t="str">
        <x:v>減速時間 t_dec</x:v>
      </x:c>
      <x:c r="B27" s="69" t="n">
        <x:v>1</x:v>
      </x:c>
      <x:c r="C27" s="66" t="str">
        <x:v>s</x:v>
      </x:c>
      <x:c r="D27" s="63" t="str">
        <x:v>10 rpm → 0 rpm を1 sで停止</x:v>
      </x:c>
    </x:row>
    <x:row r="28" ht="34.1796875" hidden="0" customHeight="1">
      <x:c r="A28" s="54" t="str">
        <x:v>DCバス容量 C_dc</x:v>
      </x:c>
      <x:c r="B28" s="70" t="n">
        <x:v>0.01</x:v>
      </x:c>
      <x:c r="C28" s="66" t="str">
        <x:v>F</x:v>
      </x:c>
      <x:c r="D28" s="63" t="str">
        <x:v>回生電圧上昇予測に必要（初期値: 10 mF、適宜変更）</x:v>
      </x:c>
    </x:row>
    <x:row r="29" ht="34.1796875" hidden="0" customHeight="1">
      <x:c r="A29" s="54" t="str">
        <x:v>回生開始DCバス電圧 Vdc_init</x:v>
      </x:c>
      <x:c r="B29" s="69" t="n">
        <x:f>'結果概要'!B9</x:f>
        <x:v>95.22111160639695</x:v>
      </x:c>
      <x:c r="C29" s="66" t="str">
        <x:v>V</x:v>
      </x:c>
      <x:c r="D29" s="63" t="str">
        <x:v>初期値は推奨最小DCバス。実機のDCバス公称値へ上書き可</x:v>
      </x:c>
    </x:row>
    <x:row r="30" ht="68.359375" hidden="0" customHeight="1">
      <x:c r="A30" s="55" t="str">
        <x:v>回生計算の前提</x:v>
      </x:c>
      <x:c r="B30" s="58" t="str">
        <x:v>運動エネルギー→DCコンデンサ。理想版と銅損考慮版を併記</x:v>
      </x:c>
      <x:c r="C30" s="67" t="str">
        <x:v>-</x:v>
      </x:c>
      <x:c r="D30" s="64" t="str">
        <x:v>理想版: 全慣性エネルギーがC_dcへ流入 / 実効版: 銅損を差し引く</x:v>
      </x:c>
    </x:row>
  </x:sheetData>
  <x:mergeCells>
    <x:mergeCell ref="A1:D1"/>
    <x:mergeCell ref="A25:D25"/>
  </x:mergeCells>
  <x:dataValidations count="1">
    <x:dataValidation type="list" sqref="B14">
      <x:formula1>"SVPWM,SPWM"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14" hidden="0" customWidth="1"/>
    <x:col min="5" max="5" width="10" hidden="0" customWidth="1"/>
    <x:col min="6" max="6" width="28" hidden="0" customWidth="1"/>
    <x:col min="7" max="7" width="20" hidden="0" customWidth="1"/>
    <x:col min="8" max="8" width="34" hidden="0" customWidth="1"/>
  </x:cols>
  <x:sheetData>
    <x:row r="1">
      <x:c r="A1" s="4" t="str">
        <x:v>計算詳細（Ke基準・相peak基準 / 線間rms基準を並記、変調方式切替対応）</x:v>
      </x:c>
      <x:c r="B1" s="4" t="str">
        <x:v>計算詳細（Ke基準・相peak基準 / 線間rms基準を並記、変調方式切替対応）</x:v>
      </x:c>
      <x:c r="C1" s="4" t="str">
        <x:v>計算詳細（Ke基準・相peak基準 / 線間rms基準を並記、変調方式切替対応）</x:v>
      </x:c>
      <x:c r="D1" s="4" t="str">
        <x:v>計算詳細（Ke基準・相peak基準 / 線間rms基準を並記、変調方式切替対応）</x:v>
      </x:c>
      <x:c r="E1" s="4" t="str">
        <x:v>計算詳細（Ke基準・相peak基準 / 線間rms基準を並記、変調方式切替対応）</x:v>
      </x:c>
      <x:c r="F1" s="4" t="str">
        <x:v>計算詳細（Ke基準・相peak基準 / 線間rms基準を並記、変調方式切替対応）</x:v>
      </x:c>
      <x:c r="G1" s="4" t="str">
        <x:v>計算詳細（Ke基準・相peak基準 / 線間rms基準を並記、変調方式切替対応）</x:v>
      </x:c>
      <x:c r="H1" s="4" t="str">
        <x:v>計算詳細（Ke基準・相peak基準 / 線間rms基準を並記、変調方式切替対応）</x:v>
      </x:c>
    </x:row>
    <x:row r="3">
      <x:c r="A3" s="8" t="str">
        <x:v>項目</x:v>
      </x:c>
      <x:c r="B3" s="8" t="str">
        <x:v>一般式</x:v>
      </x:c>
      <x:c r="C3" s="8" t="str">
        <x:v>Excel式（文字列）</x:v>
      </x:c>
      <x:c r="D3" s="8" t="str">
        <x:v>計算結果</x:v>
      </x:c>
      <x:c r="E3" s="8" t="str">
        <x:v>単位</x:v>
      </x:c>
      <x:c r="F3" s="8" t="str">
        <x:v>式の説明</x:v>
      </x:c>
      <x:c r="G3" s="8" t="str">
        <x:v>補足</x:v>
      </x:c>
      <x:c r="H3" s="8" t="str">
        <x:v>導出メモ</x:v>
      </x:c>
    </x:row>
    <x:row r="4">
      <x:c r="A4" s="12" t="str">
        <x:v>起動時電流ピーク値 I_start,peak</x:v>
      </x:c>
      <x:c r="B4" s="16" t="str">
        <x:v>√2 × I_start</x:v>
      </x:c>
      <x:c r="C4" s="16" t="str">
        <x:v>SQRT(2)×入力条件!B7</x:v>
      </x:c>
      <x:c r="D4" s="17" t="n">
        <x:f>SQRT(2)*'入力条件'!$B$7</x:f>
        <x:v>8.485281374238571</x:v>
      </x:c>
      <x:c r="E4" s="16" t="str">
        <x:v>Apeak</x:v>
      </x:c>
      <x:c r="F4" s="16" t="str">
        <x:v>相電流実効値をピーク値へ変換。</x:v>
      </x:c>
      <x:c r="G4" s="16" t="str">
        <x:v>dq式・相peak電圧式で使用</x:v>
      </x:c>
      <x:c r="H4" s="16" t="str">
        <x:v>Y結線では線電流=相電流。dq電圧式はピーク値系で扱うので I_peak=√2 I_rms に変換する。</x:v>
      </x:c>
    </x:row>
    <x:row r="5">
      <x:c r="A5" s="12" t="str">
        <x:v>定常時電流ピーク値 I_ss,peak</x:v>
      </x:c>
      <x:c r="B5" s="16" t="str">
        <x:v>√2 × I_ss</x:v>
      </x:c>
      <x:c r="C5" s="16" t="str">
        <x:v>SQRT(2)×入力条件!B8</x:v>
      </x:c>
      <x:c r="D5" s="17" t="n">
        <x:f>SQRT(2)*'入力条件'!$B$8</x:f>
        <x:v>4.242640687119286</x:v>
      </x:c>
      <x:c r="E5" s="16" t="str">
        <x:v>Apeak</x:v>
      </x:c>
      <x:c r="F5" s="16" t="str">
        <x:v>定常時の相電流実効値をピーク値へ変換。</x:v>
      </x:c>
      <x:c r="G5" s="16" t="str"/>
      <x:c r="H5" s="16" t="str">
        <x:v>同上。</x:v>
      </x:c>
    </x:row>
    <x:row r="6">
      <x:c r="A6" s="12" t="str">
        <x:v>定常時機械角速度 ω_m,ss</x:v>
      </x:c>
      <x:c r="B6" s="16" t="str">
        <x:v>n_ss × 2π / 60</x:v>
      </x:c>
      <x:c r="C6" s="16" t="str">
        <x:v>入力条件!B9×2π/60</x:v>
      </x:c>
      <x:c r="D6" s="17" t="n">
        <x:f>'入力条件'!$B$9*2*PI()/60</x:f>
        <x:v>1.0471975511965976</x:v>
      </x:c>
      <x:c r="E6" s="16" t="str">
        <x:v>rad/s</x:v>
      </x:c>
      <x:c r="F6" s="16" t="str">
        <x:v>回転速度[rpm]を機械角速度へ変換。</x:v>
      </x:c>
      <x:c r="G6" s="16" t="str"/>
      <x:c r="H6" s="16" t="str">
        <x:v>ω_m=n×2π/60。</x:v>
      </x:c>
    </x:row>
    <x:row r="7">
      <x:c r="A7" s="12" t="str">
        <x:v>定常時電気角速度 ω_e,ss</x:v>
      </x:c>
      <x:c r="B7" s="16" t="str">
        <x:v>p × ω_m,ss</x:v>
      </x:c>
      <x:c r="C7" s="16" t="str">
        <x:v>入力条件!B11×D6</x:v>
      </x:c>
      <x:c r="D7" s="17" t="n">
        <x:f>'入力条件'!$B$11*D6</x:f>
        <x:v>20.94395102393195</x:v>
      </x:c>
      <x:c r="E7" s="16" t="str">
        <x:v>rad/s</x:v>
      </x:c>
      <x:c r="F7" s="16" t="str">
        <x:v>d軸電圧の誘導項計算に使用。</x:v>
      </x:c>
      <x:c r="G7" s="16" t="str"/>
      <x:c r="H7" s="16" t="str">
        <x:v>ω_e=pω_m。</x:v>
      </x:c>
    </x:row>
    <x:row r="8">
      <x:c r="A8" s="12" t="str">
        <x:v>Ke（線間rms / 機械rad/s）</x:v>
      </x:c>
      <x:c r="B8" s="16" t="str">
        <x:v>Kt / √3</x:v>
      </x:c>
      <x:c r="C8" s="16" t="str">
        <x:v>入力条件!B6/SQRT(3)</x:v>
      </x:c>
      <x:c r="D8" s="17" t="n">
        <x:f>'入力条件'!$B$6/SQRT(3)</x:f>
        <x:v>4.618802153517007</x:v>
      </x:c>
      <x:c r="E8" s="16" t="str">
        <x:v>V/(rad/s)</x:v>
      </x:c>
      <x:c r="F8" s="16" t="str">
        <x:v>Ke を線間rms基準で定義。</x:v>
      </x:c>
      <x:c r="G8" s="16" t="str">
        <x:v>Kt[Nm/Arms] と整合</x:v>
      </x:c>
      <x:c r="H8" s="16" t="str">
        <x:v>Ke=Kt/√3 は Kt:Nm/Arms、Ke:線間rms[V/(rad/s)] のとき成立。</x:v>
      </x:c>
    </x:row>
    <x:row r="9">
      <x:c r="A9" s="12" t="str">
        <x:v>Ke（相peak / 機械rad/s）</x:v>
      </x:c>
      <x:c r="B9" s="16" t="str">
        <x:v>Ke_ll,rms × √(2/3)</x:v>
      </x:c>
      <x:c r="C9" s="16" t="str">
        <x:v>D8×SQRT(2/3)</x:v>
      </x:c>
      <x:c r="D9" s="17" t="n">
        <x:f>D8*SQRT(2/3)</x:f>
        <x:v>3.771236166328254</x:v>
      </x:c>
      <x:c r="E9" s="16" t="str">
        <x:v>V/(rad/s)</x:v>
      </x:c>
      <x:c r="F9" s="16" t="str">
        <x:v>相peak基準へ換算。</x:v>
      </x:c>
      <x:c r="G9" s="16" t="str">
        <x:v>vq の逆起電力項はこちら</x:v>
      </x:c>
      <x:c r="H9" s="16" t="str">
        <x:v>線間rms↔相peak の関係 Vll,rms=√(3/2)Vph,peak より Ke_ph,peak=Ke_ll,rms√(2/3)。</x:v>
      </x:c>
    </x:row>
    <x:row r="10">
      <x:c r="A10" s="12" t="str">
        <x:v>定常時逆起電力 E_ll,rms,ss</x:v>
      </x:c>
      <x:c r="B10" s="16" t="str">
        <x:v>Ke_ll,rms × ω_m,ss</x:v>
      </x:c>
      <x:c r="C10" s="16" t="str">
        <x:v>D8×D6</x:v>
      </x:c>
      <x:c r="D10" s="17" t="n">
        <x:f>D8*D6</x:f>
        <x:v>4.8367983046245815</x:v>
      </x:c>
      <x:c r="E10" s="16" t="str">
        <x:v>Vrms</x:v>
      </x:c>
      <x:c r="F10" s="16" t="str">
        <x:v>線間rms基準の逆起電力。</x:v>
      </x:c>
      <x:c r="G10" s="16" t="str"/>
      <x:c r="H10" s="16" t="str">
        <x:v>設計資料でよく使う Ke 基準。</x:v>
      </x:c>
    </x:row>
    <x:row r="11">
      <x:c r="A11" s="12" t="str">
        <x:v>定常時逆起電力 E_ph,peak,ss</x:v>
      </x:c>
      <x:c r="B11" s="16" t="str">
        <x:v>Ke_ph,peak × ω_m,ss</x:v>
      </x:c>
      <x:c r="C11" s="16" t="str">
        <x:v>D9×D6</x:v>
      </x:c>
      <x:c r="D11" s="17" t="n">
        <x:f>D9*D6</x:f>
        <x:v>3.949229278362992</x:v>
      </x:c>
      <x:c r="E11" s="16" t="str">
        <x:v>Vpeak</x:v>
      </x:c>
      <x:c r="F11" s="16" t="str">
        <x:v>相peak基準の逆起電力。</x:v>
      </x:c>
      <x:c r="G11" s="16" t="str">
        <x:v>q軸電圧式で使用</x:v>
      </x:c>
      <x:c r="H11" s="16" t="str">
        <x:v>q軸式 v_q=R i_q + e では相peak基準の e を使う。</x:v>
      </x:c>
    </x:row>
    <x:row r="12">
      <x:c r="A12" s="12" t="str">
        <x:v>起動時 q軸電圧 v_q,start</x:v>
      </x:c>
      <x:c r="B12" s="16" t="str">
        <x:v>R × I_start,peak</x:v>
      </x:c>
      <x:c r="C12" s="16" t="str">
        <x:v>入力条件!B4×D4</x:v>
      </x:c>
      <x:c r="D12" s="17" t="n">
        <x:f>'入力条件'!$B$4*D4</x:f>
        <x:v>50.91168824543143</x:v>
      </x:c>
      <x:c r="E12" s="16" t="str">
        <x:v>Vpeak</x:v>
      </x:c>
      <x:c r="F12" s="16" t="str">
        <x:v>起動瞬間は逆起電力が無く抵抗降下のみ。</x:v>
      </x:c>
      <x:c r="G12" s="16" t="str"/>
      <x:c r="H12" s="16" t="str">
        <x:v>0 rpmなので e=0。</x:v>
      </x:c>
    </x:row>
    <x:row r="13">
      <x:c r="A13" s="12" t="str">
        <x:v>起動時必要相電圧 V_ph,peak,start</x:v>
      </x:c>
      <x:c r="B13" s="16" t="str">
        <x:v>|v_q,start|</x:v>
      </x:c>
      <x:c r="C13" s="16" t="str">
        <x:v>ABS(D12)</x:v>
      </x:c>
      <x:c r="D13" s="17" t="n">
        <x:f>ABS(D12)</x:f>
        <x:v>50.91168824543143</x:v>
      </x:c>
      <x:c r="E13" s="16" t="str">
        <x:v>Vpeak</x:v>
      </x:c>
      <x:c r="F13" s="16" t="str">
        <x:v>相電圧基本波ピーク基準の必要電圧。</x:v>
      </x:c>
      <x:c r="G13" s="16" t="str"/>
      <x:c r="H13" s="16" t="str">
        <x:v>起動時は d軸成分0。</x:v>
      </x:c>
    </x:row>
    <x:row r="14">
      <x:c r="A14" s="12" t="str">
        <x:v>起動時必要線間電圧 V_ll,rms,start</x:v>
      </x:c>
      <x:c r="B14" s="16" t="str">
        <x:v>√(3/2) × V_ph,peak,start</x:v>
      </x:c>
      <x:c r="C14" s="16" t="str">
        <x:v>SQRT(3/2)×D13</x:v>
      </x:c>
      <x:c r="D14" s="17" t="n">
        <x:f>SQRT(3/2)*D13</x:f>
        <x:v>62.353829072479584</x:v>
      </x:c>
      <x:c r="E14" s="16" t="str">
        <x:v>Vrms</x:v>
      </x:c>
      <x:c r="F14" s="16" t="str">
        <x:v>線間rms基準へ換算。</x:v>
      </x:c>
      <x:c r="G14" s="16" t="str"/>
      <x:c r="H14" s="16" t="str">
        <x:v>Vll,rms=√(3/2)Vph,peak。</x:v>
      </x:c>
    </x:row>
    <x:row r="15">
      <x:c r="A15" s="12" t="str">
        <x:v>起動時必要DCバス（相peak基準）</x:v>
      </x:c>
      <x:c r="B15" s="16" t="str">
        <x:v>V_ph,peak,start / k_ph,max</x:v>
      </x:c>
      <x:c r="C15" s="16" t="str">
        <x:v>D13/入力条件!B16</x:v>
      </x:c>
      <x:c r="D15" s="17" t="n">
        <x:f>D13/'入力条件'!$B$16</x:f>
        <x:v>88.18163074019441</x:v>
      </x:c>
      <x:c r="E15" s="16" t="str">
        <x:v>Vdc</x:v>
      </x:c>
      <x:c r="F15" s="16" t="str">
        <x:v>相peak基準でのDCバス式。</x:v>
      </x:c>
      <x:c r="G15" s="16" t="str">
        <x:v>選択した変調方式で変わる</x:v>
      </x:c>
      <x:c r="H15" s="16" t="str">
        <x:v>SPWMなら Vph,peak,max=0.5Vdc、SVPWMなら Vdc/√3。</x:v>
      </x:c>
    </x:row>
    <x:row r="16">
      <x:c r="A16" s="12" t="str">
        <x:v>起動時必要DCバス（線間rms基準）</x:v>
      </x:c>
      <x:c r="B16" s="16" t="str">
        <x:v>V_ll,rms,start / k_mod</x:v>
      </x:c>
      <x:c r="C16" s="16" t="str">
        <x:v>D14/入力条件!B15</x:v>
      </x:c>
      <x:c r="D16" s="17" t="n">
        <x:f>D14/'入力条件'!$B$15</x:f>
        <x:v>88.18163074019442</x:v>
      </x:c>
      <x:c r="E16" s="16" t="str">
        <x:v>Vdc</x:v>
      </x:c>
      <x:c r="F16" s="16" t="str">
        <x:v>線間rms基準でのDCバス式。</x:v>
      </x:c>
      <x:c r="G16" s="16" t="str">
        <x:v>選択した変調方式で変わる</x:v>
      </x:c>
      <x:c r="H16" s="16" t="str">
        <x:v>SPWMなら Vll,rms,max=0.612Vdc、SVPWMなら 0.707Vdc。</x:v>
      </x:c>
    </x:row>
    <x:row r="17">
      <x:c r="A17" s="12" t="str">
        <x:v>起動時 DCバス差分チェック</x:v>
      </x:c>
      <x:c r="B17" s="16" t="str">
        <x:v>Vdc_ph - Vdc_ll</x:v>
      </x:c>
      <x:c r="C17" s="16" t="str">
        <x:v>D15-D16</x:v>
      </x:c>
      <x:c r="D17" s="17" t="n">
        <x:f>D15-D16</x:f>
        <x:v>-1.4210854715202004e-14</x:v>
      </x:c>
      <x:c r="E17" s="16" t="str">
        <x:v>V</x:v>
      </x:c>
      <x:c r="F17" s="16" t="str">
        <x:v>0に近ければ基準換算が整合</x:v>
      </x:c>
      <x:c r="G17" s="16" t="str"/>
      <x:c r="H17" s="16" t="str">
        <x:v>相peak基準版と線間rms基準版は同値。</x:v>
      </x:c>
    </x:row>
    <x:row r="18">
      <x:c r="A18" s="12" t="str">
        <x:v>定常時 d軸電圧 v_d,ss</x:v>
      </x:c>
      <x:c r="B18" s="16" t="str">
        <x:v>-p × ω_m,ss × L × I_ss,peak</x:v>
      </x:c>
      <x:c r="C18" s="16" t="str">
        <x:v>-D7×入力条件!B5×D5</x:v>
      </x:c>
      <x:c r="D18" s="17" t="n">
        <x:f>-D7*'入力条件'!$B$5*D5</x:f>
        <x:v>-1.7771531752633465</x:v>
      </x:c>
      <x:c r="E18" s="16" t="str">
        <x:v>Vpeak</x:v>
      </x:c>
      <x:c r="F18" s="16" t="str">
        <x:v>インダクタンスによる誘導項。</x:v>
      </x:c>
      <x:c r="G18" s="16" t="str"/>
      <x:c r="H18" s="16" t="str">
        <x:v>ω_e=pω_m を用いて λm を使わず表現。</x:v>
      </x:c>
    </x:row>
    <x:row r="19">
      <x:c r="A19" s="12" t="str">
        <x:v>定常時 q軸電圧 v_q,ss</x:v>
      </x:c>
      <x:c r="B19" s="16" t="str">
        <x:v>R × I_ss,peak + E_ph,peak,ss</x:v>
      </x:c>
      <x:c r="C19" s="16" t="str">
        <x:v>入力条件!B4×D5 + D11</x:v>
      </x:c>
      <x:c r="D19" s="17" t="n">
        <x:f>'入力条件'!$B$4*D5 + D11</x:f>
        <x:v>29.405073401078706</x:v>
      </x:c>
      <x:c r="E19" s="16" t="str">
        <x:v>Vpeak</x:v>
      </x:c>
      <x:c r="F19" s="16" t="str">
        <x:v>抵抗降下と逆起電力の和。</x:v>
      </x:c>
      <x:c r="G19" s="16" t="str"/>
      <x:c r="H19" s="16" t="str">
        <x:v>Ke基準なら逆起電力項は E_ph,peak,ss と書ける。</x:v>
      </x:c>
    </x:row>
    <x:row r="20">
      <x:c r="A20" s="12" t="str">
        <x:v>定常時必要相電圧 V_ph,peak,ss</x:v>
      </x:c>
      <x:c r="B20" s="16" t="str">
        <x:v>√(v_d,ss² + v_q,ss²)</x:v>
      </x:c>
      <x:c r="C20" s="16" t="str">
        <x:v>SQRT(D18^2 + D19^2)</x:v>
      </x:c>
      <x:c r="D20" s="17" t="n">
        <x:f>SQRT(D18^2 + D19^2)</x:f>
        <x:v>29.45872731689499</x:v>
      </x:c>
      <x:c r="E20" s="16" t="str">
        <x:v>Vpeak</x:v>
      </x:c>
      <x:c r="F20" s="16" t="str">
        <x:v>相peak基準の必要電圧。</x:v>
      </x:c>
      <x:c r="G20" s="16" t="str"/>
      <x:c r="H20" s="16" t="str">
        <x:v>dqベクトルの大きさ。</x:v>
      </x:c>
    </x:row>
    <x:row r="21">
      <x:c r="A21" s="12" t="str">
        <x:v>定常時必要線間電圧 V_ll,rms,ss</x:v>
      </x:c>
      <x:c r="B21" s="16" t="str">
        <x:v>√(3/2) × V_ph,peak,ss</x:v>
      </x:c>
      <x:c r="C21" s="16" t="str">
        <x:v>SQRT(3/2)×D20</x:v>
      </x:c>
      <x:c r="D21" s="17" t="n">
        <x:f>SQRT(3/2)*D20</x:f>
        <x:v>36.079425199090444</x:v>
      </x:c>
      <x:c r="E21" s="16" t="str">
        <x:v>Vrms</x:v>
      </x:c>
      <x:c r="F21" s="16" t="str">
        <x:v>線間rms基準へ換算。</x:v>
      </x:c>
      <x:c r="G21" s="16" t="str"/>
      <x:c r="H21" s="16" t="str"/>
    </x:row>
    <x:row r="22">
      <x:c r="A22" s="12" t="str">
        <x:v>定常時必要DCバス（相peak基準）</x:v>
      </x:c>
      <x:c r="B22" s="16" t="str">
        <x:v>V_ph,peak,ss / k_ph,max</x:v>
      </x:c>
      <x:c r="C22" s="16" t="str">
        <x:v>D20/入力条件!B16</x:v>
      </x:c>
      <x:c r="D22" s="17" t="n">
        <x:f>D20/'入力条件'!$B$16</x:f>
        <x:v>51.02401243917931</x:v>
      </x:c>
      <x:c r="E22" s="16" t="str">
        <x:v>Vdc</x:v>
      </x:c>
      <x:c r="F22" s="16" t="str">
        <x:v>相peak基準版。</x:v>
      </x:c>
      <x:c r="G22" s="16" t="str"/>
      <x:c r="H22" s="16" t="str"/>
    </x:row>
    <x:row r="23">
      <x:c r="A23" s="12" t="str">
        <x:v>定常時必要DCバス（線間rms基準）</x:v>
      </x:c>
      <x:c r="B23" s="16" t="str">
        <x:v>V_ll,rms,ss / k_mod</x:v>
      </x:c>
      <x:c r="C23" s="16" t="str">
        <x:v>D21/入力条件!B15</x:v>
      </x:c>
      <x:c r="D23" s="17" t="n">
        <x:f>D21/'入力条件'!$B$15</x:f>
        <x:v>51.024012439179316</x:v>
      </x:c>
      <x:c r="E23" s="16" t="str">
        <x:v>Vdc</x:v>
      </x:c>
      <x:c r="F23" s="16" t="str">
        <x:v>線間rms基準版。</x:v>
      </x:c>
      <x:c r="G23" s="16" t="str"/>
      <x:c r="H23" s="16" t="str"/>
    </x:row>
    <x:row r="24">
      <x:c r="A24" s="12" t="str">
        <x:v>定常時 DCバス差分チェック</x:v>
      </x:c>
      <x:c r="B24" s="16" t="str">
        <x:v>Vdc_ph - Vdc_ll</x:v>
      </x:c>
      <x:c r="C24" s="16" t="str">
        <x:v>D22-D23</x:v>
      </x:c>
      <x:c r="D24" s="17" t="n">
        <x:f>D22-D23</x:f>
        <x:v>-7.105427357601002e-15</x:v>
      </x:c>
      <x:c r="E24" s="16" t="str">
        <x:v>V</x:v>
      </x:c>
      <x:c r="F24" s="16" t="str">
        <x:v>0に近ければ整合。</x:v>
      </x:c>
      <x:c r="G24" s="16" t="str"/>
      <x:c r="H24" s="16" t="str"/>
    </x:row>
    <x:row r="25">
      <x:c r="A25" s="12" t="str">
        <x:v>加速ワースト d軸電圧 v_d,acc</x:v>
      </x:c>
      <x:c r="B25" s="16" t="str">
        <x:v>-p × ω_m,ss × L × I_start,peak</x:v>
      </x:c>
      <x:c r="C25" s="16" t="str">
        <x:v>-D7×入力条件!B5×D4</x:v>
      </x:c>
      <x:c r="D25" s="17" t="n">
        <x:f>-D7*'入力条件'!$B$5*D4</x:f>
        <x:v>-3.554306350526693</x:v>
      </x:c>
      <x:c r="E25" s="16" t="str">
        <x:v>Vpeak</x:v>
      </x:c>
      <x:c r="F25" s="16" t="str">
        <x:v>起動中6 Arms一定のまま10 rpmに達した最悪条件。</x:v>
      </x:c>
      <x:c r="G25" s="16" t="str"/>
      <x:c r="H25" s="16" t="str"/>
    </x:row>
    <x:row r="26">
      <x:c r="A26" s="12" t="str">
        <x:v>加速ワースト q軸電圧 v_q,acc</x:v>
      </x:c>
      <x:c r="B26" s="16" t="str">
        <x:v>R × I_start,peak + E_ph,peak,ss</x:v>
      </x:c>
      <x:c r="C26" s="16" t="str">
        <x:v>入力条件!B4×D4 + D11</x:v>
      </x:c>
      <x:c r="D26" s="17" t="n">
        <x:f>'入力条件'!$B$4*D4 + D11</x:f>
        <x:v>54.86091752379442</x:v>
      </x:c>
      <x:c r="E26" s="16" t="str">
        <x:v>Vpeak</x:v>
      </x:c>
      <x:c r="F26" s="16" t="str">
        <x:v>6 Arms一定なので抵抗降下が大きい。</x:v>
      </x:c>
      <x:c r="G26" s="16" t="str"/>
      <x:c r="H26" s="16" t="str"/>
    </x:row>
    <x:row r="27">
      <x:c r="A27" s="12" t="str">
        <x:v>加速ワースト必要相電圧 V_ph,peak,acc</x:v>
      </x:c>
      <x:c r="B27" s="16" t="str">
        <x:v>√(v_d,acc² + v_q,acc²)</x:v>
      </x:c>
      <x:c r="C27" s="16" t="str">
        <x:v>SQRT(D25^2 + D26^2)</x:v>
      </x:c>
      <x:c r="D27" s="17" t="n">
        <x:f>SQRT(D25^2 + D26^2)</x:f>
        <x:v>54.97593441848868</x:v>
      </x:c>
      <x:c r="E27" s="16" t="str">
        <x:v>Vpeak</x:v>
      </x:c>
      <x:c r="F27" s="16" t="str">
        <x:v>起動区間全体の設計支配条件。</x:v>
      </x:c>
      <x:c r="G27" s="16" t="str"/>
      <x:c r="H27" s="16" t="str"/>
    </x:row>
    <x:row r="28">
      <x:c r="A28" s="12" t="str">
        <x:v>加速ワースト必要線間電圧 V_ll,rms,acc</x:v>
      </x:c>
      <x:c r="B28" s="16" t="str">
        <x:v>√(3/2) × V_ph,peak,acc</x:v>
      </x:c>
      <x:c r="C28" s="16" t="str">
        <x:v>SQRT(3/2)×D27</x:v>
      </x:c>
      <x:c r="D28" s="17" t="n">
        <x:f>SQRT(3/2)*D27</x:f>
        <x:v>67.33149372900434</x:v>
      </x:c>
      <x:c r="E28" s="16" t="str">
        <x:v>Vrms</x:v>
      </x:c>
      <x:c r="F28" s="16" t="str">
        <x:v>線間rms基準へ換算。</x:v>
      </x:c>
      <x:c r="G28" s="16" t="str"/>
      <x:c r="H28" s="16" t="str"/>
    </x:row>
    <x:row r="29">
      <x:c r="A29" s="12" t="str">
        <x:v>加速ワースト必要DCバス（相peak基準）</x:v>
      </x:c>
      <x:c r="B29" s="16" t="str">
        <x:v>V_ph,peak,acc / k_ph,max</x:v>
      </x:c>
      <x:c r="C29" s="16" t="str">
        <x:v>D27/入力条件!B16</x:v>
      </x:c>
      <x:c r="D29" s="17" t="n">
        <x:f>D27/'入力条件'!$B$16</x:f>
        <x:v>95.22111160639693</x:v>
      </x:c>
      <x:c r="E29" s="16" t="str">
        <x:v>Vdc</x:v>
      </x:c>
      <x:c r="F29" s="16" t="str">
        <x:v>相peak基準版。</x:v>
      </x:c>
      <x:c r="G29" s="16" t="str"/>
      <x:c r="H29" s="16" t="str"/>
    </x:row>
    <x:row r="30">
      <x:c r="A30" s="12" t="str">
        <x:v>加速ワースト必要DCバス（線間rms基準）</x:v>
      </x:c>
      <x:c r="B30" s="16" t="str">
        <x:v>V_ll,rms,acc / k_mod</x:v>
      </x:c>
      <x:c r="C30" s="16" t="str">
        <x:v>D28/入力条件!B15</x:v>
      </x:c>
      <x:c r="D30" s="17" t="n">
        <x:f>D28/'入力条件'!$B$15</x:f>
        <x:v>95.22111160639695</x:v>
      </x:c>
      <x:c r="E30" s="16" t="str">
        <x:v>Vdc</x:v>
      </x:c>
      <x:c r="F30" s="16" t="str">
        <x:v>線間rms基準版。</x:v>
      </x:c>
      <x:c r="G30" s="16" t="str"/>
      <x:c r="H30" s="16" t="str"/>
    </x:row>
    <x:row r="31">
      <x:c r="A31" s="12" t="str">
        <x:v>加速ワースト DCバス差分チェック</x:v>
      </x:c>
      <x:c r="B31" s="16" t="str">
        <x:v>Vdc_ph - Vdc_ll</x:v>
      </x:c>
      <x:c r="C31" s="16" t="str">
        <x:v>D29-D30</x:v>
      </x:c>
      <x:c r="D31" s="17" t="n">
        <x:f>D29-D30</x:f>
        <x:v>-1.4210854715202004e-14</x:v>
      </x:c>
      <x:c r="E31" s="16" t="str">
        <x:v>V</x:v>
      </x:c>
      <x:c r="F31" s="16" t="str">
        <x:v>0に近ければ整合。</x:v>
      </x:c>
      <x:c r="G31" s="16" t="str"/>
      <x:c r="H31" s="16" t="str"/>
    </x:row>
    <x:row r="32">
      <x:c r="A32" s="12" t="str">
        <x:v>定常時トルク T_ss</x:v>
      </x:c>
      <x:c r="B32" s="16" t="str">
        <x:v>Kt × I_ss</x:v>
      </x:c>
      <x:c r="C32" s="16" t="str">
        <x:v>入力条件!B6×入力条件!B8</x:v>
      </x:c>
      <x:c r="D32" s="17" t="n">
        <x:f>'入力条件'!$B$6*'入力条件'!$B$8</x:f>
        <x:v>24</x:v>
      </x:c>
      <x:c r="E32" s="16" t="str">
        <x:v>Nm</x:v>
      </x:c>
      <x:c r="F32" s="16" t="str">
        <x:v>Kt が Nm/Arms なので実効値電流をそのまま掛ける。</x:v>
      </x:c>
      <x:c r="G32" s="16" t="str"/>
      <x:c r="H32" s="16" t="str"/>
    </x:row>
    <x:row r="33">
      <x:c r="A33" s="12" t="str">
        <x:v>定常時機械出力 P_out,ss</x:v>
      </x:c>
      <x:c r="B33" s="16" t="str">
        <x:v>T_ss × ω_m,ss</x:v>
      </x:c>
      <x:c r="C33" s="16" t="str">
        <x:v>D32×D6</x:v>
      </x:c>
      <x:c r="D33" s="17" t="n">
        <x:f>D32*D6</x:f>
        <x:v>25.132741228718345</x:v>
      </x:c>
      <x:c r="E33" s="16" t="str">
        <x:v>W</x:v>
      </x:c>
      <x:c r="F33" s="16" t="str">
        <x:v>機械出力 = トルク × 機械角速度。</x:v>
      </x:c>
      <x:c r="G33" s="16" t="str"/>
      <x:c r="H33" s="16" t="str"/>
    </x:row>
    <x:row r="34">
      <x:c r="A34" s="12" t="str">
        <x:v>定常時銅損 P_cu,ss</x:v>
      </x:c>
      <x:c r="B34" s="16" t="str">
        <x:v>3 × I_ss² × R</x:v>
      </x:c>
      <x:c r="C34" s="16" t="str">
        <x:v>3×(入力条件!B8^2)×入力条件!B4</x:v>
      </x:c>
      <x:c r="D34" s="17" t="n">
        <x:f>3*('入力条件'!$B$8^2)*'入力条件'!$B$4</x:f>
        <x:v>162</x:v>
      </x:c>
      <x:c r="E34" s="16" t="str">
        <x:v>W</x:v>
      </x:c>
      <x:c r="F34" s="16" t="str">
        <x:v>3相巻線のジュール損。</x:v>
      </x:c>
      <x:c r="G34" s="16" t="str">
        <x:v>定常時発熱量</x:v>
      </x:c>
      <x:c r="H34" s="16" t="str">
        <x:v>P_cu=3I_rms^2R。</x:v>
      </x:c>
    </x:row>
    <x:row r="35">
      <x:c r="A35" s="12" t="str">
        <x:v>定常時電気入力 P_in,ss</x:v>
      </x:c>
      <x:c r="B35" s="16" t="str">
        <x:v>P_out,ss + P_cu,ss</x:v>
      </x:c>
      <x:c r="C35" s="16" t="str">
        <x:v>D33+D34</x:v>
      </x:c>
      <x:c r="D35" s="17" t="n">
        <x:f>D33+D34</x:f>
        <x:v>187.13274122871834</x:v>
      </x:c>
      <x:c r="E35" s="16" t="str">
        <x:v>W</x:v>
      </x:c>
      <x:c r="F35" s="16" t="str">
        <x:v>銅損のみを考慮した簡易入力電力。</x:v>
      </x:c>
      <x:c r="G35" s="16" t="str"/>
      <x:c r="H35" s="16" t="str"/>
    </x:row>
    <x:row r="36">
      <x:c r="A36" s="12" t="str">
        <x:v>定常時効率 η_ss</x:v>
      </x:c>
      <x:c r="B36" s="16" t="str">
        <x:v>P_out,ss / P_in,ss</x:v>
      </x:c>
      <x:c r="C36" s="16" t="str">
        <x:v>D33/D35</x:v>
      </x:c>
      <x:c r="D36" s="18" t="n">
        <x:f>D33/D35</x:f>
        <x:v>0.13430435029004612</x:v>
      </x:c>
      <x:c r="E36" s="16" t="str">
        <x:v>-</x:v>
      </x:c>
      <x:c r="F36" s="16" t="str">
        <x:v>銅損のみ考慮した簡易効率。</x:v>
      </x:c>
      <x:c r="G36" s="16" t="str"/>
      <x:c r="H36" s="16" t="str"/>
    </x:row>
    <x:row r="37">
      <x:c r="A37" s="12" t="str">
        <x:v>起動時銅損 P_cu,start</x:v>
      </x:c>
      <x:c r="B37" s="16" t="str">
        <x:v>3 × I_start² × R</x:v>
      </x:c>
      <x:c r="C37" s="16" t="str">
        <x:v>3×(入力条件!B7^2)×入力条件!B4</x:v>
      </x:c>
      <x:c r="D37" s="17" t="n">
        <x:f>3*('入力条件'!$B$7^2)*'入力条件'!$B$4</x:f>
        <x:v>648</x:v>
      </x:c>
      <x:c r="E37" s="16" t="str">
        <x:v>W</x:v>
      </x:c>
      <x:c r="F37" s="16" t="str">
        <x:v>起動時6 Arms一定の銅損。</x:v>
      </x:c>
      <x:c r="G37" s="16" t="str"/>
      <x:c r="H37" s="16" t="str"/>
    </x:row>
    <x:row r="38">
      <x:c r="A38" s="12" t="str">
        <x:v>加速中平均発熱 P_heat,avg</x:v>
      </x:c>
      <x:c r="B38" s="16" t="str">
        <x:v>P_cu,start</x:v>
      </x:c>
      <x:c r="C38" s="16" t="str">
        <x:v>D37</x:v>
      </x:c>
      <x:c r="D38" s="17" t="n">
        <x:f>D37</x:f>
        <x:v>648</x:v>
      </x:c>
      <x:c r="E38" s="16" t="str">
        <x:v>W</x:v>
      </x:c>
      <x:c r="F38" s="16" t="str">
        <x:v>起動中は6 Arms一定なので起動時銅損と同じ。</x:v>
      </x:c>
      <x:c r="G38" s="16" t="str"/>
      <x:c r="H38" s="16" t="str"/>
    </x:row>
    <x:row r="39">
      <x:c r="A39" s="12" t="str">
        <x:v>加速中発熱エネルギー Q_acc</x:v>
      </x:c>
      <x:c r="B39" s="16" t="str">
        <x:v>P_heat,avg × t_acc</x:v>
      </x:c>
      <x:c r="C39" s="16" t="str">
        <x:v>D38×入力条件!B10</x:v>
      </x:c>
      <x:c r="D39" s="17" t="n">
        <x:f>D38*'入力条件'!$B$10</x:f>
        <x:v>648</x:v>
      </x:c>
      <x:c r="E39" s="16" t="str">
        <x:v>J</x:v>
      </x:c>
      <x:c r="F39" s="16" t="str">
        <x:v>加速1秒で発生する総熱量。</x:v>
      </x:c>
      <x:c r="G39" s="16" t="str"/>
      <x:c r="H39" s="16" t="str"/>
    </x:row>
    <x:row r="41" ht="17.08984375" hidden="0" customHeight="1">
      <x:c r="A41" s="31" t="str">
        <x:v>回生制動（停止時）の計算</x:v>
      </x:c>
      <x:c r="B41" s="31"/>
      <x:c r="C41" s="31"/>
      <x:c r="D41" s="31"/>
      <x:c r="E41" s="31"/>
      <x:c r="F41" s="31"/>
      <x:c r="G41" s="31"/>
      <x:c r="H41" s="31"/>
    </x:row>
    <x:row r="42" ht="51.26953125" hidden="0" customHeight="1">
      <x:c r="A42" s="53" t="str">
        <x:v>回生開始機械角速度 ω_m,reg,start</x:v>
      </x:c>
      <x:c r="B42" s="41" t="str">
        <x:v>n_ss × 2π / 60</x:v>
      </x:c>
      <x:c r="C42" s="43" t="str">
        <x:v>入力条件!B9×2π/60</x:v>
      </x:c>
      <x:c r="D42" s="68" t="n">
        <x:f>'入力条件'!B9*2*PI()/60</x:f>
        <x:v>1.0471975511965976</x:v>
      </x:c>
      <x:c r="E42" s="65" t="str">
        <x:v>rad/s</x:v>
      </x:c>
      <x:c r="F42" s="74" t="str">
        <x:v>停止直前の機械角速度。定常時回転速度から計算。</x:v>
      </x:c>
      <x:c r="G42" s="71" t="str">
        <x:v>停止前速度は定常時10 rpmを使用</x:v>
      </x:c>
      <x:c r="H42" s="59" t="str">
        <x:v>停止開始時の運動エネルギー計算の起点。</x:v>
      </x:c>
    </x:row>
    <x:row r="43" ht="51.26953125" hidden="0" customHeight="1">
      <x:c r="A43" s="54" t="str">
        <x:v>減速度絶対値 |α_dec|</x:v>
      </x:c>
      <x:c r="B43" s="44" t="str">
        <x:v>ω_m,reg,start / t_dec</x:v>
      </x:c>
      <x:c r="C43" s="46" t="str">
        <x:v>D42/入力条件!B27</x:v>
      </x:c>
      <x:c r="D43" s="69" t="n">
        <x:f>D42/'入力条件'!B27</x:f>
        <x:v>1.0471975511965976</x:v>
      </x:c>
      <x:c r="E43" s="66" t="str">
        <x:v>rad/s²</x:v>
      </x:c>
      <x:c r="F43" s="75" t="str">
        <x:v>一定減速度で 10 rpm → 0 rpm と仮定。</x:v>
      </x:c>
      <x:c r="G43" s="72" t="str">
        <x:v>符号は負だが、ここでは大きさで表示</x:v>
      </x:c>
      <x:c r="H43" s="60" t="str">
        <x:v>ω(t)=ω0(1-t/t_dec) と置くと α=-ω0/t_dec。</x:v>
      </x:c>
    </x:row>
    <x:row r="44" ht="51.26953125" hidden="0" customHeight="1">
      <x:c r="A44" s="54" t="str">
        <x:v>必要減速トルク |T_regen|</x:v>
      </x:c>
      <x:c r="B44" s="44" t="str">
        <x:v>J × |α_dec|</x:v>
      </x:c>
      <x:c r="C44" s="46" t="str">
        <x:v>入力条件!B26×D43</x:v>
      </x:c>
      <x:c r="D44" s="69" t="n">
        <x:f>'入力条件'!B26*D43</x:f>
        <x:v>3.141592653589793</x:v>
      </x:c>
      <x:c r="E44" s="66" t="str">
        <x:v>Nm</x:v>
      </x:c>
      <x:c r="F44" s="75" t="str">
        <x:v>慣性モーメントと減速度から必要制動トルクを算出。</x:v>
      </x:c>
      <x:c r="G44" s="72" t="str">
        <x:v>負トルクだが、ここでは大きさで表示</x:v>
      </x:c>
      <x:c r="H44" s="60" t="str">
        <x:v>運動方程式 T=Jα。</x:v>
      </x:c>
    </x:row>
    <x:row r="45" ht="51.26953125" hidden="0" customHeight="1">
      <x:c r="A45" s="54" t="str">
        <x:v>必要回生電流 |I_regen,rms|</x:v>
      </x:c>
      <x:c r="B45" s="44" t="str">
        <x:v>|T_regen| / Kt</x:v>
      </x:c>
      <x:c r="C45" s="46" t="str">
        <x:v>D44/入力条件!B6</x:v>
      </x:c>
      <x:c r="D45" s="69" t="n">
        <x:f>D44/'入力条件'!B6</x:f>
        <x:v>0.39269908169872414</x:v>
      </x:c>
      <x:c r="E45" s="66" t="str">
        <x:v>Arms</x:v>
      </x:c>
      <x:c r="F45" s="75" t="str">
        <x:v>Kt[Nm/Arms] より必要な相電流実効値を計算。</x:v>
      </x:c>
      <x:c r="G45" s="72" t="str">
        <x:v>電流極性は負側（回生）</x:v>
      </x:c>
      <x:c r="H45" s="60" t="str">
        <x:v>電流の大きさだけを表示し、回生方向は補足で示す。</x:v>
      </x:c>
    </x:row>
    <x:row r="46" ht="34.1796875" hidden="0" customHeight="1">
      <x:c r="A46" s="54" t="str">
        <x:v>必要回生電流 |I_regen,peak|</x:v>
      </x:c>
      <x:c r="B46" s="44" t="str">
        <x:v>√2 × |I_regen,rms|</x:v>
      </x:c>
      <x:c r="C46" s="46" t="str">
        <x:v>SQRT(2)×D45</x:v>
      </x:c>
      <x:c r="D46" s="69" t="n">
        <x:f>SQRT(2)*D45</x:f>
        <x:v>0.5553603672697958</x:v>
      </x:c>
      <x:c r="E46" s="66" t="str">
        <x:v>Apeak</x:v>
      </x:c>
      <x:c r="F46" s="75" t="str">
        <x:v>dq式で用いるピーク値へ換算。</x:v>
      </x:c>
      <x:c r="G46" s="72"/>
      <x:c r="H46" s="60" t="str">
        <x:v>I_peak=√2 I_rms。</x:v>
      </x:c>
    </x:row>
    <x:row r="47" ht="34.1796875" hidden="0" customHeight="1">
      <x:c r="A47" s="54" t="str">
        <x:v>停止開始時の機械回生電力 P_mech,start</x:v>
      </x:c>
      <x:c r="B47" s="44" t="str">
        <x:v>|T_regen| × ω_m,reg,start</x:v>
      </x:c>
      <x:c r="C47" s="46" t="str">
        <x:v>D44×D42</x:v>
      </x:c>
      <x:c r="D47" s="69" t="n">
        <x:f>D44*D42</x:f>
        <x:v>3.2898681336964524</x:v>
      </x:c>
      <x:c r="E47" s="66" t="str">
        <x:v>W</x:v>
      </x:c>
      <x:c r="F47" s="75" t="str">
        <x:v>停止開始瞬間の機械側回生電力。</x:v>
      </x:c>
      <x:c r="G47" s="72" t="str">
        <x:v>停止に伴い0まで線形に低下</x:v>
      </x:c>
      <x:c r="H47" s="60" t="str">
        <x:v>一定トルク減速なら P=Tω。</x:v>
      </x:c>
    </x:row>
    <x:row r="48" ht="51.26953125" hidden="0" customHeight="1">
      <x:c r="A48" s="54" t="str">
        <x:v>平均機械回生電力 P_mech,avg</x:v>
      </x:c>
      <x:c r="B48" s="44" t="str">
        <x:v>0.5 × |T_regen| × ω_m,reg,start</x:v>
      </x:c>
      <x:c r="C48" s="46" t="str">
        <x:v>0.5×D44×D42</x:v>
      </x:c>
      <x:c r="D48" s="69" t="n">
        <x:f>0.5*D44*D42</x:f>
        <x:v>1.6449340668482262</x:v>
      </x:c>
      <x:c r="E48" s="66" t="str">
        <x:v>W</x:v>
      </x:c>
      <x:c r="F48" s="75" t="str">
        <x:v>一定減速度なら速度が線形に下がるため平均は開始時の1/2。</x:v>
      </x:c>
      <x:c r="G48" s="72"/>
      <x:c r="H48" s="60" t="str">
        <x:v>E_k/t_dec と同値。</x:v>
      </x:c>
    </x:row>
    <x:row r="49" ht="51.26953125" hidden="0" customHeight="1">
      <x:c r="A49" s="54" t="str">
        <x:v>停止前慣性エネルギー E_k</x:v>
      </x:c>
      <x:c r="B49" s="44" t="str">
        <x:v>0.5 × J × ω_m,reg,start²</x:v>
      </x:c>
      <x:c r="C49" s="46" t="str">
        <x:v>0.5×入力条件!B26×D42^2</x:v>
      </x:c>
      <x:c r="D49" s="69" t="n">
        <x:f>0.5*'入力条件'!B26*D42^2</x:f>
        <x:v>1.6449340668482262</x:v>
      </x:c>
      <x:c r="E49" s="66" t="str">
        <x:v>J</x:v>
      </x:c>
      <x:c r="F49" s="75" t="str">
        <x:v>停止前に機械系へ蓄えられている運動エネルギー。</x:v>
      </x:c>
      <x:c r="G49" s="72"/>
      <x:c r="H49" s="60" t="str">
        <x:v>この値が回生で取り出せる理想上限。</x:v>
      </x:c>
    </x:row>
    <x:row r="50" ht="34.1796875" hidden="0" customHeight="1">
      <x:c r="A50" s="54" t="str">
        <x:v>回生時銅損 P_cu,regen</x:v>
      </x:c>
      <x:c r="B50" s="44" t="str">
        <x:v>3 × I_regen,rms² × R</x:v>
      </x:c>
      <x:c r="C50" s="46" t="str">
        <x:v>3×D45^2×入力条件!B4</x:v>
      </x:c>
      <x:c r="D50" s="69" t="n">
        <x:f>3*D45^2*'入力条件'!B4</x:f>
        <x:v>2.775826237806382</x:v>
      </x:c>
      <x:c r="E50" s="66" t="str">
        <x:v>W</x:v>
      </x:c>
      <x:c r="F50" s="75" t="str">
        <x:v>回生制動中も巻線にはジュール損が発生する。</x:v>
      </x:c>
      <x:c r="G50" s="72"/>
      <x:c r="H50" s="60" t="str">
        <x:v>銅損が大きいとDCバスへ戻るエネルギーは減る。</x:v>
      </x:c>
    </x:row>
    <x:row r="51" ht="34.1796875" hidden="0" customHeight="1">
      <x:c r="A51" s="54" t="str">
        <x:v>回生時銅損エネルギー E_cu,regen</x:v>
      </x:c>
      <x:c r="B51" s="44" t="str">
        <x:v>P_cu,regen × t_dec</x:v>
      </x:c>
      <x:c r="C51" s="46" t="str">
        <x:v>D50×入力条件!B27</x:v>
      </x:c>
      <x:c r="D51" s="69" t="n">
        <x:f>D50*'入力条件'!B27</x:f>
        <x:v>2.775826237806382</x:v>
      </x:c>
      <x:c r="E51" s="66" t="str">
        <x:v>J</x:v>
      </x:c>
      <x:c r="F51" s="75" t="str">
        <x:v>減速1回あたりに巻線で失われる熱エネルギー。</x:v>
      </x:c>
      <x:c r="G51" s="72"/>
      <x:c r="H51" s="60" t="str">
        <x:v>停止に伴う発熱量。</x:v>
      </x:c>
    </x:row>
    <x:row r="52" ht="51.26953125" hidden="0" customHeight="1">
      <x:c r="A52" s="54" t="str">
        <x:v>平均DCバス回生電力 P_bus,avg</x:v>
      </x:c>
      <x:c r="B52" s="44" t="str">
        <x:v>P_mech,avg - P_cu,regen</x:v>
      </x:c>
      <x:c r="C52" s="46" t="str">
        <x:v>D48-D50</x:v>
      </x:c>
      <x:c r="D52" s="69" t="n">
        <x:f>D48-D50</x:f>
        <x:v>-1.1308921709581559</x:v>
      </x:c>
      <x:c r="E52" s="66" t="str">
        <x:v>W</x:v>
      </x:c>
      <x:c r="F52" s="75" t="str">
        <x:v>機械回生電力から銅損を差し引いた、DCバスへ戻り得る平均電力。</x:v>
      </x:c>
      <x:c r="G52" s="72" t="str">
        <x:v>負ならDCバス上昇なし</x:v>
      </x:c>
      <x:c r="H52" s="60" t="str">
        <x:v>源が回生吸収できず、かつこの値が正ならコンデンサ電圧が上昇。</x:v>
      </x:c>
    </x:row>
    <x:row r="53" ht="34.1796875" hidden="0" customHeight="1">
      <x:c r="A53" s="54" t="str">
        <x:v>DCバス回収可能エネルギー E_bus</x:v>
      </x:c>
      <x:c r="B53" s="44" t="str">
        <x:v>MAX(E_k - E_cu, 0)</x:v>
      </x:c>
      <x:c r="C53" s="46" t="str">
        <x:v>MAX(D49-D51,0)</x:v>
      </x:c>
      <x:c r="D53" s="69" t="n">
        <x:f>MAX(D49-D51,0)</x:f>
        <x:v>0</x:v>
      </x:c>
      <x:c r="E53" s="66" t="str">
        <x:v>J</x:v>
      </x:c>
      <x:c r="F53" s="75" t="str">
        <x:v>DCバスに実際に蓄積できる正味エネルギー。</x:v>
      </x:c>
      <x:c r="G53" s="72" t="str">
        <x:v>負値は0に丸める</x:v>
      </x:c>
      <x:c r="H53" s="60" t="str">
        <x:v>銅損が運動エネルギーを上回る場合、電圧上昇は生じない。</x:v>
      </x:c>
    </x:row>
    <x:row r="54" ht="68.359375" hidden="0" customHeight="1">
      <x:c r="A54" s="54" t="str">
        <x:v>回生後DCバス電圧 Vdc,final,ideal</x:v>
      </x:c>
      <x:c r="B54" s="44" t="str">
        <x:v>√(Vdc_init² + 2E_k/C_dc)</x:v>
      </x:c>
      <x:c r="C54" s="46" t="str">
        <x:v>IF(入力条件!B28&gt;0,SQRT(入力条件!B29^2+2*D49/入力条件!B28),NA())</x:v>
      </x:c>
      <x:c r="D54" s="69" t="n">
        <x:f>IF('入力条件'!B28&gt;0,SQRT('入力条件'!B29^2+2*D49/'入力条件'!B28),NA())</x:f>
        <x:v>96.9332084939292</x:v>
      </x:c>
      <x:c r="E54" s="66" t="str">
        <x:v>V</x:v>
      </x:c>
      <x:c r="F54" s="75" t="str">
        <x:v>理想ケース: 全慣性エネルギーがDCコンデンサへ流入すると仮定。</x:v>
      </x:c>
      <x:c r="G54" s="72" t="str">
        <x:v>電源・抵抗・インバータ損失無視</x:v>
      </x:c>
      <x:c r="H54" s="60" t="str">
        <x:v>コンデンサエネルギー 0.5CV² を用いる。</x:v>
      </x:c>
    </x:row>
    <x:row r="55" ht="68.359375" hidden="0" customHeight="1">
      <x:c r="A55" s="54" t="str">
        <x:v>回生後DCバス電圧 Vdc,final,net</x:v>
      </x:c>
      <x:c r="B55" s="44" t="str">
        <x:v>√(Vdc_init² + 2E_bus/C_dc)</x:v>
      </x:c>
      <x:c r="C55" s="46" t="str">
        <x:v>IF(入力条件!B28&gt;0,SQRT(入力条件!B29^2+2*D53/入力条件!B28),NA())</x:v>
      </x:c>
      <x:c r="D55" s="69" t="n">
        <x:f>IF('入力条件'!B28&gt;0,SQRT('入力条件'!B29^2+2*D53/'入力条件'!B28),NA())</x:f>
        <x:v>95.22111160639695</x:v>
      </x:c>
      <x:c r="E55" s="66" t="str">
        <x:v>V</x:v>
      </x:c>
      <x:c r="F55" s="75" t="str">
        <x:v>実効ケース: 銅損を差し引いた正味回生エネルギーのみを充電に反映。</x:v>
      </x:c>
      <x:c r="G55" s="72" t="str">
        <x:v>簡易予測値</x:v>
      </x:c>
      <x:c r="H55" s="60" t="str">
        <x:v>負の正味エネルギーは0として扱う。</x:v>
      </x:c>
    </x:row>
    <x:row r="56" ht="34.1796875" hidden="0" customHeight="1">
      <x:c r="A56" s="54" t="str">
        <x:v>理想回生の電圧上昇 ΔV_ideal</x:v>
      </x:c>
      <x:c r="B56" s="44" t="str">
        <x:v>Vdc,final,ideal - Vdc_init</x:v>
      </x:c>
      <x:c r="C56" s="46" t="str">
        <x:v>D54-入力条件!B29</x:v>
      </x:c>
      <x:c r="D56" s="69" t="n">
        <x:f>D54-'入力条件'!B29</x:f>
        <x:v>1.7120968875322546</x:v>
      </x:c>
      <x:c r="E56" s="66" t="str">
        <x:v>V</x:v>
      </x:c>
      <x:c r="F56" s="75" t="str">
        <x:v>理想条件でのDCバス上昇量。</x:v>
      </x:c>
      <x:c r="G56" s="72"/>
      <x:c r="H56" s="60" t="str">
        <x:v>電圧上昇最大の上限評価。</x:v>
      </x:c>
    </x:row>
    <x:row r="57" ht="34.1796875" hidden="0" customHeight="1">
      <x:c r="A57" s="54" t="str">
        <x:v>実効回生の電圧上昇 ΔV_net</x:v>
      </x:c>
      <x:c r="B57" s="44" t="str">
        <x:v>Vdc,final,net - Vdc_init</x:v>
      </x:c>
      <x:c r="C57" s="46" t="str">
        <x:v>D55-入力条件!B29</x:v>
      </x:c>
      <x:c r="D57" s="69" t="n">
        <x:f>D55-'入力条件'!B29</x:f>
        <x:v>0</x:v>
      </x:c>
      <x:c r="E57" s="66" t="str">
        <x:v>V</x:v>
      </x:c>
      <x:c r="F57" s="75" t="str">
        <x:v>銅損考慮時のDCバス上昇量。</x:v>
      </x:c>
      <x:c r="G57" s="72" t="str">
        <x:v>0 Vなら上昇なし</x:v>
      </x:c>
      <x:c r="H57" s="60" t="str">
        <x:v>今回条件ではこれが支配的な判断値。</x:v>
      </x:c>
    </x:row>
    <x:row r="58" ht="68.359375" hidden="0" customHeight="1">
      <x:c r="A58" s="55" t="str">
        <x:v>回生成立判定</x:v>
      </x:c>
      <x:c r="B58" s="47" t="str">
        <x:v>IF(D52&gt;0,"DCバス上昇あり","銅損が上回るためDCバス上昇なし")</x:v>
      </x:c>
      <x:c r="C58" s="49" t="str">
        <x:v>IF(D52&gt;0,"DCバス上昇あり","銅損が上回るためDCバス上昇なし")</x:v>
      </x:c>
      <x:c r="D58" s="77" t="str">
        <x:f>IF(D52&gt;0,"DCバス上昇あり","銅損が上回るためDCバス上昇なし")</x:f>
        <x:v>銅損が上回るためDCバス上昇なし</x:v>
      </x:c>
      <x:c r="E58" s="67" t="str">
        <x:v>-</x:v>
      </x:c>
      <x:c r="F58" s="76" t="str">
        <x:v>平均正味回生電力が正かどうかで簡易判定。</x:v>
      </x:c>
      <x:c r="G58" s="73"/>
      <x:c r="H58" s="61" t="str">
        <x:v>低速・高抵抗では回生より銅損が大きくなりやすい。</x:v>
      </x:c>
    </x:row>
  </x:sheetData>
  <x:mergeCells>
    <x:mergeCell ref="A1:H1"/>
    <x:mergeCell ref="A41:H4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36" hidden="0" customWidth="1"/>
  </x:cols>
  <x:sheetData>
    <x:row r="1">
      <x:c r="A1" s="4" t="str">
        <x:v>結果概要</x:v>
      </x:c>
      <x:c r="B1" s="4" t="str">
        <x:v>結果概要</x:v>
      </x:c>
      <x:c r="C1" s="4" t="str">
        <x:v>結果概要</x:v>
      </x:c>
      <x:c r="D1" s="4" t="str">
        <x:v>結果概要</x:v>
      </x:c>
    </x:row>
    <x:row r="3">
      <x:c r="A3" s="8" t="str">
        <x:v>指標</x:v>
      </x:c>
      <x:c r="B3" s="8" t="str">
        <x:v>値</x:v>
      </x:c>
      <x:c r="C3" s="8" t="str">
        <x:v>単位</x:v>
      </x:c>
      <x:c r="D3" s="8" t="str">
        <x:v>説明</x:v>
      </x:c>
    </x:row>
    <x:row r="4" ht="22" customHeight="1">
      <x:c r="A4" s="12" t="str">
        <x:v>選択中の変調方式</x:v>
      </x:c>
      <x:c r="B4" s="14" t="str">
        <x:f>'入力条件'!$B$14</x:f>
        <x:v>SVPWM</x:v>
      </x:c>
      <x:c r="C4" s="16" t="str">
        <x:v>-</x:v>
      </x:c>
      <x:c r="D4" s="16" t="str">
        <x:v>入力条件シートの切替セルに連動</x:v>
      </x:c>
    </x:row>
    <x:row r="5" ht="22" customHeight="1">
      <x:c r="A5" s="12" t="str">
        <x:v>線間基本波rms / Vdc 係数 k_mod</x:v>
      </x:c>
      <x:c r="B5" s="17" t="n">
        <x:f>'入力条件'!$B$15</x:f>
        <x:v>0.7071067811865475</x:v>
      </x:c>
      <x:c r="C5" s="16" t="str">
        <x:v>-</x:v>
      </x:c>
      <x:c r="D5" s="16" t="str">
        <x:v>SPWM:0.612 / SVPWM:0.707</x:v>
      </x:c>
    </x:row>
    <x:row r="6" ht="22" customHeight="1">
      <x:c r="A6" s="12" t="str">
        <x:v>相基本波peak / Vdc 係数 k_ph,max</x:v>
      </x:c>
      <x:c r="B6" s="17" t="n">
        <x:f>'入力条件'!$B$16</x:f>
        <x:v>0.5773502691896258</x:v>
      </x:c>
      <x:c r="C6" s="16" t="str">
        <x:v>-</x:v>
      </x:c>
      <x:c r="D6" s="16" t="str">
        <x:v>SPWM:0.500 / SVPWM:0.577</x:v>
      </x:c>
    </x:row>
    <x:row r="7" ht="28" customHeight="1">
      <x:c r="A7" s="12" t="str">
        <x:v>起動時必要DCバス最低電圧（選択方式）</x:v>
      </x:c>
      <x:c r="B7" s="17" t="n">
        <x:f>'計算詳細'!D16</x:f>
        <x:v>88.18163074019442</x:v>
      </x:c>
      <x:c r="C7" s="16" t="str">
        <x:v>V</x:v>
      </x:c>
      <x:c r="D7" s="16" t="str">
        <x:v>設計で使う値（相peak/線間rmsどちらでも同値）</x:v>
      </x:c>
    </x:row>
    <x:row r="8" ht="28" customHeight="1">
      <x:c r="A8" s="12" t="str">
        <x:v>定常時必要DCバス最低電圧（選択方式）</x:v>
      </x:c>
      <x:c r="B8" s="17" t="n">
        <x:f>'計算詳細'!D23</x:f>
        <x:v>51.024012439179316</x:v>
      </x:c>
      <x:c r="C8" s="16" t="str">
        <x:v>V</x:v>
      </x:c>
      <x:c r="D8" s="16" t="str">
        <x:v>設計で使う値（相peak/線間rmsどちらでも同値）</x:v>
      </x:c>
    </x:row>
    <x:row r="9" ht="28" customHeight="1">
      <x:c r="A9" s="12" t="str">
        <x:v>起動区間を含む推奨最小DCバス（選択方式）</x:v>
      </x:c>
      <x:c r="B9" s="17" t="n">
        <x:f>'計算詳細'!D30</x:f>
        <x:v>95.22111160639695</x:v>
      </x:c>
      <x:c r="C9" s="16" t="str">
        <x:v>V</x:v>
      </x:c>
      <x:c r="D9" s="16" t="str">
        <x:v>6 Arms一定で10 rpmまで加速したワースト条件</x:v>
      </x:c>
    </x:row>
    <x:row r="10" ht="28" customHeight="1">
      <x:c r="A10" s="12" t="str">
        <x:v>起動時DCバス（相peak基準）</x:v>
      </x:c>
      <x:c r="B10" s="17" t="n">
        <x:f>'計算詳細'!D15</x:f>
        <x:v>88.18163074019441</x:v>
      </x:c>
      <x:c r="C10" s="16" t="str">
        <x:v>V</x:v>
      </x:c>
      <x:c r="D10" s="16" t="str">
        <x:v>Vph,peak / k_ph,max</x:v>
      </x:c>
    </x:row>
    <x:row r="11" ht="28" customHeight="1">
      <x:c r="A11" s="12" t="str">
        <x:v>起動時DCバス（線間rms基準）</x:v>
      </x:c>
      <x:c r="B11" s="17" t="n">
        <x:f>'計算詳細'!D16</x:f>
        <x:v>88.18163074019442</x:v>
      </x:c>
      <x:c r="C11" s="16" t="str">
        <x:v>V</x:v>
      </x:c>
      <x:c r="D11" s="16" t="str">
        <x:v>Vll,rms / k_mod</x:v>
      </x:c>
    </x:row>
    <x:row r="12" ht="28" customHeight="1">
      <x:c r="A12" s="12" t="str">
        <x:v>定常時DCバス（相peak基準）</x:v>
      </x:c>
      <x:c r="B12" s="17" t="n">
        <x:f>'計算詳細'!D22</x:f>
        <x:v>51.02401243917931</x:v>
      </x:c>
      <x:c r="C12" s="16" t="str">
        <x:v>V</x:v>
      </x:c>
      <x:c r="D12" s="16" t="str">
        <x:v>Vph,peak / k_ph,max</x:v>
      </x:c>
    </x:row>
    <x:row r="13" ht="28" customHeight="1">
      <x:c r="A13" s="12" t="str">
        <x:v>定常時DCバス（線間rms基準）</x:v>
      </x:c>
      <x:c r="B13" s="17" t="n">
        <x:f>'計算詳細'!D23</x:f>
        <x:v>51.024012439179316</x:v>
      </x:c>
      <x:c r="C13" s="16" t="str">
        <x:v>V</x:v>
      </x:c>
      <x:c r="D13" s="16" t="str">
        <x:v>Vll,rms / k_mod</x:v>
      </x:c>
    </x:row>
    <x:row r="14" ht="28" customHeight="1">
      <x:c r="A14" s="12" t="str">
        <x:v>加速ワーストDCバス（相peak基準）</x:v>
      </x:c>
      <x:c r="B14" s="17" t="n">
        <x:f>'計算詳細'!D29</x:f>
        <x:v>95.22111160639693</x:v>
      </x:c>
      <x:c r="C14" s="16" t="str">
        <x:v>V</x:v>
      </x:c>
      <x:c r="D14" s="16" t="str">
        <x:v>Vph,peak / k_ph,max</x:v>
      </x:c>
    </x:row>
    <x:row r="15" ht="28" customHeight="1">
      <x:c r="A15" s="12" t="str">
        <x:v>加速ワーストDCバス（線間rms基準）</x:v>
      </x:c>
      <x:c r="B15" s="17" t="n">
        <x:f>'計算詳細'!D30</x:f>
        <x:v>95.22111160639695</x:v>
      </x:c>
      <x:c r="C15" s="16" t="str">
        <x:v>V</x:v>
      </x:c>
      <x:c r="D15" s="16" t="str">
        <x:v>Vll,rms / k_mod</x:v>
      </x:c>
    </x:row>
    <x:row r="16" ht="22" customHeight="1">
      <x:c r="A16" s="12" t="str">
        <x:v>定常時機械出力</x:v>
      </x:c>
      <x:c r="B16" s="17" t="n">
        <x:f>'計算詳細'!D33</x:f>
        <x:v>25.132741228718345</x:v>
      </x:c>
      <x:c r="C16" s="16" t="str">
        <x:v>W</x:v>
      </x:c>
      <x:c r="D16" s="16" t="str">
        <x:v>トルク × 機械角速度</x:v>
      </x:c>
    </x:row>
    <x:row r="17" ht="22" customHeight="1">
      <x:c r="A17" s="12" t="str">
        <x:v>定常時発熱量（銅損）</x:v>
      </x:c>
      <x:c r="B17" s="17" t="n">
        <x:f>'計算詳細'!D34</x:f>
        <x:v>162</x:v>
      </x:c>
      <x:c r="C17" s="16" t="str">
        <x:v>W</x:v>
      </x:c>
      <x:c r="D17" s="16" t="str">
        <x:v>巻線ジュール損</x:v>
      </x:c>
    </x:row>
    <x:row r="18" ht="22" customHeight="1">
      <x:c r="A18" s="12" t="str">
        <x:v>定常時効率</x:v>
      </x:c>
      <x:c r="B18" s="18" t="n">
        <x:f>'計算詳細'!D36</x:f>
        <x:v>0.13430435029004612</x:v>
      </x:c>
      <x:c r="C18" s="16" t="str">
        <x:v>%</x:v>
      </x:c>
      <x:c r="D18" s="16" t="str">
        <x:v>銅損のみ考慮した簡易効率</x:v>
      </x:c>
    </x:row>
    <x:row r="19" ht="22" customHeight="1">
      <x:c r="A19" s="12" t="str">
        <x:v>起動時銅損</x:v>
      </x:c>
      <x:c r="B19" s="17" t="n">
        <x:f>'計算詳細'!D37</x:f>
        <x:v>648</x:v>
      </x:c>
      <x:c r="C19" s="16" t="str">
        <x:v>W</x:v>
      </x:c>
      <x:c r="D19" s="16" t="str">
        <x:v>6 Arms一定</x:v>
      </x:c>
    </x:row>
    <x:row r="20" ht="22" customHeight="1">
      <x:c r="A20" s="12" t="str">
        <x:v>加速中平均発熱</x:v>
      </x:c>
      <x:c r="B20" s="17" t="n">
        <x:f>'計算詳細'!D38</x:f>
        <x:v>648</x:v>
      </x:c>
      <x:c r="C20" s="16" t="str">
        <x:v>W</x:v>
      </x:c>
      <x:c r="D20" s="16" t="str">
        <x:v>起動中は6 Arms一定</x:v>
      </x:c>
    </x:row>
    <x:row r="21" ht="22" customHeight="1">
      <x:c r="A21" s="12" t="str">
        <x:v>加速中発熱エネルギー</x:v>
      </x:c>
      <x:c r="B21" s="17" t="n">
        <x:f>'計算詳細'!D39</x:f>
        <x:v>648</x:v>
      </x:c>
      <x:c r="C21" s="16" t="str">
        <x:v>J</x:v>
      </x:c>
      <x:c r="D21" s="16" t="str">
        <x:v>平均発熱 × 加速時間</x:v>
      </x:c>
    </x:row>
    <x:row r="23" ht="17.08984375" hidden="0" customHeight="1">
      <x:c r="A23" s="31" t="str">
        <x:v>回生制動（停止時）結果</x:v>
      </x:c>
      <x:c r="B23" s="31"/>
      <x:c r="C23" s="31"/>
      <x:c r="D23" s="31"/>
    </x:row>
    <x:row r="24" ht="34.1796875" hidden="0" customHeight="1">
      <x:c r="A24" s="53" t="str">
        <x:v>停止前慣性エネルギー</x:v>
      </x:c>
      <x:c r="B24" s="68" t="n">
        <x:f>'計算詳細'!D49</x:f>
        <x:v>1.6449340668482262</x:v>
      </x:c>
      <x:c r="C24" s="65" t="str">
        <x:v>J</x:v>
      </x:c>
      <x:c r="D24" s="62" t="str">
        <x:v>停止前に蓄えられた運動エネルギー</x:v>
      </x:c>
    </x:row>
    <x:row r="25" ht="51.26953125" hidden="0" customHeight="1">
      <x:c r="A25" s="54" t="str">
        <x:v>必要減速トルク</x:v>
      </x:c>
      <x:c r="B25" s="69" t="n">
        <x:f>'計算詳細'!D44</x:f>
        <x:v>3.141592653589793</x:v>
      </x:c>
      <x:c r="C25" s="66" t="str">
        <x:v>Nm</x:v>
      </x:c>
      <x:c r="D25" s="63" t="str">
        <x:v>1 sで停止するための制動トルク（大きさ）</x:v>
      </x:c>
    </x:row>
    <x:row r="26" ht="34.1796875" hidden="0" customHeight="1">
      <x:c r="A26" s="54" t="str">
        <x:v>必要回生電流</x:v>
      </x:c>
      <x:c r="B26" s="69" t="n">
        <x:f>'計算詳細'!D45</x:f>
        <x:v>0.39269908169872414</x:v>
      </x:c>
      <x:c r="C26" s="66" t="str">
        <x:v>Arms</x:v>
      </x:c>
      <x:c r="D26" s="63" t="str">
        <x:v>回生方向の相電流実効値（大きさ）</x:v>
      </x:c>
    </x:row>
    <x:row r="27" ht="17.08984375" hidden="0" customHeight="1">
      <x:c r="A27" s="54" t="str">
        <x:v>平均機械回生電力</x:v>
      </x:c>
      <x:c r="B27" s="69" t="n">
        <x:f>'計算詳細'!D48</x:f>
        <x:v>1.6449340668482262</x:v>
      </x:c>
      <x:c r="C27" s="66" t="str">
        <x:v>W</x:v>
      </x:c>
      <x:c r="D27" s="63" t="str">
        <x:v>減速1回の平均機械側回生電力</x:v>
      </x:c>
    </x:row>
    <x:row r="28" ht="17.08984375" hidden="0" customHeight="1">
      <x:c r="A28" s="54" t="str">
        <x:v>回生時銅損</x:v>
      </x:c>
      <x:c r="B28" s="69" t="n">
        <x:f>'計算詳細'!D50</x:f>
        <x:v>2.775826237806382</x:v>
      </x:c>
      <x:c r="C28" s="66" t="str">
        <x:v>W</x:v>
      </x:c>
      <x:c r="D28" s="63" t="str">
        <x:v>回生制動中の巻線銅損</x:v>
      </x:c>
    </x:row>
    <x:row r="29" ht="34.1796875" hidden="0" customHeight="1">
      <x:c r="A29" s="54" t="str">
        <x:v>DCバス回収可能エネルギー</x:v>
      </x:c>
      <x:c r="B29" s="69" t="n">
        <x:f>'計算詳細'!D53</x:f>
        <x:v>0</x:v>
      </x:c>
      <x:c r="C29" s="66" t="str">
        <x:v>J</x:v>
      </x:c>
      <x:c r="D29" s="63" t="str">
        <x:v>銅損を差し引いた正味回生エネルギー</x:v>
      </x:c>
    </x:row>
    <x:row r="30" ht="34.1796875" hidden="0" customHeight="1">
      <x:c r="A30" s="54" t="str">
        <x:v>回生後DCバス電圧（理想）</x:v>
      </x:c>
      <x:c r="B30" s="69" t="n">
        <x:f>'計算詳細'!D54</x:f>
        <x:v>96.9332084939292</x:v>
      </x:c>
      <x:c r="C30" s="66" t="str">
        <x:v>V</x:v>
      </x:c>
      <x:c r="D30" s="63" t="str">
        <x:v>全慣性エネルギーがC_dcへ入る上限値</x:v>
      </x:c>
    </x:row>
    <x:row r="31" ht="34.1796875" hidden="0" customHeight="1">
      <x:c r="A31" s="54" t="str">
        <x:v>回生後DCバス電圧（銅損考慮）</x:v>
      </x:c>
      <x:c r="B31" s="69" t="n">
        <x:f>'計算詳細'!D55</x:f>
        <x:v>95.22111160639695</x:v>
      </x:c>
      <x:c r="C31" s="66" t="str">
        <x:v>V</x:v>
      </x:c>
      <x:c r="D31" s="63" t="str">
        <x:v>銅損考慮後の簡易予測値</x:v>
      </x:c>
    </x:row>
    <x:row r="32" ht="17.08984375" hidden="0" customHeight="1">
      <x:c r="A32" s="54" t="str">
        <x:v>回生電圧上昇 ΔV（理想）</x:v>
      </x:c>
      <x:c r="B32" s="69" t="n">
        <x:f>'計算詳細'!D56</x:f>
        <x:v>1.7120968875322546</x:v>
      </x:c>
      <x:c r="C32" s="66" t="str">
        <x:v>V</x:v>
      </x:c>
      <x:c r="D32" s="63" t="str">
        <x:v>上限評価</x:v>
      </x:c>
    </x:row>
    <x:row r="33" ht="17.08984375" hidden="0" customHeight="1">
      <x:c r="A33" s="54" t="str">
        <x:v>回生電圧上昇 ΔV（銅損考慮）</x:v>
      </x:c>
      <x:c r="B33" s="69" t="n">
        <x:f>'計算詳細'!D57</x:f>
        <x:v>0</x:v>
      </x:c>
      <x:c r="C33" s="66" t="str">
        <x:v>V</x:v>
      </x:c>
      <x:c r="D33" s="63" t="str">
        <x:v>実効評価</x:v>
      </x:c>
    </x:row>
    <x:row r="34" ht="34.1796875" hidden="0" customHeight="1">
      <x:c r="A34" s="55" t="str">
        <x:v>回生成立判定</x:v>
      </x:c>
      <x:c r="B34" s="77" t="str">
        <x:f>'計算詳細'!D58</x:f>
        <x:v>銅損が上回るためDCバス上昇なし</x:v>
      </x:c>
      <x:c r="C34" s="67" t="str">
        <x:v>-</x:v>
      </x:c>
      <x:c r="D34" s="64" t="str">
        <x:v>正味回生電力が正ならDCバス上昇あり</x:v>
      </x:c>
    </x:row>
  </x:sheetData>
  <x:mergeCells>
    <x:mergeCell ref="A1:D1"/>
    <x:mergeCell ref="A23:D23"/>
  </x:mergeCells>
  <x:conditionalFormatting sqref="B33:B33">
    <x:cfRule type="cellIs" dxfId="0" priority="1" operator="greaterThan">
      <x:formula>0</x:formula>
    </x:cfRule>
  </x:conditionalFormatting>
  <x:conditionalFormatting sqref="B34:B34">
    <x:cfRule type="expression" dxfId="1" priority="2">
      <x:formula>B34="DCバス上昇あり"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4" t="str">
        <x:v>グラフ</x:v>
      </x:c>
      <x:c r="B1" s="4" t="str">
        <x:v>グラフ</x:v>
      </x:c>
      <x:c r="C1" s="4" t="str">
        <x:v>グラフ</x:v>
      </x:c>
      <x:c r="D1" s="4" t="str">
        <x:v>グラフ</x:v>
      </x:c>
    </x:row>
    <x:row r="3">
      <x:c r="A3" s="21" t="str">
        <x:v>状態</x:v>
      </x:c>
      <x:c r="B3" s="21" t="str">
        <x:v>相電流 [Arms]</x:v>
      </x:c>
    </x:row>
    <x:row r="4">
      <x:c r="A4" s="16" t="str">
        <x:v>起動時</x:v>
      </x:c>
      <x:c r="B4" s="22" t="n">
        <x:f>'入力条件'!$B$7</x:f>
        <x:v>6</x:v>
      </x:c>
    </x:row>
    <x:row r="5">
      <x:c r="A5" s="16" t="str">
        <x:v>定常時</x:v>
      </x:c>
      <x:c r="B5" s="22" t="n">
        <x:f>'入力条件'!$B$8</x:f>
        <x:v>3</x:v>
      </x:c>
    </x:row>
    <x:row r="6">
      <x:c r="B6" s="23"/>
    </x:row>
    <x:row r="7">
      <x:c r="B7" s="23"/>
    </x:row>
    <x:row r="8">
      <x:c r="A8" s="21" t="str">
        <x:v>項目</x:v>
      </x:c>
      <x:c r="B8" s="24" t="str">
        <x:v>電力 [W]</x:v>
      </x:c>
    </x:row>
    <x:row r="9">
      <x:c r="A9" s="16" t="str">
        <x:v>定常時機械出力</x:v>
      </x:c>
      <x:c r="B9" s="22" t="n">
        <x:f>'計算詳細'!D33</x:f>
        <x:v>25.132741228718345</x:v>
      </x:c>
    </x:row>
    <x:row r="10">
      <x:c r="A10" s="16" t="str">
        <x:v>定常時発熱量</x:v>
      </x:c>
      <x:c r="B10" s="22" t="n">
        <x:f>'計算詳細'!D34</x:f>
        <x:v>162</x:v>
      </x:c>
    </x:row>
    <x:row r="11">
      <x:c r="A11" s="16" t="str">
        <x:v>起動時銅損</x:v>
      </x:c>
      <x:c r="B11" s="22" t="n">
        <x:f>'計算詳細'!D37</x:f>
        <x:v>648</x:v>
      </x:c>
    </x:row>
    <x:row r="12">
      <x:c r="A12" s="16" t="str">
        <x:v>加速中平均発熱</x:v>
      </x:c>
      <x:c r="B12" s="22" t="n">
        <x:f>'計算詳細'!D38</x:f>
        <x:v>648</x:v>
      </x:c>
    </x:row>
    <x:row r="13">
      <x:c r="B13" s="23"/>
    </x:row>
    <x:row r="14">
      <x:c r="B14" s="23"/>
    </x:row>
    <x:row r="15">
      <x:c r="A15" s="21" t="str">
        <x:v>状態</x:v>
      </x:c>
      <x:c r="B15" s="24" t="str">
        <x:v>必要DCバス [V]</x:v>
      </x:c>
    </x:row>
    <x:row r="16">
      <x:c r="A16" s="16" t="str">
        <x:v>起動時</x:v>
      </x:c>
      <x:c r="B16" s="22" t="n">
        <x:f>'計算詳細'!D16</x:f>
        <x:v>88.18163074019442</x:v>
      </x:c>
    </x:row>
    <x:row r="17">
      <x:c r="A17" s="16" t="str">
        <x:v>定常時</x:v>
      </x:c>
      <x:c r="B17" s="22" t="n">
        <x:f>'計算詳細'!D23</x:f>
        <x:v>51.024012439179316</x:v>
      </x:c>
    </x:row>
    <x:row r="18">
      <x:c r="A18" s="16" t="str">
        <x:v>加速ワースト</x:v>
      </x:c>
      <x:c r="B18" s="22" t="n">
        <x:f>'計算詳細'!D30</x:f>
        <x:v>95.22111160639695</x:v>
      </x:c>
    </x:row>
    <x:row r="21">
      <x:c r="A21" s="84" t="str">
        <x:v>項目</x:v>
      </x:c>
      <x:c r="B21" s="85" t="str">
        <x:v>エネルギー [J]</x:v>
      </x:c>
    </x:row>
    <x:row r="22">
      <x:c r="A22" s="53" t="str">
        <x:v>停止前慣性エネルギー</x:v>
      </x:c>
      <x:c r="B22" s="68" t="n">
        <x:f>'計算詳細'!D49</x:f>
        <x:v>1.6449340668482262</x:v>
      </x:c>
    </x:row>
    <x:row r="23">
      <x:c r="A23" s="54" t="str">
        <x:v>回生時銅損エネルギー</x:v>
      </x:c>
      <x:c r="B23" s="69" t="n">
        <x:f>'計算詳細'!D51</x:f>
        <x:v>2.775826237806382</x:v>
      </x:c>
    </x:row>
    <x:row r="24">
      <x:c r="A24" s="55" t="str">
        <x:v>DCバス回収可能エネルギー</x:v>
      </x:c>
      <x:c r="B24" s="86" t="n">
        <x:f>'計算詳細'!D53</x:f>
        <x:v>0</x:v>
      </x:c>
    </x:row>
    <x:row r="26">
      <x:c r="A26" s="84" t="str">
        <x:v>項目</x:v>
      </x:c>
      <x:c r="B26" s="85" t="str">
        <x:v>電圧 [V]</x:v>
      </x:c>
    </x:row>
    <x:row r="27">
      <x:c r="A27" s="53" t="str">
        <x:v>回生開始DCバス</x:v>
      </x:c>
      <x:c r="B27" s="68" t="n">
        <x:f>'入力条件'!B29</x:f>
        <x:v>95.22111160639695</x:v>
      </x:c>
    </x:row>
    <x:row r="28">
      <x:c r="A28" s="54" t="str">
        <x:v>回生後DCバス（理想）</x:v>
      </x:c>
      <x:c r="B28" s="69" t="n">
        <x:f>'計算詳細'!D54</x:f>
        <x:v>96.9332084939292</x:v>
      </x:c>
    </x:row>
    <x:row r="29">
      <x:c r="A29" s="55" t="str">
        <x:v>回生後DCバス（銅損考慮）</x:v>
      </x:c>
      <x:c r="B29" s="86" t="n">
        <x:f>'計算詳細'!D55</x:f>
        <x:v>95.22111160639695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ee7489850a84194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</x:cols>
  <x:sheetData>
    <x:row r="1">
      <x:c r="A1" s="4" t="str">
        <x:v>導出メモ</x:v>
      </x:c>
      <x:c r="B1" s="4" t="str">
        <x:v>導出メモ</x:v>
      </x:c>
      <x:c r="C1" s="4" t="str">
        <x:v>導出メモ</x:v>
      </x:c>
    </x:row>
    <x:row r="3">
      <x:c r="A3" s="8" t="str">
        <x:v>テーマ</x:v>
      </x:c>
      <x:c r="B3" s="8" t="str">
        <x:v>式 / 要点</x:v>
      </x:c>
      <x:c r="C3" s="8" t="str">
        <x:v>説明</x:v>
      </x:c>
    </x:row>
    <x:row r="4">
      <x:c r="A4" s="12" t="str">
        <x:v>1. Kt と Ke の関係</x:v>
      </x:c>
      <x:c r="B4" s="16"/>
      <x:c r="C4" s="16"/>
    </x:row>
    <x:row r="5">
      <x:c r="A5" s="12" t="str">
        <x:v>線間rms基準の Ke</x:v>
      </x:c>
      <x:c r="B5" s="16" t="str">
        <x:v>Ke_ll,rms = Kt / √3</x:v>
      </x:c>
      <x:c r="C5" s="16" t="str">
        <x:v>Kt を Nm/Arms、Ke を線間rms[V/(rad/s)] と定義したときに成立。</x:v>
      </x:c>
    </x:row>
    <x:row r="6">
      <x:c r="A6" s="12" t="str">
        <x:v>相peak基準の Ke</x:v>
      </x:c>
      <x:c r="B6" s="16" t="str">
        <x:v>Ke_ph,peak = Ke_ll,rms × √(2/3)</x:v>
      </x:c>
      <x:c r="C6" s="16" t="str">
        <x:v>dq の q軸電圧式に入れる逆起電力は相peak基準。</x:v>
      </x:c>
    </x:row>
    <x:row r="7">
      <x:c r="A7" s="12" t="str">
        <x:v>2. 相電圧と線間電圧</x:v>
      </x:c>
      <x:c r="B7" s="16"/>
      <x:c r="C7" s="16"/>
    </x:row>
    <x:row r="8">
      <x:c r="A8" s="12" t="str">
        <x:v>換算式</x:v>
      </x:c>
      <x:c r="B8" s="16" t="str">
        <x:v>Vll,rms = √(3/2) × Vph,peak</x:v>
      </x:c>
      <x:c r="C8" s="16" t="str">
        <x:v>相peak基準版と線間rms基準版はこの式で相互変換できる。</x:v>
      </x:c>
    </x:row>
    <x:row r="9">
      <x:c r="A9" s="12" t="str">
        <x:v>3. 変調方式の係数</x:v>
      </x:c>
      <x:c r="B9" s="16"/>
      <x:c r="C9" s="16"/>
    </x:row>
    <x:row r="10">
      <x:c r="A10" s="12" t="str">
        <x:v>SPWM</x:v>
      </x:c>
      <x:c r="B10" s="16" t="str">
        <x:v>k_mod = 0.612, k_ph,max = 0.500</x:v>
      </x:c>
      <x:c r="C10" s="16" t="str">
        <x:v>Vdc = Vll,rms / 0.612 = Vph,peak / 0.5</x:v>
      </x:c>
    </x:row>
    <x:row r="11">
      <x:c r="A11" s="12" t="str">
        <x:v>SVPWM</x:v>
      </x:c>
      <x:c r="B11" s="16" t="str">
        <x:v>k_mod = 0.707, k_ph,max = 1/√3 ≒ 0.577</x:v>
      </x:c>
      <x:c r="C11" s="16" t="str">
        <x:v>Vdc = Vll,rms / 0.707 = Vph,peak / 0.577</x:v>
      </x:c>
    </x:row>
    <x:row r="12">
      <x:c r="A12" s="12" t="str">
        <x:v>4. q軸電圧式</x:v>
      </x:c>
      <x:c r="B12" s="16"/>
      <x:c r="C12" s="16"/>
    </x:row>
    <x:row r="13">
      <x:c r="A13" s="12" t="str">
        <x:v>起動時</x:v>
      </x:c>
      <x:c r="B13" s="16" t="str">
        <x:v>v_q,start = R I_start,peak</x:v>
      </x:c>
      <x:c r="C13" s="16" t="str">
        <x:v>0 rpm では逆起電力がない。</x:v>
      </x:c>
    </x:row>
    <x:row r="14">
      <x:c r="A14" s="12" t="str">
        <x:v>定常時</x:v>
      </x:c>
      <x:c r="B14" s="16" t="str">
        <x:v>v_q,ss = R I_ss,peak + E_ph,peak,ss</x:v>
      </x:c>
      <x:c r="C14" s="16" t="str">
        <x:v>Ke基準表記で λm を使わずに表せる。</x:v>
      </x:c>
    </x:row>
    <x:row r="15">
      <x:c r="A15" s="12" t="str">
        <x:v>5. d軸電圧式</x:v>
      </x:c>
      <x:c r="B15" s="16"/>
      <x:c r="C15" s="16"/>
    </x:row>
    <x:row r="16">
      <x:c r="A16" s="12" t="str">
        <x:v>定常時 / 加速時</x:v>
      </x:c>
      <x:c r="B16" s="16" t="str">
        <x:v>v_d = -p ω_m L I_peak</x:v>
      </x:c>
      <x:c r="C16" s="16" t="str">
        <x:v>ω_e = pω_m を用いて表す。</x:v>
      </x:c>
    </x:row>
    <x:row r="17">
      <x:c r="A17" s="12" t="str">
        <x:v>6. DCバスの整合チェック</x:v>
      </x:c>
      <x:c r="B17" s="16"/>
      <x:c r="C17" s="16"/>
    </x:row>
    <x:row r="18">
      <x:c r="A18" s="12" t="str">
        <x:v>チェック式</x:v>
      </x:c>
      <x:c r="B18" s="16" t="str">
        <x:v>Vph,peak / k_ph,max － Vll,rms / k_mod</x:v>
      </x:c>
      <x:c r="C18" s="16" t="str">
        <x:v>0に近ければ相peak基準版と線間rms基準版は整合。</x:v>
      </x:c>
    </x:row>
    <x:row r="19">
      <x:c r="A19" s="12" t="str">
        <x:v>7. 出力・損失</x:v>
      </x:c>
      <x:c r="B19" s="16"/>
      <x:c r="C19" s="16"/>
    </x:row>
    <x:row r="20">
      <x:c r="A20" s="12" t="str">
        <x:v>機械出力</x:v>
      </x:c>
      <x:c r="B20" s="16" t="str">
        <x:v>P_out = T ω_m</x:v>
      </x:c>
      <x:c r="C20" s="16" t="str">
        <x:v>機械角速度を使う。</x:v>
      </x:c>
    </x:row>
    <x:row r="21">
      <x:c r="A21" s="12" t="str">
        <x:v>銅損</x:v>
      </x:c>
      <x:c r="B21" s="16" t="str">
        <x:v>P_cu = 3 I_rms^2 R</x:v>
      </x:c>
      <x:c r="C21" s="16" t="str">
        <x:v>相電流実効値ベース。</x:v>
      </x:c>
    </x:row>
    <x:row r="22">
      <x:c r="A22" s="12" t="str">
        <x:v>効率</x:v>
      </x:c>
      <x:c r="B22" s="16" t="str">
        <x:v>η = P_out / (P_out + P_cu)</x:v>
      </x:c>
      <x:c r="C22" s="16" t="str">
        <x:v>今回は銅損のみ考慮。</x:v>
      </x:c>
    </x:row>
    <x:row r="23">
      <x:c r="A23" s="12" t="str">
        <x:v>加速中平均発熱</x:v>
      </x:c>
      <x:c r="B23" s="16" t="str">
        <x:v>起動中6 Arms一定 → P_heat,avg = P_cu,start</x:v>
      </x:c>
      <x:c r="C23" s="16" t="str">
        <x:v>発熱エネルギーは Q=P×t。</x:v>
      </x:c>
    </x:row>
    <x:row r="25">
      <x:c r="A25" s="99" t="str">
        <x:v>8. 回生制動の基本式</x:v>
      </x:c>
      <x:c r="B25" s="104"/>
      <x:c r="C25" s="103"/>
    </x:row>
    <x:row r="26">
      <x:c r="A26" s="54" t="str">
        <x:v>必要減速トルク</x:v>
      </x:c>
      <x:c r="B26" s="75" t="str">
        <x:v>|T_regen| = J × |α_dec|</x:v>
      </x:c>
      <x:c r="C26" s="60" t="str">
        <x:v>一定減速度なら α=-ω0/t_dec。ここでは大きさで整理する。</x:v>
      </x:c>
    </x:row>
    <x:row r="27">
      <x:c r="A27" s="54" t="str">
        <x:v>必要回生電流</x:v>
      </x:c>
      <x:c r="B27" s="75" t="str">
        <x:v>|I_regen| = |T_regen| / Kt</x:v>
      </x:c>
      <x:c r="C27" s="60" t="str">
        <x:v>Kt が Nm/Arms のため、相電流実効値の大きさで直接求まる。</x:v>
      </x:c>
    </x:row>
    <x:row r="28">
      <x:c r="A28" s="54" t="str">
        <x:v>停止前慣性エネルギー</x:v>
      </x:c>
      <x:c r="B28" s="75" t="str">
        <x:v>E_k = 0.5 J ω0²</x:v>
      </x:c>
      <x:c r="C28" s="60" t="str">
        <x:v>停止前に機械系が持つ運動エネルギー。</x:v>
      </x:c>
    </x:row>
    <x:row r="29">
      <x:c r="A29" s="54" t="str">
        <x:v>平均機械回生電力</x:v>
      </x:c>
      <x:c r="B29" s="75" t="str">
        <x:v>P_mech,avg = E_k / t_dec = 0.5 T_regen ω0</x:v>
      </x:c>
      <x:c r="C29" s="60" t="str">
        <x:v>一定トルク減速なら開始時の回生電力の1/2。</x:v>
      </x:c>
    </x:row>
    <x:row r="30">
      <x:c r="A30" s="54" t="str">
        <x:v>回生時銅損</x:v>
      </x:c>
      <x:c r="B30" s="75" t="str">
        <x:v>P_cu,regen = 3 I_regen² R</x:v>
      </x:c>
      <x:c r="C30" s="60" t="str">
        <x:v>回生中でも巻線銅損は必ず発生する。</x:v>
      </x:c>
    </x:row>
    <x:row r="31">
      <x:c r="A31" s="54" t="str">
        <x:v>正味回生エネルギー</x:v>
      </x:c>
      <x:c r="B31" s="75" t="str">
        <x:v>E_bus = MAX(E_k - P_cu,regen t_dec, 0)</x:v>
      </x:c>
      <x:c r="C31" s="60" t="str">
        <x:v>この値が正のときのみDCバス上昇が起こり得る。</x:v>
      </x:c>
    </x:row>
    <x:row r="32">
      <x:c r="A32" s="55" t="str">
        <x:v>DCバス上昇</x:v>
      </x:c>
      <x:c r="B32" s="76" t="str">
        <x:v>V_final = √(V_init² + 2E/C_dc)</x:v>
      </x:c>
      <x:c r="C32" s="61" t="str">
        <x:v>DCコンデンサの蓄積エネルギー 0.5CV² を利用。</x:v>
      </x:c>
    </x:row>
  </x:sheetData>
  <x:mergeCells>
    <x:mergeCell ref="A1:C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0" hidden="0" customWidth="1"/>
    <x:col min="5" max="5" width="24" hidden="0" customWidth="1"/>
    <x:col min="6" max="6" width="26" hidden="0" customWidth="1"/>
  </x:cols>
  <x:sheetData>
    <x:row r="1">
      <x:c r="A1" s="4" t="str">
        <x:v>定義整理・整合チェック</x:v>
      </x:c>
      <x:c r="B1" s="4" t="str">
        <x:v>定義整理・整合チェック</x:v>
      </x:c>
      <x:c r="C1" s="4" t="str">
        <x:v>定義整理・整合チェック</x:v>
      </x:c>
      <x:c r="D1" s="4" t="str">
        <x:v>定義整理・整合チェック</x:v>
      </x:c>
      <x:c r="E1" s="4" t="str">
        <x:v>定義整理・整合チェック</x:v>
      </x:c>
      <x:c r="F1" s="4" t="str">
        <x:v>定義整理・整合チェック</x:v>
      </x:c>
    </x:row>
    <x:row r="3">
      <x:c r="A3" s="8" t="str">
        <x:v>項目</x:v>
      </x:c>
      <x:c r="B3" s="8" t="str">
        <x:v>式</x:v>
      </x:c>
      <x:c r="C3" s="8" t="str">
        <x:v>現在値</x:v>
      </x:c>
      <x:c r="D3" s="8" t="str">
        <x:v>単位</x:v>
      </x:c>
      <x:c r="E3" s="8" t="str">
        <x:v>説明</x:v>
      </x:c>
      <x:c r="F3" s="8" t="str">
        <x:v>備考</x:v>
      </x:c>
    </x:row>
    <x:row r="4">
      <x:c r="A4" s="12" t="str">
        <x:v>選択中の変調方式</x:v>
      </x:c>
      <x:c r="B4" s="16" t="str">
        <x:v>入力条件!B14</x:v>
      </x:c>
      <x:c r="C4" s="26" t="str">
        <x:f>'入力条件'!$B$14</x:f>
        <x:v>SVPWM</x:v>
      </x:c>
      <x:c r="D4" s="16" t="str">
        <x:v>-</x:v>
      </x:c>
      <x:c r="E4" s="16" t="str">
        <x:v>SPWM / SVPWM 切替セル</x:v>
      </x:c>
      <x:c r="F4" s="16" t="str">
        <x:v>設計用</x:v>
      </x:c>
    </x:row>
    <x:row r="5">
      <x:c r="A5" s="12" t="str">
        <x:v>k_mod（線間rms / Vdc）</x:v>
      </x:c>
      <x:c r="B5" s="16" t="str">
        <x:v>IF(mode)</x:v>
      </x:c>
      <x:c r="C5" s="27" t="n">
        <x:f>'入力条件'!$B$15</x:f>
        <x:v>0.7071067811865475</x:v>
      </x:c>
      <x:c r="D5" s="16" t="str">
        <x:v>-</x:v>
      </x:c>
      <x:c r="E5" s="16" t="str">
        <x:v>SPWM:0.612 / SVPWM:0.707</x:v>
      </x:c>
      <x:c r="F5" s="16" t="str">
        <x:v>Vdc = Vll,rms / k_mod</x:v>
      </x:c>
    </x:row>
    <x:row r="6">
      <x:c r="A6" s="12" t="str">
        <x:v>k_ph,max（相peak / Vdc）</x:v>
      </x:c>
      <x:c r="B6" s="16" t="str">
        <x:v>IF(mode)</x:v>
      </x:c>
      <x:c r="C6" s="27" t="n">
        <x:f>'入力条件'!$B$16</x:f>
        <x:v>0.5773502691896258</x:v>
      </x:c>
      <x:c r="D6" s="16" t="str">
        <x:v>-</x:v>
      </x:c>
      <x:c r="E6" s="16" t="str">
        <x:v>SPWM:0.500 / SVPWM:0.577</x:v>
      </x:c>
      <x:c r="F6" s="16" t="str">
        <x:v>Vdc = Vph,peak / k_ph,max</x:v>
      </x:c>
    </x:row>
    <x:row r="7">
      <x:c r="A7" s="12" t="str">
        <x:v>Ke_ll,rms</x:v>
      </x:c>
      <x:c r="B7" s="16" t="str">
        <x:v>Kt / √3</x:v>
      </x:c>
      <x:c r="C7" s="27" t="n">
        <x:f>'計算詳細'!D8</x:f>
        <x:v>4.618802153517007</x:v>
      </x:c>
      <x:c r="D7" s="16" t="str">
        <x:v>V/(rad/s)</x:v>
      </x:c>
      <x:c r="E7" s="16" t="str">
        <x:v>線間rms基準の Ke</x:v>
      </x:c>
      <x:c r="F7" s="16" t="str">
        <x:v>Kt と整合</x:v>
      </x:c>
    </x:row>
    <x:row r="8">
      <x:c r="A8" s="12" t="str">
        <x:v>Ke_ph,peak</x:v>
      </x:c>
      <x:c r="B8" s="16" t="str">
        <x:v>Ke_ll,rms × √(2/3)</x:v>
      </x:c>
      <x:c r="C8" s="27" t="n">
        <x:f>'計算詳細'!D9</x:f>
        <x:v>3.771236166328254</x:v>
      </x:c>
      <x:c r="D8" s="16" t="str">
        <x:v>V/(rad/s)</x:v>
      </x:c>
      <x:c r="E8" s="16" t="str">
        <x:v>相peak基準の Ke</x:v>
      </x:c>
      <x:c r="F8" s="16" t="str">
        <x:v>q軸電圧式で使用</x:v>
      </x:c>
    </x:row>
    <x:row r="9">
      <x:c r="A9" s="12" t="str">
        <x:v>定常時逆起電力 E_ll,rms,ss</x:v>
      </x:c>
      <x:c r="B9" s="16" t="str">
        <x:v>Ke_ll,rms × ω_m,ss</x:v>
      </x:c>
      <x:c r="C9" s="27" t="n">
        <x:f>'計算詳細'!D10</x:f>
        <x:v>4.8367983046245815</x:v>
      </x:c>
      <x:c r="D9" s="16" t="str">
        <x:v>Vrms</x:v>
      </x:c>
      <x:c r="E9" s="16" t="str">
        <x:v>線間rms基準</x:v>
      </x:c>
      <x:c r="F9" s="16" t="str"/>
    </x:row>
    <x:row r="10">
      <x:c r="A10" s="12" t="str">
        <x:v>定常時逆起電力 E_ph,peak,ss</x:v>
      </x:c>
      <x:c r="B10" s="16" t="str">
        <x:v>Ke_ph,peak × ω_m,ss</x:v>
      </x:c>
      <x:c r="C10" s="27" t="n">
        <x:f>'計算詳細'!D11</x:f>
        <x:v>3.949229278362992</x:v>
      </x:c>
      <x:c r="D10" s="16" t="str">
        <x:v>Vpeak</x:v>
      </x:c>
      <x:c r="E10" s="16" t="str">
        <x:v>相peak基準</x:v>
      </x:c>
      <x:c r="F10" s="16" t="str"/>
    </x:row>
    <x:row r="11">
      <x:c r="A11" s="12" t="str">
        <x:v>起動時DCバス差分</x:v>
      </x:c>
      <x:c r="B11" s="16" t="str">
        <x:v>計算詳細!D17</x:v>
      </x:c>
      <x:c r="C11" s="27" t="n">
        <x:f>'計算詳細'!D17</x:f>
        <x:v>-1.4210854715202004e-14</x:v>
      </x:c>
      <x:c r="D11" s="16" t="str">
        <x:v>V</x:v>
      </x:c>
      <x:c r="E11" s="16" t="str">
        <x:v>0に近ければ整合</x:v>
      </x:c>
      <x:c r="F11" s="16" t="str"/>
    </x:row>
    <x:row r="12">
      <x:c r="A12" s="12" t="str">
        <x:v>定常時DCバス差分</x:v>
      </x:c>
      <x:c r="B12" s="16" t="str">
        <x:v>計算詳細!D24</x:v>
      </x:c>
      <x:c r="C12" s="27" t="n">
        <x:f>'計算詳細'!D24</x:f>
        <x:v>-7.105427357601002e-15</x:v>
      </x:c>
      <x:c r="D12" s="16" t="str">
        <x:v>V</x:v>
      </x:c>
      <x:c r="E12" s="16" t="str">
        <x:v>0に近ければ整合</x:v>
      </x:c>
      <x:c r="F12" s="16" t="str"/>
    </x:row>
    <x:row r="13">
      <x:c r="A13" s="12" t="str">
        <x:v>加速ワーストDCバス差分</x:v>
      </x:c>
      <x:c r="B13" s="16" t="str">
        <x:v>計算詳細!D31</x:v>
      </x:c>
      <x:c r="C13" s="27" t="n">
        <x:f>'計算詳細'!D31</x:f>
        <x:v>-1.4210854715202004e-14</x:v>
      </x:c>
      <x:c r="D13" s="16" t="str">
        <x:v>V</x:v>
      </x:c>
      <x:c r="E13" s="16" t="str">
        <x:v>0に近ければ整合</x:v>
      </x:c>
      <x:c r="F13" s="16" t="str"/>
    </x:row>
    <x:row r="15">
      <x:c r="A15" s="84" t="str">
        <x:v>回生制動の確認項目</x:v>
      </x:c>
      <x:c r="B15" s="107"/>
      <x:c r="C15" s="107"/>
      <x:c r="D15" s="107"/>
      <x:c r="E15" s="107"/>
      <x:c r="F15" s="85"/>
    </x:row>
    <x:row r="16">
      <x:c r="A16" s="53" t="str">
        <x:v>停止前慣性エネルギー E_k</x:v>
      </x:c>
      <x:c r="B16" s="42" t="str">
        <x:v>0.5 J ω0²</x:v>
      </x:c>
      <x:c r="C16" s="68" t="n">
        <x:f>'計算詳細'!D49</x:f>
        <x:v>1.6449340668482262</x:v>
      </x:c>
      <x:c r="D16" s="42" t="str">
        <x:v>J</x:v>
      </x:c>
      <x:c r="E16" s="42" t="str">
        <x:v>機械側の理想回生上限</x:v>
      </x:c>
      <x:c r="F16" s="43" t="str">
        <x:v>今回条件では低速のため値は小さい</x:v>
      </x:c>
    </x:row>
    <x:row r="17">
      <x:c r="A17" s="54" t="str">
        <x:v>回生時銅損 E_cu,regen</x:v>
      </x:c>
      <x:c r="B17" s="45" t="str">
        <x:v>P_cu,regen t_dec</x:v>
      </x:c>
      <x:c r="C17" s="69" t="n">
        <x:f>'計算詳細'!D51</x:f>
        <x:v>2.775826237806382</x:v>
      </x:c>
      <x:c r="D17" s="45" t="str">
        <x:v>J</x:v>
      </x:c>
      <x:c r="E17" s="45" t="str">
        <x:v>巻線で熱に変わる分</x:v>
      </x:c>
      <x:c r="F17" s="46" t="str">
        <x:v>E_k より大きいとDCバス上昇なし</x:v>
      </x:c>
    </x:row>
    <x:row r="18">
      <x:c r="A18" s="54" t="str">
        <x:v>正味回生エネルギー E_bus</x:v>
      </x:c>
      <x:c r="B18" s="45" t="str">
        <x:v>MAX(E_k-E_cu,0)</x:v>
      </x:c>
      <x:c r="C18" s="69" t="n">
        <x:f>'計算詳細'!D53</x:f>
        <x:v>0</x:v>
      </x:c>
      <x:c r="D18" s="45" t="str">
        <x:v>J</x:v>
      </x:c>
      <x:c r="E18" s="45" t="str">
        <x:v>コンデンサへ入る正味エネルギー</x:v>
      </x:c>
      <x:c r="F18" s="46" t="str">
        <x:v>0ならバス上昇予測なし</x:v>
      </x:c>
    </x:row>
    <x:row r="19">
      <x:c r="A19" s="54" t="str">
        <x:v>理想回生後DCバス</x:v>
      </x:c>
      <x:c r="B19" s="45" t="str">
        <x:v>√(V_init²+2E_k/C)</x:v>
      </x:c>
      <x:c r="C19" s="69" t="n">
        <x:f>'計算詳細'!D54</x:f>
        <x:v>96.9332084939292</x:v>
      </x:c>
      <x:c r="D19" s="45" t="str">
        <x:v>V</x:v>
      </x:c>
      <x:c r="E19" s="45" t="str">
        <x:v>上限評価</x:v>
      </x:c>
      <x:c r="F19" s="46" t="str">
        <x:v>抵抗・損失・吸収負荷を無視</x:v>
      </x:c>
    </x:row>
    <x:row r="20">
      <x:c r="A20" s="55" t="str">
        <x:v>実効回生後DCバス</x:v>
      </x:c>
      <x:c r="B20" s="48" t="str">
        <x:v>√(V_init²+2E_bus/C)</x:v>
      </x:c>
      <x:c r="C20" s="86" t="n">
        <x:f>'計算詳細'!D55</x:f>
        <x:v>95.22111160639695</x:v>
      </x:c>
      <x:c r="D20" s="48" t="str">
        <x:v>V</x:v>
      </x:c>
      <x:c r="E20" s="48" t="str">
        <x:v>銅損考慮の簡易評価</x:v>
      </x:c>
      <x:c r="F20" s="49" t="str">
        <x:v>負の正味エネルギーは0扱い</x:v>
      </x:c>
    </x:row>
  </x:sheetData>
  <x:mergeCells>
    <x:mergeCell ref="A1:F1"/>
  </x:mergeCells>
  <x:pageMargins left="0.7" right="0.7" top="0.75" bottom="0.75" header="0.3" footer="0.3"/>
</x:worksheet>
</file>